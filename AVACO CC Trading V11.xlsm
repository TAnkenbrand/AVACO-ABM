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filterPrivacy="1" codeName="ThisWorkbook" defaultThemeVersion="124226"/>
  <xr:revisionPtr revIDLastSave="0" documentId="13_ncr:1_{8FF142AB-3D6A-40AA-A251-5E92F3037813}" xr6:coauthVersionLast="47" xr6:coauthVersionMax="47" xr10:uidLastSave="{00000000-0000-0000-0000-000000000000}"/>
  <bookViews>
    <workbookView xWindow="4575" yWindow="4275" windowWidth="21600" windowHeight="11325" tabRatio="666" activeTab="5" xr2:uid="{00000000-000D-0000-FFFF-FFFF00000000}"/>
  </bookViews>
  <sheets>
    <sheet name="Bitcoin 1" sheetId="11" r:id="rId1"/>
    <sheet name="Bitcoin 2" sheetId="15" r:id="rId2"/>
    <sheet name="Bitcoin 3" sheetId="14" r:id="rId3"/>
    <sheet name="Ether" sheetId="12" r:id="rId4"/>
    <sheet name="Prices" sheetId="1" r:id="rId5"/>
    <sheet name="Version" sheetId="3" r:id="rId6"/>
    <sheet name="Solution" sheetId="7" r:id="rId7"/>
  </sheets>
  <definedNames>
    <definedName name="_xlnm._FilterDatabase" localSheetId="6" hidden="1">Solution!$A$1:$I$207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41" i="12" l="1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Q5" i="12"/>
  <c r="Q6" i="12" s="1"/>
  <c r="Q7" i="12" s="1"/>
  <c r="Q8" i="12" s="1"/>
  <c r="Q9" i="12" s="1"/>
  <c r="Q10" i="12" s="1"/>
  <c r="Q11" i="12" s="1"/>
  <c r="Q12" i="12" s="1"/>
  <c r="Q13" i="12" s="1"/>
  <c r="Q14" i="12" s="1"/>
  <c r="Q15" i="12" s="1"/>
  <c r="Q16" i="12" s="1"/>
  <c r="H41" i="12" l="1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H114" i="12"/>
  <c r="H115" i="12"/>
  <c r="H116" i="12"/>
  <c r="H117" i="12"/>
  <c r="H118" i="12"/>
  <c r="H119" i="12"/>
  <c r="H120" i="12"/>
  <c r="H121" i="12"/>
  <c r="H122" i="12"/>
  <c r="H123" i="12"/>
  <c r="H124" i="12"/>
  <c r="H125" i="12"/>
  <c r="H126" i="12"/>
  <c r="H127" i="12"/>
  <c r="H128" i="12"/>
  <c r="H129" i="12"/>
  <c r="H130" i="12"/>
  <c r="H131" i="12"/>
  <c r="H132" i="12"/>
  <c r="H133" i="12"/>
  <c r="H134" i="12"/>
  <c r="H135" i="12"/>
  <c r="H136" i="12"/>
  <c r="H137" i="12"/>
  <c r="H138" i="12"/>
  <c r="H139" i="12"/>
  <c r="H140" i="12"/>
  <c r="H141" i="12"/>
  <c r="H142" i="12"/>
  <c r="H143" i="12"/>
  <c r="H144" i="12"/>
  <c r="H145" i="12"/>
  <c r="H146" i="12"/>
  <c r="H147" i="12"/>
  <c r="H148" i="12"/>
  <c r="H149" i="12"/>
  <c r="H150" i="12"/>
  <c r="H151" i="12"/>
  <c r="H152" i="12"/>
  <c r="H153" i="12"/>
  <c r="H154" i="12"/>
  <c r="H155" i="12"/>
  <c r="H156" i="12"/>
  <c r="H157" i="12"/>
  <c r="H158" i="12"/>
  <c r="H159" i="12"/>
  <c r="H160" i="12"/>
  <c r="H161" i="12"/>
  <c r="H162" i="12"/>
  <c r="H163" i="12"/>
  <c r="H164" i="12"/>
  <c r="H165" i="12"/>
  <c r="H166" i="12"/>
  <c r="H167" i="12"/>
  <c r="H168" i="12"/>
  <c r="H169" i="12"/>
  <c r="H170" i="12"/>
  <c r="H171" i="12"/>
  <c r="H172" i="12"/>
  <c r="H173" i="12"/>
  <c r="H174" i="12"/>
  <c r="H175" i="12"/>
  <c r="H176" i="12"/>
  <c r="H177" i="12"/>
  <c r="H178" i="12"/>
  <c r="H179" i="12"/>
  <c r="H180" i="12"/>
  <c r="H181" i="12"/>
  <c r="H182" i="12"/>
  <c r="H183" i="12"/>
  <c r="H184" i="12"/>
  <c r="H185" i="12"/>
  <c r="H186" i="12"/>
  <c r="H187" i="12"/>
  <c r="H188" i="12"/>
  <c r="H189" i="12"/>
  <c r="H190" i="12"/>
  <c r="H191" i="12"/>
  <c r="H192" i="12"/>
  <c r="H193" i="12"/>
  <c r="H194" i="12"/>
  <c r="H195" i="12"/>
  <c r="H196" i="12"/>
  <c r="H197" i="12"/>
  <c r="H198" i="12"/>
  <c r="H199" i="12"/>
  <c r="H200" i="12"/>
  <c r="H201" i="12"/>
  <c r="H202" i="12"/>
  <c r="H203" i="12"/>
  <c r="H204" i="12"/>
  <c r="H205" i="12"/>
  <c r="H206" i="12"/>
  <c r="H207" i="12"/>
  <c r="H208" i="12"/>
  <c r="H209" i="12"/>
  <c r="H210" i="12"/>
  <c r="H211" i="12"/>
  <c r="H212" i="12"/>
  <c r="H213" i="12"/>
  <c r="H214" i="12"/>
  <c r="H215" i="12"/>
  <c r="H216" i="12"/>
  <c r="H217" i="12"/>
  <c r="H218" i="12"/>
  <c r="H219" i="12"/>
  <c r="H220" i="12"/>
  <c r="H221" i="12"/>
  <c r="H222" i="12"/>
  <c r="H223" i="12"/>
  <c r="H224" i="12"/>
  <c r="H225" i="12"/>
  <c r="H226" i="12"/>
  <c r="H227" i="12"/>
  <c r="H228" i="12"/>
  <c r="H229" i="12"/>
  <c r="H230" i="12"/>
  <c r="H231" i="12"/>
  <c r="H232" i="12"/>
  <c r="H233" i="12"/>
  <c r="H234" i="12"/>
  <c r="H235" i="12"/>
  <c r="H236" i="12"/>
  <c r="H237" i="12"/>
  <c r="H238" i="12"/>
  <c r="H239" i="12"/>
  <c r="H240" i="12"/>
  <c r="H241" i="12"/>
  <c r="H242" i="12"/>
  <c r="H243" i="12"/>
  <c r="H244" i="12"/>
  <c r="H245" i="12"/>
  <c r="H246" i="12"/>
  <c r="H247" i="12"/>
  <c r="H248" i="12"/>
  <c r="H249" i="12"/>
  <c r="H250" i="12"/>
  <c r="H251" i="12"/>
  <c r="H252" i="12"/>
  <c r="H253" i="12"/>
  <c r="H254" i="12"/>
  <c r="H255" i="12"/>
  <c r="H256" i="12"/>
  <c r="H257" i="12"/>
  <c r="H258" i="12"/>
  <c r="H259" i="12"/>
  <c r="H260" i="12"/>
  <c r="H261" i="12"/>
  <c r="H262" i="12"/>
  <c r="H263" i="12"/>
  <c r="H264" i="12"/>
  <c r="H265" i="12"/>
  <c r="H266" i="12"/>
  <c r="H267" i="12"/>
  <c r="H268" i="12"/>
  <c r="H269" i="12"/>
  <c r="H270" i="12"/>
  <c r="H271" i="12"/>
  <c r="H272" i="12"/>
  <c r="H273" i="12"/>
  <c r="H274" i="12"/>
  <c r="H275" i="12"/>
  <c r="H276" i="12"/>
  <c r="H277" i="12"/>
  <c r="H278" i="12"/>
  <c r="H279" i="12"/>
  <c r="H280" i="12"/>
  <c r="H281" i="12"/>
  <c r="H282" i="12"/>
  <c r="H283" i="12"/>
  <c r="H284" i="12"/>
  <c r="H285" i="12"/>
  <c r="H286" i="12"/>
  <c r="H287" i="12"/>
  <c r="H288" i="12"/>
  <c r="H289" i="12"/>
  <c r="H290" i="12"/>
  <c r="H291" i="12"/>
  <c r="H292" i="12"/>
  <c r="H293" i="12"/>
  <c r="H294" i="12"/>
  <c r="H295" i="12"/>
  <c r="H296" i="12"/>
  <c r="H297" i="12"/>
  <c r="H298" i="12"/>
  <c r="H299" i="12"/>
  <c r="H300" i="12"/>
  <c r="H301" i="12"/>
  <c r="H302" i="12"/>
  <c r="H303" i="12"/>
  <c r="H304" i="12"/>
  <c r="H305" i="12"/>
  <c r="H306" i="12"/>
  <c r="H307" i="12"/>
  <c r="H308" i="12"/>
  <c r="H309" i="12"/>
  <c r="H310" i="12"/>
  <c r="H311" i="12"/>
  <c r="H312" i="12"/>
  <c r="H313" i="12"/>
  <c r="H314" i="12"/>
  <c r="H315" i="12"/>
  <c r="H316" i="12"/>
  <c r="H317" i="12"/>
  <c r="H318" i="12"/>
  <c r="H319" i="12"/>
  <c r="H320" i="12"/>
  <c r="H321" i="12"/>
  <c r="H322" i="12"/>
  <c r="H323" i="12"/>
  <c r="H324" i="12"/>
  <c r="H325" i="12"/>
  <c r="H326" i="12"/>
  <c r="H327" i="12"/>
  <c r="H328" i="12"/>
  <c r="H329" i="12"/>
  <c r="L6" i="12"/>
  <c r="L7" i="12" s="1"/>
  <c r="L8" i="12" s="1"/>
  <c r="L9" i="12" s="1"/>
  <c r="L10" i="12" s="1"/>
  <c r="L11" i="12" s="1"/>
  <c r="L12" i="12" s="1"/>
  <c r="L13" i="12" s="1"/>
  <c r="L14" i="12" s="1"/>
  <c r="L15" i="12" s="1"/>
  <c r="L16" i="12" s="1"/>
  <c r="L5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N123" i="12"/>
  <c r="N124" i="12"/>
  <c r="N125" i="12"/>
  <c r="N126" i="12"/>
  <c r="N127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146" i="12"/>
  <c r="N147" i="12"/>
  <c r="N148" i="12"/>
  <c r="N149" i="12"/>
  <c r="N150" i="12"/>
  <c r="N151" i="12"/>
  <c r="N152" i="12"/>
  <c r="N153" i="12"/>
  <c r="N154" i="12"/>
  <c r="N155" i="12"/>
  <c r="N156" i="12"/>
  <c r="N157" i="12"/>
  <c r="N158" i="12"/>
  <c r="N159" i="12"/>
  <c r="N160" i="12"/>
  <c r="N161" i="12"/>
  <c r="N162" i="12"/>
  <c r="N163" i="12"/>
  <c r="N164" i="12"/>
  <c r="N165" i="12"/>
  <c r="N166" i="12"/>
  <c r="N167" i="12"/>
  <c r="N168" i="12"/>
  <c r="N169" i="12"/>
  <c r="N170" i="12"/>
  <c r="N171" i="12"/>
  <c r="N172" i="12"/>
  <c r="N173" i="12"/>
  <c r="N174" i="12"/>
  <c r="N175" i="12"/>
  <c r="N176" i="12"/>
  <c r="N177" i="12"/>
  <c r="N178" i="12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218" i="12"/>
  <c r="N219" i="12"/>
  <c r="N220" i="12"/>
  <c r="N221" i="12"/>
  <c r="N222" i="12"/>
  <c r="N223" i="12"/>
  <c r="N224" i="12"/>
  <c r="N225" i="12"/>
  <c r="N226" i="12"/>
  <c r="N227" i="12"/>
  <c r="N228" i="12"/>
  <c r="N229" i="12"/>
  <c r="N230" i="12"/>
  <c r="N231" i="12"/>
  <c r="N232" i="12"/>
  <c r="N233" i="12"/>
  <c r="N234" i="12"/>
  <c r="N235" i="12"/>
  <c r="N236" i="12"/>
  <c r="N237" i="12"/>
  <c r="N238" i="12"/>
  <c r="N239" i="12"/>
  <c r="N240" i="12"/>
  <c r="N241" i="12"/>
  <c r="N242" i="12"/>
  <c r="N243" i="12"/>
  <c r="N244" i="12"/>
  <c r="N245" i="12"/>
  <c r="N246" i="12"/>
  <c r="N247" i="12"/>
  <c r="N248" i="12"/>
  <c r="N249" i="12"/>
  <c r="N250" i="12"/>
  <c r="N251" i="12"/>
  <c r="N252" i="12"/>
  <c r="N253" i="12"/>
  <c r="N254" i="12"/>
  <c r="N255" i="12"/>
  <c r="N256" i="12"/>
  <c r="N257" i="12"/>
  <c r="N258" i="12"/>
  <c r="N259" i="12"/>
  <c r="N260" i="12"/>
  <c r="N261" i="12"/>
  <c r="N262" i="12"/>
  <c r="N263" i="12"/>
  <c r="N264" i="12"/>
  <c r="N265" i="12"/>
  <c r="N266" i="12"/>
  <c r="N267" i="12"/>
  <c r="N268" i="12"/>
  <c r="N269" i="12"/>
  <c r="N270" i="12"/>
  <c r="N271" i="12"/>
  <c r="N272" i="12"/>
  <c r="N273" i="12"/>
  <c r="N274" i="12"/>
  <c r="N275" i="12"/>
  <c r="N276" i="12"/>
  <c r="N277" i="12"/>
  <c r="N278" i="12"/>
  <c r="N279" i="12"/>
  <c r="N280" i="12"/>
  <c r="N281" i="12"/>
  <c r="N282" i="12"/>
  <c r="N283" i="12"/>
  <c r="N284" i="12"/>
  <c r="N285" i="12"/>
  <c r="N286" i="12"/>
  <c r="N287" i="12"/>
  <c r="N288" i="12"/>
  <c r="N289" i="12"/>
  <c r="N290" i="12"/>
  <c r="N291" i="12"/>
  <c r="N292" i="12"/>
  <c r="N293" i="12"/>
  <c r="N294" i="12"/>
  <c r="N295" i="12"/>
  <c r="N296" i="12"/>
  <c r="N297" i="12"/>
  <c r="N298" i="12"/>
  <c r="N299" i="12"/>
  <c r="N300" i="12"/>
  <c r="N301" i="12"/>
  <c r="N302" i="12"/>
  <c r="N303" i="12"/>
  <c r="N304" i="12"/>
  <c r="N305" i="12"/>
  <c r="N306" i="12"/>
  <c r="N307" i="12"/>
  <c r="N308" i="12"/>
  <c r="N309" i="12"/>
  <c r="N310" i="12"/>
  <c r="N311" i="12"/>
  <c r="N312" i="12"/>
  <c r="N313" i="12"/>
  <c r="N314" i="12"/>
  <c r="N315" i="12"/>
  <c r="N316" i="12"/>
  <c r="N317" i="12"/>
  <c r="N318" i="12"/>
  <c r="N319" i="12"/>
  <c r="N320" i="12"/>
  <c r="N321" i="12"/>
  <c r="N322" i="12"/>
  <c r="N323" i="12"/>
  <c r="N324" i="12"/>
  <c r="N325" i="12"/>
  <c r="N326" i="12"/>
  <c r="N327" i="12"/>
  <c r="N328" i="12"/>
  <c r="N329" i="12"/>
  <c r="N330" i="12"/>
  <c r="Q17" i="12"/>
  <c r="H450" i="14"/>
  <c r="N450" i="14"/>
  <c r="S450" i="14"/>
  <c r="N451" i="14"/>
  <c r="S451" i="14"/>
  <c r="H450" i="15"/>
  <c r="N450" i="15"/>
  <c r="S450" i="15"/>
  <c r="N451" i="15"/>
  <c r="S451" i="15"/>
  <c r="H450" i="11"/>
  <c r="N450" i="11"/>
  <c r="S450" i="11"/>
  <c r="N451" i="11"/>
  <c r="S451" i="11"/>
  <c r="R17" i="12" l="1"/>
  <c r="H449" i="14"/>
  <c r="N449" i="14"/>
  <c r="S449" i="14"/>
  <c r="H449" i="15"/>
  <c r="N449" i="15"/>
  <c r="S449" i="15"/>
  <c r="H449" i="11"/>
  <c r="N449" i="11"/>
  <c r="S449" i="11"/>
  <c r="Q18" i="12" l="1"/>
  <c r="H448" i="14"/>
  <c r="N448" i="14"/>
  <c r="S448" i="14"/>
  <c r="H448" i="15"/>
  <c r="N448" i="15"/>
  <c r="S448" i="15"/>
  <c r="H448" i="11"/>
  <c r="N448" i="11"/>
  <c r="S448" i="11"/>
  <c r="R18" i="12" l="1"/>
  <c r="H447" i="14"/>
  <c r="N447" i="14"/>
  <c r="S447" i="14"/>
  <c r="H447" i="15"/>
  <c r="N447" i="15"/>
  <c r="S447" i="15"/>
  <c r="H447" i="11"/>
  <c r="N447" i="11"/>
  <c r="S447" i="11"/>
  <c r="Q19" i="12" l="1"/>
  <c r="H446" i="14"/>
  <c r="N446" i="14"/>
  <c r="S446" i="14"/>
  <c r="H446" i="15"/>
  <c r="N446" i="15"/>
  <c r="S446" i="15"/>
  <c r="H446" i="11"/>
  <c r="N446" i="11"/>
  <c r="S446" i="11"/>
  <c r="R19" i="12" l="1"/>
  <c r="Q20" i="12" s="1"/>
  <c r="H445" i="14"/>
  <c r="N445" i="14"/>
  <c r="S445" i="14"/>
  <c r="H445" i="15"/>
  <c r="N445" i="15"/>
  <c r="S445" i="15"/>
  <c r="H445" i="11"/>
  <c r="N445" i="11"/>
  <c r="S445" i="11"/>
  <c r="Q21" i="12" l="1"/>
  <c r="R20" i="12"/>
  <c r="H444" i="14"/>
  <c r="N444" i="14"/>
  <c r="S444" i="14"/>
  <c r="H444" i="15"/>
  <c r="N444" i="15"/>
  <c r="S444" i="15"/>
  <c r="H444" i="11"/>
  <c r="N444" i="11"/>
  <c r="S444" i="11"/>
  <c r="R21" i="12" l="1"/>
  <c r="R22" i="12" s="1"/>
  <c r="H443" i="14"/>
  <c r="N443" i="14"/>
  <c r="S443" i="14"/>
  <c r="H443" i="15"/>
  <c r="N443" i="15"/>
  <c r="S443" i="15"/>
  <c r="H443" i="11"/>
  <c r="N443" i="11"/>
  <c r="S443" i="11"/>
  <c r="H442" i="14"/>
  <c r="N442" i="14"/>
  <c r="S442" i="14"/>
  <c r="H442" i="15"/>
  <c r="N442" i="15"/>
  <c r="S442" i="15"/>
  <c r="H442" i="11"/>
  <c r="N442" i="11"/>
  <c r="S442" i="11"/>
  <c r="Q22" i="12" l="1"/>
  <c r="R23" i="12"/>
  <c r="H438" i="11"/>
  <c r="N438" i="11"/>
  <c r="S438" i="11"/>
  <c r="H439" i="11"/>
  <c r="N439" i="11"/>
  <c r="S439" i="11"/>
  <c r="H440" i="11"/>
  <c r="N440" i="11"/>
  <c r="S440" i="11"/>
  <c r="H441" i="11"/>
  <c r="N441" i="11"/>
  <c r="S441" i="11"/>
  <c r="H19" i="11"/>
  <c r="N19" i="11"/>
  <c r="S19" i="11"/>
  <c r="H20" i="11"/>
  <c r="N20" i="11"/>
  <c r="S20" i="11"/>
  <c r="H21" i="11"/>
  <c r="N21" i="11"/>
  <c r="S21" i="11"/>
  <c r="H22" i="11"/>
  <c r="N22" i="11"/>
  <c r="S22" i="11"/>
  <c r="H23" i="11"/>
  <c r="N23" i="11"/>
  <c r="S23" i="11"/>
  <c r="H24" i="11"/>
  <c r="N24" i="11"/>
  <c r="S24" i="11"/>
  <c r="H25" i="11"/>
  <c r="N25" i="11"/>
  <c r="S25" i="11"/>
  <c r="H26" i="11"/>
  <c r="N26" i="11"/>
  <c r="S26" i="11"/>
  <c r="H27" i="11"/>
  <c r="N27" i="11"/>
  <c r="S27" i="11"/>
  <c r="H28" i="11"/>
  <c r="N28" i="11"/>
  <c r="S28" i="11"/>
  <c r="H29" i="11"/>
  <c r="N29" i="11"/>
  <c r="S29" i="11"/>
  <c r="H30" i="11"/>
  <c r="N30" i="11"/>
  <c r="S30" i="11"/>
  <c r="H31" i="11"/>
  <c r="N31" i="11"/>
  <c r="S31" i="11"/>
  <c r="H32" i="11"/>
  <c r="N32" i="11"/>
  <c r="S32" i="11"/>
  <c r="H33" i="11"/>
  <c r="N33" i="11"/>
  <c r="S33" i="11"/>
  <c r="H34" i="11"/>
  <c r="N34" i="11"/>
  <c r="S34" i="11"/>
  <c r="H35" i="11"/>
  <c r="N35" i="11"/>
  <c r="S35" i="11"/>
  <c r="H36" i="11"/>
  <c r="N36" i="11"/>
  <c r="S36" i="11"/>
  <c r="H37" i="11"/>
  <c r="N37" i="11"/>
  <c r="S37" i="11"/>
  <c r="H38" i="11"/>
  <c r="N38" i="11"/>
  <c r="S38" i="11"/>
  <c r="H39" i="11"/>
  <c r="N39" i="11"/>
  <c r="S39" i="11"/>
  <c r="H40" i="11"/>
  <c r="N40" i="11"/>
  <c r="S40" i="11"/>
  <c r="H41" i="11"/>
  <c r="N41" i="11"/>
  <c r="S41" i="11"/>
  <c r="H42" i="11"/>
  <c r="N42" i="11"/>
  <c r="S42" i="11"/>
  <c r="H43" i="11"/>
  <c r="N43" i="11"/>
  <c r="S43" i="11"/>
  <c r="H44" i="11"/>
  <c r="N44" i="11"/>
  <c r="S44" i="11"/>
  <c r="H45" i="11"/>
  <c r="N45" i="11"/>
  <c r="S45" i="11"/>
  <c r="H46" i="11"/>
  <c r="N46" i="11"/>
  <c r="S46" i="11"/>
  <c r="H47" i="11"/>
  <c r="N47" i="11"/>
  <c r="S47" i="11"/>
  <c r="H48" i="11"/>
  <c r="N48" i="11"/>
  <c r="S48" i="11"/>
  <c r="H49" i="11"/>
  <c r="N49" i="11"/>
  <c r="S49" i="11"/>
  <c r="H50" i="11"/>
  <c r="N50" i="11"/>
  <c r="S50" i="11"/>
  <c r="H51" i="11"/>
  <c r="N51" i="11"/>
  <c r="S51" i="11"/>
  <c r="H52" i="11"/>
  <c r="N52" i="11"/>
  <c r="S52" i="11"/>
  <c r="H53" i="11"/>
  <c r="N53" i="11"/>
  <c r="S53" i="11"/>
  <c r="H54" i="11"/>
  <c r="N54" i="11"/>
  <c r="S54" i="11"/>
  <c r="H55" i="11"/>
  <c r="N55" i="11"/>
  <c r="S55" i="11"/>
  <c r="H56" i="11"/>
  <c r="N56" i="11"/>
  <c r="S56" i="11"/>
  <c r="H57" i="11"/>
  <c r="N57" i="11"/>
  <c r="S57" i="11"/>
  <c r="H58" i="11"/>
  <c r="N58" i="11"/>
  <c r="S58" i="11"/>
  <c r="H59" i="11"/>
  <c r="N59" i="11"/>
  <c r="S59" i="11"/>
  <c r="H60" i="11"/>
  <c r="N60" i="11"/>
  <c r="S60" i="11"/>
  <c r="H61" i="11"/>
  <c r="N61" i="11"/>
  <c r="S61" i="11"/>
  <c r="H62" i="11"/>
  <c r="N62" i="11"/>
  <c r="S62" i="11"/>
  <c r="H63" i="11"/>
  <c r="N63" i="11"/>
  <c r="S63" i="11"/>
  <c r="H64" i="11"/>
  <c r="N64" i="11"/>
  <c r="S64" i="11"/>
  <c r="H65" i="11"/>
  <c r="N65" i="11"/>
  <c r="S65" i="11"/>
  <c r="H66" i="11"/>
  <c r="N66" i="11"/>
  <c r="S66" i="11"/>
  <c r="H67" i="11"/>
  <c r="N67" i="11"/>
  <c r="S67" i="11"/>
  <c r="H68" i="11"/>
  <c r="N68" i="11"/>
  <c r="S68" i="11"/>
  <c r="H69" i="11"/>
  <c r="N69" i="11"/>
  <c r="S69" i="11"/>
  <c r="H70" i="11"/>
  <c r="N70" i="11"/>
  <c r="S70" i="11"/>
  <c r="H71" i="11"/>
  <c r="N71" i="11"/>
  <c r="S71" i="11"/>
  <c r="H72" i="11"/>
  <c r="N72" i="11"/>
  <c r="S72" i="11"/>
  <c r="H73" i="11"/>
  <c r="N73" i="11"/>
  <c r="S73" i="11"/>
  <c r="H74" i="11"/>
  <c r="N74" i="11"/>
  <c r="S74" i="11"/>
  <c r="H75" i="11"/>
  <c r="N75" i="11"/>
  <c r="S75" i="11"/>
  <c r="H76" i="11"/>
  <c r="N76" i="11"/>
  <c r="S76" i="11"/>
  <c r="H77" i="11"/>
  <c r="N77" i="11"/>
  <c r="S77" i="11"/>
  <c r="H78" i="11"/>
  <c r="N78" i="11"/>
  <c r="S78" i="11"/>
  <c r="H79" i="11"/>
  <c r="N79" i="11"/>
  <c r="S79" i="11"/>
  <c r="H80" i="11"/>
  <c r="N80" i="11"/>
  <c r="S80" i="11"/>
  <c r="H81" i="11"/>
  <c r="N81" i="11"/>
  <c r="S81" i="11"/>
  <c r="H82" i="11"/>
  <c r="N82" i="11"/>
  <c r="S82" i="11"/>
  <c r="H83" i="11"/>
  <c r="N83" i="11"/>
  <c r="S83" i="11"/>
  <c r="H84" i="11"/>
  <c r="N84" i="11"/>
  <c r="S84" i="11"/>
  <c r="H85" i="11"/>
  <c r="N85" i="11"/>
  <c r="S85" i="11"/>
  <c r="H86" i="11"/>
  <c r="N86" i="11"/>
  <c r="S86" i="11"/>
  <c r="H87" i="11"/>
  <c r="N87" i="11"/>
  <c r="S87" i="11"/>
  <c r="H88" i="11"/>
  <c r="N88" i="11"/>
  <c r="S88" i="11"/>
  <c r="H89" i="11"/>
  <c r="N89" i="11"/>
  <c r="S89" i="11"/>
  <c r="H90" i="11"/>
  <c r="N90" i="11"/>
  <c r="S90" i="11"/>
  <c r="H91" i="11"/>
  <c r="N91" i="11"/>
  <c r="S91" i="11"/>
  <c r="H92" i="11"/>
  <c r="N92" i="11"/>
  <c r="S92" i="11"/>
  <c r="H93" i="11"/>
  <c r="N93" i="11"/>
  <c r="S93" i="11"/>
  <c r="H94" i="11"/>
  <c r="N94" i="11"/>
  <c r="S94" i="11"/>
  <c r="H95" i="11"/>
  <c r="N95" i="11"/>
  <c r="S95" i="11"/>
  <c r="H96" i="11"/>
  <c r="N96" i="11"/>
  <c r="S96" i="11"/>
  <c r="H97" i="11"/>
  <c r="N97" i="11"/>
  <c r="S97" i="11"/>
  <c r="H98" i="11"/>
  <c r="N98" i="11"/>
  <c r="S98" i="11"/>
  <c r="H99" i="11"/>
  <c r="N99" i="11"/>
  <c r="S99" i="11"/>
  <c r="H100" i="11"/>
  <c r="N100" i="11"/>
  <c r="S100" i="11"/>
  <c r="H101" i="11"/>
  <c r="N101" i="11"/>
  <c r="S101" i="11"/>
  <c r="H102" i="11"/>
  <c r="N102" i="11"/>
  <c r="S102" i="11"/>
  <c r="H103" i="11"/>
  <c r="N103" i="11"/>
  <c r="S103" i="11"/>
  <c r="H104" i="11"/>
  <c r="N104" i="11"/>
  <c r="S104" i="11"/>
  <c r="H105" i="11"/>
  <c r="N105" i="11"/>
  <c r="S105" i="11"/>
  <c r="H106" i="11"/>
  <c r="N106" i="11"/>
  <c r="S106" i="11"/>
  <c r="H107" i="11"/>
  <c r="N107" i="11"/>
  <c r="S107" i="11"/>
  <c r="H108" i="11"/>
  <c r="N108" i="11"/>
  <c r="S108" i="11"/>
  <c r="H109" i="11"/>
  <c r="N109" i="11"/>
  <c r="S109" i="11"/>
  <c r="H110" i="11"/>
  <c r="N110" i="11"/>
  <c r="S110" i="11"/>
  <c r="H111" i="11"/>
  <c r="N111" i="11"/>
  <c r="S111" i="11"/>
  <c r="H112" i="11"/>
  <c r="N112" i="11"/>
  <c r="S112" i="11"/>
  <c r="H113" i="11"/>
  <c r="N113" i="11"/>
  <c r="S113" i="11"/>
  <c r="H114" i="11"/>
  <c r="N114" i="11"/>
  <c r="S114" i="11"/>
  <c r="H115" i="11"/>
  <c r="N115" i="11"/>
  <c r="S115" i="11"/>
  <c r="H116" i="11"/>
  <c r="N116" i="11"/>
  <c r="S116" i="11"/>
  <c r="H117" i="11"/>
  <c r="N117" i="11"/>
  <c r="S117" i="11"/>
  <c r="H118" i="11"/>
  <c r="N118" i="11"/>
  <c r="S118" i="11"/>
  <c r="H119" i="11"/>
  <c r="N119" i="11"/>
  <c r="S119" i="11"/>
  <c r="H120" i="11"/>
  <c r="N120" i="11"/>
  <c r="S120" i="11"/>
  <c r="H121" i="11"/>
  <c r="N121" i="11"/>
  <c r="S121" i="11"/>
  <c r="H122" i="11"/>
  <c r="N122" i="11"/>
  <c r="S122" i="11"/>
  <c r="H123" i="11"/>
  <c r="N123" i="11"/>
  <c r="S123" i="11"/>
  <c r="H124" i="11"/>
  <c r="N124" i="11"/>
  <c r="S124" i="11"/>
  <c r="H125" i="11"/>
  <c r="N125" i="11"/>
  <c r="S125" i="11"/>
  <c r="H126" i="11"/>
  <c r="N126" i="11"/>
  <c r="S126" i="11"/>
  <c r="H127" i="11"/>
  <c r="N127" i="11"/>
  <c r="S127" i="11"/>
  <c r="H128" i="11"/>
  <c r="N128" i="11"/>
  <c r="S128" i="11"/>
  <c r="H129" i="11"/>
  <c r="N129" i="11"/>
  <c r="S129" i="11"/>
  <c r="H130" i="11"/>
  <c r="N130" i="11"/>
  <c r="S130" i="11"/>
  <c r="H131" i="11"/>
  <c r="N131" i="11"/>
  <c r="S131" i="11"/>
  <c r="H132" i="11"/>
  <c r="N132" i="11"/>
  <c r="S132" i="11"/>
  <c r="H133" i="11"/>
  <c r="N133" i="11"/>
  <c r="S133" i="11"/>
  <c r="H134" i="11"/>
  <c r="N134" i="11"/>
  <c r="S134" i="11"/>
  <c r="H135" i="11"/>
  <c r="N135" i="11"/>
  <c r="S135" i="11"/>
  <c r="H136" i="11"/>
  <c r="N136" i="11"/>
  <c r="S136" i="11"/>
  <c r="H137" i="11"/>
  <c r="N137" i="11"/>
  <c r="S137" i="11"/>
  <c r="H138" i="11"/>
  <c r="N138" i="11"/>
  <c r="S138" i="11"/>
  <c r="H139" i="11"/>
  <c r="N139" i="11"/>
  <c r="S139" i="11"/>
  <c r="H140" i="11"/>
  <c r="N140" i="11"/>
  <c r="S140" i="11"/>
  <c r="H141" i="11"/>
  <c r="N141" i="11"/>
  <c r="S141" i="11"/>
  <c r="H142" i="11"/>
  <c r="N142" i="11"/>
  <c r="S142" i="11"/>
  <c r="H143" i="11"/>
  <c r="N143" i="11"/>
  <c r="S143" i="11"/>
  <c r="H144" i="11"/>
  <c r="N144" i="11"/>
  <c r="S144" i="11"/>
  <c r="H145" i="11"/>
  <c r="N145" i="11"/>
  <c r="S145" i="11"/>
  <c r="H146" i="11"/>
  <c r="N146" i="11"/>
  <c r="S146" i="11"/>
  <c r="H147" i="11"/>
  <c r="N147" i="11"/>
  <c r="S147" i="11"/>
  <c r="H148" i="11"/>
  <c r="N148" i="11"/>
  <c r="S148" i="11"/>
  <c r="H149" i="11"/>
  <c r="N149" i="11"/>
  <c r="S149" i="11"/>
  <c r="H150" i="11"/>
  <c r="N150" i="11"/>
  <c r="S150" i="11"/>
  <c r="H151" i="11"/>
  <c r="N151" i="11"/>
  <c r="S151" i="11"/>
  <c r="H152" i="11"/>
  <c r="N152" i="11"/>
  <c r="S152" i="11"/>
  <c r="H153" i="11"/>
  <c r="N153" i="11"/>
  <c r="S153" i="11"/>
  <c r="H154" i="11"/>
  <c r="N154" i="11"/>
  <c r="S154" i="11"/>
  <c r="H155" i="11"/>
  <c r="N155" i="11"/>
  <c r="S155" i="11"/>
  <c r="H156" i="11"/>
  <c r="N156" i="11"/>
  <c r="S156" i="11"/>
  <c r="H157" i="11"/>
  <c r="N157" i="11"/>
  <c r="S157" i="11"/>
  <c r="H158" i="11"/>
  <c r="N158" i="11"/>
  <c r="S158" i="11"/>
  <c r="H159" i="11"/>
  <c r="N159" i="11"/>
  <c r="S159" i="11"/>
  <c r="H160" i="11"/>
  <c r="N160" i="11"/>
  <c r="S160" i="11"/>
  <c r="H161" i="11"/>
  <c r="N161" i="11"/>
  <c r="S161" i="11"/>
  <c r="H162" i="11"/>
  <c r="N162" i="11"/>
  <c r="S162" i="11"/>
  <c r="H163" i="11"/>
  <c r="N163" i="11"/>
  <c r="S163" i="11"/>
  <c r="H164" i="11"/>
  <c r="N164" i="11"/>
  <c r="S164" i="11"/>
  <c r="H165" i="11"/>
  <c r="N165" i="11"/>
  <c r="S165" i="11"/>
  <c r="H166" i="11"/>
  <c r="N166" i="11"/>
  <c r="S166" i="11"/>
  <c r="H167" i="11"/>
  <c r="N167" i="11"/>
  <c r="S167" i="11"/>
  <c r="H168" i="11"/>
  <c r="N168" i="11"/>
  <c r="S168" i="11"/>
  <c r="H169" i="11"/>
  <c r="N169" i="11"/>
  <c r="S169" i="11"/>
  <c r="H170" i="11"/>
  <c r="N170" i="11"/>
  <c r="S170" i="11"/>
  <c r="H171" i="11"/>
  <c r="N171" i="11"/>
  <c r="S171" i="11"/>
  <c r="H172" i="11"/>
  <c r="N172" i="11"/>
  <c r="S172" i="11"/>
  <c r="H173" i="11"/>
  <c r="N173" i="11"/>
  <c r="S173" i="11"/>
  <c r="H174" i="11"/>
  <c r="N174" i="11"/>
  <c r="S174" i="11"/>
  <c r="H175" i="11"/>
  <c r="N175" i="11"/>
  <c r="S175" i="11"/>
  <c r="H176" i="11"/>
  <c r="N176" i="11"/>
  <c r="S176" i="11"/>
  <c r="H177" i="11"/>
  <c r="N177" i="11"/>
  <c r="S177" i="11"/>
  <c r="H178" i="11"/>
  <c r="N178" i="11"/>
  <c r="S178" i="11"/>
  <c r="H179" i="11"/>
  <c r="N179" i="11"/>
  <c r="S179" i="11"/>
  <c r="H180" i="11"/>
  <c r="N180" i="11"/>
  <c r="S180" i="11"/>
  <c r="H181" i="11"/>
  <c r="N181" i="11"/>
  <c r="S181" i="11"/>
  <c r="H182" i="11"/>
  <c r="N182" i="11"/>
  <c r="S182" i="11"/>
  <c r="H183" i="11"/>
  <c r="N183" i="11"/>
  <c r="S183" i="11"/>
  <c r="H184" i="11"/>
  <c r="N184" i="11"/>
  <c r="S184" i="11"/>
  <c r="H185" i="11"/>
  <c r="N185" i="11"/>
  <c r="S185" i="11"/>
  <c r="H186" i="11"/>
  <c r="N186" i="11"/>
  <c r="S186" i="11"/>
  <c r="H187" i="11"/>
  <c r="N187" i="11"/>
  <c r="S187" i="11"/>
  <c r="H188" i="11"/>
  <c r="N188" i="11"/>
  <c r="S188" i="11"/>
  <c r="H189" i="11"/>
  <c r="N189" i="11"/>
  <c r="S189" i="11"/>
  <c r="H190" i="11"/>
  <c r="N190" i="11"/>
  <c r="S190" i="11"/>
  <c r="H191" i="11"/>
  <c r="N191" i="11"/>
  <c r="S191" i="11"/>
  <c r="H192" i="11"/>
  <c r="N192" i="11"/>
  <c r="S192" i="11"/>
  <c r="H193" i="11"/>
  <c r="N193" i="11"/>
  <c r="S193" i="11"/>
  <c r="H194" i="11"/>
  <c r="N194" i="11"/>
  <c r="S194" i="11"/>
  <c r="H195" i="11"/>
  <c r="N195" i="11"/>
  <c r="S195" i="11"/>
  <c r="H196" i="11"/>
  <c r="N196" i="11"/>
  <c r="S196" i="11"/>
  <c r="H197" i="11"/>
  <c r="N197" i="11"/>
  <c r="S197" i="11"/>
  <c r="H198" i="11"/>
  <c r="N198" i="11"/>
  <c r="S198" i="11"/>
  <c r="H199" i="11"/>
  <c r="N199" i="11"/>
  <c r="S199" i="11"/>
  <c r="H200" i="11"/>
  <c r="N200" i="11"/>
  <c r="S200" i="11"/>
  <c r="H201" i="11"/>
  <c r="N201" i="11"/>
  <c r="S201" i="11"/>
  <c r="H202" i="11"/>
  <c r="N202" i="11"/>
  <c r="S202" i="11"/>
  <c r="H203" i="11"/>
  <c r="N203" i="11"/>
  <c r="S203" i="11"/>
  <c r="H204" i="11"/>
  <c r="N204" i="11"/>
  <c r="S204" i="11"/>
  <c r="H205" i="11"/>
  <c r="N205" i="11"/>
  <c r="S205" i="11"/>
  <c r="H206" i="11"/>
  <c r="N206" i="11"/>
  <c r="S206" i="11"/>
  <c r="H207" i="11"/>
  <c r="N207" i="11"/>
  <c r="S207" i="11"/>
  <c r="H208" i="11"/>
  <c r="N208" i="11"/>
  <c r="S208" i="11"/>
  <c r="H209" i="11"/>
  <c r="N209" i="11"/>
  <c r="S209" i="11"/>
  <c r="H210" i="11"/>
  <c r="N210" i="11"/>
  <c r="S210" i="11"/>
  <c r="H211" i="11"/>
  <c r="N211" i="11"/>
  <c r="S211" i="11"/>
  <c r="H212" i="11"/>
  <c r="N212" i="11"/>
  <c r="S212" i="11"/>
  <c r="H213" i="11"/>
  <c r="N213" i="11"/>
  <c r="S213" i="11"/>
  <c r="H214" i="11"/>
  <c r="N214" i="11"/>
  <c r="S214" i="11"/>
  <c r="H215" i="11"/>
  <c r="N215" i="11"/>
  <c r="S215" i="11"/>
  <c r="H216" i="11"/>
  <c r="N216" i="11"/>
  <c r="S216" i="11"/>
  <c r="H217" i="11"/>
  <c r="N217" i="11"/>
  <c r="S217" i="11"/>
  <c r="H218" i="11"/>
  <c r="N218" i="11"/>
  <c r="S218" i="11"/>
  <c r="H219" i="11"/>
  <c r="N219" i="11"/>
  <c r="S219" i="11"/>
  <c r="H220" i="11"/>
  <c r="N220" i="11"/>
  <c r="S220" i="11"/>
  <c r="H221" i="11"/>
  <c r="N221" i="11"/>
  <c r="S221" i="11"/>
  <c r="H222" i="11"/>
  <c r="N222" i="11"/>
  <c r="S222" i="11"/>
  <c r="H223" i="11"/>
  <c r="N223" i="11"/>
  <c r="S223" i="11"/>
  <c r="H224" i="11"/>
  <c r="N224" i="11"/>
  <c r="S224" i="11"/>
  <c r="H225" i="11"/>
  <c r="N225" i="11"/>
  <c r="S225" i="11"/>
  <c r="H226" i="11"/>
  <c r="N226" i="11"/>
  <c r="S226" i="11"/>
  <c r="H227" i="11"/>
  <c r="N227" i="11"/>
  <c r="S227" i="11"/>
  <c r="H228" i="11"/>
  <c r="N228" i="11"/>
  <c r="S228" i="11"/>
  <c r="H229" i="11"/>
  <c r="N229" i="11"/>
  <c r="S229" i="11"/>
  <c r="H230" i="11"/>
  <c r="N230" i="11"/>
  <c r="S230" i="11"/>
  <c r="H231" i="11"/>
  <c r="N231" i="11"/>
  <c r="S231" i="11"/>
  <c r="H232" i="11"/>
  <c r="N232" i="11"/>
  <c r="S232" i="11"/>
  <c r="H233" i="11"/>
  <c r="N233" i="11"/>
  <c r="S233" i="11"/>
  <c r="H234" i="11"/>
  <c r="N234" i="11"/>
  <c r="S234" i="11"/>
  <c r="H235" i="11"/>
  <c r="N235" i="11"/>
  <c r="S235" i="11"/>
  <c r="H236" i="11"/>
  <c r="N236" i="11"/>
  <c r="S236" i="11"/>
  <c r="H237" i="11"/>
  <c r="N237" i="11"/>
  <c r="S237" i="11"/>
  <c r="H238" i="11"/>
  <c r="N238" i="11"/>
  <c r="S238" i="11"/>
  <c r="H239" i="11"/>
  <c r="N239" i="11"/>
  <c r="S239" i="11"/>
  <c r="H240" i="11"/>
  <c r="N240" i="11"/>
  <c r="S240" i="11"/>
  <c r="H241" i="11"/>
  <c r="N241" i="11"/>
  <c r="S241" i="11"/>
  <c r="H242" i="11"/>
  <c r="N242" i="11"/>
  <c r="S242" i="11"/>
  <c r="H243" i="11"/>
  <c r="N243" i="11"/>
  <c r="S243" i="11"/>
  <c r="H244" i="11"/>
  <c r="N244" i="11"/>
  <c r="S244" i="11"/>
  <c r="H245" i="11"/>
  <c r="N245" i="11"/>
  <c r="S245" i="11"/>
  <c r="H246" i="11"/>
  <c r="N246" i="11"/>
  <c r="S246" i="11"/>
  <c r="H247" i="11"/>
  <c r="N247" i="11"/>
  <c r="S247" i="11"/>
  <c r="H248" i="11"/>
  <c r="N248" i="11"/>
  <c r="S248" i="11"/>
  <c r="H249" i="11"/>
  <c r="N249" i="11"/>
  <c r="S249" i="11"/>
  <c r="H250" i="11"/>
  <c r="N250" i="11"/>
  <c r="S250" i="11"/>
  <c r="H251" i="11"/>
  <c r="N251" i="11"/>
  <c r="S251" i="11"/>
  <c r="H252" i="11"/>
  <c r="N252" i="11"/>
  <c r="S252" i="11"/>
  <c r="H253" i="11"/>
  <c r="N253" i="11"/>
  <c r="S253" i="11"/>
  <c r="H254" i="11"/>
  <c r="N254" i="11"/>
  <c r="S254" i="11"/>
  <c r="H255" i="11"/>
  <c r="N255" i="11"/>
  <c r="S255" i="11"/>
  <c r="H256" i="11"/>
  <c r="N256" i="11"/>
  <c r="S256" i="11"/>
  <c r="H257" i="11"/>
  <c r="N257" i="11"/>
  <c r="S257" i="11"/>
  <c r="H258" i="11"/>
  <c r="N258" i="11"/>
  <c r="S258" i="11"/>
  <c r="H259" i="11"/>
  <c r="N259" i="11"/>
  <c r="S259" i="11"/>
  <c r="H260" i="11"/>
  <c r="N260" i="11"/>
  <c r="S260" i="11"/>
  <c r="H261" i="11"/>
  <c r="N261" i="11"/>
  <c r="S261" i="11"/>
  <c r="H262" i="11"/>
  <c r="N262" i="11"/>
  <c r="S262" i="11"/>
  <c r="H263" i="11"/>
  <c r="N263" i="11"/>
  <c r="S263" i="11"/>
  <c r="H264" i="11"/>
  <c r="N264" i="11"/>
  <c r="S264" i="11"/>
  <c r="H265" i="11"/>
  <c r="N265" i="11"/>
  <c r="S265" i="11"/>
  <c r="H266" i="11"/>
  <c r="N266" i="11"/>
  <c r="S266" i="11"/>
  <c r="H267" i="11"/>
  <c r="N267" i="11"/>
  <c r="S267" i="11"/>
  <c r="H268" i="11"/>
  <c r="N268" i="11"/>
  <c r="S268" i="11"/>
  <c r="H269" i="11"/>
  <c r="N269" i="11"/>
  <c r="S269" i="11"/>
  <c r="H270" i="11"/>
  <c r="N270" i="11"/>
  <c r="S270" i="11"/>
  <c r="H271" i="11"/>
  <c r="N271" i="11"/>
  <c r="S271" i="11"/>
  <c r="H272" i="11"/>
  <c r="N272" i="11"/>
  <c r="S272" i="11"/>
  <c r="H273" i="11"/>
  <c r="N273" i="11"/>
  <c r="S273" i="11"/>
  <c r="H274" i="11"/>
  <c r="N274" i="11"/>
  <c r="S274" i="11"/>
  <c r="H275" i="11"/>
  <c r="N275" i="11"/>
  <c r="S275" i="11"/>
  <c r="H276" i="11"/>
  <c r="N276" i="11"/>
  <c r="S276" i="11"/>
  <c r="H277" i="11"/>
  <c r="N277" i="11"/>
  <c r="S277" i="11"/>
  <c r="H278" i="11"/>
  <c r="N278" i="11"/>
  <c r="S278" i="11"/>
  <c r="H279" i="11"/>
  <c r="N279" i="11"/>
  <c r="S279" i="11"/>
  <c r="H280" i="11"/>
  <c r="N280" i="11"/>
  <c r="S280" i="11"/>
  <c r="H281" i="11"/>
  <c r="N281" i="11"/>
  <c r="S281" i="11"/>
  <c r="H282" i="11"/>
  <c r="N282" i="11"/>
  <c r="S282" i="11"/>
  <c r="H283" i="11"/>
  <c r="N283" i="11"/>
  <c r="S283" i="11"/>
  <c r="H284" i="11"/>
  <c r="N284" i="11"/>
  <c r="S284" i="11"/>
  <c r="H285" i="11"/>
  <c r="N285" i="11"/>
  <c r="S285" i="11"/>
  <c r="H286" i="11"/>
  <c r="N286" i="11"/>
  <c r="S286" i="11"/>
  <c r="H287" i="11"/>
  <c r="N287" i="11"/>
  <c r="S287" i="11"/>
  <c r="H288" i="11"/>
  <c r="N288" i="11"/>
  <c r="S288" i="11"/>
  <c r="H289" i="11"/>
  <c r="N289" i="11"/>
  <c r="S289" i="11"/>
  <c r="H290" i="11"/>
  <c r="N290" i="11"/>
  <c r="S290" i="11"/>
  <c r="H291" i="11"/>
  <c r="N291" i="11"/>
  <c r="S291" i="11"/>
  <c r="H292" i="11"/>
  <c r="N292" i="11"/>
  <c r="S292" i="11"/>
  <c r="H293" i="11"/>
  <c r="N293" i="11"/>
  <c r="S293" i="11"/>
  <c r="H294" i="11"/>
  <c r="N294" i="11"/>
  <c r="S294" i="11"/>
  <c r="H295" i="11"/>
  <c r="N295" i="11"/>
  <c r="S295" i="11"/>
  <c r="H296" i="11"/>
  <c r="N296" i="11"/>
  <c r="S296" i="11"/>
  <c r="H297" i="11"/>
  <c r="N297" i="11"/>
  <c r="S297" i="11"/>
  <c r="H298" i="11"/>
  <c r="N298" i="11"/>
  <c r="S298" i="11"/>
  <c r="H299" i="11"/>
  <c r="N299" i="11"/>
  <c r="S299" i="11"/>
  <c r="H300" i="11"/>
  <c r="N300" i="11"/>
  <c r="S300" i="11"/>
  <c r="H301" i="11"/>
  <c r="N301" i="11"/>
  <c r="S301" i="11"/>
  <c r="H302" i="11"/>
  <c r="N302" i="11"/>
  <c r="S302" i="11"/>
  <c r="H303" i="11"/>
  <c r="N303" i="11"/>
  <c r="S303" i="11"/>
  <c r="H304" i="11"/>
  <c r="N304" i="11"/>
  <c r="S304" i="11"/>
  <c r="H305" i="11"/>
  <c r="N305" i="11"/>
  <c r="S305" i="11"/>
  <c r="H306" i="11"/>
  <c r="N306" i="11"/>
  <c r="S306" i="11"/>
  <c r="H307" i="11"/>
  <c r="N307" i="11"/>
  <c r="S307" i="11"/>
  <c r="H308" i="11"/>
  <c r="N308" i="11"/>
  <c r="S308" i="11"/>
  <c r="H309" i="11"/>
  <c r="N309" i="11"/>
  <c r="S309" i="11"/>
  <c r="H310" i="11"/>
  <c r="N310" i="11"/>
  <c r="S310" i="11"/>
  <c r="H311" i="11"/>
  <c r="N311" i="11"/>
  <c r="S311" i="11"/>
  <c r="H312" i="11"/>
  <c r="N312" i="11"/>
  <c r="S312" i="11"/>
  <c r="H313" i="11"/>
  <c r="N313" i="11"/>
  <c r="S313" i="11"/>
  <c r="H314" i="11"/>
  <c r="N314" i="11"/>
  <c r="S314" i="11"/>
  <c r="H315" i="11"/>
  <c r="N315" i="11"/>
  <c r="S315" i="11"/>
  <c r="H316" i="11"/>
  <c r="N316" i="11"/>
  <c r="S316" i="11"/>
  <c r="H317" i="11"/>
  <c r="N317" i="11"/>
  <c r="S317" i="11"/>
  <c r="H318" i="11"/>
  <c r="N318" i="11"/>
  <c r="S318" i="11"/>
  <c r="H319" i="11"/>
  <c r="N319" i="11"/>
  <c r="S319" i="11"/>
  <c r="H320" i="11"/>
  <c r="N320" i="11"/>
  <c r="S320" i="11"/>
  <c r="H321" i="11"/>
  <c r="N321" i="11"/>
  <c r="S321" i="11"/>
  <c r="H322" i="11"/>
  <c r="N322" i="11"/>
  <c r="S322" i="11"/>
  <c r="H323" i="11"/>
  <c r="N323" i="11"/>
  <c r="S323" i="11"/>
  <c r="H324" i="11"/>
  <c r="N324" i="11"/>
  <c r="S324" i="11"/>
  <c r="H325" i="11"/>
  <c r="N325" i="11"/>
  <c r="S325" i="11"/>
  <c r="H326" i="11"/>
  <c r="N326" i="11"/>
  <c r="S326" i="11"/>
  <c r="H327" i="11"/>
  <c r="N327" i="11"/>
  <c r="S327" i="11"/>
  <c r="H328" i="11"/>
  <c r="N328" i="11"/>
  <c r="S328" i="11"/>
  <c r="H329" i="11"/>
  <c r="N329" i="11"/>
  <c r="S329" i="11"/>
  <c r="H330" i="11"/>
  <c r="N330" i="11"/>
  <c r="S330" i="11"/>
  <c r="H331" i="11"/>
  <c r="N331" i="11"/>
  <c r="S331" i="11"/>
  <c r="H332" i="11"/>
  <c r="N332" i="11"/>
  <c r="S332" i="11"/>
  <c r="H333" i="11"/>
  <c r="N333" i="11"/>
  <c r="S333" i="11"/>
  <c r="H334" i="11"/>
  <c r="N334" i="11"/>
  <c r="S334" i="11"/>
  <c r="H335" i="11"/>
  <c r="N335" i="11"/>
  <c r="S335" i="11"/>
  <c r="H336" i="11"/>
  <c r="N336" i="11"/>
  <c r="S336" i="11"/>
  <c r="H337" i="11"/>
  <c r="N337" i="11"/>
  <c r="S337" i="11"/>
  <c r="H338" i="11"/>
  <c r="N338" i="11"/>
  <c r="S338" i="11"/>
  <c r="H339" i="11"/>
  <c r="N339" i="11"/>
  <c r="S339" i="11"/>
  <c r="H340" i="11"/>
  <c r="N340" i="11"/>
  <c r="S340" i="11"/>
  <c r="H341" i="11"/>
  <c r="N341" i="11"/>
  <c r="S341" i="11"/>
  <c r="H342" i="11"/>
  <c r="N342" i="11"/>
  <c r="S342" i="11"/>
  <c r="H343" i="11"/>
  <c r="N343" i="11"/>
  <c r="S343" i="11"/>
  <c r="H344" i="11"/>
  <c r="N344" i="11"/>
  <c r="S344" i="11"/>
  <c r="H345" i="11"/>
  <c r="N345" i="11"/>
  <c r="S345" i="11"/>
  <c r="H346" i="11"/>
  <c r="N346" i="11"/>
  <c r="S346" i="11"/>
  <c r="H347" i="11"/>
  <c r="N347" i="11"/>
  <c r="S347" i="11"/>
  <c r="H348" i="11"/>
  <c r="N348" i="11"/>
  <c r="S348" i="11"/>
  <c r="H349" i="11"/>
  <c r="N349" i="11"/>
  <c r="S349" i="11"/>
  <c r="H350" i="11"/>
  <c r="N350" i="11"/>
  <c r="S350" i="11"/>
  <c r="H351" i="11"/>
  <c r="N351" i="11"/>
  <c r="S351" i="11"/>
  <c r="H352" i="11"/>
  <c r="N352" i="11"/>
  <c r="S352" i="11"/>
  <c r="H353" i="11"/>
  <c r="N353" i="11"/>
  <c r="S353" i="11"/>
  <c r="H354" i="11"/>
  <c r="N354" i="11"/>
  <c r="S354" i="11"/>
  <c r="H355" i="11"/>
  <c r="N355" i="11"/>
  <c r="S355" i="11"/>
  <c r="H356" i="11"/>
  <c r="N356" i="11"/>
  <c r="S356" i="11"/>
  <c r="H357" i="11"/>
  <c r="N357" i="11"/>
  <c r="S357" i="11"/>
  <c r="H358" i="11"/>
  <c r="N358" i="11"/>
  <c r="S358" i="11"/>
  <c r="H359" i="11"/>
  <c r="N359" i="11"/>
  <c r="S359" i="11"/>
  <c r="H360" i="11"/>
  <c r="N360" i="11"/>
  <c r="S360" i="11"/>
  <c r="H361" i="11"/>
  <c r="N361" i="11"/>
  <c r="S361" i="11"/>
  <c r="H362" i="11"/>
  <c r="N362" i="11"/>
  <c r="S362" i="11"/>
  <c r="H363" i="11"/>
  <c r="N363" i="11"/>
  <c r="S363" i="11"/>
  <c r="H364" i="11"/>
  <c r="N364" i="11"/>
  <c r="S364" i="11"/>
  <c r="H365" i="11"/>
  <c r="N365" i="11"/>
  <c r="S365" i="11"/>
  <c r="H366" i="11"/>
  <c r="N366" i="11"/>
  <c r="S366" i="11"/>
  <c r="H367" i="11"/>
  <c r="N367" i="11"/>
  <c r="S367" i="11"/>
  <c r="H368" i="11"/>
  <c r="N368" i="11"/>
  <c r="S368" i="11"/>
  <c r="H369" i="11"/>
  <c r="N369" i="11"/>
  <c r="S369" i="11"/>
  <c r="H370" i="11"/>
  <c r="N370" i="11"/>
  <c r="S370" i="11"/>
  <c r="H371" i="11"/>
  <c r="N371" i="11"/>
  <c r="S371" i="11"/>
  <c r="H372" i="11"/>
  <c r="N372" i="11"/>
  <c r="S372" i="11"/>
  <c r="H373" i="11"/>
  <c r="N373" i="11"/>
  <c r="S373" i="11"/>
  <c r="H374" i="11"/>
  <c r="N374" i="11"/>
  <c r="S374" i="11"/>
  <c r="H375" i="11"/>
  <c r="N375" i="11"/>
  <c r="S375" i="11"/>
  <c r="H376" i="11"/>
  <c r="N376" i="11"/>
  <c r="S376" i="11"/>
  <c r="H377" i="11"/>
  <c r="N377" i="11"/>
  <c r="S377" i="11"/>
  <c r="H378" i="11"/>
  <c r="N378" i="11"/>
  <c r="S378" i="11"/>
  <c r="H379" i="11"/>
  <c r="N379" i="11"/>
  <c r="S379" i="11"/>
  <c r="H380" i="11"/>
  <c r="N380" i="11"/>
  <c r="S380" i="11"/>
  <c r="H381" i="11"/>
  <c r="N381" i="11"/>
  <c r="S381" i="11"/>
  <c r="H382" i="11"/>
  <c r="N382" i="11"/>
  <c r="S382" i="11"/>
  <c r="H383" i="11"/>
  <c r="N383" i="11"/>
  <c r="S383" i="11"/>
  <c r="H384" i="11"/>
  <c r="N384" i="11"/>
  <c r="S384" i="11"/>
  <c r="H385" i="11"/>
  <c r="N385" i="11"/>
  <c r="S385" i="11"/>
  <c r="H386" i="11"/>
  <c r="N386" i="11"/>
  <c r="S386" i="11"/>
  <c r="H387" i="11"/>
  <c r="N387" i="11"/>
  <c r="S387" i="11"/>
  <c r="H388" i="11"/>
  <c r="N388" i="11"/>
  <c r="S388" i="11"/>
  <c r="H389" i="11"/>
  <c r="N389" i="11"/>
  <c r="S389" i="11"/>
  <c r="H390" i="11"/>
  <c r="N390" i="11"/>
  <c r="S390" i="11"/>
  <c r="H391" i="11"/>
  <c r="N391" i="11"/>
  <c r="S391" i="11"/>
  <c r="H392" i="11"/>
  <c r="N392" i="11"/>
  <c r="S392" i="11"/>
  <c r="H393" i="11"/>
  <c r="N393" i="11"/>
  <c r="S393" i="11"/>
  <c r="H394" i="11"/>
  <c r="N394" i="11"/>
  <c r="S394" i="11"/>
  <c r="H395" i="11"/>
  <c r="N395" i="11"/>
  <c r="S395" i="11"/>
  <c r="H396" i="11"/>
  <c r="N396" i="11"/>
  <c r="S396" i="11"/>
  <c r="H397" i="11"/>
  <c r="N397" i="11"/>
  <c r="S397" i="11"/>
  <c r="H398" i="11"/>
  <c r="N398" i="11"/>
  <c r="S398" i="11"/>
  <c r="H399" i="11"/>
  <c r="N399" i="11"/>
  <c r="S399" i="11"/>
  <c r="H400" i="11"/>
  <c r="N400" i="11"/>
  <c r="S400" i="11"/>
  <c r="H401" i="11"/>
  <c r="N401" i="11"/>
  <c r="S401" i="11"/>
  <c r="H402" i="11"/>
  <c r="N402" i="11"/>
  <c r="S402" i="11"/>
  <c r="H403" i="11"/>
  <c r="N403" i="11"/>
  <c r="S403" i="11"/>
  <c r="H404" i="11"/>
  <c r="N404" i="11"/>
  <c r="S404" i="11"/>
  <c r="H405" i="11"/>
  <c r="N405" i="11"/>
  <c r="S405" i="11"/>
  <c r="H406" i="11"/>
  <c r="N406" i="11"/>
  <c r="S406" i="11"/>
  <c r="H407" i="11"/>
  <c r="N407" i="11"/>
  <c r="S407" i="11"/>
  <c r="H408" i="11"/>
  <c r="N408" i="11"/>
  <c r="S408" i="11"/>
  <c r="H409" i="11"/>
  <c r="N409" i="11"/>
  <c r="S409" i="11"/>
  <c r="H410" i="11"/>
  <c r="N410" i="11"/>
  <c r="S410" i="11"/>
  <c r="H411" i="11"/>
  <c r="N411" i="11"/>
  <c r="S411" i="11"/>
  <c r="H412" i="11"/>
  <c r="N412" i="11"/>
  <c r="S412" i="11"/>
  <c r="H413" i="11"/>
  <c r="N413" i="11"/>
  <c r="S413" i="11"/>
  <c r="H414" i="11"/>
  <c r="N414" i="11"/>
  <c r="S414" i="11"/>
  <c r="H415" i="11"/>
  <c r="N415" i="11"/>
  <c r="S415" i="11"/>
  <c r="H416" i="11"/>
  <c r="N416" i="11"/>
  <c r="S416" i="11"/>
  <c r="H417" i="11"/>
  <c r="N417" i="11"/>
  <c r="S417" i="11"/>
  <c r="H418" i="11"/>
  <c r="N418" i="11"/>
  <c r="S418" i="11"/>
  <c r="H419" i="11"/>
  <c r="N419" i="11"/>
  <c r="S419" i="11"/>
  <c r="H420" i="11"/>
  <c r="N420" i="11"/>
  <c r="S420" i="11"/>
  <c r="H421" i="11"/>
  <c r="N421" i="11"/>
  <c r="S421" i="11"/>
  <c r="H422" i="11"/>
  <c r="N422" i="11"/>
  <c r="S422" i="11"/>
  <c r="H423" i="11"/>
  <c r="N423" i="11"/>
  <c r="S423" i="11"/>
  <c r="H424" i="11"/>
  <c r="N424" i="11"/>
  <c r="S424" i="11"/>
  <c r="H425" i="11"/>
  <c r="N425" i="11"/>
  <c r="S425" i="11"/>
  <c r="H426" i="11"/>
  <c r="N426" i="11"/>
  <c r="S426" i="11"/>
  <c r="H427" i="11"/>
  <c r="N427" i="11"/>
  <c r="S427" i="11"/>
  <c r="H428" i="11"/>
  <c r="N428" i="11"/>
  <c r="S428" i="11"/>
  <c r="H429" i="11"/>
  <c r="N429" i="11"/>
  <c r="S429" i="11"/>
  <c r="H430" i="11"/>
  <c r="N430" i="11"/>
  <c r="S430" i="11"/>
  <c r="H431" i="11"/>
  <c r="N431" i="11"/>
  <c r="S431" i="11"/>
  <c r="H432" i="11"/>
  <c r="N432" i="11"/>
  <c r="S432" i="11"/>
  <c r="H433" i="11"/>
  <c r="N433" i="11"/>
  <c r="S433" i="11"/>
  <c r="H434" i="11"/>
  <c r="N434" i="11"/>
  <c r="S434" i="11"/>
  <c r="H435" i="11"/>
  <c r="N435" i="11"/>
  <c r="S435" i="11"/>
  <c r="H436" i="11"/>
  <c r="N436" i="11"/>
  <c r="S436" i="11"/>
  <c r="H437" i="11"/>
  <c r="N437" i="11"/>
  <c r="S437" i="11"/>
  <c r="H439" i="14"/>
  <c r="N439" i="14"/>
  <c r="S439" i="14"/>
  <c r="H440" i="14"/>
  <c r="N440" i="14"/>
  <c r="S440" i="14"/>
  <c r="H441" i="14"/>
  <c r="N441" i="14"/>
  <c r="S441" i="14"/>
  <c r="H439" i="15"/>
  <c r="N439" i="15"/>
  <c r="S439" i="15"/>
  <c r="H440" i="15"/>
  <c r="N440" i="15"/>
  <c r="S440" i="15"/>
  <c r="H441" i="15"/>
  <c r="N441" i="15"/>
  <c r="S441" i="15"/>
  <c r="Q23" i="12" l="1"/>
  <c r="Q24" i="12" s="1"/>
  <c r="H438" i="14"/>
  <c r="H438" i="15"/>
  <c r="H437" i="14"/>
  <c r="N438" i="14"/>
  <c r="S438" i="14"/>
  <c r="H437" i="15"/>
  <c r="N438" i="15"/>
  <c r="S438" i="15"/>
  <c r="H436" i="14"/>
  <c r="N437" i="14"/>
  <c r="S437" i="14"/>
  <c r="H436" i="15"/>
  <c r="N437" i="15"/>
  <c r="S437" i="15"/>
  <c r="R24" i="12" l="1"/>
  <c r="H435" i="14"/>
  <c r="N436" i="14"/>
  <c r="S436" i="14"/>
  <c r="H435" i="15"/>
  <c r="N436" i="15"/>
  <c r="S436" i="15"/>
  <c r="H434" i="14"/>
  <c r="N435" i="14"/>
  <c r="S435" i="14"/>
  <c r="H434" i="15"/>
  <c r="N435" i="15"/>
  <c r="S435" i="15"/>
  <c r="Q25" i="12" l="1"/>
  <c r="H432" i="14"/>
  <c r="H433" i="14"/>
  <c r="N434" i="14"/>
  <c r="S434" i="14"/>
  <c r="H433" i="15"/>
  <c r="N434" i="15"/>
  <c r="S434" i="15"/>
  <c r="Q26" i="12" l="1"/>
  <c r="R25" i="12"/>
  <c r="N433" i="14"/>
  <c r="S433" i="14"/>
  <c r="H431" i="14"/>
  <c r="H432" i="15"/>
  <c r="N433" i="15"/>
  <c r="S433" i="15"/>
  <c r="R26" i="12" l="1"/>
  <c r="Q27" i="12"/>
  <c r="N432" i="14"/>
  <c r="S432" i="14"/>
  <c r="H431" i="15"/>
  <c r="N432" i="15"/>
  <c r="S432" i="15"/>
  <c r="Q28" i="12" l="1"/>
  <c r="R27" i="12"/>
  <c r="H430" i="14"/>
  <c r="N431" i="14"/>
  <c r="S431" i="14"/>
  <c r="H430" i="15"/>
  <c r="N431" i="15"/>
  <c r="S431" i="15"/>
  <c r="R28" i="12" l="1"/>
  <c r="Q29" i="12"/>
  <c r="H429" i="14"/>
  <c r="N430" i="14"/>
  <c r="S430" i="14"/>
  <c r="H429" i="15"/>
  <c r="N430" i="15"/>
  <c r="S430" i="15"/>
  <c r="R29" i="12" l="1"/>
  <c r="Q30" i="12"/>
  <c r="H428" i="14"/>
  <c r="N429" i="14"/>
  <c r="S429" i="14"/>
  <c r="H428" i="15"/>
  <c r="N429" i="15"/>
  <c r="S429" i="15"/>
  <c r="Q31" i="12" l="1"/>
  <c r="R30" i="12"/>
  <c r="H427" i="14"/>
  <c r="N428" i="14"/>
  <c r="S428" i="14"/>
  <c r="H427" i="15"/>
  <c r="N428" i="15"/>
  <c r="S428" i="15"/>
  <c r="R31" i="12" l="1"/>
  <c r="Q32" i="12"/>
  <c r="H426" i="14"/>
  <c r="N427" i="14"/>
  <c r="S427" i="14"/>
  <c r="H426" i="15"/>
  <c r="N427" i="15"/>
  <c r="S427" i="15"/>
  <c r="H425" i="14"/>
  <c r="N426" i="14"/>
  <c r="S426" i="14"/>
  <c r="H425" i="15"/>
  <c r="N426" i="15"/>
  <c r="S426" i="15"/>
  <c r="R32" i="12" l="1"/>
  <c r="Q33" i="12"/>
  <c r="H424" i="14"/>
  <c r="N425" i="14"/>
  <c r="S425" i="14"/>
  <c r="H424" i="15"/>
  <c r="N425" i="15"/>
  <c r="S425" i="15"/>
  <c r="S424" i="15"/>
  <c r="N424" i="15"/>
  <c r="S423" i="15"/>
  <c r="N423" i="15"/>
  <c r="H423" i="15"/>
  <c r="S422" i="15"/>
  <c r="N422" i="15"/>
  <c r="H422" i="15"/>
  <c r="S421" i="15"/>
  <c r="N421" i="15"/>
  <c r="H421" i="15"/>
  <c r="S420" i="15"/>
  <c r="N420" i="15"/>
  <c r="H420" i="15"/>
  <c r="S419" i="15"/>
  <c r="N419" i="15"/>
  <c r="H419" i="15"/>
  <c r="S418" i="15"/>
  <c r="N418" i="15"/>
  <c r="H418" i="15"/>
  <c r="S417" i="15"/>
  <c r="N417" i="15"/>
  <c r="H417" i="15"/>
  <c r="S416" i="15"/>
  <c r="N416" i="15"/>
  <c r="H416" i="15"/>
  <c r="S415" i="15"/>
  <c r="N415" i="15"/>
  <c r="H415" i="15"/>
  <c r="S414" i="15"/>
  <c r="N414" i="15"/>
  <c r="H414" i="15"/>
  <c r="S413" i="15"/>
  <c r="N413" i="15"/>
  <c r="H413" i="15"/>
  <c r="S412" i="15"/>
  <c r="N412" i="15"/>
  <c r="H412" i="15"/>
  <c r="S411" i="15"/>
  <c r="N411" i="15"/>
  <c r="H411" i="15"/>
  <c r="S410" i="15"/>
  <c r="N410" i="15"/>
  <c r="H410" i="15"/>
  <c r="S409" i="15"/>
  <c r="N409" i="15"/>
  <c r="H409" i="15"/>
  <c r="S408" i="15"/>
  <c r="N408" i="15"/>
  <c r="H408" i="15"/>
  <c r="S407" i="15"/>
  <c r="N407" i="15"/>
  <c r="H407" i="15"/>
  <c r="S406" i="15"/>
  <c r="N406" i="15"/>
  <c r="H406" i="15"/>
  <c r="S405" i="15"/>
  <c r="N405" i="15"/>
  <c r="H405" i="15"/>
  <c r="S404" i="15"/>
  <c r="N404" i="15"/>
  <c r="H404" i="15"/>
  <c r="S403" i="15"/>
  <c r="N403" i="15"/>
  <c r="H403" i="15"/>
  <c r="S402" i="15"/>
  <c r="N402" i="15"/>
  <c r="H402" i="15"/>
  <c r="S401" i="15"/>
  <c r="N401" i="15"/>
  <c r="H401" i="15"/>
  <c r="S400" i="15"/>
  <c r="N400" i="15"/>
  <c r="H400" i="15"/>
  <c r="S399" i="15"/>
  <c r="N399" i="15"/>
  <c r="H399" i="15"/>
  <c r="S398" i="15"/>
  <c r="N398" i="15"/>
  <c r="H398" i="15"/>
  <c r="S397" i="15"/>
  <c r="N397" i="15"/>
  <c r="H397" i="15"/>
  <c r="S396" i="15"/>
  <c r="N396" i="15"/>
  <c r="H396" i="15"/>
  <c r="S395" i="15"/>
  <c r="N395" i="15"/>
  <c r="H395" i="15"/>
  <c r="S394" i="15"/>
  <c r="N394" i="15"/>
  <c r="H394" i="15"/>
  <c r="S393" i="15"/>
  <c r="N393" i="15"/>
  <c r="H393" i="15"/>
  <c r="S392" i="15"/>
  <c r="N392" i="15"/>
  <c r="H392" i="15"/>
  <c r="S391" i="15"/>
  <c r="N391" i="15"/>
  <c r="H391" i="15"/>
  <c r="S390" i="15"/>
  <c r="N390" i="15"/>
  <c r="H390" i="15"/>
  <c r="S389" i="15"/>
  <c r="N389" i="15"/>
  <c r="H389" i="15"/>
  <c r="S388" i="15"/>
  <c r="N388" i="15"/>
  <c r="H388" i="15"/>
  <c r="S387" i="15"/>
  <c r="N387" i="15"/>
  <c r="H387" i="15"/>
  <c r="S386" i="15"/>
  <c r="N386" i="15"/>
  <c r="H386" i="15"/>
  <c r="S385" i="15"/>
  <c r="N385" i="15"/>
  <c r="H385" i="15"/>
  <c r="S384" i="15"/>
  <c r="N384" i="15"/>
  <c r="H384" i="15"/>
  <c r="S383" i="15"/>
  <c r="N383" i="15"/>
  <c r="H383" i="15"/>
  <c r="S382" i="15"/>
  <c r="N382" i="15"/>
  <c r="H382" i="15"/>
  <c r="S381" i="15"/>
  <c r="N381" i="15"/>
  <c r="H381" i="15"/>
  <c r="S380" i="15"/>
  <c r="N380" i="15"/>
  <c r="H380" i="15"/>
  <c r="S379" i="15"/>
  <c r="N379" i="15"/>
  <c r="H379" i="15"/>
  <c r="S378" i="15"/>
  <c r="N378" i="15"/>
  <c r="H378" i="15"/>
  <c r="S377" i="15"/>
  <c r="N377" i="15"/>
  <c r="H377" i="15"/>
  <c r="S376" i="15"/>
  <c r="N376" i="15"/>
  <c r="H376" i="15"/>
  <c r="S375" i="15"/>
  <c r="N375" i="15"/>
  <c r="H375" i="15"/>
  <c r="S374" i="15"/>
  <c r="N374" i="15"/>
  <c r="H374" i="15"/>
  <c r="S373" i="15"/>
  <c r="N373" i="15"/>
  <c r="H373" i="15"/>
  <c r="S372" i="15"/>
  <c r="N372" i="15"/>
  <c r="H372" i="15"/>
  <c r="S371" i="15"/>
  <c r="N371" i="15"/>
  <c r="H371" i="15"/>
  <c r="S370" i="15"/>
  <c r="N370" i="15"/>
  <c r="H370" i="15"/>
  <c r="S369" i="15"/>
  <c r="N369" i="15"/>
  <c r="H369" i="15"/>
  <c r="S368" i="15"/>
  <c r="N368" i="15"/>
  <c r="H368" i="15"/>
  <c r="S367" i="15"/>
  <c r="N367" i="15"/>
  <c r="H367" i="15"/>
  <c r="S366" i="15"/>
  <c r="N366" i="15"/>
  <c r="H366" i="15"/>
  <c r="S365" i="15"/>
  <c r="N365" i="15"/>
  <c r="H365" i="15"/>
  <c r="S364" i="15"/>
  <c r="N364" i="15"/>
  <c r="H364" i="15"/>
  <c r="S363" i="15"/>
  <c r="N363" i="15"/>
  <c r="H363" i="15"/>
  <c r="S362" i="15"/>
  <c r="N362" i="15"/>
  <c r="H362" i="15"/>
  <c r="S361" i="15"/>
  <c r="N361" i="15"/>
  <c r="H361" i="15"/>
  <c r="S360" i="15"/>
  <c r="N360" i="15"/>
  <c r="H360" i="15"/>
  <c r="S359" i="15"/>
  <c r="N359" i="15"/>
  <c r="H359" i="15"/>
  <c r="S358" i="15"/>
  <c r="N358" i="15"/>
  <c r="H358" i="15"/>
  <c r="S357" i="15"/>
  <c r="N357" i="15"/>
  <c r="H357" i="15"/>
  <c r="S356" i="15"/>
  <c r="N356" i="15"/>
  <c r="H356" i="15"/>
  <c r="S355" i="15"/>
  <c r="N355" i="15"/>
  <c r="H355" i="15"/>
  <c r="S354" i="15"/>
  <c r="N354" i="15"/>
  <c r="H354" i="15"/>
  <c r="S353" i="15"/>
  <c r="N353" i="15"/>
  <c r="H353" i="15"/>
  <c r="S352" i="15"/>
  <c r="N352" i="15"/>
  <c r="H352" i="15"/>
  <c r="S351" i="15"/>
  <c r="N351" i="15"/>
  <c r="H351" i="15"/>
  <c r="S350" i="15"/>
  <c r="N350" i="15"/>
  <c r="H350" i="15"/>
  <c r="S349" i="15"/>
  <c r="N349" i="15"/>
  <c r="H349" i="15"/>
  <c r="S348" i="15"/>
  <c r="N348" i="15"/>
  <c r="H348" i="15"/>
  <c r="S347" i="15"/>
  <c r="N347" i="15"/>
  <c r="H347" i="15"/>
  <c r="S346" i="15"/>
  <c r="N346" i="15"/>
  <c r="H346" i="15"/>
  <c r="S345" i="15"/>
  <c r="N345" i="15"/>
  <c r="H345" i="15"/>
  <c r="S344" i="15"/>
  <c r="N344" i="15"/>
  <c r="H344" i="15"/>
  <c r="S343" i="15"/>
  <c r="N343" i="15"/>
  <c r="H343" i="15"/>
  <c r="S342" i="15"/>
  <c r="N342" i="15"/>
  <c r="H342" i="15"/>
  <c r="S341" i="15"/>
  <c r="N341" i="15"/>
  <c r="H341" i="15"/>
  <c r="S340" i="15"/>
  <c r="N340" i="15"/>
  <c r="H340" i="15"/>
  <c r="S339" i="15"/>
  <c r="N339" i="15"/>
  <c r="H339" i="15"/>
  <c r="S338" i="15"/>
  <c r="N338" i="15"/>
  <c r="H338" i="15"/>
  <c r="S337" i="15"/>
  <c r="N337" i="15"/>
  <c r="H337" i="15"/>
  <c r="S336" i="15"/>
  <c r="N336" i="15"/>
  <c r="H336" i="15"/>
  <c r="S335" i="15"/>
  <c r="N335" i="15"/>
  <c r="H335" i="15"/>
  <c r="S334" i="15"/>
  <c r="N334" i="15"/>
  <c r="H334" i="15"/>
  <c r="S333" i="15"/>
  <c r="N333" i="15"/>
  <c r="H333" i="15"/>
  <c r="S332" i="15"/>
  <c r="N332" i="15"/>
  <c r="H332" i="15"/>
  <c r="S331" i="15"/>
  <c r="N331" i="15"/>
  <c r="H331" i="15"/>
  <c r="S330" i="15"/>
  <c r="N330" i="15"/>
  <c r="H330" i="15"/>
  <c r="S329" i="15"/>
  <c r="N329" i="15"/>
  <c r="H329" i="15"/>
  <c r="S328" i="15"/>
  <c r="N328" i="15"/>
  <c r="H328" i="15"/>
  <c r="S327" i="15"/>
  <c r="N327" i="15"/>
  <c r="H327" i="15"/>
  <c r="S326" i="15"/>
  <c r="N326" i="15"/>
  <c r="H326" i="15"/>
  <c r="S325" i="15"/>
  <c r="N325" i="15"/>
  <c r="H325" i="15"/>
  <c r="S324" i="15"/>
  <c r="N324" i="15"/>
  <c r="H324" i="15"/>
  <c r="S323" i="15"/>
  <c r="N323" i="15"/>
  <c r="H323" i="15"/>
  <c r="S322" i="15"/>
  <c r="N322" i="15"/>
  <c r="H322" i="15"/>
  <c r="S321" i="15"/>
  <c r="N321" i="15"/>
  <c r="H321" i="15"/>
  <c r="S320" i="15"/>
  <c r="N320" i="15"/>
  <c r="H320" i="15"/>
  <c r="S319" i="15"/>
  <c r="N319" i="15"/>
  <c r="H319" i="15"/>
  <c r="S318" i="15"/>
  <c r="N318" i="15"/>
  <c r="H318" i="15"/>
  <c r="S317" i="15"/>
  <c r="N317" i="15"/>
  <c r="H317" i="15"/>
  <c r="S316" i="15"/>
  <c r="N316" i="15"/>
  <c r="H316" i="15"/>
  <c r="S315" i="15"/>
  <c r="N315" i="15"/>
  <c r="H315" i="15"/>
  <c r="S314" i="15"/>
  <c r="N314" i="15"/>
  <c r="H314" i="15"/>
  <c r="S313" i="15"/>
  <c r="N313" i="15"/>
  <c r="H313" i="15"/>
  <c r="S312" i="15"/>
  <c r="N312" i="15"/>
  <c r="H312" i="15"/>
  <c r="A312" i="15"/>
  <c r="A313" i="15" s="1"/>
  <c r="S311" i="15"/>
  <c r="N311" i="15"/>
  <c r="H311" i="15"/>
  <c r="S310" i="15"/>
  <c r="N310" i="15"/>
  <c r="H310" i="15"/>
  <c r="S309" i="15"/>
  <c r="N309" i="15"/>
  <c r="H309" i="15"/>
  <c r="S308" i="15"/>
  <c r="N308" i="15"/>
  <c r="H308" i="15"/>
  <c r="S307" i="15"/>
  <c r="N307" i="15"/>
  <c r="H307" i="15"/>
  <c r="A307" i="15"/>
  <c r="A308" i="15" s="1"/>
  <c r="A309" i="15" s="1"/>
  <c r="A310" i="15" s="1"/>
  <c r="A311" i="15" s="1"/>
  <c r="S306" i="15"/>
  <c r="N306" i="15"/>
  <c r="H306" i="15"/>
  <c r="S305" i="15"/>
  <c r="N305" i="15"/>
  <c r="H305" i="15"/>
  <c r="S304" i="15"/>
  <c r="N304" i="15"/>
  <c r="H304" i="15"/>
  <c r="S303" i="15"/>
  <c r="N303" i="15"/>
  <c r="H303" i="15"/>
  <c r="S302" i="15"/>
  <c r="N302" i="15"/>
  <c r="H302" i="15"/>
  <c r="S301" i="15"/>
  <c r="N301" i="15"/>
  <c r="H301" i="15"/>
  <c r="S300" i="15"/>
  <c r="N300" i="15"/>
  <c r="H300" i="15"/>
  <c r="S299" i="15"/>
  <c r="N299" i="15"/>
  <c r="H299" i="15"/>
  <c r="S298" i="15"/>
  <c r="N298" i="15"/>
  <c r="H298" i="15"/>
  <c r="S297" i="15"/>
  <c r="N297" i="15"/>
  <c r="H297" i="15"/>
  <c r="S296" i="15"/>
  <c r="N296" i="15"/>
  <c r="H296" i="15"/>
  <c r="S295" i="15"/>
  <c r="N295" i="15"/>
  <c r="H295" i="15"/>
  <c r="S294" i="15"/>
  <c r="N294" i="15"/>
  <c r="H294" i="15"/>
  <c r="S293" i="15"/>
  <c r="N293" i="15"/>
  <c r="H293" i="15"/>
  <c r="S292" i="15"/>
  <c r="N292" i="15"/>
  <c r="H292" i="15"/>
  <c r="S291" i="15"/>
  <c r="N291" i="15"/>
  <c r="H291" i="15"/>
  <c r="S290" i="15"/>
  <c r="N290" i="15"/>
  <c r="H290" i="15"/>
  <c r="S289" i="15"/>
  <c r="N289" i="15"/>
  <c r="H289" i="15"/>
  <c r="S288" i="15"/>
  <c r="N288" i="15"/>
  <c r="H288" i="15"/>
  <c r="S287" i="15"/>
  <c r="N287" i="15"/>
  <c r="H287" i="15"/>
  <c r="S286" i="15"/>
  <c r="N286" i="15"/>
  <c r="H286" i="15"/>
  <c r="S285" i="15"/>
  <c r="N285" i="15"/>
  <c r="H285" i="15"/>
  <c r="S284" i="15"/>
  <c r="N284" i="15"/>
  <c r="H284" i="15"/>
  <c r="S283" i="15"/>
  <c r="N283" i="15"/>
  <c r="H283" i="15"/>
  <c r="S282" i="15"/>
  <c r="N282" i="15"/>
  <c r="H282" i="15"/>
  <c r="S281" i="15"/>
  <c r="N281" i="15"/>
  <c r="H281" i="15"/>
  <c r="S280" i="15"/>
  <c r="N280" i="15"/>
  <c r="H280" i="15"/>
  <c r="S279" i="15"/>
  <c r="N279" i="15"/>
  <c r="H279" i="15"/>
  <c r="S278" i="15"/>
  <c r="N278" i="15"/>
  <c r="H278" i="15"/>
  <c r="S277" i="15"/>
  <c r="N277" i="15"/>
  <c r="H277" i="15"/>
  <c r="S276" i="15"/>
  <c r="N276" i="15"/>
  <c r="H276" i="15"/>
  <c r="S275" i="15"/>
  <c r="N275" i="15"/>
  <c r="H275" i="15"/>
  <c r="S274" i="15"/>
  <c r="N274" i="15"/>
  <c r="H274" i="15"/>
  <c r="S273" i="15"/>
  <c r="N273" i="15"/>
  <c r="H273" i="15"/>
  <c r="S272" i="15"/>
  <c r="N272" i="15"/>
  <c r="H272" i="15"/>
  <c r="S271" i="15"/>
  <c r="N271" i="15"/>
  <c r="H271" i="15"/>
  <c r="S270" i="15"/>
  <c r="N270" i="15"/>
  <c r="H270" i="15"/>
  <c r="S269" i="15"/>
  <c r="N269" i="15"/>
  <c r="H269" i="15"/>
  <c r="S268" i="15"/>
  <c r="N268" i="15"/>
  <c r="H268" i="15"/>
  <c r="S267" i="15"/>
  <c r="N267" i="15"/>
  <c r="H267" i="15"/>
  <c r="S266" i="15"/>
  <c r="N266" i="15"/>
  <c r="H266" i="15"/>
  <c r="S265" i="15"/>
  <c r="N265" i="15"/>
  <c r="H265" i="15"/>
  <c r="S264" i="15"/>
  <c r="N264" i="15"/>
  <c r="H264" i="15"/>
  <c r="S263" i="15"/>
  <c r="N263" i="15"/>
  <c r="H263" i="15"/>
  <c r="S262" i="15"/>
  <c r="N262" i="15"/>
  <c r="H262" i="15"/>
  <c r="S261" i="15"/>
  <c r="N261" i="15"/>
  <c r="H261" i="15"/>
  <c r="S260" i="15"/>
  <c r="N260" i="15"/>
  <c r="H260" i="15"/>
  <c r="S259" i="15"/>
  <c r="N259" i="15"/>
  <c r="H259" i="15"/>
  <c r="S258" i="15"/>
  <c r="N258" i="15"/>
  <c r="H258" i="15"/>
  <c r="S257" i="15"/>
  <c r="N257" i="15"/>
  <c r="H257" i="15"/>
  <c r="S256" i="15"/>
  <c r="N256" i="15"/>
  <c r="H256" i="15"/>
  <c r="S255" i="15"/>
  <c r="N255" i="15"/>
  <c r="H255" i="15"/>
  <c r="S254" i="15"/>
  <c r="N254" i="15"/>
  <c r="H254" i="15"/>
  <c r="S253" i="15"/>
  <c r="N253" i="15"/>
  <c r="H253" i="15"/>
  <c r="S252" i="15"/>
  <c r="N252" i="15"/>
  <c r="H252" i="15"/>
  <c r="S251" i="15"/>
  <c r="N251" i="15"/>
  <c r="H251" i="15"/>
  <c r="S250" i="15"/>
  <c r="N250" i="15"/>
  <c r="H250" i="15"/>
  <c r="S249" i="15"/>
  <c r="N249" i="15"/>
  <c r="H249" i="15"/>
  <c r="S248" i="15"/>
  <c r="N248" i="15"/>
  <c r="H248" i="15"/>
  <c r="S247" i="15"/>
  <c r="N247" i="15"/>
  <c r="H247" i="15"/>
  <c r="S246" i="15"/>
  <c r="N246" i="15"/>
  <c r="H246" i="15"/>
  <c r="S245" i="15"/>
  <c r="N245" i="15"/>
  <c r="H245" i="15"/>
  <c r="S244" i="15"/>
  <c r="N244" i="15"/>
  <c r="H244" i="15"/>
  <c r="S243" i="15"/>
  <c r="N243" i="15"/>
  <c r="H243" i="15"/>
  <c r="S242" i="15"/>
  <c r="N242" i="15"/>
  <c r="H242" i="15"/>
  <c r="S241" i="15"/>
  <c r="N241" i="15"/>
  <c r="H241" i="15"/>
  <c r="S240" i="15"/>
  <c r="N240" i="15"/>
  <c r="H240" i="15"/>
  <c r="S239" i="15"/>
  <c r="N239" i="15"/>
  <c r="H239" i="15"/>
  <c r="S238" i="15"/>
  <c r="N238" i="15"/>
  <c r="H238" i="15"/>
  <c r="S237" i="15"/>
  <c r="N237" i="15"/>
  <c r="H237" i="15"/>
  <c r="S236" i="15"/>
  <c r="N236" i="15"/>
  <c r="H236" i="15"/>
  <c r="S235" i="15"/>
  <c r="N235" i="15"/>
  <c r="H235" i="15"/>
  <c r="S234" i="15"/>
  <c r="N234" i="15"/>
  <c r="H234" i="15"/>
  <c r="S233" i="15"/>
  <c r="N233" i="15"/>
  <c r="H233" i="15"/>
  <c r="S232" i="15"/>
  <c r="N232" i="15"/>
  <c r="H232" i="15"/>
  <c r="S231" i="15"/>
  <c r="N231" i="15"/>
  <c r="H231" i="15"/>
  <c r="S230" i="15"/>
  <c r="N230" i="15"/>
  <c r="H230" i="15"/>
  <c r="S229" i="15"/>
  <c r="N229" i="15"/>
  <c r="H229" i="15"/>
  <c r="S228" i="15"/>
  <c r="N228" i="15"/>
  <c r="H228" i="15"/>
  <c r="S227" i="15"/>
  <c r="N227" i="15"/>
  <c r="H227" i="15"/>
  <c r="S226" i="15"/>
  <c r="N226" i="15"/>
  <c r="H226" i="15"/>
  <c r="S225" i="15"/>
  <c r="N225" i="15"/>
  <c r="H225" i="15"/>
  <c r="S224" i="15"/>
  <c r="N224" i="15"/>
  <c r="H224" i="15"/>
  <c r="S223" i="15"/>
  <c r="N223" i="15"/>
  <c r="H223" i="15"/>
  <c r="S222" i="15"/>
  <c r="N222" i="15"/>
  <c r="H222" i="15"/>
  <c r="S221" i="15"/>
  <c r="N221" i="15"/>
  <c r="H221" i="15"/>
  <c r="S220" i="15"/>
  <c r="N220" i="15"/>
  <c r="H220" i="15"/>
  <c r="S219" i="15"/>
  <c r="N219" i="15"/>
  <c r="H219" i="15"/>
  <c r="S218" i="15"/>
  <c r="N218" i="15"/>
  <c r="H218" i="15"/>
  <c r="S217" i="15"/>
  <c r="N217" i="15"/>
  <c r="H217" i="15"/>
  <c r="S216" i="15"/>
  <c r="N216" i="15"/>
  <c r="H216" i="15"/>
  <c r="S215" i="15"/>
  <c r="N215" i="15"/>
  <c r="H215" i="15"/>
  <c r="S214" i="15"/>
  <c r="N214" i="15"/>
  <c r="H214" i="15"/>
  <c r="S213" i="15"/>
  <c r="N213" i="15"/>
  <c r="H213" i="15"/>
  <c r="S212" i="15"/>
  <c r="N212" i="15"/>
  <c r="H212" i="15"/>
  <c r="S211" i="15"/>
  <c r="N211" i="15"/>
  <c r="H211" i="15"/>
  <c r="S210" i="15"/>
  <c r="N210" i="15"/>
  <c r="H210" i="15"/>
  <c r="S209" i="15"/>
  <c r="N209" i="15"/>
  <c r="H209" i="15"/>
  <c r="S208" i="15"/>
  <c r="N208" i="15"/>
  <c r="H208" i="15"/>
  <c r="S207" i="15"/>
  <c r="N207" i="15"/>
  <c r="H207" i="15"/>
  <c r="S206" i="15"/>
  <c r="N206" i="15"/>
  <c r="H206" i="15"/>
  <c r="S205" i="15"/>
  <c r="N205" i="15"/>
  <c r="H205" i="15"/>
  <c r="S204" i="15"/>
  <c r="N204" i="15"/>
  <c r="H204" i="15"/>
  <c r="S203" i="15"/>
  <c r="N203" i="15"/>
  <c r="H203" i="15"/>
  <c r="S202" i="15"/>
  <c r="N202" i="15"/>
  <c r="H202" i="15"/>
  <c r="S201" i="15"/>
  <c r="N201" i="15"/>
  <c r="H201" i="15"/>
  <c r="S200" i="15"/>
  <c r="N200" i="15"/>
  <c r="H200" i="15"/>
  <c r="S199" i="15"/>
  <c r="N199" i="15"/>
  <c r="H199" i="15"/>
  <c r="S198" i="15"/>
  <c r="N198" i="15"/>
  <c r="H198" i="15"/>
  <c r="S197" i="15"/>
  <c r="N197" i="15"/>
  <c r="H197" i="15"/>
  <c r="S196" i="15"/>
  <c r="N196" i="15"/>
  <c r="H196" i="15"/>
  <c r="S195" i="15"/>
  <c r="N195" i="15"/>
  <c r="H195" i="15"/>
  <c r="S194" i="15"/>
  <c r="N194" i="15"/>
  <c r="H194" i="15"/>
  <c r="S193" i="15"/>
  <c r="N193" i="15"/>
  <c r="H193" i="15"/>
  <c r="S192" i="15"/>
  <c r="N192" i="15"/>
  <c r="H192" i="15"/>
  <c r="S191" i="15"/>
  <c r="N191" i="15"/>
  <c r="H191" i="15"/>
  <c r="S190" i="15"/>
  <c r="N190" i="15"/>
  <c r="H190" i="15"/>
  <c r="S189" i="15"/>
  <c r="N189" i="15"/>
  <c r="H189" i="15"/>
  <c r="S188" i="15"/>
  <c r="N188" i="15"/>
  <c r="H188" i="15"/>
  <c r="S187" i="15"/>
  <c r="N187" i="15"/>
  <c r="H187" i="15"/>
  <c r="S186" i="15"/>
  <c r="N186" i="15"/>
  <c r="H186" i="15"/>
  <c r="S185" i="15"/>
  <c r="N185" i="15"/>
  <c r="H185" i="15"/>
  <c r="S184" i="15"/>
  <c r="N184" i="15"/>
  <c r="H184" i="15"/>
  <c r="S183" i="15"/>
  <c r="N183" i="15"/>
  <c r="H183" i="15"/>
  <c r="S182" i="15"/>
  <c r="N182" i="15"/>
  <c r="H182" i="15"/>
  <c r="S181" i="15"/>
  <c r="N181" i="15"/>
  <c r="H181" i="15"/>
  <c r="S180" i="15"/>
  <c r="N180" i="15"/>
  <c r="H180" i="15"/>
  <c r="S179" i="15"/>
  <c r="N179" i="15"/>
  <c r="H179" i="15"/>
  <c r="S178" i="15"/>
  <c r="N178" i="15"/>
  <c r="H178" i="15"/>
  <c r="S177" i="15"/>
  <c r="N177" i="15"/>
  <c r="H177" i="15"/>
  <c r="S176" i="15"/>
  <c r="N176" i="15"/>
  <c r="H176" i="15"/>
  <c r="S175" i="15"/>
  <c r="N175" i="15"/>
  <c r="H175" i="15"/>
  <c r="S174" i="15"/>
  <c r="N174" i="15"/>
  <c r="H174" i="15"/>
  <c r="S173" i="15"/>
  <c r="N173" i="15"/>
  <c r="H173" i="15"/>
  <c r="S172" i="15"/>
  <c r="N172" i="15"/>
  <c r="H172" i="15"/>
  <c r="S171" i="15"/>
  <c r="N171" i="15"/>
  <c r="H171" i="15"/>
  <c r="S170" i="15"/>
  <c r="N170" i="15"/>
  <c r="H170" i="15"/>
  <c r="S169" i="15"/>
  <c r="N169" i="15"/>
  <c r="H169" i="15"/>
  <c r="S168" i="15"/>
  <c r="N168" i="15"/>
  <c r="H168" i="15"/>
  <c r="S167" i="15"/>
  <c r="N167" i="15"/>
  <c r="H167" i="15"/>
  <c r="S166" i="15"/>
  <c r="N166" i="15"/>
  <c r="H166" i="15"/>
  <c r="S165" i="15"/>
  <c r="N165" i="15"/>
  <c r="H165" i="15"/>
  <c r="S164" i="15"/>
  <c r="N164" i="15"/>
  <c r="H164" i="15"/>
  <c r="S163" i="15"/>
  <c r="N163" i="15"/>
  <c r="H163" i="15"/>
  <c r="S162" i="15"/>
  <c r="N162" i="15"/>
  <c r="H162" i="15"/>
  <c r="S161" i="15"/>
  <c r="N161" i="15"/>
  <c r="H161" i="15"/>
  <c r="S160" i="15"/>
  <c r="N160" i="15"/>
  <c r="H160" i="15"/>
  <c r="S159" i="15"/>
  <c r="N159" i="15"/>
  <c r="H159" i="15"/>
  <c r="S158" i="15"/>
  <c r="N158" i="15"/>
  <c r="H158" i="15"/>
  <c r="S157" i="15"/>
  <c r="N157" i="15"/>
  <c r="H157" i="15"/>
  <c r="S156" i="15"/>
  <c r="N156" i="15"/>
  <c r="H156" i="15"/>
  <c r="S155" i="15"/>
  <c r="N155" i="15"/>
  <c r="H155" i="15"/>
  <c r="S154" i="15"/>
  <c r="N154" i="15"/>
  <c r="H154" i="15"/>
  <c r="S153" i="15"/>
  <c r="N153" i="15"/>
  <c r="H153" i="15"/>
  <c r="S152" i="15"/>
  <c r="N152" i="15"/>
  <c r="H152" i="15"/>
  <c r="S151" i="15"/>
  <c r="N151" i="15"/>
  <c r="H151" i="15"/>
  <c r="S150" i="15"/>
  <c r="N150" i="15"/>
  <c r="H150" i="15"/>
  <c r="S149" i="15"/>
  <c r="N149" i="15"/>
  <c r="H149" i="15"/>
  <c r="S148" i="15"/>
  <c r="N148" i="15"/>
  <c r="H148" i="15"/>
  <c r="S147" i="15"/>
  <c r="N147" i="15"/>
  <c r="H147" i="15"/>
  <c r="S146" i="15"/>
  <c r="N146" i="15"/>
  <c r="H146" i="15"/>
  <c r="S145" i="15"/>
  <c r="N145" i="15"/>
  <c r="H145" i="15"/>
  <c r="S144" i="15"/>
  <c r="N144" i="15"/>
  <c r="H144" i="15"/>
  <c r="S143" i="15"/>
  <c r="N143" i="15"/>
  <c r="H143" i="15"/>
  <c r="S142" i="15"/>
  <c r="N142" i="15"/>
  <c r="H142" i="15"/>
  <c r="S141" i="15"/>
  <c r="N141" i="15"/>
  <c r="H141" i="15"/>
  <c r="S140" i="15"/>
  <c r="N140" i="15"/>
  <c r="H140" i="15"/>
  <c r="S139" i="15"/>
  <c r="N139" i="15"/>
  <c r="H139" i="15"/>
  <c r="S138" i="15"/>
  <c r="N138" i="15"/>
  <c r="H138" i="15"/>
  <c r="S137" i="15"/>
  <c r="N137" i="15"/>
  <c r="H137" i="15"/>
  <c r="S136" i="15"/>
  <c r="N136" i="15"/>
  <c r="H136" i="15"/>
  <c r="S135" i="15"/>
  <c r="N135" i="15"/>
  <c r="H135" i="15"/>
  <c r="S134" i="15"/>
  <c r="N134" i="15"/>
  <c r="H134" i="15"/>
  <c r="S133" i="15"/>
  <c r="N133" i="15"/>
  <c r="H133" i="15"/>
  <c r="S132" i="15"/>
  <c r="N132" i="15"/>
  <c r="H132" i="15"/>
  <c r="S131" i="15"/>
  <c r="N131" i="15"/>
  <c r="H131" i="15"/>
  <c r="S130" i="15"/>
  <c r="N130" i="15"/>
  <c r="H130" i="15"/>
  <c r="S129" i="15"/>
  <c r="N129" i="15"/>
  <c r="H129" i="15"/>
  <c r="S128" i="15"/>
  <c r="N128" i="15"/>
  <c r="H128" i="15"/>
  <c r="S127" i="15"/>
  <c r="N127" i="15"/>
  <c r="H127" i="15"/>
  <c r="S126" i="15"/>
  <c r="N126" i="15"/>
  <c r="H126" i="15"/>
  <c r="S125" i="15"/>
  <c r="N125" i="15"/>
  <c r="H125" i="15"/>
  <c r="S124" i="15"/>
  <c r="N124" i="15"/>
  <c r="H124" i="15"/>
  <c r="S123" i="15"/>
  <c r="N123" i="15"/>
  <c r="H123" i="15"/>
  <c r="S122" i="15"/>
  <c r="N122" i="15"/>
  <c r="H122" i="15"/>
  <c r="S121" i="15"/>
  <c r="N121" i="15"/>
  <c r="H121" i="15"/>
  <c r="S120" i="15"/>
  <c r="N120" i="15"/>
  <c r="H120" i="15"/>
  <c r="S119" i="15"/>
  <c r="N119" i="15"/>
  <c r="H119" i="15"/>
  <c r="S118" i="15"/>
  <c r="N118" i="15"/>
  <c r="H118" i="15"/>
  <c r="S117" i="15"/>
  <c r="N117" i="15"/>
  <c r="H117" i="15"/>
  <c r="S116" i="15"/>
  <c r="N116" i="15"/>
  <c r="H116" i="15"/>
  <c r="S115" i="15"/>
  <c r="N115" i="15"/>
  <c r="H115" i="15"/>
  <c r="S114" i="15"/>
  <c r="N114" i="15"/>
  <c r="H114" i="15"/>
  <c r="S113" i="15"/>
  <c r="N113" i="15"/>
  <c r="H113" i="15"/>
  <c r="S112" i="15"/>
  <c r="N112" i="15"/>
  <c r="H112" i="15"/>
  <c r="S111" i="15"/>
  <c r="N111" i="15"/>
  <c r="H111" i="15"/>
  <c r="S110" i="15"/>
  <c r="N110" i="15"/>
  <c r="H110" i="15"/>
  <c r="S109" i="15"/>
  <c r="N109" i="15"/>
  <c r="H109" i="15"/>
  <c r="S108" i="15"/>
  <c r="N108" i="15"/>
  <c r="H108" i="15"/>
  <c r="S107" i="15"/>
  <c r="N107" i="15"/>
  <c r="H107" i="15"/>
  <c r="S106" i="15"/>
  <c r="N106" i="15"/>
  <c r="H106" i="15"/>
  <c r="S105" i="15"/>
  <c r="N105" i="15"/>
  <c r="H105" i="15"/>
  <c r="S104" i="15"/>
  <c r="N104" i="15"/>
  <c r="H104" i="15"/>
  <c r="S103" i="15"/>
  <c r="N103" i="15"/>
  <c r="H103" i="15"/>
  <c r="S102" i="15"/>
  <c r="N102" i="15"/>
  <c r="H102" i="15"/>
  <c r="S101" i="15"/>
  <c r="N101" i="15"/>
  <c r="H101" i="15"/>
  <c r="S100" i="15"/>
  <c r="N100" i="15"/>
  <c r="H100" i="15"/>
  <c r="S99" i="15"/>
  <c r="N99" i="15"/>
  <c r="H99" i="15"/>
  <c r="S98" i="15"/>
  <c r="N98" i="15"/>
  <c r="H98" i="15"/>
  <c r="S97" i="15"/>
  <c r="N97" i="15"/>
  <c r="H97" i="15"/>
  <c r="S96" i="15"/>
  <c r="N96" i="15"/>
  <c r="H96" i="15"/>
  <c r="S95" i="15"/>
  <c r="N95" i="15"/>
  <c r="H95" i="15"/>
  <c r="S94" i="15"/>
  <c r="N94" i="15"/>
  <c r="H94" i="15"/>
  <c r="S93" i="15"/>
  <c r="N93" i="15"/>
  <c r="H93" i="15"/>
  <c r="S92" i="15"/>
  <c r="N92" i="15"/>
  <c r="H92" i="15"/>
  <c r="S91" i="15"/>
  <c r="N91" i="15"/>
  <c r="H91" i="15"/>
  <c r="S90" i="15"/>
  <c r="N90" i="15"/>
  <c r="H90" i="15"/>
  <c r="S89" i="15"/>
  <c r="N89" i="15"/>
  <c r="H89" i="15"/>
  <c r="S88" i="15"/>
  <c r="N88" i="15"/>
  <c r="H88" i="15"/>
  <c r="S87" i="15"/>
  <c r="N87" i="15"/>
  <c r="H87" i="15"/>
  <c r="S86" i="15"/>
  <c r="N86" i="15"/>
  <c r="H86" i="15"/>
  <c r="S85" i="15"/>
  <c r="N85" i="15"/>
  <c r="H85" i="15"/>
  <c r="S84" i="15"/>
  <c r="N84" i="15"/>
  <c r="H84" i="15"/>
  <c r="S83" i="15"/>
  <c r="N83" i="15"/>
  <c r="H83" i="15"/>
  <c r="S82" i="15"/>
  <c r="N82" i="15"/>
  <c r="H82" i="15"/>
  <c r="S81" i="15"/>
  <c r="N81" i="15"/>
  <c r="H81" i="15"/>
  <c r="S80" i="15"/>
  <c r="N80" i="15"/>
  <c r="H80" i="15"/>
  <c r="S79" i="15"/>
  <c r="N79" i="15"/>
  <c r="H79" i="15"/>
  <c r="S78" i="15"/>
  <c r="N78" i="15"/>
  <c r="H78" i="15"/>
  <c r="S77" i="15"/>
  <c r="N77" i="15"/>
  <c r="H77" i="15"/>
  <c r="S76" i="15"/>
  <c r="N76" i="15"/>
  <c r="H76" i="15"/>
  <c r="S75" i="15"/>
  <c r="N75" i="15"/>
  <c r="H75" i="15"/>
  <c r="S74" i="15"/>
  <c r="N74" i="15"/>
  <c r="H74" i="15"/>
  <c r="S73" i="15"/>
  <c r="N73" i="15"/>
  <c r="H73" i="15"/>
  <c r="S72" i="15"/>
  <c r="N72" i="15"/>
  <c r="H72" i="15"/>
  <c r="S71" i="15"/>
  <c r="N71" i="15"/>
  <c r="H71" i="15"/>
  <c r="S70" i="15"/>
  <c r="N70" i="15"/>
  <c r="H70" i="15"/>
  <c r="S69" i="15"/>
  <c r="N69" i="15"/>
  <c r="H69" i="15"/>
  <c r="S68" i="15"/>
  <c r="N68" i="15"/>
  <c r="H68" i="15"/>
  <c r="S67" i="15"/>
  <c r="N67" i="15"/>
  <c r="H67" i="15"/>
  <c r="S66" i="15"/>
  <c r="N66" i="15"/>
  <c r="H66" i="15"/>
  <c r="S65" i="15"/>
  <c r="N65" i="15"/>
  <c r="H65" i="15"/>
  <c r="S64" i="15"/>
  <c r="N64" i="15"/>
  <c r="H64" i="15"/>
  <c r="S63" i="15"/>
  <c r="N63" i="15"/>
  <c r="H63" i="15"/>
  <c r="S62" i="15"/>
  <c r="N62" i="15"/>
  <c r="H62" i="15"/>
  <c r="S61" i="15"/>
  <c r="N61" i="15"/>
  <c r="H61" i="15"/>
  <c r="S60" i="15"/>
  <c r="N60" i="15"/>
  <c r="H60" i="15"/>
  <c r="S59" i="15"/>
  <c r="N59" i="15"/>
  <c r="H59" i="15"/>
  <c r="S58" i="15"/>
  <c r="N58" i="15"/>
  <c r="H58" i="15"/>
  <c r="S57" i="15"/>
  <c r="N57" i="15"/>
  <c r="H57" i="15"/>
  <c r="S56" i="15"/>
  <c r="N56" i="15"/>
  <c r="H56" i="15"/>
  <c r="S55" i="15"/>
  <c r="N55" i="15"/>
  <c r="H55" i="15"/>
  <c r="S54" i="15"/>
  <c r="N54" i="15"/>
  <c r="H54" i="15"/>
  <c r="S53" i="15"/>
  <c r="N53" i="15"/>
  <c r="H53" i="15"/>
  <c r="S52" i="15"/>
  <c r="N52" i="15"/>
  <c r="H52" i="15"/>
  <c r="S51" i="15"/>
  <c r="N51" i="15"/>
  <c r="H51" i="15"/>
  <c r="S50" i="15"/>
  <c r="N50" i="15"/>
  <c r="H50" i="15"/>
  <c r="S49" i="15"/>
  <c r="N49" i="15"/>
  <c r="H49" i="15"/>
  <c r="S48" i="15"/>
  <c r="N48" i="15"/>
  <c r="H48" i="15"/>
  <c r="S47" i="15"/>
  <c r="N47" i="15"/>
  <c r="H47" i="15"/>
  <c r="S46" i="15"/>
  <c r="N46" i="15"/>
  <c r="H46" i="15"/>
  <c r="S45" i="15"/>
  <c r="N45" i="15"/>
  <c r="H45" i="15"/>
  <c r="S44" i="15"/>
  <c r="N44" i="15"/>
  <c r="H44" i="15"/>
  <c r="S43" i="15"/>
  <c r="N43" i="15"/>
  <c r="H43" i="15"/>
  <c r="S42" i="15"/>
  <c r="N42" i="15"/>
  <c r="H42" i="15"/>
  <c r="S41" i="15"/>
  <c r="N41" i="15"/>
  <c r="H41" i="15"/>
  <c r="S40" i="15"/>
  <c r="N40" i="15"/>
  <c r="H40" i="15"/>
  <c r="S39" i="15"/>
  <c r="N39" i="15"/>
  <c r="H39" i="15"/>
  <c r="S38" i="15"/>
  <c r="N38" i="15"/>
  <c r="H38" i="15"/>
  <c r="S37" i="15"/>
  <c r="N37" i="15"/>
  <c r="H37" i="15"/>
  <c r="S36" i="15"/>
  <c r="N36" i="15"/>
  <c r="H36" i="15"/>
  <c r="S35" i="15"/>
  <c r="N35" i="15"/>
  <c r="H35" i="15"/>
  <c r="S34" i="15"/>
  <c r="N34" i="15"/>
  <c r="H34" i="15"/>
  <c r="S33" i="15"/>
  <c r="N33" i="15"/>
  <c r="H33" i="15"/>
  <c r="S32" i="15"/>
  <c r="N32" i="15"/>
  <c r="H32" i="15"/>
  <c r="S31" i="15"/>
  <c r="N31" i="15"/>
  <c r="H31" i="15"/>
  <c r="S30" i="15"/>
  <c r="N30" i="15"/>
  <c r="H30" i="15"/>
  <c r="S29" i="15"/>
  <c r="N29" i="15"/>
  <c r="H29" i="15"/>
  <c r="S28" i="15"/>
  <c r="N28" i="15"/>
  <c r="H28" i="15"/>
  <c r="S27" i="15"/>
  <c r="N27" i="15"/>
  <c r="H27" i="15"/>
  <c r="S26" i="15"/>
  <c r="N26" i="15"/>
  <c r="H26" i="15"/>
  <c r="S25" i="15"/>
  <c r="N25" i="15"/>
  <c r="H25" i="15"/>
  <c r="S24" i="15"/>
  <c r="N24" i="15"/>
  <c r="H24" i="15"/>
  <c r="S23" i="15"/>
  <c r="N23" i="15"/>
  <c r="H23" i="15"/>
  <c r="S22" i="15"/>
  <c r="N22" i="15"/>
  <c r="H22" i="15"/>
  <c r="S21" i="15"/>
  <c r="N21" i="15"/>
  <c r="H21" i="15"/>
  <c r="S20" i="15"/>
  <c r="N20" i="15"/>
  <c r="H20" i="15"/>
  <c r="S19" i="15"/>
  <c r="N19" i="15"/>
  <c r="H19" i="15"/>
  <c r="S18" i="15"/>
  <c r="N18" i="15"/>
  <c r="H18" i="15"/>
  <c r="S17" i="15"/>
  <c r="N17" i="15"/>
  <c r="H17" i="15"/>
  <c r="F16" i="15"/>
  <c r="R5" i="15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Q5" i="15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M5" i="15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L5" i="15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48" i="14"/>
  <c r="S49" i="14"/>
  <c r="S50" i="14"/>
  <c r="S51" i="14"/>
  <c r="S52" i="14"/>
  <c r="S53" i="14"/>
  <c r="S54" i="14"/>
  <c r="S55" i="14"/>
  <c r="S56" i="14"/>
  <c r="S57" i="14"/>
  <c r="S58" i="14"/>
  <c r="S59" i="14"/>
  <c r="S60" i="14"/>
  <c r="S61" i="14"/>
  <c r="S62" i="14"/>
  <c r="S63" i="14"/>
  <c r="S64" i="14"/>
  <c r="S65" i="14"/>
  <c r="S66" i="14"/>
  <c r="S67" i="14"/>
  <c r="S68" i="14"/>
  <c r="S69" i="14"/>
  <c r="S70" i="14"/>
  <c r="S71" i="14"/>
  <c r="S72" i="14"/>
  <c r="S73" i="14"/>
  <c r="S74" i="14"/>
  <c r="S75" i="14"/>
  <c r="S76" i="14"/>
  <c r="S77" i="14"/>
  <c r="S78" i="14"/>
  <c r="S79" i="14"/>
  <c r="S80" i="14"/>
  <c r="S81" i="14"/>
  <c r="S82" i="14"/>
  <c r="S83" i="14"/>
  <c r="S84" i="14"/>
  <c r="S85" i="14"/>
  <c r="S86" i="14"/>
  <c r="S87" i="14"/>
  <c r="S88" i="14"/>
  <c r="S89" i="14"/>
  <c r="S90" i="14"/>
  <c r="S91" i="14"/>
  <c r="S92" i="14"/>
  <c r="S93" i="14"/>
  <c r="S94" i="14"/>
  <c r="S95" i="14"/>
  <c r="S96" i="14"/>
  <c r="S97" i="14"/>
  <c r="S98" i="14"/>
  <c r="S99" i="14"/>
  <c r="S100" i="14"/>
  <c r="S101" i="14"/>
  <c r="S102" i="14"/>
  <c r="S103" i="14"/>
  <c r="S104" i="14"/>
  <c r="S105" i="14"/>
  <c r="S106" i="14"/>
  <c r="S107" i="14"/>
  <c r="S108" i="14"/>
  <c r="S109" i="14"/>
  <c r="S110" i="14"/>
  <c r="S111" i="14"/>
  <c r="S112" i="14"/>
  <c r="S113" i="14"/>
  <c r="S114" i="14"/>
  <c r="S115" i="14"/>
  <c r="S116" i="14"/>
  <c r="S117" i="14"/>
  <c r="S118" i="14"/>
  <c r="S119" i="14"/>
  <c r="S120" i="14"/>
  <c r="S121" i="14"/>
  <c r="S122" i="14"/>
  <c r="S123" i="14"/>
  <c r="S124" i="14"/>
  <c r="S125" i="14"/>
  <c r="S126" i="14"/>
  <c r="S127" i="14"/>
  <c r="S128" i="14"/>
  <c r="S129" i="14"/>
  <c r="S130" i="14"/>
  <c r="S131" i="14"/>
  <c r="S132" i="14"/>
  <c r="S133" i="14"/>
  <c r="S134" i="14"/>
  <c r="S135" i="14"/>
  <c r="S136" i="14"/>
  <c r="S137" i="14"/>
  <c r="S138" i="14"/>
  <c r="S139" i="14"/>
  <c r="S140" i="14"/>
  <c r="S141" i="14"/>
  <c r="S142" i="14"/>
  <c r="S143" i="14"/>
  <c r="S144" i="14"/>
  <c r="S145" i="14"/>
  <c r="S146" i="14"/>
  <c r="S147" i="14"/>
  <c r="S148" i="14"/>
  <c r="S149" i="14"/>
  <c r="S150" i="14"/>
  <c r="S151" i="14"/>
  <c r="S152" i="14"/>
  <c r="S153" i="14"/>
  <c r="S154" i="14"/>
  <c r="S155" i="14"/>
  <c r="S156" i="14"/>
  <c r="S157" i="14"/>
  <c r="S158" i="14"/>
  <c r="S159" i="14"/>
  <c r="S160" i="14"/>
  <c r="S161" i="14"/>
  <c r="S162" i="14"/>
  <c r="S163" i="14"/>
  <c r="S164" i="14"/>
  <c r="S165" i="14"/>
  <c r="S166" i="14"/>
  <c r="S167" i="14"/>
  <c r="S168" i="14"/>
  <c r="S169" i="14"/>
  <c r="S170" i="14"/>
  <c r="S171" i="14"/>
  <c r="S172" i="14"/>
  <c r="S173" i="14"/>
  <c r="S174" i="14"/>
  <c r="S175" i="14"/>
  <c r="S176" i="14"/>
  <c r="S177" i="14"/>
  <c r="S178" i="14"/>
  <c r="S179" i="14"/>
  <c r="S180" i="14"/>
  <c r="S181" i="14"/>
  <c r="S182" i="14"/>
  <c r="S183" i="14"/>
  <c r="S184" i="14"/>
  <c r="S185" i="14"/>
  <c r="S186" i="14"/>
  <c r="S187" i="14"/>
  <c r="S188" i="14"/>
  <c r="S189" i="14"/>
  <c r="S190" i="14"/>
  <c r="S191" i="14"/>
  <c r="S192" i="14"/>
  <c r="S193" i="14"/>
  <c r="S194" i="14"/>
  <c r="S195" i="14"/>
  <c r="S196" i="14"/>
  <c r="S197" i="14"/>
  <c r="S198" i="14"/>
  <c r="S199" i="14"/>
  <c r="S200" i="14"/>
  <c r="S201" i="14"/>
  <c r="S202" i="14"/>
  <c r="S203" i="14"/>
  <c r="S204" i="14"/>
  <c r="S205" i="14"/>
  <c r="S206" i="14"/>
  <c r="S207" i="14"/>
  <c r="S208" i="14"/>
  <c r="S209" i="14"/>
  <c r="S210" i="14"/>
  <c r="S211" i="14"/>
  <c r="S212" i="14"/>
  <c r="S213" i="14"/>
  <c r="S214" i="14"/>
  <c r="S215" i="14"/>
  <c r="S216" i="14"/>
  <c r="S217" i="14"/>
  <c r="S218" i="14"/>
  <c r="S219" i="14"/>
  <c r="S220" i="14"/>
  <c r="S221" i="14"/>
  <c r="S222" i="14"/>
  <c r="S223" i="14"/>
  <c r="S224" i="14"/>
  <c r="S225" i="14"/>
  <c r="S226" i="14"/>
  <c r="S227" i="14"/>
  <c r="S228" i="14"/>
  <c r="S229" i="14"/>
  <c r="S230" i="14"/>
  <c r="S231" i="14"/>
  <c r="S232" i="14"/>
  <c r="S233" i="14"/>
  <c r="S234" i="14"/>
  <c r="S235" i="14"/>
  <c r="S236" i="14"/>
  <c r="S237" i="14"/>
  <c r="S238" i="14"/>
  <c r="S239" i="14"/>
  <c r="S240" i="14"/>
  <c r="S241" i="14"/>
  <c r="S242" i="14"/>
  <c r="S243" i="14"/>
  <c r="S244" i="14"/>
  <c r="S245" i="14"/>
  <c r="S246" i="14"/>
  <c r="S247" i="14"/>
  <c r="S248" i="14"/>
  <c r="S249" i="14"/>
  <c r="S250" i="14"/>
  <c r="S251" i="14"/>
  <c r="S252" i="14"/>
  <c r="S253" i="14"/>
  <c r="S254" i="14"/>
  <c r="S255" i="14"/>
  <c r="S256" i="14"/>
  <c r="S257" i="14"/>
  <c r="S258" i="14"/>
  <c r="S259" i="14"/>
  <c r="S260" i="14"/>
  <c r="S261" i="14"/>
  <c r="S262" i="14"/>
  <c r="S263" i="14"/>
  <c r="S264" i="14"/>
  <c r="S265" i="14"/>
  <c r="S266" i="14"/>
  <c r="S267" i="14"/>
  <c r="S268" i="14"/>
  <c r="S269" i="14"/>
  <c r="S270" i="14"/>
  <c r="S271" i="14"/>
  <c r="S272" i="14"/>
  <c r="S273" i="14"/>
  <c r="S274" i="14"/>
  <c r="S275" i="14"/>
  <c r="S276" i="14"/>
  <c r="S277" i="14"/>
  <c r="S278" i="14"/>
  <c r="S279" i="14"/>
  <c r="S280" i="14"/>
  <c r="S281" i="14"/>
  <c r="S282" i="14"/>
  <c r="S283" i="14"/>
  <c r="S284" i="14"/>
  <c r="S285" i="14"/>
  <c r="S286" i="14"/>
  <c r="S287" i="14"/>
  <c r="S288" i="14"/>
  <c r="S289" i="14"/>
  <c r="S290" i="14"/>
  <c r="S291" i="14"/>
  <c r="S292" i="14"/>
  <c r="S293" i="14"/>
  <c r="S294" i="14"/>
  <c r="S295" i="14"/>
  <c r="S296" i="14"/>
  <c r="S297" i="14"/>
  <c r="S298" i="14"/>
  <c r="S299" i="14"/>
  <c r="S300" i="14"/>
  <c r="S301" i="14"/>
  <c r="S302" i="14"/>
  <c r="S303" i="14"/>
  <c r="S304" i="14"/>
  <c r="S305" i="14"/>
  <c r="S306" i="14"/>
  <c r="S307" i="14"/>
  <c r="S308" i="14"/>
  <c r="S309" i="14"/>
  <c r="S310" i="14"/>
  <c r="S311" i="14"/>
  <c r="S312" i="14"/>
  <c r="S313" i="14"/>
  <c r="S314" i="14"/>
  <c r="S315" i="14"/>
  <c r="S316" i="14"/>
  <c r="S317" i="14"/>
  <c r="S318" i="14"/>
  <c r="S319" i="14"/>
  <c r="S320" i="14"/>
  <c r="S321" i="14"/>
  <c r="S322" i="14"/>
  <c r="S323" i="14"/>
  <c r="S324" i="14"/>
  <c r="S325" i="14"/>
  <c r="S326" i="14"/>
  <c r="S327" i="14"/>
  <c r="S328" i="14"/>
  <c r="S329" i="14"/>
  <c r="S330" i="14"/>
  <c r="S331" i="14"/>
  <c r="S332" i="14"/>
  <c r="S333" i="14"/>
  <c r="S334" i="14"/>
  <c r="S335" i="14"/>
  <c r="S336" i="14"/>
  <c r="S337" i="14"/>
  <c r="S338" i="14"/>
  <c r="S339" i="14"/>
  <c r="S340" i="14"/>
  <c r="S341" i="14"/>
  <c r="S342" i="14"/>
  <c r="S343" i="14"/>
  <c r="S344" i="14"/>
  <c r="S345" i="14"/>
  <c r="S346" i="14"/>
  <c r="S347" i="14"/>
  <c r="S348" i="14"/>
  <c r="S349" i="14"/>
  <c r="S350" i="14"/>
  <c r="S351" i="14"/>
  <c r="S352" i="14"/>
  <c r="S353" i="14"/>
  <c r="S354" i="14"/>
  <c r="S355" i="14"/>
  <c r="S356" i="14"/>
  <c r="S357" i="14"/>
  <c r="S358" i="14"/>
  <c r="S359" i="14"/>
  <c r="S360" i="14"/>
  <c r="S361" i="14"/>
  <c r="S362" i="14"/>
  <c r="S363" i="14"/>
  <c r="S364" i="14"/>
  <c r="S365" i="14"/>
  <c r="S366" i="14"/>
  <c r="S367" i="14"/>
  <c r="S368" i="14"/>
  <c r="S369" i="14"/>
  <c r="S370" i="14"/>
  <c r="S371" i="14"/>
  <c r="S372" i="14"/>
  <c r="S373" i="14"/>
  <c r="S374" i="14"/>
  <c r="S375" i="14"/>
  <c r="S376" i="14"/>
  <c r="S377" i="14"/>
  <c r="S378" i="14"/>
  <c r="S379" i="14"/>
  <c r="S380" i="14"/>
  <c r="S381" i="14"/>
  <c r="S382" i="14"/>
  <c r="S383" i="14"/>
  <c r="S384" i="14"/>
  <c r="S385" i="14"/>
  <c r="S386" i="14"/>
  <c r="S387" i="14"/>
  <c r="S388" i="14"/>
  <c r="S389" i="14"/>
  <c r="S390" i="14"/>
  <c r="S391" i="14"/>
  <c r="S392" i="14"/>
  <c r="S393" i="14"/>
  <c r="S394" i="14"/>
  <c r="S395" i="14"/>
  <c r="S396" i="14"/>
  <c r="S397" i="14"/>
  <c r="S398" i="14"/>
  <c r="S399" i="14"/>
  <c r="S400" i="14"/>
  <c r="S401" i="14"/>
  <c r="S402" i="14"/>
  <c r="S403" i="14"/>
  <c r="S404" i="14"/>
  <c r="S405" i="14"/>
  <c r="S406" i="14"/>
  <c r="S407" i="14"/>
  <c r="S408" i="14"/>
  <c r="S409" i="14"/>
  <c r="S410" i="14"/>
  <c r="S411" i="14"/>
  <c r="S412" i="14"/>
  <c r="S413" i="14"/>
  <c r="S414" i="14"/>
  <c r="S415" i="14"/>
  <c r="S416" i="14"/>
  <c r="S417" i="14"/>
  <c r="S418" i="14"/>
  <c r="S419" i="14"/>
  <c r="S420" i="14"/>
  <c r="S421" i="14"/>
  <c r="S422" i="14"/>
  <c r="S423" i="14"/>
  <c r="S424" i="14"/>
  <c r="S17" i="14"/>
  <c r="R33" i="12" l="1"/>
  <c r="Q34" i="12"/>
  <c r="O17" i="15"/>
  <c r="L17" i="15" s="1"/>
  <c r="T17" i="15"/>
  <c r="N424" i="14"/>
  <c r="N423" i="14"/>
  <c r="H423" i="14"/>
  <c r="N422" i="14"/>
  <c r="H422" i="14"/>
  <c r="N421" i="14"/>
  <c r="H421" i="14"/>
  <c r="N420" i="14"/>
  <c r="H420" i="14"/>
  <c r="N419" i="14"/>
  <c r="H419" i="14"/>
  <c r="N418" i="14"/>
  <c r="H418" i="14"/>
  <c r="N417" i="14"/>
  <c r="H417" i="14"/>
  <c r="N416" i="14"/>
  <c r="H416" i="14"/>
  <c r="N415" i="14"/>
  <c r="H415" i="14"/>
  <c r="N414" i="14"/>
  <c r="H414" i="14"/>
  <c r="N413" i="14"/>
  <c r="H413" i="14"/>
  <c r="N412" i="14"/>
  <c r="H412" i="14"/>
  <c r="N411" i="14"/>
  <c r="H411" i="14"/>
  <c r="N410" i="14"/>
  <c r="H410" i="14"/>
  <c r="N409" i="14"/>
  <c r="H409" i="14"/>
  <c r="N408" i="14"/>
  <c r="H408" i="14"/>
  <c r="N407" i="14"/>
  <c r="H407" i="14"/>
  <c r="N406" i="14"/>
  <c r="H406" i="14"/>
  <c r="N405" i="14"/>
  <c r="H405" i="14"/>
  <c r="N404" i="14"/>
  <c r="H404" i="14"/>
  <c r="N403" i="14"/>
  <c r="H403" i="14"/>
  <c r="N402" i="14"/>
  <c r="H402" i="14"/>
  <c r="N401" i="14"/>
  <c r="H401" i="14"/>
  <c r="N400" i="14"/>
  <c r="H400" i="14"/>
  <c r="N399" i="14"/>
  <c r="H399" i="14"/>
  <c r="N398" i="14"/>
  <c r="H398" i="14"/>
  <c r="N397" i="14"/>
  <c r="H397" i="14"/>
  <c r="N396" i="14"/>
  <c r="H396" i="14"/>
  <c r="N395" i="14"/>
  <c r="H395" i="14"/>
  <c r="N394" i="14"/>
  <c r="H394" i="14"/>
  <c r="N393" i="14"/>
  <c r="H393" i="14"/>
  <c r="N392" i="14"/>
  <c r="H392" i="14"/>
  <c r="N391" i="14"/>
  <c r="H391" i="14"/>
  <c r="N390" i="14"/>
  <c r="H390" i="14"/>
  <c r="N389" i="14"/>
  <c r="H389" i="14"/>
  <c r="N388" i="14"/>
  <c r="H388" i="14"/>
  <c r="N387" i="14"/>
  <c r="H387" i="14"/>
  <c r="N386" i="14"/>
  <c r="H386" i="14"/>
  <c r="N385" i="14"/>
  <c r="H385" i="14"/>
  <c r="N384" i="14"/>
  <c r="H384" i="14"/>
  <c r="N383" i="14"/>
  <c r="H383" i="14"/>
  <c r="N382" i="14"/>
  <c r="H382" i="14"/>
  <c r="N381" i="14"/>
  <c r="H381" i="14"/>
  <c r="N380" i="14"/>
  <c r="H380" i="14"/>
  <c r="N379" i="14"/>
  <c r="H379" i="14"/>
  <c r="N378" i="14"/>
  <c r="H378" i="14"/>
  <c r="N377" i="14"/>
  <c r="H377" i="14"/>
  <c r="N376" i="14"/>
  <c r="H376" i="14"/>
  <c r="N375" i="14"/>
  <c r="H375" i="14"/>
  <c r="N374" i="14"/>
  <c r="H374" i="14"/>
  <c r="N373" i="14"/>
  <c r="H373" i="14"/>
  <c r="N372" i="14"/>
  <c r="H372" i="14"/>
  <c r="N371" i="14"/>
  <c r="H371" i="14"/>
  <c r="N370" i="14"/>
  <c r="H370" i="14"/>
  <c r="N369" i="14"/>
  <c r="H369" i="14"/>
  <c r="N368" i="14"/>
  <c r="H368" i="14"/>
  <c r="N367" i="14"/>
  <c r="H367" i="14"/>
  <c r="N366" i="14"/>
  <c r="H366" i="14"/>
  <c r="N365" i="14"/>
  <c r="H365" i="14"/>
  <c r="N364" i="14"/>
  <c r="H364" i="14"/>
  <c r="N363" i="14"/>
  <c r="H363" i="14"/>
  <c r="N362" i="14"/>
  <c r="H362" i="14"/>
  <c r="N361" i="14"/>
  <c r="H361" i="14"/>
  <c r="N360" i="14"/>
  <c r="H360" i="14"/>
  <c r="N359" i="14"/>
  <c r="H359" i="14"/>
  <c r="N358" i="14"/>
  <c r="H358" i="14"/>
  <c r="N357" i="14"/>
  <c r="H357" i="14"/>
  <c r="N356" i="14"/>
  <c r="H356" i="14"/>
  <c r="N355" i="14"/>
  <c r="H355" i="14"/>
  <c r="N354" i="14"/>
  <c r="H354" i="14"/>
  <c r="N353" i="14"/>
  <c r="H353" i="14"/>
  <c r="N352" i="14"/>
  <c r="H352" i="14"/>
  <c r="N351" i="14"/>
  <c r="H351" i="14"/>
  <c r="N350" i="14"/>
  <c r="H350" i="14"/>
  <c r="N349" i="14"/>
  <c r="H349" i="14"/>
  <c r="N348" i="14"/>
  <c r="H348" i="14"/>
  <c r="N347" i="14"/>
  <c r="H347" i="14"/>
  <c r="N346" i="14"/>
  <c r="H346" i="14"/>
  <c r="N345" i="14"/>
  <c r="H345" i="14"/>
  <c r="N344" i="14"/>
  <c r="H344" i="14"/>
  <c r="N343" i="14"/>
  <c r="H343" i="14"/>
  <c r="N342" i="14"/>
  <c r="H342" i="14"/>
  <c r="N341" i="14"/>
  <c r="H341" i="14"/>
  <c r="N340" i="14"/>
  <c r="H340" i="14"/>
  <c r="N339" i="14"/>
  <c r="H339" i="14"/>
  <c r="N338" i="14"/>
  <c r="H338" i="14"/>
  <c r="N337" i="14"/>
  <c r="H337" i="14"/>
  <c r="N336" i="14"/>
  <c r="H336" i="14"/>
  <c r="N335" i="14"/>
  <c r="H335" i="14"/>
  <c r="N334" i="14"/>
  <c r="H334" i="14"/>
  <c r="N333" i="14"/>
  <c r="H333" i="14"/>
  <c r="N332" i="14"/>
  <c r="H332" i="14"/>
  <c r="N331" i="14"/>
  <c r="H331" i="14"/>
  <c r="N330" i="14"/>
  <c r="H330" i="14"/>
  <c r="N329" i="14"/>
  <c r="H329" i="14"/>
  <c r="N328" i="14"/>
  <c r="H328" i="14"/>
  <c r="N327" i="14"/>
  <c r="H327" i="14"/>
  <c r="N326" i="14"/>
  <c r="H326" i="14"/>
  <c r="N325" i="14"/>
  <c r="H325" i="14"/>
  <c r="N324" i="14"/>
  <c r="H324" i="14"/>
  <c r="N323" i="14"/>
  <c r="H323" i="14"/>
  <c r="N322" i="14"/>
  <c r="H322" i="14"/>
  <c r="N321" i="14"/>
  <c r="H321" i="14"/>
  <c r="N320" i="14"/>
  <c r="H320" i="14"/>
  <c r="N319" i="14"/>
  <c r="H319" i="14"/>
  <c r="N318" i="14"/>
  <c r="H318" i="14"/>
  <c r="N317" i="14"/>
  <c r="H317" i="14"/>
  <c r="N316" i="14"/>
  <c r="H316" i="14"/>
  <c r="N315" i="14"/>
  <c r="H315" i="14"/>
  <c r="N314" i="14"/>
  <c r="H314" i="14"/>
  <c r="N313" i="14"/>
  <c r="H313" i="14"/>
  <c r="N312" i="14"/>
  <c r="H312" i="14"/>
  <c r="N311" i="14"/>
  <c r="H311" i="14"/>
  <c r="A311" i="14"/>
  <c r="A312" i="14" s="1"/>
  <c r="A313" i="14" s="1"/>
  <c r="N310" i="14"/>
  <c r="H310" i="14"/>
  <c r="N309" i="14"/>
  <c r="H309" i="14"/>
  <c r="N308" i="14"/>
  <c r="H308" i="14"/>
  <c r="A308" i="14"/>
  <c r="A309" i="14" s="1"/>
  <c r="A310" i="14" s="1"/>
  <c r="N307" i="14"/>
  <c r="H307" i="14"/>
  <c r="A307" i="14"/>
  <c r="N306" i="14"/>
  <c r="H306" i="14"/>
  <c r="N305" i="14"/>
  <c r="H305" i="14"/>
  <c r="N304" i="14"/>
  <c r="H304" i="14"/>
  <c r="N303" i="14"/>
  <c r="H303" i="14"/>
  <c r="N302" i="14"/>
  <c r="H302" i="14"/>
  <c r="N301" i="14"/>
  <c r="H301" i="14"/>
  <c r="N300" i="14"/>
  <c r="H300" i="14"/>
  <c r="N299" i="14"/>
  <c r="H299" i="14"/>
  <c r="N298" i="14"/>
  <c r="H298" i="14"/>
  <c r="N297" i="14"/>
  <c r="H297" i="14"/>
  <c r="N296" i="14"/>
  <c r="H296" i="14"/>
  <c r="N295" i="14"/>
  <c r="H295" i="14"/>
  <c r="N294" i="14"/>
  <c r="H294" i="14"/>
  <c r="N293" i="14"/>
  <c r="H293" i="14"/>
  <c r="N292" i="14"/>
  <c r="H292" i="14"/>
  <c r="N291" i="14"/>
  <c r="H291" i="14"/>
  <c r="N290" i="14"/>
  <c r="H290" i="14"/>
  <c r="N289" i="14"/>
  <c r="H289" i="14"/>
  <c r="N288" i="14"/>
  <c r="H288" i="14"/>
  <c r="N287" i="14"/>
  <c r="H287" i="14"/>
  <c r="N286" i="14"/>
  <c r="H286" i="14"/>
  <c r="N285" i="14"/>
  <c r="H285" i="14"/>
  <c r="N284" i="14"/>
  <c r="H284" i="14"/>
  <c r="N283" i="14"/>
  <c r="H283" i="14"/>
  <c r="N282" i="14"/>
  <c r="H282" i="14"/>
  <c r="N281" i="14"/>
  <c r="H281" i="14"/>
  <c r="N280" i="14"/>
  <c r="H280" i="14"/>
  <c r="N279" i="14"/>
  <c r="H279" i="14"/>
  <c r="N278" i="14"/>
  <c r="H278" i="14"/>
  <c r="N277" i="14"/>
  <c r="H277" i="14"/>
  <c r="N276" i="14"/>
  <c r="H276" i="14"/>
  <c r="N275" i="14"/>
  <c r="H275" i="14"/>
  <c r="N274" i="14"/>
  <c r="H274" i="14"/>
  <c r="N273" i="14"/>
  <c r="H273" i="14"/>
  <c r="N272" i="14"/>
  <c r="H272" i="14"/>
  <c r="N271" i="14"/>
  <c r="H271" i="14"/>
  <c r="N270" i="14"/>
  <c r="H270" i="14"/>
  <c r="N269" i="14"/>
  <c r="H269" i="14"/>
  <c r="N268" i="14"/>
  <c r="H268" i="14"/>
  <c r="N267" i="14"/>
  <c r="H267" i="14"/>
  <c r="N266" i="14"/>
  <c r="H266" i="14"/>
  <c r="N265" i="14"/>
  <c r="H265" i="14"/>
  <c r="N264" i="14"/>
  <c r="H264" i="14"/>
  <c r="N263" i="14"/>
  <c r="H263" i="14"/>
  <c r="N262" i="14"/>
  <c r="H262" i="14"/>
  <c r="N261" i="14"/>
  <c r="H261" i="14"/>
  <c r="N260" i="14"/>
  <c r="H260" i="14"/>
  <c r="N259" i="14"/>
  <c r="H259" i="14"/>
  <c r="N258" i="14"/>
  <c r="H258" i="14"/>
  <c r="N257" i="14"/>
  <c r="H257" i="14"/>
  <c r="N256" i="14"/>
  <c r="H256" i="14"/>
  <c r="N255" i="14"/>
  <c r="H255" i="14"/>
  <c r="N254" i="14"/>
  <c r="H254" i="14"/>
  <c r="N253" i="14"/>
  <c r="H253" i="14"/>
  <c r="N252" i="14"/>
  <c r="H252" i="14"/>
  <c r="N251" i="14"/>
  <c r="H251" i="14"/>
  <c r="N250" i="14"/>
  <c r="H250" i="14"/>
  <c r="N249" i="14"/>
  <c r="H249" i="14"/>
  <c r="N248" i="14"/>
  <c r="H248" i="14"/>
  <c r="N247" i="14"/>
  <c r="H247" i="14"/>
  <c r="N246" i="14"/>
  <c r="H246" i="14"/>
  <c r="N245" i="14"/>
  <c r="H245" i="14"/>
  <c r="N244" i="14"/>
  <c r="H244" i="14"/>
  <c r="N243" i="14"/>
  <c r="H243" i="14"/>
  <c r="N242" i="14"/>
  <c r="H242" i="14"/>
  <c r="N241" i="14"/>
  <c r="H241" i="14"/>
  <c r="N240" i="14"/>
  <c r="H240" i="14"/>
  <c r="N239" i="14"/>
  <c r="H239" i="14"/>
  <c r="N238" i="14"/>
  <c r="H238" i="14"/>
  <c r="N237" i="14"/>
  <c r="H237" i="14"/>
  <c r="N236" i="14"/>
  <c r="H236" i="14"/>
  <c r="N235" i="14"/>
  <c r="H235" i="14"/>
  <c r="N234" i="14"/>
  <c r="H234" i="14"/>
  <c r="N233" i="14"/>
  <c r="H233" i="14"/>
  <c r="N232" i="14"/>
  <c r="H232" i="14"/>
  <c r="N231" i="14"/>
  <c r="H231" i="14"/>
  <c r="N230" i="14"/>
  <c r="H230" i="14"/>
  <c r="N229" i="14"/>
  <c r="H229" i="14"/>
  <c r="N228" i="14"/>
  <c r="H228" i="14"/>
  <c r="N227" i="14"/>
  <c r="H227" i="14"/>
  <c r="N226" i="14"/>
  <c r="H226" i="14"/>
  <c r="N225" i="14"/>
  <c r="H225" i="14"/>
  <c r="N224" i="14"/>
  <c r="H224" i="14"/>
  <c r="N223" i="14"/>
  <c r="H223" i="14"/>
  <c r="N222" i="14"/>
  <c r="H222" i="14"/>
  <c r="N221" i="14"/>
  <c r="H221" i="14"/>
  <c r="N220" i="14"/>
  <c r="H220" i="14"/>
  <c r="N219" i="14"/>
  <c r="H219" i="14"/>
  <c r="N218" i="14"/>
  <c r="H218" i="14"/>
  <c r="N217" i="14"/>
  <c r="H217" i="14"/>
  <c r="N216" i="14"/>
  <c r="H216" i="14"/>
  <c r="N215" i="14"/>
  <c r="H215" i="14"/>
  <c r="N214" i="14"/>
  <c r="H214" i="14"/>
  <c r="N213" i="14"/>
  <c r="H213" i="14"/>
  <c r="N212" i="14"/>
  <c r="H212" i="14"/>
  <c r="N211" i="14"/>
  <c r="H211" i="14"/>
  <c r="N210" i="14"/>
  <c r="H210" i="14"/>
  <c r="N209" i="14"/>
  <c r="H209" i="14"/>
  <c r="N208" i="14"/>
  <c r="H208" i="14"/>
  <c r="N207" i="14"/>
  <c r="H207" i="14"/>
  <c r="N206" i="14"/>
  <c r="H206" i="14"/>
  <c r="N205" i="14"/>
  <c r="H205" i="14"/>
  <c r="N204" i="14"/>
  <c r="H204" i="14"/>
  <c r="N203" i="14"/>
  <c r="H203" i="14"/>
  <c r="N202" i="14"/>
  <c r="H202" i="14"/>
  <c r="N201" i="14"/>
  <c r="H201" i="14"/>
  <c r="N200" i="14"/>
  <c r="H200" i="14"/>
  <c r="N199" i="14"/>
  <c r="H199" i="14"/>
  <c r="N198" i="14"/>
  <c r="H198" i="14"/>
  <c r="N197" i="14"/>
  <c r="H197" i="14"/>
  <c r="N196" i="14"/>
  <c r="H196" i="14"/>
  <c r="N195" i="14"/>
  <c r="H195" i="14"/>
  <c r="N194" i="14"/>
  <c r="H194" i="14"/>
  <c r="N193" i="14"/>
  <c r="H193" i="14"/>
  <c r="N192" i="14"/>
  <c r="H192" i="14"/>
  <c r="N191" i="14"/>
  <c r="H191" i="14"/>
  <c r="N190" i="14"/>
  <c r="H190" i="14"/>
  <c r="N189" i="14"/>
  <c r="H189" i="14"/>
  <c r="N188" i="14"/>
  <c r="H188" i="14"/>
  <c r="N187" i="14"/>
  <c r="H187" i="14"/>
  <c r="N186" i="14"/>
  <c r="H186" i="14"/>
  <c r="N185" i="14"/>
  <c r="H185" i="14"/>
  <c r="N184" i="14"/>
  <c r="H184" i="14"/>
  <c r="N183" i="14"/>
  <c r="H183" i="14"/>
  <c r="N182" i="14"/>
  <c r="H182" i="14"/>
  <c r="N181" i="14"/>
  <c r="H181" i="14"/>
  <c r="N180" i="14"/>
  <c r="H180" i="14"/>
  <c r="N179" i="14"/>
  <c r="H179" i="14"/>
  <c r="N178" i="14"/>
  <c r="H178" i="14"/>
  <c r="N177" i="14"/>
  <c r="H177" i="14"/>
  <c r="N176" i="14"/>
  <c r="H176" i="14"/>
  <c r="N175" i="14"/>
  <c r="H175" i="14"/>
  <c r="N174" i="14"/>
  <c r="H174" i="14"/>
  <c r="N173" i="14"/>
  <c r="H173" i="14"/>
  <c r="N172" i="14"/>
  <c r="H172" i="14"/>
  <c r="N171" i="14"/>
  <c r="H171" i="14"/>
  <c r="N170" i="14"/>
  <c r="H170" i="14"/>
  <c r="N169" i="14"/>
  <c r="H169" i="14"/>
  <c r="N168" i="14"/>
  <c r="H168" i="14"/>
  <c r="N167" i="14"/>
  <c r="H167" i="14"/>
  <c r="N166" i="14"/>
  <c r="H166" i="14"/>
  <c r="N165" i="14"/>
  <c r="H165" i="14"/>
  <c r="N164" i="14"/>
  <c r="H164" i="14"/>
  <c r="N163" i="14"/>
  <c r="H163" i="14"/>
  <c r="N162" i="14"/>
  <c r="H162" i="14"/>
  <c r="N161" i="14"/>
  <c r="H161" i="14"/>
  <c r="N160" i="14"/>
  <c r="H160" i="14"/>
  <c r="N159" i="14"/>
  <c r="H159" i="14"/>
  <c r="N158" i="14"/>
  <c r="H158" i="14"/>
  <c r="N157" i="14"/>
  <c r="H157" i="14"/>
  <c r="N156" i="14"/>
  <c r="H156" i="14"/>
  <c r="N155" i="14"/>
  <c r="H155" i="14"/>
  <c r="N154" i="14"/>
  <c r="H154" i="14"/>
  <c r="N153" i="14"/>
  <c r="H153" i="14"/>
  <c r="N152" i="14"/>
  <c r="H152" i="14"/>
  <c r="N151" i="14"/>
  <c r="H151" i="14"/>
  <c r="N150" i="14"/>
  <c r="H150" i="14"/>
  <c r="N149" i="14"/>
  <c r="H149" i="14"/>
  <c r="N148" i="14"/>
  <c r="H148" i="14"/>
  <c r="N147" i="14"/>
  <c r="H147" i="14"/>
  <c r="N146" i="14"/>
  <c r="H146" i="14"/>
  <c r="N145" i="14"/>
  <c r="H145" i="14"/>
  <c r="N144" i="14"/>
  <c r="H144" i="14"/>
  <c r="N143" i="14"/>
  <c r="H143" i="14"/>
  <c r="N142" i="14"/>
  <c r="H142" i="14"/>
  <c r="N141" i="14"/>
  <c r="H141" i="14"/>
  <c r="N140" i="14"/>
  <c r="H140" i="14"/>
  <c r="N139" i="14"/>
  <c r="H139" i="14"/>
  <c r="N138" i="14"/>
  <c r="H138" i="14"/>
  <c r="N137" i="14"/>
  <c r="H137" i="14"/>
  <c r="N136" i="14"/>
  <c r="H136" i="14"/>
  <c r="N135" i="14"/>
  <c r="H135" i="14"/>
  <c r="N134" i="14"/>
  <c r="H134" i="14"/>
  <c r="N133" i="14"/>
  <c r="H133" i="14"/>
  <c r="N132" i="14"/>
  <c r="H132" i="14"/>
  <c r="N131" i="14"/>
  <c r="H131" i="14"/>
  <c r="N130" i="14"/>
  <c r="H130" i="14"/>
  <c r="N129" i="14"/>
  <c r="H129" i="14"/>
  <c r="N128" i="14"/>
  <c r="H128" i="14"/>
  <c r="N127" i="14"/>
  <c r="H127" i="14"/>
  <c r="N126" i="14"/>
  <c r="H126" i="14"/>
  <c r="N125" i="14"/>
  <c r="H125" i="14"/>
  <c r="N124" i="14"/>
  <c r="H124" i="14"/>
  <c r="N123" i="14"/>
  <c r="H123" i="14"/>
  <c r="N122" i="14"/>
  <c r="H122" i="14"/>
  <c r="N121" i="14"/>
  <c r="H121" i="14"/>
  <c r="N120" i="14"/>
  <c r="H120" i="14"/>
  <c r="N119" i="14"/>
  <c r="H119" i="14"/>
  <c r="N118" i="14"/>
  <c r="H118" i="14"/>
  <c r="N117" i="14"/>
  <c r="H117" i="14"/>
  <c r="N116" i="14"/>
  <c r="H116" i="14"/>
  <c r="N115" i="14"/>
  <c r="H115" i="14"/>
  <c r="N114" i="14"/>
  <c r="H114" i="14"/>
  <c r="N113" i="14"/>
  <c r="H113" i="14"/>
  <c r="N112" i="14"/>
  <c r="H112" i="14"/>
  <c r="N111" i="14"/>
  <c r="H111" i="14"/>
  <c r="N110" i="14"/>
  <c r="H110" i="14"/>
  <c r="N109" i="14"/>
  <c r="H109" i="14"/>
  <c r="N108" i="14"/>
  <c r="H108" i="14"/>
  <c r="N107" i="14"/>
  <c r="H107" i="14"/>
  <c r="N106" i="14"/>
  <c r="H106" i="14"/>
  <c r="N105" i="14"/>
  <c r="H105" i="14"/>
  <c r="N104" i="14"/>
  <c r="H104" i="14"/>
  <c r="N103" i="14"/>
  <c r="H103" i="14"/>
  <c r="N102" i="14"/>
  <c r="H102" i="14"/>
  <c r="N101" i="14"/>
  <c r="H101" i="14"/>
  <c r="N100" i="14"/>
  <c r="H100" i="14"/>
  <c r="N99" i="14"/>
  <c r="H99" i="14"/>
  <c r="N98" i="14"/>
  <c r="H98" i="14"/>
  <c r="N97" i="14"/>
  <c r="H97" i="14"/>
  <c r="N96" i="14"/>
  <c r="H96" i="14"/>
  <c r="N95" i="14"/>
  <c r="H95" i="14"/>
  <c r="N94" i="14"/>
  <c r="H94" i="14"/>
  <c r="N93" i="14"/>
  <c r="H93" i="14"/>
  <c r="N92" i="14"/>
  <c r="H92" i="14"/>
  <c r="N91" i="14"/>
  <c r="H91" i="14"/>
  <c r="N90" i="14"/>
  <c r="H90" i="14"/>
  <c r="N89" i="14"/>
  <c r="H89" i="14"/>
  <c r="N88" i="14"/>
  <c r="H88" i="14"/>
  <c r="N87" i="14"/>
  <c r="H87" i="14"/>
  <c r="N86" i="14"/>
  <c r="H86" i="14"/>
  <c r="N85" i="14"/>
  <c r="H85" i="14"/>
  <c r="N84" i="14"/>
  <c r="H84" i="14"/>
  <c r="N83" i="14"/>
  <c r="H83" i="14"/>
  <c r="N82" i="14"/>
  <c r="H82" i="14"/>
  <c r="N81" i="14"/>
  <c r="H81" i="14"/>
  <c r="N80" i="14"/>
  <c r="H80" i="14"/>
  <c r="N79" i="14"/>
  <c r="H79" i="14"/>
  <c r="N78" i="14"/>
  <c r="H78" i="14"/>
  <c r="N77" i="14"/>
  <c r="H77" i="14"/>
  <c r="N76" i="14"/>
  <c r="H76" i="14"/>
  <c r="N75" i="14"/>
  <c r="H75" i="14"/>
  <c r="N74" i="14"/>
  <c r="H74" i="14"/>
  <c r="N73" i="14"/>
  <c r="H73" i="14"/>
  <c r="N72" i="14"/>
  <c r="H72" i="14"/>
  <c r="N71" i="14"/>
  <c r="H71" i="14"/>
  <c r="N70" i="14"/>
  <c r="H70" i="14"/>
  <c r="N69" i="14"/>
  <c r="H69" i="14"/>
  <c r="N68" i="14"/>
  <c r="H68" i="14"/>
  <c r="N67" i="14"/>
  <c r="H67" i="14"/>
  <c r="N66" i="14"/>
  <c r="H66" i="14"/>
  <c r="N65" i="14"/>
  <c r="H65" i="14"/>
  <c r="N64" i="14"/>
  <c r="H64" i="14"/>
  <c r="N63" i="14"/>
  <c r="H63" i="14"/>
  <c r="N62" i="14"/>
  <c r="H62" i="14"/>
  <c r="N61" i="14"/>
  <c r="H61" i="14"/>
  <c r="N60" i="14"/>
  <c r="H60" i="14"/>
  <c r="N59" i="14"/>
  <c r="H59" i="14"/>
  <c r="N58" i="14"/>
  <c r="H58" i="14"/>
  <c r="N57" i="14"/>
  <c r="H57" i="14"/>
  <c r="N56" i="14"/>
  <c r="H56" i="14"/>
  <c r="N55" i="14"/>
  <c r="H55" i="14"/>
  <c r="N54" i="14"/>
  <c r="H54" i="14"/>
  <c r="N53" i="14"/>
  <c r="H53" i="14"/>
  <c r="N52" i="14"/>
  <c r="H52" i="14"/>
  <c r="N51" i="14"/>
  <c r="H51" i="14"/>
  <c r="N50" i="14"/>
  <c r="H50" i="14"/>
  <c r="N49" i="14"/>
  <c r="H49" i="14"/>
  <c r="N48" i="14"/>
  <c r="H48" i="14"/>
  <c r="N47" i="14"/>
  <c r="H47" i="14"/>
  <c r="N46" i="14"/>
  <c r="H46" i="14"/>
  <c r="N45" i="14"/>
  <c r="H45" i="14"/>
  <c r="N44" i="14"/>
  <c r="H44" i="14"/>
  <c r="N43" i="14"/>
  <c r="H43" i="14"/>
  <c r="N42" i="14"/>
  <c r="H42" i="14"/>
  <c r="N41" i="14"/>
  <c r="H41" i="14"/>
  <c r="N40" i="14"/>
  <c r="H40" i="14"/>
  <c r="N39" i="14"/>
  <c r="H39" i="14"/>
  <c r="N38" i="14"/>
  <c r="H38" i="14"/>
  <c r="N37" i="14"/>
  <c r="H37" i="14"/>
  <c r="N36" i="14"/>
  <c r="H36" i="14"/>
  <c r="N35" i="14"/>
  <c r="H35" i="14"/>
  <c r="N34" i="14"/>
  <c r="H34" i="14"/>
  <c r="N33" i="14"/>
  <c r="H33" i="14"/>
  <c r="N32" i="14"/>
  <c r="H32" i="14"/>
  <c r="N31" i="14"/>
  <c r="H31" i="14"/>
  <c r="N30" i="14"/>
  <c r="H30" i="14"/>
  <c r="N29" i="14"/>
  <c r="H29" i="14"/>
  <c r="N28" i="14"/>
  <c r="H28" i="14"/>
  <c r="N27" i="14"/>
  <c r="H27" i="14"/>
  <c r="N26" i="14"/>
  <c r="H26" i="14"/>
  <c r="N25" i="14"/>
  <c r="H25" i="14"/>
  <c r="N24" i="14"/>
  <c r="H24" i="14"/>
  <c r="N23" i="14"/>
  <c r="H23" i="14"/>
  <c r="N22" i="14"/>
  <c r="H22" i="14"/>
  <c r="N21" i="14"/>
  <c r="H21" i="14"/>
  <c r="N20" i="14"/>
  <c r="H20" i="14"/>
  <c r="N19" i="14"/>
  <c r="H19" i="14"/>
  <c r="N18" i="14"/>
  <c r="H18" i="14"/>
  <c r="N17" i="14"/>
  <c r="H17" i="14"/>
  <c r="F16" i="14"/>
  <c r="R5" i="14"/>
  <c r="R6" i="14" s="1"/>
  <c r="R7" i="14" s="1"/>
  <c r="R8" i="14" s="1"/>
  <c r="R9" i="14" s="1"/>
  <c r="R10" i="14" s="1"/>
  <c r="R11" i="14" s="1"/>
  <c r="R12" i="14" s="1"/>
  <c r="R13" i="14" s="1"/>
  <c r="R14" i="14" s="1"/>
  <c r="R15" i="14" s="1"/>
  <c r="R16" i="14" s="1"/>
  <c r="T17" i="14" s="1"/>
  <c r="Q5" i="14"/>
  <c r="Q6" i="14" s="1"/>
  <c r="Q7" i="14" s="1"/>
  <c r="Q8" i="14" s="1"/>
  <c r="Q9" i="14" s="1"/>
  <c r="Q10" i="14" s="1"/>
  <c r="Q11" i="14" s="1"/>
  <c r="Q12" i="14" s="1"/>
  <c r="Q13" i="14" s="1"/>
  <c r="Q14" i="14" s="1"/>
  <c r="Q15" i="14" s="1"/>
  <c r="Q16" i="14" s="1"/>
  <c r="M5" i="14"/>
  <c r="M6" i="14" s="1"/>
  <c r="M7" i="14" s="1"/>
  <c r="M8" i="14" s="1"/>
  <c r="M9" i="14" s="1"/>
  <c r="M10" i="14" s="1"/>
  <c r="M11" i="14" s="1"/>
  <c r="M12" i="14" s="1"/>
  <c r="M13" i="14" s="1"/>
  <c r="M14" i="14" s="1"/>
  <c r="M15" i="14" s="1"/>
  <c r="M16" i="14" s="1"/>
  <c r="L5" i="14"/>
  <c r="L6" i="14" s="1"/>
  <c r="L7" i="14" s="1"/>
  <c r="L8" i="14" s="1"/>
  <c r="L9" i="14" s="1"/>
  <c r="L10" i="14" s="1"/>
  <c r="L11" i="14" s="1"/>
  <c r="L12" i="14" s="1"/>
  <c r="L13" i="14" s="1"/>
  <c r="L14" i="14" s="1"/>
  <c r="L15" i="14" s="1"/>
  <c r="L16" i="14" s="1"/>
  <c r="Q35" i="12" l="1"/>
  <c r="R34" i="12"/>
  <c r="M17" i="15"/>
  <c r="O18" i="15" s="1"/>
  <c r="M18" i="15" s="1"/>
  <c r="J17" i="15"/>
  <c r="C17" i="15" s="1"/>
  <c r="O17" i="14"/>
  <c r="L17" i="14" s="1"/>
  <c r="Q17" i="15"/>
  <c r="R17" i="15"/>
  <c r="R17" i="14"/>
  <c r="Q17" i="14"/>
  <c r="R35" i="12" l="1"/>
  <c r="Q36" i="12"/>
  <c r="B17" i="15"/>
  <c r="J17" i="14"/>
  <c r="C17" i="14" s="1"/>
  <c r="D17" i="14" s="1"/>
  <c r="M17" i="14"/>
  <c r="O18" i="14" s="1"/>
  <c r="T18" i="15"/>
  <c r="Q18" i="15" s="1"/>
  <c r="L18" i="15"/>
  <c r="O19" i="15" s="1"/>
  <c r="G17" i="15"/>
  <c r="D17" i="15"/>
  <c r="T18" i="14"/>
  <c r="R18" i="14" s="1"/>
  <c r="R36" i="12" l="1"/>
  <c r="Q37" i="12"/>
  <c r="B17" i="14"/>
  <c r="G17" i="14"/>
  <c r="F17" i="15"/>
  <c r="L19" i="15"/>
  <c r="J18" i="15"/>
  <c r="M19" i="15"/>
  <c r="R18" i="15"/>
  <c r="J18" i="14"/>
  <c r="C18" i="14" s="1"/>
  <c r="Q18" i="14"/>
  <c r="M18" i="14"/>
  <c r="F17" i="14"/>
  <c r="L18" i="14"/>
  <c r="T19" i="14"/>
  <c r="R19" i="14" s="1"/>
  <c r="R37" i="12" l="1"/>
  <c r="C18" i="15"/>
  <c r="B18" i="15"/>
  <c r="O20" i="15"/>
  <c r="L20" i="15" s="1"/>
  <c r="E17" i="15"/>
  <c r="T19" i="15"/>
  <c r="R19" i="15" s="1"/>
  <c r="D18" i="14"/>
  <c r="F18" i="14" s="1"/>
  <c r="B18" i="14"/>
  <c r="O19" i="14"/>
  <c r="L19" i="14" s="1"/>
  <c r="E17" i="14"/>
  <c r="Q19" i="14"/>
  <c r="Q38" i="12" l="1"/>
  <c r="T20" i="15"/>
  <c r="R20" i="15" s="1"/>
  <c r="G18" i="15"/>
  <c r="D18" i="15"/>
  <c r="Q19" i="15"/>
  <c r="J19" i="15"/>
  <c r="M20" i="15"/>
  <c r="O21" i="15" s="1"/>
  <c r="G18" i="14"/>
  <c r="M19" i="14"/>
  <c r="O20" i="14" s="1"/>
  <c r="L20" i="14" s="1"/>
  <c r="J19" i="14"/>
  <c r="C19" i="14" s="1"/>
  <c r="E18" i="14"/>
  <c r="T20" i="14"/>
  <c r="R20" i="14" s="1"/>
  <c r="R38" i="12" l="1"/>
  <c r="M20" i="14"/>
  <c r="O21" i="14" s="1"/>
  <c r="L21" i="14" s="1"/>
  <c r="M21" i="15"/>
  <c r="Q20" i="15"/>
  <c r="T21" i="15"/>
  <c r="R21" i="15" s="1"/>
  <c r="L21" i="15"/>
  <c r="J20" i="15"/>
  <c r="C19" i="15"/>
  <c r="G19" i="15" s="1"/>
  <c r="B19" i="15"/>
  <c r="F18" i="15"/>
  <c r="B19" i="14"/>
  <c r="Q20" i="14"/>
  <c r="J20" i="14"/>
  <c r="C20" i="14" s="1"/>
  <c r="Q39" i="12" l="1"/>
  <c r="J21" i="15"/>
  <c r="B21" i="15" s="1"/>
  <c r="E18" i="15"/>
  <c r="C20" i="15"/>
  <c r="G20" i="15" s="1"/>
  <c r="B20" i="15"/>
  <c r="D19" i="15"/>
  <c r="O22" i="15"/>
  <c r="L22" i="15" s="1"/>
  <c r="Q21" i="15"/>
  <c r="G19" i="14"/>
  <c r="D19" i="14"/>
  <c r="F19" i="14" s="1"/>
  <c r="E19" i="14" s="1"/>
  <c r="M21" i="14"/>
  <c r="O22" i="14" s="1"/>
  <c r="L22" i="14" s="1"/>
  <c r="B20" i="14"/>
  <c r="T21" i="14"/>
  <c r="R21" i="14" s="1"/>
  <c r="R39" i="12" l="1"/>
  <c r="C21" i="15"/>
  <c r="G21" i="15" s="1"/>
  <c r="D20" i="15"/>
  <c r="O23" i="15"/>
  <c r="F19" i="15"/>
  <c r="T22" i="15"/>
  <c r="R22" i="15" s="1"/>
  <c r="M22" i="15"/>
  <c r="M22" i="14"/>
  <c r="O23" i="14" s="1"/>
  <c r="L23" i="14" s="1"/>
  <c r="Q21" i="14"/>
  <c r="T22" i="14" s="1"/>
  <c r="R22" i="14" s="1"/>
  <c r="G20" i="14"/>
  <c r="D20" i="14"/>
  <c r="J21" i="14"/>
  <c r="C21" i="14" s="1"/>
  <c r="Q40" i="12" l="1"/>
  <c r="D21" i="15"/>
  <c r="M23" i="15"/>
  <c r="J22" i="15"/>
  <c r="L23" i="15"/>
  <c r="E19" i="15"/>
  <c r="F20" i="15"/>
  <c r="Q22" i="15"/>
  <c r="M23" i="14"/>
  <c r="O24" i="14"/>
  <c r="L24" i="14" s="1"/>
  <c r="Q22" i="14"/>
  <c r="F20" i="14"/>
  <c r="J22" i="14"/>
  <c r="C22" i="14" s="1"/>
  <c r="G21" i="14"/>
  <c r="B21" i="14"/>
  <c r="R40" i="12" l="1"/>
  <c r="T23" i="15"/>
  <c r="E20" i="15"/>
  <c r="F21" i="15"/>
  <c r="O24" i="15"/>
  <c r="L24" i="15" s="1"/>
  <c r="C22" i="15"/>
  <c r="B22" i="15"/>
  <c r="M24" i="14"/>
  <c r="D21" i="14"/>
  <c r="F21" i="14" s="1"/>
  <c r="T23" i="14"/>
  <c r="E20" i="14"/>
  <c r="O25" i="14"/>
  <c r="G22" i="14"/>
  <c r="B22" i="14"/>
  <c r="T41" i="12" l="1"/>
  <c r="Q41" i="12" s="1"/>
  <c r="O25" i="15"/>
  <c r="M24" i="15"/>
  <c r="J23" i="15"/>
  <c r="R23" i="15"/>
  <c r="E21" i="15"/>
  <c r="G22" i="15"/>
  <c r="D22" i="15"/>
  <c r="Q23" i="15"/>
  <c r="E21" i="14"/>
  <c r="R23" i="14"/>
  <c r="J23" i="14"/>
  <c r="C23" i="14" s="1"/>
  <c r="L25" i="14"/>
  <c r="Q23" i="14"/>
  <c r="M25" i="14"/>
  <c r="D22" i="14"/>
  <c r="R41" i="12" l="1"/>
  <c r="T42" i="12" s="1"/>
  <c r="Q42" i="12" s="1"/>
  <c r="M25" i="15"/>
  <c r="C23" i="15"/>
  <c r="G23" i="15" s="1"/>
  <c r="B23" i="15"/>
  <c r="T24" i="15"/>
  <c r="J24" i="15" s="1"/>
  <c r="F22" i="15"/>
  <c r="L25" i="15"/>
  <c r="O26" i="14"/>
  <c r="L26" i="14" s="1"/>
  <c r="G23" i="14"/>
  <c r="B23" i="14"/>
  <c r="D23" i="14"/>
  <c r="F22" i="14"/>
  <c r="T24" i="14"/>
  <c r="J24" i="14" s="1"/>
  <c r="C24" i="14" s="1"/>
  <c r="R42" i="12" l="1"/>
  <c r="T43" i="12"/>
  <c r="Q43" i="12" s="1"/>
  <c r="D23" i="15"/>
  <c r="F23" i="15" s="1"/>
  <c r="B24" i="15"/>
  <c r="C24" i="15"/>
  <c r="G24" i="15" s="1"/>
  <c r="Q24" i="15"/>
  <c r="O26" i="15"/>
  <c r="E22" i="15"/>
  <c r="R24" i="15"/>
  <c r="M26" i="14"/>
  <c r="R24" i="14"/>
  <c r="O27" i="14"/>
  <c r="E22" i="14"/>
  <c r="F23" i="14"/>
  <c r="G24" i="14"/>
  <c r="B24" i="14"/>
  <c r="Q24" i="14"/>
  <c r="R43" i="12" l="1"/>
  <c r="T44" i="12"/>
  <c r="Q44" i="12" s="1"/>
  <c r="D24" i="15"/>
  <c r="F24" i="15" s="1"/>
  <c r="E23" i="15"/>
  <c r="M26" i="15"/>
  <c r="L26" i="15"/>
  <c r="T25" i="15"/>
  <c r="J25" i="15" s="1"/>
  <c r="M27" i="14"/>
  <c r="E23" i="14"/>
  <c r="T25" i="14"/>
  <c r="Q25" i="14" s="1"/>
  <c r="D24" i="14"/>
  <c r="L27" i="14"/>
  <c r="T45" i="12" l="1"/>
  <c r="Q45" i="12" s="1"/>
  <c r="R44" i="12"/>
  <c r="Q25" i="15"/>
  <c r="O27" i="15"/>
  <c r="L27" i="15" s="1"/>
  <c r="E24" i="15"/>
  <c r="C25" i="15"/>
  <c r="B25" i="15"/>
  <c r="R25" i="15"/>
  <c r="J25" i="14"/>
  <c r="C25" i="14" s="1"/>
  <c r="R25" i="14"/>
  <c r="T26" i="14" s="1"/>
  <c r="J26" i="14" s="1"/>
  <c r="C26" i="14" s="1"/>
  <c r="F24" i="14"/>
  <c r="O28" i="14"/>
  <c r="R45" i="12" l="1"/>
  <c r="T46" i="12"/>
  <c r="Q46" i="12" s="1"/>
  <c r="T26" i="15"/>
  <c r="J26" i="15" s="1"/>
  <c r="C26" i="15" s="1"/>
  <c r="G26" i="15" s="1"/>
  <c r="M27" i="15"/>
  <c r="G25" i="15"/>
  <c r="D25" i="15"/>
  <c r="O28" i="15"/>
  <c r="Q26" i="14"/>
  <c r="M28" i="14"/>
  <c r="L28" i="14"/>
  <c r="E24" i="14"/>
  <c r="G26" i="14"/>
  <c r="B26" i="14"/>
  <c r="R26" i="14"/>
  <c r="B25" i="14"/>
  <c r="R46" i="12" l="1"/>
  <c r="T47" i="12"/>
  <c r="Q47" i="12" s="1"/>
  <c r="R26" i="15"/>
  <c r="T27" i="15" s="1"/>
  <c r="J27" i="15" s="1"/>
  <c r="Q26" i="15"/>
  <c r="B26" i="15"/>
  <c r="T27" i="14"/>
  <c r="J27" i="14" s="1"/>
  <c r="C27" i="14" s="1"/>
  <c r="G27" i="14" s="1"/>
  <c r="M28" i="15"/>
  <c r="D26" i="15"/>
  <c r="F25" i="15"/>
  <c r="L28" i="15"/>
  <c r="G25" i="14"/>
  <c r="D25" i="14"/>
  <c r="O29" i="14"/>
  <c r="R47" i="12" l="1"/>
  <c r="T48" i="12"/>
  <c r="Q48" i="12" s="1"/>
  <c r="B27" i="14"/>
  <c r="R27" i="14"/>
  <c r="Q27" i="14"/>
  <c r="O29" i="15"/>
  <c r="L29" i="15" s="1"/>
  <c r="C27" i="15"/>
  <c r="G27" i="15" s="1"/>
  <c r="B27" i="15"/>
  <c r="Q27" i="15"/>
  <c r="E25" i="15"/>
  <c r="F26" i="15"/>
  <c r="R27" i="15"/>
  <c r="M29" i="14"/>
  <c r="L29" i="14"/>
  <c r="D26" i="14"/>
  <c r="D27" i="14" s="1"/>
  <c r="F25" i="14"/>
  <c r="R48" i="12" l="1"/>
  <c r="T49" i="12" s="1"/>
  <c r="Q49" i="12" s="1"/>
  <c r="T28" i="14"/>
  <c r="R28" i="14" s="1"/>
  <c r="D27" i="15"/>
  <c r="F27" i="15" s="1"/>
  <c r="M29" i="15"/>
  <c r="O30" i="15" s="1"/>
  <c r="L30" i="15" s="1"/>
  <c r="E26" i="15"/>
  <c r="T28" i="15"/>
  <c r="J28" i="15" s="1"/>
  <c r="E25" i="14"/>
  <c r="F26" i="14"/>
  <c r="O30" i="14"/>
  <c r="R49" i="12" l="1"/>
  <c r="J28" i="14"/>
  <c r="Q28" i="14"/>
  <c r="M30" i="15"/>
  <c r="B28" i="15"/>
  <c r="C28" i="15"/>
  <c r="Q28" i="15"/>
  <c r="R28" i="15"/>
  <c r="E27" i="15"/>
  <c r="O31" i="15"/>
  <c r="L30" i="14"/>
  <c r="F27" i="14"/>
  <c r="E26" i="14"/>
  <c r="M30" i="14"/>
  <c r="T50" i="12" l="1"/>
  <c r="Q50" i="12" s="1"/>
  <c r="T29" i="14"/>
  <c r="C28" i="14"/>
  <c r="B28" i="14"/>
  <c r="M31" i="15"/>
  <c r="L31" i="15"/>
  <c r="O32" i="15" s="1"/>
  <c r="T29" i="15"/>
  <c r="J29" i="15" s="1"/>
  <c r="G28" i="15"/>
  <c r="D28" i="15"/>
  <c r="E27" i="14"/>
  <c r="O31" i="14"/>
  <c r="R50" i="12" l="1"/>
  <c r="J29" i="14"/>
  <c r="R29" i="14"/>
  <c r="G28" i="14"/>
  <c r="D28" i="14"/>
  <c r="Q29" i="14"/>
  <c r="T30" i="14" s="1"/>
  <c r="M32" i="15"/>
  <c r="C29" i="15"/>
  <c r="G29" i="15" s="1"/>
  <c r="B29" i="15"/>
  <c r="Q29" i="15"/>
  <c r="R29" i="15"/>
  <c r="F28" i="15"/>
  <c r="L32" i="15"/>
  <c r="M31" i="14"/>
  <c r="L31" i="14"/>
  <c r="T51" i="12" l="1"/>
  <c r="Q51" i="12" s="1"/>
  <c r="Q30" i="14"/>
  <c r="T31" i="14" s="1"/>
  <c r="J30" i="14"/>
  <c r="C29" i="14"/>
  <c r="G29" i="14" s="1"/>
  <c r="B29" i="14"/>
  <c r="F28" i="14"/>
  <c r="R30" i="14"/>
  <c r="D29" i="15"/>
  <c r="F29" i="15" s="1"/>
  <c r="E28" i="15"/>
  <c r="T30" i="15"/>
  <c r="J30" i="15" s="1"/>
  <c r="O33" i="15"/>
  <c r="L33" i="15" s="1"/>
  <c r="O32" i="14"/>
  <c r="R51" i="12" l="1"/>
  <c r="D29" i="14"/>
  <c r="F29" i="14" s="1"/>
  <c r="R31" i="14"/>
  <c r="E28" i="14"/>
  <c r="Q31" i="14"/>
  <c r="T32" i="14" s="1"/>
  <c r="Q32" i="14" s="1"/>
  <c r="T33" i="14" s="1"/>
  <c r="Q33" i="14" s="1"/>
  <c r="J31" i="14"/>
  <c r="C30" i="14"/>
  <c r="G30" i="14" s="1"/>
  <c r="B30" i="14"/>
  <c r="Q30" i="15"/>
  <c r="T31" i="15" s="1"/>
  <c r="J31" i="15" s="1"/>
  <c r="O34" i="15"/>
  <c r="L34" i="15" s="1"/>
  <c r="B30" i="15"/>
  <c r="C30" i="15"/>
  <c r="R30" i="15"/>
  <c r="M33" i="15"/>
  <c r="E29" i="15"/>
  <c r="M32" i="14"/>
  <c r="L32" i="14"/>
  <c r="T52" i="12" l="1"/>
  <c r="Q52" i="12" s="1"/>
  <c r="J32" i="14"/>
  <c r="C32" i="14" s="1"/>
  <c r="G32" i="14" s="1"/>
  <c r="D30" i="14"/>
  <c r="F30" i="14" s="1"/>
  <c r="R32" i="14"/>
  <c r="R33" i="14" s="1"/>
  <c r="T34" i="14" s="1"/>
  <c r="Q34" i="14" s="1"/>
  <c r="T35" i="14" s="1"/>
  <c r="Q35" i="14" s="1"/>
  <c r="T36" i="14" s="1"/>
  <c r="Q36" i="14" s="1"/>
  <c r="E29" i="14"/>
  <c r="C31" i="14"/>
  <c r="G31" i="14" s="1"/>
  <c r="B31" i="14"/>
  <c r="R31" i="15"/>
  <c r="Q31" i="15"/>
  <c r="T32" i="15" s="1"/>
  <c r="J32" i="15" s="1"/>
  <c r="M34" i="15"/>
  <c r="O35" i="15" s="1"/>
  <c r="C31" i="15"/>
  <c r="G31" i="15" s="1"/>
  <c r="B31" i="15"/>
  <c r="G30" i="15"/>
  <c r="D30" i="15"/>
  <c r="O33" i="14"/>
  <c r="J33" i="14" s="1"/>
  <c r="C33" i="14" s="1"/>
  <c r="R52" i="12" l="1"/>
  <c r="B32" i="14"/>
  <c r="R34" i="14"/>
  <c r="R35" i="14" s="1"/>
  <c r="R36" i="14" s="1"/>
  <c r="E30" i="14"/>
  <c r="D31" i="14"/>
  <c r="D32" i="14" s="1"/>
  <c r="D31" i="15"/>
  <c r="F30" i="15"/>
  <c r="B32" i="15"/>
  <c r="C32" i="15"/>
  <c r="G32" i="15" s="1"/>
  <c r="Q32" i="15"/>
  <c r="L35" i="15"/>
  <c r="M35" i="15"/>
  <c r="R32" i="15"/>
  <c r="T37" i="14"/>
  <c r="Q37" i="14" s="1"/>
  <c r="G33" i="14"/>
  <c r="B33" i="14"/>
  <c r="L33" i="14"/>
  <c r="M33" i="14"/>
  <c r="T53" i="12" l="1"/>
  <c r="Q53" i="12" s="1"/>
  <c r="F31" i="14"/>
  <c r="E31" i="14" s="1"/>
  <c r="O36" i="15"/>
  <c r="M36" i="15" s="1"/>
  <c r="T33" i="15"/>
  <c r="J33" i="15" s="1"/>
  <c r="E30" i="15"/>
  <c r="F31" i="15"/>
  <c r="D32" i="15"/>
  <c r="R37" i="14"/>
  <c r="T38" i="14"/>
  <c r="Q38" i="14" s="1"/>
  <c r="O34" i="14"/>
  <c r="J34" i="14" s="1"/>
  <c r="C34" i="14" s="1"/>
  <c r="D33" i="14"/>
  <c r="R53" i="12" l="1"/>
  <c r="F32" i="14"/>
  <c r="E32" i="14" s="1"/>
  <c r="R33" i="15"/>
  <c r="E31" i="15"/>
  <c r="F32" i="15"/>
  <c r="B33" i="15"/>
  <c r="C33" i="15"/>
  <c r="G33" i="15" s="1"/>
  <c r="Q33" i="15"/>
  <c r="L36" i="15"/>
  <c r="R38" i="14"/>
  <c r="T39" i="14"/>
  <c r="Q39" i="14" s="1"/>
  <c r="G34" i="14"/>
  <c r="B34" i="14"/>
  <c r="L34" i="14"/>
  <c r="M34" i="14"/>
  <c r="T54" i="12" l="1"/>
  <c r="Q54" i="12" s="1"/>
  <c r="F33" i="14"/>
  <c r="E33" i="14" s="1"/>
  <c r="T34" i="15"/>
  <c r="O37" i="15"/>
  <c r="E32" i="15"/>
  <c r="D33" i="15"/>
  <c r="R39" i="14"/>
  <c r="T40" i="14"/>
  <c r="Q40" i="14" s="1"/>
  <c r="O35" i="14"/>
  <c r="J35" i="14" s="1"/>
  <c r="C35" i="14" s="1"/>
  <c r="D34" i="14"/>
  <c r="R54" i="12" l="1"/>
  <c r="F34" i="14"/>
  <c r="E34" i="14" s="1"/>
  <c r="F33" i="15"/>
  <c r="M37" i="15"/>
  <c r="L37" i="15"/>
  <c r="J34" i="15"/>
  <c r="R34" i="15"/>
  <c r="Q34" i="15"/>
  <c r="R40" i="14"/>
  <c r="T41" i="14"/>
  <c r="Q41" i="14" s="1"/>
  <c r="B35" i="14"/>
  <c r="G35" i="14"/>
  <c r="L35" i="14"/>
  <c r="M35" i="14"/>
  <c r="T55" i="12" l="1"/>
  <c r="Q55" i="12" s="1"/>
  <c r="T35" i="15"/>
  <c r="J35" i="15" s="1"/>
  <c r="B34" i="15"/>
  <c r="C34" i="15"/>
  <c r="O38" i="15"/>
  <c r="M38" i="15" s="1"/>
  <c r="E33" i="15"/>
  <c r="R41" i="14"/>
  <c r="O36" i="14"/>
  <c r="J36" i="14" s="1"/>
  <c r="C36" i="14" s="1"/>
  <c r="T42" i="14"/>
  <c r="D35" i="14"/>
  <c r="R55" i="12" l="1"/>
  <c r="R35" i="15"/>
  <c r="L38" i="15"/>
  <c r="G34" i="15"/>
  <c r="D34" i="15"/>
  <c r="B35" i="15"/>
  <c r="C35" i="15"/>
  <c r="G35" i="15" s="1"/>
  <c r="Q35" i="15"/>
  <c r="M36" i="14"/>
  <c r="R42" i="14"/>
  <c r="F35" i="14"/>
  <c r="Q42" i="14"/>
  <c r="G36" i="14"/>
  <c r="B36" i="14"/>
  <c r="L36" i="14"/>
  <c r="T56" i="12" l="1"/>
  <c r="Q56" i="12" s="1"/>
  <c r="D35" i="15"/>
  <c r="F34" i="15"/>
  <c r="O39" i="15"/>
  <c r="T36" i="15"/>
  <c r="Q36" i="15" s="1"/>
  <c r="T43" i="14"/>
  <c r="R43" i="14" s="1"/>
  <c r="O37" i="14"/>
  <c r="E35" i="14"/>
  <c r="D36" i="14"/>
  <c r="R56" i="12" l="1"/>
  <c r="T57" i="12" s="1"/>
  <c r="Q57" i="12" s="1"/>
  <c r="J36" i="15"/>
  <c r="R36" i="15"/>
  <c r="M39" i="15"/>
  <c r="T37" i="15"/>
  <c r="J37" i="15" s="1"/>
  <c r="L39" i="15"/>
  <c r="E34" i="15"/>
  <c r="F35" i="15"/>
  <c r="F36" i="14"/>
  <c r="J37" i="14"/>
  <c r="C37" i="14" s="1"/>
  <c r="M37" i="14"/>
  <c r="L37" i="14"/>
  <c r="Q43" i="14"/>
  <c r="R57" i="12" l="1"/>
  <c r="T58" i="12"/>
  <c r="Q58" i="12" s="1"/>
  <c r="B37" i="15"/>
  <c r="C37" i="15"/>
  <c r="G37" i="15" s="1"/>
  <c r="Q37" i="15"/>
  <c r="O40" i="15"/>
  <c r="M40" i="15" s="1"/>
  <c r="R37" i="15"/>
  <c r="E35" i="15"/>
  <c r="B36" i="15"/>
  <c r="C36" i="15"/>
  <c r="T44" i="14"/>
  <c r="R44" i="14" s="1"/>
  <c r="O38" i="14"/>
  <c r="J38" i="14" s="1"/>
  <c r="C38" i="14" s="1"/>
  <c r="B37" i="14"/>
  <c r="E36" i="14"/>
  <c r="T59" i="12" l="1"/>
  <c r="Q59" i="12" s="1"/>
  <c r="R58" i="12"/>
  <c r="L40" i="15"/>
  <c r="G36" i="15"/>
  <c r="D36" i="15"/>
  <c r="T38" i="15"/>
  <c r="J38" i="15" s="1"/>
  <c r="G37" i="14"/>
  <c r="D37" i="14"/>
  <c r="M38" i="14"/>
  <c r="G38" i="14"/>
  <c r="B38" i="14"/>
  <c r="L38" i="14"/>
  <c r="Q44" i="14"/>
  <c r="T45" i="14" s="1"/>
  <c r="R45" i="14" s="1"/>
  <c r="T60" i="12" l="1"/>
  <c r="Q60" i="12" s="1"/>
  <c r="R59" i="12"/>
  <c r="Q38" i="15"/>
  <c r="D37" i="15"/>
  <c r="F36" i="15"/>
  <c r="O41" i="15"/>
  <c r="L41" i="15" s="1"/>
  <c r="B38" i="15"/>
  <c r="C38" i="15"/>
  <c r="G38" i="15" s="1"/>
  <c r="R38" i="15"/>
  <c r="O39" i="14"/>
  <c r="J39" i="14" s="1"/>
  <c r="C39" i="14" s="1"/>
  <c r="D38" i="14"/>
  <c r="F37" i="14"/>
  <c r="Q45" i="14"/>
  <c r="R60" i="12" l="1"/>
  <c r="T61" i="12"/>
  <c r="Q61" i="12" s="1"/>
  <c r="E36" i="15"/>
  <c r="F37" i="15"/>
  <c r="M41" i="15"/>
  <c r="D38" i="15"/>
  <c r="T39" i="15"/>
  <c r="J39" i="15" s="1"/>
  <c r="T46" i="14"/>
  <c r="R46" i="14" s="1"/>
  <c r="T47" i="14" s="1"/>
  <c r="R47" i="14" s="1"/>
  <c r="E37" i="14"/>
  <c r="F38" i="14"/>
  <c r="M39" i="14"/>
  <c r="B39" i="14"/>
  <c r="G39" i="14"/>
  <c r="L39" i="14"/>
  <c r="T62" i="12" l="1"/>
  <c r="Q62" i="12" s="1"/>
  <c r="R61" i="12"/>
  <c r="Q39" i="15"/>
  <c r="O42" i="15"/>
  <c r="E37" i="15"/>
  <c r="F38" i="15"/>
  <c r="R39" i="15"/>
  <c r="B39" i="15"/>
  <c r="C39" i="15"/>
  <c r="G39" i="15" s="1"/>
  <c r="Q46" i="14"/>
  <c r="Q47" i="14" s="1"/>
  <c r="D39" i="14"/>
  <c r="F39" i="14" s="1"/>
  <c r="E38" i="14"/>
  <c r="O40" i="14"/>
  <c r="J40" i="14" s="1"/>
  <c r="C40" i="14" s="1"/>
  <c r="R62" i="12" l="1"/>
  <c r="T63" i="12"/>
  <c r="Q63" i="12" s="1"/>
  <c r="E38" i="15"/>
  <c r="L42" i="15"/>
  <c r="M42" i="15"/>
  <c r="T40" i="15"/>
  <c r="J40" i="15" s="1"/>
  <c r="D39" i="15"/>
  <c r="F39" i="15" s="1"/>
  <c r="B40" i="14"/>
  <c r="E39" i="14"/>
  <c r="M40" i="14"/>
  <c r="T48" i="14"/>
  <c r="R48" i="14" s="1"/>
  <c r="L40" i="14"/>
  <c r="T64" i="12" l="1"/>
  <c r="Q64" i="12" s="1"/>
  <c r="R63" i="12"/>
  <c r="Q40" i="15"/>
  <c r="O43" i="15"/>
  <c r="E39" i="15"/>
  <c r="B40" i="15"/>
  <c r="C40" i="15"/>
  <c r="G40" i="15" s="1"/>
  <c r="R40" i="15"/>
  <c r="Q48" i="14"/>
  <c r="O41" i="14"/>
  <c r="J41" i="14" s="1"/>
  <c r="C41" i="14" s="1"/>
  <c r="G40" i="14"/>
  <c r="D40" i="14"/>
  <c r="T65" i="12" l="1"/>
  <c r="Q65" i="12" s="1"/>
  <c r="R64" i="12"/>
  <c r="L43" i="15"/>
  <c r="M43" i="15"/>
  <c r="D40" i="15"/>
  <c r="T41" i="15"/>
  <c r="J41" i="15" s="1"/>
  <c r="F40" i="14"/>
  <c r="G41" i="14"/>
  <c r="B41" i="14"/>
  <c r="L41" i="14"/>
  <c r="M41" i="14"/>
  <c r="T49" i="14"/>
  <c r="R49" i="14" s="1"/>
  <c r="R65" i="12" l="1"/>
  <c r="T66" i="12"/>
  <c r="Q66" i="12" s="1"/>
  <c r="B41" i="15"/>
  <c r="C41" i="15"/>
  <c r="G41" i="15" s="1"/>
  <c r="F40" i="15"/>
  <c r="Q41" i="15"/>
  <c r="R41" i="15"/>
  <c r="O44" i="15"/>
  <c r="M44" i="15" s="1"/>
  <c r="Q49" i="14"/>
  <c r="O42" i="14"/>
  <c r="J42" i="14" s="1"/>
  <c r="C42" i="14" s="1"/>
  <c r="E40" i="14"/>
  <c r="D41" i="14"/>
  <c r="F41" i="14" s="1"/>
  <c r="R66" i="12" l="1"/>
  <c r="T67" i="12" s="1"/>
  <c r="Q67" i="12" s="1"/>
  <c r="T42" i="15"/>
  <c r="J42" i="15" s="1"/>
  <c r="E40" i="15"/>
  <c r="L44" i="15"/>
  <c r="D41" i="15"/>
  <c r="F41" i="15" s="1"/>
  <c r="E41" i="14"/>
  <c r="L42" i="14"/>
  <c r="B42" i="14"/>
  <c r="G42" i="14"/>
  <c r="M42" i="14"/>
  <c r="T50" i="14"/>
  <c r="R50" i="14" s="1"/>
  <c r="R67" i="12" l="1"/>
  <c r="E41" i="15"/>
  <c r="B42" i="15"/>
  <c r="C42" i="15"/>
  <c r="G42" i="15" s="1"/>
  <c r="Q42" i="15"/>
  <c r="O45" i="15"/>
  <c r="R42" i="15"/>
  <c r="Q50" i="14"/>
  <c r="O43" i="14"/>
  <c r="J43" i="14" s="1"/>
  <c r="C43" i="14" s="1"/>
  <c r="D42" i="14"/>
  <c r="T68" i="12" l="1"/>
  <c r="Q68" i="12" s="1"/>
  <c r="D42" i="15"/>
  <c r="F42" i="15" s="1"/>
  <c r="E42" i="15" s="1"/>
  <c r="M45" i="15"/>
  <c r="L45" i="15"/>
  <c r="T43" i="15"/>
  <c r="J43" i="15" s="1"/>
  <c r="T51" i="14"/>
  <c r="R51" i="14" s="1"/>
  <c r="F42" i="14"/>
  <c r="B43" i="14"/>
  <c r="G43" i="14"/>
  <c r="L43" i="14"/>
  <c r="M43" i="14"/>
  <c r="R68" i="12" l="1"/>
  <c r="B43" i="15"/>
  <c r="C43" i="15"/>
  <c r="Q43" i="15"/>
  <c r="R43" i="15"/>
  <c r="O46" i="15"/>
  <c r="Q51" i="14"/>
  <c r="T52" i="14" s="1"/>
  <c r="R52" i="14" s="1"/>
  <c r="O44" i="14"/>
  <c r="J44" i="14" s="1"/>
  <c r="C44" i="14" s="1"/>
  <c r="E42" i="14"/>
  <c r="D43" i="14"/>
  <c r="T69" i="12" l="1"/>
  <c r="Q69" i="12" s="1"/>
  <c r="M46" i="15"/>
  <c r="L46" i="15"/>
  <c r="T44" i="15"/>
  <c r="J44" i="15" s="1"/>
  <c r="G43" i="15"/>
  <c r="D43" i="15"/>
  <c r="Q52" i="14"/>
  <c r="T53" i="14" s="1"/>
  <c r="R53" i="14" s="1"/>
  <c r="F43" i="14"/>
  <c r="G44" i="14"/>
  <c r="B44" i="14"/>
  <c r="L44" i="14"/>
  <c r="M44" i="14"/>
  <c r="R69" i="12" l="1"/>
  <c r="Q44" i="15"/>
  <c r="T45" i="15" s="1"/>
  <c r="J45" i="15" s="1"/>
  <c r="B44" i="15"/>
  <c r="C44" i="15"/>
  <c r="G44" i="15" s="1"/>
  <c r="F43" i="15"/>
  <c r="R44" i="15"/>
  <c r="O47" i="15"/>
  <c r="M47" i="15" s="1"/>
  <c r="Q53" i="14"/>
  <c r="O45" i="14"/>
  <c r="J45" i="14" s="1"/>
  <c r="C45" i="14" s="1"/>
  <c r="E43" i="14"/>
  <c r="T54" i="14"/>
  <c r="R54" i="14" s="1"/>
  <c r="D44" i="14"/>
  <c r="T70" i="12" l="1"/>
  <c r="Q70" i="12" s="1"/>
  <c r="R45" i="15"/>
  <c r="L47" i="15"/>
  <c r="D44" i="15"/>
  <c r="F44" i="15" s="1"/>
  <c r="E43" i="15"/>
  <c r="B45" i="15"/>
  <c r="C45" i="15"/>
  <c r="G45" i="15" s="1"/>
  <c r="O48" i="15"/>
  <c r="Q45" i="15"/>
  <c r="M45" i="14"/>
  <c r="O46" i="14" s="1"/>
  <c r="J46" i="14" s="1"/>
  <c r="C46" i="14" s="1"/>
  <c r="Q54" i="14"/>
  <c r="F44" i="14"/>
  <c r="G45" i="14"/>
  <c r="B45" i="14"/>
  <c r="L45" i="14"/>
  <c r="R70" i="12" l="1"/>
  <c r="L48" i="15"/>
  <c r="T46" i="15"/>
  <c r="J46" i="15" s="1"/>
  <c r="B46" i="15" s="1"/>
  <c r="M48" i="15"/>
  <c r="O49" i="15" s="1"/>
  <c r="D45" i="15"/>
  <c r="F45" i="15" s="1"/>
  <c r="E44" i="15"/>
  <c r="B46" i="14"/>
  <c r="G46" i="14"/>
  <c r="M46" i="14"/>
  <c r="E44" i="14"/>
  <c r="T55" i="14"/>
  <c r="R55" i="14" s="1"/>
  <c r="L46" i="14"/>
  <c r="D45" i="14"/>
  <c r="D46" i="14" s="1"/>
  <c r="T71" i="12" l="1"/>
  <c r="Q71" i="12" s="1"/>
  <c r="C46" i="15"/>
  <c r="G46" i="15" s="1"/>
  <c r="Q46" i="15"/>
  <c r="R46" i="15"/>
  <c r="E45" i="15"/>
  <c r="M49" i="15"/>
  <c r="L49" i="15"/>
  <c r="F45" i="14"/>
  <c r="E45" i="14" s="1"/>
  <c r="Q55" i="14"/>
  <c r="O47" i="14"/>
  <c r="J47" i="14" s="1"/>
  <c r="C47" i="14" s="1"/>
  <c r="R71" i="12" l="1"/>
  <c r="T72" i="12" s="1"/>
  <c r="Q72" i="12" s="1"/>
  <c r="T47" i="15"/>
  <c r="J47" i="15" s="1"/>
  <c r="C47" i="15" s="1"/>
  <c r="G47" i="15" s="1"/>
  <c r="D46" i="15"/>
  <c r="O50" i="15"/>
  <c r="F46" i="14"/>
  <c r="E46" i="14" s="1"/>
  <c r="L47" i="14"/>
  <c r="B47" i="14"/>
  <c r="M47" i="14"/>
  <c r="T56" i="14"/>
  <c r="R56" i="14" s="1"/>
  <c r="R72" i="12" l="1"/>
  <c r="Q47" i="15"/>
  <c r="T48" i="15" s="1"/>
  <c r="J48" i="15" s="1"/>
  <c r="C48" i="15" s="1"/>
  <c r="B47" i="15"/>
  <c r="R47" i="15"/>
  <c r="D47" i="15"/>
  <c r="F46" i="15"/>
  <c r="M50" i="15"/>
  <c r="L50" i="15"/>
  <c r="Q56" i="14"/>
  <c r="O48" i="14"/>
  <c r="J48" i="14" s="1"/>
  <c r="C48" i="14" s="1"/>
  <c r="G47" i="14"/>
  <c r="D47" i="14"/>
  <c r="T73" i="12" l="1"/>
  <c r="Q73" i="12" s="1"/>
  <c r="B48" i="15"/>
  <c r="Q48" i="15"/>
  <c r="F47" i="15"/>
  <c r="E47" i="15" s="1"/>
  <c r="R48" i="15"/>
  <c r="T49" i="15" s="1"/>
  <c r="J49" i="15" s="1"/>
  <c r="E46" i="15"/>
  <c r="G48" i="15"/>
  <c r="D48" i="15"/>
  <c r="O51" i="15"/>
  <c r="M51" i="15" s="1"/>
  <c r="L48" i="14"/>
  <c r="F47" i="14"/>
  <c r="G48" i="14"/>
  <c r="B48" i="14"/>
  <c r="M48" i="14"/>
  <c r="T57" i="14"/>
  <c r="R57" i="14" s="1"/>
  <c r="R73" i="12" l="1"/>
  <c r="F48" i="15"/>
  <c r="E48" i="15" s="1"/>
  <c r="Q49" i="15"/>
  <c r="B49" i="15"/>
  <c r="C49" i="15"/>
  <c r="G49" i="15" s="1"/>
  <c r="O52" i="15"/>
  <c r="M52" i="15" s="1"/>
  <c r="R49" i="15"/>
  <c r="L51" i="15"/>
  <c r="Q57" i="14"/>
  <c r="T58" i="14" s="1"/>
  <c r="O49" i="14"/>
  <c r="E47" i="14"/>
  <c r="D48" i="14"/>
  <c r="F48" i="14" s="1"/>
  <c r="T74" i="12" l="1"/>
  <c r="Q74" i="12" s="1"/>
  <c r="L52" i="15"/>
  <c r="D49" i="15"/>
  <c r="T50" i="15"/>
  <c r="O53" i="15"/>
  <c r="Q58" i="14"/>
  <c r="E48" i="14"/>
  <c r="R58" i="14"/>
  <c r="T59" i="14" s="1"/>
  <c r="J49" i="14"/>
  <c r="C49" i="14" s="1"/>
  <c r="L49" i="14"/>
  <c r="M49" i="14"/>
  <c r="R74" i="12" l="1"/>
  <c r="J50" i="15"/>
  <c r="Q50" i="15"/>
  <c r="R50" i="15"/>
  <c r="M53" i="15"/>
  <c r="L53" i="15"/>
  <c r="F49" i="15"/>
  <c r="Q59" i="14"/>
  <c r="B49" i="14"/>
  <c r="R59" i="14"/>
  <c r="O50" i="14"/>
  <c r="J50" i="14" s="1"/>
  <c r="C50" i="14" s="1"/>
  <c r="T75" i="12" l="1"/>
  <c r="Q75" i="12" s="1"/>
  <c r="O54" i="15"/>
  <c r="T51" i="15"/>
  <c r="J51" i="15" s="1"/>
  <c r="B50" i="15"/>
  <c r="C50" i="15"/>
  <c r="E49" i="15"/>
  <c r="T60" i="14"/>
  <c r="Q60" i="14" s="1"/>
  <c r="M50" i="14"/>
  <c r="L50" i="14"/>
  <c r="B50" i="14"/>
  <c r="G50" i="14"/>
  <c r="G49" i="14"/>
  <c r="D49" i="14"/>
  <c r="R75" i="12" l="1"/>
  <c r="Q51" i="15"/>
  <c r="B51" i="15"/>
  <c r="C51" i="15"/>
  <c r="G51" i="15" s="1"/>
  <c r="G50" i="15"/>
  <c r="D50" i="15"/>
  <c r="R51" i="15"/>
  <c r="M54" i="15"/>
  <c r="L54" i="15"/>
  <c r="R60" i="14"/>
  <c r="T61" i="14" s="1"/>
  <c r="Q61" i="14" s="1"/>
  <c r="T62" i="14" s="1"/>
  <c r="Q62" i="14" s="1"/>
  <c r="D50" i="14"/>
  <c r="F49" i="14"/>
  <c r="O51" i="14"/>
  <c r="J51" i="14" s="1"/>
  <c r="C51" i="14" s="1"/>
  <c r="T76" i="12" l="1"/>
  <c r="Q76" i="12" s="1"/>
  <c r="D51" i="15"/>
  <c r="F50" i="15"/>
  <c r="O55" i="15"/>
  <c r="L55" i="15" s="1"/>
  <c r="T52" i="15"/>
  <c r="J52" i="15" s="1"/>
  <c r="R61" i="14"/>
  <c r="R62" i="14" s="1"/>
  <c r="T63" i="14"/>
  <c r="Q63" i="14" s="1"/>
  <c r="B51" i="14"/>
  <c r="G51" i="14"/>
  <c r="M51" i="14"/>
  <c r="L51" i="14"/>
  <c r="E49" i="14"/>
  <c r="F50" i="14"/>
  <c r="R76" i="12" l="1"/>
  <c r="Q52" i="15"/>
  <c r="B52" i="15"/>
  <c r="C52" i="15"/>
  <c r="G52" i="15" s="1"/>
  <c r="R52" i="15"/>
  <c r="M55" i="15"/>
  <c r="E50" i="15"/>
  <c r="F51" i="15"/>
  <c r="R63" i="14"/>
  <c r="T64" i="14"/>
  <c r="Q64" i="14" s="1"/>
  <c r="O52" i="14"/>
  <c r="J52" i="14" s="1"/>
  <c r="C52" i="14" s="1"/>
  <c r="D51" i="14"/>
  <c r="E50" i="14"/>
  <c r="T77" i="12" l="1"/>
  <c r="Q77" i="12" s="1"/>
  <c r="D52" i="15"/>
  <c r="F52" i="15" s="1"/>
  <c r="O56" i="15"/>
  <c r="T53" i="15"/>
  <c r="E51" i="15"/>
  <c r="R64" i="14"/>
  <c r="G52" i="14"/>
  <c r="B52" i="14"/>
  <c r="M52" i="14"/>
  <c r="L52" i="14"/>
  <c r="T65" i="14"/>
  <c r="F51" i="14"/>
  <c r="R77" i="12" l="1"/>
  <c r="E52" i="15"/>
  <c r="J53" i="15"/>
  <c r="Q53" i="15"/>
  <c r="R53" i="15"/>
  <c r="L56" i="15"/>
  <c r="M56" i="15"/>
  <c r="R65" i="14"/>
  <c r="Q65" i="14"/>
  <c r="T66" i="14" s="1"/>
  <c r="O53" i="14"/>
  <c r="J53" i="14" s="1"/>
  <c r="C53" i="14" s="1"/>
  <c r="E51" i="14"/>
  <c r="D52" i="14"/>
  <c r="F52" i="14" s="1"/>
  <c r="T78" i="12" l="1"/>
  <c r="Q78" i="12" s="1"/>
  <c r="T54" i="15"/>
  <c r="J54" i="15" s="1"/>
  <c r="B53" i="15"/>
  <c r="C53" i="15"/>
  <c r="O57" i="15"/>
  <c r="R66" i="14"/>
  <c r="Q66" i="14"/>
  <c r="G53" i="14"/>
  <c r="B53" i="14"/>
  <c r="M53" i="14"/>
  <c r="L53" i="14"/>
  <c r="E52" i="14"/>
  <c r="R78" i="12" l="1"/>
  <c r="Q54" i="15"/>
  <c r="M57" i="15"/>
  <c r="G53" i="15"/>
  <c r="D53" i="15"/>
  <c r="B54" i="15"/>
  <c r="C54" i="15"/>
  <c r="G54" i="15" s="1"/>
  <c r="R54" i="15"/>
  <c r="L57" i="15"/>
  <c r="O54" i="14"/>
  <c r="J54" i="14" s="1"/>
  <c r="C54" i="14" s="1"/>
  <c r="T67" i="14"/>
  <c r="R67" i="14" s="1"/>
  <c r="D53" i="14"/>
  <c r="T79" i="12" l="1"/>
  <c r="Q79" i="12" s="1"/>
  <c r="T55" i="15"/>
  <c r="D54" i="15"/>
  <c r="F53" i="15"/>
  <c r="O58" i="15"/>
  <c r="M58" i="15" s="1"/>
  <c r="F53" i="14"/>
  <c r="Q67" i="14"/>
  <c r="B54" i="14"/>
  <c r="G54" i="14"/>
  <c r="M54" i="14"/>
  <c r="L54" i="14"/>
  <c r="T80" i="12" l="1"/>
  <c r="Q80" i="12" s="1"/>
  <c r="R79" i="12"/>
  <c r="E53" i="15"/>
  <c r="F54" i="15"/>
  <c r="J55" i="15"/>
  <c r="Q55" i="15"/>
  <c r="L58" i="15"/>
  <c r="R55" i="15"/>
  <c r="O55" i="14"/>
  <c r="J55" i="14" s="1"/>
  <c r="C55" i="14" s="1"/>
  <c r="T68" i="14"/>
  <c r="R68" i="14" s="1"/>
  <c r="E53" i="14"/>
  <c r="D54" i="14"/>
  <c r="F54" i="14" s="1"/>
  <c r="R80" i="12" l="1"/>
  <c r="T81" i="12" s="1"/>
  <c r="Q81" i="12" s="1"/>
  <c r="O59" i="15"/>
  <c r="L59" i="15" s="1"/>
  <c r="B55" i="15"/>
  <c r="C55" i="15"/>
  <c r="T56" i="15"/>
  <c r="J56" i="15" s="1"/>
  <c r="E54" i="15"/>
  <c r="L55" i="14"/>
  <c r="Q68" i="14"/>
  <c r="T69" i="14" s="1"/>
  <c r="Q69" i="14" s="1"/>
  <c r="E54" i="14"/>
  <c r="G55" i="14"/>
  <c r="B55" i="14"/>
  <c r="M55" i="14"/>
  <c r="R81" i="12" l="1"/>
  <c r="M59" i="15"/>
  <c r="O60" i="15" s="1"/>
  <c r="Q56" i="15"/>
  <c r="B56" i="15"/>
  <c r="C56" i="15"/>
  <c r="G56" i="15" s="1"/>
  <c r="R56" i="15"/>
  <c r="G55" i="15"/>
  <c r="D55" i="15"/>
  <c r="R69" i="14"/>
  <c r="T70" i="14" s="1"/>
  <c r="Q70" i="14" s="1"/>
  <c r="D55" i="14"/>
  <c r="O56" i="14"/>
  <c r="M56" i="14" s="1"/>
  <c r="T82" i="12" l="1"/>
  <c r="Q82" i="12" s="1"/>
  <c r="D56" i="15"/>
  <c r="F55" i="15"/>
  <c r="L60" i="15"/>
  <c r="M60" i="15"/>
  <c r="T57" i="15"/>
  <c r="R57" i="15" s="1"/>
  <c r="R70" i="14"/>
  <c r="T71" i="14" s="1"/>
  <c r="Q71" i="14" s="1"/>
  <c r="F55" i="14"/>
  <c r="J56" i="14"/>
  <c r="C56" i="14" s="1"/>
  <c r="L56" i="14"/>
  <c r="O57" i="14" s="1"/>
  <c r="J57" i="14" s="1"/>
  <c r="C57" i="14" s="1"/>
  <c r="R82" i="12" l="1"/>
  <c r="J57" i="15"/>
  <c r="Q57" i="15"/>
  <c r="O61" i="15"/>
  <c r="M61" i="15" s="1"/>
  <c r="T58" i="15"/>
  <c r="J58" i="15" s="1"/>
  <c r="E55" i="15"/>
  <c r="F56" i="15"/>
  <c r="L57" i="14"/>
  <c r="R71" i="14"/>
  <c r="T72" i="14" s="1"/>
  <c r="Q72" i="14" s="1"/>
  <c r="B56" i="14"/>
  <c r="E55" i="14"/>
  <c r="G57" i="14"/>
  <c r="B57" i="14"/>
  <c r="M57" i="14"/>
  <c r="T83" i="12" l="1"/>
  <c r="Q83" i="12" s="1"/>
  <c r="R58" i="15"/>
  <c r="L61" i="15"/>
  <c r="Q58" i="15"/>
  <c r="B58" i="15"/>
  <c r="C58" i="15"/>
  <c r="G58" i="15" s="1"/>
  <c r="E56" i="15"/>
  <c r="B57" i="15"/>
  <c r="C57" i="15"/>
  <c r="R72" i="14"/>
  <c r="T73" i="14" s="1"/>
  <c r="Q73" i="14" s="1"/>
  <c r="O58" i="14"/>
  <c r="M58" i="14" s="1"/>
  <c r="G56" i="14"/>
  <c r="D56" i="14"/>
  <c r="R83" i="12" l="1"/>
  <c r="O62" i="15"/>
  <c r="G57" i="15"/>
  <c r="D57" i="15"/>
  <c r="T59" i="15"/>
  <c r="J59" i="15" s="1"/>
  <c r="D57" i="14"/>
  <c r="F56" i="14"/>
  <c r="J58" i="14"/>
  <c r="C58" i="14" s="1"/>
  <c r="L58" i="14"/>
  <c r="O59" i="14" s="1"/>
  <c r="J59" i="14" s="1"/>
  <c r="C59" i="14" s="1"/>
  <c r="R73" i="14"/>
  <c r="T84" i="12" l="1"/>
  <c r="Q84" i="12" s="1"/>
  <c r="Q59" i="15"/>
  <c r="R59" i="15"/>
  <c r="D58" i="15"/>
  <c r="F57" i="15"/>
  <c r="B59" i="15"/>
  <c r="C59" i="15"/>
  <c r="G59" i="15" s="1"/>
  <c r="M62" i="15"/>
  <c r="L62" i="15"/>
  <c r="T74" i="14"/>
  <c r="Q74" i="14" s="1"/>
  <c r="M59" i="14"/>
  <c r="L59" i="14"/>
  <c r="B58" i="14"/>
  <c r="G58" i="14"/>
  <c r="E56" i="14"/>
  <c r="F57" i="14"/>
  <c r="G59" i="14"/>
  <c r="B59" i="14"/>
  <c r="R84" i="12" l="1"/>
  <c r="E57" i="15"/>
  <c r="F58" i="15"/>
  <c r="D59" i="15"/>
  <c r="O63" i="15"/>
  <c r="T60" i="15"/>
  <c r="R74" i="14"/>
  <c r="E57" i="14"/>
  <c r="O60" i="14"/>
  <c r="J60" i="14" s="1"/>
  <c r="C60" i="14" s="1"/>
  <c r="D58" i="14"/>
  <c r="D59" i="14" s="1"/>
  <c r="T85" i="12" l="1"/>
  <c r="Q85" i="12" s="1"/>
  <c r="J60" i="15"/>
  <c r="Q60" i="15"/>
  <c r="R60" i="15"/>
  <c r="M63" i="15"/>
  <c r="L63" i="15"/>
  <c r="E58" i="15"/>
  <c r="F59" i="15"/>
  <c r="T75" i="14"/>
  <c r="Q75" i="14" s="1"/>
  <c r="F58" i="14"/>
  <c r="E58" i="14" s="1"/>
  <c r="M60" i="14"/>
  <c r="L60" i="14"/>
  <c r="G60" i="14"/>
  <c r="B60" i="14"/>
  <c r="R85" i="12" l="1"/>
  <c r="O64" i="15"/>
  <c r="M64" i="15" s="1"/>
  <c r="T61" i="15"/>
  <c r="J61" i="15" s="1"/>
  <c r="E59" i="15"/>
  <c r="B60" i="15"/>
  <c r="C60" i="15"/>
  <c r="R75" i="14"/>
  <c r="T76" i="14" s="1"/>
  <c r="Q76" i="14" s="1"/>
  <c r="F59" i="14"/>
  <c r="E59" i="14" s="1"/>
  <c r="O61" i="14"/>
  <c r="J61" i="14" s="1"/>
  <c r="C61" i="14" s="1"/>
  <c r="D60" i="14"/>
  <c r="T86" i="12" l="1"/>
  <c r="Q86" i="12" s="1"/>
  <c r="Q61" i="15"/>
  <c r="B61" i="15"/>
  <c r="C61" i="15"/>
  <c r="G61" i="15" s="1"/>
  <c r="R61" i="15"/>
  <c r="G60" i="15"/>
  <c r="D60" i="15"/>
  <c r="L64" i="15"/>
  <c r="R76" i="14"/>
  <c r="T77" i="14" s="1"/>
  <c r="R77" i="14" s="1"/>
  <c r="T78" i="14" s="1"/>
  <c r="R78" i="14" s="1"/>
  <c r="G61" i="14"/>
  <c r="B61" i="14"/>
  <c r="D61" i="14"/>
  <c r="L61" i="14"/>
  <c r="F60" i="14"/>
  <c r="M61" i="14"/>
  <c r="R86" i="12" l="1"/>
  <c r="T62" i="15"/>
  <c r="J62" i="15" s="1"/>
  <c r="B62" i="15" s="1"/>
  <c r="D61" i="15"/>
  <c r="F60" i="15"/>
  <c r="O65" i="15"/>
  <c r="L65" i="15" s="1"/>
  <c r="Q77" i="14"/>
  <c r="Q78" i="14" s="1"/>
  <c r="E60" i="14"/>
  <c r="F61" i="14"/>
  <c r="T79" i="14"/>
  <c r="R79" i="14" s="1"/>
  <c r="O62" i="14"/>
  <c r="J62" i="14" s="1"/>
  <c r="C62" i="14" s="1"/>
  <c r="T87" i="12" l="1"/>
  <c r="Q87" i="12" s="1"/>
  <c r="R62" i="15"/>
  <c r="Q62" i="15"/>
  <c r="T63" i="15" s="1"/>
  <c r="C62" i="15"/>
  <c r="G62" i="15" s="1"/>
  <c r="M65" i="15"/>
  <c r="E60" i="15"/>
  <c r="F61" i="15"/>
  <c r="M62" i="14"/>
  <c r="B62" i="14"/>
  <c r="L62" i="14"/>
  <c r="Q79" i="14"/>
  <c r="T80" i="14" s="1"/>
  <c r="R80" i="14" s="1"/>
  <c r="E61" i="14"/>
  <c r="T88" i="12" l="1"/>
  <c r="Q88" i="12" s="1"/>
  <c r="R87" i="12"/>
  <c r="D62" i="15"/>
  <c r="F62" i="15" s="1"/>
  <c r="O66" i="15"/>
  <c r="M66" i="15" s="1"/>
  <c r="J63" i="15"/>
  <c r="R63" i="15"/>
  <c r="Q63" i="15"/>
  <c r="E61" i="15"/>
  <c r="Q80" i="14"/>
  <c r="T81" i="14"/>
  <c r="O63" i="14"/>
  <c r="J63" i="14" s="1"/>
  <c r="C63" i="14" s="1"/>
  <c r="G62" i="14"/>
  <c r="D62" i="14"/>
  <c r="R88" i="12" l="1"/>
  <c r="T89" i="12" s="1"/>
  <c r="Q89" i="12" s="1"/>
  <c r="L66" i="15"/>
  <c r="E62" i="15"/>
  <c r="T64" i="15"/>
  <c r="J64" i="15" s="1"/>
  <c r="O67" i="15"/>
  <c r="B63" i="15"/>
  <c r="C63" i="15"/>
  <c r="M63" i="14"/>
  <c r="Q81" i="14"/>
  <c r="F62" i="14"/>
  <c r="G63" i="14"/>
  <c r="B63" i="14"/>
  <c r="L63" i="14"/>
  <c r="R81" i="14"/>
  <c r="R89" i="12" l="1"/>
  <c r="T90" i="12" s="1"/>
  <c r="Q90" i="12" s="1"/>
  <c r="R64" i="15"/>
  <c r="Q64" i="15"/>
  <c r="T65" i="15" s="1"/>
  <c r="J65" i="15" s="1"/>
  <c r="M67" i="15"/>
  <c r="L67" i="15"/>
  <c r="B64" i="15"/>
  <c r="C64" i="15"/>
  <c r="G64" i="15" s="1"/>
  <c r="G63" i="15"/>
  <c r="D63" i="15"/>
  <c r="D63" i="14"/>
  <c r="F63" i="14" s="1"/>
  <c r="O64" i="14"/>
  <c r="T82" i="14"/>
  <c r="Q82" i="14" s="1"/>
  <c r="E62" i="14"/>
  <c r="R90" i="12" l="1"/>
  <c r="T91" i="12" s="1"/>
  <c r="Q91" i="12" s="1"/>
  <c r="Q65" i="15"/>
  <c r="T66" i="15" s="1"/>
  <c r="J66" i="15" s="1"/>
  <c r="B65" i="15"/>
  <c r="C65" i="15"/>
  <c r="G65" i="15" s="1"/>
  <c r="R65" i="15"/>
  <c r="D64" i="15"/>
  <c r="F63" i="15"/>
  <c r="O68" i="15"/>
  <c r="L68" i="15" s="1"/>
  <c r="R82" i="14"/>
  <c r="T83" i="14" s="1"/>
  <c r="R83" i="14" s="1"/>
  <c r="E63" i="14"/>
  <c r="J64" i="14"/>
  <c r="C64" i="14" s="1"/>
  <c r="M64" i="14"/>
  <c r="L64" i="14"/>
  <c r="R91" i="12" l="1"/>
  <c r="T92" i="12" s="1"/>
  <c r="Q92" i="12" s="1"/>
  <c r="D65" i="15"/>
  <c r="R66" i="15"/>
  <c r="Q66" i="15"/>
  <c r="E63" i="15"/>
  <c r="F64" i="15"/>
  <c r="M68" i="15"/>
  <c r="B66" i="15"/>
  <c r="C66" i="15"/>
  <c r="G66" i="15" s="1"/>
  <c r="B64" i="14"/>
  <c r="Q83" i="14"/>
  <c r="O65" i="14"/>
  <c r="J65" i="14" s="1"/>
  <c r="C65" i="14" s="1"/>
  <c r="R92" i="12" l="1"/>
  <c r="T93" i="12"/>
  <c r="Q93" i="12" s="1"/>
  <c r="T67" i="15"/>
  <c r="J67" i="15" s="1"/>
  <c r="B67" i="15" s="1"/>
  <c r="E64" i="15"/>
  <c r="F65" i="15"/>
  <c r="O69" i="15"/>
  <c r="M69" i="15" s="1"/>
  <c r="D66" i="15"/>
  <c r="G65" i="14"/>
  <c r="B65" i="14"/>
  <c r="L65" i="14"/>
  <c r="T84" i="14"/>
  <c r="R84" i="14" s="1"/>
  <c r="G64" i="14"/>
  <c r="D64" i="14"/>
  <c r="M65" i="14"/>
  <c r="T94" i="12" l="1"/>
  <c r="Q94" i="12" s="1"/>
  <c r="R93" i="12"/>
  <c r="R67" i="15"/>
  <c r="C67" i="15"/>
  <c r="G67" i="15" s="1"/>
  <c r="Q67" i="15"/>
  <c r="T68" i="15"/>
  <c r="J68" i="15" s="1"/>
  <c r="C68" i="15" s="1"/>
  <c r="G68" i="15" s="1"/>
  <c r="E65" i="15"/>
  <c r="F66" i="15"/>
  <c r="L69" i="15"/>
  <c r="D65" i="14"/>
  <c r="F64" i="14"/>
  <c r="Q84" i="14"/>
  <c r="O66" i="14"/>
  <c r="J66" i="14" s="1"/>
  <c r="C66" i="14" s="1"/>
  <c r="R94" i="12" l="1"/>
  <c r="T95" i="12"/>
  <c r="Q95" i="12" s="1"/>
  <c r="R68" i="15"/>
  <c r="Q68" i="15"/>
  <c r="D67" i="15"/>
  <c r="F67" i="15" s="1"/>
  <c r="B68" i="15"/>
  <c r="O70" i="15"/>
  <c r="E66" i="15"/>
  <c r="M66" i="14"/>
  <c r="B66" i="14"/>
  <c r="G66" i="14"/>
  <c r="L66" i="14"/>
  <c r="T85" i="14"/>
  <c r="R85" i="14" s="1"/>
  <c r="E64" i="14"/>
  <c r="F65" i="14"/>
  <c r="T69" i="15" l="1"/>
  <c r="J69" i="15" s="1"/>
  <c r="R95" i="12"/>
  <c r="T96" i="12"/>
  <c r="Q96" i="12" s="1"/>
  <c r="R69" i="15"/>
  <c r="T70" i="15" s="1"/>
  <c r="R70" i="15" s="1"/>
  <c r="Q69" i="15"/>
  <c r="D68" i="15"/>
  <c r="F68" i="15" s="1"/>
  <c r="B69" i="15"/>
  <c r="C69" i="15"/>
  <c r="G69" i="15" s="1"/>
  <c r="E67" i="15"/>
  <c r="M70" i="15"/>
  <c r="L70" i="15"/>
  <c r="E65" i="14"/>
  <c r="Q85" i="14"/>
  <c r="O67" i="14"/>
  <c r="J67" i="14" s="1"/>
  <c r="C67" i="14" s="1"/>
  <c r="D66" i="14"/>
  <c r="T97" i="12" l="1"/>
  <c r="Q97" i="12" s="1"/>
  <c r="R96" i="12"/>
  <c r="J70" i="15"/>
  <c r="C70" i="15" s="1"/>
  <c r="G70" i="15" s="1"/>
  <c r="D69" i="15"/>
  <c r="F69" i="15" s="1"/>
  <c r="O71" i="15"/>
  <c r="L71" i="15" s="1"/>
  <c r="E68" i="15"/>
  <c r="Q70" i="15"/>
  <c r="M67" i="14"/>
  <c r="G67" i="14"/>
  <c r="B67" i="14"/>
  <c r="L67" i="14"/>
  <c r="T86" i="14"/>
  <c r="R86" i="14" s="1"/>
  <c r="F66" i="14"/>
  <c r="R97" i="12" l="1"/>
  <c r="T98" i="12"/>
  <c r="Q98" i="12" s="1"/>
  <c r="B70" i="15"/>
  <c r="D70" i="15"/>
  <c r="F70" i="15" s="1"/>
  <c r="E69" i="15"/>
  <c r="T71" i="15"/>
  <c r="R71" i="15" s="1"/>
  <c r="M71" i="15"/>
  <c r="O68" i="14"/>
  <c r="J68" i="14" s="1"/>
  <c r="C68" i="14" s="1"/>
  <c r="Q86" i="14"/>
  <c r="E66" i="14"/>
  <c r="D67" i="14"/>
  <c r="R98" i="12" l="1"/>
  <c r="T99" i="12"/>
  <c r="Q99" i="12" s="1"/>
  <c r="J71" i="15"/>
  <c r="C71" i="15" s="1"/>
  <c r="O72" i="15"/>
  <c r="Q71" i="15"/>
  <c r="E70" i="15"/>
  <c r="G68" i="14"/>
  <c r="L68" i="14"/>
  <c r="M68" i="14"/>
  <c r="O69" i="14" s="1"/>
  <c r="J69" i="14" s="1"/>
  <c r="C69" i="14" s="1"/>
  <c r="B68" i="14"/>
  <c r="F67" i="14"/>
  <c r="E67" i="14" s="1"/>
  <c r="T87" i="14"/>
  <c r="R87" i="14" s="1"/>
  <c r="R99" i="12" l="1"/>
  <c r="T100" i="12"/>
  <c r="Q100" i="12" s="1"/>
  <c r="B71" i="15"/>
  <c r="T72" i="15"/>
  <c r="R72" i="15" s="1"/>
  <c r="G71" i="15"/>
  <c r="D71" i="15"/>
  <c r="L72" i="15"/>
  <c r="M72" i="15"/>
  <c r="D68" i="14"/>
  <c r="F68" i="14" s="1"/>
  <c r="E68" i="14" s="1"/>
  <c r="B69" i="14"/>
  <c r="M69" i="14"/>
  <c r="Q87" i="14"/>
  <c r="L69" i="14"/>
  <c r="R100" i="12" l="1"/>
  <c r="T101" i="12"/>
  <c r="Q101" i="12" s="1"/>
  <c r="J72" i="15"/>
  <c r="C72" i="15" s="1"/>
  <c r="G72" i="15" s="1"/>
  <c r="O73" i="15"/>
  <c r="L73" i="15" s="1"/>
  <c r="F71" i="15"/>
  <c r="Q72" i="15"/>
  <c r="T73" i="15"/>
  <c r="R73" i="15" s="1"/>
  <c r="O70" i="14"/>
  <c r="J70" i="14" s="1"/>
  <c r="C70" i="14" s="1"/>
  <c r="T88" i="14"/>
  <c r="R88" i="14" s="1"/>
  <c r="G69" i="14"/>
  <c r="D69" i="14"/>
  <c r="R101" i="12" l="1"/>
  <c r="T102" i="12"/>
  <c r="Q102" i="12" s="1"/>
  <c r="B72" i="15"/>
  <c r="Q73" i="15"/>
  <c r="T74" i="15"/>
  <c r="R74" i="15" s="1"/>
  <c r="E71" i="15"/>
  <c r="D72" i="15"/>
  <c r="J73" i="15"/>
  <c r="M73" i="15"/>
  <c r="M70" i="14"/>
  <c r="O71" i="14" s="1"/>
  <c r="J71" i="14" s="1"/>
  <c r="C71" i="14" s="1"/>
  <c r="Q88" i="14"/>
  <c r="T89" i="14" s="1"/>
  <c r="F69" i="14"/>
  <c r="B70" i="14"/>
  <c r="G70" i="14"/>
  <c r="L70" i="14"/>
  <c r="S17" i="11"/>
  <c r="S18" i="11"/>
  <c r="R102" i="12" l="1"/>
  <c r="T103" i="12"/>
  <c r="Q103" i="12" s="1"/>
  <c r="Q74" i="15"/>
  <c r="T75" i="15"/>
  <c r="R75" i="15" s="1"/>
  <c r="F72" i="15"/>
  <c r="B73" i="15"/>
  <c r="C73" i="15"/>
  <c r="G73" i="15" s="1"/>
  <c r="O74" i="15"/>
  <c r="M74" i="15" s="1"/>
  <c r="Q89" i="14"/>
  <c r="R89" i="14"/>
  <c r="G71" i="14"/>
  <c r="B71" i="14"/>
  <c r="M71" i="14"/>
  <c r="L71" i="14"/>
  <c r="E69" i="14"/>
  <c r="D70" i="14"/>
  <c r="R103" i="12" l="1"/>
  <c r="T104" i="12"/>
  <c r="Q104" i="12" s="1"/>
  <c r="T90" i="14"/>
  <c r="Q90" i="14" s="1"/>
  <c r="Q75" i="15"/>
  <c r="T76" i="15"/>
  <c r="R76" i="15" s="1"/>
  <c r="O75" i="15"/>
  <c r="J75" i="15" s="1"/>
  <c r="E72" i="15"/>
  <c r="D73" i="15"/>
  <c r="J74" i="15"/>
  <c r="L74" i="15"/>
  <c r="O72" i="14"/>
  <c r="J72" i="14" s="1"/>
  <c r="C72" i="14" s="1"/>
  <c r="D71" i="14"/>
  <c r="F70" i="14"/>
  <c r="R104" i="12" l="1"/>
  <c r="T105" i="12"/>
  <c r="Q105" i="12" s="1"/>
  <c r="R90" i="14"/>
  <c r="T91" i="14"/>
  <c r="Q91" i="14" s="1"/>
  <c r="Q76" i="15"/>
  <c r="T77" i="15"/>
  <c r="R77" i="15" s="1"/>
  <c r="F73" i="15"/>
  <c r="C75" i="15"/>
  <c r="G75" i="15" s="1"/>
  <c r="B75" i="15"/>
  <c r="M75" i="15"/>
  <c r="L75" i="15"/>
  <c r="C74" i="15"/>
  <c r="G74" i="15" s="1"/>
  <c r="B74" i="15"/>
  <c r="L72" i="14"/>
  <c r="E70" i="14"/>
  <c r="F71" i="14"/>
  <c r="B72" i="14"/>
  <c r="G72" i="14"/>
  <c r="M72" i="14"/>
  <c r="R105" i="12" l="1"/>
  <c r="T106" i="12"/>
  <c r="Q106" i="12" s="1"/>
  <c r="R91" i="14"/>
  <c r="T92" i="14" s="1"/>
  <c r="Q92" i="14" s="1"/>
  <c r="Q77" i="15"/>
  <c r="T78" i="15"/>
  <c r="R78" i="15" s="1"/>
  <c r="O76" i="15"/>
  <c r="J76" i="15" s="1"/>
  <c r="E73" i="15"/>
  <c r="D74" i="15"/>
  <c r="D75" i="15" s="1"/>
  <c r="E71" i="14"/>
  <c r="D72" i="14"/>
  <c r="O73" i="14"/>
  <c r="R106" i="12" l="1"/>
  <c r="T107" i="12"/>
  <c r="Q107" i="12" s="1"/>
  <c r="R92" i="14"/>
  <c r="T93" i="14" s="1"/>
  <c r="R93" i="14" s="1"/>
  <c r="Q78" i="15"/>
  <c r="T79" i="15"/>
  <c r="R79" i="15" s="1"/>
  <c r="F74" i="15"/>
  <c r="B76" i="15"/>
  <c r="C76" i="15"/>
  <c r="G76" i="15" s="1"/>
  <c r="M76" i="15"/>
  <c r="L76" i="15"/>
  <c r="J73" i="14"/>
  <c r="C73" i="14" s="1"/>
  <c r="L73" i="14"/>
  <c r="M73" i="14"/>
  <c r="F72" i="14"/>
  <c r="R107" i="12" l="1"/>
  <c r="Q93" i="14"/>
  <c r="T108" i="12"/>
  <c r="Q108" i="12" s="1"/>
  <c r="Q79" i="15"/>
  <c r="O77" i="15"/>
  <c r="J77" i="15" s="1"/>
  <c r="E74" i="15"/>
  <c r="F75" i="15"/>
  <c r="D76" i="15"/>
  <c r="T80" i="15"/>
  <c r="E72" i="14"/>
  <c r="O74" i="14"/>
  <c r="J74" i="14" s="1"/>
  <c r="C74" i="14" s="1"/>
  <c r="B73" i="14"/>
  <c r="T94" i="14"/>
  <c r="R94" i="14" s="1"/>
  <c r="R108" i="12" l="1"/>
  <c r="T109" i="12"/>
  <c r="Q109" i="12" s="1"/>
  <c r="Q80" i="15"/>
  <c r="R80" i="15"/>
  <c r="E75" i="15"/>
  <c r="F76" i="15"/>
  <c r="B77" i="15"/>
  <c r="C77" i="15"/>
  <c r="G77" i="15" s="1"/>
  <c r="L77" i="15"/>
  <c r="M77" i="15"/>
  <c r="Q94" i="14"/>
  <c r="T95" i="14" s="1"/>
  <c r="R95" i="14" s="1"/>
  <c r="G73" i="14"/>
  <c r="D73" i="14"/>
  <c r="L74" i="14"/>
  <c r="B74" i="14"/>
  <c r="G74" i="14"/>
  <c r="M74" i="14"/>
  <c r="R109" i="12" l="1"/>
  <c r="T110" i="12"/>
  <c r="Q110" i="12" s="1"/>
  <c r="E76" i="15"/>
  <c r="D77" i="15"/>
  <c r="T81" i="15"/>
  <c r="Q81" i="15" s="1"/>
  <c r="O78" i="15"/>
  <c r="J78" i="15" s="1"/>
  <c r="Q95" i="14"/>
  <c r="O75" i="14"/>
  <c r="J75" i="14" s="1"/>
  <c r="C75" i="14" s="1"/>
  <c r="D74" i="14"/>
  <c r="F73" i="14"/>
  <c r="A307" i="11"/>
  <c r="A308" i="11" s="1"/>
  <c r="A309" i="11" s="1"/>
  <c r="A310" i="11" s="1"/>
  <c r="A311" i="11" s="1"/>
  <c r="A312" i="11" s="1"/>
  <c r="A313" i="11" s="1"/>
  <c r="R110" i="12" l="1"/>
  <c r="T111" i="12"/>
  <c r="Q111" i="12" s="1"/>
  <c r="M78" i="15"/>
  <c r="B78" i="15"/>
  <c r="C78" i="15"/>
  <c r="G78" i="15" s="1"/>
  <c r="R81" i="15"/>
  <c r="F77" i="15"/>
  <c r="L78" i="15"/>
  <c r="E73" i="14"/>
  <c r="F74" i="14"/>
  <c r="G75" i="14"/>
  <c r="B75" i="14"/>
  <c r="M75" i="14"/>
  <c r="L75" i="14"/>
  <c r="T96" i="14"/>
  <c r="R96" i="14" s="1"/>
  <c r="R111" i="12" l="1"/>
  <c r="T112" i="12"/>
  <c r="Q112" i="12" s="1"/>
  <c r="D78" i="15"/>
  <c r="F78" i="15" s="1"/>
  <c r="E77" i="15"/>
  <c r="T82" i="15"/>
  <c r="Q82" i="15" s="1"/>
  <c r="O79" i="15"/>
  <c r="J79" i="15" s="1"/>
  <c r="O76" i="14"/>
  <c r="J76" i="14" s="1"/>
  <c r="C76" i="14" s="1"/>
  <c r="D75" i="14"/>
  <c r="F75" i="14" s="1"/>
  <c r="E74" i="14"/>
  <c r="Q96" i="14"/>
  <c r="T97" i="14" s="1"/>
  <c r="R97" i="14" s="1"/>
  <c r="R112" i="12" l="1"/>
  <c r="T113" i="12"/>
  <c r="Q113" i="12" s="1"/>
  <c r="M79" i="15"/>
  <c r="B79" i="15"/>
  <c r="C79" i="15"/>
  <c r="R82" i="15"/>
  <c r="L79" i="15"/>
  <c r="E78" i="15"/>
  <c r="B76" i="14"/>
  <c r="G76" i="14"/>
  <c r="M76" i="14"/>
  <c r="E75" i="14"/>
  <c r="Q97" i="14"/>
  <c r="L76" i="14"/>
  <c r="R113" i="12" l="1"/>
  <c r="T114" i="12"/>
  <c r="Q114" i="12" s="1"/>
  <c r="T83" i="15"/>
  <c r="Q83" i="15" s="1"/>
  <c r="G79" i="15"/>
  <c r="D79" i="15"/>
  <c r="O80" i="15"/>
  <c r="J80" i="15" s="1"/>
  <c r="T98" i="14"/>
  <c r="R98" i="14" s="1"/>
  <c r="O77" i="14"/>
  <c r="J77" i="14" s="1"/>
  <c r="C77" i="14" s="1"/>
  <c r="D76" i="14"/>
  <c r="T115" i="12" l="1"/>
  <c r="Q115" i="12" s="1"/>
  <c r="R114" i="12"/>
  <c r="B80" i="15"/>
  <c r="C80" i="15"/>
  <c r="G80" i="15" s="1"/>
  <c r="M80" i="15"/>
  <c r="F79" i="15"/>
  <c r="R83" i="15"/>
  <c r="L80" i="15"/>
  <c r="L77" i="14"/>
  <c r="Q98" i="14"/>
  <c r="T99" i="14" s="1"/>
  <c r="R99" i="14" s="1"/>
  <c r="F76" i="14"/>
  <c r="B77" i="14"/>
  <c r="G77" i="14"/>
  <c r="M77" i="14"/>
  <c r="T116" i="12" l="1"/>
  <c r="Q116" i="12" s="1"/>
  <c r="R115" i="12"/>
  <c r="D80" i="15"/>
  <c r="F80" i="15" s="1"/>
  <c r="T84" i="15"/>
  <c r="Q84" i="15" s="1"/>
  <c r="E79" i="15"/>
  <c r="O81" i="15"/>
  <c r="J81" i="15" s="1"/>
  <c r="Q99" i="14"/>
  <c r="T100" i="14" s="1"/>
  <c r="R100" i="14" s="1"/>
  <c r="O78" i="14"/>
  <c r="E76" i="14"/>
  <c r="D77" i="14"/>
  <c r="R116" i="12" l="1"/>
  <c r="T117" i="12" s="1"/>
  <c r="Q117" i="12" s="1"/>
  <c r="M81" i="15"/>
  <c r="E80" i="15"/>
  <c r="B81" i="15"/>
  <c r="C81" i="15"/>
  <c r="R84" i="15"/>
  <c r="L81" i="15"/>
  <c r="Q100" i="14"/>
  <c r="F77" i="14"/>
  <c r="J78" i="14"/>
  <c r="C78" i="14" s="1"/>
  <c r="L78" i="14"/>
  <c r="M78" i="14"/>
  <c r="T118" i="12" l="1"/>
  <c r="Q118" i="12" s="1"/>
  <c r="R117" i="12"/>
  <c r="T85" i="15"/>
  <c r="Q85" i="15" s="1"/>
  <c r="G81" i="15"/>
  <c r="D81" i="15"/>
  <c r="O82" i="15"/>
  <c r="J82" i="15" s="1"/>
  <c r="O79" i="14"/>
  <c r="J79" i="14" s="1"/>
  <c r="C79" i="14" s="1"/>
  <c r="B78" i="14"/>
  <c r="E77" i="14"/>
  <c r="T101" i="14"/>
  <c r="R101" i="14" s="1"/>
  <c r="R118" i="12" l="1"/>
  <c r="T119" i="12"/>
  <c r="Q119" i="12" s="1"/>
  <c r="B82" i="15"/>
  <c r="C82" i="15"/>
  <c r="G82" i="15" s="1"/>
  <c r="M82" i="15"/>
  <c r="F81" i="15"/>
  <c r="L82" i="15"/>
  <c r="R85" i="15"/>
  <c r="L79" i="14"/>
  <c r="Q101" i="14"/>
  <c r="T102" i="14" s="1"/>
  <c r="G78" i="14"/>
  <c r="D78" i="14"/>
  <c r="G79" i="14"/>
  <c r="B79" i="14"/>
  <c r="M79" i="14"/>
  <c r="T120" i="12" l="1"/>
  <c r="Q120" i="12" s="1"/>
  <c r="R119" i="12"/>
  <c r="D82" i="15"/>
  <c r="F82" i="15" s="1"/>
  <c r="E81" i="15"/>
  <c r="O83" i="15"/>
  <c r="J83" i="15" s="1"/>
  <c r="T86" i="15"/>
  <c r="Q86" i="15" s="1"/>
  <c r="Q102" i="14"/>
  <c r="R102" i="14"/>
  <c r="D79" i="14"/>
  <c r="F78" i="14"/>
  <c r="O80" i="14"/>
  <c r="R120" i="12" l="1"/>
  <c r="T121" i="12"/>
  <c r="Q121" i="12" s="1"/>
  <c r="T103" i="14"/>
  <c r="R103" i="14" s="1"/>
  <c r="R86" i="15"/>
  <c r="B83" i="15"/>
  <c r="C83" i="15"/>
  <c r="M83" i="15"/>
  <c r="E82" i="15"/>
  <c r="L83" i="15"/>
  <c r="J80" i="14"/>
  <c r="C80" i="14" s="1"/>
  <c r="L80" i="14"/>
  <c r="E78" i="14"/>
  <c r="F79" i="14"/>
  <c r="M80" i="14"/>
  <c r="R121" i="12" l="1"/>
  <c r="T122" i="12"/>
  <c r="Q122" i="12" s="1"/>
  <c r="Q103" i="14"/>
  <c r="T104" i="14" s="1"/>
  <c r="O84" i="15"/>
  <c r="J84" i="15" s="1"/>
  <c r="G83" i="15"/>
  <c r="D83" i="15"/>
  <c r="T87" i="15"/>
  <c r="Q87" i="15" s="1"/>
  <c r="E79" i="14"/>
  <c r="B80" i="14"/>
  <c r="O81" i="14"/>
  <c r="J81" i="14" s="1"/>
  <c r="C81" i="14" s="1"/>
  <c r="R122" i="12" l="1"/>
  <c r="T123" i="12"/>
  <c r="Q123" i="12" s="1"/>
  <c r="R104" i="14"/>
  <c r="Q104" i="14"/>
  <c r="L84" i="15"/>
  <c r="R87" i="15"/>
  <c r="F83" i="15"/>
  <c r="B84" i="15"/>
  <c r="C84" i="15"/>
  <c r="G84" i="15" s="1"/>
  <c r="M84" i="15"/>
  <c r="G80" i="14"/>
  <c r="D80" i="14"/>
  <c r="L81" i="14"/>
  <c r="B81" i="14"/>
  <c r="G81" i="14"/>
  <c r="M81" i="14"/>
  <c r="T124" i="12" l="1"/>
  <c r="Q124" i="12" s="1"/>
  <c r="R123" i="12"/>
  <c r="T105" i="14"/>
  <c r="O85" i="15"/>
  <c r="E83" i="15"/>
  <c r="D84" i="15"/>
  <c r="T88" i="15"/>
  <c r="Q88" i="15" s="1"/>
  <c r="D81" i="14"/>
  <c r="F80" i="14"/>
  <c r="O82" i="14"/>
  <c r="J82" i="14" s="1"/>
  <c r="C82" i="14" s="1"/>
  <c r="R124" i="12" l="1"/>
  <c r="T125" i="12"/>
  <c r="Q125" i="12" s="1"/>
  <c r="R105" i="14"/>
  <c r="Q105" i="14"/>
  <c r="T106" i="14" s="1"/>
  <c r="R88" i="15"/>
  <c r="F84" i="15"/>
  <c r="J85" i="15"/>
  <c r="L85" i="15"/>
  <c r="M85" i="15"/>
  <c r="B82" i="14"/>
  <c r="G82" i="14"/>
  <c r="M82" i="14"/>
  <c r="E80" i="14"/>
  <c r="F81" i="14"/>
  <c r="D82" i="14"/>
  <c r="L82" i="14"/>
  <c r="R125" i="12" l="1"/>
  <c r="T126" i="12"/>
  <c r="Q126" i="12" s="1"/>
  <c r="Q106" i="14"/>
  <c r="T107" i="14" s="1"/>
  <c r="R106" i="14"/>
  <c r="O86" i="15"/>
  <c r="J86" i="15" s="1"/>
  <c r="B85" i="15"/>
  <c r="C85" i="15"/>
  <c r="E84" i="15"/>
  <c r="T89" i="15"/>
  <c r="Q89" i="15" s="1"/>
  <c r="E81" i="14"/>
  <c r="F82" i="14"/>
  <c r="O83" i="14"/>
  <c r="J83" i="14" s="1"/>
  <c r="C83" i="14" s="1"/>
  <c r="R126" i="12" l="1"/>
  <c r="T127" i="12"/>
  <c r="Q127" i="12" s="1"/>
  <c r="R107" i="14"/>
  <c r="R89" i="15"/>
  <c r="T90" i="15" s="1"/>
  <c r="R90" i="15" s="1"/>
  <c r="G85" i="15"/>
  <c r="D85" i="15"/>
  <c r="B86" i="15"/>
  <c r="C86" i="15"/>
  <c r="G86" i="15" s="1"/>
  <c r="L86" i="15"/>
  <c r="M86" i="15"/>
  <c r="B83" i="14"/>
  <c r="M83" i="14"/>
  <c r="L83" i="14"/>
  <c r="E82" i="14"/>
  <c r="Q107" i="14"/>
  <c r="R127" i="12" l="1"/>
  <c r="T128" i="12"/>
  <c r="Q128" i="12" s="1"/>
  <c r="Q90" i="15"/>
  <c r="T91" i="15" s="1"/>
  <c r="R91" i="15" s="1"/>
  <c r="D86" i="15"/>
  <c r="F85" i="15"/>
  <c r="O87" i="15"/>
  <c r="J87" i="15" s="1"/>
  <c r="T108" i="14"/>
  <c r="R108" i="14" s="1"/>
  <c r="O84" i="14"/>
  <c r="J84" i="14" s="1"/>
  <c r="C84" i="14" s="1"/>
  <c r="G83" i="14"/>
  <c r="D83" i="14"/>
  <c r="R128" i="12" l="1"/>
  <c r="T129" i="12"/>
  <c r="Q129" i="12" s="1"/>
  <c r="Q91" i="15"/>
  <c r="F86" i="15"/>
  <c r="E85" i="15"/>
  <c r="B87" i="15"/>
  <c r="C87" i="15"/>
  <c r="G87" i="15" s="1"/>
  <c r="M87" i="15"/>
  <c r="L87" i="15"/>
  <c r="T92" i="15"/>
  <c r="R92" i="15" s="1"/>
  <c r="Q108" i="14"/>
  <c r="T109" i="14" s="1"/>
  <c r="R109" i="14" s="1"/>
  <c r="F83" i="14"/>
  <c r="B84" i="14"/>
  <c r="G84" i="14"/>
  <c r="M84" i="14"/>
  <c r="L84" i="14"/>
  <c r="R129" i="12" l="1"/>
  <c r="T130" i="12"/>
  <c r="Q130" i="12" s="1"/>
  <c r="Q92" i="15"/>
  <c r="D87" i="15"/>
  <c r="F87" i="15" s="1"/>
  <c r="T93" i="15"/>
  <c r="R93" i="15" s="1"/>
  <c r="O88" i="15"/>
  <c r="J88" i="15" s="1"/>
  <c r="E86" i="15"/>
  <c r="Q109" i="14"/>
  <c r="O85" i="14"/>
  <c r="J85" i="14" s="1"/>
  <c r="C85" i="14" s="1"/>
  <c r="E83" i="14"/>
  <c r="D84" i="14"/>
  <c r="F84" i="14" s="1"/>
  <c r="R130" i="12" l="1"/>
  <c r="T131" i="12"/>
  <c r="Q131" i="12" s="1"/>
  <c r="Q93" i="15"/>
  <c r="T94" i="15" s="1"/>
  <c r="R94" i="15" s="1"/>
  <c r="L88" i="15"/>
  <c r="O89" i="15" s="1"/>
  <c r="J89" i="15" s="1"/>
  <c r="E87" i="15"/>
  <c r="B88" i="15"/>
  <c r="C88" i="15"/>
  <c r="M88" i="15"/>
  <c r="E84" i="14"/>
  <c r="B85" i="14"/>
  <c r="G85" i="14"/>
  <c r="M85" i="14"/>
  <c r="L85" i="14"/>
  <c r="T110" i="14"/>
  <c r="R110" i="14" s="1"/>
  <c r="R131" i="12" l="1"/>
  <c r="T132" i="12"/>
  <c r="Q132" i="12" s="1"/>
  <c r="Q94" i="15"/>
  <c r="T95" i="15" s="1"/>
  <c r="R95" i="15" s="1"/>
  <c r="M89" i="15"/>
  <c r="G88" i="15"/>
  <c r="D88" i="15"/>
  <c r="B89" i="15"/>
  <c r="C89" i="15"/>
  <c r="G89" i="15" s="1"/>
  <c r="L89" i="15"/>
  <c r="Q110" i="14"/>
  <c r="O86" i="14"/>
  <c r="J86" i="14" s="1"/>
  <c r="C86" i="14" s="1"/>
  <c r="D85" i="14"/>
  <c r="R132" i="12" l="1"/>
  <c r="T133" i="12"/>
  <c r="Q133" i="12" s="1"/>
  <c r="Q95" i="15"/>
  <c r="T96" i="15" s="1"/>
  <c r="R96" i="15" s="1"/>
  <c r="D89" i="15"/>
  <c r="F88" i="15"/>
  <c r="O90" i="15"/>
  <c r="M86" i="14"/>
  <c r="F85" i="14"/>
  <c r="L86" i="14"/>
  <c r="B86" i="14"/>
  <c r="G86" i="14"/>
  <c r="T111" i="14"/>
  <c r="R111" i="14" s="1"/>
  <c r="R133" i="12" l="1"/>
  <c r="T134" i="12" s="1"/>
  <c r="Q134" i="12" s="1"/>
  <c r="J90" i="15"/>
  <c r="M90" i="15"/>
  <c r="L90" i="15"/>
  <c r="F89" i="15"/>
  <c r="E88" i="15"/>
  <c r="Q96" i="15"/>
  <c r="T97" i="15" s="1"/>
  <c r="R97" i="15" s="1"/>
  <c r="O87" i="14"/>
  <c r="J87" i="14" s="1"/>
  <c r="C87" i="14" s="1"/>
  <c r="G87" i="14" s="1"/>
  <c r="E85" i="14"/>
  <c r="D86" i="14"/>
  <c r="Q111" i="14"/>
  <c r="R134" i="12" l="1"/>
  <c r="Q97" i="15"/>
  <c r="T98" i="15" s="1"/>
  <c r="R98" i="15" s="1"/>
  <c r="M87" i="14"/>
  <c r="O88" i="14" s="1"/>
  <c r="J88" i="14" s="1"/>
  <c r="C88" i="14" s="1"/>
  <c r="B87" i="14"/>
  <c r="E89" i="15"/>
  <c r="O91" i="15"/>
  <c r="J91" i="15" s="1"/>
  <c r="L87" i="14"/>
  <c r="B90" i="15"/>
  <c r="C90" i="15"/>
  <c r="T112" i="14"/>
  <c r="R112" i="14" s="1"/>
  <c r="D87" i="14"/>
  <c r="F86" i="14"/>
  <c r="T135" i="12" l="1"/>
  <c r="Q135" i="12" s="1"/>
  <c r="G90" i="15"/>
  <c r="D90" i="15"/>
  <c r="B91" i="15"/>
  <c r="C91" i="15"/>
  <c r="G91" i="15" s="1"/>
  <c r="M91" i="15"/>
  <c r="Q98" i="15"/>
  <c r="T99" i="15" s="1"/>
  <c r="R99" i="15" s="1"/>
  <c r="L91" i="15"/>
  <c r="L88" i="14"/>
  <c r="B88" i="14"/>
  <c r="G88" i="14"/>
  <c r="M88" i="14"/>
  <c r="E86" i="14"/>
  <c r="F87" i="14"/>
  <c r="D88" i="14"/>
  <c r="Q112" i="14"/>
  <c r="R135" i="12" l="1"/>
  <c r="O89" i="14"/>
  <c r="J89" i="14" s="1"/>
  <c r="C89" i="14" s="1"/>
  <c r="G89" i="14" s="1"/>
  <c r="Q99" i="15"/>
  <c r="T100" i="15" s="1"/>
  <c r="R100" i="15" s="1"/>
  <c r="O92" i="15"/>
  <c r="J92" i="15" s="1"/>
  <c r="D91" i="15"/>
  <c r="F90" i="15"/>
  <c r="E87" i="14"/>
  <c r="F88" i="14"/>
  <c r="T113" i="14"/>
  <c r="R113" i="14" s="1"/>
  <c r="T136" i="12" l="1"/>
  <c r="Q136" i="12" s="1"/>
  <c r="L89" i="14"/>
  <c r="O90" i="14" s="1"/>
  <c r="J90" i="14" s="1"/>
  <c r="C90" i="14" s="1"/>
  <c r="M89" i="14"/>
  <c r="B89" i="14"/>
  <c r="L92" i="15"/>
  <c r="Q100" i="15"/>
  <c r="T101" i="15" s="1"/>
  <c r="F91" i="15"/>
  <c r="E90" i="15"/>
  <c r="B92" i="15"/>
  <c r="C92" i="15"/>
  <c r="G92" i="15" s="1"/>
  <c r="M92" i="15"/>
  <c r="Q113" i="14"/>
  <c r="T114" i="14" s="1"/>
  <c r="D89" i="14"/>
  <c r="F89" i="14" s="1"/>
  <c r="E88" i="14"/>
  <c r="R136" i="12" l="1"/>
  <c r="Q101" i="15"/>
  <c r="R101" i="15"/>
  <c r="O93" i="15"/>
  <c r="D92" i="15"/>
  <c r="F92" i="15" s="1"/>
  <c r="E91" i="15"/>
  <c r="Q114" i="14"/>
  <c r="E89" i="14"/>
  <c r="B90" i="14"/>
  <c r="L90" i="14"/>
  <c r="M90" i="14"/>
  <c r="R114" i="14"/>
  <c r="T137" i="12" l="1"/>
  <c r="Q137" i="12" s="1"/>
  <c r="T102" i="15"/>
  <c r="R102" i="15" s="1"/>
  <c r="E92" i="15"/>
  <c r="J93" i="15"/>
  <c r="L93" i="15"/>
  <c r="M93" i="15"/>
  <c r="O91" i="14"/>
  <c r="J91" i="14" s="1"/>
  <c r="C91" i="14" s="1"/>
  <c r="G90" i="14"/>
  <c r="D90" i="14"/>
  <c r="T115" i="14"/>
  <c r="Q115" i="14" s="1"/>
  <c r="R137" i="12" l="1"/>
  <c r="Q102" i="15"/>
  <c r="T103" i="15" s="1"/>
  <c r="B93" i="15"/>
  <c r="C93" i="15"/>
  <c r="O94" i="15"/>
  <c r="J94" i="15" s="1"/>
  <c r="L91" i="14"/>
  <c r="R115" i="14"/>
  <c r="T116" i="14" s="1"/>
  <c r="Q116" i="14" s="1"/>
  <c r="F90" i="14"/>
  <c r="G91" i="14"/>
  <c r="B91" i="14"/>
  <c r="M91" i="14"/>
  <c r="T138" i="12" l="1"/>
  <c r="Q138" i="12" s="1"/>
  <c r="Q103" i="15"/>
  <c r="R103" i="15"/>
  <c r="B94" i="15"/>
  <c r="C94" i="15"/>
  <c r="G94" i="15" s="1"/>
  <c r="M94" i="15"/>
  <c r="T104" i="15"/>
  <c r="Q104" i="15" s="1"/>
  <c r="L94" i="15"/>
  <c r="G93" i="15"/>
  <c r="D93" i="15"/>
  <c r="E90" i="14"/>
  <c r="D91" i="14"/>
  <c r="O92" i="14"/>
  <c r="R116" i="14"/>
  <c r="R138" i="12" l="1"/>
  <c r="D94" i="15"/>
  <c r="F93" i="15"/>
  <c r="R104" i="15"/>
  <c r="O95" i="15"/>
  <c r="J95" i="15" s="1"/>
  <c r="T117" i="14"/>
  <c r="Q117" i="14" s="1"/>
  <c r="J92" i="14"/>
  <c r="C92" i="14" s="1"/>
  <c r="L92" i="14"/>
  <c r="M92" i="14"/>
  <c r="F91" i="14"/>
  <c r="T139" i="12" l="1"/>
  <c r="Q139" i="12" s="1"/>
  <c r="M95" i="15"/>
  <c r="B95" i="15"/>
  <c r="C95" i="15"/>
  <c r="G95" i="15" s="1"/>
  <c r="T105" i="15"/>
  <c r="Q105" i="15" s="1"/>
  <c r="L95" i="15"/>
  <c r="F94" i="15"/>
  <c r="E93" i="15"/>
  <c r="R117" i="14"/>
  <c r="T118" i="14" s="1"/>
  <c r="Q118" i="14" s="1"/>
  <c r="E91" i="14"/>
  <c r="O93" i="14"/>
  <c r="J93" i="14" s="1"/>
  <c r="C93" i="14" s="1"/>
  <c r="B92" i="14"/>
  <c r="R139" i="12" l="1"/>
  <c r="R105" i="15"/>
  <c r="T106" i="15" s="1"/>
  <c r="Q106" i="15" s="1"/>
  <c r="E94" i="15"/>
  <c r="D95" i="15"/>
  <c r="O96" i="15"/>
  <c r="J96" i="15" s="1"/>
  <c r="R118" i="14"/>
  <c r="L93" i="14"/>
  <c r="B93" i="14"/>
  <c r="G93" i="14"/>
  <c r="M93" i="14"/>
  <c r="G92" i="14"/>
  <c r="D92" i="14"/>
  <c r="T119" i="14"/>
  <c r="Q119" i="14" s="1"/>
  <c r="T140" i="12" l="1"/>
  <c r="Q140" i="12" s="1"/>
  <c r="R106" i="15"/>
  <c r="M96" i="15"/>
  <c r="T107" i="15"/>
  <c r="Q107" i="15" s="1"/>
  <c r="L96" i="15"/>
  <c r="B96" i="15"/>
  <c r="C96" i="15"/>
  <c r="G96" i="15" s="1"/>
  <c r="F95" i="15"/>
  <c r="R119" i="14"/>
  <c r="D93" i="14"/>
  <c r="F92" i="14"/>
  <c r="O94" i="14"/>
  <c r="J94" i="14" s="1"/>
  <c r="C94" i="14" s="1"/>
  <c r="T120" i="14"/>
  <c r="Q120" i="14" s="1"/>
  <c r="R140" i="12" l="1"/>
  <c r="O97" i="15"/>
  <c r="J97" i="15" s="1"/>
  <c r="B97" i="15" s="1"/>
  <c r="D96" i="15"/>
  <c r="F96" i="15" s="1"/>
  <c r="R107" i="15"/>
  <c r="E95" i="15"/>
  <c r="L94" i="14"/>
  <c r="R120" i="14"/>
  <c r="T121" i="14" s="1"/>
  <c r="Q121" i="14" s="1"/>
  <c r="B94" i="14"/>
  <c r="G94" i="14"/>
  <c r="M94" i="14"/>
  <c r="E92" i="14"/>
  <c r="F93" i="14"/>
  <c r="T141" i="12" l="1"/>
  <c r="Q141" i="12" s="1"/>
  <c r="C97" i="15"/>
  <c r="G97" i="15" s="1"/>
  <c r="M97" i="15"/>
  <c r="L97" i="15"/>
  <c r="O98" i="15" s="1"/>
  <c r="T108" i="15"/>
  <c r="Q108" i="15" s="1"/>
  <c r="T109" i="15" s="1"/>
  <c r="Q109" i="15" s="1"/>
  <c r="E96" i="15"/>
  <c r="R121" i="14"/>
  <c r="T122" i="14" s="1"/>
  <c r="Q122" i="14" s="1"/>
  <c r="O95" i="14"/>
  <c r="E93" i="14"/>
  <c r="D94" i="14"/>
  <c r="M98" i="15" l="1"/>
  <c r="R141" i="12"/>
  <c r="T142" i="12" s="1"/>
  <c r="Q142" i="12" s="1"/>
  <c r="D97" i="15"/>
  <c r="F97" i="15" s="1"/>
  <c r="E97" i="15" s="1"/>
  <c r="R108" i="15"/>
  <c r="R109" i="15" s="1"/>
  <c r="T110" i="15"/>
  <c r="Q110" i="15" s="1"/>
  <c r="J98" i="15"/>
  <c r="L98" i="15"/>
  <c r="J95" i="14"/>
  <c r="C95" i="14" s="1"/>
  <c r="L95" i="14"/>
  <c r="M95" i="14"/>
  <c r="F94" i="14"/>
  <c r="R122" i="14"/>
  <c r="R142" i="12" l="1"/>
  <c r="T143" i="12"/>
  <c r="Q143" i="12" s="1"/>
  <c r="O99" i="15"/>
  <c r="J99" i="15" s="1"/>
  <c r="B99" i="15" s="1"/>
  <c r="R110" i="15"/>
  <c r="B98" i="15"/>
  <c r="C98" i="15"/>
  <c r="E94" i="14"/>
  <c r="T123" i="14"/>
  <c r="Q123" i="14" s="1"/>
  <c r="O96" i="14"/>
  <c r="J96" i="14" s="1"/>
  <c r="C96" i="14" s="1"/>
  <c r="B95" i="14"/>
  <c r="T144" i="12" l="1"/>
  <c r="Q144" i="12" s="1"/>
  <c r="R143" i="12"/>
  <c r="M99" i="15"/>
  <c r="C99" i="15"/>
  <c r="G99" i="15" s="1"/>
  <c r="L99" i="15"/>
  <c r="G98" i="15"/>
  <c r="D98" i="15"/>
  <c r="T111" i="15"/>
  <c r="Q111" i="15" s="1"/>
  <c r="L96" i="14"/>
  <c r="R123" i="14"/>
  <c r="T124" i="14" s="1"/>
  <c r="Q124" i="14" s="1"/>
  <c r="B96" i="14"/>
  <c r="G96" i="14"/>
  <c r="M96" i="14"/>
  <c r="G95" i="14"/>
  <c r="D95" i="14"/>
  <c r="T145" i="12" l="1"/>
  <c r="Q145" i="12" s="1"/>
  <c r="R144" i="12"/>
  <c r="O100" i="15"/>
  <c r="J100" i="15" s="1"/>
  <c r="R111" i="15"/>
  <c r="T112" i="15" s="1"/>
  <c r="R112" i="15" s="1"/>
  <c r="D99" i="15"/>
  <c r="F98" i="15"/>
  <c r="R124" i="14"/>
  <c r="T125" i="14" s="1"/>
  <c r="Q125" i="14" s="1"/>
  <c r="D96" i="14"/>
  <c r="F95" i="14"/>
  <c r="O97" i="14"/>
  <c r="T146" i="12" l="1"/>
  <c r="Q146" i="12" s="1"/>
  <c r="R145" i="12"/>
  <c r="M100" i="15"/>
  <c r="L100" i="15"/>
  <c r="O101" i="15" s="1"/>
  <c r="J101" i="15" s="1"/>
  <c r="Q112" i="15"/>
  <c r="T113" i="15" s="1"/>
  <c r="R113" i="15" s="1"/>
  <c r="F99" i="15"/>
  <c r="E98" i="15"/>
  <c r="B100" i="15"/>
  <c r="C100" i="15"/>
  <c r="G100" i="15" s="1"/>
  <c r="R125" i="14"/>
  <c r="J97" i="14"/>
  <c r="C97" i="14" s="1"/>
  <c r="L97" i="14"/>
  <c r="M97" i="14"/>
  <c r="E95" i="14"/>
  <c r="F96" i="14"/>
  <c r="R5" i="12"/>
  <c r="R6" i="12" s="1"/>
  <c r="R7" i="12" s="1"/>
  <c r="R8" i="12" s="1"/>
  <c r="R9" i="12" s="1"/>
  <c r="R10" i="12" s="1"/>
  <c r="R11" i="12" s="1"/>
  <c r="R12" i="12" s="1"/>
  <c r="R13" i="12" s="1"/>
  <c r="R14" i="12" s="1"/>
  <c r="R15" i="12" s="1"/>
  <c r="R16" i="12" s="1"/>
  <c r="M5" i="12"/>
  <c r="M6" i="12" s="1"/>
  <c r="M7" i="12" s="1"/>
  <c r="M8" i="12" s="1"/>
  <c r="M9" i="12" s="1"/>
  <c r="M10" i="12" s="1"/>
  <c r="M11" i="12" s="1"/>
  <c r="M12" i="12" s="1"/>
  <c r="M13" i="12" s="1"/>
  <c r="M14" i="12" s="1"/>
  <c r="M15" i="12" s="1"/>
  <c r="M16" i="12" s="1"/>
  <c r="H17" i="11"/>
  <c r="H18" i="11"/>
  <c r="N17" i="11"/>
  <c r="N18" i="11"/>
  <c r="Q5" i="11"/>
  <c r="Q6" i="11" s="1"/>
  <c r="Q7" i="11" s="1"/>
  <c r="Q8" i="11" s="1"/>
  <c r="Q9" i="11" s="1"/>
  <c r="Q10" i="11" s="1"/>
  <c r="Q11" i="11" s="1"/>
  <c r="Q12" i="11" s="1"/>
  <c r="Q13" i="11" s="1"/>
  <c r="Q14" i="11" s="1"/>
  <c r="L5" i="11"/>
  <c r="L6" i="11" s="1"/>
  <c r="L7" i="11" s="1"/>
  <c r="L8" i="11" s="1"/>
  <c r="L9" i="11" s="1"/>
  <c r="L10" i="11" s="1"/>
  <c r="L11" i="11" s="1"/>
  <c r="L12" i="11" s="1"/>
  <c r="L13" i="11" s="1"/>
  <c r="L14" i="11" s="1"/>
  <c r="R5" i="11"/>
  <c r="R6" i="11" s="1"/>
  <c r="R7" i="11" s="1"/>
  <c r="R8" i="11" s="1"/>
  <c r="R9" i="11" s="1"/>
  <c r="R10" i="11" s="1"/>
  <c r="R11" i="11" s="1"/>
  <c r="R12" i="11" s="1"/>
  <c r="R13" i="11" s="1"/>
  <c r="R14" i="11" s="1"/>
  <c r="M5" i="11"/>
  <c r="M6" i="11" s="1"/>
  <c r="M7" i="11" s="1"/>
  <c r="M8" i="11" s="1"/>
  <c r="M9" i="11" s="1"/>
  <c r="M10" i="11" s="1"/>
  <c r="M11" i="11" s="1"/>
  <c r="M12" i="11" s="1"/>
  <c r="M13" i="11" s="1"/>
  <c r="M14" i="11" s="1"/>
  <c r="R146" i="12" l="1"/>
  <c r="T147" i="12"/>
  <c r="Q147" i="12" s="1"/>
  <c r="L17" i="12"/>
  <c r="Q113" i="15"/>
  <c r="T114" i="15" s="1"/>
  <c r="L101" i="15"/>
  <c r="M101" i="15"/>
  <c r="D100" i="15"/>
  <c r="E99" i="15"/>
  <c r="B101" i="15"/>
  <c r="C101" i="15"/>
  <c r="G101" i="15" s="1"/>
  <c r="E96" i="14"/>
  <c r="O98" i="14"/>
  <c r="J98" i="14" s="1"/>
  <c r="C98" i="14" s="1"/>
  <c r="B97" i="14"/>
  <c r="T126" i="14"/>
  <c r="Q126" i="14" s="1"/>
  <c r="M15" i="11"/>
  <c r="R15" i="11"/>
  <c r="T148" i="12" l="1"/>
  <c r="Q148" i="12" s="1"/>
  <c r="R147" i="12"/>
  <c r="L18" i="12"/>
  <c r="M17" i="12"/>
  <c r="M18" i="12" s="1"/>
  <c r="O102" i="15"/>
  <c r="J102" i="15" s="1"/>
  <c r="B102" i="15" s="1"/>
  <c r="Q114" i="15"/>
  <c r="D101" i="15"/>
  <c r="R114" i="15"/>
  <c r="F100" i="15"/>
  <c r="R126" i="14"/>
  <c r="T127" i="14" s="1"/>
  <c r="Q127" i="14" s="1"/>
  <c r="G97" i="14"/>
  <c r="D97" i="14"/>
  <c r="L98" i="14"/>
  <c r="B98" i="14"/>
  <c r="G98" i="14"/>
  <c r="M98" i="14"/>
  <c r="Q15" i="11"/>
  <c r="L15" i="11"/>
  <c r="M16" i="11" s="1"/>
  <c r="R148" i="12" l="1"/>
  <c r="T149" i="12"/>
  <c r="Q149" i="12" s="1"/>
  <c r="T115" i="15"/>
  <c r="R115" i="15" s="1"/>
  <c r="C102" i="15"/>
  <c r="G102" i="15" s="1"/>
  <c r="M102" i="15"/>
  <c r="L102" i="15"/>
  <c r="O103" i="15" s="1"/>
  <c r="J103" i="15" s="1"/>
  <c r="F101" i="15"/>
  <c r="E100" i="15"/>
  <c r="R127" i="14"/>
  <c r="T128" i="14" s="1"/>
  <c r="R128" i="14" s="1"/>
  <c r="D98" i="14"/>
  <c r="F97" i="14"/>
  <c r="O99" i="14"/>
  <c r="J99" i="14" s="1"/>
  <c r="C99" i="14" s="1"/>
  <c r="R16" i="11"/>
  <c r="L16" i="11"/>
  <c r="O17" i="11" s="1"/>
  <c r="R149" i="12" l="1"/>
  <c r="Q115" i="15"/>
  <c r="T116" i="15" s="1"/>
  <c r="R116" i="15" s="1"/>
  <c r="T150" i="12"/>
  <c r="Q150" i="12" s="1"/>
  <c r="D102" i="15"/>
  <c r="F102" i="15" s="1"/>
  <c r="L19" i="12"/>
  <c r="M19" i="12"/>
  <c r="B103" i="15"/>
  <c r="C103" i="15"/>
  <c r="G103" i="15" s="1"/>
  <c r="L103" i="15"/>
  <c r="E101" i="15"/>
  <c r="M103" i="15"/>
  <c r="Q128" i="14"/>
  <c r="T129" i="14" s="1"/>
  <c r="R129" i="14" s="1"/>
  <c r="M99" i="14"/>
  <c r="G99" i="14"/>
  <c r="B99" i="14"/>
  <c r="E97" i="14"/>
  <c r="F98" i="14"/>
  <c r="L99" i="14"/>
  <c r="O100" i="14" s="1"/>
  <c r="J100" i="14" s="1"/>
  <c r="C100" i="14" s="1"/>
  <c r="L17" i="11"/>
  <c r="Q16" i="11"/>
  <c r="T17" i="11" s="1"/>
  <c r="R17" i="11" s="1"/>
  <c r="M17" i="11"/>
  <c r="Q116" i="15" l="1"/>
  <c r="T117" i="15" s="1"/>
  <c r="R117" i="15" s="1"/>
  <c r="R150" i="12"/>
  <c r="T151" i="12" s="1"/>
  <c r="Q151" i="12" s="1"/>
  <c r="L20" i="12"/>
  <c r="M20" i="12"/>
  <c r="D103" i="15"/>
  <c r="F103" i="15" s="1"/>
  <c r="E102" i="15"/>
  <c r="O104" i="15"/>
  <c r="J104" i="15" s="1"/>
  <c r="Q129" i="14"/>
  <c r="T130" i="14" s="1"/>
  <c r="R130" i="14" s="1"/>
  <c r="L100" i="14"/>
  <c r="O101" i="14" s="1"/>
  <c r="J101" i="14" s="1"/>
  <c r="C101" i="14" s="1"/>
  <c r="D99" i="14"/>
  <c r="D100" i="14" s="1"/>
  <c r="E98" i="14"/>
  <c r="B100" i="14"/>
  <c r="G100" i="14"/>
  <c r="M100" i="14"/>
  <c r="J17" i="11"/>
  <c r="C17" i="11" s="1"/>
  <c r="Q17" i="11"/>
  <c r="T18" i="11" s="1"/>
  <c r="R18" i="11" s="1"/>
  <c r="O18" i="11"/>
  <c r="Q117" i="15" l="1"/>
  <c r="T118" i="15" s="1"/>
  <c r="Q118" i="15" s="1"/>
  <c r="T119" i="15" s="1"/>
  <c r="Q119" i="15" s="1"/>
  <c r="R151" i="12"/>
  <c r="M104" i="15"/>
  <c r="B104" i="15"/>
  <c r="C104" i="15"/>
  <c r="L104" i="15"/>
  <c r="E103" i="15"/>
  <c r="F99" i="14"/>
  <c r="E99" i="14" s="1"/>
  <c r="Q130" i="14"/>
  <c r="T131" i="14" s="1"/>
  <c r="R131" i="14" s="1"/>
  <c r="B101" i="14"/>
  <c r="G101" i="14"/>
  <c r="L101" i="14"/>
  <c r="M101" i="14"/>
  <c r="G17" i="11"/>
  <c r="B17" i="11"/>
  <c r="J18" i="11"/>
  <c r="C18" i="11" s="1"/>
  <c r="L18" i="11"/>
  <c r="Q18" i="11"/>
  <c r="D17" i="11"/>
  <c r="M18" i="11"/>
  <c r="T152" i="12" l="1"/>
  <c r="Q152" i="12" s="1"/>
  <c r="L21" i="12"/>
  <c r="M21" i="12"/>
  <c r="R118" i="15"/>
  <c r="R119" i="15" s="1"/>
  <c r="O105" i="15"/>
  <c r="J105" i="15" s="1"/>
  <c r="B105" i="15" s="1"/>
  <c r="O19" i="11"/>
  <c r="T19" i="11"/>
  <c r="R19" i="11" s="1"/>
  <c r="F100" i="14"/>
  <c r="E100" i="14" s="1"/>
  <c r="Q131" i="14"/>
  <c r="T132" i="14" s="1"/>
  <c r="T120" i="15"/>
  <c r="Q120" i="15" s="1"/>
  <c r="G104" i="15"/>
  <c r="D104" i="15"/>
  <c r="O102" i="14"/>
  <c r="J102" i="14" s="1"/>
  <c r="C102" i="14" s="1"/>
  <c r="D101" i="14"/>
  <c r="F16" i="11"/>
  <c r="G18" i="11"/>
  <c r="B18" i="11"/>
  <c r="R152" i="12" l="1"/>
  <c r="L22" i="12"/>
  <c r="M22" i="12"/>
  <c r="L105" i="15"/>
  <c r="O106" i="15" s="1"/>
  <c r="J106" i="15" s="1"/>
  <c r="B106" i="15" s="1"/>
  <c r="M105" i="15"/>
  <c r="C105" i="15"/>
  <c r="G105" i="15" s="1"/>
  <c r="Q19" i="11"/>
  <c r="J19" i="11"/>
  <c r="M19" i="11"/>
  <c r="L19" i="11"/>
  <c r="Q132" i="14"/>
  <c r="R120" i="15"/>
  <c r="T121" i="15" s="1"/>
  <c r="Q121" i="15" s="1"/>
  <c r="F104" i="15"/>
  <c r="R132" i="14"/>
  <c r="F101" i="14"/>
  <c r="B102" i="14"/>
  <c r="G102" i="14"/>
  <c r="L102" i="14"/>
  <c r="M102" i="14"/>
  <c r="F17" i="11"/>
  <c r="D18" i="11"/>
  <c r="T153" i="12" l="1"/>
  <c r="Q153" i="12" s="1"/>
  <c r="D105" i="15"/>
  <c r="F105" i="15" s="1"/>
  <c r="L23" i="12"/>
  <c r="M23" i="12"/>
  <c r="M106" i="15"/>
  <c r="L106" i="15"/>
  <c r="C106" i="15"/>
  <c r="G106" i="15" s="1"/>
  <c r="O20" i="11"/>
  <c r="M20" i="11" s="1"/>
  <c r="B19" i="11"/>
  <c r="C19" i="11"/>
  <c r="G19" i="11" s="1"/>
  <c r="T20" i="11"/>
  <c r="R20" i="11" s="1"/>
  <c r="R121" i="15"/>
  <c r="T122" i="15" s="1"/>
  <c r="Q122" i="15" s="1"/>
  <c r="E104" i="15"/>
  <c r="O103" i="14"/>
  <c r="J103" i="14" s="1"/>
  <c r="C103" i="14" s="1"/>
  <c r="E101" i="14"/>
  <c r="D102" i="14"/>
  <c r="T133" i="14"/>
  <c r="Q133" i="14" s="1"/>
  <c r="E17" i="11"/>
  <c r="F18" i="11"/>
  <c r="M24" i="12" l="1"/>
  <c r="R153" i="12"/>
  <c r="L24" i="12"/>
  <c r="O107" i="15"/>
  <c r="D106" i="15"/>
  <c r="F106" i="15" s="1"/>
  <c r="D19" i="11"/>
  <c r="F19" i="11" s="1"/>
  <c r="Q20" i="11"/>
  <c r="J20" i="11"/>
  <c r="L20" i="11"/>
  <c r="E105" i="15"/>
  <c r="R122" i="15"/>
  <c r="T123" i="15" s="1"/>
  <c r="Q123" i="15" s="1"/>
  <c r="R133" i="14"/>
  <c r="F102" i="14"/>
  <c r="M103" i="14"/>
  <c r="G103" i="14"/>
  <c r="B103" i="14"/>
  <c r="L103" i="14"/>
  <c r="E18" i="11"/>
  <c r="T154" i="12" l="1"/>
  <c r="Q154" i="12" s="1"/>
  <c r="L25" i="12"/>
  <c r="M25" i="12"/>
  <c r="J107" i="15"/>
  <c r="M107" i="15"/>
  <c r="L107" i="15"/>
  <c r="O108" i="15" s="1"/>
  <c r="J108" i="15" s="1"/>
  <c r="C108" i="15" s="1"/>
  <c r="G108" i="15" s="1"/>
  <c r="O21" i="11"/>
  <c r="E19" i="11"/>
  <c r="B20" i="11"/>
  <c r="C20" i="11"/>
  <c r="T21" i="11"/>
  <c r="R21" i="11" s="1"/>
  <c r="R123" i="15"/>
  <c r="T124" i="15" s="1"/>
  <c r="Q124" i="15" s="1"/>
  <c r="E106" i="15"/>
  <c r="O104" i="14"/>
  <c r="J104" i="14" s="1"/>
  <c r="C104" i="14" s="1"/>
  <c r="E102" i="14"/>
  <c r="D103" i="14"/>
  <c r="T134" i="14"/>
  <c r="Q134" i="14" s="1"/>
  <c r="R154" i="12" l="1"/>
  <c r="L26" i="12"/>
  <c r="B108" i="15"/>
  <c r="M108" i="15"/>
  <c r="L108" i="15"/>
  <c r="O109" i="15" s="1"/>
  <c r="C107" i="15"/>
  <c r="B107" i="15"/>
  <c r="Q21" i="11"/>
  <c r="G20" i="11"/>
  <c r="D20" i="11"/>
  <c r="J21" i="11"/>
  <c r="M21" i="11"/>
  <c r="L21" i="11"/>
  <c r="R124" i="15"/>
  <c r="T125" i="15"/>
  <c r="Q125" i="15" s="1"/>
  <c r="M104" i="14"/>
  <c r="R134" i="14"/>
  <c r="F103" i="14"/>
  <c r="B104" i="14"/>
  <c r="G104" i="14"/>
  <c r="L104" i="14"/>
  <c r="T155" i="12" l="1"/>
  <c r="Q155" i="12" s="1"/>
  <c r="M26" i="12"/>
  <c r="G107" i="15"/>
  <c r="D107" i="15"/>
  <c r="O105" i="14"/>
  <c r="J105" i="14" s="1"/>
  <c r="C105" i="14" s="1"/>
  <c r="G105" i="14" s="1"/>
  <c r="O22" i="11"/>
  <c r="M22" i="11" s="1"/>
  <c r="B21" i="11"/>
  <c r="C21" i="11"/>
  <c r="G21" i="11" s="1"/>
  <c r="F20" i="11"/>
  <c r="T22" i="11"/>
  <c r="R22" i="11" s="1"/>
  <c r="R125" i="15"/>
  <c r="T126" i="15" s="1"/>
  <c r="Q126" i="15" s="1"/>
  <c r="J109" i="15"/>
  <c r="L109" i="15"/>
  <c r="M109" i="15"/>
  <c r="E103" i="14"/>
  <c r="D104" i="14"/>
  <c r="T135" i="14"/>
  <c r="Q135" i="14" s="1"/>
  <c r="R155" i="12" l="1"/>
  <c r="B105" i="14"/>
  <c r="L27" i="12"/>
  <c r="M27" i="12"/>
  <c r="L105" i="14"/>
  <c r="O106" i="14" s="1"/>
  <c r="J106" i="14" s="1"/>
  <c r="C106" i="14" s="1"/>
  <c r="F107" i="15"/>
  <c r="E107" i="15" s="1"/>
  <c r="D108" i="15"/>
  <c r="D105" i="14"/>
  <c r="M105" i="14"/>
  <c r="D21" i="11"/>
  <c r="F21" i="11" s="1"/>
  <c r="Q22" i="11"/>
  <c r="T23" i="11" s="1"/>
  <c r="R23" i="11" s="1"/>
  <c r="J22" i="11"/>
  <c r="B22" i="11" s="1"/>
  <c r="E20" i="11"/>
  <c r="L22" i="11"/>
  <c r="R126" i="15"/>
  <c r="T127" i="15" s="1"/>
  <c r="Q127" i="15" s="1"/>
  <c r="O110" i="15"/>
  <c r="J110" i="15" s="1"/>
  <c r="B109" i="15"/>
  <c r="C109" i="15"/>
  <c r="R135" i="14"/>
  <c r="F104" i="14"/>
  <c r="T136" i="14"/>
  <c r="Q136" i="14" s="1"/>
  <c r="T156" i="12" l="1"/>
  <c r="Q156" i="12" s="1"/>
  <c r="F108" i="15"/>
  <c r="E108" i="15" s="1"/>
  <c r="L28" i="12"/>
  <c r="C22" i="11"/>
  <c r="G22" i="11" s="1"/>
  <c r="Q23" i="11"/>
  <c r="O23" i="11"/>
  <c r="E21" i="11"/>
  <c r="L110" i="15"/>
  <c r="R127" i="15"/>
  <c r="G109" i="15"/>
  <c r="D109" i="15"/>
  <c r="B110" i="15"/>
  <c r="C110" i="15"/>
  <c r="G110" i="15" s="1"/>
  <c r="M110" i="15"/>
  <c r="T137" i="14"/>
  <c r="Q137" i="14" s="1"/>
  <c r="L106" i="14"/>
  <c r="M106" i="14"/>
  <c r="R136" i="14"/>
  <c r="B106" i="14"/>
  <c r="E104" i="14"/>
  <c r="F105" i="14"/>
  <c r="R156" i="12" l="1"/>
  <c r="M28" i="12"/>
  <c r="D22" i="11"/>
  <c r="F22" i="11" s="1"/>
  <c r="E22" i="11" s="1"/>
  <c r="J23" i="11"/>
  <c r="M23" i="11"/>
  <c r="L23" i="11"/>
  <c r="T24" i="11"/>
  <c r="R24" i="11" s="1"/>
  <c r="R137" i="14"/>
  <c r="D110" i="15"/>
  <c r="F109" i="15"/>
  <c r="O111" i="15"/>
  <c r="T128" i="15"/>
  <c r="Q128" i="15" s="1"/>
  <c r="T138" i="14"/>
  <c r="Q138" i="14" s="1"/>
  <c r="G106" i="14"/>
  <c r="D106" i="14"/>
  <c r="O107" i="14"/>
  <c r="J107" i="14" s="1"/>
  <c r="C107" i="14" s="1"/>
  <c r="E105" i="14"/>
  <c r="T157" i="12" l="1"/>
  <c r="Q157" i="12" s="1"/>
  <c r="M29" i="12"/>
  <c r="L29" i="12"/>
  <c r="Q24" i="11"/>
  <c r="T25" i="11" s="1"/>
  <c r="R25" i="11" s="1"/>
  <c r="O24" i="11"/>
  <c r="J24" i="11" s="1"/>
  <c r="B23" i="11"/>
  <c r="C23" i="11"/>
  <c r="R128" i="15"/>
  <c r="J111" i="15"/>
  <c r="L111" i="15"/>
  <c r="M111" i="15"/>
  <c r="F110" i="15"/>
  <c r="E109" i="15"/>
  <c r="L107" i="14"/>
  <c r="M107" i="14"/>
  <c r="T139" i="14"/>
  <c r="Q139" i="14" s="1"/>
  <c r="G107" i="14"/>
  <c r="B107" i="14"/>
  <c r="R138" i="14"/>
  <c r="F106" i="14"/>
  <c r="R157" i="12" l="1"/>
  <c r="O108" i="14"/>
  <c r="J108" i="14" s="1"/>
  <c r="C108" i="14" s="1"/>
  <c r="G108" i="14" s="1"/>
  <c r="M24" i="11"/>
  <c r="B24" i="11"/>
  <c r="C24" i="11"/>
  <c r="G24" i="11" s="1"/>
  <c r="L24" i="11"/>
  <c r="Q25" i="11"/>
  <c r="G23" i="11"/>
  <c r="D23" i="11"/>
  <c r="R139" i="14"/>
  <c r="E110" i="15"/>
  <c r="O112" i="15"/>
  <c r="J112" i="15" s="1"/>
  <c r="B111" i="15"/>
  <c r="C111" i="15"/>
  <c r="T129" i="15"/>
  <c r="Q129" i="15" s="1"/>
  <c r="D107" i="14"/>
  <c r="T140" i="14"/>
  <c r="Q140" i="14" s="1"/>
  <c r="E106" i="14"/>
  <c r="L30" i="12" l="1"/>
  <c r="T158" i="12"/>
  <c r="Q158" i="12" s="1"/>
  <c r="M30" i="12"/>
  <c r="L31" i="12"/>
  <c r="B108" i="14"/>
  <c r="D108" i="14"/>
  <c r="L108" i="14"/>
  <c r="O109" i="14" s="1"/>
  <c r="J109" i="14" s="1"/>
  <c r="C109" i="14" s="1"/>
  <c r="M108" i="14"/>
  <c r="T26" i="11"/>
  <c r="R26" i="11" s="1"/>
  <c r="O25" i="11"/>
  <c r="D24" i="11"/>
  <c r="F23" i="11"/>
  <c r="F107" i="14"/>
  <c r="E107" i="14" s="1"/>
  <c r="R129" i="15"/>
  <c r="T130" i="15" s="1"/>
  <c r="Q130" i="15" s="1"/>
  <c r="G111" i="15"/>
  <c r="D111" i="15"/>
  <c r="L112" i="15"/>
  <c r="B112" i="15"/>
  <c r="C112" i="15"/>
  <c r="G112" i="15" s="1"/>
  <c r="M112" i="15"/>
  <c r="R140" i="14"/>
  <c r="T141" i="14"/>
  <c r="Q141" i="14" s="1"/>
  <c r="R158" i="12" l="1"/>
  <c r="T159" i="12" s="1"/>
  <c r="Q159" i="12" s="1"/>
  <c r="M31" i="12"/>
  <c r="J25" i="11"/>
  <c r="M25" i="11"/>
  <c r="L25" i="11"/>
  <c r="E23" i="11"/>
  <c r="F24" i="11"/>
  <c r="Q26" i="11"/>
  <c r="F108" i="14"/>
  <c r="E108" i="14" s="1"/>
  <c r="O113" i="15"/>
  <c r="J113" i="15" s="1"/>
  <c r="R130" i="15"/>
  <c r="D112" i="15"/>
  <c r="F111" i="15"/>
  <c r="R141" i="14"/>
  <c r="T142" i="14"/>
  <c r="Q142" i="14" s="1"/>
  <c r="B109" i="14"/>
  <c r="M109" i="14"/>
  <c r="L109" i="14"/>
  <c r="R159" i="12" l="1"/>
  <c r="T160" i="12"/>
  <c r="Q160" i="12" s="1"/>
  <c r="T27" i="11"/>
  <c r="R27" i="11" s="1"/>
  <c r="O26" i="11"/>
  <c r="J26" i="11" s="1"/>
  <c r="E24" i="11"/>
  <c r="B25" i="11"/>
  <c r="C25" i="11"/>
  <c r="M113" i="15"/>
  <c r="F112" i="15"/>
  <c r="E111" i="15"/>
  <c r="T131" i="15"/>
  <c r="Q131" i="15" s="1"/>
  <c r="B113" i="15"/>
  <c r="C113" i="15"/>
  <c r="G113" i="15" s="1"/>
  <c r="L113" i="15"/>
  <c r="R142" i="14"/>
  <c r="T143" i="14"/>
  <c r="Q143" i="14" s="1"/>
  <c r="O110" i="14"/>
  <c r="J110" i="14" s="1"/>
  <c r="C110" i="14" s="1"/>
  <c r="G109" i="14"/>
  <c r="D109" i="14"/>
  <c r="R160" i="12" l="1"/>
  <c r="T161" i="12" s="1"/>
  <c r="Q161" i="12" s="1"/>
  <c r="L32" i="12"/>
  <c r="M32" i="12"/>
  <c r="M26" i="11"/>
  <c r="B26" i="11"/>
  <c r="C26" i="11"/>
  <c r="G26" i="11" s="1"/>
  <c r="L26" i="11"/>
  <c r="G25" i="11"/>
  <c r="D25" i="11"/>
  <c r="Q27" i="11"/>
  <c r="T28" i="11" s="1"/>
  <c r="R28" i="11" s="1"/>
  <c r="R143" i="14"/>
  <c r="L110" i="14"/>
  <c r="R131" i="15"/>
  <c r="D113" i="15"/>
  <c r="F113" i="15" s="1"/>
  <c r="O114" i="15"/>
  <c r="E112" i="15"/>
  <c r="F109" i="14"/>
  <c r="B110" i="14"/>
  <c r="G110" i="14"/>
  <c r="M110" i="14"/>
  <c r="T144" i="14"/>
  <c r="R161" i="12" l="1"/>
  <c r="M33" i="12"/>
  <c r="L33" i="12"/>
  <c r="D26" i="11"/>
  <c r="F25" i="11"/>
  <c r="O27" i="11"/>
  <c r="Q28" i="11"/>
  <c r="R144" i="14"/>
  <c r="E113" i="15"/>
  <c r="J114" i="15"/>
  <c r="M114" i="15"/>
  <c r="L114" i="15"/>
  <c r="T132" i="15"/>
  <c r="Q132" i="15" s="1"/>
  <c r="O111" i="14"/>
  <c r="E109" i="14"/>
  <c r="D110" i="14"/>
  <c r="Q144" i="14"/>
  <c r="T162" i="12" l="1"/>
  <c r="Q162" i="12" s="1"/>
  <c r="M34" i="12"/>
  <c r="L34" i="12"/>
  <c r="T29" i="11"/>
  <c r="R29" i="11" s="1"/>
  <c r="J27" i="11"/>
  <c r="M27" i="11"/>
  <c r="L27" i="11"/>
  <c r="E25" i="11"/>
  <c r="F26" i="11"/>
  <c r="R132" i="15"/>
  <c r="O115" i="15"/>
  <c r="J115" i="15" s="1"/>
  <c r="B114" i="15"/>
  <c r="C114" i="15"/>
  <c r="T145" i="14"/>
  <c r="R145" i="14" s="1"/>
  <c r="F110" i="14"/>
  <c r="J111" i="14"/>
  <c r="C111" i="14" s="1"/>
  <c r="L111" i="14"/>
  <c r="M111" i="14"/>
  <c r="R162" i="12" l="1"/>
  <c r="M35" i="12"/>
  <c r="L35" i="12"/>
  <c r="E26" i="11"/>
  <c r="O28" i="11"/>
  <c r="J28" i="11" s="1"/>
  <c r="B27" i="11"/>
  <c r="C27" i="11"/>
  <c r="Q29" i="11"/>
  <c r="M115" i="15"/>
  <c r="G114" i="15"/>
  <c r="D114" i="15"/>
  <c r="B115" i="15"/>
  <c r="C115" i="15"/>
  <c r="G115" i="15" s="1"/>
  <c r="L115" i="15"/>
  <c r="T133" i="15"/>
  <c r="Q133" i="15" s="1"/>
  <c r="O112" i="14"/>
  <c r="J112" i="14" s="1"/>
  <c r="C112" i="14" s="1"/>
  <c r="B111" i="14"/>
  <c r="E110" i="14"/>
  <c r="Q145" i="14"/>
  <c r="T163" i="12" l="1"/>
  <c r="Q163" i="12" s="1"/>
  <c r="M36" i="12"/>
  <c r="O116" i="15"/>
  <c r="J116" i="15" s="1"/>
  <c r="B116" i="15" s="1"/>
  <c r="M28" i="11"/>
  <c r="O29" i="11" s="1"/>
  <c r="J29" i="11" s="1"/>
  <c r="G27" i="11"/>
  <c r="D27" i="11"/>
  <c r="B28" i="11"/>
  <c r="C28" i="11"/>
  <c r="G28" i="11" s="1"/>
  <c r="L28" i="11"/>
  <c r="T30" i="11"/>
  <c r="R30" i="11" s="1"/>
  <c r="R133" i="15"/>
  <c r="T134" i="15" s="1"/>
  <c r="Q134" i="15" s="1"/>
  <c r="D115" i="15"/>
  <c r="F114" i="15"/>
  <c r="T146" i="14"/>
  <c r="R146" i="14" s="1"/>
  <c r="L112" i="14"/>
  <c r="G111" i="14"/>
  <c r="D111" i="14"/>
  <c r="B112" i="14"/>
  <c r="G112" i="14"/>
  <c r="M112" i="14"/>
  <c r="R163" i="12" l="1"/>
  <c r="C116" i="15"/>
  <c r="G116" i="15" s="1"/>
  <c r="M37" i="12"/>
  <c r="L116" i="15"/>
  <c r="M116" i="15"/>
  <c r="O117" i="15" s="1"/>
  <c r="J117" i="15" s="1"/>
  <c r="B117" i="15" s="1"/>
  <c r="L36" i="12"/>
  <c r="L37" i="12" s="1"/>
  <c r="Q30" i="11"/>
  <c r="T31" i="11" s="1"/>
  <c r="R31" i="11" s="1"/>
  <c r="L29" i="11"/>
  <c r="B29" i="11"/>
  <c r="C29" i="11"/>
  <c r="G29" i="11" s="1"/>
  <c r="M29" i="11"/>
  <c r="D28" i="11"/>
  <c r="F27" i="11"/>
  <c r="T135" i="15"/>
  <c r="Q135" i="15" s="1"/>
  <c r="R134" i="15"/>
  <c r="F115" i="15"/>
  <c r="E114" i="15"/>
  <c r="D116" i="15"/>
  <c r="O113" i="14"/>
  <c r="J113" i="14" s="1"/>
  <c r="C113" i="14" s="1"/>
  <c r="G113" i="14" s="1"/>
  <c r="Q146" i="14"/>
  <c r="D112" i="14"/>
  <c r="F111" i="14"/>
  <c r="T164" i="12" l="1"/>
  <c r="Q164" i="12" s="1"/>
  <c r="L38" i="12"/>
  <c r="M38" i="12"/>
  <c r="L117" i="15"/>
  <c r="C117" i="15"/>
  <c r="G117" i="15" s="1"/>
  <c r="M117" i="15"/>
  <c r="O118" i="15" s="1"/>
  <c r="O30" i="11"/>
  <c r="J30" i="11" s="1"/>
  <c r="C30" i="11" s="1"/>
  <c r="G30" i="11" s="1"/>
  <c r="D29" i="11"/>
  <c r="Q31" i="11"/>
  <c r="E27" i="11"/>
  <c r="F28" i="11"/>
  <c r="R135" i="15"/>
  <c r="M113" i="14"/>
  <c r="L113" i="14"/>
  <c r="O114" i="14" s="1"/>
  <c r="J114" i="14" s="1"/>
  <c r="C114" i="14" s="1"/>
  <c r="B113" i="14"/>
  <c r="T136" i="15"/>
  <c r="Q136" i="15" s="1"/>
  <c r="F116" i="15"/>
  <c r="E115" i="15"/>
  <c r="D113" i="14"/>
  <c r="T147" i="14"/>
  <c r="R147" i="14" s="1"/>
  <c r="E111" i="14"/>
  <c r="F112" i="14"/>
  <c r="R164" i="12" l="1"/>
  <c r="L39" i="12"/>
  <c r="M39" i="12"/>
  <c r="D117" i="15"/>
  <c r="F117" i="15" s="1"/>
  <c r="B30" i="11"/>
  <c r="L30" i="11"/>
  <c r="O31" i="11" s="1"/>
  <c r="M30" i="11"/>
  <c r="E28" i="11"/>
  <c r="F29" i="11"/>
  <c r="T32" i="11"/>
  <c r="R32" i="11" s="1"/>
  <c r="D30" i="11"/>
  <c r="R136" i="15"/>
  <c r="T137" i="15"/>
  <c r="Q137" i="15" s="1"/>
  <c r="J118" i="15"/>
  <c r="M118" i="15"/>
  <c r="L118" i="15"/>
  <c r="E116" i="15"/>
  <c r="Q147" i="14"/>
  <c r="T148" i="14" s="1"/>
  <c r="Q148" i="14" s="1"/>
  <c r="E112" i="14"/>
  <c r="F113" i="14"/>
  <c r="B114" i="14"/>
  <c r="L114" i="14"/>
  <c r="M114" i="14"/>
  <c r="T165" i="12" l="1"/>
  <c r="Q165" i="12" s="1"/>
  <c r="M40" i="12"/>
  <c r="L40" i="12"/>
  <c r="O41" i="12" s="1"/>
  <c r="J31" i="11"/>
  <c r="M31" i="11"/>
  <c r="L31" i="11"/>
  <c r="Q32" i="11"/>
  <c r="E29" i="11"/>
  <c r="F30" i="11"/>
  <c r="R137" i="15"/>
  <c r="T138" i="15"/>
  <c r="Q138" i="15" s="1"/>
  <c r="E117" i="15"/>
  <c r="O119" i="15"/>
  <c r="J119" i="15" s="1"/>
  <c r="B118" i="15"/>
  <c r="C118" i="15"/>
  <c r="R148" i="14"/>
  <c r="T149" i="14" s="1"/>
  <c r="Q149" i="14" s="1"/>
  <c r="O115" i="14"/>
  <c r="J115" i="14" s="1"/>
  <c r="C115" i="14" s="1"/>
  <c r="G114" i="14"/>
  <c r="D114" i="14"/>
  <c r="E113" i="14"/>
  <c r="R165" i="12" l="1"/>
  <c r="J41" i="12"/>
  <c r="C41" i="12" s="1"/>
  <c r="M41" i="12"/>
  <c r="T33" i="11"/>
  <c r="R33" i="11" s="1"/>
  <c r="O32" i="11"/>
  <c r="J32" i="11" s="1"/>
  <c r="E30" i="11"/>
  <c r="B31" i="11"/>
  <c r="C31" i="11"/>
  <c r="R138" i="15"/>
  <c r="T139" i="15"/>
  <c r="Q139" i="15" s="1"/>
  <c r="M119" i="15"/>
  <c r="B119" i="15"/>
  <c r="C119" i="15"/>
  <c r="G119" i="15" s="1"/>
  <c r="L119" i="15"/>
  <c r="G118" i="15"/>
  <c r="D118" i="15"/>
  <c r="R149" i="14"/>
  <c r="T150" i="14" s="1"/>
  <c r="Q150" i="14" s="1"/>
  <c r="G115" i="14"/>
  <c r="B115" i="14"/>
  <c r="L115" i="14"/>
  <c r="M115" i="14"/>
  <c r="D115" i="14"/>
  <c r="F114" i="14"/>
  <c r="B41" i="12" l="1"/>
  <c r="G41" i="12"/>
  <c r="T166" i="12"/>
  <c r="Q166" i="12" s="1"/>
  <c r="L41" i="12"/>
  <c r="O42" i="12" s="1"/>
  <c r="M32" i="11"/>
  <c r="B32" i="11"/>
  <c r="C32" i="11"/>
  <c r="G32" i="11" s="1"/>
  <c r="L32" i="11"/>
  <c r="G31" i="11"/>
  <c r="D31" i="11"/>
  <c r="Q33" i="11"/>
  <c r="R139" i="15"/>
  <c r="T140" i="15"/>
  <c r="Q140" i="15" s="1"/>
  <c r="O120" i="15"/>
  <c r="J120" i="15" s="1"/>
  <c r="D119" i="15"/>
  <c r="F118" i="15"/>
  <c r="R150" i="14"/>
  <c r="E114" i="14"/>
  <c r="F115" i="14"/>
  <c r="O116" i="14"/>
  <c r="J116" i="14" s="1"/>
  <c r="C116" i="14" s="1"/>
  <c r="R166" i="12" l="1"/>
  <c r="D41" i="12"/>
  <c r="T34" i="11"/>
  <c r="R34" i="11" s="1"/>
  <c r="D32" i="11"/>
  <c r="F31" i="11"/>
  <c r="O33" i="11"/>
  <c r="R140" i="15"/>
  <c r="M120" i="15"/>
  <c r="T141" i="15"/>
  <c r="Q141" i="15" s="1"/>
  <c r="F119" i="15"/>
  <c r="E118" i="15"/>
  <c r="B120" i="15"/>
  <c r="C120" i="15"/>
  <c r="G120" i="15" s="1"/>
  <c r="L120" i="15"/>
  <c r="L116" i="14"/>
  <c r="B116" i="14"/>
  <c r="M116" i="14"/>
  <c r="E115" i="14"/>
  <c r="T151" i="14"/>
  <c r="Q151" i="14" s="1"/>
  <c r="T167" i="12" l="1"/>
  <c r="Q167" i="12" s="1"/>
  <c r="J42" i="12"/>
  <c r="C42" i="12" s="1"/>
  <c r="M42" i="12"/>
  <c r="L42" i="12"/>
  <c r="O43" i="12" s="1"/>
  <c r="J33" i="11"/>
  <c r="M33" i="11"/>
  <c r="L33" i="11"/>
  <c r="E31" i="11"/>
  <c r="F32" i="11"/>
  <c r="Q34" i="11"/>
  <c r="R141" i="15"/>
  <c r="T142" i="15"/>
  <c r="Q142" i="15" s="1"/>
  <c r="E119" i="15"/>
  <c r="D120" i="15"/>
  <c r="O121" i="15"/>
  <c r="R151" i="14"/>
  <c r="T152" i="14" s="1"/>
  <c r="Q152" i="14" s="1"/>
  <c r="G116" i="14"/>
  <c r="D116" i="14"/>
  <c r="O117" i="14"/>
  <c r="J117" i="14" s="1"/>
  <c r="C117" i="14" s="1"/>
  <c r="B42" i="12" l="1"/>
  <c r="R167" i="12"/>
  <c r="F41" i="12"/>
  <c r="E41" i="12" s="1"/>
  <c r="J43" i="12"/>
  <c r="C43" i="12" s="1"/>
  <c r="M43" i="12"/>
  <c r="G42" i="12"/>
  <c r="T35" i="11"/>
  <c r="R35" i="11" s="1"/>
  <c r="E32" i="11"/>
  <c r="O34" i="11"/>
  <c r="J34" i="11" s="1"/>
  <c r="B33" i="11"/>
  <c r="C33" i="11"/>
  <c r="R142" i="15"/>
  <c r="T143" i="15"/>
  <c r="Q143" i="15" s="1"/>
  <c r="J121" i="15"/>
  <c r="M121" i="15"/>
  <c r="F120" i="15"/>
  <c r="L121" i="15"/>
  <c r="L117" i="14"/>
  <c r="F116" i="14"/>
  <c r="G117" i="14"/>
  <c r="B117" i="14"/>
  <c r="M117" i="14"/>
  <c r="R152" i="14"/>
  <c r="B43" i="12" l="1"/>
  <c r="T168" i="12"/>
  <c r="Q168" i="12" s="1"/>
  <c r="D42" i="12"/>
  <c r="G43" i="12"/>
  <c r="L43" i="12"/>
  <c r="O44" i="12" s="1"/>
  <c r="M34" i="11"/>
  <c r="B34" i="11"/>
  <c r="C34" i="11"/>
  <c r="G34" i="11" s="1"/>
  <c r="L34" i="11"/>
  <c r="G33" i="11"/>
  <c r="D33" i="11"/>
  <c r="Q35" i="11"/>
  <c r="T144" i="15"/>
  <c r="Q144" i="15" s="1"/>
  <c r="E120" i="15"/>
  <c r="O122" i="15"/>
  <c r="J122" i="15" s="1"/>
  <c r="B121" i="15"/>
  <c r="C121" i="15"/>
  <c r="R143" i="15"/>
  <c r="E116" i="14"/>
  <c r="D117" i="14"/>
  <c r="O118" i="14"/>
  <c r="J118" i="14" s="1"/>
  <c r="C118" i="14" s="1"/>
  <c r="T153" i="14"/>
  <c r="Q153" i="14" s="1"/>
  <c r="R168" i="12" l="1"/>
  <c r="D43" i="12"/>
  <c r="F42" i="12"/>
  <c r="D34" i="11"/>
  <c r="F33" i="11"/>
  <c r="T36" i="11"/>
  <c r="R36" i="11" s="1"/>
  <c r="O35" i="11"/>
  <c r="J35" i="11" s="1"/>
  <c r="R144" i="15"/>
  <c r="T145" i="15"/>
  <c r="Q145" i="15" s="1"/>
  <c r="B122" i="15"/>
  <c r="C122" i="15"/>
  <c r="G122" i="15" s="1"/>
  <c r="L122" i="15"/>
  <c r="M122" i="15"/>
  <c r="G121" i="15"/>
  <c r="D121" i="15"/>
  <c r="R153" i="14"/>
  <c r="B118" i="14"/>
  <c r="G118" i="14"/>
  <c r="L118" i="14"/>
  <c r="D118" i="14"/>
  <c r="F117" i="14"/>
  <c r="M118" i="14"/>
  <c r="T169" i="12" l="1"/>
  <c r="Q169" i="12" s="1"/>
  <c r="F43" i="12"/>
  <c r="E42" i="12"/>
  <c r="J44" i="12"/>
  <c r="C44" i="12" s="1"/>
  <c r="M44" i="12"/>
  <c r="L44" i="12"/>
  <c r="M35" i="11"/>
  <c r="B35" i="11"/>
  <c r="C35" i="11"/>
  <c r="G35" i="11" s="1"/>
  <c r="L35" i="11"/>
  <c r="Q36" i="11"/>
  <c r="E33" i="11"/>
  <c r="F34" i="11"/>
  <c r="R145" i="15"/>
  <c r="T146" i="15" s="1"/>
  <c r="Q146" i="15" s="1"/>
  <c r="O123" i="15"/>
  <c r="J123" i="15" s="1"/>
  <c r="D122" i="15"/>
  <c r="F121" i="15"/>
  <c r="E117" i="14"/>
  <c r="F118" i="14"/>
  <c r="O119" i="14"/>
  <c r="J119" i="14" s="1"/>
  <c r="C119" i="14" s="1"/>
  <c r="T154" i="14"/>
  <c r="Q154" i="14" s="1"/>
  <c r="O45" i="12" l="1"/>
  <c r="J45" i="12" s="1"/>
  <c r="C45" i="12" s="1"/>
  <c r="B44" i="12"/>
  <c r="R169" i="12"/>
  <c r="T170" i="12" s="1"/>
  <c r="Q170" i="12" s="1"/>
  <c r="G44" i="12"/>
  <c r="E43" i="12"/>
  <c r="E34" i="11"/>
  <c r="T37" i="11"/>
  <c r="R37" i="11" s="1"/>
  <c r="O36" i="11"/>
  <c r="L36" i="11" s="1"/>
  <c r="D35" i="11"/>
  <c r="R146" i="15"/>
  <c r="T147" i="15" s="1"/>
  <c r="Q147" i="15" s="1"/>
  <c r="B123" i="15"/>
  <c r="C123" i="15"/>
  <c r="G123" i="15" s="1"/>
  <c r="L123" i="15"/>
  <c r="M123" i="15"/>
  <c r="F122" i="15"/>
  <c r="E121" i="15"/>
  <c r="R154" i="14"/>
  <c r="T155" i="14" s="1"/>
  <c r="Q155" i="14" s="1"/>
  <c r="B119" i="14"/>
  <c r="L119" i="14"/>
  <c r="E118" i="14"/>
  <c r="M119" i="14"/>
  <c r="B45" i="12" l="1"/>
  <c r="R170" i="12"/>
  <c r="T171" i="12"/>
  <c r="Q171" i="12" s="1"/>
  <c r="D44" i="12"/>
  <c r="M45" i="12"/>
  <c r="G45" i="12"/>
  <c r="L45" i="12"/>
  <c r="O37" i="11"/>
  <c r="J37" i="11" s="1"/>
  <c r="Q37" i="11"/>
  <c r="F35" i="11"/>
  <c r="J36" i="11"/>
  <c r="M36" i="11"/>
  <c r="R147" i="15"/>
  <c r="T148" i="15" s="1"/>
  <c r="Q148" i="15" s="1"/>
  <c r="O124" i="15"/>
  <c r="J124" i="15" s="1"/>
  <c r="D123" i="15"/>
  <c r="F123" i="15" s="1"/>
  <c r="E122" i="15"/>
  <c r="O120" i="14"/>
  <c r="J120" i="14" s="1"/>
  <c r="C120" i="14" s="1"/>
  <c r="R155" i="14"/>
  <c r="T156" i="14" s="1"/>
  <c r="Q156" i="14" s="1"/>
  <c r="G119" i="14"/>
  <c r="D119" i="14"/>
  <c r="R171" i="12" l="1"/>
  <c r="T172" i="12"/>
  <c r="O46" i="12"/>
  <c r="J46" i="12" s="1"/>
  <c r="C46" i="12" s="1"/>
  <c r="D45" i="12"/>
  <c r="F44" i="12"/>
  <c r="M37" i="11"/>
  <c r="B36" i="11"/>
  <c r="C36" i="11"/>
  <c r="E35" i="11"/>
  <c r="T38" i="11"/>
  <c r="R38" i="11" s="1"/>
  <c r="B37" i="11"/>
  <c r="C37" i="11"/>
  <c r="G37" i="11" s="1"/>
  <c r="L37" i="11"/>
  <c r="R148" i="15"/>
  <c r="T149" i="15" s="1"/>
  <c r="Q149" i="15" s="1"/>
  <c r="B124" i="15"/>
  <c r="C124" i="15"/>
  <c r="G124" i="15" s="1"/>
  <c r="L124" i="15"/>
  <c r="M124" i="15"/>
  <c r="E123" i="15"/>
  <c r="M120" i="14"/>
  <c r="R156" i="14"/>
  <c r="T157" i="14" s="1"/>
  <c r="Q157" i="14" s="1"/>
  <c r="F119" i="14"/>
  <c r="B120" i="14"/>
  <c r="G120" i="14"/>
  <c r="L120" i="14"/>
  <c r="R172" i="12" l="1"/>
  <c r="B46" i="12"/>
  <c r="Q172" i="12"/>
  <c r="E44" i="12"/>
  <c r="F45" i="12"/>
  <c r="G46" i="12"/>
  <c r="M46" i="12"/>
  <c r="L46" i="12"/>
  <c r="O47" i="12" s="1"/>
  <c r="Q38" i="11"/>
  <c r="O38" i="11"/>
  <c r="G36" i="11"/>
  <c r="D36" i="11"/>
  <c r="R149" i="15"/>
  <c r="T150" i="15" s="1"/>
  <c r="Q150" i="15" s="1"/>
  <c r="D124" i="15"/>
  <c r="O125" i="15"/>
  <c r="J125" i="15" s="1"/>
  <c r="R157" i="14"/>
  <c r="T158" i="14" s="1"/>
  <c r="Q158" i="14" s="1"/>
  <c r="E119" i="14"/>
  <c r="D120" i="14"/>
  <c r="F120" i="14" s="1"/>
  <c r="O121" i="14"/>
  <c r="L121" i="14" s="1"/>
  <c r="T173" i="12" l="1"/>
  <c r="R173" i="12" s="1"/>
  <c r="D46" i="12"/>
  <c r="F46" i="12" s="1"/>
  <c r="J47" i="12"/>
  <c r="C47" i="12" s="1"/>
  <c r="E45" i="12"/>
  <c r="D37" i="11"/>
  <c r="F36" i="11"/>
  <c r="J38" i="11"/>
  <c r="M38" i="11"/>
  <c r="L38" i="11"/>
  <c r="T39" i="11"/>
  <c r="R39" i="11" s="1"/>
  <c r="R150" i="15"/>
  <c r="T151" i="15" s="1"/>
  <c r="Q151" i="15" s="1"/>
  <c r="M125" i="15"/>
  <c r="L125" i="15"/>
  <c r="F124" i="15"/>
  <c r="B125" i="15"/>
  <c r="C125" i="15"/>
  <c r="G125" i="15" s="1"/>
  <c r="R158" i="14"/>
  <c r="T159" i="14" s="1"/>
  <c r="Q159" i="14" s="1"/>
  <c r="E120" i="14"/>
  <c r="J121" i="14"/>
  <c r="C121" i="14" s="1"/>
  <c r="M121" i="14"/>
  <c r="B47" i="12" l="1"/>
  <c r="Q173" i="12"/>
  <c r="E46" i="12"/>
  <c r="G47" i="12"/>
  <c r="L47" i="12"/>
  <c r="O48" i="12" s="1"/>
  <c r="M47" i="12"/>
  <c r="Q39" i="11"/>
  <c r="O39" i="11"/>
  <c r="J39" i="11" s="1"/>
  <c r="B38" i="11"/>
  <c r="C38" i="11"/>
  <c r="G38" i="11" s="1"/>
  <c r="E36" i="11"/>
  <c r="F37" i="11"/>
  <c r="R151" i="15"/>
  <c r="T152" i="15" s="1"/>
  <c r="Q152" i="15" s="1"/>
  <c r="D125" i="15"/>
  <c r="F125" i="15" s="1"/>
  <c r="E124" i="15"/>
  <c r="O126" i="15"/>
  <c r="J126" i="15" s="1"/>
  <c r="R159" i="14"/>
  <c r="T160" i="14" s="1"/>
  <c r="O122" i="14"/>
  <c r="J122" i="14" s="1"/>
  <c r="C122" i="14" s="1"/>
  <c r="B121" i="14"/>
  <c r="T174" i="12" l="1"/>
  <c r="R174" i="12" s="1"/>
  <c r="D47" i="12"/>
  <c r="J48" i="12"/>
  <c r="C48" i="12" s="1"/>
  <c r="M39" i="11"/>
  <c r="B39" i="11"/>
  <c r="C39" i="11"/>
  <c r="G39" i="11" s="1"/>
  <c r="L39" i="11"/>
  <c r="D38" i="11"/>
  <c r="T40" i="11"/>
  <c r="R40" i="11" s="1"/>
  <c r="E37" i="11"/>
  <c r="M126" i="15"/>
  <c r="L126" i="15"/>
  <c r="E125" i="15"/>
  <c r="R152" i="15"/>
  <c r="B126" i="15"/>
  <c r="C126" i="15"/>
  <c r="G122" i="14"/>
  <c r="R160" i="14"/>
  <c r="B122" i="14"/>
  <c r="Q160" i="14"/>
  <c r="L122" i="14"/>
  <c r="M122" i="14"/>
  <c r="G121" i="14"/>
  <c r="D121" i="14"/>
  <c r="B48" i="12" l="1"/>
  <c r="Q174" i="12"/>
  <c r="F47" i="12"/>
  <c r="G48" i="12"/>
  <c r="L48" i="12"/>
  <c r="O49" i="12" s="1"/>
  <c r="M48" i="12"/>
  <c r="O127" i="15"/>
  <c r="J127" i="15" s="1"/>
  <c r="B127" i="15" s="1"/>
  <c r="O123" i="14"/>
  <c r="J123" i="14" s="1"/>
  <c r="C123" i="14" s="1"/>
  <c r="T161" i="14"/>
  <c r="R161" i="14" s="1"/>
  <c r="D39" i="11"/>
  <c r="Q40" i="11"/>
  <c r="O40" i="11"/>
  <c r="F38" i="11"/>
  <c r="T153" i="15"/>
  <c r="Q153" i="15" s="1"/>
  <c r="G126" i="15"/>
  <c r="D126" i="15"/>
  <c r="D122" i="14"/>
  <c r="F121" i="14"/>
  <c r="T175" i="12" l="1"/>
  <c r="R175" i="12" s="1"/>
  <c r="D48" i="12"/>
  <c r="F48" i="12" s="1"/>
  <c r="J49" i="12"/>
  <c r="C49" i="12" s="1"/>
  <c r="E47" i="12"/>
  <c r="M49" i="12"/>
  <c r="L123" i="14"/>
  <c r="O124" i="14" s="1"/>
  <c r="J124" i="14" s="1"/>
  <c r="C124" i="14" s="1"/>
  <c r="M123" i="14"/>
  <c r="L127" i="15"/>
  <c r="C127" i="15"/>
  <c r="G127" i="15" s="1"/>
  <c r="M127" i="15"/>
  <c r="O128" i="15" s="1"/>
  <c r="J128" i="15" s="1"/>
  <c r="Q161" i="14"/>
  <c r="E38" i="11"/>
  <c r="F39" i="11"/>
  <c r="J40" i="11"/>
  <c r="M40" i="11"/>
  <c r="L40" i="11"/>
  <c r="T41" i="11"/>
  <c r="R41" i="11" s="1"/>
  <c r="F126" i="15"/>
  <c r="R153" i="15"/>
  <c r="E121" i="14"/>
  <c r="F122" i="14"/>
  <c r="T162" i="14"/>
  <c r="R162" i="14" s="1"/>
  <c r="B123" i="14"/>
  <c r="G123" i="14"/>
  <c r="B49" i="12" l="1"/>
  <c r="Q175" i="12"/>
  <c r="E48" i="12"/>
  <c r="D127" i="15"/>
  <c r="F127" i="15" s="1"/>
  <c r="G49" i="12"/>
  <c r="L49" i="12"/>
  <c r="O50" i="12" s="1"/>
  <c r="Q41" i="11"/>
  <c r="O41" i="11"/>
  <c r="J41" i="11" s="1"/>
  <c r="B40" i="11"/>
  <c r="C40" i="11"/>
  <c r="E39" i="11"/>
  <c r="T154" i="15"/>
  <c r="Q154" i="15" s="1"/>
  <c r="B128" i="15"/>
  <c r="C128" i="15"/>
  <c r="G128" i="15" s="1"/>
  <c r="M128" i="15"/>
  <c r="E126" i="15"/>
  <c r="L128" i="15"/>
  <c r="M124" i="14"/>
  <c r="B124" i="14"/>
  <c r="G124" i="14"/>
  <c r="L124" i="14"/>
  <c r="Q162" i="14"/>
  <c r="D123" i="14"/>
  <c r="D124" i="14" s="1"/>
  <c r="E122" i="14"/>
  <c r="T176" i="12" l="1"/>
  <c r="R176" i="12" s="1"/>
  <c r="D49" i="12"/>
  <c r="F49" i="12" s="1"/>
  <c r="O125" i="14"/>
  <c r="J125" i="14" s="1"/>
  <c r="C125" i="14" s="1"/>
  <c r="D125" i="14" s="1"/>
  <c r="M41" i="11"/>
  <c r="G40" i="11"/>
  <c r="D40" i="11"/>
  <c r="B41" i="11"/>
  <c r="C41" i="11"/>
  <c r="G41" i="11" s="1"/>
  <c r="L41" i="11"/>
  <c r="T42" i="11"/>
  <c r="R42" i="11" s="1"/>
  <c r="D128" i="15"/>
  <c r="F128" i="15" s="1"/>
  <c r="E127" i="15"/>
  <c r="O129" i="15"/>
  <c r="J129" i="15" s="1"/>
  <c r="R154" i="15"/>
  <c r="T163" i="14"/>
  <c r="R163" i="14" s="1"/>
  <c r="F123" i="14"/>
  <c r="Q176" i="12" l="1"/>
  <c r="T177" i="12" s="1"/>
  <c r="R177" i="12" s="1"/>
  <c r="E49" i="12"/>
  <c r="J50" i="12"/>
  <c r="C50" i="12" s="1"/>
  <c r="M50" i="12"/>
  <c r="L50" i="12"/>
  <c r="L125" i="14"/>
  <c r="O126" i="14" s="1"/>
  <c r="J126" i="14" s="1"/>
  <c r="C126" i="14" s="1"/>
  <c r="M125" i="14"/>
  <c r="B125" i="14"/>
  <c r="G125" i="14"/>
  <c r="O42" i="11"/>
  <c r="L42" i="11" s="1"/>
  <c r="O43" i="11" s="1"/>
  <c r="Q42" i="11"/>
  <c r="T43" i="11" s="1"/>
  <c r="R43" i="11" s="1"/>
  <c r="D41" i="11"/>
  <c r="F40" i="11"/>
  <c r="L129" i="15"/>
  <c r="B129" i="15"/>
  <c r="C129" i="15"/>
  <c r="M129" i="15"/>
  <c r="T155" i="15"/>
  <c r="Q155" i="15" s="1"/>
  <c r="E128" i="15"/>
  <c r="E123" i="14"/>
  <c r="F124" i="14"/>
  <c r="Q163" i="14"/>
  <c r="Q177" i="12" l="1"/>
  <c r="B50" i="12"/>
  <c r="G50" i="12"/>
  <c r="T178" i="12"/>
  <c r="Q178" i="12" s="1"/>
  <c r="O51" i="12"/>
  <c r="J51" i="12" s="1"/>
  <c r="C51" i="12" s="1"/>
  <c r="M42" i="11"/>
  <c r="M43" i="11" s="1"/>
  <c r="J42" i="11"/>
  <c r="B42" i="11" s="1"/>
  <c r="Q43" i="11"/>
  <c r="J43" i="11"/>
  <c r="E40" i="11"/>
  <c r="F41" i="11"/>
  <c r="L43" i="11"/>
  <c r="R155" i="15"/>
  <c r="O130" i="15"/>
  <c r="G129" i="15"/>
  <c r="D129" i="15"/>
  <c r="E124" i="14"/>
  <c r="F125" i="14"/>
  <c r="B126" i="14"/>
  <c r="M126" i="14"/>
  <c r="T164" i="14"/>
  <c r="R164" i="14" s="1"/>
  <c r="L126" i="14"/>
  <c r="B51" i="12" l="1"/>
  <c r="R178" i="12"/>
  <c r="T179" i="12" s="1"/>
  <c r="Q179" i="12" s="1"/>
  <c r="M51" i="12"/>
  <c r="C42" i="11"/>
  <c r="G42" i="11" s="1"/>
  <c r="D50" i="12"/>
  <c r="G51" i="12"/>
  <c r="L51" i="12"/>
  <c r="E41" i="11"/>
  <c r="B43" i="11"/>
  <c r="C43" i="11"/>
  <c r="T44" i="11"/>
  <c r="R44" i="11" s="1"/>
  <c r="O44" i="11"/>
  <c r="L44" i="11" s="1"/>
  <c r="F129" i="15"/>
  <c r="J130" i="15"/>
  <c r="L130" i="15"/>
  <c r="M130" i="15"/>
  <c r="T156" i="15"/>
  <c r="Q156" i="15" s="1"/>
  <c r="Q164" i="14"/>
  <c r="O127" i="14"/>
  <c r="J127" i="14" s="1"/>
  <c r="C127" i="14" s="1"/>
  <c r="G126" i="14"/>
  <c r="D126" i="14"/>
  <c r="E125" i="14"/>
  <c r="D42" i="11" l="1"/>
  <c r="F42" i="11" s="1"/>
  <c r="E42" i="11" s="1"/>
  <c r="R179" i="12"/>
  <c r="O52" i="12"/>
  <c r="J52" i="12" s="1"/>
  <c r="C52" i="12" s="1"/>
  <c r="D51" i="12"/>
  <c r="F50" i="12"/>
  <c r="Q44" i="11"/>
  <c r="T45" i="11" s="1"/>
  <c r="R45" i="11" s="1"/>
  <c r="G43" i="11"/>
  <c r="J44" i="11"/>
  <c r="M44" i="11"/>
  <c r="O45" i="11" s="1"/>
  <c r="R156" i="15"/>
  <c r="O131" i="15"/>
  <c r="J131" i="15" s="1"/>
  <c r="B130" i="15"/>
  <c r="C130" i="15"/>
  <c r="E129" i="15"/>
  <c r="L127" i="14"/>
  <c r="G127" i="14"/>
  <c r="B127" i="14"/>
  <c r="M127" i="14"/>
  <c r="T165" i="14"/>
  <c r="R165" i="14" s="1"/>
  <c r="F126" i="14"/>
  <c r="B52" i="12" l="1"/>
  <c r="T180" i="12"/>
  <c r="Q180" i="12" s="1"/>
  <c r="D43" i="11"/>
  <c r="F43" i="11" s="1"/>
  <c r="G52" i="12"/>
  <c r="M52" i="12"/>
  <c r="L52" i="12"/>
  <c r="F51" i="12"/>
  <c r="E50" i="12"/>
  <c r="Q45" i="11"/>
  <c r="T46" i="11" s="1"/>
  <c r="R46" i="11" s="1"/>
  <c r="B44" i="11"/>
  <c r="C44" i="11"/>
  <c r="G44" i="11" s="1"/>
  <c r="J45" i="11"/>
  <c r="M45" i="11"/>
  <c r="L45" i="11"/>
  <c r="L131" i="15"/>
  <c r="B131" i="15"/>
  <c r="C131" i="15"/>
  <c r="G131" i="15" s="1"/>
  <c r="M131" i="15"/>
  <c r="G130" i="15"/>
  <c r="D130" i="15"/>
  <c r="T157" i="15"/>
  <c r="Q157" i="15" s="1"/>
  <c r="Q165" i="14"/>
  <c r="O128" i="14"/>
  <c r="J128" i="14" s="1"/>
  <c r="C128" i="14" s="1"/>
  <c r="E126" i="14"/>
  <c r="D127" i="14"/>
  <c r="O53" i="12" l="1"/>
  <c r="J53" i="12" s="1"/>
  <c r="C53" i="12" s="1"/>
  <c r="R180" i="12"/>
  <c r="D52" i="12"/>
  <c r="F52" i="12" s="1"/>
  <c r="E51" i="12"/>
  <c r="Q46" i="11"/>
  <c r="T47" i="11" s="1"/>
  <c r="R47" i="11" s="1"/>
  <c r="E43" i="11"/>
  <c r="D44" i="11"/>
  <c r="B45" i="11"/>
  <c r="C45" i="11"/>
  <c r="G45" i="11" s="1"/>
  <c r="O46" i="11"/>
  <c r="J46" i="11" s="1"/>
  <c r="D131" i="15"/>
  <c r="F130" i="15"/>
  <c r="R157" i="15"/>
  <c r="T158" i="15" s="1"/>
  <c r="Q158" i="15" s="1"/>
  <c r="O132" i="15"/>
  <c r="J132" i="15" s="1"/>
  <c r="L128" i="14"/>
  <c r="F127" i="14"/>
  <c r="B128" i="14"/>
  <c r="G128" i="14"/>
  <c r="M128" i="14"/>
  <c r="T166" i="14"/>
  <c r="R166" i="14" s="1"/>
  <c r="M53" i="12" l="1"/>
  <c r="L53" i="12"/>
  <c r="O54" i="12" s="1"/>
  <c r="J54" i="12" s="1"/>
  <c r="B53" i="12"/>
  <c r="G53" i="12"/>
  <c r="T181" i="12"/>
  <c r="Q181" i="12" s="1"/>
  <c r="L54" i="12"/>
  <c r="E52" i="12"/>
  <c r="L46" i="11"/>
  <c r="D45" i="11"/>
  <c r="Q47" i="11"/>
  <c r="B46" i="11"/>
  <c r="C46" i="11"/>
  <c r="G46" i="11" s="1"/>
  <c r="F44" i="11"/>
  <c r="M46" i="11"/>
  <c r="R158" i="15"/>
  <c r="T159" i="15" s="1"/>
  <c r="Q159" i="15" s="1"/>
  <c r="B132" i="15"/>
  <c r="C132" i="15"/>
  <c r="G132" i="15" s="1"/>
  <c r="M132" i="15"/>
  <c r="L132" i="15"/>
  <c r="F131" i="15"/>
  <c r="E130" i="15"/>
  <c r="Q166" i="14"/>
  <c r="O129" i="14"/>
  <c r="E127" i="14"/>
  <c r="D128" i="14"/>
  <c r="F128" i="14" s="1"/>
  <c r="C54" i="12" l="1"/>
  <c r="G54" i="12" s="1"/>
  <c r="M54" i="12"/>
  <c r="O55" i="12" s="1"/>
  <c r="J55" i="12" s="1"/>
  <c r="B54" i="12"/>
  <c r="D53" i="12"/>
  <c r="F53" i="12" s="1"/>
  <c r="E53" i="12" s="1"/>
  <c r="R181" i="12"/>
  <c r="M55" i="12"/>
  <c r="L55" i="12"/>
  <c r="D46" i="11"/>
  <c r="E44" i="11"/>
  <c r="F45" i="11"/>
  <c r="T48" i="11"/>
  <c r="R48" i="11" s="1"/>
  <c r="O47" i="11"/>
  <c r="M47" i="11" s="1"/>
  <c r="R159" i="15"/>
  <c r="T160" i="15" s="1"/>
  <c r="Q160" i="15" s="1"/>
  <c r="E131" i="15"/>
  <c r="O133" i="15"/>
  <c r="J133" i="15" s="1"/>
  <c r="D132" i="15"/>
  <c r="E128" i="14"/>
  <c r="J129" i="14"/>
  <c r="C129" i="14" s="1"/>
  <c r="L129" i="14"/>
  <c r="M129" i="14"/>
  <c r="T167" i="14"/>
  <c r="R167" i="14" s="1"/>
  <c r="B55" i="12" l="1"/>
  <c r="C55" i="12"/>
  <c r="G55" i="12" s="1"/>
  <c r="D54" i="12"/>
  <c r="T182" i="12"/>
  <c r="Q182" i="12" s="1"/>
  <c r="O56" i="12"/>
  <c r="J56" i="12" s="1"/>
  <c r="C56" i="12" s="1"/>
  <c r="J47" i="11"/>
  <c r="L47" i="11"/>
  <c r="O48" i="11" s="1"/>
  <c r="J48" i="11" s="1"/>
  <c r="Q48" i="11"/>
  <c r="E45" i="11"/>
  <c r="F46" i="11"/>
  <c r="R160" i="15"/>
  <c r="T161" i="15" s="1"/>
  <c r="L133" i="15"/>
  <c r="B133" i="15"/>
  <c r="C133" i="15"/>
  <c r="G133" i="15" s="1"/>
  <c r="M133" i="15"/>
  <c r="F132" i="15"/>
  <c r="Q167" i="14"/>
  <c r="O130" i="14"/>
  <c r="J130" i="14" s="1"/>
  <c r="C130" i="14" s="1"/>
  <c r="B129" i="14"/>
  <c r="D55" i="12" l="1"/>
  <c r="F54" i="12"/>
  <c r="E54" i="12" s="1"/>
  <c r="B56" i="12"/>
  <c r="G56" i="12"/>
  <c r="R182" i="12"/>
  <c r="M56" i="12"/>
  <c r="O57" i="12" s="1"/>
  <c r="L56" i="12"/>
  <c r="F55" i="12"/>
  <c r="M48" i="11"/>
  <c r="E46" i="11"/>
  <c r="T49" i="11"/>
  <c r="R49" i="11" s="1"/>
  <c r="B48" i="11"/>
  <c r="C48" i="11"/>
  <c r="G48" i="11" s="1"/>
  <c r="L48" i="11"/>
  <c r="B47" i="11"/>
  <c r="C47" i="11"/>
  <c r="R161" i="15"/>
  <c r="Q161" i="15"/>
  <c r="O134" i="15"/>
  <c r="J134" i="15" s="1"/>
  <c r="E132" i="15"/>
  <c r="D133" i="15"/>
  <c r="F133" i="15" s="1"/>
  <c r="L130" i="14"/>
  <c r="G129" i="14"/>
  <c r="D129" i="14"/>
  <c r="B130" i="14"/>
  <c r="G130" i="14"/>
  <c r="M130" i="14"/>
  <c r="T168" i="14"/>
  <c r="R168" i="14" s="1"/>
  <c r="T183" i="12" l="1"/>
  <c r="Q183" i="12" s="1"/>
  <c r="D56" i="12"/>
  <c r="T162" i="15"/>
  <c r="R162" i="15" s="1"/>
  <c r="E55" i="12"/>
  <c r="J57" i="12"/>
  <c r="C57" i="12" s="1"/>
  <c r="M57" i="12"/>
  <c r="Q49" i="11"/>
  <c r="G47" i="11"/>
  <c r="D47" i="11"/>
  <c r="O49" i="11"/>
  <c r="J49" i="11" s="1"/>
  <c r="L134" i="15"/>
  <c r="O135" i="15" s="1"/>
  <c r="J135" i="15" s="1"/>
  <c r="B134" i="15"/>
  <c r="C134" i="15"/>
  <c r="G134" i="15" s="1"/>
  <c r="M134" i="15"/>
  <c r="E133" i="15"/>
  <c r="Q168" i="14"/>
  <c r="T169" i="14" s="1"/>
  <c r="Q169" i="14" s="1"/>
  <c r="O131" i="14"/>
  <c r="D130" i="14"/>
  <c r="F129" i="14"/>
  <c r="B57" i="12" l="1"/>
  <c r="R183" i="12"/>
  <c r="Q162" i="15"/>
  <c r="G57" i="12"/>
  <c r="L57" i="12"/>
  <c r="F56" i="12"/>
  <c r="B49" i="11"/>
  <c r="C49" i="11"/>
  <c r="G49" i="11" s="1"/>
  <c r="M49" i="11"/>
  <c r="D48" i="11"/>
  <c r="F47" i="11"/>
  <c r="T50" i="11"/>
  <c r="R50" i="11" s="1"/>
  <c r="L49" i="11"/>
  <c r="D134" i="15"/>
  <c r="F134" i="15" s="1"/>
  <c r="E134" i="15" s="1"/>
  <c r="M135" i="15"/>
  <c r="T163" i="15"/>
  <c r="R163" i="15" s="1"/>
  <c r="B135" i="15"/>
  <c r="C135" i="15"/>
  <c r="G135" i="15" s="1"/>
  <c r="L135" i="15"/>
  <c r="R169" i="14"/>
  <c r="E129" i="14"/>
  <c r="F130" i="14"/>
  <c r="J131" i="14"/>
  <c r="C131" i="14" s="1"/>
  <c r="L131" i="14"/>
  <c r="M131" i="14"/>
  <c r="T184" i="12" l="1"/>
  <c r="Q184" i="12" s="1"/>
  <c r="O58" i="12"/>
  <c r="J58" i="12" s="1"/>
  <c r="C58" i="12" s="1"/>
  <c r="D57" i="12"/>
  <c r="F57" i="12" s="1"/>
  <c r="E56" i="12"/>
  <c r="D49" i="11"/>
  <c r="T51" i="11"/>
  <c r="R51" i="11" s="1"/>
  <c r="Q50" i="11"/>
  <c r="E47" i="11"/>
  <c r="F48" i="11"/>
  <c r="O50" i="11"/>
  <c r="J50" i="11" s="1"/>
  <c r="Q163" i="15"/>
  <c r="O136" i="15"/>
  <c r="D135" i="15"/>
  <c r="O132" i="14"/>
  <c r="J132" i="14" s="1"/>
  <c r="C132" i="14" s="1"/>
  <c r="B131" i="14"/>
  <c r="E130" i="14"/>
  <c r="T170" i="14"/>
  <c r="Q170" i="14" s="1"/>
  <c r="M58" i="12" l="1"/>
  <c r="O59" i="12" s="1"/>
  <c r="B58" i="12"/>
  <c r="G58" i="12"/>
  <c r="R184" i="12"/>
  <c r="L58" i="12"/>
  <c r="E57" i="12"/>
  <c r="Q51" i="11"/>
  <c r="T52" i="11" s="1"/>
  <c r="R52" i="11" s="1"/>
  <c r="M50" i="11"/>
  <c r="O51" i="11" s="1"/>
  <c r="J51" i="11" s="1"/>
  <c r="E48" i="11"/>
  <c r="F49" i="11"/>
  <c r="B50" i="11"/>
  <c r="C50" i="11"/>
  <c r="L50" i="11"/>
  <c r="F135" i="15"/>
  <c r="J136" i="15"/>
  <c r="M136" i="15"/>
  <c r="L136" i="15"/>
  <c r="T164" i="15"/>
  <c r="R164" i="15" s="1"/>
  <c r="R170" i="14"/>
  <c r="T171" i="14" s="1"/>
  <c r="G131" i="14"/>
  <c r="D131" i="14"/>
  <c r="M132" i="14"/>
  <c r="B132" i="14"/>
  <c r="G132" i="14"/>
  <c r="L132" i="14"/>
  <c r="D58" i="12" l="1"/>
  <c r="F58" i="12" s="1"/>
  <c r="E58" i="12" s="1"/>
  <c r="T185" i="12"/>
  <c r="Q185" i="12" s="1"/>
  <c r="J59" i="12"/>
  <c r="C59" i="12" s="1"/>
  <c r="L59" i="12"/>
  <c r="M59" i="12"/>
  <c r="L51" i="11"/>
  <c r="Q52" i="11"/>
  <c r="E49" i="11"/>
  <c r="B51" i="11"/>
  <c r="C51" i="11"/>
  <c r="G51" i="11" s="1"/>
  <c r="M51" i="11"/>
  <c r="G50" i="11"/>
  <c r="D50" i="11"/>
  <c r="F50" i="11" s="1"/>
  <c r="Q164" i="15"/>
  <c r="O137" i="15"/>
  <c r="J137" i="15" s="1"/>
  <c r="B136" i="15"/>
  <c r="C136" i="15"/>
  <c r="E135" i="15"/>
  <c r="R171" i="14"/>
  <c r="Q171" i="14"/>
  <c r="D132" i="14"/>
  <c r="F131" i="14"/>
  <c r="O133" i="14"/>
  <c r="J133" i="14" s="1"/>
  <c r="C133" i="14" s="1"/>
  <c r="O60" i="12" l="1"/>
  <c r="B59" i="12"/>
  <c r="G59" i="12"/>
  <c r="T186" i="12"/>
  <c r="Q186" i="12" s="1"/>
  <c r="R185" i="12"/>
  <c r="J60" i="12"/>
  <c r="C60" i="12" s="1"/>
  <c r="L60" i="12"/>
  <c r="O52" i="11"/>
  <c r="E50" i="11"/>
  <c r="D51" i="11"/>
  <c r="T53" i="11"/>
  <c r="R53" i="11" s="1"/>
  <c r="M137" i="15"/>
  <c r="G136" i="15"/>
  <c r="D136" i="15"/>
  <c r="B137" i="15"/>
  <c r="C137" i="15"/>
  <c r="G137" i="15" s="1"/>
  <c r="L137" i="15"/>
  <c r="T165" i="15"/>
  <c r="R165" i="15" s="1"/>
  <c r="G133" i="14"/>
  <c r="B133" i="14"/>
  <c r="L133" i="14"/>
  <c r="E131" i="14"/>
  <c r="F132" i="14"/>
  <c r="D133" i="14"/>
  <c r="M133" i="14"/>
  <c r="T172" i="14"/>
  <c r="R172" i="14" s="1"/>
  <c r="R186" i="12" l="1"/>
  <c r="B60" i="12"/>
  <c r="G60" i="12"/>
  <c r="T187" i="12"/>
  <c r="Q187" i="12" s="1"/>
  <c r="D59" i="12"/>
  <c r="M60" i="12"/>
  <c r="O61" i="12" s="1"/>
  <c r="Q53" i="11"/>
  <c r="F51" i="11"/>
  <c r="J52" i="11"/>
  <c r="L52" i="11"/>
  <c r="M52" i="11"/>
  <c r="O138" i="15"/>
  <c r="Q165" i="15"/>
  <c r="D137" i="15"/>
  <c r="F136" i="15"/>
  <c r="Q172" i="14"/>
  <c r="T173" i="14" s="1"/>
  <c r="R173" i="14" s="1"/>
  <c r="E132" i="14"/>
  <c r="F133" i="14"/>
  <c r="O134" i="14"/>
  <c r="J134" i="14" s="1"/>
  <c r="C134" i="14" s="1"/>
  <c r="R187" i="12" l="1"/>
  <c r="T188" i="12"/>
  <c r="Q188" i="12" s="1"/>
  <c r="D60" i="12"/>
  <c r="F59" i="12"/>
  <c r="O53" i="11"/>
  <c r="J53" i="11" s="1"/>
  <c r="B52" i="11"/>
  <c r="C52" i="11"/>
  <c r="E51" i="11"/>
  <c r="T54" i="11"/>
  <c r="R54" i="11" s="1"/>
  <c r="F137" i="15"/>
  <c r="E136" i="15"/>
  <c r="T166" i="15"/>
  <c r="R166" i="15" s="1"/>
  <c r="J138" i="15"/>
  <c r="M138" i="15"/>
  <c r="L138" i="15"/>
  <c r="Q173" i="14"/>
  <c r="B134" i="14"/>
  <c r="L134" i="14"/>
  <c r="E133" i="14"/>
  <c r="M134" i="14"/>
  <c r="T189" i="12" l="1"/>
  <c r="Q189" i="12" s="1"/>
  <c r="R188" i="12"/>
  <c r="F60" i="12"/>
  <c r="E59" i="12"/>
  <c r="J61" i="12"/>
  <c r="C61" i="12" s="1"/>
  <c r="L61" i="12"/>
  <c r="O62" i="12" s="1"/>
  <c r="M61" i="12"/>
  <c r="L53" i="11"/>
  <c r="Q54" i="11"/>
  <c r="G52" i="11"/>
  <c r="D52" i="11"/>
  <c r="C53" i="11"/>
  <c r="G53" i="11" s="1"/>
  <c r="B53" i="11"/>
  <c r="M53" i="11"/>
  <c r="B138" i="15"/>
  <c r="C138" i="15"/>
  <c r="Q166" i="15"/>
  <c r="O139" i="15"/>
  <c r="J139" i="15" s="1"/>
  <c r="E137" i="15"/>
  <c r="O135" i="14"/>
  <c r="J135" i="14" s="1"/>
  <c r="C135" i="14" s="1"/>
  <c r="G134" i="14"/>
  <c r="D134" i="14"/>
  <c r="T174" i="14"/>
  <c r="R174" i="14" s="1"/>
  <c r="B61" i="12" l="1"/>
  <c r="G61" i="12"/>
  <c r="R189" i="12"/>
  <c r="T190" i="12"/>
  <c r="Q190" i="12" s="1"/>
  <c r="J62" i="12"/>
  <c r="C62" i="12" s="1"/>
  <c r="E60" i="12"/>
  <c r="T55" i="11"/>
  <c r="R55" i="11" s="1"/>
  <c r="D53" i="11"/>
  <c r="F52" i="11"/>
  <c r="O54" i="11"/>
  <c r="M54" i="11" s="1"/>
  <c r="L139" i="15"/>
  <c r="O140" i="15" s="1"/>
  <c r="J140" i="15" s="1"/>
  <c r="B139" i="15"/>
  <c r="C139" i="15"/>
  <c r="G139" i="15" s="1"/>
  <c r="T167" i="15"/>
  <c r="R167" i="15" s="1"/>
  <c r="M139" i="15"/>
  <c r="G138" i="15"/>
  <c r="D138" i="15"/>
  <c r="Q174" i="14"/>
  <c r="M135" i="14"/>
  <c r="F134" i="14"/>
  <c r="G135" i="14"/>
  <c r="B135" i="14"/>
  <c r="L135" i="14"/>
  <c r="B62" i="12" l="1"/>
  <c r="R190" i="12"/>
  <c r="T191" i="12"/>
  <c r="Q191" i="12" s="1"/>
  <c r="D61" i="12"/>
  <c r="G62" i="12"/>
  <c r="L62" i="12"/>
  <c r="M62" i="12"/>
  <c r="Q55" i="11"/>
  <c r="T56" i="11" s="1"/>
  <c r="J54" i="11"/>
  <c r="L54" i="11"/>
  <c r="O55" i="11"/>
  <c r="J55" i="11" s="1"/>
  <c r="E52" i="11"/>
  <c r="F53" i="11"/>
  <c r="M140" i="15"/>
  <c r="B140" i="15"/>
  <c r="C140" i="15"/>
  <c r="G140" i="15" s="1"/>
  <c r="L140" i="15"/>
  <c r="Q167" i="15"/>
  <c r="D139" i="15"/>
  <c r="F138" i="15"/>
  <c r="E134" i="14"/>
  <c r="D135" i="14"/>
  <c r="O136" i="14"/>
  <c r="J136" i="14" s="1"/>
  <c r="C136" i="14" s="1"/>
  <c r="T175" i="14"/>
  <c r="R175" i="14" s="1"/>
  <c r="T192" i="12" l="1"/>
  <c r="Q192" i="12" s="1"/>
  <c r="R191" i="12"/>
  <c r="O63" i="12"/>
  <c r="J63" i="12" s="1"/>
  <c r="C63" i="12" s="1"/>
  <c r="D62" i="12"/>
  <c r="F61" i="12"/>
  <c r="Q56" i="11"/>
  <c r="R56" i="11"/>
  <c r="E53" i="11"/>
  <c r="M55" i="11"/>
  <c r="L55" i="11"/>
  <c r="C54" i="11"/>
  <c r="B54" i="11"/>
  <c r="C55" i="11"/>
  <c r="G55" i="11" s="1"/>
  <c r="B55" i="11"/>
  <c r="D140" i="15"/>
  <c r="T168" i="15"/>
  <c r="R168" i="15" s="1"/>
  <c r="O141" i="15"/>
  <c r="J141" i="15" s="1"/>
  <c r="F139" i="15"/>
  <c r="E138" i="15"/>
  <c r="M136" i="14"/>
  <c r="B136" i="14"/>
  <c r="G136" i="14"/>
  <c r="L136" i="14"/>
  <c r="D136" i="14"/>
  <c r="F135" i="14"/>
  <c r="Q175" i="14"/>
  <c r="R192" i="12" l="1"/>
  <c r="B63" i="12"/>
  <c r="T193" i="12"/>
  <c r="Q193" i="12" s="1"/>
  <c r="F62" i="12"/>
  <c r="E61" i="12"/>
  <c r="G63" i="12"/>
  <c r="L63" i="12"/>
  <c r="M63" i="12"/>
  <c r="O64" i="12" s="1"/>
  <c r="T57" i="11"/>
  <c r="Q57" i="11" s="1"/>
  <c r="G54" i="11"/>
  <c r="D54" i="11"/>
  <c r="O56" i="11"/>
  <c r="J56" i="11" s="1"/>
  <c r="M141" i="15"/>
  <c r="F140" i="15"/>
  <c r="E139" i="15"/>
  <c r="B141" i="15"/>
  <c r="C141" i="15"/>
  <c r="L141" i="15"/>
  <c r="Q168" i="15"/>
  <c r="T176" i="14"/>
  <c r="R176" i="14" s="1"/>
  <c r="O137" i="14"/>
  <c r="J137" i="14" s="1"/>
  <c r="C137" i="14" s="1"/>
  <c r="E135" i="14"/>
  <c r="F136" i="14"/>
  <c r="R193" i="12" l="1"/>
  <c r="D63" i="12"/>
  <c r="F63" i="12" s="1"/>
  <c r="J64" i="12"/>
  <c r="C64" i="12" s="1"/>
  <c r="M64" i="12"/>
  <c r="R57" i="11"/>
  <c r="T58" i="11" s="1"/>
  <c r="Q58" i="11" s="1"/>
  <c r="E62" i="12"/>
  <c r="C56" i="11"/>
  <c r="G56" i="11" s="1"/>
  <c r="B56" i="11"/>
  <c r="M56" i="11"/>
  <c r="L56" i="11"/>
  <c r="D55" i="11"/>
  <c r="F54" i="11"/>
  <c r="T169" i="15"/>
  <c r="R169" i="15" s="1"/>
  <c r="O142" i="15"/>
  <c r="G141" i="15"/>
  <c r="D141" i="15"/>
  <c r="F141" i="15" s="1"/>
  <c r="E140" i="15"/>
  <c r="M137" i="14"/>
  <c r="E136" i="14"/>
  <c r="B137" i="14"/>
  <c r="L137" i="14"/>
  <c r="Q176" i="14"/>
  <c r="B64" i="12" l="1"/>
  <c r="G64" i="12"/>
  <c r="T194" i="12"/>
  <c r="Q194" i="12" s="1"/>
  <c r="E63" i="12"/>
  <c r="L64" i="12"/>
  <c r="R58" i="11"/>
  <c r="D56" i="11"/>
  <c r="O57" i="11"/>
  <c r="J57" i="11" s="1"/>
  <c r="E54" i="11"/>
  <c r="F55" i="11"/>
  <c r="E141" i="15"/>
  <c r="J142" i="15"/>
  <c r="M142" i="15"/>
  <c r="L142" i="15"/>
  <c r="Q169" i="15"/>
  <c r="O138" i="14"/>
  <c r="J138" i="14" s="1"/>
  <c r="C138" i="14" s="1"/>
  <c r="T177" i="14"/>
  <c r="R177" i="14" s="1"/>
  <c r="G137" i="14"/>
  <c r="D137" i="14"/>
  <c r="R194" i="12" l="1"/>
  <c r="O65" i="12"/>
  <c r="D64" i="12"/>
  <c r="T59" i="11"/>
  <c r="Q59" i="11" s="1"/>
  <c r="T60" i="11" s="1"/>
  <c r="Q60" i="11" s="1"/>
  <c r="T61" i="11" s="1"/>
  <c r="Q61" i="11" s="1"/>
  <c r="T62" i="11" s="1"/>
  <c r="Q62" i="11" s="1"/>
  <c r="C57" i="11"/>
  <c r="B57" i="11"/>
  <c r="M57" i="11"/>
  <c r="L57" i="11"/>
  <c r="E55" i="11"/>
  <c r="F56" i="11"/>
  <c r="O143" i="15"/>
  <c r="J143" i="15" s="1"/>
  <c r="T170" i="15"/>
  <c r="R170" i="15" s="1"/>
  <c r="B142" i="15"/>
  <c r="C142" i="15"/>
  <c r="M138" i="14"/>
  <c r="F137" i="14"/>
  <c r="Q177" i="14"/>
  <c r="B138" i="14"/>
  <c r="G138" i="14"/>
  <c r="L138" i="14"/>
  <c r="T195" i="12" l="1"/>
  <c r="Q195" i="12" s="1"/>
  <c r="J65" i="12"/>
  <c r="C65" i="12" s="1"/>
  <c r="M65" i="12"/>
  <c r="L65" i="12"/>
  <c r="O66" i="12" s="1"/>
  <c r="J66" i="12" s="1"/>
  <c r="C66" i="12" s="1"/>
  <c r="F64" i="12"/>
  <c r="R59" i="11"/>
  <c r="R60" i="11" s="1"/>
  <c r="R61" i="11" s="1"/>
  <c r="R62" i="11" s="1"/>
  <c r="T63" i="11"/>
  <c r="Q63" i="11" s="1"/>
  <c r="O58" i="11"/>
  <c r="J58" i="11" s="1"/>
  <c r="G57" i="11"/>
  <c r="D57" i="11"/>
  <c r="E56" i="11"/>
  <c r="G142" i="15"/>
  <c r="D142" i="15"/>
  <c r="Q170" i="15"/>
  <c r="M143" i="15"/>
  <c r="B143" i="15"/>
  <c r="C143" i="15"/>
  <c r="G143" i="15" s="1"/>
  <c r="L143" i="15"/>
  <c r="T178" i="14"/>
  <c r="R178" i="14" s="1"/>
  <c r="E137" i="14"/>
  <c r="D138" i="14"/>
  <c r="O139" i="14"/>
  <c r="B66" i="12" l="1"/>
  <c r="R195" i="12"/>
  <c r="L66" i="12"/>
  <c r="O67" i="12" s="1"/>
  <c r="G66" i="12"/>
  <c r="M66" i="12"/>
  <c r="B65" i="12"/>
  <c r="G65" i="12"/>
  <c r="E64" i="12"/>
  <c r="M58" i="11"/>
  <c r="T64" i="11"/>
  <c r="Q64" i="11" s="1"/>
  <c r="C58" i="11"/>
  <c r="G58" i="11" s="1"/>
  <c r="B58" i="11"/>
  <c r="L58" i="11"/>
  <c r="R63" i="11"/>
  <c r="F57" i="11"/>
  <c r="O144" i="15"/>
  <c r="J144" i="15" s="1"/>
  <c r="T171" i="15"/>
  <c r="R171" i="15" s="1"/>
  <c r="D143" i="15"/>
  <c r="F142" i="15"/>
  <c r="J139" i="14"/>
  <c r="C139" i="14" s="1"/>
  <c r="M139" i="14"/>
  <c r="L139" i="14"/>
  <c r="F138" i="14"/>
  <c r="Q178" i="14"/>
  <c r="T196" i="12" l="1"/>
  <c r="Q196" i="12" s="1"/>
  <c r="D65" i="12"/>
  <c r="J67" i="12"/>
  <c r="C67" i="12" s="1"/>
  <c r="M67" i="12"/>
  <c r="L67" i="12"/>
  <c r="O59" i="11"/>
  <c r="J59" i="11" s="1"/>
  <c r="C59" i="11" s="1"/>
  <c r="G59" i="11" s="1"/>
  <c r="D58" i="11"/>
  <c r="F58" i="11" s="1"/>
  <c r="T65" i="11"/>
  <c r="Q65" i="11" s="1"/>
  <c r="E57" i="11"/>
  <c r="R64" i="11"/>
  <c r="M144" i="15"/>
  <c r="Q171" i="15"/>
  <c r="F143" i="15"/>
  <c r="E142" i="15"/>
  <c r="B144" i="15"/>
  <c r="C144" i="15"/>
  <c r="G144" i="15" s="1"/>
  <c r="L144" i="15"/>
  <c r="T179" i="14"/>
  <c r="R179" i="14" s="1"/>
  <c r="E138" i="14"/>
  <c r="O140" i="14"/>
  <c r="J140" i="14" s="1"/>
  <c r="C140" i="14" s="1"/>
  <c r="B139" i="14"/>
  <c r="O68" i="12" l="1"/>
  <c r="B67" i="12"/>
  <c r="G67" i="12"/>
  <c r="R196" i="12"/>
  <c r="D66" i="12"/>
  <c r="F65" i="12"/>
  <c r="L59" i="11"/>
  <c r="O60" i="11" s="1"/>
  <c r="B59" i="11"/>
  <c r="J68" i="12"/>
  <c r="C68" i="12" s="1"/>
  <c r="M59" i="11"/>
  <c r="R65" i="11"/>
  <c r="T66" i="11"/>
  <c r="Q66" i="11" s="1"/>
  <c r="D59" i="11"/>
  <c r="F59" i="11" s="1"/>
  <c r="E58" i="11"/>
  <c r="T172" i="15"/>
  <c r="R172" i="15" s="1"/>
  <c r="E143" i="15"/>
  <c r="O145" i="15"/>
  <c r="D144" i="15"/>
  <c r="M140" i="14"/>
  <c r="B140" i="14"/>
  <c r="G140" i="14"/>
  <c r="L140" i="14"/>
  <c r="G139" i="14"/>
  <c r="D139" i="14"/>
  <c r="Q179" i="14"/>
  <c r="B68" i="12" l="1"/>
  <c r="T197" i="12"/>
  <c r="Q197" i="12" s="1"/>
  <c r="E65" i="12"/>
  <c r="F66" i="12"/>
  <c r="E66" i="12" s="1"/>
  <c r="D67" i="12"/>
  <c r="M68" i="12"/>
  <c r="G68" i="12"/>
  <c r="L68" i="12"/>
  <c r="O69" i="12" s="1"/>
  <c r="R66" i="11"/>
  <c r="T67" i="11"/>
  <c r="Q67" i="11" s="1"/>
  <c r="J60" i="11"/>
  <c r="L60" i="11"/>
  <c r="M60" i="11"/>
  <c r="E59" i="11"/>
  <c r="J145" i="15"/>
  <c r="M145" i="15"/>
  <c r="L145" i="15"/>
  <c r="F144" i="15"/>
  <c r="Q172" i="15"/>
  <c r="D140" i="14"/>
  <c r="F139" i="14"/>
  <c r="O141" i="14"/>
  <c r="J141" i="14" s="1"/>
  <c r="C141" i="14" s="1"/>
  <c r="T180" i="14"/>
  <c r="R180" i="14" s="1"/>
  <c r="T198" i="12" l="1"/>
  <c r="Q198" i="12" s="1"/>
  <c r="R197" i="12"/>
  <c r="D68" i="12"/>
  <c r="J69" i="12"/>
  <c r="C69" i="12" s="1"/>
  <c r="F67" i="12"/>
  <c r="R67" i="11"/>
  <c r="T68" i="11" s="1"/>
  <c r="Q68" i="11" s="1"/>
  <c r="O61" i="11"/>
  <c r="J61" i="11" s="1"/>
  <c r="C60" i="11"/>
  <c r="B60" i="11"/>
  <c r="T173" i="15"/>
  <c r="R173" i="15" s="1"/>
  <c r="E144" i="15"/>
  <c r="O146" i="15"/>
  <c r="J146" i="15" s="1"/>
  <c r="B145" i="15"/>
  <c r="C145" i="15"/>
  <c r="M141" i="14"/>
  <c r="Q180" i="14"/>
  <c r="G141" i="14"/>
  <c r="B141" i="14"/>
  <c r="L141" i="14"/>
  <c r="E139" i="14"/>
  <c r="F140" i="14"/>
  <c r="R198" i="12" l="1"/>
  <c r="B69" i="12"/>
  <c r="G69" i="12"/>
  <c r="T199" i="12"/>
  <c r="Q199" i="12" s="1"/>
  <c r="M69" i="12"/>
  <c r="E67" i="12"/>
  <c r="F68" i="12"/>
  <c r="L69" i="12"/>
  <c r="O70" i="12" s="1"/>
  <c r="R68" i="11"/>
  <c r="T69" i="11" s="1"/>
  <c r="Q69" i="11" s="1"/>
  <c r="B61" i="11"/>
  <c r="C61" i="11"/>
  <c r="G61" i="11" s="1"/>
  <c r="L61" i="11"/>
  <c r="M61" i="11"/>
  <c r="G60" i="11"/>
  <c r="D60" i="11"/>
  <c r="M146" i="15"/>
  <c r="B146" i="15"/>
  <c r="C146" i="15"/>
  <c r="G146" i="15" s="1"/>
  <c r="L146" i="15"/>
  <c r="G145" i="15"/>
  <c r="D145" i="15"/>
  <c r="Q173" i="15"/>
  <c r="E140" i="14"/>
  <c r="O142" i="14"/>
  <c r="T181" i="14"/>
  <c r="R181" i="14" s="1"/>
  <c r="D141" i="14"/>
  <c r="T200" i="12" l="1"/>
  <c r="Q200" i="12" s="1"/>
  <c r="R199" i="12"/>
  <c r="D69" i="12"/>
  <c r="F69" i="12" s="1"/>
  <c r="E68" i="12"/>
  <c r="R69" i="11"/>
  <c r="T70" i="11" s="1"/>
  <c r="Q70" i="11" s="1"/>
  <c r="O62" i="11"/>
  <c r="J62" i="11" s="1"/>
  <c r="D61" i="11"/>
  <c r="F60" i="11"/>
  <c r="D146" i="15"/>
  <c r="F145" i="15"/>
  <c r="T174" i="15"/>
  <c r="R174" i="15" s="1"/>
  <c r="O147" i="15"/>
  <c r="J147" i="15" s="1"/>
  <c r="Q181" i="14"/>
  <c r="J142" i="14"/>
  <c r="C142" i="14" s="1"/>
  <c r="M142" i="14"/>
  <c r="L142" i="14"/>
  <c r="F141" i="14"/>
  <c r="R200" i="12" l="1"/>
  <c r="T201" i="12"/>
  <c r="Q201" i="12" s="1"/>
  <c r="E69" i="12"/>
  <c r="J70" i="12"/>
  <c r="C70" i="12" s="1"/>
  <c r="M70" i="12"/>
  <c r="L70" i="12"/>
  <c r="O71" i="12" s="1"/>
  <c r="R70" i="11"/>
  <c r="T71" i="11" s="1"/>
  <c r="Q71" i="11" s="1"/>
  <c r="C62" i="11"/>
  <c r="G62" i="11" s="1"/>
  <c r="B62" i="11"/>
  <c r="L62" i="11"/>
  <c r="M62" i="11"/>
  <c r="E60" i="11"/>
  <c r="F61" i="11"/>
  <c r="M147" i="15"/>
  <c r="B147" i="15"/>
  <c r="C147" i="15"/>
  <c r="G147" i="15" s="1"/>
  <c r="L147" i="15"/>
  <c r="Q174" i="15"/>
  <c r="F146" i="15"/>
  <c r="E145" i="15"/>
  <c r="E141" i="14"/>
  <c r="O143" i="14"/>
  <c r="J143" i="14" s="1"/>
  <c r="C143" i="14" s="1"/>
  <c r="B142" i="14"/>
  <c r="T182" i="14"/>
  <c r="R182" i="14" s="1"/>
  <c r="B70" i="12" l="1"/>
  <c r="G70" i="12"/>
  <c r="R201" i="12"/>
  <c r="T202" i="12" s="1"/>
  <c r="Q202" i="12" s="1"/>
  <c r="J71" i="12"/>
  <c r="C71" i="12" s="1"/>
  <c r="R71" i="11"/>
  <c r="T72" i="11" s="1"/>
  <c r="Q72" i="11" s="1"/>
  <c r="O63" i="11"/>
  <c r="J63" i="11" s="1"/>
  <c r="D62" i="11"/>
  <c r="E61" i="11"/>
  <c r="E146" i="15"/>
  <c r="T175" i="15"/>
  <c r="R175" i="15" s="1"/>
  <c r="D147" i="15"/>
  <c r="O148" i="15"/>
  <c r="J148" i="15" s="1"/>
  <c r="Q182" i="14"/>
  <c r="M143" i="14"/>
  <c r="G142" i="14"/>
  <c r="D142" i="14"/>
  <c r="G143" i="14"/>
  <c r="B143" i="14"/>
  <c r="T183" i="14"/>
  <c r="R183" i="14" s="1"/>
  <c r="L143" i="14"/>
  <c r="B71" i="12" l="1"/>
  <c r="G71" i="12"/>
  <c r="R202" i="12"/>
  <c r="T203" i="12" s="1"/>
  <c r="Q203" i="12" s="1"/>
  <c r="D70" i="12"/>
  <c r="L71" i="12"/>
  <c r="O72" i="12" s="1"/>
  <c r="M71" i="12"/>
  <c r="R72" i="11"/>
  <c r="T73" i="11" s="1"/>
  <c r="Q73" i="11" s="1"/>
  <c r="M63" i="11"/>
  <c r="C63" i="11"/>
  <c r="G63" i="11" s="1"/>
  <c r="B63" i="11"/>
  <c r="L63" i="11"/>
  <c r="F62" i="11"/>
  <c r="Q175" i="15"/>
  <c r="T176" i="15" s="1"/>
  <c r="Q176" i="15" s="1"/>
  <c r="M148" i="15"/>
  <c r="L148" i="15"/>
  <c r="B148" i="15"/>
  <c r="C148" i="15"/>
  <c r="G148" i="15" s="1"/>
  <c r="F147" i="15"/>
  <c r="Q183" i="14"/>
  <c r="T184" i="14" s="1"/>
  <c r="R184" i="14" s="1"/>
  <c r="O144" i="14"/>
  <c r="D143" i="14"/>
  <c r="F142" i="14"/>
  <c r="R203" i="12" l="1"/>
  <c r="D71" i="12"/>
  <c r="F70" i="12"/>
  <c r="J72" i="12"/>
  <c r="C72" i="12" s="1"/>
  <c r="R73" i="11"/>
  <c r="T74" i="11" s="1"/>
  <c r="Q74" i="11" s="1"/>
  <c r="O64" i="11"/>
  <c r="D63" i="11"/>
  <c r="F63" i="11" s="1"/>
  <c r="E62" i="11"/>
  <c r="R176" i="15"/>
  <c r="T177" i="15" s="1"/>
  <c r="Q177" i="15" s="1"/>
  <c r="D148" i="15"/>
  <c r="F148" i="15" s="1"/>
  <c r="E147" i="15"/>
  <c r="O149" i="15"/>
  <c r="J149" i="15" s="1"/>
  <c r="T185" i="14"/>
  <c r="R185" i="14" s="1"/>
  <c r="Q184" i="14"/>
  <c r="E142" i="14"/>
  <c r="F143" i="14"/>
  <c r="J144" i="14"/>
  <c r="C144" i="14" s="1"/>
  <c r="M144" i="14"/>
  <c r="L144" i="14"/>
  <c r="B72" i="12" l="1"/>
  <c r="G72" i="12"/>
  <c r="T204" i="12"/>
  <c r="Q204" i="12" s="1"/>
  <c r="L72" i="12"/>
  <c r="E70" i="12"/>
  <c r="F71" i="12"/>
  <c r="M72" i="12"/>
  <c r="R74" i="11"/>
  <c r="T75" i="11" s="1"/>
  <c r="Q75" i="11" s="1"/>
  <c r="E63" i="11"/>
  <c r="J64" i="11"/>
  <c r="M64" i="11"/>
  <c r="L64" i="11"/>
  <c r="R177" i="15"/>
  <c r="T178" i="15" s="1"/>
  <c r="E148" i="15"/>
  <c r="B149" i="15"/>
  <c r="C149" i="15"/>
  <c r="G149" i="15" s="1"/>
  <c r="L149" i="15"/>
  <c r="M149" i="15"/>
  <c r="Q185" i="14"/>
  <c r="T186" i="14" s="1"/>
  <c r="R186" i="14" s="1"/>
  <c r="B144" i="14"/>
  <c r="E143" i="14"/>
  <c r="O145" i="14"/>
  <c r="J145" i="14" s="1"/>
  <c r="C145" i="14" s="1"/>
  <c r="R204" i="12" l="1"/>
  <c r="O73" i="12"/>
  <c r="J73" i="12" s="1"/>
  <c r="C73" i="12" s="1"/>
  <c r="D72" i="12"/>
  <c r="F72" i="12" s="1"/>
  <c r="E71" i="12"/>
  <c r="R75" i="11"/>
  <c r="T76" i="11" s="1"/>
  <c r="Q76" i="11" s="1"/>
  <c r="C64" i="11"/>
  <c r="B64" i="11"/>
  <c r="O65" i="11"/>
  <c r="J65" i="11" s="1"/>
  <c r="R178" i="15"/>
  <c r="T179" i="15" s="1"/>
  <c r="R179" i="15" s="1"/>
  <c r="D149" i="15"/>
  <c r="Q178" i="15"/>
  <c r="O150" i="15"/>
  <c r="J150" i="15" s="1"/>
  <c r="Q186" i="14"/>
  <c r="T187" i="14" s="1"/>
  <c r="R187" i="14" s="1"/>
  <c r="M145" i="14"/>
  <c r="G144" i="14"/>
  <c r="D144" i="14"/>
  <c r="G145" i="14"/>
  <c r="B145" i="14"/>
  <c r="L145" i="14"/>
  <c r="B73" i="12" l="1"/>
  <c r="G73" i="12"/>
  <c r="T205" i="12"/>
  <c r="Q205" i="12" s="1"/>
  <c r="M73" i="12"/>
  <c r="L73" i="12"/>
  <c r="O74" i="12" s="1"/>
  <c r="E72" i="12"/>
  <c r="R76" i="11"/>
  <c r="T77" i="11" s="1"/>
  <c r="Q77" i="11" s="1"/>
  <c r="L65" i="11"/>
  <c r="C65" i="11"/>
  <c r="G65" i="11" s="1"/>
  <c r="B65" i="11"/>
  <c r="G64" i="11"/>
  <c r="D64" i="11"/>
  <c r="M65" i="11"/>
  <c r="Q179" i="15"/>
  <c r="M150" i="15"/>
  <c r="T180" i="15"/>
  <c r="R180" i="15" s="1"/>
  <c r="B150" i="15"/>
  <c r="C150" i="15"/>
  <c r="G150" i="15" s="1"/>
  <c r="L150" i="15"/>
  <c r="F149" i="15"/>
  <c r="Q187" i="14"/>
  <c r="T188" i="14" s="1"/>
  <c r="D145" i="14"/>
  <c r="F144" i="14"/>
  <c r="O146" i="14"/>
  <c r="R205" i="12" l="1"/>
  <c r="D73" i="12"/>
  <c r="J74" i="12"/>
  <c r="C74" i="12" s="1"/>
  <c r="M74" i="12"/>
  <c r="O151" i="15"/>
  <c r="J151" i="15" s="1"/>
  <c r="B151" i="15" s="1"/>
  <c r="R77" i="11"/>
  <c r="T78" i="11" s="1"/>
  <c r="Q78" i="11" s="1"/>
  <c r="O66" i="11"/>
  <c r="J66" i="11" s="1"/>
  <c r="D65" i="11"/>
  <c r="F64" i="11"/>
  <c r="Q180" i="15"/>
  <c r="T181" i="15"/>
  <c r="R181" i="15" s="1"/>
  <c r="E149" i="15"/>
  <c r="D150" i="15"/>
  <c r="F150" i="15" s="1"/>
  <c r="R188" i="14"/>
  <c r="Q188" i="14"/>
  <c r="J146" i="14"/>
  <c r="C146" i="14" s="1"/>
  <c r="M146" i="14"/>
  <c r="L146" i="14"/>
  <c r="E144" i="14"/>
  <c r="F145" i="14"/>
  <c r="B74" i="12" l="1"/>
  <c r="G74" i="12"/>
  <c r="T206" i="12"/>
  <c r="Q206" i="12" s="1"/>
  <c r="F73" i="12"/>
  <c r="L74" i="12"/>
  <c r="O75" i="12" s="1"/>
  <c r="M151" i="15"/>
  <c r="C151" i="15"/>
  <c r="G151" i="15" s="1"/>
  <c r="T189" i="14"/>
  <c r="R189" i="14" s="1"/>
  <c r="L151" i="15"/>
  <c r="M66" i="11"/>
  <c r="E64" i="11"/>
  <c r="F65" i="11"/>
  <c r="C66" i="11"/>
  <c r="G66" i="11" s="1"/>
  <c r="B66" i="11"/>
  <c r="L66" i="11"/>
  <c r="R78" i="11"/>
  <c r="T79" i="11" s="1"/>
  <c r="Q79" i="11" s="1"/>
  <c r="Q181" i="15"/>
  <c r="T182" i="15"/>
  <c r="R182" i="15" s="1"/>
  <c r="E150" i="15"/>
  <c r="E145" i="14"/>
  <c r="O147" i="14"/>
  <c r="J147" i="14" s="1"/>
  <c r="C147" i="14" s="1"/>
  <c r="B146" i="14"/>
  <c r="R206" i="12" l="1"/>
  <c r="D74" i="12"/>
  <c r="D151" i="15"/>
  <c r="F151" i="15" s="1"/>
  <c r="E151" i="15" s="1"/>
  <c r="O152" i="15"/>
  <c r="J152" i="15" s="1"/>
  <c r="C152" i="15" s="1"/>
  <c r="G152" i="15" s="1"/>
  <c r="E73" i="12"/>
  <c r="Q189" i="14"/>
  <c r="T190" i="14" s="1"/>
  <c r="R190" i="14" s="1"/>
  <c r="D66" i="11"/>
  <c r="F66" i="11" s="1"/>
  <c r="E65" i="11"/>
  <c r="O67" i="11"/>
  <c r="R79" i="11"/>
  <c r="Q182" i="15"/>
  <c r="T183" i="15"/>
  <c r="R183" i="15" s="1"/>
  <c r="M147" i="14"/>
  <c r="L147" i="14"/>
  <c r="G147" i="14"/>
  <c r="B147" i="14"/>
  <c r="G146" i="14"/>
  <c r="D146" i="14"/>
  <c r="M152" i="15" l="1"/>
  <c r="O153" i="15" s="1"/>
  <c r="J153" i="15" s="1"/>
  <c r="B153" i="15" s="1"/>
  <c r="T207" i="12"/>
  <c r="Q207" i="12" s="1"/>
  <c r="B152" i="15"/>
  <c r="D152" i="15"/>
  <c r="F152" i="15" s="1"/>
  <c r="E152" i="15" s="1"/>
  <c r="L152" i="15"/>
  <c r="F74" i="12"/>
  <c r="J75" i="12"/>
  <c r="C75" i="12" s="1"/>
  <c r="M75" i="12"/>
  <c r="Q190" i="14"/>
  <c r="T191" i="14" s="1"/>
  <c r="R191" i="14" s="1"/>
  <c r="L75" i="12"/>
  <c r="O76" i="12" s="1"/>
  <c r="T80" i="11"/>
  <c r="Q80" i="11" s="1"/>
  <c r="J67" i="11"/>
  <c r="M67" i="11"/>
  <c r="L67" i="11"/>
  <c r="E66" i="11"/>
  <c r="Q183" i="15"/>
  <c r="T184" i="15"/>
  <c r="R184" i="15" s="1"/>
  <c r="O148" i="14"/>
  <c r="J148" i="14" s="1"/>
  <c r="C148" i="14" s="1"/>
  <c r="D147" i="14"/>
  <c r="F146" i="14"/>
  <c r="C153" i="15" l="1"/>
  <c r="G153" i="15" s="1"/>
  <c r="L153" i="15"/>
  <c r="M153" i="15"/>
  <c r="O154" i="15" s="1"/>
  <c r="J154" i="15" s="1"/>
  <c r="B154" i="15" s="1"/>
  <c r="B75" i="12"/>
  <c r="G75" i="12"/>
  <c r="R207" i="12"/>
  <c r="D153" i="15"/>
  <c r="F153" i="15" s="1"/>
  <c r="E153" i="15" s="1"/>
  <c r="J76" i="12"/>
  <c r="C76" i="12" s="1"/>
  <c r="M76" i="12"/>
  <c r="E74" i="12"/>
  <c r="O68" i="11"/>
  <c r="J68" i="11" s="1"/>
  <c r="C67" i="11"/>
  <c r="B67" i="11"/>
  <c r="R80" i="11"/>
  <c r="Q184" i="15"/>
  <c r="T185" i="15"/>
  <c r="R185" i="15" s="1"/>
  <c r="E146" i="14"/>
  <c r="F147" i="14"/>
  <c r="B148" i="14"/>
  <c r="G148" i="14"/>
  <c r="M148" i="14"/>
  <c r="L148" i="14"/>
  <c r="Q191" i="14"/>
  <c r="L154" i="15" l="1"/>
  <c r="C154" i="15"/>
  <c r="G154" i="15" s="1"/>
  <c r="M154" i="15"/>
  <c r="O155" i="15" s="1"/>
  <c r="J155" i="15" s="1"/>
  <c r="B76" i="12"/>
  <c r="G76" i="12"/>
  <c r="T208" i="12"/>
  <c r="Q208" i="12" s="1"/>
  <c r="D75" i="12"/>
  <c r="L76" i="12"/>
  <c r="O77" i="12" s="1"/>
  <c r="T81" i="11"/>
  <c r="Q81" i="11" s="1"/>
  <c r="G67" i="11"/>
  <c r="D67" i="11"/>
  <c r="C68" i="11"/>
  <c r="G68" i="11" s="1"/>
  <c r="B68" i="11"/>
  <c r="M68" i="11"/>
  <c r="L68" i="11"/>
  <c r="D154" i="15"/>
  <c r="F154" i="15" s="1"/>
  <c r="E154" i="15" s="1"/>
  <c r="Q185" i="15"/>
  <c r="O149" i="14"/>
  <c r="J149" i="14" s="1"/>
  <c r="C149" i="14" s="1"/>
  <c r="D148" i="14"/>
  <c r="F148" i="14" s="1"/>
  <c r="E147" i="14"/>
  <c r="T192" i="14"/>
  <c r="R192" i="14" s="1"/>
  <c r="R208" i="12" l="1"/>
  <c r="D76" i="12"/>
  <c r="F75" i="12"/>
  <c r="O69" i="11"/>
  <c r="J69" i="11" s="1"/>
  <c r="D68" i="11"/>
  <c r="F67" i="11"/>
  <c r="R81" i="11"/>
  <c r="M155" i="15"/>
  <c r="T186" i="15"/>
  <c r="R186" i="15" s="1"/>
  <c r="B155" i="15"/>
  <c r="C155" i="15"/>
  <c r="L155" i="15"/>
  <c r="Q192" i="14"/>
  <c r="T193" i="14" s="1"/>
  <c r="R193" i="14" s="1"/>
  <c r="M149" i="14"/>
  <c r="O150" i="14" s="1"/>
  <c r="J150" i="14" s="1"/>
  <c r="C150" i="14" s="1"/>
  <c r="E148" i="14"/>
  <c r="G149" i="14"/>
  <c r="B149" i="14"/>
  <c r="L149" i="14"/>
  <c r="T209" i="12" l="1"/>
  <c r="Q209" i="12" s="1"/>
  <c r="E75" i="12"/>
  <c r="F76" i="12"/>
  <c r="J77" i="12"/>
  <c r="C77" i="12" s="1"/>
  <c r="M77" i="12"/>
  <c r="L77" i="12"/>
  <c r="O78" i="12" s="1"/>
  <c r="T82" i="11"/>
  <c r="Q82" i="11" s="1"/>
  <c r="C69" i="11"/>
  <c r="G69" i="11" s="1"/>
  <c r="B69" i="11"/>
  <c r="M69" i="11"/>
  <c r="E67" i="11"/>
  <c r="F68" i="11"/>
  <c r="L69" i="11"/>
  <c r="G155" i="15"/>
  <c r="D155" i="15"/>
  <c r="O156" i="15"/>
  <c r="Q186" i="15"/>
  <c r="L150" i="14"/>
  <c r="D149" i="14"/>
  <c r="B150" i="14"/>
  <c r="G150" i="14"/>
  <c r="Q193" i="14"/>
  <c r="M150" i="14"/>
  <c r="B77" i="12" l="1"/>
  <c r="G77" i="12"/>
  <c r="R209" i="12"/>
  <c r="J78" i="12"/>
  <c r="C78" i="12" s="1"/>
  <c r="E76" i="12"/>
  <c r="E68" i="11"/>
  <c r="D69" i="11"/>
  <c r="O70" i="11"/>
  <c r="J70" i="11" s="1"/>
  <c r="R82" i="11"/>
  <c r="T83" i="11" s="1"/>
  <c r="Q83" i="11" s="1"/>
  <c r="J156" i="15"/>
  <c r="M156" i="15"/>
  <c r="L156" i="15"/>
  <c r="F155" i="15"/>
  <c r="T187" i="15"/>
  <c r="R187" i="15" s="1"/>
  <c r="T194" i="14"/>
  <c r="R194" i="14" s="1"/>
  <c r="D150" i="14"/>
  <c r="F149" i="14"/>
  <c r="O151" i="14"/>
  <c r="B78" i="12" l="1"/>
  <c r="T210" i="12"/>
  <c r="Q210" i="12" s="1"/>
  <c r="D77" i="12"/>
  <c r="M78" i="12"/>
  <c r="G78" i="12"/>
  <c r="L78" i="12"/>
  <c r="C70" i="11"/>
  <c r="G70" i="11" s="1"/>
  <c r="B70" i="11"/>
  <c r="L70" i="11"/>
  <c r="M70" i="11"/>
  <c r="F69" i="11"/>
  <c r="R83" i="11"/>
  <c r="T84" i="11" s="1"/>
  <c r="Q84" i="11" s="1"/>
  <c r="Q187" i="15"/>
  <c r="T188" i="15" s="1"/>
  <c r="R188" i="15" s="1"/>
  <c r="E155" i="15"/>
  <c r="O157" i="15"/>
  <c r="J157" i="15" s="1"/>
  <c r="B156" i="15"/>
  <c r="C156" i="15"/>
  <c r="J151" i="14"/>
  <c r="C151" i="14" s="1"/>
  <c r="L151" i="14"/>
  <c r="M151" i="14"/>
  <c r="E149" i="14"/>
  <c r="F150" i="14"/>
  <c r="Q194" i="14"/>
  <c r="R210" i="12" l="1"/>
  <c r="O79" i="12"/>
  <c r="L79" i="12" s="1"/>
  <c r="D78" i="12"/>
  <c r="F77" i="12"/>
  <c r="D70" i="11"/>
  <c r="F70" i="11" s="1"/>
  <c r="E69" i="11"/>
  <c r="O71" i="11"/>
  <c r="J71" i="11" s="1"/>
  <c r="R84" i="11"/>
  <c r="T85" i="11" s="1"/>
  <c r="Q85" i="11" s="1"/>
  <c r="M157" i="15"/>
  <c r="L157" i="15"/>
  <c r="O158" i="15" s="1"/>
  <c r="Q188" i="15"/>
  <c r="B157" i="15"/>
  <c r="C157" i="15"/>
  <c r="G157" i="15" s="1"/>
  <c r="G156" i="15"/>
  <c r="D156" i="15"/>
  <c r="T195" i="14"/>
  <c r="R195" i="14" s="1"/>
  <c r="E150" i="14"/>
  <c r="O152" i="14"/>
  <c r="J152" i="14" s="1"/>
  <c r="C152" i="14" s="1"/>
  <c r="B151" i="14"/>
  <c r="J79" i="12" l="1"/>
  <c r="M79" i="12"/>
  <c r="O80" i="12" s="1"/>
  <c r="T211" i="12"/>
  <c r="Q211" i="12" s="1"/>
  <c r="F78" i="12"/>
  <c r="E77" i="12"/>
  <c r="R85" i="11"/>
  <c r="T86" i="11" s="1"/>
  <c r="Q86" i="11" s="1"/>
  <c r="L71" i="11"/>
  <c r="M71" i="11"/>
  <c r="O72" i="11" s="1"/>
  <c r="J72" i="11" s="1"/>
  <c r="C71" i="11"/>
  <c r="B71" i="11"/>
  <c r="E70" i="11"/>
  <c r="J158" i="15"/>
  <c r="C158" i="15" s="1"/>
  <c r="G158" i="15" s="1"/>
  <c r="M158" i="15"/>
  <c r="T189" i="15"/>
  <c r="R189" i="15" s="1"/>
  <c r="L158" i="15"/>
  <c r="D157" i="15"/>
  <c r="F156" i="15"/>
  <c r="L152" i="14"/>
  <c r="G152" i="14"/>
  <c r="B152" i="14"/>
  <c r="G151" i="14"/>
  <c r="D151" i="14"/>
  <c r="M152" i="14"/>
  <c r="Q195" i="14"/>
  <c r="B79" i="12" l="1"/>
  <c r="C79" i="12"/>
  <c r="G79" i="12" s="1"/>
  <c r="M80" i="12"/>
  <c r="R211" i="12"/>
  <c r="J80" i="12"/>
  <c r="C80" i="12" s="1"/>
  <c r="L80" i="12"/>
  <c r="O81" i="12" s="1"/>
  <c r="E78" i="12"/>
  <c r="O153" i="14"/>
  <c r="J153" i="14" s="1"/>
  <c r="C153" i="14" s="1"/>
  <c r="G153" i="14" s="1"/>
  <c r="R86" i="11"/>
  <c r="T87" i="11" s="1"/>
  <c r="Q87" i="11" s="1"/>
  <c r="M72" i="11"/>
  <c r="O73" i="11" s="1"/>
  <c r="J73" i="11" s="1"/>
  <c r="G71" i="11"/>
  <c r="D71" i="11"/>
  <c r="L72" i="11"/>
  <c r="C72" i="11"/>
  <c r="G72" i="11" s="1"/>
  <c r="B72" i="11"/>
  <c r="B158" i="15"/>
  <c r="D158" i="15"/>
  <c r="O159" i="15"/>
  <c r="F157" i="15"/>
  <c r="E156" i="15"/>
  <c r="Q189" i="15"/>
  <c r="D152" i="14"/>
  <c r="F151" i="14"/>
  <c r="T196" i="14"/>
  <c r="R196" i="14" s="1"/>
  <c r="D79" i="12" l="1"/>
  <c r="F79" i="12" s="1"/>
  <c r="E79" i="12" s="1"/>
  <c r="B80" i="12"/>
  <c r="G80" i="12"/>
  <c r="T212" i="12"/>
  <c r="Q212" i="12" s="1"/>
  <c r="M153" i="14"/>
  <c r="O154" i="14" s="1"/>
  <c r="L153" i="14"/>
  <c r="B153" i="14"/>
  <c r="R87" i="11"/>
  <c r="L73" i="11"/>
  <c r="T88" i="11"/>
  <c r="Q88" i="11" s="1"/>
  <c r="C73" i="11"/>
  <c r="G73" i="11" s="1"/>
  <c r="B73" i="11"/>
  <c r="M73" i="11"/>
  <c r="D72" i="11"/>
  <c r="F71" i="11"/>
  <c r="J159" i="15"/>
  <c r="M159" i="15"/>
  <c r="L159" i="15"/>
  <c r="F158" i="15"/>
  <c r="E157" i="15"/>
  <c r="T190" i="15"/>
  <c r="R190" i="15" s="1"/>
  <c r="Q196" i="14"/>
  <c r="E151" i="14"/>
  <c r="F152" i="14"/>
  <c r="D153" i="14"/>
  <c r="R212" i="12" l="1"/>
  <c r="D80" i="12"/>
  <c r="J81" i="12"/>
  <c r="C81" i="12" s="1"/>
  <c r="M81" i="12"/>
  <c r="L81" i="12"/>
  <c r="O82" i="12" s="1"/>
  <c r="O160" i="15"/>
  <c r="J160" i="15" s="1"/>
  <c r="C160" i="15" s="1"/>
  <c r="G160" i="15" s="1"/>
  <c r="D73" i="11"/>
  <c r="R88" i="11"/>
  <c r="T89" i="11"/>
  <c r="Q89" i="11" s="1"/>
  <c r="O74" i="11"/>
  <c r="E71" i="11"/>
  <c r="F72" i="11"/>
  <c r="B159" i="15"/>
  <c r="C159" i="15"/>
  <c r="Q190" i="15"/>
  <c r="E158" i="15"/>
  <c r="E152" i="14"/>
  <c r="F153" i="14"/>
  <c r="J154" i="14"/>
  <c r="C154" i="14" s="1"/>
  <c r="M154" i="14"/>
  <c r="L154" i="14"/>
  <c r="T197" i="14"/>
  <c r="R197" i="14" s="1"/>
  <c r="B81" i="12" l="1"/>
  <c r="T213" i="12"/>
  <c r="Q213" i="12" s="1"/>
  <c r="F80" i="12"/>
  <c r="J82" i="12"/>
  <c r="C82" i="12" s="1"/>
  <c r="G81" i="12"/>
  <c r="B160" i="15"/>
  <c r="M160" i="15"/>
  <c r="L160" i="15"/>
  <c r="R89" i="11"/>
  <c r="T90" i="11" s="1"/>
  <c r="Q90" i="11" s="1"/>
  <c r="J74" i="11"/>
  <c r="L74" i="11"/>
  <c r="M74" i="11"/>
  <c r="E72" i="11"/>
  <c r="F73" i="11"/>
  <c r="G159" i="15"/>
  <c r="D159" i="15"/>
  <c r="T191" i="15"/>
  <c r="R191" i="15" s="1"/>
  <c r="O155" i="14"/>
  <c r="J155" i="14" s="1"/>
  <c r="C155" i="14" s="1"/>
  <c r="B154" i="14"/>
  <c r="E153" i="14"/>
  <c r="Q197" i="14"/>
  <c r="B82" i="12" l="1"/>
  <c r="G82" i="12"/>
  <c r="R213" i="12"/>
  <c r="D81" i="12"/>
  <c r="F81" i="12" s="1"/>
  <c r="M82" i="12"/>
  <c r="O161" i="15"/>
  <c r="L161" i="15" s="1"/>
  <c r="L82" i="12"/>
  <c r="O83" i="12" s="1"/>
  <c r="E80" i="12"/>
  <c r="O75" i="11"/>
  <c r="J75" i="11" s="1"/>
  <c r="C74" i="11"/>
  <c r="B74" i="11"/>
  <c r="R90" i="11"/>
  <c r="T91" i="11" s="1"/>
  <c r="Q91" i="11" s="1"/>
  <c r="E73" i="11"/>
  <c r="Q191" i="15"/>
  <c r="T192" i="15" s="1"/>
  <c r="Q192" i="15" s="1"/>
  <c r="D160" i="15"/>
  <c r="F159" i="15"/>
  <c r="G154" i="14"/>
  <c r="D154" i="14"/>
  <c r="M155" i="14"/>
  <c r="G155" i="14"/>
  <c r="B155" i="14"/>
  <c r="T198" i="14"/>
  <c r="R198" i="14" s="1"/>
  <c r="L155" i="14"/>
  <c r="T214" i="12" l="1"/>
  <c r="Q214" i="12" s="1"/>
  <c r="D82" i="12"/>
  <c r="J161" i="15"/>
  <c r="B161" i="15" s="1"/>
  <c r="J83" i="12"/>
  <c r="C83" i="12" s="1"/>
  <c r="E81" i="12"/>
  <c r="M83" i="12"/>
  <c r="F82" i="12"/>
  <c r="M161" i="15"/>
  <c r="R91" i="11"/>
  <c r="T92" i="11" s="1"/>
  <c r="Q92" i="11" s="1"/>
  <c r="L75" i="11"/>
  <c r="G74" i="11"/>
  <c r="D74" i="11"/>
  <c r="C75" i="11"/>
  <c r="G75" i="11" s="1"/>
  <c r="B75" i="11"/>
  <c r="M75" i="11"/>
  <c r="F160" i="15"/>
  <c r="E160" i="15" s="1"/>
  <c r="E159" i="15"/>
  <c r="R192" i="15"/>
  <c r="T193" i="15" s="1"/>
  <c r="Q193" i="15" s="1"/>
  <c r="Q198" i="14"/>
  <c r="D155" i="14"/>
  <c r="F154" i="14"/>
  <c r="O156" i="14"/>
  <c r="J156" i="14" s="1"/>
  <c r="C156" i="14" s="1"/>
  <c r="B83" i="12" l="1"/>
  <c r="R214" i="12"/>
  <c r="C161" i="15"/>
  <c r="G161" i="15" s="1"/>
  <c r="O162" i="15"/>
  <c r="M162" i="15" s="1"/>
  <c r="E82" i="12"/>
  <c r="G83" i="12"/>
  <c r="L83" i="12"/>
  <c r="O84" i="12" s="1"/>
  <c r="O76" i="11"/>
  <c r="R92" i="11"/>
  <c r="T93" i="11" s="1"/>
  <c r="Q93" i="11" s="1"/>
  <c r="D75" i="11"/>
  <c r="F74" i="11"/>
  <c r="R193" i="15"/>
  <c r="T194" i="15" s="1"/>
  <c r="Q194" i="15" s="1"/>
  <c r="L156" i="14"/>
  <c r="E154" i="14"/>
  <c r="F155" i="14"/>
  <c r="T199" i="14"/>
  <c r="R199" i="14" s="1"/>
  <c r="M156" i="14"/>
  <c r="G156" i="14"/>
  <c r="B156" i="14"/>
  <c r="T215" i="12" l="1"/>
  <c r="Q215" i="12" s="1"/>
  <c r="D83" i="12"/>
  <c r="D161" i="15"/>
  <c r="F161" i="15" s="1"/>
  <c r="E161" i="15" s="1"/>
  <c r="O163" i="15"/>
  <c r="J163" i="15" s="1"/>
  <c r="B163" i="15" s="1"/>
  <c r="J162" i="15"/>
  <c r="L162" i="15"/>
  <c r="R93" i="11"/>
  <c r="T94" i="11" s="1"/>
  <c r="Q94" i="11" s="1"/>
  <c r="E74" i="11"/>
  <c r="F75" i="11"/>
  <c r="J76" i="11"/>
  <c r="L76" i="11"/>
  <c r="M76" i="11"/>
  <c r="R194" i="15"/>
  <c r="T195" i="15" s="1"/>
  <c r="Q195" i="15" s="1"/>
  <c r="Q199" i="14"/>
  <c r="D156" i="14"/>
  <c r="F156" i="14" s="1"/>
  <c r="E155" i="14"/>
  <c r="O157" i="14"/>
  <c r="J157" i="14" s="1"/>
  <c r="C157" i="14" s="1"/>
  <c r="C163" i="15" l="1"/>
  <c r="G163" i="15" s="1"/>
  <c r="R215" i="12"/>
  <c r="L163" i="15"/>
  <c r="M163" i="15"/>
  <c r="C162" i="15"/>
  <c r="B162" i="15"/>
  <c r="J84" i="12"/>
  <c r="C84" i="12" s="1"/>
  <c r="M84" i="12"/>
  <c r="L84" i="12"/>
  <c r="O85" i="12" s="1"/>
  <c r="F83" i="12"/>
  <c r="R94" i="11"/>
  <c r="T95" i="11"/>
  <c r="Q95" i="11" s="1"/>
  <c r="C76" i="11"/>
  <c r="B76" i="11"/>
  <c r="E75" i="11"/>
  <c r="O77" i="11"/>
  <c r="J77" i="11" s="1"/>
  <c r="R195" i="15"/>
  <c r="T196" i="15" s="1"/>
  <c r="Q196" i="15" s="1"/>
  <c r="E156" i="14"/>
  <c r="G157" i="14"/>
  <c r="B157" i="14"/>
  <c r="M157" i="14"/>
  <c r="D157" i="14"/>
  <c r="T200" i="14"/>
  <c r="R200" i="14" s="1"/>
  <c r="L157" i="14"/>
  <c r="B84" i="12" l="1"/>
  <c r="G84" i="12"/>
  <c r="T216" i="12"/>
  <c r="Q216" i="12" s="1"/>
  <c r="O164" i="15"/>
  <c r="M164" i="15" s="1"/>
  <c r="J85" i="12"/>
  <c r="C85" i="12" s="1"/>
  <c r="E83" i="12"/>
  <c r="G162" i="15"/>
  <c r="D162" i="15"/>
  <c r="R95" i="11"/>
  <c r="L77" i="11"/>
  <c r="T96" i="11"/>
  <c r="Q96" i="11" s="1"/>
  <c r="G76" i="11"/>
  <c r="D76" i="11"/>
  <c r="C77" i="11"/>
  <c r="G77" i="11" s="1"/>
  <c r="B77" i="11"/>
  <c r="M77" i="11"/>
  <c r="R196" i="15"/>
  <c r="T197" i="15" s="1"/>
  <c r="Q197" i="15" s="1"/>
  <c r="Q200" i="14"/>
  <c r="O158" i="14"/>
  <c r="J158" i="14" s="1"/>
  <c r="C158" i="14" s="1"/>
  <c r="F157" i="14"/>
  <c r="B85" i="12" l="1"/>
  <c r="R216" i="12"/>
  <c r="D84" i="12"/>
  <c r="J164" i="15"/>
  <c r="L164" i="15"/>
  <c r="M85" i="12"/>
  <c r="G85" i="12"/>
  <c r="F162" i="15"/>
  <c r="D163" i="15"/>
  <c r="L85" i="12"/>
  <c r="O86" i="12" s="1"/>
  <c r="R96" i="11"/>
  <c r="T97" i="11" s="1"/>
  <c r="Q97" i="11" s="1"/>
  <c r="D77" i="11"/>
  <c r="F76" i="11"/>
  <c r="O78" i="11"/>
  <c r="R197" i="15"/>
  <c r="T198" i="15" s="1"/>
  <c r="Q198" i="15" s="1"/>
  <c r="L158" i="14"/>
  <c r="E157" i="14"/>
  <c r="B158" i="14"/>
  <c r="M158" i="14"/>
  <c r="T201" i="14"/>
  <c r="R201" i="14" s="1"/>
  <c r="T217" i="12" l="1"/>
  <c r="Q217" i="12" s="1"/>
  <c r="D85" i="12"/>
  <c r="O165" i="15"/>
  <c r="L165" i="15" s="1"/>
  <c r="B164" i="15"/>
  <c r="C164" i="15"/>
  <c r="G164" i="15" s="1"/>
  <c r="E162" i="15"/>
  <c r="F163" i="15"/>
  <c r="J86" i="12"/>
  <c r="C86" i="12" s="1"/>
  <c r="F84" i="12"/>
  <c r="J78" i="11"/>
  <c r="L78" i="11"/>
  <c r="M78" i="11"/>
  <c r="R97" i="11"/>
  <c r="E76" i="11"/>
  <c r="F77" i="11"/>
  <c r="R198" i="15"/>
  <c r="T199" i="15" s="1"/>
  <c r="Q199" i="15" s="1"/>
  <c r="O159" i="14"/>
  <c r="G158" i="14"/>
  <c r="D158" i="14"/>
  <c r="Q201" i="14"/>
  <c r="B86" i="12" l="1"/>
  <c r="G86" i="12"/>
  <c r="R217" i="12"/>
  <c r="O166" i="15"/>
  <c r="J166" i="15" s="1"/>
  <c r="D164" i="15"/>
  <c r="F164" i="15" s="1"/>
  <c r="J165" i="15"/>
  <c r="M165" i="15"/>
  <c r="E84" i="12"/>
  <c r="F85" i="12"/>
  <c r="M86" i="12"/>
  <c r="L86" i="12"/>
  <c r="O87" i="12" s="1"/>
  <c r="E163" i="15"/>
  <c r="E77" i="11"/>
  <c r="T98" i="11"/>
  <c r="Q98" i="11" s="1"/>
  <c r="O79" i="11"/>
  <c r="J79" i="11" s="1"/>
  <c r="C78" i="11"/>
  <c r="B78" i="11"/>
  <c r="R199" i="15"/>
  <c r="T200" i="15" s="1"/>
  <c r="T202" i="14"/>
  <c r="R202" i="14" s="1"/>
  <c r="F158" i="14"/>
  <c r="J159" i="14"/>
  <c r="C159" i="14" s="1"/>
  <c r="L159" i="14"/>
  <c r="M159" i="14"/>
  <c r="T218" i="12" l="1"/>
  <c r="Q218" i="12" s="1"/>
  <c r="M166" i="15"/>
  <c r="D86" i="12"/>
  <c r="F86" i="12" s="1"/>
  <c r="B165" i="15"/>
  <c r="C165" i="15"/>
  <c r="G165" i="15" s="1"/>
  <c r="L166" i="15"/>
  <c r="B166" i="15"/>
  <c r="C166" i="15"/>
  <c r="G166" i="15" s="1"/>
  <c r="J87" i="12"/>
  <c r="C87" i="12" s="1"/>
  <c r="E85" i="12"/>
  <c r="E164" i="15"/>
  <c r="L79" i="11"/>
  <c r="C79" i="11"/>
  <c r="G79" i="11" s="1"/>
  <c r="B79" i="11"/>
  <c r="M79" i="11"/>
  <c r="T99" i="11"/>
  <c r="Q99" i="11" s="1"/>
  <c r="R98" i="11"/>
  <c r="G78" i="11"/>
  <c r="D78" i="11"/>
  <c r="R200" i="15"/>
  <c r="Q200" i="15"/>
  <c r="B159" i="14"/>
  <c r="E158" i="14"/>
  <c r="O160" i="14"/>
  <c r="J160" i="14" s="1"/>
  <c r="C160" i="14" s="1"/>
  <c r="Q202" i="14"/>
  <c r="B87" i="12" l="1"/>
  <c r="R218" i="12"/>
  <c r="D165" i="15"/>
  <c r="O167" i="15"/>
  <c r="L167" i="15" s="1"/>
  <c r="M87" i="12"/>
  <c r="E86" i="12"/>
  <c r="G87" i="12"/>
  <c r="L87" i="12"/>
  <c r="R99" i="11"/>
  <c r="T100" i="11"/>
  <c r="Q100" i="11" s="1"/>
  <c r="O80" i="11"/>
  <c r="J80" i="11" s="1"/>
  <c r="D79" i="11"/>
  <c r="F78" i="11"/>
  <c r="T201" i="15"/>
  <c r="R201" i="15" s="1"/>
  <c r="L160" i="14"/>
  <c r="G160" i="14"/>
  <c r="B160" i="14"/>
  <c r="T203" i="14"/>
  <c r="R203" i="14" s="1"/>
  <c r="G159" i="14"/>
  <c r="D159" i="14"/>
  <c r="M160" i="14"/>
  <c r="T219" i="12" l="1"/>
  <c r="Q219" i="12" s="1"/>
  <c r="O88" i="12"/>
  <c r="J88" i="12" s="1"/>
  <c r="C88" i="12" s="1"/>
  <c r="D87" i="12"/>
  <c r="D166" i="15"/>
  <c r="F165" i="15"/>
  <c r="O168" i="15"/>
  <c r="J168" i="15" s="1"/>
  <c r="J167" i="15"/>
  <c r="M167" i="15"/>
  <c r="L80" i="11"/>
  <c r="R100" i="11"/>
  <c r="T101" i="11"/>
  <c r="Q101" i="11" s="1"/>
  <c r="E78" i="11"/>
  <c r="F79" i="11"/>
  <c r="C80" i="11"/>
  <c r="G80" i="11" s="1"/>
  <c r="B80" i="11"/>
  <c r="M80" i="11"/>
  <c r="Q201" i="15"/>
  <c r="D160" i="14"/>
  <c r="F159" i="14"/>
  <c r="Q203" i="14"/>
  <c r="O161" i="14"/>
  <c r="J161" i="14" s="1"/>
  <c r="C161" i="14" s="1"/>
  <c r="B88" i="12" l="1"/>
  <c r="G88" i="12"/>
  <c r="L88" i="12"/>
  <c r="M88" i="12"/>
  <c r="O89" i="12" s="1"/>
  <c r="J89" i="12" s="1"/>
  <c r="C89" i="12" s="1"/>
  <c r="R219" i="12"/>
  <c r="M168" i="15"/>
  <c r="F166" i="15"/>
  <c r="E166" i="15" s="1"/>
  <c r="E165" i="15"/>
  <c r="C167" i="15"/>
  <c r="B167" i="15"/>
  <c r="L168" i="15"/>
  <c r="O169" i="15" s="1"/>
  <c r="J169" i="15" s="1"/>
  <c r="B169" i="15" s="1"/>
  <c r="C168" i="15"/>
  <c r="G168" i="15" s="1"/>
  <c r="B168" i="15"/>
  <c r="F87" i="12"/>
  <c r="T102" i="11"/>
  <c r="Q102" i="11" s="1"/>
  <c r="D80" i="11"/>
  <c r="F80" i="11" s="1"/>
  <c r="E79" i="11"/>
  <c r="O81" i="11"/>
  <c r="R101" i="11"/>
  <c r="T202" i="15"/>
  <c r="R202" i="15" s="1"/>
  <c r="L161" i="14"/>
  <c r="G161" i="14"/>
  <c r="B161" i="14"/>
  <c r="T204" i="14"/>
  <c r="R204" i="14" s="1"/>
  <c r="E159" i="14"/>
  <c r="F160" i="14"/>
  <c r="D161" i="14"/>
  <c r="M161" i="14"/>
  <c r="D88" i="12" l="1"/>
  <c r="F88" i="12" s="1"/>
  <c r="B89" i="12"/>
  <c r="G89" i="12"/>
  <c r="T220" i="12"/>
  <c r="Q220" i="12" s="1"/>
  <c r="C169" i="15"/>
  <c r="G169" i="15" s="1"/>
  <c r="L169" i="15"/>
  <c r="M169" i="15"/>
  <c r="O170" i="15" s="1"/>
  <c r="J170" i="15" s="1"/>
  <c r="G167" i="15"/>
  <c r="D167" i="15"/>
  <c r="E87" i="12"/>
  <c r="M89" i="12"/>
  <c r="L89" i="12"/>
  <c r="O162" i="14"/>
  <c r="J162" i="14" s="1"/>
  <c r="C162" i="14" s="1"/>
  <c r="G162" i="14" s="1"/>
  <c r="R102" i="11"/>
  <c r="T103" i="11" s="1"/>
  <c r="Q103" i="11" s="1"/>
  <c r="J81" i="11"/>
  <c r="L81" i="11"/>
  <c r="M81" i="11"/>
  <c r="E80" i="11"/>
  <c r="Q202" i="15"/>
  <c r="Q204" i="14"/>
  <c r="E160" i="14"/>
  <c r="F161" i="14"/>
  <c r="R220" i="12" l="1"/>
  <c r="O90" i="12"/>
  <c r="L90" i="12" s="1"/>
  <c r="D89" i="12"/>
  <c r="F89" i="12" s="1"/>
  <c r="D168" i="15"/>
  <c r="F167" i="15"/>
  <c r="E167" i="15" s="1"/>
  <c r="J90" i="12"/>
  <c r="C90" i="12" s="1"/>
  <c r="M90" i="12"/>
  <c r="E88" i="12"/>
  <c r="B162" i="14"/>
  <c r="M162" i="14"/>
  <c r="L162" i="14"/>
  <c r="T104" i="11"/>
  <c r="Q104" i="11" s="1"/>
  <c r="R103" i="11"/>
  <c r="O82" i="11"/>
  <c r="J82" i="11" s="1"/>
  <c r="C81" i="11"/>
  <c r="B81" i="11"/>
  <c r="L170" i="15"/>
  <c r="M170" i="15"/>
  <c r="T203" i="15"/>
  <c r="R203" i="15" s="1"/>
  <c r="B170" i="15"/>
  <c r="C170" i="15"/>
  <c r="G170" i="15" s="1"/>
  <c r="E161" i="14"/>
  <c r="T205" i="14"/>
  <c r="R205" i="14" s="1"/>
  <c r="D162" i="14"/>
  <c r="B90" i="12" l="1"/>
  <c r="T221" i="12"/>
  <c r="Q221" i="12" s="1"/>
  <c r="O91" i="12"/>
  <c r="J91" i="12" s="1"/>
  <c r="C91" i="12" s="1"/>
  <c r="F168" i="15"/>
  <c r="D169" i="15"/>
  <c r="D170" i="15" s="1"/>
  <c r="E89" i="12"/>
  <c r="G90" i="12"/>
  <c r="O163" i="14"/>
  <c r="M163" i="14" s="1"/>
  <c r="O164" i="14" s="1"/>
  <c r="L82" i="11"/>
  <c r="R104" i="11"/>
  <c r="T105" i="11"/>
  <c r="Q105" i="11" s="1"/>
  <c r="G81" i="11"/>
  <c r="D81" i="11"/>
  <c r="C82" i="11"/>
  <c r="G82" i="11" s="1"/>
  <c r="B82" i="11"/>
  <c r="M82" i="11"/>
  <c r="Q203" i="15"/>
  <c r="O171" i="15"/>
  <c r="J171" i="15" s="1"/>
  <c r="Q205" i="14"/>
  <c r="F162" i="14"/>
  <c r="B91" i="12" l="1"/>
  <c r="G91" i="12"/>
  <c r="T222" i="12"/>
  <c r="Q222" i="12" s="1"/>
  <c r="R221" i="12"/>
  <c r="D90" i="12"/>
  <c r="E168" i="15"/>
  <c r="F169" i="15"/>
  <c r="E169" i="15" s="1"/>
  <c r="J163" i="14"/>
  <c r="C163" i="14" s="1"/>
  <c r="G163" i="14" s="1"/>
  <c r="L163" i="14"/>
  <c r="L164" i="14" s="1"/>
  <c r="M91" i="12"/>
  <c r="L91" i="12"/>
  <c r="O92" i="12" s="1"/>
  <c r="T106" i="11"/>
  <c r="Q106" i="11" s="1"/>
  <c r="D82" i="11"/>
  <c r="F81" i="11"/>
  <c r="O83" i="11"/>
  <c r="R105" i="11"/>
  <c r="M171" i="15"/>
  <c r="B171" i="15"/>
  <c r="C171" i="15"/>
  <c r="G171" i="15" s="1"/>
  <c r="L171" i="15"/>
  <c r="T204" i="15"/>
  <c r="R204" i="15" s="1"/>
  <c r="J164" i="14"/>
  <c r="C164" i="14" s="1"/>
  <c r="M164" i="14"/>
  <c r="E162" i="14"/>
  <c r="T206" i="14"/>
  <c r="R206" i="14" s="1"/>
  <c r="R222" i="12" l="1"/>
  <c r="T223" i="12"/>
  <c r="Q223" i="12" s="1"/>
  <c r="F170" i="15"/>
  <c r="E170" i="15" s="1"/>
  <c r="D91" i="12"/>
  <c r="B163" i="14"/>
  <c r="D163" i="14"/>
  <c r="F163" i="14" s="1"/>
  <c r="E163" i="14" s="1"/>
  <c r="F90" i="12"/>
  <c r="J92" i="12"/>
  <c r="C92" i="12" s="1"/>
  <c r="R106" i="11"/>
  <c r="J83" i="11"/>
  <c r="L83" i="11"/>
  <c r="M83" i="11"/>
  <c r="E81" i="11"/>
  <c r="F82" i="11"/>
  <c r="T107" i="11"/>
  <c r="D171" i="15"/>
  <c r="O172" i="15"/>
  <c r="L172" i="15" s="1"/>
  <c r="Q204" i="15"/>
  <c r="Q206" i="14"/>
  <c r="O165" i="14"/>
  <c r="J165" i="14" s="1"/>
  <c r="C165" i="14" s="1"/>
  <c r="B164" i="14"/>
  <c r="B92" i="12" l="1"/>
  <c r="G92" i="12"/>
  <c r="R223" i="12"/>
  <c r="T224" i="12"/>
  <c r="Q224" i="12" s="1"/>
  <c r="F171" i="15"/>
  <c r="E171" i="15" s="1"/>
  <c r="M92" i="12"/>
  <c r="L92" i="12"/>
  <c r="O93" i="12" s="1"/>
  <c r="E90" i="12"/>
  <c r="F91" i="12"/>
  <c r="R107" i="11"/>
  <c r="Q107" i="11"/>
  <c r="T108" i="11" s="1"/>
  <c r="E82" i="11"/>
  <c r="O84" i="11"/>
  <c r="J84" i="11" s="1"/>
  <c r="C83" i="11"/>
  <c r="B83" i="11"/>
  <c r="T205" i="15"/>
  <c r="R205" i="15" s="1"/>
  <c r="J172" i="15"/>
  <c r="M172" i="15"/>
  <c r="M165" i="14"/>
  <c r="B165" i="14"/>
  <c r="G165" i="14"/>
  <c r="L165" i="14"/>
  <c r="T207" i="14"/>
  <c r="R207" i="14" s="1"/>
  <c r="G164" i="14"/>
  <c r="D164" i="14"/>
  <c r="R224" i="12" l="1"/>
  <c r="T225" i="12"/>
  <c r="Q225" i="12" s="1"/>
  <c r="D92" i="12"/>
  <c r="F92" i="12" s="1"/>
  <c r="E91" i="12"/>
  <c r="J93" i="12"/>
  <c r="C93" i="12" s="1"/>
  <c r="R108" i="11"/>
  <c r="L84" i="11"/>
  <c r="Q108" i="11"/>
  <c r="C84" i="11"/>
  <c r="G84" i="11" s="1"/>
  <c r="B84" i="11"/>
  <c r="M84" i="11"/>
  <c r="G83" i="11"/>
  <c r="D83" i="11"/>
  <c r="O173" i="15"/>
  <c r="J173" i="15" s="1"/>
  <c r="B173" i="15" s="1"/>
  <c r="B172" i="15"/>
  <c r="C172" i="15"/>
  <c r="Q205" i="15"/>
  <c r="Q207" i="14"/>
  <c r="O166" i="14"/>
  <c r="J166" i="14" s="1"/>
  <c r="C166" i="14" s="1"/>
  <c r="D165" i="14"/>
  <c r="F164" i="14"/>
  <c r="B93" i="12" l="1"/>
  <c r="G93" i="12"/>
  <c r="R225" i="12"/>
  <c r="T226" i="12"/>
  <c r="Q226" i="12" s="1"/>
  <c r="M93" i="12"/>
  <c r="L93" i="12"/>
  <c r="O94" i="12" s="1"/>
  <c r="E92" i="12"/>
  <c r="D84" i="11"/>
  <c r="F83" i="11"/>
  <c r="O85" i="11"/>
  <c r="T109" i="11"/>
  <c r="R109" i="11" s="1"/>
  <c r="C173" i="15"/>
  <c r="G173" i="15" s="1"/>
  <c r="L173" i="15"/>
  <c r="M173" i="15"/>
  <c r="O174" i="15" s="1"/>
  <c r="T206" i="15"/>
  <c r="R206" i="15" s="1"/>
  <c r="G172" i="15"/>
  <c r="D172" i="15"/>
  <c r="M166" i="14"/>
  <c r="F165" i="14"/>
  <c r="E164" i="14"/>
  <c r="B166" i="14"/>
  <c r="G166" i="14"/>
  <c r="L166" i="14"/>
  <c r="T208" i="14"/>
  <c r="R208" i="14" s="1"/>
  <c r="R226" i="12" l="1"/>
  <c r="T227" i="12"/>
  <c r="Q227" i="12" s="1"/>
  <c r="D93" i="12"/>
  <c r="J94" i="12"/>
  <c r="C94" i="12" s="1"/>
  <c r="M94" i="12"/>
  <c r="Q109" i="11"/>
  <c r="J85" i="11"/>
  <c r="L85" i="11"/>
  <c r="M85" i="11"/>
  <c r="E83" i="11"/>
  <c r="F84" i="11"/>
  <c r="D173" i="15"/>
  <c r="F172" i="15"/>
  <c r="Q206" i="15"/>
  <c r="J174" i="15"/>
  <c r="M174" i="15"/>
  <c r="L174" i="15"/>
  <c r="Q208" i="14"/>
  <c r="T209" i="14" s="1"/>
  <c r="O167" i="14"/>
  <c r="D166" i="14"/>
  <c r="F166" i="14" s="1"/>
  <c r="E165" i="14"/>
  <c r="B94" i="12" l="1"/>
  <c r="G94" i="12"/>
  <c r="R227" i="12"/>
  <c r="T228" i="12" s="1"/>
  <c r="Q228" i="12" s="1"/>
  <c r="F93" i="12"/>
  <c r="L94" i="12"/>
  <c r="O95" i="12" s="1"/>
  <c r="E84" i="11"/>
  <c r="O86" i="11"/>
  <c r="J86" i="11" s="1"/>
  <c r="C85" i="11"/>
  <c r="B85" i="11"/>
  <c r="T110" i="11"/>
  <c r="R110" i="11" s="1"/>
  <c r="O175" i="15"/>
  <c r="J175" i="15" s="1"/>
  <c r="B174" i="15"/>
  <c r="C174" i="15"/>
  <c r="G174" i="15" s="1"/>
  <c r="T207" i="15"/>
  <c r="R207" i="15" s="1"/>
  <c r="F173" i="15"/>
  <c r="E172" i="15"/>
  <c r="Q209" i="14"/>
  <c r="T210" i="14" s="1"/>
  <c r="Q210" i="14" s="1"/>
  <c r="R209" i="14"/>
  <c r="E166" i="14"/>
  <c r="J167" i="14"/>
  <c r="C167" i="14" s="1"/>
  <c r="M167" i="14"/>
  <c r="L167" i="14"/>
  <c r="R228" i="12" l="1"/>
  <c r="T229" i="12"/>
  <c r="Q229" i="12" s="1"/>
  <c r="D94" i="12"/>
  <c r="E93" i="12"/>
  <c r="G85" i="11"/>
  <c r="D85" i="11"/>
  <c r="C86" i="11"/>
  <c r="G86" i="11" s="1"/>
  <c r="B86" i="11"/>
  <c r="L86" i="11"/>
  <c r="M86" i="11"/>
  <c r="Q110" i="11"/>
  <c r="Q207" i="15"/>
  <c r="B175" i="15"/>
  <c r="C175" i="15"/>
  <c r="G175" i="15" s="1"/>
  <c r="E173" i="15"/>
  <c r="D174" i="15"/>
  <c r="M175" i="15"/>
  <c r="L175" i="15"/>
  <c r="R210" i="14"/>
  <c r="T211" i="14"/>
  <c r="Q211" i="14" s="1"/>
  <c r="B167" i="14"/>
  <c r="O168" i="14"/>
  <c r="J168" i="14" s="1"/>
  <c r="C168" i="14" s="1"/>
  <c r="T230" i="12" l="1"/>
  <c r="Q230" i="12" s="1"/>
  <c r="R229" i="12"/>
  <c r="F94" i="12"/>
  <c r="J95" i="12"/>
  <c r="C95" i="12" s="1"/>
  <c r="M95" i="12"/>
  <c r="L95" i="12"/>
  <c r="O96" i="12" s="1"/>
  <c r="O87" i="11"/>
  <c r="J87" i="11" s="1"/>
  <c r="T111" i="11"/>
  <c r="R111" i="11" s="1"/>
  <c r="D86" i="11"/>
  <c r="F85" i="11"/>
  <c r="D175" i="15"/>
  <c r="F174" i="15"/>
  <c r="O176" i="15"/>
  <c r="J176" i="15" s="1"/>
  <c r="T208" i="15"/>
  <c r="R208" i="15" s="1"/>
  <c r="R211" i="14"/>
  <c r="T212" i="14" s="1"/>
  <c r="Q212" i="14" s="1"/>
  <c r="L168" i="14"/>
  <c r="M168" i="14"/>
  <c r="G167" i="14"/>
  <c r="D167" i="14"/>
  <c r="B168" i="14"/>
  <c r="G168" i="14"/>
  <c r="B95" i="12" l="1"/>
  <c r="R230" i="12"/>
  <c r="T231" i="12" s="1"/>
  <c r="Q231" i="12" s="1"/>
  <c r="J96" i="12"/>
  <c r="C96" i="12" s="1"/>
  <c r="G95" i="12"/>
  <c r="E94" i="12"/>
  <c r="E85" i="11"/>
  <c r="F86" i="11"/>
  <c r="Q111" i="11"/>
  <c r="L87" i="11"/>
  <c r="B87" i="11"/>
  <c r="C87" i="11"/>
  <c r="G87" i="11" s="1"/>
  <c r="M87" i="11"/>
  <c r="F175" i="15"/>
  <c r="E175" i="15" s="1"/>
  <c r="E174" i="15"/>
  <c r="L176" i="15"/>
  <c r="Q208" i="15"/>
  <c r="M176" i="15"/>
  <c r="C176" i="15"/>
  <c r="B176" i="15"/>
  <c r="R212" i="14"/>
  <c r="T213" i="14" s="1"/>
  <c r="Q213" i="14" s="1"/>
  <c r="D168" i="14"/>
  <c r="F167" i="14"/>
  <c r="O169" i="14"/>
  <c r="J169" i="14" s="1"/>
  <c r="C169" i="14" s="1"/>
  <c r="B96" i="12" l="1"/>
  <c r="G96" i="12"/>
  <c r="R231" i="12"/>
  <c r="D95" i="12"/>
  <c r="M96" i="12"/>
  <c r="L96" i="12"/>
  <c r="O97" i="12" s="1"/>
  <c r="T112" i="11"/>
  <c r="R112" i="11" s="1"/>
  <c r="D87" i="11"/>
  <c r="F87" i="11" s="1"/>
  <c r="E86" i="11"/>
  <c r="O88" i="11"/>
  <c r="J88" i="11" s="1"/>
  <c r="G176" i="15"/>
  <c r="D176" i="15"/>
  <c r="O177" i="15"/>
  <c r="T209" i="15"/>
  <c r="R209" i="15" s="1"/>
  <c r="R213" i="14"/>
  <c r="T214" i="14" s="1"/>
  <c r="Q214" i="14" s="1"/>
  <c r="B169" i="14"/>
  <c r="G169" i="14"/>
  <c r="M169" i="14"/>
  <c r="F168" i="14"/>
  <c r="E167" i="14"/>
  <c r="L169" i="14"/>
  <c r="T232" i="12" l="1"/>
  <c r="Q232" i="12" s="1"/>
  <c r="D96" i="12"/>
  <c r="F95" i="12"/>
  <c r="J97" i="12"/>
  <c r="C97" i="12" s="1"/>
  <c r="M88" i="11"/>
  <c r="E87" i="11"/>
  <c r="B88" i="11"/>
  <c r="C88" i="11"/>
  <c r="G88" i="11" s="1"/>
  <c r="Q112" i="11"/>
  <c r="L88" i="11"/>
  <c r="Q209" i="15"/>
  <c r="J177" i="15"/>
  <c r="L177" i="15"/>
  <c r="M177" i="15"/>
  <c r="F176" i="15"/>
  <c r="R214" i="14"/>
  <c r="T215" i="14" s="1"/>
  <c r="D169" i="14"/>
  <c r="F169" i="14" s="1"/>
  <c r="E168" i="14"/>
  <c r="O170" i="14"/>
  <c r="J170" i="14" s="1"/>
  <c r="C170" i="14" s="1"/>
  <c r="B97" i="12" l="1"/>
  <c r="G97" i="12"/>
  <c r="R232" i="12"/>
  <c r="M97" i="12"/>
  <c r="L97" i="12"/>
  <c r="O98" i="12" s="1"/>
  <c r="F96" i="12"/>
  <c r="E95" i="12"/>
  <c r="T113" i="11"/>
  <c r="R113" i="11" s="1"/>
  <c r="D88" i="11"/>
  <c r="O89" i="11"/>
  <c r="J89" i="11" s="1"/>
  <c r="E176" i="15"/>
  <c r="O178" i="15"/>
  <c r="J178" i="15" s="1"/>
  <c r="C177" i="15"/>
  <c r="B177" i="15"/>
  <c r="T210" i="15"/>
  <c r="R210" i="15" s="1"/>
  <c r="R215" i="14"/>
  <c r="L170" i="14"/>
  <c r="Q215" i="14"/>
  <c r="M170" i="14"/>
  <c r="B170" i="14"/>
  <c r="E169" i="14"/>
  <c r="T233" i="12" l="1"/>
  <c r="Q233" i="12" s="1"/>
  <c r="D97" i="12"/>
  <c r="F97" i="12" s="1"/>
  <c r="E96" i="12"/>
  <c r="L98" i="12"/>
  <c r="O99" i="12" s="1"/>
  <c r="J98" i="12"/>
  <c r="C98" i="12" s="1"/>
  <c r="O171" i="14"/>
  <c r="J171" i="14" s="1"/>
  <c r="C171" i="14" s="1"/>
  <c r="G171" i="14" s="1"/>
  <c r="M89" i="11"/>
  <c r="B89" i="11"/>
  <c r="C89" i="11"/>
  <c r="G89" i="11" s="1"/>
  <c r="L89" i="11"/>
  <c r="F88" i="11"/>
  <c r="Q113" i="11"/>
  <c r="L178" i="15"/>
  <c r="Q210" i="15"/>
  <c r="T211" i="15" s="1"/>
  <c r="R211" i="15" s="1"/>
  <c r="G177" i="15"/>
  <c r="D177" i="15"/>
  <c r="C178" i="15"/>
  <c r="G178" i="15" s="1"/>
  <c r="B178" i="15"/>
  <c r="M178" i="15"/>
  <c r="G170" i="14"/>
  <c r="D170" i="14"/>
  <c r="T216" i="14"/>
  <c r="R216" i="14" s="1"/>
  <c r="B98" i="12" l="1"/>
  <c r="R233" i="12"/>
  <c r="L171" i="14"/>
  <c r="M98" i="12"/>
  <c r="G98" i="12"/>
  <c r="J99" i="12"/>
  <c r="C99" i="12" s="1"/>
  <c r="E97" i="12"/>
  <c r="B171" i="14"/>
  <c r="M171" i="14"/>
  <c r="O172" i="14" s="1"/>
  <c r="J172" i="14" s="1"/>
  <c r="C172" i="14" s="1"/>
  <c r="D89" i="11"/>
  <c r="F89" i="11" s="1"/>
  <c r="E88" i="11"/>
  <c r="O90" i="11"/>
  <c r="J90" i="11" s="1"/>
  <c r="T114" i="11"/>
  <c r="R114" i="11" s="1"/>
  <c r="Q211" i="15"/>
  <c r="T212" i="15" s="1"/>
  <c r="R212" i="15" s="1"/>
  <c r="D178" i="15"/>
  <c r="F177" i="15"/>
  <c r="O179" i="15"/>
  <c r="M179" i="15" s="1"/>
  <c r="Q216" i="14"/>
  <c r="T217" i="14" s="1"/>
  <c r="R217" i="14" s="1"/>
  <c r="D171" i="14"/>
  <c r="F170" i="14"/>
  <c r="B99" i="12" l="1"/>
  <c r="G99" i="12"/>
  <c r="T234" i="12"/>
  <c r="Q234" i="12" s="1"/>
  <c r="D98" i="12"/>
  <c r="L99" i="12"/>
  <c r="O100" i="12" s="1"/>
  <c r="J100" i="12" s="1"/>
  <c r="C100" i="12" s="1"/>
  <c r="M99" i="12"/>
  <c r="M90" i="11"/>
  <c r="Q114" i="11"/>
  <c r="T115" i="11" s="1"/>
  <c r="R115" i="11" s="1"/>
  <c r="B90" i="11"/>
  <c r="C90" i="11"/>
  <c r="L90" i="11"/>
  <c r="E89" i="11"/>
  <c r="J179" i="15"/>
  <c r="L179" i="15"/>
  <c r="O180" i="15" s="1"/>
  <c r="J180" i="15" s="1"/>
  <c r="E177" i="15"/>
  <c r="F178" i="15"/>
  <c r="Q212" i="15"/>
  <c r="F171" i="14"/>
  <c r="E170" i="14"/>
  <c r="B172" i="14"/>
  <c r="G172" i="14"/>
  <c r="L172" i="14"/>
  <c r="M172" i="14"/>
  <c r="Q217" i="14"/>
  <c r="B100" i="12" l="1"/>
  <c r="R234" i="12"/>
  <c r="M100" i="12"/>
  <c r="D99" i="12"/>
  <c r="G100" i="12"/>
  <c r="L100" i="12"/>
  <c r="O101" i="12" s="1"/>
  <c r="F98" i="12"/>
  <c r="O91" i="11"/>
  <c r="J91" i="11" s="1"/>
  <c r="B91" i="11" s="1"/>
  <c r="Q115" i="11"/>
  <c r="T116" i="11" s="1"/>
  <c r="R116" i="11" s="1"/>
  <c r="G90" i="11"/>
  <c r="D90" i="11"/>
  <c r="C180" i="15"/>
  <c r="G180" i="15" s="1"/>
  <c r="B180" i="15"/>
  <c r="M180" i="15"/>
  <c r="E178" i="15"/>
  <c r="L180" i="15"/>
  <c r="C179" i="15"/>
  <c r="B179" i="15"/>
  <c r="T213" i="15"/>
  <c r="R213" i="15" s="1"/>
  <c r="O173" i="14"/>
  <c r="J173" i="14" s="1"/>
  <c r="C173" i="14" s="1"/>
  <c r="D172" i="14"/>
  <c r="F172" i="14" s="1"/>
  <c r="E171" i="14"/>
  <c r="T218" i="14"/>
  <c r="R218" i="14" s="1"/>
  <c r="T235" i="12" l="1"/>
  <c r="Q235" i="12" s="1"/>
  <c r="D100" i="12"/>
  <c r="E98" i="12"/>
  <c r="F99" i="12"/>
  <c r="L101" i="12"/>
  <c r="C91" i="11"/>
  <c r="G91" i="11" s="1"/>
  <c r="M91" i="11"/>
  <c r="L91" i="11"/>
  <c r="O92" i="11" s="1"/>
  <c r="Q116" i="11"/>
  <c r="F90" i="11"/>
  <c r="Q213" i="15"/>
  <c r="T214" i="15" s="1"/>
  <c r="R214" i="15" s="1"/>
  <c r="G179" i="15"/>
  <c r="D179" i="15"/>
  <c r="O181" i="15"/>
  <c r="J181" i="15" s="1"/>
  <c r="E172" i="14"/>
  <c r="Q218" i="14"/>
  <c r="M173" i="14"/>
  <c r="B173" i="14"/>
  <c r="G173" i="14"/>
  <c r="L173" i="14"/>
  <c r="R235" i="12" l="1"/>
  <c r="J101" i="12"/>
  <c r="C101" i="12" s="1"/>
  <c r="M101" i="12"/>
  <c r="O102" i="12" s="1"/>
  <c r="J102" i="12" s="1"/>
  <c r="C102" i="12" s="1"/>
  <c r="E99" i="12"/>
  <c r="F100" i="12"/>
  <c r="D91" i="11"/>
  <c r="F91" i="11" s="1"/>
  <c r="E90" i="11"/>
  <c r="J92" i="11"/>
  <c r="L92" i="11"/>
  <c r="M92" i="11"/>
  <c r="T117" i="11"/>
  <c r="R117" i="11" s="1"/>
  <c r="L181" i="15"/>
  <c r="O182" i="15" s="1"/>
  <c r="J182" i="15" s="1"/>
  <c r="Q214" i="15"/>
  <c r="C181" i="15"/>
  <c r="G181" i="15" s="1"/>
  <c r="B181" i="15"/>
  <c r="M181" i="15"/>
  <c r="D180" i="15"/>
  <c r="F179" i="15"/>
  <c r="D173" i="14"/>
  <c r="T219" i="14"/>
  <c r="R219" i="14" s="1"/>
  <c r="O174" i="14"/>
  <c r="J174" i="14" s="1"/>
  <c r="C174" i="14" s="1"/>
  <c r="B102" i="12" l="1"/>
  <c r="G102" i="12"/>
  <c r="B101" i="12"/>
  <c r="G101" i="12"/>
  <c r="T236" i="12"/>
  <c r="Q236" i="12" s="1"/>
  <c r="E100" i="12"/>
  <c r="L102" i="12"/>
  <c r="M102" i="12"/>
  <c r="Q117" i="11"/>
  <c r="T118" i="11" s="1"/>
  <c r="R118" i="11" s="1"/>
  <c r="O93" i="11"/>
  <c r="J93" i="11" s="1"/>
  <c r="B92" i="11"/>
  <c r="C92" i="11"/>
  <c r="E91" i="11"/>
  <c r="D181" i="15"/>
  <c r="M182" i="15"/>
  <c r="C182" i="15"/>
  <c r="G182" i="15" s="1"/>
  <c r="B182" i="15"/>
  <c r="L182" i="15"/>
  <c r="T215" i="15"/>
  <c r="R215" i="15" s="1"/>
  <c r="E179" i="15"/>
  <c r="F180" i="15"/>
  <c r="Q219" i="14"/>
  <c r="T220" i="14" s="1"/>
  <c r="Q220" i="14" s="1"/>
  <c r="B174" i="14"/>
  <c r="G174" i="14"/>
  <c r="L174" i="14"/>
  <c r="D174" i="14"/>
  <c r="F173" i="14"/>
  <c r="M174" i="14"/>
  <c r="O103" i="12" l="1"/>
  <c r="J103" i="12" s="1"/>
  <c r="C103" i="12" s="1"/>
  <c r="R236" i="12"/>
  <c r="D101" i="12"/>
  <c r="D102" i="12" s="1"/>
  <c r="G92" i="11"/>
  <c r="D92" i="11"/>
  <c r="L93" i="11"/>
  <c r="B93" i="11"/>
  <c r="C93" i="11"/>
  <c r="G93" i="11" s="1"/>
  <c r="M93" i="11"/>
  <c r="Q118" i="11"/>
  <c r="T119" i="11" s="1"/>
  <c r="R119" i="11" s="1"/>
  <c r="Q215" i="15"/>
  <c r="O183" i="15"/>
  <c r="J183" i="15" s="1"/>
  <c r="E180" i="15"/>
  <c r="F181" i="15"/>
  <c r="D182" i="15"/>
  <c r="R220" i="14"/>
  <c r="T221" i="14" s="1"/>
  <c r="Q221" i="14" s="1"/>
  <c r="F174" i="14"/>
  <c r="E173" i="14"/>
  <c r="O175" i="14"/>
  <c r="J175" i="14" s="1"/>
  <c r="C175" i="14" s="1"/>
  <c r="L103" i="12" l="1"/>
  <c r="M103" i="12"/>
  <c r="B103" i="12"/>
  <c r="T237" i="12"/>
  <c r="Q237" i="12" s="1"/>
  <c r="F101" i="12"/>
  <c r="G103" i="12"/>
  <c r="O94" i="11"/>
  <c r="J94" i="11" s="1"/>
  <c r="D93" i="11"/>
  <c r="F92" i="11"/>
  <c r="Q119" i="11"/>
  <c r="T120" i="11" s="1"/>
  <c r="R120" i="11" s="1"/>
  <c r="E181" i="15"/>
  <c r="F182" i="15"/>
  <c r="M183" i="15"/>
  <c r="C183" i="15"/>
  <c r="G183" i="15" s="1"/>
  <c r="B183" i="15"/>
  <c r="L183" i="15"/>
  <c r="T216" i="15"/>
  <c r="R216" i="15" s="1"/>
  <c r="R221" i="14"/>
  <c r="T222" i="14" s="1"/>
  <c r="Q222" i="14" s="1"/>
  <c r="M175" i="14"/>
  <c r="O176" i="14" s="1"/>
  <c r="J176" i="14" s="1"/>
  <c r="C176" i="14" s="1"/>
  <c r="L175" i="14"/>
  <c r="E174" i="14"/>
  <c r="B175" i="14"/>
  <c r="O104" i="12" l="1"/>
  <c r="J104" i="12" s="1"/>
  <c r="C104" i="12" s="1"/>
  <c r="G104" i="12" s="1"/>
  <c r="R237" i="12"/>
  <c r="D103" i="12"/>
  <c r="E101" i="12"/>
  <c r="F102" i="12"/>
  <c r="Q120" i="11"/>
  <c r="T121" i="11" s="1"/>
  <c r="R121" i="11" s="1"/>
  <c r="L94" i="11"/>
  <c r="E92" i="11"/>
  <c r="F93" i="11"/>
  <c r="B94" i="11"/>
  <c r="C94" i="11"/>
  <c r="G94" i="11" s="1"/>
  <c r="M94" i="11"/>
  <c r="Q216" i="15"/>
  <c r="T217" i="15" s="1"/>
  <c r="R217" i="15" s="1"/>
  <c r="O184" i="15"/>
  <c r="J184" i="15" s="1"/>
  <c r="D183" i="15"/>
  <c r="F183" i="15" s="1"/>
  <c r="E182" i="15"/>
  <c r="R222" i="14"/>
  <c r="T223" i="14" s="1"/>
  <c r="Q223" i="14" s="1"/>
  <c r="B176" i="14"/>
  <c r="G176" i="14"/>
  <c r="M176" i="14"/>
  <c r="L176" i="14"/>
  <c r="G175" i="14"/>
  <c r="D175" i="14"/>
  <c r="L104" i="12" l="1"/>
  <c r="M104" i="12"/>
  <c r="B104" i="12"/>
  <c r="T238" i="12"/>
  <c r="Q238" i="12" s="1"/>
  <c r="O105" i="12"/>
  <c r="L105" i="12" s="1"/>
  <c r="D104" i="12"/>
  <c r="E102" i="12"/>
  <c r="F103" i="12"/>
  <c r="O95" i="11"/>
  <c r="D94" i="11"/>
  <c r="F94" i="11" s="1"/>
  <c r="E93" i="11"/>
  <c r="Q121" i="11"/>
  <c r="T122" i="11" s="1"/>
  <c r="R122" i="11" s="1"/>
  <c r="M184" i="15"/>
  <c r="E183" i="15"/>
  <c r="Q217" i="15"/>
  <c r="C184" i="15"/>
  <c r="G184" i="15" s="1"/>
  <c r="B184" i="15"/>
  <c r="L184" i="15"/>
  <c r="R223" i="14"/>
  <c r="T224" i="14"/>
  <c r="Q224" i="14" s="1"/>
  <c r="O177" i="14"/>
  <c r="J177" i="14" s="1"/>
  <c r="C177" i="14" s="1"/>
  <c r="D176" i="14"/>
  <c r="F175" i="14"/>
  <c r="J105" i="12" l="1"/>
  <c r="C105" i="12" s="1"/>
  <c r="G105" i="12" s="1"/>
  <c r="R238" i="12"/>
  <c r="M105" i="12"/>
  <c r="O106" i="12" s="1"/>
  <c r="F104" i="12"/>
  <c r="E103" i="12"/>
  <c r="Q122" i="11"/>
  <c r="T123" i="11" s="1"/>
  <c r="R123" i="11" s="1"/>
  <c r="E94" i="11"/>
  <c r="J95" i="11"/>
  <c r="L95" i="11"/>
  <c r="M95" i="11"/>
  <c r="D184" i="15"/>
  <c r="T218" i="15"/>
  <c r="R218" i="15" s="1"/>
  <c r="O185" i="15"/>
  <c r="R224" i="14"/>
  <c r="T225" i="14" s="1"/>
  <c r="Q225" i="14" s="1"/>
  <c r="F176" i="14"/>
  <c r="E175" i="14"/>
  <c r="B177" i="14"/>
  <c r="G177" i="14"/>
  <c r="M177" i="14"/>
  <c r="L177" i="14"/>
  <c r="B105" i="12" l="1"/>
  <c r="T239" i="12"/>
  <c r="Q239" i="12" s="1"/>
  <c r="D105" i="12"/>
  <c r="F105" i="12" s="1"/>
  <c r="E104" i="12"/>
  <c r="M106" i="12"/>
  <c r="Q123" i="11"/>
  <c r="T124" i="11" s="1"/>
  <c r="R124" i="11" s="1"/>
  <c r="B95" i="11"/>
  <c r="C95" i="11"/>
  <c r="O96" i="11"/>
  <c r="J96" i="11" s="1"/>
  <c r="J185" i="15"/>
  <c r="M185" i="15"/>
  <c r="L185" i="15"/>
  <c r="Q218" i="15"/>
  <c r="F184" i="15"/>
  <c r="T226" i="14"/>
  <c r="Q226" i="14" s="1"/>
  <c r="E176" i="14"/>
  <c r="O178" i="14"/>
  <c r="J178" i="14" s="1"/>
  <c r="C178" i="14" s="1"/>
  <c r="D177" i="14"/>
  <c r="F177" i="14" s="1"/>
  <c r="R225" i="14"/>
  <c r="R239" i="12" l="1"/>
  <c r="J106" i="12"/>
  <c r="C106" i="12" s="1"/>
  <c r="L106" i="12"/>
  <c r="O107" i="12" s="1"/>
  <c r="E105" i="12"/>
  <c r="Q124" i="11"/>
  <c r="T125" i="11" s="1"/>
  <c r="R125" i="11" s="1"/>
  <c r="M96" i="11"/>
  <c r="B96" i="11"/>
  <c r="C96" i="11"/>
  <c r="G96" i="11" s="1"/>
  <c r="G95" i="11"/>
  <c r="D95" i="11"/>
  <c r="L96" i="11"/>
  <c r="E184" i="15"/>
  <c r="T219" i="15"/>
  <c r="R219" i="15" s="1"/>
  <c r="O186" i="15"/>
  <c r="J186" i="15" s="1"/>
  <c r="C185" i="15"/>
  <c r="B185" i="15"/>
  <c r="L178" i="14"/>
  <c r="E177" i="14"/>
  <c r="B178" i="14"/>
  <c r="G178" i="14"/>
  <c r="M178" i="14"/>
  <c r="R226" i="14"/>
  <c r="T227" i="14" s="1"/>
  <c r="Q227" i="14" s="1"/>
  <c r="B106" i="12" l="1"/>
  <c r="G106" i="12"/>
  <c r="T240" i="12"/>
  <c r="Q240" i="12" s="1"/>
  <c r="Q125" i="11"/>
  <c r="T126" i="11" s="1"/>
  <c r="R126" i="11" s="1"/>
  <c r="D96" i="11"/>
  <c r="F95" i="11"/>
  <c r="O97" i="11"/>
  <c r="J97" i="11" s="1"/>
  <c r="M186" i="15"/>
  <c r="G185" i="15"/>
  <c r="D185" i="15"/>
  <c r="B186" i="15"/>
  <c r="C186" i="15"/>
  <c r="G186" i="15" s="1"/>
  <c r="L186" i="15"/>
  <c r="Q219" i="15"/>
  <c r="T228" i="14"/>
  <c r="Q228" i="14" s="1"/>
  <c r="R227" i="14"/>
  <c r="O179" i="14"/>
  <c r="D178" i="14"/>
  <c r="R240" i="12" l="1"/>
  <c r="D106" i="12"/>
  <c r="J107" i="12"/>
  <c r="C107" i="12" s="1"/>
  <c r="M107" i="12"/>
  <c r="L107" i="12"/>
  <c r="O108" i="12" s="1"/>
  <c r="Q126" i="11"/>
  <c r="T127" i="11" s="1"/>
  <c r="R127" i="11" s="1"/>
  <c r="M97" i="11"/>
  <c r="L97" i="11"/>
  <c r="B97" i="11"/>
  <c r="C97" i="11"/>
  <c r="G97" i="11" s="1"/>
  <c r="E95" i="11"/>
  <c r="F96" i="11"/>
  <c r="T220" i="15"/>
  <c r="R220" i="15" s="1"/>
  <c r="O187" i="15"/>
  <c r="D186" i="15"/>
  <c r="F185" i="15"/>
  <c r="R228" i="14"/>
  <c r="T229" i="14" s="1"/>
  <c r="Q229" i="14" s="1"/>
  <c r="F178" i="14"/>
  <c r="J179" i="14"/>
  <c r="C179" i="14" s="1"/>
  <c r="L179" i="14"/>
  <c r="M179" i="14"/>
  <c r="B107" i="12" l="1"/>
  <c r="G107" i="12"/>
  <c r="T241" i="12"/>
  <c r="Q241" i="12" s="1"/>
  <c r="J108" i="12"/>
  <c r="C108" i="12" s="1"/>
  <c r="F106" i="12"/>
  <c r="O98" i="11"/>
  <c r="J98" i="11" s="1"/>
  <c r="B98" i="11" s="1"/>
  <c r="Q127" i="11"/>
  <c r="T128" i="11" s="1"/>
  <c r="R128" i="11" s="1"/>
  <c r="E96" i="11"/>
  <c r="D97" i="11"/>
  <c r="F97" i="11" s="1"/>
  <c r="E185" i="15"/>
  <c r="F186" i="15"/>
  <c r="J187" i="15"/>
  <c r="M187" i="15"/>
  <c r="L187" i="15"/>
  <c r="Q220" i="15"/>
  <c r="R229" i="14"/>
  <c r="T230" i="14" s="1"/>
  <c r="Q230" i="14" s="1"/>
  <c r="B179" i="14"/>
  <c r="E178" i="14"/>
  <c r="O180" i="14"/>
  <c r="J180" i="14" s="1"/>
  <c r="C180" i="14" s="1"/>
  <c r="B108" i="12" l="1"/>
  <c r="R241" i="12"/>
  <c r="D107" i="12"/>
  <c r="F107" i="12" s="1"/>
  <c r="E106" i="12"/>
  <c r="M108" i="12"/>
  <c r="G108" i="12"/>
  <c r="L108" i="12"/>
  <c r="O109" i="12" s="1"/>
  <c r="L98" i="11"/>
  <c r="O99" i="11" s="1"/>
  <c r="J99" i="11" s="1"/>
  <c r="M98" i="11"/>
  <c r="C98" i="11"/>
  <c r="G98" i="11" s="1"/>
  <c r="Q128" i="11"/>
  <c r="T129" i="11" s="1"/>
  <c r="R129" i="11" s="1"/>
  <c r="E97" i="11"/>
  <c r="O188" i="15"/>
  <c r="J188" i="15" s="1"/>
  <c r="C187" i="15"/>
  <c r="B187" i="15"/>
  <c r="T221" i="15"/>
  <c r="R221" i="15" s="1"/>
  <c r="E186" i="15"/>
  <c r="T231" i="14"/>
  <c r="Q231" i="14" s="1"/>
  <c r="R230" i="14"/>
  <c r="G179" i="14"/>
  <c r="D179" i="14"/>
  <c r="B180" i="14"/>
  <c r="G180" i="14"/>
  <c r="M180" i="14"/>
  <c r="L180" i="14"/>
  <c r="T242" i="12" l="1"/>
  <c r="Q242" i="12" s="1"/>
  <c r="D98" i="11"/>
  <c r="F98" i="11" s="1"/>
  <c r="E98" i="11" s="1"/>
  <c r="D108" i="12"/>
  <c r="F108" i="12" s="1"/>
  <c r="J109" i="12"/>
  <c r="C109" i="12" s="1"/>
  <c r="E107" i="12"/>
  <c r="Q129" i="11"/>
  <c r="T130" i="11" s="1"/>
  <c r="R130" i="11" s="1"/>
  <c r="M99" i="11"/>
  <c r="L99" i="11"/>
  <c r="B99" i="11"/>
  <c r="C99" i="11"/>
  <c r="G99" i="11" s="1"/>
  <c r="M188" i="15"/>
  <c r="Q221" i="15"/>
  <c r="G187" i="15"/>
  <c r="D187" i="15"/>
  <c r="B188" i="15"/>
  <c r="C188" i="15"/>
  <c r="G188" i="15" s="1"/>
  <c r="L188" i="15"/>
  <c r="R231" i="14"/>
  <c r="D180" i="14"/>
  <c r="F179" i="14"/>
  <c r="O181" i="14"/>
  <c r="J181" i="14" s="1"/>
  <c r="C181" i="14" s="1"/>
  <c r="T232" i="14"/>
  <c r="Q232" i="14" s="1"/>
  <c r="B109" i="12" l="1"/>
  <c r="R242" i="12"/>
  <c r="E108" i="12"/>
  <c r="M109" i="12"/>
  <c r="G109" i="12"/>
  <c r="L109" i="12"/>
  <c r="O110" i="12" s="1"/>
  <c r="O100" i="11"/>
  <c r="J100" i="11" s="1"/>
  <c r="B100" i="11" s="1"/>
  <c r="D99" i="11"/>
  <c r="F99" i="11" s="1"/>
  <c r="Q130" i="11"/>
  <c r="T131" i="11" s="1"/>
  <c r="R131" i="11" s="1"/>
  <c r="D188" i="15"/>
  <c r="F187" i="15"/>
  <c r="O189" i="15"/>
  <c r="T222" i="15"/>
  <c r="R222" i="15" s="1"/>
  <c r="L181" i="14"/>
  <c r="O182" i="14" s="1"/>
  <c r="J182" i="14" s="1"/>
  <c r="C182" i="14" s="1"/>
  <c r="M181" i="14"/>
  <c r="T233" i="14"/>
  <c r="Q233" i="14" s="1"/>
  <c r="B181" i="14"/>
  <c r="G181" i="14"/>
  <c r="R232" i="14"/>
  <c r="F180" i="14"/>
  <c r="E179" i="14"/>
  <c r="T243" i="12" l="1"/>
  <c r="Q243" i="12" s="1"/>
  <c r="D109" i="12"/>
  <c r="J110" i="12"/>
  <c r="C110" i="12" s="1"/>
  <c r="M100" i="11"/>
  <c r="M110" i="12"/>
  <c r="L100" i="11"/>
  <c r="O101" i="11" s="1"/>
  <c r="J101" i="11" s="1"/>
  <c r="B101" i="11" s="1"/>
  <c r="C100" i="11"/>
  <c r="G100" i="11" s="1"/>
  <c r="Q131" i="11"/>
  <c r="T132" i="11" s="1"/>
  <c r="R132" i="11" s="1"/>
  <c r="E99" i="11"/>
  <c r="Q222" i="15"/>
  <c r="J189" i="15"/>
  <c r="M189" i="15"/>
  <c r="L189" i="15"/>
  <c r="E187" i="15"/>
  <c r="F188" i="15"/>
  <c r="R233" i="14"/>
  <c r="M182" i="14"/>
  <c r="L182" i="14"/>
  <c r="O183" i="14" s="1"/>
  <c r="J183" i="14" s="1"/>
  <c r="C183" i="14" s="1"/>
  <c r="D181" i="14"/>
  <c r="F181" i="14" s="1"/>
  <c r="T234" i="14"/>
  <c r="Q234" i="14" s="1"/>
  <c r="E180" i="14"/>
  <c r="B182" i="14"/>
  <c r="G182" i="14"/>
  <c r="B110" i="12" l="1"/>
  <c r="G110" i="12"/>
  <c r="R243" i="12"/>
  <c r="M101" i="11"/>
  <c r="F109" i="12"/>
  <c r="L101" i="11"/>
  <c r="O102" i="11" s="1"/>
  <c r="J102" i="11" s="1"/>
  <c r="C101" i="11"/>
  <c r="G101" i="11" s="1"/>
  <c r="L110" i="12"/>
  <c r="O111" i="12" s="1"/>
  <c r="D100" i="11"/>
  <c r="F100" i="11" s="1"/>
  <c r="E100" i="11" s="1"/>
  <c r="Q132" i="11"/>
  <c r="T133" i="11" s="1"/>
  <c r="R133" i="11" s="1"/>
  <c r="E188" i="15"/>
  <c r="O190" i="15"/>
  <c r="J190" i="15" s="1"/>
  <c r="C189" i="15"/>
  <c r="B189" i="15"/>
  <c r="T223" i="15"/>
  <c r="R223" i="15" s="1"/>
  <c r="R234" i="14"/>
  <c r="T235" i="14" s="1"/>
  <c r="Q235" i="14" s="1"/>
  <c r="D182" i="14"/>
  <c r="F182" i="14" s="1"/>
  <c r="L183" i="14"/>
  <c r="E181" i="14"/>
  <c r="B183" i="14"/>
  <c r="G183" i="14"/>
  <c r="M183" i="14"/>
  <c r="T244" i="12" l="1"/>
  <c r="Q244" i="12" s="1"/>
  <c r="D110" i="12"/>
  <c r="D101" i="11"/>
  <c r="F101" i="11" s="1"/>
  <c r="E101" i="11" s="1"/>
  <c r="E109" i="12"/>
  <c r="Q133" i="11"/>
  <c r="T134" i="11"/>
  <c r="R134" i="11" s="1"/>
  <c r="B102" i="11"/>
  <c r="C102" i="11"/>
  <c r="G102" i="11" s="1"/>
  <c r="L102" i="11"/>
  <c r="M102" i="11"/>
  <c r="Q223" i="15"/>
  <c r="T224" i="15" s="1"/>
  <c r="Q224" i="15" s="1"/>
  <c r="G189" i="15"/>
  <c r="D189" i="15"/>
  <c r="M190" i="15"/>
  <c r="B190" i="15"/>
  <c r="C190" i="15"/>
  <c r="G190" i="15" s="1"/>
  <c r="L190" i="15"/>
  <c r="R235" i="14"/>
  <c r="D183" i="14"/>
  <c r="F183" i="14" s="1"/>
  <c r="E182" i="14"/>
  <c r="O184" i="14"/>
  <c r="J184" i="14" s="1"/>
  <c r="C184" i="14" s="1"/>
  <c r="T236" i="14"/>
  <c r="R244" i="12" l="1"/>
  <c r="J111" i="12"/>
  <c r="C111" i="12" s="1"/>
  <c r="M111" i="12"/>
  <c r="L111" i="12"/>
  <c r="O112" i="12" s="1"/>
  <c r="F110" i="12"/>
  <c r="D102" i="11"/>
  <c r="F102" i="11" s="1"/>
  <c r="Q134" i="11"/>
  <c r="T135" i="11"/>
  <c r="R135" i="11" s="1"/>
  <c r="O103" i="11"/>
  <c r="J103" i="11" s="1"/>
  <c r="O191" i="15"/>
  <c r="J191" i="15" s="1"/>
  <c r="D190" i="15"/>
  <c r="F189" i="15"/>
  <c r="R224" i="15"/>
  <c r="T225" i="15" s="1"/>
  <c r="Q225" i="15" s="1"/>
  <c r="R236" i="14"/>
  <c r="M184" i="14"/>
  <c r="Q236" i="14"/>
  <c r="B184" i="14"/>
  <c r="L184" i="14"/>
  <c r="E183" i="14"/>
  <c r="B111" i="12" l="1"/>
  <c r="T245" i="12"/>
  <c r="Q245" i="12" s="1"/>
  <c r="E110" i="12"/>
  <c r="J112" i="12"/>
  <c r="C112" i="12" s="1"/>
  <c r="G111" i="12"/>
  <c r="T237" i="14"/>
  <c r="Q237" i="14" s="1"/>
  <c r="Q135" i="11"/>
  <c r="T136" i="11"/>
  <c r="R136" i="11" s="1"/>
  <c r="B103" i="11"/>
  <c r="C103" i="11"/>
  <c r="L103" i="11"/>
  <c r="M103" i="11"/>
  <c r="E102" i="11"/>
  <c r="R225" i="15"/>
  <c r="T226" i="15" s="1"/>
  <c r="Q226" i="15" s="1"/>
  <c r="E189" i="15"/>
  <c r="F190" i="15"/>
  <c r="C191" i="15"/>
  <c r="G191" i="15" s="1"/>
  <c r="B191" i="15"/>
  <c r="L191" i="15"/>
  <c r="M191" i="15"/>
  <c r="O185" i="14"/>
  <c r="G184" i="14"/>
  <c r="D184" i="14"/>
  <c r="B112" i="12" l="1"/>
  <c r="R245" i="12"/>
  <c r="D111" i="12"/>
  <c r="M112" i="12"/>
  <c r="G112" i="12"/>
  <c r="L112" i="12"/>
  <c r="O113" i="12" s="1"/>
  <c r="R237" i="14"/>
  <c r="O104" i="11"/>
  <c r="J104" i="11" s="1"/>
  <c r="G103" i="11"/>
  <c r="D103" i="11"/>
  <c r="Q136" i="11"/>
  <c r="R226" i="15"/>
  <c r="T227" i="15" s="1"/>
  <c r="Q227" i="15" s="1"/>
  <c r="D191" i="15"/>
  <c r="F191" i="15" s="1"/>
  <c r="E190" i="15"/>
  <c r="O192" i="15"/>
  <c r="J192" i="15" s="1"/>
  <c r="F184" i="14"/>
  <c r="J185" i="14"/>
  <c r="C185" i="14" s="1"/>
  <c r="M185" i="14"/>
  <c r="L185" i="14"/>
  <c r="T238" i="14"/>
  <c r="T246" i="12" l="1"/>
  <c r="Q246" i="12" s="1"/>
  <c r="D112" i="12"/>
  <c r="J113" i="12"/>
  <c r="C113" i="12" s="1"/>
  <c r="F111" i="12"/>
  <c r="R238" i="14"/>
  <c r="T137" i="11"/>
  <c r="R137" i="11" s="1"/>
  <c r="F103" i="11"/>
  <c r="C104" i="11"/>
  <c r="G104" i="11" s="1"/>
  <c r="B104" i="11"/>
  <c r="L104" i="11"/>
  <c r="M104" i="11"/>
  <c r="L192" i="15"/>
  <c r="O193" i="15" s="1"/>
  <c r="J193" i="15" s="1"/>
  <c r="M192" i="15"/>
  <c r="E191" i="15"/>
  <c r="R227" i="15"/>
  <c r="T228" i="15" s="1"/>
  <c r="Q228" i="15" s="1"/>
  <c r="C192" i="15"/>
  <c r="G192" i="15" s="1"/>
  <c r="B192" i="15"/>
  <c r="Q238" i="14"/>
  <c r="O186" i="14"/>
  <c r="J186" i="14" s="1"/>
  <c r="C186" i="14" s="1"/>
  <c r="B185" i="14"/>
  <c r="E184" i="14"/>
  <c r="B113" i="12" l="1"/>
  <c r="R246" i="12"/>
  <c r="F112" i="12"/>
  <c r="E111" i="12"/>
  <c r="M113" i="12"/>
  <c r="G113" i="12"/>
  <c r="L113" i="12"/>
  <c r="O105" i="11"/>
  <c r="J105" i="11" s="1"/>
  <c r="E103" i="11"/>
  <c r="D104" i="11"/>
  <c r="Q137" i="11"/>
  <c r="R228" i="15"/>
  <c r="L193" i="15"/>
  <c r="M193" i="15"/>
  <c r="D192" i="15"/>
  <c r="F192" i="15" s="1"/>
  <c r="T229" i="15"/>
  <c r="Q229" i="15" s="1"/>
  <c r="C193" i="15"/>
  <c r="G193" i="15" s="1"/>
  <c r="B193" i="15"/>
  <c r="M186" i="14"/>
  <c r="B186" i="14"/>
  <c r="G186" i="14"/>
  <c r="L186" i="14"/>
  <c r="G185" i="14"/>
  <c r="D185" i="14"/>
  <c r="T239" i="14"/>
  <c r="R239" i="14" s="1"/>
  <c r="T247" i="12" l="1"/>
  <c r="Q247" i="12" s="1"/>
  <c r="O114" i="12"/>
  <c r="J114" i="12" s="1"/>
  <c r="C114" i="12" s="1"/>
  <c r="D113" i="12"/>
  <c r="F113" i="12" s="1"/>
  <c r="E112" i="12"/>
  <c r="O194" i="15"/>
  <c r="J194" i="15" s="1"/>
  <c r="B194" i="15" s="1"/>
  <c r="L105" i="11"/>
  <c r="O106" i="11" s="1"/>
  <c r="J106" i="11" s="1"/>
  <c r="T138" i="11"/>
  <c r="R138" i="11" s="1"/>
  <c r="F104" i="11"/>
  <c r="C105" i="11"/>
  <c r="G105" i="11" s="1"/>
  <c r="B105" i="11"/>
  <c r="M105" i="11"/>
  <c r="D193" i="15"/>
  <c r="F193" i="15" s="1"/>
  <c r="E192" i="15"/>
  <c r="R229" i="15"/>
  <c r="T230" i="15" s="1"/>
  <c r="Q230" i="15" s="1"/>
  <c r="Q239" i="14"/>
  <c r="O187" i="14"/>
  <c r="D186" i="14"/>
  <c r="F185" i="14"/>
  <c r="L114" i="12" l="1"/>
  <c r="B114" i="12"/>
  <c r="R247" i="12"/>
  <c r="E113" i="12"/>
  <c r="M114" i="12"/>
  <c r="O115" i="12" s="1"/>
  <c r="G114" i="12"/>
  <c r="M194" i="15"/>
  <c r="O195" i="15" s="1"/>
  <c r="L194" i="15"/>
  <c r="C194" i="15"/>
  <c r="G194" i="15" s="1"/>
  <c r="C106" i="11"/>
  <c r="G106" i="11" s="1"/>
  <c r="B106" i="11"/>
  <c r="L106" i="11"/>
  <c r="E104" i="11"/>
  <c r="Q138" i="11"/>
  <c r="M106" i="11"/>
  <c r="D105" i="11"/>
  <c r="R230" i="15"/>
  <c r="T231" i="15" s="1"/>
  <c r="Q231" i="15" s="1"/>
  <c r="E193" i="15"/>
  <c r="J187" i="14"/>
  <c r="C187" i="14" s="1"/>
  <c r="M187" i="14"/>
  <c r="F186" i="14"/>
  <c r="E185" i="14"/>
  <c r="L187" i="14"/>
  <c r="T240" i="14"/>
  <c r="R240" i="14" s="1"/>
  <c r="T248" i="12" l="1"/>
  <c r="Q248" i="12" s="1"/>
  <c r="D114" i="12"/>
  <c r="D194" i="15"/>
  <c r="F194" i="15" s="1"/>
  <c r="E194" i="15" s="1"/>
  <c r="D106" i="11"/>
  <c r="F105" i="11"/>
  <c r="T139" i="11"/>
  <c r="R139" i="11" s="1"/>
  <c r="O107" i="11"/>
  <c r="J107" i="11" s="1"/>
  <c r="R231" i="15"/>
  <c r="T232" i="15"/>
  <c r="Q232" i="15" s="1"/>
  <c r="J195" i="15"/>
  <c r="M195" i="15"/>
  <c r="L195" i="15"/>
  <c r="Q240" i="14"/>
  <c r="O188" i="14"/>
  <c r="J188" i="14" s="1"/>
  <c r="C188" i="14" s="1"/>
  <c r="E186" i="14"/>
  <c r="B187" i="14"/>
  <c r="R248" i="12" l="1"/>
  <c r="F114" i="12"/>
  <c r="J115" i="12"/>
  <c r="C115" i="12" s="1"/>
  <c r="L115" i="12"/>
  <c r="M115" i="12"/>
  <c r="O116" i="12" s="1"/>
  <c r="F106" i="11"/>
  <c r="E106" i="11" s="1"/>
  <c r="E105" i="11"/>
  <c r="L107" i="11"/>
  <c r="C107" i="11"/>
  <c r="B107" i="11"/>
  <c r="M107" i="11"/>
  <c r="Q139" i="11"/>
  <c r="T233" i="15"/>
  <c r="Q233" i="15" s="1"/>
  <c r="O196" i="15"/>
  <c r="J196" i="15" s="1"/>
  <c r="C195" i="15"/>
  <c r="B195" i="15"/>
  <c r="R232" i="15"/>
  <c r="M188" i="14"/>
  <c r="B188" i="14"/>
  <c r="G188" i="14"/>
  <c r="L188" i="14"/>
  <c r="G187" i="14"/>
  <c r="D187" i="14"/>
  <c r="T241" i="14"/>
  <c r="R241" i="14" s="1"/>
  <c r="B115" i="12" l="1"/>
  <c r="T249" i="12"/>
  <c r="Q249" i="12" s="1"/>
  <c r="J116" i="12"/>
  <c r="C116" i="12" s="1"/>
  <c r="G115" i="12"/>
  <c r="E114" i="12"/>
  <c r="O108" i="11"/>
  <c r="J108" i="11" s="1"/>
  <c r="T140" i="11"/>
  <c r="R140" i="11" s="1"/>
  <c r="G107" i="11"/>
  <c r="D107" i="11"/>
  <c r="R233" i="15"/>
  <c r="G195" i="15"/>
  <c r="D195" i="15"/>
  <c r="M196" i="15"/>
  <c r="B196" i="15"/>
  <c r="C196" i="15"/>
  <c r="G196" i="15" s="1"/>
  <c r="L196" i="15"/>
  <c r="T234" i="15"/>
  <c r="Q234" i="15" s="1"/>
  <c r="Q241" i="14"/>
  <c r="D188" i="14"/>
  <c r="F187" i="14"/>
  <c r="O189" i="14"/>
  <c r="B116" i="12" l="1"/>
  <c r="R249" i="12"/>
  <c r="D115" i="12"/>
  <c r="L116" i="12"/>
  <c r="O117" i="12" s="1"/>
  <c r="G116" i="12"/>
  <c r="M116" i="12"/>
  <c r="L108" i="11"/>
  <c r="F107" i="11"/>
  <c r="Q140" i="11"/>
  <c r="C108" i="11"/>
  <c r="G108" i="11" s="1"/>
  <c r="B108" i="11"/>
  <c r="M108" i="11"/>
  <c r="T235" i="15"/>
  <c r="Q235" i="15" s="1"/>
  <c r="O197" i="15"/>
  <c r="J197" i="15" s="1"/>
  <c r="R234" i="15"/>
  <c r="D196" i="15"/>
  <c r="F195" i="15"/>
  <c r="J189" i="14"/>
  <c r="C189" i="14" s="1"/>
  <c r="M189" i="14"/>
  <c r="L189" i="14"/>
  <c r="F188" i="14"/>
  <c r="E187" i="14"/>
  <c r="T242" i="14"/>
  <c r="R242" i="14" s="1"/>
  <c r="T250" i="12" l="1"/>
  <c r="Q250" i="12" s="1"/>
  <c r="D116" i="12"/>
  <c r="J117" i="12"/>
  <c r="C117" i="12" s="1"/>
  <c r="F115" i="12"/>
  <c r="T141" i="11"/>
  <c r="R141" i="11" s="1"/>
  <c r="O109" i="11"/>
  <c r="E107" i="11"/>
  <c r="D108" i="11"/>
  <c r="M197" i="15"/>
  <c r="R235" i="15"/>
  <c r="T236" i="15" s="1"/>
  <c r="F196" i="15"/>
  <c r="E195" i="15"/>
  <c r="B197" i="15"/>
  <c r="C197" i="15"/>
  <c r="G197" i="15" s="1"/>
  <c r="L197" i="15"/>
  <c r="Q242" i="14"/>
  <c r="E188" i="14"/>
  <c r="O190" i="14"/>
  <c r="J190" i="14" s="1"/>
  <c r="C190" i="14" s="1"/>
  <c r="B189" i="14"/>
  <c r="B117" i="12" l="1"/>
  <c r="R250" i="12"/>
  <c r="E115" i="12"/>
  <c r="F116" i="12"/>
  <c r="G117" i="12"/>
  <c r="L117" i="12"/>
  <c r="O118" i="12" s="1"/>
  <c r="M117" i="12"/>
  <c r="R236" i="15"/>
  <c r="F108" i="11"/>
  <c r="J109" i="11"/>
  <c r="L109" i="11"/>
  <c r="M109" i="11"/>
  <c r="Q141" i="11"/>
  <c r="Q236" i="15"/>
  <c r="T237" i="15" s="1"/>
  <c r="E196" i="15"/>
  <c r="O198" i="15"/>
  <c r="D197" i="15"/>
  <c r="M190" i="14"/>
  <c r="B190" i="14"/>
  <c r="G190" i="14"/>
  <c r="L190" i="14"/>
  <c r="G189" i="14"/>
  <c r="D189" i="14"/>
  <c r="T243" i="14"/>
  <c r="R243" i="14" s="1"/>
  <c r="T251" i="12" l="1"/>
  <c r="Q251" i="12" s="1"/>
  <c r="D117" i="12"/>
  <c r="F117" i="12" s="1"/>
  <c r="J118" i="12"/>
  <c r="C118" i="12" s="1"/>
  <c r="E116" i="12"/>
  <c r="R237" i="15"/>
  <c r="T142" i="11"/>
  <c r="R142" i="11" s="1"/>
  <c r="O110" i="11"/>
  <c r="J110" i="11" s="1"/>
  <c r="C109" i="11"/>
  <c r="B109" i="11"/>
  <c r="E108" i="11"/>
  <c r="J198" i="15"/>
  <c r="M198" i="15"/>
  <c r="L198" i="15"/>
  <c r="F197" i="15"/>
  <c r="Q237" i="15"/>
  <c r="D190" i="14"/>
  <c r="F189" i="14"/>
  <c r="Q243" i="14"/>
  <c r="O191" i="14"/>
  <c r="B118" i="12" l="1"/>
  <c r="R251" i="12"/>
  <c r="E117" i="12"/>
  <c r="G118" i="12"/>
  <c r="L118" i="12"/>
  <c r="O119" i="12" s="1"/>
  <c r="M118" i="12"/>
  <c r="L110" i="11"/>
  <c r="G109" i="11"/>
  <c r="D109" i="11"/>
  <c r="C110" i="11"/>
  <c r="G110" i="11" s="1"/>
  <c r="B110" i="11"/>
  <c r="M110" i="11"/>
  <c r="Q142" i="11"/>
  <c r="T238" i="15"/>
  <c r="R238" i="15" s="1"/>
  <c r="E197" i="15"/>
  <c r="O199" i="15"/>
  <c r="J199" i="15" s="1"/>
  <c r="B198" i="15"/>
  <c r="C198" i="15"/>
  <c r="J191" i="14"/>
  <c r="C191" i="14" s="1"/>
  <c r="M191" i="14"/>
  <c r="L191" i="14"/>
  <c r="T244" i="14"/>
  <c r="R244" i="14" s="1"/>
  <c r="F190" i="14"/>
  <c r="E189" i="14"/>
  <c r="T252" i="12" l="1"/>
  <c r="Q252" i="12" s="1"/>
  <c r="D118" i="12"/>
  <c r="F118" i="12" s="1"/>
  <c r="J119" i="12"/>
  <c r="C119" i="12" s="1"/>
  <c r="T143" i="11"/>
  <c r="R143" i="11" s="1"/>
  <c r="D110" i="11"/>
  <c r="F109" i="11"/>
  <c r="O111" i="11"/>
  <c r="M111" i="11" s="1"/>
  <c r="Q238" i="15"/>
  <c r="T239" i="15" s="1"/>
  <c r="R239" i="15" s="1"/>
  <c r="M199" i="15"/>
  <c r="C199" i="15"/>
  <c r="G199" i="15" s="1"/>
  <c r="B199" i="15"/>
  <c r="L199" i="15"/>
  <c r="G198" i="15"/>
  <c r="D198" i="15"/>
  <c r="E190" i="14"/>
  <c r="Q244" i="14"/>
  <c r="O192" i="14"/>
  <c r="J192" i="14" s="1"/>
  <c r="C192" i="14" s="1"/>
  <c r="B191" i="14"/>
  <c r="B119" i="12" l="1"/>
  <c r="R252" i="12"/>
  <c r="E118" i="12"/>
  <c r="M119" i="12"/>
  <c r="G119" i="12"/>
  <c r="L119" i="12"/>
  <c r="O120" i="12" s="1"/>
  <c r="F110" i="11"/>
  <c r="E109" i="11"/>
  <c r="J111" i="11"/>
  <c r="L111" i="11"/>
  <c r="O112" i="11" s="1"/>
  <c r="J112" i="11" s="1"/>
  <c r="Q143" i="11"/>
  <c r="Q239" i="15"/>
  <c r="T240" i="15" s="1"/>
  <c r="R240" i="15" s="1"/>
  <c r="D199" i="15"/>
  <c r="F198" i="15"/>
  <c r="O200" i="15"/>
  <c r="J200" i="15" s="1"/>
  <c r="M192" i="14"/>
  <c r="B192" i="14"/>
  <c r="G192" i="14"/>
  <c r="L192" i="14"/>
  <c r="T245" i="14"/>
  <c r="R245" i="14" s="1"/>
  <c r="G191" i="14"/>
  <c r="D191" i="14"/>
  <c r="T253" i="12" l="1"/>
  <c r="Q253" i="12" s="1"/>
  <c r="D119" i="12"/>
  <c r="J120" i="12"/>
  <c r="C120" i="12" s="1"/>
  <c r="M120" i="12"/>
  <c r="L112" i="11"/>
  <c r="O113" i="11" s="1"/>
  <c r="J113" i="11" s="1"/>
  <c r="C111" i="11"/>
  <c r="B111" i="11"/>
  <c r="E110" i="11"/>
  <c r="C112" i="11"/>
  <c r="G112" i="11" s="1"/>
  <c r="B112" i="11"/>
  <c r="T144" i="11"/>
  <c r="R144" i="11" s="1"/>
  <c r="M112" i="11"/>
  <c r="M200" i="15"/>
  <c r="C200" i="15"/>
  <c r="G200" i="15" s="1"/>
  <c r="B200" i="15"/>
  <c r="L200" i="15"/>
  <c r="F199" i="15"/>
  <c r="E198" i="15"/>
  <c r="Q240" i="15"/>
  <c r="D192" i="14"/>
  <c r="F191" i="14"/>
  <c r="Q245" i="14"/>
  <c r="O193" i="14"/>
  <c r="B120" i="12" l="1"/>
  <c r="G120" i="12"/>
  <c r="R253" i="12"/>
  <c r="F119" i="12"/>
  <c r="L120" i="12"/>
  <c r="O121" i="12" s="1"/>
  <c r="L113" i="11"/>
  <c r="O114" i="11" s="1"/>
  <c r="J114" i="11" s="1"/>
  <c r="M113" i="11"/>
  <c r="C113" i="11"/>
  <c r="G113" i="11" s="1"/>
  <c r="B113" i="11"/>
  <c r="Q144" i="11"/>
  <c r="G111" i="11"/>
  <c r="D111" i="11"/>
  <c r="D200" i="15"/>
  <c r="F200" i="15" s="1"/>
  <c r="E199" i="15"/>
  <c r="O201" i="15"/>
  <c r="T241" i="15"/>
  <c r="R241" i="15" s="1"/>
  <c r="J193" i="14"/>
  <c r="C193" i="14" s="1"/>
  <c r="M193" i="14"/>
  <c r="L193" i="14"/>
  <c r="T246" i="14"/>
  <c r="R246" i="14" s="1"/>
  <c r="F192" i="14"/>
  <c r="E191" i="14"/>
  <c r="T254" i="12" l="1"/>
  <c r="Q254" i="12" s="1"/>
  <c r="D120" i="12"/>
  <c r="F120" i="12" s="1"/>
  <c r="E119" i="12"/>
  <c r="M114" i="11"/>
  <c r="L114" i="11"/>
  <c r="O115" i="11" s="1"/>
  <c r="J115" i="11" s="1"/>
  <c r="T145" i="11"/>
  <c r="R145" i="11" s="1"/>
  <c r="D112" i="11"/>
  <c r="D113" i="11" s="1"/>
  <c r="F111" i="11"/>
  <c r="C114" i="11"/>
  <c r="G114" i="11" s="1"/>
  <c r="B114" i="11"/>
  <c r="Q241" i="15"/>
  <c r="J201" i="15"/>
  <c r="M201" i="15"/>
  <c r="L201" i="15"/>
  <c r="E200" i="15"/>
  <c r="E192" i="14"/>
  <c r="Q246" i="14"/>
  <c r="O194" i="14"/>
  <c r="J194" i="14" s="1"/>
  <c r="C194" i="14" s="1"/>
  <c r="B193" i="14"/>
  <c r="R254" i="12" l="1"/>
  <c r="E120" i="12"/>
  <c r="J121" i="12"/>
  <c r="C121" i="12" s="1"/>
  <c r="M121" i="12"/>
  <c r="L121" i="12"/>
  <c r="O122" i="12" s="1"/>
  <c r="L115" i="11"/>
  <c r="F112" i="11"/>
  <c r="E111" i="11"/>
  <c r="D114" i="11"/>
  <c r="C115" i="11"/>
  <c r="G115" i="11" s="1"/>
  <c r="B115" i="11"/>
  <c r="M115" i="11"/>
  <c r="Q145" i="11"/>
  <c r="T146" i="11" s="1"/>
  <c r="R146" i="11" s="1"/>
  <c r="O202" i="15"/>
  <c r="J202" i="15" s="1"/>
  <c r="C201" i="15"/>
  <c r="B201" i="15"/>
  <c r="T242" i="15"/>
  <c r="R242" i="15" s="1"/>
  <c r="M194" i="14"/>
  <c r="B194" i="14"/>
  <c r="G194" i="14"/>
  <c r="G193" i="14"/>
  <c r="D193" i="14"/>
  <c r="L194" i="14"/>
  <c r="T247" i="14"/>
  <c r="R247" i="14" s="1"/>
  <c r="B121" i="12" l="1"/>
  <c r="T255" i="12"/>
  <c r="Q255" i="12" s="1"/>
  <c r="J122" i="12"/>
  <c r="C122" i="12" s="1"/>
  <c r="G121" i="12"/>
  <c r="Q146" i="11"/>
  <c r="T147" i="11" s="1"/>
  <c r="R147" i="11" s="1"/>
  <c r="O116" i="11"/>
  <c r="D115" i="11"/>
  <c r="E112" i="11"/>
  <c r="F113" i="11"/>
  <c r="M202" i="15"/>
  <c r="Q242" i="15"/>
  <c r="G201" i="15"/>
  <c r="D201" i="15"/>
  <c r="C202" i="15"/>
  <c r="G202" i="15" s="1"/>
  <c r="B202" i="15"/>
  <c r="L202" i="15"/>
  <c r="Q247" i="14"/>
  <c r="O195" i="14"/>
  <c r="J195" i="14" s="1"/>
  <c r="C195" i="14" s="1"/>
  <c r="D194" i="14"/>
  <c r="F193" i="14"/>
  <c r="B122" i="12" l="1"/>
  <c r="T256" i="12"/>
  <c r="Q256" i="12" s="1"/>
  <c r="R255" i="12"/>
  <c r="D121" i="12"/>
  <c r="M122" i="12"/>
  <c r="G122" i="12"/>
  <c r="L122" i="12"/>
  <c r="O123" i="12" s="1"/>
  <c r="Q147" i="11"/>
  <c r="T148" i="11" s="1"/>
  <c r="R148" i="11" s="1"/>
  <c r="E113" i="11"/>
  <c r="F114" i="11"/>
  <c r="J116" i="11"/>
  <c r="L116" i="11"/>
  <c r="M116" i="11"/>
  <c r="D202" i="15"/>
  <c r="F201" i="15"/>
  <c r="T243" i="15"/>
  <c r="R243" i="15" s="1"/>
  <c r="O203" i="15"/>
  <c r="M195" i="14"/>
  <c r="E193" i="14"/>
  <c r="F194" i="14"/>
  <c r="B195" i="14"/>
  <c r="G195" i="14"/>
  <c r="L195" i="14"/>
  <c r="T248" i="14"/>
  <c r="R248" i="14" s="1"/>
  <c r="T257" i="12" l="1"/>
  <c r="Q257" i="12" s="1"/>
  <c r="R256" i="12"/>
  <c r="D122" i="12"/>
  <c r="J123" i="12"/>
  <c r="C123" i="12" s="1"/>
  <c r="F121" i="12"/>
  <c r="Q148" i="11"/>
  <c r="T149" i="11" s="1"/>
  <c r="R149" i="11" s="1"/>
  <c r="O117" i="11"/>
  <c r="J117" i="11" s="1"/>
  <c r="C116" i="11"/>
  <c r="B116" i="11"/>
  <c r="E114" i="11"/>
  <c r="F115" i="11"/>
  <c r="J203" i="15"/>
  <c r="M203" i="15"/>
  <c r="L203" i="15"/>
  <c r="Q243" i="15"/>
  <c r="F202" i="15"/>
  <c r="E201" i="15"/>
  <c r="Q248" i="14"/>
  <c r="T249" i="14" s="1"/>
  <c r="Q249" i="14" s="1"/>
  <c r="D195" i="14"/>
  <c r="F195" i="14" s="1"/>
  <c r="E194" i="14"/>
  <c r="O196" i="14"/>
  <c r="L196" i="14" s="1"/>
  <c r="B123" i="12" l="1"/>
  <c r="R257" i="12"/>
  <c r="T258" i="12"/>
  <c r="Q258" i="12" s="1"/>
  <c r="E121" i="12"/>
  <c r="F122" i="12"/>
  <c r="M123" i="12"/>
  <c r="G123" i="12"/>
  <c r="L123" i="12"/>
  <c r="O124" i="12" s="1"/>
  <c r="Q149" i="11"/>
  <c r="T150" i="11" s="1"/>
  <c r="R150" i="11" s="1"/>
  <c r="G116" i="11"/>
  <c r="D116" i="11"/>
  <c r="L117" i="11"/>
  <c r="C117" i="11"/>
  <c r="G117" i="11" s="1"/>
  <c r="B117" i="11"/>
  <c r="M117" i="11"/>
  <c r="E115" i="11"/>
  <c r="E202" i="15"/>
  <c r="T244" i="15"/>
  <c r="R244" i="15" s="1"/>
  <c r="O204" i="15"/>
  <c r="J204" i="15" s="1"/>
  <c r="C203" i="15"/>
  <c r="B203" i="15"/>
  <c r="R249" i="14"/>
  <c r="T250" i="14" s="1"/>
  <c r="Q250" i="14" s="1"/>
  <c r="E195" i="14"/>
  <c r="J196" i="14"/>
  <c r="C196" i="14" s="1"/>
  <c r="M196" i="14"/>
  <c r="O197" i="14" s="1"/>
  <c r="J197" i="14" s="1"/>
  <c r="C197" i="14" s="1"/>
  <c r="R258" i="12" l="1"/>
  <c r="T259" i="12"/>
  <c r="Q259" i="12" s="1"/>
  <c r="D123" i="12"/>
  <c r="F123" i="12" s="1"/>
  <c r="J124" i="12"/>
  <c r="C124" i="12" s="1"/>
  <c r="E122" i="12"/>
  <c r="Q150" i="11"/>
  <c r="T151" i="11"/>
  <c r="R151" i="11" s="1"/>
  <c r="D117" i="11"/>
  <c r="O118" i="11"/>
  <c r="J118" i="11" s="1"/>
  <c r="F116" i="11"/>
  <c r="Q244" i="15"/>
  <c r="T245" i="15" s="1"/>
  <c r="R245" i="15" s="1"/>
  <c r="M204" i="15"/>
  <c r="G203" i="15"/>
  <c r="D203" i="15"/>
  <c r="C204" i="15"/>
  <c r="G204" i="15" s="1"/>
  <c r="B204" i="15"/>
  <c r="L204" i="15"/>
  <c r="R250" i="14"/>
  <c r="T251" i="14" s="1"/>
  <c r="Q251" i="14" s="1"/>
  <c r="G197" i="14"/>
  <c r="B197" i="14"/>
  <c r="B196" i="14"/>
  <c r="M197" i="14"/>
  <c r="L197" i="14"/>
  <c r="B124" i="12" l="1"/>
  <c r="R259" i="12"/>
  <c r="T260" i="12"/>
  <c r="Q260" i="12" s="1"/>
  <c r="M124" i="12"/>
  <c r="E123" i="12"/>
  <c r="G124" i="12"/>
  <c r="L124" i="12"/>
  <c r="O125" i="12" s="1"/>
  <c r="Q151" i="11"/>
  <c r="M118" i="11"/>
  <c r="L118" i="11"/>
  <c r="T152" i="11"/>
  <c r="R152" i="11" s="1"/>
  <c r="E116" i="11"/>
  <c r="F117" i="11"/>
  <c r="C118" i="11"/>
  <c r="G118" i="11" s="1"/>
  <c r="B118" i="11"/>
  <c r="Q245" i="15"/>
  <c r="T246" i="15" s="1"/>
  <c r="R246" i="15" s="1"/>
  <c r="O205" i="15"/>
  <c r="D204" i="15"/>
  <c r="F203" i="15"/>
  <c r="T252" i="14"/>
  <c r="Q252" i="14" s="1"/>
  <c r="G196" i="14"/>
  <c r="D196" i="14"/>
  <c r="R251" i="14"/>
  <c r="O198" i="14"/>
  <c r="J198" i="14" s="1"/>
  <c r="C198" i="14" s="1"/>
  <c r="R260" i="12" l="1"/>
  <c r="T261" i="12"/>
  <c r="Q261" i="12" s="1"/>
  <c r="O119" i="11"/>
  <c r="J119" i="11" s="1"/>
  <c r="C119" i="11" s="1"/>
  <c r="G119" i="11" s="1"/>
  <c r="D124" i="12"/>
  <c r="D118" i="11"/>
  <c r="F118" i="11" s="1"/>
  <c r="T153" i="11"/>
  <c r="R153" i="11" s="1"/>
  <c r="E117" i="11"/>
  <c r="Q152" i="11"/>
  <c r="F204" i="15"/>
  <c r="E203" i="15"/>
  <c r="Q246" i="15"/>
  <c r="J205" i="15"/>
  <c r="M205" i="15"/>
  <c r="L205" i="15"/>
  <c r="R252" i="14"/>
  <c r="T253" i="14" s="1"/>
  <c r="Q253" i="14" s="1"/>
  <c r="L198" i="14"/>
  <c r="B198" i="14"/>
  <c r="G198" i="14"/>
  <c r="M198" i="14"/>
  <c r="D197" i="14"/>
  <c r="D198" i="14" s="1"/>
  <c r="F196" i="14"/>
  <c r="L119" i="11" l="1"/>
  <c r="R261" i="12"/>
  <c r="B119" i="11"/>
  <c r="M119" i="11"/>
  <c r="T262" i="12"/>
  <c r="Q262" i="12" s="1"/>
  <c r="J125" i="12"/>
  <c r="C125" i="12" s="1"/>
  <c r="M125" i="12"/>
  <c r="L125" i="12"/>
  <c r="O126" i="12" s="1"/>
  <c r="F124" i="12"/>
  <c r="Q153" i="11"/>
  <c r="T154" i="11"/>
  <c r="R154" i="11" s="1"/>
  <c r="E118" i="11"/>
  <c r="O120" i="11"/>
  <c r="J120" i="11" s="1"/>
  <c r="D119" i="11"/>
  <c r="F119" i="11" s="1"/>
  <c r="C205" i="15"/>
  <c r="B205" i="15"/>
  <c r="T247" i="15"/>
  <c r="R247" i="15" s="1"/>
  <c r="O206" i="15"/>
  <c r="J206" i="15" s="1"/>
  <c r="E204" i="15"/>
  <c r="R253" i="14"/>
  <c r="T254" i="14" s="1"/>
  <c r="Q254" i="14" s="1"/>
  <c r="O199" i="14"/>
  <c r="J199" i="14" s="1"/>
  <c r="C199" i="14" s="1"/>
  <c r="E196" i="14"/>
  <c r="F197" i="14"/>
  <c r="B125" i="12" l="1"/>
  <c r="R262" i="12"/>
  <c r="T263" i="12"/>
  <c r="Q263" i="12" s="1"/>
  <c r="E124" i="12"/>
  <c r="J126" i="12"/>
  <c r="C126" i="12" s="1"/>
  <c r="G125" i="12"/>
  <c r="Q154" i="11"/>
  <c r="T155" i="11"/>
  <c r="R155" i="11" s="1"/>
  <c r="L120" i="11"/>
  <c r="E119" i="11"/>
  <c r="C120" i="11"/>
  <c r="G120" i="11" s="1"/>
  <c r="B120" i="11"/>
  <c r="M120" i="11"/>
  <c r="C206" i="15"/>
  <c r="G206" i="15" s="1"/>
  <c r="B206" i="15"/>
  <c r="L206" i="15"/>
  <c r="M206" i="15"/>
  <c r="Q247" i="15"/>
  <c r="G205" i="15"/>
  <c r="D205" i="15"/>
  <c r="R254" i="14"/>
  <c r="T255" i="14" s="1"/>
  <c r="Q255" i="14" s="1"/>
  <c r="B199" i="14"/>
  <c r="L199" i="14"/>
  <c r="M199" i="14"/>
  <c r="E197" i="14"/>
  <c r="F198" i="14"/>
  <c r="B126" i="12" l="1"/>
  <c r="T264" i="12"/>
  <c r="Q264" i="12" s="1"/>
  <c r="R263" i="12"/>
  <c r="D125" i="12"/>
  <c r="M126" i="12"/>
  <c r="G126" i="12"/>
  <c r="L126" i="12"/>
  <c r="O127" i="12" s="1"/>
  <c r="Q155" i="11"/>
  <c r="T156" i="11" s="1"/>
  <c r="R156" i="11" s="1"/>
  <c r="O121" i="11"/>
  <c r="J121" i="11" s="1"/>
  <c r="D120" i="11"/>
  <c r="T248" i="15"/>
  <c r="R248" i="15" s="1"/>
  <c r="O207" i="15"/>
  <c r="J207" i="15" s="1"/>
  <c r="D206" i="15"/>
  <c r="F205" i="15"/>
  <c r="R255" i="14"/>
  <c r="T256" i="14" s="1"/>
  <c r="Q256" i="14" s="1"/>
  <c r="O200" i="14"/>
  <c r="J200" i="14" s="1"/>
  <c r="C200" i="14" s="1"/>
  <c r="G199" i="14"/>
  <c r="D199" i="14"/>
  <c r="E198" i="14"/>
  <c r="R264" i="12" l="1"/>
  <c r="T265" i="12" s="1"/>
  <c r="Q265" i="12" s="1"/>
  <c r="D126" i="12"/>
  <c r="J127" i="12"/>
  <c r="C127" i="12" s="1"/>
  <c r="F125" i="12"/>
  <c r="M121" i="11"/>
  <c r="F120" i="11"/>
  <c r="C121" i="11"/>
  <c r="G121" i="11" s="1"/>
  <c r="B121" i="11"/>
  <c r="L121" i="11"/>
  <c r="Q156" i="11"/>
  <c r="F206" i="15"/>
  <c r="E205" i="15"/>
  <c r="C207" i="15"/>
  <c r="G207" i="15" s="1"/>
  <c r="B207" i="15"/>
  <c r="L207" i="15"/>
  <c r="M207" i="15"/>
  <c r="Q248" i="15"/>
  <c r="R256" i="14"/>
  <c r="T257" i="14" s="1"/>
  <c r="Q257" i="14" s="1"/>
  <c r="B200" i="14"/>
  <c r="G200" i="14"/>
  <c r="L200" i="14"/>
  <c r="M200" i="14"/>
  <c r="F199" i="14"/>
  <c r="B127" i="12" l="1"/>
  <c r="R265" i="12"/>
  <c r="T266" i="12" s="1"/>
  <c r="Q266" i="12" s="1"/>
  <c r="E125" i="12"/>
  <c r="F126" i="12"/>
  <c r="M127" i="12"/>
  <c r="G127" i="12"/>
  <c r="L127" i="12"/>
  <c r="O128" i="12" s="1"/>
  <c r="O122" i="11"/>
  <c r="T157" i="11"/>
  <c r="R157" i="11" s="1"/>
  <c r="E120" i="11"/>
  <c r="D121" i="11"/>
  <c r="F121" i="11" s="1"/>
  <c r="O208" i="15"/>
  <c r="J208" i="15" s="1"/>
  <c r="D207" i="15"/>
  <c r="F207" i="15" s="1"/>
  <c r="T249" i="15"/>
  <c r="R249" i="15" s="1"/>
  <c r="E206" i="15"/>
  <c r="R257" i="14"/>
  <c r="T258" i="14" s="1"/>
  <c r="Q258" i="14" s="1"/>
  <c r="D200" i="14"/>
  <c r="O201" i="14"/>
  <c r="J201" i="14" s="1"/>
  <c r="C201" i="14" s="1"/>
  <c r="E199" i="14"/>
  <c r="R266" i="12" l="1"/>
  <c r="T267" i="12"/>
  <c r="Q267" i="12" s="1"/>
  <c r="D127" i="12"/>
  <c r="F127" i="12" s="1"/>
  <c r="J128" i="12"/>
  <c r="C128" i="12" s="1"/>
  <c r="E126" i="12"/>
  <c r="E121" i="11"/>
  <c r="Q157" i="11"/>
  <c r="J122" i="11"/>
  <c r="M122" i="11"/>
  <c r="L122" i="11"/>
  <c r="Q249" i="15"/>
  <c r="T250" i="15" s="1"/>
  <c r="Q250" i="15" s="1"/>
  <c r="E207" i="15"/>
  <c r="L208" i="15"/>
  <c r="C208" i="15"/>
  <c r="G208" i="15" s="1"/>
  <c r="B208" i="15"/>
  <c r="M208" i="15"/>
  <c r="G201" i="14"/>
  <c r="B201" i="14"/>
  <c r="L201" i="14"/>
  <c r="M201" i="14"/>
  <c r="D201" i="14"/>
  <c r="R258" i="14"/>
  <c r="F200" i="14"/>
  <c r="B128" i="12" l="1"/>
  <c r="R267" i="12"/>
  <c r="T268" i="12"/>
  <c r="Q268" i="12" s="1"/>
  <c r="E127" i="12"/>
  <c r="M128" i="12"/>
  <c r="G128" i="12"/>
  <c r="L128" i="12"/>
  <c r="O123" i="11"/>
  <c r="J123" i="11" s="1"/>
  <c r="T158" i="11"/>
  <c r="R158" i="11" s="1"/>
  <c r="C122" i="11"/>
  <c r="B122" i="11"/>
  <c r="D208" i="15"/>
  <c r="R250" i="15"/>
  <c r="T251" i="15" s="1"/>
  <c r="Q251" i="15" s="1"/>
  <c r="O209" i="15"/>
  <c r="J209" i="15" s="1"/>
  <c r="T259" i="14"/>
  <c r="Q259" i="14" s="1"/>
  <c r="O202" i="14"/>
  <c r="J202" i="14" s="1"/>
  <c r="C202" i="14" s="1"/>
  <c r="E200" i="14"/>
  <c r="F201" i="14"/>
  <c r="R268" i="12" l="1"/>
  <c r="T269" i="12"/>
  <c r="Q269" i="12" s="1"/>
  <c r="O129" i="12"/>
  <c r="J129" i="12" s="1"/>
  <c r="C129" i="12" s="1"/>
  <c r="D128" i="12"/>
  <c r="M123" i="11"/>
  <c r="Q158" i="11"/>
  <c r="G122" i="11"/>
  <c r="D122" i="11"/>
  <c r="C123" i="11"/>
  <c r="G123" i="11" s="1"/>
  <c r="B123" i="11"/>
  <c r="L123" i="11"/>
  <c r="R251" i="15"/>
  <c r="T252" i="15"/>
  <c r="Q252" i="15" s="1"/>
  <c r="C209" i="15"/>
  <c r="G209" i="15" s="1"/>
  <c r="B209" i="15"/>
  <c r="M209" i="15"/>
  <c r="F208" i="15"/>
  <c r="L209" i="15"/>
  <c r="R259" i="14"/>
  <c r="B202" i="14"/>
  <c r="L202" i="14"/>
  <c r="M202" i="14"/>
  <c r="E201" i="14"/>
  <c r="B129" i="12" l="1"/>
  <c r="T270" i="12"/>
  <c r="Q270" i="12" s="1"/>
  <c r="R269" i="12"/>
  <c r="M129" i="12"/>
  <c r="F128" i="12"/>
  <c r="G129" i="12"/>
  <c r="L129" i="12"/>
  <c r="O124" i="11"/>
  <c r="D123" i="11"/>
  <c r="F122" i="11"/>
  <c r="T159" i="11"/>
  <c r="R159" i="11" s="1"/>
  <c r="R252" i="15"/>
  <c r="D209" i="15"/>
  <c r="F209" i="15" s="1"/>
  <c r="T253" i="15"/>
  <c r="Q253" i="15" s="1"/>
  <c r="E208" i="15"/>
  <c r="O210" i="15"/>
  <c r="J210" i="15" s="1"/>
  <c r="T260" i="14"/>
  <c r="Q260" i="14" s="1"/>
  <c r="O203" i="14"/>
  <c r="J203" i="14" s="1"/>
  <c r="C203" i="14" s="1"/>
  <c r="G202" i="14"/>
  <c r="D202" i="14"/>
  <c r="R270" i="12" l="1"/>
  <c r="T271" i="12"/>
  <c r="Q271" i="12" s="1"/>
  <c r="O130" i="12"/>
  <c r="D129" i="12"/>
  <c r="E128" i="12"/>
  <c r="Q159" i="11"/>
  <c r="E122" i="11"/>
  <c r="F123" i="11"/>
  <c r="J124" i="11"/>
  <c r="M124" i="11"/>
  <c r="L124" i="11"/>
  <c r="L210" i="15"/>
  <c r="M210" i="15"/>
  <c r="O211" i="15" s="1"/>
  <c r="J211" i="15" s="1"/>
  <c r="R253" i="15"/>
  <c r="T254" i="15" s="1"/>
  <c r="Q254" i="15" s="1"/>
  <c r="E209" i="15"/>
  <c r="C210" i="15"/>
  <c r="B210" i="15"/>
  <c r="R260" i="14"/>
  <c r="F202" i="14"/>
  <c r="G203" i="14"/>
  <c r="B203" i="14"/>
  <c r="L203" i="14"/>
  <c r="M203" i="14"/>
  <c r="R271" i="12" l="1"/>
  <c r="T272" i="12"/>
  <c r="Q272" i="12" s="1"/>
  <c r="J130" i="12"/>
  <c r="C130" i="12" s="1"/>
  <c r="M130" i="12"/>
  <c r="L130" i="12"/>
  <c r="O131" i="12" s="1"/>
  <c r="J131" i="12" s="1"/>
  <c r="C131" i="12" s="1"/>
  <c r="F129" i="12"/>
  <c r="O125" i="11"/>
  <c r="J125" i="11" s="1"/>
  <c r="C124" i="11"/>
  <c r="B124" i="11"/>
  <c r="E123" i="11"/>
  <c r="T160" i="11"/>
  <c r="R160" i="11" s="1"/>
  <c r="R254" i="15"/>
  <c r="T255" i="15" s="1"/>
  <c r="Q255" i="15" s="1"/>
  <c r="L211" i="15"/>
  <c r="C211" i="15"/>
  <c r="G211" i="15" s="1"/>
  <c r="B211" i="15"/>
  <c r="M211" i="15"/>
  <c r="G210" i="15"/>
  <c r="D210" i="15"/>
  <c r="T261" i="14"/>
  <c r="Q261" i="14" s="1"/>
  <c r="O204" i="14"/>
  <c r="J204" i="14" s="1"/>
  <c r="C204" i="14" s="1"/>
  <c r="E202" i="14"/>
  <c r="D203" i="14"/>
  <c r="B131" i="12" l="1"/>
  <c r="R272" i="12"/>
  <c r="G131" i="12"/>
  <c r="T273" i="12"/>
  <c r="Q273" i="12" s="1"/>
  <c r="L131" i="12"/>
  <c r="M131" i="12"/>
  <c r="O132" i="12" s="1"/>
  <c r="J132" i="12" s="1"/>
  <c r="C132" i="12" s="1"/>
  <c r="B130" i="12"/>
  <c r="G130" i="12"/>
  <c r="E129" i="12"/>
  <c r="Q160" i="11"/>
  <c r="T161" i="11" s="1"/>
  <c r="G124" i="11"/>
  <c r="D124" i="11"/>
  <c r="C125" i="11"/>
  <c r="G125" i="11" s="1"/>
  <c r="B125" i="11"/>
  <c r="M125" i="11"/>
  <c r="L125" i="11"/>
  <c r="O212" i="15"/>
  <c r="J212" i="15" s="1"/>
  <c r="R255" i="15"/>
  <c r="D211" i="15"/>
  <c r="F210" i="15"/>
  <c r="R261" i="14"/>
  <c r="M204" i="14"/>
  <c r="F203" i="14"/>
  <c r="B204" i="14"/>
  <c r="G204" i="14"/>
  <c r="L204" i="14"/>
  <c r="B132" i="12" l="1"/>
  <c r="R273" i="12"/>
  <c r="T274" i="12"/>
  <c r="Q274" i="12" s="1"/>
  <c r="D130" i="12"/>
  <c r="G132" i="12"/>
  <c r="M132" i="12"/>
  <c r="L132" i="12"/>
  <c r="Q161" i="11"/>
  <c r="R161" i="11"/>
  <c r="O126" i="11"/>
  <c r="J126" i="11" s="1"/>
  <c r="D125" i="11"/>
  <c r="F124" i="11"/>
  <c r="L212" i="15"/>
  <c r="F211" i="15"/>
  <c r="E210" i="15"/>
  <c r="T256" i="15"/>
  <c r="Q256" i="15" s="1"/>
  <c r="C212" i="15"/>
  <c r="G212" i="15" s="1"/>
  <c r="B212" i="15"/>
  <c r="M212" i="15"/>
  <c r="T262" i="14"/>
  <c r="Q262" i="14" s="1"/>
  <c r="E203" i="14"/>
  <c r="O205" i="14"/>
  <c r="J205" i="14" s="1"/>
  <c r="C205" i="14" s="1"/>
  <c r="D204" i="14"/>
  <c r="R274" i="12" l="1"/>
  <c r="O133" i="12"/>
  <c r="J133" i="12" s="1"/>
  <c r="C133" i="12" s="1"/>
  <c r="D131" i="12"/>
  <c r="D132" i="12" s="1"/>
  <c r="F130" i="12"/>
  <c r="T162" i="11"/>
  <c r="Q162" i="11" s="1"/>
  <c r="O213" i="15"/>
  <c r="J213" i="15" s="1"/>
  <c r="B213" i="15" s="1"/>
  <c r="L126" i="11"/>
  <c r="E124" i="11"/>
  <c r="F125" i="11"/>
  <c r="C126" i="11"/>
  <c r="G126" i="11" s="1"/>
  <c r="B126" i="11"/>
  <c r="M126" i="11"/>
  <c r="R256" i="15"/>
  <c r="D212" i="15"/>
  <c r="E211" i="15"/>
  <c r="R262" i="14"/>
  <c r="M205" i="14"/>
  <c r="G205" i="14"/>
  <c r="B205" i="14"/>
  <c r="L205" i="14"/>
  <c r="D205" i="14"/>
  <c r="F204" i="14"/>
  <c r="M133" i="12" l="1"/>
  <c r="O134" i="12" s="1"/>
  <c r="B133" i="12"/>
  <c r="G133" i="12"/>
  <c r="T275" i="12"/>
  <c r="Q275" i="12" s="1"/>
  <c r="E130" i="12"/>
  <c r="F131" i="12"/>
  <c r="C213" i="15"/>
  <c r="G213" i="15" s="1"/>
  <c r="J134" i="12"/>
  <c r="C134" i="12" s="1"/>
  <c r="L133" i="12"/>
  <c r="L134" i="12" s="1"/>
  <c r="L213" i="15"/>
  <c r="R162" i="11"/>
  <c r="T163" i="11" s="1"/>
  <c r="Q163" i="11" s="1"/>
  <c r="M213" i="15"/>
  <c r="O214" i="15" s="1"/>
  <c r="J214" i="15" s="1"/>
  <c r="D126" i="11"/>
  <c r="F126" i="11" s="1"/>
  <c r="E125" i="11"/>
  <c r="O127" i="11"/>
  <c r="F212" i="15"/>
  <c r="T257" i="15"/>
  <c r="Q257" i="15" s="1"/>
  <c r="T263" i="14"/>
  <c r="Q263" i="14" s="1"/>
  <c r="E204" i="14"/>
  <c r="F205" i="14"/>
  <c r="O206" i="14"/>
  <c r="D213" i="15" l="1"/>
  <c r="B134" i="12"/>
  <c r="G134" i="12"/>
  <c r="R275" i="12"/>
  <c r="F132" i="12"/>
  <c r="E132" i="12" s="1"/>
  <c r="E131" i="12"/>
  <c r="D133" i="12"/>
  <c r="R163" i="11"/>
  <c r="T164" i="11" s="1"/>
  <c r="Q164" i="11" s="1"/>
  <c r="M134" i="12"/>
  <c r="O135" i="12" s="1"/>
  <c r="E126" i="11"/>
  <c r="J127" i="11"/>
  <c r="L127" i="11"/>
  <c r="M127" i="11"/>
  <c r="F213" i="15"/>
  <c r="E213" i="15" s="1"/>
  <c r="E212" i="15"/>
  <c r="R257" i="15"/>
  <c r="C214" i="15"/>
  <c r="B214" i="15"/>
  <c r="L214" i="15"/>
  <c r="M214" i="15"/>
  <c r="R263" i="14"/>
  <c r="J206" i="14"/>
  <c r="C206" i="14" s="1"/>
  <c r="M206" i="14"/>
  <c r="L206" i="14"/>
  <c r="E205" i="14"/>
  <c r="T276" i="12" l="1"/>
  <c r="Q276" i="12" s="1"/>
  <c r="R164" i="11"/>
  <c r="T165" i="11" s="1"/>
  <c r="Q165" i="11" s="1"/>
  <c r="D134" i="12"/>
  <c r="F133" i="12"/>
  <c r="M135" i="12"/>
  <c r="O136" i="12" s="1"/>
  <c r="R165" i="11"/>
  <c r="T166" i="11" s="1"/>
  <c r="C127" i="11"/>
  <c r="B127" i="11"/>
  <c r="O128" i="11"/>
  <c r="J128" i="11" s="1"/>
  <c r="O215" i="15"/>
  <c r="J215" i="15" s="1"/>
  <c r="G214" i="15"/>
  <c r="D214" i="15"/>
  <c r="T258" i="15"/>
  <c r="Q258" i="15" s="1"/>
  <c r="T264" i="14"/>
  <c r="Q264" i="14" s="1"/>
  <c r="O207" i="14"/>
  <c r="J207" i="14" s="1"/>
  <c r="C207" i="14" s="1"/>
  <c r="B206" i="14"/>
  <c r="Q166" i="11" l="1"/>
  <c r="R276" i="12"/>
  <c r="J136" i="12"/>
  <c r="C136" i="12" s="1"/>
  <c r="M136" i="12"/>
  <c r="J135" i="12"/>
  <c r="C135" i="12" s="1"/>
  <c r="L135" i="12"/>
  <c r="L136" i="12" s="1"/>
  <c r="O137" i="12" s="1"/>
  <c r="E133" i="12"/>
  <c r="F134" i="12"/>
  <c r="R166" i="11"/>
  <c r="T167" i="11" s="1"/>
  <c r="Q167" i="11" s="1"/>
  <c r="M128" i="11"/>
  <c r="C128" i="11"/>
  <c r="G128" i="11" s="1"/>
  <c r="B128" i="11"/>
  <c r="L128" i="11"/>
  <c r="G127" i="11"/>
  <c r="D127" i="11"/>
  <c r="R258" i="15"/>
  <c r="F214" i="15"/>
  <c r="M215" i="15"/>
  <c r="C215" i="15"/>
  <c r="G215" i="15" s="1"/>
  <c r="B215" i="15"/>
  <c r="L215" i="15"/>
  <c r="R264" i="14"/>
  <c r="M207" i="14"/>
  <c r="B207" i="14"/>
  <c r="G207" i="14"/>
  <c r="L207" i="14"/>
  <c r="G206" i="14"/>
  <c r="D206" i="14"/>
  <c r="B135" i="12" l="1"/>
  <c r="B136" i="12"/>
  <c r="G136" i="12"/>
  <c r="T277" i="12"/>
  <c r="Q277" i="12" s="1"/>
  <c r="E134" i="12"/>
  <c r="J137" i="12"/>
  <c r="C137" i="12" s="1"/>
  <c r="G135" i="12"/>
  <c r="M137" i="12"/>
  <c r="O208" i="14"/>
  <c r="J208" i="14" s="1"/>
  <c r="C208" i="14" s="1"/>
  <c r="G208" i="14" s="1"/>
  <c r="R167" i="11"/>
  <c r="T168" i="11" s="1"/>
  <c r="Q168" i="11" s="1"/>
  <c r="O129" i="11"/>
  <c r="J129" i="11" s="1"/>
  <c r="D128" i="11"/>
  <c r="F127" i="11"/>
  <c r="E214" i="15"/>
  <c r="D215" i="15"/>
  <c r="O216" i="15"/>
  <c r="J216" i="15" s="1"/>
  <c r="T259" i="15"/>
  <c r="Q259" i="15" s="1"/>
  <c r="T265" i="14"/>
  <c r="Q265" i="14" s="1"/>
  <c r="T266" i="14" s="1"/>
  <c r="Q266" i="14" s="1"/>
  <c r="D207" i="14"/>
  <c r="F206" i="14"/>
  <c r="B137" i="12" l="1"/>
  <c r="R277" i="12"/>
  <c r="D135" i="12"/>
  <c r="D136" i="12" s="1"/>
  <c r="G137" i="12"/>
  <c r="L137" i="12"/>
  <c r="O138" i="12" s="1"/>
  <c r="B208" i="14"/>
  <c r="L208" i="14"/>
  <c r="O209" i="14" s="1"/>
  <c r="D208" i="14"/>
  <c r="M208" i="14"/>
  <c r="R168" i="11"/>
  <c r="T169" i="11" s="1"/>
  <c r="Q169" i="11" s="1"/>
  <c r="C129" i="11"/>
  <c r="G129" i="11" s="1"/>
  <c r="B129" i="11"/>
  <c r="E127" i="11"/>
  <c r="F128" i="11"/>
  <c r="M129" i="11"/>
  <c r="L129" i="11"/>
  <c r="R259" i="15"/>
  <c r="C216" i="15"/>
  <c r="G216" i="15" s="1"/>
  <c r="B216" i="15"/>
  <c r="L216" i="15"/>
  <c r="F215" i="15"/>
  <c r="M216" i="15"/>
  <c r="R265" i="14"/>
  <c r="R266" i="14" s="1"/>
  <c r="E206" i="14"/>
  <c r="F207" i="14"/>
  <c r="T278" i="12" l="1"/>
  <c r="Q278" i="12" s="1"/>
  <c r="D137" i="12"/>
  <c r="F135" i="12"/>
  <c r="R169" i="11"/>
  <c r="T170" i="11" s="1"/>
  <c r="Q170" i="11" s="1"/>
  <c r="O130" i="11"/>
  <c r="J130" i="11" s="1"/>
  <c r="E128" i="11"/>
  <c r="D129" i="11"/>
  <c r="F129" i="11" s="1"/>
  <c r="D216" i="15"/>
  <c r="F216" i="15" s="1"/>
  <c r="E215" i="15"/>
  <c r="O217" i="15"/>
  <c r="J217" i="15" s="1"/>
  <c r="T260" i="15"/>
  <c r="Q260" i="15" s="1"/>
  <c r="T267" i="14"/>
  <c r="Q267" i="14" s="1"/>
  <c r="J209" i="14"/>
  <c r="C209" i="14" s="1"/>
  <c r="L209" i="14"/>
  <c r="M209" i="14"/>
  <c r="E207" i="14"/>
  <c r="F208" i="14"/>
  <c r="R278" i="12" l="1"/>
  <c r="E135" i="12"/>
  <c r="F136" i="12"/>
  <c r="J138" i="12"/>
  <c r="C138" i="12" s="1"/>
  <c r="M138" i="12"/>
  <c r="L138" i="12"/>
  <c r="O139" i="12" s="1"/>
  <c r="L130" i="11"/>
  <c r="E129" i="11"/>
  <c r="C130" i="11"/>
  <c r="G130" i="11" s="1"/>
  <c r="B130" i="11"/>
  <c r="M130" i="11"/>
  <c r="R170" i="11"/>
  <c r="T171" i="11" s="1"/>
  <c r="Q171" i="11" s="1"/>
  <c r="M217" i="15"/>
  <c r="R260" i="15"/>
  <c r="C217" i="15"/>
  <c r="B217" i="15"/>
  <c r="L217" i="15"/>
  <c r="E216" i="15"/>
  <c r="R267" i="14"/>
  <c r="O210" i="14"/>
  <c r="J210" i="14" s="1"/>
  <c r="C210" i="14" s="1"/>
  <c r="E208" i="14"/>
  <c r="B209" i="14"/>
  <c r="B138" i="12" l="1"/>
  <c r="G138" i="12"/>
  <c r="T279" i="12"/>
  <c r="Q279" i="12" s="1"/>
  <c r="J139" i="12"/>
  <c r="C139" i="12" s="1"/>
  <c r="M139" i="12"/>
  <c r="O140" i="12" s="1"/>
  <c r="F137" i="12"/>
  <c r="E136" i="12"/>
  <c r="O131" i="11"/>
  <c r="D130" i="11"/>
  <c r="R171" i="11"/>
  <c r="T172" i="11" s="1"/>
  <c r="Q172" i="11" s="1"/>
  <c r="O218" i="15"/>
  <c r="G217" i="15"/>
  <c r="D217" i="15"/>
  <c r="T261" i="15"/>
  <c r="Q261" i="15" s="1"/>
  <c r="T268" i="14"/>
  <c r="Q268" i="14" s="1"/>
  <c r="G209" i="14"/>
  <c r="D209" i="14"/>
  <c r="B210" i="14"/>
  <c r="G210" i="14"/>
  <c r="L210" i="14"/>
  <c r="M210" i="14"/>
  <c r="B139" i="12" l="1"/>
  <c r="T280" i="12"/>
  <c r="Q280" i="12" s="1"/>
  <c r="R279" i="12"/>
  <c r="D138" i="12"/>
  <c r="E137" i="12"/>
  <c r="J140" i="12"/>
  <c r="C140" i="12" s="1"/>
  <c r="G139" i="12"/>
  <c r="L139" i="12"/>
  <c r="R172" i="11"/>
  <c r="T173" i="11"/>
  <c r="Q173" i="11" s="1"/>
  <c r="F130" i="11"/>
  <c r="J131" i="11"/>
  <c r="L131" i="11"/>
  <c r="M131" i="11"/>
  <c r="R261" i="15"/>
  <c r="F217" i="15"/>
  <c r="J218" i="15"/>
  <c r="M218" i="15"/>
  <c r="L218" i="15"/>
  <c r="R268" i="14"/>
  <c r="T269" i="14" s="1"/>
  <c r="Q269" i="14" s="1"/>
  <c r="O211" i="14"/>
  <c r="J211" i="14" s="1"/>
  <c r="C211" i="14" s="1"/>
  <c r="D210" i="14"/>
  <c r="F209" i="14"/>
  <c r="R280" i="12" l="1"/>
  <c r="B140" i="12"/>
  <c r="T281" i="12"/>
  <c r="Q281" i="12" s="1"/>
  <c r="D139" i="12"/>
  <c r="M140" i="12"/>
  <c r="O141" i="12" s="1"/>
  <c r="G140" i="12"/>
  <c r="F138" i="12"/>
  <c r="L140" i="12"/>
  <c r="R173" i="11"/>
  <c r="T174" i="11"/>
  <c r="Q174" i="11" s="1"/>
  <c r="C131" i="11"/>
  <c r="B131" i="11"/>
  <c r="O132" i="11"/>
  <c r="J132" i="11" s="1"/>
  <c r="E130" i="11"/>
  <c r="O219" i="15"/>
  <c r="J219" i="15" s="1"/>
  <c r="C218" i="15"/>
  <c r="B218" i="15"/>
  <c r="E217" i="15"/>
  <c r="T262" i="15"/>
  <c r="Q262" i="15" s="1"/>
  <c r="R269" i="14"/>
  <c r="T270" i="14" s="1"/>
  <c r="Q270" i="14" s="1"/>
  <c r="E209" i="14"/>
  <c r="F210" i="14"/>
  <c r="B211" i="14"/>
  <c r="G211" i="14"/>
  <c r="L211" i="14"/>
  <c r="M211" i="14"/>
  <c r="R281" i="12" l="1"/>
  <c r="T282" i="12"/>
  <c r="Q282" i="12" s="1"/>
  <c r="D140" i="12"/>
  <c r="E138" i="12"/>
  <c r="F139" i="12"/>
  <c r="J141" i="12"/>
  <c r="C141" i="12" s="1"/>
  <c r="M141" i="12"/>
  <c r="C132" i="11"/>
  <c r="G132" i="11" s="1"/>
  <c r="B132" i="11"/>
  <c r="L132" i="11"/>
  <c r="G131" i="11"/>
  <c r="D131" i="11"/>
  <c r="M132" i="11"/>
  <c r="R174" i="11"/>
  <c r="T175" i="11" s="1"/>
  <c r="Q175" i="11" s="1"/>
  <c r="R262" i="15"/>
  <c r="T263" i="15" s="1"/>
  <c r="R263" i="15" s="1"/>
  <c r="G218" i="15"/>
  <c r="D218" i="15"/>
  <c r="M219" i="15"/>
  <c r="C219" i="15"/>
  <c r="G219" i="15" s="1"/>
  <c r="B219" i="15"/>
  <c r="L219" i="15"/>
  <c r="R270" i="14"/>
  <c r="D211" i="14"/>
  <c r="F211" i="14" s="1"/>
  <c r="E210" i="14"/>
  <c r="O212" i="14"/>
  <c r="J212" i="14" s="1"/>
  <c r="C212" i="14" s="1"/>
  <c r="B141" i="12" l="1"/>
  <c r="R282" i="12"/>
  <c r="T283" i="12"/>
  <c r="Q283" i="12" s="1"/>
  <c r="G141" i="12"/>
  <c r="E139" i="12"/>
  <c r="F140" i="12"/>
  <c r="L141" i="12"/>
  <c r="T176" i="11"/>
  <c r="Q176" i="11" s="1"/>
  <c r="D132" i="11"/>
  <c r="F131" i="11"/>
  <c r="O133" i="11"/>
  <c r="J133" i="11" s="1"/>
  <c r="R175" i="11"/>
  <c r="Q263" i="15"/>
  <c r="T264" i="15" s="1"/>
  <c r="R264" i="15" s="1"/>
  <c r="D219" i="15"/>
  <c r="F218" i="15"/>
  <c r="O220" i="15"/>
  <c r="J220" i="15" s="1"/>
  <c r="T271" i="14"/>
  <c r="Q271" i="14" s="1"/>
  <c r="M212" i="14"/>
  <c r="E211" i="14"/>
  <c r="B212" i="14"/>
  <c r="G212" i="14"/>
  <c r="L212" i="14"/>
  <c r="R283" i="12" l="1"/>
  <c r="T284" i="12"/>
  <c r="O142" i="12"/>
  <c r="D141" i="12"/>
  <c r="E140" i="12"/>
  <c r="R176" i="11"/>
  <c r="T177" i="11"/>
  <c r="Q177" i="11" s="1"/>
  <c r="C133" i="11"/>
  <c r="G133" i="11" s="1"/>
  <c r="B133" i="11"/>
  <c r="L133" i="11"/>
  <c r="E131" i="11"/>
  <c r="F132" i="11"/>
  <c r="M133" i="11"/>
  <c r="Q264" i="15"/>
  <c r="T265" i="15" s="1"/>
  <c r="R265" i="15" s="1"/>
  <c r="L220" i="15"/>
  <c r="F219" i="15"/>
  <c r="E218" i="15"/>
  <c r="C220" i="15"/>
  <c r="G220" i="15" s="1"/>
  <c r="B220" i="15"/>
  <c r="M220" i="15"/>
  <c r="R271" i="14"/>
  <c r="T272" i="14" s="1"/>
  <c r="Q272" i="14" s="1"/>
  <c r="D212" i="14"/>
  <c r="F212" i="14" s="1"/>
  <c r="O213" i="14"/>
  <c r="J213" i="14" s="1"/>
  <c r="C213" i="14" s="1"/>
  <c r="R284" i="12" l="1"/>
  <c r="Q284" i="12"/>
  <c r="J142" i="12"/>
  <c r="C142" i="12" s="1"/>
  <c r="M142" i="12"/>
  <c r="O143" i="12" s="1"/>
  <c r="J143" i="12" s="1"/>
  <c r="C143" i="12" s="1"/>
  <c r="L142" i="12"/>
  <c r="F141" i="12"/>
  <c r="D133" i="11"/>
  <c r="F133" i="11" s="1"/>
  <c r="R177" i="11"/>
  <c r="T178" i="11"/>
  <c r="Q178" i="11" s="1"/>
  <c r="E132" i="11"/>
  <c r="O134" i="11"/>
  <c r="J134" i="11" s="1"/>
  <c r="D220" i="15"/>
  <c r="F220" i="15" s="1"/>
  <c r="E219" i="15"/>
  <c r="O221" i="15"/>
  <c r="J221" i="15" s="1"/>
  <c r="Q265" i="15"/>
  <c r="R272" i="14"/>
  <c r="T273" i="14" s="1"/>
  <c r="R273" i="14" s="1"/>
  <c r="L213" i="14"/>
  <c r="B213" i="14"/>
  <c r="M213" i="14"/>
  <c r="E212" i="14"/>
  <c r="B143" i="12" l="1"/>
  <c r="G143" i="12"/>
  <c r="M143" i="12"/>
  <c r="O144" i="12" s="1"/>
  <c r="T285" i="12"/>
  <c r="R285" i="12" s="1"/>
  <c r="L143" i="12"/>
  <c r="B142" i="12"/>
  <c r="G142" i="12"/>
  <c r="E141" i="12"/>
  <c r="R178" i="11"/>
  <c r="L134" i="11"/>
  <c r="O135" i="11" s="1"/>
  <c r="J135" i="11" s="1"/>
  <c r="T179" i="11"/>
  <c r="Q179" i="11" s="1"/>
  <c r="C134" i="11"/>
  <c r="B134" i="11"/>
  <c r="E133" i="11"/>
  <c r="M134" i="11"/>
  <c r="E220" i="15"/>
  <c r="M221" i="15"/>
  <c r="C221" i="15"/>
  <c r="G221" i="15" s="1"/>
  <c r="B221" i="15"/>
  <c r="L221" i="15"/>
  <c r="T266" i="15"/>
  <c r="R266" i="15" s="1"/>
  <c r="Q273" i="14"/>
  <c r="T274" i="14" s="1"/>
  <c r="G213" i="14"/>
  <c r="D213" i="14"/>
  <c r="O214" i="14"/>
  <c r="J214" i="14" s="1"/>
  <c r="C214" i="14" s="1"/>
  <c r="M144" i="12" l="1"/>
  <c r="Q285" i="12"/>
  <c r="D142" i="12"/>
  <c r="J144" i="12"/>
  <c r="C144" i="12" s="1"/>
  <c r="L144" i="12"/>
  <c r="O145" i="12" s="1"/>
  <c r="L135" i="11"/>
  <c r="O136" i="11" s="1"/>
  <c r="J136" i="11" s="1"/>
  <c r="C135" i="11"/>
  <c r="G135" i="11" s="1"/>
  <c r="B135" i="11"/>
  <c r="G134" i="11"/>
  <c r="D134" i="11"/>
  <c r="R179" i="11"/>
  <c r="T180" i="11" s="1"/>
  <c r="Q180" i="11" s="1"/>
  <c r="M135" i="11"/>
  <c r="Q274" i="14"/>
  <c r="Q266" i="15"/>
  <c r="T267" i="15" s="1"/>
  <c r="R267" i="15" s="1"/>
  <c r="O222" i="15"/>
  <c r="J222" i="15" s="1"/>
  <c r="D221" i="15"/>
  <c r="R274" i="14"/>
  <c r="F213" i="14"/>
  <c r="M214" i="14"/>
  <c r="L214" i="14"/>
  <c r="G214" i="14"/>
  <c r="B214" i="14"/>
  <c r="B144" i="12" l="1"/>
  <c r="T286" i="12"/>
  <c r="R286" i="12" s="1"/>
  <c r="D143" i="12"/>
  <c r="F142" i="12"/>
  <c r="G144" i="12"/>
  <c r="T275" i="14"/>
  <c r="Q275" i="14" s="1"/>
  <c r="D135" i="11"/>
  <c r="F134" i="11"/>
  <c r="L136" i="11"/>
  <c r="M136" i="11"/>
  <c r="C136" i="11"/>
  <c r="G136" i="11" s="1"/>
  <c r="B136" i="11"/>
  <c r="R180" i="11"/>
  <c r="T181" i="11" s="1"/>
  <c r="Q181" i="11" s="1"/>
  <c r="M222" i="15"/>
  <c r="F221" i="15"/>
  <c r="C222" i="15"/>
  <c r="G222" i="15" s="1"/>
  <c r="B222" i="15"/>
  <c r="L222" i="15"/>
  <c r="Q267" i="15"/>
  <c r="T268" i="15" s="1"/>
  <c r="R268" i="15" s="1"/>
  <c r="O215" i="14"/>
  <c r="J215" i="14" s="1"/>
  <c r="C215" i="14" s="1"/>
  <c r="E213" i="14"/>
  <c r="D214" i="14"/>
  <c r="F214" i="14" s="1"/>
  <c r="Q286" i="12" l="1"/>
  <c r="F143" i="12"/>
  <c r="E143" i="12" s="1"/>
  <c r="E142" i="12"/>
  <c r="D144" i="12"/>
  <c r="J145" i="12"/>
  <c r="C145" i="12" s="1"/>
  <c r="M145" i="12"/>
  <c r="R275" i="14"/>
  <c r="T276" i="14" s="1"/>
  <c r="Q276" i="14" s="1"/>
  <c r="L145" i="12"/>
  <c r="O146" i="12" s="1"/>
  <c r="O137" i="11"/>
  <c r="J137" i="11" s="1"/>
  <c r="E134" i="11"/>
  <c r="F135" i="11"/>
  <c r="D136" i="11"/>
  <c r="R181" i="11"/>
  <c r="T182" i="11" s="1"/>
  <c r="Q182" i="11" s="1"/>
  <c r="E221" i="15"/>
  <c r="O223" i="15"/>
  <c r="D222" i="15"/>
  <c r="Q268" i="15"/>
  <c r="T269" i="15" s="1"/>
  <c r="R269" i="15" s="1"/>
  <c r="M215" i="14"/>
  <c r="B215" i="14"/>
  <c r="G215" i="14"/>
  <c r="L215" i="14"/>
  <c r="E214" i="14"/>
  <c r="B145" i="12" l="1"/>
  <c r="T287" i="12"/>
  <c r="R287" i="12" s="1"/>
  <c r="R276" i="14"/>
  <c r="J146" i="12"/>
  <c r="C146" i="12" s="1"/>
  <c r="M146" i="12"/>
  <c r="G145" i="12"/>
  <c r="F144" i="12"/>
  <c r="M137" i="11"/>
  <c r="E135" i="11"/>
  <c r="F136" i="11"/>
  <c r="C137" i="11"/>
  <c r="G137" i="11" s="1"/>
  <c r="B137" i="11"/>
  <c r="L137" i="11"/>
  <c r="R182" i="11"/>
  <c r="T183" i="11" s="1"/>
  <c r="Q183" i="11" s="1"/>
  <c r="Q269" i="15"/>
  <c r="T270" i="15" s="1"/>
  <c r="R270" i="15" s="1"/>
  <c r="J223" i="15"/>
  <c r="M223" i="15"/>
  <c r="L223" i="15"/>
  <c r="F222" i="15"/>
  <c r="T277" i="14"/>
  <c r="Q277" i="14" s="1"/>
  <c r="O216" i="14"/>
  <c r="D215" i="14"/>
  <c r="B146" i="12" l="1"/>
  <c r="Q287" i="12"/>
  <c r="D145" i="12"/>
  <c r="F145" i="12" s="1"/>
  <c r="E144" i="12"/>
  <c r="G146" i="12"/>
  <c r="L146" i="12"/>
  <c r="O147" i="12" s="1"/>
  <c r="R183" i="11"/>
  <c r="T184" i="11" s="1"/>
  <c r="Q184" i="11" s="1"/>
  <c r="E136" i="11"/>
  <c r="D137" i="11"/>
  <c r="O138" i="11"/>
  <c r="Q270" i="15"/>
  <c r="T271" i="15" s="1"/>
  <c r="R271" i="15" s="1"/>
  <c r="E222" i="15"/>
  <c r="O224" i="15"/>
  <c r="J224" i="15" s="1"/>
  <c r="C223" i="15"/>
  <c r="B223" i="15"/>
  <c r="R277" i="14"/>
  <c r="T278" i="14" s="1"/>
  <c r="Q278" i="14" s="1"/>
  <c r="F215" i="14"/>
  <c r="J216" i="14"/>
  <c r="C216" i="14" s="1"/>
  <c r="M216" i="14"/>
  <c r="L216" i="14"/>
  <c r="T288" i="12" l="1"/>
  <c r="R288" i="12" s="1"/>
  <c r="D146" i="12"/>
  <c r="E145" i="12"/>
  <c r="R184" i="11"/>
  <c r="T185" i="11" s="1"/>
  <c r="Q185" i="11" s="1"/>
  <c r="J138" i="11"/>
  <c r="M138" i="11"/>
  <c r="L138" i="11"/>
  <c r="F137" i="11"/>
  <c r="M224" i="15"/>
  <c r="Q271" i="15"/>
  <c r="T272" i="15" s="1"/>
  <c r="R272" i="15" s="1"/>
  <c r="G223" i="15"/>
  <c r="D223" i="15"/>
  <c r="C224" i="15"/>
  <c r="G224" i="15" s="1"/>
  <c r="B224" i="15"/>
  <c r="L224" i="15"/>
  <c r="R278" i="14"/>
  <c r="T279" i="14" s="1"/>
  <c r="Q279" i="14" s="1"/>
  <c r="O217" i="14"/>
  <c r="J217" i="14" s="1"/>
  <c r="C217" i="14" s="1"/>
  <c r="B216" i="14"/>
  <c r="E215" i="14"/>
  <c r="T289" i="12" l="1"/>
  <c r="R289" i="12" s="1"/>
  <c r="Q288" i="12"/>
  <c r="J147" i="12"/>
  <c r="C147" i="12" s="1"/>
  <c r="M147" i="12"/>
  <c r="L147" i="12"/>
  <c r="O148" i="12" s="1"/>
  <c r="F146" i="12"/>
  <c r="O225" i="15"/>
  <c r="J225" i="15" s="1"/>
  <c r="C225" i="15" s="1"/>
  <c r="G225" i="15" s="1"/>
  <c r="R185" i="11"/>
  <c r="O139" i="11"/>
  <c r="J139" i="11" s="1"/>
  <c r="E137" i="11"/>
  <c r="C138" i="11"/>
  <c r="B138" i="11"/>
  <c r="Q272" i="15"/>
  <c r="T273" i="15" s="1"/>
  <c r="D224" i="15"/>
  <c r="F223" i="15"/>
  <c r="R279" i="14"/>
  <c r="T280" i="14" s="1"/>
  <c r="R280" i="14" s="1"/>
  <c r="G216" i="14"/>
  <c r="D216" i="14"/>
  <c r="M217" i="14"/>
  <c r="G217" i="14"/>
  <c r="B217" i="14"/>
  <c r="L217" i="14"/>
  <c r="Q289" i="12" l="1"/>
  <c r="B147" i="12"/>
  <c r="T290" i="12"/>
  <c r="R290" i="12" s="1"/>
  <c r="E146" i="12"/>
  <c r="J148" i="12"/>
  <c r="C148" i="12" s="1"/>
  <c r="G147" i="12"/>
  <c r="M225" i="15"/>
  <c r="L225" i="15"/>
  <c r="O226" i="15" s="1"/>
  <c r="J226" i="15" s="1"/>
  <c r="B225" i="15"/>
  <c r="G138" i="11"/>
  <c r="D138" i="11"/>
  <c r="M139" i="11"/>
  <c r="C139" i="11"/>
  <c r="G139" i="11" s="1"/>
  <c r="B139" i="11"/>
  <c r="L139" i="11"/>
  <c r="T186" i="11"/>
  <c r="Q186" i="11" s="1"/>
  <c r="Q273" i="15"/>
  <c r="D225" i="15"/>
  <c r="R273" i="15"/>
  <c r="F224" i="15"/>
  <c r="E223" i="15"/>
  <c r="Q280" i="14"/>
  <c r="T281" i="14" s="1"/>
  <c r="D217" i="14"/>
  <c r="F216" i="14"/>
  <c r="O218" i="14"/>
  <c r="J218" i="14" s="1"/>
  <c r="C218" i="14" s="1"/>
  <c r="B148" i="12" l="1"/>
  <c r="G148" i="12"/>
  <c r="Q290" i="12"/>
  <c r="T291" i="12"/>
  <c r="R291" i="12" s="1"/>
  <c r="D147" i="12"/>
  <c r="M148" i="12"/>
  <c r="O149" i="12" s="1"/>
  <c r="L148" i="12"/>
  <c r="T274" i="15"/>
  <c r="R274" i="15" s="1"/>
  <c r="R186" i="11"/>
  <c r="D139" i="11"/>
  <c r="F138" i="11"/>
  <c r="O140" i="11"/>
  <c r="J140" i="11" s="1"/>
  <c r="Q281" i="14"/>
  <c r="M226" i="15"/>
  <c r="F225" i="15"/>
  <c r="E224" i="15"/>
  <c r="L226" i="15"/>
  <c r="C226" i="15"/>
  <c r="B226" i="15"/>
  <c r="R281" i="14"/>
  <c r="L218" i="14"/>
  <c r="G218" i="14"/>
  <c r="B218" i="14"/>
  <c r="E216" i="14"/>
  <c r="F217" i="14"/>
  <c r="D218" i="14"/>
  <c r="M218" i="14"/>
  <c r="Q291" i="12" l="1"/>
  <c r="T292" i="12" s="1"/>
  <c r="R292" i="12" s="1"/>
  <c r="D148" i="12"/>
  <c r="T282" i="14"/>
  <c r="Q282" i="14" s="1"/>
  <c r="F147" i="12"/>
  <c r="J149" i="12"/>
  <c r="C149" i="12" s="1"/>
  <c r="Q274" i="15"/>
  <c r="T275" i="15" s="1"/>
  <c r="Q275" i="15" s="1"/>
  <c r="L140" i="11"/>
  <c r="C140" i="11"/>
  <c r="G140" i="11" s="1"/>
  <c r="B140" i="11"/>
  <c r="F139" i="11"/>
  <c r="E138" i="11"/>
  <c r="M140" i="11"/>
  <c r="T187" i="11"/>
  <c r="Q187" i="11" s="1"/>
  <c r="G226" i="15"/>
  <c r="D226" i="15"/>
  <c r="F226" i="15" s="1"/>
  <c r="O227" i="15"/>
  <c r="E225" i="15"/>
  <c r="E217" i="14"/>
  <c r="F218" i="14"/>
  <c r="O219" i="14"/>
  <c r="J219" i="14" s="1"/>
  <c r="C219" i="14" s="1"/>
  <c r="B149" i="12" l="1"/>
  <c r="R282" i="14"/>
  <c r="Q292" i="12"/>
  <c r="T293" i="12" s="1"/>
  <c r="R293" i="12" s="1"/>
  <c r="M149" i="12"/>
  <c r="O150" i="12" s="1"/>
  <c r="G149" i="12"/>
  <c r="E147" i="12"/>
  <c r="F148" i="12"/>
  <c r="L149" i="12"/>
  <c r="T283" i="14"/>
  <c r="Q283" i="14" s="1"/>
  <c r="O141" i="11"/>
  <c r="J141" i="11" s="1"/>
  <c r="C141" i="11" s="1"/>
  <c r="G141" i="11" s="1"/>
  <c r="D140" i="11"/>
  <c r="F140" i="11" s="1"/>
  <c r="E139" i="11"/>
  <c r="R187" i="11"/>
  <c r="R275" i="15"/>
  <c r="E226" i="15"/>
  <c r="J227" i="15"/>
  <c r="M227" i="15"/>
  <c r="L227" i="15"/>
  <c r="L219" i="14"/>
  <c r="M219" i="14"/>
  <c r="E218" i="14"/>
  <c r="B219" i="14"/>
  <c r="Q293" i="12" l="1"/>
  <c r="T294" i="12" s="1"/>
  <c r="R294" i="12" s="1"/>
  <c r="D149" i="12"/>
  <c r="F149" i="12" s="1"/>
  <c r="R283" i="14"/>
  <c r="E148" i="12"/>
  <c r="J150" i="12"/>
  <c r="C150" i="12" s="1"/>
  <c r="B141" i="11"/>
  <c r="M141" i="11"/>
  <c r="L141" i="11"/>
  <c r="O142" i="11" s="1"/>
  <c r="L142" i="11" s="1"/>
  <c r="O220" i="14"/>
  <c r="M220" i="14" s="1"/>
  <c r="D141" i="11"/>
  <c r="F141" i="11" s="1"/>
  <c r="E140" i="11"/>
  <c r="T188" i="11"/>
  <c r="Q188" i="11" s="1"/>
  <c r="O228" i="15"/>
  <c r="J228" i="15" s="1"/>
  <c r="C227" i="15"/>
  <c r="B227" i="15"/>
  <c r="T276" i="15"/>
  <c r="Q276" i="15" s="1"/>
  <c r="T284" i="14"/>
  <c r="Q284" i="14" s="1"/>
  <c r="T285" i="14" s="1"/>
  <c r="Q285" i="14" s="1"/>
  <c r="T286" i="14" s="1"/>
  <c r="Q286" i="14" s="1"/>
  <c r="G219" i="14"/>
  <c r="D219" i="14"/>
  <c r="J220" i="14" l="1"/>
  <c r="B220" i="14" s="1"/>
  <c r="B150" i="12"/>
  <c r="L220" i="14"/>
  <c r="Q294" i="12"/>
  <c r="G150" i="12"/>
  <c r="M150" i="12"/>
  <c r="E149" i="12"/>
  <c r="L150" i="12"/>
  <c r="R188" i="11"/>
  <c r="T189" i="11" s="1"/>
  <c r="Q189" i="11" s="1"/>
  <c r="J142" i="11"/>
  <c r="M142" i="11"/>
  <c r="O143" i="11" s="1"/>
  <c r="J143" i="11" s="1"/>
  <c r="E141" i="11"/>
  <c r="R276" i="15"/>
  <c r="G227" i="15"/>
  <c r="D227" i="15"/>
  <c r="M228" i="15"/>
  <c r="C228" i="15"/>
  <c r="G228" i="15" s="1"/>
  <c r="B228" i="15"/>
  <c r="L228" i="15"/>
  <c r="R284" i="14"/>
  <c r="R285" i="14" s="1"/>
  <c r="R286" i="14" s="1"/>
  <c r="T287" i="14" s="1"/>
  <c r="O221" i="14"/>
  <c r="F219" i="14"/>
  <c r="C220" i="14" l="1"/>
  <c r="G220" i="14" s="1"/>
  <c r="T295" i="12"/>
  <c r="R295" i="12" s="1"/>
  <c r="O151" i="12"/>
  <c r="J151" i="12" s="1"/>
  <c r="C151" i="12" s="1"/>
  <c r="D150" i="12"/>
  <c r="M143" i="11"/>
  <c r="R189" i="11"/>
  <c r="C143" i="11"/>
  <c r="G143" i="11" s="1"/>
  <c r="B143" i="11"/>
  <c r="C142" i="11"/>
  <c r="B142" i="11"/>
  <c r="L143" i="11"/>
  <c r="D228" i="15"/>
  <c r="F227" i="15"/>
  <c r="O229" i="15"/>
  <c r="J229" i="15" s="1"/>
  <c r="T277" i="15"/>
  <c r="Q277" i="15" s="1"/>
  <c r="R287" i="14"/>
  <c r="Q287" i="14"/>
  <c r="E219" i="14"/>
  <c r="J221" i="14"/>
  <c r="C221" i="14" s="1"/>
  <c r="M221" i="14"/>
  <c r="L221" i="14"/>
  <c r="D220" i="14" l="1"/>
  <c r="F220" i="14" s="1"/>
  <c r="B151" i="12"/>
  <c r="M151" i="12"/>
  <c r="Q295" i="12"/>
  <c r="F150" i="12"/>
  <c r="G151" i="12"/>
  <c r="L151" i="12"/>
  <c r="O144" i="11"/>
  <c r="G142" i="11"/>
  <c r="D142" i="11"/>
  <c r="T190" i="11"/>
  <c r="Q190" i="11" s="1"/>
  <c r="R277" i="15"/>
  <c r="C229" i="15"/>
  <c r="G229" i="15" s="1"/>
  <c r="B229" i="15"/>
  <c r="L229" i="15"/>
  <c r="F228" i="15"/>
  <c r="E227" i="15"/>
  <c r="M229" i="15"/>
  <c r="T288" i="14"/>
  <c r="R288" i="14" s="1"/>
  <c r="B221" i="14"/>
  <c r="E220" i="14"/>
  <c r="O222" i="14"/>
  <c r="J222" i="14" s="1"/>
  <c r="C222" i="14" s="1"/>
  <c r="T296" i="12" l="1"/>
  <c r="R296" i="12" s="1"/>
  <c r="O152" i="12"/>
  <c r="D151" i="12"/>
  <c r="E150" i="12"/>
  <c r="T191" i="11"/>
  <c r="Q191" i="11" s="1"/>
  <c r="R190" i="11"/>
  <c r="D143" i="11"/>
  <c r="F142" i="11"/>
  <c r="J144" i="11"/>
  <c r="M144" i="11"/>
  <c r="L144" i="11"/>
  <c r="D229" i="15"/>
  <c r="F229" i="15" s="1"/>
  <c r="E228" i="15"/>
  <c r="O230" i="15"/>
  <c r="J230" i="15" s="1"/>
  <c r="T278" i="15"/>
  <c r="Q278" i="15" s="1"/>
  <c r="Q288" i="14"/>
  <c r="T289" i="14" s="1"/>
  <c r="R289" i="14" s="1"/>
  <c r="L222" i="14"/>
  <c r="M222" i="14"/>
  <c r="G221" i="14"/>
  <c r="D221" i="14"/>
  <c r="G222" i="14"/>
  <c r="B222" i="14"/>
  <c r="Q296" i="12" l="1"/>
  <c r="J152" i="12"/>
  <c r="C152" i="12" s="1"/>
  <c r="M152" i="12"/>
  <c r="L152" i="12"/>
  <c r="O153" i="12" s="1"/>
  <c r="J153" i="12" s="1"/>
  <c r="C153" i="12" s="1"/>
  <c r="F151" i="12"/>
  <c r="R191" i="11"/>
  <c r="T192" i="11"/>
  <c r="Q192" i="11" s="1"/>
  <c r="O145" i="11"/>
  <c r="J145" i="11" s="1"/>
  <c r="F143" i="11"/>
  <c r="E142" i="11"/>
  <c r="C144" i="11"/>
  <c r="G144" i="11" s="1"/>
  <c r="B144" i="11"/>
  <c r="O223" i="14"/>
  <c r="J223" i="14" s="1"/>
  <c r="C223" i="14" s="1"/>
  <c r="G223" i="14" s="1"/>
  <c r="M230" i="15"/>
  <c r="R278" i="15"/>
  <c r="C230" i="15"/>
  <c r="B230" i="15"/>
  <c r="L230" i="15"/>
  <c r="E229" i="15"/>
  <c r="Q289" i="14"/>
  <c r="D222" i="14"/>
  <c r="F221" i="14"/>
  <c r="L153" i="12" l="1"/>
  <c r="B153" i="12"/>
  <c r="T297" i="12"/>
  <c r="R297" i="12" s="1"/>
  <c r="G153" i="12"/>
  <c r="M153" i="12"/>
  <c r="O154" i="12" s="1"/>
  <c r="J154" i="12" s="1"/>
  <c r="C154" i="12" s="1"/>
  <c r="B152" i="12"/>
  <c r="G152" i="12"/>
  <c r="E151" i="12"/>
  <c r="T290" i="14"/>
  <c r="R290" i="14" s="1"/>
  <c r="D144" i="11"/>
  <c r="F144" i="11" s="1"/>
  <c r="M145" i="11"/>
  <c r="T193" i="11"/>
  <c r="Q193" i="11" s="1"/>
  <c r="E143" i="11"/>
  <c r="C145" i="11"/>
  <c r="G145" i="11" s="1"/>
  <c r="B145" i="11"/>
  <c r="R192" i="11"/>
  <c r="L145" i="11"/>
  <c r="M223" i="14"/>
  <c r="L223" i="14"/>
  <c r="O224" i="14" s="1"/>
  <c r="J224" i="14" s="1"/>
  <c r="C224" i="14" s="1"/>
  <c r="B223" i="14"/>
  <c r="O231" i="15"/>
  <c r="G230" i="15"/>
  <c r="D230" i="15"/>
  <c r="T279" i="15"/>
  <c r="Q279" i="15" s="1"/>
  <c r="E221" i="14"/>
  <c r="F222" i="14"/>
  <c r="D223" i="14"/>
  <c r="B154" i="12" l="1"/>
  <c r="G154" i="12"/>
  <c r="Q297" i="12"/>
  <c r="D152" i="12"/>
  <c r="M154" i="12"/>
  <c r="O155" i="12" s="1"/>
  <c r="M155" i="12" s="1"/>
  <c r="O156" i="12" s="1"/>
  <c r="L154" i="12"/>
  <c r="Q290" i="14"/>
  <c r="E144" i="11"/>
  <c r="D145" i="11"/>
  <c r="O146" i="11"/>
  <c r="L146" i="11" s="1"/>
  <c r="R193" i="11"/>
  <c r="T194" i="11" s="1"/>
  <c r="Q194" i="11" s="1"/>
  <c r="R279" i="15"/>
  <c r="F230" i="15"/>
  <c r="J231" i="15"/>
  <c r="M231" i="15"/>
  <c r="L231" i="15"/>
  <c r="M224" i="14"/>
  <c r="E222" i="14"/>
  <c r="F223" i="14"/>
  <c r="G224" i="14"/>
  <c r="B224" i="14"/>
  <c r="L224" i="14"/>
  <c r="T298" i="12" l="1"/>
  <c r="R298" i="12" s="1"/>
  <c r="F152" i="12"/>
  <c r="D153" i="12"/>
  <c r="D154" i="12" s="1"/>
  <c r="J156" i="12"/>
  <c r="C156" i="12" s="1"/>
  <c r="J155" i="12"/>
  <c r="C155" i="12" s="1"/>
  <c r="L155" i="12"/>
  <c r="L156" i="12" s="1"/>
  <c r="O225" i="14"/>
  <c r="J225" i="14" s="1"/>
  <c r="C225" i="14" s="1"/>
  <c r="G225" i="14" s="1"/>
  <c r="T291" i="14"/>
  <c r="R291" i="14" s="1"/>
  <c r="R194" i="11"/>
  <c r="T195" i="11" s="1"/>
  <c r="Q195" i="11" s="1"/>
  <c r="J146" i="11"/>
  <c r="M146" i="11"/>
  <c r="F145" i="11"/>
  <c r="O232" i="15"/>
  <c r="J232" i="15" s="1"/>
  <c r="C231" i="15"/>
  <c r="B231" i="15"/>
  <c r="E230" i="15"/>
  <c r="T280" i="15"/>
  <c r="Q280" i="15" s="1"/>
  <c r="D224" i="14"/>
  <c r="E223" i="14"/>
  <c r="B155" i="12" l="1"/>
  <c r="B156" i="12"/>
  <c r="G156" i="12"/>
  <c r="Q298" i="12"/>
  <c r="F153" i="12"/>
  <c r="E152" i="12"/>
  <c r="G155" i="12"/>
  <c r="M156" i="12"/>
  <c r="M225" i="14"/>
  <c r="D225" i="14"/>
  <c r="L225" i="14"/>
  <c r="O226" i="14" s="1"/>
  <c r="B225" i="14"/>
  <c r="Q291" i="14"/>
  <c r="E145" i="11"/>
  <c r="O147" i="11"/>
  <c r="M147" i="11" s="1"/>
  <c r="B146" i="11"/>
  <c r="C146" i="11"/>
  <c r="R195" i="11"/>
  <c r="T196" i="11" s="1"/>
  <c r="Q196" i="11" s="1"/>
  <c r="M232" i="15"/>
  <c r="G231" i="15"/>
  <c r="D231" i="15"/>
  <c r="C232" i="15"/>
  <c r="G232" i="15" s="1"/>
  <c r="B232" i="15"/>
  <c r="L232" i="15"/>
  <c r="R280" i="15"/>
  <c r="F224" i="14"/>
  <c r="T299" i="12" l="1"/>
  <c r="R299" i="12" s="1"/>
  <c r="F154" i="12"/>
  <c r="E154" i="12" s="1"/>
  <c r="E153" i="12"/>
  <c r="O157" i="12"/>
  <c r="J157" i="12" s="1"/>
  <c r="C157" i="12" s="1"/>
  <c r="D155" i="12"/>
  <c r="D156" i="12" s="1"/>
  <c r="T292" i="14"/>
  <c r="R292" i="14" s="1"/>
  <c r="O148" i="11"/>
  <c r="J148" i="11" s="1"/>
  <c r="G146" i="11"/>
  <c r="D146" i="11"/>
  <c r="J147" i="11"/>
  <c r="L147" i="11"/>
  <c r="R196" i="11"/>
  <c r="T197" i="11" s="1"/>
  <c r="Q197" i="11" s="1"/>
  <c r="O233" i="15"/>
  <c r="T281" i="15"/>
  <c r="Q281" i="15" s="1"/>
  <c r="D232" i="15"/>
  <c r="F231" i="15"/>
  <c r="J226" i="14"/>
  <c r="C226" i="14" s="1"/>
  <c r="L226" i="14"/>
  <c r="M226" i="14"/>
  <c r="E224" i="14"/>
  <c r="F225" i="14"/>
  <c r="B157" i="12" l="1"/>
  <c r="G157" i="12"/>
  <c r="L157" i="12"/>
  <c r="Q299" i="12"/>
  <c r="M157" i="12"/>
  <c r="D157" i="12"/>
  <c r="F155" i="12"/>
  <c r="Q292" i="14"/>
  <c r="T293" i="14" s="1"/>
  <c r="R293" i="14" s="1"/>
  <c r="L148" i="11"/>
  <c r="T198" i="11"/>
  <c r="Q198" i="11" s="1"/>
  <c r="B147" i="11"/>
  <c r="C147" i="11"/>
  <c r="G147" i="11" s="1"/>
  <c r="F146" i="11"/>
  <c r="B148" i="11"/>
  <c r="C148" i="11"/>
  <c r="G148" i="11" s="1"/>
  <c r="R197" i="11"/>
  <c r="M148" i="11"/>
  <c r="F232" i="15"/>
  <c r="E231" i="15"/>
  <c r="R281" i="15"/>
  <c r="J233" i="15"/>
  <c r="M233" i="15"/>
  <c r="L233" i="15"/>
  <c r="O227" i="14"/>
  <c r="J227" i="14" s="1"/>
  <c r="C227" i="14" s="1"/>
  <c r="B226" i="14"/>
  <c r="E225" i="14"/>
  <c r="O158" i="12" l="1"/>
  <c r="T300" i="12"/>
  <c r="R300" i="12" s="1"/>
  <c r="F156" i="12"/>
  <c r="E155" i="12"/>
  <c r="J158" i="12"/>
  <c r="C158" i="12" s="1"/>
  <c r="M158" i="12"/>
  <c r="L158" i="12"/>
  <c r="O159" i="12" s="1"/>
  <c r="Q293" i="14"/>
  <c r="T294" i="14"/>
  <c r="R294" i="14" s="1"/>
  <c r="T295" i="14" s="1"/>
  <c r="R295" i="14" s="1"/>
  <c r="T296" i="14" s="1"/>
  <c r="R296" i="14" s="1"/>
  <c r="T297" i="14" s="1"/>
  <c r="R297" i="14" s="1"/>
  <c r="T298" i="14" s="1"/>
  <c r="R298" i="14" s="1"/>
  <c r="T299" i="14" s="1"/>
  <c r="R299" i="14" s="1"/>
  <c r="R198" i="11"/>
  <c r="D147" i="11"/>
  <c r="D148" i="11" s="1"/>
  <c r="T199" i="11"/>
  <c r="Q199" i="11" s="1"/>
  <c r="E146" i="11"/>
  <c r="O149" i="11"/>
  <c r="M149" i="11" s="1"/>
  <c r="C233" i="15"/>
  <c r="B233" i="15"/>
  <c r="T282" i="15"/>
  <c r="Q282" i="15" s="1"/>
  <c r="O234" i="15"/>
  <c r="J234" i="15" s="1"/>
  <c r="E232" i="15"/>
  <c r="G226" i="14"/>
  <c r="D226" i="14"/>
  <c r="G227" i="14"/>
  <c r="B227" i="14"/>
  <c r="L227" i="14"/>
  <c r="M227" i="14"/>
  <c r="B158" i="12" l="1"/>
  <c r="G158" i="12"/>
  <c r="Q300" i="12"/>
  <c r="J159" i="12"/>
  <c r="C159" i="12" s="1"/>
  <c r="E156" i="12"/>
  <c r="F157" i="12"/>
  <c r="Q294" i="14"/>
  <c r="Q295" i="14" s="1"/>
  <c r="Q296" i="14" s="1"/>
  <c r="Q297" i="14" s="1"/>
  <c r="Q298" i="14" s="1"/>
  <c r="Q299" i="14" s="1"/>
  <c r="F147" i="11"/>
  <c r="E147" i="11" s="1"/>
  <c r="R199" i="11"/>
  <c r="T200" i="11"/>
  <c r="Q200" i="11" s="1"/>
  <c r="J149" i="11"/>
  <c r="L149" i="11"/>
  <c r="O150" i="11"/>
  <c r="J150" i="11" s="1"/>
  <c r="L234" i="15"/>
  <c r="C234" i="15"/>
  <c r="G234" i="15" s="1"/>
  <c r="B234" i="15"/>
  <c r="R282" i="15"/>
  <c r="G233" i="15"/>
  <c r="D233" i="15"/>
  <c r="M234" i="15"/>
  <c r="T300" i="14"/>
  <c r="R300" i="14" s="1"/>
  <c r="O228" i="14"/>
  <c r="J228" i="14" s="1"/>
  <c r="C228" i="14" s="1"/>
  <c r="D227" i="14"/>
  <c r="F226" i="14"/>
  <c r="B159" i="12" l="1"/>
  <c r="T301" i="12"/>
  <c r="R301" i="12" s="1"/>
  <c r="D158" i="12"/>
  <c r="E157" i="12"/>
  <c r="M159" i="12"/>
  <c r="G159" i="12"/>
  <c r="L159" i="12"/>
  <c r="O160" i="12" s="1"/>
  <c r="F148" i="11"/>
  <c r="E148" i="11" s="1"/>
  <c r="M150" i="11"/>
  <c r="T201" i="11"/>
  <c r="Q201" i="11" s="1"/>
  <c r="B150" i="11"/>
  <c r="C150" i="11"/>
  <c r="G150" i="11" s="1"/>
  <c r="L150" i="11"/>
  <c r="B149" i="11"/>
  <c r="C149" i="11"/>
  <c r="R200" i="11"/>
  <c r="O151" i="11"/>
  <c r="J151" i="11" s="1"/>
  <c r="D234" i="15"/>
  <c r="F233" i="15"/>
  <c r="T283" i="15"/>
  <c r="Q283" i="15" s="1"/>
  <c r="O235" i="15"/>
  <c r="M235" i="15" s="1"/>
  <c r="Q300" i="14"/>
  <c r="T301" i="14"/>
  <c r="R301" i="14" s="1"/>
  <c r="E226" i="14"/>
  <c r="F227" i="14"/>
  <c r="M228" i="14"/>
  <c r="G228" i="14"/>
  <c r="B228" i="14"/>
  <c r="L228" i="14"/>
  <c r="Q301" i="12" l="1"/>
  <c r="D159" i="12"/>
  <c r="J160" i="12"/>
  <c r="C160" i="12" s="1"/>
  <c r="M160" i="12"/>
  <c r="F158" i="12"/>
  <c r="R201" i="11"/>
  <c r="T202" i="11" s="1"/>
  <c r="Q202" i="11" s="1"/>
  <c r="L151" i="11"/>
  <c r="G149" i="11"/>
  <c r="D149" i="11"/>
  <c r="B151" i="11"/>
  <c r="C151" i="11"/>
  <c r="G151" i="11" s="1"/>
  <c r="M151" i="11"/>
  <c r="J235" i="15"/>
  <c r="L235" i="15"/>
  <c r="R283" i="15"/>
  <c r="T284" i="15" s="1"/>
  <c r="Q284" i="15" s="1"/>
  <c r="F234" i="15"/>
  <c r="E233" i="15"/>
  <c r="Q301" i="14"/>
  <c r="T302" i="14"/>
  <c r="R302" i="14" s="1"/>
  <c r="D228" i="14"/>
  <c r="F228" i="14" s="1"/>
  <c r="E227" i="14"/>
  <c r="O229" i="14"/>
  <c r="J229" i="14" s="1"/>
  <c r="C229" i="14" s="1"/>
  <c r="B160" i="12" l="1"/>
  <c r="T302" i="12"/>
  <c r="R302" i="12" s="1"/>
  <c r="E158" i="12"/>
  <c r="F159" i="12"/>
  <c r="G160" i="12"/>
  <c r="L160" i="12"/>
  <c r="O161" i="12" s="1"/>
  <c r="D150" i="11"/>
  <c r="D151" i="11" s="1"/>
  <c r="F149" i="11"/>
  <c r="R202" i="11"/>
  <c r="T203" i="11" s="1"/>
  <c r="Q203" i="11" s="1"/>
  <c r="O152" i="11"/>
  <c r="M152" i="11" s="1"/>
  <c r="R284" i="15"/>
  <c r="T285" i="15" s="1"/>
  <c r="Q285" i="15" s="1"/>
  <c r="E234" i="15"/>
  <c r="O236" i="15"/>
  <c r="L236" i="15" s="1"/>
  <c r="C235" i="15"/>
  <c r="B235" i="15"/>
  <c r="Q302" i="14"/>
  <c r="T303" i="14" s="1"/>
  <c r="R303" i="14" s="1"/>
  <c r="L229" i="14"/>
  <c r="M229" i="14"/>
  <c r="E228" i="14"/>
  <c r="G229" i="14"/>
  <c r="B229" i="14"/>
  <c r="Q302" i="12" l="1"/>
  <c r="D160" i="12"/>
  <c r="F160" i="12" s="1"/>
  <c r="E159" i="12"/>
  <c r="O230" i="14"/>
  <c r="J230" i="14" s="1"/>
  <c r="C230" i="14" s="1"/>
  <c r="G230" i="14" s="1"/>
  <c r="R203" i="11"/>
  <c r="T204" i="11" s="1"/>
  <c r="Q204" i="11" s="1"/>
  <c r="J152" i="11"/>
  <c r="L152" i="11"/>
  <c r="E149" i="11"/>
  <c r="F150" i="11"/>
  <c r="R285" i="15"/>
  <c r="O237" i="15"/>
  <c r="J237" i="15" s="1"/>
  <c r="T286" i="15"/>
  <c r="Q286" i="15" s="1"/>
  <c r="J236" i="15"/>
  <c r="M236" i="15"/>
  <c r="G235" i="15"/>
  <c r="D235" i="15"/>
  <c r="Q303" i="14"/>
  <c r="T304" i="14" s="1"/>
  <c r="R304" i="14" s="1"/>
  <c r="D229" i="14"/>
  <c r="T303" i="12" l="1"/>
  <c r="R303" i="12" s="1"/>
  <c r="E160" i="12"/>
  <c r="J161" i="12"/>
  <c r="C161" i="12" s="1"/>
  <c r="M161" i="12"/>
  <c r="O162" i="12" s="1"/>
  <c r="L161" i="12"/>
  <c r="M230" i="14"/>
  <c r="L230" i="14"/>
  <c r="B230" i="14"/>
  <c r="R204" i="11"/>
  <c r="T205" i="11" s="1"/>
  <c r="Q205" i="11" s="1"/>
  <c r="E150" i="11"/>
  <c r="F151" i="11"/>
  <c r="O153" i="11"/>
  <c r="L153" i="11" s="1"/>
  <c r="B152" i="11"/>
  <c r="C152" i="11"/>
  <c r="R286" i="15"/>
  <c r="M237" i="15"/>
  <c r="L237" i="15"/>
  <c r="T287" i="15"/>
  <c r="Q287" i="15" s="1"/>
  <c r="C236" i="15"/>
  <c r="G236" i="15" s="1"/>
  <c r="B236" i="15"/>
  <c r="F235" i="15"/>
  <c r="C237" i="15"/>
  <c r="G237" i="15" s="1"/>
  <c r="B237" i="15"/>
  <c r="Q304" i="14"/>
  <c r="T305" i="14" s="1"/>
  <c r="R305" i="14" s="1"/>
  <c r="D230" i="14"/>
  <c r="F229" i="14"/>
  <c r="B161" i="12" l="1"/>
  <c r="G161" i="12"/>
  <c r="Q303" i="12"/>
  <c r="T304" i="12" s="1"/>
  <c r="R304" i="12" s="1"/>
  <c r="J162" i="12"/>
  <c r="C162" i="12" s="1"/>
  <c r="M162" i="12"/>
  <c r="O238" i="15"/>
  <c r="J238" i="15" s="1"/>
  <c r="B238" i="15" s="1"/>
  <c r="O231" i="14"/>
  <c r="R205" i="11"/>
  <c r="T206" i="11"/>
  <c r="Q206" i="11" s="1"/>
  <c r="J153" i="11"/>
  <c r="M153" i="11"/>
  <c r="O154" i="11" s="1"/>
  <c r="J154" i="11" s="1"/>
  <c r="E151" i="11"/>
  <c r="G152" i="11"/>
  <c r="D152" i="11"/>
  <c r="E235" i="15"/>
  <c r="R287" i="15"/>
  <c r="D236" i="15"/>
  <c r="D237" i="15" s="1"/>
  <c r="Q305" i="14"/>
  <c r="T306" i="14" s="1"/>
  <c r="R306" i="14" s="1"/>
  <c r="E229" i="14"/>
  <c r="F230" i="14"/>
  <c r="Q304" i="12" l="1"/>
  <c r="B162" i="12"/>
  <c r="G162" i="12"/>
  <c r="T305" i="12"/>
  <c r="R305" i="12" s="1"/>
  <c r="C238" i="15"/>
  <c r="G238" i="15" s="1"/>
  <c r="L238" i="15"/>
  <c r="D161" i="12"/>
  <c r="M238" i="15"/>
  <c r="O239" i="15" s="1"/>
  <c r="J239" i="15" s="1"/>
  <c r="B239" i="15" s="1"/>
  <c r="L162" i="12"/>
  <c r="J231" i="14"/>
  <c r="L231" i="14"/>
  <c r="M231" i="14"/>
  <c r="O232" i="14" s="1"/>
  <c r="J232" i="14" s="1"/>
  <c r="C232" i="14" s="1"/>
  <c r="G232" i="14" s="1"/>
  <c r="R206" i="11"/>
  <c r="T207" i="11" s="1"/>
  <c r="Q207" i="11" s="1"/>
  <c r="B154" i="11"/>
  <c r="C154" i="11"/>
  <c r="G154" i="11" s="1"/>
  <c r="L154" i="11"/>
  <c r="M154" i="11"/>
  <c r="B153" i="11"/>
  <c r="C153" i="11"/>
  <c r="G153" i="11" s="1"/>
  <c r="F152" i="11"/>
  <c r="F236" i="15"/>
  <c r="F237" i="15" s="1"/>
  <c r="D238" i="15"/>
  <c r="T288" i="15"/>
  <c r="Q288" i="15" s="1"/>
  <c r="T289" i="15" s="1"/>
  <c r="Q289" i="15" s="1"/>
  <c r="Q306" i="14"/>
  <c r="T307" i="14" s="1"/>
  <c r="R307" i="14" s="1"/>
  <c r="E230" i="14"/>
  <c r="T306" i="12" l="1"/>
  <c r="R306" i="12" s="1"/>
  <c r="Q305" i="12"/>
  <c r="O163" i="12"/>
  <c r="J163" i="12" s="1"/>
  <c r="C163" i="12" s="1"/>
  <c r="D162" i="12"/>
  <c r="B232" i="14"/>
  <c r="M163" i="12"/>
  <c r="M232" i="14"/>
  <c r="L232" i="14"/>
  <c r="O233" i="14" s="1"/>
  <c r="J233" i="14" s="1"/>
  <c r="C233" i="14" s="1"/>
  <c r="G233" i="14" s="1"/>
  <c r="F161" i="12"/>
  <c r="C231" i="14"/>
  <c r="B231" i="14"/>
  <c r="C239" i="15"/>
  <c r="G239" i="15" s="1"/>
  <c r="L239" i="15"/>
  <c r="M239" i="15"/>
  <c r="O240" i="15" s="1"/>
  <c r="J240" i="15" s="1"/>
  <c r="D153" i="11"/>
  <c r="D154" i="11" s="1"/>
  <c r="O155" i="11"/>
  <c r="J155" i="11" s="1"/>
  <c r="E236" i="15"/>
  <c r="E152" i="11"/>
  <c r="R207" i="11"/>
  <c r="T208" i="11" s="1"/>
  <c r="Q208" i="11" s="1"/>
  <c r="R288" i="15"/>
  <c r="R289" i="15" s="1"/>
  <c r="F238" i="15"/>
  <c r="E237" i="15"/>
  <c r="Q307" i="14"/>
  <c r="T308" i="14" s="1"/>
  <c r="R308" i="14" s="1"/>
  <c r="Q306" i="12" l="1"/>
  <c r="B163" i="12"/>
  <c r="T307" i="12"/>
  <c r="R307" i="12" s="1"/>
  <c r="G163" i="12"/>
  <c r="L163" i="12"/>
  <c r="O164" i="12" s="1"/>
  <c r="J164" i="12" s="1"/>
  <c r="C164" i="12" s="1"/>
  <c r="D163" i="12"/>
  <c r="D239" i="15"/>
  <c r="F239" i="15" s="1"/>
  <c r="M233" i="14"/>
  <c r="L233" i="14"/>
  <c r="O234" i="14" s="1"/>
  <c r="J234" i="14" s="1"/>
  <c r="C234" i="14" s="1"/>
  <c r="B233" i="14"/>
  <c r="E161" i="12"/>
  <c r="F162" i="12"/>
  <c r="G231" i="14"/>
  <c r="D231" i="14"/>
  <c r="F153" i="11"/>
  <c r="E153" i="11" s="1"/>
  <c r="R208" i="11"/>
  <c r="T209" i="11" s="1"/>
  <c r="Q209" i="11" s="1"/>
  <c r="L155" i="11"/>
  <c r="B155" i="11"/>
  <c r="C155" i="11"/>
  <c r="G155" i="11" s="1"/>
  <c r="M155" i="11"/>
  <c r="L240" i="15"/>
  <c r="C240" i="15"/>
  <c r="B240" i="15"/>
  <c r="E238" i="15"/>
  <c r="T290" i="15"/>
  <c r="Q290" i="15" s="1"/>
  <c r="M240" i="15"/>
  <c r="Q308" i="14"/>
  <c r="T309" i="14" s="1"/>
  <c r="R309" i="14" s="1"/>
  <c r="B164" i="12" l="1"/>
  <c r="G164" i="12"/>
  <c r="L164" i="12"/>
  <c r="O165" i="12" s="1"/>
  <c r="Q307" i="12"/>
  <c r="T308" i="12"/>
  <c r="R308" i="12" s="1"/>
  <c r="M164" i="12"/>
  <c r="D164" i="12"/>
  <c r="F163" i="12"/>
  <c r="E162" i="12"/>
  <c r="F231" i="14"/>
  <c r="D232" i="14"/>
  <c r="D233" i="14" s="1"/>
  <c r="F154" i="11"/>
  <c r="E154" i="11" s="1"/>
  <c r="R209" i="11"/>
  <c r="T210" i="11" s="1"/>
  <c r="Q210" i="11" s="1"/>
  <c r="D155" i="11"/>
  <c r="O156" i="11"/>
  <c r="J156" i="11" s="1"/>
  <c r="R290" i="15"/>
  <c r="E239" i="15"/>
  <c r="G240" i="15"/>
  <c r="D240" i="15"/>
  <c r="O241" i="15"/>
  <c r="J241" i="15" s="1"/>
  <c r="M234" i="14"/>
  <c r="B234" i="14"/>
  <c r="L234" i="14"/>
  <c r="Q309" i="14"/>
  <c r="T309" i="12" l="1"/>
  <c r="R309" i="12" s="1"/>
  <c r="Q308" i="12"/>
  <c r="F164" i="12"/>
  <c r="E163" i="12"/>
  <c r="J165" i="12"/>
  <c r="C165" i="12" s="1"/>
  <c r="M165" i="12"/>
  <c r="L165" i="12"/>
  <c r="E231" i="14"/>
  <c r="F232" i="14"/>
  <c r="F155" i="11"/>
  <c r="E155" i="11" s="1"/>
  <c r="O235" i="14"/>
  <c r="J235" i="14" s="1"/>
  <c r="C235" i="14" s="1"/>
  <c r="G235" i="14" s="1"/>
  <c r="L156" i="11"/>
  <c r="O157" i="11" s="1"/>
  <c r="J157" i="11" s="1"/>
  <c r="B156" i="11"/>
  <c r="C156" i="11"/>
  <c r="M156" i="11"/>
  <c r="R210" i="11"/>
  <c r="T211" i="11" s="1"/>
  <c r="Q211" i="11" s="1"/>
  <c r="C241" i="15"/>
  <c r="G241" i="15" s="1"/>
  <c r="B241" i="15"/>
  <c r="M241" i="15"/>
  <c r="F240" i="15"/>
  <c r="T291" i="15"/>
  <c r="Q291" i="15" s="1"/>
  <c r="L241" i="15"/>
  <c r="T310" i="14"/>
  <c r="R310" i="14" s="1"/>
  <c r="G234" i="14"/>
  <c r="D234" i="14"/>
  <c r="Q309" i="12" l="1"/>
  <c r="B165" i="12"/>
  <c r="T310" i="12"/>
  <c r="R310" i="12" s="1"/>
  <c r="O166" i="12"/>
  <c r="J166" i="12" s="1"/>
  <c r="C166" i="12" s="1"/>
  <c r="G165" i="12"/>
  <c r="E164" i="12"/>
  <c r="E232" i="14"/>
  <c r="F233" i="14"/>
  <c r="E233" i="14" s="1"/>
  <c r="M235" i="14"/>
  <c r="B235" i="14"/>
  <c r="L235" i="14"/>
  <c r="O236" i="14" s="1"/>
  <c r="J236" i="14" s="1"/>
  <c r="C236" i="14" s="1"/>
  <c r="G236" i="14" s="1"/>
  <c r="R211" i="11"/>
  <c r="T212" i="11" s="1"/>
  <c r="Q212" i="11" s="1"/>
  <c r="L157" i="11"/>
  <c r="B157" i="11"/>
  <c r="C157" i="11"/>
  <c r="G157" i="11" s="1"/>
  <c r="M157" i="11"/>
  <c r="G156" i="11"/>
  <c r="D156" i="11"/>
  <c r="R291" i="15"/>
  <c r="T292" i="15" s="1"/>
  <c r="Q292" i="15" s="1"/>
  <c r="E240" i="15"/>
  <c r="O242" i="15"/>
  <c r="J242" i="15" s="1"/>
  <c r="D241" i="15"/>
  <c r="F241" i="15" s="1"/>
  <c r="Q310" i="14"/>
  <c r="D235" i="14"/>
  <c r="B166" i="12" l="1"/>
  <c r="T311" i="12"/>
  <c r="R311" i="12" s="1"/>
  <c r="Q310" i="12"/>
  <c r="D165" i="12"/>
  <c r="M236" i="14"/>
  <c r="M166" i="12"/>
  <c r="G166" i="12"/>
  <c r="L166" i="12"/>
  <c r="F234" i="14"/>
  <c r="E234" i="14" s="1"/>
  <c r="L236" i="14"/>
  <c r="O237" i="14" s="1"/>
  <c r="L237" i="14" s="1"/>
  <c r="B236" i="14"/>
  <c r="D157" i="11"/>
  <c r="F156" i="11"/>
  <c r="O158" i="11"/>
  <c r="M158" i="11" s="1"/>
  <c r="R212" i="11"/>
  <c r="T213" i="11" s="1"/>
  <c r="Q213" i="11" s="1"/>
  <c r="M242" i="15"/>
  <c r="C242" i="15"/>
  <c r="G242" i="15" s="1"/>
  <c r="B242" i="15"/>
  <c r="L242" i="15"/>
  <c r="E241" i="15"/>
  <c r="R292" i="15"/>
  <c r="T311" i="14"/>
  <c r="R311" i="14" s="1"/>
  <c r="D236" i="14"/>
  <c r="Q311" i="12" l="1"/>
  <c r="T312" i="12"/>
  <c r="R312" i="12" s="1"/>
  <c r="O167" i="12"/>
  <c r="J167" i="12" s="1"/>
  <c r="C167" i="12" s="1"/>
  <c r="D166" i="12"/>
  <c r="F165" i="12"/>
  <c r="F235" i="14"/>
  <c r="E235" i="14" s="1"/>
  <c r="R213" i="11"/>
  <c r="T214" i="11" s="1"/>
  <c r="Q214" i="11" s="1"/>
  <c r="O159" i="11"/>
  <c r="J159" i="11" s="1"/>
  <c r="J158" i="11"/>
  <c r="L158" i="11"/>
  <c r="E156" i="11"/>
  <c r="F157" i="11"/>
  <c r="D242" i="15"/>
  <c r="F242" i="15" s="1"/>
  <c r="O243" i="15"/>
  <c r="L243" i="15" s="1"/>
  <c r="T293" i="15"/>
  <c r="Q293" i="15" s="1"/>
  <c r="J237" i="14"/>
  <c r="C237" i="14" s="1"/>
  <c r="M237" i="14"/>
  <c r="O238" i="14" s="1"/>
  <c r="J238" i="14" s="1"/>
  <c r="C238" i="14" s="1"/>
  <c r="Q311" i="14"/>
  <c r="L167" i="12" l="1"/>
  <c r="O168" i="12" s="1"/>
  <c r="M167" i="12"/>
  <c r="B167" i="12"/>
  <c r="Q312" i="12"/>
  <c r="T313" i="12"/>
  <c r="F166" i="12"/>
  <c r="E165" i="12"/>
  <c r="J168" i="12"/>
  <c r="C168" i="12" s="1"/>
  <c r="F236" i="14"/>
  <c r="E236" i="14" s="1"/>
  <c r="G167" i="12"/>
  <c r="L159" i="11"/>
  <c r="O160" i="11" s="1"/>
  <c r="J160" i="11" s="1"/>
  <c r="R214" i="11"/>
  <c r="T215" i="11" s="1"/>
  <c r="Q215" i="11" s="1"/>
  <c r="B159" i="11"/>
  <c r="C159" i="11"/>
  <c r="G159" i="11" s="1"/>
  <c r="B158" i="11"/>
  <c r="C158" i="11"/>
  <c r="E157" i="11"/>
  <c r="M159" i="11"/>
  <c r="R293" i="15"/>
  <c r="O244" i="15"/>
  <c r="J244" i="15" s="1"/>
  <c r="J243" i="15"/>
  <c r="M243" i="15"/>
  <c r="E242" i="15"/>
  <c r="M238" i="14"/>
  <c r="B237" i="14"/>
  <c r="G238" i="14"/>
  <c r="B238" i="14"/>
  <c r="T312" i="14"/>
  <c r="R312" i="14" s="1"/>
  <c r="L238" i="14"/>
  <c r="M168" i="12" l="1"/>
  <c r="Q313" i="12"/>
  <c r="B168" i="12"/>
  <c r="R313" i="12"/>
  <c r="D167" i="12"/>
  <c r="F167" i="12" s="1"/>
  <c r="G168" i="12"/>
  <c r="L168" i="12"/>
  <c r="O169" i="12" s="1"/>
  <c r="E166" i="12"/>
  <c r="R215" i="11"/>
  <c r="T216" i="11" s="1"/>
  <c r="Q216" i="11" s="1"/>
  <c r="M160" i="11"/>
  <c r="B160" i="11"/>
  <c r="C160" i="11"/>
  <c r="G160" i="11" s="1"/>
  <c r="L160" i="11"/>
  <c r="G158" i="11"/>
  <c r="D158" i="11"/>
  <c r="M244" i="15"/>
  <c r="C243" i="15"/>
  <c r="B243" i="15"/>
  <c r="C244" i="15"/>
  <c r="G244" i="15" s="1"/>
  <c r="B244" i="15"/>
  <c r="L244" i="15"/>
  <c r="T294" i="15"/>
  <c r="Q294" i="15" s="1"/>
  <c r="Q312" i="14"/>
  <c r="O239" i="14"/>
  <c r="G237" i="14"/>
  <c r="D237" i="14"/>
  <c r="T314" i="12" l="1"/>
  <c r="Q314" i="12" s="1"/>
  <c r="D168" i="12"/>
  <c r="F168" i="12" s="1"/>
  <c r="E167" i="12"/>
  <c r="O161" i="11"/>
  <c r="R216" i="11"/>
  <c r="D159" i="11"/>
  <c r="D160" i="11" s="1"/>
  <c r="F158" i="11"/>
  <c r="R294" i="15"/>
  <c r="O245" i="15"/>
  <c r="G243" i="15"/>
  <c r="D243" i="15"/>
  <c r="D238" i="14"/>
  <c r="F237" i="14"/>
  <c r="J239" i="14"/>
  <c r="C239" i="14" s="1"/>
  <c r="M239" i="14"/>
  <c r="L239" i="14"/>
  <c r="T313" i="14"/>
  <c r="R313" i="14" s="1"/>
  <c r="R314" i="12" l="1"/>
  <c r="J169" i="12"/>
  <c r="C169" i="12" s="1"/>
  <c r="M169" i="12"/>
  <c r="L169" i="12"/>
  <c r="E168" i="12"/>
  <c r="F159" i="11"/>
  <c r="E158" i="11"/>
  <c r="T217" i="11"/>
  <c r="Q217" i="11" s="1"/>
  <c r="J161" i="11"/>
  <c r="M161" i="11"/>
  <c r="L161" i="11"/>
  <c r="D244" i="15"/>
  <c r="F243" i="15"/>
  <c r="J245" i="15"/>
  <c r="M245" i="15"/>
  <c r="L245" i="15"/>
  <c r="T295" i="15"/>
  <c r="Q295" i="15" s="1"/>
  <c r="Q313" i="14"/>
  <c r="O240" i="14"/>
  <c r="J240" i="14" s="1"/>
  <c r="C240" i="14" s="1"/>
  <c r="G239" i="14"/>
  <c r="B239" i="14"/>
  <c r="E237" i="14"/>
  <c r="F238" i="14"/>
  <c r="B169" i="12" l="1"/>
  <c r="G169" i="12"/>
  <c r="T315" i="12"/>
  <c r="Q315" i="12" s="1"/>
  <c r="O170" i="12"/>
  <c r="J170" i="12" s="1"/>
  <c r="C170" i="12" s="1"/>
  <c r="O162" i="11"/>
  <c r="J162" i="11" s="1"/>
  <c r="B161" i="11"/>
  <c r="C161" i="11"/>
  <c r="R217" i="11"/>
  <c r="T218" i="11" s="1"/>
  <c r="Q218" i="11" s="1"/>
  <c r="F160" i="11"/>
  <c r="E159" i="11"/>
  <c r="R295" i="15"/>
  <c r="O246" i="15"/>
  <c r="J246" i="15" s="1"/>
  <c r="C245" i="15"/>
  <c r="G245" i="15" s="1"/>
  <c r="B245" i="15"/>
  <c r="F244" i="15"/>
  <c r="E243" i="15"/>
  <c r="M240" i="14"/>
  <c r="G240" i="14"/>
  <c r="B240" i="14"/>
  <c r="L240" i="14"/>
  <c r="D239" i="14"/>
  <c r="D240" i="14" s="1"/>
  <c r="T314" i="14"/>
  <c r="R314" i="14" s="1"/>
  <c r="E238" i="14"/>
  <c r="B170" i="12" l="1"/>
  <c r="M170" i="12"/>
  <c r="O171" i="12" s="1"/>
  <c r="J171" i="12" s="1"/>
  <c r="C171" i="12" s="1"/>
  <c r="R315" i="12"/>
  <c r="D169" i="12"/>
  <c r="G170" i="12"/>
  <c r="L170" i="12"/>
  <c r="R218" i="11"/>
  <c r="T219" i="11" s="1"/>
  <c r="Q219" i="11" s="1"/>
  <c r="G161" i="11"/>
  <c r="D161" i="11"/>
  <c r="M162" i="11"/>
  <c r="B162" i="11"/>
  <c r="C162" i="11"/>
  <c r="G162" i="11" s="1"/>
  <c r="E160" i="11"/>
  <c r="L162" i="11"/>
  <c r="D245" i="15"/>
  <c r="M246" i="15"/>
  <c r="C246" i="15"/>
  <c r="G246" i="15" s="1"/>
  <c r="B246" i="15"/>
  <c r="E244" i="15"/>
  <c r="L246" i="15"/>
  <c r="T296" i="15"/>
  <c r="Q296" i="15" s="1"/>
  <c r="Q314" i="14"/>
  <c r="O241" i="14"/>
  <c r="J241" i="14" s="1"/>
  <c r="C241" i="14" s="1"/>
  <c r="F239" i="14"/>
  <c r="L171" i="12" l="1"/>
  <c r="B171" i="12"/>
  <c r="T316" i="12"/>
  <c r="Q316" i="12" s="1"/>
  <c r="D170" i="12"/>
  <c r="M171" i="12"/>
  <c r="O172" i="12" s="1"/>
  <c r="G171" i="12"/>
  <c r="F169" i="12"/>
  <c r="R219" i="11"/>
  <c r="T220" i="11" s="1"/>
  <c r="Q220" i="11" s="1"/>
  <c r="D162" i="11"/>
  <c r="O163" i="11"/>
  <c r="J163" i="11" s="1"/>
  <c r="F161" i="11"/>
  <c r="D246" i="15"/>
  <c r="F245" i="15"/>
  <c r="R296" i="15"/>
  <c r="T297" i="15" s="1"/>
  <c r="R297" i="15" s="1"/>
  <c r="O247" i="15"/>
  <c r="J247" i="15" s="1"/>
  <c r="M241" i="14"/>
  <c r="E239" i="14"/>
  <c r="F240" i="14"/>
  <c r="L241" i="14"/>
  <c r="B241" i="14"/>
  <c r="T315" i="14"/>
  <c r="R315" i="14" s="1"/>
  <c r="R316" i="12" l="1"/>
  <c r="D171" i="12"/>
  <c r="E169" i="12"/>
  <c r="F170" i="12"/>
  <c r="M172" i="12"/>
  <c r="M163" i="11"/>
  <c r="R220" i="11"/>
  <c r="T221" i="11" s="1"/>
  <c r="Q221" i="11" s="1"/>
  <c r="L163" i="11"/>
  <c r="E161" i="11"/>
  <c r="F162" i="11"/>
  <c r="C163" i="11"/>
  <c r="B163" i="11"/>
  <c r="F246" i="15"/>
  <c r="E246" i="15" s="1"/>
  <c r="E245" i="15"/>
  <c r="Q297" i="15"/>
  <c r="C247" i="15"/>
  <c r="B247" i="15"/>
  <c r="L247" i="15"/>
  <c r="T298" i="15"/>
  <c r="M247" i="15"/>
  <c r="Q315" i="14"/>
  <c r="G241" i="14"/>
  <c r="D241" i="14"/>
  <c r="F241" i="14" s="1"/>
  <c r="O242" i="14"/>
  <c r="E240" i="14"/>
  <c r="T317" i="12" l="1"/>
  <c r="Q317" i="12" s="1"/>
  <c r="J172" i="12"/>
  <c r="C172" i="12" s="1"/>
  <c r="L172" i="12"/>
  <c r="O173" i="12" s="1"/>
  <c r="F171" i="12"/>
  <c r="E170" i="12"/>
  <c r="O164" i="11"/>
  <c r="J164" i="11" s="1"/>
  <c r="C164" i="11" s="1"/>
  <c r="G164" i="11" s="1"/>
  <c r="R221" i="11"/>
  <c r="T222" i="11" s="1"/>
  <c r="Q222" i="11" s="1"/>
  <c r="G163" i="11"/>
  <c r="D163" i="11"/>
  <c r="F163" i="11" s="1"/>
  <c r="E162" i="11"/>
  <c r="Q298" i="15"/>
  <c r="O248" i="15"/>
  <c r="J248" i="15" s="1"/>
  <c r="G247" i="15"/>
  <c r="D247" i="15"/>
  <c r="R298" i="15"/>
  <c r="E241" i="14"/>
  <c r="J242" i="14"/>
  <c r="C242" i="14" s="1"/>
  <c r="M242" i="14"/>
  <c r="L242" i="14"/>
  <c r="T316" i="14"/>
  <c r="R316" i="14" s="1"/>
  <c r="B172" i="12" l="1"/>
  <c r="R317" i="12"/>
  <c r="E171" i="12"/>
  <c r="G172" i="12"/>
  <c r="M164" i="11"/>
  <c r="O165" i="11" s="1"/>
  <c r="J165" i="11" s="1"/>
  <c r="C165" i="11" s="1"/>
  <c r="G165" i="11" s="1"/>
  <c r="B164" i="11"/>
  <c r="L164" i="11"/>
  <c r="R222" i="11"/>
  <c r="T223" i="11" s="1"/>
  <c r="Q223" i="11" s="1"/>
  <c r="E163" i="11"/>
  <c r="D164" i="11"/>
  <c r="M248" i="15"/>
  <c r="T299" i="15"/>
  <c r="Q299" i="15" s="1"/>
  <c r="F247" i="15"/>
  <c r="C248" i="15"/>
  <c r="G248" i="15" s="1"/>
  <c r="B248" i="15"/>
  <c r="L248" i="15"/>
  <c r="Q316" i="14"/>
  <c r="O243" i="14"/>
  <c r="J243" i="14" s="1"/>
  <c r="C243" i="14" s="1"/>
  <c r="B242" i="14"/>
  <c r="T318" i="12" l="1"/>
  <c r="Q318" i="12" s="1"/>
  <c r="D172" i="12"/>
  <c r="J173" i="12"/>
  <c r="C173" i="12" s="1"/>
  <c r="M173" i="12"/>
  <c r="O174" i="12" s="1"/>
  <c r="L173" i="12"/>
  <c r="M165" i="11"/>
  <c r="O166" i="11" s="1"/>
  <c r="B165" i="11"/>
  <c r="L165" i="11"/>
  <c r="R223" i="11"/>
  <c r="T224" i="11"/>
  <c r="Q224" i="11" s="1"/>
  <c r="D165" i="11"/>
  <c r="F164" i="11"/>
  <c r="E247" i="15"/>
  <c r="D248" i="15"/>
  <c r="O249" i="15"/>
  <c r="R299" i="15"/>
  <c r="G242" i="14"/>
  <c r="D242" i="14"/>
  <c r="M243" i="14"/>
  <c r="B243" i="14"/>
  <c r="G243" i="14"/>
  <c r="L243" i="14"/>
  <c r="T317" i="14"/>
  <c r="R317" i="14" s="1"/>
  <c r="B173" i="12" l="1"/>
  <c r="R318" i="12"/>
  <c r="F172" i="12"/>
  <c r="J174" i="12"/>
  <c r="C174" i="12" s="1"/>
  <c r="G173" i="12"/>
  <c r="L166" i="11"/>
  <c r="O167" i="11" s="1"/>
  <c r="J167" i="11" s="1"/>
  <c r="T225" i="11"/>
  <c r="Q225" i="11" s="1"/>
  <c r="J166" i="11"/>
  <c r="M166" i="11"/>
  <c r="E164" i="11"/>
  <c r="F165" i="11"/>
  <c r="R224" i="11"/>
  <c r="T300" i="15"/>
  <c r="Q300" i="15" s="1"/>
  <c r="J249" i="15"/>
  <c r="M249" i="15"/>
  <c r="L249" i="15"/>
  <c r="F248" i="15"/>
  <c r="Q317" i="14"/>
  <c r="O244" i="14"/>
  <c r="J244" i="14" s="1"/>
  <c r="C244" i="14" s="1"/>
  <c r="D243" i="14"/>
  <c r="F242" i="14"/>
  <c r="B174" i="12" l="1"/>
  <c r="T319" i="12"/>
  <c r="Q319" i="12" s="1"/>
  <c r="D173" i="12"/>
  <c r="M174" i="12"/>
  <c r="O175" i="12" s="1"/>
  <c r="G174" i="12"/>
  <c r="L174" i="12"/>
  <c r="E172" i="12"/>
  <c r="R225" i="11"/>
  <c r="L167" i="11"/>
  <c r="O168" i="11" s="1"/>
  <c r="J168" i="11" s="1"/>
  <c r="M167" i="11"/>
  <c r="T226" i="11"/>
  <c r="Q226" i="11" s="1"/>
  <c r="C166" i="11"/>
  <c r="B166" i="11"/>
  <c r="E165" i="11"/>
  <c r="C167" i="11"/>
  <c r="G167" i="11" s="1"/>
  <c r="B167" i="11"/>
  <c r="E248" i="15"/>
  <c r="O250" i="15"/>
  <c r="J250" i="15" s="1"/>
  <c r="C249" i="15"/>
  <c r="B249" i="15"/>
  <c r="R300" i="15"/>
  <c r="M244" i="14"/>
  <c r="F243" i="14"/>
  <c r="E242" i="14"/>
  <c r="G244" i="14"/>
  <c r="B244" i="14"/>
  <c r="L244" i="14"/>
  <c r="T318" i="14"/>
  <c r="R318" i="14" s="1"/>
  <c r="R319" i="12" l="1"/>
  <c r="D174" i="12"/>
  <c r="F173" i="12"/>
  <c r="E173" i="12" s="1"/>
  <c r="J175" i="12"/>
  <c r="C175" i="12" s="1"/>
  <c r="M168" i="11"/>
  <c r="R226" i="11"/>
  <c r="T227" i="11"/>
  <c r="Q227" i="11" s="1"/>
  <c r="G166" i="11"/>
  <c r="D166" i="11"/>
  <c r="C168" i="11"/>
  <c r="G168" i="11" s="1"/>
  <c r="B168" i="11"/>
  <c r="L168" i="11"/>
  <c r="G249" i="15"/>
  <c r="D249" i="15"/>
  <c r="M250" i="15"/>
  <c r="C250" i="15"/>
  <c r="G250" i="15" s="1"/>
  <c r="B250" i="15"/>
  <c r="L250" i="15"/>
  <c r="T301" i="15"/>
  <c r="Q301" i="15" s="1"/>
  <c r="Q318" i="14"/>
  <c r="T319" i="14" s="1"/>
  <c r="D244" i="14"/>
  <c r="F244" i="14" s="1"/>
  <c r="O245" i="14"/>
  <c r="L245" i="14" s="1"/>
  <c r="E243" i="14"/>
  <c r="B175" i="12" l="1"/>
  <c r="T320" i="12"/>
  <c r="Q320" i="12" s="1"/>
  <c r="F174" i="12"/>
  <c r="E174" i="12" s="1"/>
  <c r="M175" i="12"/>
  <c r="O176" i="12" s="1"/>
  <c r="J176" i="12" s="1"/>
  <c r="C176" i="12" s="1"/>
  <c r="G175" i="12"/>
  <c r="L175" i="12"/>
  <c r="T228" i="11"/>
  <c r="Q228" i="11" s="1"/>
  <c r="O169" i="11"/>
  <c r="D167" i="11"/>
  <c r="D168" i="11" s="1"/>
  <c r="F166" i="11"/>
  <c r="R227" i="11"/>
  <c r="R301" i="15"/>
  <c r="O251" i="15"/>
  <c r="J251" i="15" s="1"/>
  <c r="D250" i="15"/>
  <c r="F249" i="15"/>
  <c r="Q319" i="14"/>
  <c r="R319" i="14"/>
  <c r="J245" i="14"/>
  <c r="C245" i="14" s="1"/>
  <c r="M245" i="14"/>
  <c r="O246" i="14" s="1"/>
  <c r="J246" i="14" s="1"/>
  <c r="C246" i="14" s="1"/>
  <c r="E244" i="14"/>
  <c r="B176" i="12" l="1"/>
  <c r="R320" i="12"/>
  <c r="L176" i="12"/>
  <c r="D175" i="12"/>
  <c r="M176" i="12"/>
  <c r="O177" i="12" s="1"/>
  <c r="G176" i="12"/>
  <c r="T320" i="14"/>
  <c r="Q320" i="14" s="1"/>
  <c r="R228" i="11"/>
  <c r="T229" i="11"/>
  <c r="Q229" i="11" s="1"/>
  <c r="J169" i="11"/>
  <c r="M169" i="11"/>
  <c r="L169" i="11"/>
  <c r="F167" i="11"/>
  <c r="E166" i="11"/>
  <c r="M251" i="15"/>
  <c r="F250" i="15"/>
  <c r="E249" i="15"/>
  <c r="C251" i="15"/>
  <c r="G251" i="15" s="1"/>
  <c r="B251" i="15"/>
  <c r="L251" i="15"/>
  <c r="T302" i="15"/>
  <c r="Q302" i="15" s="1"/>
  <c r="G246" i="14"/>
  <c r="B246" i="14"/>
  <c r="L246" i="14"/>
  <c r="M246" i="14"/>
  <c r="B245" i="14"/>
  <c r="T321" i="12" l="1"/>
  <c r="Q321" i="12" s="1"/>
  <c r="D176" i="12"/>
  <c r="M177" i="12"/>
  <c r="O178" i="12" s="1"/>
  <c r="F175" i="12"/>
  <c r="R320" i="14"/>
  <c r="T321" i="14" s="1"/>
  <c r="Q321" i="14" s="1"/>
  <c r="T322" i="14" s="1"/>
  <c r="Q322" i="14" s="1"/>
  <c r="O252" i="15"/>
  <c r="J252" i="15" s="1"/>
  <c r="C252" i="15" s="1"/>
  <c r="G252" i="15" s="1"/>
  <c r="R229" i="11"/>
  <c r="T230" i="11" s="1"/>
  <c r="Q230" i="11" s="1"/>
  <c r="E167" i="11"/>
  <c r="F168" i="11"/>
  <c r="O170" i="11"/>
  <c r="J170" i="11" s="1"/>
  <c r="C169" i="11"/>
  <c r="B169" i="11"/>
  <c r="D251" i="15"/>
  <c r="R302" i="15"/>
  <c r="E250" i="15"/>
  <c r="O247" i="14"/>
  <c r="J247" i="14" s="1"/>
  <c r="C247" i="14" s="1"/>
  <c r="G245" i="14"/>
  <c r="D245" i="14"/>
  <c r="R321" i="12" l="1"/>
  <c r="J178" i="12"/>
  <c r="C178" i="12" s="1"/>
  <c r="M178" i="12"/>
  <c r="O179" i="12" s="1"/>
  <c r="F176" i="12"/>
  <c r="E175" i="12"/>
  <c r="J177" i="12"/>
  <c r="C177" i="12" s="1"/>
  <c r="L177" i="12"/>
  <c r="L178" i="12" s="1"/>
  <c r="M252" i="15"/>
  <c r="O253" i="15" s="1"/>
  <c r="B252" i="15"/>
  <c r="R321" i="14"/>
  <c r="R322" i="14" s="1"/>
  <c r="T323" i="14" s="1"/>
  <c r="Q323" i="14" s="1"/>
  <c r="L252" i="15"/>
  <c r="M170" i="11"/>
  <c r="T231" i="11"/>
  <c r="Q231" i="11" s="1"/>
  <c r="C170" i="11"/>
  <c r="G170" i="11" s="1"/>
  <c r="B170" i="11"/>
  <c r="L170" i="11"/>
  <c r="E168" i="11"/>
  <c r="G169" i="11"/>
  <c r="D169" i="11"/>
  <c r="F169" i="11" s="1"/>
  <c r="R230" i="11"/>
  <c r="D252" i="15"/>
  <c r="F251" i="15"/>
  <c r="T303" i="15"/>
  <c r="Q303" i="15" s="1"/>
  <c r="D246" i="14"/>
  <c r="F245" i="14"/>
  <c r="L247" i="14"/>
  <c r="B247" i="14"/>
  <c r="G247" i="14"/>
  <c r="M247" i="14"/>
  <c r="L179" i="12" l="1"/>
  <c r="B177" i="12"/>
  <c r="B178" i="12"/>
  <c r="G178" i="12"/>
  <c r="T322" i="12"/>
  <c r="Q322" i="12" s="1"/>
  <c r="G177" i="12"/>
  <c r="E176" i="12"/>
  <c r="M179" i="12"/>
  <c r="O180" i="12" s="1"/>
  <c r="J179" i="12"/>
  <c r="C179" i="12" s="1"/>
  <c r="R231" i="11"/>
  <c r="T232" i="11"/>
  <c r="Q232" i="11" s="1"/>
  <c r="E169" i="11"/>
  <c r="D170" i="11"/>
  <c r="F170" i="11" s="1"/>
  <c r="O171" i="11"/>
  <c r="F252" i="15"/>
  <c r="E252" i="15" s="1"/>
  <c r="E251" i="15"/>
  <c r="J253" i="15"/>
  <c r="L253" i="15"/>
  <c r="M253" i="15"/>
  <c r="R303" i="15"/>
  <c r="O248" i="14"/>
  <c r="J248" i="14" s="1"/>
  <c r="C248" i="14" s="1"/>
  <c r="R323" i="14"/>
  <c r="T324" i="14" s="1"/>
  <c r="Q324" i="14" s="1"/>
  <c r="F246" i="14"/>
  <c r="E245" i="14"/>
  <c r="D247" i="14"/>
  <c r="B179" i="12" l="1"/>
  <c r="R322" i="12"/>
  <c r="D177" i="12"/>
  <c r="D178" i="12" s="1"/>
  <c r="G179" i="12"/>
  <c r="M180" i="12"/>
  <c r="E170" i="11"/>
  <c r="J171" i="11"/>
  <c r="M171" i="11"/>
  <c r="L171" i="11"/>
  <c r="R232" i="11"/>
  <c r="T304" i="15"/>
  <c r="Q304" i="15" s="1"/>
  <c r="O254" i="15"/>
  <c r="J254" i="15" s="1"/>
  <c r="C253" i="15"/>
  <c r="B253" i="15"/>
  <c r="R324" i="14"/>
  <c r="T325" i="14" s="1"/>
  <c r="Q325" i="14" s="1"/>
  <c r="F247" i="14"/>
  <c r="E246" i="14"/>
  <c r="G248" i="14"/>
  <c r="B248" i="14"/>
  <c r="L248" i="14"/>
  <c r="M248" i="14"/>
  <c r="T323" i="12" l="1"/>
  <c r="Q323" i="12" s="1"/>
  <c r="D179" i="12"/>
  <c r="F177" i="12"/>
  <c r="J180" i="12"/>
  <c r="C180" i="12" s="1"/>
  <c r="L180" i="12"/>
  <c r="O181" i="12" s="1"/>
  <c r="T233" i="11"/>
  <c r="Q233" i="11" s="1"/>
  <c r="O172" i="11"/>
  <c r="J172" i="11" s="1"/>
  <c r="C171" i="11"/>
  <c r="B171" i="11"/>
  <c r="G253" i="15"/>
  <c r="D253" i="15"/>
  <c r="L254" i="15"/>
  <c r="C254" i="15"/>
  <c r="G254" i="15" s="1"/>
  <c r="B254" i="15"/>
  <c r="M254" i="15"/>
  <c r="R304" i="15"/>
  <c r="R325" i="14"/>
  <c r="T326" i="14" s="1"/>
  <c r="Q326" i="14" s="1"/>
  <c r="O249" i="14"/>
  <c r="J249" i="14" s="1"/>
  <c r="C249" i="14" s="1"/>
  <c r="E247" i="14"/>
  <c r="D248" i="14"/>
  <c r="F248" i="14" s="1"/>
  <c r="B180" i="12" l="1"/>
  <c r="R323" i="12"/>
  <c r="T324" i="12"/>
  <c r="Q324" i="12" s="1"/>
  <c r="G180" i="12"/>
  <c r="E177" i="12"/>
  <c r="F178" i="12"/>
  <c r="R233" i="11"/>
  <c r="T234" i="11" s="1"/>
  <c r="Q234" i="11" s="1"/>
  <c r="M172" i="11"/>
  <c r="L172" i="11"/>
  <c r="C172" i="11"/>
  <c r="G172" i="11" s="1"/>
  <c r="B172" i="11"/>
  <c r="G171" i="11"/>
  <c r="D171" i="11"/>
  <c r="O255" i="15"/>
  <c r="J255" i="15" s="1"/>
  <c r="D254" i="15"/>
  <c r="F253" i="15"/>
  <c r="T305" i="15"/>
  <c r="Q305" i="15" s="1"/>
  <c r="M249" i="14"/>
  <c r="E248" i="14"/>
  <c r="L249" i="14"/>
  <c r="B249" i="14"/>
  <c r="G249" i="14"/>
  <c r="R326" i="14"/>
  <c r="T327" i="14" s="1"/>
  <c r="Q327" i="14" s="1"/>
  <c r="R324" i="12" l="1"/>
  <c r="T325" i="12"/>
  <c r="Q325" i="12" s="1"/>
  <c r="D180" i="12"/>
  <c r="O173" i="11"/>
  <c r="J173" i="11" s="1"/>
  <c r="C173" i="11" s="1"/>
  <c r="G173" i="11" s="1"/>
  <c r="E178" i="12"/>
  <c r="F179" i="12"/>
  <c r="J181" i="12"/>
  <c r="C181" i="12" s="1"/>
  <c r="M181" i="12"/>
  <c r="L181" i="12"/>
  <c r="O182" i="12" s="1"/>
  <c r="R234" i="11"/>
  <c r="T235" i="11" s="1"/>
  <c r="Q235" i="11" s="1"/>
  <c r="D172" i="11"/>
  <c r="F171" i="11"/>
  <c r="L255" i="15"/>
  <c r="R305" i="15"/>
  <c r="F254" i="15"/>
  <c r="E253" i="15"/>
  <c r="C255" i="15"/>
  <c r="G255" i="15" s="1"/>
  <c r="B255" i="15"/>
  <c r="M255" i="15"/>
  <c r="O250" i="14"/>
  <c r="D249" i="14"/>
  <c r="R327" i="14"/>
  <c r="T328" i="14" s="1"/>
  <c r="Q328" i="14" s="1"/>
  <c r="B181" i="12" l="1"/>
  <c r="R325" i="12"/>
  <c r="T326" i="12"/>
  <c r="Q326" i="12" s="1"/>
  <c r="B173" i="11"/>
  <c r="L173" i="11"/>
  <c r="M173" i="11"/>
  <c r="O174" i="11" s="1"/>
  <c r="J182" i="12"/>
  <c r="C182" i="12" s="1"/>
  <c r="M182" i="12"/>
  <c r="O183" i="12" s="1"/>
  <c r="G181" i="12"/>
  <c r="F180" i="12"/>
  <c r="E179" i="12"/>
  <c r="R235" i="11"/>
  <c r="T236" i="11" s="1"/>
  <c r="Q236" i="11" s="1"/>
  <c r="D173" i="11"/>
  <c r="E171" i="11"/>
  <c r="F172" i="11"/>
  <c r="R328" i="14"/>
  <c r="T329" i="14" s="1"/>
  <c r="Q329" i="14" s="1"/>
  <c r="D255" i="15"/>
  <c r="F255" i="15" s="1"/>
  <c r="E254" i="15"/>
  <c r="T306" i="15"/>
  <c r="Q306" i="15" s="1"/>
  <c r="O256" i="15"/>
  <c r="F249" i="14"/>
  <c r="J250" i="14"/>
  <c r="C250" i="14" s="1"/>
  <c r="M250" i="14"/>
  <c r="L250" i="14"/>
  <c r="B182" i="12" l="1"/>
  <c r="R326" i="12"/>
  <c r="T327" i="12" s="1"/>
  <c r="Q327" i="12" s="1"/>
  <c r="J174" i="11"/>
  <c r="L174" i="11"/>
  <c r="M174" i="11"/>
  <c r="O175" i="11" s="1"/>
  <c r="J175" i="11" s="1"/>
  <c r="C175" i="11" s="1"/>
  <c r="G175" i="11" s="1"/>
  <c r="D181" i="12"/>
  <c r="E180" i="12"/>
  <c r="M183" i="12"/>
  <c r="O184" i="12" s="1"/>
  <c r="J183" i="12"/>
  <c r="C183" i="12" s="1"/>
  <c r="G182" i="12"/>
  <c r="L182" i="12"/>
  <c r="L183" i="12" s="1"/>
  <c r="R236" i="11"/>
  <c r="T237" i="11" s="1"/>
  <c r="Q237" i="11" s="1"/>
  <c r="E172" i="11"/>
  <c r="F173" i="11"/>
  <c r="J256" i="15"/>
  <c r="L256" i="15"/>
  <c r="M256" i="15"/>
  <c r="R306" i="15"/>
  <c r="E255" i="15"/>
  <c r="B250" i="14"/>
  <c r="E249" i="14"/>
  <c r="R329" i="14"/>
  <c r="T330" i="14" s="1"/>
  <c r="Q330" i="14" s="1"/>
  <c r="O251" i="14"/>
  <c r="J251" i="14" s="1"/>
  <c r="C251" i="14" s="1"/>
  <c r="B183" i="12" l="1"/>
  <c r="R327" i="12"/>
  <c r="B175" i="11"/>
  <c r="L175" i="11"/>
  <c r="M175" i="11"/>
  <c r="O176" i="11" s="1"/>
  <c r="B174" i="11"/>
  <c r="C174" i="11"/>
  <c r="D182" i="12"/>
  <c r="J184" i="12"/>
  <c r="C184" i="12" s="1"/>
  <c r="M184" i="12"/>
  <c r="O185" i="12" s="1"/>
  <c r="G183" i="12"/>
  <c r="F181" i="12"/>
  <c r="L184" i="12"/>
  <c r="R237" i="11"/>
  <c r="T238" i="11" s="1"/>
  <c r="Q238" i="11" s="1"/>
  <c r="E173" i="11"/>
  <c r="R330" i="14"/>
  <c r="T331" i="14" s="1"/>
  <c r="Q331" i="14" s="1"/>
  <c r="T307" i="15"/>
  <c r="Q307" i="15" s="1"/>
  <c r="O257" i="15"/>
  <c r="J257" i="15" s="1"/>
  <c r="C256" i="15"/>
  <c r="B256" i="15"/>
  <c r="L251" i="14"/>
  <c r="M251" i="14"/>
  <c r="G250" i="14"/>
  <c r="D250" i="14"/>
  <c r="B251" i="14"/>
  <c r="G251" i="14"/>
  <c r="B184" i="12" l="1"/>
  <c r="G184" i="12"/>
  <c r="T328" i="12"/>
  <c r="Q328" i="12" s="1"/>
  <c r="G174" i="11"/>
  <c r="D174" i="11"/>
  <c r="L185" i="12"/>
  <c r="D183" i="12"/>
  <c r="F182" i="12"/>
  <c r="E181" i="12"/>
  <c r="M185" i="12"/>
  <c r="O186" i="12" s="1"/>
  <c r="J185" i="12"/>
  <c r="C185" i="12" s="1"/>
  <c r="O252" i="14"/>
  <c r="J252" i="14" s="1"/>
  <c r="C252" i="14" s="1"/>
  <c r="G252" i="14" s="1"/>
  <c r="R238" i="11"/>
  <c r="T239" i="11" s="1"/>
  <c r="Q239" i="11" s="1"/>
  <c r="J176" i="11"/>
  <c r="L176" i="11"/>
  <c r="M176" i="11"/>
  <c r="G256" i="15"/>
  <c r="D256" i="15"/>
  <c r="L257" i="15"/>
  <c r="C257" i="15"/>
  <c r="G257" i="15" s="1"/>
  <c r="B257" i="15"/>
  <c r="M257" i="15"/>
  <c r="R307" i="15"/>
  <c r="R331" i="14"/>
  <c r="T332" i="14" s="1"/>
  <c r="Q332" i="14" s="1"/>
  <c r="D251" i="14"/>
  <c r="F250" i="14"/>
  <c r="B185" i="12" l="1"/>
  <c r="R328" i="12"/>
  <c r="D175" i="11"/>
  <c r="F174" i="11"/>
  <c r="D184" i="12"/>
  <c r="L252" i="14"/>
  <c r="D252" i="14"/>
  <c r="B252" i="14"/>
  <c r="G185" i="12"/>
  <c r="M186" i="12"/>
  <c r="E182" i="12"/>
  <c r="F183" i="12"/>
  <c r="M252" i="14"/>
  <c r="O253" i="14" s="1"/>
  <c r="R239" i="11"/>
  <c r="T240" i="11" s="1"/>
  <c r="Q240" i="11" s="1"/>
  <c r="O177" i="11"/>
  <c r="J177" i="11" s="1"/>
  <c r="C176" i="11"/>
  <c r="B176" i="11"/>
  <c r="R332" i="14"/>
  <c r="T333" i="14" s="1"/>
  <c r="Q333" i="14" s="1"/>
  <c r="O258" i="15"/>
  <c r="J258" i="15" s="1"/>
  <c r="D257" i="15"/>
  <c r="F256" i="15"/>
  <c r="T308" i="15"/>
  <c r="Q308" i="15" s="1"/>
  <c r="F251" i="14"/>
  <c r="E250" i="14"/>
  <c r="T329" i="12" l="1"/>
  <c r="Q329" i="12" s="1"/>
  <c r="F175" i="11"/>
  <c r="E175" i="11" s="1"/>
  <c r="E174" i="11"/>
  <c r="D185" i="12"/>
  <c r="R240" i="11"/>
  <c r="T241" i="11" s="1"/>
  <c r="Q241" i="11" s="1"/>
  <c r="E183" i="12"/>
  <c r="F184" i="12"/>
  <c r="J186" i="12"/>
  <c r="C186" i="12" s="1"/>
  <c r="L186" i="12"/>
  <c r="L177" i="11"/>
  <c r="B177" i="11"/>
  <c r="C177" i="11"/>
  <c r="G177" i="11" s="1"/>
  <c r="M177" i="11"/>
  <c r="G176" i="11"/>
  <c r="D176" i="11"/>
  <c r="L258" i="15"/>
  <c r="R308" i="15"/>
  <c r="T309" i="15" s="1"/>
  <c r="Q309" i="15" s="1"/>
  <c r="F257" i="15"/>
  <c r="E256" i="15"/>
  <c r="C258" i="15"/>
  <c r="G258" i="15" s="1"/>
  <c r="B258" i="15"/>
  <c r="M258" i="15"/>
  <c r="R333" i="14"/>
  <c r="T334" i="14" s="1"/>
  <c r="Q334" i="14" s="1"/>
  <c r="F252" i="14"/>
  <c r="E251" i="14"/>
  <c r="J253" i="14"/>
  <c r="C253" i="14" s="1"/>
  <c r="L253" i="14"/>
  <c r="M253" i="14"/>
  <c r="B186" i="12" l="1"/>
  <c r="R329" i="12"/>
  <c r="O187" i="12"/>
  <c r="J187" i="12" s="1"/>
  <c r="C187" i="12" s="1"/>
  <c r="R241" i="11"/>
  <c r="T242" i="11" s="1"/>
  <c r="Q242" i="11" s="1"/>
  <c r="G186" i="12"/>
  <c r="F185" i="12"/>
  <c r="E184" i="12"/>
  <c r="O178" i="11"/>
  <c r="D177" i="11"/>
  <c r="F176" i="11"/>
  <c r="R309" i="15"/>
  <c r="R334" i="14"/>
  <c r="T335" i="14" s="1"/>
  <c r="Q335" i="14" s="1"/>
  <c r="T310" i="15"/>
  <c r="Q310" i="15" s="1"/>
  <c r="D258" i="15"/>
  <c r="F258" i="15" s="1"/>
  <c r="E257" i="15"/>
  <c r="O259" i="15"/>
  <c r="M259" i="15" s="1"/>
  <c r="O254" i="14"/>
  <c r="J254" i="14" s="1"/>
  <c r="C254" i="14" s="1"/>
  <c r="B253" i="14"/>
  <c r="E252" i="14"/>
  <c r="M187" i="12" l="1"/>
  <c r="B187" i="12"/>
  <c r="G187" i="12"/>
  <c r="R242" i="11"/>
  <c r="T243" i="11" s="1"/>
  <c r="Q243" i="11" s="1"/>
  <c r="T330" i="12"/>
  <c r="Q330" i="12" s="1"/>
  <c r="L187" i="12"/>
  <c r="O188" i="12" s="1"/>
  <c r="J188" i="12" s="1"/>
  <c r="C188" i="12" s="1"/>
  <c r="D186" i="12"/>
  <c r="E185" i="12"/>
  <c r="E176" i="11"/>
  <c r="F177" i="11"/>
  <c r="J178" i="11"/>
  <c r="L178" i="11"/>
  <c r="M178" i="11"/>
  <c r="R310" i="15"/>
  <c r="T311" i="15"/>
  <c r="Q311" i="15" s="1"/>
  <c r="E258" i="15"/>
  <c r="J259" i="15"/>
  <c r="L259" i="15"/>
  <c r="O260" i="15" s="1"/>
  <c r="J260" i="15" s="1"/>
  <c r="L254" i="14"/>
  <c r="R335" i="14"/>
  <c r="T336" i="14" s="1"/>
  <c r="Q336" i="14" s="1"/>
  <c r="G253" i="14"/>
  <c r="D253" i="14"/>
  <c r="B254" i="14"/>
  <c r="G254" i="14"/>
  <c r="M254" i="14"/>
  <c r="M188" i="12" l="1"/>
  <c r="D187" i="12"/>
  <c r="B188" i="12"/>
  <c r="G188" i="12"/>
  <c r="R243" i="11"/>
  <c r="T244" i="11" s="1"/>
  <c r="Q244" i="11" s="1"/>
  <c r="L188" i="12"/>
  <c r="R330" i="12"/>
  <c r="F186" i="12"/>
  <c r="O179" i="11"/>
  <c r="J179" i="11" s="1"/>
  <c r="B178" i="11"/>
  <c r="C178" i="11"/>
  <c r="E177" i="11"/>
  <c r="R311" i="15"/>
  <c r="C259" i="15"/>
  <c r="B259" i="15"/>
  <c r="C260" i="15"/>
  <c r="G260" i="15" s="1"/>
  <c r="B260" i="15"/>
  <c r="L260" i="15"/>
  <c r="M260" i="15"/>
  <c r="R336" i="14"/>
  <c r="T337" i="14" s="1"/>
  <c r="Q337" i="14" s="1"/>
  <c r="D254" i="14"/>
  <c r="F253" i="14"/>
  <c r="O255" i="14"/>
  <c r="O189" i="12" l="1"/>
  <c r="R244" i="11"/>
  <c r="T245" i="11" s="1"/>
  <c r="Q245" i="11" s="1"/>
  <c r="D188" i="12"/>
  <c r="J189" i="12"/>
  <c r="C189" i="12" s="1"/>
  <c r="L189" i="12"/>
  <c r="O190" i="12" s="1"/>
  <c r="E186" i="12"/>
  <c r="F187" i="12"/>
  <c r="M189" i="12"/>
  <c r="L179" i="11"/>
  <c r="R245" i="11"/>
  <c r="T246" i="11" s="1"/>
  <c r="Q246" i="11" s="1"/>
  <c r="G178" i="11"/>
  <c r="D178" i="11"/>
  <c r="B179" i="11"/>
  <c r="C179" i="11"/>
  <c r="G179" i="11" s="1"/>
  <c r="M179" i="11"/>
  <c r="T312" i="15"/>
  <c r="Q312" i="15" s="1"/>
  <c r="O261" i="15"/>
  <c r="J261" i="15" s="1"/>
  <c r="G259" i="15"/>
  <c r="D259" i="15"/>
  <c r="R337" i="14"/>
  <c r="T338" i="14" s="1"/>
  <c r="Q338" i="14" s="1"/>
  <c r="J255" i="14"/>
  <c r="C255" i="14" s="1"/>
  <c r="L255" i="14"/>
  <c r="M255" i="14"/>
  <c r="F254" i="14"/>
  <c r="E253" i="14"/>
  <c r="B189" i="12" l="1"/>
  <c r="E187" i="12"/>
  <c r="F188" i="12"/>
  <c r="G189" i="12"/>
  <c r="J190" i="12"/>
  <c r="C190" i="12" s="1"/>
  <c r="O180" i="11"/>
  <c r="D179" i="11"/>
  <c r="F178" i="11"/>
  <c r="R246" i="11"/>
  <c r="T247" i="11" s="1"/>
  <c r="Q247" i="11" s="1"/>
  <c r="M261" i="15"/>
  <c r="R312" i="15"/>
  <c r="D260" i="15"/>
  <c r="F259" i="15"/>
  <c r="C261" i="15"/>
  <c r="G261" i="15" s="1"/>
  <c r="B261" i="15"/>
  <c r="L261" i="15"/>
  <c r="R338" i="14"/>
  <c r="T339" i="14" s="1"/>
  <c r="Q339" i="14" s="1"/>
  <c r="E254" i="14"/>
  <c r="O256" i="14"/>
  <c r="J256" i="14" s="1"/>
  <c r="C256" i="14" s="1"/>
  <c r="B255" i="14"/>
  <c r="B190" i="12" l="1"/>
  <c r="D189" i="12"/>
  <c r="F189" i="12" s="1"/>
  <c r="G190" i="12"/>
  <c r="L190" i="12"/>
  <c r="E188" i="12"/>
  <c r="M190" i="12"/>
  <c r="O262" i="15"/>
  <c r="J262" i="15" s="1"/>
  <c r="C262" i="15" s="1"/>
  <c r="G262" i="15" s="1"/>
  <c r="T313" i="15"/>
  <c r="Q313" i="15" s="1"/>
  <c r="R247" i="11"/>
  <c r="T248" i="11" s="1"/>
  <c r="Q248" i="11" s="1"/>
  <c r="J180" i="11"/>
  <c r="L180" i="11"/>
  <c r="M180" i="11"/>
  <c r="F179" i="11"/>
  <c r="E178" i="11"/>
  <c r="E259" i="15"/>
  <c r="F260" i="15"/>
  <c r="D261" i="15"/>
  <c r="R339" i="14"/>
  <c r="T340" i="14" s="1"/>
  <c r="Q340" i="14" s="1"/>
  <c r="L256" i="14"/>
  <c r="M256" i="14"/>
  <c r="G256" i="14"/>
  <c r="B256" i="14"/>
  <c r="G255" i="14"/>
  <c r="D255" i="14"/>
  <c r="O191" i="12" l="1"/>
  <c r="J191" i="12" s="1"/>
  <c r="C191" i="12" s="1"/>
  <c r="D190" i="12"/>
  <c r="F190" i="12" s="1"/>
  <c r="M262" i="15"/>
  <c r="B262" i="15"/>
  <c r="E189" i="12"/>
  <c r="L262" i="15"/>
  <c r="O263" i="15" s="1"/>
  <c r="J263" i="15" s="1"/>
  <c r="R313" i="15"/>
  <c r="T314" i="15" s="1"/>
  <c r="R314" i="15" s="1"/>
  <c r="R248" i="11"/>
  <c r="T249" i="11" s="1"/>
  <c r="Q249" i="11" s="1"/>
  <c r="E179" i="11"/>
  <c r="O181" i="11"/>
  <c r="J181" i="11" s="1"/>
  <c r="B180" i="11"/>
  <c r="C180" i="11"/>
  <c r="D262" i="15"/>
  <c r="F261" i="15"/>
  <c r="E260" i="15"/>
  <c r="R340" i="14"/>
  <c r="O257" i="14"/>
  <c r="D256" i="14"/>
  <c r="F255" i="14"/>
  <c r="B191" i="12" l="1"/>
  <c r="G191" i="12"/>
  <c r="M191" i="12"/>
  <c r="L191" i="12"/>
  <c r="E190" i="12"/>
  <c r="Q314" i="15"/>
  <c r="R249" i="11"/>
  <c r="T250" i="11" s="1"/>
  <c r="Q250" i="11" s="1"/>
  <c r="G180" i="11"/>
  <c r="D180" i="11"/>
  <c r="B181" i="11"/>
  <c r="C181" i="11"/>
  <c r="G181" i="11" s="1"/>
  <c r="M181" i="11"/>
  <c r="L181" i="11"/>
  <c r="L263" i="15"/>
  <c r="C263" i="15"/>
  <c r="B263" i="15"/>
  <c r="M263" i="15"/>
  <c r="E261" i="15"/>
  <c r="F262" i="15"/>
  <c r="T315" i="15"/>
  <c r="R315" i="15" s="1"/>
  <c r="F256" i="14"/>
  <c r="E255" i="14"/>
  <c r="J257" i="14"/>
  <c r="C257" i="14" s="1"/>
  <c r="L257" i="14"/>
  <c r="M257" i="14"/>
  <c r="T341" i="14"/>
  <c r="Q341" i="14" s="1"/>
  <c r="O192" i="12" l="1"/>
  <c r="J192" i="12" s="1"/>
  <c r="C192" i="12" s="1"/>
  <c r="D191" i="12"/>
  <c r="R250" i="11"/>
  <c r="T251" i="11" s="1"/>
  <c r="Q251" i="11" s="1"/>
  <c r="D181" i="11"/>
  <c r="F180" i="11"/>
  <c r="O182" i="11"/>
  <c r="J182" i="11" s="1"/>
  <c r="Q315" i="15"/>
  <c r="E262" i="15"/>
  <c r="O264" i="15"/>
  <c r="G263" i="15"/>
  <c r="D263" i="15"/>
  <c r="R341" i="14"/>
  <c r="O258" i="14"/>
  <c r="J258" i="14" s="1"/>
  <c r="C258" i="14" s="1"/>
  <c r="B257" i="14"/>
  <c r="E256" i="14"/>
  <c r="B192" i="12" l="1"/>
  <c r="G192" i="12"/>
  <c r="M192" i="12"/>
  <c r="F191" i="12"/>
  <c r="L192" i="12"/>
  <c r="O193" i="12" s="1"/>
  <c r="R251" i="11"/>
  <c r="T252" i="11" s="1"/>
  <c r="Q252" i="11" s="1"/>
  <c r="B182" i="11"/>
  <c r="C182" i="11"/>
  <c r="G182" i="11" s="1"/>
  <c r="L182" i="11"/>
  <c r="M182" i="11"/>
  <c r="F181" i="11"/>
  <c r="E180" i="11"/>
  <c r="J264" i="15"/>
  <c r="L264" i="15"/>
  <c r="M264" i="15"/>
  <c r="F263" i="15"/>
  <c r="T316" i="15"/>
  <c r="R316" i="15" s="1"/>
  <c r="L258" i="14"/>
  <c r="G257" i="14"/>
  <c r="D257" i="14"/>
  <c r="M258" i="14"/>
  <c r="G258" i="14"/>
  <c r="B258" i="14"/>
  <c r="T342" i="14"/>
  <c r="Q342" i="14" s="1"/>
  <c r="D192" i="12" l="1"/>
  <c r="J193" i="12"/>
  <c r="C193" i="12" s="1"/>
  <c r="E191" i="12"/>
  <c r="F192" i="12"/>
  <c r="M193" i="12"/>
  <c r="R252" i="11"/>
  <c r="T253" i="11" s="1"/>
  <c r="Q253" i="11" s="1"/>
  <c r="D182" i="11"/>
  <c r="F182" i="11" s="1"/>
  <c r="O183" i="11"/>
  <c r="J183" i="11" s="1"/>
  <c r="E181" i="11"/>
  <c r="Q316" i="15"/>
  <c r="E263" i="15"/>
  <c r="O265" i="15"/>
  <c r="J265" i="15" s="1"/>
  <c r="C264" i="15"/>
  <c r="B264" i="15"/>
  <c r="R342" i="14"/>
  <c r="T343" i="14" s="1"/>
  <c r="Q343" i="14" s="1"/>
  <c r="O259" i="14"/>
  <c r="D258" i="14"/>
  <c r="F257" i="14"/>
  <c r="B193" i="12" l="1"/>
  <c r="G193" i="12"/>
  <c r="E192" i="12"/>
  <c r="L193" i="12"/>
  <c r="O194" i="12" s="1"/>
  <c r="R253" i="11"/>
  <c r="T254" i="11" s="1"/>
  <c r="Q254" i="11" s="1"/>
  <c r="E182" i="11"/>
  <c r="L183" i="11"/>
  <c r="B183" i="11"/>
  <c r="C183" i="11"/>
  <c r="M183" i="11"/>
  <c r="C265" i="15"/>
  <c r="G265" i="15" s="1"/>
  <c r="B265" i="15"/>
  <c r="L265" i="15"/>
  <c r="M265" i="15"/>
  <c r="G264" i="15"/>
  <c r="D264" i="15"/>
  <c r="T317" i="15"/>
  <c r="R317" i="15" s="1"/>
  <c r="R343" i="14"/>
  <c r="T344" i="14" s="1"/>
  <c r="Q344" i="14" s="1"/>
  <c r="J259" i="14"/>
  <c r="C259" i="14" s="1"/>
  <c r="L259" i="14"/>
  <c r="M259" i="14"/>
  <c r="F258" i="14"/>
  <c r="E257" i="14"/>
  <c r="D193" i="12" l="1"/>
  <c r="R254" i="11"/>
  <c r="T255" i="11"/>
  <c r="Q255" i="11" s="1"/>
  <c r="G183" i="11"/>
  <c r="D183" i="11"/>
  <c r="O184" i="11"/>
  <c r="J184" i="11" s="1"/>
  <c r="Q317" i="15"/>
  <c r="D265" i="15"/>
  <c r="F264" i="15"/>
  <c r="O266" i="15"/>
  <c r="J266" i="15" s="1"/>
  <c r="R344" i="14"/>
  <c r="T345" i="14" s="1"/>
  <c r="O260" i="14"/>
  <c r="J260" i="14" s="1"/>
  <c r="C260" i="14" s="1"/>
  <c r="E258" i="14"/>
  <c r="B259" i="14"/>
  <c r="J194" i="12" l="1"/>
  <c r="C194" i="12" s="1"/>
  <c r="M194" i="12"/>
  <c r="L194" i="12"/>
  <c r="O195" i="12" s="1"/>
  <c r="F193" i="12"/>
  <c r="M184" i="11"/>
  <c r="T256" i="11"/>
  <c r="Q256" i="11" s="1"/>
  <c r="B184" i="11"/>
  <c r="C184" i="11"/>
  <c r="G184" i="11" s="1"/>
  <c r="L184" i="11"/>
  <c r="F183" i="11"/>
  <c r="R255" i="11"/>
  <c r="C266" i="15"/>
  <c r="G266" i="15" s="1"/>
  <c r="B266" i="15"/>
  <c r="L266" i="15"/>
  <c r="M266" i="15"/>
  <c r="F265" i="15"/>
  <c r="E264" i="15"/>
  <c r="T318" i="15"/>
  <c r="R318" i="15" s="1"/>
  <c r="Q345" i="14"/>
  <c r="R345" i="14"/>
  <c r="T346" i="14" s="1"/>
  <c r="L260" i="14"/>
  <c r="G260" i="14"/>
  <c r="B260" i="14"/>
  <c r="M260" i="14"/>
  <c r="G259" i="14"/>
  <c r="D259" i="14"/>
  <c r="B194" i="12" l="1"/>
  <c r="E193" i="12"/>
  <c r="J195" i="12"/>
  <c r="C195" i="12" s="1"/>
  <c r="G194" i="12"/>
  <c r="D184" i="11"/>
  <c r="F184" i="11" s="1"/>
  <c r="T257" i="11"/>
  <c r="Q257" i="11" s="1"/>
  <c r="E183" i="11"/>
  <c r="O185" i="11"/>
  <c r="R256" i="11"/>
  <c r="D266" i="15"/>
  <c r="F266" i="15" s="1"/>
  <c r="Q318" i="15"/>
  <c r="T319" i="15" s="1"/>
  <c r="R319" i="15" s="1"/>
  <c r="Q346" i="14"/>
  <c r="E265" i="15"/>
  <c r="O267" i="15"/>
  <c r="J267" i="15" s="1"/>
  <c r="R346" i="14"/>
  <c r="T347" i="14" s="1"/>
  <c r="O261" i="14"/>
  <c r="J261" i="14" s="1"/>
  <c r="C261" i="14" s="1"/>
  <c r="D260" i="14"/>
  <c r="F259" i="14"/>
  <c r="B195" i="12" l="1"/>
  <c r="D194" i="12"/>
  <c r="M195" i="12"/>
  <c r="G195" i="12"/>
  <c r="L195" i="12"/>
  <c r="O196" i="12" s="1"/>
  <c r="R257" i="11"/>
  <c r="T258" i="11"/>
  <c r="Q258" i="11" s="1"/>
  <c r="J185" i="11"/>
  <c r="M185" i="11"/>
  <c r="L185" i="11"/>
  <c r="E184" i="11"/>
  <c r="Q347" i="14"/>
  <c r="L267" i="15"/>
  <c r="M267" i="15"/>
  <c r="Q319" i="15"/>
  <c r="C267" i="15"/>
  <c r="B267" i="15"/>
  <c r="E266" i="15"/>
  <c r="L261" i="14"/>
  <c r="B261" i="14"/>
  <c r="G261" i="14"/>
  <c r="R347" i="14"/>
  <c r="T348" i="14" s="1"/>
  <c r="M261" i="14"/>
  <c r="F260" i="14"/>
  <c r="E259" i="14"/>
  <c r="D195" i="12" l="1"/>
  <c r="J196" i="12"/>
  <c r="C196" i="12" s="1"/>
  <c r="F194" i="12"/>
  <c r="M196" i="12"/>
  <c r="O262" i="14"/>
  <c r="J262" i="14" s="1"/>
  <c r="C262" i="14" s="1"/>
  <c r="G262" i="14" s="1"/>
  <c r="R258" i="11"/>
  <c r="T259" i="11"/>
  <c r="Q259" i="11" s="1"/>
  <c r="B185" i="11"/>
  <c r="C185" i="11"/>
  <c r="O186" i="11"/>
  <c r="J186" i="11" s="1"/>
  <c r="Q348" i="14"/>
  <c r="G267" i="15"/>
  <c r="D267" i="15"/>
  <c r="T320" i="15"/>
  <c r="R320" i="15" s="1"/>
  <c r="O268" i="15"/>
  <c r="J268" i="15" s="1"/>
  <c r="D261" i="14"/>
  <c r="R348" i="14"/>
  <c r="E260" i="14"/>
  <c r="B196" i="12" l="1"/>
  <c r="M262" i="14"/>
  <c r="L262" i="14"/>
  <c r="O263" i="14" s="1"/>
  <c r="M263" i="14" s="1"/>
  <c r="E194" i="12"/>
  <c r="F195" i="12"/>
  <c r="D262" i="14"/>
  <c r="G196" i="12"/>
  <c r="B262" i="14"/>
  <c r="L196" i="12"/>
  <c r="O197" i="12" s="1"/>
  <c r="R259" i="11"/>
  <c r="L186" i="11"/>
  <c r="O187" i="11" s="1"/>
  <c r="J187" i="11" s="1"/>
  <c r="T260" i="11"/>
  <c r="Q260" i="11" s="1"/>
  <c r="B186" i="11"/>
  <c r="C186" i="11"/>
  <c r="G186" i="11" s="1"/>
  <c r="G185" i="11"/>
  <c r="D185" i="11"/>
  <c r="M186" i="11"/>
  <c r="F261" i="14"/>
  <c r="E261" i="14" s="1"/>
  <c r="L268" i="15"/>
  <c r="C268" i="15"/>
  <c r="G268" i="15" s="1"/>
  <c r="B268" i="15"/>
  <c r="M268" i="15"/>
  <c r="Q320" i="15"/>
  <c r="F267" i="15"/>
  <c r="T349" i="14"/>
  <c r="Q349" i="14" s="1"/>
  <c r="L263" i="14" l="1"/>
  <c r="O264" i="14" s="1"/>
  <c r="J264" i="14" s="1"/>
  <c r="C264" i="14" s="1"/>
  <c r="J263" i="14"/>
  <c r="C263" i="14" s="1"/>
  <c r="D196" i="12"/>
  <c r="F196" i="12" s="1"/>
  <c r="E195" i="12"/>
  <c r="L197" i="12"/>
  <c r="O198" i="12" s="1"/>
  <c r="F262" i="14"/>
  <c r="E262" i="14" s="1"/>
  <c r="M187" i="11"/>
  <c r="R260" i="11"/>
  <c r="T261" i="11" s="1"/>
  <c r="Q261" i="11" s="1"/>
  <c r="D186" i="11"/>
  <c r="F185" i="11"/>
  <c r="B187" i="11"/>
  <c r="C187" i="11"/>
  <c r="G187" i="11" s="1"/>
  <c r="L187" i="11"/>
  <c r="D268" i="15"/>
  <c r="F268" i="15" s="1"/>
  <c r="E267" i="15"/>
  <c r="T321" i="15"/>
  <c r="R321" i="15" s="1"/>
  <c r="O269" i="15"/>
  <c r="J269" i="15" s="1"/>
  <c r="R349" i="14"/>
  <c r="T350" i="14" s="1"/>
  <c r="R350" i="14" s="1"/>
  <c r="B263" i="14" l="1"/>
  <c r="J197" i="12"/>
  <c r="C197" i="12" s="1"/>
  <c r="M197" i="12"/>
  <c r="J198" i="12"/>
  <c r="C198" i="12" s="1"/>
  <c r="E196" i="12"/>
  <c r="R261" i="11"/>
  <c r="F186" i="11"/>
  <c r="E185" i="11"/>
  <c r="D187" i="11"/>
  <c r="O188" i="11"/>
  <c r="L188" i="11" s="1"/>
  <c r="L269" i="15"/>
  <c r="C269" i="15"/>
  <c r="B269" i="15"/>
  <c r="M269" i="15"/>
  <c r="Q321" i="15"/>
  <c r="E268" i="15"/>
  <c r="Q350" i="14"/>
  <c r="B264" i="14"/>
  <c r="M264" i="14"/>
  <c r="G264" i="14"/>
  <c r="L264" i="14"/>
  <c r="O265" i="14" s="1"/>
  <c r="J265" i="14" s="1"/>
  <c r="C265" i="14" s="1"/>
  <c r="T351" i="14"/>
  <c r="R351" i="14" s="1"/>
  <c r="G263" i="14"/>
  <c r="D263" i="14"/>
  <c r="B198" i="12" l="1"/>
  <c r="B197" i="12"/>
  <c r="G198" i="12"/>
  <c r="L198" i="12"/>
  <c r="M198" i="12"/>
  <c r="G197" i="12"/>
  <c r="J188" i="11"/>
  <c r="M188" i="11"/>
  <c r="O189" i="11" s="1"/>
  <c r="J189" i="11" s="1"/>
  <c r="F187" i="11"/>
  <c r="E186" i="11"/>
  <c r="T262" i="11"/>
  <c r="Q262" i="11" s="1"/>
  <c r="T322" i="15"/>
  <c r="R322" i="15" s="1"/>
  <c r="O270" i="15"/>
  <c r="G269" i="15"/>
  <c r="D269" i="15"/>
  <c r="G265" i="14"/>
  <c r="B265" i="14"/>
  <c r="L265" i="14"/>
  <c r="O266" i="14" s="1"/>
  <c r="J266" i="14" s="1"/>
  <c r="C266" i="14" s="1"/>
  <c r="M265" i="14"/>
  <c r="D264" i="14"/>
  <c r="D265" i="14" s="1"/>
  <c r="F263" i="14"/>
  <c r="Q351" i="14"/>
  <c r="O199" i="12" l="1"/>
  <c r="J199" i="12" s="1"/>
  <c r="C199" i="12" s="1"/>
  <c r="D197" i="12"/>
  <c r="D198" i="12" s="1"/>
  <c r="R262" i="11"/>
  <c r="T263" i="11" s="1"/>
  <c r="Q263" i="11" s="1"/>
  <c r="E187" i="11"/>
  <c r="B189" i="11"/>
  <c r="C189" i="11"/>
  <c r="G189" i="11" s="1"/>
  <c r="L189" i="11"/>
  <c r="M189" i="11"/>
  <c r="B188" i="11"/>
  <c r="C188" i="11"/>
  <c r="F269" i="15"/>
  <c r="J270" i="15"/>
  <c r="L270" i="15"/>
  <c r="M270" i="15"/>
  <c r="Q322" i="15"/>
  <c r="M266" i="14"/>
  <c r="T352" i="14"/>
  <c r="R352" i="14" s="1"/>
  <c r="F264" i="14"/>
  <c r="E263" i="14"/>
  <c r="G266" i="14"/>
  <c r="B266" i="14"/>
  <c r="L266" i="14"/>
  <c r="B199" i="12" l="1"/>
  <c r="G199" i="12"/>
  <c r="L199" i="12"/>
  <c r="O200" i="12" s="1"/>
  <c r="M199" i="12"/>
  <c r="F197" i="12"/>
  <c r="R263" i="11"/>
  <c r="T264" i="11" s="1"/>
  <c r="Q264" i="11" s="1"/>
  <c r="O190" i="11"/>
  <c r="J190" i="11" s="1"/>
  <c r="G188" i="11"/>
  <c r="D188" i="11"/>
  <c r="T323" i="15"/>
  <c r="R323" i="15" s="1"/>
  <c r="O271" i="15"/>
  <c r="J271" i="15" s="1"/>
  <c r="C270" i="15"/>
  <c r="B270" i="15"/>
  <c r="E269" i="15"/>
  <c r="D266" i="14"/>
  <c r="F265" i="14"/>
  <c r="E264" i="14"/>
  <c r="O267" i="14"/>
  <c r="L267" i="14" s="1"/>
  <c r="Q352" i="14"/>
  <c r="D199" i="12" l="1"/>
  <c r="E197" i="12"/>
  <c r="F198" i="12"/>
  <c r="J200" i="12"/>
  <c r="C200" i="12" s="1"/>
  <c r="M190" i="11"/>
  <c r="D189" i="11"/>
  <c r="F188" i="11"/>
  <c r="B190" i="11"/>
  <c r="C190" i="11"/>
  <c r="G190" i="11" s="1"/>
  <c r="L190" i="11"/>
  <c r="R264" i="11"/>
  <c r="G270" i="15"/>
  <c r="D270" i="15"/>
  <c r="L271" i="15"/>
  <c r="C271" i="15"/>
  <c r="G271" i="15" s="1"/>
  <c r="B271" i="15"/>
  <c r="M271" i="15"/>
  <c r="Q323" i="15"/>
  <c r="J267" i="14"/>
  <c r="C267" i="14" s="1"/>
  <c r="M267" i="14"/>
  <c r="T353" i="14"/>
  <c r="R353" i="14" s="1"/>
  <c r="F266" i="14"/>
  <c r="E265" i="14"/>
  <c r="B200" i="12" l="1"/>
  <c r="G200" i="12"/>
  <c r="L200" i="12"/>
  <c r="O201" i="12" s="1"/>
  <c r="M200" i="12"/>
  <c r="E198" i="12"/>
  <c r="F199" i="12"/>
  <c r="O191" i="11"/>
  <c r="T265" i="11"/>
  <c r="Q265" i="11" s="1"/>
  <c r="F189" i="11"/>
  <c r="E188" i="11"/>
  <c r="D190" i="11"/>
  <c r="O272" i="15"/>
  <c r="J272" i="15" s="1"/>
  <c r="T324" i="15"/>
  <c r="R324" i="15" s="1"/>
  <c r="D271" i="15"/>
  <c r="F270" i="15"/>
  <c r="O268" i="14"/>
  <c r="J268" i="14" s="1"/>
  <c r="C268" i="14" s="1"/>
  <c r="Q353" i="14"/>
  <c r="B267" i="14"/>
  <c r="E266" i="14"/>
  <c r="D200" i="12" l="1"/>
  <c r="E199" i="12"/>
  <c r="J201" i="12"/>
  <c r="C201" i="12" s="1"/>
  <c r="F190" i="11"/>
  <c r="E189" i="11"/>
  <c r="T266" i="11"/>
  <c r="Q266" i="11" s="1"/>
  <c r="R265" i="11"/>
  <c r="J191" i="11"/>
  <c r="M191" i="11"/>
  <c r="L191" i="11"/>
  <c r="L272" i="15"/>
  <c r="F271" i="15"/>
  <c r="E270" i="15"/>
  <c r="Q324" i="15"/>
  <c r="C272" i="15"/>
  <c r="G272" i="15" s="1"/>
  <c r="B272" i="15"/>
  <c r="M272" i="15"/>
  <c r="G268" i="14"/>
  <c r="B268" i="14"/>
  <c r="L268" i="14"/>
  <c r="O269" i="14" s="1"/>
  <c r="L269" i="14" s="1"/>
  <c r="M268" i="14"/>
  <c r="G267" i="14"/>
  <c r="D267" i="14"/>
  <c r="T354" i="14"/>
  <c r="R354" i="14" s="1"/>
  <c r="B201" i="12" l="1"/>
  <c r="G201" i="12"/>
  <c r="L201" i="12"/>
  <c r="O202" i="12" s="1"/>
  <c r="M201" i="12"/>
  <c r="F200" i="12"/>
  <c r="B191" i="11"/>
  <c r="C191" i="11"/>
  <c r="R266" i="11"/>
  <c r="E190" i="11"/>
  <c r="O192" i="11"/>
  <c r="J192" i="11" s="1"/>
  <c r="T325" i="15"/>
  <c r="R325" i="15" s="1"/>
  <c r="D272" i="15"/>
  <c r="F272" i="15" s="1"/>
  <c r="O273" i="15"/>
  <c r="E271" i="15"/>
  <c r="Q354" i="14"/>
  <c r="J269" i="14"/>
  <c r="C269" i="14" s="1"/>
  <c r="M269" i="14"/>
  <c r="D268" i="14"/>
  <c r="F267" i="14"/>
  <c r="D201" i="12" l="1"/>
  <c r="J202" i="12"/>
  <c r="C202" i="12" s="1"/>
  <c r="E200" i="12"/>
  <c r="L192" i="11"/>
  <c r="M192" i="11"/>
  <c r="T267" i="11"/>
  <c r="Q267" i="11" s="1"/>
  <c r="G191" i="11"/>
  <c r="D191" i="11"/>
  <c r="B192" i="11"/>
  <c r="C192" i="11"/>
  <c r="G192" i="11" s="1"/>
  <c r="E272" i="15"/>
  <c r="J273" i="15"/>
  <c r="L273" i="15"/>
  <c r="M273" i="15"/>
  <c r="Q325" i="15"/>
  <c r="F268" i="14"/>
  <c r="E267" i="14"/>
  <c r="B269" i="14"/>
  <c r="G269" i="14"/>
  <c r="O270" i="14"/>
  <c r="M270" i="14" s="1"/>
  <c r="T355" i="14"/>
  <c r="R355" i="14" s="1"/>
  <c r="B202" i="12" l="1"/>
  <c r="F201" i="12"/>
  <c r="G202" i="12"/>
  <c r="L202" i="12"/>
  <c r="O203" i="12" s="1"/>
  <c r="M202" i="12"/>
  <c r="O193" i="11"/>
  <c r="J193" i="11" s="1"/>
  <c r="C193" i="11" s="1"/>
  <c r="G193" i="11" s="1"/>
  <c r="D192" i="11"/>
  <c r="F191" i="11"/>
  <c r="R267" i="11"/>
  <c r="O274" i="15"/>
  <c r="J274" i="15" s="1"/>
  <c r="C273" i="15"/>
  <c r="B273" i="15"/>
  <c r="T326" i="15"/>
  <c r="R326" i="15" s="1"/>
  <c r="Q355" i="14"/>
  <c r="J270" i="14"/>
  <c r="C270" i="14" s="1"/>
  <c r="L270" i="14"/>
  <c r="O271" i="14" s="1"/>
  <c r="J271" i="14" s="1"/>
  <c r="C271" i="14" s="1"/>
  <c r="T356" i="14"/>
  <c r="R356" i="14" s="1"/>
  <c r="E268" i="14"/>
  <c r="D269" i="14"/>
  <c r="F269" i="14" s="1"/>
  <c r="D202" i="12" l="1"/>
  <c r="J203" i="12"/>
  <c r="C203" i="12" s="1"/>
  <c r="E201" i="12"/>
  <c r="F202" i="12"/>
  <c r="L193" i="11"/>
  <c r="B193" i="11"/>
  <c r="M193" i="11"/>
  <c r="O194" i="11" s="1"/>
  <c r="T268" i="11"/>
  <c r="Q268" i="11" s="1"/>
  <c r="F192" i="11"/>
  <c r="E191" i="11"/>
  <c r="D193" i="11"/>
  <c r="L274" i="15"/>
  <c r="Q326" i="15"/>
  <c r="G273" i="15"/>
  <c r="D273" i="15"/>
  <c r="C274" i="15"/>
  <c r="G274" i="15" s="1"/>
  <c r="B274" i="15"/>
  <c r="M274" i="15"/>
  <c r="M271" i="14"/>
  <c r="E269" i="14"/>
  <c r="Q356" i="14"/>
  <c r="B271" i="14"/>
  <c r="G271" i="14"/>
  <c r="D270" i="14"/>
  <c r="D271" i="14" s="1"/>
  <c r="L271" i="14"/>
  <c r="B270" i="14"/>
  <c r="G270" i="14"/>
  <c r="B203" i="12" l="1"/>
  <c r="E202" i="12"/>
  <c r="G203" i="12"/>
  <c r="L203" i="12"/>
  <c r="O204" i="12" s="1"/>
  <c r="M203" i="12"/>
  <c r="F193" i="11"/>
  <c r="E192" i="11"/>
  <c r="J194" i="11"/>
  <c r="M194" i="11"/>
  <c r="L194" i="11"/>
  <c r="T269" i="11"/>
  <c r="Q269" i="11" s="1"/>
  <c r="R268" i="11"/>
  <c r="D274" i="15"/>
  <c r="F273" i="15"/>
  <c r="O275" i="15"/>
  <c r="T327" i="15"/>
  <c r="R327" i="15" s="1"/>
  <c r="T357" i="14"/>
  <c r="R357" i="14" s="1"/>
  <c r="F270" i="14"/>
  <c r="O272" i="14"/>
  <c r="J272" i="14" s="1"/>
  <c r="C272" i="14" s="1"/>
  <c r="D203" i="12" l="1"/>
  <c r="F203" i="12" s="1"/>
  <c r="J204" i="12"/>
  <c r="C204" i="12" s="1"/>
  <c r="O195" i="11"/>
  <c r="J195" i="11" s="1"/>
  <c r="B194" i="11"/>
  <c r="C194" i="11"/>
  <c r="E193" i="11"/>
  <c r="R269" i="11"/>
  <c r="Q327" i="15"/>
  <c r="J275" i="15"/>
  <c r="L275" i="15"/>
  <c r="M275" i="15"/>
  <c r="F274" i="15"/>
  <c r="E273" i="15"/>
  <c r="M272" i="14"/>
  <c r="O273" i="14" s="1"/>
  <c r="J273" i="14" s="1"/>
  <c r="C273" i="14" s="1"/>
  <c r="L272" i="14"/>
  <c r="B272" i="14"/>
  <c r="F271" i="14"/>
  <c r="E270" i="14"/>
  <c r="Q357" i="14"/>
  <c r="B204" i="12" l="1"/>
  <c r="E203" i="12"/>
  <c r="M204" i="12"/>
  <c r="G204" i="12"/>
  <c r="L204" i="12"/>
  <c r="M195" i="11"/>
  <c r="G194" i="11"/>
  <c r="D194" i="11"/>
  <c r="B195" i="11"/>
  <c r="C195" i="11"/>
  <c r="G195" i="11" s="1"/>
  <c r="L195" i="11"/>
  <c r="T270" i="11"/>
  <c r="Q270" i="11" s="1"/>
  <c r="E274" i="15"/>
  <c r="O276" i="15"/>
  <c r="J276" i="15" s="1"/>
  <c r="C275" i="15"/>
  <c r="B275" i="15"/>
  <c r="T328" i="15"/>
  <c r="R328" i="15" s="1"/>
  <c r="E271" i="14"/>
  <c r="G272" i="14"/>
  <c r="D272" i="14"/>
  <c r="B273" i="14"/>
  <c r="G273" i="14"/>
  <c r="M273" i="14"/>
  <c r="T358" i="14"/>
  <c r="R358" i="14" s="1"/>
  <c r="L273" i="14"/>
  <c r="O205" i="12" l="1"/>
  <c r="J205" i="12" s="1"/>
  <c r="C205" i="12" s="1"/>
  <c r="D204" i="12"/>
  <c r="R270" i="11"/>
  <c r="O196" i="11"/>
  <c r="D195" i="11"/>
  <c r="F194" i="11"/>
  <c r="Q328" i="15"/>
  <c r="T329" i="15" s="1"/>
  <c r="R329" i="15" s="1"/>
  <c r="G275" i="15"/>
  <c r="D275" i="15"/>
  <c r="L276" i="15"/>
  <c r="C276" i="15"/>
  <c r="G276" i="15" s="1"/>
  <c r="B276" i="15"/>
  <c r="M276" i="15"/>
  <c r="Q358" i="14"/>
  <c r="T359" i="14" s="1"/>
  <c r="Q359" i="14" s="1"/>
  <c r="D273" i="14"/>
  <c r="O274" i="14"/>
  <c r="J274" i="14" s="1"/>
  <c r="C274" i="14" s="1"/>
  <c r="F272" i="14"/>
  <c r="B205" i="12" l="1"/>
  <c r="M205" i="12"/>
  <c r="G205" i="12"/>
  <c r="F204" i="12"/>
  <c r="L205" i="12"/>
  <c r="J196" i="11"/>
  <c r="M196" i="11"/>
  <c r="L196" i="11"/>
  <c r="E194" i="11"/>
  <c r="F195" i="11"/>
  <c r="T271" i="11"/>
  <c r="Q271" i="11" s="1"/>
  <c r="Q329" i="15"/>
  <c r="O277" i="15"/>
  <c r="J277" i="15" s="1"/>
  <c r="D276" i="15"/>
  <c r="F275" i="15"/>
  <c r="R359" i="14"/>
  <c r="T360" i="14" s="1"/>
  <c r="Q360" i="14" s="1"/>
  <c r="L274" i="14"/>
  <c r="M274" i="14"/>
  <c r="O275" i="14" s="1"/>
  <c r="J275" i="14" s="1"/>
  <c r="C275" i="14" s="1"/>
  <c r="F273" i="14"/>
  <c r="E272" i="14"/>
  <c r="B274" i="14"/>
  <c r="O206" i="12" l="1"/>
  <c r="M206" i="12" s="1"/>
  <c r="D205" i="12"/>
  <c r="F205" i="12" s="1"/>
  <c r="E204" i="12"/>
  <c r="J206" i="12"/>
  <c r="C206" i="12" s="1"/>
  <c r="T272" i="11"/>
  <c r="Q272" i="11" s="1"/>
  <c r="R271" i="11"/>
  <c r="O197" i="11"/>
  <c r="J197" i="11" s="1"/>
  <c r="C196" i="11"/>
  <c r="B196" i="11"/>
  <c r="E195" i="11"/>
  <c r="E275" i="15"/>
  <c r="F276" i="15"/>
  <c r="L277" i="15"/>
  <c r="C277" i="15"/>
  <c r="G277" i="15" s="1"/>
  <c r="B277" i="15"/>
  <c r="M277" i="15"/>
  <c r="T330" i="15"/>
  <c r="R330" i="15" s="1"/>
  <c r="M275" i="14"/>
  <c r="L275" i="14"/>
  <c r="E273" i="14"/>
  <c r="R360" i="14"/>
  <c r="T361" i="14" s="1"/>
  <c r="Q361" i="14" s="1"/>
  <c r="G275" i="14"/>
  <c r="B275" i="14"/>
  <c r="G274" i="14"/>
  <c r="D274" i="14"/>
  <c r="F274" i="14" s="1"/>
  <c r="B206" i="12" l="1"/>
  <c r="G206" i="12"/>
  <c r="E205" i="12"/>
  <c r="L206" i="12"/>
  <c r="O207" i="12" s="1"/>
  <c r="R272" i="11"/>
  <c r="M197" i="11"/>
  <c r="T273" i="11"/>
  <c r="Q273" i="11" s="1"/>
  <c r="G196" i="11"/>
  <c r="D196" i="11"/>
  <c r="C197" i="11"/>
  <c r="G197" i="11" s="1"/>
  <c r="B197" i="11"/>
  <c r="L197" i="11"/>
  <c r="Q330" i="15"/>
  <c r="T331" i="15" s="1"/>
  <c r="R331" i="15" s="1"/>
  <c r="O278" i="15"/>
  <c r="J278" i="15" s="1"/>
  <c r="D277" i="15"/>
  <c r="F277" i="15" s="1"/>
  <c r="E276" i="15"/>
  <c r="R361" i="14"/>
  <c r="T362" i="14" s="1"/>
  <c r="Q362" i="14" s="1"/>
  <c r="E274" i="14"/>
  <c r="D275" i="14"/>
  <c r="O276" i="14"/>
  <c r="J276" i="14" s="1"/>
  <c r="C276" i="14" s="1"/>
  <c r="D206" i="12" l="1"/>
  <c r="L207" i="12"/>
  <c r="O208" i="12" s="1"/>
  <c r="T274" i="11"/>
  <c r="Q274" i="11" s="1"/>
  <c r="O198" i="11"/>
  <c r="D197" i="11"/>
  <c r="F196" i="11"/>
  <c r="R273" i="11"/>
  <c r="Q331" i="15"/>
  <c r="C278" i="15"/>
  <c r="G278" i="15" s="1"/>
  <c r="B278" i="15"/>
  <c r="E277" i="15"/>
  <c r="L278" i="15"/>
  <c r="M278" i="15"/>
  <c r="M276" i="14"/>
  <c r="L276" i="14"/>
  <c r="F275" i="14"/>
  <c r="R362" i="14"/>
  <c r="G276" i="14"/>
  <c r="B276" i="14"/>
  <c r="F206" i="12" l="1"/>
  <c r="J207" i="12"/>
  <c r="C207" i="12" s="1"/>
  <c r="M207" i="12"/>
  <c r="J208" i="12"/>
  <c r="C208" i="12" s="1"/>
  <c r="O277" i="14"/>
  <c r="J277" i="14" s="1"/>
  <c r="C277" i="14" s="1"/>
  <c r="G277" i="14" s="1"/>
  <c r="R274" i="11"/>
  <c r="T275" i="11"/>
  <c r="Q275" i="11" s="1"/>
  <c r="J198" i="11"/>
  <c r="M198" i="11"/>
  <c r="L198" i="11"/>
  <c r="E196" i="11"/>
  <c r="F197" i="11"/>
  <c r="T332" i="15"/>
  <c r="R332" i="15" s="1"/>
  <c r="O279" i="15"/>
  <c r="J279" i="15" s="1"/>
  <c r="D278" i="15"/>
  <c r="T363" i="14"/>
  <c r="Q363" i="14" s="1"/>
  <c r="E275" i="14"/>
  <c r="D276" i="14"/>
  <c r="F276" i="14" s="1"/>
  <c r="B208" i="12" l="1"/>
  <c r="B207" i="12"/>
  <c r="G207" i="12"/>
  <c r="M277" i="14"/>
  <c r="G208" i="12"/>
  <c r="L208" i="12"/>
  <c r="M208" i="12"/>
  <c r="L277" i="14"/>
  <c r="E206" i="12"/>
  <c r="B277" i="14"/>
  <c r="R275" i="11"/>
  <c r="T276" i="11" s="1"/>
  <c r="Q276" i="11" s="1"/>
  <c r="O199" i="11"/>
  <c r="J199" i="11" s="1"/>
  <c r="C198" i="11"/>
  <c r="B198" i="11"/>
  <c r="E197" i="11"/>
  <c r="M279" i="15"/>
  <c r="F278" i="15"/>
  <c r="C279" i="15"/>
  <c r="G279" i="15" s="1"/>
  <c r="B279" i="15"/>
  <c r="L279" i="15"/>
  <c r="Q332" i="15"/>
  <c r="O278" i="14"/>
  <c r="J278" i="14" s="1"/>
  <c r="C278" i="14" s="1"/>
  <c r="E276" i="14"/>
  <c r="D277" i="14"/>
  <c r="R363" i="14"/>
  <c r="O209" i="12" l="1"/>
  <c r="J209" i="12" s="1"/>
  <c r="C209" i="12" s="1"/>
  <c r="D207" i="12"/>
  <c r="D208" i="12" s="1"/>
  <c r="M199" i="11"/>
  <c r="R276" i="11"/>
  <c r="T277" i="11" s="1"/>
  <c r="Q277" i="11" s="1"/>
  <c r="G198" i="11"/>
  <c r="D198" i="11"/>
  <c r="C199" i="11"/>
  <c r="G199" i="11" s="1"/>
  <c r="B199" i="11"/>
  <c r="L199" i="11"/>
  <c r="O280" i="15"/>
  <c r="T333" i="15"/>
  <c r="R333" i="15" s="1"/>
  <c r="E278" i="15"/>
  <c r="D279" i="15"/>
  <c r="M278" i="14"/>
  <c r="F277" i="14"/>
  <c r="G278" i="14"/>
  <c r="B278" i="14"/>
  <c r="T364" i="14"/>
  <c r="Q364" i="14" s="1"/>
  <c r="L278" i="14"/>
  <c r="B209" i="12" l="1"/>
  <c r="G209" i="12"/>
  <c r="L209" i="12"/>
  <c r="M209" i="12"/>
  <c r="F207" i="12"/>
  <c r="R277" i="11"/>
  <c r="T278" i="11" s="1"/>
  <c r="Q278" i="11" s="1"/>
  <c r="D199" i="11"/>
  <c r="F198" i="11"/>
  <c r="O200" i="11"/>
  <c r="F279" i="15"/>
  <c r="Q333" i="15"/>
  <c r="J280" i="15"/>
  <c r="M280" i="15"/>
  <c r="L280" i="15"/>
  <c r="R364" i="14"/>
  <c r="O279" i="14"/>
  <c r="E277" i="14"/>
  <c r="D278" i="14"/>
  <c r="O210" i="12" l="1"/>
  <c r="D209" i="12"/>
  <c r="F208" i="12"/>
  <c r="E207" i="12"/>
  <c r="R278" i="11"/>
  <c r="T279" i="11" s="1"/>
  <c r="Q279" i="11" s="1"/>
  <c r="J200" i="11"/>
  <c r="M200" i="11"/>
  <c r="L200" i="11"/>
  <c r="F199" i="11"/>
  <c r="E198" i="11"/>
  <c r="O281" i="15"/>
  <c r="J281" i="15" s="1"/>
  <c r="C280" i="15"/>
  <c r="B280" i="15"/>
  <c r="T334" i="15"/>
  <c r="R334" i="15" s="1"/>
  <c r="E279" i="15"/>
  <c r="F278" i="14"/>
  <c r="J279" i="14"/>
  <c r="C279" i="14" s="1"/>
  <c r="M279" i="14"/>
  <c r="L279" i="14"/>
  <c r="T365" i="14"/>
  <c r="Q365" i="14" s="1"/>
  <c r="J210" i="12" l="1"/>
  <c r="C210" i="12" s="1"/>
  <c r="L210" i="12"/>
  <c r="M210" i="12"/>
  <c r="O211" i="12" s="1"/>
  <c r="E208" i="12"/>
  <c r="F209" i="12"/>
  <c r="R279" i="11"/>
  <c r="T280" i="11"/>
  <c r="Q280" i="11" s="1"/>
  <c r="E199" i="11"/>
  <c r="O201" i="11"/>
  <c r="J201" i="11" s="1"/>
  <c r="C200" i="11"/>
  <c r="B200" i="11"/>
  <c r="Q334" i="15"/>
  <c r="G280" i="15"/>
  <c r="D280" i="15"/>
  <c r="C281" i="15"/>
  <c r="G281" i="15" s="1"/>
  <c r="B281" i="15"/>
  <c r="M281" i="15"/>
  <c r="L281" i="15"/>
  <c r="R365" i="14"/>
  <c r="O280" i="14"/>
  <c r="J280" i="14" s="1"/>
  <c r="C280" i="14" s="1"/>
  <c r="B279" i="14"/>
  <c r="E278" i="14"/>
  <c r="B210" i="12" l="1"/>
  <c r="E209" i="12"/>
  <c r="J211" i="12"/>
  <c r="C211" i="12" s="1"/>
  <c r="G210" i="12"/>
  <c r="R280" i="11"/>
  <c r="T281" i="11" s="1"/>
  <c r="Q281" i="11" s="1"/>
  <c r="M201" i="11"/>
  <c r="C201" i="11"/>
  <c r="G201" i="11" s="1"/>
  <c r="B201" i="11"/>
  <c r="L201" i="11"/>
  <c r="G200" i="11"/>
  <c r="D200" i="11"/>
  <c r="O282" i="15"/>
  <c r="J282" i="15" s="1"/>
  <c r="D281" i="15"/>
  <c r="F280" i="15"/>
  <c r="T335" i="15"/>
  <c r="R335" i="15" s="1"/>
  <c r="G279" i="14"/>
  <c r="D279" i="14"/>
  <c r="M280" i="14"/>
  <c r="G280" i="14"/>
  <c r="B280" i="14"/>
  <c r="L280" i="14"/>
  <c r="T366" i="14"/>
  <c r="Q366" i="14" s="1"/>
  <c r="B211" i="12" l="1"/>
  <c r="D210" i="12"/>
  <c r="L211" i="12"/>
  <c r="G211" i="12"/>
  <c r="M211" i="12"/>
  <c r="O212" i="12" s="1"/>
  <c r="R281" i="11"/>
  <c r="T282" i="11"/>
  <c r="Q282" i="11" s="1"/>
  <c r="O202" i="11"/>
  <c r="D201" i="11"/>
  <c r="F200" i="11"/>
  <c r="Q335" i="15"/>
  <c r="F281" i="15"/>
  <c r="E280" i="15"/>
  <c r="L282" i="15"/>
  <c r="C282" i="15"/>
  <c r="G282" i="15" s="1"/>
  <c r="B282" i="15"/>
  <c r="M282" i="15"/>
  <c r="R366" i="14"/>
  <c r="O281" i="14"/>
  <c r="J281" i="14" s="1"/>
  <c r="C281" i="14" s="1"/>
  <c r="D280" i="14"/>
  <c r="F279" i="14"/>
  <c r="D211" i="12" l="1"/>
  <c r="J212" i="12"/>
  <c r="C212" i="12" s="1"/>
  <c r="M212" i="12"/>
  <c r="L212" i="12"/>
  <c r="F210" i="12"/>
  <c r="R282" i="11"/>
  <c r="T283" i="11"/>
  <c r="Q283" i="11" s="1"/>
  <c r="F201" i="11"/>
  <c r="E200" i="11"/>
  <c r="J202" i="11"/>
  <c r="M202" i="11"/>
  <c r="L202" i="11"/>
  <c r="O283" i="15"/>
  <c r="J283" i="15" s="1"/>
  <c r="D282" i="15"/>
  <c r="F282" i="15" s="1"/>
  <c r="E281" i="15"/>
  <c r="T336" i="15"/>
  <c r="R336" i="15" s="1"/>
  <c r="F280" i="14"/>
  <c r="E279" i="14"/>
  <c r="G281" i="14"/>
  <c r="B281" i="14"/>
  <c r="M281" i="14"/>
  <c r="L281" i="14"/>
  <c r="T367" i="14"/>
  <c r="Q367" i="14" s="1"/>
  <c r="B212" i="12" l="1"/>
  <c r="O213" i="12"/>
  <c r="J213" i="12" s="1"/>
  <c r="C213" i="12" s="1"/>
  <c r="E210" i="12"/>
  <c r="F211" i="12"/>
  <c r="M213" i="12"/>
  <c r="G212" i="12"/>
  <c r="R283" i="11"/>
  <c r="T284" i="11" s="1"/>
  <c r="Q284" i="11" s="1"/>
  <c r="O203" i="11"/>
  <c r="J203" i="11" s="1"/>
  <c r="C202" i="11"/>
  <c r="B202" i="11"/>
  <c r="E201" i="11"/>
  <c r="M283" i="15"/>
  <c r="Q336" i="15"/>
  <c r="T337" i="15" s="1"/>
  <c r="R337" i="15" s="1"/>
  <c r="E282" i="15"/>
  <c r="C283" i="15"/>
  <c r="G283" i="15" s="1"/>
  <c r="B283" i="15"/>
  <c r="L283" i="15"/>
  <c r="R367" i="14"/>
  <c r="T368" i="14" s="1"/>
  <c r="Q368" i="14" s="1"/>
  <c r="O282" i="14"/>
  <c r="J282" i="14" s="1"/>
  <c r="C282" i="14" s="1"/>
  <c r="D281" i="14"/>
  <c r="F281" i="14" s="1"/>
  <c r="E280" i="14"/>
  <c r="B213" i="12" l="1"/>
  <c r="D212" i="12"/>
  <c r="G213" i="12"/>
  <c r="L213" i="12"/>
  <c r="O214" i="12" s="1"/>
  <c r="E211" i="12"/>
  <c r="M203" i="11"/>
  <c r="R284" i="11"/>
  <c r="T285" i="11"/>
  <c r="Q285" i="11" s="1"/>
  <c r="C203" i="11"/>
  <c r="G203" i="11" s="1"/>
  <c r="B203" i="11"/>
  <c r="L203" i="11"/>
  <c r="G202" i="11"/>
  <c r="D202" i="11"/>
  <c r="D283" i="15"/>
  <c r="F283" i="15" s="1"/>
  <c r="O284" i="15"/>
  <c r="J284" i="15" s="1"/>
  <c r="C284" i="15" s="1"/>
  <c r="G284" i="15" s="1"/>
  <c r="Q337" i="15"/>
  <c r="T338" i="15"/>
  <c r="R338" i="15" s="1"/>
  <c r="R368" i="14"/>
  <c r="T369" i="14" s="1"/>
  <c r="Q369" i="14" s="1"/>
  <c r="E281" i="14"/>
  <c r="G282" i="14"/>
  <c r="B282" i="14"/>
  <c r="M282" i="14"/>
  <c r="L282" i="14"/>
  <c r="D213" i="12" l="1"/>
  <c r="F212" i="12"/>
  <c r="E212" i="12" s="1"/>
  <c r="R285" i="11"/>
  <c r="T286" i="11"/>
  <c r="Q286" i="11" s="1"/>
  <c r="O204" i="11"/>
  <c r="D203" i="11"/>
  <c r="F202" i="11"/>
  <c r="B284" i="15"/>
  <c r="M284" i="15"/>
  <c r="L284" i="15"/>
  <c r="E283" i="15"/>
  <c r="D284" i="15"/>
  <c r="Q338" i="15"/>
  <c r="T339" i="15" s="1"/>
  <c r="R339" i="15" s="1"/>
  <c r="R369" i="14"/>
  <c r="O283" i="14"/>
  <c r="J283" i="14" s="1"/>
  <c r="C283" i="14" s="1"/>
  <c r="D282" i="14"/>
  <c r="F213" i="12" l="1"/>
  <c r="E213" i="12" s="1"/>
  <c r="J214" i="12"/>
  <c r="C214" i="12" s="1"/>
  <c r="M214" i="12"/>
  <c r="L214" i="12"/>
  <c r="O285" i="15"/>
  <c r="J285" i="15" s="1"/>
  <c r="R286" i="11"/>
  <c r="T287" i="11"/>
  <c r="Q287" i="11" s="1"/>
  <c r="F203" i="11"/>
  <c r="E202" i="11"/>
  <c r="J204" i="11"/>
  <c r="M204" i="11"/>
  <c r="L204" i="11"/>
  <c r="Q339" i="15"/>
  <c r="T340" i="15"/>
  <c r="R340" i="15" s="1"/>
  <c r="F284" i="15"/>
  <c r="M283" i="14"/>
  <c r="F282" i="14"/>
  <c r="G283" i="14"/>
  <c r="B283" i="14"/>
  <c r="L283" i="14"/>
  <c r="T370" i="14"/>
  <c r="Q370" i="14" s="1"/>
  <c r="B214" i="12" l="1"/>
  <c r="G214" i="12"/>
  <c r="O215" i="12"/>
  <c r="J215" i="12" s="1"/>
  <c r="C215" i="12" s="1"/>
  <c r="M285" i="15"/>
  <c r="L285" i="15"/>
  <c r="O286" i="15" s="1"/>
  <c r="J286" i="15" s="1"/>
  <c r="T288" i="11"/>
  <c r="Q288" i="11" s="1"/>
  <c r="O205" i="11"/>
  <c r="J205" i="11" s="1"/>
  <c r="C204" i="11"/>
  <c r="B204" i="11"/>
  <c r="E203" i="11"/>
  <c r="R287" i="11"/>
  <c r="Q340" i="15"/>
  <c r="T341" i="15"/>
  <c r="R341" i="15" s="1"/>
  <c r="C285" i="15"/>
  <c r="B285" i="15"/>
  <c r="E284" i="15"/>
  <c r="R370" i="14"/>
  <c r="E282" i="14"/>
  <c r="D283" i="14"/>
  <c r="O284" i="14"/>
  <c r="J284" i="14" s="1"/>
  <c r="C284" i="14" s="1"/>
  <c r="B215" i="12" l="1"/>
  <c r="M215" i="12"/>
  <c r="O216" i="12" s="1"/>
  <c r="M216" i="12" s="1"/>
  <c r="O217" i="12" s="1"/>
  <c r="D214" i="12"/>
  <c r="R288" i="11"/>
  <c r="J216" i="12"/>
  <c r="C216" i="12" s="1"/>
  <c r="G215" i="12"/>
  <c r="L215" i="12"/>
  <c r="M205" i="11"/>
  <c r="T289" i="11"/>
  <c r="Q289" i="11" s="1"/>
  <c r="G204" i="11"/>
  <c r="D204" i="11"/>
  <c r="C205" i="11"/>
  <c r="G205" i="11" s="1"/>
  <c r="B205" i="11"/>
  <c r="L205" i="11"/>
  <c r="Q341" i="15"/>
  <c r="T342" i="15" s="1"/>
  <c r="R342" i="15" s="1"/>
  <c r="G285" i="15"/>
  <c r="D285" i="15"/>
  <c r="L286" i="15"/>
  <c r="C286" i="15"/>
  <c r="G286" i="15" s="1"/>
  <c r="B286" i="15"/>
  <c r="M286" i="15"/>
  <c r="G284" i="14"/>
  <c r="B284" i="14"/>
  <c r="M284" i="14"/>
  <c r="D284" i="14"/>
  <c r="F283" i="14"/>
  <c r="L284" i="14"/>
  <c r="T371" i="14"/>
  <c r="Q371" i="14" s="1"/>
  <c r="B216" i="12" l="1"/>
  <c r="G216" i="12"/>
  <c r="L216" i="12"/>
  <c r="D215" i="12"/>
  <c r="J217" i="12"/>
  <c r="C217" i="12" s="1"/>
  <c r="F214" i="12"/>
  <c r="O206" i="11"/>
  <c r="D205" i="11"/>
  <c r="F204" i="11"/>
  <c r="R289" i="11"/>
  <c r="T343" i="15"/>
  <c r="R343" i="15" s="1"/>
  <c r="O287" i="15"/>
  <c r="J287" i="15" s="1"/>
  <c r="D286" i="15"/>
  <c r="F285" i="15"/>
  <c r="Q342" i="15"/>
  <c r="R371" i="14"/>
  <c r="F284" i="14"/>
  <c r="E283" i="14"/>
  <c r="O285" i="14"/>
  <c r="J285" i="14" s="1"/>
  <c r="C285" i="14" s="1"/>
  <c r="B217" i="12" l="1"/>
  <c r="D216" i="12"/>
  <c r="E214" i="12"/>
  <c r="F215" i="12"/>
  <c r="G217" i="12"/>
  <c r="M217" i="12"/>
  <c r="L217" i="12"/>
  <c r="T290" i="11"/>
  <c r="Q290" i="11" s="1"/>
  <c r="E204" i="11"/>
  <c r="F205" i="11"/>
  <c r="J206" i="11"/>
  <c r="M206" i="11"/>
  <c r="L206" i="11"/>
  <c r="Q343" i="15"/>
  <c r="M287" i="15"/>
  <c r="T344" i="15"/>
  <c r="R344" i="15" s="1"/>
  <c r="F286" i="15"/>
  <c r="E285" i="15"/>
  <c r="C287" i="15"/>
  <c r="G287" i="15" s="1"/>
  <c r="B287" i="15"/>
  <c r="L287" i="15"/>
  <c r="M285" i="14"/>
  <c r="E284" i="14"/>
  <c r="L285" i="14"/>
  <c r="B285" i="14"/>
  <c r="T372" i="14"/>
  <c r="Q372" i="14" s="1"/>
  <c r="O218" i="12" l="1"/>
  <c r="J218" i="12" s="1"/>
  <c r="C218" i="12" s="1"/>
  <c r="D217" i="12"/>
  <c r="E215" i="12"/>
  <c r="F216" i="12"/>
  <c r="L218" i="12"/>
  <c r="O207" i="11"/>
  <c r="J207" i="11" s="1"/>
  <c r="C206" i="11"/>
  <c r="B206" i="11"/>
  <c r="E205" i="11"/>
  <c r="R290" i="11"/>
  <c r="T345" i="15"/>
  <c r="R345" i="15" s="1"/>
  <c r="D287" i="15"/>
  <c r="F287" i="15" s="1"/>
  <c r="E286" i="15"/>
  <c r="Q344" i="15"/>
  <c r="O288" i="15"/>
  <c r="L288" i="15" s="1"/>
  <c r="R372" i="14"/>
  <c r="G285" i="14"/>
  <c r="D285" i="14"/>
  <c r="O286" i="14"/>
  <c r="J286" i="14" s="1"/>
  <c r="C286" i="14" s="1"/>
  <c r="B218" i="12" l="1"/>
  <c r="E216" i="12"/>
  <c r="F217" i="12"/>
  <c r="M218" i="12"/>
  <c r="G218" i="12"/>
  <c r="G206" i="11"/>
  <c r="D206" i="11"/>
  <c r="C207" i="11"/>
  <c r="G207" i="11" s="1"/>
  <c r="B207" i="11"/>
  <c r="L207" i="11"/>
  <c r="T291" i="11"/>
  <c r="Q291" i="11" s="1"/>
  <c r="M207" i="11"/>
  <c r="Q345" i="15"/>
  <c r="T346" i="15"/>
  <c r="R346" i="15" s="1"/>
  <c r="J288" i="15"/>
  <c r="M288" i="15"/>
  <c r="E287" i="15"/>
  <c r="G286" i="14"/>
  <c r="B286" i="14"/>
  <c r="M286" i="14"/>
  <c r="L286" i="14"/>
  <c r="D286" i="14"/>
  <c r="F285" i="14"/>
  <c r="T373" i="14"/>
  <c r="Q373" i="14" s="1"/>
  <c r="O219" i="12" l="1"/>
  <c r="J219" i="12" s="1"/>
  <c r="C219" i="12" s="1"/>
  <c r="D218" i="12"/>
  <c r="F218" i="12" s="1"/>
  <c r="E217" i="12"/>
  <c r="R291" i="11"/>
  <c r="T292" i="11" s="1"/>
  <c r="Q292" i="11" s="1"/>
  <c r="O208" i="11"/>
  <c r="J208" i="11" s="1"/>
  <c r="D207" i="11"/>
  <c r="F206" i="11"/>
  <c r="Q346" i="15"/>
  <c r="T347" i="15"/>
  <c r="R347" i="15" s="1"/>
  <c r="O289" i="15"/>
  <c r="C288" i="15"/>
  <c r="B288" i="15"/>
  <c r="R373" i="14"/>
  <c r="F286" i="14"/>
  <c r="E285" i="14"/>
  <c r="O287" i="14"/>
  <c r="J287" i="14" s="1"/>
  <c r="C287" i="14" s="1"/>
  <c r="B219" i="12" l="1"/>
  <c r="G219" i="12"/>
  <c r="L219" i="12"/>
  <c r="M219" i="12"/>
  <c r="E218" i="12"/>
  <c r="L208" i="11"/>
  <c r="R292" i="11"/>
  <c r="C208" i="11"/>
  <c r="G208" i="11" s="1"/>
  <c r="B208" i="11"/>
  <c r="E206" i="11"/>
  <c r="F207" i="11"/>
  <c r="M208" i="11"/>
  <c r="Q347" i="15"/>
  <c r="T348" i="15"/>
  <c r="R348" i="15" s="1"/>
  <c r="G288" i="15"/>
  <c r="D288" i="15"/>
  <c r="J289" i="15"/>
  <c r="L289" i="15"/>
  <c r="M289" i="15"/>
  <c r="M287" i="14"/>
  <c r="B287" i="14"/>
  <c r="L287" i="14"/>
  <c r="E286" i="14"/>
  <c r="T374" i="14"/>
  <c r="Q374" i="14" s="1"/>
  <c r="D219" i="12" l="1"/>
  <c r="F219" i="12" s="1"/>
  <c r="E219" i="12" s="1"/>
  <c r="O220" i="12"/>
  <c r="J220" i="12" s="1"/>
  <c r="C220" i="12" s="1"/>
  <c r="E207" i="11"/>
  <c r="T293" i="11"/>
  <c r="Q293" i="11" s="1"/>
  <c r="D208" i="11"/>
  <c r="O209" i="11"/>
  <c r="M209" i="11" s="1"/>
  <c r="Q348" i="15"/>
  <c r="T349" i="15"/>
  <c r="R349" i="15" s="1"/>
  <c r="C289" i="15"/>
  <c r="G289" i="15" s="1"/>
  <c r="B289" i="15"/>
  <c r="F288" i="15"/>
  <c r="O290" i="15"/>
  <c r="J290" i="15" s="1"/>
  <c r="R374" i="14"/>
  <c r="T375" i="14" s="1"/>
  <c r="Q375" i="14" s="1"/>
  <c r="O288" i="14"/>
  <c r="G287" i="14"/>
  <c r="D287" i="14"/>
  <c r="L220" i="12" l="1"/>
  <c r="M220" i="12"/>
  <c r="O221" i="12" s="1"/>
  <c r="M221" i="12" s="1"/>
  <c r="B220" i="12"/>
  <c r="G220" i="12"/>
  <c r="J209" i="11"/>
  <c r="L209" i="11"/>
  <c r="R293" i="11"/>
  <c r="F208" i="11"/>
  <c r="Q349" i="15"/>
  <c r="D289" i="15"/>
  <c r="F289" i="15" s="1"/>
  <c r="T350" i="15"/>
  <c r="R350" i="15" s="1"/>
  <c r="E288" i="15"/>
  <c r="L290" i="15"/>
  <c r="C290" i="15"/>
  <c r="G290" i="15" s="1"/>
  <c r="B290" i="15"/>
  <c r="M290" i="15"/>
  <c r="F287" i="14"/>
  <c r="J288" i="14"/>
  <c r="C288" i="14" s="1"/>
  <c r="M288" i="14"/>
  <c r="L288" i="14"/>
  <c r="R375" i="14"/>
  <c r="T376" i="14" s="1"/>
  <c r="Q376" i="14" s="1"/>
  <c r="D220" i="12" l="1"/>
  <c r="J221" i="12"/>
  <c r="C221" i="12" s="1"/>
  <c r="L221" i="12"/>
  <c r="E208" i="11"/>
  <c r="T294" i="11"/>
  <c r="Q294" i="11" s="1"/>
  <c r="O210" i="11"/>
  <c r="C209" i="11"/>
  <c r="B209" i="11"/>
  <c r="R376" i="14"/>
  <c r="T377" i="14" s="1"/>
  <c r="Q377" i="14" s="1"/>
  <c r="Q350" i="15"/>
  <c r="T351" i="15"/>
  <c r="R351" i="15" s="1"/>
  <c r="O291" i="15"/>
  <c r="J291" i="15" s="1"/>
  <c r="D290" i="15"/>
  <c r="F290" i="15" s="1"/>
  <c r="E289" i="15"/>
  <c r="O289" i="14"/>
  <c r="J289" i="14" s="1"/>
  <c r="C289" i="14" s="1"/>
  <c r="B288" i="14"/>
  <c r="E287" i="14"/>
  <c r="O222" i="12" l="1"/>
  <c r="B221" i="12"/>
  <c r="G221" i="12"/>
  <c r="F220" i="12"/>
  <c r="G209" i="11"/>
  <c r="D209" i="11"/>
  <c r="J210" i="11"/>
  <c r="M210" i="11"/>
  <c r="L210" i="11"/>
  <c r="R294" i="11"/>
  <c r="Q351" i="15"/>
  <c r="T352" i="15"/>
  <c r="R352" i="15" s="1"/>
  <c r="E290" i="15"/>
  <c r="C291" i="15"/>
  <c r="G291" i="15" s="1"/>
  <c r="B291" i="15"/>
  <c r="L291" i="15"/>
  <c r="M291" i="15"/>
  <c r="R377" i="14"/>
  <c r="T378" i="14" s="1"/>
  <c r="Q378" i="14" s="1"/>
  <c r="G288" i="14"/>
  <c r="D288" i="14"/>
  <c r="G289" i="14"/>
  <c r="B289" i="14"/>
  <c r="M289" i="14"/>
  <c r="L289" i="14"/>
  <c r="D221" i="12" l="1"/>
  <c r="J222" i="12"/>
  <c r="C222" i="12" s="1"/>
  <c r="M222" i="12"/>
  <c r="L222" i="12"/>
  <c r="E220" i="12"/>
  <c r="F221" i="12"/>
  <c r="T295" i="11"/>
  <c r="Q295" i="11" s="1"/>
  <c r="O211" i="11"/>
  <c r="J211" i="11" s="1"/>
  <c r="C210" i="11"/>
  <c r="G210" i="11" s="1"/>
  <c r="B210" i="11"/>
  <c r="F209" i="11"/>
  <c r="Q352" i="15"/>
  <c r="T353" i="15"/>
  <c r="R353" i="15" s="1"/>
  <c r="D291" i="15"/>
  <c r="O292" i="15"/>
  <c r="J292" i="15" s="1"/>
  <c r="O290" i="14"/>
  <c r="J290" i="14" s="1"/>
  <c r="C290" i="14" s="1"/>
  <c r="D289" i="14"/>
  <c r="F288" i="14"/>
  <c r="R378" i="14"/>
  <c r="T379" i="14" s="1"/>
  <c r="Q379" i="14" s="1"/>
  <c r="O223" i="12" l="1"/>
  <c r="J223" i="12" s="1"/>
  <c r="C223" i="12" s="1"/>
  <c r="B222" i="12"/>
  <c r="G222" i="12"/>
  <c r="E221" i="12"/>
  <c r="D210" i="11"/>
  <c r="F210" i="11" s="1"/>
  <c r="M211" i="11"/>
  <c r="O212" i="11" s="1"/>
  <c r="J212" i="11" s="1"/>
  <c r="C211" i="11"/>
  <c r="G211" i="11" s="1"/>
  <c r="B211" i="11"/>
  <c r="L211" i="11"/>
  <c r="E209" i="11"/>
  <c r="R295" i="11"/>
  <c r="Q353" i="15"/>
  <c r="T354" i="15"/>
  <c r="R354" i="15" s="1"/>
  <c r="L292" i="15"/>
  <c r="C292" i="15"/>
  <c r="G292" i="15" s="1"/>
  <c r="B292" i="15"/>
  <c r="M292" i="15"/>
  <c r="F291" i="15"/>
  <c r="R379" i="14"/>
  <c r="T380" i="14" s="1"/>
  <c r="Q380" i="14" s="1"/>
  <c r="F289" i="14"/>
  <c r="E288" i="14"/>
  <c r="G290" i="14"/>
  <c r="B290" i="14"/>
  <c r="M290" i="14"/>
  <c r="L290" i="14"/>
  <c r="M223" i="12" l="1"/>
  <c r="O224" i="12" s="1"/>
  <c r="J224" i="12" s="1"/>
  <c r="C224" i="12" s="1"/>
  <c r="D222" i="12"/>
  <c r="L223" i="12"/>
  <c r="B223" i="12"/>
  <c r="G223" i="12"/>
  <c r="L212" i="11"/>
  <c r="C212" i="11"/>
  <c r="G212" i="11" s="1"/>
  <c r="B212" i="11"/>
  <c r="T296" i="11"/>
  <c r="Q296" i="11" s="1"/>
  <c r="M212" i="11"/>
  <c r="E210" i="11"/>
  <c r="D211" i="11"/>
  <c r="D292" i="15"/>
  <c r="F292" i="15" s="1"/>
  <c r="T355" i="15"/>
  <c r="R355" i="15" s="1"/>
  <c r="O293" i="15"/>
  <c r="J293" i="15" s="1"/>
  <c r="E291" i="15"/>
  <c r="Q354" i="15"/>
  <c r="R380" i="14"/>
  <c r="T381" i="14" s="1"/>
  <c r="Q381" i="14" s="1"/>
  <c r="D290" i="14"/>
  <c r="F290" i="14" s="1"/>
  <c r="E289" i="14"/>
  <c r="O291" i="14"/>
  <c r="J291" i="14" s="1"/>
  <c r="C291" i="14" s="1"/>
  <c r="L224" i="12" l="1"/>
  <c r="O225" i="12" s="1"/>
  <c r="J225" i="12" s="1"/>
  <c r="M224" i="12"/>
  <c r="B224" i="12"/>
  <c r="G224" i="12"/>
  <c r="D223" i="12"/>
  <c r="D224" i="12" s="1"/>
  <c r="F222" i="12"/>
  <c r="D212" i="11"/>
  <c r="O213" i="11"/>
  <c r="J213" i="11" s="1"/>
  <c r="C213" i="11" s="1"/>
  <c r="G213" i="11" s="1"/>
  <c r="R296" i="11"/>
  <c r="F211" i="11"/>
  <c r="L293" i="15"/>
  <c r="T356" i="15"/>
  <c r="R356" i="15" s="1"/>
  <c r="E292" i="15"/>
  <c r="B293" i="15"/>
  <c r="C293" i="15"/>
  <c r="M293" i="15"/>
  <c r="Q355" i="15"/>
  <c r="R381" i="14"/>
  <c r="T382" i="14" s="1"/>
  <c r="Q382" i="14" s="1"/>
  <c r="L291" i="14"/>
  <c r="M291" i="14"/>
  <c r="O292" i="14" s="1"/>
  <c r="E290" i="14"/>
  <c r="G291" i="14"/>
  <c r="B291" i="14"/>
  <c r="B225" i="12" l="1"/>
  <c r="C225" i="12"/>
  <c r="M225" i="12"/>
  <c r="L225" i="12"/>
  <c r="O226" i="12" s="1"/>
  <c r="J226" i="12" s="1"/>
  <c r="G225" i="12"/>
  <c r="F223" i="12"/>
  <c r="E222" i="12"/>
  <c r="L213" i="11"/>
  <c r="B213" i="11"/>
  <c r="M213" i="11"/>
  <c r="O214" i="11" s="1"/>
  <c r="E211" i="11"/>
  <c r="F212" i="11"/>
  <c r="D213" i="11"/>
  <c r="T297" i="11"/>
  <c r="Q297" i="11" s="1"/>
  <c r="T357" i="15"/>
  <c r="R357" i="15" s="1"/>
  <c r="G293" i="15"/>
  <c r="D293" i="15"/>
  <c r="O294" i="15"/>
  <c r="Q356" i="15"/>
  <c r="D291" i="14"/>
  <c r="F291" i="14" s="1"/>
  <c r="J292" i="14"/>
  <c r="C292" i="14" s="1"/>
  <c r="M292" i="14"/>
  <c r="O293" i="14" s="1"/>
  <c r="J293" i="14" s="1"/>
  <c r="C293" i="14" s="1"/>
  <c r="L292" i="14"/>
  <c r="R382" i="14"/>
  <c r="T383" i="14" s="1"/>
  <c r="Q383" i="14" s="1"/>
  <c r="B226" i="12" l="1"/>
  <c r="C226" i="12"/>
  <c r="G226" i="12"/>
  <c r="L226" i="12"/>
  <c r="M226" i="12"/>
  <c r="O227" i="12" s="1"/>
  <c r="J227" i="12" s="1"/>
  <c r="C227" i="12" s="1"/>
  <c r="D225" i="12"/>
  <c r="D226" i="12" s="1"/>
  <c r="E223" i="12"/>
  <c r="F224" i="12"/>
  <c r="J214" i="11"/>
  <c r="M214" i="11"/>
  <c r="L214" i="11"/>
  <c r="R297" i="11"/>
  <c r="E212" i="11"/>
  <c r="F213" i="11"/>
  <c r="Q357" i="15"/>
  <c r="T358" i="15" s="1"/>
  <c r="R358" i="15" s="1"/>
  <c r="J294" i="15"/>
  <c r="L294" i="15"/>
  <c r="M294" i="15"/>
  <c r="F293" i="15"/>
  <c r="G292" i="14"/>
  <c r="R383" i="14"/>
  <c r="T384" i="14" s="1"/>
  <c r="Q384" i="14" s="1"/>
  <c r="B292" i="14"/>
  <c r="M293" i="14"/>
  <c r="E291" i="14"/>
  <c r="D292" i="14"/>
  <c r="L293" i="14"/>
  <c r="G293" i="14"/>
  <c r="B293" i="14"/>
  <c r="B227" i="12" l="1"/>
  <c r="E224" i="12"/>
  <c r="F225" i="12"/>
  <c r="E225" i="12" s="1"/>
  <c r="M227" i="12"/>
  <c r="O228" i="12" s="1"/>
  <c r="G227" i="12"/>
  <c r="L227" i="12"/>
  <c r="F226" i="12"/>
  <c r="T298" i="11"/>
  <c r="Q298" i="11" s="1"/>
  <c r="O215" i="11"/>
  <c r="J215" i="11" s="1"/>
  <c r="E213" i="11"/>
  <c r="C214" i="11"/>
  <c r="B214" i="11"/>
  <c r="O295" i="15"/>
  <c r="J295" i="15" s="1"/>
  <c r="E293" i="15"/>
  <c r="B294" i="15"/>
  <c r="C294" i="15"/>
  <c r="Q358" i="15"/>
  <c r="R384" i="14"/>
  <c r="T385" i="14" s="1"/>
  <c r="Q385" i="14" s="1"/>
  <c r="D293" i="14"/>
  <c r="F292" i="14"/>
  <c r="O294" i="14"/>
  <c r="J294" i="14" s="1"/>
  <c r="C294" i="14" s="1"/>
  <c r="D227" i="12" l="1"/>
  <c r="E226" i="12"/>
  <c r="J228" i="12"/>
  <c r="C228" i="12" s="1"/>
  <c r="M215" i="11"/>
  <c r="C215" i="11"/>
  <c r="G215" i="11" s="1"/>
  <c r="B215" i="11"/>
  <c r="L215" i="11"/>
  <c r="G214" i="11"/>
  <c r="D214" i="11"/>
  <c r="R298" i="11"/>
  <c r="L295" i="15"/>
  <c r="G294" i="15"/>
  <c r="D294" i="15"/>
  <c r="C295" i="15"/>
  <c r="G295" i="15" s="1"/>
  <c r="B295" i="15"/>
  <c r="M295" i="15"/>
  <c r="T359" i="15"/>
  <c r="R359" i="15" s="1"/>
  <c r="R385" i="14"/>
  <c r="T386" i="14" s="1"/>
  <c r="Q386" i="14" s="1"/>
  <c r="G294" i="14"/>
  <c r="B294" i="14"/>
  <c r="M294" i="14"/>
  <c r="F293" i="14"/>
  <c r="E292" i="14"/>
  <c r="D294" i="14"/>
  <c r="L294" i="14"/>
  <c r="B228" i="12" l="1"/>
  <c r="G228" i="12"/>
  <c r="M228" i="12"/>
  <c r="O229" i="12" s="1"/>
  <c r="L228" i="12"/>
  <c r="F227" i="12"/>
  <c r="D215" i="11"/>
  <c r="F214" i="11"/>
  <c r="T299" i="11"/>
  <c r="Q299" i="11" s="1"/>
  <c r="O216" i="11"/>
  <c r="L216" i="11" s="1"/>
  <c r="Q359" i="15"/>
  <c r="O296" i="15"/>
  <c r="D295" i="15"/>
  <c r="F294" i="15"/>
  <c r="R386" i="14"/>
  <c r="T387" i="14" s="1"/>
  <c r="Q387" i="14" s="1"/>
  <c r="F294" i="14"/>
  <c r="E293" i="14"/>
  <c r="O295" i="14"/>
  <c r="J295" i="14" s="1"/>
  <c r="C295" i="14" s="1"/>
  <c r="D228" i="12" l="1"/>
  <c r="E227" i="12"/>
  <c r="J229" i="12"/>
  <c r="C229" i="12" s="1"/>
  <c r="J216" i="11"/>
  <c r="M216" i="11"/>
  <c r="O217" i="11" s="1"/>
  <c r="J217" i="11" s="1"/>
  <c r="R299" i="11"/>
  <c r="E214" i="11"/>
  <c r="F215" i="11"/>
  <c r="E294" i="15"/>
  <c r="F295" i="15"/>
  <c r="J296" i="15"/>
  <c r="L296" i="15"/>
  <c r="M296" i="15"/>
  <c r="T360" i="15"/>
  <c r="R360" i="15" s="1"/>
  <c r="R387" i="14"/>
  <c r="T388" i="14" s="1"/>
  <c r="Q388" i="14" s="1"/>
  <c r="B295" i="14"/>
  <c r="M295" i="14"/>
  <c r="E294" i="14"/>
  <c r="L295" i="14"/>
  <c r="B229" i="12" l="1"/>
  <c r="G229" i="12"/>
  <c r="M229" i="12"/>
  <c r="L229" i="12"/>
  <c r="F228" i="12"/>
  <c r="E215" i="11"/>
  <c r="C217" i="11"/>
  <c r="G217" i="11" s="1"/>
  <c r="B217" i="11"/>
  <c r="L217" i="11"/>
  <c r="T300" i="11"/>
  <c r="Q300" i="11" s="1"/>
  <c r="M217" i="11"/>
  <c r="C216" i="11"/>
  <c r="B216" i="11"/>
  <c r="Q360" i="15"/>
  <c r="O297" i="15"/>
  <c r="J297" i="15" s="1"/>
  <c r="C296" i="15"/>
  <c r="B296" i="15"/>
  <c r="E295" i="15"/>
  <c r="R388" i="14"/>
  <c r="T389" i="14" s="1"/>
  <c r="Q389" i="14" s="1"/>
  <c r="O296" i="14"/>
  <c r="J296" i="14" s="1"/>
  <c r="C296" i="14" s="1"/>
  <c r="G295" i="14"/>
  <c r="D295" i="14"/>
  <c r="O230" i="12" l="1"/>
  <c r="J230" i="12" s="1"/>
  <c r="C230" i="12" s="1"/>
  <c r="D229" i="12"/>
  <c r="E228" i="12"/>
  <c r="R300" i="11"/>
  <c r="O218" i="11"/>
  <c r="J218" i="11" s="1"/>
  <c r="G216" i="11"/>
  <c r="D216" i="11"/>
  <c r="L297" i="15"/>
  <c r="G296" i="15"/>
  <c r="D296" i="15"/>
  <c r="C297" i="15"/>
  <c r="G297" i="15" s="1"/>
  <c r="B297" i="15"/>
  <c r="M297" i="15"/>
  <c r="T361" i="15"/>
  <c r="R361" i="15" s="1"/>
  <c r="L296" i="14"/>
  <c r="R389" i="14"/>
  <c r="T390" i="14" s="1"/>
  <c r="Q390" i="14" s="1"/>
  <c r="F295" i="14"/>
  <c r="G296" i="14"/>
  <c r="B296" i="14"/>
  <c r="M296" i="14"/>
  <c r="B230" i="12" l="1"/>
  <c r="G230" i="12"/>
  <c r="M230" i="12"/>
  <c r="L230" i="12"/>
  <c r="F229" i="12"/>
  <c r="M218" i="11"/>
  <c r="D217" i="11"/>
  <c r="F216" i="11"/>
  <c r="C218" i="11"/>
  <c r="G218" i="11" s="1"/>
  <c r="B218" i="11"/>
  <c r="L218" i="11"/>
  <c r="T301" i="11"/>
  <c r="Q301" i="11" s="1"/>
  <c r="Q361" i="15"/>
  <c r="O298" i="15"/>
  <c r="D297" i="15"/>
  <c r="F296" i="15"/>
  <c r="O297" i="14"/>
  <c r="E295" i="14"/>
  <c r="D296" i="14"/>
  <c r="R390" i="14"/>
  <c r="T391" i="14" s="1"/>
  <c r="Q391" i="14" s="1"/>
  <c r="O231" i="12" l="1"/>
  <c r="D230" i="12"/>
  <c r="E229" i="12"/>
  <c r="J231" i="12"/>
  <c r="C231" i="12" s="1"/>
  <c r="R301" i="11"/>
  <c r="O219" i="11"/>
  <c r="E216" i="11"/>
  <c r="F217" i="11"/>
  <c r="D218" i="11"/>
  <c r="F297" i="15"/>
  <c r="E296" i="15"/>
  <c r="R391" i="14"/>
  <c r="T392" i="14" s="1"/>
  <c r="Q392" i="14" s="1"/>
  <c r="J298" i="15"/>
  <c r="L298" i="15"/>
  <c r="M298" i="15"/>
  <c r="T362" i="15"/>
  <c r="R362" i="15" s="1"/>
  <c r="F296" i="14"/>
  <c r="J297" i="14"/>
  <c r="C297" i="14" s="1"/>
  <c r="L297" i="14"/>
  <c r="M297" i="14"/>
  <c r="B231" i="12" l="1"/>
  <c r="G231" i="12"/>
  <c r="M231" i="12"/>
  <c r="O232" i="12" s="1"/>
  <c r="L231" i="12"/>
  <c r="F230" i="12"/>
  <c r="J219" i="11"/>
  <c r="M219" i="11"/>
  <c r="E217" i="11"/>
  <c r="F218" i="11"/>
  <c r="L219" i="11"/>
  <c r="T302" i="11"/>
  <c r="Q302" i="11" s="1"/>
  <c r="R392" i="14"/>
  <c r="T393" i="14" s="1"/>
  <c r="Q393" i="14" s="1"/>
  <c r="Q362" i="15"/>
  <c r="T363" i="15" s="1"/>
  <c r="Q363" i="15" s="1"/>
  <c r="O299" i="15"/>
  <c r="J299" i="15" s="1"/>
  <c r="C298" i="15"/>
  <c r="B298" i="15"/>
  <c r="E297" i="15"/>
  <c r="B297" i="14"/>
  <c r="E296" i="14"/>
  <c r="O298" i="14"/>
  <c r="J298" i="14" s="1"/>
  <c r="C298" i="14" s="1"/>
  <c r="D231" i="12" l="1"/>
  <c r="E230" i="12"/>
  <c r="J232" i="12"/>
  <c r="C232" i="12" s="1"/>
  <c r="R302" i="11"/>
  <c r="E218" i="11"/>
  <c r="O220" i="11"/>
  <c r="J220" i="11" s="1"/>
  <c r="C219" i="11"/>
  <c r="B219" i="11"/>
  <c r="R363" i="15"/>
  <c r="T364" i="15" s="1"/>
  <c r="Q364" i="15" s="1"/>
  <c r="L299" i="15"/>
  <c r="G298" i="15"/>
  <c r="D298" i="15"/>
  <c r="C299" i="15"/>
  <c r="G299" i="15" s="1"/>
  <c r="B299" i="15"/>
  <c r="M299" i="15"/>
  <c r="R393" i="14"/>
  <c r="T394" i="14" s="1"/>
  <c r="Q394" i="14" s="1"/>
  <c r="G297" i="14"/>
  <c r="D297" i="14"/>
  <c r="L298" i="14"/>
  <c r="G298" i="14"/>
  <c r="B298" i="14"/>
  <c r="M298" i="14"/>
  <c r="B232" i="12" l="1"/>
  <c r="G232" i="12"/>
  <c r="M232" i="12"/>
  <c r="O233" i="12" s="1"/>
  <c r="L232" i="12"/>
  <c r="F231" i="12"/>
  <c r="G219" i="11"/>
  <c r="D219" i="11"/>
  <c r="M220" i="11"/>
  <c r="L220" i="11"/>
  <c r="T303" i="11"/>
  <c r="Q303" i="11" s="1"/>
  <c r="C220" i="11"/>
  <c r="G220" i="11" s="1"/>
  <c r="B220" i="11"/>
  <c r="R364" i="15"/>
  <c r="D299" i="15"/>
  <c r="F298" i="15"/>
  <c r="O300" i="15"/>
  <c r="M300" i="15" s="1"/>
  <c r="R394" i="14"/>
  <c r="T395" i="14" s="1"/>
  <c r="Q395" i="14" s="1"/>
  <c r="D298" i="14"/>
  <c r="F297" i="14"/>
  <c r="O299" i="14"/>
  <c r="J299" i="14" s="1"/>
  <c r="C299" i="14" s="1"/>
  <c r="D232" i="12" l="1"/>
  <c r="E231" i="12"/>
  <c r="J233" i="12"/>
  <c r="C233" i="12" s="1"/>
  <c r="R303" i="11"/>
  <c r="O221" i="11"/>
  <c r="J221" i="11" s="1"/>
  <c r="D220" i="11"/>
  <c r="F219" i="11"/>
  <c r="O301" i="15"/>
  <c r="J301" i="15" s="1"/>
  <c r="F299" i="15"/>
  <c r="E298" i="15"/>
  <c r="J300" i="15"/>
  <c r="L300" i="15"/>
  <c r="T365" i="15"/>
  <c r="Q365" i="15" s="1"/>
  <c r="R395" i="14"/>
  <c r="T396" i="14" s="1"/>
  <c r="Q396" i="14" s="1"/>
  <c r="M299" i="14"/>
  <c r="E297" i="14"/>
  <c r="F298" i="14"/>
  <c r="D299" i="14"/>
  <c r="L299" i="14"/>
  <c r="G299" i="14"/>
  <c r="B299" i="14"/>
  <c r="B233" i="12" l="1"/>
  <c r="G233" i="12"/>
  <c r="M233" i="12"/>
  <c r="L233" i="12"/>
  <c r="F232" i="12"/>
  <c r="M221" i="11"/>
  <c r="E219" i="11"/>
  <c r="F220" i="11"/>
  <c r="C221" i="11"/>
  <c r="G221" i="11" s="1"/>
  <c r="B221" i="11"/>
  <c r="L221" i="11"/>
  <c r="T304" i="11"/>
  <c r="Q304" i="11" s="1"/>
  <c r="L301" i="15"/>
  <c r="O302" i="15" s="1"/>
  <c r="J302" i="15" s="1"/>
  <c r="R396" i="14"/>
  <c r="T397" i="14" s="1"/>
  <c r="Q397" i="14" s="1"/>
  <c r="C300" i="15"/>
  <c r="B300" i="15"/>
  <c r="E299" i="15"/>
  <c r="C301" i="15"/>
  <c r="G301" i="15" s="1"/>
  <c r="B301" i="15"/>
  <c r="R365" i="15"/>
  <c r="M301" i="15"/>
  <c r="E298" i="14"/>
  <c r="F299" i="14"/>
  <c r="O300" i="14"/>
  <c r="J300" i="14" s="1"/>
  <c r="C300" i="14" s="1"/>
  <c r="O234" i="12" l="1"/>
  <c r="D233" i="12"/>
  <c r="H3" i="12" s="1"/>
  <c r="E232" i="12"/>
  <c r="J234" i="12"/>
  <c r="C234" i="12" s="1"/>
  <c r="R304" i="11"/>
  <c r="O222" i="11"/>
  <c r="D221" i="11"/>
  <c r="F221" i="11" s="1"/>
  <c r="E220" i="11"/>
  <c r="T305" i="11"/>
  <c r="M302" i="15"/>
  <c r="G300" i="15"/>
  <c r="D300" i="15"/>
  <c r="T366" i="15"/>
  <c r="Q366" i="15" s="1"/>
  <c r="C302" i="15"/>
  <c r="G302" i="15" s="1"/>
  <c r="B302" i="15"/>
  <c r="L302" i="15"/>
  <c r="O303" i="15" s="1"/>
  <c r="J303" i="15" s="1"/>
  <c r="R397" i="14"/>
  <c r="T398" i="14" s="1"/>
  <c r="Q398" i="14" s="1"/>
  <c r="M300" i="14"/>
  <c r="E299" i="14"/>
  <c r="B300" i="14"/>
  <c r="L300" i="14"/>
  <c r="B234" i="12" l="1"/>
  <c r="M234" i="12"/>
  <c r="G234" i="12"/>
  <c r="L234" i="12"/>
  <c r="O235" i="12" s="1"/>
  <c r="F233" i="12"/>
  <c r="R305" i="11"/>
  <c r="T306" i="11" s="1"/>
  <c r="Q305" i="11"/>
  <c r="E221" i="11"/>
  <c r="J222" i="11"/>
  <c r="M222" i="11"/>
  <c r="L222" i="11"/>
  <c r="R366" i="15"/>
  <c r="D301" i="15"/>
  <c r="D302" i="15" s="1"/>
  <c r="F300" i="15"/>
  <c r="C303" i="15"/>
  <c r="G303" i="15" s="1"/>
  <c r="B303" i="15"/>
  <c r="L303" i="15"/>
  <c r="M303" i="15"/>
  <c r="R398" i="14"/>
  <c r="T399" i="14" s="1"/>
  <c r="Q399" i="14" s="1"/>
  <c r="O301" i="14"/>
  <c r="J301" i="14" s="1"/>
  <c r="C301" i="14" s="1"/>
  <c r="G300" i="14"/>
  <c r="D300" i="14"/>
  <c r="G3" i="12" l="1"/>
  <c r="D234" i="12"/>
  <c r="E233" i="12"/>
  <c r="J235" i="12"/>
  <c r="C235" i="12" s="1"/>
  <c r="Q306" i="11"/>
  <c r="R306" i="11"/>
  <c r="T307" i="11" s="1"/>
  <c r="Q307" i="11" s="1"/>
  <c r="C222" i="11"/>
  <c r="B222" i="11"/>
  <c r="O223" i="11"/>
  <c r="J223" i="11" s="1"/>
  <c r="O304" i="15"/>
  <c r="J304" i="15" s="1"/>
  <c r="F301" i="15"/>
  <c r="E300" i="15"/>
  <c r="D303" i="15"/>
  <c r="T367" i="15"/>
  <c r="Q367" i="15" s="1"/>
  <c r="L301" i="14"/>
  <c r="R399" i="14"/>
  <c r="T400" i="14" s="1"/>
  <c r="Q400" i="14" s="1"/>
  <c r="F300" i="14"/>
  <c r="G301" i="14"/>
  <c r="B301" i="14"/>
  <c r="M301" i="14"/>
  <c r="B235" i="12" l="1"/>
  <c r="M235" i="12"/>
  <c r="G235" i="12"/>
  <c r="L235" i="12"/>
  <c r="O236" i="12" s="1"/>
  <c r="F234" i="12"/>
  <c r="R307" i="11"/>
  <c r="T308" i="11" s="1"/>
  <c r="Q308" i="11" s="1"/>
  <c r="L223" i="11"/>
  <c r="M223" i="11"/>
  <c r="G222" i="11"/>
  <c r="D222" i="11"/>
  <c r="C223" i="11"/>
  <c r="G223" i="11" s="1"/>
  <c r="B223" i="11"/>
  <c r="M304" i="15"/>
  <c r="R400" i="14"/>
  <c r="T401" i="14" s="1"/>
  <c r="Q401" i="14" s="1"/>
  <c r="O302" i="14"/>
  <c r="J302" i="14" s="1"/>
  <c r="C302" i="14" s="1"/>
  <c r="G302" i="14" s="1"/>
  <c r="R367" i="15"/>
  <c r="F302" i="15"/>
  <c r="E301" i="15"/>
  <c r="C304" i="15"/>
  <c r="G304" i="15" s="1"/>
  <c r="B304" i="15"/>
  <c r="L304" i="15"/>
  <c r="E300" i="14"/>
  <c r="D301" i="14"/>
  <c r="D235" i="12" l="1"/>
  <c r="E234" i="12"/>
  <c r="E3" i="12" s="1"/>
  <c r="J236" i="12"/>
  <c r="C236" i="12" s="1"/>
  <c r="R308" i="11"/>
  <c r="T309" i="11" s="1"/>
  <c r="Q309" i="11" s="1"/>
  <c r="D223" i="11"/>
  <c r="F222" i="11"/>
  <c r="O224" i="11"/>
  <c r="J224" i="11" s="1"/>
  <c r="M302" i="14"/>
  <c r="D302" i="14"/>
  <c r="B302" i="14"/>
  <c r="L302" i="14"/>
  <c r="F303" i="15"/>
  <c r="E302" i="15"/>
  <c r="D304" i="15"/>
  <c r="O305" i="15"/>
  <c r="L305" i="15" s="1"/>
  <c r="T368" i="15"/>
  <c r="Q368" i="15" s="1"/>
  <c r="F301" i="14"/>
  <c r="R401" i="14"/>
  <c r="T402" i="14" s="1"/>
  <c r="Q402" i="14" s="1"/>
  <c r="B236" i="12" l="1"/>
  <c r="M236" i="12"/>
  <c r="L236" i="12"/>
  <c r="O237" i="12" s="1"/>
  <c r="J237" i="12" s="1"/>
  <c r="C237" i="12" s="1"/>
  <c r="G236" i="12"/>
  <c r="F235" i="12"/>
  <c r="O303" i="14"/>
  <c r="J303" i="14" s="1"/>
  <c r="C303" i="14" s="1"/>
  <c r="L224" i="11"/>
  <c r="M224" i="11"/>
  <c r="E222" i="11"/>
  <c r="F223" i="11"/>
  <c r="R309" i="11"/>
  <c r="T310" i="11" s="1"/>
  <c r="Q310" i="11" s="1"/>
  <c r="C224" i="11"/>
  <c r="G224" i="11" s="1"/>
  <c r="B224" i="11"/>
  <c r="R368" i="15"/>
  <c r="J305" i="15"/>
  <c r="M305" i="15"/>
  <c r="F304" i="15"/>
  <c r="E303" i="15"/>
  <c r="R402" i="14"/>
  <c r="T403" i="14" s="1"/>
  <c r="Q403" i="14" s="1"/>
  <c r="E301" i="14"/>
  <c r="F302" i="14"/>
  <c r="B237" i="12" l="1"/>
  <c r="D236" i="12"/>
  <c r="B303" i="14"/>
  <c r="M303" i="14"/>
  <c r="E235" i="12"/>
  <c r="G237" i="12"/>
  <c r="L237" i="12"/>
  <c r="M237" i="12"/>
  <c r="L303" i="14"/>
  <c r="O304" i="14" s="1"/>
  <c r="R310" i="11"/>
  <c r="T311" i="11" s="1"/>
  <c r="Q311" i="11" s="1"/>
  <c r="D224" i="11"/>
  <c r="F224" i="11" s="1"/>
  <c r="E223" i="11"/>
  <c r="O225" i="11"/>
  <c r="J225" i="11" s="1"/>
  <c r="E304" i="15"/>
  <c r="O306" i="15"/>
  <c r="C305" i="15"/>
  <c r="B305" i="15"/>
  <c r="T369" i="15"/>
  <c r="Q369" i="15" s="1"/>
  <c r="E302" i="14"/>
  <c r="G303" i="14"/>
  <c r="D303" i="14"/>
  <c r="F303" i="14" s="1"/>
  <c r="R403" i="14"/>
  <c r="T404" i="14" s="1"/>
  <c r="Q404" i="14" s="1"/>
  <c r="O238" i="12" l="1"/>
  <c r="J238" i="12" s="1"/>
  <c r="C238" i="12" s="1"/>
  <c r="D237" i="12"/>
  <c r="F236" i="12"/>
  <c r="L225" i="11"/>
  <c r="C225" i="11"/>
  <c r="B225" i="11"/>
  <c r="M225" i="11"/>
  <c r="E224" i="11"/>
  <c r="R311" i="11"/>
  <c r="T312" i="11" s="1"/>
  <c r="Q312" i="11" s="1"/>
  <c r="R369" i="15"/>
  <c r="G305" i="15"/>
  <c r="D305" i="15"/>
  <c r="J306" i="15"/>
  <c r="L306" i="15"/>
  <c r="M306" i="15"/>
  <c r="E303" i="14"/>
  <c r="J304" i="14"/>
  <c r="C304" i="14" s="1"/>
  <c r="M304" i="14"/>
  <c r="L304" i="14"/>
  <c r="R404" i="14"/>
  <c r="T405" i="14" s="1"/>
  <c r="Q405" i="14" s="1"/>
  <c r="B238" i="12" l="1"/>
  <c r="E236" i="12"/>
  <c r="F237" i="12"/>
  <c r="G238" i="12"/>
  <c r="L238" i="12"/>
  <c r="O239" i="12" s="1"/>
  <c r="M238" i="12"/>
  <c r="O226" i="11"/>
  <c r="G225" i="11"/>
  <c r="D225" i="11"/>
  <c r="R312" i="11"/>
  <c r="T313" i="11" s="1"/>
  <c r="Q313" i="11" s="1"/>
  <c r="O307" i="15"/>
  <c r="J307" i="15" s="1"/>
  <c r="C306" i="15"/>
  <c r="G306" i="15" s="1"/>
  <c r="B306" i="15"/>
  <c r="F305" i="15"/>
  <c r="T370" i="15"/>
  <c r="Q370" i="15" s="1"/>
  <c r="B304" i="14"/>
  <c r="O305" i="14"/>
  <c r="J305" i="14" s="1"/>
  <c r="C305" i="14" s="1"/>
  <c r="R405" i="14"/>
  <c r="T406" i="14" s="1"/>
  <c r="Q406" i="14" s="1"/>
  <c r="D238" i="12" l="1"/>
  <c r="F238" i="12" s="1"/>
  <c r="J239" i="12"/>
  <c r="C239" i="12" s="1"/>
  <c r="E237" i="12"/>
  <c r="R313" i="11"/>
  <c r="T314" i="11" s="1"/>
  <c r="Q314" i="11" s="1"/>
  <c r="F225" i="11"/>
  <c r="J226" i="11"/>
  <c r="L226" i="11"/>
  <c r="M226" i="11"/>
  <c r="D306" i="15"/>
  <c r="F306" i="15" s="1"/>
  <c r="R370" i="15"/>
  <c r="T371" i="15" s="1"/>
  <c r="Q371" i="15" s="1"/>
  <c r="L307" i="15"/>
  <c r="O308" i="15" s="1"/>
  <c r="J308" i="15" s="1"/>
  <c r="M307" i="15"/>
  <c r="E305" i="15"/>
  <c r="C307" i="15"/>
  <c r="G307" i="15" s="1"/>
  <c r="B307" i="15"/>
  <c r="R406" i="14"/>
  <c r="T407" i="14" s="1"/>
  <c r="Q407" i="14" s="1"/>
  <c r="G305" i="14"/>
  <c r="B305" i="14"/>
  <c r="L305" i="14"/>
  <c r="G304" i="14"/>
  <c r="D304" i="14"/>
  <c r="M305" i="14"/>
  <c r="B239" i="12" l="1"/>
  <c r="G239" i="12"/>
  <c r="E238" i="12"/>
  <c r="L239" i="12"/>
  <c r="O240" i="12" s="1"/>
  <c r="M239" i="12"/>
  <c r="R314" i="11"/>
  <c r="T315" i="11" s="1"/>
  <c r="Q315" i="11" s="1"/>
  <c r="O227" i="11"/>
  <c r="J227" i="11" s="1"/>
  <c r="C226" i="11"/>
  <c r="B226" i="11"/>
  <c r="E225" i="11"/>
  <c r="R407" i="14"/>
  <c r="T408" i="14" s="1"/>
  <c r="Q408" i="14" s="1"/>
  <c r="M308" i="15"/>
  <c r="R371" i="15"/>
  <c r="C308" i="15"/>
  <c r="G308" i="15" s="1"/>
  <c r="B308" i="15"/>
  <c r="L308" i="15"/>
  <c r="D307" i="15"/>
  <c r="E306" i="15"/>
  <c r="D305" i="14"/>
  <c r="F304" i="14"/>
  <c r="O306" i="14"/>
  <c r="J306" i="14" s="1"/>
  <c r="C306" i="14" s="1"/>
  <c r="D239" i="12" l="1"/>
  <c r="J240" i="12"/>
  <c r="C240" i="12" s="1"/>
  <c r="M240" i="12"/>
  <c r="G226" i="11"/>
  <c r="D226" i="11"/>
  <c r="C227" i="11"/>
  <c r="G227" i="11" s="1"/>
  <c r="B227" i="11"/>
  <c r="L227" i="11"/>
  <c r="M227" i="11"/>
  <c r="R315" i="11"/>
  <c r="T316" i="11" s="1"/>
  <c r="Q316" i="11" s="1"/>
  <c r="D308" i="15"/>
  <c r="O309" i="15"/>
  <c r="J309" i="15" s="1"/>
  <c r="T372" i="15"/>
  <c r="Q372" i="15" s="1"/>
  <c r="F307" i="15"/>
  <c r="R408" i="14"/>
  <c r="T409" i="14" s="1"/>
  <c r="Q409" i="14" s="1"/>
  <c r="M306" i="14"/>
  <c r="E304" i="14"/>
  <c r="F305" i="14"/>
  <c r="G306" i="14"/>
  <c r="B306" i="14"/>
  <c r="D306" i="14"/>
  <c r="L306" i="14"/>
  <c r="B240" i="12" l="1"/>
  <c r="G240" i="12"/>
  <c r="F239" i="12"/>
  <c r="L240" i="12"/>
  <c r="O241" i="12" s="1"/>
  <c r="O228" i="11"/>
  <c r="J228" i="11" s="1"/>
  <c r="D227" i="11"/>
  <c r="F226" i="11"/>
  <c r="R316" i="11"/>
  <c r="T317" i="11" s="1"/>
  <c r="Q317" i="11" s="1"/>
  <c r="M309" i="15"/>
  <c r="E307" i="15"/>
  <c r="F308" i="15"/>
  <c r="R372" i="15"/>
  <c r="T373" i="15" s="1"/>
  <c r="Q373" i="15" s="1"/>
  <c r="C309" i="15"/>
  <c r="B309" i="15"/>
  <c r="L309" i="15"/>
  <c r="R409" i="14"/>
  <c r="T410" i="14" s="1"/>
  <c r="Q410" i="14" s="1"/>
  <c r="E305" i="14"/>
  <c r="F306" i="14"/>
  <c r="O307" i="14"/>
  <c r="J307" i="14" s="1"/>
  <c r="C307" i="14" s="1"/>
  <c r="D240" i="12" l="1"/>
  <c r="E239" i="12"/>
  <c r="R317" i="11"/>
  <c r="T318" i="11" s="1"/>
  <c r="Q318" i="11" s="1"/>
  <c r="M228" i="11"/>
  <c r="C228" i="11"/>
  <c r="G228" i="11" s="1"/>
  <c r="B228" i="11"/>
  <c r="L228" i="11"/>
  <c r="E226" i="11"/>
  <c r="F227" i="11"/>
  <c r="G309" i="15"/>
  <c r="D309" i="15"/>
  <c r="F309" i="15" s="1"/>
  <c r="R373" i="15"/>
  <c r="T374" i="15" s="1"/>
  <c r="Q374" i="15" s="1"/>
  <c r="E308" i="15"/>
  <c r="O310" i="15"/>
  <c r="L310" i="15" s="1"/>
  <c r="R410" i="14"/>
  <c r="T411" i="14" s="1"/>
  <c r="Q411" i="14" s="1"/>
  <c r="M307" i="14"/>
  <c r="E306" i="14"/>
  <c r="B307" i="14"/>
  <c r="L307" i="14"/>
  <c r="F240" i="12" l="1"/>
  <c r="J241" i="12"/>
  <c r="C241" i="12" s="1"/>
  <c r="M241" i="12"/>
  <c r="L241" i="12"/>
  <c r="R318" i="11"/>
  <c r="T319" i="11" s="1"/>
  <c r="Q319" i="11" s="1"/>
  <c r="O229" i="11"/>
  <c r="D228" i="11"/>
  <c r="F228" i="11" s="1"/>
  <c r="E227" i="11"/>
  <c r="R374" i="15"/>
  <c r="T375" i="15" s="1"/>
  <c r="E309" i="15"/>
  <c r="J310" i="15"/>
  <c r="M310" i="15"/>
  <c r="O311" i="15" s="1"/>
  <c r="J311" i="15" s="1"/>
  <c r="R411" i="14"/>
  <c r="T412" i="14" s="1"/>
  <c r="Q412" i="14" s="1"/>
  <c r="O308" i="14"/>
  <c r="J308" i="14" s="1"/>
  <c r="C308" i="14" s="1"/>
  <c r="G307" i="14"/>
  <c r="D307" i="14"/>
  <c r="B241" i="12" l="1"/>
  <c r="G241" i="12"/>
  <c r="O242" i="12"/>
  <c r="J242" i="12" s="1"/>
  <c r="C242" i="12" s="1"/>
  <c r="E240" i="12"/>
  <c r="R319" i="11"/>
  <c r="T320" i="11" s="1"/>
  <c r="Q320" i="11" s="1"/>
  <c r="E228" i="11"/>
  <c r="J229" i="11"/>
  <c r="M229" i="11"/>
  <c r="L229" i="11"/>
  <c r="R375" i="15"/>
  <c r="Q375" i="15"/>
  <c r="C311" i="15"/>
  <c r="G311" i="15" s="1"/>
  <c r="B311" i="15"/>
  <c r="L311" i="15"/>
  <c r="M311" i="15"/>
  <c r="B310" i="15"/>
  <c r="C310" i="15"/>
  <c r="L308" i="14"/>
  <c r="O309" i="14" s="1"/>
  <c r="J309" i="14" s="1"/>
  <c r="C309" i="14" s="1"/>
  <c r="R412" i="14"/>
  <c r="T413" i="14" s="1"/>
  <c r="Q413" i="14" s="1"/>
  <c r="G308" i="14"/>
  <c r="B308" i="14"/>
  <c r="D308" i="14"/>
  <c r="F307" i="14"/>
  <c r="M308" i="14"/>
  <c r="B242" i="12" l="1"/>
  <c r="T376" i="15"/>
  <c r="R376" i="15" s="1"/>
  <c r="D241" i="12"/>
  <c r="G242" i="12"/>
  <c r="M242" i="12"/>
  <c r="L242" i="12"/>
  <c r="O230" i="11"/>
  <c r="J230" i="11" s="1"/>
  <c r="C229" i="11"/>
  <c r="B229" i="11"/>
  <c r="R320" i="11"/>
  <c r="T321" i="11" s="1"/>
  <c r="Q321" i="11" s="1"/>
  <c r="O312" i="15"/>
  <c r="J312" i="15" s="1"/>
  <c r="G310" i="15"/>
  <c r="D310" i="15"/>
  <c r="R413" i="14"/>
  <c r="T414" i="14" s="1"/>
  <c r="Q414" i="14" s="1"/>
  <c r="B309" i="14"/>
  <c r="G309" i="14"/>
  <c r="L309" i="14"/>
  <c r="M309" i="14"/>
  <c r="D309" i="14"/>
  <c r="F308" i="14"/>
  <c r="E307" i="14"/>
  <c r="O243" i="12" l="1"/>
  <c r="L243" i="12" s="1"/>
  <c r="Q376" i="15"/>
  <c r="D242" i="12"/>
  <c r="F241" i="12"/>
  <c r="R321" i="11"/>
  <c r="T322" i="11" s="1"/>
  <c r="Q322" i="11" s="1"/>
  <c r="M230" i="11"/>
  <c r="C230" i="11"/>
  <c r="G230" i="11" s="1"/>
  <c r="B230" i="11"/>
  <c r="G229" i="11"/>
  <c r="D229" i="11"/>
  <c r="L230" i="11"/>
  <c r="D311" i="15"/>
  <c r="F310" i="15"/>
  <c r="T377" i="15"/>
  <c r="R377" i="15" s="1"/>
  <c r="C312" i="15"/>
  <c r="G312" i="15" s="1"/>
  <c r="B312" i="15"/>
  <c r="L312" i="15"/>
  <c r="M312" i="15"/>
  <c r="R414" i="14"/>
  <c r="T415" i="14" s="1"/>
  <c r="Q415" i="14" s="1"/>
  <c r="O310" i="14"/>
  <c r="J310" i="14" s="1"/>
  <c r="C310" i="14" s="1"/>
  <c r="F309" i="14"/>
  <c r="E308" i="14"/>
  <c r="J243" i="12" l="1"/>
  <c r="C243" i="12" s="1"/>
  <c r="M243" i="12"/>
  <c r="B243" i="12"/>
  <c r="O244" i="12"/>
  <c r="J244" i="12" s="1"/>
  <c r="C244" i="12" s="1"/>
  <c r="E241" i="12"/>
  <c r="F242" i="12"/>
  <c r="G243" i="12"/>
  <c r="R322" i="11"/>
  <c r="T323" i="11" s="1"/>
  <c r="Q323" i="11" s="1"/>
  <c r="D230" i="11"/>
  <c r="F229" i="11"/>
  <c r="O231" i="11"/>
  <c r="Q377" i="15"/>
  <c r="T378" i="15" s="1"/>
  <c r="Q378" i="15" s="1"/>
  <c r="O313" i="15"/>
  <c r="J313" i="15" s="1"/>
  <c r="F311" i="15"/>
  <c r="E310" i="15"/>
  <c r="D312" i="15"/>
  <c r="R415" i="14"/>
  <c r="T416" i="14" s="1"/>
  <c r="Q416" i="14" s="1"/>
  <c r="E309" i="14"/>
  <c r="M310" i="14"/>
  <c r="B310" i="14"/>
  <c r="L310" i="14"/>
  <c r="L244" i="12" l="1"/>
  <c r="B244" i="12"/>
  <c r="G244" i="12"/>
  <c r="D243" i="12"/>
  <c r="M244" i="12"/>
  <c r="O245" i="12" s="1"/>
  <c r="E242" i="12"/>
  <c r="T324" i="11"/>
  <c r="Q324" i="11" s="1"/>
  <c r="J231" i="11"/>
  <c r="M231" i="11"/>
  <c r="L231" i="11"/>
  <c r="E229" i="11"/>
  <c r="F230" i="11"/>
  <c r="R323" i="11"/>
  <c r="M313" i="15"/>
  <c r="R378" i="15"/>
  <c r="T379" i="15" s="1"/>
  <c r="F312" i="15"/>
  <c r="E311" i="15"/>
  <c r="C313" i="15"/>
  <c r="G313" i="15" s="1"/>
  <c r="B313" i="15"/>
  <c r="L313" i="15"/>
  <c r="O311" i="14"/>
  <c r="J311" i="14" s="1"/>
  <c r="C311" i="14" s="1"/>
  <c r="G310" i="14"/>
  <c r="D310" i="14"/>
  <c r="R416" i="14"/>
  <c r="T417" i="14" s="1"/>
  <c r="Q417" i="14" s="1"/>
  <c r="D244" i="12" l="1"/>
  <c r="F243" i="12"/>
  <c r="E243" i="12" s="1"/>
  <c r="M245" i="12"/>
  <c r="E230" i="11"/>
  <c r="O232" i="11"/>
  <c r="J232" i="11" s="1"/>
  <c r="C231" i="11"/>
  <c r="B231" i="11"/>
  <c r="R324" i="11"/>
  <c r="T325" i="11" s="1"/>
  <c r="Q325" i="11" s="1"/>
  <c r="R379" i="15"/>
  <c r="R417" i="14"/>
  <c r="T418" i="14" s="1"/>
  <c r="Q418" i="14" s="1"/>
  <c r="Q379" i="15"/>
  <c r="O314" i="15"/>
  <c r="D313" i="15"/>
  <c r="F313" i="15" s="1"/>
  <c r="E312" i="15"/>
  <c r="M311" i="14"/>
  <c r="G311" i="14"/>
  <c r="B311" i="14"/>
  <c r="L311" i="14"/>
  <c r="D311" i="14"/>
  <c r="F310" i="14"/>
  <c r="F244" i="12" l="1"/>
  <c r="J245" i="12"/>
  <c r="C245" i="12" s="1"/>
  <c r="L245" i="12"/>
  <c r="E244" i="12"/>
  <c r="T380" i="15"/>
  <c r="R380" i="15" s="1"/>
  <c r="R325" i="11"/>
  <c r="T326" i="11" s="1"/>
  <c r="Q326" i="11" s="1"/>
  <c r="M232" i="11"/>
  <c r="C232" i="11"/>
  <c r="G232" i="11" s="1"/>
  <c r="B232" i="11"/>
  <c r="L232" i="11"/>
  <c r="G231" i="11"/>
  <c r="D231" i="11"/>
  <c r="E313" i="15"/>
  <c r="J314" i="15"/>
  <c r="M314" i="15"/>
  <c r="L314" i="15"/>
  <c r="O312" i="14"/>
  <c r="L312" i="14" s="1"/>
  <c r="R418" i="14"/>
  <c r="T419" i="14" s="1"/>
  <c r="Q419" i="14" s="1"/>
  <c r="E310" i="14"/>
  <c r="F311" i="14"/>
  <c r="B245" i="12" l="1"/>
  <c r="G245" i="12"/>
  <c r="O246" i="12"/>
  <c r="Q380" i="15"/>
  <c r="R326" i="11"/>
  <c r="T327" i="11" s="1"/>
  <c r="Q327" i="11" s="1"/>
  <c r="O233" i="11"/>
  <c r="D232" i="11"/>
  <c r="F231" i="11"/>
  <c r="O315" i="15"/>
  <c r="J315" i="15" s="1"/>
  <c r="C314" i="15"/>
  <c r="B314" i="15"/>
  <c r="T381" i="15"/>
  <c r="R381" i="15" s="1"/>
  <c r="R419" i="14"/>
  <c r="T420" i="14" s="1"/>
  <c r="E311" i="14"/>
  <c r="J312" i="14"/>
  <c r="C312" i="14" s="1"/>
  <c r="M312" i="14"/>
  <c r="O313" i="14" s="1"/>
  <c r="J313" i="14" s="1"/>
  <c r="C313" i="14" s="1"/>
  <c r="J246" i="12" l="1"/>
  <c r="C246" i="12" s="1"/>
  <c r="M246" i="12"/>
  <c r="L246" i="12"/>
  <c r="O247" i="12" s="1"/>
  <c r="J247" i="12" s="1"/>
  <c r="C247" i="12" s="1"/>
  <c r="D245" i="12"/>
  <c r="R327" i="11"/>
  <c r="T328" i="11" s="1"/>
  <c r="Q328" i="11" s="1"/>
  <c r="E231" i="11"/>
  <c r="F232" i="11"/>
  <c r="J233" i="11"/>
  <c r="M233" i="11"/>
  <c r="L233" i="11"/>
  <c r="M315" i="15"/>
  <c r="Q381" i="15"/>
  <c r="G314" i="15"/>
  <c r="D314" i="15"/>
  <c r="C315" i="15"/>
  <c r="G315" i="15" s="1"/>
  <c r="B315" i="15"/>
  <c r="L315" i="15"/>
  <c r="R420" i="14"/>
  <c r="M313" i="14"/>
  <c r="B312" i="14"/>
  <c r="Q420" i="14"/>
  <c r="B313" i="14"/>
  <c r="G313" i="14"/>
  <c r="L313" i="14"/>
  <c r="B247" i="12" l="1"/>
  <c r="L247" i="12"/>
  <c r="O248" i="12" s="1"/>
  <c r="G247" i="12"/>
  <c r="M247" i="12"/>
  <c r="B246" i="12"/>
  <c r="G246" i="12"/>
  <c r="F245" i="12"/>
  <c r="C233" i="11"/>
  <c r="B233" i="11"/>
  <c r="E232" i="11"/>
  <c r="O234" i="11"/>
  <c r="J234" i="11" s="1"/>
  <c r="R328" i="11"/>
  <c r="T329" i="11" s="1"/>
  <c r="Q329" i="11" s="1"/>
  <c r="D315" i="15"/>
  <c r="F314" i="15"/>
  <c r="O316" i="15"/>
  <c r="T382" i="15"/>
  <c r="R382" i="15" s="1"/>
  <c r="O314" i="14"/>
  <c r="T421" i="14"/>
  <c r="R421" i="14" s="1"/>
  <c r="G312" i="14"/>
  <c r="D312" i="14"/>
  <c r="D246" i="12" l="1"/>
  <c r="D247" i="12" s="1"/>
  <c r="E245" i="12"/>
  <c r="J248" i="12"/>
  <c r="C248" i="12" s="1"/>
  <c r="M248" i="12"/>
  <c r="L248" i="12"/>
  <c r="O249" i="12" s="1"/>
  <c r="R329" i="11"/>
  <c r="T330" i="11" s="1"/>
  <c r="Q330" i="11" s="1"/>
  <c r="L234" i="11"/>
  <c r="G233" i="11"/>
  <c r="D233" i="11"/>
  <c r="M234" i="11"/>
  <c r="C234" i="11"/>
  <c r="G234" i="11" s="1"/>
  <c r="B234" i="11"/>
  <c r="Q382" i="15"/>
  <c r="J316" i="15"/>
  <c r="M316" i="15"/>
  <c r="L316" i="15"/>
  <c r="F315" i="15"/>
  <c r="E314" i="15"/>
  <c r="D313" i="14"/>
  <c r="F312" i="14"/>
  <c r="Q421" i="14"/>
  <c r="J314" i="14"/>
  <c r="C314" i="14" s="1"/>
  <c r="M314" i="14"/>
  <c r="L314" i="14"/>
  <c r="F246" i="12" l="1"/>
  <c r="B248" i="12"/>
  <c r="G248" i="12"/>
  <c r="J249" i="12"/>
  <c r="C249" i="12" s="1"/>
  <c r="E246" i="12"/>
  <c r="F247" i="12"/>
  <c r="R330" i="11"/>
  <c r="T331" i="11" s="1"/>
  <c r="Q331" i="11" s="1"/>
  <c r="O235" i="11"/>
  <c r="D234" i="11"/>
  <c r="F233" i="11"/>
  <c r="E315" i="15"/>
  <c r="O317" i="15"/>
  <c r="J317" i="15" s="1"/>
  <c r="C316" i="15"/>
  <c r="B316" i="15"/>
  <c r="T383" i="15"/>
  <c r="R383" i="15" s="1"/>
  <c r="O315" i="14"/>
  <c r="J315" i="14" s="1"/>
  <c r="C315" i="14" s="1"/>
  <c r="T422" i="14"/>
  <c r="R422" i="14" s="1"/>
  <c r="F313" i="14"/>
  <c r="E312" i="14"/>
  <c r="B314" i="14"/>
  <c r="G314" i="14"/>
  <c r="B249" i="12" l="1"/>
  <c r="D248" i="12"/>
  <c r="F248" i="12" s="1"/>
  <c r="E247" i="12"/>
  <c r="M249" i="12"/>
  <c r="G249" i="12"/>
  <c r="L249" i="12"/>
  <c r="O250" i="12" s="1"/>
  <c r="R331" i="11"/>
  <c r="T332" i="11" s="1"/>
  <c r="Q332" i="11" s="1"/>
  <c r="E233" i="11"/>
  <c r="F234" i="11"/>
  <c r="J235" i="11"/>
  <c r="L235" i="11"/>
  <c r="M235" i="11"/>
  <c r="Q383" i="15"/>
  <c r="T384" i="15" s="1"/>
  <c r="R384" i="15" s="1"/>
  <c r="G316" i="15"/>
  <c r="D316" i="15"/>
  <c r="M317" i="15"/>
  <c r="C317" i="15"/>
  <c r="G317" i="15" s="1"/>
  <c r="B317" i="15"/>
  <c r="L317" i="15"/>
  <c r="M315" i="14"/>
  <c r="L315" i="14"/>
  <c r="E313" i="14"/>
  <c r="Q422" i="14"/>
  <c r="D314" i="14"/>
  <c r="B315" i="14"/>
  <c r="G315" i="14"/>
  <c r="D249" i="12" l="1"/>
  <c r="E248" i="12"/>
  <c r="J250" i="12"/>
  <c r="C250" i="12" s="1"/>
  <c r="O316" i="14"/>
  <c r="J316" i="14" s="1"/>
  <c r="C316" i="14" s="1"/>
  <c r="G316" i="14" s="1"/>
  <c r="O236" i="11"/>
  <c r="J236" i="11" s="1"/>
  <c r="C235" i="11"/>
  <c r="B235" i="11"/>
  <c r="E234" i="11"/>
  <c r="R332" i="11"/>
  <c r="T333" i="11" s="1"/>
  <c r="Q333" i="11" s="1"/>
  <c r="Q384" i="15"/>
  <c r="O318" i="15"/>
  <c r="J318" i="15" s="1"/>
  <c r="D317" i="15"/>
  <c r="F316" i="15"/>
  <c r="D315" i="14"/>
  <c r="T423" i="14"/>
  <c r="R423" i="14" s="1"/>
  <c r="F314" i="14"/>
  <c r="B250" i="12" l="1"/>
  <c r="L316" i="14"/>
  <c r="O317" i="14" s="1"/>
  <c r="J317" i="14" s="1"/>
  <c r="C317" i="14" s="1"/>
  <c r="G317" i="14" s="1"/>
  <c r="B316" i="14"/>
  <c r="G250" i="12"/>
  <c r="L250" i="12"/>
  <c r="F249" i="12"/>
  <c r="M316" i="14"/>
  <c r="M250" i="12"/>
  <c r="R333" i="11"/>
  <c r="T334" i="11" s="1"/>
  <c r="Q334" i="11" s="1"/>
  <c r="G235" i="11"/>
  <c r="D235" i="11"/>
  <c r="C236" i="11"/>
  <c r="G236" i="11" s="1"/>
  <c r="B236" i="11"/>
  <c r="L236" i="11"/>
  <c r="M236" i="11"/>
  <c r="F317" i="15"/>
  <c r="E316" i="15"/>
  <c r="M318" i="15"/>
  <c r="C318" i="15"/>
  <c r="G318" i="15" s="1"/>
  <c r="B318" i="15"/>
  <c r="L318" i="15"/>
  <c r="T385" i="15"/>
  <c r="R385" i="15" s="1"/>
  <c r="Q423" i="14"/>
  <c r="F315" i="14"/>
  <c r="E314" i="14"/>
  <c r="D316" i="14"/>
  <c r="O251" i="12" l="1"/>
  <c r="D250" i="12"/>
  <c r="F250" i="12" s="1"/>
  <c r="B317" i="14"/>
  <c r="M317" i="14"/>
  <c r="L317" i="14"/>
  <c r="E249" i="12"/>
  <c r="J251" i="12"/>
  <c r="C251" i="12" s="1"/>
  <c r="R334" i="11"/>
  <c r="T335" i="11" s="1"/>
  <c r="Q335" i="11" s="1"/>
  <c r="O237" i="11"/>
  <c r="J237" i="11" s="1"/>
  <c r="D236" i="11"/>
  <c r="F235" i="11"/>
  <c r="Q385" i="15"/>
  <c r="T386" i="15" s="1"/>
  <c r="O319" i="15"/>
  <c r="J319" i="15" s="1"/>
  <c r="D318" i="15"/>
  <c r="F318" i="15" s="1"/>
  <c r="E317" i="15"/>
  <c r="T424" i="14"/>
  <c r="R424" i="14" s="1"/>
  <c r="F316" i="14"/>
  <c r="E315" i="14"/>
  <c r="D317" i="14"/>
  <c r="O318" i="14"/>
  <c r="J318" i="14" s="1"/>
  <c r="C318" i="14" s="1"/>
  <c r="B251" i="12" l="1"/>
  <c r="G251" i="12"/>
  <c r="L251" i="12"/>
  <c r="O252" i="12" s="1"/>
  <c r="M251" i="12"/>
  <c r="E250" i="12"/>
  <c r="M237" i="11"/>
  <c r="E235" i="11"/>
  <c r="F236" i="11"/>
  <c r="R335" i="11"/>
  <c r="T336" i="11" s="1"/>
  <c r="Q336" i="11" s="1"/>
  <c r="C237" i="11"/>
  <c r="G237" i="11" s="1"/>
  <c r="B237" i="11"/>
  <c r="L237" i="11"/>
  <c r="T425" i="14"/>
  <c r="R425" i="14" s="1"/>
  <c r="Q386" i="15"/>
  <c r="R386" i="15"/>
  <c r="E318" i="15"/>
  <c r="M319" i="15"/>
  <c r="C319" i="15"/>
  <c r="G319" i="15" s="1"/>
  <c r="B319" i="15"/>
  <c r="L319" i="15"/>
  <c r="M318" i="14"/>
  <c r="F317" i="14"/>
  <c r="E316" i="14"/>
  <c r="B318" i="14"/>
  <c r="G318" i="14"/>
  <c r="L318" i="14"/>
  <c r="Q424" i="14"/>
  <c r="D251" i="12" l="1"/>
  <c r="J252" i="12"/>
  <c r="C252" i="12" s="1"/>
  <c r="T387" i="15"/>
  <c r="Q387" i="15" s="1"/>
  <c r="Q425" i="14"/>
  <c r="R336" i="11"/>
  <c r="T337" i="11" s="1"/>
  <c r="Q337" i="11" s="1"/>
  <c r="D237" i="11"/>
  <c r="F237" i="11" s="1"/>
  <c r="E236" i="11"/>
  <c r="O238" i="11"/>
  <c r="L238" i="11" s="1"/>
  <c r="T426" i="14"/>
  <c r="D319" i="15"/>
  <c r="O320" i="15"/>
  <c r="J320" i="15" s="1"/>
  <c r="O319" i="14"/>
  <c r="J319" i="14" s="1"/>
  <c r="C319" i="14" s="1"/>
  <c r="E317" i="14"/>
  <c r="D318" i="14"/>
  <c r="B252" i="12" l="1"/>
  <c r="F251" i="12"/>
  <c r="R387" i="15"/>
  <c r="T388" i="15" s="1"/>
  <c r="Q388" i="15" s="1"/>
  <c r="G252" i="12"/>
  <c r="L252" i="12"/>
  <c r="O253" i="12" s="1"/>
  <c r="M252" i="12"/>
  <c r="Q426" i="14"/>
  <c r="R337" i="11"/>
  <c r="T338" i="11" s="1"/>
  <c r="R338" i="11" s="1"/>
  <c r="O239" i="11"/>
  <c r="J239" i="11" s="1"/>
  <c r="J238" i="11"/>
  <c r="M238" i="11"/>
  <c r="E237" i="11"/>
  <c r="R426" i="14"/>
  <c r="C320" i="15"/>
  <c r="G320" i="15" s="1"/>
  <c r="B320" i="15"/>
  <c r="L320" i="15"/>
  <c r="F319" i="15"/>
  <c r="M320" i="15"/>
  <c r="M319" i="14"/>
  <c r="F318" i="14"/>
  <c r="B319" i="14"/>
  <c r="G319" i="14"/>
  <c r="L319" i="14"/>
  <c r="R388" i="15" l="1"/>
  <c r="T389" i="15" s="1"/>
  <c r="Q389" i="15" s="1"/>
  <c r="D252" i="12"/>
  <c r="J253" i="12"/>
  <c r="C253" i="12" s="1"/>
  <c r="E251" i="12"/>
  <c r="F252" i="12"/>
  <c r="M239" i="11"/>
  <c r="C238" i="11"/>
  <c r="B238" i="11"/>
  <c r="Q338" i="11"/>
  <c r="C239" i="11"/>
  <c r="G239" i="11" s="1"/>
  <c r="B239" i="11"/>
  <c r="L239" i="11"/>
  <c r="T427" i="14"/>
  <c r="Q427" i="14" s="1"/>
  <c r="R389" i="15"/>
  <c r="T390" i="15" s="1"/>
  <c r="D320" i="15"/>
  <c r="F320" i="15" s="1"/>
  <c r="O321" i="15"/>
  <c r="J321" i="15" s="1"/>
  <c r="E319" i="15"/>
  <c r="O320" i="14"/>
  <c r="E318" i="14"/>
  <c r="D319" i="14"/>
  <c r="Q390" i="15" l="1"/>
  <c r="B253" i="12"/>
  <c r="E252" i="12"/>
  <c r="M253" i="12"/>
  <c r="G253" i="12"/>
  <c r="L253" i="12"/>
  <c r="O240" i="11"/>
  <c r="T339" i="11"/>
  <c r="R339" i="11" s="1"/>
  <c r="G238" i="11"/>
  <c r="D238" i="11"/>
  <c r="R427" i="14"/>
  <c r="R390" i="15"/>
  <c r="T391" i="15" s="1"/>
  <c r="Q391" i="15" s="1"/>
  <c r="E320" i="15"/>
  <c r="C321" i="15"/>
  <c r="B321" i="15"/>
  <c r="L321" i="15"/>
  <c r="M321" i="15"/>
  <c r="F319" i="14"/>
  <c r="J320" i="14"/>
  <c r="C320" i="14" s="1"/>
  <c r="M320" i="14"/>
  <c r="L320" i="14"/>
  <c r="O254" i="12" l="1"/>
  <c r="J254" i="12" s="1"/>
  <c r="C254" i="12" s="1"/>
  <c r="D253" i="12"/>
  <c r="M254" i="12"/>
  <c r="D239" i="11"/>
  <c r="F238" i="11"/>
  <c r="Q339" i="11"/>
  <c r="T340" i="11" s="1"/>
  <c r="R340" i="11" s="1"/>
  <c r="J240" i="11"/>
  <c r="M240" i="11"/>
  <c r="L240" i="11"/>
  <c r="R391" i="15"/>
  <c r="T392" i="15" s="1"/>
  <c r="Q392" i="15" s="1"/>
  <c r="T428" i="14"/>
  <c r="Q428" i="14" s="1"/>
  <c r="O322" i="15"/>
  <c r="J322" i="15" s="1"/>
  <c r="G321" i="15"/>
  <c r="D321" i="15"/>
  <c r="O321" i="14"/>
  <c r="J321" i="14" s="1"/>
  <c r="C321" i="14" s="1"/>
  <c r="B320" i="14"/>
  <c r="E319" i="14"/>
  <c r="B254" i="12" l="1"/>
  <c r="G254" i="12"/>
  <c r="F253" i="12"/>
  <c r="L254" i="12"/>
  <c r="Q340" i="11"/>
  <c r="T341" i="11"/>
  <c r="R341" i="11" s="1"/>
  <c r="C240" i="11"/>
  <c r="G240" i="11" s="1"/>
  <c r="B240" i="11"/>
  <c r="O241" i="11"/>
  <c r="J241" i="11" s="1"/>
  <c r="E238" i="11"/>
  <c r="F239" i="11"/>
  <c r="M322" i="15"/>
  <c r="R392" i="15"/>
  <c r="T393" i="15" s="1"/>
  <c r="Q393" i="15" s="1"/>
  <c r="R428" i="14"/>
  <c r="F321" i="15"/>
  <c r="C322" i="15"/>
  <c r="G322" i="15" s="1"/>
  <c r="B322" i="15"/>
  <c r="L322" i="15"/>
  <c r="G320" i="14"/>
  <c r="D320" i="14"/>
  <c r="M321" i="14"/>
  <c r="B321" i="14"/>
  <c r="G321" i="14"/>
  <c r="L321" i="14"/>
  <c r="O255" i="12" l="1"/>
  <c r="D254" i="12"/>
  <c r="E253" i="12"/>
  <c r="Q341" i="11"/>
  <c r="T342" i="11"/>
  <c r="R342" i="11" s="1"/>
  <c r="C241" i="11"/>
  <c r="G241" i="11" s="1"/>
  <c r="B241" i="11"/>
  <c r="L241" i="11"/>
  <c r="D240" i="11"/>
  <c r="M241" i="11"/>
  <c r="E239" i="11"/>
  <c r="T429" i="14"/>
  <c r="Q429" i="14" s="1"/>
  <c r="E321" i="15"/>
  <c r="D322" i="15"/>
  <c r="O323" i="15"/>
  <c r="L323" i="15" s="1"/>
  <c r="R393" i="15"/>
  <c r="T394" i="15" s="1"/>
  <c r="Q394" i="15" s="1"/>
  <c r="O322" i="14"/>
  <c r="J322" i="14" s="1"/>
  <c r="C322" i="14" s="1"/>
  <c r="D321" i="14"/>
  <c r="F320" i="14"/>
  <c r="J255" i="12" l="1"/>
  <c r="C255" i="12" s="1"/>
  <c r="M255" i="12"/>
  <c r="L255" i="12"/>
  <c r="O256" i="12" s="1"/>
  <c r="J256" i="12" s="1"/>
  <c r="C256" i="12" s="1"/>
  <c r="F254" i="12"/>
  <c r="D241" i="11"/>
  <c r="Q342" i="11"/>
  <c r="T343" i="11" s="1"/>
  <c r="R343" i="11" s="1"/>
  <c r="O242" i="11"/>
  <c r="J242" i="11" s="1"/>
  <c r="F240" i="11"/>
  <c r="R429" i="14"/>
  <c r="R394" i="15"/>
  <c r="T395" i="15" s="1"/>
  <c r="Q395" i="15" s="1"/>
  <c r="O324" i="15"/>
  <c r="J324" i="15" s="1"/>
  <c r="J323" i="15"/>
  <c r="M323" i="15"/>
  <c r="F322" i="15"/>
  <c r="F321" i="14"/>
  <c r="E320" i="14"/>
  <c r="M322" i="14"/>
  <c r="G322" i="14"/>
  <c r="B322" i="14"/>
  <c r="L322" i="14"/>
  <c r="B256" i="12" l="1"/>
  <c r="G256" i="12"/>
  <c r="M256" i="12"/>
  <c r="L256" i="12"/>
  <c r="O257" i="12" s="1"/>
  <c r="J257" i="12" s="1"/>
  <c r="C257" i="12" s="1"/>
  <c r="B255" i="12"/>
  <c r="G255" i="12"/>
  <c r="E254" i="12"/>
  <c r="Q343" i="11"/>
  <c r="T344" i="11" s="1"/>
  <c r="R344" i="11" s="1"/>
  <c r="E240" i="11"/>
  <c r="F241" i="11"/>
  <c r="C242" i="11"/>
  <c r="B242" i="11"/>
  <c r="L242" i="11"/>
  <c r="M242" i="11"/>
  <c r="T430" i="14"/>
  <c r="Q430" i="14" s="1"/>
  <c r="M324" i="15"/>
  <c r="R395" i="15"/>
  <c r="T396" i="15" s="1"/>
  <c r="Q396" i="15" s="1"/>
  <c r="L324" i="15"/>
  <c r="C323" i="15"/>
  <c r="B323" i="15"/>
  <c r="E322" i="15"/>
  <c r="C324" i="15"/>
  <c r="G324" i="15" s="1"/>
  <c r="B324" i="15"/>
  <c r="O323" i="14"/>
  <c r="J323" i="14" s="1"/>
  <c r="C323" i="14" s="1"/>
  <c r="D322" i="14"/>
  <c r="F322" i="14" s="1"/>
  <c r="E321" i="14"/>
  <c r="B257" i="12" l="1"/>
  <c r="D255" i="12"/>
  <c r="G257" i="12"/>
  <c r="L257" i="12"/>
  <c r="O325" i="15"/>
  <c r="J325" i="15" s="1"/>
  <c r="C325" i="15" s="1"/>
  <c r="G325" i="15" s="1"/>
  <c r="M257" i="12"/>
  <c r="Q344" i="11"/>
  <c r="T345" i="11" s="1"/>
  <c r="R345" i="11" s="1"/>
  <c r="O243" i="11"/>
  <c r="J243" i="11" s="1"/>
  <c r="G242" i="11"/>
  <c r="D242" i="11"/>
  <c r="E241" i="11"/>
  <c r="R430" i="14"/>
  <c r="R396" i="15"/>
  <c r="T397" i="15" s="1"/>
  <c r="Q397" i="15" s="1"/>
  <c r="G323" i="15"/>
  <c r="D323" i="15"/>
  <c r="E322" i="14"/>
  <c r="M323" i="14"/>
  <c r="G323" i="14"/>
  <c r="B323" i="14"/>
  <c r="L323" i="14"/>
  <c r="O258" i="12" l="1"/>
  <c r="J258" i="12" s="1"/>
  <c r="C258" i="12" s="1"/>
  <c r="F255" i="12"/>
  <c r="D256" i="12"/>
  <c r="D257" i="12" s="1"/>
  <c r="B325" i="15"/>
  <c r="M325" i="15"/>
  <c r="O326" i="15" s="1"/>
  <c r="J326" i="15" s="1"/>
  <c r="L325" i="15"/>
  <c r="C243" i="11"/>
  <c r="G243" i="11" s="1"/>
  <c r="B243" i="11"/>
  <c r="L243" i="11"/>
  <c r="M243" i="11"/>
  <c r="Q345" i="11"/>
  <c r="F242" i="11"/>
  <c r="T431" i="14"/>
  <c r="Q431" i="14" s="1"/>
  <c r="R397" i="15"/>
  <c r="T398" i="15" s="1"/>
  <c r="Q398" i="15" s="1"/>
  <c r="D324" i="15"/>
  <c r="D325" i="15" s="1"/>
  <c r="F323" i="15"/>
  <c r="O324" i="14"/>
  <c r="J324" i="14" s="1"/>
  <c r="C324" i="14" s="1"/>
  <c r="D323" i="14"/>
  <c r="B258" i="12" l="1"/>
  <c r="E255" i="12"/>
  <c r="F256" i="12"/>
  <c r="M258" i="12"/>
  <c r="G258" i="12"/>
  <c r="L258" i="12"/>
  <c r="T346" i="11"/>
  <c r="R346" i="11" s="1"/>
  <c r="O244" i="11"/>
  <c r="J244" i="11" s="1"/>
  <c r="E242" i="11"/>
  <c r="D243" i="11"/>
  <c r="F243" i="11" s="1"/>
  <c r="R431" i="14"/>
  <c r="R398" i="15"/>
  <c r="T399" i="15" s="1"/>
  <c r="Q399" i="15" s="1"/>
  <c r="E323" i="15"/>
  <c r="F324" i="15"/>
  <c r="C326" i="15"/>
  <c r="G326" i="15" s="1"/>
  <c r="B326" i="15"/>
  <c r="L326" i="15"/>
  <c r="M326" i="15"/>
  <c r="F323" i="14"/>
  <c r="M324" i="14"/>
  <c r="G324" i="14"/>
  <c r="B324" i="14"/>
  <c r="L324" i="14"/>
  <c r="O259" i="12" l="1"/>
  <c r="J259" i="12" s="1"/>
  <c r="C259" i="12" s="1"/>
  <c r="F257" i="12"/>
  <c r="E257" i="12" s="1"/>
  <c r="E256" i="12"/>
  <c r="D258" i="12"/>
  <c r="F258" i="12" s="1"/>
  <c r="E243" i="11"/>
  <c r="C244" i="11"/>
  <c r="G244" i="11" s="1"/>
  <c r="B244" i="11"/>
  <c r="L244" i="11"/>
  <c r="M244" i="11"/>
  <c r="Q346" i="11"/>
  <c r="T432" i="14"/>
  <c r="Q432" i="14" s="1"/>
  <c r="R399" i="15"/>
  <c r="T400" i="15" s="1"/>
  <c r="Q400" i="15" s="1"/>
  <c r="F325" i="15"/>
  <c r="E324" i="15"/>
  <c r="O327" i="15"/>
  <c r="J327" i="15" s="1"/>
  <c r="D326" i="15"/>
  <c r="O325" i="14"/>
  <c r="J325" i="14" s="1"/>
  <c r="C325" i="14" s="1"/>
  <c r="E323" i="14"/>
  <c r="D324" i="14"/>
  <c r="M259" i="12" l="1"/>
  <c r="O260" i="12" s="1"/>
  <c r="J260" i="12" s="1"/>
  <c r="L259" i="12"/>
  <c r="B259" i="12"/>
  <c r="G259" i="12"/>
  <c r="L260" i="12"/>
  <c r="E258" i="12"/>
  <c r="M260" i="12"/>
  <c r="O261" i="12" s="1"/>
  <c r="D244" i="11"/>
  <c r="F244" i="11" s="1"/>
  <c r="O245" i="11"/>
  <c r="J245" i="11" s="1"/>
  <c r="T347" i="11"/>
  <c r="R347" i="11" s="1"/>
  <c r="R432" i="14"/>
  <c r="R400" i="15"/>
  <c r="T401" i="15" s="1"/>
  <c r="Q401" i="15" s="1"/>
  <c r="L327" i="15"/>
  <c r="C327" i="15"/>
  <c r="G327" i="15" s="1"/>
  <c r="B327" i="15"/>
  <c r="F326" i="15"/>
  <c r="E325" i="15"/>
  <c r="M327" i="15"/>
  <c r="F324" i="14"/>
  <c r="M325" i="14"/>
  <c r="G325" i="14"/>
  <c r="B325" i="14"/>
  <c r="L325" i="14"/>
  <c r="B260" i="12" l="1"/>
  <c r="C260" i="12"/>
  <c r="G260" i="12"/>
  <c r="D259" i="12"/>
  <c r="D260" i="12" s="1"/>
  <c r="O328" i="15"/>
  <c r="J328" i="15" s="1"/>
  <c r="C328" i="15" s="1"/>
  <c r="G328" i="15" s="1"/>
  <c r="M261" i="12"/>
  <c r="Q347" i="11"/>
  <c r="E244" i="11"/>
  <c r="C245" i="11"/>
  <c r="B245" i="11"/>
  <c r="L245" i="11"/>
  <c r="M245" i="11"/>
  <c r="T433" i="14"/>
  <c r="Q433" i="14" s="1"/>
  <c r="R401" i="15"/>
  <c r="T402" i="15" s="1"/>
  <c r="Q402" i="15" s="1"/>
  <c r="D327" i="15"/>
  <c r="E326" i="15"/>
  <c r="O326" i="14"/>
  <c r="J326" i="14" s="1"/>
  <c r="C326" i="14" s="1"/>
  <c r="E324" i="14"/>
  <c r="D325" i="14"/>
  <c r="B328" i="15" l="1"/>
  <c r="L328" i="15"/>
  <c r="F259" i="12"/>
  <c r="E259" i="12" s="1"/>
  <c r="M328" i="15"/>
  <c r="F260" i="12"/>
  <c r="J261" i="12"/>
  <c r="C261" i="12" s="1"/>
  <c r="L261" i="12"/>
  <c r="O262" i="12" s="1"/>
  <c r="O246" i="11"/>
  <c r="J246" i="11" s="1"/>
  <c r="G245" i="11"/>
  <c r="D245" i="11"/>
  <c r="T348" i="11"/>
  <c r="R348" i="11" s="1"/>
  <c r="R433" i="14"/>
  <c r="D328" i="15"/>
  <c r="R402" i="15"/>
  <c r="T403" i="15" s="1"/>
  <c r="Q403" i="15" s="1"/>
  <c r="O329" i="15"/>
  <c r="J329" i="15" s="1"/>
  <c r="F327" i="15"/>
  <c r="M326" i="14"/>
  <c r="F325" i="14"/>
  <c r="G326" i="14"/>
  <c r="B326" i="14"/>
  <c r="L326" i="14"/>
  <c r="B261" i="12" l="1"/>
  <c r="G261" i="12"/>
  <c r="E260" i="12"/>
  <c r="M246" i="11"/>
  <c r="Q348" i="11"/>
  <c r="F245" i="11"/>
  <c r="C246" i="11"/>
  <c r="G246" i="11" s="1"/>
  <c r="B246" i="11"/>
  <c r="L246" i="11"/>
  <c r="T434" i="14"/>
  <c r="Q434" i="14" s="1"/>
  <c r="R403" i="15"/>
  <c r="T404" i="15" s="1"/>
  <c r="Q404" i="15" s="1"/>
  <c r="C329" i="15"/>
  <c r="B329" i="15"/>
  <c r="L329" i="15"/>
  <c r="M329" i="15"/>
  <c r="F328" i="15"/>
  <c r="E327" i="15"/>
  <c r="O327" i="14"/>
  <c r="E325" i="14"/>
  <c r="D326" i="14"/>
  <c r="D261" i="12" l="1"/>
  <c r="J262" i="12"/>
  <c r="C262" i="12" s="1"/>
  <c r="M262" i="12"/>
  <c r="L262" i="12"/>
  <c r="E245" i="11"/>
  <c r="D246" i="11"/>
  <c r="T349" i="11"/>
  <c r="R349" i="11" s="1"/>
  <c r="O247" i="11"/>
  <c r="L247" i="11" s="1"/>
  <c r="R434" i="14"/>
  <c r="R404" i="15"/>
  <c r="T405" i="15" s="1"/>
  <c r="Q405" i="15" s="1"/>
  <c r="O330" i="15"/>
  <c r="J330" i="15" s="1"/>
  <c r="G329" i="15"/>
  <c r="D329" i="15"/>
  <c r="E328" i="15"/>
  <c r="F326" i="14"/>
  <c r="J327" i="14"/>
  <c r="C327" i="14" s="1"/>
  <c r="M327" i="14"/>
  <c r="L327" i="14"/>
  <c r="B262" i="12" l="1"/>
  <c r="O263" i="12"/>
  <c r="J263" i="12" s="1"/>
  <c r="C263" i="12" s="1"/>
  <c r="G262" i="12"/>
  <c r="F261" i="12"/>
  <c r="J247" i="11"/>
  <c r="M247" i="11"/>
  <c r="O248" i="11" s="1"/>
  <c r="J248" i="11" s="1"/>
  <c r="Q349" i="11"/>
  <c r="F246" i="11"/>
  <c r="T435" i="14"/>
  <c r="Q435" i="14" s="1"/>
  <c r="R405" i="15"/>
  <c r="T406" i="15" s="1"/>
  <c r="Q406" i="15" s="1"/>
  <c r="C330" i="15"/>
  <c r="G330" i="15" s="1"/>
  <c r="B330" i="15"/>
  <c r="L330" i="15"/>
  <c r="M330" i="15"/>
  <c r="F329" i="15"/>
  <c r="O328" i="14"/>
  <c r="J328" i="14" s="1"/>
  <c r="C328" i="14" s="1"/>
  <c r="B327" i="14"/>
  <c r="E326" i="14"/>
  <c r="B263" i="12" l="1"/>
  <c r="G263" i="12"/>
  <c r="M263" i="12"/>
  <c r="D262" i="12"/>
  <c r="F262" i="12" s="1"/>
  <c r="E261" i="12"/>
  <c r="L263" i="12"/>
  <c r="O264" i="12" s="1"/>
  <c r="E246" i="11"/>
  <c r="C248" i="11"/>
  <c r="G248" i="11" s="1"/>
  <c r="B248" i="11"/>
  <c r="L248" i="11"/>
  <c r="T350" i="11"/>
  <c r="R350" i="11" s="1"/>
  <c r="M248" i="11"/>
  <c r="C247" i="11"/>
  <c r="B247" i="11"/>
  <c r="R435" i="14"/>
  <c r="R406" i="15"/>
  <c r="T407" i="15" s="1"/>
  <c r="Q407" i="15" s="1"/>
  <c r="O331" i="15"/>
  <c r="J331" i="15" s="1"/>
  <c r="D330" i="15"/>
  <c r="F330" i="15" s="1"/>
  <c r="E329" i="15"/>
  <c r="M328" i="14"/>
  <c r="G327" i="14"/>
  <c r="D327" i="14"/>
  <c r="G328" i="14"/>
  <c r="B328" i="14"/>
  <c r="L328" i="14"/>
  <c r="D263" i="12" l="1"/>
  <c r="F263" i="12" s="1"/>
  <c r="E262" i="12"/>
  <c r="Q350" i="11"/>
  <c r="T351" i="11" s="1"/>
  <c r="R351" i="11" s="1"/>
  <c r="O249" i="11"/>
  <c r="J249" i="11" s="1"/>
  <c r="G247" i="11"/>
  <c r="D247" i="11"/>
  <c r="T436" i="14"/>
  <c r="Q436" i="14" s="1"/>
  <c r="M331" i="15"/>
  <c r="C331" i="15"/>
  <c r="G331" i="15" s="1"/>
  <c r="B331" i="15"/>
  <c r="E330" i="15"/>
  <c r="L331" i="15"/>
  <c r="R407" i="15"/>
  <c r="T408" i="15" s="1"/>
  <c r="Q408" i="15" s="1"/>
  <c r="O329" i="14"/>
  <c r="D328" i="14"/>
  <c r="F327" i="14"/>
  <c r="E263" i="12" l="1"/>
  <c r="J264" i="12"/>
  <c r="C264" i="12" s="1"/>
  <c r="M264" i="12"/>
  <c r="L264" i="12"/>
  <c r="O265" i="12" s="1"/>
  <c r="Q351" i="11"/>
  <c r="D248" i="11"/>
  <c r="F247" i="11"/>
  <c r="C249" i="11"/>
  <c r="G249" i="11" s="1"/>
  <c r="B249" i="11"/>
  <c r="L249" i="11"/>
  <c r="M249" i="11"/>
  <c r="R408" i="15"/>
  <c r="T409" i="15" s="1"/>
  <c r="Q409" i="15" s="1"/>
  <c r="R436" i="14"/>
  <c r="T437" i="14" s="1"/>
  <c r="Q437" i="14" s="1"/>
  <c r="D331" i="15"/>
  <c r="O332" i="15"/>
  <c r="F328" i="14"/>
  <c r="E327" i="14"/>
  <c r="J329" i="14"/>
  <c r="C329" i="14" s="1"/>
  <c r="M329" i="14"/>
  <c r="L329" i="14"/>
  <c r="B264" i="12" l="1"/>
  <c r="G264" i="12"/>
  <c r="J265" i="12"/>
  <c r="C265" i="12" s="1"/>
  <c r="O250" i="11"/>
  <c r="J250" i="11" s="1"/>
  <c r="E247" i="11"/>
  <c r="F248" i="11"/>
  <c r="D249" i="11"/>
  <c r="T352" i="11"/>
  <c r="R352" i="11" s="1"/>
  <c r="R437" i="14"/>
  <c r="T438" i="14" s="1"/>
  <c r="R409" i="15"/>
  <c r="T410" i="15" s="1"/>
  <c r="Q410" i="15" s="1"/>
  <c r="J332" i="15"/>
  <c r="M332" i="15"/>
  <c r="L332" i="15"/>
  <c r="F331" i="15"/>
  <c r="O330" i="14"/>
  <c r="J330" i="14" s="1"/>
  <c r="C330" i="14" s="1"/>
  <c r="B329" i="14"/>
  <c r="E328" i="14"/>
  <c r="B265" i="12" l="1"/>
  <c r="D264" i="12"/>
  <c r="M265" i="12"/>
  <c r="G265" i="12"/>
  <c r="L265" i="12"/>
  <c r="O266" i="12" s="1"/>
  <c r="R438" i="14"/>
  <c r="Q352" i="11"/>
  <c r="E248" i="11"/>
  <c r="F249" i="11"/>
  <c r="M250" i="11"/>
  <c r="C250" i="11"/>
  <c r="G250" i="11" s="1"/>
  <c r="B250" i="11"/>
  <c r="L250" i="11"/>
  <c r="Q438" i="14"/>
  <c r="R410" i="15"/>
  <c r="T411" i="15" s="1"/>
  <c r="Q411" i="15" s="1"/>
  <c r="E331" i="15"/>
  <c r="O333" i="15"/>
  <c r="J333" i="15" s="1"/>
  <c r="C332" i="15"/>
  <c r="B332" i="15"/>
  <c r="M330" i="14"/>
  <c r="G329" i="14"/>
  <c r="D329" i="14"/>
  <c r="G330" i="14"/>
  <c r="B330" i="14"/>
  <c r="L330" i="14"/>
  <c r="D265" i="12" l="1"/>
  <c r="J266" i="12"/>
  <c r="C266" i="12" s="1"/>
  <c r="F264" i="12"/>
  <c r="E249" i="11"/>
  <c r="D250" i="11"/>
  <c r="O251" i="11"/>
  <c r="J251" i="11" s="1"/>
  <c r="T353" i="11"/>
  <c r="R353" i="11" s="1"/>
  <c r="T439" i="14"/>
  <c r="R439" i="14" s="1"/>
  <c r="M333" i="15"/>
  <c r="O334" i="15" s="1"/>
  <c r="J334" i="15" s="1"/>
  <c r="R411" i="15"/>
  <c r="T412" i="15" s="1"/>
  <c r="Q412" i="15" s="1"/>
  <c r="C333" i="15"/>
  <c r="G333" i="15" s="1"/>
  <c r="B333" i="15"/>
  <c r="L333" i="15"/>
  <c r="G332" i="15"/>
  <c r="D332" i="15"/>
  <c r="O331" i="14"/>
  <c r="D330" i="14"/>
  <c r="F329" i="14"/>
  <c r="B266" i="12" l="1"/>
  <c r="F265" i="12"/>
  <c r="E264" i="12"/>
  <c r="M266" i="12"/>
  <c r="G266" i="12"/>
  <c r="L266" i="12"/>
  <c r="O267" i="12" s="1"/>
  <c r="Q353" i="11"/>
  <c r="C251" i="11"/>
  <c r="G251" i="11" s="1"/>
  <c r="B251" i="11"/>
  <c r="L251" i="11"/>
  <c r="F250" i="11"/>
  <c r="M251" i="11"/>
  <c r="Q439" i="14"/>
  <c r="R412" i="15"/>
  <c r="T413" i="15" s="1"/>
  <c r="Q413" i="15" s="1"/>
  <c r="M334" i="15"/>
  <c r="L334" i="15"/>
  <c r="C334" i="15"/>
  <c r="G334" i="15" s="1"/>
  <c r="B334" i="15"/>
  <c r="D333" i="15"/>
  <c r="F332" i="15"/>
  <c r="F330" i="14"/>
  <c r="E329" i="14"/>
  <c r="J331" i="14"/>
  <c r="C331" i="14" s="1"/>
  <c r="M331" i="14"/>
  <c r="L331" i="14"/>
  <c r="D266" i="12" l="1"/>
  <c r="F266" i="12" s="1"/>
  <c r="J267" i="12"/>
  <c r="C267" i="12" s="1"/>
  <c r="E265" i="12"/>
  <c r="D251" i="11"/>
  <c r="F251" i="11" s="1"/>
  <c r="E250" i="11"/>
  <c r="O252" i="11"/>
  <c r="J252" i="11" s="1"/>
  <c r="T354" i="11"/>
  <c r="R354" i="11" s="1"/>
  <c r="T440" i="14"/>
  <c r="R440" i="14" s="1"/>
  <c r="D334" i="15"/>
  <c r="R413" i="15"/>
  <c r="T414" i="15" s="1"/>
  <c r="Q414" i="15" s="1"/>
  <c r="O335" i="15"/>
  <c r="J335" i="15" s="1"/>
  <c r="F333" i="15"/>
  <c r="E332" i="15"/>
  <c r="O332" i="14"/>
  <c r="J332" i="14" s="1"/>
  <c r="C332" i="14" s="1"/>
  <c r="B331" i="14"/>
  <c r="E330" i="14"/>
  <c r="B267" i="12" l="1"/>
  <c r="E266" i="12"/>
  <c r="G267" i="12"/>
  <c r="L267" i="12"/>
  <c r="M267" i="12"/>
  <c r="L252" i="11"/>
  <c r="Q354" i="11"/>
  <c r="C252" i="11"/>
  <c r="B252" i="11"/>
  <c r="M252" i="11"/>
  <c r="E251" i="11"/>
  <c r="Q440" i="14"/>
  <c r="R414" i="15"/>
  <c r="T415" i="15" s="1"/>
  <c r="Q415" i="15" s="1"/>
  <c r="C335" i="15"/>
  <c r="B335" i="15"/>
  <c r="M335" i="15"/>
  <c r="L335" i="15"/>
  <c r="F334" i="15"/>
  <c r="E333" i="15"/>
  <c r="M332" i="14"/>
  <c r="G331" i="14"/>
  <c r="D331" i="14"/>
  <c r="G332" i="14"/>
  <c r="B332" i="14"/>
  <c r="L332" i="14"/>
  <c r="O268" i="12" l="1"/>
  <c r="J268" i="12" s="1"/>
  <c r="C268" i="12" s="1"/>
  <c r="D267" i="12"/>
  <c r="F267" i="12" s="1"/>
  <c r="O253" i="11"/>
  <c r="G252" i="11"/>
  <c r="D252" i="11"/>
  <c r="T355" i="11"/>
  <c r="R355" i="11" s="1"/>
  <c r="T441" i="14"/>
  <c r="R441" i="14" s="1"/>
  <c r="R415" i="15"/>
  <c r="T416" i="15" s="1"/>
  <c r="Q416" i="15" s="1"/>
  <c r="O336" i="15"/>
  <c r="J336" i="15" s="1"/>
  <c r="G335" i="15"/>
  <c r="D335" i="15"/>
  <c r="E334" i="15"/>
  <c r="O333" i="14"/>
  <c r="D332" i="14"/>
  <c r="F331" i="14"/>
  <c r="B268" i="12" l="1"/>
  <c r="G268" i="12"/>
  <c r="E267" i="12"/>
  <c r="L268" i="12"/>
  <c r="M268" i="12"/>
  <c r="O269" i="12" s="1"/>
  <c r="Q355" i="11"/>
  <c r="F252" i="11"/>
  <c r="J253" i="11"/>
  <c r="L253" i="11"/>
  <c r="M253" i="11"/>
  <c r="Q441" i="14"/>
  <c r="R416" i="15"/>
  <c r="T417" i="15" s="1"/>
  <c r="Q417" i="15" s="1"/>
  <c r="C336" i="15"/>
  <c r="G336" i="15" s="1"/>
  <c r="B336" i="15"/>
  <c r="M336" i="15"/>
  <c r="L336" i="15"/>
  <c r="F335" i="15"/>
  <c r="F332" i="14"/>
  <c r="E331" i="14"/>
  <c r="J333" i="14"/>
  <c r="C333" i="14" s="1"/>
  <c r="M333" i="14"/>
  <c r="L333" i="14"/>
  <c r="D268" i="12" l="1"/>
  <c r="J269" i="12"/>
  <c r="C269" i="12" s="1"/>
  <c r="L269" i="12"/>
  <c r="T442" i="14"/>
  <c r="R442" i="14" s="1"/>
  <c r="O254" i="11"/>
  <c r="J254" i="11" s="1"/>
  <c r="C253" i="11"/>
  <c r="B253" i="11"/>
  <c r="E252" i="11"/>
  <c r="T356" i="11"/>
  <c r="R356" i="11" s="1"/>
  <c r="R417" i="15"/>
  <c r="T418" i="15" s="1"/>
  <c r="Q418" i="15" s="1"/>
  <c r="D336" i="15"/>
  <c r="F336" i="15" s="1"/>
  <c r="O337" i="15"/>
  <c r="J337" i="15" s="1"/>
  <c r="E335" i="15"/>
  <c r="O334" i="14"/>
  <c r="J334" i="14" s="1"/>
  <c r="C334" i="14" s="1"/>
  <c r="B333" i="14"/>
  <c r="E332" i="14"/>
  <c r="B269" i="12" l="1"/>
  <c r="F268" i="12"/>
  <c r="G269" i="12"/>
  <c r="M269" i="12"/>
  <c r="O270" i="12" s="1"/>
  <c r="Q442" i="14"/>
  <c r="L254" i="11"/>
  <c r="Q356" i="11"/>
  <c r="T357" i="11" s="1"/>
  <c r="G253" i="11"/>
  <c r="D253" i="11"/>
  <c r="C254" i="11"/>
  <c r="G254" i="11" s="1"/>
  <c r="B254" i="11"/>
  <c r="M254" i="11"/>
  <c r="C337" i="15"/>
  <c r="G337" i="15" s="1"/>
  <c r="B337" i="15"/>
  <c r="L337" i="15"/>
  <c r="M337" i="15"/>
  <c r="R418" i="15"/>
  <c r="T419" i="15" s="1"/>
  <c r="Q419" i="15" s="1"/>
  <c r="E336" i="15"/>
  <c r="G333" i="14"/>
  <c r="D333" i="14"/>
  <c r="G334" i="14"/>
  <c r="B334" i="14"/>
  <c r="M334" i="14"/>
  <c r="L334" i="14"/>
  <c r="D269" i="12" l="1"/>
  <c r="M270" i="12"/>
  <c r="E268" i="12"/>
  <c r="T443" i="14"/>
  <c r="R443" i="14" s="1"/>
  <c r="Q357" i="11"/>
  <c r="R357" i="11"/>
  <c r="D254" i="11"/>
  <c r="F253" i="11"/>
  <c r="O255" i="11"/>
  <c r="R419" i="15"/>
  <c r="T420" i="15" s="1"/>
  <c r="Q420" i="15" s="1"/>
  <c r="D337" i="15"/>
  <c r="F337" i="15" s="1"/>
  <c r="O338" i="15"/>
  <c r="J338" i="15" s="1"/>
  <c r="O335" i="14"/>
  <c r="J335" i="14" s="1"/>
  <c r="C335" i="14" s="1"/>
  <c r="D334" i="14"/>
  <c r="F333" i="14"/>
  <c r="F269" i="12" l="1"/>
  <c r="J270" i="12"/>
  <c r="C270" i="12" s="1"/>
  <c r="L270" i="12"/>
  <c r="T358" i="11"/>
  <c r="Q358" i="11" s="1"/>
  <c r="Q443" i="14"/>
  <c r="J255" i="11"/>
  <c r="L255" i="11"/>
  <c r="M255" i="11"/>
  <c r="F254" i="11"/>
  <c r="E253" i="11"/>
  <c r="L338" i="15"/>
  <c r="E337" i="15"/>
  <c r="C338" i="15"/>
  <c r="B338" i="15"/>
  <c r="M338" i="15"/>
  <c r="R420" i="15"/>
  <c r="T421" i="15" s="1"/>
  <c r="Q421" i="15" s="1"/>
  <c r="F334" i="14"/>
  <c r="E333" i="14"/>
  <c r="G335" i="14"/>
  <c r="B335" i="14"/>
  <c r="M335" i="14"/>
  <c r="L335" i="14"/>
  <c r="B270" i="12" l="1"/>
  <c r="O271" i="12"/>
  <c r="G270" i="12"/>
  <c r="R358" i="11"/>
  <c r="T359" i="11" s="1"/>
  <c r="Q359" i="11" s="1"/>
  <c r="E269" i="12"/>
  <c r="T444" i="14"/>
  <c r="R444" i="14" s="1"/>
  <c r="E254" i="11"/>
  <c r="O256" i="11"/>
  <c r="J256" i="11" s="1"/>
  <c r="C255" i="11"/>
  <c r="B255" i="11"/>
  <c r="G338" i="15"/>
  <c r="D338" i="15"/>
  <c r="O339" i="15"/>
  <c r="R421" i="15"/>
  <c r="T422" i="15" s="1"/>
  <c r="Q422" i="15" s="1"/>
  <c r="O336" i="14"/>
  <c r="J336" i="14" s="1"/>
  <c r="C336" i="14" s="1"/>
  <c r="D335" i="14"/>
  <c r="F335" i="14" s="1"/>
  <c r="E334" i="14"/>
  <c r="J271" i="12" l="1"/>
  <c r="C271" i="12" s="1"/>
  <c r="M271" i="12"/>
  <c r="L271" i="12"/>
  <c r="O272" i="12" s="1"/>
  <c r="J272" i="12" s="1"/>
  <c r="C272" i="12" s="1"/>
  <c r="R359" i="11"/>
  <c r="T360" i="11" s="1"/>
  <c r="Q360" i="11" s="1"/>
  <c r="D270" i="12"/>
  <c r="Q444" i="14"/>
  <c r="L256" i="11"/>
  <c r="R422" i="15"/>
  <c r="T423" i="15" s="1"/>
  <c r="Q423" i="15" s="1"/>
  <c r="B256" i="11"/>
  <c r="C256" i="11"/>
  <c r="G256" i="11" s="1"/>
  <c r="G255" i="11"/>
  <c r="D255" i="11"/>
  <c r="M256" i="11"/>
  <c r="J339" i="15"/>
  <c r="L339" i="15"/>
  <c r="M339" i="15"/>
  <c r="F338" i="15"/>
  <c r="E335" i="14"/>
  <c r="G336" i="14"/>
  <c r="B336" i="14"/>
  <c r="M336" i="14"/>
  <c r="L336" i="14"/>
  <c r="L272" i="12" l="1"/>
  <c r="B272" i="12"/>
  <c r="G272" i="12"/>
  <c r="R360" i="11"/>
  <c r="T361" i="11" s="1"/>
  <c r="Q361" i="11" s="1"/>
  <c r="M272" i="12"/>
  <c r="O273" i="12" s="1"/>
  <c r="B271" i="12"/>
  <c r="G271" i="12"/>
  <c r="F270" i="12"/>
  <c r="T445" i="14"/>
  <c r="R445" i="14" s="1"/>
  <c r="D256" i="11"/>
  <c r="F255" i="11"/>
  <c r="O257" i="11"/>
  <c r="R423" i="15"/>
  <c r="T424" i="15" s="1"/>
  <c r="Q424" i="15" s="1"/>
  <c r="O340" i="15"/>
  <c r="J340" i="15" s="1"/>
  <c r="C339" i="15"/>
  <c r="B339" i="15"/>
  <c r="E338" i="15"/>
  <c r="O337" i="14"/>
  <c r="J337" i="14" s="1"/>
  <c r="C337" i="14" s="1"/>
  <c r="D336" i="14"/>
  <c r="R361" i="11" l="1"/>
  <c r="D271" i="12"/>
  <c r="D272" i="12" s="1"/>
  <c r="E270" i="12"/>
  <c r="J273" i="12"/>
  <c r="C273" i="12" s="1"/>
  <c r="M273" i="12"/>
  <c r="O274" i="12" s="1"/>
  <c r="L273" i="12"/>
  <c r="Q445" i="14"/>
  <c r="T362" i="11"/>
  <c r="Q362" i="11" s="1"/>
  <c r="J257" i="11"/>
  <c r="L257" i="11"/>
  <c r="M257" i="11"/>
  <c r="F256" i="11"/>
  <c r="E255" i="11"/>
  <c r="R424" i="15"/>
  <c r="T425" i="15" s="1"/>
  <c r="R425" i="15" s="1"/>
  <c r="G339" i="15"/>
  <c r="D339" i="15"/>
  <c r="L340" i="15"/>
  <c r="B340" i="15"/>
  <c r="C340" i="15"/>
  <c r="G340" i="15" s="1"/>
  <c r="M340" i="15"/>
  <c r="F336" i="14"/>
  <c r="M337" i="14"/>
  <c r="G337" i="14"/>
  <c r="B337" i="14"/>
  <c r="L337" i="14"/>
  <c r="B273" i="12" l="1"/>
  <c r="F271" i="12"/>
  <c r="E271" i="12" s="1"/>
  <c r="J274" i="12"/>
  <c r="C274" i="12" s="1"/>
  <c r="G273" i="12"/>
  <c r="T446" i="14"/>
  <c r="R446" i="14" s="1"/>
  <c r="E256" i="11"/>
  <c r="O258" i="11"/>
  <c r="J258" i="11" s="1"/>
  <c r="B257" i="11"/>
  <c r="C257" i="11"/>
  <c r="R362" i="11"/>
  <c r="T426" i="15"/>
  <c r="R426" i="15" s="1"/>
  <c r="Q425" i="15"/>
  <c r="O341" i="15"/>
  <c r="J341" i="15" s="1"/>
  <c r="D340" i="15"/>
  <c r="F339" i="15"/>
  <c r="O338" i="14"/>
  <c r="J338" i="14" s="1"/>
  <c r="C338" i="14" s="1"/>
  <c r="E336" i="14"/>
  <c r="D337" i="14"/>
  <c r="F272" i="12" l="1"/>
  <c r="E272" i="12" s="1"/>
  <c r="B274" i="12"/>
  <c r="D273" i="12"/>
  <c r="G274" i="12"/>
  <c r="M274" i="12"/>
  <c r="L274" i="12"/>
  <c r="O275" i="12" s="1"/>
  <c r="Q446" i="14"/>
  <c r="L258" i="11"/>
  <c r="G257" i="11"/>
  <c r="D257" i="11"/>
  <c r="B258" i="11"/>
  <c r="C258" i="11"/>
  <c r="G258" i="11" s="1"/>
  <c r="M258" i="11"/>
  <c r="T363" i="11"/>
  <c r="Q363" i="11" s="1"/>
  <c r="T427" i="15"/>
  <c r="R427" i="15" s="1"/>
  <c r="Q426" i="15"/>
  <c r="F340" i="15"/>
  <c r="E339" i="15"/>
  <c r="L341" i="15"/>
  <c r="B341" i="15"/>
  <c r="C341" i="15"/>
  <c r="G341" i="15" s="1"/>
  <c r="M341" i="15"/>
  <c r="F337" i="14"/>
  <c r="G338" i="14"/>
  <c r="B338" i="14"/>
  <c r="M338" i="14"/>
  <c r="L338" i="14"/>
  <c r="D274" i="12" l="1"/>
  <c r="J275" i="12"/>
  <c r="C275" i="12" s="1"/>
  <c r="F273" i="12"/>
  <c r="M275" i="12"/>
  <c r="T447" i="14"/>
  <c r="R447" i="14" s="1"/>
  <c r="R363" i="11"/>
  <c r="O259" i="11"/>
  <c r="D258" i="11"/>
  <c r="F257" i="11"/>
  <c r="T428" i="15"/>
  <c r="R428" i="15" s="1"/>
  <c r="Q427" i="15"/>
  <c r="O342" i="15"/>
  <c r="J342" i="15" s="1"/>
  <c r="D341" i="15"/>
  <c r="F341" i="15" s="1"/>
  <c r="E340" i="15"/>
  <c r="O339" i="14"/>
  <c r="J339" i="14" s="1"/>
  <c r="C339" i="14" s="1"/>
  <c r="E337" i="14"/>
  <c r="D338" i="14"/>
  <c r="B275" i="12" l="1"/>
  <c r="E273" i="12"/>
  <c r="F274" i="12"/>
  <c r="G275" i="12"/>
  <c r="L275" i="12"/>
  <c r="O276" i="12" s="1"/>
  <c r="Q447" i="14"/>
  <c r="J259" i="11"/>
  <c r="L259" i="11"/>
  <c r="M259" i="11"/>
  <c r="E257" i="11"/>
  <c r="F258" i="11"/>
  <c r="T364" i="11"/>
  <c r="Q364" i="11" s="1"/>
  <c r="T429" i="15"/>
  <c r="R429" i="15" s="1"/>
  <c r="Q428" i="15"/>
  <c r="E341" i="15"/>
  <c r="L342" i="15"/>
  <c r="B342" i="15"/>
  <c r="C342" i="15"/>
  <c r="G342" i="15" s="1"/>
  <c r="M342" i="15"/>
  <c r="F338" i="14"/>
  <c r="G339" i="14"/>
  <c r="B339" i="14"/>
  <c r="M339" i="14"/>
  <c r="L339" i="14"/>
  <c r="D275" i="12" l="1"/>
  <c r="F275" i="12" s="1"/>
  <c r="E274" i="12"/>
  <c r="T448" i="14"/>
  <c r="R448" i="14" s="1"/>
  <c r="R364" i="11"/>
  <c r="E258" i="11"/>
  <c r="O260" i="11"/>
  <c r="J260" i="11" s="1"/>
  <c r="B259" i="11"/>
  <c r="C259" i="11"/>
  <c r="Q429" i="15"/>
  <c r="T430" i="15"/>
  <c r="O343" i="15"/>
  <c r="J343" i="15" s="1"/>
  <c r="D342" i="15"/>
  <c r="O340" i="14"/>
  <c r="J340" i="14" s="1"/>
  <c r="C340" i="14" s="1"/>
  <c r="E338" i="14"/>
  <c r="D339" i="14"/>
  <c r="E275" i="12" l="1"/>
  <c r="J276" i="12"/>
  <c r="C276" i="12" s="1"/>
  <c r="M276" i="12"/>
  <c r="L276" i="12"/>
  <c r="O277" i="12" s="1"/>
  <c r="Q448" i="14"/>
  <c r="L260" i="11"/>
  <c r="O261" i="11" s="1"/>
  <c r="J261" i="11" s="1"/>
  <c r="B260" i="11"/>
  <c r="C260" i="11"/>
  <c r="G260" i="11" s="1"/>
  <c r="M260" i="11"/>
  <c r="G259" i="11"/>
  <c r="D259" i="11"/>
  <c r="T365" i="11"/>
  <c r="Q365" i="11" s="1"/>
  <c r="Q430" i="15"/>
  <c r="R430" i="15"/>
  <c r="L343" i="15"/>
  <c r="F342" i="15"/>
  <c r="B343" i="15"/>
  <c r="C343" i="15"/>
  <c r="G343" i="15" s="1"/>
  <c r="M343" i="15"/>
  <c r="F339" i="14"/>
  <c r="B340" i="14"/>
  <c r="G340" i="14"/>
  <c r="M340" i="14"/>
  <c r="L340" i="14"/>
  <c r="B276" i="12" l="1"/>
  <c r="J277" i="12"/>
  <c r="C277" i="12" s="1"/>
  <c r="G276" i="12"/>
  <c r="T449" i="14"/>
  <c r="R449" i="14" s="1"/>
  <c r="M261" i="11"/>
  <c r="R365" i="11"/>
  <c r="T366" i="11" s="1"/>
  <c r="Q366" i="11" s="1"/>
  <c r="D260" i="11"/>
  <c r="F259" i="11"/>
  <c r="B261" i="11"/>
  <c r="C261" i="11"/>
  <c r="G261" i="11" s="1"/>
  <c r="L261" i="11"/>
  <c r="T431" i="15"/>
  <c r="Q431" i="15" s="1"/>
  <c r="O344" i="15"/>
  <c r="E342" i="15"/>
  <c r="D343" i="15"/>
  <c r="O341" i="14"/>
  <c r="J341" i="14" s="1"/>
  <c r="C341" i="14" s="1"/>
  <c r="E339" i="14"/>
  <c r="D340" i="14"/>
  <c r="B277" i="12" l="1"/>
  <c r="D276" i="12"/>
  <c r="M277" i="12"/>
  <c r="G277" i="12"/>
  <c r="L277" i="12"/>
  <c r="O278" i="12" s="1"/>
  <c r="O262" i="11"/>
  <c r="J262" i="11" s="1"/>
  <c r="C262" i="11" s="1"/>
  <c r="G262" i="11" s="1"/>
  <c r="Q449" i="14"/>
  <c r="R366" i="11"/>
  <c r="E259" i="11"/>
  <c r="F260" i="11"/>
  <c r="D261" i="11"/>
  <c r="R431" i="15"/>
  <c r="F343" i="15"/>
  <c r="J344" i="15"/>
  <c r="L344" i="15"/>
  <c r="M344" i="15"/>
  <c r="F340" i="14"/>
  <c r="B341" i="14"/>
  <c r="G341" i="14"/>
  <c r="M341" i="14"/>
  <c r="L341" i="14"/>
  <c r="D277" i="12" l="1"/>
  <c r="J278" i="12"/>
  <c r="C278" i="12" s="1"/>
  <c r="M262" i="11"/>
  <c r="B262" i="11"/>
  <c r="M278" i="12"/>
  <c r="F276" i="12"/>
  <c r="L262" i="11"/>
  <c r="O263" i="11" s="1"/>
  <c r="T450" i="14"/>
  <c r="R450" i="14" s="1"/>
  <c r="E260" i="11"/>
  <c r="F261" i="11"/>
  <c r="T367" i="11"/>
  <c r="Q367" i="11" s="1"/>
  <c r="D262" i="11"/>
  <c r="T432" i="15"/>
  <c r="Q432" i="15" s="1"/>
  <c r="O345" i="15"/>
  <c r="J345" i="15" s="1"/>
  <c r="B344" i="15"/>
  <c r="C344" i="15"/>
  <c r="E343" i="15"/>
  <c r="O342" i="14"/>
  <c r="J342" i="14" s="1"/>
  <c r="C342" i="14" s="1"/>
  <c r="E340" i="14"/>
  <c r="D341" i="14"/>
  <c r="B278" i="12" l="1"/>
  <c r="G278" i="12"/>
  <c r="E276" i="12"/>
  <c r="F277" i="12"/>
  <c r="L278" i="12"/>
  <c r="O279" i="12" s="1"/>
  <c r="Q450" i="14"/>
  <c r="R367" i="11"/>
  <c r="J263" i="11"/>
  <c r="L263" i="11"/>
  <c r="M263" i="11"/>
  <c r="E261" i="11"/>
  <c r="F262" i="11"/>
  <c r="R432" i="15"/>
  <c r="G344" i="15"/>
  <c r="D344" i="15"/>
  <c r="L345" i="15"/>
  <c r="B345" i="15"/>
  <c r="C345" i="15"/>
  <c r="G345" i="15" s="1"/>
  <c r="M345" i="15"/>
  <c r="F341" i="14"/>
  <c r="B342" i="14"/>
  <c r="G342" i="14"/>
  <c r="M342" i="14"/>
  <c r="L342" i="14"/>
  <c r="D278" i="12" l="1"/>
  <c r="E277" i="12"/>
  <c r="T451" i="14"/>
  <c r="R451" i="14" s="1"/>
  <c r="O264" i="11"/>
  <c r="J264" i="11" s="1"/>
  <c r="E262" i="11"/>
  <c r="B263" i="11"/>
  <c r="C263" i="11"/>
  <c r="T368" i="11"/>
  <c r="Q368" i="11" s="1"/>
  <c r="T433" i="15"/>
  <c r="Q433" i="15" s="1"/>
  <c r="O346" i="15"/>
  <c r="J346" i="15" s="1"/>
  <c r="D345" i="15"/>
  <c r="F344" i="15"/>
  <c r="O343" i="14"/>
  <c r="J343" i="14" s="1"/>
  <c r="C343" i="14" s="1"/>
  <c r="E341" i="14"/>
  <c r="D342" i="14"/>
  <c r="F278" i="12" l="1"/>
  <c r="J279" i="12"/>
  <c r="C279" i="12" s="1"/>
  <c r="M279" i="12"/>
  <c r="L279" i="12"/>
  <c r="O280" i="12" s="1"/>
  <c r="Q451" i="14"/>
  <c r="L264" i="11"/>
  <c r="O265" i="11" s="1"/>
  <c r="J265" i="11" s="1"/>
  <c r="R368" i="11"/>
  <c r="T369" i="11" s="1"/>
  <c r="Q369" i="11" s="1"/>
  <c r="G263" i="11"/>
  <c r="D263" i="11"/>
  <c r="B264" i="11"/>
  <c r="C264" i="11"/>
  <c r="G264" i="11" s="1"/>
  <c r="M264" i="11"/>
  <c r="R433" i="15"/>
  <c r="E344" i="15"/>
  <c r="F345" i="15"/>
  <c r="B346" i="15"/>
  <c r="C346" i="15"/>
  <c r="G346" i="15" s="1"/>
  <c r="L346" i="15"/>
  <c r="M346" i="15"/>
  <c r="F342" i="14"/>
  <c r="B343" i="14"/>
  <c r="G343" i="14"/>
  <c r="M343" i="14"/>
  <c r="L343" i="14"/>
  <c r="B279" i="12" l="1"/>
  <c r="J280" i="12"/>
  <c r="C280" i="12" s="1"/>
  <c r="M280" i="12"/>
  <c r="G279" i="12"/>
  <c r="E278" i="12"/>
  <c r="B265" i="11"/>
  <c r="C265" i="11"/>
  <c r="G265" i="11" s="1"/>
  <c r="L265" i="11"/>
  <c r="R369" i="11"/>
  <c r="M265" i="11"/>
  <c r="D264" i="11"/>
  <c r="F263" i="11"/>
  <c r="T434" i="15"/>
  <c r="Q434" i="15" s="1"/>
  <c r="O347" i="15"/>
  <c r="J347" i="15" s="1"/>
  <c r="D346" i="15"/>
  <c r="F346" i="15" s="1"/>
  <c r="E345" i="15"/>
  <c r="O344" i="14"/>
  <c r="J344" i="14" s="1"/>
  <c r="C344" i="14" s="1"/>
  <c r="E342" i="14"/>
  <c r="D343" i="14"/>
  <c r="B280" i="12" l="1"/>
  <c r="D279" i="12"/>
  <c r="G280" i="12"/>
  <c r="L280" i="12"/>
  <c r="O281" i="12" s="1"/>
  <c r="D265" i="11"/>
  <c r="E263" i="11"/>
  <c r="F264" i="11"/>
  <c r="T370" i="11"/>
  <c r="Q370" i="11" s="1"/>
  <c r="O266" i="11"/>
  <c r="J266" i="11" s="1"/>
  <c r="R434" i="15"/>
  <c r="E346" i="15"/>
  <c r="B347" i="15"/>
  <c r="C347" i="15"/>
  <c r="G347" i="15" s="1"/>
  <c r="L347" i="15"/>
  <c r="M347" i="15"/>
  <c r="F343" i="14"/>
  <c r="B344" i="14"/>
  <c r="G344" i="14"/>
  <c r="M344" i="14"/>
  <c r="L344" i="14"/>
  <c r="D280" i="12" l="1"/>
  <c r="F279" i="12"/>
  <c r="L266" i="11"/>
  <c r="R370" i="11"/>
  <c r="M266" i="11"/>
  <c r="E264" i="11"/>
  <c r="F265" i="11"/>
  <c r="B266" i="11"/>
  <c r="C266" i="11"/>
  <c r="T435" i="15"/>
  <c r="Q435" i="15" s="1"/>
  <c r="O348" i="15"/>
  <c r="J348" i="15" s="1"/>
  <c r="D347" i="15"/>
  <c r="O345" i="14"/>
  <c r="J345" i="14" s="1"/>
  <c r="C345" i="14" s="1"/>
  <c r="E343" i="14"/>
  <c r="D344" i="14"/>
  <c r="F344" i="14" s="1"/>
  <c r="E279" i="12" l="1"/>
  <c r="F280" i="12"/>
  <c r="J281" i="12"/>
  <c r="C281" i="12" s="1"/>
  <c r="M281" i="12"/>
  <c r="L281" i="12"/>
  <c r="G266" i="11"/>
  <c r="D266" i="11"/>
  <c r="F266" i="11" s="1"/>
  <c r="E265" i="11"/>
  <c r="T371" i="11"/>
  <c r="Q371" i="11" s="1"/>
  <c r="O267" i="11"/>
  <c r="J267" i="11" s="1"/>
  <c r="R435" i="15"/>
  <c r="F347" i="15"/>
  <c r="L348" i="15"/>
  <c r="B348" i="15"/>
  <c r="C348" i="15"/>
  <c r="G348" i="15" s="1"/>
  <c r="M348" i="15"/>
  <c r="E344" i="14"/>
  <c r="B345" i="14"/>
  <c r="G345" i="14"/>
  <c r="M345" i="14"/>
  <c r="L345" i="14"/>
  <c r="B281" i="12" l="1"/>
  <c r="O282" i="12"/>
  <c r="J282" i="12" s="1"/>
  <c r="C282" i="12" s="1"/>
  <c r="G281" i="12"/>
  <c r="E280" i="12"/>
  <c r="L267" i="11"/>
  <c r="O268" i="11" s="1"/>
  <c r="J268" i="11" s="1"/>
  <c r="M267" i="11"/>
  <c r="R371" i="11"/>
  <c r="E266" i="11"/>
  <c r="B267" i="11"/>
  <c r="C267" i="11"/>
  <c r="G267" i="11" s="1"/>
  <c r="T436" i="15"/>
  <c r="Q436" i="15" s="1"/>
  <c r="O349" i="15"/>
  <c r="J349" i="15" s="1"/>
  <c r="E347" i="15"/>
  <c r="D348" i="15"/>
  <c r="O346" i="14"/>
  <c r="J346" i="14" s="1"/>
  <c r="C346" i="14" s="1"/>
  <c r="D345" i="14"/>
  <c r="M282" i="12" l="1"/>
  <c r="B282" i="12"/>
  <c r="G282" i="12"/>
  <c r="D281" i="12"/>
  <c r="L282" i="12"/>
  <c r="O283" i="12" s="1"/>
  <c r="D267" i="11"/>
  <c r="F267" i="11" s="1"/>
  <c r="E267" i="11" s="1"/>
  <c r="M268" i="11"/>
  <c r="T372" i="11"/>
  <c r="Q372" i="11" s="1"/>
  <c r="B268" i="11"/>
  <c r="C268" i="11"/>
  <c r="G268" i="11" s="1"/>
  <c r="L268" i="11"/>
  <c r="R436" i="15"/>
  <c r="T437" i="15" s="1"/>
  <c r="Q437" i="15" s="1"/>
  <c r="L349" i="15"/>
  <c r="F348" i="15"/>
  <c r="B349" i="15"/>
  <c r="C349" i="15"/>
  <c r="G349" i="15" s="1"/>
  <c r="M349" i="15"/>
  <c r="F345" i="14"/>
  <c r="M346" i="14"/>
  <c r="B346" i="14"/>
  <c r="G346" i="14"/>
  <c r="L346" i="14"/>
  <c r="D282" i="12" l="1"/>
  <c r="F281" i="12"/>
  <c r="R372" i="11"/>
  <c r="O269" i="11"/>
  <c r="D268" i="11"/>
  <c r="R437" i="15"/>
  <c r="T438" i="15" s="1"/>
  <c r="O350" i="15"/>
  <c r="E348" i="15"/>
  <c r="D349" i="15"/>
  <c r="O347" i="14"/>
  <c r="J347" i="14" s="1"/>
  <c r="C347" i="14" s="1"/>
  <c r="E345" i="14"/>
  <c r="D346" i="14"/>
  <c r="E281" i="12" l="1"/>
  <c r="F282" i="12"/>
  <c r="J283" i="12"/>
  <c r="C283" i="12" s="1"/>
  <c r="M283" i="12"/>
  <c r="L283" i="12"/>
  <c r="R438" i="15"/>
  <c r="J269" i="11"/>
  <c r="M269" i="11"/>
  <c r="F268" i="11"/>
  <c r="L269" i="11"/>
  <c r="T373" i="11"/>
  <c r="Q373" i="11" s="1"/>
  <c r="Q438" i="15"/>
  <c r="F349" i="15"/>
  <c r="J350" i="15"/>
  <c r="L350" i="15"/>
  <c r="M350" i="15"/>
  <c r="M347" i="14"/>
  <c r="O348" i="14" s="1"/>
  <c r="J348" i="14" s="1"/>
  <c r="C348" i="14" s="1"/>
  <c r="F346" i="14"/>
  <c r="B347" i="14"/>
  <c r="G347" i="14"/>
  <c r="L347" i="14"/>
  <c r="B283" i="12" l="1"/>
  <c r="O284" i="12"/>
  <c r="J284" i="12" s="1"/>
  <c r="C284" i="12" s="1"/>
  <c r="G283" i="12"/>
  <c r="E282" i="12"/>
  <c r="R373" i="11"/>
  <c r="E268" i="11"/>
  <c r="O270" i="11"/>
  <c r="J270" i="11" s="1"/>
  <c r="B269" i="11"/>
  <c r="C269" i="11"/>
  <c r="T439" i="15"/>
  <c r="R439" i="15" s="1"/>
  <c r="O351" i="15"/>
  <c r="J351" i="15" s="1"/>
  <c r="L348" i="14"/>
  <c r="B350" i="15"/>
  <c r="C350" i="15"/>
  <c r="E349" i="15"/>
  <c r="B348" i="14"/>
  <c r="G348" i="14"/>
  <c r="M348" i="14"/>
  <c r="E346" i="14"/>
  <c r="D347" i="14"/>
  <c r="D348" i="14" s="1"/>
  <c r="B284" i="12" l="1"/>
  <c r="D283" i="12"/>
  <c r="G284" i="12"/>
  <c r="L284" i="12"/>
  <c r="O285" i="12" s="1"/>
  <c r="M284" i="12"/>
  <c r="B270" i="11"/>
  <c r="C270" i="11"/>
  <c r="G270" i="11" s="1"/>
  <c r="M270" i="11"/>
  <c r="L270" i="11"/>
  <c r="T374" i="11"/>
  <c r="Q374" i="11" s="1"/>
  <c r="G269" i="11"/>
  <c r="D269" i="11"/>
  <c r="Q439" i="15"/>
  <c r="L351" i="15"/>
  <c r="G350" i="15"/>
  <c r="D350" i="15"/>
  <c r="B351" i="15"/>
  <c r="C351" i="15"/>
  <c r="G351" i="15" s="1"/>
  <c r="M351" i="15"/>
  <c r="F347" i="14"/>
  <c r="O349" i="14"/>
  <c r="D284" i="12" l="1"/>
  <c r="F283" i="12"/>
  <c r="J285" i="12"/>
  <c r="C285" i="12" s="1"/>
  <c r="R374" i="11"/>
  <c r="T375" i="11" s="1"/>
  <c r="Q375" i="11" s="1"/>
  <c r="D270" i="11"/>
  <c r="F269" i="11"/>
  <c r="O271" i="11"/>
  <c r="J271" i="11" s="1"/>
  <c r="T440" i="15"/>
  <c r="R440" i="15" s="1"/>
  <c r="O352" i="15"/>
  <c r="D351" i="15"/>
  <c r="F350" i="15"/>
  <c r="J349" i="14"/>
  <c r="C349" i="14" s="1"/>
  <c r="L349" i="14"/>
  <c r="M349" i="14"/>
  <c r="F348" i="14"/>
  <c r="E347" i="14"/>
  <c r="B285" i="12" l="1"/>
  <c r="G285" i="12"/>
  <c r="L285" i="12"/>
  <c r="O286" i="12" s="1"/>
  <c r="F284" i="12"/>
  <c r="E283" i="12"/>
  <c r="M285" i="12"/>
  <c r="R375" i="11"/>
  <c r="T376" i="11" s="1"/>
  <c r="Q376" i="11" s="1"/>
  <c r="M271" i="11"/>
  <c r="L271" i="11"/>
  <c r="E269" i="11"/>
  <c r="F270" i="11"/>
  <c r="B271" i="11"/>
  <c r="C271" i="11"/>
  <c r="G271" i="11" s="1"/>
  <c r="Q440" i="15"/>
  <c r="E350" i="15"/>
  <c r="F351" i="15"/>
  <c r="J352" i="15"/>
  <c r="L352" i="15"/>
  <c r="M352" i="15"/>
  <c r="E348" i="14"/>
  <c r="O350" i="14"/>
  <c r="J350" i="14" s="1"/>
  <c r="C350" i="14" s="1"/>
  <c r="B349" i="14"/>
  <c r="D285" i="12" l="1"/>
  <c r="E284" i="12"/>
  <c r="F285" i="12"/>
  <c r="J286" i="12"/>
  <c r="C286" i="12" s="1"/>
  <c r="R376" i="11"/>
  <c r="T377" i="11" s="1"/>
  <c r="D271" i="11"/>
  <c r="F271" i="11" s="1"/>
  <c r="E270" i="11"/>
  <c r="O272" i="11"/>
  <c r="J272" i="11" s="1"/>
  <c r="T441" i="15"/>
  <c r="R441" i="15" s="1"/>
  <c r="O353" i="15"/>
  <c r="J353" i="15" s="1"/>
  <c r="B352" i="15"/>
  <c r="C352" i="15"/>
  <c r="E351" i="15"/>
  <c r="G349" i="14"/>
  <c r="D349" i="14"/>
  <c r="L350" i="14"/>
  <c r="B350" i="14"/>
  <c r="G350" i="14"/>
  <c r="M350" i="14"/>
  <c r="B286" i="12" l="1"/>
  <c r="G286" i="12"/>
  <c r="L286" i="12"/>
  <c r="O287" i="12" s="1"/>
  <c r="E285" i="12"/>
  <c r="M286" i="12"/>
  <c r="R377" i="11"/>
  <c r="M272" i="11"/>
  <c r="O273" i="11" s="1"/>
  <c r="J273" i="11" s="1"/>
  <c r="L272" i="11"/>
  <c r="Q377" i="11"/>
  <c r="E271" i="11"/>
  <c r="B272" i="11"/>
  <c r="C272" i="11"/>
  <c r="G272" i="11" s="1"/>
  <c r="Q441" i="15"/>
  <c r="L353" i="15"/>
  <c r="M353" i="15"/>
  <c r="O354" i="15" s="1"/>
  <c r="J354" i="15" s="1"/>
  <c r="G352" i="15"/>
  <c r="G3" i="15" s="1"/>
  <c r="D352" i="15"/>
  <c r="B353" i="15"/>
  <c r="C353" i="15"/>
  <c r="G353" i="15" s="1"/>
  <c r="O351" i="14"/>
  <c r="J351" i="14" s="1"/>
  <c r="C351" i="14" s="1"/>
  <c r="D350" i="14"/>
  <c r="F349" i="14"/>
  <c r="D286" i="12" l="1"/>
  <c r="J287" i="12"/>
  <c r="C287" i="12" s="1"/>
  <c r="T442" i="15"/>
  <c r="R442" i="15" s="1"/>
  <c r="D272" i="11"/>
  <c r="F272" i="11" s="1"/>
  <c r="E272" i="11" s="1"/>
  <c r="M273" i="11"/>
  <c r="T378" i="11"/>
  <c r="R378" i="11" s="1"/>
  <c r="B273" i="11"/>
  <c r="C273" i="11"/>
  <c r="G273" i="11" s="1"/>
  <c r="L273" i="11"/>
  <c r="M354" i="15"/>
  <c r="B354" i="15"/>
  <c r="C354" i="15"/>
  <c r="G354" i="15" s="1"/>
  <c r="L354" i="15"/>
  <c r="D353" i="15"/>
  <c r="H3" i="15"/>
  <c r="F352" i="15"/>
  <c r="F350" i="14"/>
  <c r="E349" i="14"/>
  <c r="L351" i="14"/>
  <c r="B351" i="14"/>
  <c r="G351" i="14"/>
  <c r="M351" i="14"/>
  <c r="B287" i="12" l="1"/>
  <c r="G287" i="12"/>
  <c r="L287" i="12"/>
  <c r="O288" i="12" s="1"/>
  <c r="F286" i="12"/>
  <c r="M287" i="12"/>
  <c r="Q442" i="15"/>
  <c r="Q378" i="11"/>
  <c r="T379" i="11" s="1"/>
  <c r="R379" i="11" s="1"/>
  <c r="D273" i="11"/>
  <c r="O274" i="11"/>
  <c r="J274" i="11" s="1"/>
  <c r="D354" i="15"/>
  <c r="E352" i="15"/>
  <c r="E3" i="15" s="1"/>
  <c r="F353" i="15"/>
  <c r="O355" i="15"/>
  <c r="J355" i="15" s="1"/>
  <c r="O352" i="14"/>
  <c r="J352" i="14" s="1"/>
  <c r="C352" i="14" s="1"/>
  <c r="D351" i="14"/>
  <c r="F351" i="14" s="1"/>
  <c r="E350" i="14"/>
  <c r="D287" i="12" l="1"/>
  <c r="F287" i="12" s="1"/>
  <c r="E286" i="12"/>
  <c r="J288" i="12"/>
  <c r="C288" i="12" s="1"/>
  <c r="T443" i="15"/>
  <c r="R443" i="15" s="1"/>
  <c r="L274" i="11"/>
  <c r="B274" i="11"/>
  <c r="C274" i="11"/>
  <c r="G274" i="11" s="1"/>
  <c r="M274" i="11"/>
  <c r="Q379" i="11"/>
  <c r="F273" i="11"/>
  <c r="M355" i="15"/>
  <c r="B355" i="15"/>
  <c r="C355" i="15"/>
  <c r="L355" i="15"/>
  <c r="E353" i="15"/>
  <c r="F354" i="15"/>
  <c r="E351" i="14"/>
  <c r="L352" i="14"/>
  <c r="G352" i="14"/>
  <c r="G3" i="14" s="1"/>
  <c r="B352" i="14"/>
  <c r="M352" i="14"/>
  <c r="B288" i="12" l="1"/>
  <c r="G288" i="12"/>
  <c r="L288" i="12"/>
  <c r="E287" i="12"/>
  <c r="M288" i="12"/>
  <c r="Q443" i="15"/>
  <c r="D274" i="11"/>
  <c r="F274" i="11" s="1"/>
  <c r="O275" i="11"/>
  <c r="J275" i="11" s="1"/>
  <c r="E273" i="11"/>
  <c r="T380" i="11"/>
  <c r="R380" i="11" s="1"/>
  <c r="E354" i="15"/>
  <c r="O356" i="15"/>
  <c r="G355" i="15"/>
  <c r="D355" i="15"/>
  <c r="O353" i="14"/>
  <c r="J353" i="14" s="1"/>
  <c r="C353" i="14" s="1"/>
  <c r="D352" i="14"/>
  <c r="O289" i="12" l="1"/>
  <c r="J289" i="12" s="1"/>
  <c r="C289" i="12" s="1"/>
  <c r="D288" i="12"/>
  <c r="T444" i="15"/>
  <c r="R444" i="15" s="1"/>
  <c r="L275" i="11"/>
  <c r="Q380" i="11"/>
  <c r="T381" i="11" s="1"/>
  <c r="R381" i="11" s="1"/>
  <c r="B275" i="11"/>
  <c r="C275" i="11"/>
  <c r="E274" i="11"/>
  <c r="M275" i="11"/>
  <c r="J356" i="15"/>
  <c r="M356" i="15"/>
  <c r="L356" i="15"/>
  <c r="F355" i="15"/>
  <c r="L353" i="14"/>
  <c r="H3" i="14"/>
  <c r="F352" i="14"/>
  <c r="B353" i="14"/>
  <c r="G353" i="14"/>
  <c r="M353" i="14"/>
  <c r="B289" i="12" l="1"/>
  <c r="G289" i="12"/>
  <c r="F288" i="12"/>
  <c r="L289" i="12"/>
  <c r="M289" i="12"/>
  <c r="O290" i="12" s="1"/>
  <c r="Q444" i="15"/>
  <c r="Q381" i="11"/>
  <c r="G275" i="11"/>
  <c r="D275" i="11"/>
  <c r="O276" i="11"/>
  <c r="E355" i="15"/>
  <c r="O357" i="15"/>
  <c r="J357" i="15" s="1"/>
  <c r="B356" i="15"/>
  <c r="C356" i="15"/>
  <c r="O354" i="14"/>
  <c r="J354" i="14" s="1"/>
  <c r="C354" i="14" s="1"/>
  <c r="E352" i="14"/>
  <c r="E3" i="14" s="1"/>
  <c r="D353" i="14"/>
  <c r="D289" i="12" l="1"/>
  <c r="J290" i="12"/>
  <c r="C290" i="12" s="1"/>
  <c r="L290" i="12"/>
  <c r="E288" i="12"/>
  <c r="T445" i="15"/>
  <c r="R445" i="15" s="1"/>
  <c r="J276" i="11"/>
  <c r="L276" i="11"/>
  <c r="M276" i="11"/>
  <c r="F275" i="11"/>
  <c r="T382" i="11"/>
  <c r="R382" i="11" s="1"/>
  <c r="G356" i="15"/>
  <c r="D356" i="15"/>
  <c r="M357" i="15"/>
  <c r="B357" i="15"/>
  <c r="C357" i="15"/>
  <c r="G357" i="15" s="1"/>
  <c r="L357" i="15"/>
  <c r="L354" i="14"/>
  <c r="G354" i="14"/>
  <c r="B354" i="14"/>
  <c r="D354" i="14"/>
  <c r="M354" i="14"/>
  <c r="F353" i="14"/>
  <c r="B290" i="12" l="1"/>
  <c r="F289" i="12"/>
  <c r="G290" i="12"/>
  <c r="O355" i="14"/>
  <c r="L355" i="14" s="1"/>
  <c r="M290" i="12"/>
  <c r="O291" i="12" s="1"/>
  <c r="Q445" i="15"/>
  <c r="Q382" i="11"/>
  <c r="T383" i="11" s="1"/>
  <c r="R383" i="11" s="1"/>
  <c r="E275" i="11"/>
  <c r="O277" i="11"/>
  <c r="J277" i="11" s="1"/>
  <c r="B276" i="11"/>
  <c r="C276" i="11"/>
  <c r="O358" i="15"/>
  <c r="J358" i="15" s="1"/>
  <c r="D357" i="15"/>
  <c r="F356" i="15"/>
  <c r="F354" i="14"/>
  <c r="E353" i="14"/>
  <c r="D290" i="12" l="1"/>
  <c r="M291" i="12"/>
  <c r="M355" i="14"/>
  <c r="O356" i="14" s="1"/>
  <c r="J356" i="14" s="1"/>
  <c r="C356" i="14" s="1"/>
  <c r="G356" i="14" s="1"/>
  <c r="E289" i="12"/>
  <c r="J355" i="14"/>
  <c r="C355" i="14" s="1"/>
  <c r="T446" i="15"/>
  <c r="R446" i="15" s="1"/>
  <c r="L277" i="11"/>
  <c r="M277" i="11"/>
  <c r="O278" i="11" s="1"/>
  <c r="J278" i="11" s="1"/>
  <c r="B277" i="11"/>
  <c r="C277" i="11"/>
  <c r="G277" i="11" s="1"/>
  <c r="Q383" i="11"/>
  <c r="G276" i="11"/>
  <c r="D276" i="11"/>
  <c r="E356" i="15"/>
  <c r="F357" i="15"/>
  <c r="M358" i="15"/>
  <c r="B358" i="15"/>
  <c r="C358" i="15"/>
  <c r="G358" i="15" s="1"/>
  <c r="L358" i="15"/>
  <c r="E354" i="14"/>
  <c r="B356" i="14"/>
  <c r="M356" i="14" l="1"/>
  <c r="L356" i="14"/>
  <c r="F290" i="12"/>
  <c r="B355" i="14"/>
  <c r="J291" i="12"/>
  <c r="C291" i="12" s="1"/>
  <c r="L291" i="12"/>
  <c r="O292" i="12" s="1"/>
  <c r="Q446" i="15"/>
  <c r="L278" i="11"/>
  <c r="T384" i="11"/>
  <c r="R384" i="11" s="1"/>
  <c r="B278" i="11"/>
  <c r="C278" i="11"/>
  <c r="G278" i="11" s="1"/>
  <c r="D277" i="11"/>
  <c r="F276" i="11"/>
  <c r="M278" i="11"/>
  <c r="O359" i="15"/>
  <c r="J359" i="15" s="1"/>
  <c r="D358" i="15"/>
  <c r="F358" i="15" s="1"/>
  <c r="E357" i="15"/>
  <c r="O357" i="14"/>
  <c r="G355" i="14"/>
  <c r="D355" i="14"/>
  <c r="B291" i="12" l="1"/>
  <c r="G291" i="12"/>
  <c r="E290" i="12"/>
  <c r="T447" i="15"/>
  <c r="R447" i="15" s="1"/>
  <c r="D278" i="11"/>
  <c r="E276" i="11"/>
  <c r="F277" i="11"/>
  <c r="Q384" i="11"/>
  <c r="O279" i="11"/>
  <c r="J279" i="11" s="1"/>
  <c r="E358" i="15"/>
  <c r="M359" i="15"/>
  <c r="B359" i="15"/>
  <c r="C359" i="15"/>
  <c r="G359" i="15" s="1"/>
  <c r="L359" i="15"/>
  <c r="D356" i="14"/>
  <c r="F355" i="14"/>
  <c r="J357" i="14"/>
  <c r="C357" i="14" s="1"/>
  <c r="M357" i="14"/>
  <c r="L357" i="14"/>
  <c r="D291" i="12" l="1"/>
  <c r="J292" i="12"/>
  <c r="C292" i="12" s="1"/>
  <c r="M292" i="12"/>
  <c r="L292" i="12"/>
  <c r="O293" i="12" s="1"/>
  <c r="Q447" i="15"/>
  <c r="L279" i="11"/>
  <c r="B279" i="11"/>
  <c r="C279" i="11"/>
  <c r="T385" i="11"/>
  <c r="R385" i="11" s="1"/>
  <c r="M279" i="11"/>
  <c r="E277" i="11"/>
  <c r="F278" i="11"/>
  <c r="O360" i="15"/>
  <c r="J360" i="15" s="1"/>
  <c r="D359" i="15"/>
  <c r="O358" i="14"/>
  <c r="J358" i="14" s="1"/>
  <c r="C358" i="14" s="1"/>
  <c r="G357" i="14"/>
  <c r="B357" i="14"/>
  <c r="E355" i="14"/>
  <c r="F356" i="14"/>
  <c r="B292" i="12" l="1"/>
  <c r="J293" i="12"/>
  <c r="C293" i="12" s="1"/>
  <c r="M293" i="12"/>
  <c r="G292" i="12"/>
  <c r="F291" i="12"/>
  <c r="T448" i="15"/>
  <c r="R448" i="15" s="1"/>
  <c r="E278" i="11"/>
  <c r="Q385" i="11"/>
  <c r="G279" i="11"/>
  <c r="D279" i="11"/>
  <c r="O280" i="11"/>
  <c r="J280" i="11" s="1"/>
  <c r="F359" i="15"/>
  <c r="M360" i="15"/>
  <c r="B360" i="15"/>
  <c r="C360" i="15"/>
  <c r="G360" i="15" s="1"/>
  <c r="L360" i="15"/>
  <c r="D357" i="14"/>
  <c r="F357" i="14" s="1"/>
  <c r="E356" i="14"/>
  <c r="M358" i="14"/>
  <c r="G358" i="14"/>
  <c r="B358" i="14"/>
  <c r="L358" i="14"/>
  <c r="B293" i="12" l="1"/>
  <c r="D292" i="12"/>
  <c r="F292" i="12" s="1"/>
  <c r="E291" i="12"/>
  <c r="G293" i="12"/>
  <c r="L293" i="12"/>
  <c r="O294" i="12" s="1"/>
  <c r="Q448" i="15"/>
  <c r="L280" i="11"/>
  <c r="M280" i="11"/>
  <c r="T386" i="11"/>
  <c r="R386" i="11" s="1"/>
  <c r="F279" i="11"/>
  <c r="B280" i="11"/>
  <c r="C280" i="11"/>
  <c r="G280" i="11" s="1"/>
  <c r="O361" i="15"/>
  <c r="J361" i="15" s="1"/>
  <c r="E359" i="15"/>
  <c r="D360" i="15"/>
  <c r="D358" i="14"/>
  <c r="F358" i="14" s="1"/>
  <c r="O359" i="14"/>
  <c r="J359" i="14" s="1"/>
  <c r="C359" i="14" s="1"/>
  <c r="E357" i="14"/>
  <c r="D293" i="12" l="1"/>
  <c r="F293" i="12" s="1"/>
  <c r="O281" i="11"/>
  <c r="J281" i="11" s="1"/>
  <c r="B281" i="11" s="1"/>
  <c r="E292" i="12"/>
  <c r="T449" i="15"/>
  <c r="R449" i="15" s="1"/>
  <c r="D280" i="11"/>
  <c r="F280" i="11" s="1"/>
  <c r="E279" i="11"/>
  <c r="Q386" i="11"/>
  <c r="F360" i="15"/>
  <c r="M361" i="15"/>
  <c r="B361" i="15"/>
  <c r="C361" i="15"/>
  <c r="G361" i="15" s="1"/>
  <c r="L361" i="15"/>
  <c r="M359" i="14"/>
  <c r="E358" i="14"/>
  <c r="B359" i="14"/>
  <c r="L359" i="14"/>
  <c r="C281" i="11" l="1"/>
  <c r="G281" i="11" s="1"/>
  <c r="L281" i="11"/>
  <c r="O282" i="11" s="1"/>
  <c r="J282" i="11" s="1"/>
  <c r="M281" i="11"/>
  <c r="E293" i="12"/>
  <c r="J294" i="12"/>
  <c r="C294" i="12" s="1"/>
  <c r="M294" i="12"/>
  <c r="L294" i="12"/>
  <c r="Q449" i="15"/>
  <c r="T387" i="11"/>
  <c r="R387" i="11" s="1"/>
  <c r="D281" i="11"/>
  <c r="F281" i="11" s="1"/>
  <c r="E280" i="11"/>
  <c r="O362" i="15"/>
  <c r="J362" i="15" s="1"/>
  <c r="E360" i="15"/>
  <c r="D361" i="15"/>
  <c r="O360" i="14"/>
  <c r="G359" i="14"/>
  <c r="D359" i="14"/>
  <c r="B294" i="12" l="1"/>
  <c r="G294" i="12"/>
  <c r="O295" i="12"/>
  <c r="J295" i="12" s="1"/>
  <c r="C295" i="12" s="1"/>
  <c r="T450" i="15"/>
  <c r="R450" i="15" s="1"/>
  <c r="L282" i="11"/>
  <c r="O283" i="11" s="1"/>
  <c r="J283" i="11" s="1"/>
  <c r="B282" i="11"/>
  <c r="C282" i="11"/>
  <c r="G282" i="11" s="1"/>
  <c r="M282" i="11"/>
  <c r="E281" i="11"/>
  <c r="Q387" i="11"/>
  <c r="F361" i="15"/>
  <c r="M362" i="15"/>
  <c r="B362" i="15"/>
  <c r="C362" i="15"/>
  <c r="G362" i="15" s="1"/>
  <c r="L362" i="15"/>
  <c r="F359" i="14"/>
  <c r="J360" i="14"/>
  <c r="C360" i="14" s="1"/>
  <c r="M360" i="14"/>
  <c r="L360" i="14"/>
  <c r="B295" i="12" l="1"/>
  <c r="M295" i="12"/>
  <c r="D294" i="12"/>
  <c r="G295" i="12"/>
  <c r="L295" i="12"/>
  <c r="Q450" i="15"/>
  <c r="D282" i="11"/>
  <c r="F282" i="11" s="1"/>
  <c r="E282" i="11" s="1"/>
  <c r="M283" i="11"/>
  <c r="T388" i="11"/>
  <c r="R388" i="11" s="1"/>
  <c r="B283" i="11"/>
  <c r="C283" i="11"/>
  <c r="G283" i="11" s="1"/>
  <c r="L283" i="11"/>
  <c r="O363" i="15"/>
  <c r="J363" i="15" s="1"/>
  <c r="E361" i="15"/>
  <c r="D362" i="15"/>
  <c r="O361" i="14"/>
  <c r="J361" i="14" s="1"/>
  <c r="C361" i="14" s="1"/>
  <c r="B360" i="14"/>
  <c r="E359" i="14"/>
  <c r="O296" i="12" l="1"/>
  <c r="J296" i="12" s="1"/>
  <c r="C296" i="12" s="1"/>
  <c r="D295" i="12"/>
  <c r="F294" i="12"/>
  <c r="O284" i="11"/>
  <c r="J284" i="11" s="1"/>
  <c r="B284" i="11" s="1"/>
  <c r="T451" i="15"/>
  <c r="R451" i="15" s="1"/>
  <c r="D283" i="11"/>
  <c r="F283" i="11" s="1"/>
  <c r="Q388" i="11"/>
  <c r="F362" i="15"/>
  <c r="B363" i="15"/>
  <c r="C363" i="15"/>
  <c r="G363" i="15" s="1"/>
  <c r="M363" i="15"/>
  <c r="L363" i="15"/>
  <c r="G360" i="14"/>
  <c r="D360" i="14"/>
  <c r="M361" i="14"/>
  <c r="G361" i="14"/>
  <c r="B361" i="14"/>
  <c r="L361" i="14"/>
  <c r="M296" i="12" l="1"/>
  <c r="B296" i="12"/>
  <c r="G296" i="12"/>
  <c r="L296" i="12"/>
  <c r="O297" i="12" s="1"/>
  <c r="J297" i="12" s="1"/>
  <c r="C297" i="12" s="1"/>
  <c r="D296" i="12"/>
  <c r="L284" i="11"/>
  <c r="O285" i="11" s="1"/>
  <c r="J285" i="11" s="1"/>
  <c r="F295" i="12"/>
  <c r="E294" i="12"/>
  <c r="M284" i="11"/>
  <c r="C284" i="11"/>
  <c r="G284" i="11" s="1"/>
  <c r="Q451" i="15"/>
  <c r="E283" i="11"/>
  <c r="T389" i="11"/>
  <c r="R389" i="11" s="1"/>
  <c r="O364" i="15"/>
  <c r="J364" i="15" s="1"/>
  <c r="E362" i="15"/>
  <c r="D363" i="15"/>
  <c r="O362" i="14"/>
  <c r="J362" i="14" s="1"/>
  <c r="C362" i="14" s="1"/>
  <c r="D361" i="14"/>
  <c r="F360" i="14"/>
  <c r="B297" i="12" l="1"/>
  <c r="G297" i="12"/>
  <c r="L297" i="12"/>
  <c r="O298" i="12" s="1"/>
  <c r="M297" i="12"/>
  <c r="D284" i="11"/>
  <c r="F284" i="11" s="1"/>
  <c r="E284" i="11" s="1"/>
  <c r="E295" i="12"/>
  <c r="F296" i="12"/>
  <c r="B285" i="11"/>
  <c r="C285" i="11"/>
  <c r="G285" i="11" s="1"/>
  <c r="M285" i="11"/>
  <c r="L285" i="11"/>
  <c r="Q389" i="11"/>
  <c r="F363" i="15"/>
  <c r="B364" i="15"/>
  <c r="C364" i="15"/>
  <c r="G364" i="15" s="1"/>
  <c r="M364" i="15"/>
  <c r="L364" i="15"/>
  <c r="F361" i="14"/>
  <c r="E360" i="14"/>
  <c r="B362" i="14"/>
  <c r="G362" i="14"/>
  <c r="M362" i="14"/>
  <c r="L362" i="14"/>
  <c r="D297" i="12" l="1"/>
  <c r="F297" i="12" s="1"/>
  <c r="E296" i="12"/>
  <c r="J298" i="12"/>
  <c r="C298" i="12" s="1"/>
  <c r="M298" i="12"/>
  <c r="L298" i="12"/>
  <c r="T390" i="11"/>
  <c r="R390" i="11" s="1"/>
  <c r="O286" i="11"/>
  <c r="J286" i="11" s="1"/>
  <c r="D285" i="11"/>
  <c r="O365" i="15"/>
  <c r="J365" i="15" s="1"/>
  <c r="E363" i="15"/>
  <c r="D364" i="15"/>
  <c r="O363" i="14"/>
  <c r="J363" i="14" s="1"/>
  <c r="C363" i="14" s="1"/>
  <c r="D362" i="14"/>
  <c r="F362" i="14" s="1"/>
  <c r="E361" i="14"/>
  <c r="B298" i="12" l="1"/>
  <c r="O299" i="12"/>
  <c r="J299" i="12" s="1"/>
  <c r="C299" i="12" s="1"/>
  <c r="G298" i="12"/>
  <c r="E297" i="12"/>
  <c r="B286" i="11"/>
  <c r="C286" i="11"/>
  <c r="G286" i="11" s="1"/>
  <c r="M286" i="11"/>
  <c r="L286" i="11"/>
  <c r="F285" i="11"/>
  <c r="Q390" i="11"/>
  <c r="F364" i="15"/>
  <c r="C365" i="15"/>
  <c r="G365" i="15" s="1"/>
  <c r="B365" i="15"/>
  <c r="M365" i="15"/>
  <c r="L365" i="15"/>
  <c r="E362" i="14"/>
  <c r="G363" i="14"/>
  <c r="B363" i="14"/>
  <c r="M363" i="14"/>
  <c r="L363" i="14"/>
  <c r="B299" i="12" l="1"/>
  <c r="D298" i="12"/>
  <c r="M299" i="12"/>
  <c r="G299" i="12"/>
  <c r="L299" i="12"/>
  <c r="O300" i="12" s="1"/>
  <c r="D286" i="11"/>
  <c r="F286" i="11" s="1"/>
  <c r="O287" i="11"/>
  <c r="J287" i="11" s="1"/>
  <c r="T391" i="11"/>
  <c r="R391" i="11" s="1"/>
  <c r="E285" i="11"/>
  <c r="O366" i="15"/>
  <c r="J366" i="15" s="1"/>
  <c r="E364" i="15"/>
  <c r="D365" i="15"/>
  <c r="O364" i="14"/>
  <c r="J364" i="14" s="1"/>
  <c r="C364" i="14" s="1"/>
  <c r="D363" i="14"/>
  <c r="D299" i="12" l="1"/>
  <c r="J300" i="12"/>
  <c r="C300" i="12" s="1"/>
  <c r="M300" i="12"/>
  <c r="F298" i="12"/>
  <c r="M287" i="11"/>
  <c r="E286" i="11"/>
  <c r="Q391" i="11"/>
  <c r="B287" i="11"/>
  <c r="C287" i="11"/>
  <c r="L287" i="11"/>
  <c r="F365" i="15"/>
  <c r="M366" i="15"/>
  <c r="C366" i="15"/>
  <c r="G366" i="15" s="1"/>
  <c r="B366" i="15"/>
  <c r="L366" i="15"/>
  <c r="F363" i="14"/>
  <c r="M364" i="14"/>
  <c r="B364" i="14"/>
  <c r="G364" i="14"/>
  <c r="L364" i="14"/>
  <c r="B300" i="12" l="1"/>
  <c r="E298" i="12"/>
  <c r="F299" i="12"/>
  <c r="G300" i="12"/>
  <c r="L300" i="12"/>
  <c r="O301" i="12" s="1"/>
  <c r="O288" i="11"/>
  <c r="G287" i="11"/>
  <c r="D287" i="11"/>
  <c r="T392" i="11"/>
  <c r="R392" i="11" s="1"/>
  <c r="O367" i="15"/>
  <c r="J367" i="15" s="1"/>
  <c r="E365" i="15"/>
  <c r="D366" i="15"/>
  <c r="O365" i="14"/>
  <c r="J365" i="14" s="1"/>
  <c r="C365" i="14" s="1"/>
  <c r="E363" i="14"/>
  <c r="D364" i="14"/>
  <c r="D300" i="12" l="1"/>
  <c r="F300" i="12" s="1"/>
  <c r="E299" i="12"/>
  <c r="F287" i="11"/>
  <c r="Q392" i="11"/>
  <c r="J288" i="11"/>
  <c r="M288" i="11"/>
  <c r="L288" i="11"/>
  <c r="F366" i="15"/>
  <c r="M367" i="15"/>
  <c r="B367" i="15"/>
  <c r="C367" i="15"/>
  <c r="G367" i="15" s="1"/>
  <c r="L367" i="15"/>
  <c r="F364" i="14"/>
  <c r="G365" i="14"/>
  <c r="B365" i="14"/>
  <c r="M365" i="14"/>
  <c r="L365" i="14"/>
  <c r="E300" i="12" l="1"/>
  <c r="J301" i="12"/>
  <c r="C301" i="12" s="1"/>
  <c r="M301" i="12"/>
  <c r="L301" i="12"/>
  <c r="O302" i="12" s="1"/>
  <c r="B288" i="11"/>
  <c r="C288" i="11"/>
  <c r="T393" i="11"/>
  <c r="R393" i="11" s="1"/>
  <c r="E287" i="11"/>
  <c r="O289" i="11"/>
  <c r="J289" i="11" s="1"/>
  <c r="O368" i="15"/>
  <c r="J368" i="15" s="1"/>
  <c r="E366" i="15"/>
  <c r="D367" i="15"/>
  <c r="O366" i="14"/>
  <c r="J366" i="14" s="1"/>
  <c r="C366" i="14" s="1"/>
  <c r="E364" i="14"/>
  <c r="D365" i="14"/>
  <c r="B301" i="12" l="1"/>
  <c r="G301" i="12"/>
  <c r="J302" i="12"/>
  <c r="C302" i="12" s="1"/>
  <c r="M289" i="11"/>
  <c r="Q393" i="11"/>
  <c r="G288" i="11"/>
  <c r="D288" i="11"/>
  <c r="B289" i="11"/>
  <c r="C289" i="11"/>
  <c r="G289" i="11" s="1"/>
  <c r="L289" i="11"/>
  <c r="F367" i="15"/>
  <c r="M368" i="15"/>
  <c r="C368" i="15"/>
  <c r="G368" i="15" s="1"/>
  <c r="B368" i="15"/>
  <c r="L368" i="15"/>
  <c r="M366" i="14"/>
  <c r="F365" i="14"/>
  <c r="B366" i="14"/>
  <c r="G366" i="14"/>
  <c r="L366" i="14"/>
  <c r="B302" i="12" l="1"/>
  <c r="D301" i="12"/>
  <c r="G302" i="12"/>
  <c r="L302" i="12"/>
  <c r="M302" i="12"/>
  <c r="O303" i="12" s="1"/>
  <c r="O290" i="11"/>
  <c r="J290" i="11" s="1"/>
  <c r="B290" i="11" s="1"/>
  <c r="D289" i="11"/>
  <c r="F288" i="11"/>
  <c r="T394" i="11"/>
  <c r="R394" i="11" s="1"/>
  <c r="O369" i="15"/>
  <c r="J369" i="15" s="1"/>
  <c r="E367" i="15"/>
  <c r="D368" i="15"/>
  <c r="O367" i="14"/>
  <c r="J367" i="14" s="1"/>
  <c r="C367" i="14" s="1"/>
  <c r="E365" i="14"/>
  <c r="D366" i="14"/>
  <c r="D302" i="12" l="1"/>
  <c r="J303" i="12"/>
  <c r="C303" i="12" s="1"/>
  <c r="M290" i="11"/>
  <c r="O291" i="11" s="1"/>
  <c r="J291" i="11" s="1"/>
  <c r="B291" i="11" s="1"/>
  <c r="F301" i="12"/>
  <c r="C290" i="11"/>
  <c r="G290" i="11" s="1"/>
  <c r="L303" i="12"/>
  <c r="L290" i="11"/>
  <c r="L291" i="11" s="1"/>
  <c r="Q394" i="11"/>
  <c r="E288" i="11"/>
  <c r="F289" i="11"/>
  <c r="M369" i="15"/>
  <c r="F368" i="15"/>
  <c r="C369" i="15"/>
  <c r="G369" i="15" s="1"/>
  <c r="B369" i="15"/>
  <c r="L369" i="15"/>
  <c r="B367" i="14"/>
  <c r="M367" i="14"/>
  <c r="G367" i="14"/>
  <c r="L367" i="14"/>
  <c r="F366" i="14"/>
  <c r="B303" i="12" l="1"/>
  <c r="C291" i="11"/>
  <c r="G291" i="11" s="1"/>
  <c r="E301" i="12"/>
  <c r="F302" i="12"/>
  <c r="G303" i="12"/>
  <c r="D290" i="11"/>
  <c r="M291" i="11"/>
  <c r="O292" i="11" s="1"/>
  <c r="J292" i="11" s="1"/>
  <c r="C292" i="11" s="1"/>
  <c r="G292" i="11" s="1"/>
  <c r="M303" i="12"/>
  <c r="O304" i="12" s="1"/>
  <c r="E289" i="11"/>
  <c r="T395" i="11"/>
  <c r="R395" i="11" s="1"/>
  <c r="O370" i="15"/>
  <c r="E368" i="15"/>
  <c r="D369" i="15"/>
  <c r="O368" i="14"/>
  <c r="J368" i="14" s="1"/>
  <c r="C368" i="14" s="1"/>
  <c r="D367" i="14"/>
  <c r="F367" i="14" s="1"/>
  <c r="E366" i="14"/>
  <c r="D291" i="11" l="1"/>
  <c r="D303" i="12"/>
  <c r="B292" i="11"/>
  <c r="F290" i="11"/>
  <c r="E290" i="11" s="1"/>
  <c r="E302" i="12"/>
  <c r="M292" i="11"/>
  <c r="O293" i="11" s="1"/>
  <c r="J293" i="11" s="1"/>
  <c r="L292" i="11"/>
  <c r="D292" i="11"/>
  <c r="Q395" i="11"/>
  <c r="L368" i="14"/>
  <c r="F369" i="15"/>
  <c r="J370" i="15"/>
  <c r="M370" i="15"/>
  <c r="M368" i="14"/>
  <c r="O369" i="14" s="1"/>
  <c r="J369" i="14" s="1"/>
  <c r="C369" i="14" s="1"/>
  <c r="L370" i="15"/>
  <c r="E367" i="14"/>
  <c r="B368" i="14"/>
  <c r="F291" i="11" l="1"/>
  <c r="F292" i="11" s="1"/>
  <c r="J304" i="12"/>
  <c r="C304" i="12" s="1"/>
  <c r="L304" i="12"/>
  <c r="O305" i="12" s="1"/>
  <c r="F303" i="12"/>
  <c r="M304" i="12"/>
  <c r="L293" i="11"/>
  <c r="E291" i="11"/>
  <c r="T396" i="11"/>
  <c r="R396" i="11" s="1"/>
  <c r="B293" i="11"/>
  <c r="C293" i="11"/>
  <c r="M293" i="11"/>
  <c r="O371" i="15"/>
  <c r="J371" i="15" s="1"/>
  <c r="C370" i="15"/>
  <c r="B370" i="15"/>
  <c r="E369" i="15"/>
  <c r="G368" i="14"/>
  <c r="D368" i="14"/>
  <c r="L369" i="14"/>
  <c r="G369" i="14"/>
  <c r="B369" i="14"/>
  <c r="M369" i="14"/>
  <c r="B304" i="12" l="1"/>
  <c r="G304" i="12"/>
  <c r="E303" i="12"/>
  <c r="J305" i="12"/>
  <c r="C305" i="12" s="1"/>
  <c r="T397" i="11"/>
  <c r="R397" i="11" s="1"/>
  <c r="Q396" i="11"/>
  <c r="G293" i="11"/>
  <c r="D293" i="11"/>
  <c r="F293" i="11" s="1"/>
  <c r="O294" i="11"/>
  <c r="M294" i="11" s="1"/>
  <c r="E292" i="11"/>
  <c r="M371" i="15"/>
  <c r="L371" i="15"/>
  <c r="G370" i="15"/>
  <c r="D370" i="15"/>
  <c r="C371" i="15"/>
  <c r="G371" i="15" s="1"/>
  <c r="B371" i="15"/>
  <c r="O370" i="14"/>
  <c r="J370" i="14" s="1"/>
  <c r="C370" i="14" s="1"/>
  <c r="D369" i="14"/>
  <c r="F368" i="14"/>
  <c r="B305" i="12" l="1"/>
  <c r="O372" i="15"/>
  <c r="J372" i="15" s="1"/>
  <c r="C372" i="15" s="1"/>
  <c r="G372" i="15" s="1"/>
  <c r="D304" i="12"/>
  <c r="G305" i="12"/>
  <c r="L305" i="12"/>
  <c r="M305" i="12"/>
  <c r="O306" i="12" s="1"/>
  <c r="Q397" i="11"/>
  <c r="J294" i="11"/>
  <c r="L294" i="11"/>
  <c r="O295" i="11"/>
  <c r="J295" i="11" s="1"/>
  <c r="T398" i="11"/>
  <c r="R398" i="11" s="1"/>
  <c r="E293" i="11"/>
  <c r="B372" i="15"/>
  <c r="L372" i="15"/>
  <c r="D371" i="15"/>
  <c r="F370" i="15"/>
  <c r="F369" i="14"/>
  <c r="E368" i="14"/>
  <c r="B370" i="14"/>
  <c r="G370" i="14"/>
  <c r="L370" i="14"/>
  <c r="M370" i="14"/>
  <c r="M372" i="15" l="1"/>
  <c r="D305" i="12"/>
  <c r="J306" i="12"/>
  <c r="C306" i="12" s="1"/>
  <c r="F304" i="12"/>
  <c r="L306" i="12"/>
  <c r="Q398" i="11"/>
  <c r="T399" i="11" s="1"/>
  <c r="R399" i="11" s="1"/>
  <c r="D372" i="15"/>
  <c r="C295" i="11"/>
  <c r="G295" i="11" s="1"/>
  <c r="B295" i="11"/>
  <c r="M295" i="11"/>
  <c r="L295" i="11"/>
  <c r="B294" i="11"/>
  <c r="C294" i="11"/>
  <c r="F371" i="15"/>
  <c r="E370" i="15"/>
  <c r="O373" i="15"/>
  <c r="J373" i="15" s="1"/>
  <c r="O371" i="14"/>
  <c r="J371" i="14" s="1"/>
  <c r="C371" i="14" s="1"/>
  <c r="D370" i="14"/>
  <c r="F370" i="14" s="1"/>
  <c r="E369" i="14"/>
  <c r="B306" i="12" l="1"/>
  <c r="F305" i="12"/>
  <c r="E304" i="12"/>
  <c r="G306" i="12"/>
  <c r="M306" i="12"/>
  <c r="O307" i="12" s="1"/>
  <c r="O296" i="11"/>
  <c r="J296" i="11" s="1"/>
  <c r="Q399" i="11"/>
  <c r="G294" i="11"/>
  <c r="D294" i="11"/>
  <c r="C373" i="15"/>
  <c r="B373" i="15"/>
  <c r="L373" i="15"/>
  <c r="M373" i="15"/>
  <c r="E371" i="15"/>
  <c r="F372" i="15"/>
  <c r="E370" i="14"/>
  <c r="G371" i="14"/>
  <c r="B371" i="14"/>
  <c r="L371" i="14"/>
  <c r="M371" i="14"/>
  <c r="D306" i="12" l="1"/>
  <c r="E305" i="12"/>
  <c r="F306" i="12"/>
  <c r="L296" i="11"/>
  <c r="T400" i="11"/>
  <c r="R400" i="11" s="1"/>
  <c r="D295" i="11"/>
  <c r="F294" i="11"/>
  <c r="C296" i="11"/>
  <c r="G296" i="11" s="1"/>
  <c r="B296" i="11"/>
  <c r="M296" i="11"/>
  <c r="E372" i="15"/>
  <c r="O374" i="15"/>
  <c r="J374" i="15" s="1"/>
  <c r="G373" i="15"/>
  <c r="D373" i="15"/>
  <c r="O372" i="14"/>
  <c r="J372" i="14" s="1"/>
  <c r="C372" i="14" s="1"/>
  <c r="D371" i="14"/>
  <c r="E306" i="12" l="1"/>
  <c r="J307" i="12"/>
  <c r="C307" i="12" s="1"/>
  <c r="L307" i="12"/>
  <c r="M307" i="12"/>
  <c r="O308" i="12" s="1"/>
  <c r="E294" i="11"/>
  <c r="F295" i="11"/>
  <c r="D296" i="11"/>
  <c r="O297" i="11"/>
  <c r="Q400" i="11"/>
  <c r="L374" i="15"/>
  <c r="C374" i="15"/>
  <c r="G374" i="15" s="1"/>
  <c r="B374" i="15"/>
  <c r="M374" i="15"/>
  <c r="F373" i="15"/>
  <c r="F371" i="14"/>
  <c r="B372" i="14"/>
  <c r="G372" i="14"/>
  <c r="L372" i="14"/>
  <c r="M372" i="14"/>
  <c r="B307" i="12" l="1"/>
  <c r="J308" i="12"/>
  <c r="C308" i="12" s="1"/>
  <c r="M308" i="12"/>
  <c r="L308" i="12"/>
  <c r="O309" i="12" s="1"/>
  <c r="G307" i="12"/>
  <c r="T401" i="11"/>
  <c r="R401" i="11" s="1"/>
  <c r="J297" i="11"/>
  <c r="L297" i="11"/>
  <c r="M297" i="11"/>
  <c r="E295" i="11"/>
  <c r="F296" i="11"/>
  <c r="E373" i="15"/>
  <c r="O375" i="15"/>
  <c r="J375" i="15" s="1"/>
  <c r="D374" i="15"/>
  <c r="O373" i="14"/>
  <c r="J373" i="14" s="1"/>
  <c r="C373" i="14" s="1"/>
  <c r="E371" i="14"/>
  <c r="D372" i="14"/>
  <c r="B308" i="12" l="1"/>
  <c r="G308" i="12"/>
  <c r="D307" i="12"/>
  <c r="J309" i="12"/>
  <c r="C309" i="12" s="1"/>
  <c r="O298" i="11"/>
  <c r="J298" i="11" s="1"/>
  <c r="C297" i="11"/>
  <c r="B297" i="11"/>
  <c r="E296" i="11"/>
  <c r="Q401" i="11"/>
  <c r="C375" i="15"/>
  <c r="G375" i="15" s="1"/>
  <c r="B375" i="15"/>
  <c r="L375" i="15"/>
  <c r="M375" i="15"/>
  <c r="F374" i="15"/>
  <c r="F372" i="14"/>
  <c r="G373" i="14"/>
  <c r="B373" i="14"/>
  <c r="L373" i="14"/>
  <c r="M373" i="14"/>
  <c r="B309" i="12" l="1"/>
  <c r="D308" i="12"/>
  <c r="M309" i="12"/>
  <c r="G309" i="12"/>
  <c r="L309" i="12"/>
  <c r="O310" i="12" s="1"/>
  <c r="F307" i="12"/>
  <c r="L298" i="11"/>
  <c r="G297" i="11"/>
  <c r="D297" i="11"/>
  <c r="C298" i="11"/>
  <c r="G298" i="11" s="1"/>
  <c r="B298" i="11"/>
  <c r="T402" i="11"/>
  <c r="R402" i="11" s="1"/>
  <c r="M298" i="11"/>
  <c r="E374" i="15"/>
  <c r="O376" i="15"/>
  <c r="J376" i="15" s="1"/>
  <c r="D375" i="15"/>
  <c r="O374" i="14"/>
  <c r="J374" i="14" s="1"/>
  <c r="C374" i="14" s="1"/>
  <c r="E372" i="14"/>
  <c r="D373" i="14"/>
  <c r="D309" i="12" l="1"/>
  <c r="E307" i="12"/>
  <c r="F308" i="12"/>
  <c r="J310" i="12"/>
  <c r="C310" i="12" s="1"/>
  <c r="Q402" i="11"/>
  <c r="O299" i="11"/>
  <c r="D298" i="11"/>
  <c r="F297" i="11"/>
  <c r="L376" i="15"/>
  <c r="C376" i="15"/>
  <c r="G376" i="15" s="1"/>
  <c r="B376" i="15"/>
  <c r="M376" i="15"/>
  <c r="F375" i="15"/>
  <c r="F373" i="14"/>
  <c r="B374" i="14"/>
  <c r="G374" i="14"/>
  <c r="L374" i="14"/>
  <c r="M374" i="14"/>
  <c r="B310" i="12" l="1"/>
  <c r="G310" i="12"/>
  <c r="M310" i="12"/>
  <c r="O311" i="12" s="1"/>
  <c r="L310" i="12"/>
  <c r="E308" i="12"/>
  <c r="F309" i="12"/>
  <c r="E297" i="11"/>
  <c r="F298" i="11"/>
  <c r="J299" i="11"/>
  <c r="L299" i="11"/>
  <c r="M299" i="11"/>
  <c r="T403" i="11"/>
  <c r="R403" i="11" s="1"/>
  <c r="E375" i="15"/>
  <c r="O377" i="15"/>
  <c r="J377" i="15" s="1"/>
  <c r="D376" i="15"/>
  <c r="O375" i="14"/>
  <c r="J375" i="14" s="1"/>
  <c r="C375" i="14" s="1"/>
  <c r="E373" i="14"/>
  <c r="D374" i="14"/>
  <c r="D310" i="12" l="1"/>
  <c r="E309" i="12"/>
  <c r="J311" i="12"/>
  <c r="C311" i="12" s="1"/>
  <c r="M311" i="12"/>
  <c r="O312" i="12" s="1"/>
  <c r="Q403" i="11"/>
  <c r="O300" i="11"/>
  <c r="J300" i="11" s="1"/>
  <c r="C299" i="11"/>
  <c r="B299" i="11"/>
  <c r="E298" i="11"/>
  <c r="L377" i="15"/>
  <c r="C377" i="15"/>
  <c r="G377" i="15" s="1"/>
  <c r="B377" i="15"/>
  <c r="M377" i="15"/>
  <c r="F376" i="15"/>
  <c r="F374" i="14"/>
  <c r="G375" i="14"/>
  <c r="B375" i="14"/>
  <c r="L375" i="14"/>
  <c r="M375" i="14"/>
  <c r="B311" i="12" l="1"/>
  <c r="G311" i="12"/>
  <c r="J312" i="12"/>
  <c r="C312" i="12" s="1"/>
  <c r="L311" i="12"/>
  <c r="L312" i="12" s="1"/>
  <c r="F310" i="12"/>
  <c r="G299" i="11"/>
  <c r="D299" i="11"/>
  <c r="L300" i="11"/>
  <c r="C300" i="11"/>
  <c r="G300" i="11" s="1"/>
  <c r="B300" i="11"/>
  <c r="M300" i="11"/>
  <c r="T404" i="11"/>
  <c r="R404" i="11" s="1"/>
  <c r="E376" i="15"/>
  <c r="O378" i="15"/>
  <c r="J378" i="15" s="1"/>
  <c r="D377" i="15"/>
  <c r="O376" i="14"/>
  <c r="J376" i="14" s="1"/>
  <c r="C376" i="14" s="1"/>
  <c r="E374" i="14"/>
  <c r="D375" i="14"/>
  <c r="B312" i="12" l="1"/>
  <c r="D311" i="12"/>
  <c r="F311" i="12" s="1"/>
  <c r="M312" i="12"/>
  <c r="O313" i="12" s="1"/>
  <c r="E310" i="12"/>
  <c r="G312" i="12"/>
  <c r="Q404" i="11"/>
  <c r="O301" i="11"/>
  <c r="J301" i="11" s="1"/>
  <c r="D300" i="11"/>
  <c r="F299" i="11"/>
  <c r="L378" i="15"/>
  <c r="C378" i="15"/>
  <c r="G378" i="15" s="1"/>
  <c r="B378" i="15"/>
  <c r="M378" i="15"/>
  <c r="F377" i="15"/>
  <c r="F375" i="14"/>
  <c r="B376" i="14"/>
  <c r="G376" i="14"/>
  <c r="L376" i="14"/>
  <c r="M376" i="14"/>
  <c r="D312" i="12" l="1"/>
  <c r="E311" i="12"/>
  <c r="L301" i="11"/>
  <c r="O302" i="11" s="1"/>
  <c r="J302" i="11" s="1"/>
  <c r="E299" i="11"/>
  <c r="F300" i="11"/>
  <c r="C301" i="11"/>
  <c r="G301" i="11" s="1"/>
  <c r="B301" i="11"/>
  <c r="M301" i="11"/>
  <c r="T405" i="11"/>
  <c r="R405" i="11" s="1"/>
  <c r="E377" i="15"/>
  <c r="O379" i="15"/>
  <c r="J379" i="15" s="1"/>
  <c r="D378" i="15"/>
  <c r="O377" i="14"/>
  <c r="J377" i="14" s="1"/>
  <c r="C377" i="14" s="1"/>
  <c r="E375" i="14"/>
  <c r="D376" i="14"/>
  <c r="J313" i="12" l="1"/>
  <c r="C313" i="12" s="1"/>
  <c r="L313" i="12"/>
  <c r="O314" i="12" s="1"/>
  <c r="M313" i="12"/>
  <c r="F312" i="12"/>
  <c r="M302" i="11"/>
  <c r="L302" i="11"/>
  <c r="O303" i="11" s="1"/>
  <c r="J303" i="11" s="1"/>
  <c r="C302" i="11"/>
  <c r="G302" i="11" s="1"/>
  <c r="B302" i="11"/>
  <c r="D301" i="11"/>
  <c r="E300" i="11"/>
  <c r="Q405" i="11"/>
  <c r="L379" i="15"/>
  <c r="C379" i="15"/>
  <c r="G379" i="15" s="1"/>
  <c r="B379" i="15"/>
  <c r="M379" i="15"/>
  <c r="F378" i="15"/>
  <c r="F376" i="14"/>
  <c r="G377" i="14"/>
  <c r="B377" i="14"/>
  <c r="L377" i="14"/>
  <c r="M377" i="14"/>
  <c r="B313" i="12" l="1"/>
  <c r="E312" i="12"/>
  <c r="J314" i="12"/>
  <c r="C314" i="12" s="1"/>
  <c r="G313" i="12"/>
  <c r="D302" i="11"/>
  <c r="L303" i="11"/>
  <c r="O304" i="11" s="1"/>
  <c r="J304" i="11" s="1"/>
  <c r="F301" i="11"/>
  <c r="E301" i="11" s="1"/>
  <c r="T406" i="11"/>
  <c r="R406" i="11" s="1"/>
  <c r="C303" i="11"/>
  <c r="G303" i="11" s="1"/>
  <c r="B303" i="11"/>
  <c r="M303" i="11"/>
  <c r="E378" i="15"/>
  <c r="O380" i="15"/>
  <c r="J380" i="15" s="1"/>
  <c r="D379" i="15"/>
  <c r="O378" i="14"/>
  <c r="J378" i="14" s="1"/>
  <c r="C378" i="14" s="1"/>
  <c r="E376" i="14"/>
  <c r="D377" i="14"/>
  <c r="B314" i="12" l="1"/>
  <c r="G314" i="12"/>
  <c r="D313" i="12"/>
  <c r="L314" i="12"/>
  <c r="M314" i="12"/>
  <c r="O315" i="12" s="1"/>
  <c r="F302" i="11"/>
  <c r="E302" i="11" s="1"/>
  <c r="D303" i="11"/>
  <c r="Q406" i="11"/>
  <c r="L304" i="11"/>
  <c r="C304" i="11"/>
  <c r="G304" i="11" s="1"/>
  <c r="B304" i="11"/>
  <c r="M304" i="11"/>
  <c r="C380" i="15"/>
  <c r="G380" i="15" s="1"/>
  <c r="B380" i="15"/>
  <c r="L380" i="15"/>
  <c r="M380" i="15"/>
  <c r="F379" i="15"/>
  <c r="F377" i="14"/>
  <c r="B378" i="14"/>
  <c r="G378" i="14"/>
  <c r="L378" i="14"/>
  <c r="M378" i="14"/>
  <c r="D314" i="12" l="1"/>
  <c r="J315" i="12"/>
  <c r="C315" i="12" s="1"/>
  <c r="L315" i="12"/>
  <c r="F313" i="12"/>
  <c r="F303" i="11"/>
  <c r="E303" i="11" s="1"/>
  <c r="O305" i="11"/>
  <c r="J305" i="11" s="1"/>
  <c r="T407" i="11"/>
  <c r="R407" i="11" s="1"/>
  <c r="D304" i="11"/>
  <c r="E379" i="15"/>
  <c r="O381" i="15"/>
  <c r="J381" i="15" s="1"/>
  <c r="D380" i="15"/>
  <c r="O379" i="14"/>
  <c r="J379" i="14" s="1"/>
  <c r="C379" i="14" s="1"/>
  <c r="E377" i="14"/>
  <c r="D378" i="14"/>
  <c r="B315" i="12" l="1"/>
  <c r="E313" i="12"/>
  <c r="F314" i="12"/>
  <c r="G315" i="12"/>
  <c r="M315" i="12"/>
  <c r="O316" i="12" s="1"/>
  <c r="M305" i="11"/>
  <c r="Q407" i="11"/>
  <c r="C305" i="11"/>
  <c r="G305" i="11" s="1"/>
  <c r="B305" i="11"/>
  <c r="L305" i="11"/>
  <c r="F304" i="11"/>
  <c r="L381" i="15"/>
  <c r="C381" i="15"/>
  <c r="G381" i="15" s="1"/>
  <c r="B381" i="15"/>
  <c r="M381" i="15"/>
  <c r="F380" i="15"/>
  <c r="L379" i="14"/>
  <c r="F378" i="14"/>
  <c r="G379" i="14"/>
  <c r="B379" i="14"/>
  <c r="M379" i="14"/>
  <c r="D315" i="12" l="1"/>
  <c r="F315" i="12" s="1"/>
  <c r="M316" i="12"/>
  <c r="E314" i="12"/>
  <c r="O306" i="11"/>
  <c r="J306" i="11" s="1"/>
  <c r="B306" i="11" s="1"/>
  <c r="D305" i="11"/>
  <c r="F305" i="11" s="1"/>
  <c r="T408" i="11"/>
  <c r="R408" i="11" s="1"/>
  <c r="E304" i="11"/>
  <c r="E380" i="15"/>
  <c r="O382" i="15"/>
  <c r="J382" i="15" s="1"/>
  <c r="D381" i="15"/>
  <c r="O380" i="14"/>
  <c r="J380" i="14" s="1"/>
  <c r="C380" i="14" s="1"/>
  <c r="E378" i="14"/>
  <c r="D379" i="14"/>
  <c r="L306" i="11" l="1"/>
  <c r="O307" i="11" s="1"/>
  <c r="J307" i="11" s="1"/>
  <c r="E315" i="12"/>
  <c r="C306" i="11"/>
  <c r="G306" i="11" s="1"/>
  <c r="M306" i="11"/>
  <c r="J316" i="12"/>
  <c r="C316" i="12" s="1"/>
  <c r="L316" i="12"/>
  <c r="O317" i="12" s="1"/>
  <c r="Q408" i="11"/>
  <c r="E305" i="11"/>
  <c r="L382" i="15"/>
  <c r="C382" i="15"/>
  <c r="G382" i="15" s="1"/>
  <c r="B382" i="15"/>
  <c r="M382" i="15"/>
  <c r="F381" i="15"/>
  <c r="G380" i="14"/>
  <c r="L380" i="14"/>
  <c r="D380" i="14"/>
  <c r="B380" i="14"/>
  <c r="M380" i="14"/>
  <c r="O381" i="14" s="1"/>
  <c r="J381" i="14" s="1"/>
  <c r="C381" i="14" s="1"/>
  <c r="F379" i="14"/>
  <c r="B316" i="12" l="1"/>
  <c r="G316" i="12"/>
  <c r="D306" i="11"/>
  <c r="F306" i="11" s="1"/>
  <c r="L307" i="11"/>
  <c r="C307" i="11"/>
  <c r="G307" i="11" s="1"/>
  <c r="B307" i="11"/>
  <c r="M307" i="11"/>
  <c r="T409" i="11"/>
  <c r="R409" i="11" s="1"/>
  <c r="E381" i="15"/>
  <c r="O383" i="15"/>
  <c r="J383" i="15" s="1"/>
  <c r="D382" i="15"/>
  <c r="G381" i="14"/>
  <c r="B381" i="14"/>
  <c r="M381" i="14"/>
  <c r="L381" i="14"/>
  <c r="D381" i="14"/>
  <c r="F380" i="14"/>
  <c r="E379" i="14"/>
  <c r="D316" i="12" l="1"/>
  <c r="J317" i="12"/>
  <c r="C317" i="12" s="1"/>
  <c r="M317" i="12"/>
  <c r="L317" i="12"/>
  <c r="O318" i="12" s="1"/>
  <c r="D307" i="11"/>
  <c r="F307" i="11" s="1"/>
  <c r="E306" i="11"/>
  <c r="Q409" i="11"/>
  <c r="O308" i="11"/>
  <c r="O382" i="14"/>
  <c r="J382" i="14" s="1"/>
  <c r="C382" i="14" s="1"/>
  <c r="G382" i="14" s="1"/>
  <c r="L383" i="15"/>
  <c r="C383" i="15"/>
  <c r="G383" i="15" s="1"/>
  <c r="B383" i="15"/>
  <c r="M383" i="15"/>
  <c r="F382" i="15"/>
  <c r="F381" i="14"/>
  <c r="E380" i="14"/>
  <c r="B317" i="12" l="1"/>
  <c r="J318" i="12"/>
  <c r="C318" i="12" s="1"/>
  <c r="M318" i="12"/>
  <c r="G317" i="12"/>
  <c r="F316" i="12"/>
  <c r="L382" i="14"/>
  <c r="J308" i="11"/>
  <c r="L308" i="11"/>
  <c r="M308" i="11"/>
  <c r="T410" i="11"/>
  <c r="R410" i="11" s="1"/>
  <c r="E307" i="11"/>
  <c r="D382" i="14"/>
  <c r="F382" i="14" s="1"/>
  <c r="B382" i="14"/>
  <c r="M382" i="14"/>
  <c r="E382" i="15"/>
  <c r="O384" i="15"/>
  <c r="J384" i="15" s="1"/>
  <c r="D383" i="15"/>
  <c r="E381" i="14"/>
  <c r="B318" i="12" l="1"/>
  <c r="D317" i="12"/>
  <c r="G318" i="12"/>
  <c r="E316" i="12"/>
  <c r="F317" i="12"/>
  <c r="L318" i="12"/>
  <c r="O319" i="12" s="1"/>
  <c r="O383" i="14"/>
  <c r="J383" i="14" s="1"/>
  <c r="C383" i="14" s="1"/>
  <c r="G383" i="14" s="1"/>
  <c r="Q410" i="11"/>
  <c r="O309" i="11"/>
  <c r="J309" i="11" s="1"/>
  <c r="C308" i="11"/>
  <c r="B308" i="11"/>
  <c r="C384" i="15"/>
  <c r="G384" i="15" s="1"/>
  <c r="B384" i="15"/>
  <c r="L384" i="15"/>
  <c r="M384" i="15"/>
  <c r="F383" i="15"/>
  <c r="E382" i="14"/>
  <c r="D318" i="12" l="1"/>
  <c r="E317" i="12"/>
  <c r="D383" i="14"/>
  <c r="B383" i="14"/>
  <c r="M383" i="14"/>
  <c r="F318" i="12"/>
  <c r="L383" i="14"/>
  <c r="G308" i="11"/>
  <c r="D308" i="11"/>
  <c r="C309" i="11"/>
  <c r="G309" i="11" s="1"/>
  <c r="B309" i="11"/>
  <c r="L309" i="11"/>
  <c r="M309" i="11"/>
  <c r="T411" i="11"/>
  <c r="R411" i="11" s="1"/>
  <c r="E383" i="15"/>
  <c r="O385" i="15"/>
  <c r="J385" i="15" s="1"/>
  <c r="D384" i="15"/>
  <c r="F383" i="14"/>
  <c r="E318" i="12" l="1"/>
  <c r="J319" i="12"/>
  <c r="C319" i="12" s="1"/>
  <c r="M319" i="12"/>
  <c r="O384" i="14"/>
  <c r="L319" i="12"/>
  <c r="O320" i="12" s="1"/>
  <c r="O310" i="11"/>
  <c r="J310" i="11" s="1"/>
  <c r="Q411" i="11"/>
  <c r="D309" i="11"/>
  <c r="F308" i="11"/>
  <c r="C385" i="15"/>
  <c r="G385" i="15" s="1"/>
  <c r="B385" i="15"/>
  <c r="L385" i="15"/>
  <c r="M385" i="15"/>
  <c r="F384" i="15"/>
  <c r="E383" i="14"/>
  <c r="B319" i="12" l="1"/>
  <c r="J320" i="12"/>
  <c r="C320" i="12" s="1"/>
  <c r="J384" i="14"/>
  <c r="M384" i="14"/>
  <c r="O385" i="14" s="1"/>
  <c r="J385" i="14" s="1"/>
  <c r="C385" i="14" s="1"/>
  <c r="G385" i="14" s="1"/>
  <c r="L384" i="14"/>
  <c r="M320" i="12"/>
  <c r="G319" i="12"/>
  <c r="L310" i="11"/>
  <c r="T412" i="11"/>
  <c r="R412" i="11" s="1"/>
  <c r="F309" i="11"/>
  <c r="E308" i="11"/>
  <c r="C310" i="11"/>
  <c r="G310" i="11" s="1"/>
  <c r="B310" i="11"/>
  <c r="M310" i="11"/>
  <c r="E384" i="15"/>
  <c r="O386" i="15"/>
  <c r="J386" i="15" s="1"/>
  <c r="D385" i="15"/>
  <c r="F384" i="14"/>
  <c r="B320" i="12" l="1"/>
  <c r="G320" i="12"/>
  <c r="L385" i="14"/>
  <c r="D319" i="12"/>
  <c r="B385" i="14"/>
  <c r="M385" i="14"/>
  <c r="O386" i="14" s="1"/>
  <c r="J386" i="14" s="1"/>
  <c r="C386" i="14" s="1"/>
  <c r="C384" i="14"/>
  <c r="B384" i="14"/>
  <c r="L320" i="12"/>
  <c r="O321" i="12" s="1"/>
  <c r="O311" i="11"/>
  <c r="J311" i="11" s="1"/>
  <c r="C311" i="11" s="1"/>
  <c r="G311" i="11" s="1"/>
  <c r="E309" i="11"/>
  <c r="Q412" i="11"/>
  <c r="D310" i="11"/>
  <c r="C386" i="15"/>
  <c r="G386" i="15" s="1"/>
  <c r="B386" i="15"/>
  <c r="L386" i="15"/>
  <c r="M386" i="15"/>
  <c r="F385" i="15"/>
  <c r="D320" i="12" l="1"/>
  <c r="M311" i="11"/>
  <c r="L311" i="11"/>
  <c r="G384" i="14"/>
  <c r="D384" i="14"/>
  <c r="F319" i="12"/>
  <c r="B311" i="11"/>
  <c r="D311" i="11"/>
  <c r="F310" i="11"/>
  <c r="T413" i="11"/>
  <c r="R413" i="11" s="1"/>
  <c r="O312" i="11"/>
  <c r="J312" i="11" s="1"/>
  <c r="E385" i="15"/>
  <c r="O387" i="15"/>
  <c r="J387" i="15" s="1"/>
  <c r="D386" i="15"/>
  <c r="M386" i="14"/>
  <c r="G386" i="14"/>
  <c r="B386" i="14"/>
  <c r="L386" i="14"/>
  <c r="F385" i="14"/>
  <c r="E319" i="12" l="1"/>
  <c r="F320" i="12"/>
  <c r="E384" i="14"/>
  <c r="D385" i="14"/>
  <c r="E385" i="14" s="1"/>
  <c r="J321" i="12"/>
  <c r="C321" i="12" s="1"/>
  <c r="M321" i="12"/>
  <c r="L321" i="12"/>
  <c r="O322" i="12" s="1"/>
  <c r="L312" i="11"/>
  <c r="C312" i="11"/>
  <c r="B312" i="11"/>
  <c r="Q413" i="11"/>
  <c r="F311" i="11"/>
  <c r="E310" i="11"/>
  <c r="M312" i="11"/>
  <c r="L387" i="15"/>
  <c r="C387" i="15"/>
  <c r="G387" i="15" s="1"/>
  <c r="B387" i="15"/>
  <c r="M387" i="15"/>
  <c r="F386" i="15"/>
  <c r="O387" i="14"/>
  <c r="J387" i="14" s="1"/>
  <c r="C387" i="14" s="1"/>
  <c r="B321" i="12" l="1"/>
  <c r="G321" i="12"/>
  <c r="D386" i="14"/>
  <c r="J322" i="12"/>
  <c r="C322" i="12" s="1"/>
  <c r="E320" i="12"/>
  <c r="E311" i="11"/>
  <c r="T414" i="11"/>
  <c r="R414" i="11" s="1"/>
  <c r="G312" i="11"/>
  <c r="D312" i="11"/>
  <c r="O313" i="11"/>
  <c r="J313" i="11" s="1"/>
  <c r="E386" i="15"/>
  <c r="O388" i="15"/>
  <c r="J388" i="15" s="1"/>
  <c r="D387" i="15"/>
  <c r="M387" i="14"/>
  <c r="B387" i="14"/>
  <c r="G387" i="14"/>
  <c r="L387" i="14"/>
  <c r="F386" i="14"/>
  <c r="B322" i="12" l="1"/>
  <c r="D321" i="12"/>
  <c r="G322" i="12"/>
  <c r="L322" i="12"/>
  <c r="M322" i="12"/>
  <c r="O323" i="12" s="1"/>
  <c r="L313" i="11"/>
  <c r="M313" i="11"/>
  <c r="Q414" i="11"/>
  <c r="C313" i="11"/>
  <c r="G313" i="11" s="1"/>
  <c r="B313" i="11"/>
  <c r="F312" i="11"/>
  <c r="C388" i="15"/>
  <c r="G388" i="15" s="1"/>
  <c r="B388" i="15"/>
  <c r="L388" i="15"/>
  <c r="M388" i="15"/>
  <c r="F387" i="15"/>
  <c r="E386" i="14"/>
  <c r="O388" i="14"/>
  <c r="J388" i="14" s="1"/>
  <c r="C388" i="14" s="1"/>
  <c r="D387" i="14"/>
  <c r="D322" i="12" l="1"/>
  <c r="J323" i="12"/>
  <c r="C323" i="12" s="1"/>
  <c r="F321" i="12"/>
  <c r="L323" i="12"/>
  <c r="O314" i="11"/>
  <c r="J314" i="11" s="1"/>
  <c r="B314" i="11" s="1"/>
  <c r="T415" i="11"/>
  <c r="R415" i="11" s="1"/>
  <c r="E312" i="11"/>
  <c r="D313" i="11"/>
  <c r="E387" i="15"/>
  <c r="O389" i="15"/>
  <c r="J389" i="15" s="1"/>
  <c r="D388" i="15"/>
  <c r="M388" i="14"/>
  <c r="B388" i="14"/>
  <c r="G388" i="14"/>
  <c r="L388" i="14"/>
  <c r="D388" i="14"/>
  <c r="F387" i="14"/>
  <c r="B323" i="12" l="1"/>
  <c r="G323" i="12"/>
  <c r="F322" i="12"/>
  <c r="E321" i="12"/>
  <c r="L314" i="11"/>
  <c r="M323" i="12"/>
  <c r="O324" i="12" s="1"/>
  <c r="C314" i="11"/>
  <c r="G314" i="11" s="1"/>
  <c r="M314" i="11"/>
  <c r="O315" i="11" s="1"/>
  <c r="F313" i="11"/>
  <c r="E313" i="11" s="1"/>
  <c r="Q415" i="11"/>
  <c r="C389" i="15"/>
  <c r="G389" i="15" s="1"/>
  <c r="B389" i="15"/>
  <c r="L389" i="15"/>
  <c r="M389" i="15"/>
  <c r="F388" i="15"/>
  <c r="F388" i="14"/>
  <c r="E387" i="14"/>
  <c r="O389" i="14"/>
  <c r="J389" i="14" s="1"/>
  <c r="C389" i="14" s="1"/>
  <c r="D323" i="12" l="1"/>
  <c r="M324" i="12"/>
  <c r="D314" i="11"/>
  <c r="E322" i="12"/>
  <c r="F323" i="12"/>
  <c r="F314" i="11"/>
  <c r="E314" i="11" s="1"/>
  <c r="T416" i="11"/>
  <c r="R416" i="11" s="1"/>
  <c r="J315" i="11"/>
  <c r="M315" i="11"/>
  <c r="L315" i="11"/>
  <c r="E388" i="15"/>
  <c r="O390" i="15"/>
  <c r="J390" i="15" s="1"/>
  <c r="D389" i="15"/>
  <c r="M389" i="14"/>
  <c r="O390" i="14" s="1"/>
  <c r="J390" i="14" s="1"/>
  <c r="C390" i="14" s="1"/>
  <c r="B389" i="14"/>
  <c r="L389" i="14"/>
  <c r="E388" i="14"/>
  <c r="E323" i="12" l="1"/>
  <c r="J324" i="12"/>
  <c r="C324" i="12" s="1"/>
  <c r="L324" i="12"/>
  <c r="O316" i="11"/>
  <c r="J316" i="11" s="1"/>
  <c r="B315" i="11"/>
  <c r="C315" i="11"/>
  <c r="Q416" i="11"/>
  <c r="L390" i="15"/>
  <c r="C390" i="15"/>
  <c r="G390" i="15" s="1"/>
  <c r="B390" i="15"/>
  <c r="M390" i="15"/>
  <c r="F389" i="15"/>
  <c r="L390" i="14"/>
  <c r="M390" i="14"/>
  <c r="O391" i="14" s="1"/>
  <c r="J391" i="14" s="1"/>
  <c r="C391" i="14" s="1"/>
  <c r="G389" i="14"/>
  <c r="D389" i="14"/>
  <c r="G390" i="14"/>
  <c r="B390" i="14"/>
  <c r="B324" i="12" l="1"/>
  <c r="O325" i="12"/>
  <c r="J325" i="12" s="1"/>
  <c r="C325" i="12" s="1"/>
  <c r="G324" i="12"/>
  <c r="M316" i="11"/>
  <c r="T417" i="11"/>
  <c r="R417" i="11" s="1"/>
  <c r="G315" i="11"/>
  <c r="D315" i="11"/>
  <c r="B316" i="11"/>
  <c r="C316" i="11"/>
  <c r="G316" i="11" s="1"/>
  <c r="L316" i="11"/>
  <c r="E389" i="15"/>
  <c r="O391" i="15"/>
  <c r="J391" i="15" s="1"/>
  <c r="D390" i="15"/>
  <c r="B391" i="14"/>
  <c r="G391" i="14"/>
  <c r="M391" i="14"/>
  <c r="D390" i="14"/>
  <c r="D391" i="14" s="1"/>
  <c r="F389" i="14"/>
  <c r="L391" i="14"/>
  <c r="M325" i="12" l="1"/>
  <c r="B325" i="12"/>
  <c r="G325" i="12"/>
  <c r="L325" i="12"/>
  <c r="O326" i="12" s="1"/>
  <c r="J326" i="12" s="1"/>
  <c r="C326" i="12" s="1"/>
  <c r="D324" i="12"/>
  <c r="D325" i="12" s="1"/>
  <c r="D316" i="11"/>
  <c r="F315" i="11"/>
  <c r="O317" i="11"/>
  <c r="Q417" i="11"/>
  <c r="L391" i="15"/>
  <c r="M391" i="15"/>
  <c r="O392" i="15" s="1"/>
  <c r="J392" i="15" s="1"/>
  <c r="C391" i="15"/>
  <c r="G391" i="15" s="1"/>
  <c r="B391" i="15"/>
  <c r="F390" i="15"/>
  <c r="F390" i="14"/>
  <c r="E389" i="14"/>
  <c r="O392" i="14"/>
  <c r="J392" i="14" s="1"/>
  <c r="C392" i="14" s="1"/>
  <c r="B326" i="12" l="1"/>
  <c r="L326" i="12"/>
  <c r="O327" i="12" s="1"/>
  <c r="G326" i="12"/>
  <c r="M326" i="12"/>
  <c r="D326" i="12"/>
  <c r="F324" i="12"/>
  <c r="T418" i="11"/>
  <c r="R418" i="11" s="1"/>
  <c r="J317" i="11"/>
  <c r="M317" i="11"/>
  <c r="L317" i="11"/>
  <c r="E315" i="11"/>
  <c r="F316" i="11"/>
  <c r="E390" i="15"/>
  <c r="C392" i="15"/>
  <c r="G392" i="15" s="1"/>
  <c r="B392" i="15"/>
  <c r="M392" i="15"/>
  <c r="L392" i="15"/>
  <c r="D391" i="15"/>
  <c r="M392" i="14"/>
  <c r="F391" i="14"/>
  <c r="E390" i="14"/>
  <c r="B392" i="14"/>
  <c r="L392" i="14"/>
  <c r="E324" i="12" l="1"/>
  <c r="F325" i="12"/>
  <c r="J327" i="12"/>
  <c r="C327" i="12" s="1"/>
  <c r="M327" i="12"/>
  <c r="L327" i="12"/>
  <c r="O328" i="12" s="1"/>
  <c r="E316" i="11"/>
  <c r="O318" i="11"/>
  <c r="J318" i="11" s="1"/>
  <c r="B317" i="11"/>
  <c r="C317" i="11"/>
  <c r="Q418" i="11"/>
  <c r="D392" i="15"/>
  <c r="O393" i="15"/>
  <c r="J393" i="15" s="1"/>
  <c r="F391" i="15"/>
  <c r="G392" i="14"/>
  <c r="D392" i="14"/>
  <c r="F392" i="14" s="1"/>
  <c r="E391" i="14"/>
  <c r="O393" i="14"/>
  <c r="J393" i="14" s="1"/>
  <c r="C393" i="14" s="1"/>
  <c r="B327" i="12" l="1"/>
  <c r="G327" i="12"/>
  <c r="J328" i="12"/>
  <c r="C328" i="12" s="1"/>
  <c r="M328" i="12"/>
  <c r="F326" i="12"/>
  <c r="E325" i="12"/>
  <c r="G317" i="11"/>
  <c r="D317" i="11"/>
  <c r="M318" i="11"/>
  <c r="B318" i="11"/>
  <c r="C318" i="11"/>
  <c r="G318" i="11" s="1"/>
  <c r="L318" i="11"/>
  <c r="T419" i="11"/>
  <c r="R419" i="11" s="1"/>
  <c r="F392" i="15"/>
  <c r="E391" i="15"/>
  <c r="C393" i="15"/>
  <c r="B393" i="15"/>
  <c r="M393" i="15"/>
  <c r="L393" i="15"/>
  <c r="G393" i="14"/>
  <c r="B393" i="14"/>
  <c r="M393" i="14"/>
  <c r="E392" i="14"/>
  <c r="D393" i="14"/>
  <c r="L393" i="14"/>
  <c r="B328" i="12" l="1"/>
  <c r="D327" i="12"/>
  <c r="E326" i="12"/>
  <c r="G328" i="12"/>
  <c r="L328" i="12"/>
  <c r="O329" i="12" s="1"/>
  <c r="Q419" i="11"/>
  <c r="O319" i="11"/>
  <c r="J319" i="11" s="1"/>
  <c r="D318" i="11"/>
  <c r="F317" i="11"/>
  <c r="O394" i="15"/>
  <c r="J394" i="15" s="1"/>
  <c r="G393" i="15"/>
  <c r="D393" i="15"/>
  <c r="F393" i="15" s="1"/>
  <c r="E392" i="15"/>
  <c r="F393" i="14"/>
  <c r="O394" i="14"/>
  <c r="J394" i="14" s="1"/>
  <c r="C394" i="14" s="1"/>
  <c r="D328" i="12" l="1"/>
  <c r="F327" i="12"/>
  <c r="M319" i="11"/>
  <c r="E317" i="11"/>
  <c r="F318" i="11"/>
  <c r="B319" i="11"/>
  <c r="C319" i="11"/>
  <c r="G319" i="11" s="1"/>
  <c r="L319" i="11"/>
  <c r="T420" i="11"/>
  <c r="R420" i="11" s="1"/>
  <c r="E393" i="15"/>
  <c r="C394" i="15"/>
  <c r="G394" i="15" s="1"/>
  <c r="B394" i="15"/>
  <c r="M394" i="15"/>
  <c r="L394" i="15"/>
  <c r="B394" i="14"/>
  <c r="E393" i="14"/>
  <c r="M394" i="14"/>
  <c r="L394" i="14"/>
  <c r="F328" i="12" l="1"/>
  <c r="E327" i="12"/>
  <c r="J329" i="12"/>
  <c r="C329" i="12" s="1"/>
  <c r="M329" i="12"/>
  <c r="L329" i="12"/>
  <c r="Q420" i="11"/>
  <c r="T421" i="11" s="1"/>
  <c r="Q421" i="11" s="1"/>
  <c r="O320" i="11"/>
  <c r="E318" i="11"/>
  <c r="D319" i="11"/>
  <c r="F319" i="11" s="1"/>
  <c r="O395" i="15"/>
  <c r="J395" i="15" s="1"/>
  <c r="D394" i="15"/>
  <c r="O395" i="14"/>
  <c r="J395" i="14" s="1"/>
  <c r="C395" i="14" s="1"/>
  <c r="G394" i="14"/>
  <c r="D394" i="14"/>
  <c r="B329" i="12" l="1"/>
  <c r="O330" i="12"/>
  <c r="J330" i="12" s="1"/>
  <c r="C330" i="12" s="1"/>
  <c r="G329" i="12"/>
  <c r="E328" i="12"/>
  <c r="R421" i="11"/>
  <c r="T422" i="11" s="1"/>
  <c r="E319" i="11"/>
  <c r="J320" i="11"/>
  <c r="M320" i="11"/>
  <c r="L320" i="11"/>
  <c r="F394" i="15"/>
  <c r="M395" i="15"/>
  <c r="C395" i="15"/>
  <c r="G395" i="15" s="1"/>
  <c r="B395" i="15"/>
  <c r="L395" i="15"/>
  <c r="F394" i="14"/>
  <c r="M395" i="14"/>
  <c r="B395" i="14"/>
  <c r="G395" i="14"/>
  <c r="L395" i="14"/>
  <c r="B330" i="12" l="1"/>
  <c r="D329" i="12"/>
  <c r="H2" i="12" s="1"/>
  <c r="M330" i="12"/>
  <c r="L330" i="12"/>
  <c r="R422" i="11"/>
  <c r="B320" i="11"/>
  <c r="C320" i="11"/>
  <c r="O321" i="11"/>
  <c r="J321" i="11" s="1"/>
  <c r="Q422" i="11"/>
  <c r="O396" i="15"/>
  <c r="J396" i="15" s="1"/>
  <c r="E394" i="15"/>
  <c r="D395" i="15"/>
  <c r="O396" i="14"/>
  <c r="J396" i="14" s="1"/>
  <c r="C396" i="14" s="1"/>
  <c r="E394" i="14"/>
  <c r="D395" i="14"/>
  <c r="F329" i="12" l="1"/>
  <c r="T423" i="11"/>
  <c r="R423" i="11" s="1"/>
  <c r="B321" i="11"/>
  <c r="C321" i="11"/>
  <c r="G321" i="11" s="1"/>
  <c r="L321" i="11"/>
  <c r="G320" i="11"/>
  <c r="D320" i="11"/>
  <c r="M321" i="11"/>
  <c r="F395" i="15"/>
  <c r="M396" i="15"/>
  <c r="C396" i="15"/>
  <c r="G396" i="15" s="1"/>
  <c r="B396" i="15"/>
  <c r="L396" i="15"/>
  <c r="M396" i="14"/>
  <c r="F395" i="14"/>
  <c r="B396" i="14"/>
  <c r="G396" i="14"/>
  <c r="L396" i="14"/>
  <c r="E329" i="12" l="1"/>
  <c r="D321" i="11"/>
  <c r="F320" i="11"/>
  <c r="O322" i="11"/>
  <c r="J322" i="11" s="1"/>
  <c r="Q423" i="11"/>
  <c r="O397" i="15"/>
  <c r="J397" i="15" s="1"/>
  <c r="E395" i="15"/>
  <c r="D396" i="15"/>
  <c r="O397" i="14"/>
  <c r="E395" i="14"/>
  <c r="D396" i="14"/>
  <c r="B322" i="11" l="1"/>
  <c r="C322" i="11"/>
  <c r="G322" i="11" s="1"/>
  <c r="T424" i="11"/>
  <c r="R424" i="11" s="1"/>
  <c r="L322" i="11"/>
  <c r="E320" i="11"/>
  <c r="F321" i="11"/>
  <c r="M322" i="11"/>
  <c r="F396" i="15"/>
  <c r="M397" i="15"/>
  <c r="C397" i="15"/>
  <c r="G397" i="15" s="1"/>
  <c r="B397" i="15"/>
  <c r="L397" i="15"/>
  <c r="F396" i="14"/>
  <c r="J397" i="14"/>
  <c r="C397" i="14" s="1"/>
  <c r="M397" i="14"/>
  <c r="L397" i="14"/>
  <c r="D322" i="11" l="1"/>
  <c r="F322" i="11" s="1"/>
  <c r="O323" i="11"/>
  <c r="J323" i="11" s="1"/>
  <c r="Q424" i="11"/>
  <c r="E321" i="11"/>
  <c r="O398" i="15"/>
  <c r="J398" i="15" s="1"/>
  <c r="E396" i="15"/>
  <c r="D397" i="15"/>
  <c r="O398" i="14"/>
  <c r="J398" i="14" s="1"/>
  <c r="C398" i="14" s="1"/>
  <c r="B397" i="14"/>
  <c r="E396" i="14"/>
  <c r="M323" i="11" l="1"/>
  <c r="E322" i="11"/>
  <c r="T425" i="11"/>
  <c r="R425" i="11" s="1"/>
  <c r="B323" i="11"/>
  <c r="C323" i="11"/>
  <c r="L323" i="11"/>
  <c r="M398" i="15"/>
  <c r="F397" i="15"/>
  <c r="C398" i="15"/>
  <c r="G398" i="15" s="1"/>
  <c r="B398" i="15"/>
  <c r="L398" i="15"/>
  <c r="M398" i="14"/>
  <c r="L398" i="14"/>
  <c r="G397" i="14"/>
  <c r="D397" i="14"/>
  <c r="G398" i="14"/>
  <c r="B398" i="14"/>
  <c r="O399" i="14" l="1"/>
  <c r="J399" i="14" s="1"/>
  <c r="C399" i="14" s="1"/>
  <c r="G399" i="14" s="1"/>
  <c r="O324" i="11"/>
  <c r="Q425" i="11"/>
  <c r="G323" i="11"/>
  <c r="D323" i="11"/>
  <c r="O399" i="15"/>
  <c r="J399" i="15" s="1"/>
  <c r="E397" i="15"/>
  <c r="D398" i="15"/>
  <c r="L399" i="14"/>
  <c r="D398" i="14"/>
  <c r="F397" i="14"/>
  <c r="D399" i="14" l="1"/>
  <c r="M399" i="14"/>
  <c r="O400" i="14" s="1"/>
  <c r="J400" i="14" s="1"/>
  <c r="C400" i="14" s="1"/>
  <c r="B399" i="14"/>
  <c r="F323" i="11"/>
  <c r="T426" i="11"/>
  <c r="R426" i="11" s="1"/>
  <c r="J324" i="11"/>
  <c r="M324" i="11"/>
  <c r="L324" i="11"/>
  <c r="M399" i="15"/>
  <c r="F398" i="15"/>
  <c r="C399" i="15"/>
  <c r="G399" i="15" s="1"/>
  <c r="B399" i="15"/>
  <c r="L399" i="15"/>
  <c r="F398" i="14"/>
  <c r="E397" i="14"/>
  <c r="B324" i="11" l="1"/>
  <c r="C324" i="11"/>
  <c r="Q426" i="11"/>
  <c r="E323" i="11"/>
  <c r="O325" i="11"/>
  <c r="J325" i="11" s="1"/>
  <c r="O400" i="15"/>
  <c r="E398" i="15"/>
  <c r="D399" i="15"/>
  <c r="B400" i="14"/>
  <c r="L400" i="14"/>
  <c r="M400" i="14"/>
  <c r="F399" i="14"/>
  <c r="E398" i="14"/>
  <c r="L325" i="11" l="1"/>
  <c r="T427" i="11"/>
  <c r="R427" i="11" s="1"/>
  <c r="G324" i="11"/>
  <c r="D324" i="11"/>
  <c r="B325" i="11"/>
  <c r="C325" i="11"/>
  <c r="G325" i="11" s="1"/>
  <c r="M325" i="11"/>
  <c r="F399" i="15"/>
  <c r="J400" i="15"/>
  <c r="M400" i="15"/>
  <c r="L400" i="15"/>
  <c r="E399" i="14"/>
  <c r="O401" i="14"/>
  <c r="J401" i="14" s="1"/>
  <c r="C401" i="14" s="1"/>
  <c r="G400" i="14"/>
  <c r="D400" i="14"/>
  <c r="O326" i="11" l="1"/>
  <c r="J326" i="11" s="1"/>
  <c r="B326" i="11" s="1"/>
  <c r="D325" i="11"/>
  <c r="F324" i="11"/>
  <c r="Q427" i="11"/>
  <c r="O401" i="15"/>
  <c r="J401" i="15" s="1"/>
  <c r="C400" i="15"/>
  <c r="B400" i="15"/>
  <c r="E399" i="15"/>
  <c r="G401" i="14"/>
  <c r="B401" i="14"/>
  <c r="L401" i="14"/>
  <c r="M401" i="14"/>
  <c r="F400" i="14"/>
  <c r="M326" i="11" l="1"/>
  <c r="L326" i="11"/>
  <c r="C326" i="11"/>
  <c r="G326" i="11" s="1"/>
  <c r="T428" i="11"/>
  <c r="R428" i="11" s="1"/>
  <c r="O327" i="11"/>
  <c r="J327" i="11" s="1"/>
  <c r="E324" i="11"/>
  <c r="F325" i="11"/>
  <c r="D326" i="11"/>
  <c r="G400" i="15"/>
  <c r="D400" i="15"/>
  <c r="M401" i="15"/>
  <c r="C401" i="15"/>
  <c r="G401" i="15" s="1"/>
  <c r="B401" i="15"/>
  <c r="L401" i="15"/>
  <c r="O402" i="14"/>
  <c r="J402" i="14" s="1"/>
  <c r="C402" i="14" s="1"/>
  <c r="E400" i="14"/>
  <c r="D401" i="14"/>
  <c r="B327" i="11" l="1"/>
  <c r="C327" i="11"/>
  <c r="G327" i="11" s="1"/>
  <c r="L327" i="11"/>
  <c r="E325" i="11"/>
  <c r="F326" i="11"/>
  <c r="Q428" i="11"/>
  <c r="M327" i="11"/>
  <c r="O402" i="15"/>
  <c r="J402" i="15" s="1"/>
  <c r="D401" i="15"/>
  <c r="F400" i="15"/>
  <c r="F401" i="14"/>
  <c r="G402" i="14"/>
  <c r="B402" i="14"/>
  <c r="L402" i="14"/>
  <c r="M402" i="14"/>
  <c r="E326" i="11" l="1"/>
  <c r="T429" i="11"/>
  <c r="R429" i="11" s="1"/>
  <c r="O328" i="11"/>
  <c r="J328" i="11" s="1"/>
  <c r="D327" i="11"/>
  <c r="F327" i="11" s="1"/>
  <c r="F401" i="15"/>
  <c r="E400" i="15"/>
  <c r="M402" i="15"/>
  <c r="C402" i="15"/>
  <c r="G402" i="15" s="1"/>
  <c r="B402" i="15"/>
  <c r="L402" i="15"/>
  <c r="O403" i="14"/>
  <c r="J403" i="14" s="1"/>
  <c r="C403" i="14" s="1"/>
  <c r="E401" i="14"/>
  <c r="D402" i="14"/>
  <c r="M328" i="11" l="1"/>
  <c r="E327" i="11"/>
  <c r="B328" i="11"/>
  <c r="C328" i="11"/>
  <c r="G328" i="11" s="1"/>
  <c r="L328" i="11"/>
  <c r="Q429" i="11"/>
  <c r="O403" i="15"/>
  <c r="J403" i="15" s="1"/>
  <c r="D402" i="15"/>
  <c r="F402" i="15" s="1"/>
  <c r="E401" i="15"/>
  <c r="L403" i="14"/>
  <c r="F402" i="14"/>
  <c r="G403" i="14"/>
  <c r="B403" i="14"/>
  <c r="M403" i="14"/>
  <c r="O404" i="14" l="1"/>
  <c r="J404" i="14" s="1"/>
  <c r="C404" i="14" s="1"/>
  <c r="G404" i="14" s="1"/>
  <c r="T430" i="11"/>
  <c r="R430" i="11" s="1"/>
  <c r="O329" i="11"/>
  <c r="D328" i="11"/>
  <c r="E402" i="15"/>
  <c r="M403" i="15"/>
  <c r="C403" i="15"/>
  <c r="G403" i="15" s="1"/>
  <c r="B403" i="15"/>
  <c r="L403" i="15"/>
  <c r="M404" i="14"/>
  <c r="B404" i="14"/>
  <c r="L404" i="14"/>
  <c r="E402" i="14"/>
  <c r="D403" i="14"/>
  <c r="D404" i="14" s="1"/>
  <c r="J329" i="11" l="1"/>
  <c r="M329" i="11"/>
  <c r="L329" i="11"/>
  <c r="F328" i="11"/>
  <c r="Q430" i="11"/>
  <c r="O404" i="15"/>
  <c r="J404" i="15" s="1"/>
  <c r="D403" i="15"/>
  <c r="F403" i="14"/>
  <c r="O405" i="14"/>
  <c r="T431" i="11" l="1"/>
  <c r="R431" i="11" s="1"/>
  <c r="O330" i="11"/>
  <c r="J330" i="11" s="1"/>
  <c r="E328" i="11"/>
  <c r="B329" i="11"/>
  <c r="C329" i="11"/>
  <c r="F403" i="15"/>
  <c r="M404" i="15"/>
  <c r="C404" i="15"/>
  <c r="G404" i="15" s="1"/>
  <c r="B404" i="15"/>
  <c r="L404" i="15"/>
  <c r="J405" i="14"/>
  <c r="C405" i="14" s="1"/>
  <c r="M405" i="14"/>
  <c r="L405" i="14"/>
  <c r="F404" i="14"/>
  <c r="E403" i="14"/>
  <c r="M330" i="11" l="1"/>
  <c r="B330" i="11"/>
  <c r="C330" i="11"/>
  <c r="G330" i="11" s="1"/>
  <c r="L330" i="11"/>
  <c r="Q431" i="11"/>
  <c r="G329" i="11"/>
  <c r="D329" i="11"/>
  <c r="O405" i="15"/>
  <c r="J405" i="15" s="1"/>
  <c r="E403" i="15"/>
  <c r="D404" i="15"/>
  <c r="E404" i="14"/>
  <c r="O406" i="14"/>
  <c r="J406" i="14" s="1"/>
  <c r="C406" i="14" s="1"/>
  <c r="B405" i="14"/>
  <c r="T432" i="11" l="1"/>
  <c r="R432" i="11" s="1"/>
  <c r="O331" i="11"/>
  <c r="D330" i="11"/>
  <c r="F329" i="11"/>
  <c r="F404" i="15"/>
  <c r="C405" i="15"/>
  <c r="G405" i="15" s="1"/>
  <c r="B405" i="15"/>
  <c r="L405" i="15"/>
  <c r="M405" i="15"/>
  <c r="G405" i="14"/>
  <c r="D405" i="14"/>
  <c r="M406" i="14"/>
  <c r="G406" i="14"/>
  <c r="B406" i="14"/>
  <c r="L406" i="14"/>
  <c r="Q432" i="11" l="1"/>
  <c r="T433" i="11" s="1"/>
  <c r="R433" i="11" s="1"/>
  <c r="E329" i="11"/>
  <c r="F330" i="11"/>
  <c r="J331" i="11"/>
  <c r="M331" i="11"/>
  <c r="L331" i="11"/>
  <c r="O406" i="15"/>
  <c r="J406" i="15" s="1"/>
  <c r="E404" i="15"/>
  <c r="D405" i="15"/>
  <c r="O407" i="14"/>
  <c r="J407" i="14" s="1"/>
  <c r="C407" i="14" s="1"/>
  <c r="D406" i="14"/>
  <c r="F405" i="14"/>
  <c r="Q433" i="11" l="1"/>
  <c r="T434" i="11" s="1"/>
  <c r="O332" i="11"/>
  <c r="J332" i="11" s="1"/>
  <c r="B331" i="11"/>
  <c r="C331" i="11"/>
  <c r="E330" i="11"/>
  <c r="F405" i="15"/>
  <c r="C406" i="15"/>
  <c r="G406" i="15" s="1"/>
  <c r="B406" i="15"/>
  <c r="L406" i="15"/>
  <c r="M406" i="15"/>
  <c r="M407" i="14"/>
  <c r="F406" i="14"/>
  <c r="E405" i="14"/>
  <c r="G407" i="14"/>
  <c r="B407" i="14"/>
  <c r="L407" i="14"/>
  <c r="Q434" i="11" l="1"/>
  <c r="R434" i="11"/>
  <c r="G331" i="11"/>
  <c r="D331" i="11"/>
  <c r="M332" i="11"/>
  <c r="B332" i="11"/>
  <c r="C332" i="11"/>
  <c r="G332" i="11" s="1"/>
  <c r="L332" i="11"/>
  <c r="O407" i="15"/>
  <c r="J407" i="15" s="1"/>
  <c r="E405" i="15"/>
  <c r="D406" i="15"/>
  <c r="O408" i="14"/>
  <c r="J408" i="14" s="1"/>
  <c r="C408" i="14" s="1"/>
  <c r="E406" i="14"/>
  <c r="D407" i="14"/>
  <c r="T435" i="11" l="1"/>
  <c r="Q435" i="11" s="1"/>
  <c r="D332" i="11"/>
  <c r="F331" i="11"/>
  <c r="O333" i="11"/>
  <c r="J333" i="11" s="1"/>
  <c r="F406" i="15"/>
  <c r="C407" i="15"/>
  <c r="G407" i="15" s="1"/>
  <c r="B407" i="15"/>
  <c r="L407" i="15"/>
  <c r="M407" i="15"/>
  <c r="M408" i="14"/>
  <c r="F407" i="14"/>
  <c r="G408" i="14"/>
  <c r="B408" i="14"/>
  <c r="L408" i="14"/>
  <c r="R435" i="11" l="1"/>
  <c r="T436" i="11" s="1"/>
  <c r="R436" i="11" s="1"/>
  <c r="L333" i="11"/>
  <c r="M333" i="11"/>
  <c r="E331" i="11"/>
  <c r="F332" i="11"/>
  <c r="B333" i="11"/>
  <c r="C333" i="11"/>
  <c r="G333" i="11" s="1"/>
  <c r="O408" i="15"/>
  <c r="J408" i="15" s="1"/>
  <c r="E406" i="15"/>
  <c r="D407" i="15"/>
  <c r="E407" i="14"/>
  <c r="O409" i="14"/>
  <c r="D408" i="14"/>
  <c r="Q436" i="11" l="1"/>
  <c r="T437" i="11"/>
  <c r="R437" i="11" s="1"/>
  <c r="D333" i="11"/>
  <c r="F333" i="11" s="1"/>
  <c r="O334" i="11"/>
  <c r="J334" i="11" s="1"/>
  <c r="E332" i="11"/>
  <c r="F407" i="15"/>
  <c r="C408" i="15"/>
  <c r="G408" i="15" s="1"/>
  <c r="B408" i="15"/>
  <c r="L408" i="15"/>
  <c r="M408" i="15"/>
  <c r="J409" i="14"/>
  <c r="C409" i="14" s="1"/>
  <c r="M409" i="14"/>
  <c r="L409" i="14"/>
  <c r="F408" i="14"/>
  <c r="Q437" i="11" l="1"/>
  <c r="L334" i="11"/>
  <c r="T438" i="11"/>
  <c r="R438" i="11" s="1"/>
  <c r="E333" i="11"/>
  <c r="B334" i="11"/>
  <c r="C334" i="11"/>
  <c r="M334" i="11"/>
  <c r="O409" i="15"/>
  <c r="J409" i="15" s="1"/>
  <c r="E407" i="15"/>
  <c r="D408" i="15"/>
  <c r="F408" i="15" s="1"/>
  <c r="E408" i="14"/>
  <c r="O410" i="14"/>
  <c r="J410" i="14" s="1"/>
  <c r="C410" i="14" s="1"/>
  <c r="B409" i="14"/>
  <c r="Q438" i="11" l="1"/>
  <c r="O335" i="11"/>
  <c r="G334" i="11"/>
  <c r="D334" i="11"/>
  <c r="E408" i="15"/>
  <c r="C409" i="15"/>
  <c r="G409" i="15" s="1"/>
  <c r="B409" i="15"/>
  <c r="L409" i="15"/>
  <c r="M409" i="15"/>
  <c r="M410" i="14"/>
  <c r="G410" i="14"/>
  <c r="B410" i="14"/>
  <c r="G409" i="14"/>
  <c r="D409" i="14"/>
  <c r="L410" i="14"/>
  <c r="T439" i="11" l="1"/>
  <c r="R439" i="11" s="1"/>
  <c r="F334" i="11"/>
  <c r="J335" i="11"/>
  <c r="L335" i="11"/>
  <c r="M335" i="11"/>
  <c r="D409" i="15"/>
  <c r="H2" i="15" s="1"/>
  <c r="O410" i="15"/>
  <c r="J410" i="15" s="1"/>
  <c r="O411" i="14"/>
  <c r="J411" i="14" s="1"/>
  <c r="C411" i="14" s="1"/>
  <c r="D410" i="14"/>
  <c r="H2" i="14"/>
  <c r="F409" i="14"/>
  <c r="Q439" i="11" l="1"/>
  <c r="O336" i="11"/>
  <c r="J336" i="11" s="1"/>
  <c r="B335" i="11"/>
  <c r="C335" i="11"/>
  <c r="E334" i="11"/>
  <c r="F409" i="15"/>
  <c r="E409" i="15" s="1"/>
  <c r="M410" i="15"/>
  <c r="C410" i="15"/>
  <c r="B410" i="15"/>
  <c r="L410" i="15"/>
  <c r="M411" i="14"/>
  <c r="L411" i="14"/>
  <c r="F410" i="14"/>
  <c r="E409" i="14"/>
  <c r="G411" i="14"/>
  <c r="B411" i="14"/>
  <c r="O412" i="14" l="1"/>
  <c r="J412" i="14" s="1"/>
  <c r="C412" i="14" s="1"/>
  <c r="T440" i="11"/>
  <c r="R440" i="11" s="1"/>
  <c r="G335" i="11"/>
  <c r="D335" i="11"/>
  <c r="L336" i="11"/>
  <c r="B336" i="11"/>
  <c r="C336" i="11"/>
  <c r="G336" i="11" s="1"/>
  <c r="M336" i="11"/>
  <c r="O411" i="15"/>
  <c r="G410" i="15"/>
  <c r="D410" i="15"/>
  <c r="G412" i="14"/>
  <c r="B412" i="14"/>
  <c r="L412" i="14"/>
  <c r="D411" i="14"/>
  <c r="D412" i="14" s="1"/>
  <c r="E410" i="14"/>
  <c r="M412" i="14"/>
  <c r="G2" i="12" l="1"/>
  <c r="E2" i="12"/>
  <c r="Q440" i="11"/>
  <c r="O337" i="11"/>
  <c r="J337" i="11" s="1"/>
  <c r="D336" i="11"/>
  <c r="F335" i="11"/>
  <c r="F410" i="15"/>
  <c r="J411" i="15"/>
  <c r="M411" i="15"/>
  <c r="L411" i="15"/>
  <c r="F411" i="14"/>
  <c r="O413" i="14"/>
  <c r="J413" i="14" s="1"/>
  <c r="C413" i="14" s="1"/>
  <c r="T441" i="11" l="1"/>
  <c r="R441" i="11" s="1"/>
  <c r="B337" i="11"/>
  <c r="C337" i="11"/>
  <c r="G337" i="11" s="1"/>
  <c r="L337" i="11"/>
  <c r="M337" i="11"/>
  <c r="E335" i="11"/>
  <c r="F336" i="11"/>
  <c r="O412" i="15"/>
  <c r="J412" i="15" s="1"/>
  <c r="C411" i="15"/>
  <c r="B411" i="15"/>
  <c r="E410" i="15"/>
  <c r="B413" i="14"/>
  <c r="L413" i="14"/>
  <c r="F412" i="14"/>
  <c r="E411" i="14"/>
  <c r="M413" i="14"/>
  <c r="Q441" i="11" l="1"/>
  <c r="E336" i="11"/>
  <c r="O338" i="11"/>
  <c r="J338" i="11" s="1"/>
  <c r="D337" i="11"/>
  <c r="F337" i="11" s="1"/>
  <c r="G411" i="15"/>
  <c r="D411" i="15"/>
  <c r="M412" i="15"/>
  <c r="C412" i="15"/>
  <c r="G412" i="15" s="1"/>
  <c r="B412" i="15"/>
  <c r="L412" i="15"/>
  <c r="E412" i="14"/>
  <c r="O414" i="14"/>
  <c r="J414" i="14" s="1"/>
  <c r="C414" i="14" s="1"/>
  <c r="G413" i="14"/>
  <c r="D413" i="14"/>
  <c r="T442" i="11" l="1"/>
  <c r="R442" i="11" s="1"/>
  <c r="E337" i="11"/>
  <c r="L338" i="11"/>
  <c r="B338" i="11"/>
  <c r="C338" i="11"/>
  <c r="G338" i="11" s="1"/>
  <c r="M338" i="11"/>
  <c r="O413" i="15"/>
  <c r="J413" i="15" s="1"/>
  <c r="D412" i="15"/>
  <c r="F411" i="15"/>
  <c r="M414" i="14"/>
  <c r="G414" i="14"/>
  <c r="B414" i="14"/>
  <c r="L414" i="14"/>
  <c r="F413" i="14"/>
  <c r="Q442" i="11" l="1"/>
  <c r="D338" i="11"/>
  <c r="F338" i="11" s="1"/>
  <c r="O339" i="11"/>
  <c r="J339" i="11" s="1"/>
  <c r="F412" i="15"/>
  <c r="E411" i="15"/>
  <c r="M413" i="15"/>
  <c r="C413" i="15"/>
  <c r="G413" i="15" s="1"/>
  <c r="B413" i="15"/>
  <c r="L413" i="15"/>
  <c r="E413" i="14"/>
  <c r="O415" i="14"/>
  <c r="J415" i="14" s="1"/>
  <c r="C415" i="14" s="1"/>
  <c r="D414" i="14"/>
  <c r="T443" i="11" l="1"/>
  <c r="R443" i="11" s="1"/>
  <c r="L339" i="11"/>
  <c r="E338" i="11"/>
  <c r="B339" i="11"/>
  <c r="C339" i="11"/>
  <c r="M339" i="11"/>
  <c r="D413" i="15"/>
  <c r="F413" i="15" s="1"/>
  <c r="O414" i="15"/>
  <c r="J414" i="15" s="1"/>
  <c r="E412" i="15"/>
  <c r="M415" i="14"/>
  <c r="L415" i="14"/>
  <c r="G415" i="14"/>
  <c r="B415" i="14"/>
  <c r="F414" i="14"/>
  <c r="O416" i="14" l="1"/>
  <c r="J416" i="14" s="1"/>
  <c r="C416" i="14" s="1"/>
  <c r="Q443" i="11"/>
  <c r="O340" i="11"/>
  <c r="G339" i="11"/>
  <c r="D339" i="11"/>
  <c r="E413" i="15"/>
  <c r="C414" i="15"/>
  <c r="G414" i="15" s="1"/>
  <c r="B414" i="15"/>
  <c r="L414" i="15"/>
  <c r="M414" i="15"/>
  <c r="E414" i="14"/>
  <c r="G416" i="14"/>
  <c r="B416" i="14"/>
  <c r="L416" i="14"/>
  <c r="M416" i="14"/>
  <c r="D415" i="14"/>
  <c r="D416" i="14" s="1"/>
  <c r="T444" i="11" l="1"/>
  <c r="R444" i="11" s="1"/>
  <c r="F339" i="11"/>
  <c r="J340" i="11"/>
  <c r="L340" i="11"/>
  <c r="M340" i="11"/>
  <c r="D414" i="15"/>
  <c r="F414" i="15" s="1"/>
  <c r="O415" i="15"/>
  <c r="J415" i="15" s="1"/>
  <c r="O417" i="14"/>
  <c r="J417" i="14" s="1"/>
  <c r="C417" i="14" s="1"/>
  <c r="F415" i="14"/>
  <c r="Q444" i="11" l="1"/>
  <c r="O341" i="11"/>
  <c r="J341" i="11" s="1"/>
  <c r="B340" i="11"/>
  <c r="C340" i="11"/>
  <c r="E339" i="11"/>
  <c r="M415" i="15"/>
  <c r="C415" i="15"/>
  <c r="B415" i="15"/>
  <c r="E414" i="15"/>
  <c r="L415" i="15"/>
  <c r="M417" i="14"/>
  <c r="B417" i="14"/>
  <c r="L417" i="14"/>
  <c r="F416" i="14"/>
  <c r="E415" i="14"/>
  <c r="T445" i="11" l="1"/>
  <c r="R445" i="11" s="1"/>
  <c r="G340" i="11"/>
  <c r="D340" i="11"/>
  <c r="L341" i="11"/>
  <c r="B341" i="11"/>
  <c r="C341" i="11"/>
  <c r="G341" i="11" s="1"/>
  <c r="M341" i="11"/>
  <c r="O416" i="15"/>
  <c r="J416" i="15" s="1"/>
  <c r="G415" i="15"/>
  <c r="D415" i="15"/>
  <c r="E416" i="14"/>
  <c r="O418" i="14"/>
  <c r="L418" i="14" s="1"/>
  <c r="G417" i="14"/>
  <c r="D417" i="14"/>
  <c r="T446" i="11" l="1"/>
  <c r="R446" i="11" s="1"/>
  <c r="Q445" i="11"/>
  <c r="O342" i="11"/>
  <c r="J342" i="11" s="1"/>
  <c r="D341" i="11"/>
  <c r="F340" i="11"/>
  <c r="M416" i="15"/>
  <c r="F415" i="15"/>
  <c r="C416" i="15"/>
  <c r="G416" i="15" s="1"/>
  <c r="B416" i="15"/>
  <c r="L416" i="15"/>
  <c r="J418" i="14"/>
  <c r="C418" i="14" s="1"/>
  <c r="M418" i="14"/>
  <c r="O419" i="14" s="1"/>
  <c r="J419" i="14" s="1"/>
  <c r="C419" i="14" s="1"/>
  <c r="F417" i="14"/>
  <c r="Q446" i="11" l="1"/>
  <c r="T447" i="11" s="1"/>
  <c r="Q447" i="11" s="1"/>
  <c r="E340" i="11"/>
  <c r="F341" i="11"/>
  <c r="L342" i="11"/>
  <c r="B342" i="11"/>
  <c r="C342" i="11"/>
  <c r="G342" i="11" s="1"/>
  <c r="M342" i="11"/>
  <c r="O417" i="15"/>
  <c r="E415" i="15"/>
  <c r="D416" i="15"/>
  <c r="M419" i="14"/>
  <c r="L419" i="14"/>
  <c r="O420" i="14" s="1"/>
  <c r="J420" i="14" s="1"/>
  <c r="C420" i="14" s="1"/>
  <c r="B418" i="14"/>
  <c r="E417" i="14"/>
  <c r="G419" i="14"/>
  <c r="B419" i="14"/>
  <c r="R447" i="11" l="1"/>
  <c r="T448" i="11" s="1"/>
  <c r="Q448" i="11" s="1"/>
  <c r="O343" i="11"/>
  <c r="J343" i="11" s="1"/>
  <c r="D342" i="11"/>
  <c r="F342" i="11" s="1"/>
  <c r="E341" i="11"/>
  <c r="F416" i="15"/>
  <c r="J417" i="15"/>
  <c r="M417" i="15"/>
  <c r="L417" i="15"/>
  <c r="G420" i="14"/>
  <c r="B420" i="14"/>
  <c r="L420" i="14"/>
  <c r="G418" i="14"/>
  <c r="D418" i="14"/>
  <c r="M420" i="14"/>
  <c r="R448" i="11" l="1"/>
  <c r="T449" i="11" s="1"/>
  <c r="Q449" i="11" s="1"/>
  <c r="L343" i="11"/>
  <c r="B343" i="11"/>
  <c r="C343" i="11"/>
  <c r="G343" i="11" s="1"/>
  <c r="E342" i="11"/>
  <c r="M343" i="11"/>
  <c r="O418" i="15"/>
  <c r="J418" i="15" s="1"/>
  <c r="C417" i="15"/>
  <c r="B417" i="15"/>
  <c r="E416" i="15"/>
  <c r="D419" i="14"/>
  <c r="D420" i="14" s="1"/>
  <c r="F418" i="14"/>
  <c r="O421" i="14"/>
  <c r="J421" i="14" s="1"/>
  <c r="C421" i="14" s="1"/>
  <c r="R449" i="11" l="1"/>
  <c r="T450" i="11" s="1"/>
  <c r="Q450" i="11" s="1"/>
  <c r="O344" i="11"/>
  <c r="D343" i="11"/>
  <c r="M418" i="15"/>
  <c r="G417" i="15"/>
  <c r="D417" i="15"/>
  <c r="C418" i="15"/>
  <c r="G418" i="15" s="1"/>
  <c r="B418" i="15"/>
  <c r="L418" i="15"/>
  <c r="L421" i="14"/>
  <c r="B421" i="14"/>
  <c r="G421" i="14"/>
  <c r="D421" i="14"/>
  <c r="F419" i="14"/>
  <c r="E418" i="14"/>
  <c r="M421" i="14"/>
  <c r="R450" i="11" l="1"/>
  <c r="T451" i="11" s="1"/>
  <c r="Q451" i="11" s="1"/>
  <c r="F343" i="11"/>
  <c r="J344" i="11"/>
  <c r="L344" i="11"/>
  <c r="M344" i="11"/>
  <c r="O419" i="15"/>
  <c r="D418" i="15"/>
  <c r="F417" i="15"/>
  <c r="O422" i="14"/>
  <c r="J422" i="14" s="1"/>
  <c r="C422" i="14" s="1"/>
  <c r="F420" i="14"/>
  <c r="E419" i="14"/>
  <c r="R451" i="11" l="1"/>
  <c r="O345" i="11"/>
  <c r="J345" i="11" s="1"/>
  <c r="B344" i="11"/>
  <c r="C344" i="11"/>
  <c r="E343" i="11"/>
  <c r="F418" i="15"/>
  <c r="E417" i="15"/>
  <c r="J419" i="15"/>
  <c r="M419" i="15"/>
  <c r="L419" i="15"/>
  <c r="L422" i="14"/>
  <c r="M422" i="14"/>
  <c r="O423" i="14" s="1"/>
  <c r="J423" i="14" s="1"/>
  <c r="C423" i="14" s="1"/>
  <c r="F421" i="14"/>
  <c r="E420" i="14"/>
  <c r="B422" i="14"/>
  <c r="G344" i="11" l="1"/>
  <c r="D344" i="11"/>
  <c r="L345" i="11"/>
  <c r="B345" i="11"/>
  <c r="C345" i="11"/>
  <c r="G345" i="11" s="1"/>
  <c r="M345" i="11"/>
  <c r="O420" i="15"/>
  <c r="J420" i="15" s="1"/>
  <c r="C419" i="15"/>
  <c r="B419" i="15"/>
  <c r="E418" i="15"/>
  <c r="G422" i="14"/>
  <c r="D422" i="14"/>
  <c r="F422" i="14" s="1"/>
  <c r="G423" i="14"/>
  <c r="B423" i="14"/>
  <c r="M423" i="14"/>
  <c r="E421" i="14"/>
  <c r="L423" i="14"/>
  <c r="O346" i="11" l="1"/>
  <c r="J346" i="11" s="1"/>
  <c r="D345" i="11"/>
  <c r="F344" i="11"/>
  <c r="M420" i="15"/>
  <c r="G419" i="15"/>
  <c r="D419" i="15"/>
  <c r="C420" i="15"/>
  <c r="G420" i="15" s="1"/>
  <c r="B420" i="15"/>
  <c r="L420" i="15"/>
  <c r="O424" i="14"/>
  <c r="J424" i="14" s="1"/>
  <c r="C424" i="14" s="1"/>
  <c r="G424" i="14" s="1"/>
  <c r="E422" i="14"/>
  <c r="D423" i="14"/>
  <c r="E344" i="11" l="1"/>
  <c r="F345" i="11"/>
  <c r="B346" i="11"/>
  <c r="C346" i="11"/>
  <c r="G346" i="11" s="1"/>
  <c r="L346" i="11"/>
  <c r="M346" i="11"/>
  <c r="F423" i="14"/>
  <c r="D424" i="14"/>
  <c r="O421" i="15"/>
  <c r="D420" i="15"/>
  <c r="F419" i="15"/>
  <c r="M424" i="14"/>
  <c r="L424" i="14"/>
  <c r="B424" i="14"/>
  <c r="D346" i="11" l="1"/>
  <c r="F346" i="11" s="1"/>
  <c r="E345" i="11"/>
  <c r="O347" i="11"/>
  <c r="J347" i="11" s="1"/>
  <c r="E423" i="14"/>
  <c r="F424" i="14"/>
  <c r="O425" i="14"/>
  <c r="J425" i="14" s="1"/>
  <c r="F420" i="15"/>
  <c r="E419" i="15"/>
  <c r="J421" i="15"/>
  <c r="M421" i="15"/>
  <c r="L421" i="15"/>
  <c r="B347" i="11" l="1"/>
  <c r="C347" i="11"/>
  <c r="G347" i="11" s="1"/>
  <c r="L347" i="11"/>
  <c r="E346" i="11"/>
  <c r="M347" i="11"/>
  <c r="E424" i="14"/>
  <c r="B425" i="14"/>
  <c r="C425" i="14"/>
  <c r="M425" i="14"/>
  <c r="L425" i="14"/>
  <c r="C421" i="15"/>
  <c r="B421" i="15"/>
  <c r="O422" i="15"/>
  <c r="J422" i="15" s="1"/>
  <c r="E420" i="15"/>
  <c r="D347" i="11" l="1"/>
  <c r="F347" i="11" s="1"/>
  <c r="O348" i="11"/>
  <c r="J348" i="11" s="1"/>
  <c r="G425" i="14"/>
  <c r="D425" i="14"/>
  <c r="O426" i="14"/>
  <c r="J426" i="14" s="1"/>
  <c r="M422" i="15"/>
  <c r="L422" i="15"/>
  <c r="C422" i="15"/>
  <c r="G422" i="15" s="1"/>
  <c r="B422" i="15"/>
  <c r="G421" i="15"/>
  <c r="D421" i="15"/>
  <c r="E347" i="11" l="1"/>
  <c r="L348" i="11"/>
  <c r="B348" i="11"/>
  <c r="C348" i="11"/>
  <c r="M348" i="11"/>
  <c r="C426" i="14"/>
  <c r="G426" i="14" s="1"/>
  <c r="B426" i="14"/>
  <c r="F425" i="14"/>
  <c r="M426" i="14"/>
  <c r="L426" i="14"/>
  <c r="D422" i="15"/>
  <c r="F421" i="15"/>
  <c r="O423" i="15"/>
  <c r="J423" i="15" s="1"/>
  <c r="G348" i="11" l="1"/>
  <c r="D348" i="11"/>
  <c r="O349" i="11"/>
  <c r="J349" i="11" s="1"/>
  <c r="D426" i="14"/>
  <c r="O427" i="14"/>
  <c r="J427" i="14" s="1"/>
  <c r="E425" i="14"/>
  <c r="M423" i="15"/>
  <c r="C423" i="15"/>
  <c r="G423" i="15" s="1"/>
  <c r="B423" i="15"/>
  <c r="L423" i="15"/>
  <c r="F422" i="15"/>
  <c r="E421" i="15"/>
  <c r="L349" i="11" l="1"/>
  <c r="B349" i="11"/>
  <c r="C349" i="11"/>
  <c r="G349" i="11" s="1"/>
  <c r="M349" i="11"/>
  <c r="F348" i="11"/>
  <c r="F426" i="14"/>
  <c r="M427" i="14"/>
  <c r="D423" i="15"/>
  <c r="F423" i="15" s="1"/>
  <c r="B427" i="14"/>
  <c r="C427" i="14"/>
  <c r="G427" i="14" s="1"/>
  <c r="L427" i="14"/>
  <c r="E422" i="15"/>
  <c r="O424" i="15"/>
  <c r="L424" i="15" s="1"/>
  <c r="D349" i="11" l="1"/>
  <c r="F349" i="11" s="1"/>
  <c r="O350" i="11"/>
  <c r="E348" i="11"/>
  <c r="D427" i="14"/>
  <c r="F427" i="14" s="1"/>
  <c r="E426" i="14"/>
  <c r="O428" i="14"/>
  <c r="J428" i="14" s="1"/>
  <c r="E423" i="15"/>
  <c r="J424" i="15"/>
  <c r="M424" i="15"/>
  <c r="E349" i="11" l="1"/>
  <c r="J350" i="11"/>
  <c r="L350" i="11"/>
  <c r="M350" i="11"/>
  <c r="E427" i="14"/>
  <c r="C428" i="14"/>
  <c r="G428" i="14" s="1"/>
  <c r="B428" i="14"/>
  <c r="M428" i="14"/>
  <c r="L428" i="14"/>
  <c r="O425" i="15"/>
  <c r="C424" i="15"/>
  <c r="B424" i="15"/>
  <c r="O351" i="11" l="1"/>
  <c r="J351" i="11" s="1"/>
  <c r="B350" i="11"/>
  <c r="C350" i="11"/>
  <c r="D428" i="14"/>
  <c r="O429" i="14"/>
  <c r="J429" i="14" s="1"/>
  <c r="G424" i="15"/>
  <c r="D424" i="15"/>
  <c r="J425" i="15"/>
  <c r="L425" i="15"/>
  <c r="M425" i="15"/>
  <c r="L351" i="11" l="1"/>
  <c r="G350" i="11"/>
  <c r="D350" i="11"/>
  <c r="B351" i="11"/>
  <c r="C351" i="11"/>
  <c r="G351" i="11" s="1"/>
  <c r="M351" i="11"/>
  <c r="F428" i="14"/>
  <c r="C429" i="14"/>
  <c r="G429" i="14" s="1"/>
  <c r="B429" i="14"/>
  <c r="M429" i="14"/>
  <c r="L429" i="14"/>
  <c r="F424" i="15"/>
  <c r="O426" i="15"/>
  <c r="J426" i="15" s="1"/>
  <c r="B425" i="15"/>
  <c r="C425" i="15"/>
  <c r="G425" i="15" s="1"/>
  <c r="O352" i="11" l="1"/>
  <c r="D351" i="11"/>
  <c r="F350" i="11"/>
  <c r="D429" i="14"/>
  <c r="F429" i="14" s="1"/>
  <c r="E428" i="14"/>
  <c r="O430" i="14"/>
  <c r="J430" i="14" s="1"/>
  <c r="L426" i="15"/>
  <c r="D425" i="15"/>
  <c r="E424" i="15"/>
  <c r="C426" i="15"/>
  <c r="G426" i="15" s="1"/>
  <c r="B426" i="15"/>
  <c r="M426" i="15"/>
  <c r="F351" i="11" l="1"/>
  <c r="E350" i="11"/>
  <c r="J352" i="11"/>
  <c r="L352" i="11"/>
  <c r="M352" i="11"/>
  <c r="E429" i="14"/>
  <c r="C430" i="14"/>
  <c r="G430" i="14" s="1"/>
  <c r="B430" i="14"/>
  <c r="M430" i="14"/>
  <c r="L430" i="14"/>
  <c r="F425" i="15"/>
  <c r="D426" i="15"/>
  <c r="O427" i="15"/>
  <c r="J427" i="15" s="1"/>
  <c r="O353" i="11" l="1"/>
  <c r="J353" i="11" s="1"/>
  <c r="B352" i="11"/>
  <c r="C352" i="11"/>
  <c r="E351" i="11"/>
  <c r="D430" i="14"/>
  <c r="O431" i="14"/>
  <c r="J431" i="14" s="1"/>
  <c r="L427" i="15"/>
  <c r="E425" i="15"/>
  <c r="F426" i="15"/>
  <c r="B427" i="15"/>
  <c r="C427" i="15"/>
  <c r="G427" i="15" s="1"/>
  <c r="M427" i="15"/>
  <c r="G352" i="11" l="1"/>
  <c r="G3" i="11" s="1"/>
  <c r="D352" i="11"/>
  <c r="L353" i="11"/>
  <c r="B353" i="11"/>
  <c r="C353" i="11"/>
  <c r="G353" i="11" s="1"/>
  <c r="M353" i="11"/>
  <c r="F430" i="14"/>
  <c r="B431" i="14"/>
  <c r="C431" i="14"/>
  <c r="G431" i="14" s="1"/>
  <c r="M431" i="14"/>
  <c r="L431" i="14"/>
  <c r="E426" i="15"/>
  <c r="D427" i="15"/>
  <c r="O428" i="15"/>
  <c r="J428" i="15" s="1"/>
  <c r="O354" i="11" l="1"/>
  <c r="J354" i="11" s="1"/>
  <c r="D353" i="11"/>
  <c r="H3" i="11"/>
  <c r="F352" i="11"/>
  <c r="D431" i="14"/>
  <c r="E430" i="14"/>
  <c r="O432" i="14"/>
  <c r="J432" i="14" s="1"/>
  <c r="F427" i="15"/>
  <c r="L428" i="15"/>
  <c r="B428" i="15"/>
  <c r="C428" i="15"/>
  <c r="G428" i="15" s="1"/>
  <c r="M428" i="15"/>
  <c r="F353" i="11" l="1"/>
  <c r="E352" i="11"/>
  <c r="E3" i="11" s="1"/>
  <c r="B354" i="11"/>
  <c r="C354" i="11"/>
  <c r="G354" i="11" s="1"/>
  <c r="L354" i="11"/>
  <c r="M354" i="11"/>
  <c r="F431" i="14"/>
  <c r="M432" i="14"/>
  <c r="C432" i="14"/>
  <c r="G432" i="14" s="1"/>
  <c r="B432" i="14"/>
  <c r="L432" i="14"/>
  <c r="D428" i="15"/>
  <c r="E427" i="15"/>
  <c r="O429" i="15"/>
  <c r="J429" i="15" s="1"/>
  <c r="O355" i="11" l="1"/>
  <c r="J355" i="11" s="1"/>
  <c r="E353" i="11"/>
  <c r="D354" i="11"/>
  <c r="D432" i="14"/>
  <c r="E431" i="14"/>
  <c r="O433" i="14"/>
  <c r="J433" i="14" s="1"/>
  <c r="F428" i="15"/>
  <c r="L429" i="15"/>
  <c r="B429" i="15"/>
  <c r="C429" i="15"/>
  <c r="G429" i="15" s="1"/>
  <c r="M429" i="15"/>
  <c r="F354" i="11" l="1"/>
  <c r="B355" i="11"/>
  <c r="C355" i="11"/>
  <c r="G355" i="11" s="1"/>
  <c r="L355" i="11"/>
  <c r="M355" i="11"/>
  <c r="F432" i="14"/>
  <c r="C433" i="14"/>
  <c r="G433" i="14" s="1"/>
  <c r="B433" i="14"/>
  <c r="M433" i="14"/>
  <c r="L433" i="14"/>
  <c r="D429" i="15"/>
  <c r="E428" i="15"/>
  <c r="O430" i="15"/>
  <c r="J430" i="15" s="1"/>
  <c r="O356" i="11" l="1"/>
  <c r="J356" i="11" s="1"/>
  <c r="E354" i="11"/>
  <c r="D355" i="11"/>
  <c r="E432" i="14"/>
  <c r="D433" i="14"/>
  <c r="O434" i="14"/>
  <c r="J434" i="14" s="1"/>
  <c r="F429" i="15"/>
  <c r="B430" i="15"/>
  <c r="C430" i="15"/>
  <c r="G430" i="15" s="1"/>
  <c r="L430" i="15"/>
  <c r="M430" i="15"/>
  <c r="F355" i="11" l="1"/>
  <c r="B356" i="11"/>
  <c r="C356" i="11"/>
  <c r="G356" i="11" s="1"/>
  <c r="L356" i="11"/>
  <c r="M356" i="11"/>
  <c r="F433" i="14"/>
  <c r="B434" i="14"/>
  <c r="C434" i="14"/>
  <c r="G434" i="14" s="1"/>
  <c r="M434" i="14"/>
  <c r="L434" i="14"/>
  <c r="D430" i="15"/>
  <c r="E429" i="15"/>
  <c r="O431" i="15"/>
  <c r="J431" i="15" s="1"/>
  <c r="O357" i="11" l="1"/>
  <c r="J357" i="11" s="1"/>
  <c r="E355" i="11"/>
  <c r="D356" i="11"/>
  <c r="D434" i="14"/>
  <c r="E433" i="14"/>
  <c r="O435" i="14"/>
  <c r="J435" i="14" s="1"/>
  <c r="F430" i="15"/>
  <c r="L431" i="15"/>
  <c r="M431" i="15"/>
  <c r="C431" i="15"/>
  <c r="G431" i="15" s="1"/>
  <c r="B431" i="15"/>
  <c r="F356" i="11" l="1"/>
  <c r="B357" i="11"/>
  <c r="C357" i="11"/>
  <c r="G357" i="11" s="1"/>
  <c r="L357" i="11"/>
  <c r="M357" i="11"/>
  <c r="F434" i="14"/>
  <c r="M435" i="14"/>
  <c r="B435" i="14"/>
  <c r="C435" i="14"/>
  <c r="G435" i="14" s="1"/>
  <c r="L435" i="14"/>
  <c r="D431" i="15"/>
  <c r="F431" i="15" s="1"/>
  <c r="E430" i="15"/>
  <c r="O432" i="15"/>
  <c r="J432" i="15" s="1"/>
  <c r="O358" i="11" l="1"/>
  <c r="J358" i="11" s="1"/>
  <c r="E356" i="11"/>
  <c r="D357" i="11"/>
  <c r="D435" i="14"/>
  <c r="E434" i="14"/>
  <c r="O436" i="14"/>
  <c r="J436" i="14" s="1"/>
  <c r="E431" i="15"/>
  <c r="L432" i="15"/>
  <c r="B432" i="15"/>
  <c r="C432" i="15"/>
  <c r="G432" i="15" s="1"/>
  <c r="M432" i="15"/>
  <c r="F357" i="11" l="1"/>
  <c r="B358" i="11"/>
  <c r="C358" i="11"/>
  <c r="G358" i="11" s="1"/>
  <c r="L358" i="11"/>
  <c r="M358" i="11"/>
  <c r="F435" i="14"/>
  <c r="M436" i="14"/>
  <c r="B436" i="14"/>
  <c r="C436" i="14"/>
  <c r="G436" i="14" s="1"/>
  <c r="L436" i="14"/>
  <c r="D432" i="15"/>
  <c r="O433" i="15"/>
  <c r="J433" i="15" s="1"/>
  <c r="O359" i="11" l="1"/>
  <c r="J359" i="11" s="1"/>
  <c r="E357" i="11"/>
  <c r="D358" i="11"/>
  <c r="D436" i="14"/>
  <c r="E435" i="14"/>
  <c r="O437" i="14"/>
  <c r="J437" i="14" s="1"/>
  <c r="F432" i="15"/>
  <c r="L433" i="15"/>
  <c r="B433" i="15"/>
  <c r="C433" i="15"/>
  <c r="G433" i="15" s="1"/>
  <c r="M433" i="15"/>
  <c r="F358" i="11" l="1"/>
  <c r="B359" i="11"/>
  <c r="C359" i="11"/>
  <c r="G359" i="11" s="1"/>
  <c r="L359" i="11"/>
  <c r="M359" i="11"/>
  <c r="F436" i="14"/>
  <c r="M437" i="14"/>
  <c r="B437" i="14"/>
  <c r="C437" i="14"/>
  <c r="G437" i="14" s="1"/>
  <c r="L437" i="14"/>
  <c r="D433" i="15"/>
  <c r="E432" i="15"/>
  <c r="O434" i="15"/>
  <c r="J434" i="15" s="1"/>
  <c r="O360" i="11" l="1"/>
  <c r="J360" i="11" s="1"/>
  <c r="E358" i="11"/>
  <c r="D359" i="11"/>
  <c r="D437" i="14"/>
  <c r="F437" i="14" s="1"/>
  <c r="E436" i="14"/>
  <c r="O438" i="14"/>
  <c r="J438" i="14" s="1"/>
  <c r="F433" i="15"/>
  <c r="L434" i="15"/>
  <c r="C434" i="15"/>
  <c r="G434" i="15" s="1"/>
  <c r="B434" i="15"/>
  <c r="M434" i="15"/>
  <c r="F359" i="11" l="1"/>
  <c r="B360" i="11"/>
  <c r="C360" i="11"/>
  <c r="G360" i="11" s="1"/>
  <c r="L360" i="11"/>
  <c r="M360" i="11"/>
  <c r="E437" i="14"/>
  <c r="M438" i="14"/>
  <c r="C438" i="14"/>
  <c r="G438" i="14" s="1"/>
  <c r="B438" i="14"/>
  <c r="L438" i="14"/>
  <c r="D434" i="15"/>
  <c r="E433" i="15"/>
  <c r="O435" i="15"/>
  <c r="J435" i="15" s="1"/>
  <c r="O361" i="11" l="1"/>
  <c r="J361" i="11" s="1"/>
  <c r="E359" i="11"/>
  <c r="D360" i="11"/>
  <c r="O439" i="14"/>
  <c r="J439" i="14" s="1"/>
  <c r="D438" i="14"/>
  <c r="F434" i="15"/>
  <c r="B435" i="15"/>
  <c r="C435" i="15"/>
  <c r="G435" i="15" s="1"/>
  <c r="L435" i="15"/>
  <c r="M435" i="15"/>
  <c r="F360" i="11" l="1"/>
  <c r="B361" i="11"/>
  <c r="C361" i="11"/>
  <c r="G361" i="11" s="1"/>
  <c r="L361" i="11"/>
  <c r="M361" i="11"/>
  <c r="F438" i="14"/>
  <c r="M439" i="14"/>
  <c r="B439" i="14"/>
  <c r="C439" i="14"/>
  <c r="G439" i="14" s="1"/>
  <c r="L439" i="14"/>
  <c r="D435" i="15"/>
  <c r="E434" i="15"/>
  <c r="O436" i="15"/>
  <c r="J436" i="15" s="1"/>
  <c r="O362" i="11" l="1"/>
  <c r="J362" i="11" s="1"/>
  <c r="E360" i="11"/>
  <c r="D361" i="11"/>
  <c r="O440" i="14"/>
  <c r="J440" i="14" s="1"/>
  <c r="D439" i="14"/>
  <c r="F439" i="14" s="1"/>
  <c r="E438" i="14"/>
  <c r="F435" i="15"/>
  <c r="L436" i="15"/>
  <c r="B436" i="15"/>
  <c r="C436" i="15"/>
  <c r="G436" i="15" s="1"/>
  <c r="M436" i="15"/>
  <c r="F361" i="11" l="1"/>
  <c r="L362" i="11"/>
  <c r="B362" i="11"/>
  <c r="C362" i="11"/>
  <c r="G362" i="11" s="1"/>
  <c r="M362" i="11"/>
  <c r="E439" i="14"/>
  <c r="B440" i="14"/>
  <c r="C440" i="14"/>
  <c r="G440" i="14" s="1"/>
  <c r="L440" i="14"/>
  <c r="M440" i="14"/>
  <c r="D436" i="15"/>
  <c r="F436" i="15" s="1"/>
  <c r="E435" i="15"/>
  <c r="O437" i="15"/>
  <c r="J437" i="15" s="1"/>
  <c r="O363" i="11" l="1"/>
  <c r="J363" i="11" s="1"/>
  <c r="E361" i="11"/>
  <c r="D362" i="11"/>
  <c r="O441" i="14"/>
  <c r="J441" i="14" s="1"/>
  <c r="D440" i="14"/>
  <c r="E436" i="15"/>
  <c r="C437" i="15"/>
  <c r="G437" i="15" s="1"/>
  <c r="B437" i="15"/>
  <c r="L437" i="15"/>
  <c r="M437" i="15"/>
  <c r="L363" i="11" l="1"/>
  <c r="F362" i="11"/>
  <c r="B363" i="11"/>
  <c r="C363" i="11"/>
  <c r="G363" i="11" s="1"/>
  <c r="M363" i="11"/>
  <c r="F440" i="14"/>
  <c r="B441" i="14"/>
  <c r="C441" i="14"/>
  <c r="G441" i="14" s="1"/>
  <c r="L441" i="14"/>
  <c r="M441" i="14"/>
  <c r="D437" i="15"/>
  <c r="O438" i="15"/>
  <c r="J438" i="15" s="1"/>
  <c r="O442" i="14" l="1"/>
  <c r="J442" i="14" s="1"/>
  <c r="O364" i="11"/>
  <c r="E362" i="11"/>
  <c r="D363" i="11"/>
  <c r="E440" i="14"/>
  <c r="D441" i="14"/>
  <c r="F437" i="15"/>
  <c r="C438" i="15"/>
  <c r="G438" i="15" s="1"/>
  <c r="B438" i="15"/>
  <c r="L438" i="15"/>
  <c r="M438" i="15"/>
  <c r="B442" i="14" l="1"/>
  <c r="C442" i="14"/>
  <c r="G442" i="14" s="1"/>
  <c r="L442" i="14"/>
  <c r="M442" i="14"/>
  <c r="F363" i="11"/>
  <c r="J364" i="11"/>
  <c r="L364" i="11"/>
  <c r="M364" i="11"/>
  <c r="F441" i="14"/>
  <c r="O439" i="15"/>
  <c r="J439" i="15" s="1"/>
  <c r="D438" i="15"/>
  <c r="F438" i="15" s="1"/>
  <c r="E437" i="15"/>
  <c r="O443" i="14" l="1"/>
  <c r="J443" i="14" s="1"/>
  <c r="D442" i="14"/>
  <c r="O365" i="11"/>
  <c r="J365" i="11" s="1"/>
  <c r="C364" i="11"/>
  <c r="B364" i="11"/>
  <c r="E363" i="11"/>
  <c r="E441" i="14"/>
  <c r="B439" i="15"/>
  <c r="C439" i="15"/>
  <c r="G439" i="15" s="1"/>
  <c r="L439" i="15"/>
  <c r="E438" i="15"/>
  <c r="M439" i="15"/>
  <c r="B443" i="14" l="1"/>
  <c r="C443" i="14"/>
  <c r="G443" i="14" s="1"/>
  <c r="L443" i="14"/>
  <c r="M443" i="14"/>
  <c r="F442" i="14"/>
  <c r="G364" i="11"/>
  <c r="D364" i="11"/>
  <c r="L365" i="11"/>
  <c r="C365" i="11"/>
  <c r="G365" i="11" s="1"/>
  <c r="B365" i="11"/>
  <c r="M365" i="11"/>
  <c r="O440" i="15"/>
  <c r="J440" i="15" s="1"/>
  <c r="D439" i="15"/>
  <c r="O444" i="14" l="1"/>
  <c r="J444" i="14" s="1"/>
  <c r="C444" i="14" s="1"/>
  <c r="G444" i="14" s="1"/>
  <c r="D443" i="14"/>
  <c r="E442" i="14"/>
  <c r="O366" i="11"/>
  <c r="J366" i="11" s="1"/>
  <c r="D365" i="11"/>
  <c r="F364" i="11"/>
  <c r="F439" i="15"/>
  <c r="B440" i="15"/>
  <c r="C440" i="15"/>
  <c r="G440" i="15" s="1"/>
  <c r="L440" i="15"/>
  <c r="M440" i="15"/>
  <c r="D444" i="14" l="1"/>
  <c r="L444" i="14"/>
  <c r="M444" i="14"/>
  <c r="B444" i="14"/>
  <c r="F443" i="14"/>
  <c r="F365" i="11"/>
  <c r="E364" i="11"/>
  <c r="L366" i="11"/>
  <c r="C366" i="11"/>
  <c r="G366" i="11" s="1"/>
  <c r="B366" i="11"/>
  <c r="M366" i="11"/>
  <c r="O441" i="15"/>
  <c r="J441" i="15" s="1"/>
  <c r="E439" i="15"/>
  <c r="D440" i="15"/>
  <c r="F440" i="15" s="1"/>
  <c r="F444" i="14" l="1"/>
  <c r="E444" i="14" s="1"/>
  <c r="O445" i="14"/>
  <c r="J445" i="14" s="1"/>
  <c r="E443" i="14"/>
  <c r="O367" i="11"/>
  <c r="J367" i="11" s="1"/>
  <c r="D366" i="11"/>
  <c r="F366" i="11" s="1"/>
  <c r="E365" i="11"/>
  <c r="L441" i="15"/>
  <c r="E440" i="15"/>
  <c r="B441" i="15"/>
  <c r="C441" i="15"/>
  <c r="G441" i="15" s="1"/>
  <c r="M441" i="15"/>
  <c r="L445" i="14" l="1"/>
  <c r="B445" i="14"/>
  <c r="C445" i="14"/>
  <c r="M445" i="14"/>
  <c r="O442" i="15"/>
  <c r="J442" i="15" s="1"/>
  <c r="E366" i="11"/>
  <c r="L367" i="11"/>
  <c r="C367" i="11"/>
  <c r="G367" i="11" s="1"/>
  <c r="B367" i="11"/>
  <c r="M367" i="11"/>
  <c r="D441" i="15"/>
  <c r="O446" i="14" l="1"/>
  <c r="J446" i="14" s="1"/>
  <c r="G445" i="14"/>
  <c r="D445" i="14"/>
  <c r="L442" i="15"/>
  <c r="C442" i="15"/>
  <c r="G442" i="15" s="1"/>
  <c r="B442" i="15"/>
  <c r="M442" i="15"/>
  <c r="D367" i="11"/>
  <c r="O368" i="11"/>
  <c r="J368" i="11" s="1"/>
  <c r="F441" i="15"/>
  <c r="B446" i="14" l="1"/>
  <c r="C446" i="14"/>
  <c r="G446" i="14" s="1"/>
  <c r="L446" i="14"/>
  <c r="M446" i="14"/>
  <c r="F445" i="14"/>
  <c r="O443" i="15"/>
  <c r="J443" i="15" s="1"/>
  <c r="D442" i="15"/>
  <c r="C368" i="11"/>
  <c r="G368" i="11" s="1"/>
  <c r="B368" i="11"/>
  <c r="M368" i="11"/>
  <c r="F367" i="11"/>
  <c r="L368" i="11"/>
  <c r="E441" i="15"/>
  <c r="O447" i="14" l="1"/>
  <c r="J447" i="14" s="1"/>
  <c r="D446" i="14"/>
  <c r="E445" i="14"/>
  <c r="L443" i="15"/>
  <c r="F442" i="15"/>
  <c r="B443" i="15"/>
  <c r="C443" i="15"/>
  <c r="G443" i="15" s="1"/>
  <c r="M443" i="15"/>
  <c r="E367" i="11"/>
  <c r="D368" i="11"/>
  <c r="F368" i="11" s="1"/>
  <c r="O369" i="11"/>
  <c r="J369" i="11" s="1"/>
  <c r="B447" i="14" l="1"/>
  <c r="C447" i="14"/>
  <c r="G447" i="14" s="1"/>
  <c r="L447" i="14"/>
  <c r="M447" i="14"/>
  <c r="F446" i="14"/>
  <c r="O444" i="15"/>
  <c r="J444" i="15" s="1"/>
  <c r="D443" i="15"/>
  <c r="E442" i="15"/>
  <c r="C369" i="11"/>
  <c r="G369" i="11" s="1"/>
  <c r="B369" i="11"/>
  <c r="M369" i="11"/>
  <c r="E368" i="11"/>
  <c r="L369" i="11"/>
  <c r="O448" i="14" l="1"/>
  <c r="J448" i="14" s="1"/>
  <c r="D447" i="14"/>
  <c r="E446" i="14"/>
  <c r="L444" i="15"/>
  <c r="F443" i="15"/>
  <c r="E443" i="15" s="1"/>
  <c r="B444" i="15"/>
  <c r="C444" i="15"/>
  <c r="G444" i="15" s="1"/>
  <c r="M444" i="15"/>
  <c r="D369" i="11"/>
  <c r="F369" i="11" s="1"/>
  <c r="O370" i="11"/>
  <c r="J370" i="11" s="1"/>
  <c r="B448" i="14" l="1"/>
  <c r="C448" i="14"/>
  <c r="G448" i="14" s="1"/>
  <c r="L448" i="14"/>
  <c r="M448" i="14"/>
  <c r="F447" i="14"/>
  <c r="O445" i="15"/>
  <c r="J445" i="15" s="1"/>
  <c r="D444" i="15"/>
  <c r="M370" i="11"/>
  <c r="B370" i="11"/>
  <c r="C370" i="11"/>
  <c r="L370" i="11"/>
  <c r="E369" i="11"/>
  <c r="O449" i="14" l="1"/>
  <c r="J449" i="14" s="1"/>
  <c r="D448" i="14"/>
  <c r="E447" i="14"/>
  <c r="L445" i="15"/>
  <c r="B445" i="15"/>
  <c r="C445" i="15"/>
  <c r="G445" i="15" s="1"/>
  <c r="M445" i="15"/>
  <c r="F444" i="15"/>
  <c r="O371" i="11"/>
  <c r="G370" i="11"/>
  <c r="D370" i="11"/>
  <c r="B449" i="14" l="1"/>
  <c r="C449" i="14"/>
  <c r="G449" i="14" s="1"/>
  <c r="L449" i="14"/>
  <c r="M449" i="14"/>
  <c r="F448" i="14"/>
  <c r="O446" i="15"/>
  <c r="J446" i="15" s="1"/>
  <c r="D445" i="15"/>
  <c r="E444" i="15"/>
  <c r="F370" i="11"/>
  <c r="J371" i="11"/>
  <c r="M371" i="11"/>
  <c r="L371" i="11"/>
  <c r="O450" i="14" l="1"/>
  <c r="J450" i="14" s="1"/>
  <c r="D449" i="14"/>
  <c r="E448" i="14"/>
  <c r="L446" i="15"/>
  <c r="C446" i="15"/>
  <c r="G446" i="15" s="1"/>
  <c r="B446" i="15"/>
  <c r="M446" i="15"/>
  <c r="F445" i="15"/>
  <c r="B371" i="11"/>
  <c r="C371" i="11"/>
  <c r="E370" i="11"/>
  <c r="O372" i="11"/>
  <c r="J372" i="11" s="1"/>
  <c r="B450" i="14" l="1"/>
  <c r="C450" i="14"/>
  <c r="G450" i="14" s="1"/>
  <c r="L450" i="14"/>
  <c r="M450" i="14"/>
  <c r="F449" i="14"/>
  <c r="O447" i="15"/>
  <c r="J447" i="15" s="1"/>
  <c r="D446" i="15"/>
  <c r="E445" i="15"/>
  <c r="L372" i="11"/>
  <c r="M372" i="11"/>
  <c r="G371" i="11"/>
  <c r="D371" i="11"/>
  <c r="B372" i="11"/>
  <c r="C372" i="11"/>
  <c r="G372" i="11" s="1"/>
  <c r="D450" i="14" l="1"/>
  <c r="F450" i="14" s="1"/>
  <c r="E450" i="14" s="1"/>
  <c r="O451" i="14"/>
  <c r="J451" i="14" s="1"/>
  <c r="E449" i="14"/>
  <c r="C447" i="15"/>
  <c r="G447" i="15" s="1"/>
  <c r="B447" i="15"/>
  <c r="L447" i="15"/>
  <c r="M447" i="15"/>
  <c r="F446" i="15"/>
  <c r="D372" i="11"/>
  <c r="F371" i="11"/>
  <c r="O373" i="11"/>
  <c r="J373" i="11" s="1"/>
  <c r="B451" i="14" l="1"/>
  <c r="C451" i="14"/>
  <c r="L451" i="14"/>
  <c r="M451" i="14"/>
  <c r="O448" i="15"/>
  <c r="J448" i="15" s="1"/>
  <c r="D447" i="15"/>
  <c r="E446" i="15"/>
  <c r="B373" i="11"/>
  <c r="C373" i="11"/>
  <c r="G373" i="11" s="1"/>
  <c r="L373" i="11"/>
  <c r="M373" i="11"/>
  <c r="E371" i="11"/>
  <c r="F372" i="11"/>
  <c r="G2" i="14" l="1"/>
  <c r="E2" i="14"/>
  <c r="B448" i="15"/>
  <c r="C448" i="15"/>
  <c r="G448" i="15" s="1"/>
  <c r="L448" i="15"/>
  <c r="M448" i="15"/>
  <c r="F447" i="15"/>
  <c r="D373" i="11"/>
  <c r="F373" i="11" s="1"/>
  <c r="E372" i="11"/>
  <c r="O374" i="11"/>
  <c r="J374" i="11" s="1"/>
  <c r="O449" i="15" l="1"/>
  <c r="J449" i="15" s="1"/>
  <c r="D448" i="15"/>
  <c r="E447" i="15"/>
  <c r="E373" i="11"/>
  <c r="L374" i="11"/>
  <c r="M374" i="11"/>
  <c r="B374" i="11"/>
  <c r="C374" i="11"/>
  <c r="B449" i="15" l="1"/>
  <c r="C449" i="15"/>
  <c r="G449" i="15" s="1"/>
  <c r="L449" i="15"/>
  <c r="M449" i="15"/>
  <c r="F448" i="15"/>
  <c r="G374" i="11"/>
  <c r="D374" i="11"/>
  <c r="O375" i="11"/>
  <c r="J375" i="11" s="1"/>
  <c r="O450" i="15" l="1"/>
  <c r="J450" i="15" s="1"/>
  <c r="D449" i="15"/>
  <c r="E448" i="15"/>
  <c r="B375" i="11"/>
  <c r="C375" i="11"/>
  <c r="G375" i="11" s="1"/>
  <c r="L375" i="11"/>
  <c r="F374" i="11"/>
  <c r="M375" i="11"/>
  <c r="M450" i="15" l="1"/>
  <c r="B450" i="15"/>
  <c r="C450" i="15"/>
  <c r="G450" i="15" s="1"/>
  <c r="L450" i="15"/>
  <c r="F449" i="15"/>
  <c r="D375" i="11"/>
  <c r="F375" i="11" s="1"/>
  <c r="O376" i="11"/>
  <c r="J376" i="11" s="1"/>
  <c r="E374" i="11"/>
  <c r="O451" i="15" l="1"/>
  <c r="J451" i="15" s="1"/>
  <c r="D450" i="15"/>
  <c r="E449" i="15"/>
  <c r="E375" i="11"/>
  <c r="B376" i="11"/>
  <c r="C376" i="11"/>
  <c r="M376" i="11"/>
  <c r="L376" i="11"/>
  <c r="M451" i="15" l="1"/>
  <c r="B451" i="15"/>
  <c r="C451" i="15"/>
  <c r="G2" i="15" s="1"/>
  <c r="L451" i="15"/>
  <c r="F450" i="15"/>
  <c r="G376" i="11"/>
  <c r="D376" i="11"/>
  <c r="O377" i="11"/>
  <c r="J377" i="11" s="1"/>
  <c r="E450" i="15" l="1"/>
  <c r="L377" i="11"/>
  <c r="B377" i="11"/>
  <c r="C377" i="11"/>
  <c r="G377" i="11" s="1"/>
  <c r="F376" i="11"/>
  <c r="M377" i="11"/>
  <c r="E2" i="15" l="1"/>
  <c r="D377" i="11"/>
  <c r="F377" i="11" s="1"/>
  <c r="E376" i="11"/>
  <c r="O378" i="11"/>
  <c r="J378" i="11" s="1"/>
  <c r="L378" i="11" l="1"/>
  <c r="B378" i="11"/>
  <c r="C378" i="11"/>
  <c r="M378" i="11"/>
  <c r="E377" i="11"/>
  <c r="O379" i="11" l="1"/>
  <c r="J379" i="11" s="1"/>
  <c r="G378" i="11"/>
  <c r="D378" i="11"/>
  <c r="L379" i="11" l="1"/>
  <c r="F378" i="11"/>
  <c r="B379" i="11"/>
  <c r="C379" i="11"/>
  <c r="G379" i="11" s="1"/>
  <c r="M379" i="11"/>
  <c r="O380" i="11" l="1"/>
  <c r="J380" i="11" s="1"/>
  <c r="B380" i="11" s="1"/>
  <c r="D379" i="11"/>
  <c r="F379" i="11" s="1"/>
  <c r="E378" i="11"/>
  <c r="C380" i="11" l="1"/>
  <c r="G380" i="11" s="1"/>
  <c r="L380" i="11"/>
  <c r="M380" i="11"/>
  <c r="O381" i="11" s="1"/>
  <c r="J381" i="11" s="1"/>
  <c r="B381" i="11" s="1"/>
  <c r="E379" i="11"/>
  <c r="D380" i="11" l="1"/>
  <c r="F380" i="11" s="1"/>
  <c r="E380" i="11" s="1"/>
  <c r="M381" i="11"/>
  <c r="O382" i="11" s="1"/>
  <c r="C381" i="11"/>
  <c r="G381" i="11" s="1"/>
  <c r="L381" i="11"/>
  <c r="D381" i="11" l="1"/>
  <c r="F381" i="11"/>
  <c r="J382" i="11"/>
  <c r="L382" i="11"/>
  <c r="M382" i="11"/>
  <c r="O383" i="11" l="1"/>
  <c r="J383" i="11" s="1"/>
  <c r="B382" i="11"/>
  <c r="C382" i="11"/>
  <c r="E381" i="11"/>
  <c r="M383" i="11" l="1"/>
  <c r="G382" i="11"/>
  <c r="D382" i="11"/>
  <c r="B383" i="11"/>
  <c r="C383" i="11"/>
  <c r="G383" i="11" s="1"/>
  <c r="L383" i="11"/>
  <c r="D383" i="11" l="1"/>
  <c r="F382" i="11"/>
  <c r="O384" i="11"/>
  <c r="E382" i="11" l="1"/>
  <c r="F383" i="11"/>
  <c r="J384" i="11"/>
  <c r="M384" i="11"/>
  <c r="L384" i="11"/>
  <c r="B384" i="11" l="1"/>
  <c r="C384" i="11"/>
  <c r="O385" i="11"/>
  <c r="J385" i="11" s="1"/>
  <c r="E383" i="11"/>
  <c r="B385" i="11" l="1"/>
  <c r="C385" i="11"/>
  <c r="G385" i="11" s="1"/>
  <c r="L385" i="11"/>
  <c r="G384" i="11"/>
  <c r="D384" i="11"/>
  <c r="M385" i="11"/>
  <c r="D385" i="11" l="1"/>
  <c r="F384" i="11"/>
  <c r="O386" i="11"/>
  <c r="J386" i="11" s="1"/>
  <c r="L386" i="11" l="1"/>
  <c r="M386" i="11"/>
  <c r="B386" i="11"/>
  <c r="C386" i="11"/>
  <c r="G386" i="11" s="1"/>
  <c r="E384" i="11"/>
  <c r="F385" i="11"/>
  <c r="E385" i="11" l="1"/>
  <c r="D386" i="11"/>
  <c r="O387" i="11"/>
  <c r="J387" i="11" s="1"/>
  <c r="L387" i="11" l="1"/>
  <c r="M387" i="11"/>
  <c r="F386" i="11"/>
  <c r="B387" i="11"/>
  <c r="C387" i="11"/>
  <c r="G387" i="11" s="1"/>
  <c r="O388" i="11" l="1"/>
  <c r="J388" i="11" s="1"/>
  <c r="E386" i="11"/>
  <c r="D387" i="11"/>
  <c r="F387" i="11" l="1"/>
  <c r="B388" i="11"/>
  <c r="C388" i="11"/>
  <c r="G388" i="11" s="1"/>
  <c r="L388" i="11"/>
  <c r="M388" i="11"/>
  <c r="O389" i="11" l="1"/>
  <c r="J389" i="11" s="1"/>
  <c r="E387" i="11"/>
  <c r="D388" i="11"/>
  <c r="B389" i="11" l="1"/>
  <c r="C389" i="11"/>
  <c r="G389" i="11" s="1"/>
  <c r="L389" i="11"/>
  <c r="F388" i="11"/>
  <c r="M389" i="11"/>
  <c r="D389" i="11" l="1"/>
  <c r="F389" i="11" s="1"/>
  <c r="O390" i="11"/>
  <c r="J390" i="11" s="1"/>
  <c r="E388" i="11"/>
  <c r="B390" i="11" l="1"/>
  <c r="C390" i="11"/>
  <c r="E389" i="11"/>
  <c r="L390" i="11"/>
  <c r="M390" i="11"/>
  <c r="G390" i="11" l="1"/>
  <c r="D390" i="11"/>
  <c r="O391" i="11"/>
  <c r="J391" i="11" s="1"/>
  <c r="B391" i="11" l="1"/>
  <c r="C391" i="11"/>
  <c r="G391" i="11" s="1"/>
  <c r="M391" i="11"/>
  <c r="F390" i="11"/>
  <c r="L391" i="11"/>
  <c r="E390" i="11" l="1"/>
  <c r="D391" i="11"/>
  <c r="O392" i="11"/>
  <c r="J392" i="11" s="1"/>
  <c r="M392" i="11" l="1"/>
  <c r="B392" i="11"/>
  <c r="C392" i="11"/>
  <c r="G392" i="11" s="1"/>
  <c r="L392" i="11"/>
  <c r="F391" i="11"/>
  <c r="D392" i="11" l="1"/>
  <c r="F392" i="11" s="1"/>
  <c r="E391" i="11"/>
  <c r="O393" i="11"/>
  <c r="J393" i="11" s="1"/>
  <c r="M393" i="11" l="1"/>
  <c r="L393" i="11"/>
  <c r="B393" i="11"/>
  <c r="C393" i="11"/>
  <c r="E392" i="11"/>
  <c r="G393" i="11" l="1"/>
  <c r="D393" i="11"/>
  <c r="O394" i="11"/>
  <c r="J394" i="11" s="1"/>
  <c r="M394" i="11" l="1"/>
  <c r="L394" i="11"/>
  <c r="F393" i="11"/>
  <c r="B394" i="11"/>
  <c r="C394" i="11"/>
  <c r="G394" i="11" s="1"/>
  <c r="E393" i="11" l="1"/>
  <c r="D394" i="11"/>
  <c r="O395" i="11"/>
  <c r="J395" i="11" s="1"/>
  <c r="M395" i="11" l="1"/>
  <c r="B395" i="11"/>
  <c r="C395" i="11"/>
  <c r="G395" i="11" s="1"/>
  <c r="F394" i="11"/>
  <c r="L395" i="11"/>
  <c r="O396" i="11" l="1"/>
  <c r="E394" i="11"/>
  <c r="D395" i="11"/>
  <c r="F395" i="11" s="1"/>
  <c r="E395" i="11" l="1"/>
  <c r="J396" i="11"/>
  <c r="M396" i="11"/>
  <c r="L396" i="11"/>
  <c r="B396" i="11" l="1"/>
  <c r="C396" i="11"/>
  <c r="O397" i="11"/>
  <c r="J397" i="11" s="1"/>
  <c r="M397" i="11" l="1"/>
  <c r="L397" i="11"/>
  <c r="G396" i="11"/>
  <c r="D396" i="11"/>
  <c r="B397" i="11"/>
  <c r="C397" i="11"/>
  <c r="G397" i="11" s="1"/>
  <c r="O398" i="11" l="1"/>
  <c r="J398" i="11" s="1"/>
  <c r="D397" i="11"/>
  <c r="F396" i="11"/>
  <c r="M398" i="11" l="1"/>
  <c r="E396" i="11"/>
  <c r="F397" i="11"/>
  <c r="B398" i="11"/>
  <c r="C398" i="11"/>
  <c r="G398" i="11" s="1"/>
  <c r="L398" i="11"/>
  <c r="O399" i="11" l="1"/>
  <c r="E397" i="11"/>
  <c r="D398" i="11"/>
  <c r="F398" i="11" s="1"/>
  <c r="E398" i="11" l="1"/>
  <c r="J399" i="11"/>
  <c r="M399" i="11"/>
  <c r="L399" i="11"/>
  <c r="O400" i="11" l="1"/>
  <c r="J400" i="11" s="1"/>
  <c r="B399" i="11"/>
  <c r="C399" i="11"/>
  <c r="M400" i="11" l="1"/>
  <c r="G399" i="11"/>
  <c r="D399" i="11"/>
  <c r="B400" i="11"/>
  <c r="C400" i="11"/>
  <c r="G400" i="11" s="1"/>
  <c r="L400" i="11"/>
  <c r="O401" i="11" l="1"/>
  <c r="D400" i="11"/>
  <c r="F399" i="11"/>
  <c r="E399" i="11" l="1"/>
  <c r="F400" i="11"/>
  <c r="J401" i="11"/>
  <c r="M401" i="11"/>
  <c r="L401" i="11"/>
  <c r="E400" i="11" l="1"/>
  <c r="O402" i="11"/>
  <c r="J402" i="11" s="1"/>
  <c r="B401" i="11"/>
  <c r="C401" i="11"/>
  <c r="G401" i="11" l="1"/>
  <c r="D401" i="11"/>
  <c r="B402" i="11"/>
  <c r="C402" i="11"/>
  <c r="G402" i="11" s="1"/>
  <c r="L402" i="11"/>
  <c r="M402" i="11"/>
  <c r="O403" i="11" l="1"/>
  <c r="J403" i="11" s="1"/>
  <c r="D402" i="11"/>
  <c r="F401" i="11"/>
  <c r="E401" i="11" l="1"/>
  <c r="F402" i="11"/>
  <c r="B403" i="11"/>
  <c r="C403" i="11"/>
  <c r="G403" i="11" s="1"/>
  <c r="M403" i="11"/>
  <c r="L403" i="11"/>
  <c r="D403" i="11" l="1"/>
  <c r="F403" i="11" s="1"/>
  <c r="E402" i="11"/>
  <c r="O404" i="11"/>
  <c r="J404" i="11" s="1"/>
  <c r="L404" i="11" l="1"/>
  <c r="E403" i="11"/>
  <c r="B404" i="11"/>
  <c r="C404" i="11"/>
  <c r="G404" i="11" s="1"/>
  <c r="M404" i="11"/>
  <c r="D404" i="11" l="1"/>
  <c r="F404" i="11" s="1"/>
  <c r="O405" i="11"/>
  <c r="J405" i="11" s="1"/>
  <c r="B405" i="11" l="1"/>
  <c r="C405" i="11"/>
  <c r="L405" i="11"/>
  <c r="E404" i="11"/>
  <c r="M405" i="11"/>
  <c r="O406" i="11" l="1"/>
  <c r="J406" i="11" s="1"/>
  <c r="G405" i="11"/>
  <c r="D405" i="11"/>
  <c r="M406" i="11" l="1"/>
  <c r="F405" i="11"/>
  <c r="B406" i="11"/>
  <c r="C406" i="11"/>
  <c r="G406" i="11" s="1"/>
  <c r="L406" i="11"/>
  <c r="O407" i="11" l="1"/>
  <c r="E405" i="11"/>
  <c r="D406" i="11"/>
  <c r="J407" i="11" l="1"/>
  <c r="M407" i="11"/>
  <c r="F406" i="11"/>
  <c r="L407" i="11"/>
  <c r="O408" i="11" l="1"/>
  <c r="J408" i="11" s="1"/>
  <c r="B407" i="11"/>
  <c r="C407" i="11"/>
  <c r="E406" i="11"/>
  <c r="G407" i="11" l="1"/>
  <c r="D407" i="11"/>
  <c r="M408" i="11"/>
  <c r="B408" i="11"/>
  <c r="C408" i="11"/>
  <c r="G408" i="11" s="1"/>
  <c r="L408" i="11"/>
  <c r="O409" i="11" l="1"/>
  <c r="J409" i="11" s="1"/>
  <c r="D408" i="11"/>
  <c r="F407" i="11"/>
  <c r="M409" i="11" l="1"/>
  <c r="E407" i="11"/>
  <c r="F408" i="11"/>
  <c r="B409" i="11"/>
  <c r="C409" i="11"/>
  <c r="G409" i="11" s="1"/>
  <c r="L409" i="11"/>
  <c r="O410" i="11" l="1"/>
  <c r="E408" i="11"/>
  <c r="D409" i="11"/>
  <c r="J410" i="11" l="1"/>
  <c r="M410" i="11"/>
  <c r="F409" i="11"/>
  <c r="L410" i="11"/>
  <c r="O411" i="11" l="1"/>
  <c r="J411" i="11" s="1"/>
  <c r="E409" i="11"/>
  <c r="B410" i="11"/>
  <c r="C410" i="11"/>
  <c r="M411" i="11" l="1"/>
  <c r="G410" i="11"/>
  <c r="D410" i="11"/>
  <c r="B411" i="11"/>
  <c r="C411" i="11"/>
  <c r="G411" i="11" s="1"/>
  <c r="L411" i="11"/>
  <c r="O412" i="11" l="1"/>
  <c r="D411" i="11"/>
  <c r="F410" i="11"/>
  <c r="J412" i="11" l="1"/>
  <c r="M412" i="11"/>
  <c r="E410" i="11"/>
  <c r="F411" i="11"/>
  <c r="L412" i="11"/>
  <c r="E411" i="11" l="1"/>
  <c r="B412" i="11"/>
  <c r="C412" i="11"/>
  <c r="O413" i="11"/>
  <c r="J413" i="11" s="1"/>
  <c r="M413" i="11" l="1"/>
  <c r="L413" i="11"/>
  <c r="B413" i="11"/>
  <c r="C413" i="11"/>
  <c r="G413" i="11" s="1"/>
  <c r="G412" i="11"/>
  <c r="D412" i="11"/>
  <c r="D413" i="11" l="1"/>
  <c r="F412" i="11"/>
  <c r="O414" i="11"/>
  <c r="J414" i="11" s="1"/>
  <c r="B414" i="11" l="1"/>
  <c r="C414" i="11"/>
  <c r="G414" i="11" s="1"/>
  <c r="L414" i="11"/>
  <c r="M414" i="11"/>
  <c r="E412" i="11"/>
  <c r="F413" i="11"/>
  <c r="D414" i="11" l="1"/>
  <c r="F414" i="11" s="1"/>
  <c r="O415" i="11"/>
  <c r="J415" i="11" s="1"/>
  <c r="E413" i="11"/>
  <c r="B415" i="11" l="1"/>
  <c r="C415" i="11"/>
  <c r="L415" i="11"/>
  <c r="E414" i="11"/>
  <c r="M415" i="11"/>
  <c r="O416" i="11" l="1"/>
  <c r="J416" i="11" s="1"/>
  <c r="G415" i="11"/>
  <c r="D415" i="11"/>
  <c r="M416" i="11" l="1"/>
  <c r="F415" i="11"/>
  <c r="B416" i="11"/>
  <c r="C416" i="11"/>
  <c r="G416" i="11" s="1"/>
  <c r="L416" i="11"/>
  <c r="O417" i="11" l="1"/>
  <c r="D416" i="11"/>
  <c r="F416" i="11" s="1"/>
  <c r="E415" i="11"/>
  <c r="E416" i="11" l="1"/>
  <c r="J417" i="11"/>
  <c r="M417" i="11"/>
  <c r="L417" i="11"/>
  <c r="O418" i="11" l="1"/>
  <c r="J418" i="11" s="1"/>
  <c r="B417" i="11"/>
  <c r="C417" i="11"/>
  <c r="M418" i="11" l="1"/>
  <c r="G417" i="11"/>
  <c r="D417" i="11"/>
  <c r="B418" i="11"/>
  <c r="C418" i="11"/>
  <c r="G418" i="11" s="1"/>
  <c r="L418" i="11"/>
  <c r="O419" i="11" l="1"/>
  <c r="D418" i="11"/>
  <c r="F417" i="11"/>
  <c r="E417" i="11" l="1"/>
  <c r="F418" i="11"/>
  <c r="J419" i="11"/>
  <c r="M419" i="11"/>
  <c r="L419" i="11"/>
  <c r="O420" i="11" l="1"/>
  <c r="J420" i="11" s="1"/>
  <c r="B419" i="11"/>
  <c r="C419" i="11"/>
  <c r="E418" i="11"/>
  <c r="M420" i="11" l="1"/>
  <c r="G419" i="11"/>
  <c r="D419" i="11"/>
  <c r="B420" i="11"/>
  <c r="C420" i="11"/>
  <c r="G420" i="11" s="1"/>
  <c r="L420" i="11"/>
  <c r="O421" i="11" l="1"/>
  <c r="D420" i="11"/>
  <c r="F419" i="11"/>
  <c r="E419" i="11" l="1"/>
  <c r="F420" i="11"/>
  <c r="J421" i="11"/>
  <c r="M421" i="11"/>
  <c r="L421" i="11"/>
  <c r="C421" i="11" l="1"/>
  <c r="B421" i="11"/>
  <c r="E420" i="11"/>
  <c r="O422" i="11"/>
  <c r="J422" i="11" s="1"/>
  <c r="B422" i="11" l="1"/>
  <c r="C422" i="11"/>
  <c r="G422" i="11" s="1"/>
  <c r="M422" i="11"/>
  <c r="G421" i="11"/>
  <c r="D421" i="11"/>
  <c r="L422" i="11"/>
  <c r="O423" i="11" l="1"/>
  <c r="J423" i="11" s="1"/>
  <c r="D422" i="11"/>
  <c r="F421" i="11"/>
  <c r="E421" i="11" l="1"/>
  <c r="F422" i="11"/>
  <c r="M423" i="11"/>
  <c r="B423" i="11"/>
  <c r="C423" i="11"/>
  <c r="G423" i="11" s="1"/>
  <c r="L423" i="11"/>
  <c r="D423" i="11" l="1"/>
  <c r="F423" i="11" s="1"/>
  <c r="O424" i="11"/>
  <c r="J424" i="11" s="1"/>
  <c r="E422" i="11"/>
  <c r="B424" i="11" l="1"/>
  <c r="C424" i="11"/>
  <c r="G424" i="11" s="1"/>
  <c r="M424" i="11"/>
  <c r="L424" i="11"/>
  <c r="E423" i="11"/>
  <c r="H2" i="11"/>
  <c r="D424" i="11" l="1"/>
  <c r="F424" i="11" s="1"/>
  <c r="O425" i="11"/>
  <c r="J425" i="11" s="1"/>
  <c r="C425" i="11" l="1"/>
  <c r="B425" i="11"/>
  <c r="E424" i="11"/>
  <c r="M425" i="11"/>
  <c r="L425" i="11"/>
  <c r="O426" i="11" l="1"/>
  <c r="J426" i="11" s="1"/>
  <c r="G425" i="11"/>
  <c r="D425" i="11"/>
  <c r="F425" i="11" l="1"/>
  <c r="M426" i="11"/>
  <c r="C426" i="11"/>
  <c r="G426" i="11" s="1"/>
  <c r="B426" i="11"/>
  <c r="L426" i="11"/>
  <c r="E425" i="11" l="1"/>
  <c r="O427" i="11"/>
  <c r="J427" i="11" s="1"/>
  <c r="D426" i="11"/>
  <c r="M427" i="11" l="1"/>
  <c r="F426" i="11"/>
  <c r="B427" i="11"/>
  <c r="C427" i="11"/>
  <c r="G427" i="11" s="1"/>
  <c r="L427" i="11"/>
  <c r="O428" i="11" l="1"/>
  <c r="J428" i="11" s="1"/>
  <c r="E426" i="11"/>
  <c r="D427" i="11"/>
  <c r="F427" i="11" s="1"/>
  <c r="E427" i="11" l="1"/>
  <c r="M428" i="11"/>
  <c r="B428" i="11"/>
  <c r="C428" i="11"/>
  <c r="G428" i="11" s="1"/>
  <c r="L428" i="11"/>
  <c r="O429" i="11" l="1"/>
  <c r="J429" i="11" s="1"/>
  <c r="D428" i="11"/>
  <c r="C429" i="11" l="1"/>
  <c r="G429" i="11" s="1"/>
  <c r="B429" i="11"/>
  <c r="M429" i="11"/>
  <c r="F428" i="11"/>
  <c r="L429" i="11"/>
  <c r="D429" i="11" l="1"/>
  <c r="F429" i="11" s="1"/>
  <c r="E428" i="11"/>
  <c r="O430" i="11"/>
  <c r="J430" i="11" s="1"/>
  <c r="E429" i="11" l="1"/>
  <c r="B430" i="11"/>
  <c r="C430" i="11"/>
  <c r="M430" i="11"/>
  <c r="L430" i="11"/>
  <c r="O431" i="11" l="1"/>
  <c r="J431" i="11" s="1"/>
  <c r="G430" i="11"/>
  <c r="D430" i="11"/>
  <c r="L431" i="11" l="1"/>
  <c r="M431" i="11"/>
  <c r="F430" i="11"/>
  <c r="B431" i="11"/>
  <c r="C431" i="11"/>
  <c r="G431" i="11" s="1"/>
  <c r="O432" i="11" l="1"/>
  <c r="J432" i="11" s="1"/>
  <c r="B432" i="11" s="1"/>
  <c r="D431" i="11"/>
  <c r="F431" i="11" s="1"/>
  <c r="E430" i="11"/>
  <c r="L432" i="11" l="1"/>
  <c r="C432" i="11"/>
  <c r="G432" i="11" s="1"/>
  <c r="M432" i="11"/>
  <c r="O433" i="11" s="1"/>
  <c r="J433" i="11" s="1"/>
  <c r="B433" i="11" s="1"/>
  <c r="E431" i="11"/>
  <c r="D432" i="11"/>
  <c r="L433" i="11" l="1"/>
  <c r="M433" i="11"/>
  <c r="O434" i="11" s="1"/>
  <c r="J434" i="11" s="1"/>
  <c r="C433" i="11"/>
  <c r="G433" i="11" s="1"/>
  <c r="F432" i="11"/>
  <c r="D433" i="11" l="1"/>
  <c r="E432" i="11"/>
  <c r="F433" i="11"/>
  <c r="M434" i="11"/>
  <c r="B434" i="11"/>
  <c r="C434" i="11"/>
  <c r="L434" i="11"/>
  <c r="G434" i="11" l="1"/>
  <c r="D434" i="11"/>
  <c r="F434" i="11" s="1"/>
  <c r="O435" i="11"/>
  <c r="J435" i="11" s="1"/>
  <c r="E433" i="11"/>
  <c r="M435" i="11" l="1"/>
  <c r="E434" i="11"/>
  <c r="B435" i="11"/>
  <c r="C435" i="11"/>
  <c r="G435" i="11" s="1"/>
  <c r="L435" i="11"/>
  <c r="O436" i="11" l="1"/>
  <c r="D435" i="11"/>
  <c r="F435" i="11" l="1"/>
  <c r="J436" i="11"/>
  <c r="M436" i="11"/>
  <c r="L436" i="11"/>
  <c r="O437" i="11" l="1"/>
  <c r="J437" i="11" s="1"/>
  <c r="B436" i="11"/>
  <c r="C436" i="11"/>
  <c r="E435" i="11"/>
  <c r="B437" i="11" l="1"/>
  <c r="C437" i="11"/>
  <c r="G437" i="11" s="1"/>
  <c r="G436" i="11"/>
  <c r="D436" i="11"/>
  <c r="L437" i="11"/>
  <c r="M437" i="11"/>
  <c r="O438" i="11" l="1"/>
  <c r="J438" i="11" s="1"/>
  <c r="D437" i="11"/>
  <c r="F436" i="11"/>
  <c r="B438" i="11" l="1"/>
  <c r="C438" i="11"/>
  <c r="G438" i="11" s="1"/>
  <c r="L438" i="11"/>
  <c r="M438" i="11"/>
  <c r="E436" i="11"/>
  <c r="F437" i="11"/>
  <c r="D438" i="11" l="1"/>
  <c r="F438" i="11" s="1"/>
  <c r="E438" i="11" s="1"/>
  <c r="O439" i="11"/>
  <c r="J439" i="11" s="1"/>
  <c r="E437" i="11"/>
  <c r="B439" i="11" l="1"/>
  <c r="C439" i="11"/>
  <c r="M439" i="11"/>
  <c r="L439" i="11"/>
  <c r="O440" i="11" l="1"/>
  <c r="J440" i="11" s="1"/>
  <c r="G439" i="11"/>
  <c r="D439" i="11"/>
  <c r="B440" i="11" l="1"/>
  <c r="C440" i="11"/>
  <c r="G440" i="11" s="1"/>
  <c r="L440" i="11"/>
  <c r="F439" i="11"/>
  <c r="M440" i="11"/>
  <c r="D440" i="11" l="1"/>
  <c r="F440" i="11" s="1"/>
  <c r="O441" i="11"/>
  <c r="J441" i="11" s="1"/>
  <c r="E439" i="11"/>
  <c r="E440" i="11" l="1"/>
  <c r="L441" i="11"/>
  <c r="B441" i="11"/>
  <c r="C441" i="11"/>
  <c r="M441" i="11"/>
  <c r="O442" i="11" l="1"/>
  <c r="J442" i="11" s="1"/>
  <c r="C442" i="11" s="1"/>
  <c r="G442" i="11" s="1"/>
  <c r="G441" i="11"/>
  <c r="D441" i="11"/>
  <c r="D442" i="11" l="1"/>
  <c r="L442" i="11"/>
  <c r="M442" i="11"/>
  <c r="B442" i="11"/>
  <c r="F441" i="11"/>
  <c r="F442" i="11" l="1"/>
  <c r="E442" i="11" s="1"/>
  <c r="O443" i="11"/>
  <c r="J443" i="11" s="1"/>
  <c r="E441" i="11"/>
  <c r="L443" i="11" l="1"/>
  <c r="B443" i="11"/>
  <c r="C443" i="11"/>
  <c r="M443" i="11"/>
  <c r="O444" i="11" l="1"/>
  <c r="J444" i="11" s="1"/>
  <c r="G443" i="11"/>
  <c r="D443" i="11"/>
  <c r="L444" i="11" l="1"/>
  <c r="B444" i="11"/>
  <c r="C444" i="11"/>
  <c r="G444" i="11" s="1"/>
  <c r="M444" i="11"/>
  <c r="F443" i="11"/>
  <c r="O445" i="11" l="1"/>
  <c r="J445" i="11" s="1"/>
  <c r="D444" i="11"/>
  <c r="E443" i="11"/>
  <c r="L445" i="11" l="1"/>
  <c r="B445" i="11"/>
  <c r="C445" i="11"/>
  <c r="G445" i="11" s="1"/>
  <c r="M445" i="11"/>
  <c r="F444" i="11"/>
  <c r="O446" i="11" l="1"/>
  <c r="J446" i="11" s="1"/>
  <c r="D445" i="11"/>
  <c r="E444" i="11"/>
  <c r="B446" i="11" l="1"/>
  <c r="C446" i="11"/>
  <c r="G446" i="11" s="1"/>
  <c r="L446" i="11"/>
  <c r="M446" i="11"/>
  <c r="F445" i="11"/>
  <c r="O447" i="11" l="1"/>
  <c r="J447" i="11" s="1"/>
  <c r="D446" i="11"/>
  <c r="E445" i="11"/>
  <c r="L447" i="11" l="1"/>
  <c r="B447" i="11"/>
  <c r="C447" i="11"/>
  <c r="G447" i="11" s="1"/>
  <c r="M447" i="11"/>
  <c r="F446" i="11"/>
  <c r="O448" i="11" l="1"/>
  <c r="J448" i="11" s="1"/>
  <c r="D447" i="11"/>
  <c r="E446" i="11"/>
  <c r="B448" i="11" l="1"/>
  <c r="C448" i="11"/>
  <c r="G448" i="11" s="1"/>
  <c r="L448" i="11"/>
  <c r="M448" i="11"/>
  <c r="F447" i="11"/>
  <c r="O449" i="11" l="1"/>
  <c r="J449" i="11" s="1"/>
  <c r="D448" i="11"/>
  <c r="E447" i="11"/>
  <c r="B449" i="11" l="1"/>
  <c r="C449" i="11"/>
  <c r="G449" i="11" s="1"/>
  <c r="L449" i="11"/>
  <c r="M449" i="11"/>
  <c r="F448" i="11"/>
  <c r="O450" i="11" l="1"/>
  <c r="J450" i="11" s="1"/>
  <c r="D449" i="11"/>
  <c r="E448" i="11"/>
  <c r="L450" i="11" l="1"/>
  <c r="B450" i="11"/>
  <c r="C450" i="11"/>
  <c r="G450" i="11" s="1"/>
  <c r="M450" i="11"/>
  <c r="F449" i="11"/>
  <c r="O451" i="11" l="1"/>
  <c r="J451" i="11" s="1"/>
  <c r="D450" i="11"/>
  <c r="E449" i="11"/>
  <c r="B451" i="11" l="1"/>
  <c r="C451" i="11"/>
  <c r="G2" i="11" s="1"/>
  <c r="L451" i="11"/>
  <c r="M451" i="11"/>
  <c r="F450" i="11"/>
  <c r="E450" i="11" l="1"/>
  <c r="E2" i="11" s="1"/>
</calcChain>
</file>

<file path=xl/sharedStrings.xml><?xml version="1.0" encoding="utf-8"?>
<sst xmlns="http://schemas.openxmlformats.org/spreadsheetml/2006/main" count="259" uniqueCount="92">
  <si>
    <t>Datum</t>
  </si>
  <si>
    <t>Forecast</t>
  </si>
  <si>
    <t>Position</t>
  </si>
  <si>
    <t>Performance</t>
  </si>
  <si>
    <t>Drawdon</t>
  </si>
  <si>
    <t>Hit Rate</t>
  </si>
  <si>
    <t>Efficency</t>
  </si>
  <si>
    <t>Orders</t>
  </si>
  <si>
    <t>Trend</t>
  </si>
  <si>
    <t>Cash</t>
  </si>
  <si>
    <t>Asset</t>
  </si>
  <si>
    <t>Signal</t>
  </si>
  <si>
    <t>Order</t>
  </si>
  <si>
    <t>Sequential Changes</t>
  </si>
  <si>
    <t>Implemented</t>
  </si>
  <si>
    <t>Profit</t>
  </si>
  <si>
    <t>Drawdown</t>
  </si>
  <si>
    <t>Yes</t>
  </si>
  <si>
    <t>No</t>
  </si>
  <si>
    <t>Version 2</t>
  </si>
  <si>
    <t>Market</t>
  </si>
  <si>
    <t>Buy and Hold</t>
  </si>
  <si>
    <t>Bond CH</t>
  </si>
  <si>
    <t>Trend Follower Lag 4</t>
  </si>
  <si>
    <t xml:space="preserve">Buy and Hold (0.001) plus Trend Follower Lag 8 0.09 </t>
  </si>
  <si>
    <t>a</t>
  </si>
  <si>
    <t>b</t>
  </si>
  <si>
    <t>c</t>
  </si>
  <si>
    <t>d</t>
  </si>
  <si>
    <t>e</t>
  </si>
  <si>
    <t>f</t>
  </si>
  <si>
    <t>Bitcoin</t>
  </si>
  <si>
    <t>Ether</t>
  </si>
  <si>
    <t>Trend 4;0.07 Investor 3;0.01</t>
  </si>
  <si>
    <t>Trend 7;0.1 Investor 13;0.03</t>
  </si>
  <si>
    <t>Date 6.8.2017</t>
  </si>
  <si>
    <t>Trend 7;0.1 Investor 12;0.02</t>
  </si>
  <si>
    <t>Trend 10; 0.05 Trend 12;0.04</t>
  </si>
  <si>
    <t>Trend 2; 0.01 Trend 10;0.03</t>
  </si>
  <si>
    <t>Trend 2; 0.01 Trend 12;0.03 (Version 5, Nachführung Daten)</t>
  </si>
  <si>
    <t>Trend 2; 0.01 Trend 12;0.06</t>
  </si>
  <si>
    <t>Trend 10; 0.05 Trend 12;0.04 (Version 5, Nachführung Daten)</t>
  </si>
  <si>
    <t>Trend 10; 0.05 Trend 12;0.04 (Nachführung Daten)</t>
  </si>
  <si>
    <t>Trend 4; 0.10 Trend 12;0.09</t>
  </si>
  <si>
    <t>Trend 2; 0.01 Trend 12;0.06 (Nachführung der Daten)</t>
  </si>
  <si>
    <t>Trend 4; 0.10 Trend 12;0.09 (Nachführung Daten)</t>
  </si>
  <si>
    <t>Trend 6; 0.04 Trend 11;0.03</t>
  </si>
  <si>
    <t>Trend 2; 0.01 Trend 12;0.08</t>
  </si>
  <si>
    <t>Date</t>
  </si>
  <si>
    <t>Trend 4; 0.08 Trend 12; 0.08 Dow Jones Contrarian 3; 0.01 (Nicola weekly)</t>
  </si>
  <si>
    <t>Trend 4; 0.08 Trend 12; 0.08 Dow Jones Contrarian 3; 0.01 (Nicola daily)</t>
  </si>
  <si>
    <t>S&amp;P 500</t>
  </si>
  <si>
    <t>Investor S&amp;P 500</t>
  </si>
  <si>
    <t>Trend 6; 0.09 Investor S&amp;P 500 12; 0.09</t>
  </si>
  <si>
    <t>Trend 6; 0.09 Investor S&amp;P 500 12; 0.09 (Nachführung der Daten)</t>
  </si>
  <si>
    <t>Trend 2; 0.01 Trend 12;0.08 (Nachführung der Daten)</t>
  </si>
  <si>
    <t>Trend 6; 0.09 Investor S&amp;P 500 12; 0.09 (Nachführung der Daten, Anpassung Startzeitpunkt)</t>
  </si>
  <si>
    <t>Trend 6; 0.05 Investor S&amp;P 500 11; 0.10</t>
  </si>
  <si>
    <t>EURCHF</t>
  </si>
  <si>
    <t>EURUSD</t>
  </si>
  <si>
    <t>DAX</t>
  </si>
  <si>
    <t>Nikkei 225</t>
  </si>
  <si>
    <t>SPI</t>
  </si>
  <si>
    <t>Gold</t>
  </si>
  <si>
    <t>In Sample</t>
  </si>
  <si>
    <t>Total</t>
  </si>
  <si>
    <t>Buy and Hold (robust)</t>
  </si>
  <si>
    <t>Trend 6; 0.05 Investor S&amp;P 500 11; 0.10 (Nachführung der Daten)</t>
  </si>
  <si>
    <t>Bitocin</t>
  </si>
  <si>
    <t>Trend 6; 0.05 Investor S&amp;P 500 11; 0.10 long only (robust)</t>
  </si>
  <si>
    <t>Trend 4; 0.10 Trend 12;0.09 (robust) update</t>
  </si>
  <si>
    <t>Trend 6; 0.05 Investor S&amp;P 500 11; 0.10 long only (robust) update</t>
  </si>
  <si>
    <t>Trend 4; 0.10 Trend 12;0.09 long only (robust)</t>
  </si>
  <si>
    <t>Trend 6; 0.04 Trend 11;0.03 long only (robust)</t>
  </si>
  <si>
    <t>Trend 6; 0.04 Trend 11;0.03 (robust) update</t>
  </si>
  <si>
    <t>Trend Bitcoin 12, 0.01</t>
  </si>
  <si>
    <t>Trend Bitcoin 2, 0.01 long only robust</t>
  </si>
  <si>
    <t>Trend Bitcoin 2, 0.01 long only</t>
  </si>
  <si>
    <t>Trend Bitcoin2, 0.01 long only robust (Anpassung Zeitfenster)</t>
  </si>
  <si>
    <t>Trend Bitcoin 2, 0.01</t>
  </si>
  <si>
    <t>Trend Bitcoin</t>
  </si>
  <si>
    <t>YENUSD</t>
  </si>
  <si>
    <t>Bond</t>
  </si>
  <si>
    <t>Oil</t>
  </si>
  <si>
    <t>SIX</t>
  </si>
  <si>
    <t>Version 11 (Anpassung Zeitfenster)</t>
  </si>
  <si>
    <t xml:space="preserve">Trend Bitcoin 2, 0.01 </t>
  </si>
  <si>
    <t>Trend EURCHF</t>
  </si>
  <si>
    <t>Trend Bitcoin 1, 0.01 Trend EURCHF 8 0.01</t>
  </si>
  <si>
    <t>Trend Bitcoin 1, 0.01 Trend EURCHF 9 0.01</t>
  </si>
  <si>
    <t>Trend Bitcoin 1, 0.01 Trend EURCHF 8 0.01 long only</t>
  </si>
  <si>
    <t>Trend Bitcoin 1, 0.01 Trend EURCHF 9 0.01 long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</si>
</sst>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 * #,##0.00_ ;_ * \-#,##0.00_ ;_ * &quot;-&quot;??_ ;_ @_ "/>
    <numFmt numFmtId="164" formatCode="0.0000"/>
    <numFmt numFmtId="165" formatCode="0.00000000"/>
    <numFmt numFmtId="166" formatCode="0.0000000"/>
    <numFmt numFmtId="167" formatCode="0.0%"/>
    <numFmt numFmtId="168" formatCode="_ * #,##0.0000_ ;_ * \-#,##0.0000_ ;_ * &quot;-&quot;??_ ;_ @_ "/>
    <numFmt numFmtId="169" formatCode="0.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name val="Courier"/>
      <family val="3"/>
    </font>
    <font>
      <sz val="1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7">
    <xf numFmtId="0" fontId="0" fillId="0" borderId="0" xfId="0"/>
    <xf numFmtId="2" fontId="2" fillId="0" borderId="0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right" vertical="center"/>
    </xf>
    <xf numFmtId="164" fontId="8" fillId="0" borderId="0" xfId="0" applyNumberFormat="1" applyFont="1" applyFill="1" applyBorder="1" applyAlignment="1">
      <alignment horizontal="right" vertical="center"/>
    </xf>
    <xf numFmtId="2" fontId="9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14" fontId="8" fillId="0" borderId="0" xfId="0" applyNumberFormat="1" applyFont="1" applyFill="1" applyBorder="1" applyAlignment="1">
      <alignment horizontal="right" vertical="center"/>
    </xf>
    <xf numFmtId="1" fontId="8" fillId="0" borderId="0" xfId="0" applyNumberFormat="1" applyFont="1" applyFill="1" applyBorder="1" applyAlignment="1">
      <alignment horizontal="center" vertical="center"/>
    </xf>
    <xf numFmtId="2" fontId="8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2" fontId="4" fillId="0" borderId="0" xfId="0" applyNumberFormat="1" applyFont="1" applyFill="1" applyBorder="1" applyAlignment="1">
      <alignment horizontal="right"/>
    </xf>
    <xf numFmtId="2" fontId="8" fillId="0" borderId="0" xfId="0" applyNumberFormat="1" applyFont="1" applyFill="1" applyBorder="1" applyAlignment="1">
      <alignment horizontal="right" vertical="center"/>
    </xf>
    <xf numFmtId="2" fontId="8" fillId="0" borderId="0" xfId="1" applyNumberFormat="1" applyFont="1" applyFill="1" applyBorder="1" applyAlignment="1">
      <alignment horizontal="right" vertical="center"/>
    </xf>
    <xf numFmtId="0" fontId="4" fillId="0" borderId="0" xfId="0" applyFont="1" applyFill="1" applyBorder="1" applyAlignment="1"/>
    <xf numFmtId="2" fontId="4" fillId="0" borderId="0" xfId="0" applyNumberFormat="1" applyFont="1" applyFill="1" applyBorder="1" applyAlignment="1"/>
    <xf numFmtId="2" fontId="8" fillId="0" borderId="0" xfId="0" applyNumberFormat="1" applyFont="1" applyFill="1" applyBorder="1" applyAlignment="1">
      <alignment horizontal="right"/>
    </xf>
    <xf numFmtId="4" fontId="4" fillId="0" borderId="0" xfId="1" applyNumberFormat="1" applyFont="1" applyFill="1" applyBorder="1"/>
    <xf numFmtId="0" fontId="7" fillId="0" borderId="0" xfId="0" applyFont="1" applyFill="1" applyBorder="1" applyAlignment="1"/>
    <xf numFmtId="10" fontId="4" fillId="0" borderId="0" xfId="2" applyNumberFormat="1" applyFont="1" applyFill="1" applyBorder="1" applyAlignment="1">
      <alignment vertical="center"/>
    </xf>
    <xf numFmtId="1" fontId="8" fillId="0" borderId="0" xfId="0" applyNumberFormat="1" applyFont="1" applyFill="1" applyBorder="1" applyAlignment="1">
      <alignment horizontal="right" vertical="center"/>
    </xf>
    <xf numFmtId="165" fontId="8" fillId="0" borderId="0" xfId="0" applyNumberFormat="1" applyFont="1" applyFill="1" applyBorder="1" applyAlignment="1">
      <alignment horizontal="right" vertical="center"/>
    </xf>
    <xf numFmtId="166" fontId="8" fillId="0" borderId="0" xfId="0" applyNumberFormat="1" applyFont="1" applyFill="1" applyBorder="1" applyAlignment="1">
      <alignment horizontal="right" vertical="center"/>
    </xf>
    <xf numFmtId="2" fontId="9" fillId="0" borderId="0" xfId="0" applyNumberFormat="1" applyFont="1" applyFill="1" applyBorder="1" applyAlignment="1">
      <alignment horizontal="centerContinuous" vertical="center"/>
    </xf>
    <xf numFmtId="1" fontId="9" fillId="0" borderId="0" xfId="0" applyNumberFormat="1" applyFont="1" applyFill="1" applyBorder="1" applyAlignment="1">
      <alignment horizontal="centerContinuous" vertical="center"/>
    </xf>
    <xf numFmtId="1" fontId="3" fillId="0" borderId="0" xfId="0" applyNumberFormat="1" applyFont="1" applyFill="1" applyBorder="1" applyAlignment="1">
      <alignment horizontal="center"/>
    </xf>
    <xf numFmtId="1" fontId="9" fillId="0" borderId="0" xfId="0" applyNumberFormat="1" applyFont="1" applyFill="1" applyBorder="1" applyAlignment="1">
      <alignment horizontal="center" vertical="center"/>
    </xf>
    <xf numFmtId="167" fontId="4" fillId="0" borderId="0" xfId="0" applyNumberFormat="1" applyFont="1" applyFill="1" applyBorder="1" applyAlignment="1"/>
    <xf numFmtId="1" fontId="4" fillId="0" borderId="0" xfId="0" applyNumberFormat="1" applyFont="1" applyFill="1" applyBorder="1" applyAlignment="1"/>
    <xf numFmtId="2" fontId="4" fillId="0" borderId="0" xfId="1" applyNumberFormat="1" applyFont="1" applyFill="1" applyBorder="1" applyAlignment="1"/>
    <xf numFmtId="10" fontId="5" fillId="0" borderId="0" xfId="2" applyNumberFormat="1" applyFont="1" applyFill="1" applyBorder="1" applyAlignment="1">
      <alignment horizontal="right" vertical="center"/>
    </xf>
    <xf numFmtId="167" fontId="5" fillId="0" borderId="0" xfId="2" applyNumberFormat="1" applyFont="1" applyFill="1" applyBorder="1" applyAlignment="1">
      <alignment horizontal="right" vertical="center"/>
    </xf>
    <xf numFmtId="167" fontId="4" fillId="0" borderId="0" xfId="0" applyNumberFormat="1" applyFont="1" applyAlignment="1"/>
    <xf numFmtId="1" fontId="5" fillId="0" borderId="0" xfId="0" applyNumberFormat="1" applyFont="1" applyFill="1" applyBorder="1" applyAlignment="1">
      <alignment horizontal="left" vertical="center"/>
    </xf>
    <xf numFmtId="2" fontId="4" fillId="0" borderId="0" xfId="0" applyNumberFormat="1" applyFont="1" applyFill="1" applyAlignment="1"/>
    <xf numFmtId="43" fontId="11" fillId="0" borderId="0" xfId="1" applyFont="1" applyAlignment="1">
      <alignment horizontal="center"/>
    </xf>
    <xf numFmtId="43" fontId="10" fillId="0" borderId="0" xfId="1" applyFont="1"/>
    <xf numFmtId="43" fontId="10" fillId="0" borderId="0" xfId="1" applyFont="1" applyAlignment="1">
      <alignment horizontal="left"/>
    </xf>
    <xf numFmtId="0" fontId="3" fillId="0" borderId="0" xfId="0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Continuous"/>
    </xf>
    <xf numFmtId="1" fontId="4" fillId="0" borderId="0" xfId="0" applyNumberFormat="1" applyFont="1" applyFill="1" applyBorder="1" applyAlignment="1">
      <alignment horizontal="right"/>
    </xf>
    <xf numFmtId="0" fontId="4" fillId="0" borderId="0" xfId="0" applyFont="1" applyAlignment="1"/>
    <xf numFmtId="0" fontId="12" fillId="0" borderId="0" xfId="0" applyFont="1" applyAlignment="1"/>
    <xf numFmtId="1" fontId="4" fillId="0" borderId="0" xfId="0" applyNumberFormat="1" applyFont="1" applyAlignment="1"/>
    <xf numFmtId="1" fontId="5" fillId="0" borderId="0" xfId="0" applyNumberFormat="1" applyFont="1" applyFill="1" applyBorder="1" applyAlignment="1">
      <alignment horizontal="right" vertical="center"/>
    </xf>
    <xf numFmtId="1" fontId="4" fillId="0" borderId="0" xfId="0" applyNumberFormat="1" applyFont="1" applyAlignment="1">
      <alignment horizontal="right"/>
    </xf>
    <xf numFmtId="1" fontId="12" fillId="0" borderId="0" xfId="0" applyNumberFormat="1" applyFont="1" applyAlignment="1">
      <alignment horizontal="left"/>
    </xf>
    <xf numFmtId="1" fontId="4" fillId="0" borderId="0" xfId="0" applyNumberFormat="1" applyFont="1" applyFill="1" applyBorder="1" applyAlignment="1">
      <alignment horizontal="right" vertical="center"/>
    </xf>
    <xf numFmtId="168" fontId="10" fillId="0" borderId="0" xfId="1" applyNumberFormat="1" applyFont="1" applyAlignment="1">
      <alignment horizontal="left"/>
    </xf>
    <xf numFmtId="10" fontId="4" fillId="0" borderId="0" xfId="0" applyNumberFormat="1" applyFont="1" applyFill="1" applyBorder="1" applyAlignment="1"/>
    <xf numFmtId="43" fontId="5" fillId="0" borderId="0" xfId="1" applyFont="1" applyFill="1" applyBorder="1" applyAlignment="1">
      <alignment horizontal="right" vertical="center"/>
    </xf>
    <xf numFmtId="164" fontId="7" fillId="0" borderId="0" xfId="0" applyNumberFormat="1" applyFont="1" applyFill="1" applyBorder="1" applyAlignment="1"/>
    <xf numFmtId="165" fontId="7" fillId="0" borderId="0" xfId="0" applyNumberFormat="1" applyFont="1" applyFill="1" applyBorder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4" fontId="4" fillId="0" borderId="0" xfId="0" applyNumberFormat="1" applyFont="1" applyFill="1" applyBorder="1" applyAlignment="1"/>
    <xf numFmtId="14" fontId="8" fillId="0" borderId="0" xfId="0" applyNumberFormat="1" applyFont="1" applyAlignment="1">
      <alignment horizontal="right" vertical="center"/>
    </xf>
    <xf numFmtId="2" fontId="8" fillId="0" borderId="0" xfId="1" applyNumberFormat="1" applyFont="1" applyAlignment="1">
      <alignment horizontal="right" vertical="center"/>
    </xf>
    <xf numFmtId="2" fontId="4" fillId="0" borderId="0" xfId="0" applyNumberFormat="1" applyFont="1" applyAlignment="1">
      <alignment horizontal="right"/>
    </xf>
    <xf numFmtId="0" fontId="4" fillId="0" borderId="0" xfId="0" applyFont="1" applyAlignment="1">
      <alignment vertical="center"/>
    </xf>
    <xf numFmtId="1" fontId="8" fillId="0" borderId="0" xfId="0" applyNumberFormat="1" applyFont="1" applyAlignment="1">
      <alignment horizontal="right" vertical="center"/>
    </xf>
    <xf numFmtId="169" fontId="8" fillId="0" borderId="0" xfId="0" applyNumberFormat="1" applyFont="1" applyFill="1" applyBorder="1" applyAlignment="1">
      <alignment horizontal="right" vertical="center"/>
    </xf>
    <xf numFmtId="164" fontId="4" fillId="0" borderId="0" xfId="0" applyNumberFormat="1" applyFont="1" applyFill="1" applyBorder="1" applyAlignment="1"/>
    <xf numFmtId="0" fontId="3" fillId="0" borderId="0" xfId="0" applyFont="1" applyFill="1" applyBorder="1" applyAlignment="1">
      <alignment horizontal="center"/>
    </xf>
    <xf numFmtId="14" fontId="4" fillId="0" borderId="0" xfId="0" applyNumberFormat="1" applyFont="1"/>
    <xf numFmtId="164" fontId="4" fillId="0" borderId="0" xfId="0" applyNumberFormat="1" applyFont="1"/>
    <xf numFmtId="2" fontId="4" fillId="0" borderId="0" xfId="0" applyNumberFormat="1" applyFont="1"/>
    <xf numFmtId="2" fontId="8" fillId="0" borderId="0" xfId="0" applyNumberFormat="1" applyFont="1" applyAlignment="1">
      <alignment horizontal="right" vertical="center"/>
    </xf>
    <xf numFmtId="2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14" fontId="4" fillId="2" borderId="0" xfId="0" applyNumberFormat="1" applyFont="1" applyFill="1"/>
    <xf numFmtId="14" fontId="4" fillId="0" borderId="0" xfId="0" applyNumberFormat="1" applyFont="1" applyFill="1"/>
    <xf numFmtId="0" fontId="3" fillId="0" borderId="0" xfId="0" applyFont="1" applyFill="1" applyBorder="1" applyAlignment="1">
      <alignment horizontal="center"/>
    </xf>
    <xf numFmtId="0" fontId="3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Medium9"/>
  <colors>
    <mruColors>
      <color rgb="FF415E6C"/>
      <color rgb="FF9A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AE451"/>
  <sheetViews>
    <sheetView workbookViewId="0">
      <pane ySplit="1320" activePane="bottomLeft"/>
      <selection activeCell="E3" sqref="E3"/>
      <selection pane="bottomLeft" activeCell="D37" sqref="D37"/>
    </sheetView>
  </sheetViews>
  <sheetFormatPr defaultColWidth="8.85546875" defaultRowHeight="12.75" x14ac:dyDescent="0.2"/>
  <cols>
    <col min="1" max="1" width="9.7109375" style="7" customWidth="1"/>
    <col min="2" max="3" width="9.140625" style="15" customWidth="1"/>
    <col min="4" max="5" width="10.5703125" style="15" customWidth="1"/>
    <col min="6" max="6" width="1.7109375" style="15" customWidth="1"/>
    <col min="7" max="12" width="9.140625" style="15" customWidth="1"/>
    <col min="13" max="16" width="8.85546875" style="19"/>
    <col min="17" max="17" width="9.140625" style="15" customWidth="1"/>
    <col min="18" max="22" width="8.85546875" style="19"/>
    <col min="23" max="23" width="9.140625" style="15" customWidth="1"/>
    <col min="24" max="26" width="8.85546875" style="19"/>
    <col min="27" max="27" width="17" style="19" bestFit="1" customWidth="1"/>
    <col min="28" max="28" width="10.5703125" style="19" bestFit="1" customWidth="1"/>
    <col min="29" max="29" width="9.28515625" style="19" customWidth="1"/>
    <col min="30" max="30" width="10.5703125" style="19" bestFit="1" customWidth="1"/>
    <col min="31" max="256" width="8.85546875" style="19"/>
    <col min="257" max="257" width="9.7109375" style="19" customWidth="1"/>
    <col min="258" max="259" width="9.140625" style="19" customWidth="1"/>
    <col min="260" max="261" width="10.5703125" style="19" customWidth="1"/>
    <col min="262" max="262" width="1.7109375" style="19" customWidth="1"/>
    <col min="263" max="268" width="9.140625" style="19" customWidth="1"/>
    <col min="269" max="272" width="8.85546875" style="19"/>
    <col min="273" max="273" width="9.140625" style="19" customWidth="1"/>
    <col min="274" max="512" width="8.85546875" style="19"/>
    <col min="513" max="513" width="9.7109375" style="19" customWidth="1"/>
    <col min="514" max="515" width="9.140625" style="19" customWidth="1"/>
    <col min="516" max="517" width="10.5703125" style="19" customWidth="1"/>
    <col min="518" max="518" width="1.7109375" style="19" customWidth="1"/>
    <col min="519" max="524" width="9.140625" style="19" customWidth="1"/>
    <col min="525" max="528" width="8.85546875" style="19"/>
    <col min="529" max="529" width="9.140625" style="19" customWidth="1"/>
    <col min="530" max="768" width="8.85546875" style="19"/>
    <col min="769" max="769" width="9.7109375" style="19" customWidth="1"/>
    <col min="770" max="771" width="9.140625" style="19" customWidth="1"/>
    <col min="772" max="773" width="10.5703125" style="19" customWidth="1"/>
    <col min="774" max="774" width="1.7109375" style="19" customWidth="1"/>
    <col min="775" max="780" width="9.140625" style="19" customWidth="1"/>
    <col min="781" max="784" width="8.85546875" style="19"/>
    <col min="785" max="785" width="9.140625" style="19" customWidth="1"/>
    <col min="786" max="1024" width="8.85546875" style="19"/>
    <col min="1025" max="1025" width="9.7109375" style="19" customWidth="1"/>
    <col min="1026" max="1027" width="9.140625" style="19" customWidth="1"/>
    <col min="1028" max="1029" width="10.5703125" style="19" customWidth="1"/>
    <col min="1030" max="1030" width="1.7109375" style="19" customWidth="1"/>
    <col min="1031" max="1036" width="9.140625" style="19" customWidth="1"/>
    <col min="1037" max="1040" width="8.85546875" style="19"/>
    <col min="1041" max="1041" width="9.140625" style="19" customWidth="1"/>
    <col min="1042" max="1280" width="8.85546875" style="19"/>
    <col min="1281" max="1281" width="9.7109375" style="19" customWidth="1"/>
    <col min="1282" max="1283" width="9.140625" style="19" customWidth="1"/>
    <col min="1284" max="1285" width="10.5703125" style="19" customWidth="1"/>
    <col min="1286" max="1286" width="1.7109375" style="19" customWidth="1"/>
    <col min="1287" max="1292" width="9.140625" style="19" customWidth="1"/>
    <col min="1293" max="1296" width="8.85546875" style="19"/>
    <col min="1297" max="1297" width="9.140625" style="19" customWidth="1"/>
    <col min="1298" max="1536" width="8.85546875" style="19"/>
    <col min="1537" max="1537" width="9.7109375" style="19" customWidth="1"/>
    <col min="1538" max="1539" width="9.140625" style="19" customWidth="1"/>
    <col min="1540" max="1541" width="10.5703125" style="19" customWidth="1"/>
    <col min="1542" max="1542" width="1.7109375" style="19" customWidth="1"/>
    <col min="1543" max="1548" width="9.140625" style="19" customWidth="1"/>
    <col min="1549" max="1552" width="8.85546875" style="19"/>
    <col min="1553" max="1553" width="9.140625" style="19" customWidth="1"/>
    <col min="1554" max="1792" width="8.85546875" style="19"/>
    <col min="1793" max="1793" width="9.7109375" style="19" customWidth="1"/>
    <col min="1794" max="1795" width="9.140625" style="19" customWidth="1"/>
    <col min="1796" max="1797" width="10.5703125" style="19" customWidth="1"/>
    <col min="1798" max="1798" width="1.7109375" style="19" customWidth="1"/>
    <col min="1799" max="1804" width="9.140625" style="19" customWidth="1"/>
    <col min="1805" max="1808" width="8.85546875" style="19"/>
    <col min="1809" max="1809" width="9.140625" style="19" customWidth="1"/>
    <col min="1810" max="2048" width="8.85546875" style="19"/>
    <col min="2049" max="2049" width="9.7109375" style="19" customWidth="1"/>
    <col min="2050" max="2051" width="9.140625" style="19" customWidth="1"/>
    <col min="2052" max="2053" width="10.5703125" style="19" customWidth="1"/>
    <col min="2054" max="2054" width="1.7109375" style="19" customWidth="1"/>
    <col min="2055" max="2060" width="9.140625" style="19" customWidth="1"/>
    <col min="2061" max="2064" width="8.85546875" style="19"/>
    <col min="2065" max="2065" width="9.140625" style="19" customWidth="1"/>
    <col min="2066" max="2304" width="8.85546875" style="19"/>
    <col min="2305" max="2305" width="9.7109375" style="19" customWidth="1"/>
    <col min="2306" max="2307" width="9.140625" style="19" customWidth="1"/>
    <col min="2308" max="2309" width="10.5703125" style="19" customWidth="1"/>
    <col min="2310" max="2310" width="1.7109375" style="19" customWidth="1"/>
    <col min="2311" max="2316" width="9.140625" style="19" customWidth="1"/>
    <col min="2317" max="2320" width="8.85546875" style="19"/>
    <col min="2321" max="2321" width="9.140625" style="19" customWidth="1"/>
    <col min="2322" max="2560" width="8.85546875" style="19"/>
    <col min="2561" max="2561" width="9.7109375" style="19" customWidth="1"/>
    <col min="2562" max="2563" width="9.140625" style="19" customWidth="1"/>
    <col min="2564" max="2565" width="10.5703125" style="19" customWidth="1"/>
    <col min="2566" max="2566" width="1.7109375" style="19" customWidth="1"/>
    <col min="2567" max="2572" width="9.140625" style="19" customWidth="1"/>
    <col min="2573" max="2576" width="8.85546875" style="19"/>
    <col min="2577" max="2577" width="9.140625" style="19" customWidth="1"/>
    <col min="2578" max="2816" width="8.85546875" style="19"/>
    <col min="2817" max="2817" width="9.7109375" style="19" customWidth="1"/>
    <col min="2818" max="2819" width="9.140625" style="19" customWidth="1"/>
    <col min="2820" max="2821" width="10.5703125" style="19" customWidth="1"/>
    <col min="2822" max="2822" width="1.7109375" style="19" customWidth="1"/>
    <col min="2823" max="2828" width="9.140625" style="19" customWidth="1"/>
    <col min="2829" max="2832" width="8.85546875" style="19"/>
    <col min="2833" max="2833" width="9.140625" style="19" customWidth="1"/>
    <col min="2834" max="3072" width="8.85546875" style="19"/>
    <col min="3073" max="3073" width="9.7109375" style="19" customWidth="1"/>
    <col min="3074" max="3075" width="9.140625" style="19" customWidth="1"/>
    <col min="3076" max="3077" width="10.5703125" style="19" customWidth="1"/>
    <col min="3078" max="3078" width="1.7109375" style="19" customWidth="1"/>
    <col min="3079" max="3084" width="9.140625" style="19" customWidth="1"/>
    <col min="3085" max="3088" width="8.85546875" style="19"/>
    <col min="3089" max="3089" width="9.140625" style="19" customWidth="1"/>
    <col min="3090" max="3328" width="8.85546875" style="19"/>
    <col min="3329" max="3329" width="9.7109375" style="19" customWidth="1"/>
    <col min="3330" max="3331" width="9.140625" style="19" customWidth="1"/>
    <col min="3332" max="3333" width="10.5703125" style="19" customWidth="1"/>
    <col min="3334" max="3334" width="1.7109375" style="19" customWidth="1"/>
    <col min="3335" max="3340" width="9.140625" style="19" customWidth="1"/>
    <col min="3341" max="3344" width="8.85546875" style="19"/>
    <col min="3345" max="3345" width="9.140625" style="19" customWidth="1"/>
    <col min="3346" max="3584" width="8.85546875" style="19"/>
    <col min="3585" max="3585" width="9.7109375" style="19" customWidth="1"/>
    <col min="3586" max="3587" width="9.140625" style="19" customWidth="1"/>
    <col min="3588" max="3589" width="10.5703125" style="19" customWidth="1"/>
    <col min="3590" max="3590" width="1.7109375" style="19" customWidth="1"/>
    <col min="3591" max="3596" width="9.140625" style="19" customWidth="1"/>
    <col min="3597" max="3600" width="8.85546875" style="19"/>
    <col min="3601" max="3601" width="9.140625" style="19" customWidth="1"/>
    <col min="3602" max="3840" width="8.85546875" style="19"/>
    <col min="3841" max="3841" width="9.7109375" style="19" customWidth="1"/>
    <col min="3842" max="3843" width="9.140625" style="19" customWidth="1"/>
    <col min="3844" max="3845" width="10.5703125" style="19" customWidth="1"/>
    <col min="3846" max="3846" width="1.7109375" style="19" customWidth="1"/>
    <col min="3847" max="3852" width="9.140625" style="19" customWidth="1"/>
    <col min="3853" max="3856" width="8.85546875" style="19"/>
    <col min="3857" max="3857" width="9.140625" style="19" customWidth="1"/>
    <col min="3858" max="4096" width="8.85546875" style="19"/>
    <col min="4097" max="4097" width="9.7109375" style="19" customWidth="1"/>
    <col min="4098" max="4099" width="9.140625" style="19" customWidth="1"/>
    <col min="4100" max="4101" width="10.5703125" style="19" customWidth="1"/>
    <col min="4102" max="4102" width="1.7109375" style="19" customWidth="1"/>
    <col min="4103" max="4108" width="9.140625" style="19" customWidth="1"/>
    <col min="4109" max="4112" width="8.85546875" style="19"/>
    <col min="4113" max="4113" width="9.140625" style="19" customWidth="1"/>
    <col min="4114" max="4352" width="8.85546875" style="19"/>
    <col min="4353" max="4353" width="9.7109375" style="19" customWidth="1"/>
    <col min="4354" max="4355" width="9.140625" style="19" customWidth="1"/>
    <col min="4356" max="4357" width="10.5703125" style="19" customWidth="1"/>
    <col min="4358" max="4358" width="1.7109375" style="19" customWidth="1"/>
    <col min="4359" max="4364" width="9.140625" style="19" customWidth="1"/>
    <col min="4365" max="4368" width="8.85546875" style="19"/>
    <col min="4369" max="4369" width="9.140625" style="19" customWidth="1"/>
    <col min="4370" max="4608" width="8.85546875" style="19"/>
    <col min="4609" max="4609" width="9.7109375" style="19" customWidth="1"/>
    <col min="4610" max="4611" width="9.140625" style="19" customWidth="1"/>
    <col min="4612" max="4613" width="10.5703125" style="19" customWidth="1"/>
    <col min="4614" max="4614" width="1.7109375" style="19" customWidth="1"/>
    <col min="4615" max="4620" width="9.140625" style="19" customWidth="1"/>
    <col min="4621" max="4624" width="8.85546875" style="19"/>
    <col min="4625" max="4625" width="9.140625" style="19" customWidth="1"/>
    <col min="4626" max="4864" width="8.85546875" style="19"/>
    <col min="4865" max="4865" width="9.7109375" style="19" customWidth="1"/>
    <col min="4866" max="4867" width="9.140625" style="19" customWidth="1"/>
    <col min="4868" max="4869" width="10.5703125" style="19" customWidth="1"/>
    <col min="4870" max="4870" width="1.7109375" style="19" customWidth="1"/>
    <col min="4871" max="4876" width="9.140625" style="19" customWidth="1"/>
    <col min="4877" max="4880" width="8.85546875" style="19"/>
    <col min="4881" max="4881" width="9.140625" style="19" customWidth="1"/>
    <col min="4882" max="5120" width="8.85546875" style="19"/>
    <col min="5121" max="5121" width="9.7109375" style="19" customWidth="1"/>
    <col min="5122" max="5123" width="9.140625" style="19" customWidth="1"/>
    <col min="5124" max="5125" width="10.5703125" style="19" customWidth="1"/>
    <col min="5126" max="5126" width="1.7109375" style="19" customWidth="1"/>
    <col min="5127" max="5132" width="9.140625" style="19" customWidth="1"/>
    <col min="5133" max="5136" width="8.85546875" style="19"/>
    <col min="5137" max="5137" width="9.140625" style="19" customWidth="1"/>
    <col min="5138" max="5376" width="8.85546875" style="19"/>
    <col min="5377" max="5377" width="9.7109375" style="19" customWidth="1"/>
    <col min="5378" max="5379" width="9.140625" style="19" customWidth="1"/>
    <col min="5380" max="5381" width="10.5703125" style="19" customWidth="1"/>
    <col min="5382" max="5382" width="1.7109375" style="19" customWidth="1"/>
    <col min="5383" max="5388" width="9.140625" style="19" customWidth="1"/>
    <col min="5389" max="5392" width="8.85546875" style="19"/>
    <col min="5393" max="5393" width="9.140625" style="19" customWidth="1"/>
    <col min="5394" max="5632" width="8.85546875" style="19"/>
    <col min="5633" max="5633" width="9.7109375" style="19" customWidth="1"/>
    <col min="5634" max="5635" width="9.140625" style="19" customWidth="1"/>
    <col min="5636" max="5637" width="10.5703125" style="19" customWidth="1"/>
    <col min="5638" max="5638" width="1.7109375" style="19" customWidth="1"/>
    <col min="5639" max="5644" width="9.140625" style="19" customWidth="1"/>
    <col min="5645" max="5648" width="8.85546875" style="19"/>
    <col min="5649" max="5649" width="9.140625" style="19" customWidth="1"/>
    <col min="5650" max="5888" width="8.85546875" style="19"/>
    <col min="5889" max="5889" width="9.7109375" style="19" customWidth="1"/>
    <col min="5890" max="5891" width="9.140625" style="19" customWidth="1"/>
    <col min="5892" max="5893" width="10.5703125" style="19" customWidth="1"/>
    <col min="5894" max="5894" width="1.7109375" style="19" customWidth="1"/>
    <col min="5895" max="5900" width="9.140625" style="19" customWidth="1"/>
    <col min="5901" max="5904" width="8.85546875" style="19"/>
    <col min="5905" max="5905" width="9.140625" style="19" customWidth="1"/>
    <col min="5906" max="6144" width="8.85546875" style="19"/>
    <col min="6145" max="6145" width="9.7109375" style="19" customWidth="1"/>
    <col min="6146" max="6147" width="9.140625" style="19" customWidth="1"/>
    <col min="6148" max="6149" width="10.5703125" style="19" customWidth="1"/>
    <col min="6150" max="6150" width="1.7109375" style="19" customWidth="1"/>
    <col min="6151" max="6156" width="9.140625" style="19" customWidth="1"/>
    <col min="6157" max="6160" width="8.85546875" style="19"/>
    <col min="6161" max="6161" width="9.140625" style="19" customWidth="1"/>
    <col min="6162" max="6400" width="8.85546875" style="19"/>
    <col min="6401" max="6401" width="9.7109375" style="19" customWidth="1"/>
    <col min="6402" max="6403" width="9.140625" style="19" customWidth="1"/>
    <col min="6404" max="6405" width="10.5703125" style="19" customWidth="1"/>
    <col min="6406" max="6406" width="1.7109375" style="19" customWidth="1"/>
    <col min="6407" max="6412" width="9.140625" style="19" customWidth="1"/>
    <col min="6413" max="6416" width="8.85546875" style="19"/>
    <col min="6417" max="6417" width="9.140625" style="19" customWidth="1"/>
    <col min="6418" max="6656" width="8.85546875" style="19"/>
    <col min="6657" max="6657" width="9.7109375" style="19" customWidth="1"/>
    <col min="6658" max="6659" width="9.140625" style="19" customWidth="1"/>
    <col min="6660" max="6661" width="10.5703125" style="19" customWidth="1"/>
    <col min="6662" max="6662" width="1.7109375" style="19" customWidth="1"/>
    <col min="6663" max="6668" width="9.140625" style="19" customWidth="1"/>
    <col min="6669" max="6672" width="8.85546875" style="19"/>
    <col min="6673" max="6673" width="9.140625" style="19" customWidth="1"/>
    <col min="6674" max="6912" width="8.85546875" style="19"/>
    <col min="6913" max="6913" width="9.7109375" style="19" customWidth="1"/>
    <col min="6914" max="6915" width="9.140625" style="19" customWidth="1"/>
    <col min="6916" max="6917" width="10.5703125" style="19" customWidth="1"/>
    <col min="6918" max="6918" width="1.7109375" style="19" customWidth="1"/>
    <col min="6919" max="6924" width="9.140625" style="19" customWidth="1"/>
    <col min="6925" max="6928" width="8.85546875" style="19"/>
    <col min="6929" max="6929" width="9.140625" style="19" customWidth="1"/>
    <col min="6930" max="7168" width="8.85546875" style="19"/>
    <col min="7169" max="7169" width="9.7109375" style="19" customWidth="1"/>
    <col min="7170" max="7171" width="9.140625" style="19" customWidth="1"/>
    <col min="7172" max="7173" width="10.5703125" style="19" customWidth="1"/>
    <col min="7174" max="7174" width="1.7109375" style="19" customWidth="1"/>
    <col min="7175" max="7180" width="9.140625" style="19" customWidth="1"/>
    <col min="7181" max="7184" width="8.85546875" style="19"/>
    <col min="7185" max="7185" width="9.140625" style="19" customWidth="1"/>
    <col min="7186" max="7424" width="8.85546875" style="19"/>
    <col min="7425" max="7425" width="9.7109375" style="19" customWidth="1"/>
    <col min="7426" max="7427" width="9.140625" style="19" customWidth="1"/>
    <col min="7428" max="7429" width="10.5703125" style="19" customWidth="1"/>
    <col min="7430" max="7430" width="1.7109375" style="19" customWidth="1"/>
    <col min="7431" max="7436" width="9.140625" style="19" customWidth="1"/>
    <col min="7437" max="7440" width="8.85546875" style="19"/>
    <col min="7441" max="7441" width="9.140625" style="19" customWidth="1"/>
    <col min="7442" max="7680" width="8.85546875" style="19"/>
    <col min="7681" max="7681" width="9.7109375" style="19" customWidth="1"/>
    <col min="7682" max="7683" width="9.140625" style="19" customWidth="1"/>
    <col min="7684" max="7685" width="10.5703125" style="19" customWidth="1"/>
    <col min="7686" max="7686" width="1.7109375" style="19" customWidth="1"/>
    <col min="7687" max="7692" width="9.140625" style="19" customWidth="1"/>
    <col min="7693" max="7696" width="8.85546875" style="19"/>
    <col min="7697" max="7697" width="9.140625" style="19" customWidth="1"/>
    <col min="7698" max="7936" width="8.85546875" style="19"/>
    <col min="7937" max="7937" width="9.7109375" style="19" customWidth="1"/>
    <col min="7938" max="7939" width="9.140625" style="19" customWidth="1"/>
    <col min="7940" max="7941" width="10.5703125" style="19" customWidth="1"/>
    <col min="7942" max="7942" width="1.7109375" style="19" customWidth="1"/>
    <col min="7943" max="7948" width="9.140625" style="19" customWidth="1"/>
    <col min="7949" max="7952" width="8.85546875" style="19"/>
    <col min="7953" max="7953" width="9.140625" style="19" customWidth="1"/>
    <col min="7954" max="8192" width="8.85546875" style="19"/>
    <col min="8193" max="8193" width="9.7109375" style="19" customWidth="1"/>
    <col min="8194" max="8195" width="9.140625" style="19" customWidth="1"/>
    <col min="8196" max="8197" width="10.5703125" style="19" customWidth="1"/>
    <col min="8198" max="8198" width="1.7109375" style="19" customWidth="1"/>
    <col min="8199" max="8204" width="9.140625" style="19" customWidth="1"/>
    <col min="8205" max="8208" width="8.85546875" style="19"/>
    <col min="8209" max="8209" width="9.140625" style="19" customWidth="1"/>
    <col min="8210" max="8448" width="8.85546875" style="19"/>
    <col min="8449" max="8449" width="9.7109375" style="19" customWidth="1"/>
    <col min="8450" max="8451" width="9.140625" style="19" customWidth="1"/>
    <col min="8452" max="8453" width="10.5703125" style="19" customWidth="1"/>
    <col min="8454" max="8454" width="1.7109375" style="19" customWidth="1"/>
    <col min="8455" max="8460" width="9.140625" style="19" customWidth="1"/>
    <col min="8461" max="8464" width="8.85546875" style="19"/>
    <col min="8465" max="8465" width="9.140625" style="19" customWidth="1"/>
    <col min="8466" max="8704" width="8.85546875" style="19"/>
    <col min="8705" max="8705" width="9.7109375" style="19" customWidth="1"/>
    <col min="8706" max="8707" width="9.140625" style="19" customWidth="1"/>
    <col min="8708" max="8709" width="10.5703125" style="19" customWidth="1"/>
    <col min="8710" max="8710" width="1.7109375" style="19" customWidth="1"/>
    <col min="8711" max="8716" width="9.140625" style="19" customWidth="1"/>
    <col min="8717" max="8720" width="8.85546875" style="19"/>
    <col min="8721" max="8721" width="9.140625" style="19" customWidth="1"/>
    <col min="8722" max="8960" width="8.85546875" style="19"/>
    <col min="8961" max="8961" width="9.7109375" style="19" customWidth="1"/>
    <col min="8962" max="8963" width="9.140625" style="19" customWidth="1"/>
    <col min="8964" max="8965" width="10.5703125" style="19" customWidth="1"/>
    <col min="8966" max="8966" width="1.7109375" style="19" customWidth="1"/>
    <col min="8967" max="8972" width="9.140625" style="19" customWidth="1"/>
    <col min="8973" max="8976" width="8.85546875" style="19"/>
    <col min="8977" max="8977" width="9.140625" style="19" customWidth="1"/>
    <col min="8978" max="9216" width="8.85546875" style="19"/>
    <col min="9217" max="9217" width="9.7109375" style="19" customWidth="1"/>
    <col min="9218" max="9219" width="9.140625" style="19" customWidth="1"/>
    <col min="9220" max="9221" width="10.5703125" style="19" customWidth="1"/>
    <col min="9222" max="9222" width="1.7109375" style="19" customWidth="1"/>
    <col min="9223" max="9228" width="9.140625" style="19" customWidth="1"/>
    <col min="9229" max="9232" width="8.85546875" style="19"/>
    <col min="9233" max="9233" width="9.140625" style="19" customWidth="1"/>
    <col min="9234" max="9472" width="8.85546875" style="19"/>
    <col min="9473" max="9473" width="9.7109375" style="19" customWidth="1"/>
    <col min="9474" max="9475" width="9.140625" style="19" customWidth="1"/>
    <col min="9476" max="9477" width="10.5703125" style="19" customWidth="1"/>
    <col min="9478" max="9478" width="1.7109375" style="19" customWidth="1"/>
    <col min="9479" max="9484" width="9.140625" style="19" customWidth="1"/>
    <col min="9485" max="9488" width="8.85546875" style="19"/>
    <col min="9489" max="9489" width="9.140625" style="19" customWidth="1"/>
    <col min="9490" max="9728" width="8.85546875" style="19"/>
    <col min="9729" max="9729" width="9.7109375" style="19" customWidth="1"/>
    <col min="9730" max="9731" width="9.140625" style="19" customWidth="1"/>
    <col min="9732" max="9733" width="10.5703125" style="19" customWidth="1"/>
    <col min="9734" max="9734" width="1.7109375" style="19" customWidth="1"/>
    <col min="9735" max="9740" width="9.140625" style="19" customWidth="1"/>
    <col min="9741" max="9744" width="8.85546875" style="19"/>
    <col min="9745" max="9745" width="9.140625" style="19" customWidth="1"/>
    <col min="9746" max="9984" width="8.85546875" style="19"/>
    <col min="9985" max="9985" width="9.7109375" style="19" customWidth="1"/>
    <col min="9986" max="9987" width="9.140625" style="19" customWidth="1"/>
    <col min="9988" max="9989" width="10.5703125" style="19" customWidth="1"/>
    <col min="9990" max="9990" width="1.7109375" style="19" customWidth="1"/>
    <col min="9991" max="9996" width="9.140625" style="19" customWidth="1"/>
    <col min="9997" max="10000" width="8.85546875" style="19"/>
    <col min="10001" max="10001" width="9.140625" style="19" customWidth="1"/>
    <col min="10002" max="10240" width="8.85546875" style="19"/>
    <col min="10241" max="10241" width="9.7109375" style="19" customWidth="1"/>
    <col min="10242" max="10243" width="9.140625" style="19" customWidth="1"/>
    <col min="10244" max="10245" width="10.5703125" style="19" customWidth="1"/>
    <col min="10246" max="10246" width="1.7109375" style="19" customWidth="1"/>
    <col min="10247" max="10252" width="9.140625" style="19" customWidth="1"/>
    <col min="10253" max="10256" width="8.85546875" style="19"/>
    <col min="10257" max="10257" width="9.140625" style="19" customWidth="1"/>
    <col min="10258" max="10496" width="8.85546875" style="19"/>
    <col min="10497" max="10497" width="9.7109375" style="19" customWidth="1"/>
    <col min="10498" max="10499" width="9.140625" style="19" customWidth="1"/>
    <col min="10500" max="10501" width="10.5703125" style="19" customWidth="1"/>
    <col min="10502" max="10502" width="1.7109375" style="19" customWidth="1"/>
    <col min="10503" max="10508" width="9.140625" style="19" customWidth="1"/>
    <col min="10509" max="10512" width="8.85546875" style="19"/>
    <col min="10513" max="10513" width="9.140625" style="19" customWidth="1"/>
    <col min="10514" max="10752" width="8.85546875" style="19"/>
    <col min="10753" max="10753" width="9.7109375" style="19" customWidth="1"/>
    <col min="10754" max="10755" width="9.140625" style="19" customWidth="1"/>
    <col min="10756" max="10757" width="10.5703125" style="19" customWidth="1"/>
    <col min="10758" max="10758" width="1.7109375" style="19" customWidth="1"/>
    <col min="10759" max="10764" width="9.140625" style="19" customWidth="1"/>
    <col min="10765" max="10768" width="8.85546875" style="19"/>
    <col min="10769" max="10769" width="9.140625" style="19" customWidth="1"/>
    <col min="10770" max="11008" width="8.85546875" style="19"/>
    <col min="11009" max="11009" width="9.7109375" style="19" customWidth="1"/>
    <col min="11010" max="11011" width="9.140625" style="19" customWidth="1"/>
    <col min="11012" max="11013" width="10.5703125" style="19" customWidth="1"/>
    <col min="11014" max="11014" width="1.7109375" style="19" customWidth="1"/>
    <col min="11015" max="11020" width="9.140625" style="19" customWidth="1"/>
    <col min="11021" max="11024" width="8.85546875" style="19"/>
    <col min="11025" max="11025" width="9.140625" style="19" customWidth="1"/>
    <col min="11026" max="11264" width="8.85546875" style="19"/>
    <col min="11265" max="11265" width="9.7109375" style="19" customWidth="1"/>
    <col min="11266" max="11267" width="9.140625" style="19" customWidth="1"/>
    <col min="11268" max="11269" width="10.5703125" style="19" customWidth="1"/>
    <col min="11270" max="11270" width="1.7109375" style="19" customWidth="1"/>
    <col min="11271" max="11276" width="9.140625" style="19" customWidth="1"/>
    <col min="11277" max="11280" width="8.85546875" style="19"/>
    <col min="11281" max="11281" width="9.140625" style="19" customWidth="1"/>
    <col min="11282" max="11520" width="8.85546875" style="19"/>
    <col min="11521" max="11521" width="9.7109375" style="19" customWidth="1"/>
    <col min="11522" max="11523" width="9.140625" style="19" customWidth="1"/>
    <col min="11524" max="11525" width="10.5703125" style="19" customWidth="1"/>
    <col min="11526" max="11526" width="1.7109375" style="19" customWidth="1"/>
    <col min="11527" max="11532" width="9.140625" style="19" customWidth="1"/>
    <col min="11533" max="11536" width="8.85546875" style="19"/>
    <col min="11537" max="11537" width="9.140625" style="19" customWidth="1"/>
    <col min="11538" max="11776" width="8.85546875" style="19"/>
    <col min="11777" max="11777" width="9.7109375" style="19" customWidth="1"/>
    <col min="11778" max="11779" width="9.140625" style="19" customWidth="1"/>
    <col min="11780" max="11781" width="10.5703125" style="19" customWidth="1"/>
    <col min="11782" max="11782" width="1.7109375" style="19" customWidth="1"/>
    <col min="11783" max="11788" width="9.140625" style="19" customWidth="1"/>
    <col min="11789" max="11792" width="8.85546875" style="19"/>
    <col min="11793" max="11793" width="9.140625" style="19" customWidth="1"/>
    <col min="11794" max="12032" width="8.85546875" style="19"/>
    <col min="12033" max="12033" width="9.7109375" style="19" customWidth="1"/>
    <col min="12034" max="12035" width="9.140625" style="19" customWidth="1"/>
    <col min="12036" max="12037" width="10.5703125" style="19" customWidth="1"/>
    <col min="12038" max="12038" width="1.7109375" style="19" customWidth="1"/>
    <col min="12039" max="12044" width="9.140625" style="19" customWidth="1"/>
    <col min="12045" max="12048" width="8.85546875" style="19"/>
    <col min="12049" max="12049" width="9.140625" style="19" customWidth="1"/>
    <col min="12050" max="12288" width="8.85546875" style="19"/>
    <col min="12289" max="12289" width="9.7109375" style="19" customWidth="1"/>
    <col min="12290" max="12291" width="9.140625" style="19" customWidth="1"/>
    <col min="12292" max="12293" width="10.5703125" style="19" customWidth="1"/>
    <col min="12294" max="12294" width="1.7109375" style="19" customWidth="1"/>
    <col min="12295" max="12300" width="9.140625" style="19" customWidth="1"/>
    <col min="12301" max="12304" width="8.85546875" style="19"/>
    <col min="12305" max="12305" width="9.140625" style="19" customWidth="1"/>
    <col min="12306" max="12544" width="8.85546875" style="19"/>
    <col min="12545" max="12545" width="9.7109375" style="19" customWidth="1"/>
    <col min="12546" max="12547" width="9.140625" style="19" customWidth="1"/>
    <col min="12548" max="12549" width="10.5703125" style="19" customWidth="1"/>
    <col min="12550" max="12550" width="1.7109375" style="19" customWidth="1"/>
    <col min="12551" max="12556" width="9.140625" style="19" customWidth="1"/>
    <col min="12557" max="12560" width="8.85546875" style="19"/>
    <col min="12561" max="12561" width="9.140625" style="19" customWidth="1"/>
    <col min="12562" max="12800" width="8.85546875" style="19"/>
    <col min="12801" max="12801" width="9.7109375" style="19" customWidth="1"/>
    <col min="12802" max="12803" width="9.140625" style="19" customWidth="1"/>
    <col min="12804" max="12805" width="10.5703125" style="19" customWidth="1"/>
    <col min="12806" max="12806" width="1.7109375" style="19" customWidth="1"/>
    <col min="12807" max="12812" width="9.140625" style="19" customWidth="1"/>
    <col min="12813" max="12816" width="8.85546875" style="19"/>
    <col min="12817" max="12817" width="9.140625" style="19" customWidth="1"/>
    <col min="12818" max="13056" width="8.85546875" style="19"/>
    <col min="13057" max="13057" width="9.7109375" style="19" customWidth="1"/>
    <col min="13058" max="13059" width="9.140625" style="19" customWidth="1"/>
    <col min="13060" max="13061" width="10.5703125" style="19" customWidth="1"/>
    <col min="13062" max="13062" width="1.7109375" style="19" customWidth="1"/>
    <col min="13063" max="13068" width="9.140625" style="19" customWidth="1"/>
    <col min="13069" max="13072" width="8.85546875" style="19"/>
    <col min="13073" max="13073" width="9.140625" style="19" customWidth="1"/>
    <col min="13074" max="13312" width="8.85546875" style="19"/>
    <col min="13313" max="13313" width="9.7109375" style="19" customWidth="1"/>
    <col min="13314" max="13315" width="9.140625" style="19" customWidth="1"/>
    <col min="13316" max="13317" width="10.5703125" style="19" customWidth="1"/>
    <col min="13318" max="13318" width="1.7109375" style="19" customWidth="1"/>
    <col min="13319" max="13324" width="9.140625" style="19" customWidth="1"/>
    <col min="13325" max="13328" width="8.85546875" style="19"/>
    <col min="13329" max="13329" width="9.140625" style="19" customWidth="1"/>
    <col min="13330" max="13568" width="8.85546875" style="19"/>
    <col min="13569" max="13569" width="9.7109375" style="19" customWidth="1"/>
    <col min="13570" max="13571" width="9.140625" style="19" customWidth="1"/>
    <col min="13572" max="13573" width="10.5703125" style="19" customWidth="1"/>
    <col min="13574" max="13574" width="1.7109375" style="19" customWidth="1"/>
    <col min="13575" max="13580" width="9.140625" style="19" customWidth="1"/>
    <col min="13581" max="13584" width="8.85546875" style="19"/>
    <col min="13585" max="13585" width="9.140625" style="19" customWidth="1"/>
    <col min="13586" max="13824" width="8.85546875" style="19"/>
    <col min="13825" max="13825" width="9.7109375" style="19" customWidth="1"/>
    <col min="13826" max="13827" width="9.140625" style="19" customWidth="1"/>
    <col min="13828" max="13829" width="10.5703125" style="19" customWidth="1"/>
    <col min="13830" max="13830" width="1.7109375" style="19" customWidth="1"/>
    <col min="13831" max="13836" width="9.140625" style="19" customWidth="1"/>
    <col min="13837" max="13840" width="8.85546875" style="19"/>
    <col min="13841" max="13841" width="9.140625" style="19" customWidth="1"/>
    <col min="13842" max="14080" width="8.85546875" style="19"/>
    <col min="14081" max="14081" width="9.7109375" style="19" customWidth="1"/>
    <col min="14082" max="14083" width="9.140625" style="19" customWidth="1"/>
    <col min="14084" max="14085" width="10.5703125" style="19" customWidth="1"/>
    <col min="14086" max="14086" width="1.7109375" style="19" customWidth="1"/>
    <col min="14087" max="14092" width="9.140625" style="19" customWidth="1"/>
    <col min="14093" max="14096" width="8.85546875" style="19"/>
    <col min="14097" max="14097" width="9.140625" style="19" customWidth="1"/>
    <col min="14098" max="14336" width="8.85546875" style="19"/>
    <col min="14337" max="14337" width="9.7109375" style="19" customWidth="1"/>
    <col min="14338" max="14339" width="9.140625" style="19" customWidth="1"/>
    <col min="14340" max="14341" width="10.5703125" style="19" customWidth="1"/>
    <col min="14342" max="14342" width="1.7109375" style="19" customWidth="1"/>
    <col min="14343" max="14348" width="9.140625" style="19" customWidth="1"/>
    <col min="14349" max="14352" width="8.85546875" style="19"/>
    <col min="14353" max="14353" width="9.140625" style="19" customWidth="1"/>
    <col min="14354" max="14592" width="8.85546875" style="19"/>
    <col min="14593" max="14593" width="9.7109375" style="19" customWidth="1"/>
    <col min="14594" max="14595" width="9.140625" style="19" customWidth="1"/>
    <col min="14596" max="14597" width="10.5703125" style="19" customWidth="1"/>
    <col min="14598" max="14598" width="1.7109375" style="19" customWidth="1"/>
    <col min="14599" max="14604" width="9.140625" style="19" customWidth="1"/>
    <col min="14605" max="14608" width="8.85546875" style="19"/>
    <col min="14609" max="14609" width="9.140625" style="19" customWidth="1"/>
    <col min="14610" max="14848" width="8.85546875" style="19"/>
    <col min="14849" max="14849" width="9.7109375" style="19" customWidth="1"/>
    <col min="14850" max="14851" width="9.140625" style="19" customWidth="1"/>
    <col min="14852" max="14853" width="10.5703125" style="19" customWidth="1"/>
    <col min="14854" max="14854" width="1.7109375" style="19" customWidth="1"/>
    <col min="14855" max="14860" width="9.140625" style="19" customWidth="1"/>
    <col min="14861" max="14864" width="8.85546875" style="19"/>
    <col min="14865" max="14865" width="9.140625" style="19" customWidth="1"/>
    <col min="14866" max="15104" width="8.85546875" style="19"/>
    <col min="15105" max="15105" width="9.7109375" style="19" customWidth="1"/>
    <col min="15106" max="15107" width="9.140625" style="19" customWidth="1"/>
    <col min="15108" max="15109" width="10.5703125" style="19" customWidth="1"/>
    <col min="15110" max="15110" width="1.7109375" style="19" customWidth="1"/>
    <col min="15111" max="15116" width="9.140625" style="19" customWidth="1"/>
    <col min="15117" max="15120" width="8.85546875" style="19"/>
    <col min="15121" max="15121" width="9.140625" style="19" customWidth="1"/>
    <col min="15122" max="15360" width="8.85546875" style="19"/>
    <col min="15361" max="15361" width="9.7109375" style="19" customWidth="1"/>
    <col min="15362" max="15363" width="9.140625" style="19" customWidth="1"/>
    <col min="15364" max="15365" width="10.5703125" style="19" customWidth="1"/>
    <col min="15366" max="15366" width="1.7109375" style="19" customWidth="1"/>
    <col min="15367" max="15372" width="9.140625" style="19" customWidth="1"/>
    <col min="15373" max="15376" width="8.85546875" style="19"/>
    <col min="15377" max="15377" width="9.140625" style="19" customWidth="1"/>
    <col min="15378" max="15616" width="8.85546875" style="19"/>
    <col min="15617" max="15617" width="9.7109375" style="19" customWidth="1"/>
    <col min="15618" max="15619" width="9.140625" style="19" customWidth="1"/>
    <col min="15620" max="15621" width="10.5703125" style="19" customWidth="1"/>
    <col min="15622" max="15622" width="1.7109375" style="19" customWidth="1"/>
    <col min="15623" max="15628" width="9.140625" style="19" customWidth="1"/>
    <col min="15629" max="15632" width="8.85546875" style="19"/>
    <col min="15633" max="15633" width="9.140625" style="19" customWidth="1"/>
    <col min="15634" max="15872" width="8.85546875" style="19"/>
    <col min="15873" max="15873" width="9.7109375" style="19" customWidth="1"/>
    <col min="15874" max="15875" width="9.140625" style="19" customWidth="1"/>
    <col min="15876" max="15877" width="10.5703125" style="19" customWidth="1"/>
    <col min="15878" max="15878" width="1.7109375" style="19" customWidth="1"/>
    <col min="15879" max="15884" width="9.140625" style="19" customWidth="1"/>
    <col min="15885" max="15888" width="8.85546875" style="19"/>
    <col min="15889" max="15889" width="9.140625" style="19" customWidth="1"/>
    <col min="15890" max="16128" width="8.85546875" style="19"/>
    <col min="16129" max="16129" width="9.7109375" style="19" customWidth="1"/>
    <col min="16130" max="16131" width="9.140625" style="19" customWidth="1"/>
    <col min="16132" max="16133" width="10.5703125" style="19" customWidth="1"/>
    <col min="16134" max="16134" width="1.7109375" style="19" customWidth="1"/>
    <col min="16135" max="16140" width="9.140625" style="19" customWidth="1"/>
    <col min="16141" max="16144" width="8.85546875" style="19"/>
    <col min="16145" max="16145" width="9.140625" style="19" customWidth="1"/>
    <col min="16146" max="16384" width="8.85546875" style="19"/>
  </cols>
  <sheetData>
    <row r="1" spans="1:31" x14ac:dyDescent="0.2">
      <c r="A1" s="5" t="s">
        <v>0</v>
      </c>
      <c r="B1" s="54" t="s">
        <v>1</v>
      </c>
      <c r="C1" s="54" t="s">
        <v>2</v>
      </c>
      <c r="D1" s="54" t="s">
        <v>3</v>
      </c>
      <c r="E1" s="54" t="s">
        <v>4</v>
      </c>
      <c r="F1" s="54"/>
      <c r="G1" s="54" t="s">
        <v>5</v>
      </c>
      <c r="H1" s="54" t="s">
        <v>6</v>
      </c>
      <c r="I1" s="54"/>
      <c r="J1" s="54" t="s">
        <v>7</v>
      </c>
      <c r="K1" s="54"/>
      <c r="L1" s="75" t="s">
        <v>8</v>
      </c>
      <c r="M1" s="75"/>
      <c r="N1" s="75"/>
      <c r="O1" s="75"/>
      <c r="Q1" s="75" t="s">
        <v>52</v>
      </c>
      <c r="R1" s="75"/>
      <c r="S1" s="75"/>
      <c r="T1" s="75"/>
      <c r="W1" s="75"/>
      <c r="X1" s="75"/>
      <c r="Y1" s="75"/>
      <c r="Z1" s="75"/>
    </row>
    <row r="2" spans="1:31" x14ac:dyDescent="0.2">
      <c r="B2" s="6"/>
      <c r="C2" s="6"/>
      <c r="D2" s="6" t="s">
        <v>65</v>
      </c>
      <c r="E2" s="20" t="e">
        <f ca="1">MAX(E4:E1999)</f>
        <v>#DIV/0!</v>
      </c>
      <c r="F2" s="6"/>
      <c r="G2" s="20">
        <f ca="1">SUM(G4:G1999)/COUNT(G4:G1999)</f>
        <v>0.16589861751152074</v>
      </c>
      <c r="H2" s="20" t="e">
        <f ca="1">D423/SUM(H4:H1999)</f>
        <v>#DIV/0!</v>
      </c>
      <c r="I2" s="6"/>
      <c r="J2" s="6"/>
      <c r="K2" s="6"/>
      <c r="L2" s="10" t="s">
        <v>9</v>
      </c>
      <c r="M2" s="10" t="s">
        <v>10</v>
      </c>
      <c r="N2" s="10" t="s">
        <v>11</v>
      </c>
      <c r="O2" s="10" t="s">
        <v>12</v>
      </c>
      <c r="Q2" s="10" t="s">
        <v>9</v>
      </c>
      <c r="R2" s="10" t="s">
        <v>10</v>
      </c>
      <c r="S2" s="10" t="s">
        <v>11</v>
      </c>
      <c r="T2" s="10" t="s">
        <v>12</v>
      </c>
      <c r="W2" s="10"/>
      <c r="X2" s="10"/>
      <c r="Y2" s="10"/>
      <c r="Z2" s="10"/>
    </row>
    <row r="3" spans="1:31" x14ac:dyDescent="0.2">
      <c r="B3" s="11"/>
      <c r="C3" s="11"/>
      <c r="D3" s="61" t="s">
        <v>64</v>
      </c>
      <c r="E3" s="20" t="e">
        <f ca="1">MAX(E4:E352)</f>
        <v>#DIV/0!</v>
      </c>
      <c r="F3" s="61"/>
      <c r="G3" s="20">
        <f ca="1">SUM(G4:G352)/COUNT(G4:G352)</f>
        <v>0.21428571428571427</v>
      </c>
      <c r="H3" s="20" t="e">
        <f ca="1">D352/SUM(H4:H352)</f>
        <v>#DIV/0!</v>
      </c>
      <c r="I3" s="11"/>
      <c r="J3" s="11"/>
      <c r="K3" s="11"/>
      <c r="L3" s="13"/>
      <c r="M3" s="13"/>
      <c r="N3" s="13">
        <v>6</v>
      </c>
      <c r="O3" s="13">
        <v>0.05</v>
      </c>
      <c r="P3" s="13"/>
      <c r="Q3" s="13"/>
      <c r="R3" s="13"/>
      <c r="S3" s="13">
        <v>11</v>
      </c>
      <c r="T3" s="13">
        <v>0.1</v>
      </c>
      <c r="W3" s="13"/>
      <c r="X3" s="13"/>
      <c r="Y3" s="13"/>
      <c r="Z3" s="4"/>
    </row>
    <row r="4" spans="1:31" x14ac:dyDescent="0.2">
      <c r="A4" s="7">
        <v>41392</v>
      </c>
      <c r="B4" s="13"/>
      <c r="C4" s="13"/>
      <c r="D4" s="13"/>
      <c r="E4" s="13"/>
      <c r="F4" s="13"/>
      <c r="G4" s="13"/>
      <c r="H4" s="13"/>
      <c r="I4" s="21"/>
      <c r="J4" s="13"/>
      <c r="K4" s="13"/>
      <c r="L4" s="13">
        <v>1</v>
      </c>
      <c r="M4" s="4">
        <v>0.01</v>
      </c>
      <c r="N4" s="13"/>
      <c r="O4" s="13"/>
      <c r="P4" s="13"/>
      <c r="Q4" s="13">
        <v>1</v>
      </c>
      <c r="R4" s="4">
        <v>0.01</v>
      </c>
      <c r="S4" s="13"/>
      <c r="T4" s="13"/>
      <c r="W4" s="13"/>
      <c r="X4" s="4"/>
      <c r="Y4" s="13"/>
      <c r="Z4" s="13"/>
    </row>
    <row r="5" spans="1:31" x14ac:dyDescent="0.2">
      <c r="A5" s="7">
        <v>41399</v>
      </c>
      <c r="B5" s="13"/>
      <c r="C5" s="13"/>
      <c r="D5" s="13"/>
      <c r="E5" s="13"/>
      <c r="F5" s="13"/>
      <c r="G5" s="13"/>
      <c r="H5" s="13"/>
      <c r="I5" s="21"/>
      <c r="J5" s="13"/>
      <c r="K5" s="13"/>
      <c r="L5" s="13">
        <f>L4-O5*Prices!B5</f>
        <v>1</v>
      </c>
      <c r="M5" s="4">
        <f>M4+O5</f>
        <v>0.01</v>
      </c>
      <c r="N5" s="21"/>
      <c r="O5" s="13"/>
      <c r="P5" s="13"/>
      <c r="Q5" s="13">
        <f>Q4-T5*Prices!B5</f>
        <v>1</v>
      </c>
      <c r="R5" s="4">
        <f t="shared" ref="R5:R18" si="0">R4+T5</f>
        <v>0.01</v>
      </c>
      <c r="S5" s="13"/>
      <c r="T5" s="13"/>
      <c r="W5" s="13"/>
      <c r="X5" s="4"/>
      <c r="Y5" s="21"/>
      <c r="Z5" s="13"/>
    </row>
    <row r="6" spans="1:31" x14ac:dyDescent="0.2">
      <c r="A6" s="7">
        <v>41406</v>
      </c>
      <c r="B6" s="13"/>
      <c r="C6" s="13"/>
      <c r="D6" s="13"/>
      <c r="E6" s="13"/>
      <c r="F6" s="13"/>
      <c r="G6" s="13"/>
      <c r="H6" s="13"/>
      <c r="I6" s="21"/>
      <c r="J6" s="13"/>
      <c r="K6" s="13"/>
      <c r="L6" s="13">
        <f>L5-O6*Prices!B6</f>
        <v>1</v>
      </c>
      <c r="M6" s="4">
        <f>M5+O6</f>
        <v>0.01</v>
      </c>
      <c r="N6" s="21"/>
      <c r="O6" s="13"/>
      <c r="P6" s="13"/>
      <c r="Q6" s="13">
        <f>Q5-T6*Prices!B6</f>
        <v>1</v>
      </c>
      <c r="R6" s="4">
        <f t="shared" si="0"/>
        <v>0.01</v>
      </c>
      <c r="S6" s="13"/>
      <c r="T6" s="13"/>
      <c r="W6" s="13"/>
      <c r="X6" s="4"/>
      <c r="Y6" s="21"/>
      <c r="Z6" s="13"/>
    </row>
    <row r="7" spans="1:31" x14ac:dyDescent="0.2">
      <c r="A7" s="7">
        <v>41413</v>
      </c>
      <c r="B7" s="13"/>
      <c r="C7" s="13"/>
      <c r="D7" s="13"/>
      <c r="E7" s="13"/>
      <c r="F7" s="13"/>
      <c r="G7" s="13"/>
      <c r="H7" s="13"/>
      <c r="I7" s="21"/>
      <c r="J7" s="13"/>
      <c r="K7" s="13"/>
      <c r="L7" s="13">
        <f>L6-O7*Prices!B7</f>
        <v>1</v>
      </c>
      <c r="M7" s="4">
        <f>M6+O7</f>
        <v>0.01</v>
      </c>
      <c r="N7" s="13"/>
      <c r="O7" s="13"/>
      <c r="P7" s="22"/>
      <c r="Q7" s="13">
        <f>Q6-T7*Prices!B7</f>
        <v>1</v>
      </c>
      <c r="R7" s="4">
        <f t="shared" si="0"/>
        <v>0.01</v>
      </c>
      <c r="S7" s="13"/>
      <c r="T7" s="13"/>
      <c r="U7" s="23"/>
      <c r="W7" s="13"/>
      <c r="X7" s="4"/>
      <c r="Y7" s="13"/>
      <c r="Z7" s="13"/>
    </row>
    <row r="8" spans="1:31" x14ac:dyDescent="0.2">
      <c r="A8" s="7">
        <v>41420</v>
      </c>
      <c r="B8" s="13"/>
      <c r="C8" s="13"/>
      <c r="D8" s="13"/>
      <c r="E8" s="13"/>
      <c r="F8" s="13"/>
      <c r="G8" s="21"/>
      <c r="H8" s="13"/>
      <c r="I8" s="21"/>
      <c r="J8" s="4"/>
      <c r="K8" s="13"/>
      <c r="L8" s="13">
        <f>L7-O8*Prices!B8</f>
        <v>1</v>
      </c>
      <c r="M8" s="4">
        <f>M7+O8</f>
        <v>0.01</v>
      </c>
      <c r="N8" s="13"/>
      <c r="O8" s="4"/>
      <c r="P8" s="22"/>
      <c r="Q8" s="13">
        <f>Q7-T8*Prices!B8</f>
        <v>1</v>
      </c>
      <c r="R8" s="4">
        <f t="shared" si="0"/>
        <v>0.01</v>
      </c>
      <c r="S8" s="13"/>
      <c r="T8" s="4"/>
      <c r="U8" s="23"/>
      <c r="V8" s="13"/>
      <c r="W8" s="13"/>
      <c r="X8" s="4"/>
      <c r="Y8" s="13"/>
      <c r="Z8" s="4"/>
    </row>
    <row r="9" spans="1:31" x14ac:dyDescent="0.2">
      <c r="A9" s="7">
        <v>41427</v>
      </c>
      <c r="B9" s="13"/>
      <c r="C9" s="13"/>
      <c r="D9" s="13"/>
      <c r="E9" s="13"/>
      <c r="F9" s="13"/>
      <c r="G9" s="21"/>
      <c r="H9" s="13"/>
      <c r="I9" s="21"/>
      <c r="J9" s="4"/>
      <c r="K9" s="13"/>
      <c r="L9" s="13">
        <f>L8-O9*Prices!B9</f>
        <v>1</v>
      </c>
      <c r="M9" s="4">
        <f t="shared" ref="M9:M18" si="1">M8+O9</f>
        <v>0.01</v>
      </c>
      <c r="N9" s="13"/>
      <c r="O9" s="4"/>
      <c r="P9" s="22"/>
      <c r="Q9" s="13">
        <f>Q8-T9*Prices!B9</f>
        <v>1</v>
      </c>
      <c r="R9" s="4">
        <f t="shared" si="0"/>
        <v>0.01</v>
      </c>
      <c r="S9" s="13"/>
      <c r="T9" s="4"/>
      <c r="V9" s="13"/>
      <c r="W9" s="13"/>
      <c r="X9" s="4"/>
      <c r="Y9" s="13"/>
      <c r="Z9" s="4"/>
    </row>
    <row r="10" spans="1:31" x14ac:dyDescent="0.2">
      <c r="A10" s="7">
        <v>41434</v>
      </c>
      <c r="B10" s="13"/>
      <c r="C10" s="13"/>
      <c r="D10" s="13"/>
      <c r="E10" s="13"/>
      <c r="F10" s="13"/>
      <c r="G10" s="21"/>
      <c r="H10" s="13"/>
      <c r="I10" s="21"/>
      <c r="J10" s="4"/>
      <c r="K10" s="13"/>
      <c r="L10" s="13">
        <f>L9-O10*Prices!B10</f>
        <v>1</v>
      </c>
      <c r="M10" s="4">
        <f t="shared" si="1"/>
        <v>0.01</v>
      </c>
      <c r="N10" s="13"/>
      <c r="O10" s="4"/>
      <c r="P10" s="22"/>
      <c r="Q10" s="13">
        <f>Q9-T10*Prices!B10</f>
        <v>1</v>
      </c>
      <c r="R10" s="4">
        <f t="shared" si="0"/>
        <v>0.01</v>
      </c>
      <c r="S10" s="13"/>
      <c r="T10" s="4"/>
      <c r="V10" s="13"/>
      <c r="W10" s="13"/>
      <c r="X10" s="4"/>
      <c r="Y10" s="13"/>
      <c r="Z10" s="4"/>
    </row>
    <row r="11" spans="1:31" x14ac:dyDescent="0.2">
      <c r="A11" s="7">
        <v>41441</v>
      </c>
      <c r="B11" s="13"/>
      <c r="C11" s="13"/>
      <c r="D11" s="13"/>
      <c r="E11" s="13"/>
      <c r="F11" s="13"/>
      <c r="G11" s="21"/>
      <c r="H11" s="13"/>
      <c r="I11" s="21"/>
      <c r="J11" s="4"/>
      <c r="K11" s="13"/>
      <c r="L11" s="13">
        <f>L10-O11*Prices!B11</f>
        <v>1</v>
      </c>
      <c r="M11" s="4">
        <f t="shared" si="1"/>
        <v>0.01</v>
      </c>
      <c r="N11" s="13"/>
      <c r="O11" s="4"/>
      <c r="P11" s="22"/>
      <c r="Q11" s="13">
        <f>Q10-T11*Prices!B11</f>
        <v>1</v>
      </c>
      <c r="R11" s="4">
        <f t="shared" si="0"/>
        <v>0.01</v>
      </c>
      <c r="S11" s="13"/>
      <c r="T11" s="4"/>
      <c r="V11" s="13"/>
      <c r="W11" s="13"/>
      <c r="X11" s="4"/>
      <c r="Y11" s="13"/>
      <c r="Z11" s="4"/>
    </row>
    <row r="12" spans="1:31" x14ac:dyDescent="0.2">
      <c r="A12" s="7">
        <v>41448</v>
      </c>
      <c r="B12" s="13"/>
      <c r="C12" s="13"/>
      <c r="D12" s="13"/>
      <c r="E12" s="13"/>
      <c r="F12" s="13"/>
      <c r="G12" s="21"/>
      <c r="H12" s="13"/>
      <c r="I12" s="21"/>
      <c r="J12" s="4"/>
      <c r="K12" s="13"/>
      <c r="L12" s="13">
        <f>L11-O12*Prices!B12</f>
        <v>1</v>
      </c>
      <c r="M12" s="4">
        <f t="shared" si="1"/>
        <v>0.01</v>
      </c>
      <c r="N12" s="13"/>
      <c r="O12" s="4"/>
      <c r="P12" s="22"/>
      <c r="Q12" s="13">
        <f>Q11-T12*Prices!B12</f>
        <v>1</v>
      </c>
      <c r="R12" s="4">
        <f t="shared" si="0"/>
        <v>0.01</v>
      </c>
      <c r="S12" s="13"/>
      <c r="T12" s="4"/>
      <c r="V12" s="13"/>
      <c r="W12" s="13"/>
      <c r="X12" s="4"/>
      <c r="Y12" s="13"/>
      <c r="Z12" s="4"/>
    </row>
    <row r="13" spans="1:31" x14ac:dyDescent="0.2">
      <c r="A13" s="7">
        <v>41455</v>
      </c>
      <c r="B13" s="13"/>
      <c r="C13" s="13"/>
      <c r="D13" s="13"/>
      <c r="E13" s="13"/>
      <c r="F13" s="13"/>
      <c r="G13" s="21"/>
      <c r="H13" s="13"/>
      <c r="I13" s="21"/>
      <c r="J13" s="4"/>
      <c r="K13" s="13"/>
      <c r="L13" s="13">
        <f>L12-O13*Prices!B13</f>
        <v>1</v>
      </c>
      <c r="M13" s="4">
        <f t="shared" si="1"/>
        <v>0.01</v>
      </c>
      <c r="N13" s="13"/>
      <c r="O13" s="4"/>
      <c r="P13" s="22"/>
      <c r="Q13" s="13">
        <f>Q12-T13*Prices!B13</f>
        <v>1</v>
      </c>
      <c r="R13" s="4">
        <f t="shared" si="0"/>
        <v>0.01</v>
      </c>
      <c r="S13" s="13"/>
      <c r="T13" s="4"/>
      <c r="V13" s="13"/>
      <c r="W13" s="13"/>
      <c r="X13" s="4"/>
      <c r="Y13" s="13"/>
      <c r="Z13" s="4"/>
    </row>
    <row r="14" spans="1:31" x14ac:dyDescent="0.2">
      <c r="A14" s="7">
        <v>41462</v>
      </c>
      <c r="B14" s="13"/>
      <c r="C14" s="13"/>
      <c r="D14" s="13"/>
      <c r="E14" s="13"/>
      <c r="F14" s="13"/>
      <c r="G14" s="21"/>
      <c r="H14" s="13"/>
      <c r="I14" s="21"/>
      <c r="J14" s="4"/>
      <c r="K14" s="13"/>
      <c r="L14" s="13">
        <f>L13-O14*Prices!B14</f>
        <v>1</v>
      </c>
      <c r="M14" s="4">
        <f t="shared" si="1"/>
        <v>0.01</v>
      </c>
      <c r="N14" s="13"/>
      <c r="O14" s="4"/>
      <c r="P14" s="22"/>
      <c r="Q14" s="13">
        <f>Q13-T14*Prices!B14</f>
        <v>1</v>
      </c>
      <c r="R14" s="4">
        <f t="shared" si="0"/>
        <v>0.01</v>
      </c>
      <c r="S14" s="13"/>
      <c r="T14" s="4"/>
      <c r="V14" s="13"/>
      <c r="W14" s="4"/>
      <c r="X14" s="4"/>
      <c r="Y14" s="4"/>
      <c r="Z14" s="4"/>
      <c r="AA14" s="13"/>
      <c r="AB14" s="4"/>
      <c r="AC14" s="4"/>
      <c r="AD14" s="4"/>
      <c r="AE14" s="52"/>
    </row>
    <row r="15" spans="1:31" x14ac:dyDescent="0.2">
      <c r="A15" s="7">
        <v>41469</v>
      </c>
      <c r="B15" s="13"/>
      <c r="C15" s="13"/>
      <c r="D15" s="13"/>
      <c r="E15" s="13"/>
      <c r="F15" s="13"/>
      <c r="G15" s="21"/>
      <c r="H15" s="13"/>
      <c r="I15" s="21"/>
      <c r="J15" s="4"/>
      <c r="K15" s="13"/>
      <c r="L15" s="13">
        <f>L14-O15*Prices!B15</f>
        <v>1</v>
      </c>
      <c r="M15" s="4">
        <f t="shared" si="1"/>
        <v>0.01</v>
      </c>
      <c r="N15" s="13"/>
      <c r="O15" s="4"/>
      <c r="P15" s="22"/>
      <c r="Q15" s="13">
        <f>Q14-T15*Prices!B15</f>
        <v>1</v>
      </c>
      <c r="R15" s="4">
        <f t="shared" si="0"/>
        <v>0.01</v>
      </c>
      <c r="S15" s="13"/>
      <c r="T15" s="4"/>
      <c r="V15" s="4"/>
      <c r="W15" s="4"/>
      <c r="X15" s="4"/>
      <c r="Y15" s="4"/>
      <c r="Z15" s="4"/>
      <c r="AA15" s="4"/>
      <c r="AB15" s="4"/>
      <c r="AC15" s="4"/>
      <c r="AD15" s="4"/>
      <c r="AE15" s="52"/>
    </row>
    <row r="16" spans="1:31" x14ac:dyDescent="0.2">
      <c r="A16" s="7">
        <v>41476</v>
      </c>
      <c r="B16" s="13"/>
      <c r="C16" s="13"/>
      <c r="D16" s="13"/>
      <c r="E16" s="13"/>
      <c r="F16" s="13">
        <f t="shared" ref="F16:F18" si="2">MAX(F15,D16)</f>
        <v>0</v>
      </c>
      <c r="G16" s="21"/>
      <c r="H16" s="13"/>
      <c r="I16" s="21"/>
      <c r="J16" s="4"/>
      <c r="K16" s="13"/>
      <c r="L16" s="13">
        <f>L15-O16*Prices!B16</f>
        <v>1</v>
      </c>
      <c r="M16" s="4">
        <f t="shared" si="1"/>
        <v>0.01</v>
      </c>
      <c r="N16" s="13"/>
      <c r="O16" s="4"/>
      <c r="P16" s="22"/>
      <c r="Q16" s="13">
        <f>Q15-T16*Prices!B16</f>
        <v>1</v>
      </c>
      <c r="R16" s="4">
        <f t="shared" si="0"/>
        <v>0.01</v>
      </c>
      <c r="S16" s="13"/>
      <c r="T16" s="4"/>
      <c r="V16" s="4"/>
      <c r="W16" s="4"/>
      <c r="X16" s="4"/>
      <c r="Y16" s="4"/>
      <c r="Z16" s="4"/>
      <c r="AA16" s="4"/>
      <c r="AB16" s="4"/>
      <c r="AC16" s="4"/>
      <c r="AD16" s="4"/>
      <c r="AE16" s="52"/>
    </row>
    <row r="17" spans="1:31" x14ac:dyDescent="0.2">
      <c r="A17" s="7">
        <v>41483</v>
      </c>
      <c r="B17" s="13">
        <f ca="1">Prices!B16*(1+J17/(50*(ABS(O17)+ABS(T17)+0.0001)))</f>
        <v>1.122347257772573</v>
      </c>
      <c r="C17" s="62">
        <f ca="1">IF(J17&gt;0,1,IF(J17&lt;0,0,0))</f>
        <v>1</v>
      </c>
      <c r="D17" s="13">
        <f ca="1">D16+C17*(Prices!B17-Prices!B16)/Prices!B16</f>
        <v>-2.4077775758677054E-2</v>
      </c>
      <c r="E17" s="13">
        <f t="shared" ref="E17:E18" ca="1" si="3">F17-D17</f>
        <v>2.4077775758677054E-2</v>
      </c>
      <c r="F17" s="13">
        <f t="shared" ca="1" si="2"/>
        <v>0</v>
      </c>
      <c r="G17" s="21">
        <f ca="1">IF((Prices!B17-Prices!B16)*C17&gt;0,1,0)</f>
        <v>0</v>
      </c>
      <c r="H17" s="13">
        <f>ABS(Prices!B17-Prices!B16)/Prices!B16</f>
        <v>2.4077775758677054E-2</v>
      </c>
      <c r="I17" s="21"/>
      <c r="J17" s="4">
        <f t="shared" ref="J17:J18" ca="1" si="4">O17+T17</f>
        <v>9.0359531164819193E-2</v>
      </c>
      <c r="K17" s="13"/>
      <c r="L17" s="13">
        <f ca="1">L16-O17*Prices!B17</f>
        <v>1.0005370499999999</v>
      </c>
      <c r="M17" s="4">
        <f t="shared" ca="1" si="1"/>
        <v>9.4999999999999998E-3</v>
      </c>
      <c r="N17" s="13">
        <f ca="1">IF(Prices!B16&gt;OFFSET(Prices!B16,-$N$3,0),1,-1)</f>
        <v>-1</v>
      </c>
      <c r="O17" s="4">
        <f ca="1">IF(N17=1,O$3*L16/Prices!B16,-O$3*M16)</f>
        <v>-5.0000000000000001E-4</v>
      </c>
      <c r="P17" s="22"/>
      <c r="Q17" s="13">
        <f ca="1">Q16-T17*Prices!B17</f>
        <v>0.90240777757586765</v>
      </c>
      <c r="R17" s="4">
        <f t="shared" ca="1" si="0"/>
        <v>0.10085953116481919</v>
      </c>
      <c r="S17" s="13">
        <f ca="1">IF(Prices!D16&gt;OFFSET(Prices!D16,-S$3,0),1,-1)</f>
        <v>1</v>
      </c>
      <c r="T17" s="4">
        <f ca="1">IF(S17=1,T$3*Q16/Prices!B16,-T$3*R16)</f>
        <v>9.0859531164819193E-2</v>
      </c>
      <c r="V17" s="4"/>
      <c r="W17" s="4"/>
      <c r="X17" s="4"/>
      <c r="Y17" s="4"/>
      <c r="Z17" s="4"/>
      <c r="AA17" s="4"/>
      <c r="AB17" s="4"/>
      <c r="AC17" s="4"/>
      <c r="AD17" s="4"/>
      <c r="AE17" s="52"/>
    </row>
    <row r="18" spans="1:31" x14ac:dyDescent="0.2">
      <c r="A18" s="7">
        <v>41490</v>
      </c>
      <c r="B18" s="13">
        <f ca="1">Prices!B17*(1+J18/(50*(ABS(O18)+ABS(T18)+0.0001)))</f>
        <v>1.0953153486948806</v>
      </c>
      <c r="C18" s="62">
        <f t="shared" ref="C18" ca="1" si="5">IF(J18&gt;0,1,IF(J18&lt;0,0,0))</f>
        <v>1</v>
      </c>
      <c r="D18" s="13">
        <f ca="1">D17+C18*(Prices!B18-Prices!B17)/Prices!B17</f>
        <v>-2.1098537326501399E-2</v>
      </c>
      <c r="E18" s="13">
        <f t="shared" ca="1" si="3"/>
        <v>2.1098537326501399E-2</v>
      </c>
      <c r="F18" s="13">
        <f t="shared" ca="1" si="2"/>
        <v>0</v>
      </c>
      <c r="G18" s="21">
        <f ca="1">IF((Prices!B18-Prices!B17)*C18&gt;0,1,0)</f>
        <v>1</v>
      </c>
      <c r="H18" s="13">
        <f>ABS(Prices!B18-Prices!B17)/Prices!B17</f>
        <v>2.9792384321756537E-3</v>
      </c>
      <c r="I18" s="21"/>
      <c r="J18" s="4">
        <f t="shared" ca="1" si="4"/>
        <v>8.3540247889011043E-2</v>
      </c>
      <c r="K18" s="13"/>
      <c r="L18" s="13">
        <f ca="1">L17-O18*Prices!B18</f>
        <v>1.0010487674999999</v>
      </c>
      <c r="M18" s="4">
        <f t="shared" ca="1" si="1"/>
        <v>9.025E-3</v>
      </c>
      <c r="N18" s="13">
        <f ca="1">IF(Prices!B17&gt;OFFSET(Prices!B17,-$N$3,0),1,-1)</f>
        <v>-1</v>
      </c>
      <c r="O18" s="4">
        <f ca="1">IF(N18=1,O$3*L17/Prices!B17,-O$3*M17)</f>
        <v>-4.75E-4</v>
      </c>
      <c r="P18" s="22"/>
      <c r="Q18" s="13">
        <f ca="1">Q17-T18*Prices!B18</f>
        <v>0.81189815102503604</v>
      </c>
      <c r="R18" s="4">
        <f t="shared" ca="1" si="0"/>
        <v>0.18487477905383023</v>
      </c>
      <c r="S18" s="13">
        <f ca="1">IF(Prices!D17&gt;OFFSET(Prices!D17,-S$3,0),1,-1)</f>
        <v>1</v>
      </c>
      <c r="T18" s="4">
        <f ca="1">IF(S18=1,T$3*Q17/Prices!B17,-T$3*R17)</f>
        <v>8.4015247889011047E-2</v>
      </c>
      <c r="V18" s="4"/>
      <c r="W18" s="4"/>
      <c r="X18" s="4"/>
      <c r="Y18" s="4"/>
      <c r="Z18" s="4"/>
      <c r="AA18" s="4"/>
      <c r="AB18" s="4"/>
      <c r="AC18" s="4"/>
      <c r="AD18" s="4"/>
      <c r="AE18" s="52"/>
    </row>
    <row r="19" spans="1:31" x14ac:dyDescent="0.2">
      <c r="A19" s="7">
        <v>41497</v>
      </c>
      <c r="B19" s="13">
        <f ca="1">Prices!B18*(1+J19/(50*(ABS(O19)+ABS(T19)+0.0001)))</f>
        <v>1.0985614745849586</v>
      </c>
      <c r="C19" s="62">
        <f t="shared" ref="C19:C82" ca="1" si="6">IF(J19&gt;0,1,IF(J19&lt;0,0,0))</f>
        <v>1</v>
      </c>
      <c r="D19" s="13">
        <f ca="1">D18+C19*(Prices!B19-Prices!B18)/Prices!B18</f>
        <v>-3.2887268413478041E-2</v>
      </c>
      <c r="E19" s="13">
        <f t="shared" ref="E19:E82" ca="1" si="7">F19-D19</f>
        <v>3.2887268413478041E-2</v>
      </c>
      <c r="F19" s="13">
        <f t="shared" ref="F19:F82" ca="1" si="8">MAX(F18,D19)</f>
        <v>0</v>
      </c>
      <c r="G19" s="21">
        <f ca="1">IF((Prices!B19-Prices!B18)*C19&gt;0,1,0)</f>
        <v>0</v>
      </c>
      <c r="H19" s="13">
        <f>ABS(Prices!B19-Prices!B18)/Prices!B18</f>
        <v>1.178873108697664E-2</v>
      </c>
      <c r="I19" s="21"/>
      <c r="J19" s="4">
        <f t="shared" ref="J19:J82" ca="1" si="9">O19+T19</f>
        <v>7.4912915137383851E-2</v>
      </c>
      <c r="K19" s="13"/>
      <c r="L19" s="13">
        <f ca="1">L18-O19*Prices!B19</f>
        <v>1.00152916825</v>
      </c>
      <c r="M19" s="4">
        <f t="shared" ref="M19:M82" ca="1" si="10">M18+O19</f>
        <v>8.5737499999999998E-3</v>
      </c>
      <c r="N19" s="13">
        <f ca="1">IF(Prices!B18&gt;OFFSET(Prices!B18,-$N$3,0),1,-1)</f>
        <v>-1</v>
      </c>
      <c r="O19" s="4">
        <f ca="1">IF(N19=1,O$3*L18/Prices!B18,-O$3*M18)</f>
        <v>-4.5125000000000005E-4</v>
      </c>
      <c r="P19" s="22"/>
      <c r="Q19" s="13">
        <f ca="1">Q18-T19*Prices!B19</f>
        <v>0.73166546081977724</v>
      </c>
      <c r="R19" s="4">
        <f t="shared" ref="R19:R82" ca="1" si="11">R18+T19</f>
        <v>0.26023894419121407</v>
      </c>
      <c r="S19" s="13">
        <f ca="1">IF(Prices!D18&gt;OFFSET(Prices!D18,-S$3,0),1,-1)</f>
        <v>1</v>
      </c>
      <c r="T19" s="4">
        <f ca="1">IF(S19=1,T$3*Q18/Prices!B18,-T$3*R18)</f>
        <v>7.5364165137383851E-2</v>
      </c>
      <c r="V19" s="4"/>
      <c r="W19" s="4"/>
      <c r="X19" s="4"/>
      <c r="Y19" s="4"/>
      <c r="Z19" s="4"/>
      <c r="AA19" s="4"/>
      <c r="AB19" s="4"/>
      <c r="AC19" s="4"/>
      <c r="AD19" s="4"/>
      <c r="AE19" s="52"/>
    </row>
    <row r="20" spans="1:31" x14ac:dyDescent="0.2">
      <c r="A20" s="7">
        <v>41504</v>
      </c>
      <c r="B20" s="13">
        <f ca="1">Prices!B19*(1+J20/(50*(ABS(O20)+ABS(T20)+0.0001)))</f>
        <v>1.0855976633246984</v>
      </c>
      <c r="C20" s="62">
        <f t="shared" ca="1" si="6"/>
        <v>1</v>
      </c>
      <c r="D20" s="13">
        <f ca="1">D19+C20*(Prices!B20-Prices!B19)/Prices!B19</f>
        <v>-3.7865664055033631E-2</v>
      </c>
      <c r="E20" s="13">
        <f t="shared" ca="1" si="7"/>
        <v>3.7865664055033631E-2</v>
      </c>
      <c r="F20" s="13">
        <f t="shared" ca="1" si="8"/>
        <v>0</v>
      </c>
      <c r="G20" s="21">
        <f ca="1">IF((Prices!B20-Prices!B19)*C20&gt;0,1,0)</f>
        <v>0</v>
      </c>
      <c r="H20" s="13">
        <f>ABS(Prices!B20-Prices!B19)/Prices!B19</f>
        <v>4.9783956415555917E-3</v>
      </c>
      <c r="I20" s="21"/>
      <c r="J20" s="4">
        <f t="shared" ca="1" si="9"/>
        <v>6.8298107617394077E-2</v>
      </c>
      <c r="K20" s="13"/>
      <c r="L20" s="13">
        <f ca="1">L19-O20*Prices!B20</f>
        <v>1.00198327691875</v>
      </c>
      <c r="M20" s="4">
        <f t="shared" ca="1" si="10"/>
        <v>8.1450624999999995E-3</v>
      </c>
      <c r="N20" s="13">
        <f ca="1">IF(Prices!B19&gt;OFFSET(Prices!B19,-$N$3,0),1,-1)</f>
        <v>-1</v>
      </c>
      <c r="O20" s="4">
        <f ca="1">IF(N20=1,O$3*L19/Prices!B19,-O$3*M19)</f>
        <v>-4.2868750000000003E-4</v>
      </c>
      <c r="P20" s="22"/>
      <c r="Q20" s="13">
        <f ca="1">Q19-T20*Prices!B20</f>
        <v>0.65886316675192169</v>
      </c>
      <c r="R20" s="4">
        <f t="shared" ca="1" si="11"/>
        <v>0.32896573930860817</v>
      </c>
      <c r="S20" s="13">
        <f ca="1">IF(Prices!D19&gt;OFFSET(Prices!D19,-S$3,0),1,-1)</f>
        <v>1</v>
      </c>
      <c r="T20" s="4">
        <f ca="1">IF(S20=1,T$3*Q19/Prices!B19,-T$3*R19)</f>
        <v>6.8726795117394074E-2</v>
      </c>
      <c r="V20" s="4"/>
      <c r="W20" s="4"/>
      <c r="X20" s="4"/>
      <c r="Y20" s="4"/>
      <c r="Z20" s="4"/>
      <c r="AA20" s="4"/>
      <c r="AB20" s="4"/>
      <c r="AC20" s="4"/>
      <c r="AD20" s="4"/>
      <c r="AE20" s="52"/>
    </row>
    <row r="21" spans="1:31" x14ac:dyDescent="0.2">
      <c r="A21" s="7">
        <v>41511</v>
      </c>
      <c r="B21" s="13">
        <f ca="1">Prices!B20*(1+J21/(50*(ABS(O21)+ABS(T21)+0.0001)))</f>
        <v>1.0381774238704582</v>
      </c>
      <c r="C21" s="62">
        <f t="shared" ca="1" si="6"/>
        <v>0</v>
      </c>
      <c r="D21" s="13">
        <f ca="1">D20+C21*(Prices!B21-Prices!B20)/Prices!B20</f>
        <v>-3.7865664055033631E-2</v>
      </c>
      <c r="E21" s="13">
        <f t="shared" ca="1" si="7"/>
        <v>3.7865664055033631E-2</v>
      </c>
      <c r="F21" s="13">
        <f t="shared" ca="1" si="8"/>
        <v>0</v>
      </c>
      <c r="G21" s="21">
        <f ca="1">IF((Prices!B21-Prices!B20)*C21&gt;0,1,0)</f>
        <v>0</v>
      </c>
      <c r="H21" s="13">
        <f>ABS(Prices!B21-Prices!B20)/Prices!B20</f>
        <v>2.7187765505522668E-2</v>
      </c>
      <c r="I21" s="21"/>
      <c r="J21" s="4">
        <f t="shared" ca="1" si="9"/>
        <v>-3.3303827055860817E-2</v>
      </c>
      <c r="K21" s="13"/>
      <c r="L21" s="13">
        <f ca="1">L20-O21*Prices!B21</f>
        <v>1.0024264090440624</v>
      </c>
      <c r="M21" s="4">
        <f t="shared" ca="1" si="10"/>
        <v>7.7378093749999998E-3</v>
      </c>
      <c r="N21" s="13">
        <f ca="1">IF(Prices!B20&gt;OFFSET(Prices!B20,-$N$3,0),1,-1)</f>
        <v>-1</v>
      </c>
      <c r="O21" s="4">
        <f ca="1">IF(N21=1,O$3*L20/Prices!B20,-O$3*M20)</f>
        <v>-4.0725312499999999E-4</v>
      </c>
      <c r="P21" s="22"/>
      <c r="Q21" s="13">
        <f ca="1">Q20-T21*Prices!B21</f>
        <v>0.69465792884609134</v>
      </c>
      <c r="R21" s="4">
        <f t="shared" ca="1" si="11"/>
        <v>0.29606916537774736</v>
      </c>
      <c r="S21" s="13">
        <f ca="1">IF(Prices!D20&gt;OFFSET(Prices!D20,-S$3,0),1,-1)</f>
        <v>-1</v>
      </c>
      <c r="T21" s="4">
        <f ca="1">IF(S21=1,T$3*Q20/Prices!B20,-T$3*R20)</f>
        <v>-3.2896573930860817E-2</v>
      </c>
      <c r="V21" s="4"/>
      <c r="W21" s="4"/>
      <c r="X21" s="4"/>
      <c r="Y21" s="4"/>
      <c r="Z21" s="4"/>
      <c r="AA21" s="4"/>
      <c r="AB21" s="4"/>
      <c r="AC21" s="4"/>
      <c r="AD21" s="4"/>
      <c r="AE21" s="52"/>
    </row>
    <row r="22" spans="1:31" x14ac:dyDescent="0.2">
      <c r="A22" s="7">
        <v>41518</v>
      </c>
      <c r="B22" s="13">
        <f ca="1">Prices!B21*(1+J22/(50*(ABS(O22)+ABS(T22)+0.0001)))</f>
        <v>1.0664103138817076</v>
      </c>
      <c r="C22" s="62">
        <f t="shared" ca="1" si="6"/>
        <v>0</v>
      </c>
      <c r="D22" s="13">
        <f ca="1">D21+C22*(Prices!B22-Prices!B21)/Prices!B21</f>
        <v>-3.7865664055033631E-2</v>
      </c>
      <c r="E22" s="13">
        <f t="shared" ca="1" si="7"/>
        <v>3.7865664055033631E-2</v>
      </c>
      <c r="F22" s="13">
        <f t="shared" ca="1" si="8"/>
        <v>0</v>
      </c>
      <c r="G22" s="21">
        <f ca="1">IF((Prices!B22-Prices!B21)*C22&gt;0,1,0)</f>
        <v>0</v>
      </c>
      <c r="H22" s="13">
        <f>ABS(Prices!B22-Prices!B21)/Prices!B21</f>
        <v>9.6498483595257364E-3</v>
      </c>
      <c r="I22" s="21"/>
      <c r="J22" s="4">
        <f t="shared" ca="1" si="9"/>
        <v>-2.999380700652474E-2</v>
      </c>
      <c r="K22" s="13"/>
      <c r="L22" s="13">
        <f ca="1">L21-O22*Prices!B22</f>
        <v>1.0028514469130312</v>
      </c>
      <c r="M22" s="4">
        <f t="shared" ca="1" si="10"/>
        <v>7.3509189062500001E-3</v>
      </c>
      <c r="N22" s="13">
        <f ca="1">IF(Prices!B21&gt;OFFSET(Prices!B21,-$N$3,0),1,-1)</f>
        <v>-1</v>
      </c>
      <c r="O22" s="4">
        <f ca="1">IF(N22=1,O$3*L21/Prices!B21,-O$3*M21)</f>
        <v>-3.8689046875E-4</v>
      </c>
      <c r="P22" s="22"/>
      <c r="Q22" s="13">
        <f ca="1">Q21-T22*Prices!B22</f>
        <v>0.72718408735449069</v>
      </c>
      <c r="R22" s="4">
        <f t="shared" ca="1" si="11"/>
        <v>0.2664622488399726</v>
      </c>
      <c r="S22" s="13">
        <f ca="1">IF(Prices!D21&gt;OFFSET(Prices!D21,-S$3,0),1,-1)</f>
        <v>-1</v>
      </c>
      <c r="T22" s="4">
        <f ca="1">IF(S22=1,T$3*Q21/Prices!B21,-T$3*R21)</f>
        <v>-2.9606916537774738E-2</v>
      </c>
      <c r="V22" s="4"/>
      <c r="W22" s="4"/>
      <c r="X22" s="4"/>
      <c r="Y22" s="4"/>
      <c r="Z22" s="4"/>
      <c r="AA22" s="4"/>
      <c r="AB22" s="4"/>
      <c r="AC22" s="4"/>
      <c r="AD22" s="4"/>
      <c r="AE22" s="52"/>
    </row>
    <row r="23" spans="1:31" x14ac:dyDescent="0.2">
      <c r="A23" s="7">
        <v>41525</v>
      </c>
      <c r="B23" s="13">
        <f ca="1">Prices!B22*(1+J23/(50*(ABS(O23)+ABS(T23)+0.0001)))</f>
        <v>1.0767090363122795</v>
      </c>
      <c r="C23" s="62">
        <f t="shared" ca="1" si="6"/>
        <v>0</v>
      </c>
      <c r="D23" s="13">
        <f ca="1">D22+C23*(Prices!B23-Prices!B22)/Prices!B22</f>
        <v>-3.7865664055033631E-2</v>
      </c>
      <c r="E23" s="13">
        <f t="shared" ca="1" si="7"/>
        <v>3.7865664055033631E-2</v>
      </c>
      <c r="F23" s="13">
        <f t="shared" ca="1" si="8"/>
        <v>0</v>
      </c>
      <c r="G23" s="21">
        <f ca="1">IF((Prices!B23-Prices!B22)*C23&gt;0,1,0)</f>
        <v>0</v>
      </c>
      <c r="H23" s="13">
        <f>ABS(Prices!B23-Prices!B22)/Prices!B22</f>
        <v>1.0740943018387067E-2</v>
      </c>
      <c r="I23" s="21"/>
      <c r="J23" s="4">
        <f t="shared" ca="1" si="9"/>
        <v>-2.7013770829309759E-2</v>
      </c>
      <c r="K23" s="13"/>
      <c r="L23" s="13">
        <f ca="1">L22-O23*Prices!B23</f>
        <v>1.0032508958463968</v>
      </c>
      <c r="M23" s="4">
        <f t="shared" ca="1" si="10"/>
        <v>6.9833729609375004E-3</v>
      </c>
      <c r="N23" s="13">
        <f ca="1">IF(Prices!B22&gt;OFFSET(Prices!B22,-$N$3,0),1,-1)</f>
        <v>-1</v>
      </c>
      <c r="O23" s="4">
        <f ca="1">IF(N23=1,O$3*L22/Prices!B22,-O$3*M22)</f>
        <v>-3.6754594531250004E-4</v>
      </c>
      <c r="P23" s="22"/>
      <c r="Q23" s="13">
        <f ca="1">Q22-T23*Prices!B23</f>
        <v>0.75614320455841888</v>
      </c>
      <c r="R23" s="4">
        <f t="shared" ca="1" si="11"/>
        <v>0.23981602395597534</v>
      </c>
      <c r="S23" s="13">
        <f ca="1">IF(Prices!D22&gt;OFFSET(Prices!D22,-S$3,0),1,-1)</f>
        <v>-1</v>
      </c>
      <c r="T23" s="4">
        <f ca="1">IF(S23=1,T$3*Q22/Prices!B22,-T$3*R22)</f>
        <v>-2.664622488399726E-2</v>
      </c>
      <c r="V23" s="4"/>
      <c r="W23" s="4"/>
      <c r="X23" s="4"/>
      <c r="Y23" s="4"/>
      <c r="Z23" s="4"/>
      <c r="AA23" s="4"/>
      <c r="AB23" s="4"/>
      <c r="AC23" s="4"/>
      <c r="AD23" s="4"/>
      <c r="AE23" s="52"/>
    </row>
    <row r="24" spans="1:31" x14ac:dyDescent="0.2">
      <c r="A24" s="7">
        <v>41532</v>
      </c>
      <c r="B24" s="13">
        <f ca="1">Prices!B23*(1+J24/(50*(ABS(O24)+ABS(T24)+0.0001)))</f>
        <v>1.0936622145645518</v>
      </c>
      <c r="C24" s="62">
        <f t="shared" ca="1" si="6"/>
        <v>1</v>
      </c>
      <c r="D24" s="13">
        <f ca="1">D23+C24*(Prices!B24-Prices!B23)/Prices!B23</f>
        <v>-2.9400445063498759E-2</v>
      </c>
      <c r="E24" s="13">
        <f t="shared" ca="1" si="7"/>
        <v>2.9400445063498759E-2</v>
      </c>
      <c r="F24" s="13">
        <f t="shared" ca="1" si="8"/>
        <v>0</v>
      </c>
      <c r="G24" s="21">
        <f ca="1">IF((Prices!B24-Prices!B23)*C24&gt;0,1,0)</f>
        <v>1</v>
      </c>
      <c r="H24" s="13">
        <f>ABS(Prices!B24-Prices!B23)/Prices!B23</f>
        <v>8.4652189915348699E-3</v>
      </c>
      <c r="I24" s="21"/>
      <c r="J24" s="4">
        <f t="shared" ca="1" si="9"/>
        <v>2.2174585304365519E-2</v>
      </c>
      <c r="K24" s="13"/>
      <c r="L24" s="13">
        <f ca="1">L23-O24*Prices!B24</f>
        <v>0.95266371412723727</v>
      </c>
      <c r="M24" s="4">
        <f t="shared" ca="1" si="10"/>
        <v>5.3139560660900552E-2</v>
      </c>
      <c r="N24" s="13">
        <f ca="1">IF(Prices!B23&gt;OFFSET(Prices!B23,-$N$3,0),1,-1)</f>
        <v>1</v>
      </c>
      <c r="O24" s="4">
        <f ca="1">IF(N24=1,O$3*L23/Prices!B23,-O$3*M23)</f>
        <v>4.6156187699963054E-2</v>
      </c>
      <c r="P24" s="22"/>
      <c r="Q24" s="13">
        <f ca="1">Q23-T24*Prices!B24</f>
        <v>0.78242704078399383</v>
      </c>
      <c r="R24" s="4">
        <f t="shared" ca="1" si="11"/>
        <v>0.2158344215603778</v>
      </c>
      <c r="S24" s="13">
        <f ca="1">IF(Prices!D23&gt;OFFSET(Prices!D23,-S$3,0),1,-1)</f>
        <v>-1</v>
      </c>
      <c r="T24" s="4">
        <f ca="1">IF(S24=1,T$3*Q23/Prices!B23,-T$3*R23)</f>
        <v>-2.3981602395597535E-2</v>
      </c>
      <c r="V24" s="4"/>
      <c r="W24" s="4"/>
      <c r="X24" s="4"/>
      <c r="Y24" s="4"/>
      <c r="Z24" s="4"/>
      <c r="AA24" s="4"/>
      <c r="AB24" s="4"/>
      <c r="AC24" s="4"/>
      <c r="AD24" s="4"/>
      <c r="AE24" s="52"/>
    </row>
    <row r="25" spans="1:31" x14ac:dyDescent="0.2">
      <c r="A25" s="7">
        <v>41539</v>
      </c>
      <c r="B25" s="13">
        <f ca="1">Prices!B24*(1+J25/(50*(ABS(O25)+ABS(T25)+0.0001)))</f>
        <v>1.1033614128593459</v>
      </c>
      <c r="C25" s="62">
        <f t="shared" ca="1" si="6"/>
        <v>1</v>
      </c>
      <c r="D25" s="13">
        <f ca="1">D24+C25*(Prices!B25-Prices!B24)/Prices!B24</f>
        <v>-3.8889496158389436E-2</v>
      </c>
      <c r="E25" s="13">
        <f t="shared" ca="1" si="7"/>
        <v>3.8889496158389436E-2</v>
      </c>
      <c r="F25" s="13">
        <f t="shared" ca="1" si="8"/>
        <v>0</v>
      </c>
      <c r="G25" s="21">
        <f ca="1">IF((Prices!B25-Prices!B24)*C25&gt;0,1,0)</f>
        <v>0</v>
      </c>
      <c r="H25" s="13">
        <f>ABS(Prices!B25-Prices!B24)/Prices!B24</f>
        <v>9.4890510948906805E-3</v>
      </c>
      <c r="I25" s="21"/>
      <c r="J25" s="4">
        <f t="shared" ca="1" si="9"/>
        <v>2.187749370743107E-2</v>
      </c>
      <c r="K25" s="13"/>
      <c r="L25" s="13">
        <f ca="1">L24-O25*Prices!B25</f>
        <v>0.9054825221538555</v>
      </c>
      <c r="M25" s="4">
        <f t="shared" ca="1" si="10"/>
        <v>9.6600496524369403E-2</v>
      </c>
      <c r="N25" s="13">
        <f ca="1">IF(Prices!B24&gt;OFFSET(Prices!B24,-$N$3,0),1,-1)</f>
        <v>1</v>
      </c>
      <c r="O25" s="4">
        <f ca="1">IF(N25=1,O$3*L24/Prices!B24,-O$3*M24)</f>
        <v>4.3460935863468851E-2</v>
      </c>
      <c r="P25" s="22"/>
      <c r="Q25" s="13">
        <f ca="1">Q24-T25*Prices!B25</f>
        <v>0.80585802558858843</v>
      </c>
      <c r="R25" s="4">
        <f t="shared" ca="1" si="11"/>
        <v>0.19425097940434002</v>
      </c>
      <c r="S25" s="13">
        <f ca="1">IF(Prices!D24&gt;OFFSET(Prices!D24,-S$3,0),1,-1)</f>
        <v>-1</v>
      </c>
      <c r="T25" s="4">
        <f ca="1">IF(S25=1,T$3*Q24/Prices!B24,-T$3*R24)</f>
        <v>-2.1583442156037781E-2</v>
      </c>
      <c r="V25" s="4"/>
      <c r="W25" s="4"/>
      <c r="X25" s="4"/>
      <c r="Y25" s="4"/>
      <c r="Z25" s="4"/>
      <c r="AA25" s="4"/>
      <c r="AB25" s="4"/>
      <c r="AC25" s="4"/>
      <c r="AD25" s="4"/>
      <c r="AE25" s="52"/>
    </row>
    <row r="26" spans="1:31" x14ac:dyDescent="0.2">
      <c r="A26" s="7">
        <v>41546</v>
      </c>
      <c r="B26" s="13">
        <f ca="1">Prices!B25*(1+J26/(50*(ABS(O26)+ABS(T26)+0.0001)))</f>
        <v>1.1072932885369591</v>
      </c>
      <c r="C26" s="62">
        <f t="shared" ca="1" si="6"/>
        <v>1</v>
      </c>
      <c r="D26" s="13">
        <f ca="1">D25+C26*(Prices!B26-Prices!B25)/Prices!B25</f>
        <v>-3.280990883340771E-2</v>
      </c>
      <c r="E26" s="13">
        <f t="shared" ca="1" si="7"/>
        <v>3.280990883340771E-2</v>
      </c>
      <c r="F26" s="13">
        <f t="shared" ca="1" si="8"/>
        <v>0</v>
      </c>
      <c r="G26" s="21">
        <f ca="1">IF((Prices!B26-Prices!B25)*C26&gt;0,1,0)</f>
        <v>1</v>
      </c>
      <c r="H26" s="13">
        <f>ABS(Prices!B26-Prices!B25)/Prices!B25</f>
        <v>6.0795873249817264E-3</v>
      </c>
      <c r="I26" s="21"/>
      <c r="J26" s="4">
        <f t="shared" ca="1" si="9"/>
        <v>0.11593582227943222</v>
      </c>
      <c r="K26" s="13"/>
      <c r="L26" s="13">
        <f ca="1">L25-O26*Prices!B26</f>
        <v>0.85993314804292875</v>
      </c>
      <c r="M26" s="4">
        <f t="shared" ca="1" si="10"/>
        <v>0.13830473943860372</v>
      </c>
      <c r="N26" s="13">
        <f ca="1">IF(Prices!B25&gt;OFFSET(Prices!B25,-$N$3,0),1,-1)</f>
        <v>1</v>
      </c>
      <c r="O26" s="4">
        <f ca="1">IF(N26=1,O$3*L25/Prices!B25,-O$3*M25)</f>
        <v>4.1704242914234323E-2</v>
      </c>
      <c r="P26" s="22"/>
      <c r="Q26" s="13">
        <f ca="1">Q25-T26*Prices!B26</f>
        <v>0.72478229460591925</v>
      </c>
      <c r="R26" s="4">
        <f t="shared" ca="1" si="11"/>
        <v>0.26848255876953792</v>
      </c>
      <c r="S26" s="13">
        <f ca="1">IF(Prices!D25&gt;OFFSET(Prices!D25,-S$3,0),1,-1)</f>
        <v>1</v>
      </c>
      <c r="T26" s="4">
        <f ca="1">IF(S26=1,T$3*Q25/Prices!B25,-T$3*R25)</f>
        <v>7.4231579365197906E-2</v>
      </c>
      <c r="V26" s="4"/>
      <c r="W26" s="4"/>
      <c r="X26" s="4"/>
      <c r="Y26" s="4"/>
      <c r="Z26" s="4"/>
      <c r="AA26" s="4"/>
      <c r="AB26" s="4"/>
      <c r="AC26" s="4"/>
      <c r="AD26" s="4"/>
      <c r="AE26" s="52"/>
    </row>
    <row r="27" spans="1:31" x14ac:dyDescent="0.2">
      <c r="A27" s="7">
        <v>41553</v>
      </c>
      <c r="B27" s="13">
        <f ca="1">Prices!B26*(1+J27/(50*(ABS(O27)+ABS(T27)+0.0001)))</f>
        <v>1.1140233587393218</v>
      </c>
      <c r="C27" s="62">
        <f t="shared" ca="1" si="6"/>
        <v>1</v>
      </c>
      <c r="D27" s="13">
        <f ca="1">D26+C27*(Prices!B27-Prices!B26)/Prices!B26</f>
        <v>-3.3359258769317029E-2</v>
      </c>
      <c r="E27" s="13">
        <f t="shared" ca="1" si="7"/>
        <v>3.3359258769317029E-2</v>
      </c>
      <c r="F27" s="13">
        <f t="shared" ca="1" si="8"/>
        <v>0</v>
      </c>
      <c r="G27" s="21">
        <f ca="1">IF((Prices!B27-Prices!B26)*C27&gt;0,1,0)</f>
        <v>0</v>
      </c>
      <c r="H27" s="13">
        <f>ABS(Prices!B27-Prices!B26)/Prices!B26</f>
        <v>5.4934993590931693E-4</v>
      </c>
      <c r="I27" s="21"/>
      <c r="J27" s="4">
        <f t="shared" ca="1" si="9"/>
        <v>0.1057268694952741</v>
      </c>
      <c r="K27" s="13"/>
      <c r="L27" s="13">
        <f ca="1">L26-O27*Prices!B27</f>
        <v>0.81696011085177045</v>
      </c>
      <c r="M27" s="4">
        <f t="shared" ca="1" si="10"/>
        <v>0.17767175775223348</v>
      </c>
      <c r="N27" s="13">
        <f ca="1">IF(Prices!B26&gt;OFFSET(Prices!B26,-$N$3,0),1,-1)</f>
        <v>1</v>
      </c>
      <c r="O27" s="4">
        <f ca="1">IF(N27=1,O$3*L26/Prices!B26,-O$3*M26)</f>
        <v>3.9367018313629772E-2</v>
      </c>
      <c r="P27" s="22"/>
      <c r="Q27" s="13">
        <f ca="1">Q26-T27*Prices!B27</f>
        <v>0.65234388105603636</v>
      </c>
      <c r="R27" s="4">
        <f t="shared" ca="1" si="11"/>
        <v>0.33484240995118225</v>
      </c>
      <c r="S27" s="13">
        <f ca="1">IF(Prices!D26&gt;OFFSET(Prices!D26,-S$3,0),1,-1)</f>
        <v>1</v>
      </c>
      <c r="T27" s="4">
        <f ca="1">IF(S27=1,T$3*Q26/Prices!B26,-T$3*R26)</f>
        <v>6.6359851181644322E-2</v>
      </c>
      <c r="V27" s="4"/>
      <c r="W27" s="4"/>
      <c r="X27" s="4"/>
      <c r="Y27" s="4"/>
      <c r="Z27" s="4"/>
      <c r="AA27" s="4"/>
      <c r="AB27" s="4"/>
      <c r="AC27" s="4"/>
      <c r="AD27" s="4"/>
      <c r="AE27" s="52"/>
    </row>
    <row r="28" spans="1:31" x14ac:dyDescent="0.2">
      <c r="A28" s="7">
        <v>41560</v>
      </c>
      <c r="B28" s="13">
        <f ca="1">Prices!B27*(1+J28/(50*(ABS(O28)+ABS(T28)+0.0001)))</f>
        <v>1.1134095577149206</v>
      </c>
      <c r="C28" s="62">
        <f t="shared" ca="1" si="6"/>
        <v>1</v>
      </c>
      <c r="D28" s="13">
        <f ca="1">D27+C28*(Prices!B28-Prices!B27)/Prices!B27</f>
        <v>-4.4352296512079753E-2</v>
      </c>
      <c r="E28" s="13">
        <f t="shared" ca="1" si="7"/>
        <v>4.4352296512079753E-2</v>
      </c>
      <c r="F28" s="13">
        <f t="shared" ca="1" si="8"/>
        <v>0</v>
      </c>
      <c r="G28" s="21">
        <f ca="1">IF((Prices!B28-Prices!B27)*C28&gt;0,1,0)</f>
        <v>0</v>
      </c>
      <c r="H28" s="13">
        <f>ABS(Prices!B28-Prices!B27)/Prices!B27</f>
        <v>1.0993037742762723E-2</v>
      </c>
      <c r="I28" s="21"/>
      <c r="J28" s="4">
        <f t="shared" ca="1" si="9"/>
        <v>9.7180646434767468E-2</v>
      </c>
      <c r="K28" s="13"/>
      <c r="L28" s="13">
        <f ca="1">L27-O28*Prices!B28</f>
        <v>0.77656114897582817</v>
      </c>
      <c r="M28" s="4">
        <f t="shared" ca="1" si="10"/>
        <v>0.21509206330608885</v>
      </c>
      <c r="N28" s="13">
        <f ca="1">IF(Prices!B27&gt;OFFSET(Prices!B27,-$N$3,0),1,-1)</f>
        <v>1</v>
      </c>
      <c r="O28" s="4">
        <f ca="1">IF(N28=1,O$3*L27/Prices!B27,-O$3*M27)</f>
        <v>3.7420305553855372E-2</v>
      </c>
      <c r="P28" s="22"/>
      <c r="Q28" s="13">
        <f ca="1">Q27-T28*Prices!B28</f>
        <v>0.5878266170410037</v>
      </c>
      <c r="R28" s="4">
        <f t="shared" ca="1" si="11"/>
        <v>0.39460275083209434</v>
      </c>
      <c r="S28" s="13">
        <f ca="1">IF(Prices!D27&gt;OFFSET(Prices!D27,-S$3,0),1,-1)</f>
        <v>1</v>
      </c>
      <c r="T28" s="4">
        <f ca="1">IF(S28=1,T$3*Q27/Prices!B27,-T$3*R27)</f>
        <v>5.9760340880912095E-2</v>
      </c>
      <c r="V28" s="4"/>
      <c r="W28" s="4"/>
      <c r="X28" s="4"/>
      <c r="Y28" s="4"/>
      <c r="Z28" s="4"/>
      <c r="AA28" s="4"/>
      <c r="AB28" s="4"/>
      <c r="AC28" s="4"/>
      <c r="AD28" s="4"/>
      <c r="AE28" s="52"/>
    </row>
    <row r="29" spans="1:31" x14ac:dyDescent="0.2">
      <c r="A29" s="7">
        <v>41567</v>
      </c>
      <c r="B29" s="13">
        <f ca="1">Prices!B28*(1+J29/(50*(ABS(O29)+ABS(T29)+0.0001)))</f>
        <v>1.0940470779965974</v>
      </c>
      <c r="C29" s="62">
        <f t="shared" ca="1" si="6"/>
        <v>1</v>
      </c>
      <c r="D29" s="13">
        <f ca="1">D28+C29*(Prices!B29-Prices!B28)/Prices!B28</f>
        <v>-4.111035505227998E-2</v>
      </c>
      <c r="E29" s="13">
        <f t="shared" ca="1" si="7"/>
        <v>4.111035505227998E-2</v>
      </c>
      <c r="F29" s="13">
        <f t="shared" ca="1" si="8"/>
        <v>0</v>
      </c>
      <c r="G29" s="21">
        <f ca="1">IF((Prices!B29-Prices!B28)*C29&gt;0,1,0)</f>
        <v>1</v>
      </c>
      <c r="H29" s="13">
        <f>ABS(Prices!B29-Prices!B28)/Prices!B28</f>
        <v>3.2419414597997741E-3</v>
      </c>
      <c r="I29" s="21"/>
      <c r="J29" s="4">
        <f t="shared" ca="1" si="9"/>
        <v>4.3693953433528797E-2</v>
      </c>
      <c r="K29" s="13"/>
      <c r="L29" s="13">
        <f ca="1">L28-O29*Prices!B29</f>
        <v>0.78820945966416944</v>
      </c>
      <c r="M29" s="4">
        <f t="shared" ca="1" si="10"/>
        <v>0.20433746014078441</v>
      </c>
      <c r="N29" s="13">
        <f ca="1">IF(Prices!B28&gt;OFFSET(Prices!B28,-$N$3,0),1,-1)</f>
        <v>-1</v>
      </c>
      <c r="O29" s="4">
        <f ca="1">IF(N29=1,O$3*L28/Prices!B28,-O$3*M28)</f>
        <v>-1.0754603165304443E-2</v>
      </c>
      <c r="P29" s="22"/>
      <c r="Q29" s="13">
        <f ca="1">Q28-T29*Prices!B29</f>
        <v>0.52885338538880744</v>
      </c>
      <c r="R29" s="4">
        <f t="shared" ca="1" si="11"/>
        <v>0.44905130743092758</v>
      </c>
      <c r="S29" s="13">
        <f ca="1">IF(Prices!D28&gt;OFFSET(Prices!D28,-S$3,0),1,-1)</f>
        <v>1</v>
      </c>
      <c r="T29" s="4">
        <f ca="1">IF(S29=1,T$3*Q28/Prices!B28,-T$3*R28)</f>
        <v>5.4448556598833242E-2</v>
      </c>
      <c r="V29" s="4"/>
      <c r="W29" s="4"/>
      <c r="X29" s="4"/>
      <c r="Y29" s="4"/>
      <c r="Z29" s="4"/>
      <c r="AA29" s="4"/>
      <c r="AB29" s="4"/>
      <c r="AC29" s="4"/>
      <c r="AD29" s="4"/>
      <c r="AE29" s="52"/>
    </row>
    <row r="30" spans="1:31" x14ac:dyDescent="0.2">
      <c r="A30" s="7">
        <v>41574</v>
      </c>
      <c r="B30" s="13">
        <f ca="1">Prices!B29*(1+J30/(50*(ABS(O30)+ABS(T30)+0.0001)))</f>
        <v>1.0972414179743317</v>
      </c>
      <c r="C30" s="62">
        <f t="shared" ca="1" si="6"/>
        <v>1</v>
      </c>
      <c r="D30" s="13">
        <f ca="1">D29+C30*(Prices!B30-Prices!B29)/Prices!B29</f>
        <v>-1.0919236965307444E-2</v>
      </c>
      <c r="E30" s="13">
        <f t="shared" ca="1" si="7"/>
        <v>1.0919236965307444E-2</v>
      </c>
      <c r="F30" s="13">
        <f t="shared" ca="1" si="8"/>
        <v>0</v>
      </c>
      <c r="G30" s="21">
        <f ca="1">IF((Prices!B30-Prices!B29)*C30&gt;0,1,0)</f>
        <v>1</v>
      </c>
      <c r="H30" s="13">
        <f>ABS(Prices!B30-Prices!B29)/Prices!B29</f>
        <v>3.0191118086972536E-2</v>
      </c>
      <c r="I30" s="21"/>
      <c r="J30" s="4">
        <f t="shared" ca="1" si="9"/>
        <v>3.8610879313965993E-2</v>
      </c>
      <c r="K30" s="13"/>
      <c r="L30" s="13">
        <f ca="1">L29-O30*Prices!B30</f>
        <v>0.79960944656542376</v>
      </c>
      <c r="M30" s="4">
        <f t="shared" ca="1" si="10"/>
        <v>0.19412058713374519</v>
      </c>
      <c r="N30" s="13">
        <f ca="1">IF(Prices!B29&gt;OFFSET(Prices!B29,-$N$3,0),1,-1)</f>
        <v>-1</v>
      </c>
      <c r="O30" s="4">
        <f ca="1">IF(N30=1,O$3*L29/Prices!B29,-O$3*M29)</f>
        <v>-1.0216873007039221E-2</v>
      </c>
      <c r="P30" s="22"/>
      <c r="Q30" s="13">
        <f ca="1">Q29-T30*Prices!B30</f>
        <v>0.47437137934902984</v>
      </c>
      <c r="R30" s="4">
        <f t="shared" ca="1" si="11"/>
        <v>0.49787905975193281</v>
      </c>
      <c r="S30" s="13">
        <f ca="1">IF(Prices!D29&gt;OFFSET(Prices!D29,-S$3,0),1,-1)</f>
        <v>1</v>
      </c>
      <c r="T30" s="4">
        <f ca="1">IF(S30=1,T$3*Q29/Prices!B29,-T$3*R29)</f>
        <v>4.8827752321005218E-2</v>
      </c>
      <c r="V30" s="4"/>
      <c r="W30" s="4"/>
      <c r="X30" s="4"/>
      <c r="Y30" s="4"/>
      <c r="Z30" s="4"/>
      <c r="AA30" s="4"/>
      <c r="AB30" s="4"/>
      <c r="AC30" s="4"/>
      <c r="AD30" s="4"/>
      <c r="AE30" s="52"/>
    </row>
    <row r="31" spans="1:31" x14ac:dyDescent="0.2">
      <c r="A31" s="7">
        <v>41581</v>
      </c>
      <c r="B31" s="13">
        <f ca="1">Prices!B30*(1+J31/(50*(ABS(O31)+ABS(T31)+0.0001)))</f>
        <v>1.1380875521270959</v>
      </c>
      <c r="C31" s="62">
        <f t="shared" ca="1" si="6"/>
        <v>1</v>
      </c>
      <c r="D31" s="13">
        <f ca="1">D30+C31*(Prices!B31-Prices!B30)/Prices!B30</f>
        <v>-2.1363009552697737E-3</v>
      </c>
      <c r="E31" s="13">
        <f t="shared" ca="1" si="7"/>
        <v>2.1363009552697737E-3</v>
      </c>
      <c r="F31" s="13">
        <f t="shared" ca="1" si="8"/>
        <v>0</v>
      </c>
      <c r="G31" s="21">
        <f ca="1">IF((Prices!B31-Prices!B30)*C31&gt;0,1,0)</f>
        <v>1</v>
      </c>
      <c r="H31" s="13">
        <f>ABS(Prices!B31-Prices!B30)/Prices!B30</f>
        <v>8.7829360100376702E-3</v>
      </c>
      <c r="I31" s="21"/>
      <c r="J31" s="4">
        <f t="shared" ca="1" si="9"/>
        <v>7.8345232356313133E-2</v>
      </c>
      <c r="K31" s="13"/>
      <c r="L31" s="13">
        <f ca="1">L30-O31*Prices!B31</f>
        <v>0.75927782830704227</v>
      </c>
      <c r="M31" s="4">
        <f t="shared" ca="1" si="10"/>
        <v>0.22995180449193769</v>
      </c>
      <c r="N31" s="13">
        <f ca="1">IF(Prices!B30&gt;OFFSET(Prices!B30,-$N$3,0),1,-1)</f>
        <v>1</v>
      </c>
      <c r="O31" s="4">
        <f ca="1">IF(N31=1,O$3*L30/Prices!B30,-O$3*M30)</f>
        <v>3.5831217358192502E-2</v>
      </c>
      <c r="P31" s="22"/>
      <c r="Q31" s="13">
        <f ca="1">Q30-T31*Prices!B31</f>
        <v>0.42651760406714528</v>
      </c>
      <c r="R31" s="4">
        <f t="shared" ca="1" si="11"/>
        <v>0.54039307475005338</v>
      </c>
      <c r="S31" s="13">
        <f ca="1">IF(Prices!D30&gt;OFFSET(Prices!D30,-S$3,0),1,-1)</f>
        <v>1</v>
      </c>
      <c r="T31" s="4">
        <f ca="1">IF(S31=1,T$3*Q30/Prices!B30,-T$3*R30)</f>
        <v>4.2514014998120624E-2</v>
      </c>
      <c r="V31" s="4"/>
      <c r="W31" s="4"/>
      <c r="X31" s="4"/>
      <c r="Y31" s="4"/>
      <c r="Z31" s="4"/>
      <c r="AA31" s="4"/>
      <c r="AB31" s="4"/>
      <c r="AC31" s="4"/>
      <c r="AD31" s="4"/>
      <c r="AE31" s="52"/>
    </row>
    <row r="32" spans="1:31" x14ac:dyDescent="0.2">
      <c r="A32" s="7">
        <v>41588</v>
      </c>
      <c r="B32" s="13">
        <f ca="1">Prices!B31*(1+J32/(50*(ABS(O32)+ABS(T32)+0.0001)))</f>
        <v>1.148080611335953</v>
      </c>
      <c r="C32" s="62">
        <f t="shared" ca="1" si="6"/>
        <v>1</v>
      </c>
      <c r="D32" s="13">
        <f ca="1">D31+C32*(Prices!B32-Prices!B31)/Prices!B31</f>
        <v>-1.3330330806015993E-2</v>
      </c>
      <c r="E32" s="13">
        <f t="shared" ca="1" si="7"/>
        <v>1.3330330806015993E-2</v>
      </c>
      <c r="F32" s="13">
        <f t="shared" ca="1" si="8"/>
        <v>0</v>
      </c>
      <c r="G32" s="21">
        <f ca="1">IF((Prices!B32-Prices!B31)*C32&gt;0,1,0)</f>
        <v>0</v>
      </c>
      <c r="H32" s="13">
        <f>ABS(Prices!B32-Prices!B31)/Prices!B31</f>
        <v>1.1194029850746219E-2</v>
      </c>
      <c r="I32" s="21"/>
      <c r="J32" s="4">
        <f t="shared" ca="1" si="9"/>
        <v>7.1620159756633481E-2</v>
      </c>
      <c r="K32" s="13"/>
      <c r="L32" s="13">
        <f ca="1">L31-O32*Prices!B32</f>
        <v>0.72173890582544409</v>
      </c>
      <c r="M32" s="4">
        <f t="shared" ca="1" si="10"/>
        <v>0.26367949764701243</v>
      </c>
      <c r="N32" s="13">
        <f ca="1">IF(Prices!B31&gt;OFFSET(Prices!B31,-$N$3,0),1,-1)</f>
        <v>1</v>
      </c>
      <c r="O32" s="4">
        <f ca="1">IF(N32=1,O$3*L31/Prices!B31,-O$3*M31)</f>
        <v>3.3727693155074727E-2</v>
      </c>
      <c r="P32" s="22"/>
      <c r="Q32" s="13">
        <f ca="1">Q31-T32*Prices!B32</f>
        <v>0.38434328873961038</v>
      </c>
      <c r="R32" s="4">
        <f t="shared" ca="1" si="11"/>
        <v>0.57828554135161214</v>
      </c>
      <c r="S32" s="13">
        <f ca="1">IF(Prices!D31&gt;OFFSET(Prices!D31,-S$3,0),1,-1)</f>
        <v>1</v>
      </c>
      <c r="T32" s="4">
        <f ca="1">IF(S32=1,T$3*Q31/Prices!B31,-T$3*R31)</f>
        <v>3.7892466601558754E-2</v>
      </c>
      <c r="V32" s="4"/>
      <c r="W32" s="4"/>
      <c r="X32" s="4"/>
      <c r="Y32" s="4"/>
      <c r="Z32" s="4"/>
      <c r="AA32" s="4"/>
      <c r="AB32" s="4"/>
      <c r="AC32" s="4"/>
      <c r="AD32" s="4"/>
      <c r="AE32" s="52"/>
    </row>
    <row r="33" spans="1:31" x14ac:dyDescent="0.2">
      <c r="A33" s="7">
        <v>41595</v>
      </c>
      <c r="B33" s="13">
        <f ca="1">Prices!B32*(1+J33/(50*(ABS(O33)+ABS(T33)+0.0001)))</f>
        <v>1.1352268035301245</v>
      </c>
      <c r="C33" s="62">
        <f t="shared" ca="1" si="6"/>
        <v>1</v>
      </c>
      <c r="D33" s="13">
        <f ca="1">D32+C33*(Prices!B33-Prices!B32)/Prices!B32</f>
        <v>-3.0940393699097811E-2</v>
      </c>
      <c r="E33" s="13">
        <f t="shared" ca="1" si="7"/>
        <v>3.0940393699097811E-2</v>
      </c>
      <c r="F33" s="13">
        <f t="shared" ca="1" si="8"/>
        <v>0</v>
      </c>
      <c r="G33" s="21">
        <f ca="1">IF((Prices!B33-Prices!B32)*C33&gt;0,1,0)</f>
        <v>0</v>
      </c>
      <c r="H33" s="13">
        <f>ABS(Prices!B33-Prices!B32)/Prices!B32</f>
        <v>1.7610062893081816E-2</v>
      </c>
      <c r="I33" s="21"/>
      <c r="J33" s="4">
        <f t="shared" ca="1" si="9"/>
        <v>6.6955322700119724E-2</v>
      </c>
      <c r="K33" s="13"/>
      <c r="L33" s="13">
        <f ca="1">L32-O33*Prices!B33</f>
        <v>0.68628745391037038</v>
      </c>
      <c r="M33" s="4">
        <f t="shared" ca="1" si="10"/>
        <v>0.29610262908571161</v>
      </c>
      <c r="N33" s="13">
        <f ca="1">IF(Prices!B32&gt;OFFSET(Prices!B32,-$N$3,0),1,-1)</f>
        <v>1</v>
      </c>
      <c r="O33" s="4">
        <f ca="1">IF(N33=1,O$3*L32/Prices!B32,-O$3*M32)</f>
        <v>3.2423131438699196E-2</v>
      </c>
      <c r="P33" s="22"/>
      <c r="Q33" s="13">
        <f ca="1">Q32-T33*Prices!B33</f>
        <v>0.34658579081437318</v>
      </c>
      <c r="R33" s="4">
        <f t="shared" ca="1" si="11"/>
        <v>0.61281773261303263</v>
      </c>
      <c r="S33" s="13">
        <f ca="1">IF(Prices!D32&gt;OFFSET(Prices!D32,-S$3,0),1,-1)</f>
        <v>1</v>
      </c>
      <c r="T33" s="4">
        <f ca="1">IF(S33=1,T$3*Q32/Prices!B32,-T$3*R32)</f>
        <v>3.4532191261420521E-2</v>
      </c>
      <c r="V33" s="13"/>
      <c r="W33" s="4"/>
      <c r="X33" s="4"/>
      <c r="Y33" s="4"/>
      <c r="Z33" s="4"/>
      <c r="AA33" s="4"/>
      <c r="AB33" s="4"/>
      <c r="AC33" s="4"/>
      <c r="AD33" s="4"/>
      <c r="AE33" s="52"/>
    </row>
    <row r="34" spans="1:31" x14ac:dyDescent="0.2">
      <c r="A34" s="7">
        <v>41602</v>
      </c>
      <c r="B34" s="13">
        <f ca="1">Prices!B33*(1+J34/(50*(ABS(O34)+ABS(T34)+0.0001)))</f>
        <v>1.1152333884221484</v>
      </c>
      <c r="C34" s="62">
        <f t="shared" ca="1" si="6"/>
        <v>1</v>
      </c>
      <c r="D34" s="13">
        <f ca="1">D33+C34*(Prices!B34-Prices!B33)/Prices!B33</f>
        <v>-2.4446887205591218E-2</v>
      </c>
      <c r="E34" s="13">
        <f t="shared" ca="1" si="7"/>
        <v>2.4446887205591218E-2</v>
      </c>
      <c r="F34" s="13">
        <f t="shared" ca="1" si="8"/>
        <v>0</v>
      </c>
      <c r="G34" s="21">
        <f ca="1">IF((Prices!B34-Prices!B33)*C34&gt;0,1,0)</f>
        <v>1</v>
      </c>
      <c r="H34" s="13">
        <f>ABS(Prices!B34-Prices!B33)/Prices!B33</f>
        <v>6.4935064935065911E-3</v>
      </c>
      <c r="I34" s="21"/>
      <c r="J34" s="4">
        <f t="shared" ca="1" si="9"/>
        <v>6.3081170456334212E-2</v>
      </c>
      <c r="K34" s="13"/>
      <c r="L34" s="13">
        <f ca="1">L33-O34*Prices!B34</f>
        <v>0.65175026061293295</v>
      </c>
      <c r="M34" s="4">
        <f t="shared" ca="1" si="10"/>
        <v>0.32748581245457803</v>
      </c>
      <c r="N34" s="13">
        <f ca="1">IF(Prices!B33&gt;OFFSET(Prices!B33,-$N$3,0),1,-1)</f>
        <v>1</v>
      </c>
      <c r="O34" s="4">
        <f ca="1">IF(N34=1,O$3*L33/Prices!B33,-O$3*M33)</f>
        <v>3.1383183368866398E-2</v>
      </c>
      <c r="P34" s="22"/>
      <c r="Q34" s="13">
        <f ca="1">Q33-T34*Prices!B34</f>
        <v>0.31170215602461482</v>
      </c>
      <c r="R34" s="4">
        <f t="shared" ca="1" si="11"/>
        <v>0.64451571970050048</v>
      </c>
      <c r="S34" s="13">
        <f ca="1">IF(Prices!D33&gt;OFFSET(Prices!D33,-S$3,0),1,-1)</f>
        <v>1</v>
      </c>
      <c r="T34" s="4">
        <f ca="1">IF(S34=1,T$3*Q33/Prices!B33,-T$3*R33)</f>
        <v>3.1697987087467822E-2</v>
      </c>
      <c r="V34" s="13"/>
      <c r="W34" s="4"/>
      <c r="X34" s="4"/>
      <c r="Y34" s="4"/>
      <c r="Z34" s="4"/>
      <c r="AA34" s="4"/>
      <c r="AB34" s="4"/>
      <c r="AC34" s="4"/>
      <c r="AD34" s="4"/>
      <c r="AE34" s="52"/>
    </row>
    <row r="35" spans="1:31" x14ac:dyDescent="0.2">
      <c r="A35" s="7">
        <v>41609</v>
      </c>
      <c r="B35" s="13">
        <f ca="1">Prices!B34*(1+J35/(50*(ABS(O35)+ABS(T35)+0.0001)))</f>
        <v>1.1224720747652128</v>
      </c>
      <c r="C35" s="62">
        <f t="shared" ca="1" si="6"/>
        <v>1</v>
      </c>
      <c r="D35" s="13">
        <f ca="1">D34+C35*(Prices!B35-Prices!B34)/Prices!B34</f>
        <v>-1.0725851312815306E-2</v>
      </c>
      <c r="E35" s="13">
        <f t="shared" ca="1" si="7"/>
        <v>1.0725851312815306E-2</v>
      </c>
      <c r="F35" s="13">
        <f t="shared" ca="1" si="8"/>
        <v>0</v>
      </c>
      <c r="G35" s="21">
        <f ca="1">IF((Prices!B35-Prices!B34)*C35&gt;0,1,0)</f>
        <v>1</v>
      </c>
      <c r="H35" s="13">
        <f>ABS(Prices!B35-Prices!B34)/Prices!B34</f>
        <v>1.3721035892775912E-2</v>
      </c>
      <c r="I35" s="21"/>
      <c r="J35" s="4">
        <f t="shared" ca="1" si="9"/>
        <v>5.7935237285877447E-2</v>
      </c>
      <c r="K35" s="13"/>
      <c r="L35" s="13">
        <f ca="1">L34-O35*Prices!B35</f>
        <v>0.6187156131463365</v>
      </c>
      <c r="M35" s="4">
        <f t="shared" ca="1" si="10"/>
        <v>0.35709736450423424</v>
      </c>
      <c r="N35" s="13">
        <f ca="1">IF(Prices!B34&gt;OFFSET(Prices!B34,-$N$3,0),1,-1)</f>
        <v>1</v>
      </c>
      <c r="O35" s="4">
        <f ca="1">IF(N35=1,O$3*L34/Prices!B34,-O$3*M34)</f>
        <v>2.9611552049656202E-2</v>
      </c>
      <c r="P35" s="22"/>
      <c r="Q35" s="13">
        <f ca="1">Q34-T35*Prices!B35</f>
        <v>0.28010425277508638</v>
      </c>
      <c r="R35" s="4">
        <f t="shared" ca="1" si="11"/>
        <v>0.67283940493672167</v>
      </c>
      <c r="S35" s="13">
        <f ca="1">IF(Prices!D34&gt;OFFSET(Prices!D34,-S$3,0),1,-1)</f>
        <v>1</v>
      </c>
      <c r="T35" s="4">
        <f ca="1">IF(S35=1,T$3*Q34/Prices!B34,-T$3*R34)</f>
        <v>2.8323685236221249E-2</v>
      </c>
      <c r="V35" s="13"/>
      <c r="W35" s="4"/>
      <c r="X35" s="4"/>
      <c r="Y35" s="4"/>
      <c r="Z35" s="4"/>
      <c r="AA35" s="4"/>
      <c r="AB35" s="4"/>
      <c r="AC35" s="4"/>
      <c r="AD35" s="4"/>
      <c r="AE35" s="52"/>
    </row>
    <row r="36" spans="1:31" x14ac:dyDescent="0.2">
      <c r="A36" s="7">
        <v>41616</v>
      </c>
      <c r="B36" s="13">
        <f ca="1">Prices!B35*(1+J36/(50*(ABS(O36)+ABS(T36)+0.0001)))</f>
        <v>1.1378698526772797</v>
      </c>
      <c r="C36" s="62">
        <f t="shared" ca="1" si="6"/>
        <v>1</v>
      </c>
      <c r="D36" s="13">
        <f ca="1">D35+C36*(Prices!B36-Prices!B35)/Prices!B35</f>
        <v>-5.0713492701387475E-4</v>
      </c>
      <c r="E36" s="13">
        <f t="shared" ca="1" si="7"/>
        <v>5.0713492701387475E-4</v>
      </c>
      <c r="F36" s="13">
        <f t="shared" ca="1" si="8"/>
        <v>0</v>
      </c>
      <c r="G36" s="21">
        <f ca="1">IF((Prices!B36-Prices!B35)*C36&gt;0,1,0)</f>
        <v>1</v>
      </c>
      <c r="H36" s="13">
        <f>ABS(Prices!B36-Prices!B35)/Prices!B35</f>
        <v>1.0218716385801432E-2</v>
      </c>
      <c r="I36" s="21"/>
      <c r="J36" s="4">
        <f t="shared" ca="1" si="9"/>
        <v>5.2838119339212501E-2</v>
      </c>
      <c r="K36" s="13"/>
      <c r="L36" s="13">
        <f ca="1">L35-O36*Prices!B36</f>
        <v>0.58746370852030916</v>
      </c>
      <c r="M36" s="4">
        <f t="shared" ca="1" si="10"/>
        <v>0.384827537198136</v>
      </c>
      <c r="N36" s="13">
        <f ca="1">IF(Prices!B35&gt;OFFSET(Prices!B35,-$N$3,0),1,-1)</f>
        <v>1</v>
      </c>
      <c r="O36" s="4">
        <f ca="1">IF(N36=1,O$3*L35/Prices!B35,-O$3*M35)</f>
        <v>2.7730172693901781E-2</v>
      </c>
      <c r="P36" s="22"/>
      <c r="Q36" s="13">
        <f ca="1">Q35-T36*Prices!B36</f>
        <v>0.25180759690582122</v>
      </c>
      <c r="R36" s="4">
        <f t="shared" ca="1" si="11"/>
        <v>0.69794735158203236</v>
      </c>
      <c r="S36" s="13">
        <f ca="1">IF(Prices!D35&gt;OFFSET(Prices!D35,-S$3,0),1,-1)</f>
        <v>1</v>
      </c>
      <c r="T36" s="4">
        <f ca="1">IF(S36=1,T$3*Q35/Prices!B35,-T$3*R35)</f>
        <v>2.5107946645310721E-2</v>
      </c>
      <c r="V36" s="13"/>
      <c r="W36" s="4"/>
      <c r="X36" s="4"/>
      <c r="Y36" s="4"/>
      <c r="Z36" s="4"/>
      <c r="AA36" s="4"/>
      <c r="AB36" s="4"/>
      <c r="AC36" s="4"/>
      <c r="AD36" s="4"/>
      <c r="AE36" s="52"/>
    </row>
    <row r="37" spans="1:31" x14ac:dyDescent="0.2">
      <c r="A37" s="7">
        <v>41623</v>
      </c>
      <c r="B37" s="13">
        <f ca="1">Prices!B36*(1+J37/(50*(ABS(O37)+ABS(T37)+0.0001)))</f>
        <v>1.1494935318475354</v>
      </c>
      <c r="C37" s="62">
        <f t="shared" ca="1" si="6"/>
        <v>1</v>
      </c>
      <c r="D37" s="13">
        <f ca="1">D36+C37*(Prices!B37-Prices!B36)/Prices!B36</f>
        <v>-9.6464428240857249E-3</v>
      </c>
      <c r="E37" s="13">
        <f t="shared" ca="1" si="7"/>
        <v>9.6464428240857249E-3</v>
      </c>
      <c r="F37" s="13">
        <f t="shared" ca="1" si="8"/>
        <v>0</v>
      </c>
      <c r="G37" s="21">
        <f ca="1">IF((Prices!B37-Prices!B36)*C37&gt;0,1,0)</f>
        <v>0</v>
      </c>
      <c r="H37" s="13">
        <f>ABS(Prices!B37-Prices!B36)/Prices!B36</f>
        <v>9.1393078970718501E-3</v>
      </c>
      <c r="I37" s="21"/>
      <c r="J37" s="4">
        <f t="shared" ca="1" si="9"/>
        <v>4.8406339943742313E-2</v>
      </c>
      <c r="K37" s="13"/>
      <c r="L37" s="13">
        <f ca="1">L36-O37*Prices!B37</f>
        <v>0.55835897367981979</v>
      </c>
      <c r="M37" s="4">
        <f t="shared" ca="1" si="10"/>
        <v>0.41089070084145052</v>
      </c>
      <c r="N37" s="13">
        <f ca="1">IF(Prices!B36&gt;OFFSET(Prices!B36,-$N$3,0),1,-1)</f>
        <v>1</v>
      </c>
      <c r="O37" s="4">
        <f ca="1">IF(N37=1,O$3*L36/Prices!B36,-O$3*M36)</f>
        <v>2.6063163643314517E-2</v>
      </c>
      <c r="P37" s="22"/>
      <c r="Q37" s="13">
        <f ca="1">Q36-T37*Prices!B37</f>
        <v>0.22685697193113349</v>
      </c>
      <c r="R37" s="4">
        <f t="shared" ca="1" si="11"/>
        <v>0.72029052788246017</v>
      </c>
      <c r="S37" s="13">
        <f ca="1">IF(Prices!D36&gt;OFFSET(Prices!D36,-S$3,0),1,-1)</f>
        <v>1</v>
      </c>
      <c r="T37" s="4">
        <f ca="1">IF(S37=1,T$3*Q36/Prices!B36,-T$3*R36)</f>
        <v>2.2343176300427793E-2</v>
      </c>
      <c r="V37" s="13"/>
      <c r="W37" s="4"/>
      <c r="X37" s="4"/>
      <c r="Y37" s="4"/>
      <c r="Z37" s="4"/>
      <c r="AA37" s="4"/>
      <c r="AB37" s="4"/>
      <c r="AC37" s="4"/>
      <c r="AD37" s="4"/>
      <c r="AE37" s="52"/>
    </row>
    <row r="38" spans="1:31" x14ac:dyDescent="0.2">
      <c r="A38" s="7">
        <v>41630</v>
      </c>
      <c r="B38" s="13">
        <f ca="1">Prices!B37*(1+J38/(50*(ABS(O38)+ABS(T38)+0.0001)))</f>
        <v>1.1165748103742086</v>
      </c>
      <c r="C38" s="62">
        <f t="shared" ca="1" si="6"/>
        <v>0</v>
      </c>
      <c r="D38" s="13">
        <f ca="1">D37+C38*(Prices!B38-Prices!B37)/Prices!B37</f>
        <v>-9.6464428240857249E-3</v>
      </c>
      <c r="E38" s="13">
        <f t="shared" ca="1" si="7"/>
        <v>9.6464428240857249E-3</v>
      </c>
      <c r="F38" s="13">
        <f t="shared" ca="1" si="8"/>
        <v>0</v>
      </c>
      <c r="G38" s="21">
        <f ca="1">IF((Prices!B38-Prices!B37)*C38&gt;0,1,0)</f>
        <v>0</v>
      </c>
      <c r="H38" s="13">
        <f>ABS(Prices!B38-Prices!B37)/Prices!B37</f>
        <v>2.0059102713351817E-2</v>
      </c>
      <c r="I38" s="21"/>
      <c r="J38" s="4">
        <f t="shared" ca="1" si="9"/>
        <v>-2.2959173311457373E-4</v>
      </c>
      <c r="K38" s="13"/>
      <c r="L38" s="13">
        <f ca="1">L37-O38*Prices!B38</f>
        <v>0.58176125354624464</v>
      </c>
      <c r="M38" s="4">
        <f t="shared" ca="1" si="10"/>
        <v>0.39034616579937798</v>
      </c>
      <c r="N38" s="13">
        <f ca="1">IF(Prices!B37&gt;OFFSET(Prices!B37,-$N$3,0),1,-1)</f>
        <v>-1</v>
      </c>
      <c r="O38" s="4">
        <f ca="1">IF(N38=1,O$3*L37/Prices!B37,-O$3*M37)</f>
        <v>-2.0544535042072529E-2</v>
      </c>
      <c r="P38" s="22"/>
      <c r="Q38" s="13">
        <f ca="1">Q37-T38*Prices!B38</f>
        <v>0.20371622000789949</v>
      </c>
      <c r="R38" s="4">
        <f t="shared" ca="1" si="11"/>
        <v>0.74060547119141817</v>
      </c>
      <c r="S38" s="13">
        <f ca="1">IF(Prices!D37&gt;OFFSET(Prices!D37,-S$3,0),1,-1)</f>
        <v>1</v>
      </c>
      <c r="T38" s="4">
        <f ca="1">IF(S38=1,T$3*Q37/Prices!B37,-T$3*R37)</f>
        <v>2.0314943308957955E-2</v>
      </c>
      <c r="V38" s="13"/>
      <c r="W38" s="4"/>
      <c r="X38" s="4"/>
      <c r="Y38" s="4"/>
      <c r="Z38" s="4"/>
      <c r="AA38" s="4"/>
      <c r="AB38" s="4"/>
      <c r="AC38" s="4"/>
      <c r="AD38" s="4"/>
      <c r="AE38" s="52"/>
    </row>
    <row r="39" spans="1:31" x14ac:dyDescent="0.2">
      <c r="A39" s="7">
        <v>41637</v>
      </c>
      <c r="B39" s="13">
        <f ca="1">Prices!B38*(1+J39/(50*(ABS(O39)+ABS(T39)+0.0001)))</f>
        <v>1.1280114907843688</v>
      </c>
      <c r="C39" s="62">
        <f t="shared" ca="1" si="6"/>
        <v>0</v>
      </c>
      <c r="D39" s="13">
        <f ca="1">D38+C39*(Prices!B39-Prices!B38)/Prices!B38</f>
        <v>-9.6464428240857249E-3</v>
      </c>
      <c r="E39" s="13">
        <f t="shared" ca="1" si="7"/>
        <v>9.6464428240857249E-3</v>
      </c>
      <c r="F39" s="13">
        <f t="shared" ca="1" si="8"/>
        <v>0</v>
      </c>
      <c r="G39" s="21">
        <f ca="1">IF((Prices!B39-Prices!B38)*C39&gt;0,1,0)</f>
        <v>0</v>
      </c>
      <c r="H39" s="13">
        <f>ABS(Prices!B39-Prices!B38)/Prices!B38</f>
        <v>7.0230884031245006E-4</v>
      </c>
      <c r="I39" s="21"/>
      <c r="J39" s="4">
        <f t="shared" ca="1" si="9"/>
        <v>-4.8524542661840239E-2</v>
      </c>
      <c r="K39" s="13"/>
      <c r="L39" s="13">
        <f ca="1">L38-O39*Prices!B39</f>
        <v>0.55265276206536651</v>
      </c>
      <c r="M39" s="4">
        <f t="shared" ca="1" si="10"/>
        <v>0.41588217025667956</v>
      </c>
      <c r="N39" s="13">
        <f ca="1">IF(Prices!B38&gt;OFFSET(Prices!B38,-$N$3,0),1,-1)</f>
        <v>1</v>
      </c>
      <c r="O39" s="4">
        <f ca="1">IF(N39=1,O$3*L38/Prices!B38,-O$3*M38)</f>
        <v>2.5536004457301583E-2</v>
      </c>
      <c r="P39" s="22"/>
      <c r="Q39" s="13">
        <f ca="1">Q38-T39*Prices!B39</f>
        <v>0.28813783766900924</v>
      </c>
      <c r="R39" s="4">
        <f t="shared" ca="1" si="11"/>
        <v>0.66654492407227639</v>
      </c>
      <c r="S39" s="13">
        <f ca="1">IF(Prices!D38&gt;OFFSET(Prices!D38,-S$3,0),1,-1)</f>
        <v>-1</v>
      </c>
      <c r="T39" s="4">
        <f ca="1">IF(S39=1,T$3*Q38/Prices!B38,-T$3*R38)</f>
        <v>-7.4060547119141826E-2</v>
      </c>
      <c r="V39" s="13"/>
      <c r="W39" s="4"/>
      <c r="X39" s="4"/>
      <c r="Y39" s="4"/>
      <c r="Z39" s="4"/>
      <c r="AA39" s="4"/>
      <c r="AB39" s="4"/>
      <c r="AC39" s="4"/>
      <c r="AD39" s="4"/>
      <c r="AE39" s="52"/>
    </row>
    <row r="40" spans="1:31" x14ac:dyDescent="0.2">
      <c r="A40" s="7">
        <v>41644</v>
      </c>
      <c r="B40" s="13">
        <f ca="1">Prices!B39*(1+J40/(50*(ABS(O40)+ABS(T40)+0.0001)))</f>
        <v>1.1292738324100398</v>
      </c>
      <c r="C40" s="62">
        <f t="shared" ca="1" si="6"/>
        <v>0</v>
      </c>
      <c r="D40" s="13">
        <f ca="1">D39+C40*(Prices!B40-Prices!B39)/Prices!B39</f>
        <v>-9.6464428240857249E-3</v>
      </c>
      <c r="E40" s="13">
        <f t="shared" ca="1" si="7"/>
        <v>9.6464428240857249E-3</v>
      </c>
      <c r="F40" s="13">
        <f t="shared" ca="1" si="8"/>
        <v>0</v>
      </c>
      <c r="G40" s="21">
        <f ca="1">IF((Prices!B40-Prices!B39)*C40&gt;0,1,0)</f>
        <v>0</v>
      </c>
      <c r="H40" s="13">
        <f>ABS(Prices!B40-Prices!B39)/Prices!B39</f>
        <v>1.0088604263531753E-2</v>
      </c>
      <c r="I40" s="21"/>
      <c r="J40" s="4">
        <f t="shared" ca="1" si="9"/>
        <v>-4.2413209747987068E-2</v>
      </c>
      <c r="K40" s="13"/>
      <c r="L40" s="13">
        <f ca="1">L39-O40*Prices!B40</f>
        <v>0.52529889871267943</v>
      </c>
      <c r="M40" s="4">
        <f t="shared" ca="1" si="10"/>
        <v>0.44012345291592014</v>
      </c>
      <c r="N40" s="13">
        <f ca="1">IF(Prices!B39&gt;OFFSET(Prices!B39,-$N$3,0),1,-1)</f>
        <v>1</v>
      </c>
      <c r="O40" s="4">
        <f ca="1">IF(N40=1,O$3*L39/Prices!B39,-O$3*M39)</f>
        <v>2.4241282659240571E-2</v>
      </c>
      <c r="P40" s="22"/>
      <c r="Q40" s="13">
        <f ca="1">Q39-T40*Prices!B40</f>
        <v>0.3633507669013249</v>
      </c>
      <c r="R40" s="4">
        <f t="shared" ca="1" si="11"/>
        <v>0.59989043166504874</v>
      </c>
      <c r="S40" s="13">
        <f ca="1">IF(Prices!D39&gt;OFFSET(Prices!D39,-S$3,0),1,-1)</f>
        <v>-1</v>
      </c>
      <c r="T40" s="4">
        <f ca="1">IF(S40=1,T$3*Q39/Prices!B39,-T$3*R39)</f>
        <v>-6.6654492407227636E-2</v>
      </c>
      <c r="V40" s="13"/>
      <c r="W40" s="4"/>
      <c r="X40" s="4"/>
      <c r="Y40" s="4"/>
      <c r="Z40" s="4"/>
      <c r="AA40" s="4"/>
      <c r="AB40" s="4"/>
      <c r="AC40" s="4"/>
      <c r="AD40" s="4"/>
      <c r="AE40" s="52"/>
    </row>
    <row r="41" spans="1:31" x14ac:dyDescent="0.2">
      <c r="A41" s="7">
        <v>41651</v>
      </c>
      <c r="B41" s="13">
        <f ca="1">Prices!B40*(1+J41/(50*(ABS(O41)+ABS(T41)+0.0001)))</f>
        <v>1.1184614082818278</v>
      </c>
      <c r="C41" s="62">
        <f t="shared" ca="1" si="6"/>
        <v>0</v>
      </c>
      <c r="D41" s="13">
        <f ca="1">D40+C41*(Prices!B41-Prices!B40)/Prices!B40</f>
        <v>-9.6464428240857249E-3</v>
      </c>
      <c r="E41" s="13">
        <f t="shared" ca="1" si="7"/>
        <v>9.6464428240857249E-3</v>
      </c>
      <c r="F41" s="13">
        <f t="shared" ca="1" si="8"/>
        <v>0</v>
      </c>
      <c r="G41" s="21">
        <f ca="1">IF((Prices!B41-Prices!B40)*C41&gt;0,1,0)</f>
        <v>0</v>
      </c>
      <c r="H41" s="13">
        <f>ABS(Prices!B41-Prices!B40)/Prices!B40</f>
        <v>5.4945054945054793E-3</v>
      </c>
      <c r="I41" s="21"/>
      <c r="J41" s="4">
        <f t="shared" ca="1" si="9"/>
        <v>-3.6712771511387923E-2</v>
      </c>
      <c r="K41" s="13"/>
      <c r="L41" s="13">
        <f ca="1">L40-O41*Prices!B41</f>
        <v>0.49917826666130716</v>
      </c>
      <c r="M41" s="4">
        <f t="shared" ca="1" si="10"/>
        <v>0.46339972457103712</v>
      </c>
      <c r="N41" s="13">
        <f ca="1">IF(Prices!B40&gt;OFFSET(Prices!B40,-$N$3,0),1,-1)</f>
        <v>1</v>
      </c>
      <c r="O41" s="4">
        <f ca="1">IF(N41=1,O$3*L40/Prices!B40,-O$3*M40)</f>
        <v>2.3276271655116951E-2</v>
      </c>
      <c r="P41" s="22"/>
      <c r="Q41" s="13">
        <f ca="1">Q40-T41*Prices!B41</f>
        <v>0.43067047114277668</v>
      </c>
      <c r="R41" s="4">
        <f t="shared" ca="1" si="11"/>
        <v>0.53990138849854385</v>
      </c>
      <c r="S41" s="13">
        <f ca="1">IF(Prices!D40&gt;OFFSET(Prices!D40,-S$3,0),1,-1)</f>
        <v>-1</v>
      </c>
      <c r="T41" s="4">
        <f ca="1">IF(S41=1,T$3*Q40/Prices!B40,-T$3*R40)</f>
        <v>-5.9989043166504878E-2</v>
      </c>
      <c r="V41" s="13"/>
      <c r="W41" s="4"/>
      <c r="X41" s="4"/>
      <c r="Y41" s="4"/>
      <c r="Z41" s="4"/>
      <c r="AA41" s="4"/>
      <c r="AB41" s="4"/>
      <c r="AC41" s="4"/>
      <c r="AD41" s="4"/>
      <c r="AE41" s="52"/>
    </row>
    <row r="42" spans="1:31" x14ac:dyDescent="0.2">
      <c r="A42" s="7">
        <v>41658</v>
      </c>
      <c r="B42" s="13">
        <f ca="1">Prices!B41*(1+J42/(50*(ABS(O42)+ABS(T42)+0.0001)))</f>
        <v>1.1128646763662595</v>
      </c>
      <c r="C42" s="62">
        <f t="shared" ca="1" si="6"/>
        <v>0</v>
      </c>
      <c r="D42" s="13">
        <f ca="1">D41+C42*(Prices!B42-Prices!B41)/Prices!B41</f>
        <v>-9.6464428240857249E-3</v>
      </c>
      <c r="E42" s="13">
        <f t="shared" ca="1" si="7"/>
        <v>9.6464428240857249E-3</v>
      </c>
      <c r="F42" s="13">
        <f t="shared" ca="1" si="8"/>
        <v>0</v>
      </c>
      <c r="G42" s="21">
        <f ca="1">IF((Prices!B42-Prices!B41)*C42&gt;0,1,0)</f>
        <v>0</v>
      </c>
      <c r="H42" s="13">
        <f>ABS(Prices!B42-Prices!B41)/Prices!B41</f>
        <v>2.0406344680092604E-2</v>
      </c>
      <c r="I42" s="21"/>
      <c r="J42" s="4">
        <f t="shared" ca="1" si="9"/>
        <v>-3.1749082591553415E-2</v>
      </c>
      <c r="K42" s="13"/>
      <c r="L42" s="13">
        <f ca="1">L41-O42*Prices!B42</f>
        <v>0.47371003313992671</v>
      </c>
      <c r="M42" s="4">
        <f t="shared" ca="1" si="10"/>
        <v>0.48564078082933809</v>
      </c>
      <c r="N42" s="13">
        <f ca="1">IF(Prices!B41&gt;OFFSET(Prices!B41,-$N$3,0),1,-1)</f>
        <v>1</v>
      </c>
      <c r="O42" s="4">
        <f ca="1">IF(N42=1,O$3*L41/Prices!B41,-O$3*M41)</f>
        <v>2.2241056258300976E-2</v>
      </c>
      <c r="P42" s="22"/>
      <c r="Q42" s="13">
        <f ca="1">Q41-T42*Prices!B42</f>
        <v>0.49249457913974493</v>
      </c>
      <c r="R42" s="4">
        <f t="shared" ca="1" si="11"/>
        <v>0.48591124964868948</v>
      </c>
      <c r="S42" s="13">
        <f ca="1">IF(Prices!D41&gt;OFFSET(Prices!D41,-S$3,0),1,-1)</f>
        <v>-1</v>
      </c>
      <c r="T42" s="4">
        <f ca="1">IF(S42=1,T$3*Q41/Prices!B41,-T$3*R41)</f>
        <v>-5.3990138849854388E-2</v>
      </c>
      <c r="V42" s="13"/>
      <c r="W42" s="4"/>
      <c r="X42" s="4"/>
      <c r="Y42" s="4"/>
      <c r="Z42" s="4"/>
      <c r="AA42" s="4"/>
      <c r="AB42" s="4"/>
      <c r="AC42" s="4"/>
      <c r="AD42" s="4"/>
      <c r="AE42" s="52"/>
    </row>
    <row r="43" spans="1:31" x14ac:dyDescent="0.2">
      <c r="A43" s="7">
        <v>41665</v>
      </c>
      <c r="B43" s="13">
        <f ca="1">Prices!B42*(1+J43/(50*(ABS(O43)+ABS(T43)+0.0001)))</f>
        <v>1.135887449051405</v>
      </c>
      <c r="C43" s="62">
        <f t="shared" ca="1" si="6"/>
        <v>0</v>
      </c>
      <c r="D43" s="13">
        <f ca="1">D42+C43*(Prices!B43-Prices!B42)/Prices!B42</f>
        <v>-9.6464428240857249E-3</v>
      </c>
      <c r="E43" s="13">
        <f t="shared" ca="1" si="7"/>
        <v>9.6464428240857249E-3</v>
      </c>
      <c r="F43" s="13">
        <f t="shared" ca="1" si="8"/>
        <v>0</v>
      </c>
      <c r="G43" s="21">
        <f ca="1">IF((Prices!B43-Prices!B42)*C43&gt;0,1,0)</f>
        <v>0</v>
      </c>
      <c r="H43" s="13">
        <f>ABS(Prices!B43-Prices!B42)/Prices!B42</f>
        <v>4.1044450266351645E-3</v>
      </c>
      <c r="I43" s="21"/>
      <c r="J43" s="4">
        <f t="shared" ca="1" si="9"/>
        <v>-2.7906903799035102E-2</v>
      </c>
      <c r="K43" s="13"/>
      <c r="L43" s="13">
        <f ca="1">L42-O43*Prices!B43</f>
        <v>0.45012174732240978</v>
      </c>
      <c r="M43" s="4">
        <f t="shared" ca="1" si="10"/>
        <v>0.50632500199517194</v>
      </c>
      <c r="N43" s="13">
        <f ca="1">IF(Prices!B42&gt;OFFSET(Prices!B42,-$N$3,0),1,-1)</f>
        <v>1</v>
      </c>
      <c r="O43" s="4">
        <f ca="1">IF(N43=1,O$3*L42/Prices!B42,-O$3*M42)</f>
        <v>2.0684221165833846E-2</v>
      </c>
      <c r="P43" s="22"/>
      <c r="Q43" s="13">
        <f ca="1">Q42-T43*Prices!B43</f>
        <v>0.54790789804968143</v>
      </c>
      <c r="R43" s="4">
        <f t="shared" ca="1" si="11"/>
        <v>0.43732012468382053</v>
      </c>
      <c r="S43" s="13">
        <f ca="1">IF(Prices!D42&gt;OFFSET(Prices!D42,-S$3,0),1,-1)</f>
        <v>-1</v>
      </c>
      <c r="T43" s="4">
        <f ca="1">IF(S43=1,T$3*Q42/Prices!B42,-T$3*R42)</f>
        <v>-4.8591124964868948E-2</v>
      </c>
      <c r="V43" s="13"/>
      <c r="W43" s="4"/>
      <c r="X43" s="4"/>
      <c r="Y43" s="4"/>
      <c r="Z43" s="4"/>
      <c r="AA43" s="4"/>
      <c r="AB43" s="4"/>
      <c r="AC43" s="4"/>
      <c r="AD43" s="4"/>
      <c r="AE43" s="52"/>
    </row>
    <row r="44" spans="1:31" x14ac:dyDescent="0.2">
      <c r="A44" s="7">
        <v>41672</v>
      </c>
      <c r="B44" s="13">
        <f ca="1">Prices!B43*(1+J44/(50*(ABS(O44)+ABS(T44)+0.0001)))</f>
        <v>1.1631743997738944</v>
      </c>
      <c r="C44" s="62">
        <f t="shared" ca="1" si="6"/>
        <v>1</v>
      </c>
      <c r="D44" s="13">
        <f ca="1">D43+C44*(Prices!B44-Prices!B43)/Prices!B43</f>
        <v>-1.7976853206407774E-2</v>
      </c>
      <c r="E44" s="13">
        <f t="shared" ca="1" si="7"/>
        <v>1.7976853206407774E-2</v>
      </c>
      <c r="F44" s="13">
        <f t="shared" ca="1" si="8"/>
        <v>0</v>
      </c>
      <c r="G44" s="21">
        <f ca="1">IF((Prices!B44-Prices!B43)*C44&gt;0,1,0)</f>
        <v>0</v>
      </c>
      <c r="H44" s="13">
        <f>ABS(Prices!B44-Prices!B43)/Prices!B43</f>
        <v>8.3304103823220472E-3</v>
      </c>
      <c r="I44" s="21"/>
      <c r="J44" s="4">
        <f t="shared" ca="1" si="9"/>
        <v>6.7780495590221521E-2</v>
      </c>
      <c r="K44" s="13"/>
      <c r="L44" s="13">
        <f ca="1">L43-O44*Prices!B44</f>
        <v>0.42780314490014948</v>
      </c>
      <c r="M44" s="4">
        <f t="shared" ca="1" si="10"/>
        <v>0.52606025924361155</v>
      </c>
      <c r="N44" s="13">
        <f ca="1">IF(Prices!B43&gt;OFFSET(Prices!B43,-$N$3,0),1,-1)</f>
        <v>1</v>
      </c>
      <c r="O44" s="4">
        <f ca="1">IF(N44=1,O$3*L43/Prices!B43,-O$3*M43)</f>
        <v>1.973525724843957E-2</v>
      </c>
      <c r="P44" s="22"/>
      <c r="Q44" s="13">
        <f ca="1">Q43-T44*Prices!B44</f>
        <v>0.4935735380089602</v>
      </c>
      <c r="R44" s="4">
        <f t="shared" ca="1" si="11"/>
        <v>0.48536536302560251</v>
      </c>
      <c r="S44" s="13">
        <f ca="1">IF(Prices!D43&gt;OFFSET(Prices!D43,-S$3,0),1,-1)</f>
        <v>1</v>
      </c>
      <c r="T44" s="4">
        <f ca="1">IF(S44=1,T$3*Q43/Prices!B43,-T$3*R43)</f>
        <v>4.8045238341781954E-2</v>
      </c>
      <c r="V44" s="13"/>
      <c r="W44" s="4"/>
      <c r="X44" s="4"/>
      <c r="Y44" s="4"/>
      <c r="Z44" s="4"/>
      <c r="AA44" s="4"/>
      <c r="AB44" s="4"/>
      <c r="AC44" s="4"/>
      <c r="AD44" s="4"/>
      <c r="AE44" s="52"/>
    </row>
    <row r="45" spans="1:31" x14ac:dyDescent="0.2">
      <c r="A45" s="7">
        <v>41679</v>
      </c>
      <c r="B45" s="13">
        <f ca="1">Prices!B44*(1+J45/(50*(ABS(O45)+ABS(T45)+0.0001)))</f>
        <v>1.1364994361286005</v>
      </c>
      <c r="C45" s="62">
        <f t="shared" ca="1" si="6"/>
        <v>1</v>
      </c>
      <c r="D45" s="13">
        <f ca="1">D44+C45*(Prices!B45-Prices!B44)/Prices!B44</f>
        <v>-2.5492990795938194E-2</v>
      </c>
      <c r="E45" s="13">
        <f t="shared" ca="1" si="7"/>
        <v>2.5492990795938194E-2</v>
      </c>
      <c r="F45" s="13">
        <f t="shared" ca="1" si="8"/>
        <v>0</v>
      </c>
      <c r="G45" s="21">
        <f ca="1">IF((Prices!B45-Prices!B44)*C45&gt;0,1,0)</f>
        <v>0</v>
      </c>
      <c r="H45" s="13">
        <f>ABS(Prices!B45-Prices!B44)/Prices!B44</f>
        <v>7.5161375895304201E-3</v>
      </c>
      <c r="I45" s="21"/>
      <c r="J45" s="4">
        <f t="shared" ca="1" si="9"/>
        <v>1.7341300240486343E-2</v>
      </c>
      <c r="K45" s="13"/>
      <c r="L45" s="13">
        <f ca="1">L44-O45*Prices!B45</f>
        <v>0.45732564664890096</v>
      </c>
      <c r="M45" s="4">
        <f t="shared" ca="1" si="10"/>
        <v>0.49975724628143098</v>
      </c>
      <c r="N45" s="13">
        <f ca="1">IF(Prices!B44&gt;OFFSET(Prices!B44,-$N$3,0),1,-1)</f>
        <v>-1</v>
      </c>
      <c r="O45" s="4">
        <f ca="1">IF(N45=1,O$3*L44/Prices!B44,-O$3*M44)</f>
        <v>-2.6303012962180579E-2</v>
      </c>
      <c r="P45" s="22"/>
      <c r="Q45" s="13">
        <f ca="1">Q44-T45*Prices!B45</f>
        <v>0.44458716087028682</v>
      </c>
      <c r="R45" s="4">
        <f t="shared" ca="1" si="11"/>
        <v>0.52900967622826944</v>
      </c>
      <c r="S45" s="13">
        <f ca="1">IF(Prices!D44&gt;OFFSET(Prices!D44,-S$3,0),1,-1)</f>
        <v>1</v>
      </c>
      <c r="T45" s="4">
        <f ca="1">IF(S45=1,T$3*Q44/Prices!B44,-T$3*R44)</f>
        <v>4.3644313202666922E-2</v>
      </c>
      <c r="V45" s="13"/>
      <c r="W45" s="4"/>
      <c r="X45" s="4"/>
      <c r="Y45" s="4"/>
      <c r="Z45" s="4"/>
      <c r="AA45" s="4"/>
      <c r="AB45" s="4"/>
      <c r="AC45" s="4"/>
      <c r="AD45" s="4"/>
      <c r="AE45" s="52"/>
    </row>
    <row r="46" spans="1:31" x14ac:dyDescent="0.2">
      <c r="A46" s="7">
        <v>41686</v>
      </c>
      <c r="B46" s="13">
        <f ca="1">Prices!B45*(1+J46/(50*(ABS(O46)+ABS(T46)+0.0001)))</f>
        <v>1.1274735021720672</v>
      </c>
      <c r="C46" s="62">
        <f t="shared" ca="1" si="6"/>
        <v>1</v>
      </c>
      <c r="D46" s="13">
        <f ca="1">D45+C46*(Prices!B46-Prices!B45)/Prices!B45</f>
        <v>-3.5204323654099395E-2</v>
      </c>
      <c r="E46" s="13">
        <f t="shared" ca="1" si="7"/>
        <v>3.5204323654099395E-2</v>
      </c>
      <c r="F46" s="13">
        <f t="shared" ca="1" si="8"/>
        <v>0</v>
      </c>
      <c r="G46" s="21">
        <f ca="1">IF((Prices!B46-Prices!B45)*C46&gt;0,1,0)</f>
        <v>0</v>
      </c>
      <c r="H46" s="13">
        <f>ABS(Prices!B46-Prices!B45)/Prices!B45</f>
        <v>9.7113328581611997E-3</v>
      </c>
      <c r="I46" s="21"/>
      <c r="J46" s="4">
        <f t="shared" ca="1" si="9"/>
        <v>1.46225404719483E-2</v>
      </c>
      <c r="K46" s="13"/>
      <c r="L46" s="13">
        <f ca="1">L45-O46*Prices!B46</f>
        <v>0.4850996556109915</v>
      </c>
      <c r="M46" s="4">
        <f t="shared" ca="1" si="10"/>
        <v>0.4747693839673594</v>
      </c>
      <c r="N46" s="13">
        <f ca="1">IF(Prices!B45&gt;OFFSET(Prices!B45,-$N$3,0),1,-1)</f>
        <v>-1</v>
      </c>
      <c r="O46" s="4">
        <f ca="1">IF(N46=1,O$3*L45/Prices!B45,-O$3*M45)</f>
        <v>-2.498786231407155E-2</v>
      </c>
      <c r="P46" s="22"/>
      <c r="Q46" s="13">
        <f ca="1">Q45-T46*Prices!B46</f>
        <v>0.40056019817362576</v>
      </c>
      <c r="R46" s="4">
        <f t="shared" ca="1" si="11"/>
        <v>0.56862007901428924</v>
      </c>
      <c r="S46" s="13">
        <f ca="1">IF(Prices!D45&gt;OFFSET(Prices!D45,-S$3,0),1,-1)</f>
        <v>1</v>
      </c>
      <c r="T46" s="4">
        <f ca="1">IF(S46=1,T$3*Q45/Prices!B45,-T$3*R45)</f>
        <v>3.9610402786019849E-2</v>
      </c>
      <c r="V46" s="13"/>
      <c r="W46" s="4"/>
      <c r="X46" s="4"/>
      <c r="Y46" s="4"/>
      <c r="Z46" s="4"/>
      <c r="AA46" s="4"/>
      <c r="AB46" s="4"/>
      <c r="AC46" s="4"/>
      <c r="AD46" s="4"/>
      <c r="AE46" s="52"/>
    </row>
    <row r="47" spans="1:31" x14ac:dyDescent="0.2">
      <c r="A47" s="7">
        <v>41693</v>
      </c>
      <c r="B47" s="13">
        <f ca="1">Prices!B46*(1+J47/(50*(ABS(O47)+ABS(T47)+0.0001)))</f>
        <v>1.1160663199912859</v>
      </c>
      <c r="C47" s="62">
        <f t="shared" ca="1" si="6"/>
        <v>1</v>
      </c>
      <c r="D47" s="13">
        <f ca="1">D46+C47*(Prices!B47-Prices!B46)/Prices!B46</f>
        <v>-1.2532258876771358E-2</v>
      </c>
      <c r="E47" s="13">
        <f t="shared" ca="1" si="7"/>
        <v>1.2532258876771358E-2</v>
      </c>
      <c r="F47" s="13">
        <f t="shared" ca="1" si="8"/>
        <v>0</v>
      </c>
      <c r="G47" s="21">
        <f ca="1">IF((Prices!B47-Prices!B46)*C47&gt;0,1,0)</f>
        <v>1</v>
      </c>
      <c r="H47" s="13">
        <f>ABS(Prices!B47-Prices!B46)/Prices!B46</f>
        <v>2.2672064777328037E-2</v>
      </c>
      <c r="I47" s="21"/>
      <c r="J47" s="4">
        <f t="shared" ca="1" si="9"/>
        <v>1.2299335405646948E-2</v>
      </c>
      <c r="K47" s="13"/>
      <c r="L47" s="13">
        <f ca="1">L46-O47*Prices!B47</f>
        <v>0.51208317354877642</v>
      </c>
      <c r="M47" s="4">
        <f t="shared" ca="1" si="10"/>
        <v>0.45103091476899143</v>
      </c>
      <c r="N47" s="13">
        <f ca="1">IF(Prices!B46&gt;OFFSET(Prices!B46,-$N$3,0),1,-1)</f>
        <v>-1</v>
      </c>
      <c r="O47" s="4">
        <f ca="1">IF(N47=1,O$3*L46/Prices!B46,-O$3*M46)</f>
        <v>-2.3738469198367973E-2</v>
      </c>
      <c r="P47" s="22"/>
      <c r="Q47" s="13">
        <f ca="1">Q46-T47*Prices!B47</f>
        <v>0.35959602568024202</v>
      </c>
      <c r="R47" s="4">
        <f t="shared" ca="1" si="11"/>
        <v>0.60465788361830419</v>
      </c>
      <c r="S47" s="13">
        <f ca="1">IF(Prices!D46&gt;OFFSET(Prices!D46,-S$3,0),1,-1)</f>
        <v>1</v>
      </c>
      <c r="T47" s="4">
        <f ca="1">IF(S47=1,T$3*Q46/Prices!B46,-T$3*R46)</f>
        <v>3.6037804604014921E-2</v>
      </c>
      <c r="V47" s="13"/>
      <c r="W47" s="4"/>
      <c r="X47" s="4"/>
      <c r="Y47" s="4"/>
      <c r="Z47" s="4"/>
      <c r="AA47" s="4"/>
      <c r="AB47" s="4"/>
      <c r="AC47" s="4"/>
      <c r="AD47" s="4"/>
      <c r="AE47" s="52"/>
    </row>
    <row r="48" spans="1:31" x14ac:dyDescent="0.2">
      <c r="A48" s="7">
        <v>41700</v>
      </c>
      <c r="B48" s="13">
        <f ca="1">Prices!B47*(1+J48/(50*(ABS(O48)+ABS(T48)+0.0001)))</f>
        <v>1.1593921017930253</v>
      </c>
      <c r="C48" s="62">
        <f t="shared" ca="1" si="6"/>
        <v>1</v>
      </c>
      <c r="D48" s="13">
        <f ca="1">D47+C48*(Prices!B48-Prices!B47)/Prices!B47</f>
        <v>-2.2737238202890874E-2</v>
      </c>
      <c r="E48" s="13">
        <f t="shared" ca="1" si="7"/>
        <v>2.2737238202890874E-2</v>
      </c>
      <c r="F48" s="13">
        <f t="shared" ca="1" si="8"/>
        <v>0</v>
      </c>
      <c r="G48" s="21">
        <f ca="1">IF((Prices!B48-Prices!B47)*C48&gt;0,1,0)</f>
        <v>0</v>
      </c>
      <c r="H48" s="13">
        <f>ABS(Prices!B48-Prices!B47)/Prices!B47</f>
        <v>1.0204979326119516E-2</v>
      </c>
      <c r="I48" s="21"/>
      <c r="J48" s="4">
        <f t="shared" ca="1" si="9"/>
        <v>5.4160078512767683E-2</v>
      </c>
      <c r="K48" s="13"/>
      <c r="L48" s="13">
        <f ca="1">L47-O48*Prices!B48</f>
        <v>0.48674030478130353</v>
      </c>
      <c r="M48" s="4">
        <f t="shared" ca="1" si="10"/>
        <v>0.473555907007435</v>
      </c>
      <c r="N48" s="13">
        <f ca="1">IF(Prices!B47&gt;OFFSET(Prices!B47,-$N$3,0),1,-1)</f>
        <v>1</v>
      </c>
      <c r="O48" s="4">
        <f ca="1">IF(N48=1,O$3*L47/Prices!B47,-O$3*M47)</f>
        <v>2.2524992238443585E-2</v>
      </c>
      <c r="P48" s="22"/>
      <c r="Q48" s="13">
        <f ca="1">Q47-T48*Prices!B48</f>
        <v>0.32400339011299994</v>
      </c>
      <c r="R48" s="4">
        <f t="shared" ca="1" si="11"/>
        <v>0.63629296989262829</v>
      </c>
      <c r="S48" s="13">
        <f ca="1">IF(Prices!D47&gt;OFFSET(Prices!D47,-S$3,0),1,-1)</f>
        <v>1</v>
      </c>
      <c r="T48" s="4">
        <f ca="1">IF(S48=1,T$3*Q47/Prices!B47,-T$3*R47)</f>
        <v>3.1635086274324098E-2</v>
      </c>
      <c r="V48" s="13"/>
      <c r="W48" s="4"/>
      <c r="X48" s="4"/>
      <c r="Y48" s="4"/>
      <c r="Z48" s="4"/>
      <c r="AA48" s="4"/>
      <c r="AB48" s="4"/>
      <c r="AC48" s="4"/>
      <c r="AD48" s="4"/>
      <c r="AE48" s="52"/>
    </row>
    <row r="49" spans="1:31" x14ac:dyDescent="0.2">
      <c r="A49" s="7">
        <v>41707</v>
      </c>
      <c r="B49" s="13">
        <f ca="1">Prices!B48*(1+J49/(50*(ABS(O49)+ABS(T49)+0.0001)))</f>
        <v>1.1026237439063555</v>
      </c>
      <c r="C49" s="62">
        <f t="shared" ca="1" si="6"/>
        <v>0</v>
      </c>
      <c r="D49" s="13">
        <f ca="1">D48+C49*(Prices!B49-Prices!B48)/Prices!B48</f>
        <v>-2.2737238202890874E-2</v>
      </c>
      <c r="E49" s="13">
        <f t="shared" ca="1" si="7"/>
        <v>2.2737238202890874E-2</v>
      </c>
      <c r="F49" s="13">
        <f t="shared" ca="1" si="8"/>
        <v>0</v>
      </c>
      <c r="G49" s="21">
        <f ca="1">IF((Prices!B49-Prices!B48)*C49&gt;0,1,0)</f>
        <v>0</v>
      </c>
      <c r="H49" s="13">
        <f>ABS(Prices!B49-Prices!B48)/Prices!B48</f>
        <v>2.3109056972712965E-3</v>
      </c>
      <c r="I49" s="21"/>
      <c r="J49" s="4">
        <f t="shared" ca="1" si="9"/>
        <v>-8.7307092339634573E-2</v>
      </c>
      <c r="K49" s="13"/>
      <c r="L49" s="13">
        <f ca="1">L48-O49*Prices!B49</f>
        <v>0.51344175459791774</v>
      </c>
      <c r="M49" s="4">
        <f t="shared" ca="1" si="10"/>
        <v>0.44987811165706326</v>
      </c>
      <c r="N49" s="13">
        <f ca="1">IF(Prices!B48&gt;OFFSET(Prices!B48,-$N$3,0),1,-1)</f>
        <v>-1</v>
      </c>
      <c r="O49" s="4">
        <f ca="1">IF(N49=1,O$3*L48/Prices!B48,-O$3*M48)</f>
        <v>-2.367779535037175E-2</v>
      </c>
      <c r="P49" s="22"/>
      <c r="Q49" s="13">
        <f ca="1">Q48-T49*Prices!B49</f>
        <v>0.39575814832779166</v>
      </c>
      <c r="R49" s="4">
        <f t="shared" ca="1" si="11"/>
        <v>0.57266367290336551</v>
      </c>
      <c r="S49" s="13">
        <f ca="1">IF(Prices!D48&gt;OFFSET(Prices!D48,-S$3,0),1,-1)</f>
        <v>-1</v>
      </c>
      <c r="T49" s="4">
        <f ca="1">IF(S49=1,T$3*Q48/Prices!B48,-T$3*R48)</f>
        <v>-6.3629296989262826E-2</v>
      </c>
      <c r="V49" s="13"/>
      <c r="W49" s="4"/>
      <c r="X49" s="4"/>
      <c r="Y49" s="4"/>
      <c r="Z49" s="4"/>
      <c r="AA49" s="4"/>
      <c r="AB49" s="4"/>
      <c r="AC49" s="4"/>
      <c r="AD49" s="4"/>
      <c r="AE49" s="52"/>
    </row>
    <row r="50" spans="1:31" x14ac:dyDescent="0.2">
      <c r="A50" s="7">
        <v>41714</v>
      </c>
      <c r="B50" s="13">
        <f ca="1">Prices!B49*(1+J50/(50*(ABS(O50)+ABS(T50)+0.0001)))</f>
        <v>1.1051742418268664</v>
      </c>
      <c r="C50" s="62">
        <f t="shared" ca="1" si="6"/>
        <v>0</v>
      </c>
      <c r="D50" s="13">
        <f ca="1">D49+C50*(Prices!B50-Prices!B49)/Prices!B49</f>
        <v>-2.2737238202890874E-2</v>
      </c>
      <c r="E50" s="13">
        <f t="shared" ca="1" si="7"/>
        <v>2.2737238202890874E-2</v>
      </c>
      <c r="F50" s="13">
        <f t="shared" ca="1" si="8"/>
        <v>0</v>
      </c>
      <c r="G50" s="21">
        <f ca="1">IF((Prices!B50-Prices!B49)*C50&gt;0,1,0)</f>
        <v>0</v>
      </c>
      <c r="H50" s="13">
        <f>ABS(Prices!B50-Prices!B49)/Prices!B49</f>
        <v>1.4188170612751632E-2</v>
      </c>
      <c r="I50" s="21"/>
      <c r="J50" s="4">
        <f t="shared" ca="1" si="9"/>
        <v>-7.9760272873189708E-2</v>
      </c>
      <c r="K50" s="13"/>
      <c r="L50" s="13">
        <f ca="1">L49-O50*Prices!B50</f>
        <v>0.53844822943437565</v>
      </c>
      <c r="M50" s="4">
        <f t="shared" ca="1" si="10"/>
        <v>0.42738420607421013</v>
      </c>
      <c r="N50" s="13">
        <f ca="1">IF(Prices!B49&gt;OFFSET(Prices!B49,-$N$3,0),1,-1)</f>
        <v>-1</v>
      </c>
      <c r="O50" s="4">
        <f ca="1">IF(N50=1,O$3*L49/Prices!B49,-O$3*M49)</f>
        <v>-2.2493905582853163E-2</v>
      </c>
      <c r="P50" s="22"/>
      <c r="Q50" s="13">
        <f ca="1">Q49-T50*Prices!B50</f>
        <v>0.45942116884445883</v>
      </c>
      <c r="R50" s="4">
        <f t="shared" ca="1" si="11"/>
        <v>0.51539730561302899</v>
      </c>
      <c r="S50" s="13">
        <f ca="1">IF(Prices!D49&gt;OFFSET(Prices!D49,-S$3,0),1,-1)</f>
        <v>-1</v>
      </c>
      <c r="T50" s="4">
        <f ca="1">IF(S50=1,T$3*Q49/Prices!B49,-T$3*R49)</f>
        <v>-5.7266367290336552E-2</v>
      </c>
      <c r="V50" s="13"/>
      <c r="W50" s="4"/>
      <c r="X50" s="4"/>
      <c r="Y50" s="4"/>
      <c r="Z50" s="4"/>
      <c r="AA50" s="4"/>
      <c r="AB50" s="4"/>
      <c r="AC50" s="4"/>
      <c r="AD50" s="4"/>
      <c r="AE50" s="52"/>
    </row>
    <row r="51" spans="1:31" x14ac:dyDescent="0.2">
      <c r="A51" s="7">
        <v>41721</v>
      </c>
      <c r="B51" s="13">
        <f ca="1">Prices!B50*(1+J51/(50*(ABS(O51)+ABS(T51)+0.0001)))</f>
        <v>1.0894964538043375</v>
      </c>
      <c r="C51" s="62">
        <f t="shared" ca="1" si="6"/>
        <v>0</v>
      </c>
      <c r="D51" s="13">
        <f ca="1">D50+C51*(Prices!B51-Prices!B50)/Prices!B50</f>
        <v>-2.2737238202890874E-2</v>
      </c>
      <c r="E51" s="13">
        <f t="shared" ca="1" si="7"/>
        <v>2.2737238202890874E-2</v>
      </c>
      <c r="F51" s="13">
        <f t="shared" ca="1" si="8"/>
        <v>0</v>
      </c>
      <c r="G51" s="21">
        <f ca="1">IF((Prices!B51-Prices!B50)*C51&gt;0,1,0)</f>
        <v>0</v>
      </c>
      <c r="H51" s="13">
        <f>ABS(Prices!B51-Prices!B50)/Prices!B50</f>
        <v>1.7090941800845668E-3</v>
      </c>
      <c r="I51" s="21"/>
      <c r="J51" s="4">
        <f t="shared" ca="1" si="9"/>
        <v>-7.29089408650134E-2</v>
      </c>
      <c r="K51" s="13"/>
      <c r="L51" s="13">
        <f ca="1">L50-O51*Prices!B51</f>
        <v>0.56224498202858764</v>
      </c>
      <c r="M51" s="4">
        <f t="shared" ca="1" si="10"/>
        <v>0.4060149957704996</v>
      </c>
      <c r="N51" s="13">
        <f ca="1">IF(Prices!B50&gt;OFFSET(Prices!B50,-$N$3,0),1,-1)</f>
        <v>-1</v>
      </c>
      <c r="O51" s="4">
        <f ca="1">IF(N51=1,O$3*L50/Prices!B50,-O$3*M50)</f>
        <v>-2.1369210303710508E-2</v>
      </c>
      <c r="P51" s="22"/>
      <c r="Q51" s="13">
        <f ca="1">Q50-T51*Prices!B51</f>
        <v>0.51681581279752575</v>
      </c>
      <c r="R51" s="4">
        <f t="shared" ca="1" si="11"/>
        <v>0.46385757505172609</v>
      </c>
      <c r="S51" s="13">
        <f ca="1">IF(Prices!D50&gt;OFFSET(Prices!D50,-S$3,0),1,-1)</f>
        <v>-1</v>
      </c>
      <c r="T51" s="4">
        <f ca="1">IF(S51=1,T$3*Q50/Prices!B50,-T$3*R50)</f>
        <v>-5.1539730561302899E-2</v>
      </c>
      <c r="V51" s="13"/>
      <c r="W51" s="4"/>
      <c r="X51" s="4"/>
      <c r="Y51" s="4"/>
      <c r="Z51" s="4"/>
      <c r="AA51" s="4"/>
      <c r="AB51" s="4"/>
      <c r="AC51" s="4"/>
      <c r="AD51" s="4"/>
      <c r="AE51" s="52"/>
    </row>
    <row r="52" spans="1:31" x14ac:dyDescent="0.2">
      <c r="A52" s="7">
        <v>41728</v>
      </c>
      <c r="B52" s="13">
        <f ca="1">Prices!B51*(1+J52/(50*(ABS(O52)+ABS(T52)+0.0001)))</f>
        <v>1.0913613480532258</v>
      </c>
      <c r="C52" s="62">
        <f t="shared" ca="1" si="6"/>
        <v>0</v>
      </c>
      <c r="D52" s="13">
        <f ca="1">D51+C52*(Prices!B52-Prices!B51)/Prices!B51</f>
        <v>-2.2737238202890874E-2</v>
      </c>
      <c r="E52" s="13">
        <f t="shared" ca="1" si="7"/>
        <v>2.2737238202890874E-2</v>
      </c>
      <c r="F52" s="13">
        <f t="shared" ca="1" si="8"/>
        <v>0</v>
      </c>
      <c r="G52" s="21">
        <f ca="1">IF((Prices!B52-Prices!B51)*C52&gt;0,1,0)</f>
        <v>0</v>
      </c>
      <c r="H52" s="13">
        <f>ABS(Prices!B52-Prices!B51)/Prices!B51</f>
        <v>7.6329022988505324E-3</v>
      </c>
      <c r="I52" s="21"/>
      <c r="J52" s="4">
        <f t="shared" ca="1" si="9"/>
        <v>-6.66865072936976E-2</v>
      </c>
      <c r="K52" s="13"/>
      <c r="L52" s="13">
        <f ca="1">L51-O52*Prices!B52</f>
        <v>0.58467934061988658</v>
      </c>
      <c r="M52" s="4">
        <f t="shared" ca="1" si="10"/>
        <v>0.38571424598197462</v>
      </c>
      <c r="N52" s="13">
        <f ca="1">IF(Prices!B51&gt;OFFSET(Prices!B51,-$N$3,0),1,-1)</f>
        <v>-1</v>
      </c>
      <c r="O52" s="4">
        <f ca="1">IF(N52=1,O$3*L51/Prices!B51,-O$3*M51)</f>
        <v>-2.0300749788524981E-2</v>
      </c>
      <c r="P52" s="22"/>
      <c r="Q52" s="13">
        <f ca="1">Q51-T52*Prices!B52</f>
        <v>0.56807671341649202</v>
      </c>
      <c r="R52" s="4">
        <f t="shared" ca="1" si="11"/>
        <v>0.41747181754655349</v>
      </c>
      <c r="S52" s="13">
        <f ca="1">IF(Prices!D51&gt;OFFSET(Prices!D51,-S$3,0),1,-1)</f>
        <v>-1</v>
      </c>
      <c r="T52" s="4">
        <f ca="1">IF(S52=1,T$3*Q51/Prices!B51,-T$3*R51)</f>
        <v>-4.6385757505172612E-2</v>
      </c>
      <c r="V52" s="13"/>
      <c r="W52" s="4"/>
      <c r="X52" s="4"/>
      <c r="Y52" s="4"/>
      <c r="Z52" s="4"/>
      <c r="AA52" s="4"/>
      <c r="AB52" s="4"/>
      <c r="AC52" s="4"/>
      <c r="AD52" s="4"/>
      <c r="AE52" s="52"/>
    </row>
    <row r="53" spans="1:31" x14ac:dyDescent="0.2">
      <c r="A53" s="7">
        <v>41735</v>
      </c>
      <c r="B53" s="13">
        <f ca="1">Prices!B52*(1+J53/(50*(ABS(O53)+ABS(T53)+0.0001)))</f>
        <v>1.0830341540220565</v>
      </c>
      <c r="C53" s="62">
        <f t="shared" ca="1" si="6"/>
        <v>0</v>
      </c>
      <c r="D53" s="13">
        <f ca="1">D52+C53*(Prices!B53-Prices!B52)/Prices!B52</f>
        <v>-2.2737238202890874E-2</v>
      </c>
      <c r="E53" s="13">
        <f t="shared" ca="1" si="7"/>
        <v>2.2737238202890874E-2</v>
      </c>
      <c r="F53" s="13">
        <f t="shared" ca="1" si="8"/>
        <v>0</v>
      </c>
      <c r="G53" s="21">
        <f ca="1">IF((Prices!B53-Prices!B52)*C53&gt;0,1,0)</f>
        <v>0</v>
      </c>
      <c r="H53" s="13">
        <f>ABS(Prices!B53-Prices!B52)/Prices!B52</f>
        <v>1.4478327753144928E-3</v>
      </c>
      <c r="I53" s="21"/>
      <c r="J53" s="4">
        <f t="shared" ca="1" si="9"/>
        <v>-6.1032894053754089E-2</v>
      </c>
      <c r="K53" s="13"/>
      <c r="L53" s="13">
        <f ca="1">L52-O53*Prices!B53</f>
        <v>0.60596112414194203</v>
      </c>
      <c r="M53" s="4">
        <f t="shared" ca="1" si="10"/>
        <v>0.36642853368287587</v>
      </c>
      <c r="N53" s="13">
        <f ca="1">IF(Prices!B52&gt;OFFSET(Prices!B52,-$N$3,0),1,-1)</f>
        <v>-1</v>
      </c>
      <c r="O53" s="4">
        <f ca="1">IF(N53=1,O$3*L52/Prices!B52,-O$3*M52)</f>
        <v>-1.9285712299098732E-2</v>
      </c>
      <c r="P53" s="22"/>
      <c r="Q53" s="13">
        <f ca="1">Q52-T53*Prices!B53</f>
        <v>0.61414472848275414</v>
      </c>
      <c r="R53" s="4">
        <f t="shared" ca="1" si="11"/>
        <v>0.37572463579189813</v>
      </c>
      <c r="S53" s="13">
        <f ca="1">IF(Prices!D52&gt;OFFSET(Prices!D52,-S$3,0),1,-1)</f>
        <v>-1</v>
      </c>
      <c r="T53" s="4">
        <f ca="1">IF(S53=1,T$3*Q52/Prices!B52,-T$3*R52)</f>
        <v>-4.1747181754655353E-2</v>
      </c>
      <c r="V53" s="13"/>
      <c r="W53" s="4"/>
      <c r="X53" s="4"/>
      <c r="Y53" s="4"/>
      <c r="Z53" s="4"/>
      <c r="AA53" s="4"/>
      <c r="AB53" s="4"/>
      <c r="AC53" s="4"/>
      <c r="AD53" s="4"/>
      <c r="AE53" s="52"/>
    </row>
    <row r="54" spans="1:31" x14ac:dyDescent="0.2">
      <c r="A54" s="7">
        <v>41742</v>
      </c>
      <c r="B54" s="13">
        <f ca="1">Prices!B53*(1+J54/(50*(ABS(O54)+ABS(T54)+0.0001)))</f>
        <v>1.0814694150145601</v>
      </c>
      <c r="C54" s="62">
        <f t="shared" ca="1" si="6"/>
        <v>0</v>
      </c>
      <c r="D54" s="13">
        <f ca="1">D53+C54*(Prices!B54-Prices!B53)/Prices!B53</f>
        <v>-2.2737238202890874E-2</v>
      </c>
      <c r="E54" s="13">
        <f t="shared" ca="1" si="7"/>
        <v>2.2737238202890874E-2</v>
      </c>
      <c r="F54" s="13">
        <f t="shared" ca="1" si="8"/>
        <v>0</v>
      </c>
      <c r="G54" s="21">
        <f ca="1">IF((Prices!B54-Prices!B53)*C54&gt;0,1,0)</f>
        <v>0</v>
      </c>
      <c r="H54" s="13">
        <f>ABS(Prices!B54-Prices!B53)/Prices!B53</f>
        <v>5.2560036248301108E-3</v>
      </c>
      <c r="I54" s="21"/>
      <c r="J54" s="4">
        <f t="shared" ca="1" si="9"/>
        <v>-5.5893890263333607E-2</v>
      </c>
      <c r="K54" s="13"/>
      <c r="L54" s="13">
        <f ca="1">L53-O54*Prices!B54</f>
        <v>0.62607255421312669</v>
      </c>
      <c r="M54" s="4">
        <f t="shared" ca="1" si="10"/>
        <v>0.3481071069987321</v>
      </c>
      <c r="N54" s="13">
        <f ca="1">IF(Prices!B53&gt;OFFSET(Prices!B53,-$N$3,0),1,-1)</f>
        <v>-1</v>
      </c>
      <c r="O54" s="4">
        <f ca="1">IF(N54=1,O$3*L53/Prices!B53,-O$3*M53)</f>
        <v>-1.8321426684143795E-2</v>
      </c>
      <c r="P54" s="22"/>
      <c r="Q54" s="13">
        <f ca="1">Q53-T54*Prices!B54</f>
        <v>0.65538802175363076</v>
      </c>
      <c r="R54" s="4">
        <f t="shared" ca="1" si="11"/>
        <v>0.33815217221270832</v>
      </c>
      <c r="S54" s="13">
        <f ca="1">IF(Prices!D53&gt;OFFSET(Prices!D53,-S$3,0),1,-1)</f>
        <v>-1</v>
      </c>
      <c r="T54" s="4">
        <f ca="1">IF(S54=1,T$3*Q53/Prices!B53,-T$3*R53)</f>
        <v>-3.7572463579189815E-2</v>
      </c>
      <c r="V54" s="13"/>
      <c r="W54" s="4"/>
      <c r="X54" s="4"/>
      <c r="Y54" s="4"/>
      <c r="Z54" s="4"/>
      <c r="AA54" s="4"/>
      <c r="AB54" s="4"/>
      <c r="AC54" s="4"/>
      <c r="AD54" s="4"/>
      <c r="AE54" s="52"/>
    </row>
    <row r="55" spans="1:31" x14ac:dyDescent="0.2">
      <c r="A55" s="7">
        <v>41749</v>
      </c>
      <c r="B55" s="13">
        <f ca="1">Prices!B54*(1+J55/(50*(ABS(O55)+ABS(T55)+0.0001)))</f>
        <v>1.0757887781665325</v>
      </c>
      <c r="C55" s="62">
        <f t="shared" ca="1" si="6"/>
        <v>0</v>
      </c>
      <c r="D55" s="13">
        <f ca="1">D54+C55*(Prices!B55-Prices!B54)/Prices!B54</f>
        <v>-2.2737238202890874E-2</v>
      </c>
      <c r="E55" s="13">
        <f t="shared" ca="1" si="7"/>
        <v>2.2737238202890874E-2</v>
      </c>
      <c r="F55" s="13">
        <f t="shared" ca="1" si="8"/>
        <v>0</v>
      </c>
      <c r="G55" s="21">
        <f ca="1">IF((Prices!B55-Prices!B54)*C55&gt;0,1,0)</f>
        <v>0</v>
      </c>
      <c r="H55" s="13">
        <f>ABS(Prices!B55-Prices!B54)/Prices!B54</f>
        <v>1.7946615650906488E-2</v>
      </c>
      <c r="I55" s="21"/>
      <c r="J55" s="4">
        <f t="shared" ca="1" si="9"/>
        <v>-5.1220572571207441E-2</v>
      </c>
      <c r="K55" s="13"/>
      <c r="L55" s="13">
        <f ca="1">L54-O55*Prices!B55</f>
        <v>0.64552129828114579</v>
      </c>
      <c r="M55" s="4">
        <f t="shared" ca="1" si="10"/>
        <v>0.33070175164879551</v>
      </c>
      <c r="N55" s="13">
        <f ca="1">IF(Prices!B54&gt;OFFSET(Prices!B54,-$N$3,0),1,-1)</f>
        <v>-1</v>
      </c>
      <c r="O55" s="4">
        <f ca="1">IF(N55=1,O$3*L54/Prices!B54,-O$3*M54)</f>
        <v>-1.7405355349936605E-2</v>
      </c>
      <c r="P55" s="22"/>
      <c r="Q55" s="13">
        <f ca="1">Q54-T55*Prices!B55</f>
        <v>0.69317314547667874</v>
      </c>
      <c r="R55" s="4">
        <f t="shared" ca="1" si="11"/>
        <v>0.30433695499143748</v>
      </c>
      <c r="S55" s="13">
        <f ca="1">IF(Prices!D54&gt;OFFSET(Prices!D54,-S$3,0),1,-1)</f>
        <v>-1</v>
      </c>
      <c r="T55" s="4">
        <f ca="1">IF(S55=1,T$3*Q54/Prices!B54,-T$3*R54)</f>
        <v>-3.3815217221270837E-2</v>
      </c>
      <c r="V55" s="13"/>
      <c r="W55" s="4"/>
      <c r="X55" s="4"/>
      <c r="Y55" s="4"/>
      <c r="Z55" s="4"/>
      <c r="AA55" s="4"/>
      <c r="AB55" s="4"/>
      <c r="AC55" s="4"/>
      <c r="AD55" s="4"/>
      <c r="AE55" s="52"/>
    </row>
    <row r="56" spans="1:31" x14ac:dyDescent="0.2">
      <c r="A56" s="7">
        <v>41756</v>
      </c>
      <c r="B56" s="13">
        <f ca="1">Prices!B55*(1+J56/(50*(ABS(O56)+ABS(T56)+0.0001)))</f>
        <v>1.0950994794514259</v>
      </c>
      <c r="C56" s="62">
        <f t="shared" ca="1" si="6"/>
        <v>0</v>
      </c>
      <c r="D56" s="13">
        <f ca="1">D55+C56*(Prices!B56-Prices!B55)/Prices!B55</f>
        <v>-2.2737238202890874E-2</v>
      </c>
      <c r="E56" s="13">
        <f t="shared" ca="1" si="7"/>
        <v>2.2737238202890874E-2</v>
      </c>
      <c r="F56" s="13">
        <f t="shared" ca="1" si="8"/>
        <v>0</v>
      </c>
      <c r="G56" s="21">
        <f ca="1">IF((Prices!B56-Prices!B55)*C56&gt;0,1,0)</f>
        <v>0</v>
      </c>
      <c r="H56" s="13">
        <f>ABS(Prices!B56-Prices!B55)/Prices!B55</f>
        <v>7.8754250939680678E-3</v>
      </c>
      <c r="I56" s="21"/>
      <c r="J56" s="4">
        <f t="shared" ca="1" si="9"/>
        <v>-4.6968783081583532E-2</v>
      </c>
      <c r="K56" s="13"/>
      <c r="L56" s="13">
        <f ca="1">L55-O56*Prices!B56</f>
        <v>0.6638520963750385</v>
      </c>
      <c r="M56" s="4">
        <f t="shared" ca="1" si="10"/>
        <v>0.31416666406635574</v>
      </c>
      <c r="N56" s="13">
        <f ca="1">IF(Prices!B55&gt;OFFSET(Prices!B55,-$N$3,0),1,-1)</f>
        <v>-1</v>
      </c>
      <c r="O56" s="4">
        <f ca="1">IF(N56=1,O$3*L55/Prices!B55,-O$3*M55)</f>
        <v>-1.6535087582439777E-2</v>
      </c>
      <c r="P56" s="22"/>
      <c r="Q56" s="13">
        <f ca="1">Q55-T56*Prices!B56</f>
        <v>0.72691194030702955</v>
      </c>
      <c r="R56" s="4">
        <f t="shared" ca="1" si="11"/>
        <v>0.27390325949229372</v>
      </c>
      <c r="S56" s="13">
        <f ca="1">IF(Prices!D55&gt;OFFSET(Prices!D55,-S$3,0),1,-1)</f>
        <v>-1</v>
      </c>
      <c r="T56" s="4">
        <f ca="1">IF(S56=1,T$3*Q55/Prices!B55,-T$3*R55)</f>
        <v>-3.0433695499143751E-2</v>
      </c>
      <c r="V56" s="13"/>
      <c r="W56" s="4"/>
      <c r="X56" s="4"/>
      <c r="Y56" s="4"/>
      <c r="Z56" s="4"/>
      <c r="AA56" s="4"/>
      <c r="AB56" s="4"/>
      <c r="AC56" s="4"/>
      <c r="AD56" s="4"/>
      <c r="AE56" s="52"/>
    </row>
    <row r="57" spans="1:31" x14ac:dyDescent="0.2">
      <c r="A57" s="7">
        <v>41763</v>
      </c>
      <c r="B57" s="13">
        <f ca="1">Prices!B56*(1+J57/(50*(ABS(O57)+ABS(T57)+0.0001)))</f>
        <v>1.0864793256671272</v>
      </c>
      <c r="C57" s="62">
        <f t="shared" ca="1" si="6"/>
        <v>0</v>
      </c>
      <c r="D57" s="13">
        <f ca="1">D56+C57*(Prices!B57-Prices!B56)/Prices!B56</f>
        <v>-2.2737238202890874E-2</v>
      </c>
      <c r="E57" s="13">
        <f t="shared" ca="1" si="7"/>
        <v>2.2737238202890874E-2</v>
      </c>
      <c r="F57" s="13">
        <f t="shared" ca="1" si="8"/>
        <v>0</v>
      </c>
      <c r="G57" s="21">
        <f ca="1">IF((Prices!B57-Prices!B56)*C57&gt;0,1,0)</f>
        <v>0</v>
      </c>
      <c r="H57" s="13">
        <f>ABS(Prices!B57-Prices!B56)/Prices!B56</f>
        <v>6.8554934151182131E-3</v>
      </c>
      <c r="I57" s="21"/>
      <c r="J57" s="4">
        <f t="shared" ca="1" si="9"/>
        <v>-4.309865915254716E-2</v>
      </c>
      <c r="K57" s="13"/>
      <c r="L57" s="13">
        <f ca="1">L56-O57*Prices!B57</f>
        <v>0.68138573789658186</v>
      </c>
      <c r="M57" s="4">
        <f t="shared" ca="1" si="10"/>
        <v>0.29845833086303797</v>
      </c>
      <c r="N57" s="13">
        <f ca="1">IF(Prices!B56&gt;OFFSET(Prices!B56,-$N$3,0),1,-1)</f>
        <v>-1</v>
      </c>
      <c r="O57" s="4">
        <f ca="1">IF(N57=1,O$3*L56/Prices!B56,-O$3*M56)</f>
        <v>-1.5708333203317788E-2</v>
      </c>
      <c r="P57" s="22"/>
      <c r="Q57" s="13">
        <f ca="1">Q56-T57*Prices!B57</f>
        <v>0.75748502213155933</v>
      </c>
      <c r="R57" s="4">
        <f t="shared" ca="1" si="11"/>
        <v>0.24651293354306433</v>
      </c>
      <c r="S57" s="13">
        <f ca="1">IF(Prices!D56&gt;OFFSET(Prices!D56,-S$3,0),1,-1)</f>
        <v>-1</v>
      </c>
      <c r="T57" s="4">
        <f ca="1">IF(S57=1,T$3*Q56/Prices!B56,-T$3*R56)</f>
        <v>-2.7390325949229372E-2</v>
      </c>
      <c r="V57" s="13"/>
      <c r="W57" s="4"/>
      <c r="X57" s="4"/>
      <c r="Y57" s="4"/>
      <c r="Z57" s="4"/>
      <c r="AA57" s="4"/>
      <c r="AB57" s="4"/>
      <c r="AC57" s="4"/>
      <c r="AD57" s="4"/>
      <c r="AE57" s="52"/>
    </row>
    <row r="58" spans="1:31" x14ac:dyDescent="0.2">
      <c r="A58" s="7">
        <v>41770</v>
      </c>
      <c r="B58" s="13">
        <f ca="1">Prices!B57*(1+J58/(50*(ABS(O58)+ABS(T58)+0.0001)))</f>
        <v>1.1185712885131143</v>
      </c>
      <c r="C58" s="62">
        <f t="shared" ca="1" si="6"/>
        <v>1</v>
      </c>
      <c r="D58" s="13">
        <f ca="1">D57+C58*(Prices!B58-Prices!B57)/Prices!B57</f>
        <v>-8.134120482052332E-3</v>
      </c>
      <c r="E58" s="13">
        <f t="shared" ca="1" si="7"/>
        <v>8.134120482052332E-3</v>
      </c>
      <c r="F58" s="13">
        <f t="shared" ca="1" si="8"/>
        <v>0</v>
      </c>
      <c r="G58" s="21">
        <f ca="1">IF((Prices!B58-Prices!B57)*C58&gt;0,1,0)</f>
        <v>1</v>
      </c>
      <c r="H58" s="13">
        <f>ABS(Prices!B58-Prices!B57)/Prices!B57</f>
        <v>1.4603117720838542E-2</v>
      </c>
      <c r="I58" s="21"/>
      <c r="J58" s="4">
        <f t="shared" ca="1" si="9"/>
        <v>5.8712715039887578E-3</v>
      </c>
      <c r="K58" s="13"/>
      <c r="L58" s="13">
        <f ca="1">L57-O58*Prices!B58</f>
        <v>0.64681893319456252</v>
      </c>
      <c r="M58" s="4">
        <f t="shared" ca="1" si="10"/>
        <v>0.32898089572133316</v>
      </c>
      <c r="N58" s="13">
        <f ca="1">IF(Prices!B57&gt;OFFSET(Prices!B57,-$N$3,0),1,-1)</f>
        <v>1</v>
      </c>
      <c r="O58" s="4">
        <f ca="1">IF(N58=1,O$3*L57/Prices!B57,-O$3*M57)</f>
        <v>3.0522564858295194E-2</v>
      </c>
      <c r="P58" s="22"/>
      <c r="Q58" s="13">
        <f ca="1">Q57-T58*Prices!B58</f>
        <v>0.78540261185531135</v>
      </c>
      <c r="R58" s="4">
        <f t="shared" ca="1" si="11"/>
        <v>0.2218616401887579</v>
      </c>
      <c r="S58" s="13">
        <f ca="1">IF(Prices!D57&gt;OFFSET(Prices!D57,-S$3,0),1,-1)</f>
        <v>-1</v>
      </c>
      <c r="T58" s="4">
        <f ca="1">IF(S58=1,T$3*Q57/Prices!B57,-T$3*R57)</f>
        <v>-2.4651293354306436E-2</v>
      </c>
      <c r="V58" s="13"/>
      <c r="W58" s="4"/>
      <c r="X58" s="4"/>
      <c r="Y58" s="4"/>
      <c r="Z58" s="4"/>
      <c r="AA58" s="4"/>
      <c r="AB58" s="4"/>
      <c r="AC58" s="4"/>
      <c r="AD58" s="4"/>
      <c r="AE58" s="52"/>
    </row>
    <row r="59" spans="1:31" x14ac:dyDescent="0.2">
      <c r="A59" s="7">
        <v>41777</v>
      </c>
      <c r="B59" s="13">
        <f ca="1">Prices!B58*(1+J59/(50*(ABS(O59)+ABS(T59)+0.0001)))</f>
        <v>1.135338178143914</v>
      </c>
      <c r="C59" s="62">
        <f t="shared" ca="1" si="6"/>
        <v>1</v>
      </c>
      <c r="D59" s="13">
        <f ca="1">D58+C59*(Prices!B59-Prices!B58)/Prices!B58</f>
        <v>-1.9348248517372556E-2</v>
      </c>
      <c r="E59" s="13">
        <f t="shared" ca="1" si="7"/>
        <v>1.9348248517372556E-2</v>
      </c>
      <c r="F59" s="13">
        <f t="shared" ca="1" si="8"/>
        <v>0</v>
      </c>
      <c r="G59" s="21">
        <f ca="1">IF((Prices!B59-Prices!B58)*C59&gt;0,1,0)</f>
        <v>0</v>
      </c>
      <c r="H59" s="13">
        <f>ABS(Prices!B59-Prices!B58)/Prices!B58</f>
        <v>1.1214128035320224E-2</v>
      </c>
      <c r="I59" s="21"/>
      <c r="J59" s="4">
        <f t="shared" ca="1" si="9"/>
        <v>6.3709632744823781E-3</v>
      </c>
      <c r="K59" s="13"/>
      <c r="L59" s="13">
        <f ca="1">L58-O59*Prices!B59</f>
        <v>0.61484066205146004</v>
      </c>
      <c r="M59" s="4">
        <f t="shared" ca="1" si="10"/>
        <v>0.35753802301469134</v>
      </c>
      <c r="N59" s="13">
        <f ca="1">IF(Prices!B58&gt;OFFSET(Prices!B58,-$N$3,0),1,-1)</f>
        <v>1</v>
      </c>
      <c r="O59" s="4">
        <f ca="1">IF(N59=1,O$3*L58/Prices!B58,-O$3*M58)</f>
        <v>2.8557127293358169E-2</v>
      </c>
      <c r="P59" s="22"/>
      <c r="Q59" s="13">
        <f ca="1">Q58-T59*Prices!B59</f>
        <v>0.81024667832364849</v>
      </c>
      <c r="R59" s="4">
        <f t="shared" ca="1" si="11"/>
        <v>0.1996754761698821</v>
      </c>
      <c r="S59" s="13">
        <f ca="1">IF(Prices!D58&gt;OFFSET(Prices!D58,-S$3,0),1,-1)</f>
        <v>-1</v>
      </c>
      <c r="T59" s="4">
        <f ca="1">IF(S59=1,T$3*Q58/Prices!B58,-T$3*R58)</f>
        <v>-2.2186164018875791E-2</v>
      </c>
      <c r="V59" s="13"/>
      <c r="W59" s="4"/>
      <c r="X59" s="4"/>
      <c r="Y59" s="4"/>
      <c r="Z59" s="4"/>
      <c r="AA59" s="4"/>
      <c r="AB59" s="4"/>
      <c r="AC59" s="4"/>
      <c r="AD59" s="4"/>
      <c r="AE59" s="52"/>
    </row>
    <row r="60" spans="1:31" x14ac:dyDescent="0.2">
      <c r="A60" s="7">
        <v>41784</v>
      </c>
      <c r="B60" s="13">
        <f ca="1">Prices!B59*(1+J60/(50*(ABS(O60)+ABS(T60)+0.0001)))</f>
        <v>1.1421735837178357</v>
      </c>
      <c r="C60" s="62">
        <f t="shared" ca="1" si="6"/>
        <v>1</v>
      </c>
      <c r="D60" s="13">
        <f ca="1">D59+C60*(Prices!B60-Prices!B59)/Prices!B59</f>
        <v>-2.309891827983012E-2</v>
      </c>
      <c r="E60" s="13">
        <f t="shared" ca="1" si="7"/>
        <v>2.309891827983012E-2</v>
      </c>
      <c r="F60" s="13">
        <f t="shared" ca="1" si="8"/>
        <v>0</v>
      </c>
      <c r="G60" s="21">
        <f ca="1">IF((Prices!B60-Prices!B59)*C60&gt;0,1,0)</f>
        <v>0</v>
      </c>
      <c r="H60" s="13">
        <f>ABS(Prices!B60-Prices!B59)/Prices!B59</f>
        <v>3.7506697624575657E-3</v>
      </c>
      <c r="I60" s="21"/>
      <c r="J60" s="4">
        <f t="shared" ca="1" si="9"/>
        <v>9.9809520391978809E-2</v>
      </c>
      <c r="K60" s="13"/>
      <c r="L60" s="13">
        <f ca="1">L59-O60*Prices!B60</f>
        <v>0.58421393216288131</v>
      </c>
      <c r="M60" s="4">
        <f t="shared" ca="1" si="10"/>
        <v>0.38499116920380816</v>
      </c>
      <c r="N60" s="13">
        <f ca="1">IF(Prices!B59&gt;OFFSET(Prices!B59,-$N$3,0),1,-1)</f>
        <v>1</v>
      </c>
      <c r="O60" s="4">
        <f ca="1">IF(N60=1,O$3*L59/Prices!B59,-O$3*M59)</f>
        <v>2.7453146189116814E-2</v>
      </c>
      <c r="P60" s="22"/>
      <c r="Q60" s="13">
        <f ca="1">Q59-T60*Prices!B60</f>
        <v>0.72952590726293565</v>
      </c>
      <c r="R60" s="4">
        <f t="shared" ca="1" si="11"/>
        <v>0.27203185037274408</v>
      </c>
      <c r="S60" s="13">
        <f ca="1">IF(Prices!D59&gt;OFFSET(Prices!D59,-S$3,0),1,-1)</f>
        <v>1</v>
      </c>
      <c r="T60" s="4">
        <f ca="1">IF(S60=1,T$3*Q59/Prices!B59,-T$3*R59)</f>
        <v>7.2356374202861992E-2</v>
      </c>
      <c r="V60" s="13"/>
      <c r="W60" s="4"/>
      <c r="X60" s="4"/>
      <c r="Y60" s="4"/>
      <c r="Z60" s="4"/>
      <c r="AA60" s="4"/>
      <c r="AB60" s="4"/>
      <c r="AC60" s="4"/>
      <c r="AD60" s="4"/>
      <c r="AE60" s="52"/>
    </row>
    <row r="61" spans="1:31" x14ac:dyDescent="0.2">
      <c r="A61" s="7">
        <v>41791</v>
      </c>
      <c r="B61" s="13">
        <f ca="1">Prices!B60*(1+J61/(50*(ABS(O61)+ABS(T61)+0.0001)))</f>
        <v>1.1378876623765775</v>
      </c>
      <c r="C61" s="62">
        <f t="shared" ca="1" si="6"/>
        <v>1</v>
      </c>
      <c r="D61" s="13">
        <f ca="1">D60+C61*(Prices!B61-Prices!B60)/Prices!B60</f>
        <v>-1.6196802826262499E-2</v>
      </c>
      <c r="E61" s="13">
        <f t="shared" ca="1" si="7"/>
        <v>1.6196802826262499E-2</v>
      </c>
      <c r="F61" s="13">
        <f t="shared" ca="1" si="8"/>
        <v>0</v>
      </c>
      <c r="G61" s="21">
        <f ca="1">IF((Prices!B61-Prices!B60)*C61&gt;0,1,0)</f>
        <v>1</v>
      </c>
      <c r="H61" s="13">
        <f>ABS(Prices!B61-Prices!B60)/Prices!B60</f>
        <v>6.902115453567623E-3</v>
      </c>
      <c r="I61" s="21"/>
      <c r="J61" s="4">
        <f t="shared" ca="1" si="9"/>
        <v>9.1576987571206206E-2</v>
      </c>
      <c r="K61" s="13"/>
      <c r="L61" s="13">
        <f ca="1">L60-O61*Prices!B61</f>
        <v>0.55480161995426869</v>
      </c>
      <c r="M61" s="4">
        <f t="shared" ca="1" si="10"/>
        <v>0.41117501342050239</v>
      </c>
      <c r="N61" s="13">
        <f ca="1">IF(Prices!B60&gt;OFFSET(Prices!B60,-$N$3,0),1,-1)</f>
        <v>1</v>
      </c>
      <c r="O61" s="4">
        <f ca="1">IF(N61=1,O$3*L60/Prices!B60,-O$3*M60)</f>
        <v>2.6183844216694219E-2</v>
      </c>
      <c r="P61" s="22"/>
      <c r="Q61" s="13">
        <f ca="1">Q60-T61*Prices!B61</f>
        <v>0.65606978933281235</v>
      </c>
      <c r="R61" s="4">
        <f t="shared" ca="1" si="11"/>
        <v>0.3374249937272561</v>
      </c>
      <c r="S61" s="13">
        <f ca="1">IF(Prices!D60&gt;OFFSET(Prices!D60,-S$3,0),1,-1)</f>
        <v>1</v>
      </c>
      <c r="T61" s="4">
        <f ca="1">IF(S61=1,T$3*Q60/Prices!B60,-T$3*R60)</f>
        <v>6.539314335451199E-2</v>
      </c>
      <c r="V61" s="13"/>
      <c r="W61" s="4"/>
      <c r="X61" s="4"/>
      <c r="Y61" s="4"/>
      <c r="Z61" s="4"/>
      <c r="AA61" s="4"/>
      <c r="AB61" s="4"/>
      <c r="AC61" s="4"/>
      <c r="AD61" s="4"/>
      <c r="AE61" s="52"/>
    </row>
    <row r="62" spans="1:31" x14ac:dyDescent="0.2">
      <c r="A62" s="7">
        <v>41798</v>
      </c>
      <c r="B62" s="13">
        <f ca="1">Prices!B61*(1+J62/(50*(ABS(O62)+ABS(T62)+0.0001)))</f>
        <v>1.1457389978359387</v>
      </c>
      <c r="C62" s="62">
        <f t="shared" ca="1" si="6"/>
        <v>1</v>
      </c>
      <c r="D62" s="13">
        <f ca="1">D61+C62*(Prices!B62-Prices!B61)/Prices!B61</f>
        <v>-2.3140629052560042E-2</v>
      </c>
      <c r="E62" s="13">
        <f t="shared" ca="1" si="7"/>
        <v>2.3140629052560042E-2</v>
      </c>
      <c r="F62" s="13">
        <f t="shared" ca="1" si="8"/>
        <v>0</v>
      </c>
      <c r="G62" s="21">
        <f ca="1">IF((Prices!B62-Prices!B61)*C62&gt;0,1,0)</f>
        <v>0</v>
      </c>
      <c r="H62" s="13">
        <f>ABS(Prices!B62-Prices!B61)/Prices!B61</f>
        <v>6.9438262262975425E-3</v>
      </c>
      <c r="I62" s="21"/>
      <c r="J62" s="4">
        <f t="shared" ca="1" si="9"/>
        <v>8.3100738832898313E-2</v>
      </c>
      <c r="K62" s="13"/>
      <c r="L62" s="13">
        <f ca="1">L61-O62*Prices!B62</f>
        <v>0.52725416125850677</v>
      </c>
      <c r="M62" s="4">
        <f t="shared" ca="1" si="10"/>
        <v>0.43587018033736646</v>
      </c>
      <c r="N62" s="13">
        <f ca="1">IF(Prices!B61&gt;OFFSET(Prices!B61,-$N$3,0),1,-1)</f>
        <v>1</v>
      </c>
      <c r="O62" s="4">
        <f ca="1">IF(N62=1,O$3*L61/Prices!B61,-O$3*M61)</f>
        <v>2.4695166916864096E-2</v>
      </c>
      <c r="P62" s="22"/>
      <c r="Q62" s="13">
        <f ca="1">Q61-T62*Prices!B62</f>
        <v>0.59091837386047619</v>
      </c>
      <c r="R62" s="4">
        <f t="shared" ca="1" si="11"/>
        <v>0.39583056564329033</v>
      </c>
      <c r="S62" s="13">
        <f ca="1">IF(Prices!D61&gt;OFFSET(Prices!D61,-S$3,0),1,-1)</f>
        <v>1</v>
      </c>
      <c r="T62" s="4">
        <f ca="1">IF(S62=1,T$3*Q61/Prices!B61,-T$3*R61)</f>
        <v>5.8405571916034224E-2</v>
      </c>
      <c r="V62" s="13"/>
      <c r="W62" s="4"/>
      <c r="X62" s="4"/>
      <c r="Y62" s="4"/>
      <c r="Z62" s="4"/>
      <c r="AA62" s="4"/>
      <c r="AB62" s="4"/>
      <c r="AC62" s="4"/>
      <c r="AD62" s="4"/>
      <c r="AE62" s="52"/>
    </row>
    <row r="63" spans="1:31" x14ac:dyDescent="0.2">
      <c r="A63" s="7">
        <v>41805</v>
      </c>
      <c r="B63" s="13">
        <f ca="1">Prices!B62*(1+J63/(50*(ABS(O63)+ABS(T63)+0.0001)))</f>
        <v>1.1377809151096945</v>
      </c>
      <c r="C63" s="62">
        <f t="shared" ca="1" si="6"/>
        <v>1</v>
      </c>
      <c r="D63" s="13">
        <f ca="1">D62+C63*(Prices!B63-Prices!B62)/Prices!B62</f>
        <v>-1.6775770244850399E-2</v>
      </c>
      <c r="E63" s="13">
        <f t="shared" ca="1" si="7"/>
        <v>1.6775770244850399E-2</v>
      </c>
      <c r="F63" s="13">
        <f t="shared" ca="1" si="8"/>
        <v>0</v>
      </c>
      <c r="G63" s="21">
        <f ca="1">IF((Prices!B63-Prices!B62)*C63&gt;0,1,0)</f>
        <v>1</v>
      </c>
      <c r="H63" s="13">
        <f>ABS(Prices!B63-Prices!B62)/Prices!B62</f>
        <v>6.3648588077096432E-3</v>
      </c>
      <c r="I63" s="21"/>
      <c r="J63" s="4">
        <f t="shared" ca="1" si="9"/>
        <v>7.660649524784667E-2</v>
      </c>
      <c r="K63" s="13"/>
      <c r="L63" s="13">
        <f ca="1">L62-O63*Prices!B63</f>
        <v>0.50072365828097209</v>
      </c>
      <c r="M63" s="4">
        <f t="shared" ca="1" si="10"/>
        <v>0.45950326690206872</v>
      </c>
      <c r="N63" s="13">
        <f ca="1">IF(Prices!B62&gt;OFFSET(Prices!B62,-$N$3,0),1,-1)</f>
        <v>1</v>
      </c>
      <c r="O63" s="4">
        <f ca="1">IF(N63=1,O$3*L62/Prices!B62,-O$3*M62)</f>
        <v>2.3633086564702234E-2</v>
      </c>
      <c r="P63" s="22"/>
      <c r="Q63" s="13">
        <f ca="1">Q62-T63*Prices!B63</f>
        <v>0.53145042527277819</v>
      </c>
      <c r="R63" s="4">
        <f t="shared" ca="1" si="11"/>
        <v>0.44880397432643476</v>
      </c>
      <c r="S63" s="13">
        <f ca="1">IF(Prices!D62&gt;OFFSET(Prices!D62,-S$3,0),1,-1)</f>
        <v>1</v>
      </c>
      <c r="T63" s="4">
        <f ca="1">IF(S63=1,T$3*Q62/Prices!B62,-T$3*R62)</f>
        <v>5.2973408683144436E-2</v>
      </c>
      <c r="V63" s="13"/>
      <c r="W63" s="4"/>
      <c r="X63" s="4"/>
      <c r="Y63" s="4"/>
      <c r="Z63" s="4"/>
      <c r="AA63" s="4"/>
      <c r="AB63" s="4"/>
      <c r="AC63" s="4"/>
      <c r="AD63" s="4"/>
      <c r="AE63" s="52"/>
    </row>
    <row r="64" spans="1:31" x14ac:dyDescent="0.2">
      <c r="A64" s="7">
        <v>41812</v>
      </c>
      <c r="B64" s="13">
        <f ca="1">Prices!B63*(1+J64/(50*(ABS(O64)+ABS(T64)+0.0001)))</f>
        <v>1.1450198075192874</v>
      </c>
      <c r="C64" s="62">
        <f t="shared" ca="1" si="6"/>
        <v>1</v>
      </c>
      <c r="D64" s="13">
        <f ca="1">D63+C64*(Prices!B64-Prices!B63)/Prices!B63</f>
        <v>-1.5974059929511095E-2</v>
      </c>
      <c r="E64" s="13">
        <f t="shared" ca="1" si="7"/>
        <v>1.5974059929511095E-2</v>
      </c>
      <c r="F64" s="13">
        <f t="shared" ca="1" si="8"/>
        <v>0</v>
      </c>
      <c r="G64" s="21">
        <f ca="1">IF((Prices!B64-Prices!B63)*C64&gt;0,1,0)</f>
        <v>1</v>
      </c>
      <c r="H64" s="13">
        <f>ABS(Prices!B64-Prices!B63)/Prices!B63</f>
        <v>8.0171031533930238E-4</v>
      </c>
      <c r="I64" s="21"/>
      <c r="J64" s="4">
        <f t="shared" ca="1" si="9"/>
        <v>6.9642994335762001E-2</v>
      </c>
      <c r="K64" s="13"/>
      <c r="L64" s="13">
        <f ca="1">L63-O64*Prices!B64</f>
        <v>0.4756674036008246</v>
      </c>
      <c r="M64" s="4">
        <f t="shared" ca="1" si="10"/>
        <v>0.48180522923419822</v>
      </c>
      <c r="N64" s="13">
        <f ca="1">IF(Prices!B63&gt;OFFSET(Prices!B63,-$N$3,0),1,-1)</f>
        <v>1</v>
      </c>
      <c r="O64" s="4">
        <f ca="1">IF(N64=1,O$3*L63/Prices!B63,-O$3*M63)</f>
        <v>2.2301962332129523E-2</v>
      </c>
      <c r="P64" s="22"/>
      <c r="Q64" s="13">
        <f ca="1">Q63-T64*Prices!B64</f>
        <v>0.47826277581669707</v>
      </c>
      <c r="R64" s="4">
        <f t="shared" ca="1" si="11"/>
        <v>0.49614500633006725</v>
      </c>
      <c r="S64" s="13">
        <f ca="1">IF(Prices!D63&gt;OFFSET(Prices!D63,-S$3,0),1,-1)</f>
        <v>1</v>
      </c>
      <c r="T64" s="4">
        <f ca="1">IF(S64=1,T$3*Q63/Prices!B63,-T$3*R63)</f>
        <v>4.7341032003632481E-2</v>
      </c>
      <c r="V64" s="13"/>
      <c r="W64" s="4"/>
      <c r="X64" s="4"/>
      <c r="Y64" s="4"/>
      <c r="Z64" s="4"/>
      <c r="AA64" s="4"/>
      <c r="AB64" s="4"/>
      <c r="AC64" s="4"/>
      <c r="AD64" s="4"/>
      <c r="AE64" s="52"/>
    </row>
    <row r="65" spans="1:31" x14ac:dyDescent="0.2">
      <c r="A65" s="7">
        <v>41819</v>
      </c>
      <c r="B65" s="13">
        <f ca="1">Prices!B64*(1+J65/(50*(ABS(O65)+ABS(T65)+0.0001)))</f>
        <v>1.1297196215750409</v>
      </c>
      <c r="C65" s="62">
        <f t="shared" ca="1" si="6"/>
        <v>1</v>
      </c>
      <c r="D65" s="13">
        <f ca="1">D64+C65*(Prices!B65-Prices!B64)/Prices!B64</f>
        <v>-1.9000317161375669E-2</v>
      </c>
      <c r="E65" s="13">
        <f t="shared" ca="1" si="7"/>
        <v>1.9000317161375669E-2</v>
      </c>
      <c r="F65" s="13">
        <f t="shared" ca="1" si="8"/>
        <v>0</v>
      </c>
      <c r="G65" s="21">
        <f ca="1">IF((Prices!B65-Prices!B64)*C65&gt;0,1,0)</f>
        <v>0</v>
      </c>
      <c r="H65" s="13">
        <f>ABS(Prices!B65-Prices!B64)/Prices!B64</f>
        <v>3.0262572318645732E-3</v>
      </c>
      <c r="I65" s="21"/>
      <c r="J65" s="4">
        <f t="shared" ca="1" si="9"/>
        <v>1.8478743951436252E-2</v>
      </c>
      <c r="K65" s="13"/>
      <c r="L65" s="13">
        <f ca="1">L64-O65*Prices!B65</f>
        <v>0.50265090546408586</v>
      </c>
      <c r="M65" s="4">
        <f t="shared" ca="1" si="10"/>
        <v>0.45771496777248832</v>
      </c>
      <c r="N65" s="13">
        <f ca="1">IF(Prices!B64&gt;OFFSET(Prices!B64,-$N$3,0),1,-1)</f>
        <v>-1</v>
      </c>
      <c r="O65" s="4">
        <f ca="1">IF(N65=1,O$3*L64/Prices!B64,-O$3*M64)</f>
        <v>-2.4090261461709912E-2</v>
      </c>
      <c r="P65" s="22"/>
      <c r="Q65" s="13">
        <f ca="1">Q64-T65*Prices!B65</f>
        <v>0.43058123285343203</v>
      </c>
      <c r="R65" s="4">
        <f t="shared" ca="1" si="11"/>
        <v>0.53871401174321343</v>
      </c>
      <c r="S65" s="13">
        <f ca="1">IF(Prices!D64&gt;OFFSET(Prices!D64,-S$3,0),1,-1)</f>
        <v>1</v>
      </c>
      <c r="T65" s="4">
        <f ca="1">IF(S65=1,T$3*Q64/Prices!B64,-T$3*R64)</f>
        <v>4.2569005413146163E-2</v>
      </c>
      <c r="V65" s="13"/>
      <c r="W65" s="4"/>
      <c r="X65" s="4"/>
      <c r="Y65" s="4"/>
      <c r="Z65" s="4"/>
      <c r="AA65" s="4"/>
      <c r="AB65" s="4"/>
      <c r="AC65" s="4"/>
      <c r="AD65" s="4"/>
      <c r="AE65" s="52"/>
    </row>
    <row r="66" spans="1:31" x14ac:dyDescent="0.2">
      <c r="A66" s="7">
        <v>41826</v>
      </c>
      <c r="B66" s="13">
        <f ca="1">Prices!B65*(1+J66/(50*(ABS(O66)+ABS(T66)+0.0001)))</f>
        <v>1.1424652628167307</v>
      </c>
      <c r="C66" s="62">
        <f t="shared" ca="1" si="6"/>
        <v>1</v>
      </c>
      <c r="D66" s="13">
        <f ca="1">D65+C66*(Prices!B66-Prices!B65)/Prices!B65</f>
        <v>-3.9444920321807894E-2</v>
      </c>
      <c r="E66" s="13">
        <f t="shared" ca="1" si="7"/>
        <v>3.9444920321807894E-2</v>
      </c>
      <c r="F66" s="13">
        <f t="shared" ca="1" si="8"/>
        <v>0</v>
      </c>
      <c r="G66" s="21">
        <f ca="1">IF((Prices!B66-Prices!B65)*C66&gt;0,1,0)</f>
        <v>0</v>
      </c>
      <c r="H66" s="13">
        <f>ABS(Prices!B66-Prices!B65)/Prices!B65</f>
        <v>2.0444603160432229E-2</v>
      </c>
      <c r="I66" s="21"/>
      <c r="J66" s="4">
        <f t="shared" ca="1" si="9"/>
        <v>6.0879089865679401E-2</v>
      </c>
      <c r="K66" s="13"/>
      <c r="L66" s="13">
        <f ca="1">L65-O66*Prices!B66</f>
        <v>0.4780321851054038</v>
      </c>
      <c r="M66" s="4">
        <f t="shared" ca="1" si="10"/>
        <v>0.4801527369655999</v>
      </c>
      <c r="N66" s="13">
        <f ca="1">IF(Prices!B65&gt;OFFSET(Prices!B65,-$N$3,0),1,-1)</f>
        <v>1</v>
      </c>
      <c r="O66" s="4">
        <f ca="1">IF(N66=1,O$3*L65/Prices!B65,-O$3*M65)</f>
        <v>2.2437769193111592E-2</v>
      </c>
      <c r="P66" s="22"/>
      <c r="Q66" s="13">
        <f ca="1">Q65-T66*Prices!B66</f>
        <v>0.38840341581149063</v>
      </c>
      <c r="R66" s="4">
        <f t="shared" ca="1" si="11"/>
        <v>0.57715533241578121</v>
      </c>
      <c r="S66" s="13">
        <f ca="1">IF(Prices!D65&gt;OFFSET(Prices!D65,-S$3,0),1,-1)</f>
        <v>1</v>
      </c>
      <c r="T66" s="4">
        <f ca="1">IF(S66=1,T$3*Q65/Prices!B65,-T$3*R65)</f>
        <v>3.8441320672567808E-2</v>
      </c>
      <c r="V66" s="13"/>
      <c r="W66" s="4"/>
      <c r="X66" s="4"/>
      <c r="Y66" s="4"/>
      <c r="Z66" s="4"/>
      <c r="AA66" s="4"/>
      <c r="AB66" s="4"/>
      <c r="AC66" s="4"/>
      <c r="AD66" s="4"/>
      <c r="AE66" s="52"/>
    </row>
    <row r="67" spans="1:31" x14ac:dyDescent="0.2">
      <c r="A67" s="7">
        <v>41833</v>
      </c>
      <c r="B67" s="13">
        <f ca="1">Prices!B66*(1+J67/(50*(ABS(O67)+ABS(T67)+0.0001)))</f>
        <v>1.1014008945965708</v>
      </c>
      <c r="C67" s="62">
        <f t="shared" ca="1" si="6"/>
        <v>1</v>
      </c>
      <c r="D67" s="13">
        <f ca="1">D66+C67*(Prices!B67-Prices!B66)/Prices!B66</f>
        <v>-4.7465335925161813E-2</v>
      </c>
      <c r="E67" s="13">
        <f t="shared" ca="1" si="7"/>
        <v>4.7465335925161813E-2</v>
      </c>
      <c r="F67" s="13">
        <f t="shared" ca="1" si="8"/>
        <v>0</v>
      </c>
      <c r="G67" s="21">
        <f ca="1">IF((Prices!B67-Prices!B66)*C67&gt;0,1,0)</f>
        <v>0</v>
      </c>
      <c r="H67" s="13">
        <f>ABS(Prices!B67-Prices!B66)/Prices!B66</f>
        <v>8.0204156033539184E-3</v>
      </c>
      <c r="I67" s="21"/>
      <c r="J67" s="4">
        <f t="shared" ca="1" si="9"/>
        <v>1.1391872430929869E-2</v>
      </c>
      <c r="K67" s="13"/>
      <c r="L67" s="13">
        <f ca="1">L66-O67*Prices!B67</f>
        <v>0.50416209705107173</v>
      </c>
      <c r="M67" s="4">
        <f t="shared" ca="1" si="10"/>
        <v>0.4561451001173199</v>
      </c>
      <c r="N67" s="13">
        <f ca="1">IF(Prices!B66&gt;OFFSET(Prices!B66,-$N$3,0),1,-1)</f>
        <v>-1</v>
      </c>
      <c r="O67" s="4">
        <f ca="1">IF(N67=1,O$3*L66/Prices!B66,-O$3*M66)</f>
        <v>-2.4007636848279997E-2</v>
      </c>
      <c r="P67" s="22"/>
      <c r="Q67" s="13">
        <f ca="1">Q66-T67*Prices!B67</f>
        <v>0.3498745899119986</v>
      </c>
      <c r="R67" s="4">
        <f t="shared" ca="1" si="11"/>
        <v>0.61255484169499108</v>
      </c>
      <c r="S67" s="13">
        <f ca="1">IF(Prices!D66&gt;OFFSET(Prices!D66,-S$3,0),1,-1)</f>
        <v>1</v>
      </c>
      <c r="T67" s="4">
        <f ca="1">IF(S67=1,T$3*Q66/Prices!B66,-T$3*R66)</f>
        <v>3.5399509279209866E-2</v>
      </c>
      <c r="V67" s="13"/>
      <c r="W67" s="4"/>
      <c r="X67" s="4"/>
      <c r="Y67" s="4"/>
      <c r="Z67" s="4"/>
      <c r="AA67" s="4"/>
      <c r="AB67" s="4"/>
      <c r="AC67" s="4"/>
      <c r="AD67" s="4"/>
      <c r="AE67" s="52"/>
    </row>
    <row r="68" spans="1:31" x14ac:dyDescent="0.2">
      <c r="A68" s="7">
        <v>41840</v>
      </c>
      <c r="B68" s="13">
        <f ca="1">Prices!B67*(1+J68/(50*(ABS(O68)+ABS(T68)+0.0001)))</f>
        <v>1.066657864177204</v>
      </c>
      <c r="C68" s="62">
        <f t="shared" ca="1" si="6"/>
        <v>0</v>
      </c>
      <c r="D68" s="13">
        <f ca="1">D67+C68*(Prices!B68-Prices!B67)/Prices!B67</f>
        <v>-4.7465335925161813E-2</v>
      </c>
      <c r="E68" s="13">
        <f t="shared" ca="1" si="7"/>
        <v>4.7465335925161813E-2</v>
      </c>
      <c r="F68" s="13">
        <f t="shared" ca="1" si="8"/>
        <v>0</v>
      </c>
      <c r="G68" s="21">
        <f ca="1">IF((Prices!B68-Prices!B67)*C68&gt;0,1,0)</f>
        <v>0</v>
      </c>
      <c r="H68" s="13">
        <f>ABS(Prices!B68-Prices!B67)/Prices!B67</f>
        <v>9.279676589489156E-3</v>
      </c>
      <c r="I68" s="21"/>
      <c r="J68" s="4">
        <f t="shared" ca="1" si="9"/>
        <v>-8.4062739175365109E-2</v>
      </c>
      <c r="K68" s="13"/>
      <c r="L68" s="13">
        <f ca="1">L67-O68*Prices!B68</f>
        <v>0.52921586667501552</v>
      </c>
      <c r="M68" s="4">
        <f t="shared" ca="1" si="10"/>
        <v>0.4333378451114539</v>
      </c>
      <c r="N68" s="13">
        <f ca="1">IF(Prices!B67&gt;OFFSET(Prices!B67,-$N$3,0),1,-1)</f>
        <v>-1</v>
      </c>
      <c r="O68" s="4">
        <f ca="1">IF(N68=1,O$3*L67/Prices!B67,-O$3*M67)</f>
        <v>-2.2807255005865997E-2</v>
      </c>
      <c r="P68" s="22"/>
      <c r="Q68" s="13">
        <f ca="1">Q67-T68*Prices!B68</f>
        <v>0.41716373927219336</v>
      </c>
      <c r="R68" s="4">
        <f t="shared" ca="1" si="11"/>
        <v>0.55129935752549197</v>
      </c>
      <c r="S68" s="13">
        <f ca="1">IF(Prices!D67&gt;OFFSET(Prices!D67,-S$3,0),1,-1)</f>
        <v>-1</v>
      </c>
      <c r="T68" s="4">
        <f ca="1">IF(S68=1,T$3*Q67/Prices!B67,-T$3*R67)</f>
        <v>-6.1255484169499108E-2</v>
      </c>
      <c r="V68" s="13"/>
      <c r="W68" s="4"/>
      <c r="X68" s="4"/>
      <c r="Y68" s="4"/>
      <c r="Z68" s="4"/>
      <c r="AA68" s="4"/>
      <c r="AB68" s="4"/>
      <c r="AC68" s="4"/>
      <c r="AD68" s="4"/>
      <c r="AE68" s="52"/>
    </row>
    <row r="69" spans="1:31" x14ac:dyDescent="0.2">
      <c r="A69" s="7">
        <v>41847</v>
      </c>
      <c r="B69" s="13">
        <f ca="1">Prices!B68*(1+J69/(50*(ABS(O69)+ABS(T69)+0.0001)))</f>
        <v>1.0765585707493652</v>
      </c>
      <c r="C69" s="62">
        <f t="shared" ca="1" si="6"/>
        <v>0</v>
      </c>
      <c r="D69" s="13">
        <f ca="1">D68+C69*(Prices!B69-Prices!B68)/Prices!B68</f>
        <v>-4.7465335925161813E-2</v>
      </c>
      <c r="E69" s="13">
        <f t="shared" ca="1" si="7"/>
        <v>4.7465335925161813E-2</v>
      </c>
      <c r="F69" s="13">
        <f t="shared" ca="1" si="8"/>
        <v>0</v>
      </c>
      <c r="G69" s="21">
        <f ca="1">IF((Prices!B69-Prices!B68)*C69&gt;0,1,0)</f>
        <v>0</v>
      </c>
      <c r="H69" s="13">
        <f>ABS(Prices!B69-Prices!B68)/Prices!B68</f>
        <v>1.4201183431952716E-2</v>
      </c>
      <c r="I69" s="21"/>
      <c r="J69" s="4">
        <f t="shared" ca="1" si="9"/>
        <v>-7.6796828008121903E-2</v>
      </c>
      <c r="K69" s="13"/>
      <c r="L69" s="13">
        <f ca="1">L68-O69*Prices!B69</f>
        <v>0.55335495133694912</v>
      </c>
      <c r="M69" s="4">
        <f t="shared" ca="1" si="10"/>
        <v>0.41167095285588118</v>
      </c>
      <c r="N69" s="13">
        <f ca="1">IF(Prices!B68&gt;OFFSET(Prices!B68,-$N$3,0),1,-1)</f>
        <v>-1</v>
      </c>
      <c r="O69" s="4">
        <f ca="1">IF(N69=1,O$3*L68/Prices!B68,-O$3*M68)</f>
        <v>-2.1666892255572695E-2</v>
      </c>
      <c r="P69" s="22"/>
      <c r="Q69" s="13">
        <f ca="1">Q68-T69*Prices!B69</f>
        <v>0.47858400069410845</v>
      </c>
      <c r="R69" s="4">
        <f t="shared" ca="1" si="11"/>
        <v>0.49616942177294276</v>
      </c>
      <c r="S69" s="13">
        <f ca="1">IF(Prices!D68&gt;OFFSET(Prices!D68,-S$3,0),1,-1)</f>
        <v>-1</v>
      </c>
      <c r="T69" s="4">
        <f ca="1">IF(S69=1,T$3*Q68/Prices!B68,-T$3*R68)</f>
        <v>-5.5129935752549201E-2</v>
      </c>
      <c r="V69" s="13"/>
      <c r="W69" s="4"/>
      <c r="X69" s="4"/>
      <c r="Y69" s="4"/>
      <c r="Z69" s="4"/>
      <c r="AA69" s="4"/>
      <c r="AB69" s="4"/>
      <c r="AC69" s="4"/>
      <c r="AD69" s="4"/>
      <c r="AE69" s="52"/>
    </row>
    <row r="70" spans="1:31" x14ac:dyDescent="0.2">
      <c r="A70" s="7">
        <v>41854</v>
      </c>
      <c r="B70" s="13">
        <f ca="1">Prices!B69*(1+J70/(50*(ABS(O70)+ABS(T70)+0.0001)))</f>
        <v>1.0918496953694876</v>
      </c>
      <c r="C70" s="62">
        <f t="shared" ca="1" si="6"/>
        <v>0</v>
      </c>
      <c r="D70" s="13">
        <f ca="1">D69+C70*(Prices!B70-Prices!B69)/Prices!B69</f>
        <v>-4.7465335925161813E-2</v>
      </c>
      <c r="E70" s="13">
        <f t="shared" ca="1" si="7"/>
        <v>4.7465335925161813E-2</v>
      </c>
      <c r="F70" s="13">
        <f t="shared" ca="1" si="8"/>
        <v>0</v>
      </c>
      <c r="G70" s="21">
        <f ca="1">IF((Prices!B70-Prices!B69)*C70&gt;0,1,0)</f>
        <v>0</v>
      </c>
      <c r="H70" s="13">
        <f>ABS(Prices!B70-Prices!B69)/Prices!B69</f>
        <v>2.5670945157526416E-2</v>
      </c>
      <c r="I70" s="21"/>
      <c r="J70" s="4">
        <f t="shared" ca="1" si="9"/>
        <v>-7.0200489820088335E-2</v>
      </c>
      <c r="K70" s="13"/>
      <c r="L70" s="13">
        <f ca="1">L69-O70*Prices!B70</f>
        <v>0.57569839230320208</v>
      </c>
      <c r="M70" s="4">
        <f t="shared" ca="1" si="10"/>
        <v>0.3910874052130871</v>
      </c>
      <c r="N70" s="13">
        <f ca="1">IF(Prices!B69&gt;OFFSET(Prices!B69,-$N$3,0),1,-1)</f>
        <v>-1</v>
      </c>
      <c r="O70" s="4">
        <f ca="1">IF(N70=1,O$3*L69/Prices!B69,-O$3*M69)</f>
        <v>-2.0583547642794062E-2</v>
      </c>
      <c r="P70" s="22"/>
      <c r="Q70" s="13">
        <f ca="1">Q69-T70*Prices!B70</f>
        <v>0.53244319142756136</v>
      </c>
      <c r="R70" s="4">
        <f t="shared" ca="1" si="11"/>
        <v>0.44655247959564848</v>
      </c>
      <c r="S70" s="13">
        <f ca="1">IF(Prices!D69&gt;OFFSET(Prices!D69,-S$3,0),1,-1)</f>
        <v>-1</v>
      </c>
      <c r="T70" s="4">
        <f ca="1">IF(S70=1,T$3*Q69/Prices!B69,-T$3*R69)</f>
        <v>-4.9616942177294281E-2</v>
      </c>
      <c r="V70" s="13"/>
      <c r="W70" s="4"/>
      <c r="X70" s="4"/>
      <c r="Y70" s="4"/>
      <c r="Z70" s="4"/>
      <c r="AA70" s="4"/>
      <c r="AB70" s="4"/>
      <c r="AC70" s="4"/>
      <c r="AD70" s="4"/>
      <c r="AE70" s="52"/>
    </row>
    <row r="71" spans="1:31" x14ac:dyDescent="0.2">
      <c r="A71" s="7">
        <v>41861</v>
      </c>
      <c r="B71" s="13">
        <f ca="1">Prices!B70*(1+J71/(50*(ABS(O71)+ABS(T71)+0.0001)))</f>
        <v>1.0638237585583632</v>
      </c>
      <c r="C71" s="62">
        <f t="shared" ca="1" si="6"/>
        <v>0</v>
      </c>
      <c r="D71" s="13">
        <f ca="1">D70+C71*(Prices!B71-Prices!B70)/Prices!B70</f>
        <v>-4.7465335925161813E-2</v>
      </c>
      <c r="E71" s="13">
        <f t="shared" ca="1" si="7"/>
        <v>4.7465335925161813E-2</v>
      </c>
      <c r="F71" s="13">
        <f t="shared" ca="1" si="8"/>
        <v>0</v>
      </c>
      <c r="G71" s="21">
        <f ca="1">IF((Prices!B71-Prices!B70)*C71&gt;0,1,0)</f>
        <v>0</v>
      </c>
      <c r="H71" s="13">
        <f>ABS(Prices!B71-Prices!B70)/Prices!B70</f>
        <v>2.4596959926301197E-2</v>
      </c>
      <c r="I71" s="21"/>
      <c r="J71" s="4">
        <f t="shared" ca="1" si="9"/>
        <v>-6.4209618220219214E-2</v>
      </c>
      <c r="K71" s="13"/>
      <c r="L71" s="13">
        <f ca="1">L70-O71*Prices!B71</f>
        <v>0.59640255953518295</v>
      </c>
      <c r="M71" s="4">
        <f t="shared" ca="1" si="10"/>
        <v>0.37153303495243273</v>
      </c>
      <c r="N71" s="13">
        <f ca="1">IF(Prices!B70&gt;OFFSET(Prices!B70,-$N$3,0),1,-1)</f>
        <v>-1</v>
      </c>
      <c r="O71" s="4">
        <f ca="1">IF(N71=1,O$3*L70/Prices!B70,-O$3*M70)</f>
        <v>-1.9554370260654357E-2</v>
      </c>
      <c r="P71" s="22"/>
      <c r="Q71" s="13">
        <f ca="1">Q70-T71*Prices!B71</f>
        <v>0.57972416796714865</v>
      </c>
      <c r="R71" s="4">
        <f t="shared" ca="1" si="11"/>
        <v>0.4018972316360836</v>
      </c>
      <c r="S71" s="13">
        <f ca="1">IF(Prices!D70&gt;OFFSET(Prices!D70,-S$3,0),1,-1)</f>
        <v>-1</v>
      </c>
      <c r="T71" s="4">
        <f ca="1">IF(S71=1,T$3*Q70/Prices!B70,-T$3*R70)</f>
        <v>-4.4655247959564853E-2</v>
      </c>
      <c r="V71" s="13"/>
      <c r="W71" s="4"/>
      <c r="X71" s="4"/>
      <c r="Y71" s="4"/>
      <c r="Z71" s="4"/>
      <c r="AA71" s="4"/>
      <c r="AB71" s="4"/>
      <c r="AC71" s="4"/>
      <c r="AD71" s="4"/>
      <c r="AE71" s="52"/>
    </row>
    <row r="72" spans="1:31" x14ac:dyDescent="0.2">
      <c r="A72" s="7">
        <v>41868</v>
      </c>
      <c r="B72" s="13">
        <f ca="1">Prices!B71*(1+J72/(50*(ABS(O72)+ABS(T72)+0.0001)))</f>
        <v>1.0376599729982217</v>
      </c>
      <c r="C72" s="62">
        <f t="shared" ca="1" si="6"/>
        <v>0</v>
      </c>
      <c r="D72" s="13">
        <f ca="1">D71+C72*(Prices!B72-Prices!B71)/Prices!B71</f>
        <v>-4.7465335925161813E-2</v>
      </c>
      <c r="E72" s="13">
        <f t="shared" ca="1" si="7"/>
        <v>4.7465335925161813E-2</v>
      </c>
      <c r="F72" s="13">
        <f t="shared" ca="1" si="8"/>
        <v>0</v>
      </c>
      <c r="G72" s="21">
        <f ca="1">IF((Prices!B72-Prices!B71)*C72&gt;0,1,0)</f>
        <v>0</v>
      </c>
      <c r="H72" s="13">
        <f>ABS(Prices!B72-Prices!B71)/Prices!B71</f>
        <v>9.4446543256506414E-5</v>
      </c>
      <c r="I72" s="21"/>
      <c r="J72" s="4">
        <f t="shared" ca="1" si="9"/>
        <v>-5.8766374911229997E-2</v>
      </c>
      <c r="K72" s="13"/>
      <c r="L72" s="13">
        <f ca="1">L71-O72*Prices!B72</f>
        <v>0.61607337607073953</v>
      </c>
      <c r="M72" s="4">
        <f t="shared" ca="1" si="10"/>
        <v>0.3529563832048111</v>
      </c>
      <c r="N72" s="13">
        <f ca="1">IF(Prices!B71&gt;OFFSET(Prices!B71,-$N$3,0),1,-1)</f>
        <v>-1</v>
      </c>
      <c r="O72" s="4">
        <f ca="1">IF(N72=1,O$3*L71/Prices!B71,-O$3*M71)</f>
        <v>-1.8576651747621638E-2</v>
      </c>
      <c r="P72" s="22"/>
      <c r="Q72" s="13">
        <f ca="1">Q71-T72*Prices!B72</f>
        <v>0.62228106582509357</v>
      </c>
      <c r="R72" s="4">
        <f t="shared" ca="1" si="11"/>
        <v>0.36170750847247524</v>
      </c>
      <c r="S72" s="13">
        <f ca="1">IF(Prices!D71&gt;OFFSET(Prices!D71,-S$3,0),1,-1)</f>
        <v>-1</v>
      </c>
      <c r="T72" s="4">
        <f ca="1">IF(S72=1,T$3*Q71/Prices!B71,-T$3*R71)</f>
        <v>-4.018972316360836E-2</v>
      </c>
      <c r="V72" s="13"/>
      <c r="W72" s="4"/>
      <c r="X72" s="4"/>
      <c r="Y72" s="4"/>
      <c r="Z72" s="4"/>
      <c r="AA72" s="4"/>
      <c r="AB72" s="4"/>
      <c r="AC72" s="4"/>
      <c r="AD72" s="4"/>
      <c r="AE72" s="52"/>
    </row>
    <row r="73" spans="1:31" x14ac:dyDescent="0.2">
      <c r="A73" s="7">
        <v>41875</v>
      </c>
      <c r="B73" s="13">
        <f ca="1">Prices!B72*(1+J73/(50*(ABS(O73)+ABS(T73)+0.0001)))</f>
        <v>1.0377612777479022</v>
      </c>
      <c r="C73" s="62">
        <f t="shared" ca="1" si="6"/>
        <v>0</v>
      </c>
      <c r="D73" s="13">
        <f ca="1">D72+C73*(Prices!B73-Prices!B72)/Prices!B72</f>
        <v>-4.7465335925161813E-2</v>
      </c>
      <c r="E73" s="13">
        <f t="shared" ca="1" si="7"/>
        <v>4.7465335925161813E-2</v>
      </c>
      <c r="F73" s="13">
        <f t="shared" ca="1" si="8"/>
        <v>0</v>
      </c>
      <c r="G73" s="21">
        <f ca="1">IF((Prices!B73-Prices!B72)*C73&gt;0,1,0)</f>
        <v>0</v>
      </c>
      <c r="H73" s="13">
        <f>ABS(Prices!B73-Prices!B72)/Prices!B72</f>
        <v>7.0828217962036668E-3</v>
      </c>
      <c r="I73" s="21"/>
      <c r="J73" s="4">
        <f t="shared" ca="1" si="9"/>
        <v>-5.3818570007488076E-2</v>
      </c>
      <c r="K73" s="13"/>
      <c r="L73" s="13">
        <f ca="1">L72-O73*Prices!B73</f>
        <v>0.63489301042322011</v>
      </c>
      <c r="M73" s="4">
        <f t="shared" ca="1" si="10"/>
        <v>0.33530856404457055</v>
      </c>
      <c r="N73" s="13">
        <f ca="1">IF(Prices!B72&gt;OFFSET(Prices!B72,-$N$3,0),1,-1)</f>
        <v>-1</v>
      </c>
      <c r="O73" s="4">
        <f ca="1">IF(N73=1,O$3*L72/Prices!B72,-O$3*M72)</f>
        <v>-1.7647819160240556E-2</v>
      </c>
      <c r="P73" s="22"/>
      <c r="Q73" s="13">
        <f ca="1">Q72-T73*Prices!B73</f>
        <v>0.66085355452859829</v>
      </c>
      <c r="R73" s="4">
        <f t="shared" ca="1" si="11"/>
        <v>0.32553675762522771</v>
      </c>
      <c r="S73" s="13">
        <f ca="1">IF(Prices!D72&gt;OFFSET(Prices!D72,-S$3,0),1,-1)</f>
        <v>-1</v>
      </c>
      <c r="T73" s="4">
        <f ca="1">IF(S73=1,T$3*Q72/Prices!B72,-T$3*R72)</f>
        <v>-3.6170750847247524E-2</v>
      </c>
      <c r="V73" s="13"/>
      <c r="W73" s="4"/>
      <c r="X73" s="4"/>
      <c r="Y73" s="4"/>
      <c r="Z73" s="4"/>
      <c r="AA73" s="4"/>
      <c r="AB73" s="4"/>
      <c r="AC73" s="4"/>
      <c r="AD73" s="4"/>
      <c r="AE73" s="52"/>
    </row>
    <row r="74" spans="1:31" x14ac:dyDescent="0.2">
      <c r="A74" s="7">
        <v>41882</v>
      </c>
      <c r="B74" s="13">
        <f ca="1">Prices!B73*(1+J74/(50*(ABS(O74)+ABS(T74)+0.0001)))</f>
        <v>1.0451151573992421</v>
      </c>
      <c r="C74" s="62">
        <f t="shared" ca="1" si="6"/>
        <v>0</v>
      </c>
      <c r="D74" s="13">
        <f ca="1">D73+C74*(Prices!B74-Prices!B73)/Prices!B73</f>
        <v>-4.7465335925161813E-2</v>
      </c>
      <c r="E74" s="13">
        <f t="shared" ca="1" si="7"/>
        <v>4.7465335925161813E-2</v>
      </c>
      <c r="F74" s="13">
        <f t="shared" ca="1" si="8"/>
        <v>0</v>
      </c>
      <c r="G74" s="21">
        <f ca="1">IF((Prices!B74-Prices!B73)*C74&gt;0,1,0)</f>
        <v>0</v>
      </c>
      <c r="H74" s="13">
        <f>ABS(Prices!B74-Prices!B73)/Prices!B73</f>
        <v>9.6586646661665186E-3</v>
      </c>
      <c r="I74" s="21"/>
      <c r="J74" s="4">
        <f t="shared" ca="1" si="9"/>
        <v>-4.9319103964751296E-2</v>
      </c>
      <c r="K74" s="13"/>
      <c r="L74" s="13">
        <f ca="1">L73-O74*Prices!B74</f>
        <v>0.65259897914759368</v>
      </c>
      <c r="M74" s="4">
        <f t="shared" ca="1" si="10"/>
        <v>0.31854313584234201</v>
      </c>
      <c r="N74" s="13">
        <f ca="1">IF(Prices!B73&gt;OFFSET(Prices!B73,-$N$3,0),1,-1)</f>
        <v>-1</v>
      </c>
      <c r="O74" s="4">
        <f ca="1">IF(N74=1,O$3*L73/Prices!B73,-O$3*M73)</f>
        <v>-1.6765428202228528E-2</v>
      </c>
      <c r="P74" s="22"/>
      <c r="Q74" s="13">
        <f ca="1">Q73-T74*Prices!B74</f>
        <v>0.69523349150139857</v>
      </c>
      <c r="R74" s="4">
        <f t="shared" ca="1" si="11"/>
        <v>0.29298308186270494</v>
      </c>
      <c r="S74" s="13">
        <f ca="1">IF(Prices!D73&gt;OFFSET(Prices!D73,-S$3,0),1,-1)</f>
        <v>-1</v>
      </c>
      <c r="T74" s="4">
        <f ca="1">IF(S74=1,T$3*Q73/Prices!B73,-T$3*R73)</f>
        <v>-3.2553675762522771E-2</v>
      </c>
      <c r="V74" s="13"/>
      <c r="W74" s="4"/>
      <c r="X74" s="4"/>
      <c r="Y74" s="4"/>
      <c r="Z74" s="4"/>
      <c r="AA74" s="4"/>
      <c r="AB74" s="4"/>
      <c r="AC74" s="4"/>
      <c r="AD74" s="4"/>
      <c r="AE74" s="52"/>
    </row>
    <row r="75" spans="1:31" x14ac:dyDescent="0.2">
      <c r="A75" s="7">
        <v>41889</v>
      </c>
      <c r="B75" s="13">
        <f ca="1">Prices!B74*(1+J75/(50*(ABS(O75)+ABS(T75)+0.0001)))</f>
        <v>1.0350246007353925</v>
      </c>
      <c r="C75" s="62">
        <f t="shared" ca="1" si="6"/>
        <v>0</v>
      </c>
      <c r="D75" s="13">
        <f ca="1">D74+C75*(Prices!B75-Prices!B74)/Prices!B74</f>
        <v>-4.7465335925161813E-2</v>
      </c>
      <c r="E75" s="13">
        <f t="shared" ca="1" si="7"/>
        <v>4.7465335925161813E-2</v>
      </c>
      <c r="F75" s="13">
        <f t="shared" ca="1" si="8"/>
        <v>0</v>
      </c>
      <c r="G75" s="21">
        <f ca="1">IF((Prices!B75-Prices!B74)*C75&gt;0,1,0)</f>
        <v>0</v>
      </c>
      <c r="H75" s="13">
        <f>ABS(Prices!B75-Prices!B74)/Prices!B74</f>
        <v>1.0415680333301884E-2</v>
      </c>
      <c r="I75" s="21"/>
      <c r="J75" s="4">
        <f t="shared" ca="1" si="9"/>
        <v>-4.52254649783876E-2</v>
      </c>
      <c r="K75" s="13"/>
      <c r="L75" s="13">
        <f ca="1">L74-O75*Prices!B75</f>
        <v>0.66924445071103522</v>
      </c>
      <c r="M75" s="4">
        <f t="shared" ca="1" si="10"/>
        <v>0.30261597905022491</v>
      </c>
      <c r="N75" s="13">
        <f ca="1">IF(Prices!B74&gt;OFFSET(Prices!B74,-$N$3,0),1,-1)</f>
        <v>-1</v>
      </c>
      <c r="O75" s="4">
        <f ca="1">IF(N75=1,O$3*L74/Prices!B74,-O$3*M74)</f>
        <v>-1.5927156792117102E-2</v>
      </c>
      <c r="P75" s="22"/>
      <c r="Q75" s="13">
        <f ca="1">Q74-T75*Prices!B75</f>
        <v>0.72585315338686984</v>
      </c>
      <c r="R75" s="4">
        <f t="shared" ca="1" si="11"/>
        <v>0.26368477367643445</v>
      </c>
      <c r="S75" s="13">
        <f ca="1">IF(Prices!D74&gt;OFFSET(Prices!D74,-S$3,0),1,-1)</f>
        <v>-1</v>
      </c>
      <c r="T75" s="4">
        <f ca="1">IF(S75=1,T$3*Q74/Prices!B74,-T$3*R74)</f>
        <v>-2.9298308186270494E-2</v>
      </c>
      <c r="V75" s="13"/>
      <c r="W75" s="4"/>
      <c r="X75" s="4"/>
      <c r="Y75" s="4"/>
      <c r="Z75" s="4"/>
      <c r="AA75" s="4"/>
      <c r="AB75" s="4"/>
      <c r="AC75" s="4"/>
      <c r="AD75" s="4"/>
      <c r="AE75" s="52"/>
    </row>
    <row r="76" spans="1:31" x14ac:dyDescent="0.2">
      <c r="A76" s="7">
        <v>41896</v>
      </c>
      <c r="B76" s="13">
        <f ca="1">Prices!B75*(1+J76/(50*(ABS(O76)+ABS(T76)+0.0001)))</f>
        <v>1.0242482460663958</v>
      </c>
      <c r="C76" s="62">
        <f t="shared" ca="1" si="6"/>
        <v>0</v>
      </c>
      <c r="D76" s="13">
        <f ca="1">D75+C76*(Prices!B76-Prices!B75)/Prices!B75</f>
        <v>-4.7465335925161813E-2</v>
      </c>
      <c r="E76" s="13">
        <f t="shared" ca="1" si="7"/>
        <v>4.7465335925161813E-2</v>
      </c>
      <c r="F76" s="13">
        <f t="shared" ca="1" si="8"/>
        <v>0</v>
      </c>
      <c r="G76" s="21">
        <f ca="1">IF((Prices!B76-Prices!B75)*C76&gt;0,1,0)</f>
        <v>0</v>
      </c>
      <c r="H76" s="13">
        <f>ABS(Prices!B76-Prices!B75)/Prices!B75</f>
        <v>4.7842311740519284E-4</v>
      </c>
      <c r="I76" s="21"/>
      <c r="J76" s="4">
        <f t="shared" ca="1" si="9"/>
        <v>-4.1499276320154689E-2</v>
      </c>
      <c r="K76" s="13"/>
      <c r="L76" s="13">
        <f ca="1">L75-O76*Prices!B76</f>
        <v>0.68506521409578103</v>
      </c>
      <c r="M76" s="4">
        <f t="shared" ca="1" si="10"/>
        <v>0.28748518009771368</v>
      </c>
      <c r="N76" s="13">
        <f ca="1">IF(Prices!B75&gt;OFFSET(Prices!B75,-$N$3,0),1,-1)</f>
        <v>-1</v>
      </c>
      <c r="O76" s="4">
        <f ca="1">IF(N76=1,O$3*L75/Prices!B75,-O$3*M75)</f>
        <v>-1.5130798952511246E-2</v>
      </c>
      <c r="P76" s="22"/>
      <c r="Q76" s="13">
        <f ca="1">Q75-T76*Prices!B76</f>
        <v>0.75342403332247787</v>
      </c>
      <c r="R76" s="4">
        <f t="shared" ca="1" si="11"/>
        <v>0.237316296308791</v>
      </c>
      <c r="S76" s="13">
        <f ca="1">IF(Prices!D75&gt;OFFSET(Prices!D75,-S$3,0),1,-1)</f>
        <v>-1</v>
      </c>
      <c r="T76" s="4">
        <f ca="1">IF(S76=1,T$3*Q75/Prices!B75,-T$3*R75)</f>
        <v>-2.6368477367643445E-2</v>
      </c>
      <c r="V76" s="13"/>
      <c r="W76" s="4"/>
      <c r="X76" s="4"/>
      <c r="Y76" s="4"/>
      <c r="Z76" s="4"/>
      <c r="AA76" s="4"/>
      <c r="AB76" s="4"/>
      <c r="AC76" s="4"/>
      <c r="AD76" s="4"/>
      <c r="AE76" s="52"/>
    </row>
    <row r="77" spans="1:31" x14ac:dyDescent="0.2">
      <c r="A77" s="7">
        <v>41903</v>
      </c>
      <c r="B77" s="13">
        <f ca="1">Prices!B76*(1+J77/(50*(ABS(O77)+ABS(T77)+0.0001)))</f>
        <v>1.024742735017943</v>
      </c>
      <c r="C77" s="62">
        <f t="shared" ca="1" si="6"/>
        <v>0</v>
      </c>
      <c r="D77" s="13">
        <f ca="1">D76+C77*(Prices!B77-Prices!B76)/Prices!B76</f>
        <v>-4.7465335925161813E-2</v>
      </c>
      <c r="E77" s="13">
        <f t="shared" ca="1" si="7"/>
        <v>4.7465335925161813E-2</v>
      </c>
      <c r="F77" s="13">
        <f t="shared" ca="1" si="8"/>
        <v>0</v>
      </c>
      <c r="G77" s="21">
        <f ca="1">IF((Prices!B77-Prices!B76)*C77&gt;0,1,0)</f>
        <v>0</v>
      </c>
      <c r="H77" s="13">
        <f>ABS(Prices!B77-Prices!B76)/Prices!B76</f>
        <v>5.8339709257842331E-3</v>
      </c>
      <c r="I77" s="21"/>
      <c r="J77" s="4">
        <f t="shared" ca="1" si="9"/>
        <v>-3.8105888635764786E-2</v>
      </c>
      <c r="K77" s="13"/>
      <c r="L77" s="13">
        <f ca="1">L76-O77*Prices!B77</f>
        <v>0.7001826222912193</v>
      </c>
      <c r="M77" s="4">
        <f t="shared" ca="1" si="10"/>
        <v>0.27311092109282797</v>
      </c>
      <c r="N77" s="13">
        <f ca="1">IF(Prices!B76&gt;OFFSET(Prices!B76,-$N$3,0),1,-1)</f>
        <v>-1</v>
      </c>
      <c r="O77" s="4">
        <f ca="1">IF(N77=1,O$3*L76/Prices!B76,-O$3*M76)</f>
        <v>-1.4374259004885684E-2</v>
      </c>
      <c r="P77" s="22"/>
      <c r="Q77" s="13">
        <f ca="1">Q76-T77*Prices!B77</f>
        <v>0.7783825882052734</v>
      </c>
      <c r="R77" s="4">
        <f t="shared" ca="1" si="11"/>
        <v>0.2135846666779119</v>
      </c>
      <c r="S77" s="13">
        <f ca="1">IF(Prices!D76&gt;OFFSET(Prices!D76,-S$3,0),1,-1)</f>
        <v>-1</v>
      </c>
      <c r="T77" s="4">
        <f ca="1">IF(S77=1,T$3*Q76/Prices!B76,-T$3*R76)</f>
        <v>-2.3731629630879103E-2</v>
      </c>
      <c r="V77" s="13"/>
      <c r="W77" s="4"/>
      <c r="X77" s="4"/>
      <c r="Y77" s="4"/>
      <c r="Z77" s="4"/>
      <c r="AA77" s="4"/>
      <c r="AB77" s="4"/>
      <c r="AC77" s="4"/>
      <c r="AD77" s="4"/>
      <c r="AE77" s="52"/>
    </row>
    <row r="78" spans="1:31" x14ac:dyDescent="0.2">
      <c r="A78" s="7">
        <v>41910</v>
      </c>
      <c r="B78" s="13">
        <f ca="1">Prices!B77*(1+J78/(50*(ABS(O78)+ABS(T78)+0.0001)))</f>
        <v>1.0307259020116735</v>
      </c>
      <c r="C78" s="62">
        <f t="shared" ca="1" si="6"/>
        <v>0</v>
      </c>
      <c r="D78" s="13">
        <f ca="1">D77+C78*(Prices!B78-Prices!B77)/Prices!B77</f>
        <v>-4.7465335925161813E-2</v>
      </c>
      <c r="E78" s="13">
        <f t="shared" ca="1" si="7"/>
        <v>4.7465335925161813E-2</v>
      </c>
      <c r="F78" s="13">
        <f t="shared" ca="1" si="8"/>
        <v>0</v>
      </c>
      <c r="G78" s="21">
        <f ca="1">IF((Prices!B78-Prices!B77)*C78&gt;0,1,0)</f>
        <v>0</v>
      </c>
      <c r="H78" s="13">
        <f>ABS(Prices!B78-Prices!B77)/Prices!B77</f>
        <v>1.4262622420840873E-3</v>
      </c>
      <c r="I78" s="21"/>
      <c r="J78" s="4">
        <f t="shared" ca="1" si="9"/>
        <v>-3.501401272243259E-2</v>
      </c>
      <c r="K78" s="13"/>
      <c r="L78" s="13">
        <f ca="1">L77-O78*Prices!B78</f>
        <v>0.71456464339596759</v>
      </c>
      <c r="M78" s="4">
        <f t="shared" ca="1" si="10"/>
        <v>0.25945537503818655</v>
      </c>
      <c r="N78" s="13">
        <f ca="1">IF(Prices!B77&gt;OFFSET(Prices!B77,-$N$3,0),1,-1)</f>
        <v>-1</v>
      </c>
      <c r="O78" s="4">
        <f ca="1">IF(N78=1,O$3*L77/Prices!B77,-O$3*M77)</f>
        <v>-1.36555460546414E-2</v>
      </c>
      <c r="P78" s="22"/>
      <c r="Q78" s="13">
        <f ca="1">Q77-T78*Prices!B78</f>
        <v>0.80087732529979105</v>
      </c>
      <c r="R78" s="4">
        <f t="shared" ca="1" si="11"/>
        <v>0.1922262000101207</v>
      </c>
      <c r="S78" s="13">
        <f ca="1">IF(Prices!D77&gt;OFFSET(Prices!D77,-S$3,0),1,-1)</f>
        <v>-1</v>
      </c>
      <c r="T78" s="4">
        <f ca="1">IF(S78=1,T$3*Q77/Prices!B77,-T$3*R77)</f>
        <v>-2.135846666779119E-2</v>
      </c>
      <c r="V78" s="13"/>
      <c r="W78" s="4"/>
      <c r="X78" s="4"/>
      <c r="Y78" s="4"/>
      <c r="Z78" s="4"/>
      <c r="AA78" s="4"/>
      <c r="AB78" s="4"/>
      <c r="AC78" s="4"/>
      <c r="AD78" s="4"/>
      <c r="AE78" s="52"/>
    </row>
    <row r="79" spans="1:31" x14ac:dyDescent="0.2">
      <c r="A79" s="7">
        <v>41917</v>
      </c>
      <c r="B79" s="13">
        <f ca="1">Prices!B78*(1+J79/(50*(ABS(O79)+ABS(T79)+0.0001)))</f>
        <v>1.032201222933717</v>
      </c>
      <c r="C79" s="62">
        <f t="shared" ca="1" si="6"/>
        <v>0</v>
      </c>
      <c r="D79" s="13">
        <f ca="1">D78+C79*(Prices!B79-Prices!B78)/Prices!B78</f>
        <v>-4.7465335925161813E-2</v>
      </c>
      <c r="E79" s="13">
        <f t="shared" ca="1" si="7"/>
        <v>4.7465335925161813E-2</v>
      </c>
      <c r="F79" s="13">
        <f t="shared" ca="1" si="8"/>
        <v>0</v>
      </c>
      <c r="G79" s="21">
        <f ca="1">IF((Prices!B79-Prices!B78)*C79&gt;0,1,0)</f>
        <v>0</v>
      </c>
      <c r="H79" s="13">
        <f>ABS(Prices!B79-Prices!B78)/Prices!B78</f>
        <v>1.0539308773262543E-2</v>
      </c>
      <c r="I79" s="21"/>
      <c r="J79" s="4">
        <f t="shared" ca="1" si="9"/>
        <v>-3.2195388752921397E-2</v>
      </c>
      <c r="K79" s="13"/>
      <c r="L79" s="13">
        <f ca="1">L78-O79*Prices!B79</f>
        <v>0.72837156117862467</v>
      </c>
      <c r="M79" s="4">
        <f t="shared" ca="1" si="10"/>
        <v>0.24648260628627722</v>
      </c>
      <c r="N79" s="13">
        <f ca="1">IF(Prices!B78&gt;OFFSET(Prices!B78,-$N$3,0),1,-1)</f>
        <v>-1</v>
      </c>
      <c r="O79" s="4">
        <f ca="1">IF(N79=1,O$3*L78/Prices!B78,-O$3*M78)</f>
        <v>-1.2972768751909329E-2</v>
      </c>
      <c r="P79" s="22"/>
      <c r="Q79" s="13">
        <f ca="1">Q78-T79*Prices!B79</f>
        <v>0.82133595976686824</v>
      </c>
      <c r="R79" s="4">
        <f t="shared" ca="1" si="11"/>
        <v>0.17300358000910862</v>
      </c>
      <c r="S79" s="13">
        <f ca="1">IF(Prices!D78&gt;OFFSET(Prices!D78,-S$3,0),1,-1)</f>
        <v>-1</v>
      </c>
      <c r="T79" s="4">
        <f ca="1">IF(S79=1,T$3*Q78/Prices!B78,-T$3*R78)</f>
        <v>-1.9222620001012072E-2</v>
      </c>
      <c r="V79" s="13"/>
      <c r="W79" s="4"/>
      <c r="X79" s="4"/>
      <c r="Y79" s="4"/>
      <c r="Z79" s="4"/>
      <c r="AA79" s="4"/>
      <c r="AB79" s="4"/>
      <c r="AC79" s="4"/>
      <c r="AD79" s="4"/>
      <c r="AE79" s="52"/>
    </row>
    <row r="80" spans="1:31" x14ac:dyDescent="0.2">
      <c r="A80" s="7">
        <v>41924</v>
      </c>
      <c r="B80" s="13">
        <f ca="1">Prices!B79*(1+J80/(50*(ABS(O80)+ABS(T80)+0.0001)))</f>
        <v>1.0430856109888058</v>
      </c>
      <c r="C80" s="62">
        <f t="shared" ca="1" si="6"/>
        <v>0</v>
      </c>
      <c r="D80" s="13">
        <f ca="1">D79+C80*(Prices!B80-Prices!B79)/Prices!B79</f>
        <v>-4.7465335925161813E-2</v>
      </c>
      <c r="E80" s="13">
        <f t="shared" ca="1" si="7"/>
        <v>4.7465335925161813E-2</v>
      </c>
      <c r="F80" s="13">
        <f t="shared" ca="1" si="8"/>
        <v>0</v>
      </c>
      <c r="G80" s="21">
        <f ca="1">IF((Prices!B80-Prices!B79)*C80&gt;0,1,0)</f>
        <v>0</v>
      </c>
      <c r="H80" s="13">
        <f>ABS(Prices!B80-Prices!B79)/Prices!B79</f>
        <v>5.6375082213661609E-3</v>
      </c>
      <c r="I80" s="21"/>
      <c r="J80" s="4">
        <f t="shared" ca="1" si="9"/>
        <v>-2.9624488315224726E-2</v>
      </c>
      <c r="K80" s="13"/>
      <c r="L80" s="13">
        <f ca="1">L79-O80*Prices!B80</f>
        <v>0.74156207785403483</v>
      </c>
      <c r="M80" s="4">
        <f t="shared" ca="1" si="10"/>
        <v>0.23415847597196335</v>
      </c>
      <c r="N80" s="13">
        <f ca="1">IF(Prices!B79&gt;OFFSET(Prices!B79,-$N$3,0),1,-1)</f>
        <v>-1</v>
      </c>
      <c r="O80" s="4">
        <f ca="1">IF(N80=1,O$3*L79/Prices!B79,-O$3*M79)</f>
        <v>-1.2324130314313862E-2</v>
      </c>
      <c r="P80" s="22"/>
      <c r="Q80" s="13">
        <f ca="1">Q79-T80*Prices!B80</f>
        <v>0.83985253293524309</v>
      </c>
      <c r="R80" s="4">
        <f t="shared" ca="1" si="11"/>
        <v>0.15570322200819775</v>
      </c>
      <c r="S80" s="13">
        <f ca="1">IF(Prices!D79&gt;OFFSET(Prices!D79,-S$3,0),1,-1)</f>
        <v>-1</v>
      </c>
      <c r="T80" s="4">
        <f ca="1">IF(S80=1,T$3*Q79/Prices!B79,-T$3*R79)</f>
        <v>-1.7300358000910863E-2</v>
      </c>
      <c r="V80" s="13"/>
      <c r="W80" s="4"/>
      <c r="X80" s="4"/>
      <c r="Y80" s="4"/>
      <c r="Z80" s="4"/>
      <c r="AA80" s="4"/>
      <c r="AB80" s="4"/>
      <c r="AC80" s="4"/>
      <c r="AD80" s="4"/>
      <c r="AE80" s="52"/>
    </row>
    <row r="81" spans="1:31" x14ac:dyDescent="0.2">
      <c r="A81" s="7">
        <v>41931</v>
      </c>
      <c r="B81" s="13">
        <f ca="1">Prices!B80*(1+J81/(50*(ABS(O81)+ABS(T81)+0.0001)))</f>
        <v>1.0784144716724411</v>
      </c>
      <c r="C81" s="62">
        <f t="shared" ca="1" si="6"/>
        <v>1</v>
      </c>
      <c r="D81" s="13">
        <f ca="1">D80+C81*(Prices!B81-Prices!B80)/Prices!B80</f>
        <v>-4.7839062917593801E-2</v>
      </c>
      <c r="E81" s="13">
        <f t="shared" ca="1" si="7"/>
        <v>4.7839062917593801E-2</v>
      </c>
      <c r="F81" s="13">
        <f t="shared" ca="1" si="8"/>
        <v>0</v>
      </c>
      <c r="G81" s="21">
        <f ca="1">IF((Prices!B81-Prices!B80)*C81&gt;0,1,0)</f>
        <v>0</v>
      </c>
      <c r="H81" s="13">
        <f>ABS(Prices!B81-Prices!B80)/Prices!B80</f>
        <v>3.7372699243198724E-4</v>
      </c>
      <c r="I81" s="21"/>
      <c r="J81" s="4">
        <f t="shared" ca="1" si="9"/>
        <v>1.907239843143449E-2</v>
      </c>
      <c r="K81" s="13"/>
      <c r="L81" s="13">
        <f ca="1">L80-O81*Prices!B81</f>
        <v>0.70449783104958597</v>
      </c>
      <c r="M81" s="4">
        <f t="shared" ca="1" si="10"/>
        <v>0.26880119660421764</v>
      </c>
      <c r="N81" s="13">
        <f ca="1">IF(Prices!B80&gt;OFFSET(Prices!B80,-$N$3,0),1,-1)</f>
        <v>1</v>
      </c>
      <c r="O81" s="4">
        <f ca="1">IF(N81=1,O$3*L80/Prices!B80,-O$3*M80)</f>
        <v>3.4642720632254265E-2</v>
      </c>
      <c r="P81" s="22"/>
      <c r="Q81" s="13">
        <f ca="1">Q80-T81*Prices!B81</f>
        <v>0.8565112206579002</v>
      </c>
      <c r="R81" s="4">
        <f t="shared" ca="1" si="11"/>
        <v>0.14013289980737798</v>
      </c>
      <c r="S81" s="13">
        <f ca="1">IF(Prices!D80&gt;OFFSET(Prices!D80,-S$3,0),1,-1)</f>
        <v>-1</v>
      </c>
      <c r="T81" s="4">
        <f ca="1">IF(S81=1,T$3*Q80/Prices!B80,-T$3*R80)</f>
        <v>-1.5570322200819775E-2</v>
      </c>
      <c r="V81" s="13"/>
      <c r="W81" s="4"/>
      <c r="X81" s="4"/>
      <c r="Y81" s="4"/>
      <c r="Z81" s="4"/>
      <c r="AA81" s="4"/>
      <c r="AB81" s="4"/>
      <c r="AC81" s="4"/>
      <c r="AD81" s="4"/>
      <c r="AE81" s="52"/>
    </row>
    <row r="82" spans="1:31" x14ac:dyDescent="0.2">
      <c r="A82" s="7">
        <v>41938</v>
      </c>
      <c r="B82" s="13">
        <f ca="1">Prices!B81*(1+J82/(50*(ABS(O82)+ABS(T82)+0.0001)))</f>
        <v>1.078502652081651</v>
      </c>
      <c r="C82" s="62">
        <f t="shared" ca="1" si="6"/>
        <v>1</v>
      </c>
      <c r="D82" s="13">
        <f ca="1">D81+C82*(Prices!B82-Prices!B81)/Prices!B81</f>
        <v>-3.9987861870767027E-2</v>
      </c>
      <c r="E82" s="13">
        <f t="shared" ca="1" si="7"/>
        <v>3.9987861870767027E-2</v>
      </c>
      <c r="F82" s="13">
        <f t="shared" ca="1" si="8"/>
        <v>0</v>
      </c>
      <c r="G82" s="21">
        <f ca="1">IF((Prices!B82-Prices!B81)*C82&gt;0,1,0)</f>
        <v>1</v>
      </c>
      <c r="H82" s="13">
        <f>ABS(Prices!B82-Prices!B81)/Prices!B81</f>
        <v>7.851201046826772E-3</v>
      </c>
      <c r="I82" s="21"/>
      <c r="J82" s="4">
        <f t="shared" ca="1" si="9"/>
        <v>1.8910246380117696E-2</v>
      </c>
      <c r="K82" s="13"/>
      <c r="L82" s="13">
        <f ca="1">L81-O82*Prices!B82</f>
        <v>0.66899638179167553</v>
      </c>
      <c r="M82" s="4">
        <f t="shared" ca="1" si="10"/>
        <v>0.30172473296507313</v>
      </c>
      <c r="N82" s="13">
        <f ca="1">IF(Prices!B81&gt;OFFSET(Prices!B81,-$N$3,0),1,-1)</f>
        <v>1</v>
      </c>
      <c r="O82" s="4">
        <f ca="1">IF(N82=1,O$3*L81/Prices!B81,-O$3*M81)</f>
        <v>3.2923536360855495E-2</v>
      </c>
      <c r="P82" s="22"/>
      <c r="Q82" s="13">
        <f ca="1">Q81-T82*Prices!B82</f>
        <v>0.87162175124412977</v>
      </c>
      <c r="R82" s="4">
        <f t="shared" ca="1" si="11"/>
        <v>0.12611960982664017</v>
      </c>
      <c r="S82" s="13">
        <f ca="1">IF(Prices!D81&gt;OFFSET(Prices!D81,-S$3,0),1,-1)</f>
        <v>-1</v>
      </c>
      <c r="T82" s="4">
        <f ca="1">IF(S82=1,T$3*Q81/Prices!B81,-T$3*R81)</f>
        <v>-1.4013289980737798E-2</v>
      </c>
      <c r="V82" s="13"/>
      <c r="W82" s="4"/>
      <c r="X82" s="4"/>
      <c r="Y82" s="4"/>
      <c r="Z82" s="4"/>
      <c r="AA82" s="4"/>
      <c r="AB82" s="4"/>
      <c r="AC82" s="4"/>
      <c r="AD82" s="4"/>
      <c r="AE82" s="52"/>
    </row>
    <row r="83" spans="1:31" x14ac:dyDescent="0.2">
      <c r="A83" s="7">
        <v>41945</v>
      </c>
      <c r="B83" s="13">
        <f ca="1">Prices!B82*(1+J83/(50*(ABS(O83)+ABS(T83)+0.0001)))</f>
        <v>1.0873780014991317</v>
      </c>
      <c r="C83" s="62">
        <f t="shared" ref="C83:C146" ca="1" si="12">IF(J83&gt;0,1,IF(J83&lt;0,0,0))</f>
        <v>1</v>
      </c>
      <c r="D83" s="13">
        <f ca="1">D82+C83*(Prices!B83-Prices!B82)/Prices!B82</f>
        <v>-5.2971261666742181E-2</v>
      </c>
      <c r="E83" s="13">
        <f t="shared" ref="E83:E146" ca="1" si="13">F83-D83</f>
        <v>5.2971261666742181E-2</v>
      </c>
      <c r="F83" s="13">
        <f t="shared" ref="F83:F146" ca="1" si="14">MAX(F82,D83)</f>
        <v>0</v>
      </c>
      <c r="G83" s="21">
        <f ca="1">IF((Prices!B83-Prices!B82)*C83&gt;0,1,0)</f>
        <v>0</v>
      </c>
      <c r="H83" s="13">
        <f>ABS(Prices!B83-Prices!B82)/Prices!B82</f>
        <v>1.2983399795975157E-2</v>
      </c>
      <c r="I83" s="21"/>
      <c r="J83" s="4">
        <f t="shared" ref="J83:J146" ca="1" si="15">O83+T83</f>
        <v>1.8408922898986522E-2</v>
      </c>
      <c r="K83" s="13"/>
      <c r="L83" s="13">
        <f ca="1">L82-O83*Prices!B83</f>
        <v>0.63598085507643487</v>
      </c>
      <c r="M83" s="4">
        <f t="shared" ref="M83:M146" ca="1" si="16">M82+O83</f>
        <v>0.33274561684672366</v>
      </c>
      <c r="N83" s="13">
        <f ca="1">IF(Prices!B82&gt;OFFSET(Prices!B82,-$N$3,0),1,-1)</f>
        <v>1</v>
      </c>
      <c r="O83" s="4">
        <f ca="1">IF(N83=1,O$3*L82/Prices!B82,-O$3*M82)</f>
        <v>3.102088388165054E-2</v>
      </c>
      <c r="P83" s="22"/>
      <c r="Q83" s="13">
        <f ca="1">Q82-T83*Prices!B83</f>
        <v>0.8850446613179791</v>
      </c>
      <c r="R83" s="4">
        <f t="shared" ref="R83:R146" ca="1" si="17">R82+T83</f>
        <v>0.11350764884397616</v>
      </c>
      <c r="S83" s="13">
        <f ca="1">IF(Prices!D82&gt;OFFSET(Prices!D82,-S$3,0),1,-1)</f>
        <v>-1</v>
      </c>
      <c r="T83" s="4">
        <f ca="1">IF(S83=1,T$3*Q82/Prices!B82,-T$3*R82)</f>
        <v>-1.2611960982664018E-2</v>
      </c>
      <c r="V83" s="13"/>
      <c r="W83" s="4"/>
      <c r="X83" s="4"/>
      <c r="Y83" s="4"/>
      <c r="Z83" s="4"/>
      <c r="AA83" s="4"/>
      <c r="AB83" s="4"/>
      <c r="AC83" s="4"/>
      <c r="AD83" s="4"/>
      <c r="AE83" s="52"/>
    </row>
    <row r="84" spans="1:31" x14ac:dyDescent="0.2">
      <c r="A84" s="7">
        <v>41952</v>
      </c>
      <c r="B84" s="13">
        <f ca="1">Prices!B83*(1+J84/(50*(ABS(O84)+ABS(T84)+0.0001)))</f>
        <v>1.0738422518627926</v>
      </c>
      <c r="C84" s="62">
        <f t="shared" ca="1" si="12"/>
        <v>1</v>
      </c>
      <c r="D84" s="13">
        <f ca="1">D83+C84*(Prices!B84-Prices!B83)/Prices!B83</f>
        <v>-5.550814036635688E-2</v>
      </c>
      <c r="E84" s="13">
        <f t="shared" ca="1" si="13"/>
        <v>5.550814036635688E-2</v>
      </c>
      <c r="F84" s="13">
        <f t="shared" ca="1" si="14"/>
        <v>0</v>
      </c>
      <c r="G84" s="21">
        <f ca="1">IF((Prices!B84-Prices!B83)*C84&gt;0,1,0)</f>
        <v>0</v>
      </c>
      <c r="H84" s="13">
        <f>ABS(Prices!B84-Prices!B83)/Prices!B83</f>
        <v>2.5368786996146993E-3</v>
      </c>
      <c r="I84" s="21"/>
      <c r="J84" s="4">
        <f t="shared" ca="1" si="15"/>
        <v>1.8527129274976382E-2</v>
      </c>
      <c r="K84" s="13"/>
      <c r="L84" s="13">
        <f ca="1">L83-O84*Prices!B84</f>
        <v>0.60426248263684346</v>
      </c>
      <c r="M84" s="4">
        <f t="shared" ca="1" si="16"/>
        <v>0.36262351100609763</v>
      </c>
      <c r="N84" s="13">
        <f ca="1">IF(Prices!B83&gt;OFFSET(Prices!B83,-$N$3,0),1,-1)</f>
        <v>1</v>
      </c>
      <c r="O84" s="4">
        <f ca="1">IF(N84=1,O$3*L83/Prices!B83,-O$3*M83)</f>
        <v>2.9877894159373999E-2</v>
      </c>
      <c r="P84" s="22"/>
      <c r="Q84" s="13">
        <f ca="1">Q83-T84*Prices!B84</f>
        <v>0.89709463331925565</v>
      </c>
      <c r="R84" s="4">
        <f t="shared" ca="1" si="17"/>
        <v>0.10215688395957853</v>
      </c>
      <c r="S84" s="13">
        <f ca="1">IF(Prices!D83&gt;OFFSET(Prices!D83,-S$3,0),1,-1)</f>
        <v>-1</v>
      </c>
      <c r="T84" s="4">
        <f ca="1">IF(S84=1,T$3*Q83/Prices!B83,-T$3*R83)</f>
        <v>-1.1350764884397617E-2</v>
      </c>
      <c r="V84" s="13"/>
      <c r="W84" s="4"/>
      <c r="X84" s="4"/>
      <c r="Y84" s="4"/>
      <c r="Z84" s="4"/>
      <c r="AA84" s="4"/>
      <c r="AB84" s="4"/>
      <c r="AC84" s="4"/>
      <c r="AD84" s="4"/>
      <c r="AE84" s="52"/>
    </row>
    <row r="85" spans="1:31" x14ac:dyDescent="0.2">
      <c r="A85" s="7">
        <v>41959</v>
      </c>
      <c r="B85" s="13">
        <f ca="1">Prices!B84*(1+J85/(50*(ABS(O85)+ABS(T85)+0.0001)))</f>
        <v>1.0715898445216443</v>
      </c>
      <c r="C85" s="62">
        <f t="shared" ca="1" si="12"/>
        <v>1</v>
      </c>
      <c r="D85" s="13">
        <f ca="1">D84+C85*(Prices!B85-Prices!B84)/Prices!B84</f>
        <v>-6.050060457133058E-2</v>
      </c>
      <c r="E85" s="13">
        <f t="shared" ca="1" si="13"/>
        <v>6.050060457133058E-2</v>
      </c>
      <c r="F85" s="13">
        <f t="shared" ca="1" si="14"/>
        <v>0</v>
      </c>
      <c r="G85" s="21">
        <f ca="1">IF((Prices!B85-Prices!B84)*C85&gt;0,1,0)</f>
        <v>0</v>
      </c>
      <c r="H85" s="13">
        <f>ABS(Prices!B85-Prices!B84)/Prices!B84</f>
        <v>4.9924642049737015E-3</v>
      </c>
      <c r="I85" s="21"/>
      <c r="J85" s="4">
        <f t="shared" ca="1" si="15"/>
        <v>1.8244300424541553E-2</v>
      </c>
      <c r="K85" s="13"/>
      <c r="L85" s="13">
        <f ca="1">L84-O85*Prices!B85</f>
        <v>0.57420019644574993</v>
      </c>
      <c r="M85" s="4">
        <f t="shared" ca="1" si="16"/>
        <v>0.39108349982659701</v>
      </c>
      <c r="N85" s="13">
        <f ca="1">IF(Prices!B84&gt;OFFSET(Prices!B84,-$N$3,0),1,-1)</f>
        <v>1</v>
      </c>
      <c r="O85" s="4">
        <f ca="1">IF(N85=1,O$3*L84/Prices!B84,-O$3*M84)</f>
        <v>2.8459988820499407E-2</v>
      </c>
      <c r="P85" s="22"/>
      <c r="Q85" s="13">
        <f ca="1">Q84-T85*Prices!B85</f>
        <v>0.90788546497190592</v>
      </c>
      <c r="R85" s="4">
        <f t="shared" ca="1" si="17"/>
        <v>9.1941195563620681E-2</v>
      </c>
      <c r="S85" s="13">
        <f ca="1">IF(Prices!D84&gt;OFFSET(Prices!D84,-S$3,0),1,-1)</f>
        <v>-1</v>
      </c>
      <c r="T85" s="4">
        <f ca="1">IF(S85=1,T$3*Q84/Prices!B84,-T$3*R84)</f>
        <v>-1.0215688395957854E-2</v>
      </c>
      <c r="V85" s="13"/>
      <c r="W85" s="4"/>
      <c r="X85" s="4"/>
      <c r="Y85" s="4"/>
      <c r="Z85" s="4"/>
      <c r="AA85" s="4"/>
      <c r="AB85" s="4"/>
      <c r="AC85" s="4"/>
      <c r="AD85" s="4"/>
      <c r="AE85" s="52"/>
    </row>
    <row r="86" spans="1:31" x14ac:dyDescent="0.2">
      <c r="A86" s="7">
        <v>41966</v>
      </c>
      <c r="B86" s="13">
        <f ca="1">Prices!B85*(1+J86/(50*(ABS(O86)+ABS(T86)+0.0001)))</f>
        <v>1.0352472313654282</v>
      </c>
      <c r="C86" s="62">
        <f t="shared" ca="1" si="12"/>
        <v>0</v>
      </c>
      <c r="D86" s="13">
        <f ca="1">D85+C86*(Prices!B86-Prices!B85)/Prices!B85</f>
        <v>-6.050060457133058E-2</v>
      </c>
      <c r="E86" s="13">
        <f t="shared" ca="1" si="13"/>
        <v>6.050060457133058E-2</v>
      </c>
      <c r="F86" s="13">
        <f t="shared" ca="1" si="14"/>
        <v>0</v>
      </c>
      <c r="G86" s="21">
        <f ca="1">IF((Prices!B86-Prices!B85)*C86&gt;0,1,0)</f>
        <v>0</v>
      </c>
      <c r="H86" s="13">
        <f>ABS(Prices!B86-Prices!B85)/Prices!B85</f>
        <v>5.5855344125722017E-3</v>
      </c>
      <c r="I86" s="21"/>
      <c r="J86" s="4">
        <f t="shared" ca="1" si="15"/>
        <v>-2.874829454769192E-2</v>
      </c>
      <c r="K86" s="13"/>
      <c r="L86" s="13">
        <f ca="1">L85-O86*Prices!B86</f>
        <v>0.59497064112154052</v>
      </c>
      <c r="M86" s="4">
        <f t="shared" ca="1" si="16"/>
        <v>0.37152932483526718</v>
      </c>
      <c r="N86" s="13">
        <f ca="1">IF(Prices!B85&gt;OFFSET(Prices!B85,-$N$3,0),1,-1)</f>
        <v>-1</v>
      </c>
      <c r="O86" s="4">
        <f ca="1">IF(N86=1,O$3*L85/Prices!B85,-O$3*M85)</f>
        <v>-1.9554174991329852E-2</v>
      </c>
      <c r="P86" s="22"/>
      <c r="Q86" s="13">
        <f ca="1">Q85-T86*Prices!B86</f>
        <v>0.91765145876467369</v>
      </c>
      <c r="R86" s="4">
        <f t="shared" ca="1" si="17"/>
        <v>8.2747076007258613E-2</v>
      </c>
      <c r="S86" s="13">
        <f ca="1">IF(Prices!D85&gt;OFFSET(Prices!D85,-S$3,0),1,-1)</f>
        <v>-1</v>
      </c>
      <c r="T86" s="4">
        <f ca="1">IF(S86=1,T$3*Q85/Prices!B85,-T$3*R85)</f>
        <v>-9.1941195563620681E-3</v>
      </c>
      <c r="V86" s="13"/>
      <c r="W86" s="4"/>
      <c r="X86" s="4"/>
      <c r="Y86" s="4"/>
      <c r="Z86" s="4"/>
      <c r="AA86" s="4"/>
      <c r="AB86" s="4"/>
      <c r="AC86" s="4"/>
      <c r="AD86" s="4"/>
      <c r="AE86" s="52"/>
    </row>
    <row r="87" spans="1:31" x14ac:dyDescent="0.2">
      <c r="A87" s="7">
        <v>41973</v>
      </c>
      <c r="B87" s="13">
        <f ca="1">Prices!B86*(1+J87/(50*(ABS(O87)+ABS(T87)+0.0001)))</f>
        <v>1.0410348240249727</v>
      </c>
      <c r="C87" s="62">
        <f t="shared" ca="1" si="12"/>
        <v>0</v>
      </c>
      <c r="D87" s="13">
        <f ca="1">D86+C87*(Prices!B87-Prices!B86)/Prices!B86</f>
        <v>-6.050060457133058E-2</v>
      </c>
      <c r="E87" s="13">
        <f t="shared" ca="1" si="13"/>
        <v>6.050060457133058E-2</v>
      </c>
      <c r="F87" s="13">
        <f t="shared" ca="1" si="14"/>
        <v>0</v>
      </c>
      <c r="G87" s="21">
        <f ca="1">IF((Prices!B87-Prices!B86)*C87&gt;0,1,0)</f>
        <v>0</v>
      </c>
      <c r="H87" s="13">
        <f>ABS(Prices!B87-Prices!B86)/Prices!B86</f>
        <v>4.8013556768968955E-3</v>
      </c>
      <c r="I87" s="21"/>
      <c r="J87" s="4">
        <f t="shared" ca="1" si="15"/>
        <v>-2.6851173842489223E-2</v>
      </c>
      <c r="K87" s="13"/>
      <c r="L87" s="13">
        <f ca="1">L86-O87*Prices!B87</f>
        <v>0.61479730354137452</v>
      </c>
      <c r="M87" s="4">
        <f t="shared" ca="1" si="16"/>
        <v>0.35295285859350384</v>
      </c>
      <c r="N87" s="13">
        <f ca="1">IF(Prices!B86&gt;OFFSET(Prices!B86,-$N$3,0),1,-1)</f>
        <v>-1</v>
      </c>
      <c r="O87" s="4">
        <f ca="1">IF(N87=1,O$3*L86/Prices!B86,-O$3*M86)</f>
        <v>-1.8576466241763359E-2</v>
      </c>
      <c r="P87" s="22"/>
      <c r="Q87" s="13">
        <f ca="1">Q86-T87*Prices!B87</f>
        <v>0.92648305418692845</v>
      </c>
      <c r="R87" s="4">
        <f t="shared" ca="1" si="17"/>
        <v>7.4472368406532749E-2</v>
      </c>
      <c r="S87" s="13">
        <f ca="1">IF(Prices!D86&gt;OFFSET(Prices!D86,-S$3,0),1,-1)</f>
        <v>-1</v>
      </c>
      <c r="T87" s="4">
        <f ca="1">IF(S87=1,T$3*Q86/Prices!B86,-T$3*R86)</f>
        <v>-8.2747076007258624E-3</v>
      </c>
      <c r="V87" s="13"/>
      <c r="W87" s="4"/>
      <c r="X87" s="4"/>
      <c r="Y87" s="4"/>
      <c r="Z87" s="4"/>
      <c r="AA87" s="4"/>
      <c r="AB87" s="4"/>
      <c r="AC87" s="4"/>
      <c r="AD87" s="4"/>
      <c r="AE87" s="52"/>
    </row>
    <row r="88" spans="1:31" x14ac:dyDescent="0.2">
      <c r="A88" s="7">
        <v>41980</v>
      </c>
      <c r="B88" s="13">
        <f ca="1">Prices!B87*(1+J88/(50*(ABS(O88)+ABS(T88)+0.0001)))</f>
        <v>1.0814196042529534</v>
      </c>
      <c r="C88" s="62">
        <f t="shared" ca="1" si="12"/>
        <v>1</v>
      </c>
      <c r="D88" s="13">
        <f ca="1">D87+C88*(Prices!B88-Prices!B87)/Prices!B87</f>
        <v>-5.4410470588382789E-2</v>
      </c>
      <c r="E88" s="13">
        <f t="shared" ca="1" si="13"/>
        <v>5.4410470588382789E-2</v>
      </c>
      <c r="F88" s="13">
        <f t="shared" ca="1" si="14"/>
        <v>0</v>
      </c>
      <c r="G88" s="21">
        <f ca="1">IF((Prices!B88-Prices!B87)*C88&gt;0,1,0)</f>
        <v>1</v>
      </c>
      <c r="H88" s="13">
        <f>ABS(Prices!B88-Prices!B87)/Prices!B87</f>
        <v>6.0901339829477867E-3</v>
      </c>
      <c r="I88" s="21"/>
      <c r="J88" s="4">
        <f t="shared" ca="1" si="15"/>
        <v>6.9158602192308183E-2</v>
      </c>
      <c r="K88" s="13"/>
      <c r="L88" s="13">
        <f ca="1">L87-O88*Prices!B88</f>
        <v>0.63374734251925979</v>
      </c>
      <c r="M88" s="4">
        <f t="shared" ca="1" si="16"/>
        <v>0.33530521566382865</v>
      </c>
      <c r="N88" s="13">
        <f ca="1">IF(Prices!B87&gt;OFFSET(Prices!B87,-$N$3,0),1,-1)</f>
        <v>-1</v>
      </c>
      <c r="O88" s="4">
        <f ca="1">IF(N88=1,O$3*L87/Prices!B87,-O$3*M87)</f>
        <v>-1.7647642929675193E-2</v>
      </c>
      <c r="P88" s="22"/>
      <c r="Q88" s="13">
        <f ca="1">Q87-T88*Prices!B88</f>
        <v>0.83327050817494275</v>
      </c>
      <c r="R88" s="4">
        <f t="shared" ca="1" si="17"/>
        <v>0.16127861352851613</v>
      </c>
      <c r="S88" s="13">
        <f ca="1">IF(Prices!D87&gt;OFFSET(Prices!D87,-S$3,0),1,-1)</f>
        <v>1</v>
      </c>
      <c r="T88" s="4">
        <f ca="1">IF(S88=1,T$3*Q87/Prices!B87,-T$3*R87)</f>
        <v>8.6806245121983372E-2</v>
      </c>
      <c r="V88" s="13"/>
      <c r="W88" s="4"/>
      <c r="X88" s="4"/>
      <c r="Y88" s="4"/>
      <c r="Z88" s="4"/>
      <c r="AA88" s="4"/>
      <c r="AB88" s="4"/>
      <c r="AC88" s="4"/>
      <c r="AD88" s="4"/>
      <c r="AE88" s="52"/>
    </row>
    <row r="89" spans="1:31" x14ac:dyDescent="0.2">
      <c r="A89" s="7">
        <v>41987</v>
      </c>
      <c r="B89" s="13">
        <f ca="1">Prices!B88*(1+J89/(50*(ABS(O89)+ABS(T89)+0.0001)))</f>
        <v>1.0876303548292676</v>
      </c>
      <c r="C89" s="62">
        <f t="shared" ca="1" si="12"/>
        <v>1</v>
      </c>
      <c r="D89" s="13">
        <f ca="1">D88+C89*(Prices!B89-Prices!B88)/Prices!B88</f>
        <v>-4.8822837882106007E-2</v>
      </c>
      <c r="E89" s="13">
        <f t="shared" ca="1" si="13"/>
        <v>4.8822837882106007E-2</v>
      </c>
      <c r="F89" s="13">
        <f t="shared" ca="1" si="14"/>
        <v>0</v>
      </c>
      <c r="G89" s="21">
        <f ca="1">IF((Prices!B89-Prices!B88)*C89&gt;0,1,0)</f>
        <v>1</v>
      </c>
      <c r="H89" s="13">
        <f>ABS(Prices!B89-Prices!B88)/Prices!B88</f>
        <v>5.5876327062767787E-3</v>
      </c>
      <c r="I89" s="21"/>
      <c r="J89" s="4">
        <f t="shared" ca="1" si="15"/>
        <v>6.0834898294378201E-2</v>
      </c>
      <c r="K89" s="13"/>
      <c r="L89" s="13">
        <f ca="1">L88-O89*Prices!B89</f>
        <v>0.65185047111294991</v>
      </c>
      <c r="M89" s="4">
        <f t="shared" ca="1" si="16"/>
        <v>0.31853995488063724</v>
      </c>
      <c r="N89" s="13">
        <f ca="1">IF(Prices!B88&gt;OFFSET(Prices!B88,-$N$3,0),1,-1)</f>
        <v>-1</v>
      </c>
      <c r="O89" s="4">
        <f ca="1">IF(N89=1,O$3*L88/Prices!B88,-O$3*M88)</f>
        <v>-1.6765260783191432E-2</v>
      </c>
      <c r="P89" s="22"/>
      <c r="Q89" s="13">
        <f ca="1">Q88-T89*Prices!B89</f>
        <v>0.74947785640298303</v>
      </c>
      <c r="R89" s="4">
        <f t="shared" ca="1" si="17"/>
        <v>0.23887877260608575</v>
      </c>
      <c r="S89" s="13">
        <f ca="1">IF(Prices!D88&gt;OFFSET(Prices!D88,-S$3,0),1,-1)</f>
        <v>1</v>
      </c>
      <c r="T89" s="4">
        <f ca="1">IF(S89=1,T$3*Q88/Prices!B88,-T$3*R88)</f>
        <v>7.7600159077569633E-2</v>
      </c>
      <c r="V89" s="13"/>
      <c r="W89" s="4"/>
      <c r="X89" s="4"/>
      <c r="Y89" s="4"/>
      <c r="Z89" s="4"/>
      <c r="AA89" s="4"/>
      <c r="AB89" s="4"/>
      <c r="AC89" s="4"/>
      <c r="AD89" s="4"/>
      <c r="AE89" s="52"/>
    </row>
    <row r="90" spans="1:31" x14ac:dyDescent="0.2">
      <c r="A90" s="7">
        <v>41994</v>
      </c>
      <c r="B90" s="13">
        <f ca="1">Prices!B89*(1+J90/(50*(ABS(O90)+ABS(T90)+0.0001)))</f>
        <v>1.0823099415370843</v>
      </c>
      <c r="C90" s="62">
        <f t="shared" ca="1" si="12"/>
        <v>1</v>
      </c>
      <c r="D90" s="13">
        <f ca="1">D89+C90*(Prices!B90-Prices!B89)/Prices!B89</f>
        <v>-6.2343860293663858E-2</v>
      </c>
      <c r="E90" s="13">
        <f t="shared" ca="1" si="13"/>
        <v>6.2343860293663858E-2</v>
      </c>
      <c r="F90" s="13">
        <f t="shared" ca="1" si="14"/>
        <v>0</v>
      </c>
      <c r="G90" s="21">
        <f ca="1">IF((Prices!B90-Prices!B89)*C90&gt;0,1,0)</f>
        <v>0</v>
      </c>
      <c r="H90" s="13">
        <f>ABS(Prices!B90-Prices!B89)/Prices!B89</f>
        <v>1.3521022411557851E-2</v>
      </c>
      <c r="I90" s="21"/>
      <c r="J90" s="4">
        <f t="shared" ca="1" si="15"/>
        <v>6.2959748931675809E-3</v>
      </c>
      <c r="K90" s="13"/>
      <c r="L90" s="13">
        <f ca="1">L89-O90*Prices!B90</f>
        <v>0.61969863179874751</v>
      </c>
      <c r="M90" s="4">
        <f t="shared" ca="1" si="16"/>
        <v>0.34872380703441341</v>
      </c>
      <c r="N90" s="13">
        <f ca="1">IF(Prices!B89&gt;OFFSET(Prices!B89,-$N$3,0),1,-1)</f>
        <v>1</v>
      </c>
      <c r="O90" s="4">
        <f ca="1">IF(N90=1,O$3*L89/Prices!B89,-O$3*M89)</f>
        <v>3.0183852153776159E-2</v>
      </c>
      <c r="P90" s="22"/>
      <c r="Q90" s="13">
        <f ca="1">Q89-T90*Prices!B90</f>
        <v>0.77492322326098328</v>
      </c>
      <c r="R90" s="4">
        <f t="shared" ca="1" si="17"/>
        <v>0.21499089534547716</v>
      </c>
      <c r="S90" s="13">
        <f ca="1">IF(Prices!D89&gt;OFFSET(Prices!D89,-S$3,0),1,-1)</f>
        <v>-1</v>
      </c>
      <c r="T90" s="4">
        <f ca="1">IF(S90=1,T$3*Q89/Prices!B89,-T$3*R89)</f>
        <v>-2.3887877260608578E-2</v>
      </c>
      <c r="V90" s="13"/>
      <c r="W90" s="4"/>
      <c r="X90" s="4"/>
      <c r="Y90" s="4"/>
      <c r="Z90" s="4"/>
      <c r="AA90" s="4"/>
      <c r="AB90" s="4"/>
      <c r="AC90" s="4"/>
      <c r="AD90" s="4"/>
      <c r="AE90" s="52"/>
    </row>
    <row r="91" spans="1:31" x14ac:dyDescent="0.2">
      <c r="A91" s="7">
        <v>42001</v>
      </c>
      <c r="B91" s="13">
        <f ca="1">Prices!B90*(1+J91/(50*(ABS(O91)+ABS(T91)+0.0001)))</f>
        <v>1.0683897836317087</v>
      </c>
      <c r="C91" s="62">
        <f t="shared" ca="1" si="12"/>
        <v>1</v>
      </c>
      <c r="D91" s="13">
        <f ca="1">D90+C91*(Prices!B91-Prices!B90)/Prices!B90</f>
        <v>-6.8070484401812556E-2</v>
      </c>
      <c r="E91" s="13">
        <f t="shared" ca="1" si="13"/>
        <v>6.8070484401812556E-2</v>
      </c>
      <c r="F91" s="13">
        <f t="shared" ca="1" si="14"/>
        <v>0</v>
      </c>
      <c r="G91" s="21">
        <f ca="1">IF((Prices!B91-Prices!B90)*C91&gt;0,1,0)</f>
        <v>0</v>
      </c>
      <c r="H91" s="13">
        <f>ABS(Prices!B91-Prices!B90)/Prices!B90</f>
        <v>5.7266241081486997E-3</v>
      </c>
      <c r="I91" s="21"/>
      <c r="J91" s="4">
        <f t="shared" ca="1" si="15"/>
        <v>7.5892803395955222E-3</v>
      </c>
      <c r="K91" s="13"/>
      <c r="L91" s="13">
        <f ca="1">L90-O91*Prices!B91</f>
        <v>0.58889113926504244</v>
      </c>
      <c r="M91" s="4">
        <f t="shared" ca="1" si="16"/>
        <v>0.37781217690855667</v>
      </c>
      <c r="N91" s="13">
        <f ca="1">IF(Prices!B90&gt;OFFSET(Prices!B90,-$N$3,0),1,-1)</f>
        <v>1</v>
      </c>
      <c r="O91" s="4">
        <f ca="1">IF(N91=1,O$3*L90/Prices!B90,-O$3*M90)</f>
        <v>2.908836987414324E-2</v>
      </c>
      <c r="P91" s="22"/>
      <c r="Q91" s="13">
        <f ca="1">Q90-T91*Prices!B91</f>
        <v>0.79769290898702272</v>
      </c>
      <c r="R91" s="4">
        <f t="shared" ca="1" si="17"/>
        <v>0.19349180581092945</v>
      </c>
      <c r="S91" s="13">
        <f ca="1">IF(Prices!D90&gt;OFFSET(Prices!D90,-S$3,0),1,-1)</f>
        <v>-1</v>
      </c>
      <c r="T91" s="4">
        <f ca="1">IF(S91=1,T$3*Q90/Prices!B90,-T$3*R90)</f>
        <v>-2.1499089534547718E-2</v>
      </c>
      <c r="V91" s="13"/>
      <c r="W91" s="4"/>
      <c r="X91" s="4"/>
      <c r="Y91" s="4"/>
      <c r="Z91" s="4"/>
      <c r="AA91" s="4"/>
      <c r="AB91" s="4"/>
      <c r="AC91" s="4"/>
      <c r="AD91" s="4"/>
      <c r="AE91" s="52"/>
    </row>
    <row r="92" spans="1:31" x14ac:dyDescent="0.2">
      <c r="A92" s="7">
        <v>42008</v>
      </c>
      <c r="B92" s="13">
        <f ca="1">Prices!B91*(1+J92/(50*(ABS(O92)+ABS(T92)+0.0001)))</f>
        <v>1.0628890848513834</v>
      </c>
      <c r="C92" s="62">
        <f t="shared" ca="1" si="12"/>
        <v>1</v>
      </c>
      <c r="D92" s="13">
        <f ca="1">D91+C92*(Prices!B92-Prices!B91)/Prices!B91</f>
        <v>-6.552115006133466E-2</v>
      </c>
      <c r="E92" s="13">
        <f t="shared" ca="1" si="13"/>
        <v>6.552115006133466E-2</v>
      </c>
      <c r="F92" s="13">
        <f t="shared" ca="1" si="14"/>
        <v>0</v>
      </c>
      <c r="G92" s="21">
        <f ca="1">IF((Prices!B92-Prices!B91)*C92&gt;0,1,0)</f>
        <v>1</v>
      </c>
      <c r="H92" s="13">
        <f>ABS(Prices!B92-Prices!B91)/Prices!B91</f>
        <v>2.5493343404779027E-3</v>
      </c>
      <c r="I92" s="21"/>
      <c r="J92" s="4">
        <f t="shared" ca="1" si="15"/>
        <v>8.4523083843042086E-3</v>
      </c>
      <c r="K92" s="13"/>
      <c r="L92" s="13">
        <f ca="1">L91-O92*Prices!B92</f>
        <v>0.55937151828158371</v>
      </c>
      <c r="M92" s="4">
        <f t="shared" ca="1" si="16"/>
        <v>0.40561366587395381</v>
      </c>
      <c r="N92" s="13">
        <f ca="1">IF(Prices!B91&gt;OFFSET(Prices!B91,-$N$3,0),1,-1)</f>
        <v>1</v>
      </c>
      <c r="O92" s="4">
        <f ca="1">IF(N92=1,O$3*L91/Prices!B91,-O$3*M91)</f>
        <v>2.7801488965397154E-2</v>
      </c>
      <c r="P92" s="22"/>
      <c r="Q92" s="13">
        <f ca="1">Q91-T92*Prices!B92</f>
        <v>0.81823786892802719</v>
      </c>
      <c r="R92" s="4">
        <f t="shared" ca="1" si="17"/>
        <v>0.17414262522983651</v>
      </c>
      <c r="S92" s="13">
        <f ca="1">IF(Prices!D91&gt;OFFSET(Prices!D91,-S$3,0),1,-1)</f>
        <v>-1</v>
      </c>
      <c r="T92" s="4">
        <f ca="1">IF(S92=1,T$3*Q91/Prices!B91,-T$3*R91)</f>
        <v>-1.9349180581092945E-2</v>
      </c>
      <c r="V92" s="13"/>
      <c r="W92" s="4"/>
      <c r="X92" s="4"/>
      <c r="Y92" s="4"/>
      <c r="Z92" s="4"/>
      <c r="AA92" s="4"/>
      <c r="AB92" s="4"/>
      <c r="AC92" s="4"/>
      <c r="AD92" s="4"/>
      <c r="AE92" s="52"/>
    </row>
    <row r="93" spans="1:31" x14ac:dyDescent="0.2">
      <c r="A93" s="7">
        <v>42015</v>
      </c>
      <c r="B93" s="13">
        <f ca="1">Prices!B92*(1+J93/(50*(ABS(O93)+ABS(T93)+0.0001)))</f>
        <v>1.0406201874069168</v>
      </c>
      <c r="C93" s="62">
        <f t="shared" ca="1" si="12"/>
        <v>0</v>
      </c>
      <c r="D93" s="13">
        <f ca="1">D92+C93*(Prices!B93-Prices!B92)/Prices!B92</f>
        <v>-6.552115006133466E-2</v>
      </c>
      <c r="E93" s="13">
        <f t="shared" ca="1" si="13"/>
        <v>6.552115006133466E-2</v>
      </c>
      <c r="F93" s="13">
        <f t="shared" ca="1" si="14"/>
        <v>0</v>
      </c>
      <c r="G93" s="21">
        <f ca="1">IF((Prices!B93-Prices!B92)*C93&gt;0,1,0)</f>
        <v>0</v>
      </c>
      <c r="H93" s="13">
        <f>ABS(Prices!B93-Prices!B92)/Prices!B92</f>
        <v>1.0359766434356656E-2</v>
      </c>
      <c r="I93" s="21"/>
      <c r="J93" s="4">
        <f t="shared" ca="1" si="15"/>
        <v>-3.7694945816681341E-2</v>
      </c>
      <c r="K93" s="13"/>
      <c r="L93" s="13">
        <f ca="1">L92-O93*Prices!B93</f>
        <v>0.58112863531906256</v>
      </c>
      <c r="M93" s="4">
        <f t="shared" ca="1" si="16"/>
        <v>0.38533298258025611</v>
      </c>
      <c r="N93" s="13">
        <f ca="1">IF(Prices!B92&gt;OFFSET(Prices!B92,-$N$3,0),1,-1)</f>
        <v>-1</v>
      </c>
      <c r="O93" s="4">
        <f ca="1">IF(N93=1,O$3*L92/Prices!B92,-O$3*M92)</f>
        <v>-2.0280683293697692E-2</v>
      </c>
      <c r="P93" s="22"/>
      <c r="Q93" s="13">
        <f ca="1">Q92-T93*Prices!B93</f>
        <v>0.83691988976268405</v>
      </c>
      <c r="R93" s="4">
        <f t="shared" ca="1" si="17"/>
        <v>0.15672836270685286</v>
      </c>
      <c r="S93" s="13">
        <f ca="1">IF(Prices!D92&gt;OFFSET(Prices!D92,-S$3,0),1,-1)</f>
        <v>-1</v>
      </c>
      <c r="T93" s="4">
        <f ca="1">IF(S93=1,T$3*Q92/Prices!B92,-T$3*R92)</f>
        <v>-1.7414262522983653E-2</v>
      </c>
      <c r="V93" s="13"/>
      <c r="W93" s="4"/>
      <c r="X93" s="4"/>
      <c r="Y93" s="4"/>
      <c r="Z93" s="4"/>
      <c r="AA93" s="4"/>
      <c r="AB93" s="4"/>
      <c r="AC93" s="4"/>
      <c r="AD93" s="4"/>
      <c r="AE93" s="52"/>
    </row>
    <row r="94" spans="1:31" x14ac:dyDescent="0.2">
      <c r="A94" s="7">
        <v>42022</v>
      </c>
      <c r="B94" s="13">
        <f ca="1">Prices!B93*(1+J94/(50*(ABS(O94)+ABS(T94)+0.0001)))</f>
        <v>1.0785131712358231</v>
      </c>
      <c r="C94" s="62">
        <f t="shared" ca="1" si="12"/>
        <v>1</v>
      </c>
      <c r="D94" s="13">
        <f ca="1">D93+C94*(Prices!B94-Prices!B93)/Prices!B93</f>
        <v>-4.9954408823452541E-2</v>
      </c>
      <c r="E94" s="13">
        <f t="shared" ca="1" si="13"/>
        <v>4.9954408823452541E-2</v>
      </c>
      <c r="F94" s="13">
        <f t="shared" ca="1" si="14"/>
        <v>0</v>
      </c>
      <c r="G94" s="21">
        <f ca="1">IF((Prices!B94-Prices!B93)*C94&gt;0,1,0)</f>
        <v>1</v>
      </c>
      <c r="H94" s="13">
        <f>ABS(Prices!B94-Prices!B93)/Prices!B93</f>
        <v>1.5566741237882119E-2</v>
      </c>
      <c r="I94" s="21"/>
      <c r="J94" s="4">
        <f t="shared" ca="1" si="15"/>
        <v>1.1411831669241194E-2</v>
      </c>
      <c r="K94" s="13"/>
      <c r="L94" s="13">
        <f ca="1">L93-O94*Prices!B94</f>
        <v>0.55161988959851271</v>
      </c>
      <c r="M94" s="4">
        <f t="shared" ca="1" si="16"/>
        <v>0.41241765052018259</v>
      </c>
      <c r="N94" s="13">
        <f ca="1">IF(Prices!B93&gt;OFFSET(Prices!B93,-$N$3,0),1,-1)</f>
        <v>1</v>
      </c>
      <c r="O94" s="4">
        <f ca="1">IF(N94=1,O$3*L93/Prices!B93,-O$3*M93)</f>
        <v>2.708466793992648E-2</v>
      </c>
      <c r="P94" s="22"/>
      <c r="Q94" s="13">
        <f ca="1">Q93-T94*Prices!B94</f>
        <v>0.85399544487959567</v>
      </c>
      <c r="R94" s="4">
        <f t="shared" ca="1" si="17"/>
        <v>0.14105552643616759</v>
      </c>
      <c r="S94" s="13">
        <f ca="1">IF(Prices!D93&gt;OFFSET(Prices!D93,-S$3,0),1,-1)</f>
        <v>-1</v>
      </c>
      <c r="T94" s="4">
        <f ca="1">IF(S94=1,T$3*Q93/Prices!B93,-T$3*R93)</f>
        <v>-1.5672836270685286E-2</v>
      </c>
      <c r="V94" s="13"/>
      <c r="W94" s="4"/>
      <c r="X94" s="4"/>
      <c r="Y94" s="4"/>
      <c r="Z94" s="4"/>
      <c r="AA94" s="4"/>
      <c r="AB94" s="4"/>
      <c r="AC94" s="4"/>
      <c r="AD94" s="4"/>
      <c r="AE94" s="52"/>
    </row>
    <row r="95" spans="1:31" x14ac:dyDescent="0.2">
      <c r="A95" s="7">
        <v>42029</v>
      </c>
      <c r="B95" s="13">
        <f ca="1">Prices!B94*(1+J95/(50*(ABS(O95)+ABS(T95)+0.0001)))</f>
        <v>1.1112690075937057</v>
      </c>
      <c r="C95" s="62">
        <f t="shared" ca="1" si="12"/>
        <v>1</v>
      </c>
      <c r="D95" s="13">
        <f ca="1">D94+C95*(Prices!B95-Prices!B94)/Prices!B94</f>
        <v>-4.0500530897798391E-2</v>
      </c>
      <c r="E95" s="13">
        <f t="shared" ca="1" si="13"/>
        <v>4.0500530897798391E-2</v>
      </c>
      <c r="F95" s="13">
        <f t="shared" ca="1" si="14"/>
        <v>0</v>
      </c>
      <c r="G95" s="21">
        <f ca="1">IF((Prices!B95-Prices!B94)*C95&gt;0,1,0)</f>
        <v>1</v>
      </c>
      <c r="H95" s="13">
        <f>ABS(Prices!B95-Prices!B94)/Prices!B94</f>
        <v>9.4538779256541517E-3</v>
      </c>
      <c r="I95" s="21"/>
      <c r="J95" s="4">
        <f t="shared" ca="1" si="15"/>
        <v>0.10369943916281341</v>
      </c>
      <c r="K95" s="13"/>
      <c r="L95" s="13">
        <f ca="1">L94-O95*Prices!B95</f>
        <v>0.52377814776370568</v>
      </c>
      <c r="M95" s="4">
        <f t="shared" ca="1" si="16"/>
        <v>0.43773292769312949</v>
      </c>
      <c r="N95" s="13">
        <f ca="1">IF(Prices!B94&gt;OFFSET(Prices!B94,-$N$3,0),1,-1)</f>
        <v>1</v>
      </c>
      <c r="O95" s="4">
        <f ca="1">IF(N95=1,O$3*L94/Prices!B94,-O$3*M94)</f>
        <v>2.5315277172946894E-2</v>
      </c>
      <c r="P95" s="22"/>
      <c r="Q95" s="13">
        <f ca="1">Q94-T95*Prices!B95</f>
        <v>0.76778854352314041</v>
      </c>
      <c r="R95" s="4">
        <f t="shared" ca="1" si="17"/>
        <v>0.21943968842603412</v>
      </c>
      <c r="S95" s="13">
        <f ca="1">IF(Prices!D94&gt;OFFSET(Prices!D94,-S$3,0),1,-1)</f>
        <v>1</v>
      </c>
      <c r="T95" s="4">
        <f ca="1">IF(S95=1,T$3*Q94/Prices!B94,-T$3*R94)</f>
        <v>7.8384161989866516E-2</v>
      </c>
      <c r="V95" s="13"/>
      <c r="W95" s="4"/>
      <c r="X95" s="4"/>
      <c r="Y95" s="4"/>
      <c r="Z95" s="4"/>
      <c r="AA95" s="4"/>
      <c r="AB95" s="4"/>
      <c r="AC95" s="4"/>
      <c r="AD95" s="4"/>
      <c r="AE95" s="52"/>
    </row>
    <row r="96" spans="1:31" x14ac:dyDescent="0.2">
      <c r="A96" s="7">
        <v>42036</v>
      </c>
      <c r="B96" s="13">
        <f ca="1">Prices!B95*(1+J96/(50*(ABS(O96)+ABS(T96)+0.0001)))</f>
        <v>1.1217725311109932</v>
      </c>
      <c r="C96" s="62">
        <f t="shared" ca="1" si="12"/>
        <v>1</v>
      </c>
      <c r="D96" s="13">
        <f ca="1">D95+C96*(Prices!B96-Prices!B95)/Prices!B95</f>
        <v>-4.6592547628113129E-2</v>
      </c>
      <c r="E96" s="13">
        <f t="shared" ca="1" si="13"/>
        <v>4.6592547628113129E-2</v>
      </c>
      <c r="F96" s="13">
        <f t="shared" ca="1" si="14"/>
        <v>0</v>
      </c>
      <c r="G96" s="21">
        <f ca="1">IF((Prices!B96-Prices!B95)*C96&gt;0,1,0)</f>
        <v>0</v>
      </c>
      <c r="H96" s="13">
        <f>ABS(Prices!B96-Prices!B95)/Prices!B95</f>
        <v>6.0920167303147388E-3</v>
      </c>
      <c r="I96" s="21"/>
      <c r="J96" s="4">
        <f t="shared" ca="1" si="15"/>
        <v>9.362407868748801E-2</v>
      </c>
      <c r="K96" s="13"/>
      <c r="L96" s="13">
        <f ca="1">L95-O96*Prices!B96</f>
        <v>0.49774878363747788</v>
      </c>
      <c r="M96" s="4">
        <f t="shared" ca="1" si="16"/>
        <v>0.46154535485096299</v>
      </c>
      <c r="N96" s="13">
        <f ca="1">IF(Prices!B95&gt;OFFSET(Prices!B95,-$N$3,0),1,-1)</f>
        <v>1</v>
      </c>
      <c r="O96" s="4">
        <f ca="1">IF(N96=1,O$3*L95/Prices!B95,-O$3*M95)</f>
        <v>2.38124271578335E-2</v>
      </c>
      <c r="P96" s="22"/>
      <c r="Q96" s="13">
        <f ca="1">Q95-T96*Prices!B96</f>
        <v>0.69147742723607508</v>
      </c>
      <c r="R96" s="4">
        <f t="shared" ca="1" si="17"/>
        <v>0.28925133995568864</v>
      </c>
      <c r="S96" s="13">
        <f ca="1">IF(Prices!D95&gt;OFFSET(Prices!D95,-S$3,0),1,-1)</f>
        <v>1</v>
      </c>
      <c r="T96" s="4">
        <f ca="1">IF(S96=1,T$3*Q95/Prices!B95,-T$3*R95)</f>
        <v>6.9811651529654517E-2</v>
      </c>
      <c r="V96" s="13"/>
      <c r="W96" s="4"/>
      <c r="X96" s="4"/>
      <c r="Y96" s="4"/>
      <c r="Z96" s="4"/>
      <c r="AA96" s="4"/>
      <c r="AB96" s="4"/>
      <c r="AC96" s="4"/>
      <c r="AD96" s="4"/>
      <c r="AE96" s="52"/>
    </row>
    <row r="97" spans="1:31" x14ac:dyDescent="0.2">
      <c r="A97" s="7">
        <v>42043</v>
      </c>
      <c r="B97" s="13">
        <f ca="1">Prices!B96*(1+J97/(50*(ABS(O97)+ABS(T97)+0.0001)))</f>
        <v>1.1149366163033902</v>
      </c>
      <c r="C97" s="62">
        <f t="shared" ca="1" si="12"/>
        <v>1</v>
      </c>
      <c r="D97" s="13">
        <f ca="1">D96+C97*(Prices!B97-Prices!B96)/Prices!B96</f>
        <v>-2.1434739559317885E-2</v>
      </c>
      <c r="E97" s="13">
        <f t="shared" ca="1" si="13"/>
        <v>2.1434739559317885E-2</v>
      </c>
      <c r="F97" s="13">
        <f t="shared" ca="1" si="14"/>
        <v>0</v>
      </c>
      <c r="G97" s="21">
        <f ca="1">IF((Prices!B97-Prices!B96)*C97&gt;0,1,0)</f>
        <v>1</v>
      </c>
      <c r="H97" s="13">
        <f>ABS(Prices!B97-Prices!B96)/Prices!B96</f>
        <v>2.5157808068795244E-2</v>
      </c>
      <c r="I97" s="21"/>
      <c r="J97" s="4">
        <f t="shared" ca="1" si="15"/>
        <v>8.602614756699424E-2</v>
      </c>
      <c r="K97" s="13"/>
      <c r="L97" s="13">
        <f ca="1">L96-O97*Prices!B97</f>
        <v>0.47223523103734261</v>
      </c>
      <c r="M97" s="4">
        <f t="shared" ca="1" si="16"/>
        <v>0.48431311551501377</v>
      </c>
      <c r="N97" s="13">
        <f ca="1">IF(Prices!B96&gt;OFFSET(Prices!B96,-$N$3,0),1,-1)</f>
        <v>1</v>
      </c>
      <c r="O97" s="4">
        <f ca="1">IF(N97=1,O$3*L96/Prices!B96,-O$3*M96)</f>
        <v>2.2767760664050771E-2</v>
      </c>
      <c r="P97" s="22"/>
      <c r="Q97" s="13">
        <f ca="1">Q96-T97*Prices!B97</f>
        <v>0.62059007887263662</v>
      </c>
      <c r="R97" s="4">
        <f t="shared" ca="1" si="17"/>
        <v>0.35250972685863213</v>
      </c>
      <c r="S97" s="13">
        <f ca="1">IF(Prices!D96&gt;OFFSET(Prices!D96,-S$3,0),1,-1)</f>
        <v>1</v>
      </c>
      <c r="T97" s="4">
        <f ca="1">IF(S97=1,T$3*Q96/Prices!B96,-T$3*R96)</f>
        <v>6.325838690294347E-2</v>
      </c>
      <c r="V97" s="13"/>
      <c r="W97" s="4"/>
      <c r="X97" s="4"/>
      <c r="Y97" s="4"/>
      <c r="Z97" s="4"/>
      <c r="AA97" s="4"/>
      <c r="AB97" s="4"/>
      <c r="AC97" s="4"/>
      <c r="AD97" s="4"/>
      <c r="AE97" s="52"/>
    </row>
    <row r="98" spans="1:31" x14ac:dyDescent="0.2">
      <c r="A98" s="7">
        <v>42050</v>
      </c>
      <c r="B98" s="13">
        <f ca="1">Prices!B97*(1+J98/(50*(ABS(O98)+ABS(T98)+0.0001)))</f>
        <v>1.1429827227106355</v>
      </c>
      <c r="C98" s="62">
        <f t="shared" ca="1" si="12"/>
        <v>1</v>
      </c>
      <c r="D98" s="13">
        <f ca="1">D97+C98*(Prices!B98-Prices!B97)/Prices!B97</f>
        <v>-2.3487211449376755E-2</v>
      </c>
      <c r="E98" s="13">
        <f t="shared" ca="1" si="13"/>
        <v>2.3487211449376755E-2</v>
      </c>
      <c r="F98" s="13">
        <f t="shared" ca="1" si="14"/>
        <v>0</v>
      </c>
      <c r="G98" s="21">
        <f ca="1">IF((Prices!B98-Prices!B97)*C98&gt;0,1,0)</f>
        <v>0</v>
      </c>
      <c r="H98" s="13">
        <f>ABS(Prices!B98-Prices!B97)/Prices!B97</f>
        <v>2.0524718900588692E-3</v>
      </c>
      <c r="I98" s="21"/>
      <c r="J98" s="4">
        <f t="shared" ca="1" si="15"/>
        <v>7.6450802640666421E-2</v>
      </c>
      <c r="K98" s="13"/>
      <c r="L98" s="13">
        <f ca="1">L97-O98*Prices!B98</f>
        <v>0.44867193196233546</v>
      </c>
      <c r="M98" s="4">
        <f t="shared" ca="1" si="16"/>
        <v>0.50538375762804888</v>
      </c>
      <c r="N98" s="13">
        <f ca="1">IF(Prices!B97&gt;OFFSET(Prices!B97,-$N$3,0),1,-1)</f>
        <v>1</v>
      </c>
      <c r="O98" s="4">
        <f ca="1">IF(N98=1,O$3*L97/Prices!B97,-O$3*M97)</f>
        <v>2.1070642113035096E-2</v>
      </c>
      <c r="P98" s="22"/>
      <c r="Q98" s="13">
        <f ca="1">Q97-T98*Prices!B98</f>
        <v>0.55865844535458653</v>
      </c>
      <c r="R98" s="4">
        <f t="shared" ca="1" si="17"/>
        <v>0.40788988738626347</v>
      </c>
      <c r="S98" s="13">
        <f ca="1">IF(Prices!D97&gt;OFFSET(Prices!D97,-S$3,0),1,-1)</f>
        <v>1</v>
      </c>
      <c r="T98" s="4">
        <f ca="1">IF(S98=1,T$3*Q97/Prices!B97,-T$3*R97)</f>
        <v>5.5380160527631325E-2</v>
      </c>
      <c r="V98" s="13"/>
      <c r="W98" s="4"/>
      <c r="X98" s="4"/>
      <c r="Y98" s="4"/>
      <c r="Z98" s="4"/>
      <c r="AA98" s="4"/>
      <c r="AB98" s="4"/>
      <c r="AC98" s="4"/>
      <c r="AD98" s="4"/>
      <c r="AE98" s="52"/>
    </row>
    <row r="99" spans="1:31" x14ac:dyDescent="0.2">
      <c r="A99" s="7">
        <v>42057</v>
      </c>
      <c r="B99" s="13">
        <f ca="1">Prices!B98*(1+J99/(50*(ABS(O99)+ABS(T99)+0.0001)))</f>
        <v>1.140634101654981</v>
      </c>
      <c r="C99" s="62">
        <f t="shared" ca="1" si="12"/>
        <v>1</v>
      </c>
      <c r="D99" s="13">
        <f ca="1">D98+C99*(Prices!B99-Prices!B98)/Prices!B98</f>
        <v>-1.4902752896215858E-2</v>
      </c>
      <c r="E99" s="13">
        <f t="shared" ca="1" si="13"/>
        <v>1.4902752896215858E-2</v>
      </c>
      <c r="F99" s="13">
        <f t="shared" ca="1" si="14"/>
        <v>0</v>
      </c>
      <c r="G99" s="21">
        <f ca="1">IF((Prices!B99-Prices!B98)*C99&gt;0,1,0)</f>
        <v>1</v>
      </c>
      <c r="H99" s="13">
        <f>ABS(Prices!B99-Prices!B98)/Prices!B98</f>
        <v>8.584458553160897E-3</v>
      </c>
      <c r="I99" s="21"/>
      <c r="J99" s="4">
        <f t="shared" ca="1" si="15"/>
        <v>7.001649032779704E-2</v>
      </c>
      <c r="K99" s="13"/>
      <c r="L99" s="13">
        <f ca="1">L98-O99*Prices!B99</f>
        <v>0.42604575508402381</v>
      </c>
      <c r="M99" s="4">
        <f t="shared" ca="1" si="16"/>
        <v>0.52544420348168097</v>
      </c>
      <c r="N99" s="13">
        <f ca="1">IF(Prices!B98&gt;OFFSET(Prices!B98,-$N$3,0),1,-1)</f>
        <v>1</v>
      </c>
      <c r="O99" s="4">
        <f ca="1">IF(N99=1,O$3*L98/Prices!B98,-O$3*M98)</f>
        <v>2.0060445853632095E-2</v>
      </c>
      <c r="P99" s="22"/>
      <c r="Q99" s="13">
        <f ca="1">Q98-T99*Prices!B99</f>
        <v>0.50231302279217593</v>
      </c>
      <c r="R99" s="4">
        <f t="shared" ca="1" si="17"/>
        <v>0.45784593186042843</v>
      </c>
      <c r="S99" s="13">
        <f ca="1">IF(Prices!D98&gt;OFFSET(Prices!D98,-S$3,0),1,-1)</f>
        <v>1</v>
      </c>
      <c r="T99" s="4">
        <f ca="1">IF(S99=1,T$3*Q98/Prices!B98,-T$3*R98)</f>
        <v>4.9956044474164941E-2</v>
      </c>
      <c r="V99" s="13"/>
      <c r="W99" s="4"/>
      <c r="X99" s="4"/>
      <c r="Y99" s="4"/>
      <c r="Z99" s="4"/>
      <c r="AA99" s="4"/>
      <c r="AB99" s="4"/>
      <c r="AC99" s="4"/>
      <c r="AD99" s="4"/>
      <c r="AE99" s="52"/>
    </row>
    <row r="100" spans="1:31" x14ac:dyDescent="0.2">
      <c r="A100" s="7">
        <v>42064</v>
      </c>
      <c r="B100" s="13">
        <f ca="1">Prices!B99*(1+J100/(50*(ABS(O100)+ABS(T100)+0.0001)))</f>
        <v>1.1504224878524383</v>
      </c>
      <c r="C100" s="62">
        <f t="shared" ca="1" si="12"/>
        <v>1</v>
      </c>
      <c r="D100" s="13">
        <f ca="1">D99+C100*(Prices!B100-Prices!B99)/Prices!B99</f>
        <v>-2.2350221643445189E-2</v>
      </c>
      <c r="E100" s="13">
        <f t="shared" ca="1" si="13"/>
        <v>2.2350221643445189E-2</v>
      </c>
      <c r="F100" s="13">
        <f t="shared" ca="1" si="14"/>
        <v>0</v>
      </c>
      <c r="G100" s="21">
        <f ca="1">IF((Prices!B100-Prices!B99)*C100&gt;0,1,0)</f>
        <v>0</v>
      </c>
      <c r="H100" s="13">
        <f>ABS(Prices!B100-Prices!B99)/Prices!B99</f>
        <v>7.4474687472293319E-3</v>
      </c>
      <c r="I100" s="21"/>
      <c r="J100" s="4">
        <f t="shared" ca="1" si="15"/>
        <v>6.3421925732262435E-2</v>
      </c>
      <c r="K100" s="13"/>
      <c r="L100" s="13">
        <f ca="1">L99-O100*Prices!B100</f>
        <v>0.40490211545211652</v>
      </c>
      <c r="M100" s="4">
        <f t="shared" ca="1" si="16"/>
        <v>0.5443308847071453</v>
      </c>
      <c r="N100" s="13">
        <f ca="1">IF(Prices!B99&gt;OFFSET(Prices!B99,-$N$3,0),1,-1)</f>
        <v>1</v>
      </c>
      <c r="O100" s="4">
        <f ca="1">IF(N100=1,O$3*L99/Prices!B99,-O$3*M99)</f>
        <v>1.8886681225464306E-2</v>
      </c>
      <c r="P100" s="22"/>
      <c r="Q100" s="13">
        <f ca="1">Q99-T100*Prices!B100</f>
        <v>0.45245581656681544</v>
      </c>
      <c r="R100" s="4">
        <f t="shared" ca="1" si="17"/>
        <v>0.50238117636722657</v>
      </c>
      <c r="S100" s="13">
        <f ca="1">IF(Prices!D99&gt;OFFSET(Prices!D99,-S$3,0),1,-1)</f>
        <v>1</v>
      </c>
      <c r="T100" s="4">
        <f ca="1">IF(S100=1,T$3*Q99/Prices!B99,-T$3*R99)</f>
        <v>4.4535244506798126E-2</v>
      </c>
      <c r="V100" s="13"/>
      <c r="W100" s="4"/>
      <c r="X100" s="4"/>
      <c r="Y100" s="4"/>
      <c r="Z100" s="4"/>
      <c r="AA100" s="4"/>
      <c r="AB100" s="4"/>
      <c r="AC100" s="4"/>
      <c r="AD100" s="4"/>
      <c r="AE100" s="52"/>
    </row>
    <row r="101" spans="1:31" x14ac:dyDescent="0.2">
      <c r="A101" s="7">
        <v>42071</v>
      </c>
      <c r="B101" s="13">
        <f ca="1">Prices!B100*(1+J101/(50*(ABS(O101)+ABS(T101)+0.0001)))</f>
        <v>1.1418517917724313</v>
      </c>
      <c r="C101" s="62">
        <f t="shared" ca="1" si="12"/>
        <v>1</v>
      </c>
      <c r="D101" s="13">
        <f ca="1">D100+C101*(Prices!B101-Prices!B100)/Prices!B100</f>
        <v>-2.2082244868099083E-2</v>
      </c>
      <c r="E101" s="13">
        <f t="shared" ca="1" si="13"/>
        <v>2.2082244868099083E-2</v>
      </c>
      <c r="F101" s="13">
        <f t="shared" ca="1" si="14"/>
        <v>0</v>
      </c>
      <c r="G101" s="21">
        <f ca="1">IF((Prices!B101-Prices!B100)*C101&gt;0,1,0)</f>
        <v>1</v>
      </c>
      <c r="H101" s="13">
        <f>ABS(Prices!B101-Prices!B100)/Prices!B100</f>
        <v>2.6797677534610715E-4</v>
      </c>
      <c r="I101" s="21"/>
      <c r="J101" s="4">
        <f t="shared" ca="1" si="15"/>
        <v>5.8499944108340668E-2</v>
      </c>
      <c r="K101" s="13"/>
      <c r="L101" s="13">
        <f ca="1">L100-O101*Prices!B101</f>
        <v>0.38465158446134923</v>
      </c>
      <c r="M101" s="4">
        <f t="shared" ca="1" si="16"/>
        <v>0.56241494524542657</v>
      </c>
      <c r="N101" s="13">
        <f ca="1">IF(Prices!B100&gt;OFFSET(Prices!B100,-$N$3,0),1,-1)</f>
        <v>1</v>
      </c>
      <c r="O101" s="4">
        <f ca="1">IF(N101=1,O$3*L100/Prices!B100,-O$3*M100)</f>
        <v>1.8084060538281221E-2</v>
      </c>
      <c r="P101" s="22"/>
      <c r="Q101" s="13">
        <f ca="1">Q100-T101*Prices!B101</f>
        <v>0.40719811014506285</v>
      </c>
      <c r="R101" s="4">
        <f t="shared" ca="1" si="17"/>
        <v>0.542797059937286</v>
      </c>
      <c r="S101" s="13">
        <f ca="1">IF(Prices!D100&gt;OFFSET(Prices!D100,-S$3,0),1,-1)</f>
        <v>1</v>
      </c>
      <c r="T101" s="4">
        <f ca="1">IF(S101=1,T$3*Q100/Prices!B100,-T$3*R100)</f>
        <v>4.0415883570059451E-2</v>
      </c>
      <c r="V101" s="13"/>
      <c r="W101" s="4"/>
      <c r="X101" s="4"/>
      <c r="Y101" s="4"/>
      <c r="Z101" s="4"/>
      <c r="AA101" s="4"/>
      <c r="AB101" s="4"/>
      <c r="AC101" s="4"/>
      <c r="AD101" s="4"/>
      <c r="AE101" s="52"/>
    </row>
    <row r="102" spans="1:31" x14ac:dyDescent="0.2">
      <c r="A102" s="7">
        <v>42078</v>
      </c>
      <c r="B102" s="13">
        <f ca="1">Prices!B101*(1+J102/(50*(ABS(O102)+ABS(T102)+0.0001)))</f>
        <v>1.1421542463934926</v>
      </c>
      <c r="C102" s="62">
        <f t="shared" ca="1" si="12"/>
        <v>1</v>
      </c>
      <c r="D102" s="13">
        <f ca="1">D101+C102*(Prices!B102-Prices!B101)/Prices!B101</f>
        <v>-2.2439451512142623E-2</v>
      </c>
      <c r="E102" s="13">
        <f t="shared" ca="1" si="13"/>
        <v>2.2439451512142623E-2</v>
      </c>
      <c r="F102" s="13">
        <f t="shared" ca="1" si="14"/>
        <v>0</v>
      </c>
      <c r="G102" s="21">
        <f ca="1">IF((Prices!B102-Prices!B101)*C102&gt;0,1,0)</f>
        <v>0</v>
      </c>
      <c r="H102" s="13">
        <f>ABS(Prices!B102-Prices!B101)/Prices!B101</f>
        <v>3.572066440435399E-4</v>
      </c>
      <c r="I102" s="21"/>
      <c r="J102" s="4">
        <f t="shared" ca="1" si="15"/>
        <v>5.3538480297886909E-2</v>
      </c>
      <c r="K102" s="13"/>
      <c r="L102" s="13">
        <f ca="1">L101-O102*Prices!B102</f>
        <v>0.36542587524336234</v>
      </c>
      <c r="M102" s="4">
        <f t="shared" ca="1" si="16"/>
        <v>0.57958995794686208</v>
      </c>
      <c r="N102" s="13">
        <f ca="1">IF(Prices!B101&gt;OFFSET(Prices!B101,-$N$3,0),1,-1)</f>
        <v>1</v>
      </c>
      <c r="O102" s="4">
        <f ca="1">IF(N102=1,O$3*L101/Prices!B101,-O$3*M101)</f>
        <v>1.7175012701435493E-2</v>
      </c>
      <c r="P102" s="22"/>
      <c r="Q102" s="13">
        <f ca="1">Q101-T102*Prices!B102</f>
        <v>0.36649284451759512</v>
      </c>
      <c r="R102" s="4">
        <f t="shared" ca="1" si="17"/>
        <v>0.57916052753373737</v>
      </c>
      <c r="S102" s="13">
        <f ca="1">IF(Prices!D101&gt;OFFSET(Prices!D101,-S$3,0),1,-1)</f>
        <v>1</v>
      </c>
      <c r="T102" s="4">
        <f ca="1">IF(S102=1,T$3*Q101/Prices!B101,-T$3*R101)</f>
        <v>3.6363467596451413E-2</v>
      </c>
      <c r="V102" s="13"/>
      <c r="W102" s="4"/>
      <c r="X102" s="4"/>
      <c r="Y102" s="4"/>
      <c r="Z102" s="4"/>
      <c r="AA102" s="4"/>
      <c r="AB102" s="4"/>
      <c r="AC102" s="4"/>
      <c r="AD102" s="4"/>
      <c r="AE102" s="52"/>
    </row>
    <row r="103" spans="1:31" x14ac:dyDescent="0.2">
      <c r="A103" s="7">
        <v>42085</v>
      </c>
      <c r="B103" s="13">
        <f ca="1">Prices!B102*(1+J103/(50*(ABS(O103)+ABS(T103)+0.0001)))</f>
        <v>1.1417424612385305</v>
      </c>
      <c r="C103" s="62">
        <f t="shared" ca="1" si="12"/>
        <v>1</v>
      </c>
      <c r="D103" s="13">
        <f ca="1">D102+C103*(Prices!B103-Prices!B102)/Prices!B102</f>
        <v>-1.7140629111062552E-3</v>
      </c>
      <c r="E103" s="13">
        <f t="shared" ca="1" si="13"/>
        <v>1.7140629111062552E-3</v>
      </c>
      <c r="F103" s="13">
        <f t="shared" ca="1" si="14"/>
        <v>0</v>
      </c>
      <c r="G103" s="21">
        <f ca="1">IF((Prices!B103-Prices!B102)*C103&gt;0,1,0)</f>
        <v>1</v>
      </c>
      <c r="H103" s="13">
        <f>ABS(Prices!B103-Prices!B102)/Prices!B102</f>
        <v>2.0725388601036367E-2</v>
      </c>
      <c r="I103" s="21"/>
      <c r="J103" s="4">
        <f t="shared" ca="1" si="15"/>
        <v>4.9062514037812789E-2</v>
      </c>
      <c r="K103" s="13"/>
      <c r="L103" s="13">
        <f ca="1">L102-O103*Prices!B103</f>
        <v>0.3467759018177296</v>
      </c>
      <c r="M103" s="4">
        <f t="shared" ca="1" si="16"/>
        <v>0.59591235723413039</v>
      </c>
      <c r="N103" s="13">
        <f ca="1">IF(Prices!B102&gt;OFFSET(Prices!B102,-$N$3,0),1,-1)</f>
        <v>1</v>
      </c>
      <c r="O103" s="4">
        <f ca="1">IF(N103=1,O$3*L102/Prices!B102,-O$3*M102)</f>
        <v>1.6322399287268287E-2</v>
      </c>
      <c r="P103" s="22"/>
      <c r="Q103" s="13">
        <f ca="1">Q102-T103*Prices!B103</f>
        <v>0.32908398940362299</v>
      </c>
      <c r="R103" s="4">
        <f t="shared" ca="1" si="17"/>
        <v>0.61190064228428187</v>
      </c>
      <c r="S103" s="13">
        <f ca="1">IF(Prices!D102&gt;OFFSET(Prices!D102,-S$3,0),1,-1)</f>
        <v>1</v>
      </c>
      <c r="T103" s="4">
        <f ca="1">IF(S103=1,T$3*Q102/Prices!B102,-T$3*R102)</f>
        <v>3.2740114750544502E-2</v>
      </c>
      <c r="V103" s="13"/>
      <c r="W103" s="4"/>
      <c r="X103" s="4"/>
      <c r="Y103" s="4"/>
      <c r="Z103" s="4"/>
      <c r="AA103" s="4"/>
      <c r="AB103" s="4"/>
      <c r="AC103" s="4"/>
      <c r="AD103" s="4"/>
      <c r="AE103" s="52"/>
    </row>
    <row r="104" spans="1:31" x14ac:dyDescent="0.2">
      <c r="A104" s="7">
        <v>42092</v>
      </c>
      <c r="B104" s="13">
        <f ca="1">Prices!B103*(1+J104/(50*(ABS(O104)+ABS(T104)+0.0001)))</f>
        <v>1.1654001534127594</v>
      </c>
      <c r="C104" s="62">
        <f t="shared" ca="1" si="12"/>
        <v>1</v>
      </c>
      <c r="D104" s="13">
        <f ca="1">D103+C104*(Prices!B104-Prices!B103)/Prices!B103</f>
        <v>-3.9020552093735131E-3</v>
      </c>
      <c r="E104" s="13">
        <f t="shared" ca="1" si="13"/>
        <v>3.9020552093735131E-3</v>
      </c>
      <c r="F104" s="13">
        <f t="shared" ca="1" si="14"/>
        <v>0</v>
      </c>
      <c r="G104" s="21">
        <f ca="1">IF((Prices!B104-Prices!B103)*C104&gt;0,1,0)</f>
        <v>0</v>
      </c>
      <c r="H104" s="13">
        <f>ABS(Prices!B104-Prices!B103)/Prices!B103</f>
        <v>2.1879922982672578E-3</v>
      </c>
      <c r="I104" s="21"/>
      <c r="J104" s="4">
        <f t="shared" ca="1" si="15"/>
        <v>4.3976189419962175E-2</v>
      </c>
      <c r="K104" s="13"/>
      <c r="L104" s="13">
        <f ca="1">L103-O104*Prices!B104</f>
        <v>0.32947504387696319</v>
      </c>
      <c r="M104" s="4">
        <f t="shared" ca="1" si="16"/>
        <v>0.61108721728216686</v>
      </c>
      <c r="N104" s="13">
        <f ca="1">IF(Prices!B103&gt;OFFSET(Prices!B103,-$N$3,0),1,-1)</f>
        <v>1</v>
      </c>
      <c r="O104" s="4">
        <f ca="1">IF(N104=1,O$3*L103/Prices!B103,-O$3*M103)</f>
        <v>1.5174860048036478E-2</v>
      </c>
      <c r="P104" s="22"/>
      <c r="Q104" s="13">
        <f ca="1">Q103-T104*Prices!B104</f>
        <v>0.29624759378669052</v>
      </c>
      <c r="R104" s="4">
        <f t="shared" ca="1" si="17"/>
        <v>0.64070197165620757</v>
      </c>
      <c r="S104" s="13">
        <f ca="1">IF(Prices!D103&gt;OFFSET(Prices!D103,-S$3,0),1,-1)</f>
        <v>1</v>
      </c>
      <c r="T104" s="4">
        <f ca="1">IF(S104=1,T$3*Q103/Prices!B103,-T$3*R103)</f>
        <v>2.8801329371925696E-2</v>
      </c>
      <c r="V104" s="13"/>
      <c r="W104" s="4"/>
      <c r="X104" s="4"/>
      <c r="Y104" s="4"/>
      <c r="Z104" s="4"/>
      <c r="AA104" s="4"/>
      <c r="AB104" s="4"/>
      <c r="AC104" s="4"/>
      <c r="AD104" s="4"/>
      <c r="AE104" s="52"/>
    </row>
    <row r="105" spans="1:31" x14ac:dyDescent="0.2">
      <c r="A105" s="7">
        <v>42099</v>
      </c>
      <c r="B105" s="13">
        <f ca="1">Prices!B104*(1+J105/(50*(ABS(O105)+ABS(T105)+0.0001)))</f>
        <v>1.1628457456357815</v>
      </c>
      <c r="C105" s="62">
        <f t="shared" ca="1" si="12"/>
        <v>1</v>
      </c>
      <c r="D105" s="13">
        <f ca="1">D104+C105*(Prices!B105-Prices!B104)/Prices!B104</f>
        <v>2.1500454835482732E-3</v>
      </c>
      <c r="E105" s="13">
        <f t="shared" ca="1" si="13"/>
        <v>0</v>
      </c>
      <c r="F105" s="13">
        <f t="shared" ca="1" si="14"/>
        <v>2.1500454835482732E-3</v>
      </c>
      <c r="G105" s="21">
        <f ca="1">IF((Prices!B105-Prices!B104)*C105&gt;0,1,0)</f>
        <v>1</v>
      </c>
      <c r="H105" s="13">
        <f>ABS(Prices!B105-Prices!B104)/Prices!B104</f>
        <v>6.0521006929217863E-3</v>
      </c>
      <c r="I105" s="21"/>
      <c r="J105" s="4">
        <f t="shared" ca="1" si="15"/>
        <v>4.0433744033433222E-2</v>
      </c>
      <c r="K105" s="13"/>
      <c r="L105" s="13">
        <f ca="1">L104-O105*Prices!B105</f>
        <v>0.31290159087604763</v>
      </c>
      <c r="M105" s="4">
        <f t="shared" ca="1" si="16"/>
        <v>0.62553660961077673</v>
      </c>
      <c r="N105" s="13">
        <f ca="1">IF(Prices!B104&gt;OFFSET(Prices!B104,-$N$3,0),1,-1)</f>
        <v>1</v>
      </c>
      <c r="O105" s="4">
        <f ca="1">IF(N105=1,O$3*L104/Prices!B104,-O$3*M104)</f>
        <v>1.4449392328609914E-2</v>
      </c>
      <c r="P105" s="22"/>
      <c r="Q105" s="13">
        <f ca="1">Q104-T105*Prices!B105</f>
        <v>0.26644354238125817</v>
      </c>
      <c r="R105" s="4">
        <f t="shared" ca="1" si="17"/>
        <v>0.66668632336103084</v>
      </c>
      <c r="S105" s="13">
        <f ca="1">IF(Prices!D104&gt;OFFSET(Prices!D104,-S$3,0),1,-1)</f>
        <v>1</v>
      </c>
      <c r="T105" s="4">
        <f ca="1">IF(S105=1,T$3*Q104/Prices!B104,-T$3*R104)</f>
        <v>2.598435170482331E-2</v>
      </c>
      <c r="V105" s="13"/>
      <c r="W105" s="4"/>
      <c r="X105" s="4"/>
      <c r="Y105" s="4"/>
      <c r="Z105" s="4"/>
      <c r="AA105" s="4"/>
      <c r="AB105" s="4"/>
      <c r="AC105" s="4"/>
      <c r="AD105" s="4"/>
      <c r="AE105" s="52"/>
    </row>
    <row r="106" spans="1:31" x14ac:dyDescent="0.2">
      <c r="A106" s="7">
        <v>42106</v>
      </c>
      <c r="B106" s="13">
        <f ca="1">Prices!B105*(1+J106/(50*(ABS(O106)+ABS(T106)+0.0001)))</f>
        <v>1.1698779490213496</v>
      </c>
      <c r="C106" s="62">
        <f t="shared" ca="1" si="12"/>
        <v>1</v>
      </c>
      <c r="D106" s="13">
        <f ca="1">D105+C106*(Prices!B106-Prices!B105)/Prices!B105</f>
        <v>1.8976549406826474E-2</v>
      </c>
      <c r="E106" s="13">
        <f t="shared" ca="1" si="13"/>
        <v>0</v>
      </c>
      <c r="F106" s="13">
        <f t="shared" ca="1" si="14"/>
        <v>1.8976549406826474E-2</v>
      </c>
      <c r="G106" s="21">
        <f ca="1">IF((Prices!B106-Prices!B105)*C106&gt;0,1,0)</f>
        <v>1</v>
      </c>
      <c r="H106" s="13">
        <f>ABS(Prices!B106-Prices!B105)/Prices!B105</f>
        <v>1.68265039232782E-2</v>
      </c>
      <c r="I106" s="21"/>
      <c r="J106" s="4">
        <f t="shared" ca="1" si="15"/>
        <v>3.68696022510272E-2</v>
      </c>
      <c r="K106" s="13"/>
      <c r="L106" s="13">
        <f ca="1">L105-O106*Prices!B106</f>
        <v>0.29699325933992149</v>
      </c>
      <c r="M106" s="4">
        <f t="shared" ca="1" si="16"/>
        <v>0.63917660921304553</v>
      </c>
      <c r="N106" s="13">
        <f ca="1">IF(Prices!B105&gt;OFFSET(Prices!B105,-$N$3,0),1,-1)</f>
        <v>1</v>
      </c>
      <c r="O106" s="4">
        <f ca="1">IF(N106=1,O$3*L105/Prices!B105,-O$3*M105)</f>
        <v>1.3639999602268858E-2</v>
      </c>
      <c r="P106" s="22"/>
      <c r="Q106" s="13">
        <f ca="1">Q105-T106*Prices!B106</f>
        <v>0.23935085681201132</v>
      </c>
      <c r="R106" s="4">
        <f t="shared" ca="1" si="17"/>
        <v>0.68991592600978924</v>
      </c>
      <c r="S106" s="13">
        <f ca="1">IF(Prices!D105&gt;OFFSET(Prices!D105,-S$3,0),1,-1)</f>
        <v>1</v>
      </c>
      <c r="T106" s="4">
        <f ca="1">IF(S106=1,T$3*Q105/Prices!B105,-T$3*R105)</f>
        <v>2.3229602648758344E-2</v>
      </c>
      <c r="V106" s="13"/>
      <c r="W106" s="4"/>
      <c r="X106" s="4"/>
      <c r="Y106" s="4"/>
      <c r="Z106" s="4"/>
      <c r="AA106" s="4"/>
      <c r="AB106" s="4"/>
      <c r="AC106" s="4"/>
      <c r="AD106" s="4"/>
      <c r="AE106" s="52"/>
    </row>
    <row r="107" spans="1:31" x14ac:dyDescent="0.2">
      <c r="A107" s="7">
        <v>42113</v>
      </c>
      <c r="B107" s="13">
        <f ca="1">Prices!B106*(1+J107/(50*(ABS(O107)+ABS(T107)+0.0001)))</f>
        <v>1.18955606645331</v>
      </c>
      <c r="C107" s="62">
        <f t="shared" ca="1" si="12"/>
        <v>1</v>
      </c>
      <c r="D107" s="13">
        <f ca="1">D106+C107*(Prices!B107-Prices!B106)/Prices!B106</f>
        <v>2.6521777907212239E-2</v>
      </c>
      <c r="E107" s="13">
        <f t="shared" ca="1" si="13"/>
        <v>0</v>
      </c>
      <c r="F107" s="13">
        <f t="shared" ca="1" si="14"/>
        <v>2.6521777907212239E-2</v>
      </c>
      <c r="G107" s="21">
        <f ca="1">IF((Prices!B107-Prices!B106)*C107&gt;0,1,0)</f>
        <v>1</v>
      </c>
      <c r="H107" s="13">
        <f>ABS(Prices!B107-Prices!B106)/Prices!B106</f>
        <v>7.5452285003857651E-3</v>
      </c>
      <c r="I107" s="21"/>
      <c r="J107" s="4">
        <f t="shared" ca="1" si="15"/>
        <v>3.3254521690986201E-2</v>
      </c>
      <c r="K107" s="13"/>
      <c r="L107" s="13">
        <f ca="1">L106-O107*Prices!B107</f>
        <v>0.28203155227268573</v>
      </c>
      <c r="M107" s="4">
        <f t="shared" ca="1" si="16"/>
        <v>0.65190889333119362</v>
      </c>
      <c r="N107" s="13">
        <f ca="1">IF(Prices!B106&gt;OFFSET(Prices!B106,-$N$3,0),1,-1)</f>
        <v>1</v>
      </c>
      <c r="O107" s="4">
        <f ca="1">IF(N107=1,O$3*L106/Prices!B106,-O$3*M106)</f>
        <v>1.2732284118148052E-2</v>
      </c>
      <c r="P107" s="22"/>
      <c r="Q107" s="13">
        <f ca="1">Q106-T107*Prices!B107</f>
        <v>0.21523517544016921</v>
      </c>
      <c r="R107" s="4">
        <f t="shared" ca="1" si="17"/>
        <v>0.71043816358262735</v>
      </c>
      <c r="S107" s="13">
        <f ca="1">IF(Prices!D106&gt;OFFSET(Prices!D106,-S$3,0),1,-1)</f>
        <v>1</v>
      </c>
      <c r="T107" s="4">
        <f ca="1">IF(S107=1,T$3*Q106/Prices!B106,-T$3*R106)</f>
        <v>2.0522237572838147E-2</v>
      </c>
      <c r="V107" s="13"/>
      <c r="W107" s="4"/>
      <c r="X107" s="4"/>
      <c r="Y107" s="4"/>
      <c r="Z107" s="4"/>
      <c r="AA107" s="4"/>
      <c r="AB107" s="4"/>
      <c r="AC107" s="4"/>
      <c r="AD107" s="4"/>
      <c r="AE107" s="52"/>
    </row>
    <row r="108" spans="1:31" x14ac:dyDescent="0.2">
      <c r="A108" s="7">
        <v>42120</v>
      </c>
      <c r="B108" s="13">
        <f ca="1">Prices!B107*(1+J108/(50*(ABS(O108)+ABS(T108)+0.0001)))</f>
        <v>1.1985247331077906</v>
      </c>
      <c r="C108" s="62">
        <f t="shared" ca="1" si="12"/>
        <v>1</v>
      </c>
      <c r="D108" s="13">
        <f ca="1">D107+C108*(Prices!B108-Prices!B107)/Prices!B107</f>
        <v>2.8393958998183203E-2</v>
      </c>
      <c r="E108" s="13">
        <f t="shared" ca="1" si="13"/>
        <v>0</v>
      </c>
      <c r="F108" s="13">
        <f t="shared" ca="1" si="14"/>
        <v>2.8393958998183203E-2</v>
      </c>
      <c r="G108" s="21">
        <f ca="1">IF((Prices!B108-Prices!B107)*C108&gt;0,1,0)</f>
        <v>1</v>
      </c>
      <c r="H108" s="13">
        <f>ABS(Prices!B108-Prices!B107)/Prices!B107</f>
        <v>1.8721810909709639E-3</v>
      </c>
      <c r="I108" s="21"/>
      <c r="J108" s="4">
        <f t="shared" ca="1" si="15"/>
        <v>3.0316649780998385E-2</v>
      </c>
      <c r="K108" s="13"/>
      <c r="L108" s="13">
        <f ca="1">L107-O108*Prices!B108</f>
        <v>0.26790357395209036</v>
      </c>
      <c r="M108" s="4">
        <f t="shared" ca="1" si="16"/>
        <v>0.66390921467715081</v>
      </c>
      <c r="N108" s="13">
        <f ca="1">IF(Prices!B107&gt;OFFSET(Prices!B107,-$N$3,0),1,-1)</f>
        <v>1</v>
      </c>
      <c r="O108" s="4">
        <f ca="1">IF(N108=1,O$3*L107/Prices!B107,-O$3*M107)</f>
        <v>1.2000321345957183E-2</v>
      </c>
      <c r="P108" s="22"/>
      <c r="Q108" s="13">
        <f ca="1">Q107-T108*Prices!B108</f>
        <v>0.19367136197359519</v>
      </c>
      <c r="R108" s="4">
        <f t="shared" ca="1" si="17"/>
        <v>0.72875449201766851</v>
      </c>
      <c r="S108" s="13">
        <f ca="1">IF(Prices!D107&gt;OFFSET(Prices!D107,-S$3,0),1,-1)</f>
        <v>1</v>
      </c>
      <c r="T108" s="4">
        <f ca="1">IF(S108=1,T$3*Q107/Prices!B107,-T$3*R107)</f>
        <v>1.8316328435041204E-2</v>
      </c>
      <c r="V108" s="13"/>
      <c r="W108" s="4"/>
      <c r="X108" s="4"/>
      <c r="Y108" s="4"/>
      <c r="Z108" s="4"/>
      <c r="AA108" s="4"/>
      <c r="AB108" s="4"/>
      <c r="AC108" s="4"/>
      <c r="AD108" s="4"/>
      <c r="AE108" s="52"/>
    </row>
    <row r="109" spans="1:31" x14ac:dyDescent="0.2">
      <c r="A109" s="7">
        <v>42127</v>
      </c>
      <c r="B109" s="13">
        <f ca="1">Prices!B108*(1+J109/(50*(ABS(O109)+ABS(T109)+0.0001)))</f>
        <v>1.2007616913991797</v>
      </c>
      <c r="C109" s="62">
        <f t="shared" ca="1" si="12"/>
        <v>1</v>
      </c>
      <c r="D109" s="13">
        <f ca="1">D108+C109*(Prices!B109-Prices!B108)/Prices!B108</f>
        <v>3.2471084624616495E-2</v>
      </c>
      <c r="E109" s="13">
        <f t="shared" ca="1" si="13"/>
        <v>0</v>
      </c>
      <c r="F109" s="13">
        <f t="shared" ca="1" si="14"/>
        <v>3.2471084624616495E-2</v>
      </c>
      <c r="G109" s="21">
        <f ca="1">IF((Prices!B109-Prices!B108)*C109&gt;0,1,0)</f>
        <v>1</v>
      </c>
      <c r="H109" s="13">
        <f>ABS(Prices!B109-Prices!B108)/Prices!B108</f>
        <v>4.0771256264332924E-3</v>
      </c>
      <c r="I109" s="21"/>
      <c r="J109" s="4">
        <f t="shared" ca="1" si="15"/>
        <v>2.7828348674903625E-2</v>
      </c>
      <c r="K109" s="13"/>
      <c r="L109" s="13">
        <f ca="1">L108-O109*Prices!B109</f>
        <v>0.25445378142814717</v>
      </c>
      <c r="M109" s="4">
        <f t="shared" ca="1" si="16"/>
        <v>0.67528709516437113</v>
      </c>
      <c r="N109" s="13">
        <f ca="1">IF(Prices!B108&gt;OFFSET(Prices!B108,-$N$3,0),1,-1)</f>
        <v>1</v>
      </c>
      <c r="O109" s="4">
        <f ca="1">IF(N109=1,O$3*L108/Prices!B108,-O$3*M108)</f>
        <v>1.1377880487220351E-2</v>
      </c>
      <c r="P109" s="22"/>
      <c r="Q109" s="13">
        <f ca="1">Q108-T109*Prices!B109</f>
        <v>0.1742252635289348</v>
      </c>
      <c r="R109" s="4">
        <f t="shared" ca="1" si="17"/>
        <v>0.74520496020535176</v>
      </c>
      <c r="S109" s="13">
        <f ca="1">IF(Prices!D108&gt;OFFSET(Prices!D108,-S$3,0),1,-1)</f>
        <v>1</v>
      </c>
      <c r="T109" s="4">
        <f ca="1">IF(S109=1,T$3*Q108/Prices!B108,-T$3*R108)</f>
        <v>1.6450468187683275E-2</v>
      </c>
      <c r="V109" s="13"/>
      <c r="W109" s="4"/>
      <c r="X109" s="4"/>
      <c r="Y109" s="4"/>
      <c r="Z109" s="4"/>
      <c r="AA109" s="4"/>
      <c r="AB109" s="4"/>
      <c r="AC109" s="4"/>
      <c r="AD109" s="4"/>
      <c r="AE109" s="52"/>
    </row>
    <row r="110" spans="1:31" x14ac:dyDescent="0.2">
      <c r="A110" s="7">
        <v>42134</v>
      </c>
      <c r="B110" s="13">
        <f ca="1">Prices!B109*(1+J110/(50*(ABS(O110)+ABS(T110)+0.0001)))</f>
        <v>1.2056496535196919</v>
      </c>
      <c r="C110" s="62">
        <f t="shared" ca="1" si="12"/>
        <v>1</v>
      </c>
      <c r="D110" s="13">
        <f ca="1">D109+C110*(Prices!B110-Prices!B109)/Prices!B109</f>
        <v>2.739537190995614E-2</v>
      </c>
      <c r="E110" s="13">
        <f t="shared" ca="1" si="13"/>
        <v>5.0757127146603548E-3</v>
      </c>
      <c r="F110" s="13">
        <f t="shared" ca="1" si="14"/>
        <v>3.2471084624616495E-2</v>
      </c>
      <c r="G110" s="21">
        <f ca="1">IF((Prices!B110-Prices!B109)*C110&gt;0,1,0)</f>
        <v>0</v>
      </c>
      <c r="H110" s="13">
        <f>ABS(Prices!B110-Prices!B109)/Prices!B109</f>
        <v>5.0757127146603548E-3</v>
      </c>
      <c r="I110" s="21"/>
      <c r="J110" s="4">
        <f t="shared" ca="1" si="15"/>
        <v>2.5501408869216514E-2</v>
      </c>
      <c r="K110" s="13"/>
      <c r="L110" s="13">
        <f ca="1">L109-O110*Prices!B110</f>
        <v>0.24179566907142422</v>
      </c>
      <c r="M110" s="4">
        <f t="shared" ca="1" si="16"/>
        <v>0.68604988094510655</v>
      </c>
      <c r="N110" s="13">
        <f ca="1">IF(Prices!B109&gt;OFFSET(Prices!B109,-$N$3,0),1,-1)</f>
        <v>1</v>
      </c>
      <c r="O110" s="4">
        <f ca="1">IF(N110=1,O$3*L109/Prices!B109,-O$3*M109)</f>
        <v>1.0762785780735437E-2</v>
      </c>
      <c r="P110" s="22"/>
      <c r="Q110" s="13">
        <f ca="1">Q109-T110*Prices!B110</f>
        <v>0.15689116891457222</v>
      </c>
      <c r="R110" s="4">
        <f t="shared" ca="1" si="17"/>
        <v>0.75994358329383283</v>
      </c>
      <c r="S110" s="13">
        <f ca="1">IF(Prices!D109&gt;OFFSET(Prices!D109,-S$3,0),1,-1)</f>
        <v>1</v>
      </c>
      <c r="T110" s="4">
        <f ca="1">IF(S110=1,T$3*Q109/Prices!B109,-T$3*R109)</f>
        <v>1.4738623088481079E-2</v>
      </c>
      <c r="V110" s="13"/>
      <c r="W110" s="4"/>
      <c r="X110" s="4"/>
      <c r="Y110" s="4"/>
      <c r="Z110" s="4"/>
      <c r="AA110" s="4"/>
      <c r="AB110" s="4"/>
      <c r="AC110" s="4"/>
      <c r="AD110" s="4"/>
      <c r="AE110" s="52"/>
    </row>
    <row r="111" spans="1:31" x14ac:dyDescent="0.2">
      <c r="A111" s="7">
        <v>42141</v>
      </c>
      <c r="B111" s="13">
        <f ca="1">Prices!B110*(1+J111/(50*(ABS(O111)+ABS(T111)+0.0001)))</f>
        <v>1.1995228326709761</v>
      </c>
      <c r="C111" s="62">
        <f t="shared" ca="1" si="12"/>
        <v>1</v>
      </c>
      <c r="D111" s="13">
        <f ca="1">D110+C111*(Prices!B111-Prices!B110)/Prices!B110</f>
        <v>4.1254737610151686E-2</v>
      </c>
      <c r="E111" s="13">
        <f t="shared" ca="1" si="13"/>
        <v>0</v>
      </c>
      <c r="F111" s="13">
        <f t="shared" ca="1" si="14"/>
        <v>4.1254737610151686E-2</v>
      </c>
      <c r="G111" s="21">
        <f ca="1">IF((Prices!B111-Prices!B110)*C111&gt;0,1,0)</f>
        <v>1</v>
      </c>
      <c r="H111" s="13">
        <f>ABS(Prices!B111-Prices!B110)/Prices!B110</f>
        <v>1.3859365700195546E-2</v>
      </c>
      <c r="I111" s="21"/>
      <c r="J111" s="4">
        <f t="shared" ca="1" si="15"/>
        <v>2.361950543748698E-2</v>
      </c>
      <c r="K111" s="13"/>
      <c r="L111" s="13">
        <f ca="1">L110-O111*Prices!B111</f>
        <v>0.22953832888773379</v>
      </c>
      <c r="M111" s="4">
        <f t="shared" ca="1" si="16"/>
        <v>0.69632943494015054</v>
      </c>
      <c r="N111" s="13">
        <f ca="1">IF(Prices!B110&gt;OFFSET(Prices!B110,-$N$3,0),1,-1)</f>
        <v>1</v>
      </c>
      <c r="O111" s="4">
        <f ca="1">IF(N111=1,O$3*L110/Prices!B110,-O$3*M110)</f>
        <v>1.0279553995043969E-2</v>
      </c>
      <c r="P111" s="22"/>
      <c r="Q111" s="13">
        <f ca="1">Q110-T111*Prices!B111</f>
        <v>0.14098461081460317</v>
      </c>
      <c r="R111" s="4">
        <f t="shared" ca="1" si="17"/>
        <v>0.77328353473627587</v>
      </c>
      <c r="S111" s="13">
        <f ca="1">IF(Prices!D110&gt;OFFSET(Prices!D110,-S$3,0),1,-1)</f>
        <v>1</v>
      </c>
      <c r="T111" s="4">
        <f ca="1">IF(S111=1,T$3*Q110/Prices!B110,-T$3*R110)</f>
        <v>1.333995144244301E-2</v>
      </c>
      <c r="V111" s="13"/>
      <c r="W111" s="4"/>
      <c r="X111" s="4"/>
      <c r="Y111" s="4"/>
      <c r="Z111" s="4"/>
      <c r="AA111" s="4"/>
      <c r="AB111" s="4"/>
      <c r="AC111" s="4"/>
      <c r="AD111" s="4"/>
      <c r="AE111" s="52"/>
    </row>
    <row r="112" spans="1:31" x14ac:dyDescent="0.2">
      <c r="A112" s="7">
        <v>42148</v>
      </c>
      <c r="B112" s="13">
        <f ca="1">Prices!B111*(1+J112/(50*(ABS(O112)+ABS(T112)+0.0001)))</f>
        <v>1.216137329525254</v>
      </c>
      <c r="C112" s="62">
        <f t="shared" ca="1" si="12"/>
        <v>1</v>
      </c>
      <c r="D112" s="13">
        <f ca="1">D111+C112*(Prices!B112-Prices!B111)/Prices!B111</f>
        <v>3.5887411209614986E-2</v>
      </c>
      <c r="E112" s="13">
        <f t="shared" ca="1" si="13"/>
        <v>5.3673264005366997E-3</v>
      </c>
      <c r="F112" s="13">
        <f t="shared" ca="1" si="14"/>
        <v>4.1254737610151686E-2</v>
      </c>
      <c r="G112" s="21">
        <f ca="1">IF((Prices!B112-Prices!B111)*C112&gt;0,1,0)</f>
        <v>0</v>
      </c>
      <c r="H112" s="13">
        <f>ABS(Prices!B112-Prices!B111)/Prices!B111</f>
        <v>5.3673264005367005E-3</v>
      </c>
      <c r="I112" s="21"/>
      <c r="J112" s="4">
        <f t="shared" ca="1" si="15"/>
        <v>2.1448656093464448E-2</v>
      </c>
      <c r="K112" s="13"/>
      <c r="L112" s="13">
        <f ca="1">L111-O112*Prices!B112</f>
        <v>0.21812301279997581</v>
      </c>
      <c r="M112" s="4">
        <f t="shared" ca="1" si="16"/>
        <v>0.70595449066338656</v>
      </c>
      <c r="N112" s="13">
        <f ca="1">IF(Prices!B111&gt;OFFSET(Prices!B111,-$N$3,0),1,-1)</f>
        <v>1</v>
      </c>
      <c r="O112" s="4">
        <f ca="1">IF(N112=1,O$3*L111/Prices!B111,-O$3*M111)</f>
        <v>9.6250557232360721E-3</v>
      </c>
      <c r="P112" s="22"/>
      <c r="Q112" s="13">
        <f ca="1">Q111-T112*Prices!B112</f>
        <v>0.12696182077551232</v>
      </c>
      <c r="R112" s="4">
        <f t="shared" ca="1" si="17"/>
        <v>0.78510713510650421</v>
      </c>
      <c r="S112" s="13">
        <f ca="1">IF(Prices!D111&gt;OFFSET(Prices!D111,-S$3,0),1,-1)</f>
        <v>1</v>
      </c>
      <c r="T112" s="4">
        <f ca="1">IF(S112=1,T$3*Q111/Prices!B111,-T$3*R111)</f>
        <v>1.1823600370228378E-2</v>
      </c>
      <c r="V112" s="13"/>
      <c r="W112" s="4"/>
      <c r="X112" s="4"/>
      <c r="Y112" s="4"/>
      <c r="Z112" s="4"/>
      <c r="AA112" s="4"/>
      <c r="AB112" s="4"/>
      <c r="AC112" s="4"/>
      <c r="AD112" s="4"/>
      <c r="AE112" s="52"/>
    </row>
    <row r="113" spans="1:31" x14ac:dyDescent="0.2">
      <c r="A113" s="7">
        <v>42155</v>
      </c>
      <c r="B113" s="13">
        <f ca="1">Prices!B112*(1+J113/(50*(ABS(O113)+ABS(T113)+0.0001)))</f>
        <v>1.2096014046634043</v>
      </c>
      <c r="C113" s="62">
        <f t="shared" ca="1" si="12"/>
        <v>1</v>
      </c>
      <c r="D113" s="13">
        <f ca="1">D112+C113*(Prices!B113-Prices!B112)/Prices!B112</f>
        <v>5.0727208848738138E-2</v>
      </c>
      <c r="E113" s="13">
        <f t="shared" ca="1" si="13"/>
        <v>0</v>
      </c>
      <c r="F113" s="13">
        <f t="shared" ca="1" si="14"/>
        <v>5.0727208848738138E-2</v>
      </c>
      <c r="G113" s="21">
        <f ca="1">IF((Prices!B113-Prices!B112)*C113&gt;0,1,0)</f>
        <v>1</v>
      </c>
      <c r="H113" s="13">
        <f>ABS(Prices!B113-Prices!B112)/Prices!B112</f>
        <v>1.4839797639123154E-2</v>
      </c>
      <c r="I113" s="21"/>
      <c r="J113" s="4">
        <f t="shared" ca="1" si="15"/>
        <v>1.9900786439755503E-2</v>
      </c>
      <c r="K113" s="13"/>
      <c r="L113" s="13">
        <f ca="1">L112-O113*Prices!B113</f>
        <v>0.20705501709145765</v>
      </c>
      <c r="M113" s="4">
        <f t="shared" ca="1" si="16"/>
        <v>0.7151502331928965</v>
      </c>
      <c r="N113" s="13">
        <f ca="1">IF(Prices!B112&gt;OFFSET(Prices!B112,-$N$3,0),1,-1)</f>
        <v>1</v>
      </c>
      <c r="O113" s="4">
        <f ca="1">IF(N113=1,O$3*L112/Prices!B112,-O$3*M112)</f>
        <v>9.1957425295099426E-3</v>
      </c>
      <c r="P113" s="22"/>
      <c r="Q113" s="13">
        <f ca="1">Q112-T113*Prices!B113</f>
        <v>0.11407722992514077</v>
      </c>
      <c r="R113" s="4">
        <f t="shared" ca="1" si="17"/>
        <v>0.79581217901674972</v>
      </c>
      <c r="S113" s="13">
        <f ca="1">IF(Prices!D112&gt;OFFSET(Prices!D112,-S$3,0),1,-1)</f>
        <v>1</v>
      </c>
      <c r="T113" s="4">
        <f ca="1">IF(S113=1,T$3*Q112/Prices!B112,-T$3*R112)</f>
        <v>1.070504391024556E-2</v>
      </c>
      <c r="V113" s="13"/>
      <c r="W113" s="4"/>
      <c r="X113" s="4"/>
      <c r="Y113" s="4"/>
      <c r="Z113" s="4"/>
      <c r="AA113" s="4"/>
      <c r="AB113" s="4"/>
      <c r="AC113" s="4"/>
      <c r="AD113" s="4"/>
      <c r="AE113" s="52"/>
    </row>
    <row r="114" spans="1:31" x14ac:dyDescent="0.2">
      <c r="A114" s="7">
        <v>42162</v>
      </c>
      <c r="B114" s="13">
        <f ca="1">Prices!B113*(1+J114/(50*(ABS(O114)+ABS(T114)+0.0001)))</f>
        <v>1.2275395870426034</v>
      </c>
      <c r="C114" s="62">
        <f t="shared" ca="1" si="12"/>
        <v>1</v>
      </c>
      <c r="D114" s="13">
        <f ca="1">D113+C114*(Prices!B114-Prices!B113)/Prices!B113</f>
        <v>4.3166557469542489E-2</v>
      </c>
      <c r="E114" s="13">
        <f t="shared" ca="1" si="13"/>
        <v>7.5606513791956487E-3</v>
      </c>
      <c r="F114" s="13">
        <f t="shared" ca="1" si="14"/>
        <v>5.0727208848738138E-2</v>
      </c>
      <c r="G114" s="21">
        <f ca="1">IF((Prices!B114-Prices!B113)*C114&gt;0,1,0)</f>
        <v>0</v>
      </c>
      <c r="H114" s="13">
        <f>ABS(Prices!B114-Prices!B113)/Prices!B113</f>
        <v>7.5606513791956513E-3</v>
      </c>
      <c r="I114" s="21"/>
      <c r="J114" s="4">
        <f t="shared" ca="1" si="15"/>
        <v>1.8079489736695716E-2</v>
      </c>
      <c r="K114" s="13"/>
      <c r="L114" s="13">
        <f ca="1">L113-O114*Prices!B114</f>
        <v>0.19678053977691187</v>
      </c>
      <c r="M114" s="4">
        <f t="shared" ca="1" si="16"/>
        <v>0.72375172110796204</v>
      </c>
      <c r="N114" s="13">
        <f ca="1">IF(Prices!B113&gt;OFFSET(Prices!B113,-$N$3,0),1,-1)</f>
        <v>1</v>
      </c>
      <c r="O114" s="4">
        <f ca="1">IF(N114=1,O$3*L113/Prices!B113,-O$3*M113)</f>
        <v>8.6014879150655404E-3</v>
      </c>
      <c r="P114" s="22"/>
      <c r="Q114" s="13">
        <f ca="1">Q113-T114*Prices!B114</f>
        <v>0.10275575674920352</v>
      </c>
      <c r="R114" s="4">
        <f t="shared" ca="1" si="17"/>
        <v>0.80529018083837989</v>
      </c>
      <c r="S114" s="13">
        <f ca="1">IF(Prices!D113&gt;OFFSET(Prices!D113,-S$3,0),1,-1)</f>
        <v>1</v>
      </c>
      <c r="T114" s="4">
        <f ca="1">IF(S114=1,T$3*Q113/Prices!B113,-T$3*R113)</f>
        <v>9.4780018216301751E-3</v>
      </c>
      <c r="V114" s="13"/>
      <c r="W114" s="4"/>
      <c r="X114" s="4"/>
      <c r="Y114" s="4"/>
      <c r="Z114" s="4"/>
      <c r="AA114" s="4"/>
      <c r="AB114" s="4"/>
      <c r="AC114" s="4"/>
      <c r="AD114" s="4"/>
      <c r="AE114" s="52"/>
    </row>
    <row r="115" spans="1:31" x14ac:dyDescent="0.2">
      <c r="A115" s="7">
        <v>42169</v>
      </c>
      <c r="B115" s="13">
        <f ca="1">Prices!B114*(1+J115/(50*(ABS(O115)+ABS(T115)+0.0001)))</f>
        <v>1.2182489674274641</v>
      </c>
      <c r="C115" s="62">
        <f t="shared" ca="1" si="12"/>
        <v>1</v>
      </c>
      <c r="D115" s="13">
        <f ca="1">D114+C115*(Prices!B115-Prices!B114)/Prices!B114</f>
        <v>4.3668859688043897E-2</v>
      </c>
      <c r="E115" s="13">
        <f t="shared" ca="1" si="13"/>
        <v>7.0583491606942411E-3</v>
      </c>
      <c r="F115" s="13">
        <f t="shared" ca="1" si="14"/>
        <v>5.0727208848738138E-2</v>
      </c>
      <c r="G115" s="21">
        <f ca="1">IF((Prices!B115-Prices!B114)*C115&gt;0,1,0)</f>
        <v>1</v>
      </c>
      <c r="H115" s="13">
        <f>ABS(Prices!B115-Prices!B114)/Prices!B114</f>
        <v>5.0230221850140972E-4</v>
      </c>
      <c r="I115" s="21"/>
      <c r="J115" s="4">
        <f t="shared" ca="1" si="15"/>
        <v>1.6839349237141855E-2</v>
      </c>
      <c r="K115" s="13"/>
      <c r="L115" s="13">
        <f ca="1">L114-O115*Prices!B115</f>
        <v>0.18693657062298188</v>
      </c>
      <c r="M115" s="4">
        <f t="shared" ca="1" si="16"/>
        <v>0.73198866291528364</v>
      </c>
      <c r="N115" s="13">
        <f ca="1">IF(Prices!B114&gt;OFFSET(Prices!B114,-$N$3,0),1,-1)</f>
        <v>1</v>
      </c>
      <c r="O115" s="4">
        <f ca="1">IF(N115=1,O$3*L114/Prices!B114,-O$3*M114)</f>
        <v>8.2369418073215527E-3</v>
      </c>
      <c r="P115" s="22"/>
      <c r="Q115" s="13">
        <f ca="1">Q114-T115*Prices!B115</f>
        <v>9.2475019629825281E-2</v>
      </c>
      <c r="R115" s="4">
        <f t="shared" ca="1" si="17"/>
        <v>0.81389258826820021</v>
      </c>
      <c r="S115" s="13">
        <f ca="1">IF(Prices!D114&gt;OFFSET(Prices!D114,-S$3,0),1,-1)</f>
        <v>1</v>
      </c>
      <c r="T115" s="4">
        <f ca="1">IF(S115=1,T$3*Q114/Prices!B114,-T$3*R114)</f>
        <v>8.602407429820302E-3</v>
      </c>
      <c r="V115" s="13"/>
      <c r="W115" s="4"/>
      <c r="X115" s="4"/>
      <c r="Y115" s="4"/>
      <c r="Z115" s="4"/>
      <c r="AA115" s="4"/>
      <c r="AB115" s="4"/>
      <c r="AC115" s="4"/>
      <c r="AD115" s="4"/>
      <c r="AE115" s="52"/>
    </row>
    <row r="116" spans="1:31" x14ac:dyDescent="0.2">
      <c r="A116" s="7">
        <v>42176</v>
      </c>
      <c r="B116" s="13">
        <f ca="1">Prices!B115*(1+J116/(50*(ABS(O116)+ABS(T116)+0.0001)))</f>
        <v>1.2188493574667425</v>
      </c>
      <c r="C116" s="62">
        <f t="shared" ca="1" si="12"/>
        <v>1</v>
      </c>
      <c r="D116" s="13">
        <f ca="1">D115+C116*(Prices!B116-Prices!B115)/Prices!B115</f>
        <v>3.2205383828283168E-2</v>
      </c>
      <c r="E116" s="13">
        <f t="shared" ca="1" si="13"/>
        <v>1.852182502045497E-2</v>
      </c>
      <c r="F116" s="13">
        <f t="shared" ca="1" si="14"/>
        <v>5.0727208848738138E-2</v>
      </c>
      <c r="G116" s="21">
        <f ca="1">IF((Prices!B116-Prices!B115)*C116&gt;0,1,0)</f>
        <v>0</v>
      </c>
      <c r="H116" s="13">
        <f>ABS(Prices!B116-Prices!B115)/Prices!B115</f>
        <v>1.1463475859760727E-2</v>
      </c>
      <c r="I116" s="21"/>
      <c r="J116" s="4">
        <f t="shared" ca="1" si="15"/>
        <v>1.5558807207875176E-2</v>
      </c>
      <c r="K116" s="13"/>
      <c r="L116" s="13">
        <f ca="1">L115-O116*Prices!B116</f>
        <v>0.17769688923506494</v>
      </c>
      <c r="M116" s="4">
        <f t="shared" ca="1" si="16"/>
        <v>0.73980962227529456</v>
      </c>
      <c r="N116" s="13">
        <f ca="1">IF(Prices!B115&gt;OFFSET(Prices!B115,-$N$3,0),1,-1)</f>
        <v>1</v>
      </c>
      <c r="O116" s="4">
        <f ca="1">IF(N116=1,O$3*L115/Prices!B115,-O$3*M115)</f>
        <v>7.8209593600109574E-3</v>
      </c>
      <c r="P116" s="22"/>
      <c r="Q116" s="13">
        <f ca="1">Q115-T116*Prices!B116</f>
        <v>8.3333526182358494E-2</v>
      </c>
      <c r="R116" s="4">
        <f t="shared" ca="1" si="17"/>
        <v>0.82163043611606446</v>
      </c>
      <c r="S116" s="13">
        <f ca="1">IF(Prices!D115&gt;OFFSET(Prices!D115,-S$3,0),1,-1)</f>
        <v>1</v>
      </c>
      <c r="T116" s="4">
        <f ca="1">IF(S116=1,T$3*Q115/Prices!B115,-T$3*R115)</f>
        <v>7.7378478478642189E-3</v>
      </c>
      <c r="V116" s="13"/>
      <c r="W116" s="4"/>
      <c r="X116" s="4"/>
      <c r="Y116" s="4"/>
      <c r="Z116" s="4"/>
      <c r="AA116" s="4"/>
      <c r="AB116" s="4"/>
      <c r="AC116" s="4"/>
      <c r="AD116" s="4"/>
      <c r="AE116" s="52"/>
    </row>
    <row r="117" spans="1:31" x14ac:dyDescent="0.2">
      <c r="A117" s="7">
        <v>42183</v>
      </c>
      <c r="B117" s="13">
        <f ca="1">Prices!B116*(1+J117/(50*(ABS(O117)+ABS(T117)+0.0001)))</f>
        <v>1.2048669849074161</v>
      </c>
      <c r="C117" s="62">
        <f t="shared" ca="1" si="12"/>
        <v>1</v>
      </c>
      <c r="D117" s="13">
        <f ca="1">D116+C117*(Prices!B117-Prices!B116)/Prices!B116</f>
        <v>2.5095175600756536E-2</v>
      </c>
      <c r="E117" s="13">
        <f t="shared" ca="1" si="13"/>
        <v>2.5632033247981603E-2</v>
      </c>
      <c r="F117" s="13">
        <f t="shared" ca="1" si="14"/>
        <v>5.0727208848738138E-2</v>
      </c>
      <c r="G117" s="21">
        <f ca="1">IF((Prices!B117-Prices!B116)*C117&gt;0,1,0)</f>
        <v>0</v>
      </c>
      <c r="H117" s="13">
        <f>ABS(Prices!B117-Prices!B116)/Prices!B116</f>
        <v>7.1102082275266319E-3</v>
      </c>
      <c r="I117" s="21"/>
      <c r="J117" s="4">
        <f t="shared" ca="1" si="15"/>
        <v>1.4574400778727865E-2</v>
      </c>
      <c r="K117" s="13"/>
      <c r="L117" s="13">
        <f ca="1">L116-O117*Prices!B117</f>
        <v>0.16887521786750395</v>
      </c>
      <c r="M117" s="4">
        <f t="shared" ca="1" si="16"/>
        <v>0.74733022872675325</v>
      </c>
      <c r="N117" s="13">
        <f ca="1">IF(Prices!B116&gt;OFFSET(Prices!B116,-$N$3,0),1,-1)</f>
        <v>1</v>
      </c>
      <c r="O117" s="4">
        <f ca="1">IF(N117=1,O$3*L116/Prices!B116,-O$3*M116)</f>
        <v>7.5206064514586491E-3</v>
      </c>
      <c r="P117" s="22"/>
      <c r="Q117" s="13">
        <f ca="1">Q116-T117*Prices!B117</f>
        <v>7.5059425436471705E-2</v>
      </c>
      <c r="R117" s="4">
        <f t="shared" ca="1" si="17"/>
        <v>0.82868423044333372</v>
      </c>
      <c r="S117" s="13">
        <f ca="1">IF(Prices!D116&gt;OFFSET(Prices!D116,-S$3,0),1,-1)</f>
        <v>1</v>
      </c>
      <c r="T117" s="4">
        <f ca="1">IF(S117=1,T$3*Q116/Prices!B116,-T$3*R116)</f>
        <v>7.0537943272692147E-3</v>
      </c>
      <c r="V117" s="13"/>
      <c r="W117" s="4"/>
      <c r="X117" s="4"/>
      <c r="Y117" s="4"/>
      <c r="Z117" s="4"/>
      <c r="AA117" s="4"/>
      <c r="AB117" s="4"/>
      <c r="AC117" s="4"/>
      <c r="AD117" s="4"/>
      <c r="AE117" s="52"/>
    </row>
    <row r="118" spans="1:31" x14ac:dyDescent="0.2">
      <c r="A118" s="7">
        <v>42190</v>
      </c>
      <c r="B118" s="13">
        <f ca="1">Prices!B117*(1+J118/(50*(ABS(O118)+ABS(T118)+0.0001)))</f>
        <v>1.1564379977320667</v>
      </c>
      <c r="C118" s="62">
        <f t="shared" ca="1" si="12"/>
        <v>0</v>
      </c>
      <c r="D118" s="13">
        <f ca="1">D117+C118*(Prices!B118-Prices!B117)/Prices!B117</f>
        <v>2.5095175600756536E-2</v>
      </c>
      <c r="E118" s="13">
        <f t="shared" ca="1" si="13"/>
        <v>2.5632033247981603E-2</v>
      </c>
      <c r="F118" s="13">
        <f t="shared" ca="1" si="14"/>
        <v>5.0727208848738138E-2</v>
      </c>
      <c r="G118" s="21">
        <f ca="1">IF((Prices!B118-Prices!B117)*C118&gt;0,1,0)</f>
        <v>0</v>
      </c>
      <c r="H118" s="13">
        <f>ABS(Prices!B118-Prices!B117)/Prices!B117</f>
        <v>7.672634271099656E-3</v>
      </c>
      <c r="I118" s="21"/>
      <c r="J118" s="4">
        <f t="shared" ca="1" si="15"/>
        <v>-3.0967583436638458E-2</v>
      </c>
      <c r="K118" s="13"/>
      <c r="L118" s="13">
        <f ca="1">L117-O118*Prices!B118</f>
        <v>0.21304243438525505</v>
      </c>
      <c r="M118" s="4">
        <f t="shared" ca="1" si="16"/>
        <v>0.70996371729041563</v>
      </c>
      <c r="N118" s="13">
        <f ca="1">IF(Prices!B117&gt;OFFSET(Prices!B117,-$N$3,0),1,-1)</f>
        <v>-1</v>
      </c>
      <c r="O118" s="4">
        <f ca="1">IF(N118=1,O$3*L117/Prices!B117,-O$3*M117)</f>
        <v>-3.7366511436337665E-2</v>
      </c>
      <c r="P118" s="22"/>
      <c r="Q118" s="13">
        <f ca="1">Q117-T118*Prices!B118</f>
        <v>6.7495892540827246E-2</v>
      </c>
      <c r="R118" s="4">
        <f t="shared" ca="1" si="17"/>
        <v>0.83508315844303294</v>
      </c>
      <c r="S118" s="13">
        <f ca="1">IF(Prices!D117&gt;OFFSET(Prices!D117,-S$3,0),1,-1)</f>
        <v>1</v>
      </c>
      <c r="T118" s="4">
        <f ca="1">IF(S118=1,T$3*Q117/Prices!B117,-T$3*R117)</f>
        <v>6.3989279996992075E-3</v>
      </c>
      <c r="V118" s="13"/>
      <c r="W118" s="4"/>
      <c r="X118" s="4"/>
      <c r="Y118" s="4"/>
      <c r="Z118" s="4"/>
      <c r="AA118" s="4"/>
      <c r="AB118" s="4"/>
      <c r="AC118" s="4"/>
      <c r="AD118" s="4"/>
      <c r="AE118" s="52"/>
    </row>
    <row r="119" spans="1:31" x14ac:dyDescent="0.2">
      <c r="A119" s="7">
        <v>42197</v>
      </c>
      <c r="B119" s="13">
        <f ca="1">Prices!B118*(1+J119/(50*(ABS(O119)+ABS(T119)+0.0001)))</f>
        <v>1.1649530155203047</v>
      </c>
      <c r="C119" s="62">
        <f t="shared" ca="1" si="12"/>
        <v>0</v>
      </c>
      <c r="D119" s="13">
        <f ca="1">D118+C119*(Prices!B119-Prices!B118)/Prices!B118</f>
        <v>2.5095175600756536E-2</v>
      </c>
      <c r="E119" s="13">
        <f t="shared" ca="1" si="13"/>
        <v>2.5632033247981603E-2</v>
      </c>
      <c r="F119" s="13">
        <f t="shared" ca="1" si="14"/>
        <v>5.0727208848738138E-2</v>
      </c>
      <c r="G119" s="21">
        <f ca="1">IF((Prices!B119-Prices!B118)*C119&gt;0,1,0)</f>
        <v>0</v>
      </c>
      <c r="H119" s="13">
        <f>ABS(Prices!B119-Prices!B118)/Prices!B118</f>
        <v>3.0456852791878575E-3</v>
      </c>
      <c r="I119" s="21"/>
      <c r="J119" s="4">
        <f t="shared" ca="1" si="15"/>
        <v>-2.9787873466819662E-2</v>
      </c>
      <c r="K119" s="13"/>
      <c r="L119" s="13">
        <f ca="1">L118-O119*Prices!B119</f>
        <v>0.25487349660800634</v>
      </c>
      <c r="M119" s="4">
        <f t="shared" ca="1" si="16"/>
        <v>0.67446553142589483</v>
      </c>
      <c r="N119" s="13">
        <f ca="1">IF(Prices!B118&gt;OFFSET(Prices!B118,-$N$3,0),1,-1)</f>
        <v>-1</v>
      </c>
      <c r="O119" s="4">
        <f ca="1">IF(N119=1,O$3*L118/Prices!B118,-O$3*M118)</f>
        <v>-3.5498185864520783E-2</v>
      </c>
      <c r="P119" s="22"/>
      <c r="Q119" s="13">
        <f ca="1">Q118-T119*Prices!B119</f>
        <v>6.0766860411376244E-2</v>
      </c>
      <c r="R119" s="4">
        <f t="shared" ca="1" si="17"/>
        <v>0.84079347084073408</v>
      </c>
      <c r="S119" s="13">
        <f ca="1">IF(Prices!D118&gt;OFFSET(Prices!D118,-S$3,0),1,-1)</f>
        <v>1</v>
      </c>
      <c r="T119" s="4">
        <f ca="1">IF(S119=1,T$3*Q118/Prices!B118,-T$3*R118)</f>
        <v>5.7103123977011207E-3</v>
      </c>
      <c r="V119" s="13"/>
      <c r="W119" s="4"/>
      <c r="X119" s="4"/>
      <c r="Y119" s="4"/>
      <c r="Z119" s="4"/>
      <c r="AA119" s="4"/>
      <c r="AB119" s="4"/>
      <c r="AC119" s="4"/>
      <c r="AD119" s="4"/>
      <c r="AE119" s="52"/>
    </row>
    <row r="120" spans="1:31" x14ac:dyDescent="0.2">
      <c r="A120" s="7">
        <v>42204</v>
      </c>
      <c r="B120" s="13">
        <f ca="1">Prices!B119*(1+J120/(50*(ABS(O120)+ABS(T120)+0.0001)))</f>
        <v>1.1611281576398265</v>
      </c>
      <c r="C120" s="62">
        <f t="shared" ca="1" si="12"/>
        <v>0</v>
      </c>
      <c r="D120" s="13">
        <f ca="1">D119+C120*(Prices!B120-Prices!B119)/Prices!B119</f>
        <v>2.5095175600756536E-2</v>
      </c>
      <c r="E120" s="13">
        <f t="shared" ca="1" si="13"/>
        <v>2.5632033247981603E-2</v>
      </c>
      <c r="F120" s="13">
        <f t="shared" ca="1" si="14"/>
        <v>5.0727208848738138E-2</v>
      </c>
      <c r="G120" s="21">
        <f ca="1">IF((Prices!B120-Prices!B119)*C120&gt;0,1,0)</f>
        <v>0</v>
      </c>
      <c r="H120" s="13">
        <f>ABS(Prices!B120-Prices!B119)/Prices!B119</f>
        <v>1.4935505770536185E-2</v>
      </c>
      <c r="I120" s="21"/>
      <c r="J120" s="4">
        <f t="shared" ca="1" si="15"/>
        <v>-2.8566550467138577E-2</v>
      </c>
      <c r="K120" s="13"/>
      <c r="L120" s="13">
        <f ca="1">L119-O120*Prices!B120</f>
        <v>0.29401947605196527</v>
      </c>
      <c r="M120" s="4">
        <f t="shared" ca="1" si="16"/>
        <v>0.64074225485460012</v>
      </c>
      <c r="N120" s="13">
        <f ca="1">IF(Prices!B119&gt;OFFSET(Prices!B119,-$N$3,0),1,-1)</f>
        <v>-1</v>
      </c>
      <c r="O120" s="4">
        <f ca="1">IF(N120=1,O$3*L119/Prices!B119,-O$3*M119)</f>
        <v>-3.3723276571294744E-2</v>
      </c>
      <c r="P120" s="22"/>
      <c r="Q120" s="13">
        <f ca="1">Q119-T120*Prices!B120</f>
        <v>5.4780932749671767E-2</v>
      </c>
      <c r="R120" s="4">
        <f t="shared" ca="1" si="17"/>
        <v>0.84595019694489026</v>
      </c>
      <c r="S120" s="13">
        <f ca="1">IF(Prices!D119&gt;OFFSET(Prices!D119,-S$3,0),1,-1)</f>
        <v>1</v>
      </c>
      <c r="T120" s="4">
        <f ca="1">IF(S120=1,T$3*Q119/Prices!B119,-T$3*R119)</f>
        <v>5.1567261041561658E-3</v>
      </c>
      <c r="V120" s="13"/>
      <c r="W120" s="4"/>
      <c r="X120" s="4"/>
      <c r="Y120" s="4"/>
      <c r="Z120" s="4"/>
      <c r="AA120" s="4"/>
      <c r="AB120" s="4"/>
      <c r="AC120" s="4"/>
      <c r="AD120" s="4"/>
      <c r="AE120" s="52"/>
    </row>
    <row r="121" spans="1:31" x14ac:dyDescent="0.2">
      <c r="A121" s="7">
        <v>42211</v>
      </c>
      <c r="B121" s="13">
        <f ca="1">Prices!B120*(1+J121/(50*(ABS(O121)+ABS(T121)+0.0001)))</f>
        <v>1.1435923355295798</v>
      </c>
      <c r="C121" s="62">
        <f t="shared" ca="1" si="12"/>
        <v>0</v>
      </c>
      <c r="D121" s="13">
        <f ca="1">D120+C121*(Prices!B121-Prices!B120)/Prices!B120</f>
        <v>2.5095175600756536E-2</v>
      </c>
      <c r="E121" s="13">
        <f t="shared" ca="1" si="13"/>
        <v>2.5632033247981603E-2</v>
      </c>
      <c r="F121" s="13">
        <f t="shared" ca="1" si="14"/>
        <v>5.0727208848738138E-2</v>
      </c>
      <c r="G121" s="21">
        <f ca="1">IF((Prices!B121-Prices!B120)*C121&gt;0,1,0)</f>
        <v>0</v>
      </c>
      <c r="H121" s="13">
        <f>ABS(Prices!B121-Prices!B120)/Prices!B120</f>
        <v>0</v>
      </c>
      <c r="I121" s="21"/>
      <c r="J121" s="4">
        <f t="shared" ca="1" si="15"/>
        <v>-2.731787318814078E-2</v>
      </c>
      <c r="K121" s="13"/>
      <c r="L121" s="13">
        <f ca="1">L120-O121*Prices!B121</f>
        <v>0.33120815652372626</v>
      </c>
      <c r="M121" s="4">
        <f t="shared" ca="1" si="16"/>
        <v>0.6087051421118701</v>
      </c>
      <c r="N121" s="13">
        <f ca="1">IF(Prices!B120&gt;OFFSET(Prices!B120,-$N$3,0),1,-1)</f>
        <v>-1</v>
      </c>
      <c r="O121" s="4">
        <f ca="1">IF(N121=1,O$3*L120/Prices!B120,-O$3*M120)</f>
        <v>-3.2037112742730009E-2</v>
      </c>
      <c r="P121" s="22"/>
      <c r="Q121" s="13">
        <f ca="1">Q120-T121*Prices!B121</f>
        <v>4.9302839474704589E-2</v>
      </c>
      <c r="R121" s="4">
        <f t="shared" ca="1" si="17"/>
        <v>0.85066943649947946</v>
      </c>
      <c r="S121" s="13">
        <f ca="1">IF(Prices!D120&gt;OFFSET(Prices!D120,-S$3,0),1,-1)</f>
        <v>1</v>
      </c>
      <c r="T121" s="4">
        <f ca="1">IF(S121=1,T$3*Q120/Prices!B120,-T$3*R120)</f>
        <v>4.7192395545892288E-3</v>
      </c>
      <c r="V121" s="13"/>
      <c r="W121" s="4"/>
      <c r="X121" s="4"/>
      <c r="Y121" s="4"/>
      <c r="Z121" s="4"/>
      <c r="AA121" s="4"/>
      <c r="AB121" s="4"/>
      <c r="AC121" s="4"/>
      <c r="AD121" s="4"/>
      <c r="AE121" s="52"/>
    </row>
    <row r="122" spans="1:31" x14ac:dyDescent="0.2">
      <c r="A122" s="7">
        <v>42218</v>
      </c>
      <c r="B122" s="13">
        <f ca="1">Prices!B121*(1+J122/(50*(ABS(O122)+ABS(T122)+0.0001)))</f>
        <v>1.1433205784754537</v>
      </c>
      <c r="C122" s="62">
        <f t="shared" ca="1" si="12"/>
        <v>0</v>
      </c>
      <c r="D122" s="13">
        <f ca="1">D121+C122*(Prices!B122-Prices!B121)/Prices!B121</f>
        <v>2.5095175600756536E-2</v>
      </c>
      <c r="E122" s="13">
        <f t="shared" ca="1" si="13"/>
        <v>2.5632033247981603E-2</v>
      </c>
      <c r="F122" s="13">
        <f t="shared" ca="1" si="14"/>
        <v>5.0727208848738138E-2</v>
      </c>
      <c r="G122" s="21">
        <f ca="1">IF((Prices!B122-Prices!B121)*C122&gt;0,1,0)</f>
        <v>0</v>
      </c>
      <c r="H122" s="13">
        <f>ABS(Prices!B122-Prices!B121)/Prices!B121</f>
        <v>4.9104066161268422E-3</v>
      </c>
      <c r="I122" s="21"/>
      <c r="J122" s="4">
        <f t="shared" ca="1" si="15"/>
        <v>-2.6187941506463201E-2</v>
      </c>
      <c r="K122" s="13"/>
      <c r="L122" s="13">
        <f ca="1">L121-O122*Prices!B122</f>
        <v>0.36671088393740109</v>
      </c>
      <c r="M122" s="4">
        <f t="shared" ca="1" si="16"/>
        <v>0.57826988500627663</v>
      </c>
      <c r="N122" s="13">
        <f ca="1">IF(Prices!B121&gt;OFFSET(Prices!B121,-$N$3,0),1,-1)</f>
        <v>-1</v>
      </c>
      <c r="O122" s="4">
        <f ca="1">IF(N122=1,O$3*L121/Prices!B121,-O$3*M121)</f>
        <v>-3.0435257105593506E-2</v>
      </c>
      <c r="P122" s="22"/>
      <c r="Q122" s="13">
        <f ca="1">Q121-T122*Prices!B122</f>
        <v>4.4348345828319084E-2</v>
      </c>
      <c r="R122" s="4">
        <f t="shared" ca="1" si="17"/>
        <v>0.85491675209860973</v>
      </c>
      <c r="S122" s="13">
        <f ca="1">IF(Prices!D121&gt;OFFSET(Prices!D121,-S$3,0),1,-1)</f>
        <v>1</v>
      </c>
      <c r="T122" s="4">
        <f ca="1">IF(S122=1,T$3*Q121/Prices!B121,-T$3*R121)</f>
        <v>4.2473155991303059E-3</v>
      </c>
      <c r="V122" s="13"/>
      <c r="W122" s="4"/>
      <c r="X122" s="4"/>
      <c r="Y122" s="4"/>
      <c r="Z122" s="4"/>
      <c r="AA122" s="4"/>
      <c r="AB122" s="4"/>
      <c r="AC122" s="4"/>
      <c r="AD122" s="4"/>
      <c r="AE122" s="52"/>
    </row>
    <row r="123" spans="1:31" x14ac:dyDescent="0.2">
      <c r="A123" s="7">
        <v>42225</v>
      </c>
      <c r="B123" s="13">
        <f ca="1">Prices!B122*(1+J123/(50*(ABS(O123)+ABS(T123)+0.0001)))</f>
        <v>1.1486469040972742</v>
      </c>
      <c r="C123" s="62">
        <f t="shared" ca="1" si="12"/>
        <v>0</v>
      </c>
      <c r="D123" s="13">
        <f ca="1">D122+C123*(Prices!B123-Prices!B122)/Prices!B122</f>
        <v>2.5095175600756536E-2</v>
      </c>
      <c r="E123" s="13">
        <f t="shared" ca="1" si="13"/>
        <v>2.5632033247981603E-2</v>
      </c>
      <c r="F123" s="13">
        <f t="shared" ca="1" si="14"/>
        <v>5.0727208848738138E-2</v>
      </c>
      <c r="G123" s="21">
        <f ca="1">IF((Prices!B123-Prices!B122)*C123&gt;0,1,0)</f>
        <v>0</v>
      </c>
      <c r="H123" s="13">
        <f>ABS(Prices!B123-Prices!B122)/Prices!B122</f>
        <v>1.0715816545220707E-2</v>
      </c>
      <c r="I123" s="21"/>
      <c r="J123" s="4">
        <f t="shared" ca="1" si="15"/>
        <v>-2.5111664346471649E-2</v>
      </c>
      <c r="K123" s="13"/>
      <c r="L123" s="13">
        <f ca="1">L122-O123*Prices!B123</f>
        <v>0.40079989365852109</v>
      </c>
      <c r="M123" s="4">
        <f t="shared" ca="1" si="16"/>
        <v>0.54935639075596276</v>
      </c>
      <c r="N123" s="13">
        <f ca="1">IF(Prices!B122&gt;OFFSET(Prices!B122,-$N$3,0),1,-1)</f>
        <v>-1</v>
      </c>
      <c r="O123" s="4">
        <f ca="1">IF(N123=1,O$3*L122/Prices!B122,-O$3*M122)</f>
        <v>-2.8913494250313834E-2</v>
      </c>
      <c r="P123" s="22"/>
      <c r="Q123" s="13">
        <f ca="1">Q122-T123*Prices!B123</f>
        <v>3.986598837168915E-2</v>
      </c>
      <c r="R123" s="4">
        <f t="shared" ca="1" si="17"/>
        <v>0.85871858200245188</v>
      </c>
      <c r="S123" s="13">
        <f ca="1">IF(Prices!D122&gt;OFFSET(Prices!D122,-S$3,0),1,-1)</f>
        <v>1</v>
      </c>
      <c r="T123" s="4">
        <f ca="1">IF(S123=1,T$3*Q122/Prices!B122,-T$3*R122)</f>
        <v>3.8018299038421847E-3</v>
      </c>
      <c r="V123" s="13"/>
      <c r="W123" s="4"/>
      <c r="X123" s="4"/>
      <c r="Y123" s="4"/>
      <c r="Z123" s="4"/>
      <c r="AA123" s="4"/>
      <c r="AB123" s="4"/>
      <c r="AC123" s="4"/>
      <c r="AD123" s="4"/>
      <c r="AE123" s="52"/>
    </row>
    <row r="124" spans="1:31" x14ac:dyDescent="0.2">
      <c r="A124" s="7">
        <v>42232</v>
      </c>
      <c r="B124" s="13">
        <f ca="1">Prices!B123*(1+J124/(50*(ABS(O124)+ABS(T124)+0.0001)))</f>
        <v>1.202464856478862</v>
      </c>
      <c r="C124" s="62">
        <f t="shared" ca="1" si="12"/>
        <v>1</v>
      </c>
      <c r="D124" s="13">
        <f ca="1">D123+C124*(Prices!B124-Prices!B123)/Prices!B123</f>
        <v>3.7224098416702232E-2</v>
      </c>
      <c r="E124" s="13">
        <f t="shared" ca="1" si="13"/>
        <v>1.3503110432035906E-2</v>
      </c>
      <c r="F124" s="13">
        <f t="shared" ca="1" si="14"/>
        <v>5.0727208848738138E-2</v>
      </c>
      <c r="G124" s="21">
        <f ca="1">IF((Prices!B124-Prices!B123)*C124&gt;0,1,0)</f>
        <v>1</v>
      </c>
      <c r="H124" s="13">
        <f>ABS(Prices!B124-Prices!B123)/Prices!B123</f>
        <v>1.2128922815945698E-2</v>
      </c>
      <c r="I124" s="21"/>
      <c r="J124" s="4">
        <f t="shared" ca="1" si="15"/>
        <v>2.0378790093379957E-2</v>
      </c>
      <c r="K124" s="13"/>
      <c r="L124" s="13">
        <f ca="1">L123-O124*Prices!B124</f>
        <v>0.38051683542685388</v>
      </c>
      <c r="M124" s="4">
        <f t="shared" ca="1" si="16"/>
        <v>0.56635384171688397</v>
      </c>
      <c r="N124" s="13">
        <f ca="1">IF(Prices!B123&gt;OFFSET(Prices!B123,-$N$3,0),1,-1)</f>
        <v>1</v>
      </c>
      <c r="O124" s="4">
        <f ca="1">IF(N124=1,O$3*L123/Prices!B123,-O$3*M123)</f>
        <v>1.6997450960921166E-2</v>
      </c>
      <c r="P124" s="22"/>
      <c r="Q124" s="13">
        <f ca="1">Q123-T124*Prices!B124</f>
        <v>3.5831036384926074E-2</v>
      </c>
      <c r="R124" s="4">
        <f t="shared" ca="1" si="17"/>
        <v>0.86209992113491063</v>
      </c>
      <c r="S124" s="13">
        <f ca="1">IF(Prices!D123&gt;OFFSET(Prices!D123,-S$3,0),1,-1)</f>
        <v>1</v>
      </c>
      <c r="T124" s="4">
        <f ca="1">IF(S124=1,T$3*Q123/Prices!B123,-T$3*R123)</f>
        <v>3.381339132458791E-3</v>
      </c>
      <c r="V124" s="13"/>
      <c r="W124" s="4"/>
      <c r="X124" s="4"/>
      <c r="Y124" s="4"/>
      <c r="Z124" s="4"/>
      <c r="AA124" s="4"/>
      <c r="AB124" s="4"/>
      <c r="AC124" s="4"/>
      <c r="AD124" s="4"/>
      <c r="AE124" s="52"/>
    </row>
    <row r="125" spans="1:31" x14ac:dyDescent="0.2">
      <c r="A125" s="7">
        <v>42239</v>
      </c>
      <c r="B125" s="13">
        <f ca="1">Prices!B124*(1+J125/(50*(ABS(O125)+ABS(T125)+0.0001)))</f>
        <v>1.2170406966178187</v>
      </c>
      <c r="C125" s="62">
        <f t="shared" ca="1" si="12"/>
        <v>1</v>
      </c>
      <c r="D125" s="13">
        <f ca="1">D124+C125*(Prices!B125-Prices!B124)/Prices!B124</f>
        <v>3.4123453147281269E-2</v>
      </c>
      <c r="E125" s="13">
        <f t="shared" ca="1" si="13"/>
        <v>1.660375570145687E-2</v>
      </c>
      <c r="F125" s="13">
        <f t="shared" ca="1" si="14"/>
        <v>5.0727208848738138E-2</v>
      </c>
      <c r="G125" s="21">
        <f ca="1">IF((Prices!B125-Prices!B124)*C125&gt;0,1,0)</f>
        <v>0</v>
      </c>
      <c r="H125" s="13">
        <f>ABS(Prices!B125-Prices!B124)/Prices!B124</f>
        <v>3.1006452694209642E-3</v>
      </c>
      <c r="I125" s="21"/>
      <c r="J125" s="4">
        <f t="shared" ca="1" si="15"/>
        <v>1.8946572873405936E-2</v>
      </c>
      <c r="K125" s="13"/>
      <c r="L125" s="13">
        <f ca="1">L124-O125*Prices!B125</f>
        <v>0.36154998604179628</v>
      </c>
      <c r="M125" s="4">
        <f t="shared" ca="1" si="16"/>
        <v>0.58229772990203665</v>
      </c>
      <c r="N125" s="13">
        <f ca="1">IF(Prices!B124&gt;OFFSET(Prices!B124,-$N$3,0),1,-1)</f>
        <v>1</v>
      </c>
      <c r="O125" s="4">
        <f ca="1">IF(N125=1,O$3*L124/Prices!B124,-O$3*M124)</f>
        <v>1.5943888185152681E-2</v>
      </c>
      <c r="P125" s="22"/>
      <c r="Q125" s="13">
        <f ca="1">Q124-T125*Prices!B125</f>
        <v>3.2259042679780005E-2</v>
      </c>
      <c r="R125" s="4">
        <f t="shared" ca="1" si="17"/>
        <v>0.86510260582316389</v>
      </c>
      <c r="S125" s="13">
        <f ca="1">IF(Prices!D124&gt;OFFSET(Prices!D124,-S$3,0),1,-1)</f>
        <v>1</v>
      </c>
      <c r="T125" s="4">
        <f ca="1">IF(S125=1,T$3*Q124/Prices!B124,-T$3*R124)</f>
        <v>3.0026846882532537E-3</v>
      </c>
      <c r="V125" s="13"/>
      <c r="W125" s="4"/>
      <c r="X125" s="4"/>
      <c r="Y125" s="4"/>
      <c r="Z125" s="4"/>
      <c r="AA125" s="4"/>
      <c r="AB125" s="4"/>
      <c r="AC125" s="4"/>
      <c r="AD125" s="4"/>
      <c r="AE125" s="52"/>
    </row>
    <row r="126" spans="1:31" x14ac:dyDescent="0.2">
      <c r="A126" s="7">
        <v>42246</v>
      </c>
      <c r="B126" s="13">
        <f ca="1">Prices!B125*(1+J126/(50*(ABS(O126)+ABS(T126)+0.0001)))</f>
        <v>1.2132598812302506</v>
      </c>
      <c r="C126" s="62">
        <f t="shared" ca="1" si="12"/>
        <v>1</v>
      </c>
      <c r="D126" s="13">
        <f ca="1">D125+C126*(Prices!B126-Prices!B125)/Prices!B125</f>
        <v>2.3783843194355933E-2</v>
      </c>
      <c r="E126" s="13">
        <f t="shared" ca="1" si="13"/>
        <v>2.6943365654382205E-2</v>
      </c>
      <c r="F126" s="13">
        <f t="shared" ca="1" si="14"/>
        <v>5.0727208848738138E-2</v>
      </c>
      <c r="G126" s="21">
        <f ca="1">IF((Prices!B126-Prices!B125)*C126&gt;0,1,0)</f>
        <v>0</v>
      </c>
      <c r="H126" s="13">
        <f>ABS(Prices!B126-Prices!B125)/Prices!B125</f>
        <v>1.0339609952925334E-2</v>
      </c>
      <c r="I126" s="21"/>
      <c r="J126" s="4">
        <f t="shared" ca="1" si="15"/>
        <v>1.7908039315793389E-2</v>
      </c>
      <c r="K126" s="13"/>
      <c r="L126" s="13">
        <f ca="1">L125-O126*Prices!B126</f>
        <v>0.34365940103141435</v>
      </c>
      <c r="M126" s="4">
        <f t="shared" ca="1" si="16"/>
        <v>0.59749401378072686</v>
      </c>
      <c r="N126" s="13">
        <f ca="1">IF(Prices!B125&gt;OFFSET(Prices!B125,-$N$3,0),1,-1)</f>
        <v>1</v>
      </c>
      <c r="O126" s="4">
        <f ca="1">IF(N126=1,O$3*L125/Prices!B125,-O$3*M125)</f>
        <v>1.519628387869016E-2</v>
      </c>
      <c r="P126" s="22"/>
      <c r="Q126" s="13">
        <f ca="1">Q125-T126*Prices!B126</f>
        <v>2.9066493003678372E-2</v>
      </c>
      <c r="R126" s="4">
        <f t="shared" ca="1" si="17"/>
        <v>0.86781436126026712</v>
      </c>
      <c r="S126" s="13">
        <f ca="1">IF(Prices!D125&gt;OFFSET(Prices!D125,-S$3,0),1,-1)</f>
        <v>1</v>
      </c>
      <c r="T126" s="4">
        <f ca="1">IF(S126=1,T$3*Q125/Prices!B125,-T$3*R125)</f>
        <v>2.7117554371032288E-3</v>
      </c>
      <c r="V126" s="13"/>
      <c r="W126" s="4"/>
      <c r="X126" s="4"/>
      <c r="Y126" s="4"/>
      <c r="Z126" s="4"/>
      <c r="AA126" s="4"/>
      <c r="AB126" s="4"/>
      <c r="AC126" s="4"/>
      <c r="AD126" s="4"/>
      <c r="AE126" s="52"/>
    </row>
    <row r="127" spans="1:31" x14ac:dyDescent="0.2">
      <c r="A127" s="7">
        <v>42253</v>
      </c>
      <c r="B127" s="13">
        <f ca="1">Prices!B126*(1+J127/(50*(ABS(O127)+ABS(T127)+0.0001)))</f>
        <v>1.2007088186937476</v>
      </c>
      <c r="C127" s="62">
        <f t="shared" ca="1" si="12"/>
        <v>1</v>
      </c>
      <c r="D127" s="13">
        <f ca="1">D126+C127*(Prices!B127-Prices!B126)/Prices!B126</f>
        <v>2.1745280381139286E-2</v>
      </c>
      <c r="E127" s="13">
        <f t="shared" ca="1" si="13"/>
        <v>2.8981928467598853E-2</v>
      </c>
      <c r="F127" s="13">
        <f t="shared" ca="1" si="14"/>
        <v>5.0727208848738138E-2</v>
      </c>
      <c r="G127" s="21">
        <f ca="1">IF((Prices!B127-Prices!B126)*C127&gt;0,1,0)</f>
        <v>0</v>
      </c>
      <c r="H127" s="13">
        <f>ABS(Prices!B127-Prices!B126)/Prices!B126</f>
        <v>2.0385628132166462E-3</v>
      </c>
      <c r="I127" s="21"/>
      <c r="J127" s="4">
        <f t="shared" ca="1" si="15"/>
        <v>1.70641462260584E-2</v>
      </c>
      <c r="K127" s="13"/>
      <c r="L127" s="13">
        <f ca="1">L126-O127*Prices!B127</f>
        <v>0.32651145954361138</v>
      </c>
      <c r="M127" s="4">
        <f t="shared" ca="1" si="16"/>
        <v>0.6120892486839552</v>
      </c>
      <c r="N127" s="13">
        <f ca="1">IF(Prices!B126&gt;OFFSET(Prices!B126,-$N$3,0),1,-1)</f>
        <v>1</v>
      </c>
      <c r="O127" s="4">
        <f ca="1">IF(N127=1,O$3*L126/Prices!B126,-O$3*M126)</f>
        <v>1.4595234903228334E-2</v>
      </c>
      <c r="P127" s="22"/>
      <c r="Q127" s="13">
        <f ca="1">Q126-T127*Prices!B127</f>
        <v>2.6165769090485326E-2</v>
      </c>
      <c r="R127" s="4">
        <f t="shared" ca="1" si="17"/>
        <v>0.87028327258309723</v>
      </c>
      <c r="S127" s="13">
        <f ca="1">IF(Prices!D126&gt;OFFSET(Prices!D126,-S$3,0),1,-1)</f>
        <v>1</v>
      </c>
      <c r="T127" s="4">
        <f ca="1">IF(S127=1,T$3*Q126/Prices!B126,-T$3*R126)</f>
        <v>2.4689113228300663E-3</v>
      </c>
      <c r="V127" s="13"/>
      <c r="W127" s="4"/>
      <c r="X127" s="4"/>
      <c r="Y127" s="4"/>
      <c r="Z127" s="4"/>
      <c r="AA127" s="4"/>
      <c r="AB127" s="4"/>
      <c r="AC127" s="4"/>
      <c r="AD127" s="4"/>
      <c r="AE127" s="52"/>
    </row>
    <row r="128" spans="1:31" x14ac:dyDescent="0.2">
      <c r="A128" s="7">
        <v>42260</v>
      </c>
      <c r="B128" s="13">
        <f ca="1">Prices!B127*(1+J128/(50*(ABS(O128)+ABS(T128)+0.0001)))</f>
        <v>1.1982531504626279</v>
      </c>
      <c r="C128" s="62">
        <f t="shared" ca="1" si="12"/>
        <v>1</v>
      </c>
      <c r="D128" s="13">
        <f ca="1">D127+C128*(Prices!B128-Prices!B127)/Prices!B127</f>
        <v>3.1363120197293738E-2</v>
      </c>
      <c r="E128" s="13">
        <f t="shared" ca="1" si="13"/>
        <v>1.93640886514444E-2</v>
      </c>
      <c r="F128" s="13">
        <f t="shared" ca="1" si="14"/>
        <v>5.0727208848738138E-2</v>
      </c>
      <c r="G128" s="21">
        <f ca="1">IF((Prices!B128-Prices!B127)*C128&gt;0,1,0)</f>
        <v>1</v>
      </c>
      <c r="H128" s="13">
        <f>ABS(Prices!B128-Prices!B127)/Prices!B127</f>
        <v>9.6178398161544509E-3</v>
      </c>
      <c r="I128" s="21"/>
      <c r="J128" s="4">
        <f t="shared" ca="1" si="15"/>
        <v>1.6122350741534685E-2</v>
      </c>
      <c r="K128" s="13"/>
      <c r="L128" s="13">
        <f ca="1">L127-O128*Prices!B128</f>
        <v>0.31002886982062933</v>
      </c>
      <c r="M128" s="4">
        <f t="shared" ca="1" si="16"/>
        <v>0.62598453592302283</v>
      </c>
      <c r="N128" s="13">
        <f ca="1">IF(Prices!B127&gt;OFFSET(Prices!B127,-$N$3,0),1,-1)</f>
        <v>1</v>
      </c>
      <c r="O128" s="4">
        <f ca="1">IF(N128=1,O$3*L127/Prices!B127,-O$3*M127)</f>
        <v>1.3895287239067638E-2</v>
      </c>
      <c r="P128" s="22"/>
      <c r="Q128" s="13">
        <f ca="1">Q127-T128*Prices!B128</f>
        <v>2.3524026363858915E-2</v>
      </c>
      <c r="R128" s="4">
        <f t="shared" ca="1" si="17"/>
        <v>0.87251033608556428</v>
      </c>
      <c r="S128" s="13">
        <f ca="1">IF(Prices!D127&gt;OFFSET(Prices!D127,-S$3,0),1,-1)</f>
        <v>1</v>
      </c>
      <c r="T128" s="4">
        <f ca="1">IF(S128=1,T$3*Q127/Prices!B127,-T$3*R127)</f>
        <v>2.2270635024670463E-3</v>
      </c>
      <c r="V128" s="13"/>
      <c r="W128" s="4"/>
      <c r="X128" s="4"/>
      <c r="Y128" s="4"/>
      <c r="Z128" s="4"/>
      <c r="AA128" s="4"/>
      <c r="AB128" s="4"/>
      <c r="AC128" s="4"/>
      <c r="AD128" s="4"/>
      <c r="AE128" s="52"/>
    </row>
    <row r="129" spans="1:31" x14ac:dyDescent="0.2">
      <c r="A129" s="7">
        <v>42267</v>
      </c>
      <c r="B129" s="13">
        <f ca="1">Prices!B128*(1+J129/(50*(ABS(O129)+ABS(T129)+0.0001)))</f>
        <v>1.2097674193248689</v>
      </c>
      <c r="C129" s="62">
        <f t="shared" ca="1" si="12"/>
        <v>1</v>
      </c>
      <c r="D129" s="13">
        <f ca="1">D128+C129*(Prices!B129-Prices!B128)/Prices!B128</f>
        <v>4.3418422844402137E-2</v>
      </c>
      <c r="E129" s="13">
        <f t="shared" ca="1" si="13"/>
        <v>7.3087860043360015E-3</v>
      </c>
      <c r="F129" s="13">
        <f t="shared" ca="1" si="14"/>
        <v>5.0727208848738138E-2</v>
      </c>
      <c r="G129" s="21">
        <f ca="1">IF((Prices!B129-Prices!B128)*C129&gt;0,1,0)</f>
        <v>1</v>
      </c>
      <c r="H129" s="13">
        <f>ABS(Prices!B129-Prices!B128)/Prices!B128</f>
        <v>1.2055302647108397E-2</v>
      </c>
      <c r="I129" s="21"/>
      <c r="J129" s="4">
        <f t="shared" ca="1" si="15"/>
        <v>1.505129499866579E-2</v>
      </c>
      <c r="K129" s="13"/>
      <c r="L129" s="13">
        <f ca="1">L128-O129*Prices!B129</f>
        <v>0.29434055173684642</v>
      </c>
      <c r="M129" s="4">
        <f t="shared" ca="1" si="16"/>
        <v>0.63905268926228387</v>
      </c>
      <c r="N129" s="13">
        <f ca="1">IF(Prices!B128&gt;OFFSET(Prices!B128,-$N$3,0),1,-1)</f>
        <v>1</v>
      </c>
      <c r="O129" s="4">
        <f ca="1">IF(N129=1,O$3*L128/Prices!B128,-O$3*M128)</f>
        <v>1.3068153339261059E-2</v>
      </c>
      <c r="P129" s="22"/>
      <c r="Q129" s="13">
        <f ca="1">Q128-T129*Prices!B129</f>
        <v>2.1143264801743535E-2</v>
      </c>
      <c r="R129" s="4">
        <f t="shared" ca="1" si="17"/>
        <v>0.87449347774496899</v>
      </c>
      <c r="S129" s="13">
        <f ca="1">IF(Prices!D128&gt;OFFSET(Prices!D128,-S$3,0),1,-1)</f>
        <v>1</v>
      </c>
      <c r="T129" s="4">
        <f ca="1">IF(S129=1,T$3*Q128/Prices!B128,-T$3*R128)</f>
        <v>1.9831416594047312E-3</v>
      </c>
      <c r="V129" s="13"/>
      <c r="W129" s="4"/>
      <c r="X129" s="4"/>
      <c r="Y129" s="4"/>
      <c r="Z129" s="4"/>
      <c r="AA129" s="4"/>
      <c r="AB129" s="4"/>
      <c r="AC129" s="4"/>
      <c r="AD129" s="4"/>
      <c r="AE129" s="52"/>
    </row>
    <row r="130" spans="1:31" x14ac:dyDescent="0.2">
      <c r="A130" s="7">
        <v>42274</v>
      </c>
      <c r="B130" s="13">
        <f ca="1">Prices!B129*(1+J130/(50*(ABS(O130)+ABS(T130)+0.0001)))</f>
        <v>1.2243399609584784</v>
      </c>
      <c r="C130" s="62">
        <f t="shared" ca="1" si="12"/>
        <v>1</v>
      </c>
      <c r="D130" s="13">
        <f ca="1">D129+C130*(Prices!B130-Prices!B129)/Prices!B129</f>
        <v>4.5417589858146562E-2</v>
      </c>
      <c r="E130" s="13">
        <f t="shared" ca="1" si="13"/>
        <v>5.3096189905915761E-3</v>
      </c>
      <c r="F130" s="13">
        <f t="shared" ca="1" si="14"/>
        <v>5.0727208848738138E-2</v>
      </c>
      <c r="G130" s="21">
        <f ca="1">IF((Prices!B130-Prices!B129)*C130&gt;0,1,0)</f>
        <v>1</v>
      </c>
      <c r="H130" s="13">
        <f>ABS(Prices!B130-Prices!B129)/Prices!B129</f>
        <v>1.9991670137444232E-3</v>
      </c>
      <c r="I130" s="21"/>
      <c r="J130" s="4">
        <f t="shared" ca="1" si="15"/>
        <v>1.4020286603095941E-2</v>
      </c>
      <c r="K130" s="13"/>
      <c r="L130" s="13">
        <f ca="1">L129-O130*Prices!B130</f>
        <v>0.27959410235391213</v>
      </c>
      <c r="M130" s="4">
        <f t="shared" ca="1" si="16"/>
        <v>0.65131177096727544</v>
      </c>
      <c r="N130" s="13">
        <f ca="1">IF(Prices!B129&gt;OFFSET(Prices!B129,-$N$3,0),1,-1)</f>
        <v>1</v>
      </c>
      <c r="O130" s="4">
        <f ca="1">IF(N130=1,O$3*L129/Prices!B129,-O$3*M129)</f>
        <v>1.2259081704991523E-2</v>
      </c>
      <c r="P130" s="22"/>
      <c r="Q130" s="13">
        <f ca="1">Q129-T130*Prices!B130</f>
        <v>1.9024711429813729E-2</v>
      </c>
      <c r="R130" s="4">
        <f t="shared" ca="1" si="17"/>
        <v>0.87625468264307338</v>
      </c>
      <c r="S130" s="13">
        <f ca="1">IF(Prices!D129&gt;OFFSET(Prices!D129,-S$3,0),1,-1)</f>
        <v>1</v>
      </c>
      <c r="T130" s="4">
        <f ca="1">IF(S130=1,T$3*Q129/Prices!B129,-T$3*R129)</f>
        <v>1.761204898104418E-3</v>
      </c>
      <c r="V130" s="13"/>
      <c r="W130" s="4"/>
      <c r="X130" s="4"/>
      <c r="Y130" s="4"/>
      <c r="Z130" s="4"/>
      <c r="AA130" s="4"/>
      <c r="AB130" s="4"/>
      <c r="AC130" s="4"/>
      <c r="AD130" s="4"/>
      <c r="AE130" s="52"/>
    </row>
    <row r="131" spans="1:31" x14ac:dyDescent="0.2">
      <c r="A131" s="7">
        <v>42281</v>
      </c>
      <c r="B131" s="13">
        <f ca="1">Prices!B130*(1+J131/(50*(ABS(O131)+ABS(T131)+0.0001)))</f>
        <v>1.226777156824151</v>
      </c>
      <c r="C131" s="62">
        <f t="shared" ca="1" si="12"/>
        <v>1</v>
      </c>
      <c r="D131" s="13">
        <f ca="1">D130+C131*(Prices!B131-Prices!B130)/Prices!B130</f>
        <v>5.9799500241386958E-2</v>
      </c>
      <c r="E131" s="13">
        <f t="shared" ca="1" si="13"/>
        <v>0</v>
      </c>
      <c r="F131" s="13">
        <f t="shared" ca="1" si="14"/>
        <v>5.9799500241386958E-2</v>
      </c>
      <c r="G131" s="21">
        <f ca="1">IF((Prices!B131-Prices!B130)*C131&gt;0,1,0)</f>
        <v>1</v>
      </c>
      <c r="H131" s="13">
        <f>ABS(Prices!B131-Prices!B130)/Prices!B130</f>
        <v>1.4381910383240394E-2</v>
      </c>
      <c r="I131" s="21"/>
      <c r="J131" s="4">
        <f t="shared" ca="1" si="15"/>
        <v>1.3203239056178383E-2</v>
      </c>
      <c r="K131" s="13"/>
      <c r="L131" s="13">
        <f ca="1">L130-O131*Prices!B131</f>
        <v>0.26541334237002973</v>
      </c>
      <c r="M131" s="4">
        <f t="shared" ca="1" si="16"/>
        <v>0.662933439532988</v>
      </c>
      <c r="N131" s="13">
        <f ca="1">IF(Prices!B130&gt;OFFSET(Prices!B130,-$N$3,0),1,-1)</f>
        <v>1</v>
      </c>
      <c r="O131" s="4">
        <f ca="1">IF(N131=1,O$3*L130/Prices!B130,-O$3*M130)</f>
        <v>1.1621668565712532E-2</v>
      </c>
      <c r="P131" s="22"/>
      <c r="Q131" s="13">
        <f ca="1">Q130-T131*Prices!B131</f>
        <v>1.7094879117347299E-2</v>
      </c>
      <c r="R131" s="4">
        <f t="shared" ca="1" si="17"/>
        <v>0.87783625313353919</v>
      </c>
      <c r="S131" s="13">
        <f ca="1">IF(Prices!D130&gt;OFFSET(Prices!D130,-S$3,0),1,-1)</f>
        <v>1</v>
      </c>
      <c r="T131" s="4">
        <f ca="1">IF(S131=1,T$3*Q130/Prices!B130,-T$3*R130)</f>
        <v>1.5815704904658516E-3</v>
      </c>
      <c r="V131" s="13"/>
      <c r="W131" s="4"/>
      <c r="X131" s="4"/>
      <c r="Y131" s="4"/>
      <c r="Z131" s="4"/>
      <c r="AA131" s="4"/>
      <c r="AB131" s="4"/>
      <c r="AC131" s="4"/>
      <c r="AD131" s="4"/>
      <c r="AE131" s="52"/>
    </row>
    <row r="132" spans="1:31" x14ac:dyDescent="0.2">
      <c r="A132" s="7">
        <v>42288</v>
      </c>
      <c r="B132" s="13">
        <f ca="1">Prices!B131*(1+J132/(50*(ABS(O132)+ABS(T132)+0.0001)))</f>
        <v>1.2444068246875672</v>
      </c>
      <c r="C132" s="62">
        <f t="shared" ca="1" si="12"/>
        <v>1</v>
      </c>
      <c r="D132" s="13">
        <f ca="1">D131+C132*(Prices!B132-Prices!B131)/Prices!B131</f>
        <v>6.1438575802770339E-2</v>
      </c>
      <c r="E132" s="13">
        <f t="shared" ca="1" si="13"/>
        <v>0</v>
      </c>
      <c r="F132" s="13">
        <f t="shared" ca="1" si="14"/>
        <v>6.1438575802770339E-2</v>
      </c>
      <c r="G132" s="21">
        <f ca="1">IF((Prices!B132-Prices!B131)*C132&gt;0,1,0)</f>
        <v>1</v>
      </c>
      <c r="H132" s="13">
        <f>ABS(Prices!B132-Prices!B131)/Prices!B131</f>
        <v>1.6390755613833812E-3</v>
      </c>
      <c r="I132" s="21"/>
      <c r="J132" s="4">
        <f t="shared" ca="1" si="15"/>
        <v>1.2276803007897243E-2</v>
      </c>
      <c r="K132" s="13"/>
      <c r="L132" s="13">
        <f ca="1">L131-O132*Prices!B132</f>
        <v>0.25212092362537103</v>
      </c>
      <c r="M132" s="4">
        <f t="shared" ca="1" si="16"/>
        <v>0.67380925261158287</v>
      </c>
      <c r="N132" s="13">
        <f ca="1">IF(Prices!B131&gt;OFFSET(Prices!B131,-$N$3,0),1,-1)</f>
        <v>1</v>
      </c>
      <c r="O132" s="4">
        <f ca="1">IF(N132=1,O$3*L131/Prices!B131,-O$3*M131)</f>
        <v>1.0875813078594891E-2</v>
      </c>
      <c r="P132" s="22"/>
      <c r="Q132" s="13">
        <f ca="1">Q131-T132*Prices!B132</f>
        <v>1.5382589225753964E-2</v>
      </c>
      <c r="R132" s="4">
        <f t="shared" ca="1" si="17"/>
        <v>0.87923724306284157</v>
      </c>
      <c r="S132" s="13">
        <f ca="1">IF(Prices!D131&gt;OFFSET(Prices!D131,-S$3,0),1,-1)</f>
        <v>1</v>
      </c>
      <c r="T132" s="4">
        <f ca="1">IF(S132=1,T$3*Q131/Prices!B131,-T$3*R131)</f>
        <v>1.4009899293023521E-3</v>
      </c>
      <c r="V132" s="13"/>
      <c r="W132" s="4"/>
      <c r="X132" s="4"/>
      <c r="Y132" s="4"/>
      <c r="Z132" s="4"/>
      <c r="AA132" s="4"/>
      <c r="AB132" s="4"/>
      <c r="AC132" s="4"/>
      <c r="AD132" s="4"/>
      <c r="AE132" s="52"/>
    </row>
    <row r="133" spans="1:31" x14ac:dyDescent="0.2">
      <c r="A133" s="7">
        <v>42295</v>
      </c>
      <c r="B133" s="13">
        <f ca="1">Prices!B132*(1+J133/(50*(ABS(O133)+ABS(T133)+0.0001)))</f>
        <v>1.246434590514631</v>
      </c>
      <c r="C133" s="62">
        <f t="shared" ca="1" si="12"/>
        <v>1</v>
      </c>
      <c r="D133" s="13">
        <f ca="1">D132+C133*(Prices!B133-Prices!B132)/Prices!B132</f>
        <v>7.8211608039720076E-2</v>
      </c>
      <c r="E133" s="13">
        <f t="shared" ca="1" si="13"/>
        <v>0</v>
      </c>
      <c r="F133" s="13">
        <f t="shared" ca="1" si="14"/>
        <v>7.8211608039720076E-2</v>
      </c>
      <c r="G133" s="21">
        <f ca="1">IF((Prices!B133-Prices!B132)*C133&gt;0,1,0)</f>
        <v>1</v>
      </c>
      <c r="H133" s="13">
        <f>ABS(Prices!B133-Prices!B132)/Prices!B132</f>
        <v>1.6773032236949734E-2</v>
      </c>
      <c r="I133" s="21"/>
      <c r="J133" s="4">
        <f t="shared" ca="1" si="15"/>
        <v>1.1572823681757445E-2</v>
      </c>
      <c r="K133" s="13"/>
      <c r="L133" s="13">
        <f ca="1">L132-O133*Prices!B133</f>
        <v>0.23930343582512359</v>
      </c>
      <c r="M133" s="4">
        <f t="shared" ca="1" si="16"/>
        <v>0.68412347792762651</v>
      </c>
      <c r="N133" s="13">
        <f ca="1">IF(Prices!B132&gt;OFFSET(Prices!B132,-$N$3,0),1,-1)</f>
        <v>1</v>
      </c>
      <c r="O133" s="4">
        <f ca="1">IF(N133=1,O$3*L132/Prices!B132,-O$3*M132)</f>
        <v>1.0314225316043653E-2</v>
      </c>
      <c r="P133" s="22"/>
      <c r="Q133" s="13">
        <f ca="1">Q132-T133*Prices!B133</f>
        <v>1.3818529036681435E-2</v>
      </c>
      <c r="R133" s="4">
        <f t="shared" ca="1" si="17"/>
        <v>0.8804958414285553</v>
      </c>
      <c r="S133" s="13">
        <f ca="1">IF(Prices!D132&gt;OFFSET(Prices!D132,-S$3,0),1,-1)</f>
        <v>1</v>
      </c>
      <c r="T133" s="4">
        <f ca="1">IF(S133=1,T$3*Q132/Prices!B132,-T$3*R132)</f>
        <v>1.258598365713792E-3</v>
      </c>
      <c r="V133" s="13"/>
      <c r="W133" s="4"/>
      <c r="X133" s="4"/>
      <c r="Y133" s="4"/>
      <c r="Z133" s="4"/>
      <c r="AA133" s="4"/>
      <c r="AB133" s="4"/>
      <c r="AC133" s="4"/>
      <c r="AD133" s="4"/>
      <c r="AE133" s="52"/>
    </row>
    <row r="134" spans="1:31" x14ac:dyDescent="0.2">
      <c r="A134" s="7">
        <v>42302</v>
      </c>
      <c r="B134" s="13">
        <f ca="1">Prices!B133*(1+J134/(50*(ABS(O134)+ABS(T134)+0.0001)))</f>
        <v>1.2227662531404122</v>
      </c>
      <c r="C134" s="62">
        <f t="shared" ca="1" si="12"/>
        <v>0</v>
      </c>
      <c r="D134" s="13">
        <f ca="1">D133+C134*(Prices!B134-Prices!B133)/Prices!B133</f>
        <v>7.8211608039720076E-2</v>
      </c>
      <c r="E134" s="13">
        <f t="shared" ca="1" si="13"/>
        <v>0</v>
      </c>
      <c r="F134" s="13">
        <f t="shared" ca="1" si="14"/>
        <v>7.8211608039720076E-2</v>
      </c>
      <c r="G134" s="21">
        <f ca="1">IF((Prices!B134-Prices!B133)*C134&gt;0,1,0)</f>
        <v>0</v>
      </c>
      <c r="H134" s="13">
        <f>ABS(Prices!B134-Prices!B133)/Prices!B133</f>
        <v>2.8969180011266175E-3</v>
      </c>
      <c r="I134" s="21"/>
      <c r="J134" s="4">
        <f t="shared" ca="1" si="15"/>
        <v>-7.8421217046004979E-2</v>
      </c>
      <c r="K134" s="13"/>
      <c r="L134" s="13">
        <f ca="1">L133-O134*Prices!B134</f>
        <v>0.22730360191231874</v>
      </c>
      <c r="M134" s="4">
        <f t="shared" ca="1" si="16"/>
        <v>0.69375184502447707</v>
      </c>
      <c r="N134" s="13">
        <f ca="1">IF(Prices!B133&gt;OFFSET(Prices!B133,-$N$3,0),1,-1)</f>
        <v>1</v>
      </c>
      <c r="O134" s="4">
        <f ca="1">IF(N134=1,O$3*L133/Prices!B133,-O$3*M133)</f>
        <v>9.6283670968505524E-3</v>
      </c>
      <c r="P134" s="22"/>
      <c r="Q134" s="13">
        <f ca="1">Q133-T134*Prices!B134</f>
        <v>0.12355472575392228</v>
      </c>
      <c r="R134" s="4">
        <f t="shared" ca="1" si="17"/>
        <v>0.79244625728569973</v>
      </c>
      <c r="S134" s="13">
        <f ca="1">IF(Prices!D133&gt;OFFSET(Prices!D133,-S$3,0),1,-1)</f>
        <v>-1</v>
      </c>
      <c r="T134" s="4">
        <f ca="1">IF(S134=1,T$3*Q133/Prices!B133,-T$3*R133)</f>
        <v>-8.8049584142855533E-2</v>
      </c>
      <c r="V134" s="13"/>
      <c r="W134" s="4"/>
      <c r="X134" s="4"/>
      <c r="Y134" s="4"/>
      <c r="Z134" s="4"/>
      <c r="AA134" s="4"/>
      <c r="AB134" s="4"/>
      <c r="AC134" s="4"/>
      <c r="AD134" s="4"/>
      <c r="AE134" s="52"/>
    </row>
    <row r="135" spans="1:31" x14ac:dyDescent="0.2">
      <c r="A135" s="7">
        <v>42309</v>
      </c>
      <c r="B135" s="13">
        <f ca="1">Prices!B134*(1+J135/(50*(ABS(O135)+ABS(T135)+0.0001)))</f>
        <v>1.226541085269341</v>
      </c>
      <c r="C135" s="62">
        <f t="shared" ca="1" si="12"/>
        <v>0</v>
      </c>
      <c r="D135" s="13">
        <f ca="1">D134+C135*(Prices!B135-Prices!B134)/Prices!B134</f>
        <v>7.8211608039720076E-2</v>
      </c>
      <c r="E135" s="13">
        <f t="shared" ca="1" si="13"/>
        <v>0</v>
      </c>
      <c r="F135" s="13">
        <f t="shared" ca="1" si="14"/>
        <v>7.8211608039720076E-2</v>
      </c>
      <c r="G135" s="21">
        <f ca="1">IF((Prices!B135-Prices!B134)*C135&gt;0,1,0)</f>
        <v>0</v>
      </c>
      <c r="H135" s="13">
        <f>ABS(Prices!B135-Prices!B134)/Prices!B134</f>
        <v>1.693011313487916E-2</v>
      </c>
      <c r="I135" s="21"/>
      <c r="J135" s="4">
        <f t="shared" ca="1" si="15"/>
        <v>-7.012548900738251E-2</v>
      </c>
      <c r="K135" s="13"/>
      <c r="L135" s="13">
        <f ca="1">L134-O135*Prices!B135</f>
        <v>0.21613083560151986</v>
      </c>
      <c r="M135" s="4">
        <f t="shared" ca="1" si="16"/>
        <v>0.70287098174566454</v>
      </c>
      <c r="N135" s="13">
        <f ca="1">IF(Prices!B134&gt;OFFSET(Prices!B134,-$N$3,0),1,-1)</f>
        <v>1</v>
      </c>
      <c r="O135" s="4">
        <f ca="1">IF(N135=1,O$3*L134/Prices!B134,-O$3*M134)</f>
        <v>9.1191367211874656E-3</v>
      </c>
      <c r="P135" s="22"/>
      <c r="Q135" s="13">
        <f ca="1">Q134-T135*Prices!B135</f>
        <v>0.22064524119656623</v>
      </c>
      <c r="R135" s="4">
        <f t="shared" ca="1" si="17"/>
        <v>0.71320163155712979</v>
      </c>
      <c r="S135" s="13">
        <f ca="1">IF(Prices!D134&gt;OFFSET(Prices!D134,-S$3,0),1,-1)</f>
        <v>-1</v>
      </c>
      <c r="T135" s="4">
        <f ca="1">IF(S135=1,T$3*Q134/Prices!B134,-T$3*R134)</f>
        <v>-7.9244625728569981E-2</v>
      </c>
      <c r="V135" s="13"/>
      <c r="W135" s="4"/>
      <c r="X135" s="4"/>
      <c r="Y135" s="4"/>
      <c r="Z135" s="4"/>
      <c r="AA135" s="4"/>
      <c r="AB135" s="4"/>
      <c r="AC135" s="4"/>
      <c r="AD135" s="4"/>
      <c r="AE135" s="52"/>
    </row>
    <row r="136" spans="1:31" x14ac:dyDescent="0.2">
      <c r="A136" s="7">
        <v>42316</v>
      </c>
      <c r="B136" s="13">
        <f ca="1">Prices!B135*(1+J136/(50*(ABS(O136)+ABS(T136)+0.0001)))</f>
        <v>1.2061136216225308</v>
      </c>
      <c r="C136" s="62">
        <f t="shared" ca="1" si="12"/>
        <v>0</v>
      </c>
      <c r="D136" s="13">
        <f ca="1">D135+C136*(Prices!B136-Prices!B135)/Prices!B135</f>
        <v>7.8211608039720076E-2</v>
      </c>
      <c r="E136" s="13">
        <f t="shared" ca="1" si="13"/>
        <v>0</v>
      </c>
      <c r="F136" s="13">
        <f t="shared" ca="1" si="14"/>
        <v>7.8211608039720076E-2</v>
      </c>
      <c r="G136" s="21">
        <f ca="1">IF((Prices!B136-Prices!B135)*C136&gt;0,1,0)</f>
        <v>0</v>
      </c>
      <c r="H136" s="13">
        <f>ABS(Prices!B136-Prices!B135)/Prices!B135</f>
        <v>1.2569376428338113E-2</v>
      </c>
      <c r="I136" s="21"/>
      <c r="J136" s="4">
        <f t="shared" ca="1" si="15"/>
        <v>-6.2499936433483144E-2</v>
      </c>
      <c r="K136" s="13"/>
      <c r="L136" s="13">
        <f ca="1">L135-O136*Prices!B136</f>
        <v>0.20518846232992152</v>
      </c>
      <c r="M136" s="4">
        <f t="shared" ca="1" si="16"/>
        <v>0.71169120846789435</v>
      </c>
      <c r="N136" s="13">
        <f ca="1">IF(Prices!B135&gt;OFFSET(Prices!B135,-$N$3,0),1,-1)</f>
        <v>1</v>
      </c>
      <c r="O136" s="4">
        <f ca="1">IF(N136=1,O$3*L135/Prices!B135,-O$3*M135)</f>
        <v>8.8202267222298337E-3</v>
      </c>
      <c r="P136" s="22"/>
      <c r="Q136" s="13">
        <f ca="1">Q135-T136*Prices!B136</f>
        <v>0.30912503560754373</v>
      </c>
      <c r="R136" s="4">
        <f t="shared" ca="1" si="17"/>
        <v>0.6418814684014168</v>
      </c>
      <c r="S136" s="13">
        <f ca="1">IF(Prices!D135&gt;OFFSET(Prices!D135,-S$3,0),1,-1)</f>
        <v>-1</v>
      </c>
      <c r="T136" s="4">
        <f ca="1">IF(S136=1,T$3*Q135/Prices!B135,-T$3*R135)</f>
        <v>-7.1320163155712976E-2</v>
      </c>
      <c r="V136" s="13"/>
      <c r="W136" s="4"/>
      <c r="X136" s="4"/>
      <c r="Y136" s="4"/>
      <c r="Z136" s="4"/>
      <c r="AA136" s="4"/>
      <c r="AB136" s="4"/>
      <c r="AC136" s="4"/>
      <c r="AD136" s="4"/>
      <c r="AE136" s="52"/>
    </row>
    <row r="137" spans="1:31" x14ac:dyDescent="0.2">
      <c r="A137" s="7">
        <v>42323</v>
      </c>
      <c r="B137" s="13">
        <f ca="1">Prices!B136*(1+J137/(50*(ABS(O137)+ABS(T137)+0.0001)))</f>
        <v>1.2214780526948377</v>
      </c>
      <c r="C137" s="62">
        <f t="shared" ca="1" si="12"/>
        <v>0</v>
      </c>
      <c r="D137" s="13">
        <f ca="1">D136+C137*(Prices!B137-Prices!B136)/Prices!B136</f>
        <v>7.8211608039720076E-2</v>
      </c>
      <c r="E137" s="13">
        <f t="shared" ca="1" si="13"/>
        <v>0</v>
      </c>
      <c r="F137" s="13">
        <f t="shared" ca="1" si="14"/>
        <v>7.8211608039720076E-2</v>
      </c>
      <c r="G137" s="21">
        <f ca="1">IF((Prices!B137-Prices!B136)*C137&gt;0,1,0)</f>
        <v>0</v>
      </c>
      <c r="H137" s="13">
        <f>ABS(Prices!B137-Prices!B136)/Prices!B136</f>
        <v>8.9472835724648467E-3</v>
      </c>
      <c r="I137" s="21"/>
      <c r="J137" s="4">
        <f t="shared" ca="1" si="15"/>
        <v>-5.591842000111534E-2</v>
      </c>
      <c r="K137" s="13"/>
      <c r="L137" s="13">
        <f ca="1">L136-O137*Prices!B137</f>
        <v>0.19502083318133864</v>
      </c>
      <c r="M137" s="4">
        <f t="shared" ca="1" si="16"/>
        <v>0.71996093530692074</v>
      </c>
      <c r="N137" s="13">
        <f ca="1">IF(Prices!B136&gt;OFFSET(Prices!B136,-$N$3,0),1,-1)</f>
        <v>1</v>
      </c>
      <c r="O137" s="4">
        <f ca="1">IF(N137=1,O$3*L136/Prices!B136,-O$3*M136)</f>
        <v>8.2697268390263395E-3</v>
      </c>
      <c r="P137" s="22"/>
      <c r="Q137" s="13">
        <f ca="1">Q136-T137*Prices!B137</f>
        <v>0.38804436214749793</v>
      </c>
      <c r="R137" s="4">
        <f t="shared" ca="1" si="17"/>
        <v>0.57769332156127517</v>
      </c>
      <c r="S137" s="13">
        <f ca="1">IF(Prices!D136&gt;OFFSET(Prices!D136,-S$3,0),1,-1)</f>
        <v>-1</v>
      </c>
      <c r="T137" s="4">
        <f ca="1">IF(S137=1,T$3*Q136/Prices!B136,-T$3*R136)</f>
        <v>-6.418814684014168E-2</v>
      </c>
      <c r="V137" s="13"/>
      <c r="W137" s="4"/>
      <c r="X137" s="4"/>
      <c r="Y137" s="4"/>
      <c r="Z137" s="4"/>
      <c r="AA137" s="4"/>
      <c r="AB137" s="4"/>
      <c r="AC137" s="4"/>
      <c r="AD137" s="4"/>
      <c r="AE137" s="52"/>
    </row>
    <row r="138" spans="1:31" x14ac:dyDescent="0.2">
      <c r="A138" s="7">
        <v>42330</v>
      </c>
      <c r="B138" s="13">
        <f ca="1">Prices!B137*(1+J138/(50*(ABS(O138)+ABS(T138)+0.0001)))</f>
        <v>1.210875034665869</v>
      </c>
      <c r="C138" s="62">
        <f t="shared" ca="1" si="12"/>
        <v>0</v>
      </c>
      <c r="D138" s="13">
        <f ca="1">D137+C138*(Prices!B138-Prices!B137)/Prices!B137</f>
        <v>7.8211608039720076E-2</v>
      </c>
      <c r="E138" s="13">
        <f t="shared" ca="1" si="13"/>
        <v>0</v>
      </c>
      <c r="F138" s="13">
        <f t="shared" ca="1" si="14"/>
        <v>7.8211608039720076E-2</v>
      </c>
      <c r="G138" s="21">
        <f ca="1">IF((Prices!B138-Prices!B137)*C138&gt;0,1,0)</f>
        <v>0</v>
      </c>
      <c r="H138" s="13">
        <f>ABS(Prices!B138-Prices!B137)/Prices!B137</f>
        <v>1.7893452623017321E-3</v>
      </c>
      <c r="I138" s="21"/>
      <c r="J138" s="4">
        <f t="shared" ca="1" si="15"/>
        <v>-4.9838432067419156E-2</v>
      </c>
      <c r="K138" s="13"/>
      <c r="L138" s="13">
        <f ca="1">L137-O138*Prices!B138</f>
        <v>0.18525234354207656</v>
      </c>
      <c r="M138" s="4">
        <f t="shared" ca="1" si="16"/>
        <v>0.72789183539562907</v>
      </c>
      <c r="N138" s="13">
        <f ca="1">IF(Prices!B137&gt;OFFSET(Prices!B137,-$N$3,0),1,-1)</f>
        <v>1</v>
      </c>
      <c r="O138" s="4">
        <f ca="1">IF(N138=1,O$3*L137/Prices!B137,-O$3*M137)</f>
        <v>7.930900088708363E-3</v>
      </c>
      <c r="P138" s="22"/>
      <c r="Q138" s="13">
        <f ca="1">Q137-T138*Prices!B138</f>
        <v>0.45919884856420023</v>
      </c>
      <c r="R138" s="4">
        <f t="shared" ca="1" si="17"/>
        <v>0.51992398940514761</v>
      </c>
      <c r="S138" s="13">
        <f ca="1">IF(Prices!D137&gt;OFFSET(Prices!D137,-S$3,0),1,-1)</f>
        <v>-1</v>
      </c>
      <c r="T138" s="4">
        <f ca="1">IF(S138=1,T$3*Q137/Prices!B137,-T$3*R137)</f>
        <v>-5.776933215612752E-2</v>
      </c>
      <c r="V138" s="13"/>
      <c r="W138" s="4"/>
      <c r="X138" s="4"/>
      <c r="Y138" s="4"/>
      <c r="Z138" s="4"/>
      <c r="AA138" s="4"/>
      <c r="AB138" s="4"/>
      <c r="AC138" s="4"/>
      <c r="AD138" s="4"/>
      <c r="AE138" s="52"/>
    </row>
    <row r="139" spans="1:31" x14ac:dyDescent="0.2">
      <c r="A139" s="7">
        <v>42337</v>
      </c>
      <c r="B139" s="13">
        <f ca="1">Prices!B138*(1+J139/(50*(ABS(O139)+ABS(T139)+0.0001)))</f>
        <v>1.2133225323534789</v>
      </c>
      <c r="C139" s="62">
        <f t="shared" ca="1" si="12"/>
        <v>0</v>
      </c>
      <c r="D139" s="13">
        <f ca="1">D138+C139*(Prices!B139-Prices!B138)/Prices!B138</f>
        <v>7.8211608039720076E-2</v>
      </c>
      <c r="E139" s="13">
        <f t="shared" ca="1" si="13"/>
        <v>0</v>
      </c>
      <c r="F139" s="13">
        <f t="shared" ca="1" si="14"/>
        <v>7.8211608039720076E-2</v>
      </c>
      <c r="G139" s="21">
        <f ca="1">IF((Prices!B139-Prices!B138)*C139&gt;0,1,0)</f>
        <v>0</v>
      </c>
      <c r="H139" s="13">
        <f>ABS(Prices!B139-Prices!B138)/Prices!B138</f>
        <v>8.1188601120411776E-4</v>
      </c>
      <c r="I139" s="21"/>
      <c r="J139" s="4">
        <f t="shared" ca="1" si="15"/>
        <v>-4.4472209627286034E-2</v>
      </c>
      <c r="K139" s="13"/>
      <c r="L139" s="13">
        <f ca="1">L138-O139*Prices!B139</f>
        <v>0.17599724655428597</v>
      </c>
      <c r="M139" s="4">
        <f t="shared" ca="1" si="16"/>
        <v>0.7354120247088578</v>
      </c>
      <c r="N139" s="13">
        <f ca="1">IF(Prices!B138&gt;OFFSET(Prices!B138,-$N$3,0),1,-1)</f>
        <v>1</v>
      </c>
      <c r="O139" s="4">
        <f ca="1">IF(N139=1,O$3*L138/Prices!B138,-O$3*M138)</f>
        <v>7.5201893132287321E-3</v>
      </c>
      <c r="P139" s="22"/>
      <c r="Q139" s="13">
        <f ca="1">Q138-T139*Prices!B139</f>
        <v>0.5231858939402918</v>
      </c>
      <c r="R139" s="4">
        <f t="shared" ca="1" si="17"/>
        <v>0.46793159046463284</v>
      </c>
      <c r="S139" s="13">
        <f ca="1">IF(Prices!D138&gt;OFFSET(Prices!D138,-S$3,0),1,-1)</f>
        <v>-1</v>
      </c>
      <c r="T139" s="4">
        <f ca="1">IF(S139=1,T$3*Q138/Prices!B138,-T$3*R138)</f>
        <v>-5.1992398940514765E-2</v>
      </c>
      <c r="V139" s="13"/>
      <c r="W139" s="4"/>
      <c r="X139" s="4"/>
      <c r="Y139" s="4"/>
      <c r="Z139" s="4"/>
      <c r="AA139" s="4"/>
      <c r="AB139" s="4"/>
      <c r="AC139" s="4"/>
      <c r="AD139" s="4"/>
      <c r="AE139" s="52"/>
    </row>
    <row r="140" spans="1:31" x14ac:dyDescent="0.2">
      <c r="A140" s="7">
        <v>42344</v>
      </c>
      <c r="B140" s="13">
        <f ca="1">Prices!B139*(1+J140/(50*(ABS(O140)+ABS(T140)+0.0001)))</f>
        <v>1.2061154201454931</v>
      </c>
      <c r="C140" s="62">
        <f t="shared" ca="1" si="12"/>
        <v>0</v>
      </c>
      <c r="D140" s="13">
        <f ca="1">D139+C140*(Prices!B140-Prices!B139)/Prices!B139</f>
        <v>7.8211608039720076E-2</v>
      </c>
      <c r="E140" s="13">
        <f t="shared" ca="1" si="13"/>
        <v>0</v>
      </c>
      <c r="F140" s="13">
        <f t="shared" ca="1" si="14"/>
        <v>7.8211608039720076E-2</v>
      </c>
      <c r="G140" s="21">
        <f ca="1">IF((Prices!B140-Prices!B139)*C140&gt;0,1,0)</f>
        <v>0</v>
      </c>
      <c r="H140" s="13">
        <f>ABS(Prices!B140-Prices!B139)/Prices!B139</f>
        <v>1.3813276996829551E-3</v>
      </c>
      <c r="I140" s="21"/>
      <c r="J140" s="4">
        <f t="shared" ca="1" si="15"/>
        <v>-8.356376028190618E-2</v>
      </c>
      <c r="K140" s="13"/>
      <c r="L140" s="13">
        <f ca="1">L139-O140*Prices!B140</f>
        <v>0.22118831547264528</v>
      </c>
      <c r="M140" s="4">
        <f t="shared" ca="1" si="16"/>
        <v>0.69864142347341496</v>
      </c>
      <c r="N140" s="13">
        <f ca="1">IF(Prices!B139&gt;OFFSET(Prices!B139,-$N$3,0),1,-1)</f>
        <v>-1</v>
      </c>
      <c r="O140" s="4">
        <f ca="1">IF(N140=1,O$3*L139/Prices!B139,-O$3*M139)</f>
        <v>-3.6770601235442894E-2</v>
      </c>
      <c r="P140" s="22"/>
      <c r="Q140" s="13">
        <f ca="1">Q139-T140*Prices!B140</f>
        <v>0.58069468640839517</v>
      </c>
      <c r="R140" s="4">
        <f t="shared" ca="1" si="17"/>
        <v>0.42113843141816953</v>
      </c>
      <c r="S140" s="13">
        <f ca="1">IF(Prices!D139&gt;OFFSET(Prices!D139,-S$3,0),1,-1)</f>
        <v>-1</v>
      </c>
      <c r="T140" s="4">
        <f ca="1">IF(S140=1,T$3*Q139/Prices!B139,-T$3*R139)</f>
        <v>-4.6793159046463285E-2</v>
      </c>
      <c r="V140" s="13"/>
      <c r="W140" s="4"/>
      <c r="X140" s="4"/>
      <c r="Y140" s="4"/>
      <c r="Z140" s="4"/>
      <c r="AA140" s="4"/>
      <c r="AB140" s="4"/>
      <c r="AC140" s="4"/>
      <c r="AD140" s="4"/>
      <c r="AE140" s="52"/>
    </row>
    <row r="141" spans="1:31" x14ac:dyDescent="0.2">
      <c r="A141" s="7">
        <v>42351</v>
      </c>
      <c r="B141" s="13">
        <f ca="1">Prices!B140*(1+J141/(50*(ABS(O141)+ABS(T141)+0.0001)))</f>
        <v>1.2044518617002833</v>
      </c>
      <c r="C141" s="62">
        <f t="shared" ca="1" si="12"/>
        <v>0</v>
      </c>
      <c r="D141" s="13">
        <f ca="1">D140+C141*(Prices!B141-Prices!B140)/Prices!B140</f>
        <v>7.8211608039720076E-2</v>
      </c>
      <c r="E141" s="13">
        <f t="shared" ca="1" si="13"/>
        <v>0</v>
      </c>
      <c r="F141" s="13">
        <f t="shared" ca="1" si="14"/>
        <v>7.8211608039720076E-2</v>
      </c>
      <c r="G141" s="21">
        <f ca="1">IF((Prices!B141-Prices!B140)*C141&gt;0,1,0)</f>
        <v>0</v>
      </c>
      <c r="H141" s="13">
        <f>ABS(Prices!B141-Prices!B140)/Prices!B140</f>
        <v>5.126118795768895E-3</v>
      </c>
      <c r="I141" s="21"/>
      <c r="J141" s="4">
        <f t="shared" ca="1" si="15"/>
        <v>-7.7045914315487712E-2</v>
      </c>
      <c r="K141" s="13"/>
      <c r="L141" s="13">
        <f ca="1">L140-O141*Prices!B141</f>
        <v>0.26433990299348076</v>
      </c>
      <c r="M141" s="4">
        <f t="shared" ca="1" si="16"/>
        <v>0.66370935229974426</v>
      </c>
      <c r="N141" s="13">
        <f ca="1">IF(Prices!B140&gt;OFFSET(Prices!B140,-$N$3,0),1,-1)</f>
        <v>-1</v>
      </c>
      <c r="O141" s="4">
        <f ca="1">IF(N141=1,O$3*L140/Prices!B140,-O$3*M140)</f>
        <v>-3.4932071173670746E-2</v>
      </c>
      <c r="P141" s="22"/>
      <c r="Q141" s="13">
        <f ca="1">Q140-T141*Prices!B141</f>
        <v>0.63271791684148171</v>
      </c>
      <c r="R141" s="4">
        <f t="shared" ca="1" si="17"/>
        <v>0.37902458827635255</v>
      </c>
      <c r="S141" s="13">
        <f ca="1">IF(Prices!D140&gt;OFFSET(Prices!D140,-S$3,0),1,-1)</f>
        <v>-1</v>
      </c>
      <c r="T141" s="4">
        <f ca="1">IF(S141=1,T$3*Q140/Prices!B140,-T$3*R140)</f>
        <v>-4.2113843141816959E-2</v>
      </c>
      <c r="V141" s="13"/>
      <c r="W141" s="4"/>
      <c r="X141" s="4"/>
      <c r="Y141" s="4"/>
      <c r="Z141" s="4"/>
      <c r="AA141" s="4"/>
      <c r="AB141" s="4"/>
      <c r="AC141" s="4"/>
      <c r="AD141" s="4"/>
      <c r="AE141" s="52"/>
    </row>
    <row r="142" spans="1:31" x14ac:dyDescent="0.2">
      <c r="A142" s="7">
        <v>42358</v>
      </c>
      <c r="B142" s="13">
        <f ca="1">Prices!B141*(1+J142/(50*(ABS(O142)+ABS(T142)+0.0001)))</f>
        <v>1.2215001581285556</v>
      </c>
      <c r="C142" s="62">
        <f t="shared" ca="1" si="12"/>
        <v>0</v>
      </c>
      <c r="D142" s="13">
        <f ca="1">D141+C142*(Prices!B142-Prices!B141)/Prices!B141</f>
        <v>7.8211608039720076E-2</v>
      </c>
      <c r="E142" s="13">
        <f t="shared" ca="1" si="13"/>
        <v>0</v>
      </c>
      <c r="F142" s="13">
        <f t="shared" ca="1" si="14"/>
        <v>7.8211608039720076E-2</v>
      </c>
      <c r="G142" s="21">
        <f ca="1">IF((Prices!B142-Prices!B141)*C142&gt;0,1,0)</f>
        <v>0</v>
      </c>
      <c r="H142" s="13">
        <f>ABS(Prices!B142-Prices!B141)/Prices!B141</f>
        <v>2.34760786853406E-3</v>
      </c>
      <c r="I142" s="21"/>
      <c r="J142" s="4">
        <f t="shared" ca="1" si="15"/>
        <v>-2.7203037513238725E-2</v>
      </c>
      <c r="K142" s="13"/>
      <c r="L142" s="13">
        <f ca="1">L141-O142*Prices!B142</f>
        <v>0.25115393616561849</v>
      </c>
      <c r="M142" s="4">
        <f t="shared" ca="1" si="16"/>
        <v>0.67440877361414076</v>
      </c>
      <c r="N142" s="13">
        <f ca="1">IF(Prices!B141&gt;OFFSET(Prices!B141,-$N$3,0),1,-1)</f>
        <v>1</v>
      </c>
      <c r="O142" s="4">
        <f ca="1">IF(N142=1,O$3*L141/Prices!B141,-O$3*M141)</f>
        <v>1.0699421314396534E-2</v>
      </c>
      <c r="P142" s="22"/>
      <c r="Q142" s="13">
        <f ca="1">Q141-T142*Prices!B142</f>
        <v>0.6794289071006594</v>
      </c>
      <c r="R142" s="4">
        <f t="shared" ca="1" si="17"/>
        <v>0.34112212944871728</v>
      </c>
      <c r="S142" s="13">
        <f ca="1">IF(Prices!D141&gt;OFFSET(Prices!D141,-S$3,0),1,-1)</f>
        <v>-1</v>
      </c>
      <c r="T142" s="4">
        <f ca="1">IF(S142=1,T$3*Q141/Prices!B141,-T$3*R141)</f>
        <v>-3.7902458827635259E-2</v>
      </c>
      <c r="V142" s="13"/>
      <c r="W142" s="4"/>
      <c r="X142" s="4"/>
      <c r="Y142" s="4"/>
      <c r="Z142" s="4"/>
      <c r="AA142" s="4"/>
      <c r="AB142" s="4"/>
      <c r="AC142" s="4"/>
      <c r="AD142" s="4"/>
      <c r="AE142" s="52"/>
    </row>
    <row r="143" spans="1:31" x14ac:dyDescent="0.2">
      <c r="A143" s="7">
        <v>42365</v>
      </c>
      <c r="B143" s="13">
        <f ca="1">Prices!B142*(1+J143/(50*(ABS(O143)+ABS(T143)+0.0001)))</f>
        <v>1.2077882829941275</v>
      </c>
      <c r="C143" s="62">
        <f t="shared" ca="1" si="12"/>
        <v>0</v>
      </c>
      <c r="D143" s="13">
        <f ca="1">D142+C143*(Prices!B143-Prices!B142)/Prices!B142</f>
        <v>7.8211608039720076E-2</v>
      </c>
      <c r="E143" s="13">
        <f t="shared" ca="1" si="13"/>
        <v>0</v>
      </c>
      <c r="F143" s="13">
        <f t="shared" ca="1" si="14"/>
        <v>7.8211608039720076E-2</v>
      </c>
      <c r="G143" s="21">
        <f ca="1">IF((Prices!B143-Prices!B142)*C143&gt;0,1,0)</f>
        <v>0</v>
      </c>
      <c r="H143" s="13">
        <f>ABS(Prices!B143-Prices!B142)/Prices!B142</f>
        <v>3.4891269068484019E-3</v>
      </c>
      <c r="I143" s="21"/>
      <c r="J143" s="4">
        <f t="shared" ca="1" si="15"/>
        <v>-6.7832651625578777E-2</v>
      </c>
      <c r="K143" s="13"/>
      <c r="L143" s="13">
        <f ca="1">L142-O143*Prices!B143</f>
        <v>0.29256600690939483</v>
      </c>
      <c r="M143" s="4">
        <f t="shared" ca="1" si="16"/>
        <v>0.64068833493343369</v>
      </c>
      <c r="N143" s="13">
        <f ca="1">IF(Prices!B142&gt;OFFSET(Prices!B142,-$N$3,0),1,-1)</f>
        <v>-1</v>
      </c>
      <c r="O143" s="4">
        <f ca="1">IF(N143=1,O$3*L142/Prices!B142,-O$3*M142)</f>
        <v>-3.3720438680707038E-2</v>
      </c>
      <c r="P143" s="22"/>
      <c r="Q143" s="13">
        <f ca="1">Q142-T143*Prices!B143</f>
        <v>0.72132211581825634</v>
      </c>
      <c r="R143" s="4">
        <f t="shared" ca="1" si="17"/>
        <v>0.30700991650384557</v>
      </c>
      <c r="S143" s="13">
        <f ca="1">IF(Prices!D142&gt;OFFSET(Prices!D142,-S$3,0),1,-1)</f>
        <v>-1</v>
      </c>
      <c r="T143" s="4">
        <f ca="1">IF(S143=1,T$3*Q142/Prices!B142,-T$3*R142)</f>
        <v>-3.4112212944871732E-2</v>
      </c>
      <c r="V143" s="13"/>
      <c r="W143" s="4"/>
      <c r="X143" s="4"/>
      <c r="Y143" s="4"/>
      <c r="Z143" s="4"/>
      <c r="AA143" s="4"/>
      <c r="AB143" s="4"/>
      <c r="AC143" s="4"/>
      <c r="AD143" s="4"/>
      <c r="AE143" s="52"/>
    </row>
    <row r="144" spans="1:31" x14ac:dyDescent="0.2">
      <c r="A144" s="7">
        <v>42372</v>
      </c>
      <c r="B144" s="13">
        <f ca="1">Prices!B143*(1+J144/(50*(ABS(O144)+ABS(T144)+0.0001)))</f>
        <v>1.2353171290699985</v>
      </c>
      <c r="C144" s="62">
        <f t="shared" ca="1" si="12"/>
        <v>1</v>
      </c>
      <c r="D144" s="13">
        <f ca="1">D143+C144*(Prices!B144-Prices!B143)/Prices!B143</f>
        <v>8.2282937735998971E-2</v>
      </c>
      <c r="E144" s="13">
        <f t="shared" ca="1" si="13"/>
        <v>0</v>
      </c>
      <c r="F144" s="13">
        <f t="shared" ca="1" si="14"/>
        <v>8.2282937735998971E-2</v>
      </c>
      <c r="G144" s="21">
        <f ca="1">IF((Prices!B144-Prices!B143)*C144&gt;0,1,0)</f>
        <v>1</v>
      </c>
      <c r="H144" s="13">
        <f>ABS(Prices!B144-Prices!B143)/Prices!B143</f>
        <v>4.0713296962788985E-3</v>
      </c>
      <c r="I144" s="21"/>
      <c r="J144" s="4">
        <f t="shared" ca="1" si="15"/>
        <v>2.6700386267598838E-2</v>
      </c>
      <c r="K144" s="13"/>
      <c r="L144" s="13">
        <f ca="1">L143-O144*Prices!B144</f>
        <v>0.33206764619971568</v>
      </c>
      <c r="M144" s="4">
        <f t="shared" ca="1" si="16"/>
        <v>0.60865391818676196</v>
      </c>
      <c r="N144" s="13">
        <f ca="1">IF(Prices!B143&gt;OFFSET(Prices!B143,-$N$3,0),1,-1)</f>
        <v>-1</v>
      </c>
      <c r="O144" s="4">
        <f ca="1">IF(N144=1,O$3*L143/Prices!B143,-O$3*M143)</f>
        <v>-3.2034416746671686E-2</v>
      </c>
      <c r="P144" s="22"/>
      <c r="Q144" s="13">
        <f ca="1">Q143-T144*Prices!B144</f>
        <v>0.64889623022135934</v>
      </c>
      <c r="R144" s="4">
        <f t="shared" ca="1" si="17"/>
        <v>0.3657447195181161</v>
      </c>
      <c r="S144" s="13">
        <f ca="1">IF(Prices!D143&gt;OFFSET(Prices!D143,-S$3,0),1,-1)</f>
        <v>1</v>
      </c>
      <c r="T144" s="4">
        <f ca="1">IF(S144=1,T$3*Q143/Prices!B143,-T$3*R143)</f>
        <v>5.8734803014270524E-2</v>
      </c>
      <c r="V144" s="13"/>
      <c r="W144" s="4"/>
      <c r="X144" s="4"/>
      <c r="Y144" s="4"/>
      <c r="Z144" s="4"/>
      <c r="AA144" s="4"/>
      <c r="AB144" s="4"/>
      <c r="AC144" s="4"/>
      <c r="AD144" s="4"/>
      <c r="AE144" s="52"/>
    </row>
    <row r="145" spans="1:31" x14ac:dyDescent="0.2">
      <c r="A145" s="7">
        <v>42379</v>
      </c>
      <c r="B145" s="13">
        <f ca="1">Prices!B144*(1+J145/(50*(ABS(O145)+ABS(T145)+0.0001)))</f>
        <v>1.2577247394203277</v>
      </c>
      <c r="C145" s="62">
        <f t="shared" ca="1" si="12"/>
        <v>1</v>
      </c>
      <c r="D145" s="13">
        <f ca="1">D144+C145*(Prices!B145-Prices!B144)/Prices!B144</f>
        <v>7.879579151914716E-2</v>
      </c>
      <c r="E145" s="13">
        <f t="shared" ca="1" si="13"/>
        <v>3.4871462168518108E-3</v>
      </c>
      <c r="F145" s="13">
        <f t="shared" ca="1" si="14"/>
        <v>8.2282937735998971E-2</v>
      </c>
      <c r="G145" s="21">
        <f ca="1">IF((Prices!B145-Prices!B144)*C145&gt;0,1,0)</f>
        <v>0</v>
      </c>
      <c r="H145" s="13">
        <f>ABS(Prices!B145-Prices!B144)/Prices!B144</f>
        <v>3.4871462168518125E-3</v>
      </c>
      <c r="I145" s="21"/>
      <c r="J145" s="4">
        <f t="shared" ca="1" si="15"/>
        <v>6.608791284739414E-2</v>
      </c>
      <c r="K145" s="13"/>
      <c r="L145" s="13">
        <f ca="1">L144-O145*Prices!B145</f>
        <v>0.31552216231153912</v>
      </c>
      <c r="M145" s="4">
        <f t="shared" ca="1" si="16"/>
        <v>0.62211866744471811</v>
      </c>
      <c r="N145" s="13">
        <f ca="1">IF(Prices!B144&gt;OFFSET(Prices!B144,-$N$3,0),1,-1)</f>
        <v>1</v>
      </c>
      <c r="O145" s="4">
        <f ca="1">IF(N145=1,O$3*L144/Prices!B144,-O$3*M144)</f>
        <v>1.3464749257956194E-2</v>
      </c>
      <c r="P145" s="22"/>
      <c r="Q145" s="13">
        <f ca="1">Q144-T145*Prices!B145</f>
        <v>0.58423288680265795</v>
      </c>
      <c r="R145" s="4">
        <f t="shared" ca="1" si="17"/>
        <v>0.41836788310755407</v>
      </c>
      <c r="S145" s="13">
        <f ca="1">IF(Prices!D144&gt;OFFSET(Prices!D144,-S$3,0),1,-1)</f>
        <v>1</v>
      </c>
      <c r="T145" s="4">
        <f ca="1">IF(S145=1,T$3*Q144/Prices!B144,-T$3*R144)</f>
        <v>5.262316358943795E-2</v>
      </c>
      <c r="V145" s="13"/>
      <c r="W145" s="4"/>
      <c r="X145" s="4"/>
      <c r="Y145" s="4"/>
      <c r="Z145" s="4"/>
      <c r="AA145" s="4"/>
      <c r="AB145" s="4"/>
      <c r="AC145" s="4"/>
      <c r="AD145" s="4"/>
      <c r="AE145" s="52"/>
    </row>
    <row r="146" spans="1:31" x14ac:dyDescent="0.2">
      <c r="A146" s="7">
        <v>42386</v>
      </c>
      <c r="B146" s="13">
        <f ca="1">Prices!B145*(1+J146/(50*(ABS(O146)+ABS(T146)+0.0001)))</f>
        <v>1.2339301790125985</v>
      </c>
      <c r="C146" s="62">
        <f t="shared" ca="1" si="12"/>
        <v>1</v>
      </c>
      <c r="D146" s="13">
        <f ca="1">D145+C146*(Prices!B146-Prices!B145)/Prices!B145</f>
        <v>6.5937718602480461E-2</v>
      </c>
      <c r="E146" s="13">
        <f t="shared" ca="1" si="13"/>
        <v>1.634521913351851E-2</v>
      </c>
      <c r="F146" s="13">
        <f t="shared" ca="1" si="14"/>
        <v>8.2282937735998971E-2</v>
      </c>
      <c r="G146" s="21">
        <f ca="1">IF((Prices!B146-Prices!B145)*C146&gt;0,1,0)</f>
        <v>0</v>
      </c>
      <c r="H146" s="13">
        <f>ABS(Prices!B146-Prices!B145)/Prices!B145</f>
        <v>1.2858072916666696E-2</v>
      </c>
      <c r="I146" s="21"/>
      <c r="J146" s="4">
        <f t="shared" ca="1" si="15"/>
        <v>1.6439060670949145E-2</v>
      </c>
      <c r="K146" s="13"/>
      <c r="L146" s="13">
        <f ca="1">L145-O146*Prices!B146</f>
        <v>0.35325365949206128</v>
      </c>
      <c r="M146" s="4">
        <f t="shared" ca="1" si="16"/>
        <v>0.59101273407248223</v>
      </c>
      <c r="N146" s="13">
        <f ca="1">IF(Prices!B145&gt;OFFSET(Prices!B145,-$N$3,0),1,-1)</f>
        <v>-1</v>
      </c>
      <c r="O146" s="4">
        <f ca="1">IF(N146=1,O$3*L145/Prices!B145,-O$3*M145)</f>
        <v>-3.1105933372235908E-2</v>
      </c>
      <c r="P146" s="22"/>
      <c r="Q146" s="13">
        <f ca="1">Q145-T146*Prices!B146</f>
        <v>0.52656080902827451</v>
      </c>
      <c r="R146" s="4">
        <f t="shared" ca="1" si="17"/>
        <v>0.46591287715073915</v>
      </c>
      <c r="S146" s="13">
        <f ca="1">IF(Prices!D145&gt;OFFSET(Prices!D145,-S$3,0),1,-1)</f>
        <v>1</v>
      </c>
      <c r="T146" s="4">
        <f ca="1">IF(S146=1,T$3*Q145/Prices!B145,-T$3*R145)</f>
        <v>4.7544994043185053E-2</v>
      </c>
      <c r="V146" s="13"/>
      <c r="W146" s="4"/>
      <c r="X146" s="4"/>
      <c r="Y146" s="4"/>
      <c r="Z146" s="4"/>
      <c r="AA146" s="4"/>
      <c r="AB146" s="4"/>
      <c r="AC146" s="4"/>
      <c r="AD146" s="4"/>
      <c r="AE146" s="52"/>
    </row>
    <row r="147" spans="1:31" x14ac:dyDescent="0.2">
      <c r="A147" s="7">
        <v>42393</v>
      </c>
      <c r="B147" s="13">
        <f ca="1">Prices!B146*(1+J147/(50*(ABS(O147)+ABS(T147)+0.0001)))</f>
        <v>1.2176019872238117</v>
      </c>
      <c r="C147" s="62">
        <f t="shared" ref="C147:C210" ca="1" si="18">IF(J147&gt;0,1,IF(J147&lt;0,0,0))</f>
        <v>1</v>
      </c>
      <c r="D147" s="13">
        <f ca="1">D146+C147*(Prices!B147-Prices!B146)/Prices!B146</f>
        <v>5.1922879360930485E-2</v>
      </c>
      <c r="E147" s="13">
        <f t="shared" ref="E147:E210" ca="1" si="19">F147-D147</f>
        <v>3.0360058375068485E-2</v>
      </c>
      <c r="F147" s="13">
        <f t="shared" ref="F147:F210" ca="1" si="20">MAX(F146,D147)</f>
        <v>8.2282937735998971E-2</v>
      </c>
      <c r="G147" s="21">
        <f ca="1">IF((Prices!B147-Prices!B146)*C147&gt;0,1,0)</f>
        <v>0</v>
      </c>
      <c r="H147" s="13">
        <f>ABS(Prices!B147-Prices!B146)/Prices!B146</f>
        <v>1.4014839241549979E-2</v>
      </c>
      <c r="I147" s="21"/>
      <c r="J147" s="4">
        <f t="shared" ref="J147:J210" ca="1" si="21">O147+T147</f>
        <v>1.3859157940091838E-2</v>
      </c>
      <c r="K147" s="13"/>
      <c r="L147" s="13">
        <f ca="1">L146-O147*Prices!B147</f>
        <v>0.38859622098959573</v>
      </c>
      <c r="M147" s="4">
        <f t="shared" ref="M147:M210" ca="1" si="22">M146+O147</f>
        <v>0.5614620973688581</v>
      </c>
      <c r="N147" s="13">
        <f ca="1">IF(Prices!B146&gt;OFFSET(Prices!B146,-$N$3,0),1,-1)</f>
        <v>-1</v>
      </c>
      <c r="O147" s="4">
        <f ca="1">IF(N147=1,O$3*L146/Prices!B146,-O$3*M146)</f>
        <v>-2.9550636703624112E-2</v>
      </c>
      <c r="P147" s="22"/>
      <c r="Q147" s="13">
        <f ca="1">Q146-T147*Prices!B147</f>
        <v>0.47464269463439024</v>
      </c>
      <c r="R147" s="4">
        <f t="shared" ref="R147:R210" ca="1" si="23">R146+T147</f>
        <v>0.50932267179445512</v>
      </c>
      <c r="S147" s="13">
        <f ca="1">IF(Prices!D146&gt;OFFSET(Prices!D146,-S$3,0),1,-1)</f>
        <v>1</v>
      </c>
      <c r="T147" s="4">
        <f ca="1">IF(S147=1,T$3*Q146/Prices!B146,-T$3*R146)</f>
        <v>4.340979464371595E-2</v>
      </c>
      <c r="V147" s="13"/>
      <c r="W147" s="4"/>
      <c r="X147" s="4"/>
      <c r="Y147" s="4"/>
      <c r="Z147" s="4"/>
      <c r="AA147" s="4"/>
      <c r="AB147" s="4"/>
      <c r="AC147" s="4"/>
      <c r="AD147" s="4"/>
      <c r="AE147" s="52"/>
    </row>
    <row r="148" spans="1:31" x14ac:dyDescent="0.2">
      <c r="A148" s="7">
        <v>42400</v>
      </c>
      <c r="B148" s="13">
        <f ca="1">Prices!B147*(1+J148/(50*(ABS(O148)+ABS(T148)+0.0001)))</f>
        <v>1.2000934427266059</v>
      </c>
      <c r="C148" s="62">
        <f t="shared" ca="1" si="18"/>
        <v>1</v>
      </c>
      <c r="D148" s="13">
        <f ca="1">D147+C148*(Prices!B148-Prices!B147)/Prices!B147</f>
        <v>5.0501474678656205E-2</v>
      </c>
      <c r="E148" s="13">
        <f t="shared" ca="1" si="19"/>
        <v>3.1781463057342765E-2</v>
      </c>
      <c r="F148" s="13">
        <f t="shared" ca="1" si="20"/>
        <v>8.2282937735998971E-2</v>
      </c>
      <c r="G148" s="21">
        <f ca="1">IF((Prices!B148-Prices!B147)*C148&gt;0,1,0)</f>
        <v>0</v>
      </c>
      <c r="H148" s="13">
        <f>ABS(Prices!B148-Prices!B147)/Prices!B147</f>
        <v>1.4214046822742766E-3</v>
      </c>
      <c r="I148" s="21"/>
      <c r="J148" s="4">
        <f t="shared" ca="1" si="21"/>
        <v>1.1612739164532874E-2</v>
      </c>
      <c r="K148" s="13"/>
      <c r="L148" s="13">
        <f ca="1">L147-O148*Prices!B148</f>
        <v>0.42212393013397709</v>
      </c>
      <c r="M148" s="4">
        <f t="shared" ca="1" si="22"/>
        <v>0.53338899250041516</v>
      </c>
      <c r="N148" s="13">
        <f ca="1">IF(Prices!B147&gt;OFFSET(Prices!B147,-$N$3,0),1,-1)</f>
        <v>-1</v>
      </c>
      <c r="O148" s="4">
        <f ca="1">IF(N148=1,O$3*L147/Prices!B147,-O$3*M147)</f>
        <v>-2.8073104868442906E-2</v>
      </c>
      <c r="P148" s="22"/>
      <c r="Q148" s="13">
        <f ca="1">Q147-T148*Prices!B148</f>
        <v>0.42724589110580724</v>
      </c>
      <c r="R148" s="4">
        <f t="shared" ca="1" si="23"/>
        <v>0.54900851582743093</v>
      </c>
      <c r="S148" s="13">
        <f ca="1">IF(Prices!D147&gt;OFFSET(Prices!D147,-S$3,0),1,-1)</f>
        <v>1</v>
      </c>
      <c r="T148" s="4">
        <f ca="1">IF(S148=1,T$3*Q147/Prices!B147,-T$3*R147)</f>
        <v>3.968584403297578E-2</v>
      </c>
      <c r="V148" s="13"/>
      <c r="W148" s="4"/>
      <c r="X148" s="4"/>
      <c r="Y148" s="4"/>
      <c r="Z148" s="4"/>
      <c r="AA148" s="4"/>
      <c r="AB148" s="4"/>
      <c r="AC148" s="4"/>
      <c r="AD148" s="4"/>
      <c r="AE148" s="52"/>
    </row>
    <row r="149" spans="1:31" x14ac:dyDescent="0.2">
      <c r="A149" s="7">
        <v>42407</v>
      </c>
      <c r="B149" s="13">
        <f ca="1">Prices!B148*(1+J149/(50*(ABS(O149)+ABS(T149)+0.0001)))</f>
        <v>1.1977770416491296</v>
      </c>
      <c r="C149" s="62">
        <f t="shared" ca="1" si="18"/>
        <v>1</v>
      </c>
      <c r="D149" s="13">
        <f ca="1">D148+C149*(Prices!B149-Prices!B148)/Prices!B148</f>
        <v>3.6183464128543258E-2</v>
      </c>
      <c r="E149" s="13">
        <f t="shared" ca="1" si="19"/>
        <v>4.6099473607455713E-2</v>
      </c>
      <c r="F149" s="13">
        <f t="shared" ca="1" si="20"/>
        <v>8.2282937735998971E-2</v>
      </c>
      <c r="G149" s="21">
        <f ca="1">IF((Prices!B149-Prices!B148)*C149&gt;0,1,0)</f>
        <v>0</v>
      </c>
      <c r="H149" s="13">
        <f>ABS(Prices!B149-Prices!B148)/Prices!B148</f>
        <v>1.4318010550112949E-2</v>
      </c>
      <c r="I149" s="21"/>
      <c r="J149" s="4">
        <f t="shared" ca="1" si="21"/>
        <v>9.1042999442505525E-3</v>
      </c>
      <c r="K149" s="13"/>
      <c r="L149" s="13">
        <f ca="1">L148-O149*Prices!B149</f>
        <v>0.45351920623255154</v>
      </c>
      <c r="M149" s="4">
        <f t="shared" ca="1" si="22"/>
        <v>0.50671954287539445</v>
      </c>
      <c r="N149" s="13">
        <f ca="1">IF(Prices!B148&gt;OFFSET(Prices!B148,-$N$3,0),1,-1)</f>
        <v>-1</v>
      </c>
      <c r="O149" s="4">
        <f ca="1">IF(N149=1,O$3*L148/Prices!B148,-O$3*M148)</f>
        <v>-2.6669449625020759E-2</v>
      </c>
      <c r="P149" s="22"/>
      <c r="Q149" s="13">
        <f ca="1">Q148-T149*Prices!B149</f>
        <v>0.38513303311286107</v>
      </c>
      <c r="R149" s="4">
        <f t="shared" ca="1" si="23"/>
        <v>0.58478226539670219</v>
      </c>
      <c r="S149" s="13">
        <f ca="1">IF(Prices!D148&gt;OFFSET(Prices!D148,-S$3,0),1,-1)</f>
        <v>1</v>
      </c>
      <c r="T149" s="4">
        <f ca="1">IF(S149=1,T$3*Q148/Prices!B148,-T$3*R148)</f>
        <v>3.5773749569271311E-2</v>
      </c>
      <c r="V149" s="13"/>
      <c r="W149" s="4"/>
      <c r="X149" s="4"/>
      <c r="Y149" s="4"/>
      <c r="Z149" s="4"/>
      <c r="AA149" s="4"/>
      <c r="AB149" s="4"/>
      <c r="AC149" s="4"/>
      <c r="AD149" s="4"/>
      <c r="AE149" s="52"/>
    </row>
    <row r="150" spans="1:31" x14ac:dyDescent="0.2">
      <c r="A150" s="7">
        <v>42414</v>
      </c>
      <c r="B150" s="13">
        <f ca="1">Prices!B149*(1+J150/(50*(ABS(O150)+ABS(T150)+0.0001)))</f>
        <v>1.1801879594389608</v>
      </c>
      <c r="C150" s="62">
        <f t="shared" ca="1" si="18"/>
        <v>1</v>
      </c>
      <c r="D150" s="13">
        <f ca="1">D149+C150*(Prices!B150-Prices!B149)/Prices!B149</f>
        <v>2.5904836877438941E-2</v>
      </c>
      <c r="E150" s="13">
        <f t="shared" ca="1" si="19"/>
        <v>5.6378100858560029E-2</v>
      </c>
      <c r="F150" s="13">
        <f t="shared" ca="1" si="20"/>
        <v>8.2282937735998971E-2</v>
      </c>
      <c r="G150" s="21">
        <f ca="1">IF((Prices!B150-Prices!B149)*C150&gt;0,1,0)</f>
        <v>0</v>
      </c>
      <c r="H150" s="13">
        <f>ABS(Prices!B150-Prices!B149)/Prices!B149</f>
        <v>1.0278627251104315E-2</v>
      </c>
      <c r="I150" s="21"/>
      <c r="J150" s="4">
        <f t="shared" ca="1" si="21"/>
        <v>7.3800467360179943E-3</v>
      </c>
      <c r="K150" s="13"/>
      <c r="L150" s="13">
        <f ca="1">L149-O150*Prices!B150</f>
        <v>0.48303815320275767</v>
      </c>
      <c r="M150" s="4">
        <f t="shared" ca="1" si="22"/>
        <v>0.48138356573162472</v>
      </c>
      <c r="N150" s="13">
        <f ca="1">IF(Prices!B149&gt;OFFSET(Prices!B149,-$N$3,0),1,-1)</f>
        <v>-1</v>
      </c>
      <c r="O150" s="4">
        <f ca="1">IF(N150=1,O$3*L149/Prices!B149,-O$3*M149)</f>
        <v>-2.5335977143769724E-2</v>
      </c>
      <c r="P150" s="22"/>
      <c r="Q150" s="13">
        <f ca="1">Q149-T150*Prices!B150</f>
        <v>0.34701559369052037</v>
      </c>
      <c r="R150" s="4">
        <f t="shared" ca="1" si="23"/>
        <v>0.61749828927648986</v>
      </c>
      <c r="S150" s="13">
        <f ca="1">IF(Prices!D149&gt;OFFSET(Prices!D149,-S$3,0),1,-1)</f>
        <v>1</v>
      </c>
      <c r="T150" s="4">
        <f ca="1">IF(S150=1,T$3*Q149/Prices!B149,-T$3*R149)</f>
        <v>3.2716023879787719E-2</v>
      </c>
      <c r="V150" s="13"/>
      <c r="W150" s="4"/>
      <c r="X150" s="4"/>
      <c r="Y150" s="4"/>
      <c r="Z150" s="4"/>
      <c r="AA150" s="4"/>
      <c r="AB150" s="4"/>
      <c r="AC150" s="4"/>
      <c r="AD150" s="4"/>
      <c r="AE150" s="52"/>
    </row>
    <row r="151" spans="1:31" x14ac:dyDescent="0.2">
      <c r="A151" s="7">
        <v>42421</v>
      </c>
      <c r="B151" s="13">
        <f ca="1">Prices!B150*(1+J151/(50*(ABS(O151)+ABS(T151)+0.0001)))</f>
        <v>1.1418251208906569</v>
      </c>
      <c r="C151" s="62">
        <f t="shared" ca="1" si="18"/>
        <v>0</v>
      </c>
      <c r="D151" s="13">
        <f ca="1">D150+C151*(Prices!B151-Prices!B150)/Prices!B150</f>
        <v>2.5904836877438941E-2</v>
      </c>
      <c r="E151" s="13">
        <f t="shared" ca="1" si="19"/>
        <v>5.6378100858560029E-2</v>
      </c>
      <c r="F151" s="13">
        <f t="shared" ca="1" si="20"/>
        <v>8.2282937735998971E-2</v>
      </c>
      <c r="G151" s="21">
        <f ca="1">IF((Prices!B151-Prices!B150)*C151&gt;0,1,0)</f>
        <v>0</v>
      </c>
      <c r="H151" s="13">
        <f>ABS(Prices!B151-Prices!B150)/Prices!B150</f>
        <v>6.8663634022823091E-4</v>
      </c>
      <c r="I151" s="21"/>
      <c r="J151" s="4">
        <f t="shared" ca="1" si="21"/>
        <v>-8.5819007214230233E-2</v>
      </c>
      <c r="K151" s="13"/>
      <c r="L151" s="13">
        <f ca="1">L150-O151*Prices!B151</f>
        <v>0.51110040816708269</v>
      </c>
      <c r="M151" s="4">
        <f t="shared" ca="1" si="22"/>
        <v>0.45731438744504349</v>
      </c>
      <c r="N151" s="13">
        <f ca="1">IF(Prices!B150&gt;OFFSET(Prices!B150,-$N$3,0),1,-1)</f>
        <v>-1</v>
      </c>
      <c r="O151" s="4">
        <f ca="1">IF(N151=1,O$3*L150/Prices!B150,-O$3*M150)</f>
        <v>-2.4069178286581238E-2</v>
      </c>
      <c r="P151" s="22"/>
      <c r="Q151" s="13">
        <f ca="1">Q150-T151*Prices!B151</f>
        <v>0.41900971923726632</v>
      </c>
      <c r="R151" s="4">
        <f t="shared" ca="1" si="23"/>
        <v>0.55574846034884084</v>
      </c>
      <c r="S151" s="13">
        <f ca="1">IF(Prices!D150&gt;OFFSET(Prices!D150,-S$3,0),1,-1)</f>
        <v>-1</v>
      </c>
      <c r="T151" s="4">
        <f ca="1">IF(S151=1,T$3*Q150/Prices!B150,-T$3*R150)</f>
        <v>-6.1749828927648992E-2</v>
      </c>
      <c r="V151" s="13"/>
      <c r="W151" s="4"/>
      <c r="X151" s="4"/>
      <c r="Y151" s="4"/>
      <c r="Z151" s="4"/>
      <c r="AA151" s="4"/>
      <c r="AB151" s="4"/>
      <c r="AC151" s="4"/>
      <c r="AD151" s="4"/>
      <c r="AE151" s="52"/>
    </row>
    <row r="152" spans="1:31" x14ac:dyDescent="0.2">
      <c r="A152" s="7">
        <v>42428</v>
      </c>
      <c r="B152" s="13">
        <f ca="1">Prices!B151*(1+J152/(50*(ABS(O152)+ABS(T152)+0.0001)))</f>
        <v>1.1426116891165463</v>
      </c>
      <c r="C152" s="62">
        <f t="shared" ca="1" si="18"/>
        <v>0</v>
      </c>
      <c r="D152" s="13">
        <f ca="1">D151+C152*(Prices!B152-Prices!B151)/Prices!B151</f>
        <v>2.5904836877438941E-2</v>
      </c>
      <c r="E152" s="13">
        <f t="shared" ca="1" si="19"/>
        <v>5.6378100858560029E-2</v>
      </c>
      <c r="F152" s="13">
        <f t="shared" ca="1" si="20"/>
        <v>8.2282937735998971E-2</v>
      </c>
      <c r="G152" s="21">
        <f ca="1">IF((Prices!B152-Prices!B151)*C152&gt;0,1,0)</f>
        <v>0</v>
      </c>
      <c r="H152" s="13">
        <f>ABS(Prices!B152-Prices!B151)/Prices!B151</f>
        <v>9.434771421219762E-3</v>
      </c>
      <c r="I152" s="21"/>
      <c r="J152" s="4">
        <f t="shared" ca="1" si="21"/>
        <v>-7.8440565407136259E-2</v>
      </c>
      <c r="K152" s="13"/>
      <c r="L152" s="13">
        <f ca="1">L151-O152*Prices!B152</f>
        <v>0.53801107329628628</v>
      </c>
      <c r="M152" s="4">
        <f t="shared" ca="1" si="22"/>
        <v>0.43444866807279131</v>
      </c>
      <c r="N152" s="13">
        <f ca="1">IF(Prices!B151&gt;OFFSET(Prices!B151,-$N$3,0),1,-1)</f>
        <v>-1</v>
      </c>
      <c r="O152" s="4">
        <f ca="1">IF(N152=1,O$3*L151/Prices!B151,-O$3*M151)</f>
        <v>-2.2865719372252177E-2</v>
      </c>
      <c r="P152" s="22"/>
      <c r="Q152" s="13">
        <f ca="1">Q151-T152*Prices!B152</f>
        <v>0.48441575553572142</v>
      </c>
      <c r="R152" s="4">
        <f t="shared" ca="1" si="23"/>
        <v>0.50017361431395679</v>
      </c>
      <c r="S152" s="13">
        <f ca="1">IF(Prices!D151&gt;OFFSET(Prices!D151,-S$3,0),1,-1)</f>
        <v>-1</v>
      </c>
      <c r="T152" s="4">
        <f ca="1">IF(S152=1,T$3*Q151/Prices!B151,-T$3*R151)</f>
        <v>-5.5574846034884086E-2</v>
      </c>
      <c r="V152" s="13"/>
      <c r="W152" s="4"/>
      <c r="X152" s="4"/>
      <c r="Y152" s="4"/>
      <c r="Z152" s="4"/>
      <c r="AA152" s="4"/>
      <c r="AB152" s="4"/>
      <c r="AC152" s="4"/>
      <c r="AD152" s="4"/>
      <c r="AE152" s="52"/>
    </row>
    <row r="153" spans="1:31" x14ac:dyDescent="0.2">
      <c r="A153" s="7">
        <v>42435</v>
      </c>
      <c r="B153" s="13">
        <f ca="1">Prices!B152*(1+J153/(50*(ABS(O153)+ABS(T153)+0.0001)))</f>
        <v>1.1533947645701856</v>
      </c>
      <c r="C153" s="62">
        <f t="shared" ca="1" si="18"/>
        <v>0</v>
      </c>
      <c r="D153" s="13">
        <f ca="1">D152+C153*(Prices!B153-Prices!B152)/Prices!B152</f>
        <v>2.5904836877438941E-2</v>
      </c>
      <c r="E153" s="13">
        <f t="shared" ca="1" si="19"/>
        <v>5.6378100858560029E-2</v>
      </c>
      <c r="F153" s="13">
        <f t="shared" ca="1" si="20"/>
        <v>8.2282937735998971E-2</v>
      </c>
      <c r="G153" s="21">
        <f ca="1">IF((Prices!B153-Prices!B152)*C153&gt;0,1,0)</f>
        <v>0</v>
      </c>
      <c r="H153" s="13">
        <f>ABS(Prices!B153-Prices!B152)/Prices!B152</f>
        <v>1.351006882487894E-2</v>
      </c>
      <c r="I153" s="21"/>
      <c r="J153" s="4">
        <f t="shared" ca="1" si="21"/>
        <v>-7.1739794835035245E-2</v>
      </c>
      <c r="K153" s="13"/>
      <c r="L153" s="13">
        <f ca="1">L152-O153*Prices!B153</f>
        <v>0.56323081847791179</v>
      </c>
      <c r="M153" s="4">
        <f t="shared" ca="1" si="22"/>
        <v>0.41272623466915176</v>
      </c>
      <c r="N153" s="13">
        <f ca="1">IF(Prices!B152&gt;OFFSET(Prices!B152,-$N$3,0),1,-1)</f>
        <v>-1</v>
      </c>
      <c r="O153" s="4">
        <f ca="1">IF(N153=1,O$3*L152/Prices!B152,-O$3*M152)</f>
        <v>-2.1722433403639566E-2</v>
      </c>
      <c r="P153" s="22"/>
      <c r="Q153" s="13">
        <f ca="1">Q152-T153*Prices!B153</f>
        <v>0.5424859121575718</v>
      </c>
      <c r="R153" s="4">
        <f t="shared" ca="1" si="23"/>
        <v>0.45015625288256111</v>
      </c>
      <c r="S153" s="13">
        <f ca="1">IF(Prices!D152&gt;OFFSET(Prices!D152,-S$3,0),1,-1)</f>
        <v>-1</v>
      </c>
      <c r="T153" s="4">
        <f ca="1">IF(S153=1,T$3*Q152/Prices!B152,-T$3*R152)</f>
        <v>-5.0017361431395679E-2</v>
      </c>
      <c r="V153" s="13"/>
      <c r="W153" s="4"/>
      <c r="X153" s="4"/>
      <c r="Y153" s="4"/>
      <c r="Z153" s="4"/>
      <c r="AA153" s="4"/>
      <c r="AB153" s="4"/>
      <c r="AC153" s="4"/>
      <c r="AD153" s="4"/>
      <c r="AE153" s="52"/>
    </row>
    <row r="154" spans="1:31" x14ac:dyDescent="0.2">
      <c r="A154" s="7">
        <v>42442</v>
      </c>
      <c r="B154" s="13">
        <f ca="1">Prices!B153*(1+J154/(50*(ABS(O154)+ABS(T154)+0.0001)))</f>
        <v>1.1378153145489727</v>
      </c>
      <c r="C154" s="62">
        <f t="shared" ca="1" si="18"/>
        <v>0</v>
      </c>
      <c r="D154" s="13">
        <f ca="1">D153+C154*(Prices!B154-Prices!B153)/Prices!B153</f>
        <v>2.5904836877438941E-2</v>
      </c>
      <c r="E154" s="13">
        <f t="shared" ca="1" si="19"/>
        <v>5.6378100858560029E-2</v>
      </c>
      <c r="F154" s="13">
        <f t="shared" ca="1" si="20"/>
        <v>8.2282937735998971E-2</v>
      </c>
      <c r="G154" s="21">
        <f ca="1">IF((Prices!B154-Prices!B153)*C154&gt;0,1,0)</f>
        <v>0</v>
      </c>
      <c r="H154" s="13">
        <f>ABS(Prices!B154-Prices!B153)/Prices!B153</f>
        <v>3.5314384151593388E-3</v>
      </c>
      <c r="I154" s="21"/>
      <c r="J154" s="4">
        <f t="shared" ca="1" si="21"/>
        <v>-6.5651937021713708E-2</v>
      </c>
      <c r="K154" s="13"/>
      <c r="L154" s="13">
        <f ca="1">L153-O154*Prices!B154</f>
        <v>0.58727418527856323</v>
      </c>
      <c r="M154" s="4">
        <f t="shared" ca="1" si="22"/>
        <v>0.39208992293569417</v>
      </c>
      <c r="N154" s="13">
        <f ca="1">IF(Prices!B153&gt;OFFSET(Prices!B153,-$N$3,0),1,-1)</f>
        <v>-1</v>
      </c>
      <c r="O154" s="4">
        <f ca="1">IF(N154=1,O$3*L153/Prices!B153,-O$3*M153)</f>
        <v>-2.0636311733457591E-2</v>
      </c>
      <c r="P154" s="22"/>
      <c r="Q154" s="13">
        <f ca="1">Q153-T154*Prices!B154</f>
        <v>0.59493361718091897</v>
      </c>
      <c r="R154" s="4">
        <f t="shared" ca="1" si="23"/>
        <v>0.40514062759430503</v>
      </c>
      <c r="S154" s="13">
        <f ca="1">IF(Prices!D153&gt;OFFSET(Prices!D153,-S$3,0),1,-1)</f>
        <v>-1</v>
      </c>
      <c r="T154" s="4">
        <f ca="1">IF(S154=1,T$3*Q153/Prices!B153,-T$3*R153)</f>
        <v>-4.5015625288256117E-2</v>
      </c>
      <c r="V154" s="13"/>
      <c r="W154" s="4"/>
      <c r="X154" s="4"/>
      <c r="Y154" s="4"/>
      <c r="Z154" s="4"/>
      <c r="AA154" s="4"/>
      <c r="AB154" s="4"/>
      <c r="AC154" s="4"/>
      <c r="AD154" s="4"/>
      <c r="AE154" s="52"/>
    </row>
    <row r="155" spans="1:31" x14ac:dyDescent="0.2">
      <c r="A155" s="7">
        <v>42449</v>
      </c>
      <c r="B155" s="13">
        <f ca="1">Prices!B154*(1+J155/(50*(ABS(O155)+ABS(T155)+0.0001)))</f>
        <v>1.1418366957117925</v>
      </c>
      <c r="C155" s="62">
        <f t="shared" ca="1" si="18"/>
        <v>0</v>
      </c>
      <c r="D155" s="13">
        <f ca="1">D154+C155*(Prices!B155-Prices!B154)/Prices!B154</f>
        <v>2.5904836877438941E-2</v>
      </c>
      <c r="E155" s="13">
        <f t="shared" ca="1" si="19"/>
        <v>5.6378100858560029E-2</v>
      </c>
      <c r="F155" s="13">
        <f t="shared" ca="1" si="20"/>
        <v>8.2282937735998971E-2</v>
      </c>
      <c r="G155" s="21">
        <f ca="1">IF((Prices!B155-Prices!B154)*C155&gt;0,1,0)</f>
        <v>0</v>
      </c>
      <c r="H155" s="13">
        <f>ABS(Prices!B155-Prices!B154)/Prices!B154</f>
        <v>2.8323749034418338E-3</v>
      </c>
      <c r="I155" s="21"/>
      <c r="J155" s="4">
        <f t="shared" ca="1" si="21"/>
        <v>-6.0118558906215216E-2</v>
      </c>
      <c r="K155" s="13"/>
      <c r="L155" s="13">
        <f ca="1">L154-O155*Prices!B155</f>
        <v>0.6101800785764665</v>
      </c>
      <c r="M155" s="4">
        <f t="shared" ca="1" si="22"/>
        <v>0.37248542678890945</v>
      </c>
      <c r="N155" s="13">
        <f ca="1">IF(Prices!B154&gt;OFFSET(Prices!B154,-$N$3,0),1,-1)</f>
        <v>-1</v>
      </c>
      <c r="O155" s="4">
        <f ca="1">IF(N155=1,O$3*L154/Prices!B154,-O$3*M154)</f>
        <v>-1.9604496146784708E-2</v>
      </c>
      <c r="P155" s="22"/>
      <c r="Q155" s="13">
        <f ca="1">Q154-T155*Prices!B155</f>
        <v>0.64227024810903754</v>
      </c>
      <c r="R155" s="4">
        <f t="shared" ca="1" si="23"/>
        <v>0.36462656483487454</v>
      </c>
      <c r="S155" s="13">
        <f ca="1">IF(Prices!D154&gt;OFFSET(Prices!D154,-S$3,0),1,-1)</f>
        <v>-1</v>
      </c>
      <c r="T155" s="4">
        <f ca="1">IF(S155=1,T$3*Q154/Prices!B154,-T$3*R154)</f>
        <v>-4.0514062759430508E-2</v>
      </c>
      <c r="V155" s="13"/>
      <c r="W155" s="4"/>
      <c r="X155" s="4"/>
      <c r="Y155" s="4"/>
      <c r="Z155" s="4"/>
      <c r="AA155" s="4"/>
      <c r="AB155" s="4"/>
      <c r="AC155" s="4"/>
      <c r="AD155" s="4"/>
      <c r="AE155" s="52"/>
    </row>
    <row r="156" spans="1:31" x14ac:dyDescent="0.2">
      <c r="A156" s="7">
        <v>42456</v>
      </c>
      <c r="B156" s="13">
        <f ca="1">Prices!B155*(1+J156/(50*(ABS(O156)+ABS(T156)+0.0001)))</f>
        <v>1.1450743433608681</v>
      </c>
      <c r="C156" s="62">
        <f t="shared" ca="1" si="18"/>
        <v>0</v>
      </c>
      <c r="D156" s="13">
        <f ca="1">D155+C156*(Prices!B156-Prices!B155)/Prices!B155</f>
        <v>2.5904836877438941E-2</v>
      </c>
      <c r="E156" s="13">
        <f t="shared" ca="1" si="19"/>
        <v>5.6378100858560029E-2</v>
      </c>
      <c r="F156" s="13">
        <f t="shared" ca="1" si="20"/>
        <v>8.2282937735998971E-2</v>
      </c>
      <c r="G156" s="21">
        <f ca="1">IF((Prices!B156-Prices!B155)*C156&gt;0,1,0)</f>
        <v>0</v>
      </c>
      <c r="H156" s="13">
        <f>ABS(Prices!B156-Prices!B155)/Prices!B155</f>
        <v>5.3064019171516459E-3</v>
      </c>
      <c r="I156" s="21"/>
      <c r="J156" s="4">
        <f t="shared" ca="1" si="21"/>
        <v>-5.5086927822932924E-2</v>
      </c>
      <c r="K156" s="13"/>
      <c r="L156" s="13">
        <f ca="1">L155-O156*Prices!B156</f>
        <v>0.6320561476917792</v>
      </c>
      <c r="M156" s="4">
        <f t="shared" ca="1" si="22"/>
        <v>0.35386115544946395</v>
      </c>
      <c r="N156" s="13">
        <f ca="1">IF(Prices!B155&gt;OFFSET(Prices!B155,-$N$3,0),1,-1)</f>
        <v>-1</v>
      </c>
      <c r="O156" s="4">
        <f ca="1">IF(N156=1,O$3*L155/Prices!B155,-O$3*M155)</f>
        <v>-1.8624271339445473E-2</v>
      </c>
      <c r="P156" s="22"/>
      <c r="Q156" s="13">
        <f ca="1">Q155-T156*Prices!B156</f>
        <v>0.68509928441454193</v>
      </c>
      <c r="R156" s="4">
        <f t="shared" ca="1" si="23"/>
        <v>0.32816390835138709</v>
      </c>
      <c r="S156" s="13">
        <f ca="1">IF(Prices!D155&gt;OFFSET(Prices!D155,-S$3,0),1,-1)</f>
        <v>-1</v>
      </c>
      <c r="T156" s="4">
        <f ca="1">IF(S156=1,T$3*Q155/Prices!B155,-T$3*R155)</f>
        <v>-3.6462656483487454E-2</v>
      </c>
      <c r="V156" s="13"/>
      <c r="W156" s="4"/>
      <c r="X156" s="4"/>
      <c r="Y156" s="4"/>
      <c r="Z156" s="4"/>
      <c r="AA156" s="4"/>
      <c r="AB156" s="4"/>
      <c r="AC156" s="4"/>
      <c r="AD156" s="4"/>
      <c r="AE156" s="52"/>
    </row>
    <row r="157" spans="1:31" x14ac:dyDescent="0.2">
      <c r="A157" s="7">
        <v>42463</v>
      </c>
      <c r="B157" s="13">
        <f ca="1">Prices!B156*(1+J157/(50*(ABS(O157)+ABS(T157)+0.0001)))</f>
        <v>1.1722786544125923</v>
      </c>
      <c r="C157" s="62">
        <f t="shared" ca="1" si="18"/>
        <v>0</v>
      </c>
      <c r="D157" s="13">
        <f ca="1">D156+C157*(Prices!B157-Prices!B156)/Prices!B156</f>
        <v>2.5904836877438941E-2</v>
      </c>
      <c r="E157" s="13">
        <f t="shared" ca="1" si="19"/>
        <v>5.6378100858560029E-2</v>
      </c>
      <c r="F157" s="13">
        <f t="shared" ca="1" si="20"/>
        <v>8.2282937735998971E-2</v>
      </c>
      <c r="G157" s="21">
        <f ca="1">IF((Prices!B157-Prices!B156)*C157&gt;0,1,0)</f>
        <v>0</v>
      </c>
      <c r="H157" s="13">
        <f>ABS(Prices!B157-Prices!B156)/Prices!B156</f>
        <v>5.1932572790737222E-3</v>
      </c>
      <c r="I157" s="21"/>
      <c r="J157" s="4">
        <f t="shared" ca="1" si="21"/>
        <v>-5.9112253451089475E-3</v>
      </c>
      <c r="K157" s="13"/>
      <c r="L157" s="13">
        <f ca="1">L156-O157*Prices!B157</f>
        <v>0.60061746181667941</v>
      </c>
      <c r="M157" s="4">
        <f t="shared" ca="1" si="22"/>
        <v>0.3807663209394937</v>
      </c>
      <c r="N157" s="13">
        <f ca="1">IF(Prices!B156&gt;OFFSET(Prices!B156,-$N$3,0),1,-1)</f>
        <v>1</v>
      </c>
      <c r="O157" s="4">
        <f ca="1">IF(N157=1,O$3*L156/Prices!B156,-O$3*M156)</f>
        <v>2.6905165490029762E-2</v>
      </c>
      <c r="P157" s="22"/>
      <c r="Q157" s="13">
        <f ca="1">Q156-T157*Prices!B157</f>
        <v>0.72344523710540154</v>
      </c>
      <c r="R157" s="4">
        <f t="shared" ca="1" si="23"/>
        <v>0.29534751751624838</v>
      </c>
      <c r="S157" s="13">
        <f ca="1">IF(Prices!D156&gt;OFFSET(Prices!D156,-S$3,0),1,-1)</f>
        <v>-1</v>
      </c>
      <c r="T157" s="4">
        <f ca="1">IF(S157=1,T$3*Q156/Prices!B156,-T$3*R156)</f>
        <v>-3.2816390835138709E-2</v>
      </c>
      <c r="V157" s="13"/>
      <c r="W157" s="4"/>
      <c r="X157" s="4"/>
      <c r="Y157" s="4"/>
      <c r="Z157" s="4"/>
      <c r="AA157" s="4"/>
      <c r="AB157" s="4"/>
      <c r="AC157" s="4"/>
      <c r="AD157" s="4"/>
      <c r="AE157" s="52"/>
    </row>
    <row r="158" spans="1:31" x14ac:dyDescent="0.2">
      <c r="A158" s="7">
        <v>42470</v>
      </c>
      <c r="B158" s="13">
        <f ca="1">Prices!B157*(1+J158/(50*(ABS(O158)+ABS(T158)+0.0001)))</f>
        <v>1.1668805999407363</v>
      </c>
      <c r="C158" s="62">
        <f t="shared" ca="1" si="18"/>
        <v>0</v>
      </c>
      <c r="D158" s="13">
        <f ca="1">D157+C158*(Prices!B158-Prices!B157)/Prices!B157</f>
        <v>2.5904836877438941E-2</v>
      </c>
      <c r="E158" s="13">
        <f t="shared" ca="1" si="19"/>
        <v>5.6378100858560029E-2</v>
      </c>
      <c r="F158" s="13">
        <f t="shared" ca="1" si="20"/>
        <v>8.2282937735998971E-2</v>
      </c>
      <c r="G158" s="21">
        <f ca="1">IF((Prices!B158-Prices!B157)*C158&gt;0,1,0)</f>
        <v>0</v>
      </c>
      <c r="H158" s="13">
        <f>ABS(Prices!B158-Prices!B157)/Prices!B157</f>
        <v>3.3376123234916681E-3</v>
      </c>
      <c r="I158" s="21"/>
      <c r="J158" s="4">
        <f t="shared" ca="1" si="21"/>
        <v>-3.8343896713219153E-3</v>
      </c>
      <c r="K158" s="13"/>
      <c r="L158" s="13">
        <f ca="1">L157-O158*Prices!B158</f>
        <v>0.57048635731373221</v>
      </c>
      <c r="M158" s="4">
        <f t="shared" ca="1" si="22"/>
        <v>0.4064666830197966</v>
      </c>
      <c r="N158" s="13">
        <f ca="1">IF(Prices!B157&gt;OFFSET(Prices!B157,-$N$3,0),1,-1)</f>
        <v>1</v>
      </c>
      <c r="O158" s="4">
        <f ca="1">IF(N158=1,O$3*L157/Prices!B157,-O$3*M157)</f>
        <v>2.5700362080302925E-2</v>
      </c>
      <c r="P158" s="22"/>
      <c r="Q158" s="13">
        <f ca="1">Q157-T158*Prices!B158</f>
        <v>0.75807178005900655</v>
      </c>
      <c r="R158" s="4">
        <f t="shared" ca="1" si="23"/>
        <v>0.26581276576462354</v>
      </c>
      <c r="S158" s="13">
        <f ca="1">IF(Prices!D157&gt;OFFSET(Prices!D157,-S$3,0),1,-1)</f>
        <v>-1</v>
      </c>
      <c r="T158" s="4">
        <f ca="1">IF(S158=1,T$3*Q157/Prices!B157,-T$3*R157)</f>
        <v>-2.953475175162484E-2</v>
      </c>
      <c r="V158" s="13"/>
      <c r="W158" s="4"/>
      <c r="X158" s="4"/>
      <c r="Y158" s="4"/>
      <c r="Z158" s="4"/>
      <c r="AA158" s="4"/>
      <c r="AB158" s="4"/>
      <c r="AC158" s="4"/>
      <c r="AD158" s="4"/>
      <c r="AE158" s="52"/>
    </row>
    <row r="159" spans="1:31" x14ac:dyDescent="0.2">
      <c r="A159" s="7">
        <v>42477</v>
      </c>
      <c r="B159" s="13">
        <f ca="1">Prices!B158*(1+J159/(50*(ABS(O159)+ABS(T159)+0.0001)))</f>
        <v>1.1490018844680068</v>
      </c>
      <c r="C159" s="62">
        <f t="shared" ca="1" si="18"/>
        <v>0</v>
      </c>
      <c r="D159" s="13">
        <f ca="1">D158+C159*(Prices!B159-Prices!B158)/Prices!B158</f>
        <v>2.5904836877438941E-2</v>
      </c>
      <c r="E159" s="13">
        <f t="shared" ca="1" si="19"/>
        <v>5.6378100858560029E-2</v>
      </c>
      <c r="F159" s="13">
        <f t="shared" ca="1" si="20"/>
        <v>8.2282937735998971E-2</v>
      </c>
      <c r="G159" s="21">
        <f ca="1">IF((Prices!B159-Prices!B158)*C159&gt;0,1,0)</f>
        <v>0</v>
      </c>
      <c r="H159" s="13">
        <f>ABS(Prices!B159-Prices!B158)/Prices!B158</f>
        <v>5.714773114977951E-3</v>
      </c>
      <c r="I159" s="21"/>
      <c r="J159" s="4">
        <f t="shared" ca="1" si="21"/>
        <v>-4.6904610727452181E-2</v>
      </c>
      <c r="K159" s="13"/>
      <c r="L159" s="13">
        <f ca="1">L158-O159*Prices!B159</f>
        <v>0.59417726793354109</v>
      </c>
      <c r="M159" s="4">
        <f t="shared" ca="1" si="22"/>
        <v>0.38614334886880675</v>
      </c>
      <c r="N159" s="13">
        <f ca="1">IF(Prices!B158&gt;OFFSET(Prices!B158,-$N$3,0),1,-1)</f>
        <v>-1</v>
      </c>
      <c r="O159" s="4">
        <f ca="1">IF(N159=1,O$3*L158/Prices!B158,-O$3*M158)</f>
        <v>-2.032333415098983E-2</v>
      </c>
      <c r="P159" s="22"/>
      <c r="Q159" s="13">
        <f ca="1">Q158-T159*Prices!B159</f>
        <v>0.78905757416418876</v>
      </c>
      <c r="R159" s="4">
        <f t="shared" ca="1" si="23"/>
        <v>0.23923148918816117</v>
      </c>
      <c r="S159" s="13">
        <f ca="1">IF(Prices!D158&gt;OFFSET(Prices!D158,-S$3,0),1,-1)</f>
        <v>-1</v>
      </c>
      <c r="T159" s="4">
        <f ca="1">IF(S159=1,T$3*Q158/Prices!B158,-T$3*R158)</f>
        <v>-2.6581276576462354E-2</v>
      </c>
      <c r="V159" s="13"/>
      <c r="W159" s="4"/>
      <c r="X159" s="4"/>
      <c r="Y159" s="4"/>
      <c r="Z159" s="4"/>
      <c r="AA159" s="4"/>
      <c r="AB159" s="4"/>
      <c r="AC159" s="4"/>
      <c r="AD159" s="4"/>
      <c r="AE159" s="52"/>
    </row>
    <row r="160" spans="1:31" x14ac:dyDescent="0.2">
      <c r="A160" s="7">
        <v>42484</v>
      </c>
      <c r="B160" s="13">
        <f ca="1">Prices!B159*(1+J160/(50*(ABS(O160)+ABS(T160)+0.0001)))</f>
        <v>1.1664358857935526</v>
      </c>
      <c r="C160" s="62">
        <f t="shared" ca="1" si="18"/>
        <v>1</v>
      </c>
      <c r="D160" s="13">
        <f ca="1">D159+C160*(Prices!B160-Prices!B159)/Prices!B159</f>
        <v>1.8269939390950216E-2</v>
      </c>
      <c r="E160" s="13">
        <f t="shared" ca="1" si="19"/>
        <v>6.4012998345048755E-2</v>
      </c>
      <c r="F160" s="13">
        <f t="shared" ca="1" si="20"/>
        <v>8.2282937735998971E-2</v>
      </c>
      <c r="G160" s="21">
        <f ca="1">IF((Prices!B160-Prices!B159)*C160&gt;0,1,0)</f>
        <v>0</v>
      </c>
      <c r="H160" s="13">
        <f>ABS(Prices!B160-Prices!B159)/Prices!B159</f>
        <v>7.6348974864887268E-3</v>
      </c>
      <c r="I160" s="21"/>
      <c r="J160" s="4">
        <f t="shared" ca="1" si="21"/>
        <v>1.5627079883444341E-3</v>
      </c>
      <c r="K160" s="13"/>
      <c r="L160" s="13">
        <f ca="1">L159-O160*Prices!B160</f>
        <v>0.56469522866333777</v>
      </c>
      <c r="M160" s="4">
        <f t="shared" ca="1" si="22"/>
        <v>0.41162920577596729</v>
      </c>
      <c r="N160" s="13">
        <f ca="1">IF(Prices!B159&gt;OFFSET(Prices!B159,-$N$3,0),1,-1)</f>
        <v>1</v>
      </c>
      <c r="O160" s="4">
        <f ca="1">IF(N160=1,O$3*L159/Prices!B159,-O$3*M159)</f>
        <v>2.5485856907160553E-2</v>
      </c>
      <c r="P160" s="22"/>
      <c r="Q160" s="13">
        <f ca="1">Q159-T160*Prices!B160</f>
        <v>0.81673187283347526</v>
      </c>
      <c r="R160" s="4">
        <f t="shared" ca="1" si="23"/>
        <v>0.21530834026934506</v>
      </c>
      <c r="S160" s="13">
        <f ca="1">IF(Prices!D159&gt;OFFSET(Prices!D159,-S$3,0),1,-1)</f>
        <v>-1</v>
      </c>
      <c r="T160" s="4">
        <f ca="1">IF(S160=1,T$3*Q159/Prices!B159,-T$3*R159)</f>
        <v>-2.3923148918816119E-2</v>
      </c>
      <c r="V160" s="13"/>
      <c r="W160" s="4"/>
      <c r="X160" s="4"/>
      <c r="Y160" s="4"/>
      <c r="Z160" s="4"/>
      <c r="AA160" s="4"/>
      <c r="AB160" s="4"/>
      <c r="AC160" s="4"/>
      <c r="AD160" s="4"/>
      <c r="AE160" s="52"/>
    </row>
    <row r="161" spans="1:31" x14ac:dyDescent="0.2">
      <c r="A161" s="7">
        <v>42491</v>
      </c>
      <c r="B161" s="13">
        <f ca="1">Prices!B160*(1+J161/(50*(ABS(O161)+ABS(T161)+0.0001)))</f>
        <v>1.1337188086768917</v>
      </c>
      <c r="C161" s="62">
        <f t="shared" ca="1" si="18"/>
        <v>0</v>
      </c>
      <c r="D161" s="13">
        <f ca="1">D160+C161*(Prices!B161-Prices!B160)/Prices!B160</f>
        <v>1.8269939390950216E-2</v>
      </c>
      <c r="E161" s="13">
        <f t="shared" ca="1" si="19"/>
        <v>6.4012998345048755E-2</v>
      </c>
      <c r="F161" s="13">
        <f t="shared" ca="1" si="20"/>
        <v>8.2282937735998971E-2</v>
      </c>
      <c r="G161" s="21">
        <f ca="1">IF((Prices!B161-Prices!B160)*C161&gt;0,1,0)</f>
        <v>0</v>
      </c>
      <c r="H161" s="13">
        <f>ABS(Prices!B161-Prices!B160)/Prices!B160</f>
        <v>1.3399031811894942E-2</v>
      </c>
      <c r="I161" s="21"/>
      <c r="J161" s="4">
        <f t="shared" ca="1" si="21"/>
        <v>-4.2112294315732879E-2</v>
      </c>
      <c r="K161" s="13"/>
      <c r="L161" s="13">
        <f ca="1">L160-O161*Prices!B161</f>
        <v>0.58818484929094339</v>
      </c>
      <c r="M161" s="4">
        <f t="shared" ca="1" si="22"/>
        <v>0.39104774548716892</v>
      </c>
      <c r="N161" s="13">
        <f ca="1">IF(Prices!B160&gt;OFFSET(Prices!B160,-$N$3,0),1,-1)</f>
        <v>-1</v>
      </c>
      <c r="O161" s="4">
        <f ca="1">IF(N161=1,O$3*L160/Prices!B160,-O$3*M160)</f>
        <v>-2.0581460288798367E-2</v>
      </c>
      <c r="P161" s="22"/>
      <c r="Q161" s="13">
        <f ca="1">Q160-T161*Prices!B161</f>
        <v>0.84130501370841559</v>
      </c>
      <c r="R161" s="4">
        <f t="shared" ca="1" si="23"/>
        <v>0.19377750624241055</v>
      </c>
      <c r="S161" s="13">
        <f ca="1">IF(Prices!D160&gt;OFFSET(Prices!D160,-S$3,0),1,-1)</f>
        <v>-1</v>
      </c>
      <c r="T161" s="4">
        <f ca="1">IF(S161=1,T$3*Q160/Prices!B160,-T$3*R160)</f>
        <v>-2.1530834026934509E-2</v>
      </c>
      <c r="V161" s="13"/>
      <c r="W161" s="4"/>
      <c r="X161" s="4"/>
      <c r="Y161" s="4"/>
      <c r="Z161" s="4"/>
      <c r="AA161" s="4"/>
      <c r="AB161" s="4"/>
      <c r="AC161" s="4"/>
      <c r="AD161" s="4"/>
      <c r="AE161" s="52"/>
    </row>
    <row r="162" spans="1:31" x14ac:dyDescent="0.2">
      <c r="A162" s="7">
        <v>42498</v>
      </c>
      <c r="B162" s="13">
        <f ca="1">Prices!B161*(1+J162/(50*(ABS(O162)+ABS(T162)+0.0001)))</f>
        <v>1.1185324830114085</v>
      </c>
      <c r="C162" s="62">
        <f t="shared" ca="1" si="18"/>
        <v>0</v>
      </c>
      <c r="D162" s="13">
        <f ca="1">D161+C162*(Prices!B162-Prices!B161)/Prices!B161</f>
        <v>1.8269939390950216E-2</v>
      </c>
      <c r="E162" s="13">
        <f t="shared" ca="1" si="19"/>
        <v>6.4012998345048755E-2</v>
      </c>
      <c r="F162" s="13">
        <f t="shared" ca="1" si="20"/>
        <v>8.2282937735998971E-2</v>
      </c>
      <c r="G162" s="21">
        <f ca="1">IF((Prices!B162-Prices!B161)*C162&gt;0,1,0)</f>
        <v>0</v>
      </c>
      <c r="H162" s="13">
        <f>ABS(Prices!B162-Prices!B161)/Prices!B161</f>
        <v>2.1904845351791349E-3</v>
      </c>
      <c r="I162" s="21"/>
      <c r="J162" s="4">
        <f t="shared" ca="1" si="21"/>
        <v>-3.8930137898599504E-2</v>
      </c>
      <c r="K162" s="13"/>
      <c r="L162" s="13">
        <f ca="1">L161-O162*Prices!B162</f>
        <v>0.61054886985535461</v>
      </c>
      <c r="M162" s="4">
        <f t="shared" ca="1" si="22"/>
        <v>0.37149535821281049</v>
      </c>
      <c r="N162" s="13">
        <f ca="1">IF(Prices!B161&gt;OFFSET(Prices!B161,-$N$3,0),1,-1)</f>
        <v>-1</v>
      </c>
      <c r="O162" s="4">
        <f ca="1">IF(N162=1,O$3*L161/Prices!B161,-O$3*M161)</f>
        <v>-1.9552387274358447E-2</v>
      </c>
      <c r="P162" s="22"/>
      <c r="Q162" s="13">
        <f ca="1">Q161-T162*Prices!B162</f>
        <v>0.86346928487242247</v>
      </c>
      <c r="R162" s="4">
        <f t="shared" ca="1" si="23"/>
        <v>0.17439975561816951</v>
      </c>
      <c r="S162" s="13">
        <f ca="1">IF(Prices!D161&gt;OFFSET(Prices!D161,-S$3,0),1,-1)</f>
        <v>-1</v>
      </c>
      <c r="T162" s="4">
        <f ca="1">IF(S162=1,T$3*Q161/Prices!B161,-T$3*R161)</f>
        <v>-1.9377750624241057E-2</v>
      </c>
      <c r="V162" s="13"/>
      <c r="W162" s="4"/>
      <c r="X162" s="4"/>
      <c r="Y162" s="4"/>
      <c r="Z162" s="4"/>
      <c r="AA162" s="4"/>
      <c r="AB162" s="4"/>
      <c r="AC162" s="4"/>
      <c r="AD162" s="4"/>
      <c r="AE162" s="52"/>
    </row>
    <row r="163" spans="1:31" x14ac:dyDescent="0.2">
      <c r="A163" s="7">
        <v>42505</v>
      </c>
      <c r="B163" s="13">
        <f ca="1">Prices!B162*(1+J163/(50*(ABS(O163)+ABS(T163)+0.0001)))</f>
        <v>1.1209873425515466</v>
      </c>
      <c r="C163" s="62">
        <f t="shared" ca="1" si="18"/>
        <v>0</v>
      </c>
      <c r="D163" s="13">
        <f ca="1">D162+C163*(Prices!B163-Prices!B162)/Prices!B162</f>
        <v>1.8269939390950216E-2</v>
      </c>
      <c r="E163" s="13">
        <f t="shared" ca="1" si="19"/>
        <v>6.4012998345048755E-2</v>
      </c>
      <c r="F163" s="13">
        <f t="shared" ca="1" si="20"/>
        <v>8.2282937735998971E-2</v>
      </c>
      <c r="G163" s="21">
        <f ca="1">IF((Prices!B163-Prices!B162)*C163&gt;0,1,0)</f>
        <v>0</v>
      </c>
      <c r="H163" s="13">
        <f>ABS(Prices!B163-Prices!B162)/Prices!B162</f>
        <v>1.6086728449029527E-2</v>
      </c>
      <c r="I163" s="21"/>
      <c r="J163" s="4">
        <f t="shared" ca="1" si="21"/>
        <v>-3.6014743472457478E-2</v>
      </c>
      <c r="K163" s="13"/>
      <c r="L163" s="13">
        <f ca="1">L162-O163*Prices!B163</f>
        <v>0.632136465121101</v>
      </c>
      <c r="M163" s="4">
        <f t="shared" ca="1" si="22"/>
        <v>0.35292059030216999</v>
      </c>
      <c r="N163" s="13">
        <f ca="1">IF(Prices!B162&gt;OFFSET(Prices!B162,-$N$3,0),1,-1)</f>
        <v>-1</v>
      </c>
      <c r="O163" s="4">
        <f ca="1">IF(N163=1,O$3*L162/Prices!B162,-O$3*M162)</f>
        <v>-1.8574767910640524E-2</v>
      </c>
      <c r="P163" s="22"/>
      <c r="Q163" s="13">
        <f ca="1">Q162-T163*Prices!B163</f>
        <v>0.88373802447036609</v>
      </c>
      <c r="R163" s="4">
        <f t="shared" ca="1" si="23"/>
        <v>0.15695978005635255</v>
      </c>
      <c r="S163" s="13">
        <f ca="1">IF(Prices!D162&gt;OFFSET(Prices!D162,-S$3,0),1,-1)</f>
        <v>-1</v>
      </c>
      <c r="T163" s="4">
        <f ca="1">IF(S163=1,T$3*Q162/Prices!B162,-T$3*R162)</f>
        <v>-1.7439975561816951E-2</v>
      </c>
      <c r="V163" s="13"/>
      <c r="W163" s="4"/>
      <c r="X163" s="4"/>
      <c r="Y163" s="4"/>
      <c r="Z163" s="4"/>
      <c r="AA163" s="4"/>
      <c r="AB163" s="4"/>
      <c r="AC163" s="4"/>
      <c r="AD163" s="4"/>
      <c r="AE163" s="52"/>
    </row>
    <row r="164" spans="1:31" x14ac:dyDescent="0.2">
      <c r="A164" s="7">
        <v>42512</v>
      </c>
      <c r="B164" s="13">
        <f ca="1">Prices!B163*(1+J164/(50*(ABS(O164)+ABS(T164)+0.0001)))</f>
        <v>1.1390255053967246</v>
      </c>
      <c r="C164" s="62">
        <f t="shared" ca="1" si="18"/>
        <v>0</v>
      </c>
      <c r="D164" s="13">
        <f ca="1">D163+C164*(Prices!B164-Prices!B163)/Prices!B163</f>
        <v>1.8269939390950216E-2</v>
      </c>
      <c r="E164" s="13">
        <f t="shared" ca="1" si="19"/>
        <v>6.4012998345048755E-2</v>
      </c>
      <c r="F164" s="13">
        <f t="shared" ca="1" si="20"/>
        <v>8.2282937735998971E-2</v>
      </c>
      <c r="G164" s="21">
        <f ca="1">IF((Prices!B164-Prices!B163)*C164&gt;0,1,0)</f>
        <v>0</v>
      </c>
      <c r="H164" s="13">
        <f>ABS(Prices!B164-Prices!B163)/Prices!B163</f>
        <v>1.7208742040954912E-3</v>
      </c>
      <c r="I164" s="21"/>
      <c r="J164" s="4">
        <f t="shared" ca="1" si="21"/>
        <v>-3.3342007520743761E-2</v>
      </c>
      <c r="K164" s="13"/>
      <c r="L164" s="13">
        <f ca="1">L163-O164*Prices!B164</f>
        <v>0.65260938856452988</v>
      </c>
      <c r="M164" s="4">
        <f t="shared" ca="1" si="22"/>
        <v>0.33527456078706147</v>
      </c>
      <c r="N164" s="13">
        <f ca="1">IF(Prices!B163&gt;OFFSET(Prices!B163,-$N$3,0),1,-1)</f>
        <v>-1</v>
      </c>
      <c r="O164" s="4">
        <f ca="1">IF(N164=1,O$3*L163/Prices!B163,-O$3*M163)</f>
        <v>-1.7646029515108502E-2</v>
      </c>
      <c r="P164" s="22"/>
      <c r="Q164" s="13">
        <f ca="1">Q163-T164*Prices!B164</f>
        <v>0.90194849815250411</v>
      </c>
      <c r="R164" s="4">
        <f t="shared" ca="1" si="23"/>
        <v>0.14126380205071731</v>
      </c>
      <c r="S164" s="13">
        <f ca="1">IF(Prices!D163&gt;OFFSET(Prices!D163,-S$3,0),1,-1)</f>
        <v>-1</v>
      </c>
      <c r="T164" s="4">
        <f ca="1">IF(S164=1,T$3*Q163/Prices!B163,-T$3*R163)</f>
        <v>-1.5695978005635255E-2</v>
      </c>
      <c r="V164" s="13"/>
      <c r="W164" s="4"/>
      <c r="X164" s="4"/>
      <c r="Y164" s="4"/>
      <c r="Z164" s="4"/>
      <c r="AA164" s="4"/>
      <c r="AB164" s="4"/>
      <c r="AC164" s="4"/>
      <c r="AD164" s="4"/>
      <c r="AE164" s="52"/>
    </row>
    <row r="165" spans="1:31" x14ac:dyDescent="0.2">
      <c r="A165" s="7">
        <v>42519</v>
      </c>
      <c r="B165" s="13">
        <f ca="1">Prices!B164*(1+J165/(50*(ABS(O165)+ABS(T165)+0.0001)))</f>
        <v>1.1370708755048451</v>
      </c>
      <c r="C165" s="62">
        <f t="shared" ca="1" si="18"/>
        <v>0</v>
      </c>
      <c r="D165" s="13">
        <f ca="1">D164+C165*(Prices!B165-Prices!B164)/Prices!B164</f>
        <v>1.8269939390950216E-2</v>
      </c>
      <c r="E165" s="13">
        <f t="shared" ca="1" si="19"/>
        <v>6.4012998345048755E-2</v>
      </c>
      <c r="F165" s="13">
        <f t="shared" ca="1" si="20"/>
        <v>8.2282937735998971E-2</v>
      </c>
      <c r="G165" s="21">
        <f ca="1">IF((Prices!B165-Prices!B164)*C165&gt;0,1,0)</f>
        <v>0</v>
      </c>
      <c r="H165" s="13">
        <f>ABS(Prices!B165-Prices!B164)/Prices!B164</f>
        <v>4.2234097569385674E-3</v>
      </c>
      <c r="I165" s="21"/>
      <c r="J165" s="4">
        <f t="shared" ca="1" si="21"/>
        <v>-3.0890108244424806E-2</v>
      </c>
      <c r="K165" s="13"/>
      <c r="L165" s="13">
        <f ca="1">L164-O165*Prices!B165</f>
        <v>0.67197652356839443</v>
      </c>
      <c r="M165" s="4">
        <f t="shared" ca="1" si="22"/>
        <v>0.31851083274770842</v>
      </c>
      <c r="N165" s="13">
        <f ca="1">IF(Prices!B164&gt;OFFSET(Prices!B164,-$N$3,0),1,-1)</f>
        <v>-1</v>
      </c>
      <c r="O165" s="4">
        <f ca="1">IF(N165=1,O$3*L164/Prices!B164,-O$3*M164)</f>
        <v>-1.6763728039353075E-2</v>
      </c>
      <c r="P165" s="22"/>
      <c r="Q165" s="13">
        <f ca="1">Q164-T165*Prices!B165</f>
        <v>0.91826870520342352</v>
      </c>
      <c r="R165" s="4">
        <f t="shared" ca="1" si="23"/>
        <v>0.12713742184564558</v>
      </c>
      <c r="S165" s="13">
        <f ca="1">IF(Prices!D164&gt;OFFSET(Prices!D164,-S$3,0),1,-1)</f>
        <v>-1</v>
      </c>
      <c r="T165" s="4">
        <f ca="1">IF(S165=1,T$3*Q164/Prices!B164,-T$3*R164)</f>
        <v>-1.4126380205071731E-2</v>
      </c>
      <c r="V165" s="13"/>
      <c r="W165" s="4"/>
      <c r="X165" s="4"/>
      <c r="Y165" s="4"/>
      <c r="Z165" s="4"/>
      <c r="AA165" s="4"/>
      <c r="AB165" s="4"/>
      <c r="AC165" s="4"/>
      <c r="AD165" s="4"/>
      <c r="AE165" s="52"/>
    </row>
    <row r="166" spans="1:31" x14ac:dyDescent="0.2">
      <c r="A166" s="7">
        <v>42526</v>
      </c>
      <c r="B166" s="13">
        <f ca="1">Prices!B165*(1+J166/(50*(ABS(O166)+ABS(T166)+0.0001)))</f>
        <v>1.1322743986631787</v>
      </c>
      <c r="C166" s="62">
        <f t="shared" ca="1" si="18"/>
        <v>0</v>
      </c>
      <c r="D166" s="13">
        <f ca="1">D165+C166*(Prices!B166-Prices!B165)/Prices!B165</f>
        <v>1.8269939390950216E-2</v>
      </c>
      <c r="E166" s="13">
        <f t="shared" ca="1" si="19"/>
        <v>6.4012998345048755E-2</v>
      </c>
      <c r="F166" s="13">
        <f t="shared" ca="1" si="20"/>
        <v>8.2282937735998971E-2</v>
      </c>
      <c r="G166" s="21">
        <f ca="1">IF((Prices!B166-Prices!B165)*C166&gt;0,1,0)</f>
        <v>0</v>
      </c>
      <c r="H166" s="13">
        <f>ABS(Prices!B166-Prices!B165)/Prices!B165</f>
        <v>6.2321474941574445E-3</v>
      </c>
      <c r="I166" s="21"/>
      <c r="J166" s="4">
        <f t="shared" ca="1" si="21"/>
        <v>-2.8639283821949978E-2</v>
      </c>
      <c r="K166" s="13"/>
      <c r="L166" s="13">
        <f ca="1">L165-O166*Prices!B166</f>
        <v>0.69048996572185495</v>
      </c>
      <c r="M166" s="4">
        <f t="shared" ca="1" si="22"/>
        <v>0.30258529111032301</v>
      </c>
      <c r="N166" s="13">
        <f ca="1">IF(Prices!B165&gt;OFFSET(Prices!B165,-$N$3,0),1,-1)</f>
        <v>-1</v>
      </c>
      <c r="O166" s="4">
        <f ca="1">IF(N166=1,O$3*L165/Prices!B165,-O$3*M165)</f>
        <v>-1.592554163738542E-2</v>
      </c>
      <c r="P166" s="22"/>
      <c r="Q166" s="13">
        <f ca="1">Q165-T166*Prices!B166</f>
        <v>0.93304843049297981</v>
      </c>
      <c r="R166" s="4">
        <f t="shared" ca="1" si="23"/>
        <v>0.11442367966108102</v>
      </c>
      <c r="S166" s="13">
        <f ca="1">IF(Prices!D165&gt;OFFSET(Prices!D165,-S$3,0),1,-1)</f>
        <v>-1</v>
      </c>
      <c r="T166" s="4">
        <f ca="1">IF(S166=1,T$3*Q165/Prices!B165,-T$3*R165)</f>
        <v>-1.2713742184564558E-2</v>
      </c>
      <c r="V166" s="13"/>
      <c r="W166" s="4"/>
      <c r="X166" s="4"/>
      <c r="Y166" s="4"/>
      <c r="Z166" s="4"/>
      <c r="AA166" s="4"/>
      <c r="AB166" s="4"/>
      <c r="AC166" s="4"/>
      <c r="AD166" s="4"/>
      <c r="AE166" s="52"/>
    </row>
    <row r="167" spans="1:31" x14ac:dyDescent="0.2">
      <c r="A167" s="7">
        <v>42533</v>
      </c>
      <c r="B167" s="13">
        <f ca="1">Prices!B166*(1+J167/(50*(ABS(O167)+ABS(T167)+0.0001)))</f>
        <v>1.1727920962130682</v>
      </c>
      <c r="C167" s="62">
        <f t="shared" ca="1" si="18"/>
        <v>1</v>
      </c>
      <c r="D167" s="13">
        <f ca="1">D166+C167*(Prices!B167-Prices!B166)/Prices!B166</f>
        <v>2.8936606057616852E-2</v>
      </c>
      <c r="E167" s="13">
        <f t="shared" ca="1" si="19"/>
        <v>5.3346331678382118E-2</v>
      </c>
      <c r="F167" s="13">
        <f t="shared" ca="1" si="20"/>
        <v>8.2282937735998971E-2</v>
      </c>
      <c r="G167" s="21">
        <f ca="1">IF((Prices!B167-Prices!B166)*C167&gt;0,1,0)</f>
        <v>1</v>
      </c>
      <c r="H167" s="13">
        <f>ABS(Prices!B167-Prices!B166)/Prices!B166</f>
        <v>1.0666666666666637E-2</v>
      </c>
      <c r="I167" s="21"/>
      <c r="J167" s="4">
        <f t="shared" ca="1" si="21"/>
        <v>1.8256125183218987E-2</v>
      </c>
      <c r="K167" s="13"/>
      <c r="L167" s="13">
        <f ca="1">L166-O167*Prices!B167</f>
        <v>0.6555972061207106</v>
      </c>
      <c r="M167" s="4">
        <f t="shared" ca="1" si="22"/>
        <v>0.33228378425965011</v>
      </c>
      <c r="N167" s="13">
        <f ca="1">IF(Prices!B166&gt;OFFSET(Prices!B166,-$N$3,0),1,-1)</f>
        <v>1</v>
      </c>
      <c r="O167" s="4">
        <f ca="1">IF(N167=1,O$3*L166/Prices!B166,-O$3*M166)</f>
        <v>2.9698493149327092E-2</v>
      </c>
      <c r="P167" s="22"/>
      <c r="Q167" s="13">
        <f ca="1">Q166-T167*Prices!B167</f>
        <v>0.94649206861636026</v>
      </c>
      <c r="R167" s="4">
        <f t="shared" ca="1" si="23"/>
        <v>0.10298131169497292</v>
      </c>
      <c r="S167" s="13">
        <f ca="1">IF(Prices!D166&gt;OFFSET(Prices!D166,-S$3,0),1,-1)</f>
        <v>-1</v>
      </c>
      <c r="T167" s="4">
        <f ca="1">IF(S167=1,T$3*Q166/Prices!B166,-T$3*R166)</f>
        <v>-1.1442367966108103E-2</v>
      </c>
      <c r="V167" s="13"/>
      <c r="W167" s="4"/>
      <c r="X167" s="4"/>
      <c r="Y167" s="4"/>
      <c r="Z167" s="4"/>
      <c r="AA167" s="4"/>
      <c r="AB167" s="4"/>
      <c r="AC167" s="4"/>
      <c r="AD167" s="4"/>
      <c r="AE167" s="52"/>
    </row>
    <row r="168" spans="1:31" x14ac:dyDescent="0.2">
      <c r="A168" s="7">
        <v>42540</v>
      </c>
      <c r="B168" s="13">
        <f ca="1">Prices!B167*(1+J168/(50*(ABS(O168)+ABS(T168)+0.0001)))</f>
        <v>1.1856997525113453</v>
      </c>
      <c r="C168" s="62">
        <f t="shared" ca="1" si="18"/>
        <v>1</v>
      </c>
      <c r="D168" s="13">
        <f ca="1">D167+C168*(Prices!B168-Prices!B167)/Prices!B167</f>
        <v>1.6595130187330054E-2</v>
      </c>
      <c r="E168" s="13">
        <f t="shared" ca="1" si="19"/>
        <v>6.5687807548668917E-2</v>
      </c>
      <c r="F168" s="13">
        <f t="shared" ca="1" si="20"/>
        <v>8.2282937735998971E-2</v>
      </c>
      <c r="G168" s="21">
        <f ca="1">IF((Prices!B168-Prices!B167)*C168&gt;0,1,0)</f>
        <v>0</v>
      </c>
      <c r="H168" s="13">
        <f>ABS(Prices!B168-Prices!B167)/Prices!B167</f>
        <v>1.2341475870286797E-2</v>
      </c>
      <c r="I168" s="21"/>
      <c r="J168" s="4">
        <f t="shared" ca="1" si="21"/>
        <v>1.7601996761420682E-2</v>
      </c>
      <c r="K168" s="13"/>
      <c r="L168" s="13">
        <f ca="1">L167-O168*Prices!B168</f>
        <v>0.6232218976696734</v>
      </c>
      <c r="M168" s="4">
        <f t="shared" ca="1" si="22"/>
        <v>0.36018391219056806</v>
      </c>
      <c r="N168" s="13">
        <f ca="1">IF(Prices!B167&gt;OFFSET(Prices!B167,-$N$3,0),1,-1)</f>
        <v>1</v>
      </c>
      <c r="O168" s="4">
        <f ca="1">IF(N168=1,O$3*L167/Prices!B167,-O$3*M167)</f>
        <v>2.7900127930917975E-2</v>
      </c>
      <c r="P168" s="22"/>
      <c r="Q168" s="13">
        <f ca="1">Q167-T168*Prices!B168</f>
        <v>0.95844202002544487</v>
      </c>
      <c r="R168" s="4">
        <f t="shared" ca="1" si="23"/>
        <v>9.2683180525475625E-2</v>
      </c>
      <c r="S168" s="13">
        <f ca="1">IF(Prices!D167&gt;OFFSET(Prices!D167,-S$3,0),1,-1)</f>
        <v>-1</v>
      </c>
      <c r="T168" s="4">
        <f ca="1">IF(S168=1,T$3*Q167/Prices!B167,-T$3*R167)</f>
        <v>-1.0298131169497293E-2</v>
      </c>
      <c r="V168" s="13"/>
      <c r="W168" s="4"/>
      <c r="X168" s="4"/>
      <c r="Y168" s="4"/>
      <c r="Z168" s="4"/>
      <c r="AA168" s="4"/>
      <c r="AB168" s="4"/>
      <c r="AC168" s="4"/>
      <c r="AD168" s="4"/>
      <c r="AE168" s="52"/>
    </row>
    <row r="169" spans="1:31" x14ac:dyDescent="0.2">
      <c r="A169" s="7">
        <v>42547</v>
      </c>
      <c r="B169" s="13">
        <f ca="1">Prices!B168*(1+J169/(50*(ABS(O169)+ABS(T169)+0.0001)))</f>
        <v>1.1716672401493247</v>
      </c>
      <c r="C169" s="62">
        <f t="shared" ca="1" si="18"/>
        <v>1</v>
      </c>
      <c r="D169" s="13">
        <f ca="1">D168+C169*(Prices!B169-Prices!B168)/Prices!B168</f>
        <v>9.7009557647171566E-3</v>
      </c>
      <c r="E169" s="13">
        <f t="shared" ca="1" si="19"/>
        <v>7.2581981971281809E-2</v>
      </c>
      <c r="F169" s="13">
        <f t="shared" ca="1" si="20"/>
        <v>8.2282937735998971E-2</v>
      </c>
      <c r="G169" s="21">
        <f ca="1">IF((Prices!B169-Prices!B168)*C169&gt;0,1,0)</f>
        <v>0</v>
      </c>
      <c r="H169" s="13">
        <f>ABS(Prices!B169-Prices!B168)/Prices!B168</f>
        <v>6.8941744226128972E-3</v>
      </c>
      <c r="I169" s="21"/>
      <c r="J169" s="4">
        <f t="shared" ca="1" si="21"/>
        <v>1.7585434863243259E-2</v>
      </c>
      <c r="K169" s="13"/>
      <c r="L169" s="13">
        <f ca="1">L168-O169*Prices!B169</f>
        <v>0.59227563280951601</v>
      </c>
      <c r="M169" s="4">
        <f t="shared" ca="1" si="22"/>
        <v>0.3870376651063589</v>
      </c>
      <c r="N169" s="13">
        <f ca="1">IF(Prices!B168&gt;OFFSET(Prices!B168,-$N$3,0),1,-1)</f>
        <v>1</v>
      </c>
      <c r="O169" s="4">
        <f ca="1">IF(N169=1,O$3*L168/Prices!B168,-O$3*M168)</f>
        <v>2.6853752915790823E-2</v>
      </c>
      <c r="P169" s="22"/>
      <c r="Q169" s="13">
        <f ca="1">Q168-T169*Prices!B169</f>
        <v>0.96912282974920072</v>
      </c>
      <c r="R169" s="4">
        <f t="shared" ca="1" si="23"/>
        <v>8.3414862472928064E-2</v>
      </c>
      <c r="S169" s="13">
        <f ca="1">IF(Prices!D168&gt;OFFSET(Prices!D168,-S$3,0),1,-1)</f>
        <v>-1</v>
      </c>
      <c r="T169" s="4">
        <f ca="1">IF(S169=1,T$3*Q168/Prices!B168,-T$3*R168)</f>
        <v>-9.2683180525475629E-3</v>
      </c>
      <c r="V169" s="13"/>
      <c r="W169" s="4"/>
      <c r="X169" s="4"/>
      <c r="Y169" s="4"/>
      <c r="Z169" s="4"/>
      <c r="AA169" s="4"/>
      <c r="AB169" s="4"/>
      <c r="AC169" s="4"/>
      <c r="AD169" s="4"/>
      <c r="AE169" s="52"/>
    </row>
    <row r="170" spans="1:31" x14ac:dyDescent="0.2">
      <c r="A170" s="7">
        <v>42554</v>
      </c>
      <c r="B170" s="13">
        <f ca="1">Prices!B169*(1+J170/(50*(ABS(O170)+ABS(T170)+0.0001)))</f>
        <v>1.1294349262533203</v>
      </c>
      <c r="C170" s="62">
        <f t="shared" ca="1" si="18"/>
        <v>0</v>
      </c>
      <c r="D170" s="13">
        <f ca="1">D169+C170*(Prices!B170-Prices!B169)/Prices!B169</f>
        <v>9.7009557647171566E-3</v>
      </c>
      <c r="E170" s="13">
        <f t="shared" ca="1" si="19"/>
        <v>7.2581981971281809E-2</v>
      </c>
      <c r="F170" s="13">
        <f t="shared" ca="1" si="20"/>
        <v>8.2282937735998971E-2</v>
      </c>
      <c r="G170" s="21">
        <f ca="1">IF((Prices!B170-Prices!B169)*C170&gt;0,1,0)</f>
        <v>0</v>
      </c>
      <c r="H170" s="13">
        <f>ABS(Prices!B170-Prices!B169)/Prices!B169</f>
        <v>3.1239153071848536E-3</v>
      </c>
      <c r="I170" s="21"/>
      <c r="J170" s="4">
        <f t="shared" ca="1" si="21"/>
        <v>-2.7693369502610754E-2</v>
      </c>
      <c r="K170" s="13"/>
      <c r="L170" s="13">
        <f ca="1">L169-O170*Prices!B170</f>
        <v>0.6146464098526635</v>
      </c>
      <c r="M170" s="4">
        <f t="shared" ca="1" si="22"/>
        <v>0.36768578185104095</v>
      </c>
      <c r="N170" s="13">
        <f ca="1">IF(Prices!B169&gt;OFFSET(Prices!B169,-$N$3,0),1,-1)</f>
        <v>-1</v>
      </c>
      <c r="O170" s="4">
        <f ca="1">IF(N170=1,O$3*L169/Prices!B169,-O$3*M169)</f>
        <v>-1.9351883255317948E-2</v>
      </c>
      <c r="P170" s="22"/>
      <c r="Q170" s="13">
        <f ca="1">Q169-T170*Prices!B170</f>
        <v>0.97876558785107115</v>
      </c>
      <c r="R170" s="4">
        <f t="shared" ca="1" si="23"/>
        <v>7.5073376225635258E-2</v>
      </c>
      <c r="S170" s="13">
        <f ca="1">IF(Prices!D169&gt;OFFSET(Prices!D169,-S$3,0),1,-1)</f>
        <v>-1</v>
      </c>
      <c r="T170" s="4">
        <f ca="1">IF(S170=1,T$3*Q169/Prices!B169,-T$3*R169)</f>
        <v>-8.3414862472928064E-3</v>
      </c>
      <c r="V170" s="13"/>
      <c r="W170" s="4"/>
      <c r="X170" s="4"/>
      <c r="Y170" s="4"/>
      <c r="Z170" s="4"/>
      <c r="AA170" s="4"/>
      <c r="AB170" s="4"/>
      <c r="AC170" s="4"/>
      <c r="AD170" s="4"/>
      <c r="AE170" s="52"/>
    </row>
    <row r="171" spans="1:31" x14ac:dyDescent="0.2">
      <c r="A171" s="7">
        <v>42561</v>
      </c>
      <c r="B171" s="13">
        <f ca="1">Prices!B170*(1+J171/(50*(ABS(O171)+ABS(T171)+0.0001)))</f>
        <v>1.132968951723774</v>
      </c>
      <c r="C171" s="62">
        <f t="shared" ca="1" si="18"/>
        <v>0</v>
      </c>
      <c r="D171" s="13">
        <f ca="1">D170+C171*(Prices!B171-Prices!B170)/Prices!B170</f>
        <v>9.7009557647171566E-3</v>
      </c>
      <c r="E171" s="13">
        <f t="shared" ca="1" si="19"/>
        <v>7.2581981971281809E-2</v>
      </c>
      <c r="F171" s="13">
        <f t="shared" ca="1" si="20"/>
        <v>8.2282937735998971E-2</v>
      </c>
      <c r="G171" s="21">
        <f ca="1">IF((Prices!B171-Prices!B170)*C171&gt;0,1,0)</f>
        <v>0</v>
      </c>
      <c r="H171" s="13">
        <f>ABS(Prices!B171-Prices!B170)/Prices!B170</f>
        <v>3.979238754325206E-3</v>
      </c>
      <c r="I171" s="21"/>
      <c r="J171" s="4">
        <f t="shared" ca="1" si="21"/>
        <v>-2.5891626715115572E-2</v>
      </c>
      <c r="K171" s="13"/>
      <c r="L171" s="13">
        <f ca="1">L170-O171*Prices!B171</f>
        <v>0.63581408031382791</v>
      </c>
      <c r="M171" s="4">
        <f t="shared" ca="1" si="22"/>
        <v>0.34930149275848887</v>
      </c>
      <c r="N171" s="13">
        <f ca="1">IF(Prices!B170&gt;OFFSET(Prices!B170,-$N$3,0),1,-1)</f>
        <v>-1</v>
      </c>
      <c r="O171" s="4">
        <f ca="1">IF(N171=1,O$3*L170/Prices!B170,-O$3*M170)</f>
        <v>-1.8384289092552047E-2</v>
      </c>
      <c r="P171" s="22"/>
      <c r="Q171" s="13">
        <f ca="1">Q170-T171*Prices!B171</f>
        <v>0.98740953638969076</v>
      </c>
      <c r="R171" s="4">
        <f t="shared" ca="1" si="23"/>
        <v>6.7566038603071726E-2</v>
      </c>
      <c r="S171" s="13">
        <f ca="1">IF(Prices!D170&gt;OFFSET(Prices!D170,-S$3,0),1,-1)</f>
        <v>-1</v>
      </c>
      <c r="T171" s="4">
        <f ca="1">IF(S171=1,T$3*Q170/Prices!B170,-T$3*R170)</f>
        <v>-7.5073376225635261E-3</v>
      </c>
      <c r="V171" s="13"/>
      <c r="W171" s="4"/>
      <c r="X171" s="4"/>
      <c r="Y171" s="4"/>
      <c r="Z171" s="4"/>
      <c r="AA171" s="4"/>
      <c r="AB171" s="4"/>
      <c r="AC171" s="4"/>
      <c r="AD171" s="4"/>
      <c r="AE171" s="52"/>
    </row>
    <row r="172" spans="1:31" x14ac:dyDescent="0.2">
      <c r="A172" s="7">
        <v>42568</v>
      </c>
      <c r="B172" s="13">
        <f ca="1">Prices!B171*(1+J172/(50*(ABS(O172)+ABS(T172)+0.0001)))</f>
        <v>1.1284666809653852</v>
      </c>
      <c r="C172" s="62">
        <f t="shared" ca="1" si="18"/>
        <v>0</v>
      </c>
      <c r="D172" s="13">
        <f ca="1">D171+C172*(Prices!B172-Prices!B171)/Prices!B171</f>
        <v>9.7009557647171566E-3</v>
      </c>
      <c r="E172" s="13">
        <f t="shared" ca="1" si="19"/>
        <v>7.2581981971281809E-2</v>
      </c>
      <c r="F172" s="13">
        <f t="shared" ca="1" si="20"/>
        <v>8.2282937735998971E-2</v>
      </c>
      <c r="G172" s="21">
        <f ca="1">IF((Prices!B172-Prices!B171)*C172&gt;0,1,0)</f>
        <v>0</v>
      </c>
      <c r="H172" s="13">
        <f>ABS(Prices!B172-Prices!B171)/Prices!B171</f>
        <v>9.6404377279832275E-3</v>
      </c>
      <c r="I172" s="21"/>
      <c r="J172" s="4">
        <f t="shared" ca="1" si="21"/>
        <v>-2.4221678498231616E-2</v>
      </c>
      <c r="K172" s="13"/>
      <c r="L172" s="13">
        <f ca="1">L171-O172*Prices!B172</f>
        <v>0.65572950492345317</v>
      </c>
      <c r="M172" s="4">
        <f t="shared" ca="1" si="22"/>
        <v>0.33183641812056441</v>
      </c>
      <c r="N172" s="13">
        <f ca="1">IF(Prices!B171&gt;OFFSET(Prices!B171,-$N$3,0),1,-1)</f>
        <v>-1</v>
      </c>
      <c r="O172" s="4">
        <f ca="1">IF(N172=1,O$3*L171/Prices!B171,-O$3*M171)</f>
        <v>-1.7465074637924443E-2</v>
      </c>
      <c r="P172" s="22"/>
      <c r="Q172" s="13">
        <f ca="1">Q171-T172*Prices!B172</f>
        <v>0.99511409177159904</v>
      </c>
      <c r="R172" s="4">
        <f t="shared" ca="1" si="23"/>
        <v>6.0809434742764554E-2</v>
      </c>
      <c r="S172" s="13">
        <f ca="1">IF(Prices!D171&gt;OFFSET(Prices!D171,-S$3,0),1,-1)</f>
        <v>-1</v>
      </c>
      <c r="T172" s="4">
        <f ca="1">IF(S172=1,T$3*Q171/Prices!B171,-T$3*R171)</f>
        <v>-6.7566038603071726E-3</v>
      </c>
      <c r="V172" s="13"/>
      <c r="W172" s="4"/>
      <c r="X172" s="4"/>
      <c r="Y172" s="4"/>
      <c r="Z172" s="4"/>
      <c r="AA172" s="4"/>
      <c r="AB172" s="4"/>
      <c r="AC172" s="4"/>
      <c r="AD172" s="4"/>
      <c r="AE172" s="52"/>
    </row>
    <row r="173" spans="1:31" x14ac:dyDescent="0.2">
      <c r="A173" s="7">
        <v>42575</v>
      </c>
      <c r="B173" s="13">
        <f ca="1">Prices!B172*(1+J173/(50*(ABS(O173)+ABS(T173)+0.0001)))</f>
        <v>1.1558044425972893</v>
      </c>
      <c r="C173" s="62">
        <f t="shared" ca="1" si="18"/>
        <v>1</v>
      </c>
      <c r="D173" s="13">
        <f ca="1">D172+C173*(Prices!B173-Prices!B172)/Prices!B172</f>
        <v>8.385512460323527E-3</v>
      </c>
      <c r="E173" s="13">
        <f t="shared" ca="1" si="19"/>
        <v>7.3897425275675444E-2</v>
      </c>
      <c r="F173" s="13">
        <f t="shared" ca="1" si="20"/>
        <v>8.2282937735998971E-2</v>
      </c>
      <c r="G173" s="21">
        <f ca="1">IF((Prices!B173-Prices!B172)*C173&gt;0,1,0)</f>
        <v>0</v>
      </c>
      <c r="H173" s="13">
        <f>ABS(Prices!B173-Prices!B172)/Prices!B172</f>
        <v>1.3154433043936304E-3</v>
      </c>
      <c r="I173" s="21"/>
      <c r="J173" s="4">
        <f t="shared" ca="1" si="21"/>
        <v>7.0675923702548382E-2</v>
      </c>
      <c r="K173" s="13"/>
      <c r="L173" s="13">
        <f ca="1">L172-O173*Prices!B173</f>
        <v>0.67462427057123808</v>
      </c>
      <c r="M173" s="4">
        <f t="shared" ca="1" si="22"/>
        <v>0.31524459721453618</v>
      </c>
      <c r="N173" s="13">
        <f ca="1">IF(Prices!B172&gt;OFFSET(Prices!B172,-$N$3,0),1,-1)</f>
        <v>-1</v>
      </c>
      <c r="O173" s="4">
        <f ca="1">IF(N173=1,O$3*L172/Prices!B172,-O$3*M172)</f>
        <v>-1.6591820906028221E-2</v>
      </c>
      <c r="P173" s="22"/>
      <c r="Q173" s="13">
        <f ca="1">Q172-T173*Prices!B173</f>
        <v>0.89573358421135196</v>
      </c>
      <c r="R173" s="4">
        <f t="shared" ca="1" si="23"/>
        <v>0.14807717935134115</v>
      </c>
      <c r="S173" s="13">
        <f ca="1">IF(Prices!D172&gt;OFFSET(Prices!D172,-S$3,0),1,-1)</f>
        <v>1</v>
      </c>
      <c r="T173" s="4">
        <f ca="1">IF(S173=1,T$3*Q172/Prices!B172,-T$3*R172)</f>
        <v>8.72677446085766E-2</v>
      </c>
      <c r="V173" s="13"/>
      <c r="W173" s="4"/>
      <c r="X173" s="4"/>
      <c r="Y173" s="4"/>
      <c r="Z173" s="4"/>
      <c r="AA173" s="4"/>
      <c r="AB173" s="4"/>
      <c r="AC173" s="4"/>
      <c r="AD173" s="4"/>
      <c r="AE173" s="52"/>
    </row>
    <row r="174" spans="1:31" x14ac:dyDescent="0.2">
      <c r="A174" s="7">
        <v>42582</v>
      </c>
      <c r="B174" s="13">
        <f ca="1">Prices!B173*(1+J174/(50*(ABS(O174)+ABS(T174)+0.0001)))</f>
        <v>1.1539554666147016</v>
      </c>
      <c r="C174" s="62">
        <f t="shared" ca="1" si="18"/>
        <v>1</v>
      </c>
      <c r="D174" s="13">
        <f ca="1">D173+C174*(Prices!B174-Prices!B173)/Prices!B173</f>
        <v>3.8193024146613444E-3</v>
      </c>
      <c r="E174" s="13">
        <f t="shared" ca="1" si="19"/>
        <v>7.8463635321337627E-2</v>
      </c>
      <c r="F174" s="13">
        <f t="shared" ca="1" si="20"/>
        <v>8.2282937735998971E-2</v>
      </c>
      <c r="G174" s="21">
        <f ca="1">IF((Prices!B174-Prices!B173)*C174&gt;0,1,0)</f>
        <v>0</v>
      </c>
      <c r="H174" s="13">
        <f>ABS(Prices!B174-Prices!B173)/Prices!B173</f>
        <v>4.5662100456621826E-3</v>
      </c>
      <c r="I174" s="21"/>
      <c r="J174" s="4">
        <f t="shared" ca="1" si="21"/>
        <v>6.2893687263557693E-2</v>
      </c>
      <c r="K174" s="13"/>
      <c r="L174" s="13">
        <f ca="1">L173-O174*Prices!B174</f>
        <v>0.69249233434135804</v>
      </c>
      <c r="M174" s="4">
        <f t="shared" ca="1" si="22"/>
        <v>0.2994823673538094</v>
      </c>
      <c r="N174" s="13">
        <f ca="1">IF(Prices!B173&gt;OFFSET(Prices!B173,-$N$3,0),1,-1)</f>
        <v>-1</v>
      </c>
      <c r="O174" s="4">
        <f ca="1">IF(N174=1,O$3*L173/Prices!B173,-O$3*M173)</f>
        <v>-1.5762229860726808E-2</v>
      </c>
      <c r="P174" s="22"/>
      <c r="Q174" s="13">
        <f ca="1">Q173-T174*Prices!B174</f>
        <v>0.80656923655926305</v>
      </c>
      <c r="R174" s="4">
        <f t="shared" ca="1" si="23"/>
        <v>0.22673309647562567</v>
      </c>
      <c r="S174" s="13">
        <f ca="1">IF(Prices!D173&gt;OFFSET(Prices!D173,-S$3,0),1,-1)</f>
        <v>1</v>
      </c>
      <c r="T174" s="4">
        <f ca="1">IF(S174=1,T$3*Q173/Prices!B173,-T$3*R173)</f>
        <v>7.8655917124284505E-2</v>
      </c>
      <c r="V174" s="13"/>
      <c r="W174" s="4"/>
      <c r="X174" s="4"/>
      <c r="Y174" s="4"/>
      <c r="Z174" s="4"/>
      <c r="AA174" s="4"/>
      <c r="AB174" s="4"/>
      <c r="AC174" s="4"/>
      <c r="AD174" s="4"/>
      <c r="AE174" s="52"/>
    </row>
    <row r="175" spans="1:31" x14ac:dyDescent="0.2">
      <c r="A175" s="7">
        <v>42589</v>
      </c>
      <c r="B175" s="13">
        <f ca="1">Prices!B174*(1+J175/(50*(ABS(O175)+ABS(T175)+0.0001)))</f>
        <v>1.1109880623703177</v>
      </c>
      <c r="C175" s="62">
        <f t="shared" ca="1" si="18"/>
        <v>0</v>
      </c>
      <c r="D175" s="13">
        <f ca="1">D174+C175*(Prices!B175-Prices!B174)/Prices!B174</f>
        <v>3.8193024146613444E-3</v>
      </c>
      <c r="E175" s="13">
        <f t="shared" ca="1" si="19"/>
        <v>7.8463635321337627E-2</v>
      </c>
      <c r="F175" s="13">
        <f t="shared" ca="1" si="20"/>
        <v>8.2282937735998971E-2</v>
      </c>
      <c r="G175" s="21">
        <f ca="1">IF((Prices!B175-Prices!B174)*C175&gt;0,1,0)</f>
        <v>0</v>
      </c>
      <c r="H175" s="13">
        <f>ABS(Prices!B175-Prices!B174)/Prices!B174</f>
        <v>6.9689484827099666E-3</v>
      </c>
      <c r="I175" s="21"/>
      <c r="J175" s="4">
        <f t="shared" ca="1" si="21"/>
        <v>-3.7647428015253039E-2</v>
      </c>
      <c r="K175" s="13"/>
      <c r="L175" s="13">
        <f ca="1">L174-O175*Prices!B175</f>
        <v>0.70958529045807672</v>
      </c>
      <c r="M175" s="4">
        <f t="shared" ca="1" si="22"/>
        <v>0.28450824898611893</v>
      </c>
      <c r="N175" s="13">
        <f ca="1">IF(Prices!B174&gt;OFFSET(Prices!B174,-$N$3,0),1,-1)</f>
        <v>-1</v>
      </c>
      <c r="O175" s="4">
        <f ca="1">IF(N175=1,O$3*L174/Prices!B174,-O$3*M174)</f>
        <v>-1.497411836769047E-2</v>
      </c>
      <c r="P175" s="22"/>
      <c r="Q175" s="13">
        <f ca="1">Q174-T175*Prices!B175</f>
        <v>0.83245081952195576</v>
      </c>
      <c r="R175" s="4">
        <f t="shared" ca="1" si="23"/>
        <v>0.20405978682806311</v>
      </c>
      <c r="S175" s="13">
        <f ca="1">IF(Prices!D174&gt;OFFSET(Prices!D174,-S$3,0),1,-1)</f>
        <v>-1</v>
      </c>
      <c r="T175" s="4">
        <f ca="1">IF(S175=1,T$3*Q174/Prices!B174,-T$3*R174)</f>
        <v>-2.2673309647562569E-2</v>
      </c>
      <c r="V175" s="13"/>
      <c r="W175" s="4"/>
      <c r="X175" s="4"/>
      <c r="Y175" s="4"/>
      <c r="Z175" s="4"/>
      <c r="AA175" s="4"/>
      <c r="AB175" s="4"/>
      <c r="AC175" s="4"/>
      <c r="AD175" s="4"/>
      <c r="AE175" s="52"/>
    </row>
    <row r="176" spans="1:31" x14ac:dyDescent="0.2">
      <c r="A176" s="7">
        <v>42596</v>
      </c>
      <c r="B176" s="13">
        <f ca="1">Prices!B175*(1+J176/(50*(ABS(O176)+ABS(T176)+0.0001)))</f>
        <v>1.1568594620729631</v>
      </c>
      <c r="C176" s="62">
        <f t="shared" ca="1" si="18"/>
        <v>1</v>
      </c>
      <c r="D176" s="13">
        <f ca="1">D175+C176*(Prices!B176-Prices!B175)/Prices!B175</f>
        <v>-3.0138119085975513E-3</v>
      </c>
      <c r="E176" s="13">
        <f t="shared" ca="1" si="19"/>
        <v>8.529674964459652E-2</v>
      </c>
      <c r="F176" s="13">
        <f t="shared" ca="1" si="20"/>
        <v>8.2282937735998971E-2</v>
      </c>
      <c r="G176" s="21">
        <f ca="1">IF((Prices!B176-Prices!B175)*C176&gt;0,1,0)</f>
        <v>0</v>
      </c>
      <c r="H176" s="13">
        <f>ABS(Prices!B176-Prices!B175)/Prices!B175</f>
        <v>6.8331143232588957E-3</v>
      </c>
      <c r="I176" s="21"/>
      <c r="J176" s="4">
        <f t="shared" ca="1" si="21"/>
        <v>5.8700633938951252E-2</v>
      </c>
      <c r="K176" s="13"/>
      <c r="L176" s="13">
        <f ca="1">L175-O176*Prices!B176</f>
        <v>0.72571264055185492</v>
      </c>
      <c r="M176" s="4">
        <f t="shared" ca="1" si="22"/>
        <v>0.27028283653681295</v>
      </c>
      <c r="N176" s="13">
        <f ca="1">IF(Prices!B175&gt;OFFSET(Prices!B175,-$N$3,0),1,-1)</f>
        <v>-1</v>
      </c>
      <c r="O176" s="4">
        <f ca="1">IF(N176=1,O$3*L175/Prices!B175,-O$3*M175)</f>
        <v>-1.4225412449305946E-2</v>
      </c>
      <c r="P176" s="22"/>
      <c r="Q176" s="13">
        <f ca="1">Q175-T176*Prices!B176</f>
        <v>0.74977456073158855</v>
      </c>
      <c r="R176" s="4">
        <f t="shared" ca="1" si="23"/>
        <v>0.27698583321632031</v>
      </c>
      <c r="S176" s="13">
        <f ca="1">IF(Prices!D175&gt;OFFSET(Prices!D175,-S$3,0),1,-1)</f>
        <v>1</v>
      </c>
      <c r="T176" s="4">
        <f ca="1">IF(S176=1,T$3*Q175/Prices!B175,-T$3*R175)</f>
        <v>7.2926046388257199E-2</v>
      </c>
      <c r="V176" s="13"/>
      <c r="W176" s="4"/>
      <c r="X176" s="4"/>
      <c r="Y176" s="4"/>
      <c r="Z176" s="4"/>
      <c r="AA176" s="4"/>
      <c r="AB176" s="4"/>
      <c r="AC176" s="4"/>
      <c r="AD176" s="4"/>
      <c r="AE176" s="52"/>
    </row>
    <row r="177" spans="1:31" x14ac:dyDescent="0.2">
      <c r="A177" s="7">
        <v>42603</v>
      </c>
      <c r="B177" s="13">
        <f ca="1">Prices!B176*(1+J177/(50*(ABS(O177)+ABS(T177)+0.0001)))</f>
        <v>1.1486609979027287</v>
      </c>
      <c r="C177" s="62">
        <f t="shared" ca="1" si="18"/>
        <v>1</v>
      </c>
      <c r="D177" s="13">
        <f ca="1">D176+C177*(Prices!B177-Prices!B176)/Prices!B176</f>
        <v>-4.7779470413487216E-3</v>
      </c>
      <c r="E177" s="13">
        <f t="shared" ca="1" si="19"/>
        <v>8.7060884777347691E-2</v>
      </c>
      <c r="F177" s="13">
        <f t="shared" ca="1" si="20"/>
        <v>8.2282937735998971E-2</v>
      </c>
      <c r="G177" s="21">
        <f ca="1">IF((Prices!B177-Prices!B176)*C177&gt;0,1,0)</f>
        <v>0</v>
      </c>
      <c r="H177" s="13">
        <f>ABS(Prices!B177-Prices!B176)/Prices!B176</f>
        <v>1.7641351327511703E-3</v>
      </c>
      <c r="I177" s="21"/>
      <c r="J177" s="4">
        <f t="shared" ca="1" si="21"/>
        <v>5.2621040384642881E-2</v>
      </c>
      <c r="K177" s="13"/>
      <c r="L177" s="13">
        <f ca="1">L176-O177*Prices!B177</f>
        <v>0.74100659485729048</v>
      </c>
      <c r="M177" s="4">
        <f t="shared" ca="1" si="22"/>
        <v>0.25676869470997232</v>
      </c>
      <c r="N177" s="13">
        <f ca="1">IF(Prices!B176&gt;OFFSET(Prices!B176,-$N$3,0),1,-1)</f>
        <v>-1</v>
      </c>
      <c r="O177" s="4">
        <f ca="1">IF(N177=1,O$3*L176/Prices!B176,-O$3*M176)</f>
        <v>-1.3514141826840648E-2</v>
      </c>
      <c r="P177" s="22"/>
      <c r="Q177" s="13">
        <f ca="1">Q176-T177*Prices!B177</f>
        <v>0.67492937502285266</v>
      </c>
      <c r="R177" s="4">
        <f t="shared" ca="1" si="23"/>
        <v>0.34312101542780382</v>
      </c>
      <c r="S177" s="13">
        <f ca="1">IF(Prices!D176&gt;OFFSET(Prices!D176,-S$3,0),1,-1)</f>
        <v>1</v>
      </c>
      <c r="T177" s="4">
        <f ca="1">IF(S177=1,T$3*Q176/Prices!B176,-T$3*R176)</f>
        <v>6.6135182211483526E-2</v>
      </c>
      <c r="V177" s="13"/>
      <c r="W177" s="4"/>
      <c r="X177" s="4"/>
      <c r="Y177" s="4"/>
      <c r="Z177" s="4"/>
      <c r="AA177" s="4"/>
      <c r="AB177" s="4"/>
      <c r="AC177" s="4"/>
      <c r="AD177" s="4"/>
      <c r="AE177" s="52"/>
    </row>
    <row r="178" spans="1:31" x14ac:dyDescent="0.2">
      <c r="A178" s="7">
        <v>42610</v>
      </c>
      <c r="B178" s="13">
        <f ca="1">Prices!B177*(1+J178/(50*(ABS(O178)+ABS(T178)+0.0001)))</f>
        <v>1.1462951742834626</v>
      </c>
      <c r="C178" s="62">
        <f t="shared" ca="1" si="18"/>
        <v>1</v>
      </c>
      <c r="D178" s="13">
        <f ca="1">D177+C178*(Prices!B178-Prices!B177)/Prices!B177</f>
        <v>7.0053665574413334E-4</v>
      </c>
      <c r="E178" s="13">
        <f t="shared" ca="1" si="19"/>
        <v>8.1582401080254843E-2</v>
      </c>
      <c r="F178" s="13">
        <f t="shared" ca="1" si="20"/>
        <v>8.2282937735998971E-2</v>
      </c>
      <c r="G178" s="21">
        <f ca="1">IF((Prices!B178-Prices!B177)*C178&gt;0,1,0)</f>
        <v>1</v>
      </c>
      <c r="H178" s="13">
        <f>ABS(Prices!B178-Prices!B177)/Prices!B177</f>
        <v>5.4784836970928549E-3</v>
      </c>
      <c r="I178" s="21"/>
      <c r="J178" s="4">
        <f t="shared" ca="1" si="21"/>
        <v>4.6800106841142962E-2</v>
      </c>
      <c r="K178" s="13"/>
      <c r="L178" s="13">
        <f ca="1">L177-O178*Prices!B178</f>
        <v>0.75561544974281436</v>
      </c>
      <c r="M178" s="4">
        <f t="shared" ca="1" si="22"/>
        <v>0.24393025997447371</v>
      </c>
      <c r="N178" s="13">
        <f ca="1">IF(Prices!B177&gt;OFFSET(Prices!B177,-$N$3,0),1,-1)</f>
        <v>-1</v>
      </c>
      <c r="O178" s="4">
        <f ca="1">IF(N178=1,O$3*L177/Prices!B177,-O$3*M177)</f>
        <v>-1.2838434735498616E-2</v>
      </c>
      <c r="P178" s="22"/>
      <c r="Q178" s="13">
        <f ca="1">Q177-T178*Prices!B178</f>
        <v>0.60706667856279217</v>
      </c>
      <c r="R178" s="4">
        <f t="shared" ca="1" si="23"/>
        <v>0.40275955700444538</v>
      </c>
      <c r="S178" s="13">
        <f ca="1">IF(Prices!D177&gt;OFFSET(Prices!D177,-S$3,0),1,-1)</f>
        <v>1</v>
      </c>
      <c r="T178" s="4">
        <f ca="1">IF(S178=1,T$3*Q177/Prices!B177,-T$3*R177)</f>
        <v>5.9638541576641578E-2</v>
      </c>
      <c r="V178" s="13"/>
      <c r="W178" s="4"/>
      <c r="X178" s="4"/>
      <c r="Y178" s="4"/>
      <c r="Z178" s="4"/>
      <c r="AA178" s="4"/>
      <c r="AB178" s="4"/>
      <c r="AC178" s="4"/>
      <c r="AD178" s="4"/>
      <c r="AE178" s="52"/>
    </row>
    <row r="179" spans="1:31" x14ac:dyDescent="0.2">
      <c r="A179" s="7">
        <v>42617</v>
      </c>
      <c r="B179" s="13">
        <f ca="1">Prices!B178*(1+J179/(50*(ABS(O179)+ABS(T179)+0.0001)))</f>
        <v>1.1521668482615328</v>
      </c>
      <c r="C179" s="62">
        <f t="shared" ca="1" si="18"/>
        <v>1</v>
      </c>
      <c r="D179" s="13">
        <f ca="1">D178+C179*(Prices!B179-Prices!B178)/Prices!B178</f>
        <v>-5.7147898228566774E-3</v>
      </c>
      <c r="E179" s="13">
        <f t="shared" ca="1" si="19"/>
        <v>8.7997727558855654E-2</v>
      </c>
      <c r="F179" s="13">
        <f t="shared" ca="1" si="20"/>
        <v>8.2282937735998971E-2</v>
      </c>
      <c r="G179" s="21">
        <f ca="1">IF((Prices!B179-Prices!B178)*C179&gt;0,1,0)</f>
        <v>0</v>
      </c>
      <c r="H179" s="13">
        <f>ABS(Prices!B179-Prices!B178)/Prices!B178</f>
        <v>6.4153264786008107E-3</v>
      </c>
      <c r="I179" s="21"/>
      <c r="J179" s="4">
        <f t="shared" ca="1" si="21"/>
        <v>4.1153225867854415E-2</v>
      </c>
      <c r="K179" s="13"/>
      <c r="L179" s="13">
        <f ca="1">L178-O179*Prices!B179</f>
        <v>0.76940482733917137</v>
      </c>
      <c r="M179" s="4">
        <f t="shared" ca="1" si="22"/>
        <v>0.23173374697575003</v>
      </c>
      <c r="N179" s="13">
        <f ca="1">IF(Prices!B178&gt;OFFSET(Prices!B178,-$N$3,0),1,-1)</f>
        <v>-1</v>
      </c>
      <c r="O179" s="4">
        <f ca="1">IF(N179=1,O$3*L178/Prices!B178,-O$3*M178)</f>
        <v>-1.2196512998723687E-2</v>
      </c>
      <c r="P179" s="22"/>
      <c r="Q179" s="13">
        <f ca="1">Q178-T179*Prices!B179</f>
        <v>0.54674946380023892</v>
      </c>
      <c r="R179" s="4">
        <f t="shared" ca="1" si="23"/>
        <v>0.4561092958710235</v>
      </c>
      <c r="S179" s="13">
        <f ca="1">IF(Prices!D178&gt;OFFSET(Prices!D178,-S$3,0),1,-1)</f>
        <v>1</v>
      </c>
      <c r="T179" s="4">
        <f ca="1">IF(S179=1,T$3*Q178/Prices!B178,-T$3*R178)</f>
        <v>5.3349738866578102E-2</v>
      </c>
      <c r="V179" s="13"/>
      <c r="W179" s="4"/>
      <c r="X179" s="4"/>
      <c r="Y179" s="4"/>
      <c r="Z179" s="4"/>
      <c r="AA179" s="4"/>
      <c r="AB179" s="4"/>
      <c r="AC179" s="4"/>
      <c r="AD179" s="4"/>
      <c r="AE179" s="52"/>
    </row>
    <row r="180" spans="1:31" x14ac:dyDescent="0.2">
      <c r="A180" s="7">
        <v>42624</v>
      </c>
      <c r="B180" s="13">
        <f ca="1">Prices!B179*(1+J180/(50*(ABS(O180)+ABS(T180)+0.0001)))</f>
        <v>1.1080274641194683</v>
      </c>
      <c r="C180" s="62">
        <f t="shared" ca="1" si="18"/>
        <v>0</v>
      </c>
      <c r="D180" s="13">
        <f ca="1">D179+C180*(Prices!B180-Prices!B179)/Prices!B179</f>
        <v>-5.7147898228566774E-3</v>
      </c>
      <c r="E180" s="13">
        <f t="shared" ca="1" si="19"/>
        <v>8.7997727558855654E-2</v>
      </c>
      <c r="F180" s="13">
        <f t="shared" ca="1" si="20"/>
        <v>8.2282937735998971E-2</v>
      </c>
      <c r="G180" s="21">
        <f ca="1">IF((Prices!B180-Prices!B179)*C180&gt;0,1,0)</f>
        <v>0</v>
      </c>
      <c r="H180" s="13">
        <f>ABS(Prices!B180-Prices!B179)/Prices!B179</f>
        <v>5.8376083495488579E-3</v>
      </c>
      <c r="I180" s="21"/>
      <c r="J180" s="4">
        <f t="shared" ca="1" si="21"/>
        <v>-5.7197616935889858E-2</v>
      </c>
      <c r="K180" s="13"/>
      <c r="L180" s="13">
        <f ca="1">L179-O180*Prices!B180</f>
        <v>0.78258120819221255</v>
      </c>
      <c r="M180" s="4">
        <f t="shared" ca="1" si="22"/>
        <v>0.22014705962696252</v>
      </c>
      <c r="N180" s="13">
        <f ca="1">IF(Prices!B179&gt;OFFSET(Prices!B179,-$N$3,0),1,-1)</f>
        <v>-1</v>
      </c>
      <c r="O180" s="4">
        <f ca="1">IF(N180=1,O$3*L179/Prices!B179,-O$3*M179)</f>
        <v>-1.1586687348787502E-2</v>
      </c>
      <c r="P180" s="22"/>
      <c r="Q180" s="13">
        <f ca="1">Q179-T180*Prices!B180</f>
        <v>0.59861821292669171</v>
      </c>
      <c r="R180" s="4">
        <f t="shared" ca="1" si="23"/>
        <v>0.41049836628392117</v>
      </c>
      <c r="S180" s="13">
        <f ca="1">IF(Prices!D179&gt;OFFSET(Prices!D179,-S$3,0),1,-1)</f>
        <v>-1</v>
      </c>
      <c r="T180" s="4">
        <f ca="1">IF(S180=1,T$3*Q179/Prices!B179,-T$3*R179)</f>
        <v>-4.5610929587102354E-2</v>
      </c>
      <c r="V180" s="13"/>
      <c r="W180" s="4"/>
      <c r="X180" s="4"/>
      <c r="Y180" s="4"/>
      <c r="Z180" s="4"/>
      <c r="AA180" s="4"/>
      <c r="AB180" s="4"/>
      <c r="AC180" s="4"/>
      <c r="AD180" s="4"/>
      <c r="AE180" s="52"/>
    </row>
    <row r="181" spans="1:31" x14ac:dyDescent="0.2">
      <c r="A181" s="7">
        <v>42631</v>
      </c>
      <c r="B181" s="13">
        <f ca="1">Prices!B180*(1+J181/(50*(ABS(O181)+ABS(T181)+0.0001)))</f>
        <v>1.1352007926954666</v>
      </c>
      <c r="C181" s="62">
        <f t="shared" ca="1" si="18"/>
        <v>0</v>
      </c>
      <c r="D181" s="13">
        <f ca="1">D180+C181*(Prices!B181-Prices!B180)/Prices!B180</f>
        <v>-5.7147898228566774E-3</v>
      </c>
      <c r="E181" s="13">
        <f t="shared" ca="1" si="19"/>
        <v>8.7997727558855654E-2</v>
      </c>
      <c r="F181" s="13">
        <f t="shared" ca="1" si="20"/>
        <v>8.2282937735998971E-2</v>
      </c>
      <c r="G181" s="21">
        <f ca="1">IF((Prices!B181-Prices!B180)*C181&gt;0,1,0)</f>
        <v>0</v>
      </c>
      <c r="H181" s="13">
        <f>ABS(Prices!B181-Prices!B180)/Prices!B180</f>
        <v>6.3313401336617088E-3</v>
      </c>
      <c r="I181" s="21"/>
      <c r="J181" s="4">
        <f t="shared" ca="1" si="21"/>
        <v>-6.6415879389701837E-3</v>
      </c>
      <c r="K181" s="13"/>
      <c r="L181" s="13">
        <f ca="1">L180-O181*Prices!B181</f>
        <v>0.74320440839203805</v>
      </c>
      <c r="M181" s="4">
        <f t="shared" ca="1" si="22"/>
        <v>0.25455530831638445</v>
      </c>
      <c r="N181" s="13">
        <f ca="1">IF(Prices!B180&gt;OFFSET(Prices!B180,-$N$3,0),1,-1)</f>
        <v>1</v>
      </c>
      <c r="O181" s="4">
        <f ca="1">IF(N181=1,O$3*L180/Prices!B180,-O$3*M180)</f>
        <v>3.4408248689421939E-2</v>
      </c>
      <c r="P181" s="22"/>
      <c r="Q181" s="13">
        <f ca="1">Q180-T181*Prices!B181</f>
        <v>0.6455956459642237</v>
      </c>
      <c r="R181" s="4">
        <f t="shared" ca="1" si="23"/>
        <v>0.36944852965552905</v>
      </c>
      <c r="S181" s="13">
        <f ca="1">IF(Prices!D180&gt;OFFSET(Prices!D180,-S$3,0),1,-1)</f>
        <v>-1</v>
      </c>
      <c r="T181" s="4">
        <f ca="1">IF(S181=1,T$3*Q180/Prices!B180,-T$3*R180)</f>
        <v>-4.1049836628392122E-2</v>
      </c>
      <c r="V181" s="13"/>
      <c r="W181" s="4"/>
      <c r="X181" s="4"/>
      <c r="Y181" s="4"/>
      <c r="Z181" s="4"/>
      <c r="AA181" s="4"/>
      <c r="AB181" s="4"/>
      <c r="AC181" s="4"/>
      <c r="AD181" s="4"/>
      <c r="AE181" s="52"/>
    </row>
    <row r="182" spans="1:31" x14ac:dyDescent="0.2">
      <c r="A182" s="7">
        <v>42638</v>
      </c>
      <c r="B182" s="13">
        <f ca="1">Prices!B181*(1+J182/(50*(ABS(O182)+ABS(T182)+0.0001)))</f>
        <v>1.1429271149417102</v>
      </c>
      <c r="C182" s="62">
        <f t="shared" ca="1" si="18"/>
        <v>0</v>
      </c>
      <c r="D182" s="13">
        <f ca="1">D181+C182*(Prices!B182-Prices!B181)/Prices!B181</f>
        <v>-5.7147898228566774E-3</v>
      </c>
      <c r="E182" s="13">
        <f t="shared" ca="1" si="19"/>
        <v>8.7997727558855654E-2</v>
      </c>
      <c r="F182" s="13">
        <f t="shared" ca="1" si="20"/>
        <v>8.2282937735998971E-2</v>
      </c>
      <c r="G182" s="21">
        <f ca="1">IF((Prices!B182-Prices!B181)*C182&gt;0,1,0)</f>
        <v>0</v>
      </c>
      <c r="H182" s="13">
        <f>ABS(Prices!B182-Prices!B181)/Prices!B181</f>
        <v>4.2817196784342244E-3</v>
      </c>
      <c r="I182" s="21"/>
      <c r="J182" s="4">
        <f t="shared" ca="1" si="21"/>
        <v>-4.4734964297246174E-3</v>
      </c>
      <c r="K182" s="13"/>
      <c r="L182" s="13">
        <f ca="1">L181-O182*Prices!B182</f>
        <v>0.70620329761946166</v>
      </c>
      <c r="M182" s="4">
        <f t="shared" ca="1" si="22"/>
        <v>0.28702666485221273</v>
      </c>
      <c r="N182" s="13">
        <f ca="1">IF(Prices!B181&gt;OFFSET(Prices!B181,-$N$3,0),1,-1)</f>
        <v>1</v>
      </c>
      <c r="O182" s="4">
        <f ca="1">IF(N182=1,O$3*L181/Prices!B181,-O$3*M181)</f>
        <v>3.2471356535828291E-2</v>
      </c>
      <c r="P182" s="22"/>
      <c r="Q182" s="13">
        <f ca="1">Q181-T182*Prices!B182</f>
        <v>0.68769430591847125</v>
      </c>
      <c r="R182" s="4">
        <f t="shared" ca="1" si="23"/>
        <v>0.33250367668997616</v>
      </c>
      <c r="S182" s="13">
        <f ca="1">IF(Prices!D181&gt;OFFSET(Prices!D181,-S$3,0),1,-1)</f>
        <v>-1</v>
      </c>
      <c r="T182" s="4">
        <f ca="1">IF(S182=1,T$3*Q181/Prices!B181,-T$3*R181)</f>
        <v>-3.6944852965552909E-2</v>
      </c>
      <c r="V182" s="13"/>
      <c r="W182" s="4"/>
      <c r="X182" s="4"/>
      <c r="Y182" s="4"/>
      <c r="Z182" s="4"/>
      <c r="AA182" s="4"/>
      <c r="AB182" s="4"/>
      <c r="AC182" s="4"/>
      <c r="AD182" s="4"/>
      <c r="AE182" s="52"/>
    </row>
    <row r="183" spans="1:31" x14ac:dyDescent="0.2">
      <c r="A183" s="7">
        <v>42645</v>
      </c>
      <c r="B183" s="13">
        <f ca="1">Prices!B182*(1+J183/(50*(ABS(O183)+ABS(T183)+0.0001)))</f>
        <v>1.1386984091531189</v>
      </c>
      <c r="C183" s="62">
        <f t="shared" ca="1" si="18"/>
        <v>0</v>
      </c>
      <c r="D183" s="13">
        <f ca="1">D182+C183*(Prices!B183-Prices!B182)/Prices!B182</f>
        <v>-5.7147898228566774E-3</v>
      </c>
      <c r="E183" s="13">
        <f t="shared" ca="1" si="19"/>
        <v>8.7997727558855654E-2</v>
      </c>
      <c r="F183" s="13">
        <f t="shared" ca="1" si="20"/>
        <v>8.2282937735998971E-2</v>
      </c>
      <c r="G183" s="21">
        <f ca="1">IF((Prices!B183-Prices!B182)*C183&gt;0,1,0)</f>
        <v>0</v>
      </c>
      <c r="H183" s="13">
        <f>ABS(Prices!B183-Prices!B182)/Prices!B182</f>
        <v>6.4940763492760626E-3</v>
      </c>
      <c r="I183" s="21"/>
      <c r="J183" s="4">
        <f t="shared" ca="1" si="21"/>
        <v>-2.2629478524350162E-3</v>
      </c>
      <c r="K183" s="13"/>
      <c r="L183" s="13">
        <f ca="1">L182-O183*Prices!B183</f>
        <v>0.67066382583184603</v>
      </c>
      <c r="M183" s="4">
        <f t="shared" ca="1" si="22"/>
        <v>0.31801408466877534</v>
      </c>
      <c r="N183" s="13">
        <f ca="1">IF(Prices!B182&gt;OFFSET(Prices!B182,-$N$3,0),1,-1)</f>
        <v>1</v>
      </c>
      <c r="O183" s="4">
        <f ca="1">IF(N183=1,O$3*L182/Prices!B182,-O$3*M182)</f>
        <v>3.0987419816562601E-2</v>
      </c>
      <c r="P183" s="22"/>
      <c r="Q183" s="13">
        <f ca="1">Q182-T183*Prices!B183</f>
        <v>0.72582915259804459</v>
      </c>
      <c r="R183" s="4">
        <f t="shared" ca="1" si="23"/>
        <v>0.29925330902097852</v>
      </c>
      <c r="S183" s="13">
        <f ca="1">IF(Prices!D182&gt;OFFSET(Prices!D182,-S$3,0),1,-1)</f>
        <v>-1</v>
      </c>
      <c r="T183" s="4">
        <f ca="1">IF(S183=1,T$3*Q182/Prices!B182,-T$3*R182)</f>
        <v>-3.3250367668997617E-2</v>
      </c>
      <c r="V183" s="13"/>
      <c r="W183" s="4"/>
      <c r="X183" s="4"/>
      <c r="Y183" s="4"/>
      <c r="Z183" s="4"/>
      <c r="AA183" s="4"/>
      <c r="AB183" s="4"/>
      <c r="AC183" s="4"/>
      <c r="AD183" s="4"/>
      <c r="AE183" s="52"/>
    </row>
    <row r="184" spans="1:31" x14ac:dyDescent="0.2">
      <c r="A184" s="7">
        <v>42652</v>
      </c>
      <c r="B184" s="13">
        <f ca="1">Prices!B183*(1+J184/(50*(ABS(O184)+ABS(T184)+0.0001)))</f>
        <v>1.1466340111630307</v>
      </c>
      <c r="C184" s="62">
        <f t="shared" ca="1" si="18"/>
        <v>0</v>
      </c>
      <c r="D184" s="13">
        <f ca="1">D183+C184*(Prices!B184-Prices!B183)/Prices!B183</f>
        <v>-5.7147898228566774E-3</v>
      </c>
      <c r="E184" s="13">
        <f t="shared" ca="1" si="19"/>
        <v>8.7997727558855654E-2</v>
      </c>
      <c r="F184" s="13">
        <f t="shared" ca="1" si="20"/>
        <v>8.2282937735998971E-2</v>
      </c>
      <c r="G184" s="21">
        <f ca="1">IF((Prices!B184-Prices!B183)*C184&gt;0,1,0)</f>
        <v>0</v>
      </c>
      <c r="H184" s="13">
        <f>ABS(Prices!B184-Prices!B183)/Prices!B183</f>
        <v>9.2423053448425687E-3</v>
      </c>
      <c r="I184" s="21"/>
      <c r="J184" s="4">
        <f t="shared" ca="1" si="21"/>
        <v>-6.8721834512488339E-4</v>
      </c>
      <c r="K184" s="13"/>
      <c r="L184" s="13">
        <f ca="1">L183-O184*Prices!B184</f>
        <v>0.63744055853335768</v>
      </c>
      <c r="M184" s="4">
        <f t="shared" ca="1" si="22"/>
        <v>0.34725219722574829</v>
      </c>
      <c r="N184" s="13">
        <f ca="1">IF(Prices!B183&gt;OFFSET(Prices!B183,-$N$3,0),1,-1)</f>
        <v>1</v>
      </c>
      <c r="O184" s="4">
        <f ca="1">IF(N184=1,O$3*L183/Prices!B183,-O$3*M183)</f>
        <v>2.9238112556972971E-2</v>
      </c>
      <c r="P184" s="22"/>
      <c r="Q184" s="13">
        <f ca="1">Q183-T184*Prices!B184</f>
        <v>0.75983330610209843</v>
      </c>
      <c r="R184" s="4">
        <f t="shared" ca="1" si="23"/>
        <v>0.26932797811888065</v>
      </c>
      <c r="S184" s="13">
        <f ca="1">IF(Prices!D183&gt;OFFSET(Prices!D183,-S$3,0),1,-1)</f>
        <v>-1</v>
      </c>
      <c r="T184" s="4">
        <f ca="1">IF(S184=1,T$3*Q183/Prices!B183,-T$3*R183)</f>
        <v>-2.9925330902097855E-2</v>
      </c>
      <c r="V184" s="13"/>
      <c r="W184" s="4"/>
      <c r="X184" s="4"/>
      <c r="Y184" s="4"/>
      <c r="Z184" s="4"/>
      <c r="AA184" s="4"/>
      <c r="AB184" s="4"/>
      <c r="AC184" s="4"/>
      <c r="AD184" s="4"/>
      <c r="AE184" s="52"/>
    </row>
    <row r="185" spans="1:31" x14ac:dyDescent="0.2">
      <c r="A185" s="7">
        <v>42659</v>
      </c>
      <c r="B185" s="13">
        <f ca="1">Prices!B184*(1+J185/(50*(ABS(O185)+ABS(T185)+0.0001)))</f>
        <v>1.1136251899793044</v>
      </c>
      <c r="C185" s="62">
        <f t="shared" ca="1" si="18"/>
        <v>0</v>
      </c>
      <c r="D185" s="13">
        <f ca="1">D184+C185*(Prices!B185-Prices!B184)/Prices!B184</f>
        <v>-5.7147898228566774E-3</v>
      </c>
      <c r="E185" s="13">
        <f t="shared" ca="1" si="19"/>
        <v>8.7997727558855654E-2</v>
      </c>
      <c r="F185" s="13">
        <f t="shared" ca="1" si="20"/>
        <v>8.2282937735998971E-2</v>
      </c>
      <c r="G185" s="21">
        <f ca="1">IF((Prices!B185-Prices!B184)*C185&gt;0,1,0)</f>
        <v>0</v>
      </c>
      <c r="H185" s="13">
        <f>ABS(Prices!B185-Prices!B184)/Prices!B184</f>
        <v>3.7842119158672622E-3</v>
      </c>
      <c r="I185" s="21"/>
      <c r="J185" s="4">
        <f t="shared" ca="1" si="21"/>
        <v>-4.4295407673175483E-2</v>
      </c>
      <c r="K185" s="13"/>
      <c r="L185" s="13">
        <f ca="1">L184-O185*Prices!B185</f>
        <v>0.65724435134114212</v>
      </c>
      <c r="M185" s="4">
        <f t="shared" ca="1" si="22"/>
        <v>0.32988958736446089</v>
      </c>
      <c r="N185" s="13">
        <f ca="1">IF(Prices!B184&gt;OFFSET(Prices!B184,-$N$3,0),1,-1)</f>
        <v>-1</v>
      </c>
      <c r="O185" s="4">
        <f ca="1">IF(N185=1,O$3*L184/Prices!B184,-O$3*M184)</f>
        <v>-1.7362609861287414E-2</v>
      </c>
      <c r="P185" s="22"/>
      <c r="Q185" s="13">
        <f ca="1">Q184-T185*Prices!B185</f>
        <v>0.79055285528633801</v>
      </c>
      <c r="R185" s="4">
        <f t="shared" ca="1" si="23"/>
        <v>0.24239518030699259</v>
      </c>
      <c r="S185" s="13">
        <f ca="1">IF(Prices!D184&gt;OFFSET(Prices!D184,-S$3,0),1,-1)</f>
        <v>-1</v>
      </c>
      <c r="T185" s="4">
        <f ca="1">IF(S185=1,T$3*Q184/Prices!B184,-T$3*R184)</f>
        <v>-2.6932797811888065E-2</v>
      </c>
      <c r="V185" s="13"/>
      <c r="W185" s="4"/>
      <c r="X185" s="4"/>
      <c r="Y185" s="4"/>
      <c r="Z185" s="4"/>
      <c r="AA185" s="4"/>
      <c r="AB185" s="4"/>
      <c r="AC185" s="4"/>
      <c r="AD185" s="4"/>
      <c r="AE185" s="52"/>
    </row>
    <row r="186" spans="1:31" x14ac:dyDescent="0.2">
      <c r="A186" s="7">
        <v>42666</v>
      </c>
      <c r="B186" s="13">
        <f ca="1">Prices!B185*(1+J186/(50*(ABS(O186)+ABS(T186)+0.0001)))</f>
        <v>1.1425621971205642</v>
      </c>
      <c r="C186" s="62">
        <f t="shared" ca="1" si="18"/>
        <v>1</v>
      </c>
      <c r="D186" s="13">
        <f ca="1">D185+C186*(Prices!B186-Prices!B185)/Prices!B185</f>
        <v>-1.3311320988518612E-3</v>
      </c>
      <c r="E186" s="13">
        <f t="shared" ca="1" si="19"/>
        <v>8.3614069834850827E-2</v>
      </c>
      <c r="F186" s="13">
        <f t="shared" ca="1" si="20"/>
        <v>8.2282937735998971E-2</v>
      </c>
      <c r="G186" s="21">
        <f ca="1">IF((Prices!B186-Prices!B185)*C186&gt;0,1,0)</f>
        <v>1</v>
      </c>
      <c r="H186" s="13">
        <f>ABS(Prices!B186-Prices!B185)/Prices!B185</f>
        <v>4.3836577240048162E-3</v>
      </c>
      <c r="I186" s="21"/>
      <c r="J186" s="4">
        <f t="shared" ca="1" si="21"/>
        <v>4.5718247424526848E-3</v>
      </c>
      <c r="K186" s="13"/>
      <c r="L186" s="13">
        <f ca="1">L185-O186*Prices!B186</f>
        <v>0.62423807706021928</v>
      </c>
      <c r="M186" s="4">
        <f t="shared" ca="1" si="22"/>
        <v>0.35870093013761284</v>
      </c>
      <c r="N186" s="13">
        <f ca="1">IF(Prices!B185&gt;OFFSET(Prices!B185,-$N$3,0),1,-1)</f>
        <v>1</v>
      </c>
      <c r="O186" s="4">
        <f ca="1">IF(N186=1,O$3*L185/Prices!B185,-O$3*M185)</f>
        <v>2.8811342773151945E-2</v>
      </c>
      <c r="P186" s="22"/>
      <c r="Q186" s="13">
        <f ca="1">Q185-T186*Prices!B186</f>
        <v>0.81832164714230704</v>
      </c>
      <c r="R186" s="4">
        <f t="shared" ca="1" si="23"/>
        <v>0.21815566227629332</v>
      </c>
      <c r="S186" s="13">
        <f ca="1">IF(Prices!D185&gt;OFFSET(Prices!D185,-S$3,0),1,-1)</f>
        <v>-1</v>
      </c>
      <c r="T186" s="4">
        <f ca="1">IF(S186=1,T$3*Q185/Prices!B185,-T$3*R185)</f>
        <v>-2.4239518030699261E-2</v>
      </c>
      <c r="V186" s="13"/>
      <c r="W186" s="4"/>
      <c r="X186" s="4"/>
      <c r="Y186" s="4"/>
      <c r="Z186" s="4"/>
      <c r="AA186" s="4"/>
      <c r="AB186" s="4"/>
      <c r="AC186" s="4"/>
      <c r="AD186" s="4"/>
      <c r="AE186" s="52"/>
    </row>
    <row r="187" spans="1:31" x14ac:dyDescent="0.2">
      <c r="A187" s="7">
        <v>42673</v>
      </c>
      <c r="B187" s="13">
        <f ca="1">Prices!B186*(1+J187/(50*(ABS(O187)+ABS(T187)+0.0001)))</f>
        <v>1.1481304784472515</v>
      </c>
      <c r="C187" s="62">
        <f t="shared" ca="1" si="18"/>
        <v>1</v>
      </c>
      <c r="D187" s="13">
        <f ca="1">D186+C187*(Prices!B187-Prices!B186)/Prices!B186</f>
        <v>-1.2940768970360126E-2</v>
      </c>
      <c r="E187" s="13">
        <f t="shared" ca="1" si="19"/>
        <v>9.5223706706359101E-2</v>
      </c>
      <c r="F187" s="13">
        <f t="shared" ca="1" si="20"/>
        <v>8.2282937735998971E-2</v>
      </c>
      <c r="G187" s="21">
        <f ca="1">IF((Prices!B187-Prices!B186)*C187&gt;0,1,0)</f>
        <v>0</v>
      </c>
      <c r="H187" s="13">
        <f>ABS(Prices!B187-Prices!B186)/Prices!B186</f>
        <v>1.1609636871508264E-2</v>
      </c>
      <c r="I187" s="21"/>
      <c r="J187" s="4">
        <f t="shared" ca="1" si="21"/>
        <v>5.4294615770240952E-3</v>
      </c>
      <c r="K187" s="13"/>
      <c r="L187" s="13">
        <f ca="1">L186-O187*Prices!B187</f>
        <v>0.59338853207701014</v>
      </c>
      <c r="M187" s="4">
        <f t="shared" ca="1" si="22"/>
        <v>0.38594595794226627</v>
      </c>
      <c r="N187" s="13">
        <f ca="1">IF(Prices!B186&gt;OFFSET(Prices!B186,-$N$3,0),1,-1)</f>
        <v>1</v>
      </c>
      <c r="O187" s="4">
        <f ca="1">IF(N187=1,O$3*L186/Prices!B186,-O$3*M186)</f>
        <v>2.7245027804653429E-2</v>
      </c>
      <c r="P187" s="22"/>
      <c r="Q187" s="13">
        <f ca="1">Q186-T187*Prices!B187</f>
        <v>0.84302341278185178</v>
      </c>
      <c r="R187" s="4">
        <f t="shared" ca="1" si="23"/>
        <v>0.19634009604866398</v>
      </c>
      <c r="S187" s="13">
        <f ca="1">IF(Prices!D186&gt;OFFSET(Prices!D186,-S$3,0),1,-1)</f>
        <v>-1</v>
      </c>
      <c r="T187" s="4">
        <f ca="1">IF(S187=1,T$3*Q186/Prices!B186,-T$3*R186)</f>
        <v>-2.1815566227629334E-2</v>
      </c>
      <c r="V187" s="13"/>
      <c r="W187" s="4"/>
      <c r="X187" s="4"/>
      <c r="Y187" s="4"/>
      <c r="Z187" s="4"/>
      <c r="AA187" s="4"/>
      <c r="AB187" s="4"/>
      <c r="AC187" s="4"/>
      <c r="AD187" s="4"/>
      <c r="AE187" s="52"/>
    </row>
    <row r="188" spans="1:31" x14ac:dyDescent="0.2">
      <c r="A188" s="7">
        <v>42680</v>
      </c>
      <c r="B188" s="13">
        <f ca="1">Prices!B187*(1+J188/(50*(ABS(O188)+ABS(T188)+0.0001)))</f>
        <v>1.1456089562662382</v>
      </c>
      <c r="C188" s="62">
        <f t="shared" ca="1" si="18"/>
        <v>1</v>
      </c>
      <c r="D188" s="13">
        <f ca="1">D187+C188*(Prices!B188-Prices!B187)/Prices!B187</f>
        <v>-1.5325296039158276E-2</v>
      </c>
      <c r="E188" s="13">
        <f t="shared" ca="1" si="19"/>
        <v>9.7608233775157247E-2</v>
      </c>
      <c r="F188" s="13">
        <f t="shared" ca="1" si="20"/>
        <v>8.2282937735998971E-2</v>
      </c>
      <c r="G188" s="21">
        <f ca="1">IF((Prices!B188-Prices!B187)*C188&gt;0,1,0)</f>
        <v>0</v>
      </c>
      <c r="H188" s="13">
        <f>ABS(Prices!B188-Prices!B187)/Prices!B187</f>
        <v>2.3845270687981512E-3</v>
      </c>
      <c r="I188" s="21"/>
      <c r="J188" s="4">
        <f t="shared" ca="1" si="21"/>
        <v>5.5155003858768675E-2</v>
      </c>
      <c r="K188" s="13"/>
      <c r="L188" s="13">
        <f ca="1">L187-O188*Prices!B188</f>
        <v>0.61518675978158932</v>
      </c>
      <c r="M188" s="4">
        <f t="shared" ca="1" si="22"/>
        <v>0.36664866004515295</v>
      </c>
      <c r="N188" s="13">
        <f ca="1">IF(Prices!B187&gt;OFFSET(Prices!B187,-$N$3,0),1,-1)</f>
        <v>-1</v>
      </c>
      <c r="O188" s="4">
        <f ca="1">IF(N188=1,O$3*L187/Prices!B187,-O$3*M187)</f>
        <v>-1.9297297897113316E-2</v>
      </c>
      <c r="P188" s="22"/>
      <c r="Q188" s="13">
        <f ca="1">Q187-T188*Prices!B188</f>
        <v>0.75892209271840749</v>
      </c>
      <c r="R188" s="4">
        <f t="shared" ca="1" si="23"/>
        <v>0.270792397804546</v>
      </c>
      <c r="S188" s="13">
        <f ca="1">IF(Prices!D187&gt;OFFSET(Prices!D187,-S$3,0),1,-1)</f>
        <v>1</v>
      </c>
      <c r="T188" s="4">
        <f ca="1">IF(S188=1,T$3*Q187/Prices!B187,-T$3*R187)</f>
        <v>7.4452301755881994E-2</v>
      </c>
      <c r="V188" s="13"/>
      <c r="W188" s="4"/>
      <c r="X188" s="4"/>
      <c r="Y188" s="4"/>
      <c r="Z188" s="4"/>
      <c r="AA188" s="4"/>
      <c r="AB188" s="4"/>
      <c r="AC188" s="4"/>
      <c r="AD188" s="4"/>
      <c r="AE188" s="52"/>
    </row>
    <row r="189" spans="1:31" x14ac:dyDescent="0.2">
      <c r="A189" s="7">
        <v>42687</v>
      </c>
      <c r="B189" s="13">
        <f ca="1">Prices!B188*(1+J189/(50*(ABS(O189)+ABS(T189)+0.0001)))</f>
        <v>1.1424908032004195</v>
      </c>
      <c r="C189" s="62">
        <f t="shared" ca="1" si="18"/>
        <v>1</v>
      </c>
      <c r="D189" s="13">
        <f ca="1">D188+C189*(Prices!B189-Prices!B188)/Prices!B188</f>
        <v>-1.1872746464087442E-2</v>
      </c>
      <c r="E189" s="13">
        <f t="shared" ca="1" si="19"/>
        <v>9.4155684200086409E-2</v>
      </c>
      <c r="F189" s="13">
        <f t="shared" ca="1" si="20"/>
        <v>8.2282937735998971E-2</v>
      </c>
      <c r="G189" s="21">
        <f ca="1">IF((Prices!B189-Prices!B188)*C189&gt;0,1,0)</f>
        <v>1</v>
      </c>
      <c r="H189" s="13">
        <f>ABS(Prices!B189-Prices!B188)/Prices!B188</f>
        <v>3.4525495750708348E-3</v>
      </c>
      <c r="I189" s="21"/>
      <c r="J189" s="4">
        <f t="shared" ca="1" si="21"/>
        <v>4.8852596452275604E-2</v>
      </c>
      <c r="K189" s="13"/>
      <c r="L189" s="13">
        <f ca="1">L188-O189*Prices!B189</f>
        <v>0.63596657258964839</v>
      </c>
      <c r="M189" s="4">
        <f t="shared" ca="1" si="22"/>
        <v>0.34831622704289533</v>
      </c>
      <c r="N189" s="13">
        <f ca="1">IF(Prices!B188&gt;OFFSET(Prices!B188,-$N$3,0),1,-1)</f>
        <v>-1</v>
      </c>
      <c r="O189" s="4">
        <f ca="1">IF(N189=1,O$3*L188/Prices!B188,-O$3*M188)</f>
        <v>-1.8332433002257648E-2</v>
      </c>
      <c r="P189" s="22"/>
      <c r="Q189" s="13">
        <f ca="1">Q188-T189*Prices!B189</f>
        <v>0.68276786183169402</v>
      </c>
      <c r="R189" s="4">
        <f t="shared" ca="1" si="23"/>
        <v>0.33797742725907925</v>
      </c>
      <c r="S189" s="13">
        <f ca="1">IF(Prices!D188&gt;OFFSET(Prices!D188,-S$3,0),1,-1)</f>
        <v>1</v>
      </c>
      <c r="T189" s="4">
        <f ca="1">IF(S189=1,T$3*Q188/Prices!B188,-T$3*R188)</f>
        <v>6.7185029454533252E-2</v>
      </c>
      <c r="V189" s="13"/>
      <c r="W189" s="4"/>
      <c r="X189" s="4"/>
      <c r="Y189" s="4"/>
      <c r="Z189" s="4"/>
      <c r="AA189" s="4"/>
      <c r="AB189" s="4"/>
      <c r="AC189" s="4"/>
      <c r="AD189" s="4"/>
      <c r="AE189" s="52"/>
    </row>
    <row r="190" spans="1:31" x14ac:dyDescent="0.2">
      <c r="A190" s="7">
        <v>42694</v>
      </c>
      <c r="B190" s="13">
        <f ca="1">Prices!B189*(1+J190/(50*(ABS(O190)+ABS(T190)+0.0001)))</f>
        <v>1.1459849465479728</v>
      </c>
      <c r="C190" s="62">
        <f t="shared" ca="1" si="18"/>
        <v>1</v>
      </c>
      <c r="D190" s="13">
        <f ca="1">D189+C190*(Prices!B190-Prices!B189)/Prices!B189</f>
        <v>-9.2260768566766668E-3</v>
      </c>
      <c r="E190" s="13">
        <f t="shared" ca="1" si="19"/>
        <v>9.150901459267563E-2</v>
      </c>
      <c r="F190" s="13">
        <f t="shared" ca="1" si="20"/>
        <v>8.2282937735998971E-2</v>
      </c>
      <c r="G190" s="21">
        <f ca="1">IF((Prices!B190-Prices!B189)*C190&gt;0,1,0)</f>
        <v>1</v>
      </c>
      <c r="H190" s="13">
        <f>ABS(Prices!B190-Prices!B189)/Prices!B189</f>
        <v>2.6466696074107753E-3</v>
      </c>
      <c r="I190" s="21"/>
      <c r="J190" s="4">
        <f t="shared" ca="1" si="21"/>
        <v>4.2819553608745752E-2</v>
      </c>
      <c r="K190" s="13"/>
      <c r="L190" s="13">
        <f ca="1">L189-O190*Prices!B190</f>
        <v>0.65575964219136096</v>
      </c>
      <c r="M190" s="4">
        <f t="shared" ca="1" si="22"/>
        <v>0.33090041569075057</v>
      </c>
      <c r="N190" s="13">
        <f ca="1">IF(Prices!B189&gt;OFFSET(Prices!B189,-$N$3,0),1,-1)</f>
        <v>-1</v>
      </c>
      <c r="O190" s="4">
        <f ca="1">IF(N190=1,O$3*L189/Prices!B189,-O$3*M189)</f>
        <v>-1.7415811352144768E-2</v>
      </c>
      <c r="P190" s="22"/>
      <c r="Q190" s="13">
        <f ca="1">Q189-T190*Prices!B190</f>
        <v>0.61431036955364193</v>
      </c>
      <c r="R190" s="4">
        <f t="shared" ca="1" si="23"/>
        <v>0.39821279221996975</v>
      </c>
      <c r="S190" s="13">
        <f ca="1">IF(Prices!D189&gt;OFFSET(Prices!D189,-S$3,0),1,-1)</f>
        <v>1</v>
      </c>
      <c r="T190" s="4">
        <f ca="1">IF(S190=1,T$3*Q189/Prices!B189,-T$3*R189)</f>
        <v>6.023536496089052E-2</v>
      </c>
      <c r="V190" s="13"/>
      <c r="W190" s="4"/>
      <c r="X190" s="4"/>
      <c r="Y190" s="4"/>
      <c r="Z190" s="4"/>
      <c r="AA190" s="4"/>
      <c r="AB190" s="4"/>
      <c r="AC190" s="4"/>
      <c r="AD190" s="4"/>
      <c r="AE190" s="52"/>
    </row>
    <row r="191" spans="1:31" x14ac:dyDescent="0.2">
      <c r="A191" s="7">
        <v>42701</v>
      </c>
      <c r="B191" s="13">
        <f ca="1">Prices!B190*(1+J191/(50*(ABS(O191)+ABS(T191)+0.0001)))</f>
        <v>1.1592026153778368</v>
      </c>
      <c r="C191" s="62">
        <f t="shared" ca="1" si="18"/>
        <v>1</v>
      </c>
      <c r="D191" s="13">
        <f ca="1">D190+C191*(Prices!B191-Prices!B190)/Prices!B190</f>
        <v>-2.0664704221393007E-2</v>
      </c>
      <c r="E191" s="13">
        <f t="shared" ca="1" si="19"/>
        <v>0.10294764195739198</v>
      </c>
      <c r="F191" s="13">
        <f t="shared" ca="1" si="20"/>
        <v>8.2282937735998971E-2</v>
      </c>
      <c r="G191" s="21">
        <f ca="1">IF((Prices!B191-Prices!B190)*C191&gt;0,1,0)</f>
        <v>0</v>
      </c>
      <c r="H191" s="13">
        <f>ABS(Prices!B191-Prices!B190)/Prices!B190</f>
        <v>1.1438627364716342E-2</v>
      </c>
      <c r="I191" s="21"/>
      <c r="J191" s="4">
        <f t="shared" ca="1" si="21"/>
        <v>8.290278844252727E-2</v>
      </c>
      <c r="K191" s="13"/>
      <c r="L191" s="13">
        <f ca="1">L190-O191*Prices!B191</f>
        <v>0.62334670959118521</v>
      </c>
      <c r="M191" s="4">
        <f t="shared" ca="1" si="22"/>
        <v>0.35975037795169912</v>
      </c>
      <c r="N191" s="13">
        <f ca="1">IF(Prices!B190&gt;OFFSET(Prices!B190,-$N$3,0),1,-1)</f>
        <v>1</v>
      </c>
      <c r="O191" s="4">
        <f ca="1">IF(N191=1,O$3*L190/Prices!B190,-O$3*M190)</f>
        <v>2.8849962260948568E-2</v>
      </c>
      <c r="P191" s="22"/>
      <c r="Q191" s="13">
        <f ca="1">Q190-T191*Prices!B191</f>
        <v>0.55358201933863826</v>
      </c>
      <c r="R191" s="4">
        <f t="shared" ca="1" si="23"/>
        <v>0.45226561840154844</v>
      </c>
      <c r="S191" s="13">
        <f ca="1">IF(Prices!D190&gt;OFFSET(Prices!D190,-S$3,0),1,-1)</f>
        <v>1</v>
      </c>
      <c r="T191" s="4">
        <f ca="1">IF(S191=1,T$3*Q190/Prices!B190,-T$3*R190)</f>
        <v>5.4052826181578702E-2</v>
      </c>
      <c r="V191" s="13"/>
      <c r="W191" s="4"/>
      <c r="X191" s="4"/>
      <c r="Y191" s="4"/>
      <c r="Z191" s="4"/>
      <c r="AA191" s="4"/>
      <c r="AB191" s="4"/>
      <c r="AC191" s="4"/>
      <c r="AD191" s="4"/>
      <c r="AE191" s="52"/>
    </row>
    <row r="192" spans="1:31" x14ac:dyDescent="0.2">
      <c r="A192" s="7">
        <v>42708</v>
      </c>
      <c r="B192" s="13">
        <f ca="1">Prices!B191*(1+J192/(50*(ABS(O192)+ABS(T192)+0.0001)))</f>
        <v>1.1339361520155851</v>
      </c>
      <c r="C192" s="62">
        <f t="shared" ca="1" si="18"/>
        <v>1</v>
      </c>
      <c r="D192" s="13">
        <f ca="1">D191+C192*(Prices!B192-Prices!B191)/Prices!B191</f>
        <v>-1.2565015747872662E-2</v>
      </c>
      <c r="E192" s="13">
        <f t="shared" ca="1" si="19"/>
        <v>9.4847953483871636E-2</v>
      </c>
      <c r="F192" s="13">
        <f t="shared" ca="1" si="20"/>
        <v>8.2282937735998971E-2</v>
      </c>
      <c r="G192" s="21">
        <f ca="1">IF((Prices!B192-Prices!B191)*C192&gt;0,1,0)</f>
        <v>1</v>
      </c>
      <c r="H192" s="13">
        <f>ABS(Prices!B192-Prices!B191)/Prices!B191</f>
        <v>8.0996884735203452E-3</v>
      </c>
      <c r="I192" s="21"/>
      <c r="J192" s="4">
        <f t="shared" ca="1" si="21"/>
        <v>3.128546902752749E-2</v>
      </c>
      <c r="K192" s="13"/>
      <c r="L192" s="13">
        <f ca="1">L191-O192*Prices!B192</f>
        <v>0.64371937349458996</v>
      </c>
      <c r="M192" s="4">
        <f t="shared" ca="1" si="22"/>
        <v>0.34176285905411419</v>
      </c>
      <c r="N192" s="13">
        <f ca="1">IF(Prices!B191&gt;OFFSET(Prices!B191,-$N$3,0),1,-1)</f>
        <v>-1</v>
      </c>
      <c r="O192" s="4">
        <f ca="1">IF(N192=1,O$3*L191/Prices!B191,-O$3*M191)</f>
        <v>-1.7987518897584955E-2</v>
      </c>
      <c r="P192" s="22"/>
      <c r="Q192" s="13">
        <f ca="1">Q191-T192*Prices!B192</f>
        <v>0.49777543321465589</v>
      </c>
      <c r="R192" s="4">
        <f t="shared" ca="1" si="23"/>
        <v>0.50153860632666092</v>
      </c>
      <c r="S192" s="13">
        <f ca="1">IF(Prices!D191&gt;OFFSET(Prices!D191,-S$3,0),1,-1)</f>
        <v>1</v>
      </c>
      <c r="T192" s="4">
        <f ca="1">IF(S192=1,T$3*Q191/Prices!B191,-T$3*R191)</f>
        <v>4.9272987925112442E-2</v>
      </c>
      <c r="V192" s="13"/>
      <c r="W192" s="4"/>
      <c r="X192" s="4"/>
      <c r="Y192" s="4"/>
      <c r="Z192" s="4"/>
      <c r="AA192" s="4"/>
      <c r="AB192" s="4"/>
      <c r="AC192" s="4"/>
      <c r="AD192" s="4"/>
      <c r="AE192" s="52"/>
    </row>
    <row r="193" spans="1:31" x14ac:dyDescent="0.2">
      <c r="A193" s="7">
        <v>42715</v>
      </c>
      <c r="B193" s="13">
        <f ca="1">Prices!B192*(1+J193/(50*(ABS(O193)+ABS(T193)+0.0001)))</f>
        <v>1.14255241619641</v>
      </c>
      <c r="C193" s="62">
        <f t="shared" ca="1" si="18"/>
        <v>1</v>
      </c>
      <c r="D193" s="13">
        <f ca="1">D192+C193*(Prices!B193-Prices!B192)/Prices!B192</f>
        <v>-1.4684033936112074E-2</v>
      </c>
      <c r="E193" s="13">
        <f t="shared" ca="1" si="19"/>
        <v>9.6966971672111046E-2</v>
      </c>
      <c r="F193" s="13">
        <f t="shared" ca="1" si="20"/>
        <v>8.2282937735998971E-2</v>
      </c>
      <c r="G193" s="21">
        <f ca="1">IF((Prices!B193-Prices!B192)*C193&gt;0,1,0)</f>
        <v>0</v>
      </c>
      <c r="H193" s="13">
        <f>ABS(Prices!B193-Prices!B192)/Prices!B192</f>
        <v>2.1190181882394118E-3</v>
      </c>
      <c r="I193" s="21"/>
      <c r="J193" s="4">
        <f t="shared" ca="1" si="21"/>
        <v>2.6861656907320414E-2</v>
      </c>
      <c r="K193" s="13"/>
      <c r="L193" s="13">
        <f ca="1">L192-O193*Prices!B193</f>
        <v>0.66303239265973801</v>
      </c>
      <c r="M193" s="4">
        <f t="shared" ca="1" si="22"/>
        <v>0.32467471610140847</v>
      </c>
      <c r="N193" s="13">
        <f ca="1">IF(Prices!B192&gt;OFFSET(Prices!B192,-$N$3,0),1,-1)</f>
        <v>-1</v>
      </c>
      <c r="O193" s="4">
        <f ca="1">IF(N193=1,O$3*L192/Prices!B192,-O$3*M192)</f>
        <v>-1.708814295270571E-2</v>
      </c>
      <c r="P193" s="22"/>
      <c r="Q193" s="13">
        <f ca="1">Q192-T193*Prices!B193</f>
        <v>0.44810336941285434</v>
      </c>
      <c r="R193" s="4">
        <f t="shared" ca="1" si="23"/>
        <v>0.54548840618668704</v>
      </c>
      <c r="S193" s="13">
        <f ca="1">IF(Prices!D192&gt;OFFSET(Prices!D192,-S$3,0),1,-1)</f>
        <v>1</v>
      </c>
      <c r="T193" s="4">
        <f ca="1">IF(S193=1,T$3*Q192/Prices!B192,-T$3*R192)</f>
        <v>4.3949799860026124E-2</v>
      </c>
      <c r="V193" s="13"/>
      <c r="W193" s="4"/>
      <c r="X193" s="4"/>
      <c r="Y193" s="4"/>
      <c r="Z193" s="4"/>
      <c r="AA193" s="4"/>
      <c r="AB193" s="4"/>
      <c r="AC193" s="4"/>
      <c r="AD193" s="4"/>
      <c r="AE193" s="52"/>
    </row>
    <row r="194" spans="1:31" x14ac:dyDescent="0.2">
      <c r="A194" s="7">
        <v>42722</v>
      </c>
      <c r="B194" s="13">
        <f ca="1">Prices!B193*(1+J194/(50*(ABS(O194)+ABS(T194)+0.0001)))</f>
        <v>1.1076278893600382</v>
      </c>
      <c r="C194" s="62">
        <f t="shared" ca="1" si="18"/>
        <v>0</v>
      </c>
      <c r="D194" s="13">
        <f ca="1">D193+C194*(Prices!B194-Prices!B193)/Prices!B193</f>
        <v>-1.4684033936112074E-2</v>
      </c>
      <c r="E194" s="13">
        <f t="shared" ca="1" si="19"/>
        <v>9.6966971672111046E-2</v>
      </c>
      <c r="F194" s="13">
        <f t="shared" ca="1" si="20"/>
        <v>8.2282937735998971E-2</v>
      </c>
      <c r="G194" s="21">
        <f ca="1">IF((Prices!B194-Prices!B193)*C194&gt;0,1,0)</f>
        <v>0</v>
      </c>
      <c r="H194" s="13">
        <f>ABS(Prices!B194-Prices!B193)/Prices!B193</f>
        <v>7.4323128649798125E-3</v>
      </c>
      <c r="I194" s="21"/>
      <c r="J194" s="4">
        <f t="shared" ca="1" si="21"/>
        <v>-7.0782576423739127E-2</v>
      </c>
      <c r="K194" s="13"/>
      <c r="L194" s="13">
        <f ca="1">L193-O194*Prices!B194</f>
        <v>0.68124339748586604</v>
      </c>
      <c r="M194" s="4">
        <f t="shared" ca="1" si="22"/>
        <v>0.30844098029633804</v>
      </c>
      <c r="N194" s="13">
        <f ca="1">IF(Prices!B193&gt;OFFSET(Prices!B193,-$N$3,0),1,-1)</f>
        <v>-1</v>
      </c>
      <c r="O194" s="4">
        <f ca="1">IF(N194=1,O$3*L193/Prices!B193,-O$3*M193)</f>
        <v>-1.6233735805070423E-2</v>
      </c>
      <c r="P194" s="22"/>
      <c r="Q194" s="13">
        <f ca="1">Q193-T194*Prices!B194</f>
        <v>0.50929625881887686</v>
      </c>
      <c r="R194" s="4">
        <f t="shared" ca="1" si="23"/>
        <v>0.49093956556801832</v>
      </c>
      <c r="S194" s="13">
        <f ca="1">IF(Prices!D193&gt;OFFSET(Prices!D193,-S$3,0),1,-1)</f>
        <v>-1</v>
      </c>
      <c r="T194" s="4">
        <f ca="1">IF(S194=1,T$3*Q193/Prices!B193,-T$3*R193)</f>
        <v>-5.4548840618668708E-2</v>
      </c>
      <c r="V194" s="13"/>
      <c r="W194" s="4"/>
      <c r="X194" s="4"/>
      <c r="Y194" s="4"/>
      <c r="Z194" s="4"/>
      <c r="AA194" s="4"/>
      <c r="AB194" s="4"/>
      <c r="AC194" s="4"/>
      <c r="AD194" s="4"/>
      <c r="AE194" s="52"/>
    </row>
    <row r="195" spans="1:31" x14ac:dyDescent="0.2">
      <c r="A195" s="7">
        <v>42729</v>
      </c>
      <c r="B195" s="13">
        <f ca="1">Prices!B194*(1+J195/(50*(ABS(O195)+ABS(T195)+0.0001)))</f>
        <v>1.0993987220472723</v>
      </c>
      <c r="C195" s="62">
        <f t="shared" ca="1" si="18"/>
        <v>0</v>
      </c>
      <c r="D195" s="13">
        <f ca="1">D194+C195*(Prices!B195-Prices!B194)/Prices!B194</f>
        <v>-1.4684033936112074E-2</v>
      </c>
      <c r="E195" s="13">
        <f t="shared" ca="1" si="19"/>
        <v>9.6966971672111046E-2</v>
      </c>
      <c r="F195" s="13">
        <f t="shared" ca="1" si="20"/>
        <v>8.2282937735998971E-2</v>
      </c>
      <c r="G195" s="21">
        <f ca="1">IF((Prices!B195-Prices!B194)*C195&gt;0,1,0)</f>
        <v>0</v>
      </c>
      <c r="H195" s="13">
        <f>ABS(Prices!B195-Prices!B194)/Prices!B194</f>
        <v>1.782848992690123E-4</v>
      </c>
      <c r="I195" s="21"/>
      <c r="J195" s="4">
        <f t="shared" ca="1" si="21"/>
        <v>-6.451600557161874E-2</v>
      </c>
      <c r="K195" s="13"/>
      <c r="L195" s="13">
        <f ca="1">L194-O195*Prices!B195</f>
        <v>0.69854076766088469</v>
      </c>
      <c r="M195" s="4">
        <f t="shared" ca="1" si="22"/>
        <v>0.29301893128152112</v>
      </c>
      <c r="N195" s="13">
        <f ca="1">IF(Prices!B194&gt;OFFSET(Prices!B194,-$N$3,0),1,-1)</f>
        <v>-1</v>
      </c>
      <c r="O195" s="4">
        <f ca="1">IF(N195=1,O$3*L194/Prices!B194,-O$3*M194)</f>
        <v>-1.5422049014816903E-2</v>
      </c>
      <c r="P195" s="22"/>
      <c r="Q195" s="13">
        <f ca="1">Q194-T195*Prices!B195</f>
        <v>0.56436004049298583</v>
      </c>
      <c r="R195" s="4">
        <f t="shared" ca="1" si="23"/>
        <v>0.4418456090112165</v>
      </c>
      <c r="S195" s="13">
        <f ca="1">IF(Prices!D194&gt;OFFSET(Prices!D194,-S$3,0),1,-1)</f>
        <v>-1</v>
      </c>
      <c r="T195" s="4">
        <f ca="1">IF(S195=1,T$3*Q194/Prices!B194,-T$3*R194)</f>
        <v>-4.9093956556801835E-2</v>
      </c>
      <c r="V195" s="13"/>
      <c r="W195" s="4"/>
      <c r="X195" s="4"/>
      <c r="Y195" s="4"/>
      <c r="Z195" s="4"/>
      <c r="AA195" s="4"/>
      <c r="AB195" s="4"/>
      <c r="AC195" s="4"/>
      <c r="AD195" s="4"/>
      <c r="AE195" s="52"/>
    </row>
    <row r="196" spans="1:31" x14ac:dyDescent="0.2">
      <c r="A196" s="7">
        <v>42736</v>
      </c>
      <c r="B196" s="13">
        <f ca="1">Prices!B195*(1+J196/(50*(ABS(O196)+ABS(T196)+0.0001)))</f>
        <v>1.0992060619442587</v>
      </c>
      <c r="C196" s="62">
        <f t="shared" ca="1" si="18"/>
        <v>0</v>
      </c>
      <c r="D196" s="13">
        <f ca="1">D195+C196*(Prices!B196-Prices!B195)/Prices!B195</f>
        <v>-1.4684033936112074E-2</v>
      </c>
      <c r="E196" s="13">
        <f t="shared" ca="1" si="19"/>
        <v>9.6966971672111046E-2</v>
      </c>
      <c r="F196" s="13">
        <f t="shared" ca="1" si="20"/>
        <v>8.2282937735998971E-2</v>
      </c>
      <c r="G196" s="21">
        <f ca="1">IF((Prices!B196-Prices!B195)*C196&gt;0,1,0)</f>
        <v>0</v>
      </c>
      <c r="H196" s="13">
        <f>ABS(Prices!B196-Prices!B195)/Prices!B195</f>
        <v>7.4001426533523307E-3</v>
      </c>
      <c r="I196" s="21"/>
      <c r="J196" s="4">
        <f t="shared" ca="1" si="21"/>
        <v>-5.8835507465197709E-2</v>
      </c>
      <c r="K196" s="13"/>
      <c r="L196" s="13">
        <f ca="1">L195-O196*Prices!B196</f>
        <v>0.71509487218363421</v>
      </c>
      <c r="M196" s="4">
        <f t="shared" ca="1" si="22"/>
        <v>0.27836798471744506</v>
      </c>
      <c r="N196" s="13">
        <f ca="1">IF(Prices!B195&gt;OFFSET(Prices!B195,-$N$3,0),1,-1)</f>
        <v>-1</v>
      </c>
      <c r="O196" s="4">
        <f ca="1">IF(N196=1,O$3*L195/Prices!B195,-O$3*M195)</f>
        <v>-1.4650946564076056E-2</v>
      </c>
      <c r="P196" s="22"/>
      <c r="Q196" s="13">
        <f ca="1">Q195-T196*Prices!B196</f>
        <v>0.61428417585516315</v>
      </c>
      <c r="R196" s="4">
        <f t="shared" ca="1" si="23"/>
        <v>0.39766104811009484</v>
      </c>
      <c r="S196" s="13">
        <f ca="1">IF(Prices!D195&gt;OFFSET(Prices!D195,-S$3,0),1,-1)</f>
        <v>-1</v>
      </c>
      <c r="T196" s="4">
        <f ca="1">IF(S196=1,T$3*Q195/Prices!B195,-T$3*R195)</f>
        <v>-4.4184560901121654E-2</v>
      </c>
      <c r="V196" s="13"/>
      <c r="W196" s="4"/>
      <c r="X196" s="4"/>
      <c r="Y196" s="4"/>
      <c r="Z196" s="4"/>
      <c r="AA196" s="4"/>
      <c r="AB196" s="4"/>
      <c r="AC196" s="4"/>
      <c r="AD196" s="4"/>
      <c r="AE196" s="52"/>
    </row>
    <row r="197" spans="1:31" x14ac:dyDescent="0.2">
      <c r="A197" s="7">
        <v>42743</v>
      </c>
      <c r="B197" s="13">
        <f ca="1">Prices!B196*(1+J197/(50*(ABS(O197)+ABS(T197)+0.0001)))</f>
        <v>1.1073440158192409</v>
      </c>
      <c r="C197" s="62">
        <f t="shared" ca="1" si="18"/>
        <v>0</v>
      </c>
      <c r="D197" s="13">
        <f ca="1">D196+C197*(Prices!B197-Prices!B196)/Prices!B196</f>
        <v>-1.4684033936112074E-2</v>
      </c>
      <c r="E197" s="13">
        <f t="shared" ca="1" si="19"/>
        <v>9.6966971672111046E-2</v>
      </c>
      <c r="F197" s="13">
        <f t="shared" ca="1" si="20"/>
        <v>8.2282937735998971E-2</v>
      </c>
      <c r="G197" s="21">
        <f ca="1">IF((Prices!B197-Prices!B196)*C197&gt;0,1,0)</f>
        <v>0</v>
      </c>
      <c r="H197" s="13">
        <f>ABS(Prices!B197-Prices!B196)/Prices!B196</f>
        <v>4.7791839985838122E-3</v>
      </c>
      <c r="I197" s="21"/>
      <c r="J197" s="4">
        <f t="shared" ca="1" si="21"/>
        <v>-5.3684504046881742E-2</v>
      </c>
      <c r="K197" s="13"/>
      <c r="L197" s="13">
        <f ca="1">L196-O197*Prices!B197</f>
        <v>0.73074611212437257</v>
      </c>
      <c r="M197" s="4">
        <f t="shared" ca="1" si="22"/>
        <v>0.26444958548157282</v>
      </c>
      <c r="N197" s="13">
        <f ca="1">IF(Prices!B196&gt;OFFSET(Prices!B196,-$N$3,0),1,-1)</f>
        <v>-1</v>
      </c>
      <c r="O197" s="4">
        <f ca="1">IF(N197=1,O$3*L196/Prices!B196,-O$3*M196)</f>
        <v>-1.3918399235872254E-2</v>
      </c>
      <c r="P197" s="22"/>
      <c r="Q197" s="13">
        <f ca="1">Q196-T197*Prices!B197</f>
        <v>0.65900116071514336</v>
      </c>
      <c r="R197" s="4">
        <f t="shared" ca="1" si="23"/>
        <v>0.35789494329908533</v>
      </c>
      <c r="S197" s="13">
        <f ca="1">IF(Prices!D196&gt;OFFSET(Prices!D196,-S$3,0),1,-1)</f>
        <v>-1</v>
      </c>
      <c r="T197" s="4">
        <f ca="1">IF(S197=1,T$3*Q196/Prices!B196,-T$3*R196)</f>
        <v>-3.9766104811009485E-2</v>
      </c>
      <c r="V197" s="13"/>
      <c r="W197" s="4"/>
      <c r="X197" s="4"/>
      <c r="Y197" s="4"/>
      <c r="Z197" s="4"/>
      <c r="AA197" s="4"/>
      <c r="AB197" s="4"/>
      <c r="AC197" s="4"/>
      <c r="AD197" s="4"/>
      <c r="AE197" s="52"/>
    </row>
    <row r="198" spans="1:31" x14ac:dyDescent="0.2">
      <c r="A198" s="7">
        <v>42750</v>
      </c>
      <c r="B198" s="13">
        <f ca="1">Prices!B197*(1+J198/(50*(ABS(O198)+ABS(T198)+0.0001)))</f>
        <v>1.1469653388233587</v>
      </c>
      <c r="C198" s="62">
        <f t="shared" ca="1" si="18"/>
        <v>1</v>
      </c>
      <c r="D198" s="13">
        <f ca="1">D197+C198*(Prices!B198-Prices!B197)/Prices!B197</f>
        <v>-2.3043304723128592E-2</v>
      </c>
      <c r="E198" s="13">
        <f t="shared" ca="1" si="19"/>
        <v>0.10532624245912756</v>
      </c>
      <c r="F198" s="13">
        <f t="shared" ca="1" si="20"/>
        <v>8.2282937735998971E-2</v>
      </c>
      <c r="G198" s="21">
        <f ca="1">IF((Prices!B198-Prices!B197)*C198&gt;0,1,0)</f>
        <v>0</v>
      </c>
      <c r="H198" s="13">
        <f>ABS(Prices!B198-Prices!B197)/Prices!B197</f>
        <v>8.3592707870165182E-3</v>
      </c>
      <c r="I198" s="21"/>
      <c r="J198" s="4">
        <f t="shared" ca="1" si="21"/>
        <v>9.1095973034889255E-2</v>
      </c>
      <c r="K198" s="13"/>
      <c r="L198" s="13">
        <f ca="1">L197-O198*Prices!B198</f>
        <v>0.6945142317495443</v>
      </c>
      <c r="M198" s="4">
        <f t="shared" ca="1" si="22"/>
        <v>0.29694163137416385</v>
      </c>
      <c r="N198" s="13">
        <f ca="1">IF(Prices!B197&gt;OFFSET(Prices!B197,-$N$3,0),1,-1)</f>
        <v>1</v>
      </c>
      <c r="O198" s="4">
        <f ca="1">IF(N198=1,O$3*L197/Prices!B197,-O$3*M197)</f>
        <v>3.249204589259104E-2</v>
      </c>
      <c r="P198" s="22"/>
      <c r="Q198" s="13">
        <f ca="1">Q197-T198*Prices!B198</f>
        <v>0.59365192155876667</v>
      </c>
      <c r="R198" s="4">
        <f t="shared" ca="1" si="23"/>
        <v>0.41649887044138356</v>
      </c>
      <c r="S198" s="13">
        <f ca="1">IF(Prices!D197&gt;OFFSET(Prices!D197,-S$3,0),1,-1)</f>
        <v>1</v>
      </c>
      <c r="T198" s="4">
        <f ca="1">IF(S198=1,T$3*Q197/Prices!B197,-T$3*R197)</f>
        <v>5.8603927142298215E-2</v>
      </c>
      <c r="V198" s="13"/>
      <c r="W198" s="4"/>
      <c r="X198" s="4"/>
      <c r="Y198" s="4"/>
      <c r="Z198" s="4"/>
      <c r="AA198" s="4"/>
      <c r="AB198" s="4"/>
      <c r="AC198" s="4"/>
      <c r="AD198" s="4"/>
      <c r="AE198" s="52"/>
    </row>
    <row r="199" spans="1:31" x14ac:dyDescent="0.2">
      <c r="A199" s="7">
        <v>42757</v>
      </c>
      <c r="B199" s="13">
        <f ca="1">Prices!B198*(1+J199/(50*(ABS(O199)+ABS(T199)+0.0001)))</f>
        <v>1.1276568505479194</v>
      </c>
      <c r="C199" s="62">
        <f t="shared" ca="1" si="18"/>
        <v>1</v>
      </c>
      <c r="D199" s="13">
        <f ca="1">D198+C199*(Prices!B199-Prices!B198)/Prices!B198</f>
        <v>-1.8828436101480377E-2</v>
      </c>
      <c r="E199" s="13">
        <f t="shared" ca="1" si="19"/>
        <v>0.10111137383747934</v>
      </c>
      <c r="F199" s="13">
        <f t="shared" ca="1" si="20"/>
        <v>8.2282937735998971E-2</v>
      </c>
      <c r="G199" s="21">
        <f ca="1">IF((Prices!B199-Prices!B198)*C199&gt;0,1,0)</f>
        <v>1</v>
      </c>
      <c r="H199" s="13">
        <f>ABS(Prices!B199-Prices!B198)/Prices!B198</f>
        <v>4.2148686216482165E-3</v>
      </c>
      <c r="I199" s="21"/>
      <c r="J199" s="4">
        <f t="shared" ca="1" si="21"/>
        <v>3.8390468566595073E-2</v>
      </c>
      <c r="K199" s="13"/>
      <c r="L199" s="13">
        <f ca="1">L198-O199*Prices!B199</f>
        <v>0.71113999369018377</v>
      </c>
      <c r="M199" s="4">
        <f t="shared" ca="1" si="22"/>
        <v>0.28209454980545567</v>
      </c>
      <c r="N199" s="13">
        <f ca="1">IF(Prices!B198&gt;OFFSET(Prices!B198,-$N$3,0),1,-1)</f>
        <v>-1</v>
      </c>
      <c r="O199" s="4">
        <f ca="1">IF(N199=1,O$3*L198/Prices!B198,-O$3*M198)</f>
        <v>-1.4847081568708193E-2</v>
      </c>
      <c r="P199" s="22"/>
      <c r="Q199" s="13">
        <f ca="1">Q198-T199*Prices!B199</f>
        <v>0.53403651291725407</v>
      </c>
      <c r="R199" s="4">
        <f t="shared" ca="1" si="23"/>
        <v>0.46973642057668685</v>
      </c>
      <c r="S199" s="13">
        <f ca="1">IF(Prices!D198&gt;OFFSET(Prices!D198,-S$3,0),1,-1)</f>
        <v>1</v>
      </c>
      <c r="T199" s="4">
        <f ca="1">IF(S199=1,T$3*Q198/Prices!B198,-T$3*R198)</f>
        <v>5.3237550135303263E-2</v>
      </c>
      <c r="V199" s="13"/>
      <c r="W199" s="4"/>
      <c r="X199" s="4"/>
      <c r="Y199" s="4"/>
      <c r="Z199" s="4"/>
      <c r="AA199" s="4"/>
      <c r="AB199" s="4"/>
      <c r="AC199" s="4"/>
      <c r="AD199" s="4"/>
      <c r="AE199" s="52"/>
    </row>
    <row r="200" spans="1:31" x14ac:dyDescent="0.2">
      <c r="A200" s="7">
        <v>42764</v>
      </c>
      <c r="B200" s="13">
        <f ca="1">Prices!B199*(1+J200/(50*(ABS(O200)+ABS(T200)+0.0001)))</f>
        <v>1.131952558944809</v>
      </c>
      <c r="C200" s="62">
        <f t="shared" ca="1" si="18"/>
        <v>1</v>
      </c>
      <c r="D200" s="13">
        <f ca="1">D199+C200*(Prices!B200-Prices!B199)/Prices!B199</f>
        <v>-1.5702877966099007E-2</v>
      </c>
      <c r="E200" s="13">
        <f t="shared" ca="1" si="19"/>
        <v>9.7985815702097981E-2</v>
      </c>
      <c r="F200" s="13">
        <f t="shared" ca="1" si="20"/>
        <v>8.2282937735998971E-2</v>
      </c>
      <c r="G200" s="21">
        <f ca="1">IF((Prices!B200-Prices!B199)*C200&gt;0,1,0)</f>
        <v>1</v>
      </c>
      <c r="H200" s="13">
        <f>ABS(Prices!B200-Prices!B199)/Prices!B199</f>
        <v>3.1255581353813707E-3</v>
      </c>
      <c r="I200" s="21"/>
      <c r="J200" s="4">
        <f t="shared" ca="1" si="21"/>
        <v>3.3585620153704192E-2</v>
      </c>
      <c r="K200" s="13"/>
      <c r="L200" s="13">
        <f ca="1">L199-O200*Prices!B200</f>
        <v>0.72698383408000722</v>
      </c>
      <c r="M200" s="4">
        <f t="shared" ca="1" si="22"/>
        <v>0.26798982231518287</v>
      </c>
      <c r="N200" s="13">
        <f ca="1">IF(Prices!B199&gt;OFFSET(Prices!B199,-$N$3,0),1,-1)</f>
        <v>-1</v>
      </c>
      <c r="O200" s="4">
        <f ca="1">IF(N200=1,O$3*L199/Prices!B199,-O$3*M199)</f>
        <v>-1.4104727490272785E-2</v>
      </c>
      <c r="P200" s="22"/>
      <c r="Q200" s="13">
        <f ca="1">Q199-T200*Prices!B200</f>
        <v>0.48046594540877474</v>
      </c>
      <c r="R200" s="4">
        <f t="shared" ca="1" si="23"/>
        <v>0.5174267682206638</v>
      </c>
      <c r="S200" s="13">
        <f ca="1">IF(Prices!D199&gt;OFFSET(Prices!D199,-S$3,0),1,-1)</f>
        <v>1</v>
      </c>
      <c r="T200" s="4">
        <f ca="1">IF(S200=1,T$3*Q199/Prices!B199,-T$3*R199)</f>
        <v>4.7690347643976977E-2</v>
      </c>
      <c r="V200" s="13"/>
      <c r="W200" s="4"/>
      <c r="X200" s="4"/>
      <c r="Y200" s="4"/>
      <c r="Z200" s="4"/>
      <c r="AA200" s="4"/>
      <c r="AB200" s="4"/>
      <c r="AC200" s="4"/>
      <c r="AD200" s="4"/>
      <c r="AE200" s="52"/>
    </row>
    <row r="201" spans="1:31" x14ac:dyDescent="0.2">
      <c r="A201" s="7">
        <v>42771</v>
      </c>
      <c r="B201" s="13">
        <f ca="1">Prices!B200*(1+J201/(50*(ABS(O201)+ABS(T201)+0.0001)))</f>
        <v>1.1457361377111202</v>
      </c>
      <c r="C201" s="62">
        <f t="shared" ca="1" si="18"/>
        <v>1</v>
      </c>
      <c r="D201" s="13">
        <f ca="1">D200+C201*(Prices!B201-Prices!B200)/Prices!B200</f>
        <v>-2.2379633952923597E-2</v>
      </c>
      <c r="E201" s="13">
        <f t="shared" ca="1" si="19"/>
        <v>0.10466257168892257</v>
      </c>
      <c r="F201" s="13">
        <f t="shared" ca="1" si="20"/>
        <v>8.2282937735998971E-2</v>
      </c>
      <c r="G201" s="21">
        <f ca="1">IF((Prices!B201-Prices!B200)*C201&gt;0,1,0)</f>
        <v>0</v>
      </c>
      <c r="H201" s="13">
        <f>ABS(Prices!B201-Prices!B200)/Prices!B200</f>
        <v>6.6767559868245903E-3</v>
      </c>
      <c r="I201" s="21"/>
      <c r="J201" s="4">
        <f t="shared" ca="1" si="21"/>
        <v>7.5132009476433587E-2</v>
      </c>
      <c r="K201" s="13"/>
      <c r="L201" s="13">
        <f ca="1">L200-O201*Prices!B201</f>
        <v>0.69087733705933274</v>
      </c>
      <c r="M201" s="4">
        <f t="shared" ca="1" si="22"/>
        <v>0.30034911342530513</v>
      </c>
      <c r="N201" s="13">
        <f ca="1">IF(Prices!B200&gt;OFFSET(Prices!B200,-$N$3,0),1,-1)</f>
        <v>1</v>
      </c>
      <c r="O201" s="4">
        <f ca="1">IF(N201=1,O$3*L200/Prices!B200,-O$3*M200)</f>
        <v>3.2359291110122285E-2</v>
      </c>
      <c r="P201" s="22"/>
      <c r="Q201" s="13">
        <f ca="1">Q200-T201*Prices!B201</f>
        <v>0.43274014625564461</v>
      </c>
      <c r="R201" s="4">
        <f t="shared" ca="1" si="23"/>
        <v>0.56019948658697505</v>
      </c>
      <c r="S201" s="13">
        <f ca="1">IF(Prices!D200&gt;OFFSET(Prices!D200,-S$3,0),1,-1)</f>
        <v>1</v>
      </c>
      <c r="T201" s="4">
        <f ca="1">IF(S201=1,T$3*Q200/Prices!B200,-T$3*R200)</f>
        <v>4.2772718366311295E-2</v>
      </c>
      <c r="V201" s="13"/>
      <c r="W201" s="4"/>
      <c r="X201" s="4"/>
      <c r="Y201" s="4"/>
      <c r="Z201" s="4"/>
      <c r="AA201" s="4"/>
      <c r="AB201" s="4"/>
      <c r="AC201" s="4"/>
      <c r="AD201" s="4"/>
      <c r="AE201" s="52"/>
    </row>
    <row r="202" spans="1:31" x14ac:dyDescent="0.2">
      <c r="A202" s="7">
        <v>42778</v>
      </c>
      <c r="B202" s="13">
        <f ca="1">Prices!B201*(1+J202/(50*(ABS(O202)+ABS(T202)+0.0001)))</f>
        <v>1.0935153702758909</v>
      </c>
      <c r="C202" s="62">
        <f t="shared" ca="1" si="18"/>
        <v>0</v>
      </c>
      <c r="D202" s="13">
        <f ca="1">D201+C202*(Prices!B202-Prices!B201)/Prices!B201</f>
        <v>-2.2379633952923597E-2</v>
      </c>
      <c r="E202" s="13">
        <f t="shared" ca="1" si="19"/>
        <v>0.10466257168892257</v>
      </c>
      <c r="F202" s="13">
        <f t="shared" ca="1" si="20"/>
        <v>8.2282937735998971E-2</v>
      </c>
      <c r="G202" s="21">
        <f ca="1">IF((Prices!B202-Prices!B201)*C202&gt;0,1,0)</f>
        <v>0</v>
      </c>
      <c r="H202" s="13">
        <f>ABS(Prices!B202-Prices!B201)/Prices!B201</f>
        <v>4.0329808209358048E-3</v>
      </c>
      <c r="I202" s="21"/>
      <c r="J202" s="4">
        <f t="shared" ca="1" si="21"/>
        <v>-7.1037404329962764E-2</v>
      </c>
      <c r="K202" s="13"/>
      <c r="L202" s="13">
        <f ca="1">L201-O202*Prices!B202</f>
        <v>0.70770139264785126</v>
      </c>
      <c r="M202" s="4">
        <f t="shared" ca="1" si="22"/>
        <v>0.28533165775403985</v>
      </c>
      <c r="N202" s="13">
        <f ca="1">IF(Prices!B201&gt;OFFSET(Prices!B201,-$N$3,0),1,-1)</f>
        <v>-1</v>
      </c>
      <c r="O202" s="4">
        <f ca="1">IF(N202=1,O$3*L201/Prices!B201,-O$3*M201)</f>
        <v>-1.5017455671265258E-2</v>
      </c>
      <c r="P202" s="22"/>
      <c r="Q202" s="13">
        <f ca="1">Q201-T202*Prices!B202</f>
        <v>0.49549929473798343</v>
      </c>
      <c r="R202" s="4">
        <f t="shared" ca="1" si="23"/>
        <v>0.50417953792827752</v>
      </c>
      <c r="S202" s="13">
        <f ca="1">IF(Prices!D201&gt;OFFSET(Prices!D201,-S$3,0),1,-1)</f>
        <v>-1</v>
      </c>
      <c r="T202" s="4">
        <f ca="1">IF(S202=1,T$3*Q201/Prices!B201,-T$3*R201)</f>
        <v>-5.6019948658697506E-2</v>
      </c>
      <c r="V202" s="13"/>
      <c r="W202" s="4"/>
      <c r="X202" s="4"/>
      <c r="Y202" s="4"/>
      <c r="Z202" s="4"/>
      <c r="AA202" s="4"/>
      <c r="AB202" s="4"/>
      <c r="AC202" s="4"/>
      <c r="AD202" s="4"/>
      <c r="AE202" s="52"/>
    </row>
    <row r="203" spans="1:31" x14ac:dyDescent="0.2">
      <c r="A203" s="7">
        <v>42785</v>
      </c>
      <c r="B203" s="13">
        <f ca="1">Prices!B202*(1+J203/(50*(ABS(O203)+ABS(T203)+0.0001)))</f>
        <v>1.0979285854136622</v>
      </c>
      <c r="C203" s="62">
        <f t="shared" ca="1" si="18"/>
        <v>0</v>
      </c>
      <c r="D203" s="13">
        <f ca="1">D202+C203*(Prices!B203-Prices!B202)/Prices!B202</f>
        <v>-2.2379633952923597E-2</v>
      </c>
      <c r="E203" s="13">
        <f t="shared" ca="1" si="19"/>
        <v>0.10466257168892257</v>
      </c>
      <c r="F203" s="13">
        <f t="shared" ca="1" si="20"/>
        <v>8.2282937735998971E-2</v>
      </c>
      <c r="G203" s="21">
        <f ca="1">IF((Prices!B203-Prices!B202)*C203&gt;0,1,0)</f>
        <v>0</v>
      </c>
      <c r="H203" s="13">
        <f>ABS(Prices!B203-Prices!B202)/Prices!B202</f>
        <v>3.0349013657056767E-3</v>
      </c>
      <c r="I203" s="21"/>
      <c r="J203" s="4">
        <f t="shared" ca="1" si="21"/>
        <v>-6.4684536680529744E-2</v>
      </c>
      <c r="K203" s="13"/>
      <c r="L203" s="13">
        <f ca="1">L202-O203*Prices!B203</f>
        <v>0.72363573907512557</v>
      </c>
      <c r="M203" s="4">
        <f t="shared" ca="1" si="22"/>
        <v>0.27106507486633785</v>
      </c>
      <c r="N203" s="13">
        <f ca="1">IF(Prices!B202&gt;OFFSET(Prices!B202,-$N$3,0),1,-1)</f>
        <v>-1</v>
      </c>
      <c r="O203" s="4">
        <f ca="1">IF(N203=1,O$3*L202/Prices!B202,-O$3*M202)</f>
        <v>-1.4266582887701993E-2</v>
      </c>
      <c r="P203" s="22"/>
      <c r="Q203" s="13">
        <f ca="1">Q202-T203*Prices!B203</f>
        <v>0.5518111073291927</v>
      </c>
      <c r="R203" s="4">
        <f t="shared" ca="1" si="23"/>
        <v>0.45376158413544976</v>
      </c>
      <c r="S203" s="13">
        <f ca="1">IF(Prices!D202&gt;OFFSET(Prices!D202,-S$3,0),1,-1)</f>
        <v>-1</v>
      </c>
      <c r="T203" s="4">
        <f ca="1">IF(S203=1,T$3*Q202/Prices!B202,-T$3*R202)</f>
        <v>-5.0417953792827756E-2</v>
      </c>
      <c r="V203" s="13"/>
      <c r="W203" s="4"/>
      <c r="X203" s="4"/>
      <c r="Y203" s="4"/>
      <c r="Z203" s="4"/>
      <c r="AA203" s="4"/>
      <c r="AB203" s="4"/>
      <c r="AC203" s="4"/>
      <c r="AD203" s="4"/>
      <c r="AE203" s="52"/>
    </row>
    <row r="204" spans="1:31" x14ac:dyDescent="0.2">
      <c r="A204" s="7">
        <v>42792</v>
      </c>
      <c r="B204" s="13">
        <f ca="1">Prices!B203*(1+J204/(50*(ABS(O204)+ABS(T204)+0.0001)))</f>
        <v>1.094599842152215</v>
      </c>
      <c r="C204" s="62">
        <f t="shared" ca="1" si="18"/>
        <v>0</v>
      </c>
      <c r="D204" s="13">
        <f ca="1">D203+C204*(Prices!B204-Prices!B203)/Prices!B203</f>
        <v>-2.2379633952923597E-2</v>
      </c>
      <c r="E204" s="13">
        <f t="shared" ca="1" si="19"/>
        <v>0.10466257168892257</v>
      </c>
      <c r="F204" s="13">
        <f t="shared" ca="1" si="20"/>
        <v>8.2282937735998971E-2</v>
      </c>
      <c r="G204" s="21">
        <f ca="1">IF((Prices!B204-Prices!B203)*C204&gt;0,1,0)</f>
        <v>0</v>
      </c>
      <c r="H204" s="13">
        <f>ABS(Prices!B204-Prices!B203)/Prices!B203</f>
        <v>1.4773032500671465E-2</v>
      </c>
      <c r="I204" s="21"/>
      <c r="J204" s="4">
        <f t="shared" ca="1" si="21"/>
        <v>-5.8929412156861871E-2</v>
      </c>
      <c r="K204" s="13"/>
      <c r="L204" s="13">
        <f ca="1">L203-O204*Prices!B204</f>
        <v>0.73899699686780096</v>
      </c>
      <c r="M204" s="4">
        <f t="shared" ca="1" si="22"/>
        <v>0.25751182112302096</v>
      </c>
      <c r="N204" s="13">
        <f ca="1">IF(Prices!B203&gt;OFFSET(Prices!B203,-$N$3,0),1,-1)</f>
        <v>-1</v>
      </c>
      <c r="O204" s="4">
        <f ca="1">IF(N204=1,O$3*L203/Prices!B203,-O$3*M203)</f>
        <v>-1.3553253743316894E-2</v>
      </c>
      <c r="P204" s="22"/>
      <c r="Q204" s="13">
        <f ca="1">Q203-T204*Prices!B204</f>
        <v>0.60324044527510456</v>
      </c>
      <c r="R204" s="4">
        <f t="shared" ca="1" si="23"/>
        <v>0.40838542572190478</v>
      </c>
      <c r="S204" s="13">
        <f ca="1">IF(Prices!D203&gt;OFFSET(Prices!D203,-S$3,0),1,-1)</f>
        <v>-1</v>
      </c>
      <c r="T204" s="4">
        <f ca="1">IF(S204=1,T$3*Q203/Prices!B203,-T$3*R203)</f>
        <v>-4.5376158413544976E-2</v>
      </c>
      <c r="V204" s="13"/>
      <c r="W204" s="4"/>
      <c r="X204" s="4"/>
      <c r="Y204" s="4"/>
      <c r="Z204" s="4"/>
      <c r="AA204" s="4"/>
      <c r="AB204" s="4"/>
      <c r="AC204" s="4"/>
      <c r="AD204" s="4"/>
      <c r="AE204" s="52"/>
    </row>
    <row r="205" spans="1:31" x14ac:dyDescent="0.2">
      <c r="A205" s="7">
        <v>42799</v>
      </c>
      <c r="B205" s="13">
        <f ca="1">Prices!B204*(1+J205/(50*(ABS(O205)+ABS(T205)+0.0001)))</f>
        <v>1.1308608033115841</v>
      </c>
      <c r="C205" s="62">
        <f t="shared" ca="1" si="18"/>
        <v>0</v>
      </c>
      <c r="D205" s="13">
        <f ca="1">D204+C205*(Prices!B205-Prices!B204)/Prices!B204</f>
        <v>-2.2379633952923597E-2</v>
      </c>
      <c r="E205" s="13">
        <f t="shared" ca="1" si="19"/>
        <v>0.10466257168892257</v>
      </c>
      <c r="F205" s="13">
        <f t="shared" ca="1" si="20"/>
        <v>8.2282937735998971E-2</v>
      </c>
      <c r="G205" s="21">
        <f ca="1">IF((Prices!B205-Prices!B204)*C205&gt;0,1,0)</f>
        <v>0</v>
      </c>
      <c r="H205" s="13">
        <f>ABS(Prices!B205-Prices!B204)/Prices!B204</f>
        <v>1.1116993118051831E-2</v>
      </c>
      <c r="I205" s="21"/>
      <c r="J205" s="4">
        <f t="shared" ca="1" si="21"/>
        <v>-8.2376515863160707E-3</v>
      </c>
      <c r="K205" s="13"/>
      <c r="L205" s="13">
        <f ca="1">L204-O205*Prices!B205</f>
        <v>0.70245791825083292</v>
      </c>
      <c r="M205" s="4">
        <f t="shared" ca="1" si="22"/>
        <v>0.29011271210889539</v>
      </c>
      <c r="N205" s="13">
        <f ca="1">IF(Prices!B204&gt;OFFSET(Prices!B204,-$N$3,0),1,-1)</f>
        <v>1</v>
      </c>
      <c r="O205" s="4">
        <f ca="1">IF(N205=1,O$3*L204/Prices!B204,-O$3*M204)</f>
        <v>3.260089098587441E-2</v>
      </c>
      <c r="P205" s="22"/>
      <c r="Q205" s="13">
        <f ca="1">Q204-T205*Prices!B205</f>
        <v>0.64901228379001563</v>
      </c>
      <c r="R205" s="4">
        <f t="shared" ca="1" si="23"/>
        <v>0.36754688314971429</v>
      </c>
      <c r="S205" s="13">
        <f ca="1">IF(Prices!D204&gt;OFFSET(Prices!D204,-S$3,0),1,-1)</f>
        <v>-1</v>
      </c>
      <c r="T205" s="4">
        <f ca="1">IF(S205=1,T$3*Q204/Prices!B204,-T$3*R204)</f>
        <v>-4.0838542572190481E-2</v>
      </c>
      <c r="V205" s="13"/>
      <c r="W205" s="4"/>
      <c r="X205" s="4"/>
      <c r="Y205" s="4"/>
      <c r="Z205" s="4"/>
      <c r="AA205" s="4"/>
      <c r="AB205" s="4"/>
      <c r="AC205" s="4"/>
      <c r="AD205" s="4"/>
      <c r="AE205" s="52"/>
    </row>
    <row r="206" spans="1:31" x14ac:dyDescent="0.2">
      <c r="A206" s="7">
        <v>42806</v>
      </c>
      <c r="B206" s="13">
        <f ca="1">Prices!B205*(1+J206/(50*(ABS(O206)+ABS(T206)+0.0001)))</f>
        <v>1.1431909103204203</v>
      </c>
      <c r="C206" s="62">
        <f t="shared" ca="1" si="18"/>
        <v>1</v>
      </c>
      <c r="D206" s="13">
        <f ca="1">D205+C206*(Prices!B206-Prices!B205)/Prices!B205</f>
        <v>-8.014894481117741E-3</v>
      </c>
      <c r="E206" s="13">
        <f t="shared" ca="1" si="19"/>
        <v>9.0297832217116708E-2</v>
      </c>
      <c r="F206" s="13">
        <f t="shared" ca="1" si="20"/>
        <v>8.2282937735998971E-2</v>
      </c>
      <c r="G206" s="21">
        <f ca="1">IF((Prices!B206-Prices!B205)*C206&gt;0,1,0)</f>
        <v>1</v>
      </c>
      <c r="H206" s="13">
        <f>ABS(Prices!B206-Prices!B205)/Prices!B205</f>
        <v>1.4364739471805856E-2</v>
      </c>
      <c r="I206" s="21"/>
      <c r="J206" s="4">
        <f t="shared" ca="1" si="21"/>
        <v>8.9243508468543203E-2</v>
      </c>
      <c r="K206" s="13"/>
      <c r="L206" s="13">
        <f ca="1">L205-O206*Prices!B206</f>
        <v>0.66683049108901227</v>
      </c>
      <c r="M206" s="4">
        <f t="shared" ca="1" si="22"/>
        <v>0.32145005678461064</v>
      </c>
      <c r="N206" s="13">
        <f ca="1">IF(Prices!B205&gt;OFFSET(Prices!B205,-$N$3,0),1,-1)</f>
        <v>1</v>
      </c>
      <c r="O206" s="4">
        <f ca="1">IF(N206=1,O$3*L205/Prices!B205,-O$3*M205)</f>
        <v>3.1337344675715244E-2</v>
      </c>
      <c r="P206" s="22"/>
      <c r="Q206" s="13">
        <f ca="1">Q205-T206*Prices!B206</f>
        <v>0.58317876617394959</v>
      </c>
      <c r="R206" s="4">
        <f t="shared" ca="1" si="23"/>
        <v>0.42545304694254227</v>
      </c>
      <c r="S206" s="13">
        <f ca="1">IF(Prices!D205&gt;OFFSET(Prices!D205,-S$3,0),1,-1)</f>
        <v>1</v>
      </c>
      <c r="T206" s="4">
        <f ca="1">IF(S206=1,T$3*Q205/Prices!B205,-T$3*R205)</f>
        <v>5.7906163792827953E-2</v>
      </c>
      <c r="V206" s="13"/>
      <c r="W206" s="4"/>
      <c r="X206" s="4"/>
      <c r="Y206" s="4"/>
      <c r="Z206" s="4"/>
      <c r="AA206" s="4"/>
      <c r="AB206" s="4"/>
      <c r="AC206" s="4"/>
      <c r="AD206" s="4"/>
      <c r="AE206" s="52"/>
    </row>
    <row r="207" spans="1:31" x14ac:dyDescent="0.2">
      <c r="A207" s="7">
        <v>42813</v>
      </c>
      <c r="B207" s="13">
        <f ca="1">Prices!B206*(1+J207/(50*(ABS(O207)+ABS(T207)+0.0001)))</f>
        <v>1.1327238671993749</v>
      </c>
      <c r="C207" s="62">
        <f t="shared" ca="1" si="18"/>
        <v>0</v>
      </c>
      <c r="D207" s="13">
        <f ca="1">D206+C207*(Prices!B207-Prices!B206)/Prices!B206</f>
        <v>-8.014894481117741E-3</v>
      </c>
      <c r="E207" s="13">
        <f t="shared" ca="1" si="19"/>
        <v>9.0297832217116708E-2</v>
      </c>
      <c r="F207" s="13">
        <f t="shared" ca="1" si="20"/>
        <v>8.2282937735998971E-2</v>
      </c>
      <c r="G207" s="21">
        <f ca="1">IF((Prices!B207-Prices!B206)*C207&gt;0,1,0)</f>
        <v>0</v>
      </c>
      <c r="H207" s="13">
        <f>ABS(Prices!B207-Prices!B206)/Prices!B206</f>
        <v>3.5183393438293248E-4</v>
      </c>
      <c r="I207" s="21"/>
      <c r="J207" s="4">
        <f t="shared" ca="1" si="21"/>
        <v>-1.3218605288457225E-2</v>
      </c>
      <c r="K207" s="13"/>
      <c r="L207" s="13">
        <f ca="1">L206-O207*Prices!B207</f>
        <v>0.63347723585479931</v>
      </c>
      <c r="M207" s="4">
        <f t="shared" ca="1" si="22"/>
        <v>0.35077675619040766</v>
      </c>
      <c r="N207" s="13">
        <f ca="1">IF(Prices!B206&gt;OFFSET(Prices!B206,-$N$3,0),1,-1)</f>
        <v>1</v>
      </c>
      <c r="O207" s="4">
        <f ca="1">IF(N207=1,O$3*L206/Prices!B206,-O$3*M206)</f>
        <v>2.9326699405797005E-2</v>
      </c>
      <c r="P207" s="22"/>
      <c r="Q207" s="13">
        <f ca="1">Q206-T207*Prices!B207</f>
        <v>0.6315655412027249</v>
      </c>
      <c r="R207" s="4">
        <f t="shared" ca="1" si="23"/>
        <v>0.38290774224828805</v>
      </c>
      <c r="S207" s="13">
        <f ca="1">IF(Prices!D206&gt;OFFSET(Prices!D206,-S$3,0),1,-1)</f>
        <v>-1</v>
      </c>
      <c r="T207" s="4">
        <f ca="1">IF(S207=1,T$3*Q206/Prices!B206,-T$3*R206)</f>
        <v>-4.254530469425423E-2</v>
      </c>
      <c r="V207" s="13"/>
      <c r="W207" s="4"/>
      <c r="X207" s="4"/>
      <c r="Y207" s="4"/>
      <c r="Z207" s="4"/>
      <c r="AA207" s="4"/>
      <c r="AB207" s="4"/>
      <c r="AC207" s="4"/>
      <c r="AD207" s="4"/>
      <c r="AE207" s="52"/>
    </row>
    <row r="208" spans="1:31" x14ac:dyDescent="0.2">
      <c r="A208" s="7">
        <v>42820</v>
      </c>
      <c r="B208" s="13">
        <f ca="1">Prices!B207*(1+J208/(50*(ABS(O208)+ABS(T208)+0.0001)))</f>
        <v>1.133714828503871</v>
      </c>
      <c r="C208" s="62">
        <f t="shared" ca="1" si="18"/>
        <v>0</v>
      </c>
      <c r="D208" s="13">
        <f ca="1">D207+C208*(Prices!B208-Prices!B207)/Prices!B207</f>
        <v>-8.014894481117741E-3</v>
      </c>
      <c r="E208" s="13">
        <f t="shared" ca="1" si="19"/>
        <v>9.0297832217116708E-2</v>
      </c>
      <c r="F208" s="13">
        <f t="shared" ca="1" si="20"/>
        <v>8.2282937735998971E-2</v>
      </c>
      <c r="G208" s="21">
        <f ca="1">IF((Prices!B208-Prices!B207)*C208&gt;0,1,0)</f>
        <v>0</v>
      </c>
      <c r="H208" s="13">
        <f>ABS(Prices!B208-Prices!B207)/Prices!B207</f>
        <v>1.3013277059702739E-2</v>
      </c>
      <c r="I208" s="21"/>
      <c r="J208" s="4">
        <f t="shared" ca="1" si="21"/>
        <v>-1.0440724288365281E-2</v>
      </c>
      <c r="K208" s="13"/>
      <c r="L208" s="13">
        <f ca="1">L207-O208*Prices!B208</f>
        <v>0.60221555480111899</v>
      </c>
      <c r="M208" s="4">
        <f t="shared" ca="1" si="22"/>
        <v>0.37862680612687116</v>
      </c>
      <c r="N208" s="13">
        <f ca="1">IF(Prices!B207&gt;OFFSET(Prices!B207,-$N$3,0),1,-1)</f>
        <v>1</v>
      </c>
      <c r="O208" s="4">
        <f ca="1">IF(N208=1,O$3*L207/Prices!B207,-O$3*M207)</f>
        <v>2.7850049936463527E-2</v>
      </c>
      <c r="P208" s="22"/>
      <c r="Q208" s="13">
        <f ca="1">Q207-T208*Prices!B208</f>
        <v>0.67454693527009524</v>
      </c>
      <c r="R208" s="4">
        <f t="shared" ca="1" si="23"/>
        <v>0.34461696802345926</v>
      </c>
      <c r="S208" s="13">
        <f ca="1">IF(Prices!D207&gt;OFFSET(Prices!D207,-S$3,0),1,-1)</f>
        <v>-1</v>
      </c>
      <c r="T208" s="4">
        <f ca="1">IF(S208=1,T$3*Q207/Prices!B207,-T$3*R207)</f>
        <v>-3.8290774224828808E-2</v>
      </c>
      <c r="V208" s="13"/>
      <c r="W208" s="4"/>
      <c r="X208" s="4"/>
      <c r="Y208" s="4"/>
      <c r="Z208" s="4"/>
      <c r="AA208" s="4"/>
      <c r="AB208" s="4"/>
      <c r="AC208" s="4"/>
      <c r="AD208" s="4"/>
      <c r="AE208" s="52"/>
    </row>
    <row r="209" spans="1:31" x14ac:dyDescent="0.2">
      <c r="A209" s="7">
        <v>42827</v>
      </c>
      <c r="B209" s="13">
        <f ca="1">Prices!B208*(1+J209/(50*(ABS(O209)+ABS(T209)+0.0001)))</f>
        <v>1.1197070455673714</v>
      </c>
      <c r="C209" s="62">
        <f t="shared" ca="1" si="18"/>
        <v>0</v>
      </c>
      <c r="D209" s="13">
        <f ca="1">D208+C209*(Prices!B209-Prices!B208)/Prices!B208</f>
        <v>-8.014894481117741E-3</v>
      </c>
      <c r="E209" s="13">
        <f t="shared" ca="1" si="19"/>
        <v>9.0297832217116708E-2</v>
      </c>
      <c r="F209" s="13">
        <f t="shared" ca="1" si="20"/>
        <v>8.2282937735998971E-2</v>
      </c>
      <c r="G209" s="21">
        <f ca="1">IF((Prices!B209-Prices!B208)*C209&gt;0,1,0)</f>
        <v>0</v>
      </c>
      <c r="H209" s="13">
        <f>ABS(Prices!B209-Prices!B208)/Prices!B208</f>
        <v>4.0089086859687734E-3</v>
      </c>
      <c r="I209" s="21"/>
      <c r="J209" s="4">
        <f t="shared" ca="1" si="21"/>
        <v>-7.6369504860377274E-3</v>
      </c>
      <c r="K209" s="13"/>
      <c r="L209" s="13">
        <f ca="1">L208-O209*Prices!B209</f>
        <v>0.5719840657026396</v>
      </c>
      <c r="M209" s="4">
        <f t="shared" ca="1" si="22"/>
        <v>0.40545155244317937</v>
      </c>
      <c r="N209" s="13">
        <f ca="1">IF(Prices!B208&gt;OFFSET(Prices!B208,-$N$3,0),1,-1)</f>
        <v>1</v>
      </c>
      <c r="O209" s="4">
        <f ca="1">IF(N209=1,O$3*L208/Prices!B208,-O$3*M208)</f>
        <v>2.6824746316308198E-2</v>
      </c>
      <c r="P209" s="22"/>
      <c r="Q209" s="13">
        <f ca="1">Q208-T209*Prices!B209</f>
        <v>0.71338526756633913</v>
      </c>
      <c r="R209" s="4">
        <f t="shared" ca="1" si="23"/>
        <v>0.3101552712211133</v>
      </c>
      <c r="S209" s="13">
        <f ca="1">IF(Prices!D208&gt;OFFSET(Prices!D208,-S$3,0),1,-1)</f>
        <v>-1</v>
      </c>
      <c r="T209" s="4">
        <f ca="1">IF(S209=1,T$3*Q208/Prices!B208,-T$3*R208)</f>
        <v>-3.4461696802345926E-2</v>
      </c>
      <c r="V209" s="13"/>
      <c r="W209" s="4"/>
      <c r="X209" s="4"/>
      <c r="Y209" s="4"/>
      <c r="Z209" s="4"/>
      <c r="AA209" s="4"/>
      <c r="AB209" s="4"/>
      <c r="AC209" s="4"/>
      <c r="AD209" s="4"/>
      <c r="AE209" s="52"/>
    </row>
    <row r="210" spans="1:31" x14ac:dyDescent="0.2">
      <c r="A210" s="7">
        <v>42834</v>
      </c>
      <c r="B210" s="13">
        <f ca="1">Prices!B209*(1+J210/(50*(ABS(O210)+ABS(T210)+0.0001)))</f>
        <v>1.1247500163096495</v>
      </c>
      <c r="C210" s="62">
        <f t="shared" ca="1" si="18"/>
        <v>0</v>
      </c>
      <c r="D210" s="13">
        <f ca="1">D209+C210*(Prices!B210-Prices!B209)/Prices!B209</f>
        <v>-8.014894481117741E-3</v>
      </c>
      <c r="E210" s="13">
        <f t="shared" ca="1" si="19"/>
        <v>9.0297832217116708E-2</v>
      </c>
      <c r="F210" s="13">
        <f t="shared" ca="1" si="20"/>
        <v>8.2282937735998971E-2</v>
      </c>
      <c r="G210" s="21">
        <f ca="1">IF((Prices!B210-Prices!B209)*C210&gt;0,1,0)</f>
        <v>0</v>
      </c>
      <c r="H210" s="13">
        <f>ABS(Prices!B210-Prices!B209)/Prices!B209</f>
        <v>4.3478260869564368E-3</v>
      </c>
      <c r="I210" s="21"/>
      <c r="J210" s="4">
        <f t="shared" ca="1" si="21"/>
        <v>-5.639126691648174E-3</v>
      </c>
      <c r="K210" s="13"/>
      <c r="L210" s="13">
        <f ca="1">L209-O210*Prices!B210</f>
        <v>0.54350920677961689</v>
      </c>
      <c r="M210" s="4">
        <f t="shared" ca="1" si="22"/>
        <v>0.43082795287364251</v>
      </c>
      <c r="N210" s="13">
        <f ca="1">IF(Prices!B209&gt;OFFSET(Prices!B209,-$N$3,0),1,-1)</f>
        <v>1</v>
      </c>
      <c r="O210" s="4">
        <f ca="1">IF(N210=1,O$3*L209/Prices!B209,-O$3*M209)</f>
        <v>2.5376400430463159E-2</v>
      </c>
      <c r="P210" s="22"/>
      <c r="Q210" s="13">
        <f ca="1">Q209-T210*Prices!B210</f>
        <v>0.74818779055006024</v>
      </c>
      <c r="R210" s="4">
        <f t="shared" ca="1" si="23"/>
        <v>0.279139744099002</v>
      </c>
      <c r="S210" s="13">
        <f ca="1">IF(Prices!D209&gt;OFFSET(Prices!D209,-S$3,0),1,-1)</f>
        <v>-1</v>
      </c>
      <c r="T210" s="4">
        <f ca="1">IF(S210=1,T$3*Q209/Prices!B209,-T$3*R209)</f>
        <v>-3.1015527122111333E-2</v>
      </c>
      <c r="V210" s="13"/>
      <c r="W210" s="4"/>
      <c r="X210" s="4"/>
      <c r="Y210" s="4"/>
      <c r="Z210" s="4"/>
      <c r="AA210" s="4"/>
      <c r="AB210" s="4"/>
      <c r="AC210" s="4"/>
      <c r="AD210" s="4"/>
      <c r="AE210" s="52"/>
    </row>
    <row r="211" spans="1:31" x14ac:dyDescent="0.2">
      <c r="A211" s="7">
        <v>42841</v>
      </c>
      <c r="B211" s="13">
        <f ca="1">Prices!B210*(1+J211/(50*(ABS(O211)+ABS(T211)+0.0001)))</f>
        <v>1.09970328671478</v>
      </c>
      <c r="C211" s="62">
        <f t="shared" ref="C211:C274" ca="1" si="24">IF(J211&gt;0,1,IF(J211&lt;0,0,0))</f>
        <v>0</v>
      </c>
      <c r="D211" s="13">
        <f ca="1">D210+C211*(Prices!B211-Prices!B210)/Prices!B210</f>
        <v>-8.014894481117741E-3</v>
      </c>
      <c r="E211" s="13">
        <f t="shared" ref="E211:E274" ca="1" si="25">F211-D211</f>
        <v>9.0297832217116708E-2</v>
      </c>
      <c r="F211" s="13">
        <f t="shared" ref="F211:F274" ca="1" si="26">MAX(F210,D211)</f>
        <v>8.2282937735998971E-2</v>
      </c>
      <c r="G211" s="21">
        <f ca="1">IF((Prices!B211-Prices!B210)*C211&gt;0,1,0)</f>
        <v>0</v>
      </c>
      <c r="H211" s="13">
        <f>ABS(Prices!B211-Prices!B210)/Prices!B210</f>
        <v>8.2880313697532172E-3</v>
      </c>
      <c r="I211" s="21"/>
      <c r="J211" s="4">
        <f t="shared" ref="J211:J274" ca="1" si="27">O211+T211</f>
        <v>-4.945537205358233E-2</v>
      </c>
      <c r="K211" s="13"/>
      <c r="L211" s="13">
        <f ca="1">L210-O211*Prices!B211</f>
        <v>0.56748047407750635</v>
      </c>
      <c r="M211" s="4">
        <f t="shared" ref="M211:M274" ca="1" si="28">M210+O211</f>
        <v>0.40928655522996038</v>
      </c>
      <c r="N211" s="13">
        <f ca="1">IF(Prices!B210&gt;OFFSET(Prices!B210,-$N$3,0),1,-1)</f>
        <v>-1</v>
      </c>
      <c r="O211" s="4">
        <f ca="1">IF(N211=1,O$3*L210/Prices!B210,-O$3*M210)</f>
        <v>-2.1541397643682125E-2</v>
      </c>
      <c r="P211" s="22"/>
      <c r="Q211" s="13">
        <f ca="1">Q210-T211*Prices!B211</f>
        <v>0.77925046127339714</v>
      </c>
      <c r="R211" s="4">
        <f t="shared" ref="R211:R274" ca="1" si="29">R210+T211</f>
        <v>0.25122576968910182</v>
      </c>
      <c r="S211" s="13">
        <f ca="1">IF(Prices!D210&gt;OFFSET(Prices!D210,-S$3,0),1,-1)</f>
        <v>-1</v>
      </c>
      <c r="T211" s="4">
        <f ca="1">IF(S211=1,T$3*Q210/Prices!B210,-T$3*R210)</f>
        <v>-2.7913974409900202E-2</v>
      </c>
      <c r="V211" s="13"/>
      <c r="W211" s="4"/>
      <c r="X211" s="4"/>
      <c r="Y211" s="4"/>
      <c r="Z211" s="4"/>
      <c r="AA211" s="4"/>
      <c r="AB211" s="4"/>
      <c r="AC211" s="4"/>
      <c r="AD211" s="4"/>
      <c r="AE211" s="52"/>
    </row>
    <row r="212" spans="1:31" x14ac:dyDescent="0.2">
      <c r="A212" s="7">
        <v>42848</v>
      </c>
      <c r="B212" s="13">
        <f ca="1">Prices!B211*(1+J212/(50*(ABS(O212)+ABS(T212)+0.0001)))</f>
        <v>1.0905927141777962</v>
      </c>
      <c r="C212" s="62">
        <f t="shared" ca="1" si="24"/>
        <v>0</v>
      </c>
      <c r="D212" s="13">
        <f ca="1">D211+C212*(Prices!B212-Prices!B211)/Prices!B211</f>
        <v>-8.014894481117741E-3</v>
      </c>
      <c r="E212" s="13">
        <f t="shared" ca="1" si="25"/>
        <v>9.0297832217116708E-2</v>
      </c>
      <c r="F212" s="13">
        <f t="shared" ca="1" si="26"/>
        <v>8.2282937735998971E-2</v>
      </c>
      <c r="G212" s="21">
        <f ca="1">IF((Prices!B212-Prices!B211)*C212&gt;0,1,0)</f>
        <v>0</v>
      </c>
      <c r="H212" s="13">
        <f>ABS(Prices!B212-Prices!B211)/Prices!B211</f>
        <v>1.7972681524083408E-3</v>
      </c>
      <c r="I212" s="21"/>
      <c r="J212" s="4">
        <f t="shared" ca="1" si="27"/>
        <v>-4.5586904730408204E-2</v>
      </c>
      <c r="K212" s="13"/>
      <c r="L212" s="13">
        <f ca="1">L211-O212*Prices!B212</f>
        <v>0.5902122493549784</v>
      </c>
      <c r="M212" s="4">
        <f t="shared" ca="1" si="28"/>
        <v>0.38882222746846234</v>
      </c>
      <c r="N212" s="13">
        <f ca="1">IF(Prices!B211&gt;OFFSET(Prices!B211,-$N$3,0),1,-1)</f>
        <v>-1</v>
      </c>
      <c r="O212" s="4">
        <f ca="1">IF(N212=1,O$3*L211/Prices!B211,-O$3*M211)</f>
        <v>-2.0464327761498022E-2</v>
      </c>
      <c r="P212" s="22"/>
      <c r="Q212" s="13">
        <f ca="1">Q211-T212*Prices!B212</f>
        <v>0.8071566197704626</v>
      </c>
      <c r="R212" s="4">
        <f t="shared" ca="1" si="29"/>
        <v>0.22610319272019164</v>
      </c>
      <c r="S212" s="13">
        <f ca="1">IF(Prices!D211&gt;OFFSET(Prices!D211,-S$3,0),1,-1)</f>
        <v>-1</v>
      </c>
      <c r="T212" s="4">
        <f ca="1">IF(S212=1,T$3*Q211/Prices!B211,-T$3*R211)</f>
        <v>-2.5122576968910182E-2</v>
      </c>
      <c r="V212" s="13"/>
      <c r="W212" s="4"/>
      <c r="X212" s="4"/>
      <c r="Y212" s="4"/>
      <c r="Z212" s="4"/>
      <c r="AA212" s="4"/>
      <c r="AB212" s="4"/>
      <c r="AC212" s="4"/>
      <c r="AD212" s="4"/>
      <c r="AE212" s="52"/>
    </row>
    <row r="213" spans="1:31" x14ac:dyDescent="0.2">
      <c r="A213" s="7">
        <v>42855</v>
      </c>
      <c r="B213" s="13">
        <f ca="1">Prices!B212*(1+J213/(50*(ABS(O213)+ABS(T213)+0.0001)))</f>
        <v>1.0886367052099057</v>
      </c>
      <c r="C213" s="62">
        <f t="shared" ca="1" si="24"/>
        <v>0</v>
      </c>
      <c r="D213" s="13">
        <f ca="1">D212+C213*(Prices!B213-Prices!B212)/Prices!B212</f>
        <v>-8.014894481117741E-3</v>
      </c>
      <c r="E213" s="13">
        <f t="shared" ca="1" si="25"/>
        <v>9.0297832217116708E-2</v>
      </c>
      <c r="F213" s="13">
        <f t="shared" ca="1" si="26"/>
        <v>8.2282937735998971E-2</v>
      </c>
      <c r="G213" s="21">
        <f ca="1">IF((Prices!B213-Prices!B212)*C213&gt;0,1,0)</f>
        <v>0</v>
      </c>
      <c r="H213" s="13">
        <f>ABS(Prices!B213-Prices!B212)/Prices!B212</f>
        <v>8.2823190493339013E-3</v>
      </c>
      <c r="I213" s="21"/>
      <c r="J213" s="4">
        <f t="shared" ca="1" si="27"/>
        <v>-4.2051430645442284E-2</v>
      </c>
      <c r="K213" s="13"/>
      <c r="L213" s="13">
        <f ca="1">L212-O213*Prices!B213</f>
        <v>0.61198629409321226</v>
      </c>
      <c r="M213" s="4">
        <f t="shared" ca="1" si="28"/>
        <v>0.36938111609503921</v>
      </c>
      <c r="N213" s="13">
        <f ca="1">IF(Prices!B212&gt;OFFSET(Prices!B212,-$N$3,0),1,-1)</f>
        <v>-1</v>
      </c>
      <c r="O213" s="4">
        <f ca="1">IF(N213=1,O$3*L212/Prices!B212,-O$3*M212)</f>
        <v>-1.9441111373423119E-2</v>
      </c>
      <c r="P213" s="22"/>
      <c r="Q213" s="13">
        <f ca="1">Q212-T213*Prices!B213</f>
        <v>0.83248017735512403</v>
      </c>
      <c r="R213" s="4">
        <f t="shared" ca="1" si="29"/>
        <v>0.20349287344817246</v>
      </c>
      <c r="S213" s="13">
        <f ca="1">IF(Prices!D212&gt;OFFSET(Prices!D212,-S$3,0),1,-1)</f>
        <v>-1</v>
      </c>
      <c r="T213" s="4">
        <f ca="1">IF(S213=1,T$3*Q212/Prices!B212,-T$3*R212)</f>
        <v>-2.2610319272019164E-2</v>
      </c>
      <c r="V213" s="13"/>
      <c r="W213" s="4"/>
      <c r="X213" s="4"/>
      <c r="Y213" s="4"/>
      <c r="Z213" s="4"/>
      <c r="AA213" s="4"/>
      <c r="AB213" s="4"/>
      <c r="AC213" s="4"/>
      <c r="AD213" s="4"/>
      <c r="AE213" s="52"/>
    </row>
    <row r="214" spans="1:31" x14ac:dyDescent="0.2">
      <c r="A214" s="7">
        <v>42862</v>
      </c>
      <c r="B214" s="13">
        <f ca="1">Prices!B213*(1+J214/(50*(ABS(O214)+ABS(T214)+0.0001)))</f>
        <v>1.0976575564070494</v>
      </c>
      <c r="C214" s="62">
        <f t="shared" ca="1" si="24"/>
        <v>0</v>
      </c>
      <c r="D214" s="13">
        <f ca="1">D213+C214*(Prices!B214-Prices!B213)/Prices!B213</f>
        <v>-8.014894481117741E-3</v>
      </c>
      <c r="E214" s="13">
        <f t="shared" ca="1" si="25"/>
        <v>9.0297832217116708E-2</v>
      </c>
      <c r="F214" s="13">
        <f t="shared" ca="1" si="26"/>
        <v>8.2282937735998971E-2</v>
      </c>
      <c r="G214" s="21">
        <f ca="1">IF((Prices!B214-Prices!B213)*C214&gt;0,1,0)</f>
        <v>0</v>
      </c>
      <c r="H214" s="13">
        <f>ABS(Prices!B214-Prices!B213)/Prices!B213</f>
        <v>9.8214285714286788E-3</v>
      </c>
      <c r="I214" s="21"/>
      <c r="J214" s="4">
        <f t="shared" ca="1" si="27"/>
        <v>-3.8818343149569209E-2</v>
      </c>
      <c r="K214" s="13"/>
      <c r="L214" s="13">
        <f ca="1">L213-O214*Prices!B214</f>
        <v>0.6324684769806822</v>
      </c>
      <c r="M214" s="4">
        <f t="shared" ca="1" si="28"/>
        <v>0.35091206029028726</v>
      </c>
      <c r="N214" s="13">
        <f ca="1">IF(Prices!B213&gt;OFFSET(Prices!B213,-$N$3,0),1,-1)</f>
        <v>-1</v>
      </c>
      <c r="O214" s="4">
        <f ca="1">IF(N214=1,O$3*L213/Prices!B213,-O$3*M213)</f>
        <v>-1.8469055804751961E-2</v>
      </c>
      <c r="P214" s="22"/>
      <c r="Q214" s="13">
        <f ca="1">Q213-T214*Prices!B214</f>
        <v>0.85504753702052638</v>
      </c>
      <c r="R214" s="4">
        <f t="shared" ca="1" si="29"/>
        <v>0.18314358610335521</v>
      </c>
      <c r="S214" s="13">
        <f ca="1">IF(Prices!D213&gt;OFFSET(Prices!D213,-S$3,0),1,-1)</f>
        <v>-1</v>
      </c>
      <c r="T214" s="4">
        <f ca="1">IF(S214=1,T$3*Q213/Prices!B213,-T$3*R213)</f>
        <v>-2.0349287344817248E-2</v>
      </c>
      <c r="V214" s="13"/>
      <c r="W214" s="4"/>
      <c r="X214" s="4"/>
      <c r="Y214" s="4"/>
      <c r="Z214" s="4"/>
      <c r="AA214" s="4"/>
      <c r="AB214" s="4"/>
      <c r="AC214" s="4"/>
      <c r="AD214" s="4"/>
      <c r="AE214" s="52"/>
    </row>
    <row r="215" spans="1:31" x14ac:dyDescent="0.2">
      <c r="A215" s="7">
        <v>42869</v>
      </c>
      <c r="B215" s="13">
        <f ca="1">Prices!B214*(1+J215/(50*(ABS(O215)+ABS(T215)+0.0001)))</f>
        <v>1.086881679709871</v>
      </c>
      <c r="C215" s="62">
        <f t="shared" ca="1" si="24"/>
        <v>0</v>
      </c>
      <c r="D215" s="13">
        <f ca="1">D214+C215*(Prices!B215-Prices!B214)/Prices!B214</f>
        <v>-8.014894481117741E-3</v>
      </c>
      <c r="E215" s="13">
        <f t="shared" ca="1" si="25"/>
        <v>9.0297832217116708E-2</v>
      </c>
      <c r="F215" s="13">
        <f t="shared" ca="1" si="26"/>
        <v>8.2282937735998971E-2</v>
      </c>
      <c r="G215" s="21">
        <f ca="1">IF((Prices!B215-Prices!B214)*C215&gt;0,1,0)</f>
        <v>0</v>
      </c>
      <c r="H215" s="13">
        <f>ABS(Prices!B215-Prices!B214)/Prices!B214</f>
        <v>4.869251577998261E-3</v>
      </c>
      <c r="I215" s="21"/>
      <c r="J215" s="4">
        <f t="shared" ca="1" si="27"/>
        <v>-3.585996162484989E-2</v>
      </c>
      <c r="K215" s="13"/>
      <c r="L215" s="13">
        <f ca="1">L214-O215*Prices!B215</f>
        <v>0.65202129698005706</v>
      </c>
      <c r="M215" s="4">
        <f t="shared" ca="1" si="28"/>
        <v>0.33336645727577291</v>
      </c>
      <c r="N215" s="13">
        <f ca="1">IF(Prices!B214&gt;OFFSET(Prices!B214,-$N$3,0),1,-1)</f>
        <v>-1</v>
      </c>
      <c r="O215" s="4">
        <f ca="1">IF(N215=1,O$3*L214/Prices!B214,-O$3*M214)</f>
        <v>-1.7545603014514365E-2</v>
      </c>
      <c r="P215" s="22"/>
      <c r="Q215" s="13">
        <f ca="1">Q214-T215*Prices!B215</f>
        <v>0.87545705825588427</v>
      </c>
      <c r="R215" s="4">
        <f t="shared" ca="1" si="29"/>
        <v>0.1648292274930197</v>
      </c>
      <c r="S215" s="13">
        <f ca="1">IF(Prices!D214&gt;OFFSET(Prices!D214,-S$3,0),1,-1)</f>
        <v>-1</v>
      </c>
      <c r="T215" s="4">
        <f ca="1">IF(S215=1,T$3*Q214/Prices!B214,-T$3*R214)</f>
        <v>-1.8314358610335521E-2</v>
      </c>
      <c r="V215" s="13"/>
      <c r="W215" s="4"/>
      <c r="X215" s="4"/>
      <c r="Y215" s="4"/>
      <c r="Z215" s="4"/>
      <c r="AA215" s="4"/>
      <c r="AB215" s="4"/>
      <c r="AC215" s="4"/>
      <c r="AD215" s="4"/>
      <c r="AE215" s="52"/>
    </row>
    <row r="216" spans="1:31" x14ac:dyDescent="0.2">
      <c r="A216" s="7">
        <v>42876</v>
      </c>
      <c r="B216" s="13">
        <f ca="1">Prices!B215*(1+J216/(50*(ABS(O216)+ABS(T216)+0.0001)))</f>
        <v>1.0921790290679012</v>
      </c>
      <c r="C216" s="62">
        <f t="shared" ca="1" si="24"/>
        <v>0</v>
      </c>
      <c r="D216" s="13">
        <f ca="1">D215+C216*(Prices!B216-Prices!B215)/Prices!B215</f>
        <v>-8.014894481117741E-3</v>
      </c>
      <c r="E216" s="13">
        <f t="shared" ca="1" si="25"/>
        <v>9.0297832217116708E-2</v>
      </c>
      <c r="F216" s="13">
        <f t="shared" ca="1" si="26"/>
        <v>8.2282937735998971E-2</v>
      </c>
      <c r="G216" s="21">
        <f ca="1">IF((Prices!B216-Prices!B215)*C216&gt;0,1,0)</f>
        <v>0</v>
      </c>
      <c r="H216" s="13">
        <f>ABS(Prices!B216-Prices!B215)/Prices!B215</f>
        <v>1.4536970567121313E-2</v>
      </c>
      <c r="I216" s="21"/>
      <c r="J216" s="4">
        <f t="shared" ca="1" si="27"/>
        <v>-3.3151245613090616E-2</v>
      </c>
      <c r="K216" s="13"/>
      <c r="L216" s="13">
        <f ca="1">L215-O216*Prices!B216</f>
        <v>0.6703264491490698</v>
      </c>
      <c r="M216" s="4">
        <f t="shared" ca="1" si="28"/>
        <v>0.31669813441198424</v>
      </c>
      <c r="N216" s="13">
        <f ca="1">IF(Prices!B215&gt;OFFSET(Prices!B215,-$N$3,0),1,-1)</f>
        <v>-1</v>
      </c>
      <c r="O216" s="4">
        <f ca="1">IF(N216=1,O$3*L215/Prices!B215,-O$3*M215)</f>
        <v>-1.6668322863788648E-2</v>
      </c>
      <c r="P216" s="22"/>
      <c r="Q216" s="13">
        <f ca="1">Q215-T216*Prices!B216</f>
        <v>0.89355860401916765</v>
      </c>
      <c r="R216" s="4">
        <f t="shared" ca="1" si="29"/>
        <v>0.14834630474371774</v>
      </c>
      <c r="S216" s="13">
        <f ca="1">IF(Prices!D215&gt;OFFSET(Prices!D215,-S$3,0),1,-1)</f>
        <v>-1</v>
      </c>
      <c r="T216" s="4">
        <f ca="1">IF(S216=1,T$3*Q215/Prices!B215,-T$3*R215)</f>
        <v>-1.6482922749301972E-2</v>
      </c>
      <c r="V216" s="13"/>
      <c r="W216" s="4"/>
      <c r="X216" s="4"/>
      <c r="Y216" s="4"/>
      <c r="Z216" s="4"/>
      <c r="AA216" s="4"/>
      <c r="AB216" s="4"/>
      <c r="AC216" s="4"/>
      <c r="AD216" s="4"/>
      <c r="AE216" s="52"/>
    </row>
    <row r="217" spans="1:31" x14ac:dyDescent="0.2">
      <c r="A217" s="7">
        <v>42883</v>
      </c>
      <c r="B217" s="13">
        <f ca="1">Prices!B216*(1+J217/(50*(ABS(O217)+ABS(T217)+0.0001)))</f>
        <v>1.0763073822891156</v>
      </c>
      <c r="C217" s="62">
        <f t="shared" ca="1" si="24"/>
        <v>0</v>
      </c>
      <c r="D217" s="13">
        <f ca="1">D216+C217*(Prices!B217-Prices!B216)/Prices!B216</f>
        <v>-8.014894481117741E-3</v>
      </c>
      <c r="E217" s="13">
        <f t="shared" ca="1" si="25"/>
        <v>9.0297832217116708E-2</v>
      </c>
      <c r="F217" s="13">
        <f t="shared" ca="1" si="26"/>
        <v>8.2282937735998971E-2</v>
      </c>
      <c r="G217" s="21">
        <f ca="1">IF((Prices!B217-Prices!B216)*C217&gt;0,1,0)</f>
        <v>0</v>
      </c>
      <c r="H217" s="13">
        <f>ABS(Prices!B217-Prices!B216)/Prices!B216</f>
        <v>4.2797304680385418E-3</v>
      </c>
      <c r="I217" s="21"/>
      <c r="J217" s="4">
        <f t="shared" ca="1" si="27"/>
        <v>-3.0669537194970987E-2</v>
      </c>
      <c r="K217" s="13"/>
      <c r="L217" s="13">
        <f ca="1">L216-O217*Prices!B217</f>
        <v>0.68779076777121873</v>
      </c>
      <c r="M217" s="4">
        <f t="shared" ca="1" si="28"/>
        <v>0.30086322769138502</v>
      </c>
      <c r="N217" s="13">
        <f ca="1">IF(Prices!B216&gt;OFFSET(Prices!B216,-$N$3,0),1,-1)</f>
        <v>-1</v>
      </c>
      <c r="O217" s="4">
        <f ca="1">IF(N217=1,O$3*L216/Prices!B216,-O$3*M216)</f>
        <v>-1.5834906720599212E-2</v>
      </c>
      <c r="P217" s="22"/>
      <c r="Q217" s="13">
        <f ca="1">Q216-T217*Prices!B217</f>
        <v>0.90991971796935223</v>
      </c>
      <c r="R217" s="4">
        <f t="shared" ca="1" si="29"/>
        <v>0.13351167426934596</v>
      </c>
      <c r="S217" s="13">
        <f ca="1">IF(Prices!D216&gt;OFFSET(Prices!D216,-S$3,0),1,-1)</f>
        <v>-1</v>
      </c>
      <c r="T217" s="4">
        <f ca="1">IF(S217=1,T$3*Q216/Prices!B216,-T$3*R216)</f>
        <v>-1.4834630474371774E-2</v>
      </c>
      <c r="V217" s="13"/>
      <c r="W217" s="4"/>
      <c r="X217" s="4"/>
      <c r="Y217" s="4"/>
      <c r="Z217" s="4"/>
      <c r="AA217" s="4"/>
      <c r="AB217" s="4"/>
      <c r="AC217" s="4"/>
      <c r="AD217" s="4"/>
      <c r="AE217" s="52"/>
    </row>
    <row r="218" spans="1:31" x14ac:dyDescent="0.2">
      <c r="A218" s="7">
        <v>42890</v>
      </c>
      <c r="B218" s="13">
        <f ca="1">Prices!B217*(1+J218/(50*(ABS(O218)+ABS(T218)+0.0001)))</f>
        <v>1.0809194118953491</v>
      </c>
      <c r="C218" s="62">
        <f t="shared" ca="1" si="24"/>
        <v>0</v>
      </c>
      <c r="D218" s="13">
        <f ca="1">D217+C218*(Prices!B218-Prices!B217)/Prices!B217</f>
        <v>-8.014894481117741E-3</v>
      </c>
      <c r="E218" s="13">
        <f t="shared" ca="1" si="25"/>
        <v>9.0297832217116708E-2</v>
      </c>
      <c r="F218" s="13">
        <f t="shared" ca="1" si="26"/>
        <v>8.2282937735998971E-2</v>
      </c>
      <c r="G218" s="21">
        <f ca="1">IF((Prices!B218-Prices!B217)*C218&gt;0,1,0)</f>
        <v>0</v>
      </c>
      <c r="H218" s="13">
        <f>ABS(Prices!B218-Prices!B217)/Prices!B217</f>
        <v>3.9894822740048595E-3</v>
      </c>
      <c r="I218" s="21"/>
      <c r="J218" s="4">
        <f t="shared" ca="1" si="27"/>
        <v>-2.8394328811503847E-2</v>
      </c>
      <c r="K218" s="13"/>
      <c r="L218" s="13">
        <f ca="1">L217-O218*Prices!B218</f>
        <v>0.7044480603723523</v>
      </c>
      <c r="M218" s="4">
        <f t="shared" ca="1" si="28"/>
        <v>0.28582006630681578</v>
      </c>
      <c r="N218" s="13">
        <f ca="1">IF(Prices!B217&gt;OFFSET(Prices!B217,-$N$3,0),1,-1)</f>
        <v>-1</v>
      </c>
      <c r="O218" s="4">
        <f ca="1">IF(N218=1,O$3*L217/Prices!B217,-O$3*M217)</f>
        <v>-1.5043161384569251E-2</v>
      </c>
      <c r="P218" s="22"/>
      <c r="Q218" s="13">
        <f ca="1">Q217-T218*Prices!B218</f>
        <v>0.92470346566119688</v>
      </c>
      <c r="R218" s="4">
        <f t="shared" ca="1" si="29"/>
        <v>0.12016050684241136</v>
      </c>
      <c r="S218" s="13">
        <f ca="1">IF(Prices!D217&gt;OFFSET(Prices!D217,-S$3,0),1,-1)</f>
        <v>-1</v>
      </c>
      <c r="T218" s="4">
        <f ca="1">IF(S218=1,T$3*Q217/Prices!B217,-T$3*R217)</f>
        <v>-1.3351167426934596E-2</v>
      </c>
      <c r="V218" s="13"/>
      <c r="W218" s="4"/>
      <c r="X218" s="4"/>
      <c r="Y218" s="4"/>
      <c r="Z218" s="4"/>
      <c r="AA218" s="4"/>
      <c r="AB218" s="4"/>
      <c r="AC218" s="4"/>
      <c r="AD218" s="4"/>
      <c r="AE218" s="52"/>
    </row>
    <row r="219" spans="1:31" x14ac:dyDescent="0.2">
      <c r="A219" s="7">
        <v>42897</v>
      </c>
      <c r="B219" s="13">
        <f ca="1">Prices!B218*(1+J219/(50*(ABS(O219)+ABS(T219)+0.0001)))</f>
        <v>1.085237863955443</v>
      </c>
      <c r="C219" s="62">
        <f t="shared" ca="1" si="24"/>
        <v>0</v>
      </c>
      <c r="D219" s="13">
        <f ca="1">D218+C219*(Prices!B219-Prices!B218)/Prices!B218</f>
        <v>-8.014894481117741E-3</v>
      </c>
      <c r="E219" s="13">
        <f t="shared" ca="1" si="25"/>
        <v>9.0297832217116708E-2</v>
      </c>
      <c r="F219" s="13">
        <f t="shared" ca="1" si="26"/>
        <v>8.2282937735998971E-2</v>
      </c>
      <c r="G219" s="21">
        <f ca="1">IF((Prices!B219-Prices!B218)*C219&gt;0,1,0)</f>
        <v>0</v>
      </c>
      <c r="H219" s="13">
        <f>ABS(Prices!B219-Prices!B218)/Prices!B218</f>
        <v>5.0573466991782256E-3</v>
      </c>
      <c r="I219" s="21"/>
      <c r="J219" s="4">
        <f t="shared" ca="1" si="27"/>
        <v>-2.6307053999581928E-2</v>
      </c>
      <c r="K219" s="13"/>
      <c r="L219" s="13">
        <f ca="1">L218-O219*Prices!B219</f>
        <v>0.72019245872486326</v>
      </c>
      <c r="M219" s="4">
        <f t="shared" ca="1" si="28"/>
        <v>0.271529062991475</v>
      </c>
      <c r="N219" s="13">
        <f ca="1">IF(Prices!B218&gt;OFFSET(Prices!B218,-$N$3,0),1,-1)</f>
        <v>-1</v>
      </c>
      <c r="O219" s="4">
        <f ca="1">IF(N219=1,O$3*L218/Prices!B218,-O$3*M218)</f>
        <v>-1.429100331534079E-2</v>
      </c>
      <c r="P219" s="22"/>
      <c r="Q219" s="13">
        <f ca="1">Q218-T219*Prices!B219</f>
        <v>0.93794154870002533</v>
      </c>
      <c r="R219" s="4">
        <f t="shared" ca="1" si="29"/>
        <v>0.10814445615817023</v>
      </c>
      <c r="S219" s="13">
        <f ca="1">IF(Prices!D218&gt;OFFSET(Prices!D218,-S$3,0),1,-1)</f>
        <v>-1</v>
      </c>
      <c r="T219" s="4">
        <f ca="1">IF(S219=1,T$3*Q218/Prices!B218,-T$3*R218)</f>
        <v>-1.2016050684241136E-2</v>
      </c>
      <c r="V219" s="13"/>
      <c r="W219" s="4"/>
      <c r="X219" s="4"/>
      <c r="Y219" s="4"/>
      <c r="Z219" s="4"/>
      <c r="AA219" s="4"/>
      <c r="AB219" s="4"/>
      <c r="AC219" s="4"/>
      <c r="AD219" s="4"/>
      <c r="AE219" s="52"/>
    </row>
    <row r="220" spans="1:31" x14ac:dyDescent="0.2">
      <c r="A220" s="7">
        <v>42904</v>
      </c>
      <c r="B220" s="13">
        <f ca="1">Prices!B219*(1+J220/(50*(ABS(O220)+ABS(T220)+0.0001)))</f>
        <v>1.0797559681151396</v>
      </c>
      <c r="C220" s="62">
        <f t="shared" ca="1" si="24"/>
        <v>0</v>
      </c>
      <c r="D220" s="13">
        <f ca="1">D219+C220*(Prices!B220-Prices!B219)/Prices!B219</f>
        <v>-8.014894481117741E-3</v>
      </c>
      <c r="E220" s="13">
        <f t="shared" ca="1" si="25"/>
        <v>9.0297832217116708E-2</v>
      </c>
      <c r="F220" s="13">
        <f t="shared" ca="1" si="26"/>
        <v>8.2282937735998971E-2</v>
      </c>
      <c r="G220" s="21">
        <f ca="1">IF((Prices!B220-Prices!B219)*C220&gt;0,1,0)</f>
        <v>0</v>
      </c>
      <c r="H220" s="13">
        <f>ABS(Prices!B220-Prices!B219)/Prices!B219</f>
        <v>6.9891985113913211E-3</v>
      </c>
      <c r="I220" s="21"/>
      <c r="J220" s="4">
        <f t="shared" ca="1" si="27"/>
        <v>-2.4390898765390773E-2</v>
      </c>
      <c r="K220" s="13"/>
      <c r="L220" s="13">
        <f ca="1">L219-O220*Prices!B220</f>
        <v>0.73504509847049693</v>
      </c>
      <c r="M220" s="4">
        <f t="shared" ca="1" si="28"/>
        <v>0.25795260984190127</v>
      </c>
      <c r="N220" s="13">
        <f ca="1">IF(Prices!B219&gt;OFFSET(Prices!B219,-$N$3,0),1,-1)</f>
        <v>-1</v>
      </c>
      <c r="O220" s="4">
        <f ca="1">IF(N220=1,O$3*L219/Prices!B219,-O$3*M219)</f>
        <v>-1.3576453149573751E-2</v>
      </c>
      <c r="P220" s="22"/>
      <c r="Q220" s="13">
        <f ca="1">Q219-T220*Prices!B220</f>
        <v>0.94977255220372914</v>
      </c>
      <c r="R220" s="4">
        <f t="shared" ca="1" si="29"/>
        <v>9.7330010542353199E-2</v>
      </c>
      <c r="S220" s="13">
        <f ca="1">IF(Prices!D219&gt;OFFSET(Prices!D219,-S$3,0),1,-1)</f>
        <v>-1</v>
      </c>
      <c r="T220" s="4">
        <f ca="1">IF(S220=1,T$3*Q219/Prices!B219,-T$3*R219)</f>
        <v>-1.0814445615817023E-2</v>
      </c>
      <c r="V220" s="13"/>
      <c r="W220" s="4"/>
      <c r="X220" s="4"/>
      <c r="Y220" s="4"/>
      <c r="Z220" s="4"/>
      <c r="AA220" s="4"/>
      <c r="AB220" s="4"/>
      <c r="AC220" s="4"/>
      <c r="AD220" s="4"/>
      <c r="AE220" s="52"/>
    </row>
    <row r="221" spans="1:31" x14ac:dyDescent="0.2">
      <c r="A221" s="7">
        <v>42911</v>
      </c>
      <c r="B221" s="13">
        <f ca="1">Prices!B220*(1+J221/(50*(ABS(O221)+ABS(T221)+0.0001)))</f>
        <v>1.0722162577742524</v>
      </c>
      <c r="C221" s="62">
        <f t="shared" ca="1" si="24"/>
        <v>0</v>
      </c>
      <c r="D221" s="13">
        <f ca="1">D220+C221*(Prices!B221-Prices!B220)/Prices!B220</f>
        <v>-8.014894481117741E-3</v>
      </c>
      <c r="E221" s="13">
        <f t="shared" ca="1" si="25"/>
        <v>9.0297832217116708E-2</v>
      </c>
      <c r="F221" s="13">
        <f t="shared" ca="1" si="26"/>
        <v>8.2282937735998971E-2</v>
      </c>
      <c r="G221" s="21">
        <f ca="1">IF((Prices!B221-Prices!B220)*C221&gt;0,1,0)</f>
        <v>0</v>
      </c>
      <c r="H221" s="13">
        <f>ABS(Prices!B221-Prices!B220)/Prices!B220</f>
        <v>3.5648994515539434E-3</v>
      </c>
      <c r="I221" s="21"/>
      <c r="J221" s="4">
        <f t="shared" ca="1" si="27"/>
        <v>-2.2630631546330385E-2</v>
      </c>
      <c r="K221" s="13"/>
      <c r="L221" s="13">
        <f ca="1">L220-O221*Prices!B221</f>
        <v>0.74920540698776805</v>
      </c>
      <c r="M221" s="4">
        <f t="shared" ca="1" si="28"/>
        <v>0.24505497934980622</v>
      </c>
      <c r="N221" s="13">
        <f ca="1">IF(Prices!B220&gt;OFFSET(Prices!B220,-$N$3,0),1,-1)</f>
        <v>-1</v>
      </c>
      <c r="O221" s="4">
        <f ca="1">IF(N221=1,O$3*L220/Prices!B220,-O$3*M220)</f>
        <v>-1.2897630492095065E-2</v>
      </c>
      <c r="P221" s="22"/>
      <c r="Q221" s="13">
        <f ca="1">Q220-T221*Prices!B221</f>
        <v>0.96045841406117405</v>
      </c>
      <c r="R221" s="4">
        <f t="shared" ca="1" si="29"/>
        <v>8.7597009488117883E-2</v>
      </c>
      <c r="S221" s="13">
        <f ca="1">IF(Prices!D220&gt;OFFSET(Prices!D220,-S$3,0),1,-1)</f>
        <v>-1</v>
      </c>
      <c r="T221" s="4">
        <f ca="1">IF(S221=1,T$3*Q220/Prices!B220,-T$3*R220)</f>
        <v>-9.7330010542353209E-3</v>
      </c>
      <c r="V221" s="13"/>
      <c r="W221" s="4"/>
      <c r="X221" s="4"/>
      <c r="Y221" s="4"/>
      <c r="Z221" s="4"/>
      <c r="AA221" s="4"/>
      <c r="AB221" s="4"/>
      <c r="AC221" s="4"/>
      <c r="AD221" s="4"/>
      <c r="AE221" s="52"/>
    </row>
    <row r="222" spans="1:31" x14ac:dyDescent="0.2">
      <c r="A222" s="7">
        <v>42918</v>
      </c>
      <c r="B222" s="13">
        <f ca="1">Prices!B221*(1+J222/(50*(ABS(O222)+ABS(T222)+0.0001)))</f>
        <v>1.0760460049832543</v>
      </c>
      <c r="C222" s="62">
        <f t="shared" ca="1" si="24"/>
        <v>0</v>
      </c>
      <c r="D222" s="13">
        <f ca="1">D221+C222*(Prices!B222-Prices!B221)/Prices!B221</f>
        <v>-8.014894481117741E-3</v>
      </c>
      <c r="E222" s="13">
        <f t="shared" ca="1" si="25"/>
        <v>9.0297832217116708E-2</v>
      </c>
      <c r="F222" s="13">
        <f t="shared" ca="1" si="26"/>
        <v>8.2282937735998971E-2</v>
      </c>
      <c r="G222" s="21">
        <f ca="1">IF((Prices!B222-Prices!B221)*C222&gt;0,1,0)</f>
        <v>0</v>
      </c>
      <c r="H222" s="13">
        <f>ABS(Prices!B222-Prices!B221)/Prices!B221</f>
        <v>5.7382275252755004E-3</v>
      </c>
      <c r="I222" s="21"/>
      <c r="J222" s="4">
        <f t="shared" ca="1" si="27"/>
        <v>-2.1012449916302099E-2</v>
      </c>
      <c r="K222" s="13"/>
      <c r="L222" s="13">
        <f ca="1">L221-O222*Prices!B222</f>
        <v>0.76273489239767089</v>
      </c>
      <c r="M222" s="4">
        <f t="shared" ca="1" si="28"/>
        <v>0.2328022303823159</v>
      </c>
      <c r="N222" s="13">
        <f ca="1">IF(Prices!B221&gt;OFFSET(Prices!B221,-$N$3,0),1,-1)</f>
        <v>-1</v>
      </c>
      <c r="O222" s="4">
        <f ca="1">IF(N222=1,O$3*L221/Prices!B221,-O$3*M221)</f>
        <v>-1.2252748967490311E-2</v>
      </c>
      <c r="P222" s="22"/>
      <c r="Q222" s="13">
        <f ca="1">Q221-T222*Prices!B222</f>
        <v>0.97013087584885205</v>
      </c>
      <c r="R222" s="4">
        <f t="shared" ca="1" si="29"/>
        <v>7.8837308539306095E-2</v>
      </c>
      <c r="S222" s="13">
        <f ca="1">IF(Prices!D221&gt;OFFSET(Prices!D221,-S$3,0),1,-1)</f>
        <v>-1</v>
      </c>
      <c r="T222" s="4">
        <f ca="1">IF(S222=1,T$3*Q221/Prices!B221,-T$3*R221)</f>
        <v>-8.7597009488117883E-3</v>
      </c>
      <c r="V222" s="13"/>
      <c r="W222" s="4"/>
      <c r="X222" s="4"/>
      <c r="Y222" s="4"/>
      <c r="Z222" s="4"/>
      <c r="AA222" s="4"/>
      <c r="AB222" s="4"/>
      <c r="AC222" s="4"/>
      <c r="AD222" s="4"/>
      <c r="AE222" s="52"/>
    </row>
    <row r="223" spans="1:31" x14ac:dyDescent="0.2">
      <c r="A223" s="7">
        <v>42925</v>
      </c>
      <c r="B223" s="13">
        <f ca="1">Prices!B222*(1+J223/(50*(ABS(O223)+ABS(T223)+0.0001)))</f>
        <v>1.1180430870492855</v>
      </c>
      <c r="C223" s="62">
        <f t="shared" ca="1" si="24"/>
        <v>1</v>
      </c>
      <c r="D223" s="13">
        <f ca="1">D222+C223*(Prices!B223-Prices!B222)/Prices!B222</f>
        <v>3.3055184875473154E-3</v>
      </c>
      <c r="E223" s="13">
        <f t="shared" ca="1" si="25"/>
        <v>7.8977419248451655E-2</v>
      </c>
      <c r="F223" s="13">
        <f t="shared" ca="1" si="26"/>
        <v>8.2282937735998971E-2</v>
      </c>
      <c r="G223" s="21">
        <f ca="1">IF((Prices!B223-Prices!B222)*C223&gt;0,1,0)</f>
        <v>1</v>
      </c>
      <c r="H223" s="13">
        <f>ABS(Prices!B223-Prices!B222)/Prices!B222</f>
        <v>1.1320412968665056E-2</v>
      </c>
      <c r="I223" s="21"/>
      <c r="J223" s="4">
        <f t="shared" ca="1" si="27"/>
        <v>2.6654165016277272E-2</v>
      </c>
      <c r="K223" s="13"/>
      <c r="L223" s="13">
        <f ca="1">L222-O223*Prices!B223</f>
        <v>0.72416642407940979</v>
      </c>
      <c r="M223" s="4">
        <f t="shared" ca="1" si="28"/>
        <v>0.26734012625252379</v>
      </c>
      <c r="N223" s="13">
        <f ca="1">IF(Prices!B222&gt;OFFSET(Prices!B222,-$N$3,0),1,-1)</f>
        <v>1</v>
      </c>
      <c r="O223" s="4">
        <f ca="1">IF(N223=1,O$3*L222/Prices!B222,-O$3*M222)</f>
        <v>3.4537895870207884E-2</v>
      </c>
      <c r="P223" s="22"/>
      <c r="Q223" s="13">
        <f ca="1">Q222-T223*Prices!B223</f>
        <v>0.97893463809343639</v>
      </c>
      <c r="R223" s="4">
        <f t="shared" ca="1" si="29"/>
        <v>7.0953577685375482E-2</v>
      </c>
      <c r="S223" s="13">
        <f ca="1">IF(Prices!D222&gt;OFFSET(Prices!D222,-S$3,0),1,-1)</f>
        <v>-1</v>
      </c>
      <c r="T223" s="4">
        <f ca="1">IF(S223=1,T$3*Q222/Prices!B222,-T$3*R222)</f>
        <v>-7.8837308539306105E-3</v>
      </c>
      <c r="V223" s="13"/>
      <c r="W223" s="4"/>
      <c r="X223" s="4"/>
      <c r="Y223" s="4"/>
      <c r="Z223" s="4"/>
      <c r="AA223" s="4"/>
      <c r="AB223" s="4"/>
      <c r="AC223" s="4"/>
      <c r="AD223" s="4"/>
      <c r="AE223" s="52"/>
    </row>
    <row r="224" spans="1:31" x14ac:dyDescent="0.2">
      <c r="A224" s="7">
        <v>42932</v>
      </c>
      <c r="B224" s="13">
        <f ca="1">Prices!B223*(1+J224/(50*(ABS(O224)+ABS(T224)+0.0001)))</f>
        <v>1.1390154173789078</v>
      </c>
      <c r="C224" s="62">
        <f t="shared" ca="1" si="24"/>
        <v>1</v>
      </c>
      <c r="D224" s="13">
        <f ca="1">D223+C224*(Prices!B224-Prices!B223)/Prices!B223</f>
        <v>-4.4852937270133814E-3</v>
      </c>
      <c r="E224" s="13">
        <f t="shared" ca="1" si="25"/>
        <v>8.6768231463012352E-2</v>
      </c>
      <c r="F224" s="13">
        <f t="shared" ca="1" si="26"/>
        <v>8.2282937735998971E-2</v>
      </c>
      <c r="G224" s="21">
        <f ca="1">IF((Prices!B224-Prices!B223)*C224&gt;0,1,0)</f>
        <v>0</v>
      </c>
      <c r="H224" s="13">
        <f>ABS(Prices!B224-Prices!B223)/Prices!B223</f>
        <v>7.7908122145606967E-3</v>
      </c>
      <c r="I224" s="21"/>
      <c r="J224" s="4">
        <f t="shared" ca="1" si="27"/>
        <v>0.12008756605472742</v>
      </c>
      <c r="K224" s="13"/>
      <c r="L224" s="13">
        <f ca="1">L223-O224*Prices!B224</f>
        <v>0.68824019510654388</v>
      </c>
      <c r="M224" s="4">
        <f t="shared" ca="1" si="28"/>
        <v>0.29976452063236664</v>
      </c>
      <c r="N224" s="13">
        <f ca="1">IF(Prices!B223&gt;OFFSET(Prices!B223,-$N$3,0),1,-1)</f>
        <v>1</v>
      </c>
      <c r="O224" s="4">
        <f ca="1">IF(N224=1,O$3*L223/Prices!B223,-O$3*M223)</f>
        <v>3.2424394379842826E-2</v>
      </c>
      <c r="P224" s="22"/>
      <c r="Q224" s="13">
        <f ca="1">Q223-T224*Prices!B224</f>
        <v>0.8818038438776642</v>
      </c>
      <c r="R224" s="4">
        <f t="shared" ca="1" si="29"/>
        <v>0.1586167493602601</v>
      </c>
      <c r="S224" s="13">
        <f ca="1">IF(Prices!D223&gt;OFFSET(Prices!D223,-S$3,0),1,-1)</f>
        <v>1</v>
      </c>
      <c r="T224" s="4">
        <f ca="1">IF(S224=1,T$3*Q223/Prices!B223,-T$3*R223)</f>
        <v>8.7663171674884605E-2</v>
      </c>
      <c r="V224" s="13"/>
      <c r="W224" s="4"/>
      <c r="X224" s="4"/>
      <c r="Y224" s="4"/>
      <c r="Z224" s="4"/>
      <c r="AA224" s="4"/>
      <c r="AB224" s="4"/>
      <c r="AC224" s="4"/>
      <c r="AD224" s="4"/>
      <c r="AE224" s="52"/>
    </row>
    <row r="225" spans="1:31" x14ac:dyDescent="0.2">
      <c r="A225" s="7">
        <v>42939</v>
      </c>
      <c r="B225" s="13">
        <f ca="1">Prices!B224*(1+J225/(50*(ABS(O225)+ABS(T225)+0.0001)))</f>
        <v>1.1301399896977651</v>
      </c>
      <c r="C225" s="62">
        <f t="shared" ca="1" si="24"/>
        <v>1</v>
      </c>
      <c r="D225" s="13">
        <f ca="1">D224+C225*(Prices!B225-Prices!B224)/Prices!B224</f>
        <v>3.2764391249721246E-3</v>
      </c>
      <c r="E225" s="13">
        <f t="shared" ca="1" si="25"/>
        <v>7.9006498611026849E-2</v>
      </c>
      <c r="F225" s="13">
        <f t="shared" ca="1" si="26"/>
        <v>8.2282937735998971E-2</v>
      </c>
      <c r="G225" s="21">
        <f ca="1">IF((Prices!B225-Prices!B224)*C225&gt;0,1,0)</f>
        <v>1</v>
      </c>
      <c r="H225" s="13">
        <f>ABS(Prices!B225-Prices!B224)/Prices!B224</f>
        <v>7.7617328519855059E-3</v>
      </c>
      <c r="I225" s="21"/>
      <c r="J225" s="4">
        <f t="shared" ca="1" si="27"/>
        <v>0.11064295500279207</v>
      </c>
      <c r="K225" s="13"/>
      <c r="L225" s="13">
        <f ca="1">L224-O225*Prices!B225</f>
        <v>0.65356108852459593</v>
      </c>
      <c r="M225" s="4">
        <f t="shared" ca="1" si="28"/>
        <v>0.33082229116966555</v>
      </c>
      <c r="N225" s="13">
        <f ca="1">IF(Prices!B224&gt;OFFSET(Prices!B224,-$N$3,0),1,-1)</f>
        <v>1</v>
      </c>
      <c r="O225" s="4">
        <f ca="1">IF(N225=1,O$3*L224/Prices!B224,-O$3*M224)</f>
        <v>3.1057770537298912E-2</v>
      </c>
      <c r="P225" s="22"/>
      <c r="Q225" s="13">
        <f ca="1">Q224-T225*Prices!B225</f>
        <v>0.79293902690349449</v>
      </c>
      <c r="R225" s="4">
        <f t="shared" ca="1" si="29"/>
        <v>0.23820193382575328</v>
      </c>
      <c r="S225" s="13">
        <f ca="1">IF(Prices!D224&gt;OFFSET(Prices!D224,-S$3,0),1,-1)</f>
        <v>1</v>
      </c>
      <c r="T225" s="4">
        <f ca="1">IF(S225=1,T$3*Q224/Prices!B224,-T$3*R224)</f>
        <v>7.9585184465493161E-2</v>
      </c>
      <c r="V225" s="13"/>
      <c r="W225" s="4"/>
      <c r="X225" s="4"/>
      <c r="Y225" s="4"/>
      <c r="Z225" s="4"/>
      <c r="AA225" s="4"/>
      <c r="AB225" s="4"/>
      <c r="AC225" s="4"/>
      <c r="AD225" s="4"/>
      <c r="AE225" s="52"/>
    </row>
    <row r="226" spans="1:31" x14ac:dyDescent="0.2">
      <c r="A226" s="7">
        <v>42946</v>
      </c>
      <c r="B226" s="13">
        <f ca="1">Prices!B225*(1+J226/(50*(ABS(O226)+ABS(T226)+0.0001)))</f>
        <v>1.1389097524032132</v>
      </c>
      <c r="C226" s="62">
        <f t="shared" ca="1" si="24"/>
        <v>1</v>
      </c>
      <c r="D226" s="13">
        <f ca="1">D225+C226*(Prices!B226-Prices!B225)/Prices!B225</f>
        <v>-9.978083533097145E-3</v>
      </c>
      <c r="E226" s="13">
        <f t="shared" ca="1" si="25"/>
        <v>9.2261021269096119E-2</v>
      </c>
      <c r="F226" s="13">
        <f t="shared" ca="1" si="26"/>
        <v>8.2282937735998971E-2</v>
      </c>
      <c r="G226" s="21">
        <f ca="1">IF((Prices!B226-Prices!B225)*C226&gt;0,1,0)</f>
        <v>0</v>
      </c>
      <c r="H226" s="13">
        <f>ABS(Prices!B226-Prices!B225)/Prices!B225</f>
        <v>1.3254522658069269E-2</v>
      </c>
      <c r="I226" s="21"/>
      <c r="J226" s="4">
        <f t="shared" ca="1" si="27"/>
        <v>0.10027938126148958</v>
      </c>
      <c r="K226" s="13"/>
      <c r="L226" s="13">
        <f ca="1">L225-O226*Prices!B226</f>
        <v>0.62131616611118023</v>
      </c>
      <c r="M226" s="4">
        <f t="shared" ca="1" si="28"/>
        <v>0.36008796771115742</v>
      </c>
      <c r="N226" s="13">
        <f ca="1">IF(Prices!B225&gt;OFFSET(Prices!B225,-$N$3,0),1,-1)</f>
        <v>1</v>
      </c>
      <c r="O226" s="4">
        <f ca="1">IF(N226=1,O$3*L225/Prices!B225,-O$3*M225)</f>
        <v>2.9265676541491849E-2</v>
      </c>
      <c r="P226" s="22"/>
      <c r="Q226" s="13">
        <f ca="1">Q225-T226*Prices!B226</f>
        <v>0.71469612704300101</v>
      </c>
      <c r="R226" s="4">
        <f t="shared" ca="1" si="29"/>
        <v>0.30921563854575101</v>
      </c>
      <c r="S226" s="13">
        <f ca="1">IF(Prices!D225&gt;OFFSET(Prices!D225,-S$3,0),1,-1)</f>
        <v>1</v>
      </c>
      <c r="T226" s="4">
        <f ca="1">IF(S226=1,T$3*Q225/Prices!B225,-T$3*R225)</f>
        <v>7.1013704719997725E-2</v>
      </c>
      <c r="V226" s="13"/>
      <c r="W226" s="4"/>
      <c r="X226" s="4"/>
      <c r="Y226" s="4"/>
      <c r="Z226" s="4"/>
      <c r="AA226" s="4"/>
      <c r="AB226" s="4"/>
      <c r="AC226" s="4"/>
      <c r="AD226" s="4"/>
      <c r="AE226" s="52"/>
    </row>
    <row r="227" spans="1:31" x14ac:dyDescent="0.2">
      <c r="A227" s="7">
        <v>42953</v>
      </c>
      <c r="B227" s="13">
        <f ca="1">Prices!B226*(1+J227/(50*(ABS(O227)+ABS(T227)+0.0001)))</f>
        <v>1.1238123465121141</v>
      </c>
      <c r="C227" s="62">
        <f t="shared" ca="1" si="24"/>
        <v>1</v>
      </c>
      <c r="D227" s="13">
        <f ca="1">D226+C227*(Prices!B227-Prices!B226)/Prices!B226</f>
        <v>-6.9829846040718405E-3</v>
      </c>
      <c r="E227" s="13">
        <f t="shared" ca="1" si="25"/>
        <v>8.9265922340070816E-2</v>
      </c>
      <c r="F227" s="13">
        <f t="shared" ca="1" si="26"/>
        <v>8.2282937735998971E-2</v>
      </c>
      <c r="G227" s="21">
        <f ca="1">IF((Prices!B227-Prices!B226)*C227&gt;0,1,0)</f>
        <v>1</v>
      </c>
      <c r="H227" s="13">
        <f>ABS(Prices!B227-Prices!B226)/Prices!B226</f>
        <v>2.9950989290253049E-3</v>
      </c>
      <c r="I227" s="21"/>
      <c r="J227" s="4">
        <f t="shared" ca="1" si="27"/>
        <v>9.30617362587213E-2</v>
      </c>
      <c r="K227" s="13"/>
      <c r="L227" s="13">
        <f ca="1">L226-O227*Prices!B227</f>
        <v>0.59015731263643589</v>
      </c>
      <c r="M227" s="4">
        <f t="shared" ca="1" si="28"/>
        <v>0.38828347352487952</v>
      </c>
      <c r="N227" s="13">
        <f ca="1">IF(Prices!B226&gt;OFFSET(Prices!B226,-$N$3,0),1,-1)</f>
        <v>1</v>
      </c>
      <c r="O227" s="4">
        <f ca="1">IF(N227=1,O$3*L226/Prices!B226,-O$3*M226)</f>
        <v>2.8195505813722106E-2</v>
      </c>
      <c r="P227" s="22"/>
      <c r="Q227" s="13">
        <f ca="1">Q226-T227*Prices!B227</f>
        <v>0.64301245577823241</v>
      </c>
      <c r="R227" s="4">
        <f t="shared" ca="1" si="29"/>
        <v>0.37408186899075024</v>
      </c>
      <c r="S227" s="13">
        <f ca="1">IF(Prices!D226&gt;OFFSET(Prices!D226,-S$3,0),1,-1)</f>
        <v>1</v>
      </c>
      <c r="T227" s="4">
        <f ca="1">IF(S227=1,T$3*Q226/Prices!B226,-T$3*R226)</f>
        <v>6.4866230444999201E-2</v>
      </c>
      <c r="V227" s="13"/>
      <c r="W227" s="4"/>
      <c r="X227" s="4"/>
      <c r="Y227" s="4"/>
      <c r="Z227" s="4"/>
      <c r="AA227" s="4"/>
      <c r="AB227" s="4"/>
      <c r="AC227" s="4"/>
      <c r="AD227" s="4"/>
      <c r="AE227" s="52"/>
    </row>
    <row r="228" spans="1:31" x14ac:dyDescent="0.2">
      <c r="A228" s="7">
        <v>42960</v>
      </c>
      <c r="B228" s="13">
        <f ca="1">Prices!B227*(1+J228/(50*(ABS(O228)+ABS(T228)+0.0001)))</f>
        <v>1.1271759938046113</v>
      </c>
      <c r="C228" s="62">
        <f t="shared" ca="1" si="24"/>
        <v>1</v>
      </c>
      <c r="D228" s="13">
        <f ca="1">D227+C228*(Prices!B228-Prices!B227)/Prices!B227</f>
        <v>-9.6976710577863379E-3</v>
      </c>
      <c r="E228" s="13">
        <f t="shared" ca="1" si="25"/>
        <v>9.1980608793785307E-2</v>
      </c>
      <c r="F228" s="13">
        <f t="shared" ca="1" si="26"/>
        <v>8.2282937735998971E-2</v>
      </c>
      <c r="G228" s="21">
        <f ca="1">IF((Prices!B228-Prices!B227)*C228&gt;0,1,0)</f>
        <v>0</v>
      </c>
      <c r="H228" s="13">
        <f>ABS(Prices!B228-Prices!B227)/Prices!B227</f>
        <v>2.7146864537144978E-3</v>
      </c>
      <c r="I228" s="21"/>
      <c r="J228" s="4">
        <f t="shared" ca="1" si="27"/>
        <v>8.4887441145276479E-2</v>
      </c>
      <c r="K228" s="13"/>
      <c r="L228" s="13">
        <f ca="1">L227-O228*Prices!B228</f>
        <v>0.56072955160772286</v>
      </c>
      <c r="M228" s="4">
        <f t="shared" ca="1" si="28"/>
        <v>0.41498500789445858</v>
      </c>
      <c r="N228" s="13">
        <f ca="1">IF(Prices!B227&gt;OFFSET(Prices!B227,-$N$3,0),1,-1)</f>
        <v>1</v>
      </c>
      <c r="O228" s="4">
        <f ca="1">IF(N228=1,O$3*L227/Prices!B227,-O$3*M227)</f>
        <v>2.670153436957904E-2</v>
      </c>
      <c r="P228" s="22"/>
      <c r="Q228" s="13">
        <f ca="1">Q227-T228*Prices!B228</f>
        <v>0.57888576792073621</v>
      </c>
      <c r="R228" s="4">
        <f t="shared" ca="1" si="29"/>
        <v>0.4322677757664477</v>
      </c>
      <c r="S228" s="13">
        <f ca="1">IF(Prices!D227&gt;OFFSET(Prices!D227,-S$3,0),1,-1)</f>
        <v>1</v>
      </c>
      <c r="T228" s="4">
        <f ca="1">IF(S228=1,T$3*Q227/Prices!B227,-T$3*R227)</f>
        <v>5.8185906775697439E-2</v>
      </c>
      <c r="V228" s="13"/>
      <c r="W228" s="4"/>
      <c r="X228" s="4"/>
      <c r="Y228" s="4"/>
      <c r="Z228" s="4"/>
      <c r="AA228" s="4"/>
      <c r="AB228" s="4"/>
      <c r="AC228" s="4"/>
      <c r="AD228" s="4"/>
      <c r="AE228" s="52"/>
    </row>
    <row r="229" spans="1:31" x14ac:dyDescent="0.2">
      <c r="A229" s="7">
        <v>42967</v>
      </c>
      <c r="B229" s="13">
        <f ca="1">Prices!B228*(1+J229/(50*(ABS(O229)+ABS(T229)+0.0001)))</f>
        <v>1.1116457173112895</v>
      </c>
      <c r="C229" s="62">
        <f t="shared" ca="1" si="24"/>
        <v>1</v>
      </c>
      <c r="D229" s="13">
        <f ca="1">D228+C229*(Prices!B229-Prices!B228)/Prices!B228</f>
        <v>-9.9698786614522382E-3</v>
      </c>
      <c r="E229" s="13">
        <f t="shared" ca="1" si="25"/>
        <v>9.2252816397451212E-2</v>
      </c>
      <c r="F229" s="13">
        <f t="shared" ca="1" si="26"/>
        <v>8.2282937735998971E-2</v>
      </c>
      <c r="G229" s="21">
        <f ca="1">IF((Prices!B229-Prices!B228)*C229&gt;0,1,0)</f>
        <v>0</v>
      </c>
      <c r="H229" s="13">
        <f>ABS(Prices!B229-Prices!B228)/Prices!B228</f>
        <v>2.7220760366590053E-4</v>
      </c>
      <c r="I229" s="21"/>
      <c r="J229" s="4">
        <f t="shared" ca="1" si="27"/>
        <v>3.177645216591006E-2</v>
      </c>
      <c r="K229" s="13"/>
      <c r="L229" s="13">
        <f ca="1">L228-O229*Prices!B229</f>
        <v>0.58359107569262858</v>
      </c>
      <c r="M229" s="4">
        <f t="shared" ca="1" si="28"/>
        <v>0.39423575749973566</v>
      </c>
      <c r="N229" s="13">
        <f ca="1">IF(Prices!B228&gt;OFFSET(Prices!B228,-$N$3,0),1,-1)</f>
        <v>-1</v>
      </c>
      <c r="O229" s="4">
        <f ca="1">IF(N229=1,O$3*L228/Prices!B228,-O$3*M228)</f>
        <v>-2.0749250394722932E-2</v>
      </c>
      <c r="P229" s="22"/>
      <c r="Q229" s="13">
        <f ca="1">Q228-T229*Prices!B229</f>
        <v>0.52101294883943083</v>
      </c>
      <c r="R229" s="4">
        <f t="shared" ca="1" si="29"/>
        <v>0.4847934783270807</v>
      </c>
      <c r="S229" s="13">
        <f ca="1">IF(Prices!D228&gt;OFFSET(Prices!D228,-S$3,0),1,-1)</f>
        <v>1</v>
      </c>
      <c r="T229" s="4">
        <f ca="1">IF(S229=1,T$3*Q228/Prices!B228,-T$3*R228)</f>
        <v>5.2525702560632992E-2</v>
      </c>
      <c r="V229" s="13"/>
      <c r="W229" s="4"/>
      <c r="X229" s="4"/>
      <c r="Y229" s="4"/>
      <c r="Z229" s="4"/>
      <c r="AA229" s="4"/>
      <c r="AB229" s="4"/>
      <c r="AC229" s="4"/>
      <c r="AD229" s="4"/>
      <c r="AE229" s="52"/>
    </row>
    <row r="230" spans="1:31" x14ac:dyDescent="0.2">
      <c r="A230" s="7">
        <v>42974</v>
      </c>
      <c r="B230" s="13">
        <f ca="1">Prices!B229*(1+J230/(50*(ABS(O230)+ABS(T230)+0.0001)))</f>
        <v>1.1108560951713167</v>
      </c>
      <c r="C230" s="62">
        <f t="shared" ca="1" si="24"/>
        <v>1</v>
      </c>
      <c r="D230" s="13">
        <f ca="1">D229+C230*(Prices!B230-Prices!B229)/Prices!B229</f>
        <v>-6.1579345699653946E-3</v>
      </c>
      <c r="E230" s="13">
        <f t="shared" ca="1" si="25"/>
        <v>8.8440872305964369E-2</v>
      </c>
      <c r="F230" s="13">
        <f t="shared" ca="1" si="26"/>
        <v>8.2282937735998971E-2</v>
      </c>
      <c r="G230" s="21">
        <f ca="1">IF((Prices!B230-Prices!B229)*C230&gt;0,1,0)</f>
        <v>1</v>
      </c>
      <c r="H230" s="13">
        <f>ABS(Prices!B230-Prices!B229)/Prices!B229</f>
        <v>3.8119440914868435E-3</v>
      </c>
      <c r="I230" s="21"/>
      <c r="J230" s="4">
        <f t="shared" ca="1" si="27"/>
        <v>2.757564621826343E-2</v>
      </c>
      <c r="K230" s="13"/>
      <c r="L230" s="13">
        <f ca="1">L229-O230*Prices!B230</f>
        <v>0.60539231308236396</v>
      </c>
      <c r="M230" s="4">
        <f t="shared" ca="1" si="28"/>
        <v>0.37452396962474888</v>
      </c>
      <c r="N230" s="13">
        <f ca="1">IF(Prices!B229&gt;OFFSET(Prices!B229,-$N$3,0),1,-1)</f>
        <v>-1</v>
      </c>
      <c r="O230" s="4">
        <f ca="1">IF(N230=1,O$3*L229/Prices!B229,-O$3*M229)</f>
        <v>-1.9711787874986786E-2</v>
      </c>
      <c r="P230" s="22"/>
      <c r="Q230" s="13">
        <f ca="1">Q229-T230*Prices!B230</f>
        <v>0.46871304673229608</v>
      </c>
      <c r="R230" s="4">
        <f t="shared" ca="1" si="29"/>
        <v>0.53208091242033095</v>
      </c>
      <c r="S230" s="13">
        <f ca="1">IF(Prices!D229&gt;OFFSET(Prices!D229,-S$3,0),1,-1)</f>
        <v>1</v>
      </c>
      <c r="T230" s="4">
        <f ca="1">IF(S230=1,T$3*Q229/Prices!B229,-T$3*R229)</f>
        <v>4.7287434093250216E-2</v>
      </c>
      <c r="V230" s="13"/>
      <c r="W230" s="4"/>
      <c r="X230" s="4"/>
      <c r="Y230" s="4"/>
      <c r="Z230" s="4"/>
      <c r="AA230" s="4"/>
      <c r="AB230" s="4"/>
      <c r="AC230" s="4"/>
      <c r="AD230" s="4"/>
      <c r="AE230" s="52"/>
    </row>
    <row r="231" spans="1:31" x14ac:dyDescent="0.2">
      <c r="A231" s="7">
        <v>42981</v>
      </c>
      <c r="B231" s="13">
        <f ca="1">Prices!B230*(1+J231/(50*(ABS(O231)+ABS(T231)+0.0001)))</f>
        <v>1.1145483191961429</v>
      </c>
      <c r="C231" s="62">
        <f t="shared" ca="1" si="24"/>
        <v>1</v>
      </c>
      <c r="D231" s="13">
        <f ca="1">D230+C231*(Prices!B231-Prices!B230)/Prices!B230</f>
        <v>-6.4256386472127686E-4</v>
      </c>
      <c r="E231" s="13">
        <f t="shared" ca="1" si="25"/>
        <v>8.292550160072025E-2</v>
      </c>
      <c r="F231" s="13">
        <f t="shared" ca="1" si="26"/>
        <v>8.2282937735998971E-2</v>
      </c>
      <c r="G231" s="21">
        <f ca="1">IF((Prices!B231-Prices!B230)*C231&gt;0,1,0)</f>
        <v>1</v>
      </c>
      <c r="H231" s="13">
        <f>ABS(Prices!B231-Prices!B230)/Prices!B230</f>
        <v>5.5153707052441178E-3</v>
      </c>
      <c r="I231" s="21"/>
      <c r="J231" s="4">
        <f t="shared" ca="1" si="27"/>
        <v>2.3652919668156414E-2</v>
      </c>
      <c r="K231" s="13"/>
      <c r="L231" s="13">
        <f ca="1">L230-O231*Prices!B231</f>
        <v>0.62621771841334817</v>
      </c>
      <c r="M231" s="4">
        <f t="shared" ca="1" si="28"/>
        <v>0.35579777114351141</v>
      </c>
      <c r="N231" s="13">
        <f ca="1">IF(Prices!B230&gt;OFFSET(Prices!B230,-$N$3,0),1,-1)</f>
        <v>-1</v>
      </c>
      <c r="O231" s="4">
        <f ca="1">IF(N231=1,O$3*L230/Prices!B230,-O$3*M230)</f>
        <v>-1.8726198481237445E-2</v>
      </c>
      <c r="P231" s="22"/>
      <c r="Q231" s="13">
        <f ca="1">Q230-T231*Prices!B231</f>
        <v>0.42158322943835519</v>
      </c>
      <c r="R231" s="4">
        <f t="shared" ca="1" si="29"/>
        <v>0.57446003056972483</v>
      </c>
      <c r="S231" s="13">
        <f ca="1">IF(Prices!D230&gt;OFFSET(Prices!D230,-S$3,0),1,-1)</f>
        <v>1</v>
      </c>
      <c r="T231" s="4">
        <f ca="1">IF(S231=1,T$3*Q230/Prices!B230,-T$3*R230)</f>
        <v>4.2379118149393859E-2</v>
      </c>
      <c r="V231" s="13"/>
      <c r="W231" s="4"/>
      <c r="X231" s="4"/>
      <c r="Y231" s="4"/>
      <c r="Z231" s="4"/>
      <c r="AA231" s="4"/>
      <c r="AB231" s="4"/>
      <c r="AC231" s="4"/>
      <c r="AD231" s="4"/>
      <c r="AE231" s="52"/>
    </row>
    <row r="232" spans="1:31" x14ac:dyDescent="0.2">
      <c r="A232" s="7">
        <v>42988</v>
      </c>
      <c r="B232" s="13">
        <f ca="1">Prices!B231*(1+J232/(50*(ABS(O232)+ABS(T232)+0.0001)))</f>
        <v>1.1201196175792107</v>
      </c>
      <c r="C232" s="62">
        <f t="shared" ca="1" si="24"/>
        <v>1</v>
      </c>
      <c r="D232" s="13">
        <f ca="1">D231+C232*(Prices!B232-Prices!B231)/Prices!B231</f>
        <v>-4.4192026561970469E-3</v>
      </c>
      <c r="E232" s="13">
        <f t="shared" ca="1" si="25"/>
        <v>8.6702140392196023E-2</v>
      </c>
      <c r="F232" s="13">
        <f t="shared" ca="1" si="26"/>
        <v>8.2282937735998971E-2</v>
      </c>
      <c r="G232" s="21">
        <f ca="1">IF((Prices!B232-Prices!B231)*C232&gt;0,1,0)</f>
        <v>0</v>
      </c>
      <c r="H232" s="13">
        <f>ABS(Prices!B232-Prices!B231)/Prices!B231</f>
        <v>3.7766387914757696E-3</v>
      </c>
      <c r="I232" s="21"/>
      <c r="J232" s="4">
        <f t="shared" ca="1" si="27"/>
        <v>2.0118863303120734E-2</v>
      </c>
      <c r="K232" s="13"/>
      <c r="L232" s="13">
        <f ca="1">L231-O232*Prices!B232</f>
        <v>0.64592713594584295</v>
      </c>
      <c r="M232" s="4">
        <f t="shared" ca="1" si="28"/>
        <v>0.33800788258633585</v>
      </c>
      <c r="N232" s="13">
        <f ca="1">IF(Prices!B231&gt;OFFSET(Prices!B231,-$N$3,0),1,-1)</f>
        <v>-1</v>
      </c>
      <c r="O232" s="4">
        <f ca="1">IF(N232=1,O$3*L231/Prices!B231,-O$3*M231)</f>
        <v>-1.778988855717557E-2</v>
      </c>
      <c r="P232" s="22"/>
      <c r="Q232" s="13">
        <f ca="1">Q231-T232*Prices!B232</f>
        <v>0.37958412325233293</v>
      </c>
      <c r="R232" s="4">
        <f t="shared" ca="1" si="29"/>
        <v>0.61236878243002113</v>
      </c>
      <c r="S232" s="13">
        <f ca="1">IF(Prices!D231&gt;OFFSET(Prices!D231,-S$3,0),1,-1)</f>
        <v>1</v>
      </c>
      <c r="T232" s="4">
        <f ca="1">IF(S232=1,T$3*Q231/Prices!B231,-T$3*R231)</f>
        <v>3.7908751860296304E-2</v>
      </c>
      <c r="V232" s="13"/>
      <c r="W232" s="4"/>
      <c r="X232" s="4"/>
      <c r="Y232" s="4"/>
      <c r="Z232" s="4"/>
      <c r="AA232" s="4"/>
      <c r="AB232" s="4"/>
      <c r="AC232" s="4"/>
      <c r="AD232" s="4"/>
      <c r="AE232" s="52"/>
    </row>
    <row r="233" spans="1:31" x14ac:dyDescent="0.2">
      <c r="A233" s="7">
        <v>42995</v>
      </c>
      <c r="B233" s="13">
        <f ca="1">Prices!B232*(1+J233/(50*(ABS(O233)+ABS(T233)+0.0001)))</f>
        <v>1.1000430374764105</v>
      </c>
      <c r="C233" s="62">
        <f t="shared" ca="1" si="24"/>
        <v>0</v>
      </c>
      <c r="D233" s="13">
        <f ca="1">D232+C233*(Prices!B233-Prices!B232)/Prices!B232</f>
        <v>-4.4192026561970469E-3</v>
      </c>
      <c r="E233" s="13">
        <f t="shared" ca="1" si="25"/>
        <v>8.6702140392196023E-2</v>
      </c>
      <c r="F233" s="13">
        <f t="shared" ca="1" si="26"/>
        <v>8.2282937735998971E-2</v>
      </c>
      <c r="G233" s="21">
        <f ca="1">IF((Prices!B233-Prices!B232)*C233&gt;0,1,0)</f>
        <v>0</v>
      </c>
      <c r="H233" s="13">
        <f>ABS(Prices!B233-Prices!B232)/Prices!B232</f>
        <v>8.8455636790324317E-3</v>
      </c>
      <c r="I233" s="21"/>
      <c r="J233" s="4">
        <f t="shared" ca="1" si="27"/>
        <v>-3.2085910829614483E-2</v>
      </c>
      <c r="K233" s="13"/>
      <c r="L233" s="13">
        <f ca="1">L232-O233*Prices!B233</f>
        <v>0.61334509966789963</v>
      </c>
      <c r="M233" s="4">
        <f t="shared" ca="1" si="28"/>
        <v>0.36715884999972348</v>
      </c>
      <c r="N233" s="13">
        <f ca="1">IF(Prices!B232&gt;OFFSET(Prices!B232,-$N$3,0),1,-1)</f>
        <v>1</v>
      </c>
      <c r="O233" s="4">
        <f ca="1">IF(N233=1,O$3*L232/Prices!B232,-O$3*M232)</f>
        <v>2.9150967413387626E-2</v>
      </c>
      <c r="P233" s="22"/>
      <c r="Q233" s="13">
        <f ca="1">Q232-T233*Prices!B233</f>
        <v>0.44802858206453638</v>
      </c>
      <c r="R233" s="4">
        <f t="shared" ca="1" si="29"/>
        <v>0.55113190418701907</v>
      </c>
      <c r="S233" s="13">
        <f ca="1">IF(Prices!D232&gt;OFFSET(Prices!D232,-S$3,0),1,-1)</f>
        <v>-1</v>
      </c>
      <c r="T233" s="4">
        <f ca="1">IF(S233=1,T$3*Q232/Prices!B232,-T$3*R232)</f>
        <v>-6.1236878243002113E-2</v>
      </c>
      <c r="V233" s="13"/>
      <c r="W233" s="4"/>
      <c r="X233" s="4"/>
      <c r="Y233" s="4"/>
      <c r="Z233" s="4"/>
      <c r="AA233" s="4"/>
      <c r="AB233" s="4"/>
      <c r="AC233" s="4"/>
      <c r="AD233" s="4"/>
      <c r="AE233" s="52"/>
    </row>
    <row r="234" spans="1:31" x14ac:dyDescent="0.2">
      <c r="A234" s="7">
        <v>43002</v>
      </c>
      <c r="B234" s="13">
        <f ca="1">Prices!B233*(1+J234/(50*(ABS(O234)+ABS(T234)+0.0001)))</f>
        <v>1.1102148509145411</v>
      </c>
      <c r="C234" s="62">
        <f t="shared" ca="1" si="24"/>
        <v>0</v>
      </c>
      <c r="D234" s="13">
        <f ca="1">D233+C234*(Prices!B234-Prices!B233)/Prices!B233</f>
        <v>-4.4192026561970469E-3</v>
      </c>
      <c r="E234" s="13">
        <f t="shared" ca="1" si="25"/>
        <v>8.6702140392196023E-2</v>
      </c>
      <c r="F234" s="13">
        <f t="shared" ca="1" si="26"/>
        <v>8.2282937735998971E-2</v>
      </c>
      <c r="G234" s="21">
        <f ca="1">IF((Prices!B234-Prices!B233)*C234&gt;0,1,0)</f>
        <v>0</v>
      </c>
      <c r="H234" s="13">
        <f>ABS(Prices!B234-Prices!B233)/Prices!B233</f>
        <v>1.4315111389458924E-3</v>
      </c>
      <c r="I234" s="21"/>
      <c r="J234" s="4">
        <f t="shared" ca="1" si="27"/>
        <v>-2.7675367225183989E-2</v>
      </c>
      <c r="K234" s="13"/>
      <c r="L234" s="13">
        <f ca="1">L233-O234*Prices!B234</f>
        <v>0.58272174520161424</v>
      </c>
      <c r="M234" s="4">
        <f t="shared" ca="1" si="28"/>
        <v>0.39459667319324143</v>
      </c>
      <c r="N234" s="13">
        <f ca="1">IF(Prices!B233&gt;OFFSET(Prices!B233,-$N$3,0),1,-1)</f>
        <v>1</v>
      </c>
      <c r="O234" s="4">
        <f ca="1">IF(N234=1,O$3*L233/Prices!B233,-O$3*M233)</f>
        <v>2.7437823193517924E-2</v>
      </c>
      <c r="P234" s="22"/>
      <c r="Q234" s="13">
        <f ca="1">Q233-T234*Prices!B234</f>
        <v>0.50954041389084959</v>
      </c>
      <c r="R234" s="4">
        <f t="shared" ca="1" si="29"/>
        <v>0.49601871376831719</v>
      </c>
      <c r="S234" s="13">
        <f ca="1">IF(Prices!D233&gt;OFFSET(Prices!D233,-S$3,0),1,-1)</f>
        <v>-1</v>
      </c>
      <c r="T234" s="4">
        <f ca="1">IF(S234=1,T$3*Q233/Prices!B233,-T$3*R233)</f>
        <v>-5.5113190418701913E-2</v>
      </c>
      <c r="V234" s="13"/>
      <c r="W234" s="4"/>
      <c r="X234" s="4"/>
      <c r="Y234" s="4"/>
      <c r="Z234" s="4"/>
      <c r="AA234" s="4"/>
      <c r="AB234" s="4"/>
      <c r="AC234" s="4"/>
      <c r="AD234" s="4"/>
      <c r="AE234" s="52"/>
    </row>
    <row r="235" spans="1:31" x14ac:dyDescent="0.2">
      <c r="A235" s="7">
        <v>43009</v>
      </c>
      <c r="B235" s="13">
        <f ca="1">Prices!B234*(1+J235/(50*(ABS(O235)+ABS(T235)+0.0001)))</f>
        <v>1.1091812421286362</v>
      </c>
      <c r="C235" s="62">
        <f t="shared" ca="1" si="24"/>
        <v>0</v>
      </c>
      <c r="D235" s="13">
        <f ca="1">D234+C235*(Prices!B235-Prices!B234)/Prices!B234</f>
        <v>-4.4192026561970469E-3</v>
      </c>
      <c r="E235" s="13">
        <f t="shared" ca="1" si="25"/>
        <v>8.6702140392196023E-2</v>
      </c>
      <c r="F235" s="13">
        <f t="shared" ca="1" si="26"/>
        <v>8.2282937735998971E-2</v>
      </c>
      <c r="G235" s="21">
        <f ca="1">IF((Prices!B235-Prices!B234)*C235&gt;0,1,0)</f>
        <v>0</v>
      </c>
      <c r="H235" s="13">
        <f>ABS(Prices!B235-Prices!B234)/Prices!B234</f>
        <v>3.5839082519487529E-3</v>
      </c>
      <c r="I235" s="21"/>
      <c r="J235" s="4">
        <f t="shared" ca="1" si="27"/>
        <v>-2.34966054866062E-2</v>
      </c>
      <c r="K235" s="13"/>
      <c r="L235" s="13">
        <f ca="1">L234-O235*Prices!B235</f>
        <v>0.55369007900509448</v>
      </c>
      <c r="M235" s="4">
        <f t="shared" ca="1" si="28"/>
        <v>0.42070193908346698</v>
      </c>
      <c r="N235" s="13">
        <f ca="1">IF(Prices!B234&gt;OFFSET(Prices!B234,-$N$3,0),1,-1)</f>
        <v>1</v>
      </c>
      <c r="O235" s="4">
        <f ca="1">IF(N235=1,O$3*L234/Prices!B234,-O$3*M234)</f>
        <v>2.6105265890225524E-2</v>
      </c>
      <c r="P235" s="22"/>
      <c r="Q235" s="13">
        <f ca="1">Q234-T235*Prices!B235</f>
        <v>0.56470265504902417</v>
      </c>
      <c r="R235" s="4">
        <f t="shared" ca="1" si="29"/>
        <v>0.44641684239148549</v>
      </c>
      <c r="S235" s="13">
        <f ca="1">IF(Prices!D234&gt;OFFSET(Prices!D234,-S$3,0),1,-1)</f>
        <v>-1</v>
      </c>
      <c r="T235" s="4">
        <f ca="1">IF(S235=1,T$3*Q234/Prices!B234,-T$3*R234)</f>
        <v>-4.9601871376831724E-2</v>
      </c>
      <c r="V235" s="13"/>
      <c r="W235" s="4"/>
      <c r="X235" s="4"/>
      <c r="Y235" s="4"/>
      <c r="Z235" s="4"/>
      <c r="AA235" s="4"/>
      <c r="AB235" s="4"/>
      <c r="AC235" s="4"/>
      <c r="AD235" s="4"/>
      <c r="AE235" s="52"/>
    </row>
    <row r="236" spans="1:31" x14ac:dyDescent="0.2">
      <c r="A236" s="7">
        <v>43016</v>
      </c>
      <c r="B236" s="13">
        <f ca="1">Prices!B235*(1+J236/(50*(ABS(O236)+ABS(T236)+0.0001)))</f>
        <v>1.1057924450430849</v>
      </c>
      <c r="C236" s="62">
        <f t="shared" ca="1" si="24"/>
        <v>0</v>
      </c>
      <c r="D236" s="13">
        <f ca="1">D235+C236*(Prices!B236-Prices!B235)/Prices!B235</f>
        <v>-4.4192026561970469E-3</v>
      </c>
      <c r="E236" s="13">
        <f t="shared" ca="1" si="25"/>
        <v>8.6702140392196023E-2</v>
      </c>
      <c r="F236" s="13">
        <f t="shared" ca="1" si="26"/>
        <v>8.2282937735998971E-2</v>
      </c>
      <c r="G236" s="21">
        <f ca="1">IF((Prices!B236-Prices!B235)*C236&gt;0,1,0)</f>
        <v>0</v>
      </c>
      <c r="H236" s="13">
        <f>ABS(Prices!B236-Prices!B235)/Prices!B235</f>
        <v>2.607679165542779E-3</v>
      </c>
      <c r="I236" s="21"/>
      <c r="J236" s="4">
        <f t="shared" ca="1" si="27"/>
        <v>-1.974778625312686E-2</v>
      </c>
      <c r="K236" s="13"/>
      <c r="L236" s="13">
        <f ca="1">L235-O236*Prices!B236</f>
        <v>0.52607776735899925</v>
      </c>
      <c r="M236" s="4">
        <f t="shared" ca="1" si="28"/>
        <v>0.44559583706948869</v>
      </c>
      <c r="N236" s="13">
        <f ca="1">IF(Prices!B235&gt;OFFSET(Prices!B235,-$N$3,0),1,-1)</f>
        <v>1</v>
      </c>
      <c r="O236" s="4">
        <f ca="1">IF(N236=1,O$3*L235/Prices!B235,-O$3*M235)</f>
        <v>2.489389798602169E-2</v>
      </c>
      <c r="P236" s="22"/>
      <c r="Q236" s="13">
        <f ca="1">Q235-T236*Prices!B236</f>
        <v>0.61421921120708778</v>
      </c>
      <c r="R236" s="4">
        <f t="shared" ca="1" si="29"/>
        <v>0.40177515815233694</v>
      </c>
      <c r="S236" s="13">
        <f ca="1">IF(Prices!D235&gt;OFFSET(Prices!D235,-S$3,0),1,-1)</f>
        <v>-1</v>
      </c>
      <c r="T236" s="4">
        <f ca="1">IF(S236=1,T$3*Q235/Prices!B235,-T$3*R235)</f>
        <v>-4.4641684239148549E-2</v>
      </c>
      <c r="V236" s="13"/>
      <c r="W236" s="4"/>
      <c r="X236" s="4"/>
      <c r="Y236" s="4"/>
      <c r="Z236" s="4"/>
      <c r="AA236" s="4"/>
      <c r="AB236" s="4"/>
      <c r="AC236" s="4"/>
      <c r="AD236" s="4"/>
      <c r="AE236" s="52"/>
    </row>
    <row r="237" spans="1:31" x14ac:dyDescent="0.2">
      <c r="A237" s="7">
        <v>43023</v>
      </c>
      <c r="B237" s="13">
        <f ca="1">Prices!B236*(1+J237/(50*(ABS(O237)+ABS(T237)+0.0001)))</f>
        <v>1.1034927027978192</v>
      </c>
      <c r="C237" s="62">
        <f t="shared" ca="1" si="24"/>
        <v>0</v>
      </c>
      <c r="D237" s="13">
        <f ca="1">D236+C237*(Prices!B237-Prices!B236)/Prices!B236</f>
        <v>-4.4192026561970469E-3</v>
      </c>
      <c r="E237" s="13">
        <f t="shared" ca="1" si="25"/>
        <v>8.6702140392196023E-2</v>
      </c>
      <c r="F237" s="13">
        <f t="shared" ca="1" si="26"/>
        <v>8.2282937735998971E-2</v>
      </c>
      <c r="G237" s="21">
        <f ca="1">IF((Prices!B237-Prices!B236)*C237&gt;0,1,0)</f>
        <v>0</v>
      </c>
      <c r="H237" s="13">
        <f>ABS(Prices!B237-Prices!B236)/Prices!B236</f>
        <v>6.0403894698881433E-3</v>
      </c>
      <c r="I237" s="21"/>
      <c r="J237" s="4">
        <f t="shared" ca="1" si="27"/>
        <v>-1.6463227708535207E-2</v>
      </c>
      <c r="K237" s="13"/>
      <c r="L237" s="13">
        <f ca="1">L236-O237*Prices!B237</f>
        <v>0.49993276472136416</v>
      </c>
      <c r="M237" s="4">
        <f t="shared" ca="1" si="28"/>
        <v>0.4693101251761872</v>
      </c>
      <c r="N237" s="13">
        <f ca="1">IF(Prices!B236&gt;OFFSET(Prices!B236,-$N$3,0),1,-1)</f>
        <v>1</v>
      </c>
      <c r="O237" s="4">
        <f ca="1">IF(N237=1,O$3*L236/Prices!B236,-O$3*M236)</f>
        <v>2.371428810669849E-2</v>
      </c>
      <c r="P237" s="22"/>
      <c r="Q237" s="13">
        <f ca="1">Q236-T237*Prices!B237</f>
        <v>0.65851492239338294</v>
      </c>
      <c r="R237" s="4">
        <f t="shared" ca="1" si="29"/>
        <v>0.36159764233710323</v>
      </c>
      <c r="S237" s="13">
        <f ca="1">IF(Prices!D236&gt;OFFSET(Prices!D236,-S$3,0),1,-1)</f>
        <v>-1</v>
      </c>
      <c r="T237" s="4">
        <f ca="1">IF(S237=1,T$3*Q236/Prices!B236,-T$3*R236)</f>
        <v>-4.0177515815233697E-2</v>
      </c>
      <c r="V237" s="13"/>
      <c r="W237" s="4"/>
      <c r="X237" s="4"/>
      <c r="Y237" s="4"/>
      <c r="Z237" s="4"/>
      <c r="AA237" s="4"/>
      <c r="AB237" s="4"/>
      <c r="AC237" s="4"/>
      <c r="AD237" s="4"/>
      <c r="AE237" s="52"/>
    </row>
    <row r="238" spans="1:31" x14ac:dyDescent="0.2">
      <c r="A238" s="7">
        <v>43030</v>
      </c>
      <c r="B238" s="13">
        <f ca="1">Prices!B237*(1+J238/(50*(ABS(O238)+ABS(T238)+0.0001)))</f>
        <v>1.0804869190458548</v>
      </c>
      <c r="C238" s="62">
        <f t="shared" ca="1" si="24"/>
        <v>0</v>
      </c>
      <c r="D238" s="13">
        <f ca="1">D237+C238*(Prices!B238-Prices!B237)/Prices!B237</f>
        <v>-4.4192026561970469E-3</v>
      </c>
      <c r="E238" s="13">
        <f t="shared" ca="1" si="25"/>
        <v>8.6702140392196023E-2</v>
      </c>
      <c r="F238" s="13">
        <f t="shared" ca="1" si="26"/>
        <v>8.2282937735998971E-2</v>
      </c>
      <c r="G238" s="21">
        <f ca="1">IF((Prices!B238-Prices!B237)*C238&gt;0,1,0)</f>
        <v>0</v>
      </c>
      <c r="H238" s="13">
        <f>ABS(Prices!B238-Prices!B237)/Prices!B237</f>
        <v>6.1678004535146635E-3</v>
      </c>
      <c r="I238" s="21"/>
      <c r="J238" s="4">
        <f t="shared" ca="1" si="27"/>
        <v>-5.9625270492519686E-2</v>
      </c>
      <c r="K238" s="13"/>
      <c r="L238" s="13">
        <f ca="1">L237-O238*Prices!B238</f>
        <v>0.52596305081426142</v>
      </c>
      <c r="M238" s="4">
        <f t="shared" ca="1" si="28"/>
        <v>0.44584461891737781</v>
      </c>
      <c r="N238" s="13">
        <f ca="1">IF(Prices!B237&gt;OFFSET(Prices!B237,-$N$3,0),1,-1)</f>
        <v>-1</v>
      </c>
      <c r="O238" s="4">
        <f ca="1">IF(N238=1,O$3*L237/Prices!B237,-O$3*M237)</f>
        <v>-2.346550625880936E-2</v>
      </c>
      <c r="P238" s="22"/>
      <c r="Q238" s="13">
        <f ca="1">Q237-T238*Prices!B238</f>
        <v>0.69862694885783783</v>
      </c>
      <c r="R238" s="4">
        <f t="shared" ca="1" si="29"/>
        <v>0.32543787810339292</v>
      </c>
      <c r="S238" s="13">
        <f ca="1">IF(Prices!D237&gt;OFFSET(Prices!D237,-S$3,0),1,-1)</f>
        <v>-1</v>
      </c>
      <c r="T238" s="4">
        <f ca="1">IF(S238=1,T$3*Q237/Prices!B237,-T$3*R237)</f>
        <v>-3.6159764233710326E-2</v>
      </c>
      <c r="V238" s="13"/>
      <c r="W238" s="4"/>
      <c r="X238" s="4"/>
      <c r="Y238" s="4"/>
      <c r="Z238" s="4"/>
      <c r="AA238" s="4"/>
      <c r="AB238" s="4"/>
      <c r="AC238" s="4"/>
      <c r="AD238" s="4"/>
      <c r="AE238" s="52"/>
    </row>
    <row r="239" spans="1:31" x14ac:dyDescent="0.2">
      <c r="A239" s="7">
        <v>43037</v>
      </c>
      <c r="B239" s="13">
        <f ca="1">Prices!B238*(1+J239/(50*(ABS(O239)+ABS(T239)+0.0001)))</f>
        <v>1.1058208384138342</v>
      </c>
      <c r="C239" s="62">
        <f t="shared" ca="1" si="24"/>
        <v>0</v>
      </c>
      <c r="D239" s="13">
        <f ca="1">D238+C239*(Prices!B239-Prices!B238)/Prices!B238</f>
        <v>-4.4192026561970469E-3</v>
      </c>
      <c r="E239" s="13">
        <f t="shared" ca="1" si="25"/>
        <v>8.6702140392196023E-2</v>
      </c>
      <c r="F239" s="13">
        <f t="shared" ca="1" si="26"/>
        <v>8.2282937735998971E-2</v>
      </c>
      <c r="G239" s="21">
        <f ca="1">IF((Prices!B239-Prices!B238)*C239&gt;0,1,0)</f>
        <v>0</v>
      </c>
      <c r="H239" s="13">
        <f>ABS(Prices!B239-Prices!B238)/Prices!B238</f>
        <v>1.3251600108176271E-2</v>
      </c>
      <c r="I239" s="21"/>
      <c r="J239" s="4">
        <f t="shared" ca="1" si="27"/>
        <v>-8.8368081468460334E-3</v>
      </c>
      <c r="K239" s="13"/>
      <c r="L239" s="13">
        <f ca="1">L238-O239*Prices!B239</f>
        <v>0.50001339087460173</v>
      </c>
      <c r="M239" s="4">
        <f t="shared" ca="1" si="28"/>
        <v>0.46955159858087109</v>
      </c>
      <c r="N239" s="13">
        <f ca="1">IF(Prices!B238&gt;OFFSET(Prices!B238,-$N$3,0),1,-1)</f>
        <v>1</v>
      </c>
      <c r="O239" s="4">
        <f ca="1">IF(N239=1,O$3*L238/Prices!B238,-O$3*M238)</f>
        <v>2.370697966349326E-2</v>
      </c>
      <c r="P239" s="22"/>
      <c r="Q239" s="13">
        <f ca="1">Q238-T239*Prices!B239</f>
        <v>0.73424937899503517</v>
      </c>
      <c r="R239" s="4">
        <f t="shared" ca="1" si="29"/>
        <v>0.29289409029305363</v>
      </c>
      <c r="S239" s="13">
        <f ca="1">IF(Prices!D238&gt;OFFSET(Prices!D238,-S$3,0),1,-1)</f>
        <v>-1</v>
      </c>
      <c r="T239" s="4">
        <f ca="1">IF(S239=1,T$3*Q238/Prices!B238,-T$3*R238)</f>
        <v>-3.2543787810339293E-2</v>
      </c>
      <c r="V239" s="13"/>
      <c r="W239" s="4"/>
      <c r="X239" s="4"/>
      <c r="Y239" s="4"/>
      <c r="Z239" s="4"/>
      <c r="AA239" s="4"/>
      <c r="AB239" s="4"/>
      <c r="AC239" s="4"/>
      <c r="AD239" s="4"/>
      <c r="AE239" s="52"/>
    </row>
    <row r="240" spans="1:31" x14ac:dyDescent="0.2">
      <c r="A240" s="7">
        <v>43044</v>
      </c>
      <c r="B240" s="13">
        <f ca="1">Prices!B239*(1+J240/(50*(ABS(O240)+ABS(T240)+0.0001)))</f>
        <v>1.0727494095836199</v>
      </c>
      <c r="C240" s="62">
        <f t="shared" ca="1" si="24"/>
        <v>0</v>
      </c>
      <c r="D240" s="13">
        <f ca="1">D239+C240*(Prices!B240-Prices!B239)/Prices!B239</f>
        <v>-4.4192026561970469E-3</v>
      </c>
      <c r="E240" s="13">
        <f t="shared" ca="1" si="25"/>
        <v>8.6702140392196023E-2</v>
      </c>
      <c r="F240" s="13">
        <f t="shared" ca="1" si="26"/>
        <v>8.2282937735998971E-2</v>
      </c>
      <c r="G240" s="21">
        <f ca="1">IF((Prices!B240-Prices!B239)*C240&gt;0,1,0)</f>
        <v>0</v>
      </c>
      <c r="H240" s="13">
        <f>ABS(Prices!B240-Prices!B239)/Prices!B239</f>
        <v>1.050612095742743E-2</v>
      </c>
      <c r="I240" s="21"/>
      <c r="J240" s="4">
        <f t="shared" ca="1" si="27"/>
        <v>-5.2766988958348922E-2</v>
      </c>
      <c r="K240" s="13"/>
      <c r="L240" s="13">
        <f ca="1">L239-O240*Prices!B240</f>
        <v>0.52544195769574875</v>
      </c>
      <c r="M240" s="4">
        <f t="shared" ca="1" si="28"/>
        <v>0.44607401865182755</v>
      </c>
      <c r="N240" s="13">
        <f ca="1">IF(Prices!B239&gt;OFFSET(Prices!B239,-$N$3,0),1,-1)</f>
        <v>-1</v>
      </c>
      <c r="O240" s="4">
        <f ca="1">IF(N240=1,O$3*L239/Prices!B239,-O$3*M239)</f>
        <v>-2.3477579929043556E-2</v>
      </c>
      <c r="P240" s="22"/>
      <c r="Q240" s="13">
        <f ca="1">Q239-T240*Prices!B240</f>
        <v>0.76597273791467579</v>
      </c>
      <c r="R240" s="4">
        <f t="shared" ca="1" si="29"/>
        <v>0.26360468126374825</v>
      </c>
      <c r="S240" s="13">
        <f ca="1">IF(Prices!D239&gt;OFFSET(Prices!D239,-S$3,0),1,-1)</f>
        <v>-1</v>
      </c>
      <c r="T240" s="4">
        <f ca="1">IF(S240=1,T$3*Q239/Prices!B239,-T$3*R239)</f>
        <v>-2.9289409029305366E-2</v>
      </c>
      <c r="V240" s="13"/>
      <c r="W240" s="4"/>
      <c r="X240" s="4"/>
      <c r="Y240" s="4"/>
      <c r="Z240" s="4"/>
      <c r="AA240" s="4"/>
      <c r="AB240" s="4"/>
      <c r="AC240" s="4"/>
      <c r="AD240" s="4"/>
      <c r="AE240" s="52"/>
    </row>
    <row r="241" spans="1:31" x14ac:dyDescent="0.2">
      <c r="A241" s="7">
        <v>43051</v>
      </c>
      <c r="B241" s="13">
        <f ca="1">Prices!B240*(1+J241/(50*(ABS(O241)+ABS(T241)+0.0001)))</f>
        <v>1.0614824219606691</v>
      </c>
      <c r="C241" s="62">
        <f t="shared" ca="1" si="24"/>
        <v>0</v>
      </c>
      <c r="D241" s="13">
        <f ca="1">D240+C241*(Prices!B241-Prices!B240)/Prices!B240</f>
        <v>-4.4192026561970469E-3</v>
      </c>
      <c r="E241" s="13">
        <f t="shared" ca="1" si="25"/>
        <v>8.6702140392196023E-2</v>
      </c>
      <c r="F241" s="13">
        <f t="shared" ca="1" si="26"/>
        <v>8.2282937735998971E-2</v>
      </c>
      <c r="G241" s="21">
        <f ca="1">IF((Prices!B241-Prices!B240)*C241&gt;0,1,0)</f>
        <v>0</v>
      </c>
      <c r="H241" s="13">
        <f>ABS(Prices!B241-Prices!B240)/Prices!B240</f>
        <v>1.4772412519620034E-3</v>
      </c>
      <c r="I241" s="21"/>
      <c r="J241" s="4">
        <f t="shared" ca="1" si="27"/>
        <v>-4.86641690589662E-2</v>
      </c>
      <c r="K241" s="13"/>
      <c r="L241" s="13">
        <f ca="1">L240-O241*Prices!B241</f>
        <v>0.54963478209733063</v>
      </c>
      <c r="M241" s="4">
        <f t="shared" ca="1" si="28"/>
        <v>0.42377031771923618</v>
      </c>
      <c r="N241" s="13">
        <f ca="1">IF(Prices!B240&gt;OFFSET(Prices!B240,-$N$3,0),1,-1)</f>
        <v>-1</v>
      </c>
      <c r="O241" s="4">
        <f ca="1">IF(N241=1,O$3*L240/Prices!B240,-O$3*M240)</f>
        <v>-2.2303700932591378E-2</v>
      </c>
      <c r="P241" s="22"/>
      <c r="Q241" s="13">
        <f ca="1">Q240-T241*Prices!B241</f>
        <v>0.79456593769135453</v>
      </c>
      <c r="R241" s="4">
        <f t="shared" ca="1" si="29"/>
        <v>0.23724421313737343</v>
      </c>
      <c r="S241" s="13">
        <f ca="1">IF(Prices!D240&gt;OFFSET(Prices!D240,-S$3,0),1,-1)</f>
        <v>-1</v>
      </c>
      <c r="T241" s="4">
        <f ca="1">IF(S241=1,T$3*Q240/Prices!B240,-T$3*R240)</f>
        <v>-2.6360468126374825E-2</v>
      </c>
      <c r="V241" s="13"/>
      <c r="W241" s="4"/>
      <c r="X241" s="4"/>
      <c r="Y241" s="4"/>
      <c r="Z241" s="4"/>
      <c r="AA241" s="4"/>
      <c r="AB241" s="4"/>
      <c r="AC241" s="4"/>
      <c r="AD241" s="4"/>
      <c r="AE241" s="52"/>
    </row>
    <row r="242" spans="1:31" x14ac:dyDescent="0.2">
      <c r="A242" s="7">
        <v>43058</v>
      </c>
      <c r="B242" s="13">
        <f ca="1">Prices!B241*(1+J242/(50*(ABS(O242)+ABS(T242)+0.0001)))</f>
        <v>1.0630541950331385</v>
      </c>
      <c r="C242" s="62">
        <f t="shared" ca="1" si="24"/>
        <v>0</v>
      </c>
      <c r="D242" s="13">
        <f ca="1">D241+C242*(Prices!B242-Prices!B241)/Prices!B241</f>
        <v>-4.4192026561970469E-3</v>
      </c>
      <c r="E242" s="13">
        <f t="shared" ca="1" si="25"/>
        <v>8.6702140392196023E-2</v>
      </c>
      <c r="F242" s="13">
        <f t="shared" ca="1" si="26"/>
        <v>8.2282937735998971E-2</v>
      </c>
      <c r="G242" s="21">
        <f ca="1">IF((Prices!B242-Prices!B241)*C242&gt;0,1,0)</f>
        <v>0</v>
      </c>
      <c r="H242" s="13">
        <f>ABS(Prices!B242-Prices!B241)/Prices!B241</f>
        <v>1.6502258689038467E-2</v>
      </c>
      <c r="I242" s="21"/>
      <c r="J242" s="4">
        <f t="shared" ca="1" si="27"/>
        <v>-4.4912937199699153E-2</v>
      </c>
      <c r="K242" s="13"/>
      <c r="L242" s="13">
        <f ca="1">L241-O242*Prices!B242</f>
        <v>0.57299723971319216</v>
      </c>
      <c r="M242" s="4">
        <f t="shared" ca="1" si="28"/>
        <v>0.40258180183327436</v>
      </c>
      <c r="N242" s="13">
        <f ca="1">IF(Prices!B241&gt;OFFSET(Prices!B241,-$N$3,0),1,-1)</f>
        <v>-1</v>
      </c>
      <c r="O242" s="4">
        <f ca="1">IF(N242=1,O$3*L241/Prices!B241,-O$3*M241)</f>
        <v>-2.1188515885961809E-2</v>
      </c>
      <c r="P242" s="22"/>
      <c r="Q242" s="13">
        <f ca="1">Q241-T242*Prices!B242</f>
        <v>0.8207244846318813</v>
      </c>
      <c r="R242" s="4">
        <f t="shared" ca="1" si="29"/>
        <v>0.21351979182363609</v>
      </c>
      <c r="S242" s="13">
        <f ca="1">IF(Prices!D241&gt;OFFSET(Prices!D241,-S$3,0),1,-1)</f>
        <v>-1</v>
      </c>
      <c r="T242" s="4">
        <f ca="1">IF(S242=1,T$3*Q241/Prices!B241,-T$3*R241)</f>
        <v>-2.3724421313737344E-2</v>
      </c>
      <c r="V242" s="13"/>
      <c r="W242" s="4"/>
      <c r="X242" s="4"/>
      <c r="Y242" s="4"/>
      <c r="Z242" s="4"/>
      <c r="AA242" s="4"/>
      <c r="AB242" s="4"/>
      <c r="AC242" s="4"/>
      <c r="AD242" s="4"/>
      <c r="AE242" s="52"/>
    </row>
    <row r="243" spans="1:31" x14ac:dyDescent="0.2">
      <c r="A243" s="7">
        <v>43065</v>
      </c>
      <c r="B243" s="13">
        <f ca="1">Prices!B242*(1+J243/(50*(ABS(O243)+ABS(T243)+0.0001)))</f>
        <v>1.0806010337492158</v>
      </c>
      <c r="C243" s="62">
        <f t="shared" ca="1" si="24"/>
        <v>0</v>
      </c>
      <c r="D243" s="13">
        <f ca="1">D242+C243*(Prices!B243-Prices!B242)/Prices!B242</f>
        <v>-4.4192026561970469E-3</v>
      </c>
      <c r="E243" s="13">
        <f t="shared" ca="1" si="25"/>
        <v>8.6702140392196023E-2</v>
      </c>
      <c r="F243" s="13">
        <f t="shared" ca="1" si="26"/>
        <v>8.2282937735998971E-2</v>
      </c>
      <c r="G243" s="21">
        <f ca="1">IF((Prices!B243-Prices!B242)*C243&gt;0,1,0)</f>
        <v>0</v>
      </c>
      <c r="H243" s="13">
        <f>ABS(Prices!B243-Prices!B242)/Prices!B242</f>
        <v>2.3399238164338875E-2</v>
      </c>
      <c r="I243" s="21"/>
      <c r="J243" s="4">
        <f t="shared" ca="1" si="27"/>
        <v>-4.1481069274027331E-2</v>
      </c>
      <c r="K243" s="13"/>
      <c r="L243" s="13">
        <f ca="1">L242-O243*Prices!B243</f>
        <v>0.59571090497262547</v>
      </c>
      <c r="M243" s="4">
        <f t="shared" ca="1" si="28"/>
        <v>0.38245271174161066</v>
      </c>
      <c r="N243" s="13">
        <f ca="1">IF(Prices!B242&gt;OFFSET(Prices!B242,-$N$3,0),1,-1)</f>
        <v>-1</v>
      </c>
      <c r="O243" s="4">
        <f ca="1">IF(N243=1,O$3*L242/Prices!B242,-O$3*M242)</f>
        <v>-2.0129090091663721E-2</v>
      </c>
      <c r="P243" s="22"/>
      <c r="Q243" s="13">
        <f ca="1">Q242-T243*Prices!B243</f>
        <v>0.84481805794126041</v>
      </c>
      <c r="R243" s="4">
        <f t="shared" ca="1" si="29"/>
        <v>0.19216781264127247</v>
      </c>
      <c r="S243" s="13">
        <f ca="1">IF(Prices!D242&gt;OFFSET(Prices!D242,-S$3,0),1,-1)</f>
        <v>-1</v>
      </c>
      <c r="T243" s="4">
        <f ca="1">IF(S243=1,T$3*Q242/Prices!B242,-T$3*R242)</f>
        <v>-2.135197918236361E-2</v>
      </c>
      <c r="V243" s="13"/>
      <c r="W243" s="4"/>
      <c r="X243" s="4"/>
      <c r="Y243" s="4"/>
      <c r="Z243" s="4"/>
      <c r="AA243" s="4"/>
      <c r="AB243" s="4"/>
      <c r="AC243" s="4"/>
      <c r="AD243" s="4"/>
      <c r="AE243" s="52"/>
    </row>
    <row r="244" spans="1:31" x14ac:dyDescent="0.2">
      <c r="A244" s="7">
        <v>43072</v>
      </c>
      <c r="B244" s="13">
        <f ca="1">Prices!B243*(1+J244/(50*(ABS(O244)+ABS(T244)+0.0001)))</f>
        <v>1.1319444276678645</v>
      </c>
      <c r="C244" s="62">
        <f t="shared" ca="1" si="24"/>
        <v>1</v>
      </c>
      <c r="D244" s="13">
        <f ca="1">D243+C244*(Prices!B244-Prices!B243)/Prices!B243</f>
        <v>-2.0105129632446643E-2</v>
      </c>
      <c r="E244" s="13">
        <f t="shared" ca="1" si="25"/>
        <v>0.10238806736844561</v>
      </c>
      <c r="F244" s="13">
        <f t="shared" ca="1" si="26"/>
        <v>8.2282937735998971E-2</v>
      </c>
      <c r="G244" s="21">
        <f ca="1">IF((Prices!B244-Prices!B243)*C244&gt;0,1,0)</f>
        <v>0</v>
      </c>
      <c r="H244" s="13">
        <f>ABS(Prices!B244-Prices!B243)/Prices!B243</f>
        <v>1.5685926976249598E-2</v>
      </c>
      <c r="I244" s="21"/>
      <c r="J244" s="4">
        <f t="shared" ca="1" si="27"/>
        <v>7.1794835786867101E-3</v>
      </c>
      <c r="K244" s="13"/>
      <c r="L244" s="13">
        <f ca="1">L243-O244*Prices!B244</f>
        <v>0.56639257361171202</v>
      </c>
      <c r="M244" s="4">
        <f t="shared" ca="1" si="28"/>
        <v>0.40884897658442465</v>
      </c>
      <c r="N244" s="13">
        <f ca="1">IF(Prices!B243&gt;OFFSET(Prices!B243,-$N$3,0),1,-1)</f>
        <v>1</v>
      </c>
      <c r="O244" s="4">
        <f ca="1">IF(N244=1,O$3*L243/Prices!B243,-O$3*M243)</f>
        <v>2.639626484281396E-2</v>
      </c>
      <c r="P244" s="22"/>
      <c r="Q244" s="13">
        <f ca="1">Q243-T244*Prices!B244</f>
        <v>0.8661621368913266</v>
      </c>
      <c r="R244" s="4">
        <f t="shared" ca="1" si="29"/>
        <v>0.17295103137714524</v>
      </c>
      <c r="S244" s="13">
        <f ca="1">IF(Prices!D243&gt;OFFSET(Prices!D243,-S$3,0),1,-1)</f>
        <v>-1</v>
      </c>
      <c r="T244" s="4">
        <f ca="1">IF(S244=1,T$3*Q243/Prices!B243,-T$3*R243)</f>
        <v>-1.921678126412725E-2</v>
      </c>
      <c r="V244" s="13"/>
      <c r="W244" s="4"/>
      <c r="X244" s="4"/>
      <c r="Y244" s="4"/>
      <c r="Z244" s="4"/>
      <c r="AA244" s="4"/>
      <c r="AB244" s="4"/>
      <c r="AC244" s="4"/>
      <c r="AD244" s="4"/>
      <c r="AE244" s="52"/>
    </row>
    <row r="245" spans="1:31" x14ac:dyDescent="0.2">
      <c r="A245" s="7">
        <v>43079</v>
      </c>
      <c r="B245" s="13">
        <f ca="1">Prices!B244*(1+J245/(50*(ABS(O245)+ABS(T245)+0.0001)))</f>
        <v>1.1149478385414802</v>
      </c>
      <c r="C245" s="62">
        <f t="shared" ca="1" si="24"/>
        <v>1</v>
      </c>
      <c r="D245" s="13">
        <f ca="1">D244+C245*(Prices!B245-Prices!B244)/Prices!B244</f>
        <v>-5.7829087496856516E-2</v>
      </c>
      <c r="E245" s="13">
        <f t="shared" ca="1" si="25"/>
        <v>0.14011202523285549</v>
      </c>
      <c r="F245" s="13">
        <f t="shared" ca="1" si="26"/>
        <v>8.2282937735998971E-2</v>
      </c>
      <c r="G245" s="21">
        <f ca="1">IF((Prices!B245-Prices!B244)*C245&gt;0,1,0)</f>
        <v>0</v>
      </c>
      <c r="H245" s="13">
        <f>ABS(Prices!B245-Prices!B244)/Prices!B244</f>
        <v>3.7723957864409872E-2</v>
      </c>
      <c r="I245" s="21"/>
      <c r="J245" s="4">
        <f t="shared" ca="1" si="27"/>
        <v>8.2019966017161071E-3</v>
      </c>
      <c r="K245" s="13"/>
      <c r="L245" s="13">
        <f ca="1">L244-O245*Prices!B245</f>
        <v>0.53914127341020857</v>
      </c>
      <c r="M245" s="4">
        <f t="shared" ca="1" si="28"/>
        <v>0.4343460763238553</v>
      </c>
      <c r="N245" s="13">
        <f ca="1">IF(Prices!B244&gt;OFFSET(Prices!B244,-$N$3,0),1,-1)</f>
        <v>1</v>
      </c>
      <c r="O245" s="4">
        <f ca="1">IF(N245=1,O$3*L244/Prices!B244,-O$3*M244)</f>
        <v>2.549709973943063E-2</v>
      </c>
      <c r="P245" s="22"/>
      <c r="Q245" s="13">
        <f ca="1">Q244-T245*Prices!B245</f>
        <v>0.88464714312491588</v>
      </c>
      <c r="R245" s="4">
        <f t="shared" ca="1" si="29"/>
        <v>0.15565592823943072</v>
      </c>
      <c r="S245" s="13">
        <f ca="1">IF(Prices!D244&gt;OFFSET(Prices!D244,-S$3,0),1,-1)</f>
        <v>-1</v>
      </c>
      <c r="T245" s="4">
        <f ca="1">IF(S245=1,T$3*Q244/Prices!B244,-T$3*R244)</f>
        <v>-1.7295103137714523E-2</v>
      </c>
      <c r="V245" s="13"/>
      <c r="W245" s="4"/>
      <c r="X245" s="4"/>
      <c r="Y245" s="4"/>
      <c r="Z245" s="4"/>
      <c r="AA245" s="4"/>
      <c r="AB245" s="4"/>
      <c r="AC245" s="4"/>
      <c r="AD245" s="4"/>
      <c r="AE245" s="52"/>
    </row>
    <row r="246" spans="1:31" x14ac:dyDescent="0.2">
      <c r="A246" s="7">
        <v>43086</v>
      </c>
      <c r="B246" s="13">
        <f ca="1">Prices!B245*(1+J246/(50*(ABS(O246)+ABS(T246)+0.0001)))</f>
        <v>1.0474811812297098</v>
      </c>
      <c r="C246" s="62">
        <f t="shared" ca="1" si="24"/>
        <v>0</v>
      </c>
      <c r="D246" s="13">
        <f ca="1">D245+C246*(Prices!B246-Prices!B245)/Prices!B245</f>
        <v>-5.7829087496856516E-2</v>
      </c>
      <c r="E246" s="13">
        <f t="shared" ca="1" si="25"/>
        <v>0.14011202523285549</v>
      </c>
      <c r="F246" s="13">
        <f t="shared" ca="1" si="26"/>
        <v>8.2282937735998971E-2</v>
      </c>
      <c r="G246" s="21">
        <f ca="1">IF((Prices!B246-Prices!B245)*C246&gt;0,1,0)</f>
        <v>0</v>
      </c>
      <c r="H246" s="13">
        <f>ABS(Prices!B246-Prices!B245)/Prices!B245</f>
        <v>4.2383982035928254E-2</v>
      </c>
      <c r="I246" s="21"/>
      <c r="J246" s="4">
        <f t="shared" ca="1" si="27"/>
        <v>-3.7282896640135843E-2</v>
      </c>
      <c r="K246" s="13"/>
      <c r="L246" s="13">
        <f ca="1">L245-O246*Prices!B246</f>
        <v>0.5633365215918289</v>
      </c>
      <c r="M246" s="4">
        <f t="shared" ca="1" si="28"/>
        <v>0.41262877250766256</v>
      </c>
      <c r="N246" s="13">
        <f ca="1">IF(Prices!B245&gt;OFFSET(Prices!B245,-$N$3,0),1,-1)</f>
        <v>-1</v>
      </c>
      <c r="O246" s="4">
        <f ca="1">IF(N246=1,O$3*L245/Prices!B245,-O$3*M245)</f>
        <v>-2.1717303816192766E-2</v>
      </c>
      <c r="P246" s="22"/>
      <c r="Q246" s="13">
        <f ca="1">Q245-T246*Prices!B246</f>
        <v>0.90198877009007083</v>
      </c>
      <c r="R246" s="4">
        <f t="shared" ca="1" si="29"/>
        <v>0.14009033541548765</v>
      </c>
      <c r="S246" s="13">
        <f ca="1">IF(Prices!D245&gt;OFFSET(Prices!D245,-S$3,0),1,-1)</f>
        <v>-1</v>
      </c>
      <c r="T246" s="4">
        <f ca="1">IF(S246=1,T$3*Q245/Prices!B245,-T$3*R245)</f>
        <v>-1.5565592823943073E-2</v>
      </c>
      <c r="V246" s="13"/>
      <c r="W246" s="4"/>
      <c r="X246" s="4"/>
      <c r="Y246" s="4"/>
      <c r="Z246" s="4"/>
      <c r="AA246" s="4"/>
      <c r="AB246" s="4"/>
      <c r="AC246" s="4"/>
      <c r="AD246" s="4"/>
      <c r="AE246" s="52"/>
    </row>
    <row r="247" spans="1:31" x14ac:dyDescent="0.2">
      <c r="A247" s="7">
        <v>43093</v>
      </c>
      <c r="B247" s="13">
        <f ca="1">Prices!B246*(1+J247/(50*(ABS(O247)+ABS(T247)+0.0001)))</f>
        <v>1.1204767399779669</v>
      </c>
      <c r="C247" s="62">
        <f t="shared" ca="1" si="24"/>
        <v>1</v>
      </c>
      <c r="D247" s="13">
        <f ca="1">D246+C247*(Prices!B247-Prices!B246)/Prices!B246</f>
        <v>-8.8346994327482165E-2</v>
      </c>
      <c r="E247" s="13">
        <f t="shared" ca="1" si="25"/>
        <v>0.17062993206348115</v>
      </c>
      <c r="F247" s="13">
        <f t="shared" ca="1" si="26"/>
        <v>8.2282937735998971E-2</v>
      </c>
      <c r="G247" s="21">
        <f ca="1">IF((Prices!B247-Prices!B246)*C247&gt;0,1,0)</f>
        <v>0</v>
      </c>
      <c r="H247" s="13">
        <f>ABS(Prices!B247-Prices!B246)/Prices!B246</f>
        <v>3.0517906830625642E-2</v>
      </c>
      <c r="I247" s="21"/>
      <c r="J247" s="4">
        <f t="shared" ca="1" si="27"/>
        <v>1.1273100988198512E-2</v>
      </c>
      <c r="K247" s="13"/>
      <c r="L247" s="13">
        <f ca="1">L246-O247*Prices!B247</f>
        <v>0.53602928808624883</v>
      </c>
      <c r="M247" s="4">
        <f t="shared" ca="1" si="28"/>
        <v>0.43791090703740981</v>
      </c>
      <c r="N247" s="13">
        <f ca="1">IF(Prices!B246&gt;OFFSET(Prices!B246,-$N$3,0),1,-1)</f>
        <v>1</v>
      </c>
      <c r="O247" s="4">
        <f ca="1">IF(N247=1,O$3*L246/Prices!B246,-O$3*M246)</f>
        <v>2.5282134529747279E-2</v>
      </c>
      <c r="P247" s="22"/>
      <c r="Q247" s="13">
        <f ca="1">Q246-T247*Prices!B247</f>
        <v>0.91711992721829771</v>
      </c>
      <c r="R247" s="4">
        <f t="shared" ca="1" si="29"/>
        <v>0.1260813018739389</v>
      </c>
      <c r="S247" s="13">
        <f ca="1">IF(Prices!D246&gt;OFFSET(Prices!D246,-S$3,0),1,-1)</f>
        <v>-1</v>
      </c>
      <c r="T247" s="4">
        <f ca="1">IF(S247=1,T$3*Q246/Prices!B246,-T$3*R246)</f>
        <v>-1.4009033541548766E-2</v>
      </c>
      <c r="V247" s="13"/>
      <c r="W247" s="4"/>
      <c r="X247" s="4"/>
      <c r="Y247" s="4"/>
      <c r="Z247" s="4"/>
      <c r="AA247" s="4"/>
      <c r="AB247" s="4"/>
      <c r="AC247" s="4"/>
      <c r="AD247" s="4"/>
      <c r="AE247" s="52"/>
    </row>
    <row r="248" spans="1:31" x14ac:dyDescent="0.2">
      <c r="A248" s="7">
        <v>43100</v>
      </c>
      <c r="B248" s="13">
        <f ca="1">Prices!B247*(1+J248/(50*(ABS(O248)+ABS(T248)+0.0001)))</f>
        <v>1.0585604268944364</v>
      </c>
      <c r="C248" s="62">
        <f t="shared" ca="1" si="24"/>
        <v>0</v>
      </c>
      <c r="D248" s="13">
        <f ca="1">D247+C248*(Prices!B248-Prices!B247)/Prices!B247</f>
        <v>-8.8346994327482165E-2</v>
      </c>
      <c r="E248" s="13">
        <f t="shared" ca="1" si="25"/>
        <v>0.17062993206348115</v>
      </c>
      <c r="F248" s="13">
        <f t="shared" ca="1" si="26"/>
        <v>8.2282937735998971E-2</v>
      </c>
      <c r="G248" s="21">
        <f ca="1">IF((Prices!B248-Prices!B247)*C248&gt;0,1,0)</f>
        <v>0</v>
      </c>
      <c r="H248" s="13">
        <f>ABS(Prices!B248-Prices!B247)/Prices!B247</f>
        <v>1.2591426719748224E-2</v>
      </c>
      <c r="I248" s="21"/>
      <c r="J248" s="4">
        <f t="shared" ca="1" si="27"/>
        <v>-3.4503675539264381E-2</v>
      </c>
      <c r="K248" s="13"/>
      <c r="L248" s="13">
        <f ca="1">L247-O248*Prices!B248</f>
        <v>0.55997644603758956</v>
      </c>
      <c r="M248" s="4">
        <f t="shared" ca="1" si="28"/>
        <v>0.41601536168553932</v>
      </c>
      <c r="N248" s="13">
        <f ca="1">IF(Prices!B247&gt;OFFSET(Prices!B247,-$N$3,0),1,-1)</f>
        <v>-1</v>
      </c>
      <c r="O248" s="4">
        <f ca="1">IF(N248=1,O$3*L247/Prices!B247,-O$3*M247)</f>
        <v>-2.1895545351870493E-2</v>
      </c>
      <c r="P248" s="22"/>
      <c r="Q248" s="13">
        <f ca="1">Q247-T248*Prices!B248</f>
        <v>0.9309094392042504</v>
      </c>
      <c r="R248" s="4">
        <f t="shared" ca="1" si="29"/>
        <v>0.11347317168654501</v>
      </c>
      <c r="S248" s="13">
        <f ca="1">IF(Prices!D247&gt;OFFSET(Prices!D247,-S$3,0),1,-1)</f>
        <v>-1</v>
      </c>
      <c r="T248" s="4">
        <f ca="1">IF(S248=1,T$3*Q247/Prices!B247,-T$3*R247)</f>
        <v>-1.2608130187393891E-2</v>
      </c>
      <c r="V248" s="13"/>
      <c r="W248" s="4"/>
      <c r="X248" s="4"/>
      <c r="Y248" s="4"/>
      <c r="Z248" s="4"/>
      <c r="AA248" s="4"/>
      <c r="AB248" s="4"/>
      <c r="AC248" s="4"/>
      <c r="AD248" s="4"/>
      <c r="AE248" s="52"/>
    </row>
    <row r="249" spans="1:31" x14ac:dyDescent="0.2">
      <c r="A249" s="7">
        <v>43107</v>
      </c>
      <c r="B249" s="13">
        <f ca="1">Prices!B248*(1+J249/(50*(ABS(O249)+ABS(T249)+0.0001)))</f>
        <v>1.071893830383815</v>
      </c>
      <c r="C249" s="62">
        <f t="shared" ca="1" si="24"/>
        <v>0</v>
      </c>
      <c r="D249" s="13">
        <f ca="1">D248+C249*(Prices!B249-Prices!B248)/Prices!B248</f>
        <v>-8.8346994327482165E-2</v>
      </c>
      <c r="E249" s="13">
        <f t="shared" ca="1" si="25"/>
        <v>0.17062993206348115</v>
      </c>
      <c r="F249" s="13">
        <f t="shared" ca="1" si="26"/>
        <v>8.2282937735998971E-2</v>
      </c>
      <c r="G249" s="21">
        <f ca="1">IF((Prices!B249-Prices!B248)*C249&gt;0,1,0)</f>
        <v>0</v>
      </c>
      <c r="H249" s="13">
        <f>ABS(Prices!B249-Prices!B248)/Prices!B248</f>
        <v>5.6688305751121919E-3</v>
      </c>
      <c r="I249" s="21"/>
      <c r="J249" s="4">
        <f t="shared" ca="1" si="27"/>
        <v>-3.2148085252931474E-2</v>
      </c>
      <c r="K249" s="13"/>
      <c r="L249" s="13">
        <f ca="1">L248-O249*Prices!B249</f>
        <v>0.58259728132924071</v>
      </c>
      <c r="M249" s="4">
        <f t="shared" ca="1" si="28"/>
        <v>0.39521459360126238</v>
      </c>
      <c r="N249" s="13">
        <f ca="1">IF(Prices!B248&gt;OFFSET(Prices!B248,-$N$3,0),1,-1)</f>
        <v>-1</v>
      </c>
      <c r="O249" s="4">
        <f ca="1">IF(N249=1,O$3*L248/Prices!B248,-O$3*M248)</f>
        <v>-2.0800768084276968E-2</v>
      </c>
      <c r="P249" s="22"/>
      <c r="Q249" s="13">
        <f ca="1">Q248-T249*Prices!B249</f>
        <v>0.9432496466251622</v>
      </c>
      <c r="R249" s="4">
        <f t="shared" ca="1" si="29"/>
        <v>0.10212585451789051</v>
      </c>
      <c r="S249" s="13">
        <f ca="1">IF(Prices!D248&gt;OFFSET(Prices!D248,-S$3,0),1,-1)</f>
        <v>-1</v>
      </c>
      <c r="T249" s="4">
        <f ca="1">IF(S249=1,T$3*Q248/Prices!B248,-T$3*R248)</f>
        <v>-1.1347317168654503E-2</v>
      </c>
      <c r="V249" s="13"/>
      <c r="W249" s="4"/>
      <c r="X249" s="4"/>
      <c r="Y249" s="4"/>
      <c r="Z249" s="4"/>
      <c r="AA249" s="4"/>
      <c r="AB249" s="4"/>
      <c r="AC249" s="4"/>
      <c r="AD249" s="4"/>
      <c r="AE249" s="52"/>
    </row>
    <row r="250" spans="1:31" x14ac:dyDescent="0.2">
      <c r="A250" s="7">
        <v>43114</v>
      </c>
      <c r="B250" s="13">
        <f ca="1">Prices!B249*(1+J250/(50*(ABS(O250)+ABS(T250)+0.0001)))</f>
        <v>1.0658223232537039</v>
      </c>
      <c r="C250" s="62">
        <f t="shared" ca="1" si="24"/>
        <v>0</v>
      </c>
      <c r="D250" s="13">
        <f ca="1">D249+C250*(Prices!B250-Prices!B249)/Prices!B249</f>
        <v>-8.8346994327482165E-2</v>
      </c>
      <c r="E250" s="13">
        <f t="shared" ca="1" si="25"/>
        <v>0.17062993206348115</v>
      </c>
      <c r="F250" s="13">
        <f t="shared" ca="1" si="26"/>
        <v>8.2282937735998971E-2</v>
      </c>
      <c r="G250" s="21">
        <f ca="1">IF((Prices!B250-Prices!B249)*C250&gt;0,1,0)</f>
        <v>0</v>
      </c>
      <c r="H250" s="13">
        <f>ABS(Prices!B250-Prices!B249)/Prices!B249</f>
        <v>4.7816091954021806E-3</v>
      </c>
      <c r="I250" s="21"/>
      <c r="J250" s="4">
        <f t="shared" ca="1" si="27"/>
        <v>-2.9973315131852175E-2</v>
      </c>
      <c r="K250" s="13"/>
      <c r="L250" s="13">
        <f ca="1">L249-O250*Prices!B250</f>
        <v>0.60398431906197303</v>
      </c>
      <c r="M250" s="4">
        <f t="shared" ca="1" si="28"/>
        <v>0.37545386392119928</v>
      </c>
      <c r="N250" s="13">
        <f ca="1">IF(Prices!B249&gt;OFFSET(Prices!B249,-$N$3,0),1,-1)</f>
        <v>-1</v>
      </c>
      <c r="O250" s="4">
        <f ca="1">IF(N250=1,O$3*L249/Prices!B249,-O$3*M249)</f>
        <v>-1.9760729680063122E-2</v>
      </c>
      <c r="P250" s="22"/>
      <c r="Q250" s="13">
        <f ca="1">Q249-T250*Prices!B250</f>
        <v>0.95430272785963344</v>
      </c>
      <c r="R250" s="4">
        <f t="shared" ca="1" si="29"/>
        <v>9.1913269066101463E-2</v>
      </c>
      <c r="S250" s="13">
        <f ca="1">IF(Prices!D249&gt;OFFSET(Prices!D249,-S$3,0),1,-1)</f>
        <v>-1</v>
      </c>
      <c r="T250" s="4">
        <f ca="1">IF(S250=1,T$3*Q249/Prices!B249,-T$3*R249)</f>
        <v>-1.0212585451789052E-2</v>
      </c>
      <c r="V250" s="13"/>
      <c r="W250" s="4"/>
      <c r="X250" s="4"/>
      <c r="Y250" s="4"/>
      <c r="Z250" s="4"/>
      <c r="AA250" s="4"/>
      <c r="AB250" s="4"/>
      <c r="AC250" s="4"/>
      <c r="AD250" s="4"/>
      <c r="AE250" s="52"/>
    </row>
    <row r="251" spans="1:31" x14ac:dyDescent="0.2">
      <c r="A251" s="7">
        <v>43121</v>
      </c>
      <c r="B251" s="13">
        <f ca="1">Prices!B250*(1+J251/(50*(ABS(O251)+ABS(T251)+0.0001)))</f>
        <v>1.0607311307885359</v>
      </c>
      <c r="C251" s="62">
        <f t="shared" ca="1" si="24"/>
        <v>0</v>
      </c>
      <c r="D251" s="13">
        <f ca="1">D250+C251*(Prices!B251-Prices!B250)/Prices!B250</f>
        <v>-8.8346994327482165E-2</v>
      </c>
      <c r="E251" s="13">
        <f t="shared" ca="1" si="25"/>
        <v>0.17062993206348115</v>
      </c>
      <c r="F251" s="13">
        <f t="shared" ca="1" si="26"/>
        <v>8.2282937735998971E-2</v>
      </c>
      <c r="G251" s="21">
        <f ca="1">IF((Prices!B251-Prices!B250)*C251&gt;0,1,0)</f>
        <v>0</v>
      </c>
      <c r="H251" s="13">
        <f>ABS(Prices!B251-Prices!B250)/Prices!B250</f>
        <v>1.4598540145985434E-2</v>
      </c>
      <c r="I251" s="21"/>
      <c r="J251" s="4">
        <f t="shared" ca="1" si="27"/>
        <v>-2.7964020102670115E-2</v>
      </c>
      <c r="K251" s="13"/>
      <c r="L251" s="13">
        <f ca="1">L250-O251*Prices!B251</f>
        <v>0.62459861346056644</v>
      </c>
      <c r="M251" s="4">
        <f t="shared" ca="1" si="28"/>
        <v>0.35668117072513933</v>
      </c>
      <c r="N251" s="13">
        <f ca="1">IF(Prices!B250&gt;OFFSET(Prices!B250,-$N$3,0),1,-1)</f>
        <v>-1</v>
      </c>
      <c r="O251" s="4">
        <f ca="1">IF(N251=1,O$3*L250/Prices!B250,-O$3*M250)</f>
        <v>-1.8772693196059967E-2</v>
      </c>
      <c r="P251" s="22"/>
      <c r="Q251" s="13">
        <f ca="1">Q250-T251*Prices!B251</f>
        <v>0.96439572393578199</v>
      </c>
      <c r="R251" s="4">
        <f t="shared" ca="1" si="29"/>
        <v>8.2721942159491316E-2</v>
      </c>
      <c r="S251" s="13">
        <f ca="1">IF(Prices!D250&gt;OFFSET(Prices!D250,-S$3,0),1,-1)</f>
        <v>-1</v>
      </c>
      <c r="T251" s="4">
        <f ca="1">IF(S251=1,T$3*Q250/Prices!B250,-T$3*R250)</f>
        <v>-9.191326906610146E-3</v>
      </c>
      <c r="V251" s="13"/>
      <c r="W251" s="4"/>
      <c r="X251" s="4"/>
      <c r="Y251" s="4"/>
      <c r="Z251" s="4"/>
      <c r="AA251" s="4"/>
      <c r="AB251" s="4"/>
      <c r="AC251" s="4"/>
      <c r="AD251" s="4"/>
      <c r="AE251" s="52"/>
    </row>
    <row r="252" spans="1:31" x14ac:dyDescent="0.2">
      <c r="A252" s="7">
        <v>43128</v>
      </c>
      <c r="B252" s="13">
        <f ca="1">Prices!B251*(1+J252/(50*(ABS(O252)+ABS(T252)+0.0001)))</f>
        <v>1.1101320197883182</v>
      </c>
      <c r="C252" s="62">
        <f t="shared" ca="1" si="24"/>
        <v>1</v>
      </c>
      <c r="D252" s="13">
        <f ca="1">D251+C252*(Prices!B252-Prices!B251)/Prices!B251</f>
        <v>-0.10127842133777265</v>
      </c>
      <c r="E252" s="13">
        <f t="shared" ca="1" si="25"/>
        <v>0.18356135907377163</v>
      </c>
      <c r="F252" s="13">
        <f t="shared" ca="1" si="26"/>
        <v>8.2282937735998971E-2</v>
      </c>
      <c r="G252" s="21">
        <f ca="1">IF((Prices!B252-Prices!B251)*C252&gt;0,1,0)</f>
        <v>0</v>
      </c>
      <c r="H252" s="13">
        <f>ABS(Prices!B252-Prices!B251)/Prices!B251</f>
        <v>1.2931427010290493E-2</v>
      </c>
      <c r="I252" s="21"/>
      <c r="J252" s="4">
        <f t="shared" ca="1" si="27"/>
        <v>2.0167775434381731E-2</v>
      </c>
      <c r="K252" s="13"/>
      <c r="L252" s="13">
        <f ca="1">L251-O252*Prices!B252</f>
        <v>0.59377253035657285</v>
      </c>
      <c r="M252" s="4">
        <f t="shared" ca="1" si="28"/>
        <v>0.38512114037547018</v>
      </c>
      <c r="N252" s="13">
        <f ca="1">IF(Prices!B251&gt;OFFSET(Prices!B251,-$N$3,0),1,-1)</f>
        <v>1</v>
      </c>
      <c r="O252" s="4">
        <f ca="1">IF(N252=1,O$3*L251/Prices!B251,-O$3*M251)</f>
        <v>2.8439969650330865E-2</v>
      </c>
      <c r="P252" s="22"/>
      <c r="Q252" s="13">
        <f ca="1">Q251-T252*Prices!B252</f>
        <v>0.97336195524644931</v>
      </c>
      <c r="R252" s="4">
        <f t="shared" ca="1" si="29"/>
        <v>7.4449747943542186E-2</v>
      </c>
      <c r="S252" s="13">
        <f ca="1">IF(Prices!D251&gt;OFFSET(Prices!D251,-S$3,0),1,-1)</f>
        <v>-1</v>
      </c>
      <c r="T252" s="4">
        <f ca="1">IF(S252=1,T$3*Q251/Prices!B251,-T$3*R251)</f>
        <v>-8.2721942159491319E-3</v>
      </c>
      <c r="V252" s="13"/>
      <c r="W252" s="4"/>
      <c r="X252" s="4"/>
      <c r="Y252" s="4"/>
      <c r="Z252" s="4"/>
      <c r="AA252" s="4"/>
      <c r="AB252" s="4"/>
      <c r="AC252" s="4"/>
      <c r="AD252" s="4"/>
      <c r="AE252" s="52"/>
    </row>
    <row r="253" spans="1:31" x14ac:dyDescent="0.2">
      <c r="A253" s="7">
        <v>43135</v>
      </c>
      <c r="B253" s="13">
        <f ca="1">Prices!B252*(1+J253/(50*(ABS(O253)+ABS(T253)+0.0001)))</f>
        <v>1.0623028849455916</v>
      </c>
      <c r="C253" s="62">
        <f t="shared" ca="1" si="24"/>
        <v>0</v>
      </c>
      <c r="D253" s="13">
        <f ca="1">D252+C253*(Prices!B253-Prices!B252)/Prices!B252</f>
        <v>-0.10127842133777265</v>
      </c>
      <c r="E253" s="13">
        <f t="shared" ca="1" si="25"/>
        <v>0.18356135907377163</v>
      </c>
      <c r="F253" s="13">
        <f t="shared" ca="1" si="26"/>
        <v>8.2282937735998971E-2</v>
      </c>
      <c r="G253" s="21">
        <f ca="1">IF((Prices!B253-Prices!B252)*C253&gt;0,1,0)</f>
        <v>0</v>
      </c>
      <c r="H253" s="13">
        <f>ABS(Prices!B253-Prices!B252)/Prices!B252</f>
        <v>1.7529292370144964E-3</v>
      </c>
      <c r="I253" s="21"/>
      <c r="J253" s="4">
        <f t="shared" ca="1" si="27"/>
        <v>-2.6701031813127728E-2</v>
      </c>
      <c r="K253" s="13"/>
      <c r="L253" s="13">
        <f ca="1">L252-O253*Prices!B253</f>
        <v>0.61460758405088578</v>
      </c>
      <c r="M253" s="4">
        <f t="shared" ca="1" si="28"/>
        <v>0.36586508335669665</v>
      </c>
      <c r="N253" s="13">
        <f ca="1">IF(Prices!B252&gt;OFFSET(Prices!B252,-$N$3,0),1,-1)</f>
        <v>-1</v>
      </c>
      <c r="O253" s="4">
        <f ca="1">IF(N253=1,O$3*L252/Prices!B252,-O$3*M252)</f>
        <v>-1.9256057018773511E-2</v>
      </c>
      <c r="P253" s="22"/>
      <c r="Q253" s="13">
        <f ca="1">Q252-T253*Prices!B253</f>
        <v>0.98141741797394055</v>
      </c>
      <c r="R253" s="4">
        <f t="shared" ca="1" si="29"/>
        <v>6.7004773149187971E-2</v>
      </c>
      <c r="S253" s="13">
        <f ca="1">IF(Prices!D252&gt;OFFSET(Prices!D252,-S$3,0),1,-1)</f>
        <v>-1</v>
      </c>
      <c r="T253" s="4">
        <f ca="1">IF(S253=1,T$3*Q252/Prices!B252,-T$3*R252)</f>
        <v>-7.4449747943542187E-3</v>
      </c>
      <c r="V253" s="13"/>
      <c r="W253" s="4"/>
      <c r="X253" s="4"/>
      <c r="Y253" s="4"/>
      <c r="Z253" s="4"/>
      <c r="AA253" s="4"/>
      <c r="AB253" s="4"/>
      <c r="AC253" s="4"/>
      <c r="AD253" s="4"/>
      <c r="AE253" s="52"/>
    </row>
    <row r="254" spans="1:31" x14ac:dyDescent="0.2">
      <c r="A254" s="7">
        <v>43142</v>
      </c>
      <c r="B254" s="13">
        <f ca="1">Prices!B253*(1+J254/(50*(ABS(O254)+ABS(T254)+0.0001)))</f>
        <v>1.0953404379746154</v>
      </c>
      <c r="C254" s="62">
        <f t="shared" ca="1" si="24"/>
        <v>1</v>
      </c>
      <c r="D254" s="13">
        <f ca="1">D253+C254*(Prices!B254-Prices!B253)/Prices!B253</f>
        <v>-9.3792284554038832E-2</v>
      </c>
      <c r="E254" s="13">
        <f t="shared" ca="1" si="25"/>
        <v>0.1760752222900378</v>
      </c>
      <c r="F254" s="13">
        <f t="shared" ca="1" si="26"/>
        <v>8.2282937735998971E-2</v>
      </c>
      <c r="G254" s="21">
        <f ca="1">IF((Prices!B254-Prices!B253)*C254&gt;0,1,0)</f>
        <v>1</v>
      </c>
      <c r="H254" s="13">
        <f>ABS(Prices!B254-Prices!B253)/Prices!B253</f>
        <v>7.4861367837338218E-3</v>
      </c>
      <c r="I254" s="21"/>
      <c r="J254" s="4">
        <f t="shared" ca="1" si="27"/>
        <v>2.170098220684117E-2</v>
      </c>
      <c r="K254" s="13"/>
      <c r="L254" s="13">
        <f ca="1">L253-O254*Prices!B254</f>
        <v>0.58364715302621528</v>
      </c>
      <c r="M254" s="4">
        <f t="shared" ca="1" si="28"/>
        <v>0.39426654287845664</v>
      </c>
      <c r="N254" s="13">
        <f ca="1">IF(Prices!B253&gt;OFFSET(Prices!B253,-$N$3,0),1,-1)</f>
        <v>1</v>
      </c>
      <c r="O254" s="4">
        <f ca="1">IF(N254=1,O$3*L253/Prices!B253,-O$3*M253)</f>
        <v>2.8401459521759969E-2</v>
      </c>
      <c r="P254" s="22"/>
      <c r="Q254" s="13">
        <f ca="1">Q253-T254*Prices!B254</f>
        <v>0.9887216082949335</v>
      </c>
      <c r="R254" s="4">
        <f t="shared" ca="1" si="29"/>
        <v>6.0304295834269175E-2</v>
      </c>
      <c r="S254" s="13">
        <f ca="1">IF(Prices!D253&gt;OFFSET(Prices!D253,-S$3,0),1,-1)</f>
        <v>-1</v>
      </c>
      <c r="T254" s="4">
        <f ca="1">IF(S254=1,T$3*Q253/Prices!B253,-T$3*R253)</f>
        <v>-6.7004773149187975E-3</v>
      </c>
      <c r="V254" s="13"/>
      <c r="W254" s="4"/>
      <c r="X254" s="4"/>
      <c r="Y254" s="4"/>
      <c r="Z254" s="4"/>
      <c r="AA254" s="4"/>
      <c r="AB254" s="4"/>
      <c r="AC254" s="4"/>
      <c r="AD254" s="4"/>
      <c r="AE254" s="52"/>
    </row>
    <row r="255" spans="1:31" x14ac:dyDescent="0.2">
      <c r="A255" s="7">
        <v>43149</v>
      </c>
      <c r="B255" s="13">
        <f ca="1">Prices!B254*(1+J255/(50*(ABS(O255)+ABS(T255)+0.0001)))</f>
        <v>1.1041042122641123</v>
      </c>
      <c r="C255" s="62">
        <f t="shared" ca="1" si="24"/>
        <v>1</v>
      </c>
      <c r="D255" s="13">
        <f ca="1">D254+C255*(Prices!B255-Prices!B254)/Prices!B254</f>
        <v>-7.5445343906391821E-2</v>
      </c>
      <c r="E255" s="13">
        <f t="shared" ca="1" si="25"/>
        <v>0.15772828164239078</v>
      </c>
      <c r="F255" s="13">
        <f t="shared" ca="1" si="26"/>
        <v>8.2282937735998971E-2</v>
      </c>
      <c r="G255" s="21">
        <f ca="1">IF((Prices!B255-Prices!B254)*C255&gt;0,1,0)</f>
        <v>1</v>
      </c>
      <c r="H255" s="13">
        <f>ABS(Prices!B255-Prices!B254)/Prices!B254</f>
        <v>1.8346940647647018E-2</v>
      </c>
      <c r="I255" s="21"/>
      <c r="J255" s="4">
        <f t="shared" ca="1" si="27"/>
        <v>7.0986756178243335E-2</v>
      </c>
      <c r="K255" s="13"/>
      <c r="L255" s="13">
        <f ca="1">L254-O255*Prices!B255</f>
        <v>0.60553091748868404</v>
      </c>
      <c r="M255" s="4">
        <f t="shared" ca="1" si="28"/>
        <v>0.37455321573453382</v>
      </c>
      <c r="N255" s="13">
        <f ca="1">IF(Prices!B254&gt;OFFSET(Prices!B254,-$N$3,0),1,-1)</f>
        <v>-1</v>
      </c>
      <c r="O255" s="4">
        <f ca="1">IF(N255=1,O$3*L254/Prices!B254,-O$3*M254)</f>
        <v>-1.9713327143922835E-2</v>
      </c>
      <c r="P255" s="22"/>
      <c r="Q255" s="13">
        <f ca="1">Q254-T255*Prices!B255</f>
        <v>0.88803544579899685</v>
      </c>
      <c r="R255" s="4">
        <f t="shared" ca="1" si="29"/>
        <v>0.15100437915643533</v>
      </c>
      <c r="S255" s="13">
        <f ca="1">IF(Prices!D254&gt;OFFSET(Prices!D254,-S$3,0),1,-1)</f>
        <v>1</v>
      </c>
      <c r="T255" s="4">
        <f ca="1">IF(S255=1,T$3*Q254/Prices!B254,-T$3*R254)</f>
        <v>9.070008332216617E-2</v>
      </c>
      <c r="V255" s="13"/>
      <c r="W255" s="4"/>
      <c r="X255" s="4"/>
      <c r="Y255" s="4"/>
      <c r="Z255" s="4"/>
      <c r="AA255" s="4"/>
      <c r="AB255" s="4"/>
      <c r="AC255" s="4"/>
      <c r="AD255" s="4"/>
      <c r="AE255" s="52"/>
    </row>
    <row r="256" spans="1:31" x14ac:dyDescent="0.2">
      <c r="A256" s="7">
        <v>43156</v>
      </c>
      <c r="B256" s="13">
        <f ca="1">Prices!B255*(1+J256/(50*(ABS(O256)+ABS(T256)+0.0001)))</f>
        <v>1.1322813219123693</v>
      </c>
      <c r="C256" s="62">
        <f t="shared" ca="1" si="24"/>
        <v>1</v>
      </c>
      <c r="D256" s="13">
        <f ca="1">D255+C256*(Prices!B256-Prices!B255)/Prices!B255</f>
        <v>-5.8239686758387234E-2</v>
      </c>
      <c r="E256" s="13">
        <f t="shared" ca="1" si="25"/>
        <v>0.14052262449438621</v>
      </c>
      <c r="F256" s="13">
        <f t="shared" ca="1" si="26"/>
        <v>8.2282937735998971E-2</v>
      </c>
      <c r="G256" s="21">
        <f ca="1">IF((Prices!B256-Prices!B255)*C256&gt;0,1,0)</f>
        <v>1</v>
      </c>
      <c r="H256" s="13">
        <f>ABS(Prices!B256-Prices!B255)/Prices!B255</f>
        <v>1.7205657148004587E-2</v>
      </c>
      <c r="I256" s="21"/>
      <c r="J256" s="4">
        <f t="shared" ca="1" si="27"/>
        <v>0.10726969683301854</v>
      </c>
      <c r="K256" s="13"/>
      <c r="L256" s="13">
        <f ca="1">L255-O256*Prices!B256</f>
        <v>0.57473344374630853</v>
      </c>
      <c r="M256" s="4">
        <f t="shared" ca="1" si="28"/>
        <v>0.40182692609795534</v>
      </c>
      <c r="N256" s="13">
        <f ca="1">IF(Prices!B255&gt;OFFSET(Prices!B255,-$N$3,0),1,-1)</f>
        <v>1</v>
      </c>
      <c r="O256" s="4">
        <f ca="1">IF(N256=1,O$3*L255/Prices!B255,-O$3*M255)</f>
        <v>2.7273710363421494E-2</v>
      </c>
      <c r="P256" s="22"/>
      <c r="Q256" s="13">
        <f ca="1">Q255-T256*Prices!B256</f>
        <v>0.79770397787752789</v>
      </c>
      <c r="R256" s="4">
        <f t="shared" ca="1" si="29"/>
        <v>0.23100036562603238</v>
      </c>
      <c r="S256" s="13">
        <f ca="1">IF(Prices!D255&gt;OFFSET(Prices!D255,-S$3,0),1,-1)</f>
        <v>1</v>
      </c>
      <c r="T256" s="4">
        <f ca="1">IF(S256=1,T$3*Q255/Prices!B255,-T$3*R255)</f>
        <v>7.9995986469597047E-2</v>
      </c>
      <c r="V256" s="13"/>
      <c r="W256" s="4"/>
      <c r="X256" s="4"/>
      <c r="Y256" s="4"/>
      <c r="Z256" s="4"/>
      <c r="AA256" s="4"/>
      <c r="AB256" s="4"/>
      <c r="AC256" s="4"/>
      <c r="AD256" s="4"/>
      <c r="AE256" s="52"/>
    </row>
    <row r="257" spans="1:31" x14ac:dyDescent="0.2">
      <c r="A257" s="7">
        <v>43163</v>
      </c>
      <c r="B257" s="13">
        <f ca="1">Prices!B256*(1+J257/(50*(ABS(O257)+ABS(T257)+0.0001)))</f>
        <v>1.1517605219525375</v>
      </c>
      <c r="C257" s="62">
        <f t="shared" ca="1" si="24"/>
        <v>1</v>
      </c>
      <c r="D257" s="13">
        <f ca="1">D256+C257*(Prices!B257-Prices!B256)/Prices!B256</f>
        <v>-6.1427784526718841E-2</v>
      </c>
      <c r="E257" s="13">
        <f t="shared" ca="1" si="25"/>
        <v>0.1437107222627178</v>
      </c>
      <c r="F257" s="13">
        <f t="shared" ca="1" si="26"/>
        <v>8.2282937735998971E-2</v>
      </c>
      <c r="G257" s="21">
        <f ca="1">IF((Prices!B257-Prices!B256)*C257&gt;0,1,0)</f>
        <v>0</v>
      </c>
      <c r="H257" s="13">
        <f>ABS(Prices!B257-Prices!B256)/Prices!B256</f>
        <v>3.1880977683316045E-3</v>
      </c>
      <c r="I257" s="21"/>
      <c r="J257" s="4">
        <f t="shared" ca="1" si="27"/>
        <v>9.6091985454364356E-2</v>
      </c>
      <c r="K257" s="13"/>
      <c r="L257" s="13">
        <f ca="1">L256-O257*Prices!B257</f>
        <v>0.54608838687946271</v>
      </c>
      <c r="M257" s="4">
        <f t="shared" ca="1" si="28"/>
        <v>0.42727562622841536</v>
      </c>
      <c r="N257" s="13">
        <f ca="1">IF(Prices!B256&gt;OFFSET(Prices!B256,-$N$3,0),1,-1)</f>
        <v>1</v>
      </c>
      <c r="O257" s="4">
        <f ca="1">IF(N257=1,O$3*L256/Prices!B256,-O$3*M256)</f>
        <v>2.5448700130459998E-2</v>
      </c>
      <c r="P257" s="22"/>
      <c r="Q257" s="13">
        <f ca="1">Q256-T257*Prices!B257</f>
        <v>0.7181878959169411</v>
      </c>
      <c r="R257" s="4">
        <f t="shared" ca="1" si="29"/>
        <v>0.30164365094993673</v>
      </c>
      <c r="S257" s="13">
        <f ca="1">IF(Prices!D256&gt;OFFSET(Prices!D256,-S$3,0),1,-1)</f>
        <v>1</v>
      </c>
      <c r="T257" s="4">
        <f ca="1">IF(S257=1,T$3*Q256/Prices!B256,-T$3*R256)</f>
        <v>7.0643285323904362E-2</v>
      </c>
      <c r="V257" s="13"/>
      <c r="W257" s="4"/>
      <c r="X257" s="4"/>
      <c r="Y257" s="4"/>
      <c r="Z257" s="4"/>
      <c r="AA257" s="4"/>
      <c r="AB257" s="4"/>
      <c r="AC257" s="4"/>
      <c r="AD257" s="4"/>
      <c r="AE257" s="52"/>
    </row>
    <row r="258" spans="1:31" x14ac:dyDescent="0.2">
      <c r="A258" s="7">
        <v>43170</v>
      </c>
      <c r="B258" s="13">
        <f ca="1">Prices!B257*(1+J258/(50*(ABS(O258)+ABS(T258)+0.0001)))</f>
        <v>1.1480864653490652</v>
      </c>
      <c r="C258" s="62">
        <f t="shared" ca="1" si="24"/>
        <v>1</v>
      </c>
      <c r="D258" s="13">
        <f ca="1">D257+C258*(Prices!B258-Prices!B257)/Prices!B257</f>
        <v>-6.8357422053371322E-2</v>
      </c>
      <c r="E258" s="13">
        <f t="shared" ca="1" si="25"/>
        <v>0.15064035978937029</v>
      </c>
      <c r="F258" s="13">
        <f t="shared" ca="1" si="26"/>
        <v>8.2282937735998971E-2</v>
      </c>
      <c r="G258" s="21">
        <f ca="1">IF((Prices!B258-Prices!B257)*C258&gt;0,1,0)</f>
        <v>0</v>
      </c>
      <c r="H258" s="13">
        <f>ABS(Prices!B258-Prices!B257)/Prices!B257</f>
        <v>6.9296375266524783E-3</v>
      </c>
      <c r="I258" s="21"/>
      <c r="J258" s="4">
        <f t="shared" ca="1" si="27"/>
        <v>8.80625523593348E-2</v>
      </c>
      <c r="K258" s="13"/>
      <c r="L258" s="13">
        <f ca="1">L257-O258*Prices!B258</f>
        <v>0.51897317726441905</v>
      </c>
      <c r="M258" s="4">
        <f t="shared" ca="1" si="28"/>
        <v>0.45153328378347324</v>
      </c>
      <c r="N258" s="13">
        <f ca="1">IF(Prices!B257&gt;OFFSET(Prices!B257,-$N$3,0),1,-1)</f>
        <v>1</v>
      </c>
      <c r="O258" s="4">
        <f ca="1">IF(N258=1,O$3*L257/Prices!B257,-O$3*M257)</f>
        <v>2.425765755505787E-2</v>
      </c>
      <c r="P258" s="22"/>
      <c r="Q258" s="13">
        <f ca="1">Q257-T258*Prices!B258</f>
        <v>0.64686678450472035</v>
      </c>
      <c r="R258" s="4">
        <f t="shared" ca="1" si="29"/>
        <v>0.36544854575421365</v>
      </c>
      <c r="S258" s="13">
        <f ca="1">IF(Prices!D257&gt;OFFSET(Prices!D257,-S$3,0),1,-1)</f>
        <v>1</v>
      </c>
      <c r="T258" s="4">
        <f ca="1">IF(S258=1,T$3*Q257/Prices!B257,-T$3*R257)</f>
        <v>6.3804894804276938E-2</v>
      </c>
      <c r="V258" s="13"/>
      <c r="W258" s="4"/>
      <c r="X258" s="4"/>
      <c r="Y258" s="4"/>
      <c r="Z258" s="4"/>
      <c r="AA258" s="4"/>
      <c r="AB258" s="4"/>
      <c r="AC258" s="4"/>
      <c r="AD258" s="4"/>
      <c r="AE258" s="52"/>
    </row>
    <row r="259" spans="1:31" x14ac:dyDescent="0.2">
      <c r="A259" s="7">
        <v>43177</v>
      </c>
      <c r="B259" s="13">
        <f ca="1">Prices!B258*(1+J259/(50*(ABS(O259)+ABS(T259)+0.0001)))</f>
        <v>1.1401284624455963</v>
      </c>
      <c r="C259" s="62">
        <f t="shared" ca="1" si="24"/>
        <v>1</v>
      </c>
      <c r="D259" s="13">
        <f ca="1">D258+C259*(Prices!B259-Prices!B258)/Prices!B258</f>
        <v>-6.4689502926515E-2</v>
      </c>
      <c r="E259" s="13">
        <f t="shared" ca="1" si="25"/>
        <v>0.14697244066251397</v>
      </c>
      <c r="F259" s="13">
        <f t="shared" ca="1" si="26"/>
        <v>8.2282937735998971E-2</v>
      </c>
      <c r="G259" s="21">
        <f ca="1">IF((Prices!B259-Prices!B258)*C259&gt;0,1,0)</f>
        <v>1</v>
      </c>
      <c r="H259" s="13">
        <f>ABS(Prices!B259-Prices!B258)/Prices!B258</f>
        <v>3.6679191268563184E-3</v>
      </c>
      <c r="I259" s="21"/>
      <c r="J259" s="4">
        <f t="shared" ca="1" si="27"/>
        <v>8.1083679829748609E-2</v>
      </c>
      <c r="K259" s="13"/>
      <c r="L259" s="13">
        <f ca="1">L258-O259*Prices!B259</f>
        <v>0.49292934081903744</v>
      </c>
      <c r="M259" s="4">
        <f t="shared" ca="1" si="28"/>
        <v>0.47474732821290688</v>
      </c>
      <c r="N259" s="13">
        <f ca="1">IF(Prices!B258&gt;OFFSET(Prices!B258,-$N$3,0),1,-1)</f>
        <v>1</v>
      </c>
      <c r="O259" s="4">
        <f ca="1">IF(N259=1,O$3*L258/Prices!B258,-O$3*M258)</f>
        <v>2.3214044429433669E-2</v>
      </c>
      <c r="P259" s="22"/>
      <c r="Q259" s="13">
        <f ca="1">Q258-T259*Prices!B259</f>
        <v>0.58194284054910705</v>
      </c>
      <c r="R259" s="4">
        <f t="shared" ca="1" si="29"/>
        <v>0.42331818115452857</v>
      </c>
      <c r="S259" s="13">
        <f ca="1">IF(Prices!D258&gt;OFFSET(Prices!D258,-S$3,0),1,-1)</f>
        <v>1</v>
      </c>
      <c r="T259" s="4">
        <f ca="1">IF(S259=1,T$3*Q258/Prices!B258,-T$3*R258)</f>
        <v>5.7869635400314937E-2</v>
      </c>
      <c r="V259" s="13"/>
      <c r="W259" s="4"/>
      <c r="X259" s="4"/>
      <c r="Y259" s="4"/>
      <c r="Z259" s="4"/>
      <c r="AA259" s="4"/>
      <c r="AB259" s="4"/>
      <c r="AC259" s="4"/>
      <c r="AD259" s="4"/>
      <c r="AE259" s="52"/>
    </row>
    <row r="260" spans="1:31" x14ac:dyDescent="0.2">
      <c r="A260" s="7">
        <v>43184</v>
      </c>
      <c r="B260" s="13">
        <f ca="1">Prices!B259*(1+J260/(50*(ABS(O260)+ABS(T260)+0.0001)))</f>
        <v>1.1443076536471553</v>
      </c>
      <c r="C260" s="62">
        <f t="shared" ca="1" si="24"/>
        <v>1</v>
      </c>
      <c r="D260" s="13">
        <f ca="1">D259+C260*(Prices!B260-Prices!B259)/Prices!B259</f>
        <v>-6.210460231148681E-2</v>
      </c>
      <c r="E260" s="13">
        <f t="shared" ca="1" si="25"/>
        <v>0.14438754004748577</v>
      </c>
      <c r="F260" s="13">
        <f t="shared" ca="1" si="26"/>
        <v>8.2282937735998971E-2</v>
      </c>
      <c r="G260" s="21">
        <f ca="1">IF((Prices!B260-Prices!B259)*C260&gt;0,1,0)</f>
        <v>1</v>
      </c>
      <c r="H260" s="13">
        <f>ABS(Prices!B260-Prices!B259)/Prices!B259</f>
        <v>2.5849006150281888E-3</v>
      </c>
      <c r="I260" s="21"/>
      <c r="J260" s="4">
        <f t="shared" ca="1" si="27"/>
        <v>7.3839692571407961E-2</v>
      </c>
      <c r="K260" s="13"/>
      <c r="L260" s="13">
        <f ca="1">L259-O260*Prices!B260</f>
        <v>0.46821916511027312</v>
      </c>
      <c r="M260" s="4">
        <f t="shared" ca="1" si="28"/>
        <v>0.49671583435512268</v>
      </c>
      <c r="N260" s="13">
        <f ca="1">IF(Prices!B259&gt;OFFSET(Prices!B259,-$N$3,0),1,-1)</f>
        <v>1</v>
      </c>
      <c r="O260" s="4">
        <f ca="1">IF(N260=1,O$3*L259/Prices!B259,-O$3*M259)</f>
        <v>2.1968506142215773E-2</v>
      </c>
      <c r="P260" s="22"/>
      <c r="Q260" s="13">
        <f ca="1">Q259-T260*Prices!B260</f>
        <v>0.52359813005355171</v>
      </c>
      <c r="R260" s="4">
        <f t="shared" ca="1" si="29"/>
        <v>0.47518936758372077</v>
      </c>
      <c r="S260" s="13">
        <f ca="1">IF(Prices!D259&gt;OFFSET(Prices!D259,-S$3,0),1,-1)</f>
        <v>1</v>
      </c>
      <c r="T260" s="4">
        <f ca="1">IF(S260=1,T$3*Q259/Prices!B259,-T$3*R259)</f>
        <v>5.1871186429192181E-2</v>
      </c>
      <c r="V260" s="13"/>
      <c r="W260" s="4"/>
      <c r="X260" s="4"/>
      <c r="Y260" s="4"/>
      <c r="Z260" s="4"/>
      <c r="AA260" s="4"/>
      <c r="AB260" s="4"/>
      <c r="AC260" s="4"/>
      <c r="AD260" s="4"/>
      <c r="AE260" s="52"/>
    </row>
    <row r="261" spans="1:31" x14ac:dyDescent="0.2">
      <c r="A261" s="7">
        <v>43191</v>
      </c>
      <c r="B261" s="13">
        <f ca="1">Prices!B260*(1+J261/(50*(ABS(O261)+ABS(T261)+0.0001)))</f>
        <v>1.1472626546960236</v>
      </c>
      <c r="C261" s="62">
        <f t="shared" ca="1" si="24"/>
        <v>1</v>
      </c>
      <c r="D261" s="13">
        <f ca="1">D260+C261*(Prices!B261-Prices!B260)/Prices!B260</f>
        <v>-5.7481558214758616E-2</v>
      </c>
      <c r="E261" s="13">
        <f t="shared" ca="1" si="25"/>
        <v>0.13976449595075757</v>
      </c>
      <c r="F261" s="13">
        <f t="shared" ca="1" si="26"/>
        <v>8.2282937735998971E-2</v>
      </c>
      <c r="G261" s="21">
        <f ca="1">IF((Prices!B261-Prices!B260)*C261&gt;0,1,0)</f>
        <v>1</v>
      </c>
      <c r="H261" s="13">
        <f>ABS(Prices!B261-Prices!B260)/Prices!B260</f>
        <v>4.6230440967281929E-3</v>
      </c>
      <c r="I261" s="21"/>
      <c r="J261" s="4">
        <f t="shared" ca="1" si="27"/>
        <v>6.7363772458098187E-2</v>
      </c>
      <c r="K261" s="13"/>
      <c r="L261" s="13">
        <f ca="1">L260-O261*Prices!B261</f>
        <v>0.44469997696239755</v>
      </c>
      <c r="M261" s="4">
        <f t="shared" ca="1" si="28"/>
        <v>0.51752927519395064</v>
      </c>
      <c r="N261" s="13">
        <f ca="1">IF(Prices!B260&gt;OFFSET(Prices!B260,-$N$3,0),1,-1)</f>
        <v>1</v>
      </c>
      <c r="O261" s="4">
        <f ca="1">IF(N261=1,O$3*L260/Prices!B260,-O$3*M260)</f>
        <v>2.0813440838827933E-2</v>
      </c>
      <c r="P261" s="22"/>
      <c r="Q261" s="13">
        <f ca="1">Q260-T261*Prices!B261</f>
        <v>0.47099625532377631</v>
      </c>
      <c r="R261" s="4">
        <f t="shared" ca="1" si="29"/>
        <v>0.52173969920299101</v>
      </c>
      <c r="S261" s="13">
        <f ca="1">IF(Prices!D260&gt;OFFSET(Prices!D260,-S$3,0),1,-1)</f>
        <v>1</v>
      </c>
      <c r="T261" s="4">
        <f ca="1">IF(S261=1,T$3*Q260/Prices!B260,-T$3*R260)</f>
        <v>4.6550331619270247E-2</v>
      </c>
      <c r="V261" s="13"/>
      <c r="W261" s="4"/>
      <c r="X261" s="4"/>
      <c r="Y261" s="4"/>
      <c r="Z261" s="4"/>
      <c r="AA261" s="4"/>
      <c r="AB261" s="4"/>
      <c r="AC261" s="4"/>
      <c r="AD261" s="4"/>
      <c r="AE261" s="52"/>
    </row>
    <row r="262" spans="1:31" x14ac:dyDescent="0.2">
      <c r="A262" s="7">
        <v>43198</v>
      </c>
      <c r="B262" s="13">
        <f ca="1">Prices!B261*(1+J262/(50*(ABS(O262)+ABS(T262)+0.0001)))</f>
        <v>1.152563226963877</v>
      </c>
      <c r="C262" s="62">
        <f t="shared" ca="1" si="24"/>
        <v>1</v>
      </c>
      <c r="D262" s="13">
        <f ca="1">D261+C262*(Prices!B262-Prices!B261)/Prices!B261</f>
        <v>-4.6154124586439901E-2</v>
      </c>
      <c r="E262" s="13">
        <f t="shared" ca="1" si="25"/>
        <v>0.12843706232243887</v>
      </c>
      <c r="F262" s="13">
        <f t="shared" ca="1" si="26"/>
        <v>8.2282937735998971E-2</v>
      </c>
      <c r="G262" s="21">
        <f ca="1">IF((Prices!B262-Prices!B261)*C262&gt;0,1,0)</f>
        <v>1</v>
      </c>
      <c r="H262" s="13">
        <f>ABS(Prices!B262-Prices!B261)/Prices!B261</f>
        <v>1.1327433628318713E-2</v>
      </c>
      <c r="I262" s="21"/>
      <c r="J262" s="4">
        <f t="shared" ca="1" si="27"/>
        <v>6.1358074673006656E-2</v>
      </c>
      <c r="K262" s="13"/>
      <c r="L262" s="13">
        <f ca="1">L261-O262*Prices!B262</f>
        <v>0.42221311264059985</v>
      </c>
      <c r="M262" s="4">
        <f t="shared" ca="1" si="28"/>
        <v>0.53720626532503024</v>
      </c>
      <c r="N262" s="13">
        <f ca="1">IF(Prices!B261&gt;OFFSET(Prices!B261,-$N$3,0),1,-1)</f>
        <v>1</v>
      </c>
      <c r="O262" s="4">
        <f ca="1">IF(N262=1,O$3*L261/Prices!B261,-O$3*M261)</f>
        <v>1.9676990131079541E-2</v>
      </c>
      <c r="P262" s="22"/>
      <c r="Q262" s="13">
        <f ca="1">Q261-T262*Prices!B262</f>
        <v>0.42336311190926201</v>
      </c>
      <c r="R262" s="4">
        <f t="shared" ca="1" si="29"/>
        <v>0.56342078374491811</v>
      </c>
      <c r="S262" s="13">
        <f ca="1">IF(Prices!D261&gt;OFFSET(Prices!D261,-S$3,0),1,-1)</f>
        <v>1</v>
      </c>
      <c r="T262" s="4">
        <f ca="1">IF(S262=1,T$3*Q261/Prices!B261,-T$3*R261)</f>
        <v>4.1681084541927114E-2</v>
      </c>
      <c r="V262" s="13"/>
      <c r="W262" s="4"/>
      <c r="X262" s="4"/>
      <c r="Y262" s="4"/>
      <c r="Z262" s="4"/>
      <c r="AA262" s="4"/>
      <c r="AB262" s="4"/>
      <c r="AC262" s="4"/>
      <c r="AD262" s="4"/>
      <c r="AE262" s="52"/>
    </row>
    <row r="263" spans="1:31" x14ac:dyDescent="0.2">
      <c r="A263" s="7">
        <v>43205</v>
      </c>
      <c r="B263" s="13">
        <f ca="1">Prices!B262*(1+J263/(50*(ABS(O263)+ABS(T263)+0.0001)))</f>
        <v>1.1656149060345642</v>
      </c>
      <c r="C263" s="62">
        <f t="shared" ca="1" si="24"/>
        <v>1</v>
      </c>
      <c r="D263" s="13">
        <f ca="1">D262+C263*(Prices!B263-Prices!B262)/Prices!B262</f>
        <v>-2.6203127036562468E-2</v>
      </c>
      <c r="E263" s="13">
        <f t="shared" ca="1" si="25"/>
        <v>0.10848606477256144</v>
      </c>
      <c r="F263" s="13">
        <f t="shared" ca="1" si="26"/>
        <v>8.2282937735998971E-2</v>
      </c>
      <c r="G263" s="21">
        <f ca="1">IF((Prices!B263-Prices!B262)*C263&gt;0,1,0)</f>
        <v>1</v>
      </c>
      <c r="H263" s="13">
        <f>ABS(Prices!B263-Prices!B262)/Prices!B262</f>
        <v>1.9950997549877433E-2</v>
      </c>
      <c r="I263" s="21"/>
      <c r="J263" s="4">
        <f t="shared" ca="1" si="27"/>
        <v>5.5518871913682363E-2</v>
      </c>
      <c r="K263" s="13"/>
      <c r="L263" s="13">
        <f ca="1">L262-O263*Prices!B263</f>
        <v>0.4006812783697789</v>
      </c>
      <c r="M263" s="4">
        <f t="shared" ca="1" si="28"/>
        <v>0.5556790126404223</v>
      </c>
      <c r="N263" s="13">
        <f ca="1">IF(Prices!B262&gt;OFFSET(Prices!B262,-$N$3,0),1,-1)</f>
        <v>1</v>
      </c>
      <c r="O263" s="4">
        <f ca="1">IF(N263=1,O$3*L262/Prices!B262,-O$3*M262)</f>
        <v>1.8472747315392012E-2</v>
      </c>
      <c r="P263" s="22"/>
      <c r="Q263" s="13">
        <f ca="1">Q262-T263*Prices!B263</f>
        <v>0.38018214907749481</v>
      </c>
      <c r="R263" s="4">
        <f t="shared" ca="1" si="29"/>
        <v>0.60046690834320848</v>
      </c>
      <c r="S263" s="13">
        <f ca="1">IF(Prices!D262&gt;OFFSET(Prices!D262,-S$3,0),1,-1)</f>
        <v>1</v>
      </c>
      <c r="T263" s="4">
        <f ca="1">IF(S263=1,T$3*Q262/Prices!B262,-T$3*R262)</f>
        <v>3.7046124598290348E-2</v>
      </c>
      <c r="V263" s="13"/>
      <c r="W263" s="4"/>
      <c r="X263" s="4"/>
      <c r="Y263" s="4"/>
      <c r="Z263" s="4"/>
      <c r="AA263" s="4"/>
      <c r="AB263" s="4"/>
      <c r="AC263" s="4"/>
      <c r="AD263" s="4"/>
      <c r="AE263" s="52"/>
    </row>
    <row r="264" spans="1:31" x14ac:dyDescent="0.2">
      <c r="A264" s="7">
        <v>43212</v>
      </c>
      <c r="B264" s="13">
        <f ca="1">Prices!B263*(1+J264/(50*(ABS(O264)+ABS(T264)+0.0001)))</f>
        <v>1.1888652869011171</v>
      </c>
      <c r="C264" s="62">
        <f t="shared" ca="1" si="24"/>
        <v>1</v>
      </c>
      <c r="D264" s="13">
        <f ca="1">D263+C264*(Prices!B264-Prices!B263)/Prices!B263</f>
        <v>-1.573641461377593E-2</v>
      </c>
      <c r="E264" s="13">
        <f t="shared" ca="1" si="25"/>
        <v>9.8019352349774908E-2</v>
      </c>
      <c r="F264" s="13">
        <f t="shared" ca="1" si="26"/>
        <v>8.2282937735998971E-2</v>
      </c>
      <c r="G264" s="21">
        <f ca="1">IF((Prices!B264-Prices!B263)*C264&gt;0,1,0)</f>
        <v>1</v>
      </c>
      <c r="H264" s="13">
        <f>ABS(Prices!B264-Prices!B263)/Prices!B263</f>
        <v>1.0466712422786538E-2</v>
      </c>
      <c r="I264" s="21"/>
      <c r="J264" s="4">
        <f t="shared" ca="1" si="27"/>
        <v>4.9804631800135918E-2</v>
      </c>
      <c r="K264" s="13"/>
      <c r="L264" s="13">
        <f ca="1">L263-O264*Prices!B264</f>
        <v>0.38043752366559541</v>
      </c>
      <c r="M264" s="4">
        <f t="shared" ca="1" si="28"/>
        <v>0.57286678195964758</v>
      </c>
      <c r="N264" s="13">
        <f ca="1">IF(Prices!B263&gt;OFFSET(Prices!B263,-$N$3,0),1,-1)</f>
        <v>1</v>
      </c>
      <c r="O264" s="4">
        <f ca="1">IF(N264=1,O$3*L263/Prices!B263,-O$3*M263)</f>
        <v>1.7187769319225246E-2</v>
      </c>
      <c r="P264" s="22"/>
      <c r="Q264" s="13">
        <f ca="1">Q263-T264*Prices!B264</f>
        <v>0.34176600844747823</v>
      </c>
      <c r="R264" s="4">
        <f t="shared" ca="1" si="29"/>
        <v>0.63308377082411915</v>
      </c>
      <c r="S264" s="13">
        <f ca="1">IF(Prices!D263&gt;OFFSET(Prices!D263,-S$3,0),1,-1)</f>
        <v>1</v>
      </c>
      <c r="T264" s="4">
        <f ca="1">IF(S264=1,T$3*Q263/Prices!B263,-T$3*R263)</f>
        <v>3.2616862480910676E-2</v>
      </c>
      <c r="V264" s="13"/>
      <c r="W264" s="4"/>
      <c r="X264" s="4"/>
      <c r="Y264" s="4"/>
      <c r="Z264" s="4"/>
      <c r="AA264" s="4"/>
      <c r="AB264" s="4"/>
      <c r="AC264" s="4"/>
      <c r="AD264" s="4"/>
      <c r="AE264" s="52"/>
    </row>
    <row r="265" spans="1:31" x14ac:dyDescent="0.2">
      <c r="A265" s="7">
        <v>43219</v>
      </c>
      <c r="B265" s="13">
        <f ca="1">Prices!B264*(1+J265/(50*(ABS(O265)+ABS(T265)+0.0001)))</f>
        <v>1.20130396285721</v>
      </c>
      <c r="C265" s="62">
        <f t="shared" ca="1" si="24"/>
        <v>1</v>
      </c>
      <c r="D265" s="13">
        <f ca="1">D264+C265*(Prices!B265-Prices!B264)/Prices!B264</f>
        <v>-1.4972278088049896E-2</v>
      </c>
      <c r="E265" s="13">
        <f t="shared" ca="1" si="25"/>
        <v>9.7255215824048863E-2</v>
      </c>
      <c r="F265" s="13">
        <f t="shared" ca="1" si="26"/>
        <v>8.2282937735998971E-2</v>
      </c>
      <c r="G265" s="21">
        <f ca="1">IF((Prices!B265-Prices!B264)*C265&gt;0,1,0)</f>
        <v>1</v>
      </c>
      <c r="H265" s="13">
        <f>ABS(Prices!B265-Prices!B264)/Prices!B264</f>
        <v>7.6413652572603411E-4</v>
      </c>
      <c r="I265" s="21"/>
      <c r="J265" s="4">
        <f t="shared" ca="1" si="27"/>
        <v>4.5167666011230768E-2</v>
      </c>
      <c r="K265" s="13"/>
      <c r="L265" s="13">
        <f ca="1">L264-O265*Prices!B265</f>
        <v>0.36140111217193616</v>
      </c>
      <c r="M265" s="4">
        <f t="shared" ca="1" si="28"/>
        <v>0.5890171268257367</v>
      </c>
      <c r="N265" s="13">
        <f ca="1">IF(Prices!B264&gt;OFFSET(Prices!B264,-$N$3,0),1,-1)</f>
        <v>1</v>
      </c>
      <c r="O265" s="4">
        <f ca="1">IF(N265=1,O$3*L264/Prices!B264,-O$3*M264)</f>
        <v>1.6150344866089128E-2</v>
      </c>
      <c r="P265" s="22"/>
      <c r="Q265" s="13">
        <f ca="1">Q264-T265*Prices!B265</f>
        <v>0.30756329201369981</v>
      </c>
      <c r="R265" s="4">
        <f t="shared" ca="1" si="29"/>
        <v>0.66210109196926081</v>
      </c>
      <c r="S265" s="13">
        <f ca="1">IF(Prices!D264&gt;OFFSET(Prices!D264,-S$3,0),1,-1)</f>
        <v>1</v>
      </c>
      <c r="T265" s="4">
        <f ca="1">IF(S265=1,T$3*Q264/Prices!B264,-T$3*R264)</f>
        <v>2.901732114514164E-2</v>
      </c>
      <c r="V265" s="13"/>
      <c r="W265" s="4"/>
      <c r="X265" s="4"/>
      <c r="Y265" s="4"/>
      <c r="Z265" s="4"/>
      <c r="AA265" s="4"/>
      <c r="AB265" s="4"/>
      <c r="AC265" s="4"/>
      <c r="AD265" s="4"/>
      <c r="AE265" s="52"/>
    </row>
    <row r="266" spans="1:31" x14ac:dyDescent="0.2">
      <c r="A266" s="7">
        <v>43226</v>
      </c>
      <c r="B266" s="13">
        <f ca="1">Prices!B265*(1+J266/(50*(ABS(O266)+ABS(T266)+0.0001)))</f>
        <v>1.202217227915293</v>
      </c>
      <c r="C266" s="62">
        <f t="shared" ca="1" si="24"/>
        <v>1</v>
      </c>
      <c r="D266" s="13">
        <f ca="1">D265+C266*(Prices!B266-Prices!B265)/Prices!B265</f>
        <v>-1.0306120456761325E-2</v>
      </c>
      <c r="E266" s="13">
        <f t="shared" ca="1" si="25"/>
        <v>9.2589058192760296E-2</v>
      </c>
      <c r="F266" s="13">
        <f t="shared" ca="1" si="26"/>
        <v>8.2282937735998971E-2</v>
      </c>
      <c r="G266" s="21">
        <f ca="1">IF((Prices!B266-Prices!B265)*C266&gt;0,1,0)</f>
        <v>1</v>
      </c>
      <c r="H266" s="13">
        <f>ABS(Prices!B266-Prices!B265)/Prices!B265</f>
        <v>4.6661576312885707E-3</v>
      </c>
      <c r="I266" s="21"/>
      <c r="J266" s="4">
        <f t="shared" ca="1" si="27"/>
        <v>4.1423928743502827E-2</v>
      </c>
      <c r="K266" s="13"/>
      <c r="L266" s="13">
        <f ca="1">L265-O266*Prices!B266</f>
        <v>0.34324673883546347</v>
      </c>
      <c r="M266" s="4">
        <f t="shared" ca="1" si="28"/>
        <v>0.60434762280316678</v>
      </c>
      <c r="N266" s="13">
        <f ca="1">IF(Prices!B265&gt;OFFSET(Prices!B265,-$N$3,0),1,-1)</f>
        <v>1</v>
      </c>
      <c r="O266" s="4">
        <f ca="1">IF(N266=1,O$3*L265/Prices!B265,-O$3*M265)</f>
        <v>1.5330495977430057E-2</v>
      </c>
      <c r="P266" s="22"/>
      <c r="Q266" s="13">
        <f ca="1">Q265-T266*Prices!B266</f>
        <v>0.27666344893211642</v>
      </c>
      <c r="R266" s="4">
        <f t="shared" ca="1" si="29"/>
        <v>0.6881945247353336</v>
      </c>
      <c r="S266" s="13">
        <f ca="1">IF(Prices!D265&gt;OFFSET(Prices!D265,-S$3,0),1,-1)</f>
        <v>1</v>
      </c>
      <c r="T266" s="4">
        <f ca="1">IF(S266=1,T$3*Q265/Prices!B265,-T$3*R265)</f>
        <v>2.6093432766072774E-2</v>
      </c>
      <c r="V266" s="13"/>
      <c r="W266" s="4"/>
      <c r="X266" s="4"/>
      <c r="Y266" s="4"/>
      <c r="Z266" s="4"/>
      <c r="AA266" s="4"/>
      <c r="AB266" s="4"/>
      <c r="AC266" s="4"/>
      <c r="AD266" s="4"/>
      <c r="AE266" s="52"/>
    </row>
    <row r="267" spans="1:31" x14ac:dyDescent="0.2">
      <c r="A267" s="7">
        <v>43233</v>
      </c>
      <c r="B267" s="13">
        <f ca="1">Prices!B266*(1+J267/(50*(ABS(O267)+ABS(T267)+0.0001)))</f>
        <v>1.207821600887143</v>
      </c>
      <c r="C267" s="62">
        <f t="shared" ca="1" si="24"/>
        <v>1</v>
      </c>
      <c r="D267" s="13">
        <f ca="1">D266+C267*(Prices!B267-Prices!B266)/Prices!B266</f>
        <v>-1.4106154234839309E-2</v>
      </c>
      <c r="E267" s="13">
        <f t="shared" ca="1" si="25"/>
        <v>9.6389091970838281E-2</v>
      </c>
      <c r="F267" s="13">
        <f t="shared" ca="1" si="26"/>
        <v>8.2282937735998971E-2</v>
      </c>
      <c r="G267" s="21">
        <f ca="1">IF((Prices!B267-Prices!B266)*C267&gt;0,1,0)</f>
        <v>0</v>
      </c>
      <c r="H267" s="13">
        <f>ABS(Prices!B267-Prices!B266)/Prices!B266</f>
        <v>3.800033778077984E-3</v>
      </c>
      <c r="I267" s="21"/>
      <c r="J267" s="4">
        <f t="shared" ca="1" si="27"/>
        <v>3.7855667822145597E-2</v>
      </c>
      <c r="K267" s="13"/>
      <c r="L267" s="13">
        <f ca="1">L266-O267*Prices!B267</f>
        <v>0.32614961935377978</v>
      </c>
      <c r="M267" s="4">
        <f t="shared" ca="1" si="28"/>
        <v>0.61884039171194327</v>
      </c>
      <c r="N267" s="13">
        <f ca="1">IF(Prices!B266&gt;OFFSET(Prices!B266,-$N$3,0),1,-1)</f>
        <v>1</v>
      </c>
      <c r="O267" s="4">
        <f ca="1">IF(N267=1,O$3*L266/Prices!B266,-O$3*M266)</f>
        <v>1.4492768908776536E-2</v>
      </c>
      <c r="P267" s="22"/>
      <c r="Q267" s="13">
        <f ca="1">Q266-T267*Prices!B267</f>
        <v>0.24910223708401494</v>
      </c>
      <c r="R267" s="4">
        <f t="shared" ca="1" si="29"/>
        <v>0.71155742364870267</v>
      </c>
      <c r="S267" s="13">
        <f ca="1">IF(Prices!D266&gt;OFFSET(Prices!D266,-S$3,0),1,-1)</f>
        <v>1</v>
      </c>
      <c r="T267" s="4">
        <f ca="1">IF(S267=1,T$3*Q266/Prices!B266,-T$3*R266)</f>
        <v>2.3362898913369064E-2</v>
      </c>
      <c r="V267" s="13"/>
      <c r="W267" s="4"/>
      <c r="X267" s="4"/>
      <c r="Y267" s="4"/>
      <c r="Z267" s="4"/>
      <c r="AA267" s="4"/>
      <c r="AB267" s="4"/>
      <c r="AC267" s="4"/>
      <c r="AD267" s="4"/>
      <c r="AE267" s="52"/>
    </row>
    <row r="268" spans="1:31" x14ac:dyDescent="0.2">
      <c r="A268" s="7">
        <v>43240</v>
      </c>
      <c r="B268" s="13">
        <f ca="1">Prices!B267*(1+J268/(50*(ABS(O268)+ABS(T268)+0.0001)))</f>
        <v>1.1638007006778563</v>
      </c>
      <c r="C268" s="62">
        <f t="shared" ca="1" si="24"/>
        <v>0</v>
      </c>
      <c r="D268" s="13">
        <f ca="1">D267+C268*(Prices!B268-Prices!B267)/Prices!B267</f>
        <v>-1.4106154234839309E-2</v>
      </c>
      <c r="E268" s="13">
        <f t="shared" ca="1" si="25"/>
        <v>9.6389091970838281E-2</v>
      </c>
      <c r="F268" s="13">
        <f t="shared" ca="1" si="26"/>
        <v>8.2282937735998971E-2</v>
      </c>
      <c r="G268" s="21">
        <f ca="1">IF((Prices!B268-Prices!B267)*C268&gt;0,1,0)</f>
        <v>0</v>
      </c>
      <c r="H268" s="13">
        <f>ABS(Prices!B268-Prices!B267)/Prices!B267</f>
        <v>8.9853352547257289E-3</v>
      </c>
      <c r="I268" s="21"/>
      <c r="J268" s="4">
        <f t="shared" ca="1" si="27"/>
        <v>-5.7332328812535784E-2</v>
      </c>
      <c r="K268" s="13"/>
      <c r="L268" s="13">
        <f ca="1">L267-O268*Prices!B268</f>
        <v>0.30969561020243608</v>
      </c>
      <c r="M268" s="4">
        <f t="shared" ca="1" si="28"/>
        <v>0.63266380526427779</v>
      </c>
      <c r="N268" s="13">
        <f ca="1">IF(Prices!B267&gt;OFFSET(Prices!B267,-$N$3,0),1,-1)</f>
        <v>1</v>
      </c>
      <c r="O268" s="4">
        <f ca="1">IF(N268=1,O$3*L267/Prices!B267,-O$3*M267)</f>
        <v>1.3823413552334483E-2</v>
      </c>
      <c r="P268" s="22"/>
      <c r="Q268" s="13">
        <f ca="1">Q267-T268*Prices!B268</f>
        <v>0.33379891722092003</v>
      </c>
      <c r="R268" s="4">
        <f t="shared" ca="1" si="29"/>
        <v>0.64040168128383246</v>
      </c>
      <c r="S268" s="13">
        <f ca="1">IF(Prices!D267&gt;OFFSET(Prices!D267,-S$3,0),1,-1)</f>
        <v>-1</v>
      </c>
      <c r="T268" s="4">
        <f ca="1">IF(S268=1,T$3*Q267/Prices!B267,-T$3*R267)</f>
        <v>-7.1155742364870267E-2</v>
      </c>
      <c r="V268" s="13"/>
      <c r="W268" s="4"/>
      <c r="X268" s="4"/>
      <c r="Y268" s="4"/>
      <c r="Z268" s="4"/>
      <c r="AA268" s="4"/>
      <c r="AB268" s="4"/>
      <c r="AC268" s="4"/>
      <c r="AD268" s="4"/>
      <c r="AE268" s="52"/>
    </row>
    <row r="269" spans="1:31" x14ac:dyDescent="0.2">
      <c r="A269" s="7">
        <v>43247</v>
      </c>
      <c r="B269" s="13">
        <f ca="1">Prices!B268*(1+J269/(50*(ABS(O269)+ABS(T269)+0.0001)))</f>
        <v>1.2140481516126616</v>
      </c>
      <c r="C269" s="62">
        <f t="shared" ca="1" si="24"/>
        <v>1</v>
      </c>
      <c r="D269" s="13">
        <f ca="1">D268+C269*(Prices!B269-Prices!B268)/Prices!B268</f>
        <v>-1.9566962434452811E-2</v>
      </c>
      <c r="E269" s="13">
        <f t="shared" ca="1" si="25"/>
        <v>0.10184990017045178</v>
      </c>
      <c r="F269" s="13">
        <f t="shared" ca="1" si="26"/>
        <v>8.2282937735998971E-2</v>
      </c>
      <c r="G269" s="21">
        <f ca="1">IF((Prices!B269-Prices!B268)*C269&gt;0,1,0)</f>
        <v>0</v>
      </c>
      <c r="H269" s="13">
        <f>ABS(Prices!B269-Prices!B268)/Prices!B268</f>
        <v>5.4608081996135012E-3</v>
      </c>
      <c r="I269" s="21"/>
      <c r="J269" s="4">
        <f t="shared" ca="1" si="27"/>
        <v>4.1052400430323294E-2</v>
      </c>
      <c r="K269" s="13"/>
      <c r="L269" s="13">
        <f ca="1">L268-O269*Prices!B269</f>
        <v>0.29429538910869318</v>
      </c>
      <c r="M269" s="4">
        <f t="shared" ca="1" si="28"/>
        <v>0.64567294624564531</v>
      </c>
      <c r="N269" s="13">
        <f ca="1">IF(Prices!B268&gt;OFFSET(Prices!B268,-$N$3,0),1,-1)</f>
        <v>1</v>
      </c>
      <c r="O269" s="4">
        <f ca="1">IF(N269=1,O$3*L268/Prices!B268,-O$3*M268)</f>
        <v>1.3009140981367559E-2</v>
      </c>
      <c r="P269" s="22"/>
      <c r="Q269" s="13">
        <f ca="1">Q268-T269*Prices!B269</f>
        <v>0.30060130668524626</v>
      </c>
      <c r="R269" s="4">
        <f t="shared" ca="1" si="29"/>
        <v>0.66844494073278815</v>
      </c>
      <c r="S269" s="13">
        <f ca="1">IF(Prices!D268&gt;OFFSET(Prices!D268,-S$3,0),1,-1)</f>
        <v>1</v>
      </c>
      <c r="T269" s="4">
        <f ca="1">IF(S269=1,T$3*Q268/Prices!B268,-T$3*R268)</f>
        <v>2.8043259448955731E-2</v>
      </c>
      <c r="V269" s="13"/>
      <c r="W269" s="4"/>
      <c r="X269" s="4"/>
      <c r="Y269" s="4"/>
      <c r="Z269" s="4"/>
      <c r="AA269" s="4"/>
      <c r="AB269" s="4"/>
      <c r="AC269" s="4"/>
      <c r="AD269" s="4"/>
      <c r="AE269" s="52"/>
    </row>
    <row r="270" spans="1:31" x14ac:dyDescent="0.2">
      <c r="A270" s="7">
        <v>43254</v>
      </c>
      <c r="B270" s="13">
        <f ca="1">Prices!B269*(1+J270/(50*(ABS(O270)+ABS(T270)+0.0001)))</f>
        <v>1.2074135682758698</v>
      </c>
      <c r="C270" s="62">
        <f t="shared" ca="1" si="24"/>
        <v>1</v>
      </c>
      <c r="D270" s="13">
        <f ca="1">D269+C270*(Prices!B270-Prices!B269)/Prices!B269</f>
        <v>-1.8891172605089629E-2</v>
      </c>
      <c r="E270" s="13">
        <f t="shared" ca="1" si="25"/>
        <v>0.1011741103410886</v>
      </c>
      <c r="F270" s="13">
        <f t="shared" ca="1" si="26"/>
        <v>8.2282937735998971E-2</v>
      </c>
      <c r="G270" s="21">
        <f ca="1">IF((Prices!B270-Prices!B269)*C270&gt;0,1,0)</f>
        <v>1</v>
      </c>
      <c r="H270" s="13">
        <f>ABS(Prices!B270-Prices!B269)/Prices!B269</f>
        <v>6.757898293631812E-4</v>
      </c>
      <c r="I270" s="21"/>
      <c r="J270" s="4">
        <f t="shared" ca="1" si="27"/>
        <v>3.7823027643148585E-2</v>
      </c>
      <c r="K270" s="13"/>
      <c r="L270" s="13">
        <f ca="1">L269-O270*Prices!B270</f>
        <v>0.27957067556171911</v>
      </c>
      <c r="M270" s="4">
        <f t="shared" ca="1" si="28"/>
        <v>0.65810306066990165</v>
      </c>
      <c r="N270" s="13">
        <f ca="1">IF(Prices!B269&gt;OFFSET(Prices!B269,-$N$3,0),1,-1)</f>
        <v>1</v>
      </c>
      <c r="O270" s="4">
        <f ca="1">IF(N270=1,O$3*L269/Prices!B269,-O$3*M269)</f>
        <v>1.2430114424256344E-2</v>
      </c>
      <c r="P270" s="22"/>
      <c r="Q270" s="13">
        <f ca="1">Q269-T270*Prices!B270</f>
        <v>0.27052086168614653</v>
      </c>
      <c r="R270" s="4">
        <f t="shared" ca="1" si="29"/>
        <v>0.69383785395168041</v>
      </c>
      <c r="S270" s="13">
        <f ca="1">IF(Prices!D269&gt;OFFSET(Prices!D269,-S$3,0),1,-1)</f>
        <v>1</v>
      </c>
      <c r="T270" s="4">
        <f ca="1">IF(S270=1,T$3*Q269/Prices!B269,-T$3*R269)</f>
        <v>2.5392913218892237E-2</v>
      </c>
      <c r="V270" s="13"/>
      <c r="W270" s="4"/>
      <c r="X270" s="4"/>
      <c r="Y270" s="4"/>
      <c r="Z270" s="4"/>
      <c r="AA270" s="4"/>
      <c r="AB270" s="4"/>
      <c r="AC270" s="4"/>
      <c r="AD270" s="4"/>
      <c r="AE270" s="52"/>
    </row>
    <row r="271" spans="1:31" x14ac:dyDescent="0.2">
      <c r="A271" s="7">
        <v>43261</v>
      </c>
      <c r="B271" s="13">
        <f ca="1">Prices!B270*(1+J271/(50*(ABS(O271)+ABS(T271)+0.0001)))</f>
        <v>1.2082237954539048</v>
      </c>
      <c r="C271" s="62">
        <f t="shared" ca="1" si="24"/>
        <v>1</v>
      </c>
      <c r="D271" s="13">
        <f ca="1">D270+C271*(Prices!B271-Prices!B270)/Prices!B270</f>
        <v>-1.9397672689506443E-2</v>
      </c>
      <c r="E271" s="13">
        <f t="shared" ca="1" si="25"/>
        <v>0.10168061042550541</v>
      </c>
      <c r="F271" s="13">
        <f t="shared" ca="1" si="26"/>
        <v>8.2282937735998971E-2</v>
      </c>
      <c r="G271" s="21">
        <f ca="1">IF((Prices!B271-Prices!B270)*C271&gt;0,1,0)</f>
        <v>0</v>
      </c>
      <c r="H271" s="13">
        <f>ABS(Prices!B271-Prices!B270)/Prices!B270</f>
        <v>5.065000844168123E-4</v>
      </c>
      <c r="I271" s="21"/>
      <c r="J271" s="4">
        <f t="shared" ca="1" si="27"/>
        <v>3.4636687444454334E-2</v>
      </c>
      <c r="K271" s="13"/>
      <c r="L271" s="13">
        <f ca="1">L270-O271*Prices!B271</f>
        <v>0.26559922191217178</v>
      </c>
      <c r="M271" s="4">
        <f t="shared" ca="1" si="28"/>
        <v>0.66990327490093826</v>
      </c>
      <c r="N271" s="13">
        <f ca="1">IF(Prices!B270&gt;OFFSET(Prices!B270,-$N$3,0),1,-1)</f>
        <v>1</v>
      </c>
      <c r="O271" s="4">
        <f ca="1">IF(N271=1,O$3*L270/Prices!B270,-O$3*M270)</f>
        <v>1.1800214231036599E-2</v>
      </c>
      <c r="P271" s="22"/>
      <c r="Q271" s="13">
        <f ca="1">Q270-T271*Prices!B271</f>
        <v>0.24348247740145992</v>
      </c>
      <c r="R271" s="4">
        <f t="shared" ca="1" si="29"/>
        <v>0.71667432716509816</v>
      </c>
      <c r="S271" s="13">
        <f ca="1">IF(Prices!D270&gt;OFFSET(Prices!D270,-S$3,0),1,-1)</f>
        <v>1</v>
      </c>
      <c r="T271" s="4">
        <f ca="1">IF(S271=1,T$3*Q270/Prices!B270,-T$3*R270)</f>
        <v>2.2836473213417738E-2</v>
      </c>
      <c r="V271" s="13"/>
      <c r="W271" s="4"/>
      <c r="X271" s="4"/>
      <c r="Y271" s="4"/>
      <c r="Z271" s="4"/>
      <c r="AA271" s="4"/>
      <c r="AB271" s="4"/>
      <c r="AC271" s="4"/>
      <c r="AD271" s="4"/>
      <c r="AE271" s="52"/>
    </row>
    <row r="272" spans="1:31" x14ac:dyDescent="0.2">
      <c r="A272" s="7">
        <v>43268</v>
      </c>
      <c r="B272" s="13">
        <f ca="1">Prices!B271*(1+J272/(50*(ABS(O272)+ABS(T272)+0.0001)))</f>
        <v>1.2076057228109629</v>
      </c>
      <c r="C272" s="62">
        <f t="shared" ca="1" si="24"/>
        <v>1</v>
      </c>
      <c r="D272" s="13">
        <f ca="1">D271+C272*(Prices!B272-Prices!B271)/Prices!B271</f>
        <v>-3.70496997165334E-2</v>
      </c>
      <c r="E272" s="13">
        <f t="shared" ca="1" si="25"/>
        <v>0.11933263745253236</v>
      </c>
      <c r="F272" s="13">
        <f t="shared" ca="1" si="26"/>
        <v>8.2282937735998971E-2</v>
      </c>
      <c r="G272" s="21">
        <f ca="1">IF((Prices!B272-Prices!B271)*C272&gt;0,1,0)</f>
        <v>0</v>
      </c>
      <c r="H272" s="13">
        <f>ABS(Prices!B272-Prices!B271)/Prices!B271</f>
        <v>1.7652027027026958E-2</v>
      </c>
      <c r="I272" s="21"/>
      <c r="J272" s="4">
        <f t="shared" ca="1" si="27"/>
        <v>3.1780581786954885E-2</v>
      </c>
      <c r="K272" s="13"/>
      <c r="L272" s="13">
        <f ca="1">L271-O272*Prices!B272</f>
        <v>0.25255367904874076</v>
      </c>
      <c r="M272" s="4">
        <f t="shared" ca="1" si="28"/>
        <v>0.68111945825871578</v>
      </c>
      <c r="N272" s="13">
        <f ca="1">IF(Prices!B271&gt;OFFSET(Prices!B271,-$N$3,0),1,-1)</f>
        <v>1</v>
      </c>
      <c r="O272" s="4">
        <f ca="1">IF(N272=1,O$3*L271/Prices!B271,-O$3*M271)</f>
        <v>1.1216183357777526E-2</v>
      </c>
      <c r="P272" s="22"/>
      <c r="Q272" s="13">
        <f ca="1">Q271-T272*Prices!B272</f>
        <v>0.21956402558848373</v>
      </c>
      <c r="R272" s="4">
        <f t="shared" ca="1" si="29"/>
        <v>0.7372387255942755</v>
      </c>
      <c r="S272" s="13">
        <f ca="1">IF(Prices!D271&gt;OFFSET(Prices!D271,-S$3,0),1,-1)</f>
        <v>1</v>
      </c>
      <c r="T272" s="4">
        <f ca="1">IF(S272=1,T$3*Q271/Prices!B271,-T$3*R271)</f>
        <v>2.0564398429177361E-2</v>
      </c>
      <c r="V272" s="13"/>
      <c r="W272" s="4"/>
      <c r="X272" s="4"/>
      <c r="Y272" s="4"/>
      <c r="Z272" s="4"/>
      <c r="AA272" s="4"/>
      <c r="AB272" s="4"/>
      <c r="AC272" s="4"/>
      <c r="AD272" s="4"/>
      <c r="AE272" s="52"/>
    </row>
    <row r="273" spans="1:31" x14ac:dyDescent="0.2">
      <c r="A273" s="7">
        <v>43275</v>
      </c>
      <c r="B273" s="13">
        <f ca="1">Prices!B272*(1+J273/(50*(ABS(O273)+ABS(T273)+0.0001)))</f>
        <v>1.1564422785158794</v>
      </c>
      <c r="C273" s="62">
        <f t="shared" ca="1" si="24"/>
        <v>0</v>
      </c>
      <c r="D273" s="13">
        <f ca="1">D272+C273*(Prices!B273-Prices!B272)/Prices!B272</f>
        <v>-3.70496997165334E-2</v>
      </c>
      <c r="E273" s="13">
        <f t="shared" ca="1" si="25"/>
        <v>0.11933263745253236</v>
      </c>
      <c r="F273" s="13">
        <f t="shared" ca="1" si="26"/>
        <v>8.2282937735998971E-2</v>
      </c>
      <c r="G273" s="21">
        <f ca="1">IF((Prices!B273-Prices!B272)*C273&gt;0,1,0)</f>
        <v>0</v>
      </c>
      <c r="H273" s="13">
        <f>ABS(Prices!B273-Prices!B272)/Prices!B272</f>
        <v>7.3080560570887732E-3</v>
      </c>
      <c r="I273" s="21"/>
      <c r="J273" s="4">
        <f t="shared" ca="1" si="27"/>
        <v>-1.5178488123280241E-2</v>
      </c>
      <c r="K273" s="13"/>
      <c r="L273" s="13">
        <f ca="1">L272-O273*Prices!B273</f>
        <v>0.29245365691353631</v>
      </c>
      <c r="M273" s="4">
        <f t="shared" ca="1" si="28"/>
        <v>0.64706348534577995</v>
      </c>
      <c r="N273" s="13">
        <f ca="1">IF(Prices!B272&gt;OFFSET(Prices!B272,-$N$3,0),1,-1)</f>
        <v>-1</v>
      </c>
      <c r="O273" s="4">
        <f ca="1">IF(N273=1,O$3*L272/Prices!B272,-O$3*M272)</f>
        <v>-3.4055972912935793E-2</v>
      </c>
      <c r="P273" s="22"/>
      <c r="Q273" s="13">
        <f ca="1">Q272-T273*Prices!B273</f>
        <v>0.19744716440892329</v>
      </c>
      <c r="R273" s="4">
        <f t="shared" ca="1" si="29"/>
        <v>0.75611621038393106</v>
      </c>
      <c r="S273" s="13">
        <f ca="1">IF(Prices!D272&gt;OFFSET(Prices!D272,-S$3,0),1,-1)</f>
        <v>1</v>
      </c>
      <c r="T273" s="4">
        <f ca="1">IF(S273=1,T$3*Q272/Prices!B272,-T$3*R272)</f>
        <v>1.8877484789655553E-2</v>
      </c>
      <c r="V273" s="13"/>
      <c r="W273" s="4"/>
      <c r="X273" s="4"/>
      <c r="Y273" s="4"/>
      <c r="Z273" s="4"/>
      <c r="AA273" s="4"/>
      <c r="AB273" s="4"/>
      <c r="AC273" s="4"/>
      <c r="AD273" s="4"/>
      <c r="AE273" s="52"/>
    </row>
    <row r="274" spans="1:31" x14ac:dyDescent="0.2">
      <c r="A274" s="7">
        <v>43282</v>
      </c>
      <c r="B274" s="13">
        <f ca="1">Prices!B273*(1+J274/(50*(ABS(O274)+ABS(T274)+0.0001)))</f>
        <v>1.1642336431405125</v>
      </c>
      <c r="C274" s="62">
        <f t="shared" ca="1" si="24"/>
        <v>0</v>
      </c>
      <c r="D274" s="13">
        <f ca="1">D273+C274*(Prices!B274-Prices!B273)/Prices!B273</f>
        <v>-3.70496997165334E-2</v>
      </c>
      <c r="E274" s="13">
        <f t="shared" ca="1" si="25"/>
        <v>0.11933263745253236</v>
      </c>
      <c r="F274" s="13">
        <f t="shared" ca="1" si="26"/>
        <v>8.2282937735998971E-2</v>
      </c>
      <c r="G274" s="21">
        <f ca="1">IF((Prices!B274-Prices!B273)*C274&gt;0,1,0)</f>
        <v>0</v>
      </c>
      <c r="H274" s="13">
        <f>ABS(Prices!B274-Prices!B273)/Prices!B273</f>
        <v>9.3888699214750102E-3</v>
      </c>
      <c r="I274" s="21"/>
      <c r="J274" s="4">
        <f t="shared" ca="1" si="27"/>
        <v>-1.5500394785475814E-2</v>
      </c>
      <c r="K274" s="13"/>
      <c r="L274" s="13">
        <f ca="1">L273-O274*Prices!B274</f>
        <v>0.33071452080203229</v>
      </c>
      <c r="M274" s="4">
        <f t="shared" ca="1" si="28"/>
        <v>0.61471031107849095</v>
      </c>
      <c r="N274" s="13">
        <f ca="1">IF(Prices!B273&gt;OFFSET(Prices!B273,-$N$3,0),1,-1)</f>
        <v>-1</v>
      </c>
      <c r="O274" s="4">
        <f ca="1">IF(N274=1,O$3*L273/Prices!B273,-O$3*M273)</f>
        <v>-3.2353174267289002E-2</v>
      </c>
      <c r="P274" s="22"/>
      <c r="Q274" s="13">
        <f ca="1">Q273-T274*Prices!B274</f>
        <v>0.17751706739373102</v>
      </c>
      <c r="R274" s="4">
        <f t="shared" ca="1" si="29"/>
        <v>0.77296898986574425</v>
      </c>
      <c r="S274" s="13">
        <f ca="1">IF(Prices!D273&gt;OFFSET(Prices!D273,-S$3,0),1,-1)</f>
        <v>1</v>
      </c>
      <c r="T274" s="4">
        <f ca="1">IF(S274=1,T$3*Q273/Prices!B273,-T$3*R273)</f>
        <v>1.6852779481813188E-2</v>
      </c>
      <c r="V274" s="13"/>
      <c r="W274" s="4"/>
      <c r="X274" s="4"/>
      <c r="Y274" s="4"/>
      <c r="Z274" s="4"/>
      <c r="AA274" s="4"/>
      <c r="AB274" s="4"/>
      <c r="AC274" s="4"/>
      <c r="AD274" s="4"/>
      <c r="AE274" s="52"/>
    </row>
    <row r="275" spans="1:31" x14ac:dyDescent="0.2">
      <c r="A275" s="7">
        <v>43289</v>
      </c>
      <c r="B275" s="13">
        <f ca="1">Prices!B274*(1+J275/(50*(ABS(O275)+ABS(T275)+0.0001)))</f>
        <v>1.1744876201321117</v>
      </c>
      <c r="C275" s="62">
        <f t="shared" ref="C275:C338" ca="1" si="30">IF(J275&gt;0,1,IF(J275&lt;0,0,0))</f>
        <v>0</v>
      </c>
      <c r="D275" s="13">
        <f ca="1">D274+C275*(Prices!B275-Prices!B274)/Prices!B274</f>
        <v>-3.70496997165334E-2</v>
      </c>
      <c r="E275" s="13">
        <f t="shared" ref="E275:E338" ca="1" si="31">F275-D275</f>
        <v>0.11933263745253236</v>
      </c>
      <c r="F275" s="13">
        <f t="shared" ref="F275:F338" ca="1" si="32">MAX(F274,D275)</f>
        <v>8.2282937735998971E-2</v>
      </c>
      <c r="G275" s="21">
        <f ca="1">IF((Prices!B275-Prices!B274)*C275&gt;0,1,0)</f>
        <v>0</v>
      </c>
      <c r="H275" s="13">
        <f>ABS(Prices!B275-Prices!B274)/Prices!B274</f>
        <v>9.1324200913243201E-3</v>
      </c>
      <c r="I275" s="21"/>
      <c r="J275" s="4">
        <f t="shared" ref="J275:J338" ca="1" si="33">O275+T275</f>
        <v>-1.5724770805596203E-2</v>
      </c>
      <c r="K275" s="13"/>
      <c r="L275" s="13">
        <f ca="1">L274-O275*Prices!B275</f>
        <v>0.36673039792812107</v>
      </c>
      <c r="M275" s="4">
        <f t="shared" ref="M275:M338" ca="1" si="34">M274+O275</f>
        <v>0.58397479552456644</v>
      </c>
      <c r="N275" s="13">
        <f ca="1">IF(Prices!B274&gt;OFFSET(Prices!B274,-$N$3,0),1,-1)</f>
        <v>-1</v>
      </c>
      <c r="O275" s="4">
        <f ca="1">IF(N275=1,O$3*L274/Prices!B274,-O$3*M274)</f>
        <v>-3.073551555392455E-2</v>
      </c>
      <c r="P275" s="22"/>
      <c r="Q275" s="13">
        <f ca="1">Q274-T275*Prices!B275</f>
        <v>0.15992747669763988</v>
      </c>
      <c r="R275" s="4">
        <f t="shared" ref="R275:R338" ca="1" si="35">R274+T275</f>
        <v>0.78797973461407256</v>
      </c>
      <c r="S275" s="13">
        <f ca="1">IF(Prices!D274&gt;OFFSET(Prices!D274,-S$3,0),1,-1)</f>
        <v>1</v>
      </c>
      <c r="T275" s="4">
        <f ca="1">IF(S275=1,T$3*Q274/Prices!B274,-T$3*R274)</f>
        <v>1.5010744748328347E-2</v>
      </c>
      <c r="V275" s="13"/>
      <c r="W275" s="4"/>
      <c r="X275" s="4"/>
      <c r="Y275" s="4"/>
      <c r="Z275" s="4"/>
      <c r="AA275" s="4"/>
      <c r="AB275" s="4"/>
      <c r="AC275" s="4"/>
      <c r="AD275" s="4"/>
      <c r="AE275" s="52"/>
    </row>
    <row r="276" spans="1:31" x14ac:dyDescent="0.2">
      <c r="A276" s="7">
        <v>43296</v>
      </c>
      <c r="B276" s="13">
        <f ca="1">Prices!B275*(1+J276/(50*(ABS(O276)+ABS(T276)+0.0001)))</f>
        <v>1.1483856805851889</v>
      </c>
      <c r="C276" s="62">
        <f t="shared" ca="1" si="30"/>
        <v>0</v>
      </c>
      <c r="D276" s="13">
        <f ca="1">D275+C276*(Prices!B276-Prices!B275)/Prices!B275</f>
        <v>-3.70496997165334E-2</v>
      </c>
      <c r="E276" s="13">
        <f t="shared" ca="1" si="31"/>
        <v>0.11933263745253236</v>
      </c>
      <c r="F276" s="13">
        <f t="shared" ca="1" si="32"/>
        <v>8.2282937735998971E-2</v>
      </c>
      <c r="G276" s="21">
        <f ca="1">IF((Prices!B276-Prices!B275)*C276&gt;0,1,0)</f>
        <v>0</v>
      </c>
      <c r="H276" s="13">
        <f>ABS(Prices!B276-Prices!B275)/Prices!B275</f>
        <v>1.2118108892302432E-2</v>
      </c>
      <c r="I276" s="21"/>
      <c r="J276" s="4">
        <f t="shared" ca="1" si="33"/>
        <v>-0.10799671323763559</v>
      </c>
      <c r="K276" s="13"/>
      <c r="L276" s="13">
        <f ca="1">L275-O276*Prices!B276</f>
        <v>0.40136010330272787</v>
      </c>
      <c r="M276" s="4">
        <f t="shared" ca="1" si="34"/>
        <v>0.5547760557483381</v>
      </c>
      <c r="N276" s="13">
        <f ca="1">IF(Prices!B275&gt;OFFSET(Prices!B275,-$N$3,0),1,-1)</f>
        <v>-1</v>
      </c>
      <c r="O276" s="4">
        <f ca="1">IF(N276=1,O$3*L275/Prices!B275,-O$3*M275)</f>
        <v>-2.9198739776228323E-2</v>
      </c>
      <c r="P276" s="22"/>
      <c r="Q276" s="13">
        <f ca="1">Q275-T276*Prices!B276</f>
        <v>0.25338187322286887</v>
      </c>
      <c r="R276" s="4">
        <f t="shared" ca="1" si="35"/>
        <v>0.70918176115266529</v>
      </c>
      <c r="S276" s="13">
        <f ca="1">IF(Prices!D275&gt;OFFSET(Prices!D275,-S$3,0),1,-1)</f>
        <v>-1</v>
      </c>
      <c r="T276" s="4">
        <f ca="1">IF(S276=1,T$3*Q275/Prices!B275,-T$3*R275)</f>
        <v>-7.8797973461407267E-2</v>
      </c>
      <c r="V276" s="13"/>
      <c r="W276" s="4"/>
      <c r="X276" s="4"/>
      <c r="Y276" s="4"/>
      <c r="Z276" s="4"/>
      <c r="AA276" s="4"/>
      <c r="AB276" s="4"/>
      <c r="AC276" s="4"/>
      <c r="AD276" s="4"/>
      <c r="AE276" s="52"/>
    </row>
    <row r="277" spans="1:31" x14ac:dyDescent="0.2">
      <c r="A277" s="7">
        <v>43303</v>
      </c>
      <c r="B277" s="13">
        <f ca="1">Prices!B276*(1+J277/(50*(ABS(O277)+ABS(T277)+0.0001)))</f>
        <v>1.1714351293111362</v>
      </c>
      <c r="C277" s="62">
        <f t="shared" ca="1" si="30"/>
        <v>0</v>
      </c>
      <c r="D277" s="13">
        <f ca="1">D276+C277*(Prices!B277-Prices!B276)/Prices!B276</f>
        <v>-3.70496997165334E-2</v>
      </c>
      <c r="E277" s="13">
        <f t="shared" ca="1" si="31"/>
        <v>0.11933263745253236</v>
      </c>
      <c r="F277" s="13">
        <f t="shared" ca="1" si="32"/>
        <v>8.2282937735998971E-2</v>
      </c>
      <c r="G277" s="21">
        <f ca="1">IF((Prices!B277-Prices!B276)*C277&gt;0,1,0)</f>
        <v>0</v>
      </c>
      <c r="H277" s="13">
        <f>ABS(Prices!B277-Prices!B276)/Prices!B276</f>
        <v>1.7959527824620469E-2</v>
      </c>
      <c r="I277" s="21"/>
      <c r="J277" s="4">
        <f t="shared" ca="1" si="33"/>
        <v>-5.3997429770294869E-2</v>
      </c>
      <c r="K277" s="13"/>
      <c r="L277" s="13">
        <f ca="1">L276-O277*Prices!B277</f>
        <v>0.38165251003473938</v>
      </c>
      <c r="M277" s="4">
        <f t="shared" ca="1" si="34"/>
        <v>0.57169680209330975</v>
      </c>
      <c r="N277" s="13">
        <f ca="1">IF(Prices!B276&gt;OFFSET(Prices!B276,-$N$3,0),1,-1)</f>
        <v>1</v>
      </c>
      <c r="O277" s="4">
        <f ca="1">IF(N277=1,O$3*L276/Prices!B276,-O$3*M276)</f>
        <v>1.6920746344971666E-2</v>
      </c>
      <c r="P277" s="22"/>
      <c r="Q277" s="13">
        <f ca="1">Q276-T277*Prices!B277</f>
        <v>0.33598027294431981</v>
      </c>
      <c r="R277" s="4">
        <f t="shared" ca="1" si="35"/>
        <v>0.63826358503739877</v>
      </c>
      <c r="S277" s="13">
        <f ca="1">IF(Prices!D276&gt;OFFSET(Prices!D276,-S$3,0),1,-1)</f>
        <v>-1</v>
      </c>
      <c r="T277" s="4">
        <f ca="1">IF(S277=1,T$3*Q276/Prices!B276,-T$3*R276)</f>
        <v>-7.0918176115266532E-2</v>
      </c>
      <c r="V277" s="13"/>
      <c r="W277" s="4"/>
      <c r="X277" s="4"/>
      <c r="Y277" s="4"/>
      <c r="Z277" s="4"/>
      <c r="AA277" s="4"/>
      <c r="AB277" s="4"/>
      <c r="AC277" s="4"/>
      <c r="AD277" s="4"/>
      <c r="AE277" s="52"/>
    </row>
    <row r="278" spans="1:31" x14ac:dyDescent="0.2">
      <c r="A278" s="7">
        <v>43310</v>
      </c>
      <c r="B278" s="13">
        <f ca="1">Prices!B277*(1+J278/(50*(ABS(O278)+ABS(T278)+0.0001)))</f>
        <v>1.1414311796543017</v>
      </c>
      <c r="C278" s="62">
        <f t="shared" ca="1" si="30"/>
        <v>0</v>
      </c>
      <c r="D278" s="13">
        <f ca="1">D277+C278*(Prices!B278-Prices!B277)/Prices!B277</f>
        <v>-3.70496997165334E-2</v>
      </c>
      <c r="E278" s="13">
        <f t="shared" ca="1" si="31"/>
        <v>0.11933263745253236</v>
      </c>
      <c r="F278" s="13">
        <f t="shared" ca="1" si="32"/>
        <v>8.2282937735998971E-2</v>
      </c>
      <c r="G278" s="21">
        <f ca="1">IF((Prices!B278-Prices!B277)*C278&gt;0,1,0)</f>
        <v>0</v>
      </c>
      <c r="H278" s="13">
        <f>ABS(Prices!B278-Prices!B277)/Prices!B277</f>
        <v>1.9489997424229365E-2</v>
      </c>
      <c r="I278" s="21"/>
      <c r="J278" s="4">
        <f t="shared" ca="1" si="33"/>
        <v>-9.2411198608405368E-2</v>
      </c>
      <c r="K278" s="13"/>
      <c r="L278" s="13">
        <f ca="1">L277-O278*Prices!B278</f>
        <v>0.41559414917501919</v>
      </c>
      <c r="M278" s="4">
        <f t="shared" ca="1" si="34"/>
        <v>0.54311196198864431</v>
      </c>
      <c r="N278" s="13">
        <f ca="1">IF(Prices!B277&gt;OFFSET(Prices!B277,-$N$3,0),1,-1)</f>
        <v>-1</v>
      </c>
      <c r="O278" s="4">
        <f ca="1">IF(N278=1,O$3*L277/Prices!B277,-O$3*M277)</f>
        <v>-2.8584840104665488E-2</v>
      </c>
      <c r="P278" s="22"/>
      <c r="Q278" s="13">
        <f ca="1">Q277-T278*Prices!B278</f>
        <v>0.41176769103166055</v>
      </c>
      <c r="R278" s="4">
        <f t="shared" ca="1" si="35"/>
        <v>0.57443722653365892</v>
      </c>
      <c r="S278" s="13">
        <f ca="1">IF(Prices!D277&gt;OFFSET(Prices!D277,-S$3,0),1,-1)</f>
        <v>-1</v>
      </c>
      <c r="T278" s="4">
        <f ca="1">IF(S278=1,T$3*Q277/Prices!B277,-T$3*R277)</f>
        <v>-6.3826358503739883E-2</v>
      </c>
      <c r="V278" s="13"/>
      <c r="W278" s="4"/>
      <c r="X278" s="4"/>
      <c r="Y278" s="4"/>
      <c r="Z278" s="4"/>
      <c r="AA278" s="4"/>
      <c r="AB278" s="4"/>
      <c r="AC278" s="4"/>
      <c r="AD278" s="4"/>
      <c r="AE278" s="52"/>
    </row>
    <row r="279" spans="1:31" x14ac:dyDescent="0.2">
      <c r="A279" s="7">
        <v>43317</v>
      </c>
      <c r="B279" s="13">
        <f ca="1">Prices!B278*(1+J279/(50*(ABS(O279)+ABS(T279)+0.0001)))</f>
        <v>1.1747596733426855</v>
      </c>
      <c r="C279" s="62">
        <f t="shared" ca="1" si="30"/>
        <v>0</v>
      </c>
      <c r="D279" s="13">
        <f ca="1">D278+C279*(Prices!B279-Prices!B278)/Prices!B278</f>
        <v>-3.70496997165334E-2</v>
      </c>
      <c r="E279" s="13">
        <f t="shared" ca="1" si="31"/>
        <v>0.11933263745253236</v>
      </c>
      <c r="F279" s="13">
        <f t="shared" ca="1" si="32"/>
        <v>8.2282937735998971E-2</v>
      </c>
      <c r="G279" s="21">
        <f ca="1">IF((Prices!B279-Prices!B278)*C279&gt;0,1,0)</f>
        <v>0</v>
      </c>
      <c r="H279" s="13">
        <f>ABS(Prices!B279-Prices!B278)/Prices!B278</f>
        <v>3.3687047330301528E-3</v>
      </c>
      <c r="I279" s="21"/>
      <c r="J279" s="4">
        <f t="shared" ca="1" si="33"/>
        <v>-3.9943547936546822E-2</v>
      </c>
      <c r="K279" s="13"/>
      <c r="L279" s="13">
        <f ca="1">L278-O279*Prices!B279</f>
        <v>0.39488444241513548</v>
      </c>
      <c r="M279" s="4">
        <f t="shared" ca="1" si="34"/>
        <v>0.56061213670546339</v>
      </c>
      <c r="N279" s="13">
        <f ca="1">IF(Prices!B278&gt;OFFSET(Prices!B278,-$N$3,0),1,-1)</f>
        <v>1</v>
      </c>
      <c r="O279" s="4">
        <f ca="1">IF(N279=1,O$3*L278/Prices!B278,-O$3*M278)</f>
        <v>1.750017471681907E-2</v>
      </c>
      <c r="P279" s="22"/>
      <c r="Q279" s="13">
        <f ca="1">Q278-T279*Prices!B279</f>
        <v>0.47974659241965378</v>
      </c>
      <c r="R279" s="4">
        <f t="shared" ca="1" si="35"/>
        <v>0.51699350388029308</v>
      </c>
      <c r="S279" s="13">
        <f ca="1">IF(Prices!D278&gt;OFFSET(Prices!D278,-S$3,0),1,-1)</f>
        <v>-1</v>
      </c>
      <c r="T279" s="4">
        <f ca="1">IF(S279=1,T$3*Q278/Prices!B278,-T$3*R278)</f>
        <v>-5.7443722653365892E-2</v>
      </c>
      <c r="V279" s="13"/>
      <c r="W279" s="4"/>
      <c r="X279" s="4"/>
      <c r="Y279" s="4"/>
      <c r="Z279" s="4"/>
      <c r="AA279" s="4"/>
      <c r="AB279" s="4"/>
      <c r="AC279" s="4"/>
      <c r="AD279" s="4"/>
      <c r="AE279" s="52"/>
    </row>
    <row r="280" spans="1:31" x14ac:dyDescent="0.2">
      <c r="A280" s="7">
        <v>43324</v>
      </c>
      <c r="B280" s="13">
        <f ca="1">Prices!B279*(1+J280/(50*(ABS(O280)+ABS(T280)+0.0001)))</f>
        <v>1.2070267118831857</v>
      </c>
      <c r="C280" s="62">
        <f t="shared" ca="1" si="30"/>
        <v>1</v>
      </c>
      <c r="D280" s="13">
        <f ca="1">D279+C280*(Prices!B280-Prices!B279)/Prices!B279</f>
        <v>-3.5106147240616579E-2</v>
      </c>
      <c r="E280" s="13">
        <f t="shared" ca="1" si="31"/>
        <v>0.11738908497661554</v>
      </c>
      <c r="F280" s="13">
        <f t="shared" ca="1" si="32"/>
        <v>8.2282937735998971E-2</v>
      </c>
      <c r="G280" s="21">
        <f ca="1">IF((Prices!B280-Prices!B279)*C280&gt;0,1,0)</f>
        <v>1</v>
      </c>
      <c r="H280" s="13">
        <f>ABS(Prices!B280-Prices!B279)/Prices!B279</f>
        <v>1.9435524759168234E-3</v>
      </c>
      <c r="I280" s="21"/>
      <c r="J280" s="4">
        <f t="shared" ca="1" si="33"/>
        <v>5.7223999799494801E-2</v>
      </c>
      <c r="K280" s="13"/>
      <c r="L280" s="13">
        <f ca="1">L279-O280*Prices!B280</f>
        <v>0.37510184636259086</v>
      </c>
      <c r="M280" s="4">
        <f t="shared" ca="1" si="34"/>
        <v>0.57729645487409342</v>
      </c>
      <c r="N280" s="13">
        <f ca="1">IF(Prices!B279&gt;OFFSET(Prices!B279,-$N$3,0),1,-1)</f>
        <v>1</v>
      </c>
      <c r="O280" s="4">
        <f ca="1">IF(N280=1,O$3*L279/Prices!B279,-O$3*M279)</f>
        <v>1.6684318168630027E-2</v>
      </c>
      <c r="P280" s="22"/>
      <c r="Q280" s="13">
        <f ca="1">Q279-T280*Prices!B280</f>
        <v>0.43167869190993741</v>
      </c>
      <c r="R280" s="4">
        <f t="shared" ca="1" si="35"/>
        <v>0.55753318551115782</v>
      </c>
      <c r="S280" s="13">
        <f ca="1">IF(Prices!D279&gt;OFFSET(Prices!D279,-S$3,0),1,-1)</f>
        <v>1</v>
      </c>
      <c r="T280" s="4">
        <f ca="1">IF(S280=1,T$3*Q279/Prices!B279,-T$3*R279)</f>
        <v>4.0539681630864778E-2</v>
      </c>
      <c r="V280" s="13"/>
      <c r="W280" s="4"/>
      <c r="X280" s="4"/>
      <c r="Y280" s="4"/>
      <c r="Z280" s="4"/>
      <c r="AA280" s="4"/>
      <c r="AB280" s="4"/>
      <c r="AC280" s="4"/>
      <c r="AD280" s="4"/>
      <c r="AE280" s="52"/>
    </row>
    <row r="281" spans="1:31" x14ac:dyDescent="0.2">
      <c r="A281" s="7">
        <v>43331</v>
      </c>
      <c r="B281" s="13">
        <f ca="1">Prices!B280*(1+J281/(50*(ABS(O281)+ABS(T281)+0.0001)))</f>
        <v>1.1724864045656593</v>
      </c>
      <c r="C281" s="62">
        <f t="shared" ca="1" si="30"/>
        <v>0</v>
      </c>
      <c r="D281" s="13">
        <f ca="1">D280+C281*(Prices!B281-Prices!B280)/Prices!B280</f>
        <v>-3.5106147240616579E-2</v>
      </c>
      <c r="E281" s="13">
        <f t="shared" ca="1" si="31"/>
        <v>0.11738908497661554</v>
      </c>
      <c r="F281" s="13">
        <f t="shared" ca="1" si="32"/>
        <v>8.2282937735998971E-2</v>
      </c>
      <c r="G281" s="21">
        <f ca="1">IF((Prices!B281-Prices!B280)*C281&gt;0,1,0)</f>
        <v>0</v>
      </c>
      <c r="H281" s="13">
        <f>ABS(Prices!B281-Prices!B280)/Prices!B280</f>
        <v>8.9398667453824271E-3</v>
      </c>
      <c r="I281" s="21"/>
      <c r="J281" s="4">
        <f t="shared" ca="1" si="33"/>
        <v>-3.9935580237773841E-2</v>
      </c>
      <c r="K281" s="13"/>
      <c r="L281" s="13">
        <f ca="1">L280-O281*Prices!B281</f>
        <v>0.35617908601833992</v>
      </c>
      <c r="M281" s="4">
        <f t="shared" ca="1" si="34"/>
        <v>0.59311419318743541</v>
      </c>
      <c r="N281" s="13">
        <f ca="1">IF(Prices!B280&gt;OFFSET(Prices!B280,-$N$3,0),1,-1)</f>
        <v>1</v>
      </c>
      <c r="O281" s="4">
        <f ca="1">IF(N281=1,O$3*L280/Prices!B280,-O$3*M280)</f>
        <v>1.5817738313341944E-2</v>
      </c>
      <c r="P281" s="22"/>
      <c r="Q281" s="13">
        <f ca="1">Q280-T281*Prices!B281</f>
        <v>0.49837638689263719</v>
      </c>
      <c r="R281" s="4">
        <f t="shared" ca="1" si="35"/>
        <v>0.50177986696004206</v>
      </c>
      <c r="S281" s="13">
        <f ca="1">IF(Prices!D280&gt;OFFSET(Prices!D280,-S$3,0),1,-1)</f>
        <v>-1</v>
      </c>
      <c r="T281" s="4">
        <f ca="1">IF(S281=1,T$3*Q280/Prices!B280,-T$3*R280)</f>
        <v>-5.5753318551115788E-2</v>
      </c>
      <c r="V281" s="13"/>
      <c r="W281" s="4"/>
      <c r="X281" s="4"/>
      <c r="Y281" s="4"/>
      <c r="Z281" s="4"/>
      <c r="AA281" s="4"/>
      <c r="AB281" s="4"/>
      <c r="AC281" s="4"/>
      <c r="AD281" s="4"/>
      <c r="AE281" s="52"/>
    </row>
    <row r="282" spans="1:31" x14ac:dyDescent="0.2">
      <c r="A282" s="7">
        <v>43338</v>
      </c>
      <c r="B282" s="13">
        <f ca="1">Prices!B281*(1+J282/(50*(ABS(O282)+ABS(T282)+0.0001)))</f>
        <v>1.220183762624893</v>
      </c>
      <c r="C282" s="62">
        <f t="shared" ca="1" si="30"/>
        <v>1</v>
      </c>
      <c r="D282" s="13">
        <f ca="1">D281+C282*(Prices!B282-Prices!B281)/Prices!B281</f>
        <v>-2.1898757789809896E-2</v>
      </c>
      <c r="E282" s="13">
        <f t="shared" ca="1" si="31"/>
        <v>0.10418169552580886</v>
      </c>
      <c r="F282" s="13">
        <f t="shared" ca="1" si="32"/>
        <v>8.2282937735998971E-2</v>
      </c>
      <c r="G282" s="21">
        <f ca="1">IF((Prices!B282-Prices!B281)*C282&gt;0,1,0)</f>
        <v>1</v>
      </c>
      <c r="H282" s="13">
        <f>ABS(Prices!B282-Prices!B281)/Prices!B281</f>
        <v>1.3207389450806685E-2</v>
      </c>
      <c r="I282" s="21"/>
      <c r="J282" s="4">
        <f t="shared" ca="1" si="33"/>
        <v>5.6546512572248367E-2</v>
      </c>
      <c r="K282" s="13"/>
      <c r="L282" s="13">
        <f ca="1">L281-O282*Prices!B282</f>
        <v>0.33813492192225908</v>
      </c>
      <c r="M282" s="4">
        <f t="shared" ca="1" si="34"/>
        <v>0.60800088908388028</v>
      </c>
      <c r="N282" s="13">
        <f ca="1">IF(Prices!B281&gt;OFFSET(Prices!B281,-$N$3,0),1,-1)</f>
        <v>1</v>
      </c>
      <c r="O282" s="4">
        <f ca="1">IF(N282=1,O$3*L281/Prices!B281,-O$3*M281)</f>
        <v>1.4886695896444872E-2</v>
      </c>
      <c r="P282" s="22"/>
      <c r="Q282" s="13">
        <f ca="1">Q281-T282*Prices!B282</f>
        <v>0.44788052309989579</v>
      </c>
      <c r="R282" s="4">
        <f t="shared" ca="1" si="35"/>
        <v>0.54343968363584561</v>
      </c>
      <c r="S282" s="13">
        <f ca="1">IF(Prices!D281&gt;OFFSET(Prices!D281,-S$3,0),1,-1)</f>
        <v>1</v>
      </c>
      <c r="T282" s="4">
        <f ca="1">IF(S282=1,T$3*Q281/Prices!B281,-T$3*R281)</f>
        <v>4.1659816675803499E-2</v>
      </c>
      <c r="V282" s="13"/>
      <c r="W282" s="4"/>
      <c r="X282" s="4"/>
      <c r="Y282" s="4"/>
      <c r="Z282" s="4"/>
      <c r="AA282" s="4"/>
      <c r="AB282" s="4"/>
      <c r="AC282" s="4"/>
      <c r="AD282" s="4"/>
      <c r="AE282" s="52"/>
    </row>
    <row r="283" spans="1:31" x14ac:dyDescent="0.2">
      <c r="A283" s="7">
        <v>43345</v>
      </c>
      <c r="B283" s="13">
        <f ca="1">Prices!B282*(1+J283/(50*(ABS(O283)+ABS(T283)+0.0001)))</f>
        <v>1.236294465827287</v>
      </c>
      <c r="C283" s="62">
        <f t="shared" ca="1" si="30"/>
        <v>1</v>
      </c>
      <c r="D283" s="13">
        <f ca="1">D282+C283*(Prices!B283-Prices!B282)/Prices!B282</f>
        <v>-2.264127078378721E-2</v>
      </c>
      <c r="E283" s="13">
        <f t="shared" ca="1" si="31"/>
        <v>0.10492420851978618</v>
      </c>
      <c r="F283" s="13">
        <f t="shared" ca="1" si="32"/>
        <v>8.2282937735998971E-2</v>
      </c>
      <c r="G283" s="21">
        <f ca="1">IF((Prices!B283-Prices!B282)*C283&gt;0,1,0)</f>
        <v>0</v>
      </c>
      <c r="H283" s="13">
        <f>ABS(Prices!B283-Prices!B282)/Prices!B282</f>
        <v>7.4251299397731286E-4</v>
      </c>
      <c r="I283" s="21"/>
      <c r="J283" s="4">
        <f t="shared" ca="1" si="33"/>
        <v>5.0899099419274438E-2</v>
      </c>
      <c r="K283" s="13"/>
      <c r="L283" s="13">
        <f ca="1">L282-O283*Prices!B283</f>
        <v>0.32124072930480835</v>
      </c>
      <c r="M283" s="4">
        <f t="shared" ca="1" si="34"/>
        <v>0.62194919870859189</v>
      </c>
      <c r="N283" s="13">
        <f ca="1">IF(Prices!B282&gt;OFFSET(Prices!B282,-$N$3,0),1,-1)</f>
        <v>1</v>
      </c>
      <c r="O283" s="4">
        <f ca="1">IF(N283=1,O$3*L282/Prices!B282,-O$3*M282)</f>
        <v>1.394830962471162E-2</v>
      </c>
      <c r="P283" s="22"/>
      <c r="Q283" s="13">
        <f ca="1">Q282-T283*Prices!B283</f>
        <v>0.40312572650072132</v>
      </c>
      <c r="R283" s="4">
        <f t="shared" ca="1" si="35"/>
        <v>0.58039047343040839</v>
      </c>
      <c r="S283" s="13">
        <f ca="1">IF(Prices!D282&gt;OFFSET(Prices!D282,-S$3,0),1,-1)</f>
        <v>1</v>
      </c>
      <c r="T283" s="4">
        <f ca="1">IF(S283=1,T$3*Q282/Prices!B282,-T$3*R282)</f>
        <v>3.6950789794562816E-2</v>
      </c>
      <c r="V283" s="13"/>
      <c r="W283" s="4"/>
      <c r="X283" s="4"/>
      <c r="Y283" s="4"/>
      <c r="Z283" s="4"/>
      <c r="AA283" s="4"/>
      <c r="AB283" s="4"/>
      <c r="AC283" s="4"/>
      <c r="AD283" s="4"/>
      <c r="AE283" s="52"/>
    </row>
    <row r="284" spans="1:31" x14ac:dyDescent="0.2">
      <c r="A284" s="7">
        <v>43352</v>
      </c>
      <c r="B284" s="13">
        <f ca="1">Prices!B283*(1+J284/(50*(ABS(O284)+ABS(T284)+0.0001)))</f>
        <v>1.1960082282198521</v>
      </c>
      <c r="C284" s="62">
        <f t="shared" ca="1" si="30"/>
        <v>0</v>
      </c>
      <c r="D284" s="13">
        <f ca="1">D283+C284*(Prices!B284-Prices!B283)/Prices!B283</f>
        <v>-2.264127078378721E-2</v>
      </c>
      <c r="E284" s="13">
        <f t="shared" ca="1" si="31"/>
        <v>0.10492420851978618</v>
      </c>
      <c r="F284" s="13">
        <f t="shared" ca="1" si="32"/>
        <v>8.2282937735998971E-2</v>
      </c>
      <c r="G284" s="21">
        <f ca="1">IF((Prices!B284-Prices!B283)*C284&gt;0,1,0)</f>
        <v>0</v>
      </c>
      <c r="H284" s="13">
        <f>ABS(Prices!B284-Prices!B283)/Prices!B283</f>
        <v>1.1971598414795209E-2</v>
      </c>
      <c r="I284" s="21"/>
      <c r="J284" s="4">
        <f t="shared" ca="1" si="33"/>
        <v>-4.4777788702650805E-2</v>
      </c>
      <c r="K284" s="13"/>
      <c r="L284" s="13">
        <f ca="1">L283-O284*Prices!B284</f>
        <v>0.30498640458928228</v>
      </c>
      <c r="M284" s="4">
        <f t="shared" ca="1" si="34"/>
        <v>0.63521045734898196</v>
      </c>
      <c r="N284" s="13">
        <f ca="1">IF(Prices!B283&gt;OFFSET(Prices!B283,-$N$3,0),1,-1)</f>
        <v>1</v>
      </c>
      <c r="O284" s="4">
        <f ca="1">IF(N284=1,O$3*L283/Prices!B283,-O$3*M283)</f>
        <v>1.3261258640390039E-2</v>
      </c>
      <c r="P284" s="22"/>
      <c r="Q284" s="13">
        <f ca="1">Q283-T284*Prices!B284</f>
        <v>0.47426418682908644</v>
      </c>
      <c r="R284" s="4">
        <f t="shared" ca="1" si="35"/>
        <v>0.52235142608736751</v>
      </c>
      <c r="S284" s="13">
        <f ca="1">IF(Prices!D283&gt;OFFSET(Prices!D283,-S$3,0),1,-1)</f>
        <v>-1</v>
      </c>
      <c r="T284" s="4">
        <f ca="1">IF(S284=1,T$3*Q283/Prices!B283,-T$3*R283)</f>
        <v>-5.8039047343040842E-2</v>
      </c>
      <c r="V284" s="13"/>
      <c r="W284" s="4"/>
      <c r="X284" s="4"/>
      <c r="Y284" s="4"/>
      <c r="Z284" s="4"/>
      <c r="AA284" s="4"/>
      <c r="AB284" s="4"/>
      <c r="AC284" s="4"/>
      <c r="AD284" s="4"/>
      <c r="AE284" s="52"/>
    </row>
    <row r="285" spans="1:31" x14ac:dyDescent="0.2">
      <c r="A285" s="7">
        <v>43359</v>
      </c>
      <c r="B285" s="13">
        <f ca="1">Prices!B284*(1+J285/(50*(ABS(O285)+ABS(T285)+0.0001)))</f>
        <v>1.2501661534730468</v>
      </c>
      <c r="C285" s="62">
        <f t="shared" ca="1" si="30"/>
        <v>1</v>
      </c>
      <c r="D285" s="13">
        <f ca="1">D284+C285*(Prices!B285-Prices!B284)/Prices!B284</f>
        <v>-2.7862776861946596E-2</v>
      </c>
      <c r="E285" s="13">
        <f t="shared" ca="1" si="31"/>
        <v>0.11014571459794556</v>
      </c>
      <c r="F285" s="13">
        <f t="shared" ca="1" si="32"/>
        <v>8.2282937735998971E-2</v>
      </c>
      <c r="G285" s="21">
        <f ca="1">IF((Prices!B285-Prices!B284)*C285&gt;0,1,0)</f>
        <v>0</v>
      </c>
      <c r="H285" s="13">
        <f>ABS(Prices!B285-Prices!B284)/Prices!B284</f>
        <v>5.2215060781593877E-3</v>
      </c>
      <c r="I285" s="21"/>
      <c r="J285" s="4">
        <f t="shared" ca="1" si="33"/>
        <v>5.1134648700638621E-2</v>
      </c>
      <c r="K285" s="13"/>
      <c r="L285" s="13">
        <f ca="1">L284-O285*Prices!B285</f>
        <v>0.28981670877808413</v>
      </c>
      <c r="M285" s="4">
        <f t="shared" ca="1" si="34"/>
        <v>0.64765177270303609</v>
      </c>
      <c r="N285" s="13">
        <f ca="1">IF(Prices!B284&gt;OFFSET(Prices!B284,-$N$3,0),1,-1)</f>
        <v>1</v>
      </c>
      <c r="O285" s="4">
        <f ca="1">IF(N285=1,O$3*L284/Prices!B284,-O$3*M284)</f>
        <v>1.2441315354054103E-2</v>
      </c>
      <c r="P285" s="22"/>
      <c r="Q285" s="13">
        <f ca="1">Q284-T285*Prices!B285</f>
        <v>0.42708540547959595</v>
      </c>
      <c r="R285" s="4">
        <f t="shared" ca="1" si="35"/>
        <v>0.56104475943395204</v>
      </c>
      <c r="S285" s="13">
        <f ca="1">IF(Prices!D284&gt;OFFSET(Prices!D284,-S$3,0),1,-1)</f>
        <v>1</v>
      </c>
      <c r="T285" s="4">
        <f ca="1">IF(S285=1,T$3*Q284/Prices!B284,-T$3*R284)</f>
        <v>3.8693333346584521E-2</v>
      </c>
      <c r="V285" s="13"/>
      <c r="W285" s="4"/>
      <c r="X285" s="4"/>
      <c r="Y285" s="4"/>
      <c r="Z285" s="4"/>
      <c r="AA285" s="4"/>
      <c r="AB285" s="4"/>
      <c r="AC285" s="4"/>
      <c r="AD285" s="4"/>
      <c r="AE285" s="52"/>
    </row>
    <row r="286" spans="1:31" x14ac:dyDescent="0.2">
      <c r="A286" s="7">
        <v>43366</v>
      </c>
      <c r="B286" s="13">
        <f ca="1">Prices!B285*(1+J286/(50*(ABS(O286)+ABS(T286)+0.0001)))</f>
        <v>1.2436341277523459</v>
      </c>
      <c r="C286" s="62">
        <f t="shared" ca="1" si="30"/>
        <v>1</v>
      </c>
      <c r="D286" s="13">
        <f ca="1">D285+C286*(Prices!B286-Prices!B285)/Prices!B285</f>
        <v>-2.6058462911319205E-2</v>
      </c>
      <c r="E286" s="13">
        <f t="shared" ca="1" si="31"/>
        <v>0.10834140064731818</v>
      </c>
      <c r="F286" s="13">
        <f t="shared" ca="1" si="32"/>
        <v>8.2282937735998971E-2</v>
      </c>
      <c r="G286" s="21">
        <f ca="1">IF((Prices!B286-Prices!B285)*C286&gt;0,1,0)</f>
        <v>1</v>
      </c>
      <c r="H286" s="13">
        <f>ABS(Prices!B286-Prices!B285)/Prices!B285</f>
        <v>1.8043139506273924E-3</v>
      </c>
      <c r="I286" s="21"/>
      <c r="J286" s="4">
        <f t="shared" ca="1" si="33"/>
        <v>4.6911650936491273E-2</v>
      </c>
      <c r="K286" s="13"/>
      <c r="L286" s="13">
        <f ca="1">L285-O286*Prices!B286</f>
        <v>0.27529972732264124</v>
      </c>
      <c r="M286" s="4">
        <f t="shared" ca="1" si="34"/>
        <v>0.65953632567515463</v>
      </c>
      <c r="N286" s="13">
        <f ca="1">IF(Prices!B285&gt;OFFSET(Prices!B285,-$N$3,0),1,-1)</f>
        <v>1</v>
      </c>
      <c r="O286" s="4">
        <f ca="1">IF(N286=1,O$3*L285/Prices!B285,-O$3*M285)</f>
        <v>1.1884552972118597E-2</v>
      </c>
      <c r="P286" s="22"/>
      <c r="Q286" s="13">
        <f ca="1">Q285-T286*Prices!B286</f>
        <v>0.38429980531611474</v>
      </c>
      <c r="R286" s="4">
        <f t="shared" ca="1" si="35"/>
        <v>0.59607185739832469</v>
      </c>
      <c r="S286" s="13">
        <f ca="1">IF(Prices!D285&gt;OFFSET(Prices!D285,-S$3,0),1,-1)</f>
        <v>1</v>
      </c>
      <c r="T286" s="4">
        <f ca="1">IF(S286=1,T$3*Q285/Prices!B285,-T$3*R285)</f>
        <v>3.5027097964372672E-2</v>
      </c>
      <c r="V286" s="13"/>
      <c r="W286" s="4"/>
      <c r="X286" s="4"/>
      <c r="Y286" s="4"/>
      <c r="Z286" s="4"/>
      <c r="AA286" s="4"/>
      <c r="AB286" s="4"/>
      <c r="AC286" s="4"/>
      <c r="AD286" s="4"/>
      <c r="AE286" s="52"/>
    </row>
    <row r="287" spans="1:31" x14ac:dyDescent="0.2">
      <c r="A287" s="7">
        <v>43373</v>
      </c>
      <c r="B287" s="13">
        <f ca="1">Prices!B286*(1+J287/(50*(ABS(O287)+ABS(T287)+0.0001)))</f>
        <v>1.2458729608381167</v>
      </c>
      <c r="C287" s="62">
        <f t="shared" ca="1" si="30"/>
        <v>1</v>
      </c>
      <c r="D287" s="13">
        <f ca="1">D286+C287*(Prices!B287-Prices!B286)/Prices!B286</f>
        <v>-2.5812863238785462E-2</v>
      </c>
      <c r="E287" s="13">
        <f t="shared" ca="1" si="31"/>
        <v>0.10809580097478444</v>
      </c>
      <c r="F287" s="13">
        <f t="shared" ca="1" si="32"/>
        <v>8.2282937735998971E-2</v>
      </c>
      <c r="G287" s="21">
        <f ca="1">IF((Prices!B287-Prices!B286)*C287&gt;0,1,0)</f>
        <v>1</v>
      </c>
      <c r="H287" s="13">
        <f>ABS(Prices!B287-Prices!B286)/Prices!B286</f>
        <v>2.4559967253374288E-4</v>
      </c>
      <c r="I287" s="21"/>
      <c r="J287" s="4">
        <f t="shared" ca="1" si="33"/>
        <v>4.2730222593322591E-2</v>
      </c>
      <c r="K287" s="13"/>
      <c r="L287" s="13">
        <f ca="1">L286-O287*Prices!B287</f>
        <v>0.26153136028036522</v>
      </c>
      <c r="M287" s="4">
        <f t="shared" ca="1" si="34"/>
        <v>0.67080524615500081</v>
      </c>
      <c r="N287" s="13">
        <f ca="1">IF(Prices!B286&gt;OFFSET(Prices!B286,-$N$3,0),1,-1)</f>
        <v>1</v>
      </c>
      <c r="O287" s="4">
        <f ca="1">IF(N287=1,O$3*L286/Prices!B286,-O$3*M286)</f>
        <v>1.1268920479846142E-2</v>
      </c>
      <c r="P287" s="22"/>
      <c r="Q287" s="13">
        <f ca="1">Q286-T287*Prices!B287</f>
        <v>0.34586038639386923</v>
      </c>
      <c r="R287" s="4">
        <f t="shared" ca="1" si="35"/>
        <v>0.62753315951180111</v>
      </c>
      <c r="S287" s="13">
        <f ca="1">IF(Prices!D286&gt;OFFSET(Prices!D286,-S$3,0),1,-1)</f>
        <v>1</v>
      </c>
      <c r="T287" s="4">
        <f ca="1">IF(S287=1,T$3*Q286/Prices!B286,-T$3*R286)</f>
        <v>3.1461302113476447E-2</v>
      </c>
      <c r="V287" s="13"/>
      <c r="W287" s="4"/>
      <c r="X287" s="4"/>
      <c r="Y287" s="4"/>
      <c r="Z287" s="4"/>
      <c r="AA287" s="4"/>
      <c r="AB287" s="4"/>
      <c r="AC287" s="4"/>
      <c r="AD287" s="4"/>
      <c r="AE287" s="52"/>
    </row>
    <row r="288" spans="1:31" x14ac:dyDescent="0.2">
      <c r="A288" s="7">
        <v>43380</v>
      </c>
      <c r="B288" s="13">
        <f ca="1">Prices!B287*(1+J288/(50*(ABS(O288)+ABS(T288)+0.0001)))</f>
        <v>1.2461735200625743</v>
      </c>
      <c r="C288" s="62">
        <f t="shared" ca="1" si="30"/>
        <v>1</v>
      </c>
      <c r="D288" s="13">
        <f ca="1">D287+C288*(Prices!B288-Prices!B287)/Prices!B287</f>
        <v>-3.6943981261375131E-2</v>
      </c>
      <c r="E288" s="13">
        <f t="shared" ca="1" si="31"/>
        <v>0.1192269189973741</v>
      </c>
      <c r="F288" s="13">
        <f t="shared" ca="1" si="32"/>
        <v>8.2282937735998971E-2</v>
      </c>
      <c r="G288" s="21">
        <f ca="1">IF((Prices!B288-Prices!B287)*C288&gt;0,1,0)</f>
        <v>0</v>
      </c>
      <c r="H288" s="13">
        <f>ABS(Prices!B288-Prices!B287)/Prices!B287</f>
        <v>1.1131118022589669E-2</v>
      </c>
      <c r="I288" s="21"/>
      <c r="J288" s="4">
        <f t="shared" ca="1" si="33"/>
        <v>3.901015440612636E-2</v>
      </c>
      <c r="K288" s="13"/>
      <c r="L288" s="13">
        <f ca="1">L287-O288*Prices!B288</f>
        <v>0.24860034908824141</v>
      </c>
      <c r="M288" s="4">
        <f t="shared" ca="1" si="34"/>
        <v>0.68150795364724037</v>
      </c>
      <c r="N288" s="13">
        <f ca="1">IF(Prices!B287&gt;OFFSET(Prices!B287,-$N$3,0),1,-1)</f>
        <v>1</v>
      </c>
      <c r="O288" s="4">
        <f ca="1">IF(N288=1,O$3*L287/Prices!B287,-O$3*M287)</f>
        <v>1.0702707492239534E-2</v>
      </c>
      <c r="P288" s="22"/>
      <c r="Q288" s="13">
        <f ca="1">Q287-T288*Prices!B288</f>
        <v>0.31165932903251115</v>
      </c>
      <c r="R288" s="4">
        <f t="shared" ca="1" si="35"/>
        <v>0.65584060642568798</v>
      </c>
      <c r="S288" s="13">
        <f ca="1">IF(Prices!D287&gt;OFFSET(Prices!D287,-S$3,0),1,-1)</f>
        <v>1</v>
      </c>
      <c r="T288" s="4">
        <f ca="1">IF(S288=1,T$3*Q287/Prices!B287,-T$3*R287)</f>
        <v>2.8307446913886827E-2</v>
      </c>
      <c r="V288" s="13"/>
      <c r="W288" s="4"/>
      <c r="X288" s="4"/>
      <c r="Y288" s="4"/>
      <c r="Z288" s="4"/>
      <c r="AA288" s="4"/>
      <c r="AB288" s="4"/>
      <c r="AC288" s="4"/>
      <c r="AD288" s="4"/>
      <c r="AE288" s="52"/>
    </row>
    <row r="289" spans="1:31" x14ac:dyDescent="0.2">
      <c r="A289" s="7">
        <v>43387</v>
      </c>
      <c r="B289" s="13">
        <f ca="1">Prices!B288*(1+J289/(50*(ABS(O289)+ABS(T289)+0.0001)))</f>
        <v>1.2048637188291904</v>
      </c>
      <c r="C289" s="62">
        <f t="shared" ca="1" si="30"/>
        <v>0</v>
      </c>
      <c r="D289" s="13">
        <f ca="1">D288+C289*(Prices!B289-Prices!B288)/Prices!B288</f>
        <v>-3.6943981261375131E-2</v>
      </c>
      <c r="E289" s="13">
        <f t="shared" ca="1" si="31"/>
        <v>0.1192269189973741</v>
      </c>
      <c r="F289" s="13">
        <f t="shared" ca="1" si="32"/>
        <v>8.2282937735998971E-2</v>
      </c>
      <c r="G289" s="21">
        <f ca="1">IF((Prices!B289-Prices!B288)*C289&gt;0,1,0)</f>
        <v>0</v>
      </c>
      <c r="H289" s="13">
        <f>ABS(Prices!B289-Prices!B288)/Prices!B288</f>
        <v>7.3663300778017962E-3</v>
      </c>
      <c r="I289" s="21"/>
      <c r="J289" s="4">
        <f t="shared" ca="1" si="33"/>
        <v>-8.2800551039386508E-3</v>
      </c>
      <c r="K289" s="13"/>
      <c r="L289" s="13">
        <f ca="1">L288-O289*Prices!B289</f>
        <v>0.29007351560744421</v>
      </c>
      <c r="M289" s="4">
        <f t="shared" ca="1" si="34"/>
        <v>0.64743255596487836</v>
      </c>
      <c r="N289" s="13">
        <f ca="1">IF(Prices!B288&gt;OFFSET(Prices!B288,-$N$3,0),1,-1)</f>
        <v>-1</v>
      </c>
      <c r="O289" s="4">
        <f ca="1">IF(N289=1,O$3*L288/Prices!B288,-O$3*M288)</f>
        <v>-3.4075397682362021E-2</v>
      </c>
      <c r="P289" s="22"/>
      <c r="Q289" s="13">
        <f ca="1">Q288-T289*Prices!B289</f>
        <v>0.28026381758031205</v>
      </c>
      <c r="R289" s="4">
        <f t="shared" ca="1" si="35"/>
        <v>0.6816359490041114</v>
      </c>
      <c r="S289" s="13">
        <f ca="1">IF(Prices!D288&gt;OFFSET(Prices!D288,-S$3,0),1,-1)</f>
        <v>1</v>
      </c>
      <c r="T289" s="4">
        <f ca="1">IF(S289=1,T$3*Q288/Prices!B288,-T$3*R288)</f>
        <v>2.5795342578423371E-2</v>
      </c>
      <c r="V289" s="13"/>
      <c r="W289" s="4"/>
      <c r="X289" s="4"/>
      <c r="Y289" s="4"/>
      <c r="Z289" s="4"/>
      <c r="AA289" s="4"/>
      <c r="AB289" s="4"/>
      <c r="AC289" s="4"/>
      <c r="AD289" s="4"/>
      <c r="AE289" s="52"/>
    </row>
    <row r="290" spans="1:31" x14ac:dyDescent="0.2">
      <c r="A290" s="7">
        <v>43394</v>
      </c>
      <c r="B290" s="13">
        <f ca="1">Prices!B289*(1+J290/(50*(ABS(O290)+ABS(T290)+0.0001)))</f>
        <v>1.2413725382873682</v>
      </c>
      <c r="C290" s="62">
        <f t="shared" ca="1" si="30"/>
        <v>1</v>
      </c>
      <c r="D290" s="13">
        <f ca="1">D289+C290*(Prices!B290-Prices!B289)/Prices!B289</f>
        <v>-3.9819669372458899E-2</v>
      </c>
      <c r="E290" s="13">
        <f t="shared" ca="1" si="31"/>
        <v>0.12210260710845787</v>
      </c>
      <c r="F290" s="13">
        <f t="shared" ca="1" si="32"/>
        <v>8.2282937735998971E-2</v>
      </c>
      <c r="G290" s="21">
        <f ca="1">IF((Prices!B290-Prices!B289)*C290&gt;0,1,0)</f>
        <v>0</v>
      </c>
      <c r="H290" s="13">
        <f>ABS(Prices!B290-Prices!B289)/Prices!B289</f>
        <v>2.8756881110837715E-3</v>
      </c>
      <c r="I290" s="21"/>
      <c r="J290" s="4">
        <f t="shared" ca="1" si="33"/>
        <v>3.4943765950540967E-2</v>
      </c>
      <c r="K290" s="13"/>
      <c r="L290" s="13">
        <f ca="1">L289-O290*Prices!B290</f>
        <v>0.27561154787508063</v>
      </c>
      <c r="M290" s="4">
        <f t="shared" ca="1" si="34"/>
        <v>0.65934914111020104</v>
      </c>
      <c r="N290" s="13">
        <f ca="1">IF(Prices!B289&gt;OFFSET(Prices!B289,-$N$3,0),1,-1)</f>
        <v>1</v>
      </c>
      <c r="O290" s="4">
        <f ca="1">IF(N290=1,O$3*L289/Prices!B289,-O$3*M289)</f>
        <v>1.1916585145322661E-2</v>
      </c>
      <c r="P290" s="22"/>
      <c r="Q290" s="13">
        <f ca="1">Q289-T290*Prices!B290</f>
        <v>0.25231803095509908</v>
      </c>
      <c r="R290" s="4">
        <f t="shared" ca="1" si="35"/>
        <v>0.70466312980932966</v>
      </c>
      <c r="S290" s="13">
        <f ca="1">IF(Prices!D289&gt;OFFSET(Prices!D289,-S$3,0),1,-1)</f>
        <v>1</v>
      </c>
      <c r="T290" s="4">
        <f ca="1">IF(S290=1,T$3*Q289/Prices!B289,-T$3*R289)</f>
        <v>2.302718080521831E-2</v>
      </c>
      <c r="V290" s="13"/>
      <c r="W290" s="4"/>
      <c r="X290" s="4"/>
      <c r="Y290" s="4"/>
      <c r="Z290" s="4"/>
      <c r="AA290" s="4"/>
      <c r="AB290" s="4"/>
      <c r="AC290" s="4"/>
      <c r="AD290" s="4"/>
      <c r="AE290" s="52"/>
    </row>
    <row r="291" spans="1:31" x14ac:dyDescent="0.2">
      <c r="A291" s="7">
        <v>43401</v>
      </c>
      <c r="B291" s="13">
        <f ca="1">Prices!B290*(1+J291/(50*(ABS(O291)+ABS(T291)+0.0001)))</f>
        <v>1.2081124541154076</v>
      </c>
      <c r="C291" s="62">
        <f t="shared" ca="1" si="30"/>
        <v>0</v>
      </c>
      <c r="D291" s="13">
        <f ca="1">D290+C291*(Prices!B291-Prices!B290)/Prices!B290</f>
        <v>-3.9819669372458899E-2</v>
      </c>
      <c r="E291" s="13">
        <f t="shared" ca="1" si="31"/>
        <v>0.12210260710845787</v>
      </c>
      <c r="F291" s="13">
        <f t="shared" ca="1" si="32"/>
        <v>8.2282937735998971E-2</v>
      </c>
      <c r="G291" s="21">
        <f ca="1">IF((Prices!B291-Prices!B290)*C291&gt;0,1,0)</f>
        <v>0</v>
      </c>
      <c r="H291" s="13">
        <f>ABS(Prices!B291-Prices!B290)/Prices!B290</f>
        <v>7.4159525379036721E-3</v>
      </c>
      <c r="I291" s="21"/>
      <c r="J291" s="4">
        <f t="shared" ca="1" si="33"/>
        <v>-1.2176584366395099E-2</v>
      </c>
      <c r="K291" s="13"/>
      <c r="L291" s="13">
        <f ca="1">L290-O291*Prices!B291</f>
        <v>0.31532414664414804</v>
      </c>
      <c r="M291" s="4">
        <f t="shared" ca="1" si="34"/>
        <v>0.62638168405469097</v>
      </c>
      <c r="N291" s="13">
        <f ca="1">IF(Prices!B290&gt;OFFSET(Prices!B290,-$N$3,0),1,-1)</f>
        <v>-1</v>
      </c>
      <c r="O291" s="4">
        <f ca="1">IF(N291=1,O$3*L290/Prices!B290,-O$3*M290)</f>
        <v>-3.2967457055510054E-2</v>
      </c>
      <c r="P291" s="22"/>
      <c r="Q291" s="13">
        <f ca="1">Q290-T291*Prices!B291</f>
        <v>0.22727334571379121</v>
      </c>
      <c r="R291" s="4">
        <f t="shared" ca="1" si="35"/>
        <v>0.72545400249844461</v>
      </c>
      <c r="S291" s="13">
        <f ca="1">IF(Prices!D290&gt;OFFSET(Prices!D290,-S$3,0),1,-1)</f>
        <v>1</v>
      </c>
      <c r="T291" s="4">
        <f ca="1">IF(S291=1,T$3*Q290/Prices!B290,-T$3*R290)</f>
        <v>2.0790872689114955E-2</v>
      </c>
      <c r="V291" s="13"/>
      <c r="W291" s="4"/>
      <c r="X291" s="4"/>
      <c r="Y291" s="4"/>
      <c r="Z291" s="4"/>
      <c r="AA291" s="4"/>
      <c r="AB291" s="4"/>
      <c r="AC291" s="4"/>
      <c r="AD291" s="4"/>
      <c r="AE291" s="52"/>
    </row>
    <row r="292" spans="1:31" x14ac:dyDescent="0.2">
      <c r="A292" s="7">
        <v>43408</v>
      </c>
      <c r="B292" s="13">
        <f ca="1">Prices!B291*(1+J292/(50*(ABS(O292)+ABS(T292)+0.0001)))</f>
        <v>1.1986342946752377</v>
      </c>
      <c r="C292" s="62">
        <f t="shared" ca="1" si="30"/>
        <v>0</v>
      </c>
      <c r="D292" s="13">
        <f ca="1">D291+C292*(Prices!B292-Prices!B291)/Prices!B291</f>
        <v>-3.9819669372458899E-2</v>
      </c>
      <c r="E292" s="13">
        <f t="shared" ca="1" si="31"/>
        <v>0.12210260710845787</v>
      </c>
      <c r="F292" s="13">
        <f t="shared" ca="1" si="32"/>
        <v>8.2282937735998971E-2</v>
      </c>
      <c r="G292" s="21">
        <f ca="1">IF((Prices!B292-Prices!B291)*C292&gt;0,1,0)</f>
        <v>0</v>
      </c>
      <c r="H292" s="13">
        <f>ABS(Prices!B292-Prices!B291)/Prices!B291</f>
        <v>6.1431180474845184E-3</v>
      </c>
      <c r="I292" s="21"/>
      <c r="J292" s="4">
        <f t="shared" ca="1" si="33"/>
        <v>-1.2451962692374991E-2</v>
      </c>
      <c r="K292" s="13"/>
      <c r="L292" s="13">
        <f ca="1">L291-O292*Prices!B292</f>
        <v>0.35328287669786229</v>
      </c>
      <c r="M292" s="4">
        <f t="shared" ca="1" si="34"/>
        <v>0.59506259985195642</v>
      </c>
      <c r="N292" s="13">
        <f ca="1">IF(Prices!B291&gt;OFFSET(Prices!B291,-$N$3,0),1,-1)</f>
        <v>-1</v>
      </c>
      <c r="O292" s="4">
        <f ca="1">IF(N292=1,O$3*L291/Prices!B291,-O$3*M291)</f>
        <v>-3.1319084202734548E-2</v>
      </c>
      <c r="P292" s="22"/>
      <c r="Q292" s="13">
        <f ca="1">Q291-T292*Prices!B292</f>
        <v>0.20440639444323544</v>
      </c>
      <c r="R292" s="4">
        <f t="shared" ca="1" si="35"/>
        <v>0.74432112400880412</v>
      </c>
      <c r="S292" s="13">
        <f ca="1">IF(Prices!D291&gt;OFFSET(Prices!D291,-S$3,0),1,-1)</f>
        <v>1</v>
      </c>
      <c r="T292" s="4">
        <f ca="1">IF(S292=1,T$3*Q291/Prices!B291,-T$3*R291)</f>
        <v>1.8867121510359557E-2</v>
      </c>
      <c r="V292" s="13"/>
      <c r="W292" s="4"/>
      <c r="X292" s="4"/>
      <c r="Y292" s="4"/>
      <c r="Z292" s="4"/>
      <c r="AA292" s="4"/>
      <c r="AB292" s="4"/>
      <c r="AC292" s="4"/>
      <c r="AD292" s="4"/>
      <c r="AE292" s="52"/>
    </row>
    <row r="293" spans="1:31" x14ac:dyDescent="0.2">
      <c r="A293" s="7">
        <v>43415</v>
      </c>
      <c r="B293" s="13">
        <f ca="1">Prices!B292*(1+J293/(50*(ABS(O293)+ABS(T293)+0.0001)))</f>
        <v>1.1877832439407952</v>
      </c>
      <c r="C293" s="62">
        <f t="shared" ca="1" si="30"/>
        <v>0</v>
      </c>
      <c r="D293" s="13">
        <f ca="1">D292+C293*(Prices!B293-Prices!B292)/Prices!B292</f>
        <v>-3.9819669372458899E-2</v>
      </c>
      <c r="E293" s="13">
        <f t="shared" ca="1" si="31"/>
        <v>0.12210260710845787</v>
      </c>
      <c r="F293" s="13">
        <f t="shared" ca="1" si="32"/>
        <v>8.2282937735998971E-2</v>
      </c>
      <c r="G293" s="21">
        <f ca="1">IF((Prices!B293-Prices!B292)*C293&gt;0,1,0)</f>
        <v>0</v>
      </c>
      <c r="H293" s="13">
        <f>ABS(Prices!B293-Prices!B292)/Prices!B292</f>
        <v>8.2508250825073429E-5</v>
      </c>
      <c r="I293" s="21"/>
      <c r="J293" s="4">
        <f t="shared" ca="1" si="33"/>
        <v>-0.10418524239347825</v>
      </c>
      <c r="K293" s="13"/>
      <c r="L293" s="13">
        <f ca="1">L292-O293*Prices!B293</f>
        <v>0.38934069493589157</v>
      </c>
      <c r="M293" s="4">
        <f t="shared" ca="1" si="34"/>
        <v>0.56530946985935859</v>
      </c>
      <c r="N293" s="13">
        <f ca="1">IF(Prices!B292&gt;OFFSET(Prices!B292,-$N$3,0),1,-1)</f>
        <v>-1</v>
      </c>
      <c r="O293" s="4">
        <f ca="1">IF(N293=1,O$3*L292/Prices!B292,-O$3*M292)</f>
        <v>-2.9753129992597823E-2</v>
      </c>
      <c r="P293" s="22"/>
      <c r="Q293" s="13">
        <f ca="1">Q292-T293*Prices!B293</f>
        <v>0.29461067146186243</v>
      </c>
      <c r="R293" s="4">
        <f t="shared" ca="1" si="35"/>
        <v>0.66988901160792369</v>
      </c>
      <c r="S293" s="13">
        <f ca="1">IF(Prices!D292&gt;OFFSET(Prices!D292,-S$3,0),1,-1)</f>
        <v>-1</v>
      </c>
      <c r="T293" s="4">
        <f ca="1">IF(S293=1,T$3*Q292/Prices!B292,-T$3*R292)</f>
        <v>-7.4432112400880421E-2</v>
      </c>
      <c r="V293" s="13"/>
      <c r="W293" s="4"/>
      <c r="X293" s="4"/>
      <c r="Y293" s="4"/>
      <c r="Z293" s="4"/>
      <c r="AA293" s="4"/>
      <c r="AB293" s="4"/>
      <c r="AC293" s="4"/>
      <c r="AD293" s="4"/>
      <c r="AE293" s="52"/>
    </row>
    <row r="294" spans="1:31" x14ac:dyDescent="0.2">
      <c r="A294" s="7">
        <v>43422</v>
      </c>
      <c r="B294" s="13">
        <f ca="1">Prices!B293*(1+J294/(50*(ABS(O294)+ABS(T294)+0.0001)))</f>
        <v>1.2100798448035905</v>
      </c>
      <c r="C294" s="62">
        <f t="shared" ca="1" si="30"/>
        <v>0</v>
      </c>
      <c r="D294" s="13">
        <f ca="1">D293+C294*(Prices!B294-Prices!B293)/Prices!B293</f>
        <v>-3.9819669372458899E-2</v>
      </c>
      <c r="E294" s="13">
        <f t="shared" ca="1" si="31"/>
        <v>0.12210260710845787</v>
      </c>
      <c r="F294" s="13">
        <f t="shared" ca="1" si="32"/>
        <v>8.2282937735998971E-2</v>
      </c>
      <c r="G294" s="21">
        <f ca="1">IF((Prices!B294-Prices!B293)*C294&gt;0,1,0)</f>
        <v>0</v>
      </c>
      <c r="H294" s="13">
        <f>ABS(Prices!B294-Prices!B293)/Prices!B293</f>
        <v>3.6306625959237229E-3</v>
      </c>
      <c r="I294" s="21"/>
      <c r="J294" s="4">
        <f t="shared" ca="1" si="33"/>
        <v>-3.9556565557732383E-3</v>
      </c>
      <c r="K294" s="13"/>
      <c r="L294" s="13">
        <f ca="1">L293-O294*Prices!B294</f>
        <v>0.42347125417865034</v>
      </c>
      <c r="M294" s="4">
        <f t="shared" ca="1" si="34"/>
        <v>0.53704399636639066</v>
      </c>
      <c r="N294" s="13">
        <f ca="1">IF(Prices!B293&gt;OFFSET(Prices!B293,-$N$3,0),1,-1)</f>
        <v>-1</v>
      </c>
      <c r="O294" s="4">
        <f ca="1">IF(N294=1,O$3*L293/Prices!B293,-O$3*M293)</f>
        <v>-2.826547349296793E-2</v>
      </c>
      <c r="P294" s="22"/>
      <c r="Q294" s="13">
        <f ca="1">Q293-T294*Prices!B294</f>
        <v>0.26525656751019983</v>
      </c>
      <c r="R294" s="4">
        <f t="shared" ca="1" si="35"/>
        <v>0.69419882854511838</v>
      </c>
      <c r="S294" s="13">
        <f ca="1">IF(Prices!D293&gt;OFFSET(Prices!D293,-S$3,0),1,-1)</f>
        <v>1</v>
      </c>
      <c r="T294" s="4">
        <f ca="1">IF(S294=1,T$3*Q293/Prices!B293,-T$3*R293)</f>
        <v>2.4309816937194691E-2</v>
      </c>
      <c r="V294" s="13"/>
      <c r="W294" s="4"/>
      <c r="X294" s="4"/>
      <c r="Y294" s="4"/>
      <c r="Z294" s="4"/>
      <c r="AA294" s="4"/>
      <c r="AB294" s="4"/>
      <c r="AC294" s="4"/>
      <c r="AD294" s="4"/>
      <c r="AE294" s="52"/>
    </row>
    <row r="295" spans="1:31" x14ac:dyDescent="0.2">
      <c r="A295" s="7">
        <v>43429</v>
      </c>
      <c r="B295" s="13">
        <f ca="1">Prices!B294*(1+J295/(50*(ABS(O295)+ABS(T295)+0.0001)))</f>
        <v>1.2050885442932799</v>
      </c>
      <c r="C295" s="62">
        <f t="shared" ca="1" si="30"/>
        <v>0</v>
      </c>
      <c r="D295" s="13">
        <f ca="1">D294+C295*(Prices!B295-Prices!B294)/Prices!B294</f>
        <v>-3.9819669372458899E-2</v>
      </c>
      <c r="E295" s="13">
        <f t="shared" ca="1" si="31"/>
        <v>0.12210260710845787</v>
      </c>
      <c r="F295" s="13">
        <f t="shared" ca="1" si="32"/>
        <v>8.2282937735998971E-2</v>
      </c>
      <c r="G295" s="21">
        <f ca="1">IF((Prices!B295-Prices!B294)*C295&gt;0,1,0)</f>
        <v>0</v>
      </c>
      <c r="H295" s="13">
        <f>ABS(Prices!B295-Prices!B294)/Prices!B294</f>
        <v>1.3250517598343697E-2</v>
      </c>
      <c r="I295" s="21"/>
      <c r="J295" s="4">
        <f t="shared" ca="1" si="33"/>
        <v>-4.884782219131141E-3</v>
      </c>
      <c r="K295" s="13"/>
      <c r="L295" s="13">
        <f ca="1">L294-O295*Prices!B295</f>
        <v>0.45546565026217806</v>
      </c>
      <c r="M295" s="4">
        <f t="shared" ca="1" si="34"/>
        <v>0.51019179654807112</v>
      </c>
      <c r="N295" s="13">
        <f ca="1">IF(Prices!B294&gt;OFFSET(Prices!B294,-$N$3,0),1,-1)</f>
        <v>-1</v>
      </c>
      <c r="O295" s="4">
        <f ca="1">IF(N295=1,O$3*L294/Prices!B294,-O$3*M294)</f>
        <v>-2.6852199818319534E-2</v>
      </c>
      <c r="P295" s="22"/>
      <c r="Q295" s="13">
        <f ca="1">Q294-T295*Prices!B295</f>
        <v>0.23908238944076685</v>
      </c>
      <c r="R295" s="4">
        <f t="shared" ca="1" si="35"/>
        <v>0.7161662461443068</v>
      </c>
      <c r="S295" s="13">
        <f ca="1">IF(Prices!D294&gt;OFFSET(Prices!D294,-S$3,0),1,-1)</f>
        <v>1</v>
      </c>
      <c r="T295" s="4">
        <f ca="1">IF(S295=1,T$3*Q294/Prices!B294,-T$3*R294)</f>
        <v>2.1967417599188393E-2</v>
      </c>
      <c r="V295" s="13"/>
      <c r="W295" s="4"/>
      <c r="X295" s="4"/>
      <c r="Y295" s="4"/>
      <c r="Z295" s="4"/>
      <c r="AA295" s="4"/>
      <c r="AB295" s="4"/>
      <c r="AC295" s="4"/>
      <c r="AD295" s="4"/>
      <c r="AE295" s="52"/>
    </row>
    <row r="296" spans="1:31" x14ac:dyDescent="0.2">
      <c r="A296" s="7">
        <v>43436</v>
      </c>
      <c r="B296" s="13">
        <f ca="1">Prices!B295*(1+J296/(50*(ABS(O296)+ABS(T296)+0.0001)))</f>
        <v>1.1886597586187697</v>
      </c>
      <c r="C296" s="62">
        <f t="shared" ca="1" si="30"/>
        <v>0</v>
      </c>
      <c r="D296" s="13">
        <f ca="1">D295+C296*(Prices!B296-Prices!B295)/Prices!B295</f>
        <v>-3.9819669372458899E-2</v>
      </c>
      <c r="E296" s="13">
        <f t="shared" ca="1" si="31"/>
        <v>0.12210260710845787</v>
      </c>
      <c r="F296" s="13">
        <f t="shared" ca="1" si="32"/>
        <v>8.2282937735998971E-2</v>
      </c>
      <c r="G296" s="21">
        <f ca="1">IF((Prices!B296-Prices!B295)*C296&gt;0,1,0)</f>
        <v>0</v>
      </c>
      <c r="H296" s="13">
        <f>ABS(Prices!B296-Prices!B295)/Prices!B295</f>
        <v>3.1892572387746754E-3</v>
      </c>
      <c r="I296" s="21"/>
      <c r="J296" s="4">
        <f t="shared" ca="1" si="33"/>
        <v>-5.4439255856270699E-3</v>
      </c>
      <c r="K296" s="13"/>
      <c r="L296" s="13">
        <f ca="1">L295-O296*Prices!B296</f>
        <v>0.48595726298287351</v>
      </c>
      <c r="M296" s="4">
        <f t="shared" ca="1" si="34"/>
        <v>0.48468220672066759</v>
      </c>
      <c r="N296" s="13">
        <f ca="1">IF(Prices!B295&gt;OFFSET(Prices!B295,-$N$3,0),1,-1)</f>
        <v>-1</v>
      </c>
      <c r="O296" s="4">
        <f ca="1">IF(N296=1,O$3*L295/Prices!B295,-O$3*M295)</f>
        <v>-2.5509589827403558E-2</v>
      </c>
      <c r="P296" s="22"/>
      <c r="Q296" s="13">
        <f ca="1">Q295-T296*Prices!B296</f>
        <v>0.21509790097257142</v>
      </c>
      <c r="R296" s="4">
        <f t="shared" ca="1" si="35"/>
        <v>0.73623191038608327</v>
      </c>
      <c r="S296" s="13">
        <f ca="1">IF(Prices!D295&gt;OFFSET(Prices!D295,-S$3,0),1,-1)</f>
        <v>1</v>
      </c>
      <c r="T296" s="4">
        <f ca="1">IF(S296=1,T$3*Q295/Prices!B295,-T$3*R295)</f>
        <v>2.0065664241776488E-2</v>
      </c>
      <c r="V296" s="13"/>
      <c r="W296" s="4"/>
      <c r="X296" s="4"/>
      <c r="Y296" s="4"/>
      <c r="Z296" s="4"/>
      <c r="AA296" s="4"/>
      <c r="AB296" s="4"/>
      <c r="AC296" s="4"/>
      <c r="AD296" s="4"/>
      <c r="AE296" s="52"/>
    </row>
    <row r="297" spans="1:31" x14ac:dyDescent="0.2">
      <c r="A297" s="7">
        <v>43443</v>
      </c>
      <c r="B297" s="13">
        <f ca="1">Prices!B296*(1+J297/(50*(ABS(O297)+ABS(T297)+0.0001)))</f>
        <v>1.1917765675930569</v>
      </c>
      <c r="C297" s="62">
        <f t="shared" ca="1" si="30"/>
        <v>0</v>
      </c>
      <c r="D297" s="13">
        <f ca="1">D296+C297*(Prices!B297-Prices!B296)/Prices!B296</f>
        <v>-3.9819669372458899E-2</v>
      </c>
      <c r="E297" s="13">
        <f t="shared" ca="1" si="31"/>
        <v>0.12210260710845787</v>
      </c>
      <c r="F297" s="13">
        <f t="shared" ca="1" si="32"/>
        <v>8.2282937735998971E-2</v>
      </c>
      <c r="G297" s="21">
        <f ca="1">IF((Prices!B297-Prices!B296)*C297&gt;0,1,0)</f>
        <v>0</v>
      </c>
      <c r="H297" s="13">
        <f>ABS(Prices!B297-Prices!B296)/Prices!B296</f>
        <v>4.099389274659187E-3</v>
      </c>
      <c r="I297" s="21"/>
      <c r="J297" s="4">
        <f t="shared" ca="1" si="33"/>
        <v>-6.2388036370815345E-3</v>
      </c>
      <c r="K297" s="13"/>
      <c r="L297" s="13">
        <f ca="1">L296-O297*Prices!B297</f>
        <v>0.5148055479268876</v>
      </c>
      <c r="M297" s="4">
        <f t="shared" ca="1" si="34"/>
        <v>0.46044809638463419</v>
      </c>
      <c r="N297" s="13">
        <f ca="1">IF(Prices!B296&gt;OFFSET(Prices!B296,-$N$3,0),1,-1)</f>
        <v>-1</v>
      </c>
      <c r="O297" s="4">
        <f ca="1">IF(N297=1,O$3*L296/Prices!B296,-O$3*M296)</f>
        <v>-2.4234110336033381E-2</v>
      </c>
      <c r="P297" s="22"/>
      <c r="Q297" s="13">
        <f ca="1">Q296-T297*Prices!B297</f>
        <v>0.19367628787813915</v>
      </c>
      <c r="R297" s="4">
        <f t="shared" ca="1" si="35"/>
        <v>0.75422721708503515</v>
      </c>
      <c r="S297" s="13">
        <f ca="1">IF(Prices!D296&gt;OFFSET(Prices!D296,-S$3,0),1,-1)</f>
        <v>1</v>
      </c>
      <c r="T297" s="4">
        <f ca="1">IF(S297=1,T$3*Q296/Prices!B296,-T$3*R296)</f>
        <v>1.7995306698951847E-2</v>
      </c>
      <c r="V297" s="13"/>
      <c r="W297" s="4"/>
      <c r="X297" s="4"/>
      <c r="Y297" s="4"/>
      <c r="Z297" s="4"/>
      <c r="AA297" s="4"/>
      <c r="AB297" s="4"/>
      <c r="AC297" s="4"/>
      <c r="AD297" s="4"/>
      <c r="AE297" s="52"/>
    </row>
    <row r="298" spans="1:31" x14ac:dyDescent="0.2">
      <c r="A298" s="7">
        <v>43450</v>
      </c>
      <c r="B298" s="13">
        <f ca="1">Prices!B297*(1+J298/(50*(ABS(O298)+ABS(T298)+0.0001)))</f>
        <v>1.1863188718403233</v>
      </c>
      <c r="C298" s="62">
        <f t="shared" ca="1" si="30"/>
        <v>0</v>
      </c>
      <c r="D298" s="13">
        <f ca="1">D297+C298*(Prices!B298-Prices!B297)/Prices!B297</f>
        <v>-3.9819669372458899E-2</v>
      </c>
      <c r="E298" s="13">
        <f t="shared" ca="1" si="31"/>
        <v>0.12210260710845787</v>
      </c>
      <c r="F298" s="13">
        <f t="shared" ca="1" si="32"/>
        <v>8.2282937735998971E-2</v>
      </c>
      <c r="G298" s="21">
        <f ca="1">IF((Prices!B298-Prices!B297)*C298&gt;0,1,0)</f>
        <v>0</v>
      </c>
      <c r="H298" s="13">
        <f>ABS(Prices!B298-Prices!B297)/Prices!B297</f>
        <v>9.2405913978493778E-3</v>
      </c>
      <c r="I298" s="21"/>
      <c r="J298" s="4">
        <f t="shared" ca="1" si="33"/>
        <v>-6.7525553671030844E-3</v>
      </c>
      <c r="K298" s="13"/>
      <c r="L298" s="13">
        <f ca="1">L297-O298*Prices!B298</f>
        <v>0.54195817217068942</v>
      </c>
      <c r="M298" s="4">
        <f t="shared" ca="1" si="34"/>
        <v>0.43742569156540245</v>
      </c>
      <c r="N298" s="13">
        <f ca="1">IF(Prices!B297&gt;OFFSET(Prices!B297,-$N$3,0),1,-1)</f>
        <v>-1</v>
      </c>
      <c r="O298" s="4">
        <f ca="1">IF(N298=1,O$3*L297/Prices!B297,-O$3*M297)</f>
        <v>-2.302240481923171E-2</v>
      </c>
      <c r="P298" s="22"/>
      <c r="Q298" s="13">
        <f ca="1">Q297-T298*Prices!B298</f>
        <v>0.17448762743429863</v>
      </c>
      <c r="R298" s="4">
        <f t="shared" ca="1" si="35"/>
        <v>0.77049706653716377</v>
      </c>
      <c r="S298" s="13">
        <f ca="1">IF(Prices!D297&gt;OFFSET(Prices!D297,-S$3,0),1,-1)</f>
        <v>1</v>
      </c>
      <c r="T298" s="4">
        <f ca="1">IF(S298=1,T$3*Q297/Prices!B297,-T$3*R297)</f>
        <v>1.6269849452128626E-2</v>
      </c>
      <c r="V298" s="13"/>
      <c r="W298" s="4"/>
      <c r="X298" s="4"/>
      <c r="Y298" s="4"/>
      <c r="Z298" s="4"/>
      <c r="AA298" s="4"/>
      <c r="AB298" s="4"/>
      <c r="AC298" s="4"/>
      <c r="AD298" s="4"/>
      <c r="AE298" s="52"/>
    </row>
    <row r="299" spans="1:31" x14ac:dyDescent="0.2">
      <c r="A299" s="7">
        <v>43457</v>
      </c>
      <c r="B299" s="13">
        <f ca="1">Prices!B298*(1+J299/(50*(ABS(O299)+ABS(T299)+0.0001)))</f>
        <v>1.1748597974890329</v>
      </c>
      <c r="C299" s="62">
        <f t="shared" ca="1" si="30"/>
        <v>0</v>
      </c>
      <c r="D299" s="13">
        <f ca="1">D298+C299*(Prices!B299-Prices!B298)/Prices!B298</f>
        <v>-3.9819669372458899E-2</v>
      </c>
      <c r="E299" s="13">
        <f t="shared" ca="1" si="31"/>
        <v>0.12210260710845787</v>
      </c>
      <c r="F299" s="13">
        <f t="shared" ca="1" si="32"/>
        <v>8.2282937735998971E-2</v>
      </c>
      <c r="G299" s="21">
        <f ca="1">IF((Prices!B299-Prices!B298)*C299&gt;0,1,0)</f>
        <v>0</v>
      </c>
      <c r="H299" s="13">
        <f>ABS(Prices!B299-Prices!B298)/Prices!B298</f>
        <v>2.9676106494828376E-3</v>
      </c>
      <c r="I299" s="21"/>
      <c r="J299" s="4">
        <f t="shared" ca="1" si="33"/>
        <v>-7.076674824641277E-3</v>
      </c>
      <c r="K299" s="13"/>
      <c r="L299" s="13">
        <f ca="1">L298-O299*Prices!B299</f>
        <v>0.56767661570627725</v>
      </c>
      <c r="M299" s="4">
        <f t="shared" ca="1" si="34"/>
        <v>0.41555440698713231</v>
      </c>
      <c r="N299" s="13">
        <f ca="1">IF(Prices!B298&gt;OFFSET(Prices!B298,-$N$3,0),1,-1)</f>
        <v>-1</v>
      </c>
      <c r="O299" s="4">
        <f ca="1">IF(N299=1,O$3*L298/Prices!B298,-O$3*M298)</f>
        <v>-2.1871284578270124E-2</v>
      </c>
      <c r="P299" s="22"/>
      <c r="Q299" s="13">
        <f ca="1">Q298-T299*Prices!B299</f>
        <v>0.15709064582500648</v>
      </c>
      <c r="R299" s="4">
        <f t="shared" ca="1" si="35"/>
        <v>0.78529167629079266</v>
      </c>
      <c r="S299" s="13">
        <f ca="1">IF(Prices!D298&gt;OFFSET(Prices!D298,-S$3,0),1,-1)</f>
        <v>1</v>
      </c>
      <c r="T299" s="4">
        <f ca="1">IF(S299=1,T$3*Q298/Prices!B298,-T$3*R298)</f>
        <v>1.4794609753628847E-2</v>
      </c>
      <c r="V299" s="13"/>
      <c r="W299" s="4"/>
      <c r="X299" s="4"/>
      <c r="Y299" s="4"/>
      <c r="Z299" s="4"/>
      <c r="AA299" s="4"/>
      <c r="AB299" s="4"/>
      <c r="AC299" s="4"/>
      <c r="AD299" s="4"/>
      <c r="AE299" s="52"/>
    </row>
    <row r="300" spans="1:31" x14ac:dyDescent="0.2">
      <c r="A300" s="7">
        <v>43464</v>
      </c>
      <c r="B300" s="13">
        <f ca="1">Prices!B299*(1+J300/(50*(ABS(O300)+ABS(T300)+0.0001)))</f>
        <v>1.1708040622002722</v>
      </c>
      <c r="C300" s="62">
        <f t="shared" ca="1" si="30"/>
        <v>0</v>
      </c>
      <c r="D300" s="13">
        <f ca="1">D299+C300*(Prices!B300-Prices!B299)/Prices!B299</f>
        <v>-3.9819669372458899E-2</v>
      </c>
      <c r="E300" s="13">
        <f t="shared" ca="1" si="31"/>
        <v>0.12210260710845787</v>
      </c>
      <c r="F300" s="13">
        <f t="shared" ca="1" si="32"/>
        <v>8.2282937735998971E-2</v>
      </c>
      <c r="G300" s="21">
        <f ca="1">IF((Prices!B300-Prices!B299)*C300&gt;0,1,0)</f>
        <v>0</v>
      </c>
      <c r="H300" s="13">
        <f>ABS(Prices!B300-Prices!B299)/Prices!B299</f>
        <v>1.1905774300535771E-2</v>
      </c>
      <c r="I300" s="21"/>
      <c r="J300" s="4">
        <f t="shared" ca="1" si="33"/>
        <v>-7.4185362499428475E-3</v>
      </c>
      <c r="K300" s="13"/>
      <c r="L300" s="13">
        <f ca="1">L299-O300*Prices!B300</f>
        <v>0.59240002514997669</v>
      </c>
      <c r="M300" s="4">
        <f t="shared" ca="1" si="34"/>
        <v>0.39477668663777571</v>
      </c>
      <c r="N300" s="13">
        <f ca="1">IF(Prices!B299&gt;OFFSET(Prices!B299,-$N$3,0),1,-1)</f>
        <v>-1</v>
      </c>
      <c r="O300" s="4">
        <f ca="1">IF(N300=1,O$3*L299/Prices!B299,-O$3*M299)</f>
        <v>-2.0777720349356616E-2</v>
      </c>
      <c r="P300" s="22"/>
      <c r="Q300" s="13">
        <f ca="1">Q299-T300*Prices!B300</f>
        <v>0.14119455266511405</v>
      </c>
      <c r="R300" s="4">
        <f t="shared" ca="1" si="35"/>
        <v>0.79865086039020639</v>
      </c>
      <c r="S300" s="13">
        <f ca="1">IF(Prices!D299&gt;OFFSET(Prices!D299,-S$3,0),1,-1)</f>
        <v>1</v>
      </c>
      <c r="T300" s="4">
        <f ca="1">IF(S300=1,T$3*Q299/Prices!B299,-T$3*R299)</f>
        <v>1.3359184099413769E-2</v>
      </c>
      <c r="V300" s="13"/>
      <c r="W300" s="4"/>
      <c r="X300" s="4"/>
      <c r="Y300" s="4"/>
      <c r="Z300" s="4"/>
      <c r="AA300" s="4"/>
      <c r="AB300" s="4"/>
      <c r="AC300" s="4"/>
      <c r="AD300" s="4"/>
      <c r="AE300" s="52"/>
    </row>
    <row r="301" spans="1:31" x14ac:dyDescent="0.2">
      <c r="A301" s="7">
        <v>43471</v>
      </c>
      <c r="B301" s="13">
        <f ca="1">Prices!B300*(1+J301/(50*(ABS(O301)+ABS(T301)+0.0001)))</f>
        <v>1.1839906435200729</v>
      </c>
      <c r="C301" s="62">
        <f t="shared" ca="1" si="30"/>
        <v>0</v>
      </c>
      <c r="D301" s="13">
        <f ca="1">D300+C301*(Prices!B301-Prices!B300)/Prices!B300</f>
        <v>-3.9819669372458899E-2</v>
      </c>
      <c r="E301" s="13">
        <f t="shared" ca="1" si="31"/>
        <v>0.12210260710845787</v>
      </c>
      <c r="F301" s="13">
        <f t="shared" ca="1" si="32"/>
        <v>8.2282937735998971E-2</v>
      </c>
      <c r="G301" s="21">
        <f ca="1">IF((Prices!B301-Prices!B300)*C301&gt;0,1,0)</f>
        <v>0</v>
      </c>
      <c r="H301" s="13">
        <f>ABS(Prices!B301-Prices!B300)/Prices!B300</f>
        <v>7.0594167577107013E-3</v>
      </c>
      <c r="I301" s="21"/>
      <c r="J301" s="4">
        <f t="shared" ca="1" si="33"/>
        <v>-7.872748722584302E-3</v>
      </c>
      <c r="K301" s="13"/>
      <c r="L301" s="13">
        <f ca="1">L300-O301*Prices!B301</f>
        <v>0.61605307032987899</v>
      </c>
      <c r="M301" s="4">
        <f t="shared" ca="1" si="34"/>
        <v>0.37503785230588693</v>
      </c>
      <c r="N301" s="13">
        <f ca="1">IF(Prices!B300&gt;OFFSET(Prices!B300,-$N$3,0),1,-1)</f>
        <v>-1</v>
      </c>
      <c r="O301" s="4">
        <f ca="1">IF(N301=1,O$3*L300/Prices!B300,-O$3*M300)</f>
        <v>-1.9738834331888788E-2</v>
      </c>
      <c r="P301" s="22"/>
      <c r="Q301" s="13">
        <f ca="1">Q300-T301*Prices!B301</f>
        <v>0.1269754222794845</v>
      </c>
      <c r="R301" s="4">
        <f t="shared" ca="1" si="35"/>
        <v>0.81051694599951085</v>
      </c>
      <c r="S301" s="13">
        <f ca="1">IF(Prices!D300&gt;OFFSET(Prices!D300,-S$3,0),1,-1)</f>
        <v>1</v>
      </c>
      <c r="T301" s="4">
        <f ca="1">IF(S301=1,T$3*Q300/Prices!B300,-T$3*R300)</f>
        <v>1.1866085609304486E-2</v>
      </c>
      <c r="V301" s="13"/>
      <c r="W301" s="4"/>
      <c r="X301" s="4"/>
      <c r="Y301" s="4"/>
      <c r="Z301" s="4"/>
      <c r="AA301" s="4"/>
      <c r="AB301" s="4"/>
      <c r="AC301" s="4"/>
      <c r="AD301" s="4"/>
      <c r="AE301" s="52"/>
    </row>
    <row r="302" spans="1:31" x14ac:dyDescent="0.2">
      <c r="A302" s="7">
        <v>43478</v>
      </c>
      <c r="B302" s="13">
        <f ca="1">Prices!B301*(1+J302/(50*(ABS(O302)+ABS(T302)+0.0001)))</f>
        <v>1.2222001622172158</v>
      </c>
      <c r="C302" s="62">
        <f t="shared" ca="1" si="30"/>
        <v>1</v>
      </c>
      <c r="D302" s="13">
        <f ca="1">D301+C302*(Prices!B302-Prices!B301)/Prices!B301</f>
        <v>-3.0306191946104833E-2</v>
      </c>
      <c r="E302" s="13">
        <f t="shared" ca="1" si="31"/>
        <v>0.1125891296821038</v>
      </c>
      <c r="F302" s="13">
        <f t="shared" ca="1" si="32"/>
        <v>8.2282937735998971E-2</v>
      </c>
      <c r="G302" s="21">
        <f ca="1">IF((Prices!B302-Prices!B301)*C302&gt;0,1,0)</f>
        <v>1</v>
      </c>
      <c r="H302" s="13">
        <f>ABS(Prices!B302-Prices!B301)/Prices!B301</f>
        <v>9.513477426354066E-3</v>
      </c>
      <c r="I302" s="21"/>
      <c r="J302" s="4">
        <f t="shared" ca="1" si="33"/>
        <v>3.6301590373397655E-2</v>
      </c>
      <c r="K302" s="13"/>
      <c r="L302" s="13">
        <f ca="1">L301-O302*Prices!B302</f>
        <v>0.58495737646448409</v>
      </c>
      <c r="M302" s="4">
        <f t="shared" ca="1" si="34"/>
        <v>0.40074314606912981</v>
      </c>
      <c r="N302" s="13">
        <f ca="1">IF(Prices!B301&gt;OFFSET(Prices!B301,-$N$3,0),1,-1)</f>
        <v>1</v>
      </c>
      <c r="O302" s="4">
        <f ca="1">IF(N302=1,O$3*L301/Prices!B301,-O$3*M301)</f>
        <v>2.570529376324289E-2</v>
      </c>
      <c r="P302" s="22"/>
      <c r="Q302" s="13">
        <f ca="1">Q301-T302*Prices!B302</f>
        <v>0.11415708227018029</v>
      </c>
      <c r="R302" s="4">
        <f t="shared" ca="1" si="35"/>
        <v>0.82111324260966556</v>
      </c>
      <c r="S302" s="13">
        <f ca="1">IF(Prices!D301&gt;OFFSET(Prices!D301,-S$3,0),1,-1)</f>
        <v>1</v>
      </c>
      <c r="T302" s="4">
        <f ca="1">IF(S302=1,T$3*Q301/Prices!B301,-T$3*R301)</f>
        <v>1.0596296610154762E-2</v>
      </c>
      <c r="V302" s="13"/>
      <c r="W302" s="4"/>
      <c r="X302" s="4"/>
      <c r="Y302" s="4"/>
      <c r="Z302" s="4"/>
      <c r="AA302" s="4"/>
      <c r="AB302" s="4"/>
      <c r="AC302" s="4"/>
      <c r="AD302" s="4"/>
      <c r="AE302" s="52"/>
    </row>
    <row r="303" spans="1:31" x14ac:dyDescent="0.2">
      <c r="A303" s="7">
        <v>43485</v>
      </c>
      <c r="B303" s="13">
        <f ca="1">Prices!B302*(1+J303/(50*(ABS(O303)+ABS(T303)+0.0001)))</f>
        <v>1.233822238796513</v>
      </c>
      <c r="C303" s="62">
        <f t="shared" ca="1" si="30"/>
        <v>1</v>
      </c>
      <c r="D303" s="13">
        <f ca="1">D302+C303*(Prices!B303-Prices!B302)/Prices!B302</f>
        <v>-3.667140646210057E-2</v>
      </c>
      <c r="E303" s="13">
        <f t="shared" ca="1" si="31"/>
        <v>0.11895434419809954</v>
      </c>
      <c r="F303" s="13">
        <f t="shared" ca="1" si="32"/>
        <v>8.2282937735998971E-2</v>
      </c>
      <c r="G303" s="21">
        <f ca="1">IF((Prices!B303-Prices!B302)*C303&gt;0,1,0)</f>
        <v>0</v>
      </c>
      <c r="H303" s="13">
        <f>ABS(Prices!B303-Prices!B302)/Prices!B302</f>
        <v>6.365214515995735E-3</v>
      </c>
      <c r="I303" s="21"/>
      <c r="J303" s="4">
        <f t="shared" ca="1" si="33"/>
        <v>3.3614596222404099E-2</v>
      </c>
      <c r="K303" s="13"/>
      <c r="L303" s="13">
        <f ca="1">L302-O303*Prices!B303</f>
        <v>0.55589567660045536</v>
      </c>
      <c r="M303" s="4">
        <f t="shared" ca="1" si="34"/>
        <v>0.42492093297763955</v>
      </c>
      <c r="N303" s="13">
        <f ca="1">IF(Prices!B302&gt;OFFSET(Prices!B302,-$N$3,0),1,-1)</f>
        <v>1</v>
      </c>
      <c r="O303" s="4">
        <f ca="1">IF(N303=1,O$3*L302/Prices!B302,-O$3*M302)</f>
        <v>2.4177786908509719E-2</v>
      </c>
      <c r="P303" s="22"/>
      <c r="Q303" s="13">
        <f ca="1">Q302-T303*Prices!B303</f>
        <v>0.10281403747487924</v>
      </c>
      <c r="R303" s="4">
        <f t="shared" ca="1" si="35"/>
        <v>0.83055005192355991</v>
      </c>
      <c r="S303" s="13">
        <f ca="1">IF(Prices!D302&gt;OFFSET(Prices!D302,-S$3,0),1,-1)</f>
        <v>1</v>
      </c>
      <c r="T303" s="4">
        <f ca="1">IF(S303=1,T$3*Q302/Prices!B302,-T$3*R302)</f>
        <v>9.4368093138943784E-3</v>
      </c>
      <c r="V303" s="13"/>
      <c r="W303" s="4"/>
      <c r="X303" s="4"/>
      <c r="Y303" s="4"/>
      <c r="Z303" s="4"/>
      <c r="AA303" s="4"/>
      <c r="AB303" s="4"/>
      <c r="AC303" s="4"/>
      <c r="AD303" s="4"/>
      <c r="AE303" s="52"/>
    </row>
    <row r="304" spans="1:31" x14ac:dyDescent="0.2">
      <c r="A304" s="7">
        <v>43492</v>
      </c>
      <c r="B304" s="13">
        <f ca="1">Prices!B303*(1+J304/(50*(ABS(O304)+ABS(T304)+0.0001)))</f>
        <v>1.2259643486574707</v>
      </c>
      <c r="C304" s="62">
        <f t="shared" ca="1" si="30"/>
        <v>1</v>
      </c>
      <c r="D304" s="13">
        <f ca="1">D303+C304*(Prices!B304-Prices!B303)/Prices!B303</f>
        <v>-2.4524983833148866E-2</v>
      </c>
      <c r="E304" s="13">
        <f t="shared" ca="1" si="31"/>
        <v>0.10680792156914784</v>
      </c>
      <c r="F304" s="13">
        <f t="shared" ca="1" si="32"/>
        <v>8.2282937735998971E-2</v>
      </c>
      <c r="G304" s="21">
        <f ca="1">IF((Prices!B304-Prices!B303)*C304&gt;0,1,0)</f>
        <v>1</v>
      </c>
      <c r="H304" s="13">
        <f>ABS(Prices!B304-Prices!B303)/Prices!B303</f>
        <v>1.2146422628951704E-2</v>
      </c>
      <c r="I304" s="21"/>
      <c r="J304" s="4">
        <f t="shared" ca="1" si="33"/>
        <v>3.1677360713403241E-2</v>
      </c>
      <c r="K304" s="13"/>
      <c r="L304" s="13">
        <f ca="1">L303-O304*Prices!B304</f>
        <v>0.52776328557915275</v>
      </c>
      <c r="M304" s="4">
        <f t="shared" ca="1" si="34"/>
        <v>0.44804471320228412</v>
      </c>
      <c r="N304" s="13">
        <f ca="1">IF(Prices!B303&gt;OFFSET(Prices!B303,-$N$3,0),1,-1)</f>
        <v>1</v>
      </c>
      <c r="O304" s="4">
        <f ca="1">IF(N304=1,O$3*L303/Prices!B303,-O$3*M303)</f>
        <v>2.3123780224644567E-2</v>
      </c>
      <c r="P304" s="22"/>
      <c r="Q304" s="13">
        <f ca="1">Q303-T304*Prices!B304</f>
        <v>9.2407751452255438E-2</v>
      </c>
      <c r="R304" s="4">
        <f t="shared" ca="1" si="35"/>
        <v>0.83910363241231856</v>
      </c>
      <c r="S304" s="13">
        <f ca="1">IF(Prices!D303&gt;OFFSET(Prices!D303,-S$3,0),1,-1)</f>
        <v>1</v>
      </c>
      <c r="T304" s="4">
        <f ca="1">IF(S304=1,T$3*Q303/Prices!B303,-T$3*R303)</f>
        <v>8.553580488758674E-3</v>
      </c>
      <c r="V304" s="13"/>
      <c r="W304" s="4"/>
      <c r="X304" s="4"/>
      <c r="Y304" s="4"/>
      <c r="Z304" s="4"/>
      <c r="AA304" s="4"/>
      <c r="AB304" s="4"/>
      <c r="AC304" s="4"/>
      <c r="AD304" s="4"/>
      <c r="AE304" s="52"/>
    </row>
    <row r="305" spans="1:31" x14ac:dyDescent="0.2">
      <c r="A305" s="7">
        <v>43499</v>
      </c>
      <c r="B305" s="13">
        <f ca="1">Prices!B304*(1+J305/(50*(ABS(O305)+ABS(T305)+0.0001)))</f>
        <v>1.2408491977206626</v>
      </c>
      <c r="C305" s="62">
        <f t="shared" ca="1" si="30"/>
        <v>1</v>
      </c>
      <c r="D305" s="13">
        <f ca="1">D304+C305*(Prices!B305-Prices!B304)/Prices!B304</f>
        <v>-2.6579890951347079E-2</v>
      </c>
      <c r="E305" s="13">
        <f t="shared" ca="1" si="31"/>
        <v>0.10886282868734605</v>
      </c>
      <c r="F305" s="13">
        <f t="shared" ca="1" si="32"/>
        <v>8.2282937735998971E-2</v>
      </c>
      <c r="G305" s="21">
        <f ca="1">IF((Prices!B305-Prices!B304)*C305&gt;0,1,0)</f>
        <v>0</v>
      </c>
      <c r="H305" s="13">
        <f>ABS(Prices!B305-Prices!B304)/Prices!B304</f>
        <v>2.0549071181982137E-3</v>
      </c>
      <c r="I305" s="21"/>
      <c r="J305" s="4">
        <f t="shared" ca="1" si="33"/>
        <v>2.9285664494643423E-2</v>
      </c>
      <c r="K305" s="13"/>
      <c r="L305" s="13">
        <f ca="1">L304-O305*Prices!B305</f>
        <v>0.50142934652680815</v>
      </c>
      <c r="M305" s="4">
        <f t="shared" ca="1" si="34"/>
        <v>0.46973480384749011</v>
      </c>
      <c r="N305" s="13">
        <f ca="1">IF(Prices!B304&gt;OFFSET(Prices!B304,-$N$3,0),1,-1)</f>
        <v>1</v>
      </c>
      <c r="O305" s="4">
        <f ca="1">IF(N305=1,O$3*L304/Prices!B304,-O$3*M304)</f>
        <v>2.1690090645206019E-2</v>
      </c>
      <c r="P305" s="22"/>
      <c r="Q305" s="13">
        <f ca="1">Q304-T305*Prices!B305</f>
        <v>8.3185965241653489E-2</v>
      </c>
      <c r="R305" s="4">
        <f t="shared" ca="1" si="35"/>
        <v>0.84669920626175599</v>
      </c>
      <c r="S305" s="13">
        <f ca="1">IF(Prices!D304&gt;OFFSET(Prices!D304,-S$3,0),1,-1)</f>
        <v>1</v>
      </c>
      <c r="T305" s="4">
        <f ca="1">IF(S305=1,T$3*Q304/Prices!B304,-T$3*R304)</f>
        <v>7.5955738494374037E-3</v>
      </c>
      <c r="V305" s="13"/>
      <c r="W305" s="4"/>
      <c r="X305" s="4"/>
      <c r="Y305" s="4"/>
      <c r="Z305" s="4"/>
      <c r="AA305" s="4"/>
      <c r="AB305" s="4"/>
      <c r="AC305" s="4"/>
      <c r="AD305" s="4"/>
      <c r="AE305" s="52"/>
    </row>
    <row r="306" spans="1:31" x14ac:dyDescent="0.2">
      <c r="A306" s="7">
        <v>43506</v>
      </c>
      <c r="B306" s="13">
        <f ca="1">Prices!B305*(1+J306/(50*(ABS(O306)+ABS(T306)+0.0001)))</f>
        <v>1.1993540014738842</v>
      </c>
      <c r="C306" s="62">
        <f t="shared" ca="1" si="30"/>
        <v>0</v>
      </c>
      <c r="D306" s="13">
        <f ca="1">D305+C306*(Prices!B306-Prices!B305)/Prices!B305</f>
        <v>-2.6579890951347079E-2</v>
      </c>
      <c r="E306" s="13">
        <f t="shared" ca="1" si="31"/>
        <v>0.10886282868734605</v>
      </c>
      <c r="F306" s="13">
        <f t="shared" ca="1" si="32"/>
        <v>8.2282937735998971E-2</v>
      </c>
      <c r="G306" s="21">
        <f ca="1">IF((Prices!B306-Prices!B305)*C306&gt;0,1,0)</f>
        <v>0</v>
      </c>
      <c r="H306" s="13">
        <f>ABS(Prices!B306-Prices!B305)/Prices!B305</f>
        <v>3.3769870686104872E-3</v>
      </c>
      <c r="I306" s="21"/>
      <c r="J306" s="4">
        <f t="shared" ca="1" si="33"/>
        <v>-6.4019671613458035E-2</v>
      </c>
      <c r="K306" s="13"/>
      <c r="L306" s="13">
        <f ca="1">L305-O306*Prices!B306</f>
        <v>0.4762732131795156</v>
      </c>
      <c r="M306" s="4">
        <f t="shared" ca="1" si="34"/>
        <v>0.49038505286020767</v>
      </c>
      <c r="N306" s="13">
        <f ca="1">IF(Prices!B305&gt;OFFSET(Prices!B305,-$N$3,0),1,-1)</f>
        <v>1</v>
      </c>
      <c r="O306" s="4">
        <f ca="1">IF(N306=1,O$3*L305/Prices!B305,-O$3*M305)</f>
        <v>2.0650249012717576E-2</v>
      </c>
      <c r="P306" s="22"/>
      <c r="Q306" s="13">
        <f ca="1">Q305-T306*Prices!B306</f>
        <v>0.1863308625484606</v>
      </c>
      <c r="R306" s="4">
        <f t="shared" ca="1" si="35"/>
        <v>0.76202928563558037</v>
      </c>
      <c r="S306" s="13">
        <f ca="1">IF(Prices!D305&gt;OFFSET(Prices!D305,-S$3,0),1,-1)</f>
        <v>-1</v>
      </c>
      <c r="T306" s="4">
        <f ca="1">IF(S306=1,T$3*Q305/Prices!B305,-T$3*R305)</f>
        <v>-8.4669920626175607E-2</v>
      </c>
      <c r="V306" s="13"/>
      <c r="W306" s="4"/>
      <c r="X306" s="4"/>
      <c r="Y306" s="4"/>
      <c r="Z306" s="4"/>
      <c r="AA306" s="4"/>
      <c r="AB306" s="4"/>
      <c r="AC306" s="4"/>
      <c r="AD306" s="4"/>
      <c r="AE306" s="52"/>
    </row>
    <row r="307" spans="1:31" x14ac:dyDescent="0.2">
      <c r="A307" s="7">
        <f>A306+7</f>
        <v>43513</v>
      </c>
      <c r="B307" s="13">
        <f ca="1">Prices!B306*(1+J307/(50*(ABS(O307)+ABS(T307)+0.0001)))</f>
        <v>1.2037991844253024</v>
      </c>
      <c r="C307" s="62">
        <f t="shared" ca="1" si="30"/>
        <v>0</v>
      </c>
      <c r="D307" s="13">
        <f ca="1">D306+C307*(Prices!B307-Prices!B306)/Prices!B306</f>
        <v>-2.6579890951347079E-2</v>
      </c>
      <c r="E307" s="13">
        <f t="shared" ca="1" si="31"/>
        <v>0.10886282868734605</v>
      </c>
      <c r="F307" s="13">
        <f t="shared" ca="1" si="32"/>
        <v>8.2282937735998971E-2</v>
      </c>
      <c r="G307" s="21">
        <f ca="1">IF((Prices!B307-Prices!B306)*C307&gt;0,1,0)</f>
        <v>0</v>
      </c>
      <c r="H307" s="13">
        <f>ABS(Prices!B307-Prices!B306)/Prices!B306</f>
        <v>8.2088327039904116E-4</v>
      </c>
      <c r="I307" s="21"/>
      <c r="J307" s="4">
        <f t="shared" ca="1" si="33"/>
        <v>-5.6654692921647196E-2</v>
      </c>
      <c r="K307" s="13"/>
      <c r="L307" s="13">
        <f ca="1">L306-O307*Prices!B307</f>
        <v>0.45244000428489789</v>
      </c>
      <c r="M307" s="4">
        <f t="shared" ca="1" si="34"/>
        <v>0.5099332885021185</v>
      </c>
      <c r="N307" s="13">
        <f ca="1">IF(Prices!B306&gt;OFFSET(Prices!B306,-$N$3,0),1,-1)</f>
        <v>1</v>
      </c>
      <c r="O307" s="4">
        <f ca="1">IF(N307=1,O$3*L306/Prices!B306,-O$3*M306)</f>
        <v>1.9548235641910838E-2</v>
      </c>
      <c r="P307" s="22"/>
      <c r="Q307" s="13">
        <f ca="1">Q306-T307*Prices!B307</f>
        <v>0.27923747305315055</v>
      </c>
      <c r="R307" s="4">
        <f t="shared" ca="1" si="35"/>
        <v>0.68582635707202233</v>
      </c>
      <c r="S307" s="13">
        <f ca="1">IF(Prices!D306&gt;OFFSET(Prices!D306,-S$3,0),1,-1)</f>
        <v>-1</v>
      </c>
      <c r="T307" s="4">
        <f ca="1">IF(S307=1,T$3*Q306/Prices!B306,-T$3*R306)</f>
        <v>-7.6202928563558037E-2</v>
      </c>
      <c r="V307" s="13"/>
      <c r="W307" s="4"/>
      <c r="X307" s="4"/>
      <c r="Y307" s="4"/>
      <c r="Z307" s="4"/>
      <c r="AA307" s="4"/>
      <c r="AB307" s="4"/>
      <c r="AC307" s="4"/>
      <c r="AD307" s="4"/>
      <c r="AE307" s="52"/>
    </row>
    <row r="308" spans="1:31" x14ac:dyDescent="0.2">
      <c r="A308" s="7">
        <f t="shared" ref="A308:A313" si="36">A307+7</f>
        <v>43520</v>
      </c>
      <c r="B308" s="13">
        <f ca="1">Prices!B307*(1+J308/(50*(ABS(O308)+ABS(T308)+0.0001)))</f>
        <v>1.2052165637387151</v>
      </c>
      <c r="C308" s="62">
        <f t="shared" ca="1" si="30"/>
        <v>0</v>
      </c>
      <c r="D308" s="13">
        <f ca="1">D307+C308*(Prices!B308-Prices!B307)/Prices!B307</f>
        <v>-2.6579890951347079E-2</v>
      </c>
      <c r="E308" s="13">
        <f t="shared" ca="1" si="31"/>
        <v>0.10886282868734605</v>
      </c>
      <c r="F308" s="13">
        <f t="shared" ca="1" si="32"/>
        <v>8.2282937735998971E-2</v>
      </c>
      <c r="G308" s="21">
        <f ca="1">IF((Prices!B308-Prices!B307)*C308&gt;0,1,0)</f>
        <v>0</v>
      </c>
      <c r="H308" s="13">
        <f>ABS(Prices!B308-Prices!B307)/Prices!B307</f>
        <v>2.0505249343833404E-3</v>
      </c>
      <c r="I308" s="21"/>
      <c r="J308" s="4">
        <f t="shared" ca="1" si="33"/>
        <v>-5.0027845505229707E-2</v>
      </c>
      <c r="K308" s="13"/>
      <c r="L308" s="13">
        <f ca="1">L307-O308*Prices!B308</f>
        <v>0.42986439104615792</v>
      </c>
      <c r="M308" s="4">
        <f t="shared" ca="1" si="34"/>
        <v>0.52848807870409098</v>
      </c>
      <c r="N308" s="13">
        <f ca="1">IF(Prices!B307&gt;OFFSET(Prices!B307,-$N$3,0),1,-1)</f>
        <v>1</v>
      </c>
      <c r="O308" s="4">
        <f ca="1">IF(N308=1,O$3*L307/Prices!B307,-O$3*M307)</f>
        <v>1.855479020197252E-2</v>
      </c>
      <c r="P308" s="22"/>
      <c r="Q308" s="13">
        <f ca="1">Q307-T308*Prices!B308</f>
        <v>0.36268196591810353</v>
      </c>
      <c r="R308" s="4">
        <f t="shared" ca="1" si="35"/>
        <v>0.61724372136482009</v>
      </c>
      <c r="S308" s="13">
        <f ca="1">IF(Prices!D307&gt;OFFSET(Prices!D307,-S$3,0),1,-1)</f>
        <v>-1</v>
      </c>
      <c r="T308" s="4">
        <f ca="1">IF(S308=1,T$3*Q307/Prices!B307,-T$3*R307)</f>
        <v>-6.858263570720223E-2</v>
      </c>
      <c r="V308" s="13"/>
      <c r="W308" s="4"/>
      <c r="X308" s="4"/>
      <c r="Y308" s="4"/>
      <c r="Z308" s="4"/>
      <c r="AA308" s="4"/>
      <c r="AB308" s="4"/>
      <c r="AC308" s="4"/>
      <c r="AD308" s="4"/>
      <c r="AE308" s="52"/>
    </row>
    <row r="309" spans="1:31" x14ac:dyDescent="0.2">
      <c r="A309" s="7">
        <f t="shared" si="36"/>
        <v>43527</v>
      </c>
      <c r="B309" s="13">
        <f ca="1">Prices!B308*(1+J309/(50*(ABS(O309)+ABS(T309)+0.0001)))</f>
        <v>1.2032122332857471</v>
      </c>
      <c r="C309" s="62">
        <f t="shared" ca="1" si="30"/>
        <v>0</v>
      </c>
      <c r="D309" s="13">
        <f ca="1">D308+C309*(Prices!B309-Prices!B308)/Prices!B308</f>
        <v>-2.6579890951347079E-2</v>
      </c>
      <c r="E309" s="13">
        <f t="shared" ca="1" si="31"/>
        <v>0.10886282868734605</v>
      </c>
      <c r="F309" s="13">
        <f t="shared" ca="1" si="32"/>
        <v>8.2282937735998971E-2</v>
      </c>
      <c r="G309" s="21">
        <f ca="1">IF((Prices!B309-Prices!B308)*C309&gt;0,1,0)</f>
        <v>0</v>
      </c>
      <c r="H309" s="13">
        <f>ABS(Prices!B309-Prices!B308)/Prices!B308</f>
        <v>4.7669926851317546E-3</v>
      </c>
      <c r="I309" s="21"/>
      <c r="J309" s="4">
        <f t="shared" ca="1" si="33"/>
        <v>-4.4059196207898221E-2</v>
      </c>
      <c r="K309" s="13"/>
      <c r="L309" s="13">
        <f ca="1">L308-O309*Prices!B309</f>
        <v>0.40847362951423583</v>
      </c>
      <c r="M309" s="4">
        <f t="shared" ca="1" si="34"/>
        <v>0.54615325463267472</v>
      </c>
      <c r="N309" s="13">
        <f ca="1">IF(Prices!B308&gt;OFFSET(Prices!B308,-$N$3,0),1,-1)</f>
        <v>1</v>
      </c>
      <c r="O309" s="4">
        <f ca="1">IF(N309=1,O$3*L308/Prices!B308,-O$3*M308)</f>
        <v>1.7665175928583791E-2</v>
      </c>
      <c r="P309" s="22"/>
      <c r="Q309" s="13">
        <f ca="1">Q308-T309*Prices!B309</f>
        <v>0.43742400813816962</v>
      </c>
      <c r="R309" s="4">
        <f t="shared" ca="1" si="35"/>
        <v>0.55551934922833812</v>
      </c>
      <c r="S309" s="13">
        <f ca="1">IF(Prices!D308&gt;OFFSET(Prices!D308,-S$3,0),1,-1)</f>
        <v>-1</v>
      </c>
      <c r="T309" s="4">
        <f ca="1">IF(S309=1,T$3*Q308/Prices!B308,-T$3*R308)</f>
        <v>-6.1724372136482013E-2</v>
      </c>
      <c r="V309" s="13"/>
      <c r="W309" s="4"/>
      <c r="X309" s="4"/>
      <c r="Y309" s="4"/>
      <c r="Z309" s="4"/>
      <c r="AA309" s="4"/>
      <c r="AB309" s="4"/>
      <c r="AC309" s="4"/>
      <c r="AD309" s="4"/>
      <c r="AE309" s="52"/>
    </row>
    <row r="310" spans="1:31" x14ac:dyDescent="0.2">
      <c r="A310" s="7">
        <f t="shared" si="36"/>
        <v>43534</v>
      </c>
      <c r="B310" s="13">
        <f ca="1">Prices!B309*(1+J310/(50*(ABS(O310)+ABS(T310)+0.0001)))</f>
        <v>1.197980764488646</v>
      </c>
      <c r="C310" s="62">
        <f t="shared" ca="1" si="30"/>
        <v>0</v>
      </c>
      <c r="D310" s="13">
        <f ca="1">D309+C310*(Prices!B310-Prices!B309)/Prices!B309</f>
        <v>-2.6579890951347079E-2</v>
      </c>
      <c r="E310" s="13">
        <f t="shared" ca="1" si="31"/>
        <v>0.10886282868734605</v>
      </c>
      <c r="F310" s="13">
        <f t="shared" ca="1" si="32"/>
        <v>8.2282937735998971E-2</v>
      </c>
      <c r="G310" s="21">
        <f ca="1">IF((Prices!B310-Prices!B309)*C310&gt;0,1,0)</f>
        <v>0</v>
      </c>
      <c r="H310" s="13">
        <f>ABS(Prices!B310-Prices!B309)/Prices!B309</f>
        <v>2.0232884631266154E-2</v>
      </c>
      <c r="I310" s="21"/>
      <c r="J310" s="4">
        <f t="shared" ca="1" si="33"/>
        <v>-3.8685404676148047E-2</v>
      </c>
      <c r="K310" s="13"/>
      <c r="L310" s="13">
        <f ca="1">L309-O310*Prices!B310</f>
        <v>0.38846317802956781</v>
      </c>
      <c r="M310" s="4">
        <f t="shared" ca="1" si="34"/>
        <v>0.56301978487936044</v>
      </c>
      <c r="N310" s="13">
        <f ca="1">IF(Prices!B309&gt;OFFSET(Prices!B309,-$N$3,0),1,-1)</f>
        <v>1</v>
      </c>
      <c r="O310" s="4">
        <f ca="1">IF(N310=1,O$3*L309/Prices!B309,-O$3*M309)</f>
        <v>1.6866530246685763E-2</v>
      </c>
      <c r="P310" s="22"/>
      <c r="Q310" s="13">
        <f ca="1">Q309-T310*Prices!B310</f>
        <v>0.50333082373061966</v>
      </c>
      <c r="R310" s="4">
        <f t="shared" ca="1" si="35"/>
        <v>0.49996741430550429</v>
      </c>
      <c r="S310" s="13">
        <f ca="1">IF(Prices!D309&gt;OFFSET(Prices!D309,-S$3,0),1,-1)</f>
        <v>-1</v>
      </c>
      <c r="T310" s="4">
        <f ca="1">IF(S310=1,T$3*Q309/Prices!B309,-T$3*R309)</f>
        <v>-5.5551934922833814E-2</v>
      </c>
      <c r="V310" s="13"/>
      <c r="W310" s="4"/>
      <c r="X310" s="4"/>
      <c r="Y310" s="4"/>
      <c r="Z310" s="4"/>
      <c r="AA310" s="4"/>
      <c r="AB310" s="4"/>
      <c r="AC310" s="4"/>
      <c r="AD310" s="4"/>
      <c r="AE310" s="52"/>
    </row>
    <row r="311" spans="1:31" x14ac:dyDescent="0.2">
      <c r="A311" s="7">
        <f t="shared" si="36"/>
        <v>43541</v>
      </c>
      <c r="B311" s="13">
        <f ca="1">Prices!B310*(1+J311/(50*(ABS(O311)+ABS(T311)+0.0001)))</f>
        <v>1.1627023242021146</v>
      </c>
      <c r="C311" s="62">
        <f t="shared" ca="1" si="30"/>
        <v>0</v>
      </c>
      <c r="D311" s="13">
        <f ca="1">D310+C311*(Prices!B311-Prices!B310)/Prices!B310</f>
        <v>-2.6579890951347079E-2</v>
      </c>
      <c r="E311" s="13">
        <f t="shared" ca="1" si="31"/>
        <v>0.10886282868734605</v>
      </c>
      <c r="F311" s="13">
        <f t="shared" ca="1" si="32"/>
        <v>8.2282937735998971E-2</v>
      </c>
      <c r="G311" s="21">
        <f ca="1">IF((Prices!B311-Prices!B310)*C311&gt;0,1,0)</f>
        <v>0</v>
      </c>
      <c r="H311" s="13">
        <f>ABS(Prices!B311-Prices!B310)/Prices!B310</f>
        <v>5.9844908968308382E-3</v>
      </c>
      <c r="I311" s="21"/>
      <c r="J311" s="4">
        <f t="shared" ca="1" si="33"/>
        <v>-7.8147730674518454E-2</v>
      </c>
      <c r="K311" s="13"/>
      <c r="L311" s="13">
        <f ca="1">L310-O311*Prices!B311</f>
        <v>0.42206138369224366</v>
      </c>
      <c r="M311" s="4">
        <f t="shared" ca="1" si="34"/>
        <v>0.53486879563539247</v>
      </c>
      <c r="N311" s="13">
        <f ca="1">IF(Prices!B310&gt;OFFSET(Prices!B310,-$N$3,0),1,-1)</f>
        <v>-1</v>
      </c>
      <c r="O311" s="4">
        <f ca="1">IF(N311=1,O$3*L310/Prices!B310,-O$3*M310)</f>
        <v>-2.8150989243968024E-2</v>
      </c>
      <c r="P311" s="22"/>
      <c r="Q311" s="13">
        <f ca="1">Q310-T311*Prices!B311</f>
        <v>0.56300193462798165</v>
      </c>
      <c r="R311" s="4">
        <f t="shared" ca="1" si="35"/>
        <v>0.44997067287495385</v>
      </c>
      <c r="S311" s="13">
        <f ca="1">IF(Prices!D310&gt;OFFSET(Prices!D310,-S$3,0),1,-1)</f>
        <v>-1</v>
      </c>
      <c r="T311" s="4">
        <f ca="1">IF(S311=1,T$3*Q310/Prices!B310,-T$3*R310)</f>
        <v>-4.9996741430550433E-2</v>
      </c>
      <c r="V311" s="13"/>
      <c r="W311" s="4"/>
      <c r="X311" s="4"/>
      <c r="Y311" s="4"/>
      <c r="Z311" s="4"/>
      <c r="AA311" s="4"/>
      <c r="AB311" s="4"/>
      <c r="AC311" s="4"/>
      <c r="AD311" s="4"/>
      <c r="AE311" s="52"/>
    </row>
    <row r="312" spans="1:31" x14ac:dyDescent="0.2">
      <c r="A312" s="7">
        <f t="shared" si="36"/>
        <v>43548</v>
      </c>
      <c r="B312" s="13">
        <f ca="1">Prices!B311*(1+J312/(50*(ABS(O312)+ABS(T312)+0.0001)))</f>
        <v>1.1696632263801772</v>
      </c>
      <c r="C312" s="62">
        <f t="shared" ca="1" si="30"/>
        <v>0</v>
      </c>
      <c r="D312" s="13">
        <f ca="1">D311+C312*(Prices!B312-Prices!B311)/Prices!B311</f>
        <v>-2.6579890951347079E-2</v>
      </c>
      <c r="E312" s="13">
        <f t="shared" ca="1" si="31"/>
        <v>0.10886282868734605</v>
      </c>
      <c r="F312" s="13">
        <f t="shared" ca="1" si="32"/>
        <v>8.2282937735998971E-2</v>
      </c>
      <c r="G312" s="21">
        <f ca="1">IF((Prices!B312-Prices!B311)*C312&gt;0,1,0)</f>
        <v>0</v>
      </c>
      <c r="H312" s="13">
        <f>ABS(Prices!B312-Prices!B311)/Prices!B311</f>
        <v>5.8651026392961001E-3</v>
      </c>
      <c r="I312" s="21"/>
      <c r="J312" s="4">
        <f t="shared" ca="1" si="33"/>
        <v>-7.1740507069265019E-2</v>
      </c>
      <c r="K312" s="13"/>
      <c r="L312" s="13">
        <f ca="1">L311-O312*Prices!B312</f>
        <v>0.45379247499331332</v>
      </c>
      <c r="M312" s="4">
        <f t="shared" ca="1" si="34"/>
        <v>0.50812535585362284</v>
      </c>
      <c r="N312" s="13">
        <f ca="1">IF(Prices!B311&gt;OFFSET(Prices!B311,-$N$3,0),1,-1)</f>
        <v>-1</v>
      </c>
      <c r="O312" s="4">
        <f ca="1">IF(N312=1,O$3*L311/Prices!B311,-O$3*M311)</f>
        <v>-2.6743439781769626E-2</v>
      </c>
      <c r="P312" s="22"/>
      <c r="Q312" s="13">
        <f ca="1">Q311-T312*Prices!B312</f>
        <v>0.61639095496459495</v>
      </c>
      <c r="R312" s="4">
        <f t="shared" ca="1" si="35"/>
        <v>0.40497360558745843</v>
      </c>
      <c r="S312" s="13">
        <f ca="1">IF(Prices!D311&gt;OFFSET(Prices!D311,-S$3,0),1,-1)</f>
        <v>-1</v>
      </c>
      <c r="T312" s="4">
        <f ca="1">IF(S312=1,T$3*Q311/Prices!B311,-T$3*R311)</f>
        <v>-4.499706728749539E-2</v>
      </c>
      <c r="V312" s="13"/>
      <c r="W312" s="4"/>
      <c r="X312" s="4"/>
      <c r="Y312" s="4"/>
      <c r="Z312" s="4"/>
      <c r="AA312" s="4"/>
      <c r="AB312" s="4"/>
      <c r="AC312" s="4"/>
      <c r="AD312" s="4"/>
      <c r="AE312" s="52"/>
    </row>
    <row r="313" spans="1:31" x14ac:dyDescent="0.2">
      <c r="A313" s="7">
        <f t="shared" si="36"/>
        <v>43555</v>
      </c>
      <c r="B313" s="13">
        <f ca="1">Prices!B312*(1+J313/(50*(ABS(O313)+ABS(T313)+0.0001)))</f>
        <v>1.1628059525689614</v>
      </c>
      <c r="C313" s="62">
        <f t="shared" ca="1" si="30"/>
        <v>0</v>
      </c>
      <c r="D313" s="13">
        <f ca="1">D312+C313*(Prices!B313-Prices!B312)/Prices!B312</f>
        <v>-2.6579890951347079E-2</v>
      </c>
      <c r="E313" s="13">
        <f t="shared" ca="1" si="31"/>
        <v>0.10886282868734605</v>
      </c>
      <c r="F313" s="13">
        <f t="shared" ca="1" si="32"/>
        <v>8.2282937735998971E-2</v>
      </c>
      <c r="G313" s="21">
        <f ca="1">IF((Prices!B313-Prices!B312)*C313&gt;0,1,0)</f>
        <v>0</v>
      </c>
      <c r="H313" s="13">
        <f>ABS(Prices!B313-Prices!B312)/Prices!B312</f>
        <v>9.2709650231763906E-4</v>
      </c>
      <c r="I313" s="21"/>
      <c r="J313" s="4">
        <f t="shared" ca="1" si="33"/>
        <v>-6.590362835142699E-2</v>
      </c>
      <c r="K313" s="13"/>
      <c r="L313" s="13">
        <f ca="1">L312-O313*Prices!B313</f>
        <v>0.48396495862390143</v>
      </c>
      <c r="M313" s="4">
        <f t="shared" ca="1" si="34"/>
        <v>0.48271908806094171</v>
      </c>
      <c r="N313" s="13">
        <f ca="1">IF(Prices!B312&gt;OFFSET(Prices!B312,-$N$3,0),1,-1)</f>
        <v>-1</v>
      </c>
      <c r="O313" s="4">
        <f ca="1">IF(N313=1,O$3*L312/Prices!B312,-O$3*M312)</f>
        <v>-2.5406267792681143E-2</v>
      </c>
      <c r="P313" s="22"/>
      <c r="Q313" s="13">
        <f ca="1">Q312-T313*Prices!B313</f>
        <v>0.66448562036416148</v>
      </c>
      <c r="R313" s="4">
        <f t="shared" ca="1" si="35"/>
        <v>0.36447624502871256</v>
      </c>
      <c r="S313" s="13">
        <f ca="1">IF(Prices!D312&gt;OFFSET(Prices!D312,-S$3,0),1,-1)</f>
        <v>-1</v>
      </c>
      <c r="T313" s="4">
        <f ca="1">IF(S313=1,T$3*Q312/Prices!B312,-T$3*R312)</f>
        <v>-4.0497360558745844E-2</v>
      </c>
      <c r="V313" s="13"/>
      <c r="W313" s="4"/>
      <c r="X313" s="4"/>
      <c r="Y313" s="4"/>
      <c r="Z313" s="4"/>
      <c r="AA313" s="4"/>
      <c r="AB313" s="4"/>
      <c r="AC313" s="4"/>
      <c r="AD313" s="4"/>
      <c r="AE313" s="52"/>
    </row>
    <row r="314" spans="1:31" x14ac:dyDescent="0.2">
      <c r="A314" s="7">
        <v>43562</v>
      </c>
      <c r="B314" s="13">
        <f ca="1">Prices!B313*(1+J314/(50*(ABS(O314)+ABS(T314)+0.0001)))</f>
        <v>1.1638871407369642</v>
      </c>
      <c r="C314" s="62">
        <f t="shared" ca="1" si="30"/>
        <v>0</v>
      </c>
      <c r="D314" s="13">
        <f ca="1">D313+C314*(Prices!B314-Prices!B313)/Prices!B313</f>
        <v>-2.6579890951347079E-2</v>
      </c>
      <c r="E314" s="13">
        <f t="shared" ca="1" si="31"/>
        <v>0.10886282868734605</v>
      </c>
      <c r="F314" s="13">
        <f t="shared" ca="1" si="32"/>
        <v>8.2282937735998971E-2</v>
      </c>
      <c r="G314" s="21">
        <f ca="1">IF((Prices!B314-Prices!B313)*C314&gt;0,1,0)</f>
        <v>0</v>
      </c>
      <c r="H314" s="13">
        <f>ABS(Prices!B314-Prices!B313)/Prices!B313</f>
        <v>5.8942404850117003E-3</v>
      </c>
      <c r="I314" s="21"/>
      <c r="J314" s="4">
        <f t="shared" ca="1" si="33"/>
        <v>-6.0583578905918339E-2</v>
      </c>
      <c r="K314" s="13"/>
      <c r="L314" s="13">
        <f ca="1">L313-O314*Prices!B314</f>
        <v>0.51245986639213881</v>
      </c>
      <c r="M314" s="4">
        <f t="shared" ca="1" si="34"/>
        <v>0.4585831336578946</v>
      </c>
      <c r="N314" s="13">
        <f ca="1">IF(Prices!B313&gt;OFFSET(Prices!B313,-$N$3,0),1,-1)</f>
        <v>-1</v>
      </c>
      <c r="O314" s="4">
        <f ca="1">IF(N314=1,O$3*L313/Prices!B313,-O$3*M313)</f>
        <v>-2.4135954403047086E-2</v>
      </c>
      <c r="P314" s="22"/>
      <c r="Q314" s="13">
        <f ca="1">Q313-T314*Prices!B314</f>
        <v>0.70751568585225133</v>
      </c>
      <c r="R314" s="4">
        <f t="shared" ca="1" si="35"/>
        <v>0.32802862052584131</v>
      </c>
      <c r="S314" s="13">
        <f ca="1">IF(Prices!D313&gt;OFFSET(Prices!D313,-S$3,0),1,-1)</f>
        <v>-1</v>
      </c>
      <c r="T314" s="4">
        <f ca="1">IF(S314=1,T$3*Q313/Prices!B313,-T$3*R313)</f>
        <v>-3.6447624502871256E-2</v>
      </c>
      <c r="V314" s="13"/>
      <c r="W314" s="4"/>
      <c r="X314" s="4"/>
      <c r="Y314" s="4"/>
      <c r="Z314" s="4"/>
      <c r="AA314" s="4"/>
      <c r="AB314" s="4"/>
      <c r="AC314" s="4"/>
      <c r="AD314" s="4"/>
      <c r="AE314" s="52"/>
    </row>
    <row r="315" spans="1:31" x14ac:dyDescent="0.2">
      <c r="A315" s="7">
        <v>43569</v>
      </c>
      <c r="B315" s="13">
        <f ca="1">Prices!B314*(1+J315/(50*(ABS(O315)+ABS(T315)+0.0001)))</f>
        <v>1.1570302911450003</v>
      </c>
      <c r="C315" s="62">
        <f t="shared" ca="1" si="30"/>
        <v>0</v>
      </c>
      <c r="D315" s="13">
        <f ca="1">D314+C315*(Prices!B315-Prices!B314)/Prices!B314</f>
        <v>-2.6579890951347079E-2</v>
      </c>
      <c r="E315" s="13">
        <f t="shared" ca="1" si="31"/>
        <v>0.10886282868734605</v>
      </c>
      <c r="F315" s="13">
        <f t="shared" ca="1" si="32"/>
        <v>8.2282937735998971E-2</v>
      </c>
      <c r="G315" s="21">
        <f ca="1">IF((Prices!B315-Prices!B314)*C315&gt;0,1,0)</f>
        <v>0</v>
      </c>
      <c r="H315" s="13">
        <f>ABS(Prices!B315-Prices!B314)/Prices!B314</f>
        <v>2.9645942740979658E-3</v>
      </c>
      <c r="I315" s="21"/>
      <c r="J315" s="4">
        <f t="shared" ca="1" si="33"/>
        <v>-5.5732018735478867E-2</v>
      </c>
      <c r="K315" s="13"/>
      <c r="L315" s="13">
        <f ca="1">L314-O315*Prices!B315</f>
        <v>0.53944977672357419</v>
      </c>
      <c r="M315" s="4">
        <f t="shared" ca="1" si="34"/>
        <v>0.43565397697499986</v>
      </c>
      <c r="N315" s="13">
        <f ca="1">IF(Prices!B314&gt;OFFSET(Prices!B314,-$N$3,0),1,-1)</f>
        <v>-1</v>
      </c>
      <c r="O315" s="4">
        <f ca="1">IF(N315=1,O$3*L314/Prices!B314,-O$3*M314)</f>
        <v>-2.2929156682894733E-2</v>
      </c>
      <c r="P315" s="22"/>
      <c r="Q315" s="13">
        <f ca="1">Q314-T315*Prices!B315</f>
        <v>0.74612793477434813</v>
      </c>
      <c r="R315" s="4">
        <f t="shared" ca="1" si="35"/>
        <v>0.29522575847325716</v>
      </c>
      <c r="S315" s="13">
        <f ca="1">IF(Prices!D314&gt;OFFSET(Prices!D314,-S$3,0),1,-1)</f>
        <v>-1</v>
      </c>
      <c r="T315" s="4">
        <f ca="1">IF(S315=1,T$3*Q314/Prices!B314,-T$3*R314)</f>
        <v>-3.2802862052584134E-2</v>
      </c>
      <c r="V315" s="13"/>
      <c r="W315" s="4"/>
      <c r="X315" s="4"/>
      <c r="Y315" s="4"/>
      <c r="Z315" s="4"/>
      <c r="AA315" s="4"/>
      <c r="AB315" s="4"/>
      <c r="AC315" s="4"/>
      <c r="AD315" s="4"/>
      <c r="AE315" s="52"/>
    </row>
    <row r="316" spans="1:31" x14ac:dyDescent="0.2">
      <c r="A316" s="7">
        <v>43576</v>
      </c>
      <c r="B316" s="13">
        <f ca="1">Prices!B315*(1+J316/(50*(ABS(O316)+ABS(T316)+0.0001)))</f>
        <v>1.1536037968567217</v>
      </c>
      <c r="C316" s="62">
        <f t="shared" ca="1" si="30"/>
        <v>0</v>
      </c>
      <c r="D316" s="13">
        <f ca="1">D315+C316*(Prices!B316-Prices!B315)/Prices!B315</f>
        <v>-2.6579890951347079E-2</v>
      </c>
      <c r="E316" s="13">
        <f t="shared" ca="1" si="31"/>
        <v>0.10886282868734605</v>
      </c>
      <c r="F316" s="13">
        <f t="shared" ca="1" si="32"/>
        <v>8.2282937735998971E-2</v>
      </c>
      <c r="G316" s="21">
        <f ca="1">IF((Prices!B316-Prices!B315)*C316&gt;0,1,0)</f>
        <v>0</v>
      </c>
      <c r="H316" s="13">
        <f>ABS(Prices!B316-Prices!B315)/Prices!B315</f>
        <v>8.4105003822954882E-3</v>
      </c>
      <c r="I316" s="21"/>
      <c r="J316" s="4">
        <f t="shared" ca="1" si="33"/>
        <v>-5.1305274696075709E-2</v>
      </c>
      <c r="K316" s="13"/>
      <c r="L316" s="13">
        <f ca="1">L315-O316*Prices!B316</f>
        <v>0.56530584025704045</v>
      </c>
      <c r="M316" s="4">
        <f t="shared" ca="1" si="34"/>
        <v>0.41387127812624985</v>
      </c>
      <c r="N316" s="13">
        <f ca="1">IF(Prices!B315&gt;OFFSET(Prices!B315,-$N$3,0),1,-1)</f>
        <v>-1</v>
      </c>
      <c r="O316" s="4">
        <f ca="1">IF(N316=1,O$3*L315/Prices!B315,-O$3*M315)</f>
        <v>-2.1782698848749994E-2</v>
      </c>
      <c r="P316" s="22"/>
      <c r="Q316" s="13">
        <f ca="1">Q315-T316*Prices!B316</f>
        <v>0.78117123230512375</v>
      </c>
      <c r="R316" s="4">
        <f t="shared" ca="1" si="35"/>
        <v>0.26570318262593146</v>
      </c>
      <c r="S316" s="13">
        <f ca="1">IF(Prices!D315&gt;OFFSET(Prices!D315,-S$3,0),1,-1)</f>
        <v>-1</v>
      </c>
      <c r="T316" s="4">
        <f ca="1">IF(S316=1,T$3*Q315/Prices!B315,-T$3*R315)</f>
        <v>-2.9522575847325719E-2</v>
      </c>
      <c r="V316" s="13"/>
      <c r="W316" s="4"/>
      <c r="X316" s="4"/>
      <c r="Y316" s="4"/>
      <c r="Z316" s="4"/>
      <c r="AA316" s="4"/>
      <c r="AB316" s="4"/>
      <c r="AC316" s="4"/>
      <c r="AD316" s="4"/>
      <c r="AE316" s="52"/>
    </row>
    <row r="317" spans="1:31" x14ac:dyDescent="0.2">
      <c r="A317" s="7">
        <v>43583</v>
      </c>
      <c r="B317" s="13">
        <f ca="1">Prices!B316*(1+J317/(50*(ABS(O317)+ABS(T317)+0.0001)))</f>
        <v>1.1857030503344781</v>
      </c>
      <c r="C317" s="62">
        <f t="shared" ca="1" si="30"/>
        <v>0</v>
      </c>
      <c r="D317" s="13">
        <f ca="1">D316+C317*(Prices!B317-Prices!B316)/Prices!B316</f>
        <v>-2.6579890951347079E-2</v>
      </c>
      <c r="E317" s="13">
        <f t="shared" ca="1" si="31"/>
        <v>0.10886282868734605</v>
      </c>
      <c r="F317" s="13">
        <f t="shared" ca="1" si="32"/>
        <v>8.2282937735998971E-2</v>
      </c>
      <c r="G317" s="21">
        <f ca="1">IF((Prices!B317-Prices!B316)*C317&gt;0,1,0)</f>
        <v>0</v>
      </c>
      <c r="H317" s="13">
        <f>ABS(Prices!B317-Prices!B316)/Prices!B316</f>
        <v>9.0985678180287629E-3</v>
      </c>
      <c r="I317" s="21"/>
      <c r="J317" s="4">
        <f t="shared" ca="1" si="33"/>
        <v>-2.7579408296933838E-3</v>
      </c>
      <c r="K317" s="13"/>
      <c r="L317" s="13">
        <f ca="1">L316-O317*Prices!B317</f>
        <v>0.53729772192046377</v>
      </c>
      <c r="M317" s="4">
        <f t="shared" ca="1" si="34"/>
        <v>0.43768365555914962</v>
      </c>
      <c r="N317" s="13">
        <f ca="1">IF(Prices!B316&gt;OFFSET(Prices!B316,-$N$3,0),1,-1)</f>
        <v>1</v>
      </c>
      <c r="O317" s="4">
        <f ca="1">IF(N317=1,O$3*L316/Prices!B316,-O$3*M316)</f>
        <v>2.3812377432899764E-2</v>
      </c>
      <c r="P317" s="22"/>
      <c r="Q317" s="13">
        <f ca="1">Q316-T317*Prices!B317</f>
        <v>0.8124232406455858</v>
      </c>
      <c r="R317" s="4">
        <f t="shared" ca="1" si="35"/>
        <v>0.2391328643633383</v>
      </c>
      <c r="S317" s="13">
        <f ca="1">IF(Prices!D316&gt;OFFSET(Prices!D316,-S$3,0),1,-1)</f>
        <v>-1</v>
      </c>
      <c r="T317" s="4">
        <f ca="1">IF(S317=1,T$3*Q316/Prices!B316,-T$3*R316)</f>
        <v>-2.6570318262593148E-2</v>
      </c>
      <c r="V317" s="13"/>
      <c r="W317" s="4"/>
      <c r="X317" s="4"/>
      <c r="Y317" s="4"/>
      <c r="Z317" s="4"/>
      <c r="AA317" s="4"/>
      <c r="AB317" s="4"/>
      <c r="AC317" s="4"/>
      <c r="AD317" s="4"/>
      <c r="AE317" s="52"/>
    </row>
    <row r="318" spans="1:31" x14ac:dyDescent="0.2">
      <c r="A318" s="7">
        <v>43590</v>
      </c>
      <c r="B318" s="13">
        <f ca="1">Prices!B317*(1+J318/(50*(ABS(O318)+ABS(T318)+0.0001)))</f>
        <v>1.1527272533706163</v>
      </c>
      <c r="C318" s="62">
        <f t="shared" ca="1" si="30"/>
        <v>0</v>
      </c>
      <c r="D318" s="13">
        <f ca="1">D317+C318*(Prices!B318-Prices!B317)/Prices!B317</f>
        <v>-2.6579890951347079E-2</v>
      </c>
      <c r="E318" s="13">
        <f t="shared" ca="1" si="31"/>
        <v>0.10886282868734605</v>
      </c>
      <c r="F318" s="13">
        <f t="shared" ca="1" si="32"/>
        <v>8.2282937735998971E-2</v>
      </c>
      <c r="G318" s="21">
        <f ca="1">IF((Prices!B318-Prices!B317)*C318&gt;0,1,0)</f>
        <v>0</v>
      </c>
      <c r="H318" s="13">
        <f>ABS(Prices!B318-Prices!B317)/Prices!B317</f>
        <v>2.9756844074137552E-3</v>
      </c>
      <c r="I318" s="21"/>
      <c r="J318" s="4">
        <f t="shared" ca="1" si="33"/>
        <v>-4.5797469214291314E-2</v>
      </c>
      <c r="K318" s="13"/>
      <c r="L318" s="13">
        <f ca="1">L317-O318*Prices!B318</f>
        <v>0.56311449234362021</v>
      </c>
      <c r="M318" s="4">
        <f t="shared" ca="1" si="34"/>
        <v>0.41579947278119211</v>
      </c>
      <c r="N318" s="13">
        <f ca="1">IF(Prices!B317&gt;OFFSET(Prices!B317,-$N$3,0),1,-1)</f>
        <v>-1</v>
      </c>
      <c r="O318" s="4">
        <f ca="1">IF(N318=1,O$3*L317/Prices!B317,-O$3*M317)</f>
        <v>-2.1884182777957482E-2</v>
      </c>
      <c r="P318" s="22"/>
      <c r="Q318" s="13">
        <f ca="1">Q317-T318*Prices!B318</f>
        <v>0.84063374465452878</v>
      </c>
      <c r="R318" s="4">
        <f t="shared" ca="1" si="35"/>
        <v>0.21521957792700447</v>
      </c>
      <c r="S318" s="13">
        <f ca="1">IF(Prices!D317&gt;OFFSET(Prices!D317,-S$3,0),1,-1)</f>
        <v>-1</v>
      </c>
      <c r="T318" s="4">
        <f ca="1">IF(S318=1,T$3*Q317/Prices!B317,-T$3*R317)</f>
        <v>-2.3913286436333833E-2</v>
      </c>
      <c r="V318" s="13"/>
      <c r="W318" s="4"/>
      <c r="X318" s="4"/>
      <c r="Y318" s="4"/>
      <c r="Z318" s="4"/>
      <c r="AA318" s="4"/>
      <c r="AB318" s="4"/>
      <c r="AC318" s="4"/>
      <c r="AD318" s="4"/>
      <c r="AE318" s="52"/>
    </row>
    <row r="319" spans="1:31" x14ac:dyDescent="0.2">
      <c r="A319" s="7">
        <v>43597</v>
      </c>
      <c r="B319" s="13">
        <f ca="1">Prices!B318*(1+J319/(50*(ABS(O319)+ABS(T319)+0.0001)))</f>
        <v>1.156161630571878</v>
      </c>
      <c r="C319" s="62">
        <f t="shared" ca="1" si="30"/>
        <v>0</v>
      </c>
      <c r="D319" s="13">
        <f ca="1">D318+C319*(Prices!B319-Prices!B318)/Prices!B318</f>
        <v>-2.6579890951347079E-2</v>
      </c>
      <c r="E319" s="13">
        <f t="shared" ca="1" si="31"/>
        <v>0.10886282868734605</v>
      </c>
      <c r="F319" s="13">
        <f t="shared" ca="1" si="32"/>
        <v>8.2282937735998971E-2</v>
      </c>
      <c r="G319" s="21">
        <f ca="1">IF((Prices!B319-Prices!B318)*C319&gt;0,1,0)</f>
        <v>0</v>
      </c>
      <c r="H319" s="13">
        <f>ABS(Prices!B319-Prices!B318)/Prices!B318</f>
        <v>8.3919640586589978E-3</v>
      </c>
      <c r="I319" s="21"/>
      <c r="J319" s="4">
        <f t="shared" ca="1" si="33"/>
        <v>-4.2311931431760055E-2</v>
      </c>
      <c r="K319" s="13"/>
      <c r="L319" s="13">
        <f ca="1">L318-O319*Prices!B319</f>
        <v>0.58743460350659216</v>
      </c>
      <c r="M319" s="4">
        <f t="shared" ca="1" si="34"/>
        <v>0.39500949914213251</v>
      </c>
      <c r="N319" s="13">
        <f ca="1">IF(Prices!B318&gt;OFFSET(Prices!B318,-$N$3,0),1,-1)</f>
        <v>-1</v>
      </c>
      <c r="O319" s="4">
        <f ca="1">IF(N319=1,O$3*L318/Prices!B318,-O$3*M318)</f>
        <v>-2.0789973639059607E-2</v>
      </c>
      <c r="P319" s="22"/>
      <c r="Q319" s="13">
        <f ca="1">Q318-T319*Prices!B319</f>
        <v>0.8658101308804298</v>
      </c>
      <c r="R319" s="4">
        <f t="shared" ca="1" si="35"/>
        <v>0.19369762013430403</v>
      </c>
      <c r="S319" s="13">
        <f ca="1">IF(Prices!D318&gt;OFFSET(Prices!D318,-S$3,0),1,-1)</f>
        <v>-1</v>
      </c>
      <c r="T319" s="4">
        <f ca="1">IF(S319=1,T$3*Q318/Prices!B318,-T$3*R318)</f>
        <v>-2.1521957792700448E-2</v>
      </c>
      <c r="V319" s="13"/>
      <c r="W319" s="4"/>
      <c r="X319" s="4"/>
      <c r="Y319" s="4"/>
      <c r="Z319" s="4"/>
      <c r="AA319" s="4"/>
      <c r="AB319" s="4"/>
      <c r="AC319" s="4"/>
      <c r="AD319" s="4"/>
      <c r="AE319" s="52"/>
    </row>
    <row r="320" spans="1:31" x14ac:dyDescent="0.2">
      <c r="A320" s="7">
        <v>43604</v>
      </c>
      <c r="B320" s="13">
        <f ca="1">Prices!B319*(1+J320/(50*(ABS(O320)+ABS(T320)+0.0001)))</f>
        <v>1.1464636528777161</v>
      </c>
      <c r="C320" s="62">
        <f t="shared" ca="1" si="30"/>
        <v>0</v>
      </c>
      <c r="D320" s="13">
        <f ca="1">D319+C320*(Prices!B320-Prices!B319)/Prices!B319</f>
        <v>-2.6579890951347079E-2</v>
      </c>
      <c r="E320" s="13">
        <f t="shared" ca="1" si="31"/>
        <v>0.10886282868734605</v>
      </c>
      <c r="F320" s="13">
        <f t="shared" ca="1" si="32"/>
        <v>8.2282937735998971E-2</v>
      </c>
      <c r="G320" s="21">
        <f ca="1">IF((Prices!B320-Prices!B319)*C320&gt;0,1,0)</f>
        <v>0</v>
      </c>
      <c r="H320" s="13">
        <f>ABS(Prices!B320-Prices!B319)/Prices!B319</f>
        <v>8.2920157291845129E-3</v>
      </c>
      <c r="I320" s="21"/>
      <c r="J320" s="4">
        <f t="shared" ca="1" si="33"/>
        <v>-3.9120236970537028E-2</v>
      </c>
      <c r="K320" s="13"/>
      <c r="L320" s="13">
        <f ca="1">L319-O320*Prices!B320</f>
        <v>0.61073028871849944</v>
      </c>
      <c r="M320" s="4">
        <f t="shared" ca="1" si="34"/>
        <v>0.37525902418502588</v>
      </c>
      <c r="N320" s="13">
        <f ca="1">IF(Prices!B319&gt;OFFSET(Prices!B319,-$N$3,0),1,-1)</f>
        <v>-1</v>
      </c>
      <c r="O320" s="4">
        <f ca="1">IF(N320=1,O$3*L319/Prices!B319,-O$3*M319)</f>
        <v>-1.9750474957106627E-2</v>
      </c>
      <c r="P320" s="22"/>
      <c r="Q320" s="13">
        <f ca="1">Q319-T320*Prices!B320</f>
        <v>0.88865676517527092</v>
      </c>
      <c r="R320" s="4">
        <f t="shared" ca="1" si="35"/>
        <v>0.17432785812087362</v>
      </c>
      <c r="S320" s="13">
        <f ca="1">IF(Prices!D319&gt;OFFSET(Prices!D319,-S$3,0),1,-1)</f>
        <v>-1</v>
      </c>
      <c r="T320" s="4">
        <f ca="1">IF(S320=1,T$3*Q319/Prices!B319,-T$3*R319)</f>
        <v>-1.9369762013430405E-2</v>
      </c>
      <c r="V320" s="13"/>
      <c r="W320" s="4"/>
      <c r="X320" s="4"/>
      <c r="Y320" s="4"/>
      <c r="Z320" s="4"/>
      <c r="AA320" s="4"/>
      <c r="AB320" s="4"/>
      <c r="AC320" s="4"/>
      <c r="AD320" s="4"/>
      <c r="AE320" s="52"/>
    </row>
    <row r="321" spans="1:31" x14ac:dyDescent="0.2">
      <c r="A321" s="7">
        <v>43611</v>
      </c>
      <c r="B321" s="13">
        <f ca="1">Prices!B320*(1+J321/(50*(ABS(O321)+ABS(T321)+0.0001)))</f>
        <v>1.155974993858607</v>
      </c>
      <c r="C321" s="62">
        <f t="shared" ca="1" si="30"/>
        <v>0</v>
      </c>
      <c r="D321" s="13">
        <f ca="1">D320+C321*(Prices!B321-Prices!B320)/Prices!B320</f>
        <v>-2.6579890951347079E-2</v>
      </c>
      <c r="E321" s="13">
        <f t="shared" ca="1" si="31"/>
        <v>0.10886282868734605</v>
      </c>
      <c r="F321" s="13">
        <f t="shared" ca="1" si="32"/>
        <v>8.2282937735998971E-2</v>
      </c>
      <c r="G321" s="21">
        <f ca="1">IF((Prices!B321-Prices!B320)*C321&gt;0,1,0)</f>
        <v>0</v>
      </c>
      <c r="H321" s="13">
        <f>ABS(Prices!B321-Prices!B320)/Prices!B320</f>
        <v>7.2064434082237828E-3</v>
      </c>
      <c r="I321" s="21"/>
      <c r="J321" s="4">
        <f t="shared" ca="1" si="33"/>
        <v>-3.6195737021338659E-2</v>
      </c>
      <c r="K321" s="13"/>
      <c r="L321" s="13">
        <f ca="1">L320-O321*Prices!B321</f>
        <v>0.63302067475508994</v>
      </c>
      <c r="M321" s="4">
        <f t="shared" ca="1" si="34"/>
        <v>0.35649607297577457</v>
      </c>
      <c r="N321" s="13">
        <f ca="1">IF(Prices!B320&gt;OFFSET(Prices!B320,-$N$3,0),1,-1)</f>
        <v>-1</v>
      </c>
      <c r="O321" s="4">
        <f ca="1">IF(N321=1,O$3*L320/Prices!B320,-O$3*M320)</f>
        <v>-1.8762951209251297E-2</v>
      </c>
      <c r="P321" s="22"/>
      <c r="Q321" s="13">
        <f ca="1">Q320-T321*Prices!B321</f>
        <v>0.90936691472003073</v>
      </c>
      <c r="R321" s="4">
        <f t="shared" ca="1" si="35"/>
        <v>0.15689507230878624</v>
      </c>
      <c r="S321" s="13">
        <f ca="1">IF(Prices!D320&gt;OFFSET(Prices!D320,-S$3,0),1,-1)</f>
        <v>-1</v>
      </c>
      <c r="T321" s="4">
        <f ca="1">IF(S321=1,T$3*Q320/Prices!B320,-T$3*R320)</f>
        <v>-1.7432785812087362E-2</v>
      </c>
      <c r="V321" s="13"/>
      <c r="W321" s="4"/>
      <c r="X321" s="4"/>
      <c r="Y321" s="4"/>
      <c r="Z321" s="4"/>
      <c r="AA321" s="4"/>
      <c r="AB321" s="4"/>
      <c r="AC321" s="4"/>
      <c r="AD321" s="4"/>
      <c r="AE321" s="52"/>
    </row>
    <row r="322" spans="1:31" x14ac:dyDescent="0.2">
      <c r="A322" s="7">
        <v>43618</v>
      </c>
      <c r="B322" s="13">
        <f ca="1">Prices!B321*(1+J322/(50*(ABS(O322)+ABS(T322)+0.0001)))</f>
        <v>1.1941330896861846</v>
      </c>
      <c r="C322" s="62">
        <f t="shared" ca="1" si="30"/>
        <v>1</v>
      </c>
      <c r="D322" s="13">
        <f ca="1">D321+C322*(Prices!B322-Prices!B321)/Prices!B321</f>
        <v>-3.2135446506902587E-2</v>
      </c>
      <c r="E322" s="13">
        <f t="shared" ca="1" si="31"/>
        <v>0.11441838424290156</v>
      </c>
      <c r="F322" s="13">
        <f t="shared" ca="1" si="32"/>
        <v>8.2282937735998971E-2</v>
      </c>
      <c r="G322" s="21">
        <f ca="1">IF((Prices!B322-Prices!B321)*C322&gt;0,1,0)</f>
        <v>0</v>
      </c>
      <c r="H322" s="13">
        <f>ABS(Prices!B322-Prices!B321)/Prices!B321</f>
        <v>5.5555555555555046E-3</v>
      </c>
      <c r="I322" s="21"/>
      <c r="J322" s="4">
        <f t="shared" ca="1" si="33"/>
        <v>1.0952777060160519E-2</v>
      </c>
      <c r="K322" s="13"/>
      <c r="L322" s="13">
        <f ca="1">L321-O322*Prices!B322</f>
        <v>0.60154548009365627</v>
      </c>
      <c r="M322" s="4">
        <f t="shared" ca="1" si="34"/>
        <v>0.38313835726681372</v>
      </c>
      <c r="N322" s="13">
        <f ca="1">IF(Prices!B321&gt;OFFSET(Prices!B321,-$N$3,0),1,-1)</f>
        <v>1</v>
      </c>
      <c r="O322" s="4">
        <f ca="1">IF(N322=1,O$3*L321/Prices!B321,-O$3*M321)</f>
        <v>2.6642284291039143E-2</v>
      </c>
      <c r="P322" s="22"/>
      <c r="Q322" s="13">
        <f ca="1">Q321-T322*Prices!B322</f>
        <v>0.92790249856259077</v>
      </c>
      <c r="R322" s="4">
        <f t="shared" ca="1" si="35"/>
        <v>0.14120556507790763</v>
      </c>
      <c r="S322" s="13">
        <f ca="1">IF(Prices!D321&gt;OFFSET(Prices!D321,-S$3,0),1,-1)</f>
        <v>-1</v>
      </c>
      <c r="T322" s="4">
        <f ca="1">IF(S322=1,T$3*Q321/Prices!B321,-T$3*R321)</f>
        <v>-1.5689507230878624E-2</v>
      </c>
      <c r="V322" s="13"/>
      <c r="W322" s="4"/>
      <c r="X322" s="4"/>
      <c r="Y322" s="4"/>
      <c r="Z322" s="4"/>
      <c r="AA322" s="4"/>
      <c r="AB322" s="4"/>
      <c r="AC322" s="4"/>
      <c r="AD322" s="4"/>
      <c r="AE322" s="52"/>
    </row>
    <row r="323" spans="1:31" x14ac:dyDescent="0.2">
      <c r="A323" s="7">
        <v>43625</v>
      </c>
      <c r="B323" s="13">
        <f ca="1">Prices!B322*(1+J323/(50*(ABS(O323)+ABS(T323)+0.0001)))</f>
        <v>1.1578427902573372</v>
      </c>
      <c r="C323" s="62">
        <f t="shared" ca="1" si="30"/>
        <v>0</v>
      </c>
      <c r="D323" s="13">
        <f ca="1">D322+C323*(Prices!B323-Prices!B322)/Prices!B322</f>
        <v>-3.2135446506902587E-2</v>
      </c>
      <c r="E323" s="13">
        <f t="shared" ca="1" si="31"/>
        <v>0.11441838424290156</v>
      </c>
      <c r="F323" s="13">
        <f t="shared" ca="1" si="32"/>
        <v>8.2282937735998971E-2</v>
      </c>
      <c r="G323" s="21">
        <f ca="1">IF((Prices!B323-Prices!B322)*C323&gt;0,1,0)</f>
        <v>0</v>
      </c>
      <c r="H323" s="13">
        <f>ABS(Prices!B323-Prices!B322)/Prices!B322</f>
        <v>7.5334349077366934E-3</v>
      </c>
      <c r="I323" s="21"/>
      <c r="J323" s="4">
        <f t="shared" ca="1" si="33"/>
        <v>-3.3277474371131446E-2</v>
      </c>
      <c r="K323" s="13"/>
      <c r="L323" s="13">
        <f ca="1">L322-O323*Prices!B323</f>
        <v>0.62400696628842323</v>
      </c>
      <c r="M323" s="4">
        <f t="shared" ca="1" si="34"/>
        <v>0.36398143940347305</v>
      </c>
      <c r="N323" s="13">
        <f ca="1">IF(Prices!B322&gt;OFFSET(Prices!B322,-$N$3,0),1,-1)</f>
        <v>-1</v>
      </c>
      <c r="O323" s="4">
        <f ca="1">IF(N323=1,O$3*L322/Prices!B322,-O$3*M322)</f>
        <v>-1.9156917863340686E-2</v>
      </c>
      <c r="P323" s="22"/>
      <c r="Q323" s="13">
        <f ca="1">Q322-T323*Prices!B323</f>
        <v>0.94445885106797545</v>
      </c>
      <c r="R323" s="4">
        <f t="shared" ca="1" si="35"/>
        <v>0.12708500857011687</v>
      </c>
      <c r="S323" s="13">
        <f ca="1">IF(Prices!D322&gt;OFFSET(Prices!D322,-S$3,0),1,-1)</f>
        <v>-1</v>
      </c>
      <c r="T323" s="4">
        <f ca="1">IF(S323=1,T$3*Q322/Prices!B322,-T$3*R322)</f>
        <v>-1.4120556507790764E-2</v>
      </c>
      <c r="V323" s="13"/>
      <c r="W323" s="4"/>
      <c r="X323" s="4"/>
      <c r="Y323" s="4"/>
      <c r="Z323" s="4"/>
      <c r="AA323" s="4"/>
      <c r="AB323" s="4"/>
      <c r="AC323" s="4"/>
      <c r="AD323" s="4"/>
      <c r="AE323" s="52"/>
    </row>
    <row r="324" spans="1:31" x14ac:dyDescent="0.2">
      <c r="A324" s="7">
        <v>43632</v>
      </c>
      <c r="B324" s="13">
        <f ca="1">Prices!B323*(1+J324/(50*(ABS(O324)+ABS(T324)+0.0001)))</f>
        <v>1.1872916079771685</v>
      </c>
      <c r="C324" s="62">
        <f t="shared" ca="1" si="30"/>
        <v>1</v>
      </c>
      <c r="D324" s="13">
        <f ca="1">D323+C324*(Prices!B324-Prices!B323)/Prices!B323</f>
        <v>-3.2561885739311923E-2</v>
      </c>
      <c r="E324" s="13">
        <f t="shared" ca="1" si="31"/>
        <v>0.11484482347531089</v>
      </c>
      <c r="F324" s="13">
        <f t="shared" ca="1" si="32"/>
        <v>8.2282937735998971E-2</v>
      </c>
      <c r="G324" s="21">
        <f ca="1">IF((Prices!B324-Prices!B323)*C324&gt;0,1,0)</f>
        <v>0</v>
      </c>
      <c r="H324" s="13">
        <f>ABS(Prices!B324-Prices!B323)/Prices!B323</f>
        <v>4.2643923240933475E-4</v>
      </c>
      <c r="I324" s="21"/>
      <c r="J324" s="4">
        <f t="shared" ca="1" si="33"/>
        <v>6.2351789528161151E-2</v>
      </c>
      <c r="K324" s="13"/>
      <c r="L324" s="13">
        <f ca="1">L323-O324*Prices!B324</f>
        <v>0.64533627863746679</v>
      </c>
      <c r="M324" s="4">
        <f t="shared" ca="1" si="34"/>
        <v>0.34578236743329938</v>
      </c>
      <c r="N324" s="13">
        <f ca="1">IF(Prices!B323&gt;OFFSET(Prices!B323,-$N$3,0),1,-1)</f>
        <v>-1</v>
      </c>
      <c r="O324" s="4">
        <f ca="1">IF(N324=1,O$3*L323/Prices!B323,-O$3*M323)</f>
        <v>-1.8199071970173654E-2</v>
      </c>
      <c r="P324" s="22"/>
      <c r="Q324" s="13">
        <f ca="1">Q323-T324*Prices!B324</f>
        <v>0.85005324139192706</v>
      </c>
      <c r="R324" s="4">
        <f t="shared" ca="1" si="35"/>
        <v>0.20763587006845169</v>
      </c>
      <c r="S324" s="13">
        <f ca="1">IF(Prices!D323&gt;OFFSET(Prices!D323,-S$3,0),1,-1)</f>
        <v>1</v>
      </c>
      <c r="T324" s="4">
        <f ca="1">IF(S324=1,T$3*Q323/Prices!B323,-T$3*R323)</f>
        <v>8.0550861498334805E-2</v>
      </c>
      <c r="V324" s="13"/>
      <c r="W324" s="4"/>
      <c r="X324" s="4"/>
      <c r="Y324" s="4"/>
      <c r="Z324" s="4"/>
      <c r="AA324" s="4"/>
      <c r="AB324" s="4"/>
      <c r="AC324" s="4"/>
      <c r="AD324" s="4"/>
      <c r="AE324" s="52"/>
    </row>
    <row r="325" spans="1:31" x14ac:dyDescent="0.2">
      <c r="A325" s="7">
        <v>43639</v>
      </c>
      <c r="B325" s="13">
        <f ca="1">Prices!B324*(1+J325/(50*(ABS(O325)+ABS(T325)+0.0001)))</f>
        <v>1.148621437320807</v>
      </c>
      <c r="C325" s="62">
        <f t="shared" ca="1" si="30"/>
        <v>0</v>
      </c>
      <c r="D325" s="13">
        <f ca="1">D324+C325*(Prices!B325-Prices!B324)/Prices!B324</f>
        <v>-3.2561885739311923E-2</v>
      </c>
      <c r="E325" s="13">
        <f t="shared" ca="1" si="31"/>
        <v>0.11484482347531089</v>
      </c>
      <c r="F325" s="13">
        <f t="shared" ca="1" si="32"/>
        <v>8.2282937735998971E-2</v>
      </c>
      <c r="G325" s="21">
        <f ca="1">IF((Prices!B325-Prices!B324)*C325&gt;0,1,0)</f>
        <v>0</v>
      </c>
      <c r="H325" s="13">
        <f>ABS(Prices!B325-Prices!B324)/Prices!B324</f>
        <v>1.0580204778156969E-2</v>
      </c>
      <c r="I325" s="21"/>
      <c r="J325" s="4">
        <f t="shared" ca="1" si="33"/>
        <v>-3.8052705378510139E-2</v>
      </c>
      <c r="K325" s="13"/>
      <c r="L325" s="13">
        <f ca="1">L324-O325*Prices!B325</f>
        <v>0.6653847403012495</v>
      </c>
      <c r="M325" s="4">
        <f t="shared" ca="1" si="34"/>
        <v>0.32849324906163441</v>
      </c>
      <c r="N325" s="13">
        <f ca="1">IF(Prices!B324&gt;OFFSET(Prices!B324,-$N$3,0),1,-1)</f>
        <v>-1</v>
      </c>
      <c r="O325" s="4">
        <f ca="1">IF(N325=1,O$3*L324/Prices!B324,-O$3*M324)</f>
        <v>-1.7289118371664969E-2</v>
      </c>
      <c r="P325" s="22"/>
      <c r="Q325" s="13">
        <f ca="1">Q324-T325*Prices!B325</f>
        <v>0.87413069688506473</v>
      </c>
      <c r="R325" s="4">
        <f t="shared" ca="1" si="35"/>
        <v>0.18687228306160653</v>
      </c>
      <c r="S325" s="13">
        <f ca="1">IF(Prices!D324&gt;OFFSET(Prices!D324,-S$3,0),1,-1)</f>
        <v>-1</v>
      </c>
      <c r="T325" s="4">
        <f ca="1">IF(S325=1,T$3*Q324/Prices!B324,-T$3*R324)</f>
        <v>-2.076358700684517E-2</v>
      </c>
      <c r="V325" s="13"/>
      <c r="W325" s="4"/>
      <c r="X325" s="4"/>
      <c r="Y325" s="4"/>
      <c r="Z325" s="4"/>
      <c r="AA325" s="4"/>
      <c r="AB325" s="4"/>
      <c r="AC325" s="4"/>
      <c r="AD325" s="4"/>
      <c r="AE325" s="52"/>
    </row>
    <row r="326" spans="1:31" x14ac:dyDescent="0.2">
      <c r="A326" s="7">
        <v>43646</v>
      </c>
      <c r="B326" s="13">
        <f ca="1">Prices!B325*(1+J326/(50*(ABS(O326)+ABS(T326)+0.0001)))</f>
        <v>1.1364738641143657</v>
      </c>
      <c r="C326" s="62">
        <f t="shared" ca="1" si="30"/>
        <v>0</v>
      </c>
      <c r="D326" s="13">
        <f ca="1">D325+C326*(Prices!B326-Prices!B325)/Prices!B325</f>
        <v>-3.2561885739311923E-2</v>
      </c>
      <c r="E326" s="13">
        <f t="shared" ca="1" si="31"/>
        <v>0.11484482347531089</v>
      </c>
      <c r="F326" s="13">
        <f t="shared" ca="1" si="32"/>
        <v>8.2282937735998971E-2</v>
      </c>
      <c r="G326" s="21">
        <f ca="1">IF((Prices!B326-Prices!B325)*C326&gt;0,1,0)</f>
        <v>0</v>
      </c>
      <c r="H326" s="13">
        <f>ABS(Prices!B326-Prices!B325)/Prices!B325</f>
        <v>2.3283890996894834E-3</v>
      </c>
      <c r="I326" s="21"/>
      <c r="J326" s="4">
        <f t="shared" ca="1" si="33"/>
        <v>-3.511189075924237E-2</v>
      </c>
      <c r="K326" s="13"/>
      <c r="L326" s="13">
        <f ca="1">L325-O326*Prices!B326</f>
        <v>0.68438643229321972</v>
      </c>
      <c r="M326" s="4">
        <f t="shared" ca="1" si="34"/>
        <v>0.31206858660855269</v>
      </c>
      <c r="N326" s="13">
        <f ca="1">IF(Prices!B325&gt;OFFSET(Prices!B325,-$N$3,0),1,-1)</f>
        <v>-1</v>
      </c>
      <c r="O326" s="4">
        <f ca="1">IF(N326=1,O$3*L325/Prices!B325,-O$3*M325)</f>
        <v>-1.6424662453081721E-2</v>
      </c>
      <c r="P326" s="22"/>
      <c r="Q326" s="13">
        <f ca="1">Q325-T326*Prices!B326</f>
        <v>0.89574995131246204</v>
      </c>
      <c r="R326" s="4">
        <f t="shared" ca="1" si="35"/>
        <v>0.16818505475544587</v>
      </c>
      <c r="S326" s="13">
        <f ca="1">IF(Prices!D325&gt;OFFSET(Prices!D325,-S$3,0),1,-1)</f>
        <v>-1</v>
      </c>
      <c r="T326" s="4">
        <f ca="1">IF(S326=1,T$3*Q325/Prices!B325,-T$3*R325)</f>
        <v>-1.8687228306160653E-2</v>
      </c>
      <c r="V326" s="13"/>
      <c r="W326" s="4"/>
      <c r="X326" s="4"/>
      <c r="Y326" s="4"/>
      <c r="Z326" s="4"/>
      <c r="AA326" s="4"/>
      <c r="AB326" s="4"/>
      <c r="AC326" s="4"/>
      <c r="AD326" s="4"/>
      <c r="AE326" s="52"/>
    </row>
    <row r="327" spans="1:31" x14ac:dyDescent="0.2">
      <c r="A327" s="7">
        <v>43653</v>
      </c>
      <c r="B327" s="13">
        <f ca="1">Prices!B326*(1+J327/(50*(ABS(O327)+ABS(T327)+0.0001)))</f>
        <v>1.1338331458286171</v>
      </c>
      <c r="C327" s="62">
        <f t="shared" ca="1" si="30"/>
        <v>0</v>
      </c>
      <c r="D327" s="13">
        <f ca="1">D326+C327*(Prices!B327-Prices!B326)/Prices!B326</f>
        <v>-3.2561885739311923E-2</v>
      </c>
      <c r="E327" s="13">
        <f t="shared" ca="1" si="31"/>
        <v>0.11484482347531089</v>
      </c>
      <c r="F327" s="13">
        <f t="shared" ca="1" si="32"/>
        <v>8.2282937735998971E-2</v>
      </c>
      <c r="G327" s="21">
        <f ca="1">IF((Prices!B327-Prices!B326)*C327&gt;0,1,0)</f>
        <v>0</v>
      </c>
      <c r="H327" s="13">
        <f>ABS(Prices!B327-Prices!B326)/Prices!B326</f>
        <v>2.7660126199324656E-3</v>
      </c>
      <c r="I327" s="21"/>
      <c r="J327" s="4">
        <f t="shared" ca="1" si="33"/>
        <v>-3.2421934805972219E-2</v>
      </c>
      <c r="K327" s="13"/>
      <c r="L327" s="13">
        <f ca="1">L326-O327*Prices!B327</f>
        <v>0.70248797065944879</v>
      </c>
      <c r="M327" s="4">
        <f t="shared" ca="1" si="34"/>
        <v>0.29646515727812506</v>
      </c>
      <c r="N327" s="13">
        <f ca="1">IF(Prices!B326&gt;OFFSET(Prices!B326,-$N$3,0),1,-1)</f>
        <v>-1</v>
      </c>
      <c r="O327" s="4">
        <f ca="1">IF(N327=1,O$3*L326/Prices!B326,-O$3*M326)</f>
        <v>-1.5603429330427635E-2</v>
      </c>
      <c r="P327" s="22"/>
      <c r="Q327" s="13">
        <f ca="1">Q326-T327*Prices!B327</f>
        <v>0.9152610995146413</v>
      </c>
      <c r="R327" s="4">
        <f t="shared" ca="1" si="35"/>
        <v>0.15136654927990129</v>
      </c>
      <c r="S327" s="13">
        <f ca="1">IF(Prices!D326&gt;OFFSET(Prices!D326,-S$3,0),1,-1)</f>
        <v>-1</v>
      </c>
      <c r="T327" s="4">
        <f ca="1">IF(S327=1,T$3*Q326/Prices!B326,-T$3*R326)</f>
        <v>-1.6818505475544587E-2</v>
      </c>
      <c r="V327" s="13"/>
      <c r="W327" s="4"/>
      <c r="X327" s="4"/>
      <c r="Y327" s="4"/>
      <c r="Z327" s="4"/>
      <c r="AA327" s="4"/>
      <c r="AB327" s="4"/>
      <c r="AC327" s="4"/>
      <c r="AD327" s="4"/>
      <c r="AE327" s="52"/>
    </row>
    <row r="328" spans="1:31" x14ac:dyDescent="0.2">
      <c r="A328" s="7">
        <v>43660</v>
      </c>
      <c r="B328" s="13">
        <f ca="1">Prices!B327*(1+J328/(50*(ABS(O328)+ABS(T328)+0.0001)))</f>
        <v>1.1369751858526689</v>
      </c>
      <c r="C328" s="62">
        <f t="shared" ca="1" si="30"/>
        <v>0</v>
      </c>
      <c r="D328" s="13">
        <f ca="1">D327+C328*(Prices!B328-Prices!B327)/Prices!B327</f>
        <v>-3.2561885739311923E-2</v>
      </c>
      <c r="E328" s="13">
        <f t="shared" ca="1" si="31"/>
        <v>0.11484482347531089</v>
      </c>
      <c r="F328" s="13">
        <f t="shared" ca="1" si="32"/>
        <v>8.2282937735998971E-2</v>
      </c>
      <c r="G328" s="21">
        <f ca="1">IF((Prices!B328-Prices!B327)*C328&gt;0,1,0)</f>
        <v>0</v>
      </c>
      <c r="H328" s="13">
        <f>ABS(Prices!B328-Prices!B327)/Prices!B327</f>
        <v>3.6203775536591517E-3</v>
      </c>
      <c r="I328" s="21"/>
      <c r="J328" s="4">
        <f t="shared" ca="1" si="33"/>
        <v>-2.995991279189638E-2</v>
      </c>
      <c r="K328" s="13"/>
      <c r="L328" s="13">
        <f ca="1">L327-O328*Prices!B328</f>
        <v>0.7197466897903948</v>
      </c>
      <c r="M328" s="4">
        <f t="shared" ca="1" si="34"/>
        <v>0.2816418994142188</v>
      </c>
      <c r="N328" s="13">
        <f ca="1">IF(Prices!B327&gt;OFFSET(Prices!B327,-$N$3,0),1,-1)</f>
        <v>-1</v>
      </c>
      <c r="O328" s="4">
        <f ca="1">IF(N328=1,O$3*L327/Prices!B327,-O$3*M327)</f>
        <v>-1.4823257863906253E-2</v>
      </c>
      <c r="P328" s="22"/>
      <c r="Q328" s="13">
        <f ca="1">Q327-T328*Prices!B328</f>
        <v>0.93288470684730018</v>
      </c>
      <c r="R328" s="4">
        <f t="shared" ca="1" si="35"/>
        <v>0.13622989435191116</v>
      </c>
      <c r="S328" s="13">
        <f ca="1">IF(Prices!D327&gt;OFFSET(Prices!D327,-S$3,0),1,-1)</f>
        <v>-1</v>
      </c>
      <c r="T328" s="4">
        <f ca="1">IF(S328=1,T$3*Q327/Prices!B327,-T$3*R327)</f>
        <v>-1.5136654927990129E-2</v>
      </c>
      <c r="V328" s="13"/>
      <c r="W328" s="4"/>
      <c r="X328" s="4"/>
      <c r="Y328" s="4"/>
      <c r="Z328" s="4"/>
      <c r="AA328" s="4"/>
      <c r="AB328" s="4"/>
      <c r="AC328" s="4"/>
      <c r="AD328" s="4"/>
      <c r="AE328" s="52"/>
    </row>
    <row r="329" spans="1:31" x14ac:dyDescent="0.2">
      <c r="A329" s="7">
        <v>43667</v>
      </c>
      <c r="B329" s="13">
        <f ca="1">Prices!B328*(1+J329/(50*(ABS(O329)+ABS(T329)+0.0001)))</f>
        <v>1.1410977472731967</v>
      </c>
      <c r="C329" s="62">
        <f t="shared" ca="1" si="30"/>
        <v>0</v>
      </c>
      <c r="D329" s="13">
        <f ca="1">D328+C329*(Prices!B329-Prices!B328)/Prices!B328</f>
        <v>-3.2561885739311923E-2</v>
      </c>
      <c r="E329" s="13">
        <f t="shared" ca="1" si="31"/>
        <v>0.11484482347531089</v>
      </c>
      <c r="F329" s="13">
        <f t="shared" ca="1" si="32"/>
        <v>8.2282937735998971E-2</v>
      </c>
      <c r="G329" s="21">
        <f ca="1">IF((Prices!B329-Prices!B328)*C329&gt;0,1,0)</f>
        <v>0</v>
      </c>
      <c r="H329" s="13">
        <f>ABS(Prices!B329-Prices!B328)/Prices!B328</f>
        <v>7.3005239199518618E-3</v>
      </c>
      <c r="I329" s="21"/>
      <c r="J329" s="4">
        <f t="shared" ca="1" si="33"/>
        <v>-2.7705084405902056E-2</v>
      </c>
      <c r="K329" s="13"/>
      <c r="L329" s="13">
        <f ca="1">L328-O329*Prices!B329</f>
        <v>0.73602277515754255</v>
      </c>
      <c r="M329" s="4">
        <f t="shared" ca="1" si="34"/>
        <v>0.26755980444350785</v>
      </c>
      <c r="N329" s="13">
        <f ca="1">IF(Prices!B328&gt;OFFSET(Prices!B328,-$N$3,0),1,-1)</f>
        <v>-1</v>
      </c>
      <c r="O329" s="4">
        <f ca="1">IF(N329=1,O$3*L328/Prices!B328,-O$3*M328)</f>
        <v>-1.408209497071094E-2</v>
      </c>
      <c r="P329" s="22"/>
      <c r="Q329" s="13">
        <f ca="1">Q328-T329*Prices!B329</f>
        <v>0.94863015803649409</v>
      </c>
      <c r="R329" s="4">
        <f t="shared" ca="1" si="35"/>
        <v>0.12260690491672004</v>
      </c>
      <c r="S329" s="13">
        <f ca="1">IF(Prices!D328&gt;OFFSET(Prices!D328,-S$3,0),1,-1)</f>
        <v>-1</v>
      </c>
      <c r="T329" s="4">
        <f ca="1">IF(S329=1,T$3*Q328/Prices!B328,-T$3*R328)</f>
        <v>-1.3622989435191116E-2</v>
      </c>
      <c r="V329" s="13"/>
      <c r="W329" s="4"/>
      <c r="X329" s="4"/>
      <c r="Y329" s="4"/>
      <c r="Z329" s="4"/>
      <c r="AA329" s="4"/>
      <c r="AB329" s="4"/>
      <c r="AC329" s="4"/>
      <c r="AD329" s="4"/>
      <c r="AE329" s="52"/>
    </row>
    <row r="330" spans="1:31" x14ac:dyDescent="0.2">
      <c r="A330" s="7">
        <v>43674</v>
      </c>
      <c r="B330" s="13">
        <f ca="1">Prices!B329*(1+J330/(50*(ABS(O330)+ABS(T330)+0.0001)))</f>
        <v>1.1327738103529741</v>
      </c>
      <c r="C330" s="62">
        <f t="shared" ca="1" si="30"/>
        <v>0</v>
      </c>
      <c r="D330" s="13">
        <f ca="1">D329+C330*(Prices!B330-Prices!B329)/Prices!B329</f>
        <v>-3.2561885739311923E-2</v>
      </c>
      <c r="E330" s="13">
        <f t="shared" ca="1" si="31"/>
        <v>0.11484482347531089</v>
      </c>
      <c r="F330" s="13">
        <f t="shared" ca="1" si="32"/>
        <v>8.2282937735998971E-2</v>
      </c>
      <c r="G330" s="21">
        <f ca="1">IF((Prices!B330-Prices!B329)*C330&gt;0,1,0)</f>
        <v>0</v>
      </c>
      <c r="H330" s="13">
        <f>ABS(Prices!B330-Prices!B329)/Prices!B329</f>
        <v>1</v>
      </c>
      <c r="I330" s="21"/>
      <c r="J330" s="4">
        <f t="shared" ca="1" si="33"/>
        <v>-2.5638680713847398E-2</v>
      </c>
      <c r="K330" s="13"/>
      <c r="L330" s="13">
        <f ca="1">L329-O330*Prices!B330</f>
        <v>0.73602277515754255</v>
      </c>
      <c r="M330" s="4">
        <f t="shared" ca="1" si="34"/>
        <v>0.25418181422133246</v>
      </c>
      <c r="N330" s="13">
        <f ca="1">IF(Prices!B329&gt;OFFSET(Prices!B329,-$N$3,0),1,-1)</f>
        <v>-1</v>
      </c>
      <c r="O330" s="4">
        <f ca="1">IF(N330=1,O$3*L329/Prices!B329,-O$3*M329)</f>
        <v>-1.3377990222175394E-2</v>
      </c>
      <c r="P330" s="22"/>
      <c r="Q330" s="13">
        <f ca="1">Q329-T330*Prices!B330</f>
        <v>0.94863015803649409</v>
      </c>
      <c r="R330" s="4">
        <f t="shared" ca="1" si="35"/>
        <v>0.11034621442504804</v>
      </c>
      <c r="S330" s="13">
        <f ca="1">IF(Prices!D329&gt;OFFSET(Prices!D329,-S$3,0),1,-1)</f>
        <v>-1</v>
      </c>
      <c r="T330" s="4">
        <f ca="1">IF(S330=1,T$3*Q329/Prices!B329,-T$3*R329)</f>
        <v>-1.2260690491672005E-2</v>
      </c>
      <c r="V330" s="13"/>
      <c r="W330" s="4"/>
      <c r="X330" s="4"/>
      <c r="Y330" s="4"/>
      <c r="Z330" s="4"/>
      <c r="AA330" s="4"/>
      <c r="AB330" s="4"/>
      <c r="AC330" s="4"/>
      <c r="AD330" s="4"/>
      <c r="AE330" s="52"/>
    </row>
    <row r="331" spans="1:31" x14ac:dyDescent="0.2">
      <c r="A331" s="7">
        <v>43681</v>
      </c>
      <c r="B331" s="13">
        <f ca="1">Prices!B330*(1+J331/(50*(ABS(O331)+ABS(T331)+0.0001)))</f>
        <v>0</v>
      </c>
      <c r="C331" s="62">
        <f t="shared" ca="1" si="30"/>
        <v>0</v>
      </c>
      <c r="D331" s="13" t="e">
        <f ca="1">D330+C331*(Prices!B331-Prices!B330)/Prices!B330</f>
        <v>#DIV/0!</v>
      </c>
      <c r="E331" s="13" t="e">
        <f t="shared" ca="1" si="31"/>
        <v>#DIV/0!</v>
      </c>
      <c r="F331" s="13" t="e">
        <f t="shared" ca="1" si="32"/>
        <v>#DIV/0!</v>
      </c>
      <c r="G331" s="21">
        <f ca="1">IF((Prices!B331-Prices!B330)*C331&gt;0,1,0)</f>
        <v>0</v>
      </c>
      <c r="H331" s="13" t="e">
        <f>ABS(Prices!B331-Prices!B330)/Prices!B330</f>
        <v>#DIV/0!</v>
      </c>
      <c r="I331" s="21"/>
      <c r="J331" s="4">
        <f t="shared" ca="1" si="33"/>
        <v>-2.3743712153571427E-2</v>
      </c>
      <c r="K331" s="13"/>
      <c r="L331" s="13">
        <f ca="1">L330-O331*Prices!B331</f>
        <v>0.73602277515754255</v>
      </c>
      <c r="M331" s="4">
        <f t="shared" ca="1" si="34"/>
        <v>0.24147272351026583</v>
      </c>
      <c r="N331" s="13">
        <f ca="1">IF(Prices!B330&gt;OFFSET(Prices!B330,-$N$3,0),1,-1)</f>
        <v>-1</v>
      </c>
      <c r="O331" s="4">
        <f ca="1">IF(N331=1,O$3*L330/Prices!B330,-O$3*M330)</f>
        <v>-1.2709090711066623E-2</v>
      </c>
      <c r="P331" s="22"/>
      <c r="Q331" s="13">
        <f ca="1">Q330-T331*Prices!B331</f>
        <v>0.94863015803649409</v>
      </c>
      <c r="R331" s="4">
        <f t="shared" ca="1" si="35"/>
        <v>9.9311592982543231E-2</v>
      </c>
      <c r="S331" s="13">
        <f ca="1">IF(Prices!D330&gt;OFFSET(Prices!D330,-S$3,0),1,-1)</f>
        <v>-1</v>
      </c>
      <c r="T331" s="4">
        <f ca="1">IF(S331=1,T$3*Q330/Prices!B330,-T$3*R330)</f>
        <v>-1.1034621442504805E-2</v>
      </c>
      <c r="V331" s="13"/>
      <c r="W331" s="4"/>
      <c r="X331" s="4"/>
      <c r="Y331" s="4"/>
      <c r="Z331" s="4"/>
      <c r="AA331" s="4"/>
      <c r="AB331" s="4"/>
      <c r="AC331" s="4"/>
      <c r="AD331" s="4"/>
      <c r="AE331" s="52"/>
    </row>
    <row r="332" spans="1:31" x14ac:dyDescent="0.2">
      <c r="A332" s="7">
        <v>43688</v>
      </c>
      <c r="B332" s="13">
        <f ca="1">Prices!B331*(1+J332/(50*(ABS(O332)+ABS(T332)+0.0001)))</f>
        <v>0</v>
      </c>
      <c r="C332" s="62">
        <f t="shared" ca="1" si="30"/>
        <v>0</v>
      </c>
      <c r="D332" s="13" t="e">
        <f ca="1">D331+C332*(Prices!B332-Prices!B331)/Prices!B331</f>
        <v>#DIV/0!</v>
      </c>
      <c r="E332" s="13" t="e">
        <f t="shared" ca="1" si="31"/>
        <v>#DIV/0!</v>
      </c>
      <c r="F332" s="13" t="e">
        <f t="shared" ca="1" si="32"/>
        <v>#DIV/0!</v>
      </c>
      <c r="G332" s="21">
        <f ca="1">IF((Prices!B332-Prices!B331)*C332&gt;0,1,0)</f>
        <v>0</v>
      </c>
      <c r="H332" s="13" t="e">
        <f>ABS(Prices!B332-Prices!B331)/Prices!B331</f>
        <v>#DIV/0!</v>
      </c>
      <c r="I332" s="21"/>
      <c r="J332" s="4">
        <f t="shared" ca="1" si="33"/>
        <v>-2.2004795473767616E-2</v>
      </c>
      <c r="K332" s="13"/>
      <c r="L332" s="13">
        <f ca="1">L331-O332*Prices!B332</f>
        <v>0.73602277515754255</v>
      </c>
      <c r="M332" s="4">
        <f t="shared" ca="1" si="34"/>
        <v>0.22939908733475253</v>
      </c>
      <c r="N332" s="13">
        <f ca="1">IF(Prices!B331&gt;OFFSET(Prices!B331,-$N$3,0),1,-1)</f>
        <v>-1</v>
      </c>
      <c r="O332" s="4">
        <f ca="1">IF(N332=1,O$3*L331/Prices!B331,-O$3*M331)</f>
        <v>-1.2073636175513292E-2</v>
      </c>
      <c r="P332" s="22"/>
      <c r="Q332" s="13">
        <f ca="1">Q331-T332*Prices!B332</f>
        <v>0.94863015803649409</v>
      </c>
      <c r="R332" s="4">
        <f t="shared" ca="1" si="35"/>
        <v>8.9380433684288912E-2</v>
      </c>
      <c r="S332" s="13">
        <f ca="1">IF(Prices!D331&gt;OFFSET(Prices!D331,-S$3,0),1,-1)</f>
        <v>-1</v>
      </c>
      <c r="T332" s="4">
        <f ca="1">IF(S332=1,T$3*Q331/Prices!B331,-T$3*R331)</f>
        <v>-9.9311592982543242E-3</v>
      </c>
      <c r="V332" s="13"/>
      <c r="W332" s="4"/>
      <c r="X332" s="4"/>
      <c r="Y332" s="4"/>
      <c r="Z332" s="4"/>
      <c r="AA332" s="4"/>
      <c r="AB332" s="4"/>
      <c r="AC332" s="4"/>
      <c r="AD332" s="4"/>
      <c r="AE332" s="52"/>
    </row>
    <row r="333" spans="1:31" x14ac:dyDescent="0.2">
      <c r="A333" s="7">
        <v>43695</v>
      </c>
      <c r="B333" s="13">
        <f ca="1">Prices!B332*(1+J333/(50*(ABS(O333)+ABS(T333)+0.0001)))</f>
        <v>0</v>
      </c>
      <c r="C333" s="62">
        <f t="shared" ca="1" si="30"/>
        <v>0</v>
      </c>
      <c r="D333" s="13" t="e">
        <f ca="1">D332+C333*(Prices!B333-Prices!B332)/Prices!B332</f>
        <v>#DIV/0!</v>
      </c>
      <c r="E333" s="13" t="e">
        <f t="shared" ca="1" si="31"/>
        <v>#DIV/0!</v>
      </c>
      <c r="F333" s="13" t="e">
        <f t="shared" ca="1" si="32"/>
        <v>#DIV/0!</v>
      </c>
      <c r="G333" s="21">
        <f ca="1">IF((Prices!B333-Prices!B332)*C333&gt;0,1,0)</f>
        <v>0</v>
      </c>
      <c r="H333" s="13" t="e">
        <f>ABS(Prices!B333-Prices!B332)/Prices!B332</f>
        <v>#DIV/0!</v>
      </c>
      <c r="I333" s="21"/>
      <c r="J333" s="4">
        <f t="shared" ca="1" si="33"/>
        <v>-2.0407997735166519E-2</v>
      </c>
      <c r="K333" s="13"/>
      <c r="L333" s="13">
        <f ca="1">L332-O333*Prices!B333</f>
        <v>0.73602277515754255</v>
      </c>
      <c r="M333" s="4">
        <f t="shared" ca="1" si="34"/>
        <v>0.21792913296801492</v>
      </c>
      <c r="N333" s="13">
        <f ca="1">IF(Prices!B332&gt;OFFSET(Prices!B332,-$N$3,0),1,-1)</f>
        <v>-1</v>
      </c>
      <c r="O333" s="4">
        <f ca="1">IF(N333=1,O$3*L332/Prices!B332,-O$3*M332)</f>
        <v>-1.1469954366737627E-2</v>
      </c>
      <c r="P333" s="22"/>
      <c r="Q333" s="13">
        <f ca="1">Q332-T333*Prices!B333</f>
        <v>0.94863015803649409</v>
      </c>
      <c r="R333" s="4">
        <f t="shared" ca="1" si="35"/>
        <v>8.0442390315860021E-2</v>
      </c>
      <c r="S333" s="13">
        <f ca="1">IF(Prices!D332&gt;OFFSET(Prices!D332,-S$3,0),1,-1)</f>
        <v>-1</v>
      </c>
      <c r="T333" s="4">
        <f ca="1">IF(S333=1,T$3*Q332/Prices!B332,-T$3*R332)</f>
        <v>-8.9380433684288912E-3</v>
      </c>
      <c r="V333" s="13"/>
      <c r="W333" s="4"/>
      <c r="X333" s="4"/>
      <c r="Y333" s="4"/>
      <c r="Z333" s="4"/>
      <c r="AA333" s="4"/>
      <c r="AB333" s="4"/>
      <c r="AC333" s="4"/>
      <c r="AD333" s="4"/>
      <c r="AE333" s="52"/>
    </row>
    <row r="334" spans="1:31" x14ac:dyDescent="0.2">
      <c r="A334" s="7">
        <v>43702</v>
      </c>
      <c r="B334" s="13">
        <f ca="1">Prices!B333*(1+J334/(50*(ABS(O334)+ABS(T334)+0.0001)))</f>
        <v>0</v>
      </c>
      <c r="C334" s="62">
        <f t="shared" ca="1" si="30"/>
        <v>0</v>
      </c>
      <c r="D334" s="13" t="e">
        <f ca="1">D333+C334*(Prices!B334-Prices!B333)/Prices!B333</f>
        <v>#DIV/0!</v>
      </c>
      <c r="E334" s="13" t="e">
        <f t="shared" ca="1" si="31"/>
        <v>#DIV/0!</v>
      </c>
      <c r="F334" s="13" t="e">
        <f t="shared" ca="1" si="32"/>
        <v>#DIV/0!</v>
      </c>
      <c r="G334" s="21">
        <f ca="1">IF((Prices!B334-Prices!B333)*C334&gt;0,1,0)</f>
        <v>0</v>
      </c>
      <c r="H334" s="13" t="e">
        <f>ABS(Prices!B334-Prices!B333)/Prices!B333</f>
        <v>#DIV/0!</v>
      </c>
      <c r="I334" s="21"/>
      <c r="J334" s="4">
        <f t="shared" ca="1" si="33"/>
        <v>-1.8940695679986748E-2</v>
      </c>
      <c r="K334" s="13"/>
      <c r="L334" s="13">
        <f ca="1">L333-O334*Prices!B334</f>
        <v>0.73602277515754255</v>
      </c>
      <c r="M334" s="4">
        <f t="shared" ca="1" si="34"/>
        <v>0.20703267631961417</v>
      </c>
      <c r="N334" s="13">
        <f ca="1">IF(Prices!B333&gt;OFFSET(Prices!B333,-$N$3,0),1,-1)</f>
        <v>-1</v>
      </c>
      <c r="O334" s="4">
        <f ca="1">IF(N334=1,O$3*L333/Prices!B333,-O$3*M333)</f>
        <v>-1.0896456648400747E-2</v>
      </c>
      <c r="P334" s="22"/>
      <c r="Q334" s="13">
        <f ca="1">Q333-T334*Prices!B334</f>
        <v>0.94863015803649409</v>
      </c>
      <c r="R334" s="4">
        <f t="shared" ca="1" si="35"/>
        <v>7.2398151284274015E-2</v>
      </c>
      <c r="S334" s="13">
        <f ca="1">IF(Prices!D333&gt;OFFSET(Prices!D333,-S$3,0),1,-1)</f>
        <v>-1</v>
      </c>
      <c r="T334" s="4">
        <f ca="1">IF(S334=1,T$3*Q333/Prices!B333,-T$3*R333)</f>
        <v>-8.0442390315860028E-3</v>
      </c>
      <c r="V334" s="13"/>
      <c r="W334" s="4"/>
      <c r="X334" s="4"/>
      <c r="Y334" s="4"/>
      <c r="Z334" s="4"/>
      <c r="AA334" s="4"/>
      <c r="AB334" s="4"/>
      <c r="AC334" s="4"/>
      <c r="AD334" s="4"/>
      <c r="AE334" s="52"/>
    </row>
    <row r="335" spans="1:31" x14ac:dyDescent="0.2">
      <c r="A335" s="7">
        <v>43709</v>
      </c>
      <c r="B335" s="13">
        <f ca="1">Prices!B334*(1+J335/(50*(ABS(O335)+ABS(T335)+0.0001)))</f>
        <v>0</v>
      </c>
      <c r="C335" s="62">
        <f t="shared" ca="1" si="30"/>
        <v>0</v>
      </c>
      <c r="D335" s="13" t="e">
        <f ca="1">D334+C335*(Prices!B335-Prices!B334)/Prices!B334</f>
        <v>#DIV/0!</v>
      </c>
      <c r="E335" s="13" t="e">
        <f t="shared" ca="1" si="31"/>
        <v>#DIV/0!</v>
      </c>
      <c r="F335" s="13" t="e">
        <f t="shared" ca="1" si="32"/>
        <v>#DIV/0!</v>
      </c>
      <c r="G335" s="21">
        <f ca="1">IF((Prices!B335-Prices!B334)*C335&gt;0,1,0)</f>
        <v>0</v>
      </c>
      <c r="H335" s="13" t="e">
        <f>ABS(Prices!B335-Prices!B334)/Prices!B334</f>
        <v>#DIV/0!</v>
      </c>
      <c r="I335" s="21"/>
      <c r="J335" s="4">
        <f t="shared" ca="1" si="33"/>
        <v>-1.759144894440811E-2</v>
      </c>
      <c r="K335" s="13"/>
      <c r="L335" s="13">
        <f ca="1">L334-O335*Prices!B335</f>
        <v>0.73602277515754255</v>
      </c>
      <c r="M335" s="4">
        <f t="shared" ca="1" si="34"/>
        <v>0.19668104250363347</v>
      </c>
      <c r="N335" s="13">
        <f ca="1">IF(Prices!B334&gt;OFFSET(Prices!B334,-$N$3,0),1,-1)</f>
        <v>-1</v>
      </c>
      <c r="O335" s="4">
        <f ca="1">IF(N335=1,O$3*L334/Prices!B334,-O$3*M334)</f>
        <v>-1.0351633815980709E-2</v>
      </c>
      <c r="P335" s="22"/>
      <c r="Q335" s="13">
        <f ca="1">Q334-T335*Prices!B335</f>
        <v>0.94863015803649409</v>
      </c>
      <c r="R335" s="4">
        <f t="shared" ca="1" si="35"/>
        <v>6.5158336155846611E-2</v>
      </c>
      <c r="S335" s="13">
        <f ca="1">IF(Prices!D334&gt;OFFSET(Prices!D334,-S$3,0),1,-1)</f>
        <v>-1</v>
      </c>
      <c r="T335" s="4">
        <f ca="1">IF(S335=1,T$3*Q334/Prices!B334,-T$3*R334)</f>
        <v>-7.2398151284274017E-3</v>
      </c>
      <c r="V335" s="13"/>
      <c r="W335" s="4"/>
      <c r="X335" s="4"/>
      <c r="Y335" s="4"/>
      <c r="Z335" s="4"/>
      <c r="AA335" s="4"/>
      <c r="AB335" s="4"/>
      <c r="AC335" s="4"/>
      <c r="AD335" s="4"/>
      <c r="AE335" s="52"/>
    </row>
    <row r="336" spans="1:31" x14ac:dyDescent="0.2">
      <c r="A336" s="7">
        <v>43716</v>
      </c>
      <c r="B336" s="13">
        <f ca="1">Prices!B335*(1+J336/(50*(ABS(O336)+ABS(T336)+0.0001)))</f>
        <v>0</v>
      </c>
      <c r="C336" s="62">
        <f t="shared" ca="1" si="30"/>
        <v>0</v>
      </c>
      <c r="D336" s="13" t="e">
        <f ca="1">D335+C336*(Prices!B336-Prices!B335)/Prices!B335</f>
        <v>#DIV/0!</v>
      </c>
      <c r="E336" s="13" t="e">
        <f t="shared" ca="1" si="31"/>
        <v>#DIV/0!</v>
      </c>
      <c r="F336" s="13" t="e">
        <f t="shared" ca="1" si="32"/>
        <v>#DIV/0!</v>
      </c>
      <c r="G336" s="21">
        <f ca="1">IF((Prices!B336-Prices!B335)*C336&gt;0,1,0)</f>
        <v>0</v>
      </c>
      <c r="H336" s="13" t="e">
        <f>ABS(Prices!B336-Prices!B335)/Prices!B335</f>
        <v>#DIV/0!</v>
      </c>
      <c r="I336" s="21"/>
      <c r="J336" s="4">
        <f t="shared" ca="1" si="33"/>
        <v>-1.6349885740766335E-2</v>
      </c>
      <c r="K336" s="13"/>
      <c r="L336" s="13">
        <f ca="1">L335-O336*Prices!B336</f>
        <v>0.73602277515754255</v>
      </c>
      <c r="M336" s="4">
        <f t="shared" ca="1" si="34"/>
        <v>0.18684699037845179</v>
      </c>
      <c r="N336" s="13">
        <f ca="1">IF(Prices!B335&gt;OFFSET(Prices!B335,-$N$3,0),1,-1)</f>
        <v>-1</v>
      </c>
      <c r="O336" s="4">
        <f ca="1">IF(N336=1,O$3*L335/Prices!B335,-O$3*M335)</f>
        <v>-9.8340521251816734E-3</v>
      </c>
      <c r="P336" s="22"/>
      <c r="Q336" s="13">
        <f ca="1">Q335-T336*Prices!B336</f>
        <v>0.94863015803649409</v>
      </c>
      <c r="R336" s="4">
        <f t="shared" ca="1" si="35"/>
        <v>5.8642502540261945E-2</v>
      </c>
      <c r="S336" s="13">
        <f ca="1">IF(Prices!D335&gt;OFFSET(Prices!D335,-S$3,0),1,-1)</f>
        <v>-1</v>
      </c>
      <c r="T336" s="4">
        <f ca="1">IF(S336=1,T$3*Q335/Prices!B335,-T$3*R335)</f>
        <v>-6.5158336155846618E-3</v>
      </c>
      <c r="V336" s="13"/>
      <c r="W336" s="4"/>
      <c r="X336" s="4"/>
      <c r="Y336" s="4"/>
      <c r="Z336" s="4"/>
      <c r="AA336" s="4"/>
      <c r="AB336" s="4"/>
      <c r="AC336" s="4"/>
      <c r="AD336" s="4"/>
      <c r="AE336" s="52"/>
    </row>
    <row r="337" spans="1:31" x14ac:dyDescent="0.2">
      <c r="A337" s="7">
        <v>43723</v>
      </c>
      <c r="B337" s="13">
        <f ca="1">Prices!B336*(1+J337/(50*(ABS(O337)+ABS(T337)+0.0001)))</f>
        <v>0</v>
      </c>
      <c r="C337" s="62">
        <f t="shared" ca="1" si="30"/>
        <v>0</v>
      </c>
      <c r="D337" s="13" t="e">
        <f ca="1">D336+C337*(Prices!B337-Prices!B336)/Prices!B336</f>
        <v>#DIV/0!</v>
      </c>
      <c r="E337" s="13" t="e">
        <f t="shared" ca="1" si="31"/>
        <v>#DIV/0!</v>
      </c>
      <c r="F337" s="13" t="e">
        <f t="shared" ca="1" si="32"/>
        <v>#DIV/0!</v>
      </c>
      <c r="G337" s="21">
        <f ca="1">IF((Prices!B337-Prices!B336)*C337&gt;0,1,0)</f>
        <v>0</v>
      </c>
      <c r="H337" s="13" t="e">
        <f>ABS(Prices!B337-Prices!B336)/Prices!B336</f>
        <v>#DIV/0!</v>
      </c>
      <c r="I337" s="21"/>
      <c r="J337" s="4">
        <f t="shared" ca="1" si="33"/>
        <v>-1.5206599772948786E-2</v>
      </c>
      <c r="K337" s="13"/>
      <c r="L337" s="13">
        <f ca="1">L336-O337*Prices!B337</f>
        <v>0.73602277515754255</v>
      </c>
      <c r="M337" s="4">
        <f t="shared" ca="1" si="34"/>
        <v>0.17750464085952919</v>
      </c>
      <c r="N337" s="13">
        <f ca="1">IF(Prices!B336&gt;OFFSET(Prices!B336,-$N$3,0),1,-1)</f>
        <v>-1</v>
      </c>
      <c r="O337" s="4">
        <f ca="1">IF(N337=1,O$3*L336/Prices!B336,-O$3*M336)</f>
        <v>-9.3423495189225905E-3</v>
      </c>
      <c r="P337" s="22"/>
      <c r="Q337" s="13">
        <f ca="1">Q336-T337*Prices!B337</f>
        <v>0.94863015803649409</v>
      </c>
      <c r="R337" s="4">
        <f t="shared" ca="1" si="35"/>
        <v>5.2778252286235748E-2</v>
      </c>
      <c r="S337" s="13">
        <f ca="1">IF(Prices!D336&gt;OFFSET(Prices!D336,-S$3,0),1,-1)</f>
        <v>-1</v>
      </c>
      <c r="T337" s="4">
        <f ca="1">IF(S337=1,T$3*Q336/Prices!B336,-T$3*R336)</f>
        <v>-5.8642502540261947E-3</v>
      </c>
      <c r="V337" s="13"/>
      <c r="W337" s="4"/>
      <c r="X337" s="4"/>
      <c r="Y337" s="4"/>
      <c r="Z337" s="4"/>
      <c r="AA337" s="4"/>
      <c r="AB337" s="4"/>
      <c r="AC337" s="4"/>
      <c r="AD337" s="4"/>
      <c r="AE337" s="52"/>
    </row>
    <row r="338" spans="1:31" x14ac:dyDescent="0.2">
      <c r="A338" s="7">
        <v>43730</v>
      </c>
      <c r="B338" s="13">
        <f ca="1">Prices!B337*(1+J338/(50*(ABS(O338)+ABS(T338)+0.0001)))</f>
        <v>0</v>
      </c>
      <c r="C338" s="62">
        <f t="shared" ca="1" si="30"/>
        <v>0</v>
      </c>
      <c r="D338" s="13" t="e">
        <f ca="1">D337+C338*(Prices!B338-Prices!B337)/Prices!B337</f>
        <v>#DIV/0!</v>
      </c>
      <c r="E338" s="13" t="e">
        <f t="shared" ca="1" si="31"/>
        <v>#DIV/0!</v>
      </c>
      <c r="F338" s="13" t="e">
        <f t="shared" ca="1" si="32"/>
        <v>#DIV/0!</v>
      </c>
      <c r="G338" s="21">
        <f ca="1">IF((Prices!B338-Prices!B337)*C338&gt;0,1,0)</f>
        <v>0</v>
      </c>
      <c r="H338" s="13" t="e">
        <f>ABS(Prices!B338-Prices!B337)/Prices!B337</f>
        <v>#DIV/0!</v>
      </c>
      <c r="I338" s="21"/>
      <c r="J338" s="4">
        <f t="shared" ca="1" si="33"/>
        <v>-1.4153057271600034E-2</v>
      </c>
      <c r="K338" s="13"/>
      <c r="L338" s="13">
        <f ca="1">L337-O338*Prices!B338</f>
        <v>0.73602277515754255</v>
      </c>
      <c r="M338" s="4">
        <f t="shared" ca="1" si="34"/>
        <v>0.16862940881655272</v>
      </c>
      <c r="N338" s="13">
        <f ca="1">IF(Prices!B337&gt;OFFSET(Prices!B337,-$N$3,0),1,-1)</f>
        <v>-1</v>
      </c>
      <c r="O338" s="4">
        <f ca="1">IF(N338=1,O$3*L337/Prices!B337,-O$3*M337)</f>
        <v>-8.8752320429764595E-3</v>
      </c>
      <c r="P338" s="22"/>
      <c r="Q338" s="13">
        <f ca="1">Q337-T338*Prices!B338</f>
        <v>0.94863015803649409</v>
      </c>
      <c r="R338" s="4">
        <f t="shared" ca="1" si="35"/>
        <v>4.7500427057612177E-2</v>
      </c>
      <c r="S338" s="13">
        <f ca="1">IF(Prices!D337&gt;OFFSET(Prices!D337,-S$3,0),1,-1)</f>
        <v>-1</v>
      </c>
      <c r="T338" s="4">
        <f ca="1">IF(S338=1,T$3*Q337/Prices!B337,-T$3*R337)</f>
        <v>-5.2778252286235748E-3</v>
      </c>
      <c r="V338" s="13"/>
      <c r="W338" s="4"/>
      <c r="X338" s="4"/>
      <c r="Y338" s="4"/>
      <c r="Z338" s="4"/>
      <c r="AA338" s="4"/>
      <c r="AB338" s="4"/>
      <c r="AC338" s="4"/>
      <c r="AD338" s="4"/>
      <c r="AE338" s="52"/>
    </row>
    <row r="339" spans="1:31" x14ac:dyDescent="0.2">
      <c r="A339" s="7">
        <v>43737</v>
      </c>
      <c r="B339" s="13">
        <f ca="1">Prices!B338*(1+J339/(50*(ABS(O339)+ABS(T339)+0.0001)))</f>
        <v>0</v>
      </c>
      <c r="C339" s="62">
        <f t="shared" ref="C339:C402" ca="1" si="37">IF(J339&gt;0,1,IF(J339&lt;0,0,0))</f>
        <v>0</v>
      </c>
      <c r="D339" s="13" t="e">
        <f ca="1">D338+C339*(Prices!B339-Prices!B338)/Prices!B338</f>
        <v>#DIV/0!</v>
      </c>
      <c r="E339" s="13" t="e">
        <f t="shared" ref="E339:E402" ca="1" si="38">F339-D339</f>
        <v>#DIV/0!</v>
      </c>
      <c r="F339" s="13" t="e">
        <f t="shared" ref="F339:F402" ca="1" si="39">MAX(F338,D339)</f>
        <v>#DIV/0!</v>
      </c>
      <c r="G339" s="21">
        <f ca="1">IF((Prices!B339-Prices!B338)*C339&gt;0,1,0)</f>
        <v>0</v>
      </c>
      <c r="H339" s="13" t="e">
        <f>ABS(Prices!B339-Prices!B338)/Prices!B338</f>
        <v>#DIV/0!</v>
      </c>
      <c r="I339" s="21"/>
      <c r="J339" s="4">
        <f t="shared" ref="J339:J402" ca="1" si="40">O339+T339</f>
        <v>-1.3181513146588855E-2</v>
      </c>
      <c r="K339" s="13"/>
      <c r="L339" s="13">
        <f ca="1">L338-O339*Prices!B339</f>
        <v>0.73602277515754255</v>
      </c>
      <c r="M339" s="4">
        <f t="shared" ref="M339:M402" ca="1" si="41">M338+O339</f>
        <v>0.16019793837572507</v>
      </c>
      <c r="N339" s="13">
        <f ca="1">IF(Prices!B338&gt;OFFSET(Prices!B338,-$N$3,0),1,-1)</f>
        <v>-1</v>
      </c>
      <c r="O339" s="4">
        <f ca="1">IF(N339=1,O$3*L338/Prices!B338,-O$3*M338)</f>
        <v>-8.4314704408276365E-3</v>
      </c>
      <c r="P339" s="22"/>
      <c r="Q339" s="13">
        <f ca="1">Q338-T339*Prices!B339</f>
        <v>0.94863015803649409</v>
      </c>
      <c r="R339" s="4">
        <f t="shared" ref="R339:R402" ca="1" si="42">R338+T339</f>
        <v>4.275038435185096E-2</v>
      </c>
      <c r="S339" s="13">
        <f ca="1">IF(Prices!D338&gt;OFFSET(Prices!D338,-S$3,0),1,-1)</f>
        <v>-1</v>
      </c>
      <c r="T339" s="4">
        <f ca="1">IF(S339=1,T$3*Q338/Prices!B338,-T$3*R338)</f>
        <v>-4.750042705761218E-3</v>
      </c>
      <c r="V339" s="13"/>
      <c r="W339" s="4"/>
      <c r="X339" s="4"/>
      <c r="Y339" s="4"/>
      <c r="Z339" s="4"/>
      <c r="AA339" s="4"/>
      <c r="AB339" s="4"/>
      <c r="AC339" s="4"/>
      <c r="AD339" s="4"/>
      <c r="AE339" s="52"/>
    </row>
    <row r="340" spans="1:31" x14ac:dyDescent="0.2">
      <c r="A340" s="7">
        <v>43744</v>
      </c>
      <c r="B340" s="13">
        <f ca="1">Prices!B339*(1+J340/(50*(ABS(O340)+ABS(T340)+0.0001)))</f>
        <v>0</v>
      </c>
      <c r="C340" s="62">
        <f t="shared" ca="1" si="37"/>
        <v>0</v>
      </c>
      <c r="D340" s="13" t="e">
        <f ca="1">D339+C340*(Prices!B340-Prices!B339)/Prices!B339</f>
        <v>#DIV/0!</v>
      </c>
      <c r="E340" s="13" t="e">
        <f t="shared" ca="1" si="38"/>
        <v>#DIV/0!</v>
      </c>
      <c r="F340" s="13" t="e">
        <f t="shared" ca="1" si="39"/>
        <v>#DIV/0!</v>
      </c>
      <c r="G340" s="21">
        <f ca="1">IF((Prices!B340-Prices!B339)*C340&gt;0,1,0)</f>
        <v>0</v>
      </c>
      <c r="H340" s="13" t="e">
        <f>ABS(Prices!B340-Prices!B339)/Prices!B339</f>
        <v>#DIV/0!</v>
      </c>
      <c r="I340" s="21"/>
      <c r="J340" s="4">
        <f t="shared" ca="1" si="40"/>
        <v>-1.2284935353971351E-2</v>
      </c>
      <c r="K340" s="13"/>
      <c r="L340" s="13">
        <f ca="1">L339-O340*Prices!B340</f>
        <v>0.73602277515754255</v>
      </c>
      <c r="M340" s="4">
        <f t="shared" ca="1" si="41"/>
        <v>0.15218804145693882</v>
      </c>
      <c r="N340" s="13">
        <f ca="1">IF(Prices!B339&gt;OFFSET(Prices!B339,-$N$3,0),1,-1)</f>
        <v>-1</v>
      </c>
      <c r="O340" s="4">
        <f ca="1">IF(N340=1,O$3*L339/Prices!B339,-O$3*M339)</f>
        <v>-8.0098969187862544E-3</v>
      </c>
      <c r="P340" s="22"/>
      <c r="Q340" s="13">
        <f ca="1">Q339-T340*Prices!B340</f>
        <v>0.94863015803649409</v>
      </c>
      <c r="R340" s="4">
        <f t="shared" ca="1" si="42"/>
        <v>3.8475345916665862E-2</v>
      </c>
      <c r="S340" s="13">
        <f ca="1">IF(Prices!D339&gt;OFFSET(Prices!D339,-S$3,0),1,-1)</f>
        <v>-1</v>
      </c>
      <c r="T340" s="4">
        <f ca="1">IF(S340=1,T$3*Q339/Prices!B339,-T$3*R339)</f>
        <v>-4.2750384351850964E-3</v>
      </c>
      <c r="V340" s="13"/>
      <c r="W340" s="4"/>
      <c r="X340" s="4"/>
      <c r="Y340" s="4"/>
      <c r="Z340" s="4"/>
      <c r="AA340" s="4"/>
      <c r="AB340" s="4"/>
      <c r="AC340" s="4"/>
      <c r="AD340" s="4"/>
      <c r="AE340" s="52"/>
    </row>
    <row r="341" spans="1:31" x14ac:dyDescent="0.2">
      <c r="A341" s="7">
        <v>43751</v>
      </c>
      <c r="B341" s="13">
        <f ca="1">Prices!B340*(1+J341/(50*(ABS(O341)+ABS(T341)+0.0001)))</f>
        <v>0</v>
      </c>
      <c r="C341" s="62">
        <f t="shared" ca="1" si="37"/>
        <v>0</v>
      </c>
      <c r="D341" s="13" t="e">
        <f ca="1">D340+C341*(Prices!B341-Prices!B340)/Prices!B340</f>
        <v>#DIV/0!</v>
      </c>
      <c r="E341" s="13" t="e">
        <f t="shared" ca="1" si="38"/>
        <v>#DIV/0!</v>
      </c>
      <c r="F341" s="13" t="e">
        <f t="shared" ca="1" si="39"/>
        <v>#DIV/0!</v>
      </c>
      <c r="G341" s="21">
        <f ca="1">IF((Prices!B341-Prices!B340)*C341&gt;0,1,0)</f>
        <v>0</v>
      </c>
      <c r="H341" s="13" t="e">
        <f>ABS(Prices!B341-Prices!B340)/Prices!B340</f>
        <v>#DIV/0!</v>
      </c>
      <c r="I341" s="21"/>
      <c r="J341" s="4">
        <f t="shared" ca="1" si="40"/>
        <v>-1.1456936664513528E-2</v>
      </c>
      <c r="K341" s="13"/>
      <c r="L341" s="13">
        <f ca="1">L340-O341*Prices!B341</f>
        <v>0.73602277515754255</v>
      </c>
      <c r="M341" s="4">
        <f t="shared" ca="1" si="41"/>
        <v>0.14457863938409188</v>
      </c>
      <c r="N341" s="13">
        <f ca="1">IF(Prices!B340&gt;OFFSET(Prices!B340,-$N$3,0),1,-1)</f>
        <v>-1</v>
      </c>
      <c r="O341" s="4">
        <f ca="1">IF(N341=1,O$3*L340/Prices!B340,-O$3*M340)</f>
        <v>-7.6094020728469415E-3</v>
      </c>
      <c r="P341" s="22"/>
      <c r="Q341" s="13">
        <f ca="1">Q340-T341*Prices!B341</f>
        <v>0.94863015803649409</v>
      </c>
      <c r="R341" s="4">
        <f t="shared" ca="1" si="42"/>
        <v>3.4627811324999279E-2</v>
      </c>
      <c r="S341" s="13">
        <f ca="1">IF(Prices!D340&gt;OFFSET(Prices!D340,-S$3,0),1,-1)</f>
        <v>-1</v>
      </c>
      <c r="T341" s="4">
        <f ca="1">IF(S341=1,T$3*Q340/Prices!B340,-T$3*R340)</f>
        <v>-3.8475345916665865E-3</v>
      </c>
      <c r="V341" s="13"/>
      <c r="W341" s="4"/>
      <c r="X341" s="4"/>
      <c r="Y341" s="4"/>
      <c r="Z341" s="4"/>
      <c r="AA341" s="4"/>
      <c r="AB341" s="4"/>
      <c r="AC341" s="4"/>
      <c r="AD341" s="4"/>
      <c r="AE341" s="52"/>
    </row>
    <row r="342" spans="1:31" x14ac:dyDescent="0.2">
      <c r="A342" s="7">
        <v>43758</v>
      </c>
      <c r="B342" s="13">
        <f ca="1">Prices!B341*(1+J342/(50*(ABS(O342)+ABS(T342)+0.0001)))</f>
        <v>0</v>
      </c>
      <c r="C342" s="62">
        <f t="shared" ca="1" si="37"/>
        <v>0</v>
      </c>
      <c r="D342" s="13" t="e">
        <f ca="1">D341+C342*(Prices!B342-Prices!B341)/Prices!B341</f>
        <v>#DIV/0!</v>
      </c>
      <c r="E342" s="13" t="e">
        <f t="shared" ca="1" si="38"/>
        <v>#DIV/0!</v>
      </c>
      <c r="F342" s="13" t="e">
        <f t="shared" ca="1" si="39"/>
        <v>#DIV/0!</v>
      </c>
      <c r="G342" s="21">
        <f ca="1">IF((Prices!B342-Prices!B341)*C342&gt;0,1,0)</f>
        <v>0</v>
      </c>
      <c r="H342" s="13" t="e">
        <f>ABS(Prices!B342-Prices!B341)/Prices!B341</f>
        <v>#DIV/0!</v>
      </c>
      <c r="I342" s="21"/>
      <c r="J342" s="4">
        <f t="shared" ca="1" si="40"/>
        <v>-1.0691713101704522E-2</v>
      </c>
      <c r="K342" s="13"/>
      <c r="L342" s="13">
        <f ca="1">L341-O342*Prices!B342</f>
        <v>0.73602277515754255</v>
      </c>
      <c r="M342" s="4">
        <f t="shared" ca="1" si="41"/>
        <v>0.13734970741488728</v>
      </c>
      <c r="N342" s="13">
        <f ca="1">IF(Prices!B341&gt;OFFSET(Prices!B341,-$N$3,0),1,-1)</f>
        <v>-1</v>
      </c>
      <c r="O342" s="4">
        <f ca="1">IF(N342=1,O$3*L341/Prices!B341,-O$3*M341)</f>
        <v>-7.2289319692045943E-3</v>
      </c>
      <c r="P342" s="22"/>
      <c r="Q342" s="13">
        <f ca="1">Q341-T342*Prices!B342</f>
        <v>0.94863015803649409</v>
      </c>
      <c r="R342" s="4">
        <f t="shared" ca="1" si="42"/>
        <v>3.116503019249935E-2</v>
      </c>
      <c r="S342" s="13">
        <f ca="1">IF(Prices!D341&gt;OFFSET(Prices!D341,-S$3,0),1,-1)</f>
        <v>-1</v>
      </c>
      <c r="T342" s="4">
        <f ca="1">IF(S342=1,T$3*Q341/Prices!B341,-T$3*R341)</f>
        <v>-3.462781132499928E-3</v>
      </c>
      <c r="V342" s="13"/>
      <c r="W342" s="4"/>
      <c r="X342" s="4"/>
      <c r="Y342" s="4"/>
      <c r="Z342" s="4"/>
      <c r="AA342" s="4"/>
      <c r="AB342" s="4"/>
      <c r="AC342" s="4"/>
      <c r="AD342" s="4"/>
      <c r="AE342" s="52"/>
    </row>
    <row r="343" spans="1:31" x14ac:dyDescent="0.2">
      <c r="A343" s="7">
        <v>43765</v>
      </c>
      <c r="B343" s="13">
        <f ca="1">Prices!B342*(1+J343/(50*(ABS(O343)+ABS(T343)+0.0001)))</f>
        <v>0</v>
      </c>
      <c r="C343" s="62">
        <f t="shared" ca="1" si="37"/>
        <v>0</v>
      </c>
      <c r="D343" s="13" t="e">
        <f ca="1">D342+C343*(Prices!B343-Prices!B342)/Prices!B342</f>
        <v>#DIV/0!</v>
      </c>
      <c r="E343" s="13" t="e">
        <f t="shared" ca="1" si="38"/>
        <v>#DIV/0!</v>
      </c>
      <c r="F343" s="13" t="e">
        <f t="shared" ca="1" si="39"/>
        <v>#DIV/0!</v>
      </c>
      <c r="G343" s="21">
        <f ca="1">IF((Prices!B343-Prices!B342)*C343&gt;0,1,0)</f>
        <v>0</v>
      </c>
      <c r="H343" s="13" t="e">
        <f>ABS(Prices!B343-Prices!B342)/Prices!B342</f>
        <v>#DIV/0!</v>
      </c>
      <c r="I343" s="21"/>
      <c r="J343" s="4">
        <f t="shared" ca="1" si="40"/>
        <v>-9.9839883899942999E-3</v>
      </c>
      <c r="K343" s="13"/>
      <c r="L343" s="13">
        <f ca="1">L342-O343*Prices!B343</f>
        <v>0.73602277515754255</v>
      </c>
      <c r="M343" s="4">
        <f t="shared" ca="1" si="41"/>
        <v>0.13048222204414292</v>
      </c>
      <c r="N343" s="13">
        <f ca="1">IF(Prices!B342&gt;OFFSET(Prices!B342,-$N$3,0),1,-1)</f>
        <v>-1</v>
      </c>
      <c r="O343" s="4">
        <f ca="1">IF(N343=1,O$3*L342/Prices!B342,-O$3*M342)</f>
        <v>-6.8674853707443645E-3</v>
      </c>
      <c r="P343" s="22"/>
      <c r="Q343" s="13">
        <f ca="1">Q342-T343*Prices!B343</f>
        <v>0.94863015803649409</v>
      </c>
      <c r="R343" s="4">
        <f t="shared" ca="1" si="42"/>
        <v>2.8048527173249415E-2</v>
      </c>
      <c r="S343" s="13">
        <f ca="1">IF(Prices!D342&gt;OFFSET(Prices!D342,-S$3,0),1,-1)</f>
        <v>-1</v>
      </c>
      <c r="T343" s="4">
        <f ca="1">IF(S343=1,T$3*Q342/Prices!B342,-T$3*R342)</f>
        <v>-3.116503019249935E-3</v>
      </c>
      <c r="V343" s="13"/>
      <c r="W343" s="4"/>
      <c r="X343" s="4"/>
      <c r="Y343" s="4"/>
      <c r="Z343" s="4"/>
      <c r="AA343" s="4"/>
      <c r="AB343" s="4"/>
      <c r="AC343" s="4"/>
      <c r="AD343" s="4"/>
      <c r="AE343" s="52"/>
    </row>
    <row r="344" spans="1:31" x14ac:dyDescent="0.2">
      <c r="A344" s="7">
        <v>43772</v>
      </c>
      <c r="B344" s="13">
        <f ca="1">Prices!B343*(1+J344/(50*(ABS(O344)+ABS(T344)+0.0001)))</f>
        <v>0</v>
      </c>
      <c r="C344" s="62">
        <f t="shared" ca="1" si="37"/>
        <v>0</v>
      </c>
      <c r="D344" s="13" t="e">
        <f ca="1">D343+C344*(Prices!B344-Prices!B343)/Prices!B343</f>
        <v>#DIV/0!</v>
      </c>
      <c r="E344" s="13" t="e">
        <f t="shared" ca="1" si="38"/>
        <v>#DIV/0!</v>
      </c>
      <c r="F344" s="13" t="e">
        <f t="shared" ca="1" si="39"/>
        <v>#DIV/0!</v>
      </c>
      <c r="G344" s="21">
        <f ca="1">IF((Prices!B344-Prices!B343)*C344&gt;0,1,0)</f>
        <v>0</v>
      </c>
      <c r="H344" s="13" t="e">
        <f>ABS(Prices!B344-Prices!B343)/Prices!B343</f>
        <v>#DIV/0!</v>
      </c>
      <c r="I344" s="21"/>
      <c r="J344" s="4">
        <f t="shared" ca="1" si="40"/>
        <v>-9.3289638195320872E-3</v>
      </c>
      <c r="K344" s="13"/>
      <c r="L344" s="13">
        <f ca="1">L343-O344*Prices!B344</f>
        <v>0.73602277515754255</v>
      </c>
      <c r="M344" s="4">
        <f t="shared" ca="1" si="41"/>
        <v>0.12395811094193578</v>
      </c>
      <c r="N344" s="13">
        <f ca="1">IF(Prices!B343&gt;OFFSET(Prices!B343,-$N$3,0),1,-1)</f>
        <v>-1</v>
      </c>
      <c r="O344" s="4">
        <f ca="1">IF(N344=1,O$3*L343/Prices!B343,-O$3*M343)</f>
        <v>-6.5241111022071464E-3</v>
      </c>
      <c r="P344" s="22"/>
      <c r="Q344" s="13">
        <f ca="1">Q343-T344*Prices!B344</f>
        <v>0.94863015803649409</v>
      </c>
      <c r="R344" s="4">
        <f t="shared" ca="1" si="42"/>
        <v>2.5243674455924472E-2</v>
      </c>
      <c r="S344" s="13">
        <f ca="1">IF(Prices!D343&gt;OFFSET(Prices!D343,-S$3,0),1,-1)</f>
        <v>-1</v>
      </c>
      <c r="T344" s="4">
        <f ca="1">IF(S344=1,T$3*Q343/Prices!B343,-T$3*R343)</f>
        <v>-2.8048527173249417E-3</v>
      </c>
      <c r="V344" s="13"/>
      <c r="W344" s="4"/>
      <c r="X344" s="4"/>
      <c r="Y344" s="4"/>
      <c r="Z344" s="4"/>
      <c r="AA344" s="4"/>
      <c r="AB344" s="4"/>
      <c r="AC344" s="4"/>
      <c r="AD344" s="4"/>
      <c r="AE344" s="52"/>
    </row>
    <row r="345" spans="1:31" x14ac:dyDescent="0.2">
      <c r="A345" s="7">
        <v>43779</v>
      </c>
      <c r="B345" s="13">
        <f ca="1">Prices!B344*(1+J345/(50*(ABS(O345)+ABS(T345)+0.0001)))</f>
        <v>0</v>
      </c>
      <c r="C345" s="62">
        <f t="shared" ca="1" si="37"/>
        <v>0</v>
      </c>
      <c r="D345" s="13" t="e">
        <f ca="1">D344+C345*(Prices!B345-Prices!B344)/Prices!B344</f>
        <v>#DIV/0!</v>
      </c>
      <c r="E345" s="13" t="e">
        <f t="shared" ca="1" si="38"/>
        <v>#DIV/0!</v>
      </c>
      <c r="F345" s="13" t="e">
        <f t="shared" ca="1" si="39"/>
        <v>#DIV/0!</v>
      </c>
      <c r="G345" s="21">
        <f ca="1">IF((Prices!B345-Prices!B344)*C345&gt;0,1,0)</f>
        <v>0</v>
      </c>
      <c r="H345" s="13" t="e">
        <f>ABS(Prices!B345-Prices!B344)/Prices!B344</f>
        <v>#DIV/0!</v>
      </c>
      <c r="I345" s="21"/>
      <c r="J345" s="4">
        <f t="shared" ca="1" si="40"/>
        <v>-8.722272992689236E-3</v>
      </c>
      <c r="K345" s="13"/>
      <c r="L345" s="13">
        <f ca="1">L344-O345*Prices!B345</f>
        <v>0.73602277515754255</v>
      </c>
      <c r="M345" s="4">
        <f t="shared" ca="1" si="41"/>
        <v>0.11776020539483899</v>
      </c>
      <c r="N345" s="13">
        <f ca="1">IF(Prices!B344&gt;OFFSET(Prices!B344,-$N$3,0),1,-1)</f>
        <v>-1</v>
      </c>
      <c r="O345" s="4">
        <f ca="1">IF(N345=1,O$3*L344/Prices!B344,-O$3*M344)</f>
        <v>-6.197905547096789E-3</v>
      </c>
      <c r="P345" s="22"/>
      <c r="Q345" s="13">
        <f ca="1">Q344-T345*Prices!B345</f>
        <v>0.94863015803649409</v>
      </c>
      <c r="R345" s="4">
        <f t="shared" ca="1" si="42"/>
        <v>2.2719307010332025E-2</v>
      </c>
      <c r="S345" s="13">
        <f ca="1">IF(Prices!D344&gt;OFFSET(Prices!D344,-S$3,0),1,-1)</f>
        <v>-1</v>
      </c>
      <c r="T345" s="4">
        <f ca="1">IF(S345=1,T$3*Q344/Prices!B344,-T$3*R344)</f>
        <v>-2.5243674455924475E-3</v>
      </c>
      <c r="V345" s="13"/>
      <c r="W345" s="4"/>
      <c r="X345" s="4"/>
      <c r="Y345" s="4"/>
      <c r="Z345" s="4"/>
      <c r="AA345" s="4"/>
      <c r="AB345" s="4"/>
      <c r="AC345" s="4"/>
      <c r="AD345" s="4"/>
      <c r="AE345" s="52"/>
    </row>
    <row r="346" spans="1:31" x14ac:dyDescent="0.2">
      <c r="A346" s="7">
        <v>43786</v>
      </c>
      <c r="B346" s="13">
        <f ca="1">Prices!B345*(1+J346/(50*(ABS(O346)+ABS(T346)+0.0001)))</f>
        <v>0</v>
      </c>
      <c r="C346" s="62">
        <f t="shared" ca="1" si="37"/>
        <v>0</v>
      </c>
      <c r="D346" s="13" t="e">
        <f ca="1">D345+C346*(Prices!B346-Prices!B345)/Prices!B345</f>
        <v>#DIV/0!</v>
      </c>
      <c r="E346" s="13" t="e">
        <f t="shared" ca="1" si="38"/>
        <v>#DIV/0!</v>
      </c>
      <c r="F346" s="13" t="e">
        <f t="shared" ca="1" si="39"/>
        <v>#DIV/0!</v>
      </c>
      <c r="G346" s="21">
        <f ca="1">IF((Prices!B346-Prices!B345)*C346&gt;0,1,0)</f>
        <v>0</v>
      </c>
      <c r="H346" s="13" t="e">
        <f>ABS(Prices!B346-Prices!B345)/Prices!B345</f>
        <v>#DIV/0!</v>
      </c>
      <c r="I346" s="21"/>
      <c r="J346" s="4">
        <f t="shared" ca="1" si="40"/>
        <v>-8.1599409707751522E-3</v>
      </c>
      <c r="K346" s="13"/>
      <c r="L346" s="13">
        <f ca="1">L345-O346*Prices!B346</f>
        <v>0.73602277515754255</v>
      </c>
      <c r="M346" s="4">
        <f t="shared" ca="1" si="41"/>
        <v>0.11187219512509704</v>
      </c>
      <c r="N346" s="13">
        <f ca="1">IF(Prices!B345&gt;OFFSET(Prices!B345,-$N$3,0),1,-1)</f>
        <v>-1</v>
      </c>
      <c r="O346" s="4">
        <f ca="1">IF(N346=1,O$3*L345/Prices!B345,-O$3*M345)</f>
        <v>-5.8880102697419501E-3</v>
      </c>
      <c r="P346" s="22"/>
      <c r="Q346" s="13">
        <f ca="1">Q345-T346*Prices!B346</f>
        <v>0.94863015803649409</v>
      </c>
      <c r="R346" s="4">
        <f t="shared" ca="1" si="42"/>
        <v>2.0447376309298822E-2</v>
      </c>
      <c r="S346" s="13">
        <f ca="1">IF(Prices!D345&gt;OFFSET(Prices!D345,-S$3,0),1,-1)</f>
        <v>-1</v>
      </c>
      <c r="T346" s="4">
        <f ca="1">IF(S346=1,T$3*Q345/Prices!B345,-T$3*R345)</f>
        <v>-2.2719307010332025E-3</v>
      </c>
      <c r="V346" s="13"/>
      <c r="W346" s="4"/>
      <c r="X346" s="4"/>
      <c r="Y346" s="4"/>
      <c r="Z346" s="4"/>
      <c r="AA346" s="4"/>
      <c r="AB346" s="4"/>
      <c r="AC346" s="4"/>
      <c r="AD346" s="4"/>
      <c r="AE346" s="52"/>
    </row>
    <row r="347" spans="1:31" x14ac:dyDescent="0.2">
      <c r="A347" s="7">
        <v>43793</v>
      </c>
      <c r="B347" s="13">
        <f ca="1">Prices!B346*(1+J347/(50*(ABS(O347)+ABS(T347)+0.0001)))</f>
        <v>0</v>
      </c>
      <c r="C347" s="62">
        <f t="shared" ca="1" si="37"/>
        <v>0</v>
      </c>
      <c r="D347" s="13" t="e">
        <f ca="1">D346+C347*(Prices!B347-Prices!B346)/Prices!B346</f>
        <v>#DIV/0!</v>
      </c>
      <c r="E347" s="13" t="e">
        <f t="shared" ca="1" si="38"/>
        <v>#DIV/0!</v>
      </c>
      <c r="F347" s="13" t="e">
        <f t="shared" ca="1" si="39"/>
        <v>#DIV/0!</v>
      </c>
      <c r="G347" s="21">
        <f ca="1">IF((Prices!B347-Prices!B346)*C347&gt;0,1,0)</f>
        <v>0</v>
      </c>
      <c r="H347" s="13" t="e">
        <f>ABS(Prices!B347-Prices!B346)/Prices!B346</f>
        <v>#DIV/0!</v>
      </c>
      <c r="I347" s="21"/>
      <c r="J347" s="4">
        <f t="shared" ca="1" si="40"/>
        <v>-7.6383473871847341E-3</v>
      </c>
      <c r="K347" s="13"/>
      <c r="L347" s="13">
        <f ca="1">L346-O347*Prices!B347</f>
        <v>0.73602277515754255</v>
      </c>
      <c r="M347" s="4">
        <f t="shared" ca="1" si="41"/>
        <v>0.10627858536884219</v>
      </c>
      <c r="N347" s="13">
        <f ca="1">IF(Prices!B346&gt;OFFSET(Prices!B346,-$N$3,0),1,-1)</f>
        <v>-1</v>
      </c>
      <c r="O347" s="4">
        <f ca="1">IF(N347=1,O$3*L346/Prices!B346,-O$3*M346)</f>
        <v>-5.5936097562548524E-3</v>
      </c>
      <c r="P347" s="22"/>
      <c r="Q347" s="13">
        <f ca="1">Q346-T347*Prices!B347</f>
        <v>0.94863015803649409</v>
      </c>
      <c r="R347" s="4">
        <f t="shared" ca="1" si="42"/>
        <v>1.840263867836894E-2</v>
      </c>
      <c r="S347" s="13">
        <f ca="1">IF(Prices!D346&gt;OFFSET(Prices!D346,-S$3,0),1,-1)</f>
        <v>-1</v>
      </c>
      <c r="T347" s="4">
        <f ca="1">IF(S347=1,T$3*Q346/Prices!B346,-T$3*R346)</f>
        <v>-2.0447376309298822E-3</v>
      </c>
      <c r="V347" s="13"/>
      <c r="W347" s="4"/>
      <c r="X347" s="4"/>
      <c r="Y347" s="4"/>
      <c r="Z347" s="4"/>
      <c r="AA347" s="4"/>
      <c r="AB347" s="4"/>
      <c r="AC347" s="4"/>
      <c r="AD347" s="4"/>
      <c r="AE347" s="52"/>
    </row>
    <row r="348" spans="1:31" x14ac:dyDescent="0.2">
      <c r="A348" s="7">
        <v>43800</v>
      </c>
      <c r="B348" s="13">
        <f ca="1">Prices!B347*(1+J348/(50*(ABS(O348)+ABS(T348)+0.0001)))</f>
        <v>0</v>
      </c>
      <c r="C348" s="62">
        <f t="shared" ca="1" si="37"/>
        <v>0</v>
      </c>
      <c r="D348" s="13" t="e">
        <f ca="1">D347+C348*(Prices!B348-Prices!B347)/Prices!B347</f>
        <v>#DIV/0!</v>
      </c>
      <c r="E348" s="13" t="e">
        <f t="shared" ca="1" si="38"/>
        <v>#DIV/0!</v>
      </c>
      <c r="F348" s="13" t="e">
        <f t="shared" ca="1" si="39"/>
        <v>#DIV/0!</v>
      </c>
      <c r="G348" s="21">
        <f ca="1">IF((Prices!B348-Prices!B347)*C348&gt;0,1,0)</f>
        <v>0</v>
      </c>
      <c r="H348" s="13" t="e">
        <f>ABS(Prices!B348-Prices!B347)/Prices!B347</f>
        <v>#DIV/0!</v>
      </c>
      <c r="I348" s="21"/>
      <c r="J348" s="4">
        <f t="shared" ca="1" si="40"/>
        <v>-7.1541931362790042E-3</v>
      </c>
      <c r="K348" s="13"/>
      <c r="L348" s="13">
        <f ca="1">L347-O348*Prices!B348</f>
        <v>0.73602277515754255</v>
      </c>
      <c r="M348" s="4">
        <f t="shared" ca="1" si="41"/>
        <v>0.10096465610040008</v>
      </c>
      <c r="N348" s="13">
        <f ca="1">IF(Prices!B347&gt;OFFSET(Prices!B347,-$N$3,0),1,-1)</f>
        <v>-1</v>
      </c>
      <c r="O348" s="4">
        <f ca="1">IF(N348=1,O$3*L347/Prices!B347,-O$3*M347)</f>
        <v>-5.3139292684421099E-3</v>
      </c>
      <c r="P348" s="22"/>
      <c r="Q348" s="13">
        <f ca="1">Q347-T348*Prices!B348</f>
        <v>0.94863015803649409</v>
      </c>
      <c r="R348" s="4">
        <f t="shared" ca="1" si="42"/>
        <v>1.6562374810532045E-2</v>
      </c>
      <c r="S348" s="13">
        <f ca="1">IF(Prices!D347&gt;OFFSET(Prices!D347,-S$3,0),1,-1)</f>
        <v>-1</v>
      </c>
      <c r="T348" s="4">
        <f ca="1">IF(S348=1,T$3*Q347/Prices!B347,-T$3*R347)</f>
        <v>-1.8402638678368941E-3</v>
      </c>
      <c r="V348" s="13"/>
      <c r="W348" s="4"/>
      <c r="X348" s="4"/>
      <c r="Y348" s="4"/>
      <c r="Z348" s="4"/>
      <c r="AA348" s="4"/>
      <c r="AB348" s="4"/>
      <c r="AC348" s="4"/>
      <c r="AD348" s="4"/>
      <c r="AE348" s="52"/>
    </row>
    <row r="349" spans="1:31" x14ac:dyDescent="0.2">
      <c r="A349" s="7">
        <v>43807</v>
      </c>
      <c r="B349" s="13">
        <f ca="1">Prices!B348*(1+J349/(50*(ABS(O349)+ABS(T349)+0.0001)))</f>
        <v>0</v>
      </c>
      <c r="C349" s="62">
        <f t="shared" ca="1" si="37"/>
        <v>0</v>
      </c>
      <c r="D349" s="13" t="e">
        <f ca="1">D348+C349*(Prices!B349-Prices!B348)/Prices!B348</f>
        <v>#DIV/0!</v>
      </c>
      <c r="E349" s="13" t="e">
        <f t="shared" ca="1" si="38"/>
        <v>#DIV/0!</v>
      </c>
      <c r="F349" s="13" t="e">
        <f t="shared" ca="1" si="39"/>
        <v>#DIV/0!</v>
      </c>
      <c r="G349" s="21">
        <f ca="1">IF((Prices!B349-Prices!B348)*C349&gt;0,1,0)</f>
        <v>0</v>
      </c>
      <c r="H349" s="13" t="e">
        <f>ABS(Prices!B349-Prices!B348)/Prices!B348</f>
        <v>#DIV/0!</v>
      </c>
      <c r="I349" s="21"/>
      <c r="J349" s="4">
        <f t="shared" ca="1" si="40"/>
        <v>-6.7044702860732091E-3</v>
      </c>
      <c r="K349" s="13"/>
      <c r="L349" s="13">
        <f ca="1">L348-O349*Prices!B349</f>
        <v>0.73602277515754255</v>
      </c>
      <c r="M349" s="4">
        <f t="shared" ca="1" si="41"/>
        <v>9.5916423295380068E-2</v>
      </c>
      <c r="N349" s="13">
        <f ca="1">IF(Prices!B348&gt;OFFSET(Prices!B348,-$N$3,0),1,-1)</f>
        <v>-1</v>
      </c>
      <c r="O349" s="4">
        <f ca="1">IF(N349=1,O$3*L348/Prices!B348,-O$3*M348)</f>
        <v>-5.0482328050200044E-3</v>
      </c>
      <c r="P349" s="22"/>
      <c r="Q349" s="13">
        <f ca="1">Q348-T349*Prices!B349</f>
        <v>0.94863015803649409</v>
      </c>
      <c r="R349" s="4">
        <f t="shared" ca="1" si="42"/>
        <v>1.490613732947884E-2</v>
      </c>
      <c r="S349" s="13">
        <f ca="1">IF(Prices!D348&gt;OFFSET(Prices!D348,-S$3,0),1,-1)</f>
        <v>-1</v>
      </c>
      <c r="T349" s="4">
        <f ca="1">IF(S349=1,T$3*Q348/Prices!B348,-T$3*R348)</f>
        <v>-1.6562374810532047E-3</v>
      </c>
      <c r="V349" s="13"/>
      <c r="W349" s="4"/>
      <c r="X349" s="4"/>
      <c r="Y349" s="4"/>
      <c r="Z349" s="4"/>
      <c r="AA349" s="4"/>
      <c r="AB349" s="4"/>
      <c r="AC349" s="4"/>
      <c r="AD349" s="4"/>
      <c r="AE349" s="52"/>
    </row>
    <row r="350" spans="1:31" x14ac:dyDescent="0.2">
      <c r="A350" s="7">
        <v>43814</v>
      </c>
      <c r="B350" s="13">
        <f ca="1">Prices!B349*(1+J350/(50*(ABS(O350)+ABS(T350)+0.0001)))</f>
        <v>0</v>
      </c>
      <c r="C350" s="62">
        <f t="shared" ca="1" si="37"/>
        <v>0</v>
      </c>
      <c r="D350" s="13" t="e">
        <f ca="1">D349+C350*(Prices!B350-Prices!B349)/Prices!B349</f>
        <v>#DIV/0!</v>
      </c>
      <c r="E350" s="13" t="e">
        <f t="shared" ca="1" si="38"/>
        <v>#DIV/0!</v>
      </c>
      <c r="F350" s="13" t="e">
        <f t="shared" ca="1" si="39"/>
        <v>#DIV/0!</v>
      </c>
      <c r="G350" s="21">
        <f ca="1">IF((Prices!B350-Prices!B349)*C350&gt;0,1,0)</f>
        <v>0</v>
      </c>
      <c r="H350" s="13" t="e">
        <f>ABS(Prices!B350-Prices!B349)/Prices!B349</f>
        <v>#DIV/0!</v>
      </c>
      <c r="I350" s="21"/>
      <c r="J350" s="4">
        <f t="shared" ca="1" si="40"/>
        <v>-6.2864348977168874E-3</v>
      </c>
      <c r="K350" s="13"/>
      <c r="L350" s="13">
        <f ca="1">L349-O350*Prices!B350</f>
        <v>0.73602277515754255</v>
      </c>
      <c r="M350" s="4">
        <f t="shared" ca="1" si="41"/>
        <v>9.1120602130611059E-2</v>
      </c>
      <c r="N350" s="13">
        <f ca="1">IF(Prices!B349&gt;OFFSET(Prices!B349,-$N$3,0),1,-1)</f>
        <v>-1</v>
      </c>
      <c r="O350" s="4">
        <f ca="1">IF(N350=1,O$3*L349/Prices!B349,-O$3*M349)</f>
        <v>-4.7958211647690036E-3</v>
      </c>
      <c r="P350" s="22"/>
      <c r="Q350" s="13">
        <f ca="1">Q349-T350*Prices!B350</f>
        <v>0.94863015803649409</v>
      </c>
      <c r="R350" s="4">
        <f t="shared" ca="1" si="42"/>
        <v>1.3415523596530955E-2</v>
      </c>
      <c r="S350" s="13">
        <f ca="1">IF(Prices!D349&gt;OFFSET(Prices!D349,-S$3,0),1,-1)</f>
        <v>-1</v>
      </c>
      <c r="T350" s="4">
        <f ca="1">IF(S350=1,T$3*Q349/Prices!B349,-T$3*R349)</f>
        <v>-1.490613732947884E-3</v>
      </c>
      <c r="V350" s="13"/>
      <c r="W350" s="4"/>
      <c r="X350" s="4"/>
      <c r="Y350" s="4"/>
      <c r="Z350" s="4"/>
      <c r="AA350" s="4"/>
      <c r="AB350" s="4"/>
      <c r="AC350" s="4"/>
      <c r="AD350" s="4"/>
      <c r="AE350" s="52"/>
    </row>
    <row r="351" spans="1:31" x14ac:dyDescent="0.2">
      <c r="A351" s="7">
        <v>43821</v>
      </c>
      <c r="B351" s="13">
        <f ca="1">Prices!B350*(1+J351/(50*(ABS(O351)+ABS(T351)+0.0001)))</f>
        <v>0</v>
      </c>
      <c r="C351" s="62">
        <f t="shared" ca="1" si="37"/>
        <v>0</v>
      </c>
      <c r="D351" s="13" t="e">
        <f ca="1">D350+C351*(Prices!B351-Prices!B350)/Prices!B350</f>
        <v>#DIV/0!</v>
      </c>
      <c r="E351" s="13" t="e">
        <f t="shared" ca="1" si="38"/>
        <v>#DIV/0!</v>
      </c>
      <c r="F351" s="13" t="e">
        <f t="shared" ca="1" si="39"/>
        <v>#DIV/0!</v>
      </c>
      <c r="G351" s="21">
        <f ca="1">IF((Prices!B351-Prices!B350)*C351&gt;0,1,0)</f>
        <v>0</v>
      </c>
      <c r="H351" s="13" t="e">
        <f>ABS(Prices!B351-Prices!B350)/Prices!B350</f>
        <v>#DIV/0!</v>
      </c>
      <c r="I351" s="21"/>
      <c r="J351" s="4">
        <f t="shared" ca="1" si="40"/>
        <v>-5.8975824661836491E-3</v>
      </c>
      <c r="K351" s="13"/>
      <c r="L351" s="13">
        <f ca="1">L350-O351*Prices!B351</f>
        <v>0.73602277515754255</v>
      </c>
      <c r="M351" s="4">
        <f t="shared" ca="1" si="41"/>
        <v>8.6564572024080508E-2</v>
      </c>
      <c r="N351" s="13">
        <f ca="1">IF(Prices!B350&gt;OFFSET(Prices!B350,-$N$3,0),1,-1)</f>
        <v>-1</v>
      </c>
      <c r="O351" s="4">
        <f ca="1">IF(N351=1,O$3*L350/Prices!B350,-O$3*M350)</f>
        <v>-4.5560301065305535E-3</v>
      </c>
      <c r="P351" s="22"/>
      <c r="Q351" s="13">
        <f ca="1">Q350-T351*Prices!B351</f>
        <v>0.94863015803649409</v>
      </c>
      <c r="R351" s="4">
        <f t="shared" ca="1" si="42"/>
        <v>1.207397123687786E-2</v>
      </c>
      <c r="S351" s="13">
        <f ca="1">IF(Prices!D350&gt;OFFSET(Prices!D350,-S$3,0),1,-1)</f>
        <v>-1</v>
      </c>
      <c r="T351" s="4">
        <f ca="1">IF(S351=1,T$3*Q350/Prices!B350,-T$3*R350)</f>
        <v>-1.3415523596530957E-3</v>
      </c>
      <c r="V351" s="13"/>
      <c r="W351" s="4"/>
      <c r="X351" s="4"/>
      <c r="Y351" s="4"/>
      <c r="Z351" s="4"/>
      <c r="AA351" s="4"/>
      <c r="AB351" s="4"/>
      <c r="AC351" s="4"/>
      <c r="AD351" s="4"/>
      <c r="AE351" s="52"/>
    </row>
    <row r="352" spans="1:31" x14ac:dyDescent="0.2">
      <c r="A352" s="7">
        <v>43828</v>
      </c>
      <c r="B352" s="13">
        <f ca="1">Prices!B351*(1+J352/(50*(ABS(O352)+ABS(T352)+0.0001)))</f>
        <v>0</v>
      </c>
      <c r="C352" s="62">
        <f t="shared" ca="1" si="37"/>
        <v>0</v>
      </c>
      <c r="D352" s="13" t="e">
        <f ca="1">D351+C352*(Prices!B352-Prices!B351)/Prices!B351</f>
        <v>#DIV/0!</v>
      </c>
      <c r="E352" s="13" t="e">
        <f t="shared" ca="1" si="38"/>
        <v>#DIV/0!</v>
      </c>
      <c r="F352" s="13" t="e">
        <f t="shared" ca="1" si="39"/>
        <v>#DIV/0!</v>
      </c>
      <c r="G352" s="21">
        <f ca="1">IF((Prices!B352-Prices!B351)*C352&gt;0,1,0)</f>
        <v>0</v>
      </c>
      <c r="H352" s="13" t="e">
        <f>ABS(Prices!B352-Prices!B351)/Prices!B351</f>
        <v>#DIV/0!</v>
      </c>
      <c r="I352" s="21"/>
      <c r="J352" s="4">
        <f t="shared" ca="1" si="40"/>
        <v>-5.5356257248918121E-3</v>
      </c>
      <c r="K352" s="13"/>
      <c r="L352" s="13">
        <f ca="1">L351-O352*Prices!B352</f>
        <v>0.73602277515754255</v>
      </c>
      <c r="M352" s="4">
        <f t="shared" ca="1" si="41"/>
        <v>8.2236343422876487E-2</v>
      </c>
      <c r="N352" s="13">
        <f ca="1">IF(Prices!B351&gt;OFFSET(Prices!B351,-$N$3,0),1,-1)</f>
        <v>-1</v>
      </c>
      <c r="O352" s="4">
        <f ca="1">IF(N352=1,O$3*L351/Prices!B351,-O$3*M351)</f>
        <v>-4.3282286012040257E-3</v>
      </c>
      <c r="P352" s="22"/>
      <c r="Q352" s="13">
        <f ca="1">Q351-T352*Prices!B352</f>
        <v>0.94863015803649409</v>
      </c>
      <c r="R352" s="4">
        <f t="shared" ca="1" si="42"/>
        <v>1.0866574113190074E-2</v>
      </c>
      <c r="S352" s="13">
        <f ca="1">IF(Prices!D351&gt;OFFSET(Prices!D351,-S$3,0),1,-1)</f>
        <v>-1</v>
      </c>
      <c r="T352" s="4">
        <f ca="1">IF(S352=1,T$3*Q351/Prices!B351,-T$3*R351)</f>
        <v>-1.2073971236877862E-3</v>
      </c>
      <c r="V352" s="13"/>
      <c r="W352" s="4"/>
      <c r="X352" s="4"/>
      <c r="Y352" s="4"/>
      <c r="Z352" s="4"/>
      <c r="AA352" s="4"/>
      <c r="AB352" s="4"/>
      <c r="AC352" s="4"/>
      <c r="AD352" s="4"/>
      <c r="AE352" s="52"/>
    </row>
    <row r="353" spans="1:31" x14ac:dyDescent="0.2">
      <c r="A353" s="7">
        <v>43835</v>
      </c>
      <c r="B353" s="13">
        <f ca="1">Prices!B352*(1+J353/(50*(ABS(O353)+ABS(T353)+0.0001)))</f>
        <v>0</v>
      </c>
      <c r="C353" s="62">
        <f t="shared" ca="1" si="37"/>
        <v>0</v>
      </c>
      <c r="D353" s="13" t="e">
        <f ca="1">D352+C353*(Prices!B353-Prices!B352)/Prices!B352</f>
        <v>#DIV/0!</v>
      </c>
      <c r="E353" s="13" t="e">
        <f t="shared" ca="1" si="38"/>
        <v>#DIV/0!</v>
      </c>
      <c r="F353" s="13" t="e">
        <f t="shared" ca="1" si="39"/>
        <v>#DIV/0!</v>
      </c>
      <c r="G353" s="21">
        <f ca="1">IF((Prices!B353-Prices!B352)*C353&gt;0,1,0)</f>
        <v>0</v>
      </c>
      <c r="H353" s="13" t="e">
        <f>ABS(Prices!B353-Prices!B352)/Prices!B352</f>
        <v>#DIV/0!</v>
      </c>
      <c r="I353" s="21"/>
      <c r="J353" s="4">
        <f t="shared" ca="1" si="40"/>
        <v>-5.1984745824628312E-3</v>
      </c>
      <c r="K353" s="13"/>
      <c r="L353" s="13">
        <f ca="1">L352-O353*Prices!B353</f>
        <v>0.73602277515754255</v>
      </c>
      <c r="M353" s="4">
        <f t="shared" ca="1" si="41"/>
        <v>7.8124526251732662E-2</v>
      </c>
      <c r="N353" s="13">
        <f ca="1">IF(Prices!B352&gt;OFFSET(Prices!B352,-$N$3,0),1,-1)</f>
        <v>-1</v>
      </c>
      <c r="O353" s="4">
        <f ca="1">IF(N353=1,O$3*L352/Prices!B352,-O$3*M352)</f>
        <v>-4.1118171711438242E-3</v>
      </c>
      <c r="P353" s="22"/>
      <c r="Q353" s="13">
        <f ca="1">Q352-T353*Prices!B353</f>
        <v>0.94863015803649409</v>
      </c>
      <c r="R353" s="4">
        <f t="shared" ca="1" si="42"/>
        <v>9.7799167018710661E-3</v>
      </c>
      <c r="S353" s="13">
        <f ca="1">IF(Prices!D352&gt;OFFSET(Prices!D352,-S$3,0),1,-1)</f>
        <v>-1</v>
      </c>
      <c r="T353" s="4">
        <f ca="1">IF(S353=1,T$3*Q352/Prices!B352,-T$3*R352)</f>
        <v>-1.0866574113190075E-3</v>
      </c>
      <c r="V353" s="13"/>
      <c r="W353" s="4"/>
      <c r="X353" s="4"/>
      <c r="Y353" s="4"/>
      <c r="Z353" s="4"/>
      <c r="AA353" s="4"/>
      <c r="AB353" s="4"/>
      <c r="AC353" s="4"/>
      <c r="AD353" s="4"/>
      <c r="AE353" s="52"/>
    </row>
    <row r="354" spans="1:31" x14ac:dyDescent="0.2">
      <c r="A354" s="7">
        <v>43842</v>
      </c>
      <c r="B354" s="13">
        <f ca="1">Prices!B353*(1+J354/(50*(ABS(O354)+ABS(T354)+0.0001)))</f>
        <v>0</v>
      </c>
      <c r="C354" s="62">
        <f t="shared" ca="1" si="37"/>
        <v>0</v>
      </c>
      <c r="D354" s="13" t="e">
        <f ca="1">D353+C354*(Prices!B354-Prices!B353)/Prices!B353</f>
        <v>#DIV/0!</v>
      </c>
      <c r="E354" s="13" t="e">
        <f t="shared" ca="1" si="38"/>
        <v>#DIV/0!</v>
      </c>
      <c r="F354" s="13" t="e">
        <f t="shared" ca="1" si="39"/>
        <v>#DIV/0!</v>
      </c>
      <c r="G354" s="21">
        <f ca="1">IF((Prices!B354-Prices!B353)*C354&gt;0,1,0)</f>
        <v>0</v>
      </c>
      <c r="H354" s="13" t="e">
        <f>ABS(Prices!B354-Prices!B353)/Prices!B353</f>
        <v>#DIV/0!</v>
      </c>
      <c r="I354" s="21"/>
      <c r="J354" s="4">
        <f t="shared" ca="1" si="40"/>
        <v>-4.8842179827737397E-3</v>
      </c>
      <c r="K354" s="13"/>
      <c r="L354" s="13">
        <f ca="1">L353-O354*Prices!B354</f>
        <v>0.73602277515754255</v>
      </c>
      <c r="M354" s="4">
        <f t="shared" ca="1" si="41"/>
        <v>7.4218299939146026E-2</v>
      </c>
      <c r="N354" s="13">
        <f ca="1">IF(Prices!B353&gt;OFFSET(Prices!B353,-$N$3,0),1,-1)</f>
        <v>-1</v>
      </c>
      <c r="O354" s="4">
        <f ca="1">IF(N354=1,O$3*L353/Prices!B353,-O$3*M353)</f>
        <v>-3.9062263125866333E-3</v>
      </c>
      <c r="P354" s="22"/>
      <c r="Q354" s="13">
        <f ca="1">Q353-T354*Prices!B354</f>
        <v>0.94863015803649409</v>
      </c>
      <c r="R354" s="4">
        <f t="shared" ca="1" si="42"/>
        <v>8.8019250316839596E-3</v>
      </c>
      <c r="S354" s="13">
        <f ca="1">IF(Prices!D353&gt;OFFSET(Prices!D353,-S$3,0),1,-1)</f>
        <v>-1</v>
      </c>
      <c r="T354" s="4">
        <f ca="1">IF(S354=1,T$3*Q353/Prices!B353,-T$3*R353)</f>
        <v>-9.7799167018710665E-4</v>
      </c>
      <c r="V354" s="13"/>
      <c r="W354" s="4"/>
      <c r="X354" s="4"/>
      <c r="Y354" s="4"/>
      <c r="Z354" s="4"/>
      <c r="AA354" s="4"/>
      <c r="AB354" s="4"/>
      <c r="AC354" s="4"/>
      <c r="AD354" s="4"/>
      <c r="AE354" s="52"/>
    </row>
    <row r="355" spans="1:31" x14ac:dyDescent="0.2">
      <c r="A355" s="7">
        <v>43849</v>
      </c>
      <c r="B355" s="13">
        <f ca="1">Prices!B354*(1+J355/(50*(ABS(O355)+ABS(T355)+0.0001)))</f>
        <v>0</v>
      </c>
      <c r="C355" s="62">
        <f t="shared" ca="1" si="37"/>
        <v>0</v>
      </c>
      <c r="D355" s="13" t="e">
        <f ca="1">D354+C355*(Prices!B355-Prices!B354)/Prices!B354</f>
        <v>#DIV/0!</v>
      </c>
      <c r="E355" s="13" t="e">
        <f t="shared" ca="1" si="38"/>
        <v>#DIV/0!</v>
      </c>
      <c r="F355" s="13" t="e">
        <f t="shared" ca="1" si="39"/>
        <v>#DIV/0!</v>
      </c>
      <c r="G355" s="21">
        <f ca="1">IF((Prices!B355-Prices!B354)*C355&gt;0,1,0)</f>
        <v>0</v>
      </c>
      <c r="H355" s="13" t="e">
        <f>ABS(Prices!B355-Prices!B354)/Prices!B354</f>
        <v>#DIV/0!</v>
      </c>
      <c r="I355" s="21"/>
      <c r="J355" s="4">
        <f t="shared" ca="1" si="40"/>
        <v>-4.5911075001256975E-3</v>
      </c>
      <c r="K355" s="13"/>
      <c r="L355" s="13">
        <f ca="1">L354-O355*Prices!B355</f>
        <v>0.73602277515754255</v>
      </c>
      <c r="M355" s="4">
        <f t="shared" ca="1" si="41"/>
        <v>7.0507384942188722E-2</v>
      </c>
      <c r="N355" s="13">
        <f ca="1">IF(Prices!B354&gt;OFFSET(Prices!B354,-$N$3,0),1,-1)</f>
        <v>-1</v>
      </c>
      <c r="O355" s="4">
        <f ca="1">IF(N355=1,O$3*L354/Prices!B354,-O$3*M354)</f>
        <v>-3.7109149969573015E-3</v>
      </c>
      <c r="P355" s="22"/>
      <c r="Q355" s="13">
        <f ca="1">Q354-T355*Prices!B355</f>
        <v>0.94863015803649409</v>
      </c>
      <c r="R355" s="4">
        <f t="shared" ca="1" si="42"/>
        <v>7.9217325285155637E-3</v>
      </c>
      <c r="S355" s="13">
        <f ca="1">IF(Prices!D354&gt;OFFSET(Prices!D354,-S$3,0),1,-1)</f>
        <v>-1</v>
      </c>
      <c r="T355" s="4">
        <f ca="1">IF(S355=1,T$3*Q354/Prices!B354,-T$3*R354)</f>
        <v>-8.8019250316839596E-4</v>
      </c>
      <c r="V355" s="13"/>
      <c r="W355" s="4"/>
      <c r="X355" s="4"/>
      <c r="Y355" s="4"/>
      <c r="Z355" s="4"/>
      <c r="AA355" s="4"/>
      <c r="AB355" s="4"/>
      <c r="AC355" s="4"/>
      <c r="AD355" s="4"/>
      <c r="AE355" s="52"/>
    </row>
    <row r="356" spans="1:31" x14ac:dyDescent="0.2">
      <c r="A356" s="58">
        <v>43856</v>
      </c>
      <c r="B356" s="13">
        <f ca="1">Prices!B355*(1+J356/(50*(ABS(O356)+ABS(T356)+0.0001)))</f>
        <v>0</v>
      </c>
      <c r="C356" s="62">
        <f t="shared" ca="1" si="37"/>
        <v>0</v>
      </c>
      <c r="D356" s="13" t="e">
        <f ca="1">D355+C356*(Prices!B356-Prices!B355)/Prices!B355</f>
        <v>#DIV/0!</v>
      </c>
      <c r="E356" s="13" t="e">
        <f t="shared" ca="1" si="38"/>
        <v>#DIV/0!</v>
      </c>
      <c r="F356" s="13" t="e">
        <f t="shared" ca="1" si="39"/>
        <v>#DIV/0!</v>
      </c>
      <c r="G356" s="21">
        <f ca="1">IF((Prices!B356-Prices!B355)*C356&gt;0,1,0)</f>
        <v>0</v>
      </c>
      <c r="H356" s="13" t="e">
        <f>ABS(Prices!B356-Prices!B355)/Prices!B355</f>
        <v>#DIV/0!</v>
      </c>
      <c r="I356" s="21"/>
      <c r="J356" s="4">
        <f t="shared" ca="1" si="40"/>
        <v>-4.3175424999609925E-3</v>
      </c>
      <c r="K356" s="13"/>
      <c r="L356" s="13">
        <f ca="1">L355-O356*Prices!B356</f>
        <v>0.73602277515754255</v>
      </c>
      <c r="M356" s="4">
        <f t="shared" ca="1" si="41"/>
        <v>6.6982015695079292E-2</v>
      </c>
      <c r="N356" s="13">
        <f ca="1">IF(Prices!B355&gt;OFFSET(Prices!B355,-$N$3,0),1,-1)</f>
        <v>-1</v>
      </c>
      <c r="O356" s="4">
        <f ca="1">IF(N356=1,O$3*L355/Prices!B355,-O$3*M355)</f>
        <v>-3.5253692471094362E-3</v>
      </c>
      <c r="P356" s="22"/>
      <c r="Q356" s="13">
        <f ca="1">Q355-T356*Prices!B356</f>
        <v>0.94863015803649409</v>
      </c>
      <c r="R356" s="4">
        <f t="shared" ca="1" si="42"/>
        <v>7.129559275664007E-3</v>
      </c>
      <c r="S356" s="13">
        <f ca="1">IF(Prices!D355&gt;OFFSET(Prices!D355,-S$3,0),1,-1)</f>
        <v>-1</v>
      </c>
      <c r="T356" s="4">
        <f ca="1">IF(S356=1,T$3*Q355/Prices!B355,-T$3*R355)</f>
        <v>-7.9217325285155639E-4</v>
      </c>
      <c r="V356" s="13"/>
      <c r="W356" s="4"/>
      <c r="X356" s="4"/>
      <c r="Y356" s="4"/>
      <c r="Z356" s="4"/>
      <c r="AA356" s="4"/>
      <c r="AB356" s="4"/>
      <c r="AC356" s="4"/>
      <c r="AD356" s="4"/>
      <c r="AE356" s="52"/>
    </row>
    <row r="357" spans="1:31" x14ac:dyDescent="0.2">
      <c r="A357" s="58">
        <v>43863</v>
      </c>
      <c r="B357" s="13">
        <f ca="1">Prices!B356*(1+J357/(50*(ABS(O357)+ABS(T357)+0.0001)))</f>
        <v>0</v>
      </c>
      <c r="C357" s="62">
        <f t="shared" ca="1" si="37"/>
        <v>0</v>
      </c>
      <c r="D357" s="13" t="e">
        <f ca="1">D356+C357*(Prices!B357-Prices!B356)/Prices!B356</f>
        <v>#DIV/0!</v>
      </c>
      <c r="E357" s="13" t="e">
        <f t="shared" ca="1" si="38"/>
        <v>#DIV/0!</v>
      </c>
      <c r="F357" s="13" t="e">
        <f t="shared" ca="1" si="39"/>
        <v>#DIV/0!</v>
      </c>
      <c r="G357" s="21">
        <f ca="1">IF((Prices!B357-Prices!B356)*C357&gt;0,1,0)</f>
        <v>0</v>
      </c>
      <c r="H357" s="13" t="e">
        <f>ABS(Prices!B357-Prices!B356)/Prices!B356</f>
        <v>#DIV/0!</v>
      </c>
      <c r="I357" s="21"/>
      <c r="J357" s="4">
        <f t="shared" ca="1" si="40"/>
        <v>-4.0620567123203655E-3</v>
      </c>
      <c r="K357" s="13"/>
      <c r="L357" s="13">
        <f ca="1">L356-O357*Prices!B357</f>
        <v>0.73602277515754255</v>
      </c>
      <c r="M357" s="4">
        <f t="shared" ca="1" si="41"/>
        <v>6.3632914910325328E-2</v>
      </c>
      <c r="N357" s="13">
        <f ca="1">IF(Prices!B356&gt;OFFSET(Prices!B356,-$N$3,0),1,-1)</f>
        <v>-1</v>
      </c>
      <c r="O357" s="4">
        <f ca="1">IF(N357=1,O$3*L356/Prices!B356,-O$3*M356)</f>
        <v>-3.3491007847539648E-3</v>
      </c>
      <c r="P357" s="22"/>
      <c r="Q357" s="13">
        <f ca="1">Q356-T357*Prices!B357</f>
        <v>0.94863015803649409</v>
      </c>
      <c r="R357" s="4">
        <f t="shared" ca="1" si="42"/>
        <v>6.4166033480976062E-3</v>
      </c>
      <c r="S357" s="13">
        <f ca="1">IF(Prices!D356&gt;OFFSET(Prices!D356,-S$3,0),1,-1)</f>
        <v>-1</v>
      </c>
      <c r="T357" s="4">
        <f ca="1">IF(S357=1,T$3*Q356/Prices!B356,-T$3*R356)</f>
        <v>-7.1295592756640078E-4</v>
      </c>
      <c r="V357" s="13"/>
      <c r="W357" s="4"/>
      <c r="X357" s="4"/>
      <c r="Y357" s="4"/>
      <c r="Z357" s="4"/>
      <c r="AA357" s="4"/>
      <c r="AB357" s="4"/>
      <c r="AC357" s="4"/>
      <c r="AD357" s="4"/>
      <c r="AE357" s="52"/>
    </row>
    <row r="358" spans="1:31" x14ac:dyDescent="0.2">
      <c r="A358" s="7">
        <v>43870</v>
      </c>
      <c r="B358" s="13">
        <f ca="1">Prices!B357*(1+J358/(50*(ABS(O358)+ABS(T358)+0.0001)))</f>
        <v>0</v>
      </c>
      <c r="C358" s="62">
        <f t="shared" ca="1" si="37"/>
        <v>0</v>
      </c>
      <c r="D358" s="13" t="e">
        <f ca="1">D357+C358*(Prices!B358-Prices!B357)/Prices!B357</f>
        <v>#DIV/0!</v>
      </c>
      <c r="E358" s="13" t="e">
        <f t="shared" ca="1" si="38"/>
        <v>#DIV/0!</v>
      </c>
      <c r="F358" s="13" t="e">
        <f t="shared" ca="1" si="39"/>
        <v>#DIV/0!</v>
      </c>
      <c r="G358" s="21">
        <f ca="1">IF((Prices!B358-Prices!B357)*C358&gt;0,1,0)</f>
        <v>0</v>
      </c>
      <c r="H358" s="13" t="e">
        <f>ABS(Prices!B358-Prices!B357)/Prices!B357</f>
        <v>#DIV/0!</v>
      </c>
      <c r="I358" s="21"/>
      <c r="J358" s="4">
        <f t="shared" ca="1" si="40"/>
        <v>-3.8233060803260274E-3</v>
      </c>
      <c r="K358" s="13"/>
      <c r="L358" s="13">
        <f ca="1">L357-O358*Prices!B358</f>
        <v>0.73602277515754255</v>
      </c>
      <c r="M358" s="4">
        <f t="shared" ca="1" si="41"/>
        <v>6.0451269164809064E-2</v>
      </c>
      <c r="N358" s="13">
        <f ca="1">IF(Prices!B357&gt;OFFSET(Prices!B357,-$N$3,0),1,-1)</f>
        <v>-1</v>
      </c>
      <c r="O358" s="4">
        <f ca="1">IF(N358=1,O$3*L357/Prices!B357,-O$3*M357)</f>
        <v>-3.1816457455162666E-3</v>
      </c>
      <c r="P358" s="22"/>
      <c r="Q358" s="13">
        <f ca="1">Q357-T358*Prices!B358</f>
        <v>0.94863015803649409</v>
      </c>
      <c r="R358" s="4">
        <f t="shared" ca="1" si="42"/>
        <v>5.7749430132878459E-3</v>
      </c>
      <c r="S358" s="13">
        <f ca="1">IF(Prices!D357&gt;OFFSET(Prices!D357,-S$3,0),1,-1)</f>
        <v>-1</v>
      </c>
      <c r="T358" s="4">
        <f ca="1">IF(S358=1,T$3*Q357/Prices!B357,-T$3*R357)</f>
        <v>-6.4166033480976071E-4</v>
      </c>
      <c r="V358" s="13"/>
      <c r="W358" s="4"/>
      <c r="X358" s="4"/>
      <c r="Y358" s="4"/>
      <c r="Z358" s="4"/>
      <c r="AA358" s="4"/>
      <c r="AB358" s="4"/>
      <c r="AC358" s="4"/>
      <c r="AD358" s="4"/>
      <c r="AE358" s="52"/>
    </row>
    <row r="359" spans="1:31" x14ac:dyDescent="0.2">
      <c r="A359" s="7">
        <v>43877</v>
      </c>
      <c r="B359" s="13">
        <f ca="1">Prices!B358*(1+J359/(50*(ABS(O359)+ABS(T359)+0.0001)))</f>
        <v>0</v>
      </c>
      <c r="C359" s="62">
        <f t="shared" ca="1" si="37"/>
        <v>0</v>
      </c>
      <c r="D359" s="13" t="e">
        <f ca="1">D358+C359*(Prices!B359-Prices!B358)/Prices!B358</f>
        <v>#DIV/0!</v>
      </c>
      <c r="E359" s="13" t="e">
        <f t="shared" ca="1" si="38"/>
        <v>#DIV/0!</v>
      </c>
      <c r="F359" s="13" t="e">
        <f t="shared" ca="1" si="39"/>
        <v>#DIV/0!</v>
      </c>
      <c r="G359" s="21">
        <f ca="1">IF((Prices!B359-Prices!B358)*C359&gt;0,1,0)</f>
        <v>0</v>
      </c>
      <c r="H359" s="13" t="e">
        <f>ABS(Prices!B359-Prices!B358)/Prices!B358</f>
        <v>#DIV/0!</v>
      </c>
      <c r="I359" s="21"/>
      <c r="J359" s="4">
        <f t="shared" ca="1" si="40"/>
        <v>-3.6000577595692376E-3</v>
      </c>
      <c r="K359" s="13"/>
      <c r="L359" s="13">
        <f ca="1">L358-O359*Prices!B359</f>
        <v>0.73602277515754255</v>
      </c>
      <c r="M359" s="4">
        <f t="shared" ca="1" si="41"/>
        <v>5.7428705706568613E-2</v>
      </c>
      <c r="N359" s="13">
        <f ca="1">IF(Prices!B358&gt;OFFSET(Prices!B358,-$N$3,0),1,-1)</f>
        <v>-1</v>
      </c>
      <c r="O359" s="4">
        <f ca="1">IF(N359=1,O$3*L358/Prices!B358,-O$3*M358)</f>
        <v>-3.0225634582404532E-3</v>
      </c>
      <c r="P359" s="22"/>
      <c r="Q359" s="13">
        <f ca="1">Q358-T359*Prices!B359</f>
        <v>0.94863015803649409</v>
      </c>
      <c r="R359" s="4">
        <f t="shared" ca="1" si="42"/>
        <v>5.1974487119590615E-3</v>
      </c>
      <c r="S359" s="13">
        <f ca="1">IF(Prices!D358&gt;OFFSET(Prices!D358,-S$3,0),1,-1)</f>
        <v>-1</v>
      </c>
      <c r="T359" s="4">
        <f ca="1">IF(S359=1,T$3*Q358/Prices!B358,-T$3*R358)</f>
        <v>-5.7749430132878463E-4</v>
      </c>
      <c r="V359" s="13"/>
      <c r="W359" s="4"/>
      <c r="X359" s="4"/>
      <c r="Y359" s="4"/>
      <c r="Z359" s="4"/>
      <c r="AA359" s="4"/>
      <c r="AB359" s="4"/>
      <c r="AC359" s="4"/>
      <c r="AD359" s="4"/>
      <c r="AE359" s="52"/>
    </row>
    <row r="360" spans="1:31" x14ac:dyDescent="0.2">
      <c r="A360" s="7">
        <v>43884</v>
      </c>
      <c r="B360" s="13">
        <f ca="1">Prices!B359*(1+J360/(50*(ABS(O360)+ABS(T360)+0.0001)))</f>
        <v>0</v>
      </c>
      <c r="C360" s="62">
        <f t="shared" ca="1" si="37"/>
        <v>0</v>
      </c>
      <c r="D360" s="13" t="e">
        <f ca="1">D359+C360*(Prices!B360-Prices!B359)/Prices!B359</f>
        <v>#DIV/0!</v>
      </c>
      <c r="E360" s="13" t="e">
        <f t="shared" ca="1" si="38"/>
        <v>#DIV/0!</v>
      </c>
      <c r="F360" s="13" t="e">
        <f t="shared" ca="1" si="39"/>
        <v>#DIV/0!</v>
      </c>
      <c r="G360" s="21">
        <f ca="1">IF((Prices!B360-Prices!B359)*C360&gt;0,1,0)</f>
        <v>0</v>
      </c>
      <c r="H360" s="13" t="e">
        <f>ABS(Prices!B360-Prices!B359)/Prices!B359</f>
        <v>#DIV/0!</v>
      </c>
      <c r="I360" s="21"/>
      <c r="J360" s="4">
        <f t="shared" ca="1" si="40"/>
        <v>-3.391180156524337E-3</v>
      </c>
      <c r="K360" s="13"/>
      <c r="L360" s="13">
        <f ca="1">L359-O360*Prices!B360</f>
        <v>0.73602277515754255</v>
      </c>
      <c r="M360" s="4">
        <f t="shared" ca="1" si="41"/>
        <v>5.455727042124018E-2</v>
      </c>
      <c r="N360" s="13">
        <f ca="1">IF(Prices!B359&gt;OFFSET(Prices!B359,-$N$3,0),1,-1)</f>
        <v>-1</v>
      </c>
      <c r="O360" s="4">
        <f ca="1">IF(N360=1,O$3*L359/Prices!B359,-O$3*M359)</f>
        <v>-2.8714352853284309E-3</v>
      </c>
      <c r="P360" s="22"/>
      <c r="Q360" s="13">
        <f ca="1">Q359-T360*Prices!B360</f>
        <v>0.94863015803649409</v>
      </c>
      <c r="R360" s="4">
        <f t="shared" ca="1" si="42"/>
        <v>4.6777038407631553E-3</v>
      </c>
      <c r="S360" s="13">
        <f ca="1">IF(Prices!D359&gt;OFFSET(Prices!D359,-S$3,0),1,-1)</f>
        <v>-1</v>
      </c>
      <c r="T360" s="4">
        <f ca="1">IF(S360=1,T$3*Q359/Prices!B359,-T$3*R359)</f>
        <v>-5.1974487119590615E-4</v>
      </c>
      <c r="V360" s="13"/>
      <c r="W360" s="4"/>
      <c r="X360" s="4"/>
      <c r="Y360" s="4"/>
      <c r="Z360" s="4"/>
      <c r="AA360" s="4"/>
      <c r="AB360" s="4"/>
      <c r="AC360" s="4"/>
      <c r="AD360" s="4"/>
      <c r="AE360" s="52"/>
    </row>
    <row r="361" spans="1:31" x14ac:dyDescent="0.2">
      <c r="A361" s="7">
        <v>43891</v>
      </c>
      <c r="B361" s="13">
        <f ca="1">Prices!B360*(1+J361/(50*(ABS(O361)+ABS(T361)+0.0001)))</f>
        <v>0</v>
      </c>
      <c r="C361" s="62">
        <f t="shared" ca="1" si="37"/>
        <v>0</v>
      </c>
      <c r="D361" s="13" t="e">
        <f ca="1">D360+C361*(Prices!B361-Prices!B360)/Prices!B360</f>
        <v>#DIV/0!</v>
      </c>
      <c r="E361" s="13" t="e">
        <f t="shared" ca="1" si="38"/>
        <v>#DIV/0!</v>
      </c>
      <c r="F361" s="13" t="e">
        <f t="shared" ca="1" si="39"/>
        <v>#DIV/0!</v>
      </c>
      <c r="G361" s="21">
        <f ca="1">IF((Prices!B361-Prices!B360)*C361&gt;0,1,0)</f>
        <v>0</v>
      </c>
      <c r="H361" s="13" t="e">
        <f>ABS(Prices!B361-Prices!B360)/Prices!B360</f>
        <v>#DIV/0!</v>
      </c>
      <c r="I361" s="21"/>
      <c r="J361" s="4">
        <f t="shared" ca="1" si="40"/>
        <v>-3.1956339051383248E-3</v>
      </c>
      <c r="K361" s="13"/>
      <c r="L361" s="13">
        <f ca="1">L360-O361*Prices!B361</f>
        <v>0.73602277515754255</v>
      </c>
      <c r="M361" s="4">
        <f t="shared" ca="1" si="41"/>
        <v>5.182940690017817E-2</v>
      </c>
      <c r="N361" s="13">
        <f ca="1">IF(Prices!B360&gt;OFFSET(Prices!B360,-$N$3,0),1,-1)</f>
        <v>-1</v>
      </c>
      <c r="O361" s="4">
        <f ca="1">IF(N361=1,O$3*L360/Prices!B360,-O$3*M360)</f>
        <v>-2.7278635210620092E-3</v>
      </c>
      <c r="P361" s="22"/>
      <c r="Q361" s="13">
        <f ca="1">Q360-T361*Prices!B361</f>
        <v>0.94863015803649409</v>
      </c>
      <c r="R361" s="4">
        <f t="shared" ca="1" si="42"/>
        <v>4.2099334566868402E-3</v>
      </c>
      <c r="S361" s="13">
        <f ca="1">IF(Prices!D360&gt;OFFSET(Prices!D360,-S$3,0),1,-1)</f>
        <v>-1</v>
      </c>
      <c r="T361" s="4">
        <f ca="1">IF(S361=1,T$3*Q360/Prices!B360,-T$3*R360)</f>
        <v>-4.6777038407631557E-4</v>
      </c>
      <c r="V361" s="13"/>
      <c r="W361" s="4"/>
      <c r="X361" s="4"/>
      <c r="Y361" s="4"/>
      <c r="Z361" s="4"/>
      <c r="AA361" s="4"/>
      <c r="AB361" s="4"/>
      <c r="AC361" s="4"/>
      <c r="AD361" s="4"/>
      <c r="AE361" s="52"/>
    </row>
    <row r="362" spans="1:31" x14ac:dyDescent="0.2">
      <c r="A362" s="7">
        <v>43898</v>
      </c>
      <c r="B362" s="13">
        <f ca="1">Prices!B361*(1+J362/(50*(ABS(O362)+ABS(T362)+0.0001)))</f>
        <v>0</v>
      </c>
      <c r="C362" s="62">
        <f t="shared" ca="1" si="37"/>
        <v>0</v>
      </c>
      <c r="D362" s="13" t="e">
        <f ca="1">D361+C362*(Prices!B362-Prices!B361)/Prices!B361</f>
        <v>#DIV/0!</v>
      </c>
      <c r="E362" s="13" t="e">
        <f t="shared" ca="1" si="38"/>
        <v>#DIV/0!</v>
      </c>
      <c r="F362" s="13" t="e">
        <f t="shared" ca="1" si="39"/>
        <v>#DIV/0!</v>
      </c>
      <c r="G362" s="21">
        <f ca="1">IF((Prices!B362-Prices!B361)*C362&gt;0,1,0)</f>
        <v>0</v>
      </c>
      <c r="H362" s="13" t="e">
        <f>ABS(Prices!B362-Prices!B361)/Prices!B361</f>
        <v>#DIV/0!</v>
      </c>
      <c r="I362" s="21"/>
      <c r="J362" s="4">
        <f t="shared" ca="1" si="40"/>
        <v>-3.0124636906775928E-3</v>
      </c>
      <c r="K362" s="13"/>
      <c r="L362" s="13">
        <f ca="1">L361-O362*Prices!B362</f>
        <v>0.73602277515754255</v>
      </c>
      <c r="M362" s="4">
        <f t="shared" ca="1" si="41"/>
        <v>4.9237936555169261E-2</v>
      </c>
      <c r="N362" s="13">
        <f ca="1">IF(Prices!B361&gt;OFFSET(Prices!B361,-$N$3,0),1,-1)</f>
        <v>-1</v>
      </c>
      <c r="O362" s="4">
        <f ca="1">IF(N362=1,O$3*L361/Prices!B361,-O$3*M361)</f>
        <v>-2.5914703450089088E-3</v>
      </c>
      <c r="P362" s="22"/>
      <c r="Q362" s="13">
        <f ca="1">Q361-T362*Prices!B362</f>
        <v>0.94863015803649409</v>
      </c>
      <c r="R362" s="4">
        <f t="shared" ca="1" si="42"/>
        <v>3.7889401110181562E-3</v>
      </c>
      <c r="S362" s="13">
        <f ca="1">IF(Prices!D361&gt;OFFSET(Prices!D361,-S$3,0),1,-1)</f>
        <v>-1</v>
      </c>
      <c r="T362" s="4">
        <f ca="1">IF(S362=1,T$3*Q361/Prices!B361,-T$3*R361)</f>
        <v>-4.2099334566868404E-4</v>
      </c>
      <c r="V362" s="13"/>
      <c r="W362" s="4"/>
      <c r="X362" s="4"/>
      <c r="Y362" s="4"/>
      <c r="Z362" s="4"/>
      <c r="AA362" s="4"/>
      <c r="AB362" s="4"/>
      <c r="AC362" s="4"/>
      <c r="AD362" s="4"/>
      <c r="AE362" s="52"/>
    </row>
    <row r="363" spans="1:31" x14ac:dyDescent="0.2">
      <c r="A363" s="7">
        <v>43905</v>
      </c>
      <c r="B363" s="13">
        <f ca="1">Prices!B362*(1+J363/(50*(ABS(O363)+ABS(T363)+0.0001)))</f>
        <v>0</v>
      </c>
      <c r="C363" s="62">
        <f t="shared" ca="1" si="37"/>
        <v>0</v>
      </c>
      <c r="D363" s="13" t="e">
        <f ca="1">D362+C363*(Prices!B363-Prices!B362)/Prices!B362</f>
        <v>#DIV/0!</v>
      </c>
      <c r="E363" s="13" t="e">
        <f t="shared" ca="1" si="38"/>
        <v>#DIV/0!</v>
      </c>
      <c r="F363" s="13" t="e">
        <f t="shared" ca="1" si="39"/>
        <v>#DIV/0!</v>
      </c>
      <c r="G363" s="21">
        <f ca="1">IF((Prices!B363-Prices!B362)*C363&gt;0,1,0)</f>
        <v>0</v>
      </c>
      <c r="H363" s="13" t="e">
        <f>ABS(Prices!B363-Prices!B362)/Prices!B362</f>
        <v>#DIV/0!</v>
      </c>
      <c r="I363" s="21"/>
      <c r="J363" s="4">
        <f t="shared" ca="1" si="40"/>
        <v>-2.8407908388602787E-3</v>
      </c>
      <c r="K363" s="13"/>
      <c r="L363" s="13">
        <f ca="1">L362-O363*Prices!B363</f>
        <v>0.73602277515754255</v>
      </c>
      <c r="M363" s="4">
        <f t="shared" ca="1" si="41"/>
        <v>4.6776039727410797E-2</v>
      </c>
      <c r="N363" s="13">
        <f ca="1">IF(Prices!B362&gt;OFFSET(Prices!B362,-$N$3,0),1,-1)</f>
        <v>-1</v>
      </c>
      <c r="O363" s="4">
        <f ca="1">IF(N363=1,O$3*L362/Prices!B362,-O$3*M362)</f>
        <v>-2.4618968277584632E-3</v>
      </c>
      <c r="P363" s="22"/>
      <c r="Q363" s="13">
        <f ca="1">Q362-T363*Prices!B363</f>
        <v>0.94863015803649409</v>
      </c>
      <c r="R363" s="4">
        <f t="shared" ca="1" si="42"/>
        <v>3.4100460999163407E-3</v>
      </c>
      <c r="S363" s="13">
        <f ca="1">IF(Prices!D362&gt;OFFSET(Prices!D362,-S$3,0),1,-1)</f>
        <v>-1</v>
      </c>
      <c r="T363" s="4">
        <f ca="1">IF(S363=1,T$3*Q362/Prices!B362,-T$3*R362)</f>
        <v>-3.7889401110181566E-4</v>
      </c>
      <c r="V363" s="13"/>
      <c r="W363" s="4"/>
      <c r="X363" s="4"/>
      <c r="Y363" s="4"/>
      <c r="Z363" s="4"/>
      <c r="AA363" s="4"/>
      <c r="AB363" s="4"/>
      <c r="AC363" s="4"/>
      <c r="AD363" s="4"/>
      <c r="AE363" s="52"/>
    </row>
    <row r="364" spans="1:31" x14ac:dyDescent="0.2">
      <c r="A364" s="7">
        <v>43912</v>
      </c>
      <c r="B364" s="13">
        <f ca="1">Prices!B363*(1+J364/(50*(ABS(O364)+ABS(T364)+0.0001)))</f>
        <v>0</v>
      </c>
      <c r="C364" s="62">
        <f t="shared" ca="1" si="37"/>
        <v>0</v>
      </c>
      <c r="D364" s="13" t="e">
        <f ca="1">D363+C364*(Prices!B364-Prices!B363)/Prices!B363</f>
        <v>#DIV/0!</v>
      </c>
      <c r="E364" s="13" t="e">
        <f t="shared" ca="1" si="38"/>
        <v>#DIV/0!</v>
      </c>
      <c r="F364" s="13" t="e">
        <f t="shared" ca="1" si="39"/>
        <v>#DIV/0!</v>
      </c>
      <c r="G364" s="21">
        <f ca="1">IF((Prices!B364-Prices!B363)*C364&gt;0,1,0)</f>
        <v>0</v>
      </c>
      <c r="H364" s="13" t="e">
        <f>ABS(Prices!B364-Prices!B363)/Prices!B363</f>
        <v>#DIV/0!</v>
      </c>
      <c r="I364" s="21"/>
      <c r="J364" s="4">
        <f t="shared" ca="1" si="40"/>
        <v>-2.6798065963621743E-3</v>
      </c>
      <c r="K364" s="13"/>
      <c r="L364" s="13">
        <f ca="1">L363-O364*Prices!B364</f>
        <v>0.73602277515754255</v>
      </c>
      <c r="M364" s="4">
        <f t="shared" ca="1" si="41"/>
        <v>4.4437237741040254E-2</v>
      </c>
      <c r="N364" s="13">
        <f ca="1">IF(Prices!B363&gt;OFFSET(Prices!B363,-$N$3,0),1,-1)</f>
        <v>-1</v>
      </c>
      <c r="O364" s="4">
        <f ca="1">IF(N364=1,O$3*L363/Prices!B363,-O$3*M363)</f>
        <v>-2.3388019863705401E-3</v>
      </c>
      <c r="P364" s="22"/>
      <c r="Q364" s="13">
        <f ca="1">Q363-T364*Prices!B364</f>
        <v>0.94863015803649409</v>
      </c>
      <c r="R364" s="4">
        <f t="shared" ca="1" si="42"/>
        <v>3.0690414899247065E-3</v>
      </c>
      <c r="S364" s="13">
        <f ca="1">IF(Prices!D363&gt;OFFSET(Prices!D363,-S$3,0),1,-1)</f>
        <v>-1</v>
      </c>
      <c r="T364" s="4">
        <f ca="1">IF(S364=1,T$3*Q363/Prices!B363,-T$3*R363)</f>
        <v>-3.4100460999163408E-4</v>
      </c>
      <c r="V364" s="13"/>
      <c r="W364" s="4"/>
      <c r="X364" s="4"/>
      <c r="Y364" s="4"/>
      <c r="Z364" s="4"/>
      <c r="AA364" s="4"/>
      <c r="AB364" s="4"/>
      <c r="AC364" s="4"/>
      <c r="AD364" s="4"/>
      <c r="AE364" s="52"/>
    </row>
    <row r="365" spans="1:31" x14ac:dyDescent="0.2">
      <c r="A365" s="7">
        <v>43919</v>
      </c>
      <c r="B365" s="13">
        <f ca="1">Prices!B364*(1+J365/(50*(ABS(O365)+ABS(T365)+0.0001)))</f>
        <v>0</v>
      </c>
      <c r="C365" s="62">
        <f t="shared" ca="1" si="37"/>
        <v>0</v>
      </c>
      <c r="D365" s="13" t="e">
        <f ca="1">D364+C365*(Prices!B365-Prices!B364)/Prices!B364</f>
        <v>#DIV/0!</v>
      </c>
      <c r="E365" s="13" t="e">
        <f t="shared" ca="1" si="38"/>
        <v>#DIV/0!</v>
      </c>
      <c r="F365" s="13" t="e">
        <f t="shared" ca="1" si="39"/>
        <v>#DIV/0!</v>
      </c>
      <c r="G365" s="21">
        <f ca="1">IF((Prices!B365-Prices!B364)*C365&gt;0,1,0)</f>
        <v>0</v>
      </c>
      <c r="H365" s="13" t="e">
        <f>ABS(Prices!B365-Prices!B364)/Prices!B364</f>
        <v>#DIV/0!</v>
      </c>
      <c r="I365" s="21"/>
      <c r="J365" s="4">
        <f t="shared" ca="1" si="40"/>
        <v>-2.5287660360444834E-3</v>
      </c>
      <c r="K365" s="13"/>
      <c r="L365" s="13">
        <f ca="1">L364-O365*Prices!B365</f>
        <v>0.73602277515754255</v>
      </c>
      <c r="M365" s="4">
        <f t="shared" ca="1" si="41"/>
        <v>4.2215375853988241E-2</v>
      </c>
      <c r="N365" s="13">
        <f ca="1">IF(Prices!B364&gt;OFFSET(Prices!B364,-$N$3,0),1,-1)</f>
        <v>-1</v>
      </c>
      <c r="O365" s="4">
        <f ca="1">IF(N365=1,O$3*L364/Prices!B364,-O$3*M364)</f>
        <v>-2.2218618870520129E-3</v>
      </c>
      <c r="P365" s="22"/>
      <c r="Q365" s="13">
        <f ca="1">Q364-T365*Prices!B365</f>
        <v>0.94863015803649409</v>
      </c>
      <c r="R365" s="4">
        <f t="shared" ca="1" si="42"/>
        <v>2.762137340932236E-3</v>
      </c>
      <c r="S365" s="13">
        <f ca="1">IF(Prices!D364&gt;OFFSET(Prices!D364,-S$3,0),1,-1)</f>
        <v>-1</v>
      </c>
      <c r="T365" s="4">
        <f ca="1">IF(S365=1,T$3*Q364/Prices!B364,-T$3*R364)</f>
        <v>-3.0690414899247069E-4</v>
      </c>
      <c r="V365" s="13"/>
      <c r="W365" s="4"/>
      <c r="X365" s="4"/>
      <c r="Y365" s="4"/>
      <c r="Z365" s="4"/>
      <c r="AA365" s="4"/>
      <c r="AB365" s="4"/>
      <c r="AC365" s="4"/>
      <c r="AD365" s="4"/>
      <c r="AE365" s="52"/>
    </row>
    <row r="366" spans="1:31" x14ac:dyDescent="0.2">
      <c r="A366" s="7">
        <v>43926</v>
      </c>
      <c r="B366" s="13">
        <f ca="1">Prices!B365*(1+J366/(50*(ABS(O366)+ABS(T366)+0.0001)))</f>
        <v>0</v>
      </c>
      <c r="C366" s="62">
        <f t="shared" ca="1" si="37"/>
        <v>0</v>
      </c>
      <c r="D366" s="13" t="e">
        <f ca="1">D365+C366*(Prices!B366-Prices!B365)/Prices!B365</f>
        <v>#DIV/0!</v>
      </c>
      <c r="E366" s="13" t="e">
        <f t="shared" ca="1" si="38"/>
        <v>#DIV/0!</v>
      </c>
      <c r="F366" s="13" t="e">
        <f t="shared" ca="1" si="39"/>
        <v>#DIV/0!</v>
      </c>
      <c r="G366" s="21">
        <f ca="1">IF((Prices!B366-Prices!B365)*C366&gt;0,1,0)</f>
        <v>0</v>
      </c>
      <c r="H366" s="13" t="e">
        <f>ABS(Prices!B366-Prices!B365)/Prices!B365</f>
        <v>#DIV/0!</v>
      </c>
      <c r="I366" s="21"/>
      <c r="J366" s="4">
        <f t="shared" ca="1" si="40"/>
        <v>-2.3869825267926357E-3</v>
      </c>
      <c r="K366" s="13"/>
      <c r="L366" s="13">
        <f ca="1">L365-O366*Prices!B366</f>
        <v>0.73602277515754255</v>
      </c>
      <c r="M366" s="4">
        <f t="shared" ca="1" si="41"/>
        <v>4.0104607061288829E-2</v>
      </c>
      <c r="N366" s="13">
        <f ca="1">IF(Prices!B365&gt;OFFSET(Prices!B365,-$N$3,0),1,-1)</f>
        <v>-1</v>
      </c>
      <c r="O366" s="4">
        <f ca="1">IF(N366=1,O$3*L365/Prices!B365,-O$3*M365)</f>
        <v>-2.110768792699412E-3</v>
      </c>
      <c r="P366" s="22"/>
      <c r="Q366" s="13">
        <f ca="1">Q365-T366*Prices!B366</f>
        <v>0.94863015803649409</v>
      </c>
      <c r="R366" s="4">
        <f t="shared" ca="1" si="42"/>
        <v>2.4859236068390123E-3</v>
      </c>
      <c r="S366" s="13">
        <f ca="1">IF(Prices!D365&gt;OFFSET(Prices!D365,-S$3,0),1,-1)</f>
        <v>-1</v>
      </c>
      <c r="T366" s="4">
        <f ca="1">IF(S366=1,T$3*Q365/Prices!B365,-T$3*R365)</f>
        <v>-2.7621373409322363E-4</v>
      </c>
      <c r="V366" s="13"/>
      <c r="W366" s="4"/>
      <c r="X366" s="4"/>
      <c r="Y366" s="4"/>
      <c r="Z366" s="4"/>
      <c r="AA366" s="4"/>
      <c r="AB366" s="4"/>
      <c r="AC366" s="4"/>
      <c r="AD366" s="4"/>
      <c r="AE366" s="52"/>
    </row>
    <row r="367" spans="1:31" x14ac:dyDescent="0.2">
      <c r="A367" s="7">
        <v>43933</v>
      </c>
      <c r="B367" s="13">
        <f ca="1">Prices!B366*(1+J367/(50*(ABS(O367)+ABS(T367)+0.0001)))</f>
        <v>0</v>
      </c>
      <c r="C367" s="62">
        <f t="shared" ca="1" si="37"/>
        <v>0</v>
      </c>
      <c r="D367" s="13" t="e">
        <f ca="1">D366+C367*(Prices!B367-Prices!B366)/Prices!B366</f>
        <v>#DIV/0!</v>
      </c>
      <c r="E367" s="13" t="e">
        <f t="shared" ca="1" si="38"/>
        <v>#DIV/0!</v>
      </c>
      <c r="F367" s="13" t="e">
        <f t="shared" ca="1" si="39"/>
        <v>#DIV/0!</v>
      </c>
      <c r="G367" s="21">
        <f ca="1">IF((Prices!B367-Prices!B366)*C367&gt;0,1,0)</f>
        <v>0</v>
      </c>
      <c r="H367" s="13" t="e">
        <f>ABS(Prices!B367-Prices!B366)/Prices!B366</f>
        <v>#DIV/0!</v>
      </c>
      <c r="I367" s="21"/>
      <c r="J367" s="4">
        <f t="shared" ca="1" si="40"/>
        <v>-2.2538227137483429E-3</v>
      </c>
      <c r="K367" s="13"/>
      <c r="L367" s="13">
        <f ca="1">L366-O367*Prices!B367</f>
        <v>0.73602277515754255</v>
      </c>
      <c r="M367" s="4">
        <f t="shared" ca="1" si="41"/>
        <v>3.8099376708224386E-2</v>
      </c>
      <c r="N367" s="13">
        <f ca="1">IF(Prices!B366&gt;OFFSET(Prices!B366,-$N$3,0),1,-1)</f>
        <v>-1</v>
      </c>
      <c r="O367" s="4">
        <f ca="1">IF(N367=1,O$3*L366/Prices!B366,-O$3*M366)</f>
        <v>-2.0052303530644416E-3</v>
      </c>
      <c r="P367" s="22"/>
      <c r="Q367" s="13">
        <f ca="1">Q366-T367*Prices!B367</f>
        <v>0.94863015803649409</v>
      </c>
      <c r="R367" s="4">
        <f t="shared" ca="1" si="42"/>
        <v>2.237331246155111E-3</v>
      </c>
      <c r="S367" s="13">
        <f ca="1">IF(Prices!D366&gt;OFFSET(Prices!D366,-S$3,0),1,-1)</f>
        <v>-1</v>
      </c>
      <c r="T367" s="4">
        <f ca="1">IF(S367=1,T$3*Q366/Prices!B366,-T$3*R366)</f>
        <v>-2.4859236068390127E-4</v>
      </c>
      <c r="V367" s="13"/>
      <c r="W367" s="4"/>
      <c r="X367" s="4"/>
      <c r="Y367" s="4"/>
      <c r="Z367" s="4"/>
      <c r="AA367" s="4"/>
      <c r="AB367" s="4"/>
      <c r="AC367" s="4"/>
      <c r="AD367" s="4"/>
      <c r="AE367" s="52"/>
    </row>
    <row r="368" spans="1:31" x14ac:dyDescent="0.2">
      <c r="A368" s="7">
        <v>43940</v>
      </c>
      <c r="B368" s="13">
        <f ca="1">Prices!B367*(1+J368/(50*(ABS(O368)+ABS(T368)+0.0001)))</f>
        <v>0</v>
      </c>
      <c r="C368" s="62">
        <f t="shared" ca="1" si="37"/>
        <v>0</v>
      </c>
      <c r="D368" s="13" t="e">
        <f ca="1">D367+C368*(Prices!B368-Prices!B367)/Prices!B367</f>
        <v>#DIV/0!</v>
      </c>
      <c r="E368" s="13" t="e">
        <f t="shared" ca="1" si="38"/>
        <v>#DIV/0!</v>
      </c>
      <c r="F368" s="13" t="e">
        <f t="shared" ca="1" si="39"/>
        <v>#DIV/0!</v>
      </c>
      <c r="G368" s="21">
        <f ca="1">IF((Prices!B368-Prices!B367)*C368&gt;0,1,0)</f>
        <v>0</v>
      </c>
      <c r="H368" s="13" t="e">
        <f>ABS(Prices!B368-Prices!B367)/Prices!B367</f>
        <v>#DIV/0!</v>
      </c>
      <c r="I368" s="21"/>
      <c r="J368" s="4">
        <f t="shared" ca="1" si="40"/>
        <v>-2.1287019600267302E-3</v>
      </c>
      <c r="K368" s="13"/>
      <c r="L368" s="13">
        <f ca="1">L367-O368*Prices!B368</f>
        <v>0.73602277515754255</v>
      </c>
      <c r="M368" s="4">
        <f t="shared" ca="1" si="41"/>
        <v>3.6194407872813167E-2</v>
      </c>
      <c r="N368" s="13">
        <f ca="1">IF(Prices!B367&gt;OFFSET(Prices!B367,-$N$3,0),1,-1)</f>
        <v>-1</v>
      </c>
      <c r="O368" s="4">
        <f ca="1">IF(N368=1,O$3*L367/Prices!B367,-O$3*M367)</f>
        <v>-1.9049688354112193E-3</v>
      </c>
      <c r="P368" s="22"/>
      <c r="Q368" s="13">
        <f ca="1">Q367-T368*Prices!B368</f>
        <v>0.94863015803649409</v>
      </c>
      <c r="R368" s="4">
        <f t="shared" ca="1" si="42"/>
        <v>2.0135981215395997E-3</v>
      </c>
      <c r="S368" s="13">
        <f ca="1">IF(Prices!D367&gt;OFFSET(Prices!D367,-S$3,0),1,-1)</f>
        <v>-1</v>
      </c>
      <c r="T368" s="4">
        <f ca="1">IF(S368=1,T$3*Q367/Prices!B367,-T$3*R367)</f>
        <v>-2.237331246155111E-4</v>
      </c>
      <c r="V368" s="13"/>
      <c r="W368" s="4"/>
      <c r="X368" s="4"/>
      <c r="Y368" s="4"/>
      <c r="Z368" s="4"/>
      <c r="AA368" s="4"/>
      <c r="AB368" s="4"/>
      <c r="AC368" s="4"/>
      <c r="AD368" s="4"/>
      <c r="AE368" s="52"/>
    </row>
    <row r="369" spans="1:31" x14ac:dyDescent="0.2">
      <c r="A369" s="7">
        <v>43947</v>
      </c>
      <c r="B369" s="13">
        <f ca="1">Prices!B368*(1+J369/(50*(ABS(O369)+ABS(T369)+0.0001)))</f>
        <v>0</v>
      </c>
      <c r="C369" s="62">
        <f t="shared" ca="1" si="37"/>
        <v>0</v>
      </c>
      <c r="D369" s="13" t="e">
        <f ca="1">D368+C369*(Prices!B369-Prices!B368)/Prices!B368</f>
        <v>#DIV/0!</v>
      </c>
      <c r="E369" s="13" t="e">
        <f t="shared" ca="1" si="38"/>
        <v>#DIV/0!</v>
      </c>
      <c r="F369" s="13" t="e">
        <f t="shared" ca="1" si="39"/>
        <v>#DIV/0!</v>
      </c>
      <c r="G369" s="21">
        <f ca="1">IF((Prices!B369-Prices!B368)*C369&gt;0,1,0)</f>
        <v>0</v>
      </c>
      <c r="H369" s="13" t="e">
        <f>ABS(Prices!B369-Prices!B368)/Prices!B368</f>
        <v>#DIV/0!</v>
      </c>
      <c r="I369" s="21"/>
      <c r="J369" s="4">
        <f t="shared" ca="1" si="40"/>
        <v>-2.0110802057946185E-3</v>
      </c>
      <c r="K369" s="13"/>
      <c r="L369" s="13">
        <f ca="1">L368-O369*Prices!B369</f>
        <v>0.73602277515754255</v>
      </c>
      <c r="M369" s="4">
        <f t="shared" ca="1" si="41"/>
        <v>3.4384687479172511E-2</v>
      </c>
      <c r="N369" s="13">
        <f ca="1">IF(Prices!B368&gt;OFFSET(Prices!B368,-$N$3,0),1,-1)</f>
        <v>-1</v>
      </c>
      <c r="O369" s="4">
        <f ca="1">IF(N369=1,O$3*L368/Prices!B368,-O$3*M368)</f>
        <v>-1.8097203936406584E-3</v>
      </c>
      <c r="P369" s="22"/>
      <c r="Q369" s="13">
        <f ca="1">Q368-T369*Prices!B369</f>
        <v>0.94863015803649409</v>
      </c>
      <c r="R369" s="4">
        <f t="shared" ca="1" si="42"/>
        <v>1.8122383093856398E-3</v>
      </c>
      <c r="S369" s="13">
        <f ca="1">IF(Prices!D368&gt;OFFSET(Prices!D368,-S$3,0),1,-1)</f>
        <v>-1</v>
      </c>
      <c r="T369" s="4">
        <f ca="1">IF(S369=1,T$3*Q368/Prices!B368,-T$3*R368)</f>
        <v>-2.0135981215395999E-4</v>
      </c>
      <c r="V369" s="13"/>
      <c r="W369" s="4"/>
      <c r="X369" s="4"/>
      <c r="Y369" s="4"/>
      <c r="Z369" s="4"/>
      <c r="AA369" s="4"/>
      <c r="AB369" s="4"/>
      <c r="AC369" s="4"/>
      <c r="AD369" s="4"/>
      <c r="AE369" s="52"/>
    </row>
    <row r="370" spans="1:31" x14ac:dyDescent="0.2">
      <c r="A370" s="7">
        <v>43954</v>
      </c>
      <c r="B370" s="13">
        <f ca="1">Prices!B369*(1+J370/(50*(ABS(O370)+ABS(T370)+0.0001)))</f>
        <v>0</v>
      </c>
      <c r="C370" s="62">
        <f t="shared" ca="1" si="37"/>
        <v>0</v>
      </c>
      <c r="D370" s="13" t="e">
        <f ca="1">D369+C370*(Prices!B370-Prices!B369)/Prices!B369</f>
        <v>#DIV/0!</v>
      </c>
      <c r="E370" s="13" t="e">
        <f t="shared" ca="1" si="38"/>
        <v>#DIV/0!</v>
      </c>
      <c r="F370" s="13" t="e">
        <f t="shared" ca="1" si="39"/>
        <v>#DIV/0!</v>
      </c>
      <c r="G370" s="21">
        <f ca="1">IF((Prices!B370-Prices!B369)*C370&gt;0,1,0)</f>
        <v>0</v>
      </c>
      <c r="H370" s="13" t="e">
        <f>ABS(Prices!B370-Prices!B369)/Prices!B369</f>
        <v>#DIV/0!</v>
      </c>
      <c r="I370" s="21"/>
      <c r="J370" s="4">
        <f t="shared" ca="1" si="40"/>
        <v>-1.9004582048971895E-3</v>
      </c>
      <c r="K370" s="13"/>
      <c r="L370" s="13">
        <f ca="1">L369-O370*Prices!B370</f>
        <v>0.73602277515754255</v>
      </c>
      <c r="M370" s="4">
        <f t="shared" ca="1" si="41"/>
        <v>3.2665453105213883E-2</v>
      </c>
      <c r="N370" s="13">
        <f ca="1">IF(Prices!B369&gt;OFFSET(Prices!B369,-$N$3,0),1,-1)</f>
        <v>-1</v>
      </c>
      <c r="O370" s="4">
        <f ca="1">IF(N370=1,O$3*L369/Prices!B369,-O$3*M369)</f>
        <v>-1.7192343739586256E-3</v>
      </c>
      <c r="P370" s="22"/>
      <c r="Q370" s="13">
        <f ca="1">Q369-T370*Prices!B370</f>
        <v>0.94863015803649409</v>
      </c>
      <c r="R370" s="4">
        <f t="shared" ca="1" si="42"/>
        <v>1.6310144784470759E-3</v>
      </c>
      <c r="S370" s="13">
        <f ca="1">IF(Prices!D369&gt;OFFSET(Prices!D369,-S$3,0),1,-1)</f>
        <v>-1</v>
      </c>
      <c r="T370" s="4">
        <f ca="1">IF(S370=1,T$3*Q369/Prices!B369,-T$3*R369)</f>
        <v>-1.8122383093856399E-4</v>
      </c>
      <c r="V370" s="13"/>
      <c r="W370" s="4"/>
      <c r="X370" s="4"/>
      <c r="Y370" s="4"/>
      <c r="Z370" s="4"/>
      <c r="AA370" s="4"/>
      <c r="AB370" s="4"/>
      <c r="AC370" s="4"/>
      <c r="AD370" s="4"/>
      <c r="AE370" s="52"/>
    </row>
    <row r="371" spans="1:31" x14ac:dyDescent="0.2">
      <c r="A371" s="7">
        <v>43961</v>
      </c>
      <c r="B371" s="13">
        <f ca="1">Prices!B370*(1+J371/(50*(ABS(O371)+ABS(T371)+0.0001)))</f>
        <v>0</v>
      </c>
      <c r="C371" s="62">
        <f t="shared" ca="1" si="37"/>
        <v>0</v>
      </c>
      <c r="D371" s="13" t="e">
        <f ca="1">D370+C371*(Prices!B371-Prices!B370)/Prices!B370</f>
        <v>#DIV/0!</v>
      </c>
      <c r="E371" s="13" t="e">
        <f t="shared" ca="1" si="38"/>
        <v>#DIV/0!</v>
      </c>
      <c r="F371" s="13" t="e">
        <f t="shared" ca="1" si="39"/>
        <v>#DIV/0!</v>
      </c>
      <c r="G371" s="21">
        <f ca="1">IF((Prices!B371-Prices!B370)*C371&gt;0,1,0)</f>
        <v>0</v>
      </c>
      <c r="H371" s="13" t="e">
        <f>ABS(Prices!B371-Prices!B370)/Prices!B370</f>
        <v>#DIV/0!</v>
      </c>
      <c r="I371" s="21"/>
      <c r="J371" s="4">
        <f t="shared" ca="1" si="40"/>
        <v>-1.7963741031054019E-3</v>
      </c>
      <c r="K371" s="13"/>
      <c r="L371" s="13">
        <f ca="1">L370-O371*Prices!B371</f>
        <v>0.73602277515754255</v>
      </c>
      <c r="M371" s="4">
        <f t="shared" ca="1" si="41"/>
        <v>3.1032180449953189E-2</v>
      </c>
      <c r="N371" s="13">
        <f ca="1">IF(Prices!B370&gt;OFFSET(Prices!B370,-$N$3,0),1,-1)</f>
        <v>-1</v>
      </c>
      <c r="O371" s="4">
        <f ca="1">IF(N371=1,O$3*L370/Prices!B370,-O$3*M370)</f>
        <v>-1.6332726552606943E-3</v>
      </c>
      <c r="P371" s="22"/>
      <c r="Q371" s="13">
        <f ca="1">Q370-T371*Prices!B371</f>
        <v>0.94863015803649409</v>
      </c>
      <c r="R371" s="4">
        <f t="shared" ca="1" si="42"/>
        <v>1.4679130306023682E-3</v>
      </c>
      <c r="S371" s="13">
        <f ca="1">IF(Prices!D370&gt;OFFSET(Prices!D370,-S$3,0),1,-1)</f>
        <v>-1</v>
      </c>
      <c r="T371" s="4">
        <f ca="1">IF(S371=1,T$3*Q370/Prices!B370,-T$3*R370)</f>
        <v>-1.631014478447076E-4</v>
      </c>
      <c r="V371" s="13"/>
      <c r="W371" s="4"/>
      <c r="X371" s="4"/>
      <c r="Y371" s="4"/>
      <c r="Z371" s="4"/>
      <c r="AA371" s="4"/>
      <c r="AB371" s="4"/>
      <c r="AC371" s="4"/>
      <c r="AD371" s="4"/>
      <c r="AE371" s="52"/>
    </row>
    <row r="372" spans="1:31" x14ac:dyDescent="0.2">
      <c r="A372" s="7">
        <v>43968</v>
      </c>
      <c r="B372" s="13">
        <f ca="1">Prices!B371*(1+J372/(50*(ABS(O372)+ABS(T372)+0.0001)))</f>
        <v>0</v>
      </c>
      <c r="C372" s="62">
        <f t="shared" ca="1" si="37"/>
        <v>0</v>
      </c>
      <c r="D372" s="13" t="e">
        <f ca="1">D371+C372*(Prices!B372-Prices!B371)/Prices!B371</f>
        <v>#DIV/0!</v>
      </c>
      <c r="E372" s="13" t="e">
        <f t="shared" ca="1" si="38"/>
        <v>#DIV/0!</v>
      </c>
      <c r="F372" s="13" t="e">
        <f t="shared" ca="1" si="39"/>
        <v>#DIV/0!</v>
      </c>
      <c r="G372" s="21">
        <f ca="1">IF((Prices!B372-Prices!B371)*C372&gt;0,1,0)</f>
        <v>0</v>
      </c>
      <c r="H372" s="13" t="e">
        <f>ABS(Prices!B372-Prices!B371)/Prices!B371</f>
        <v>#DIV/0!</v>
      </c>
      <c r="I372" s="21"/>
      <c r="J372" s="4">
        <f t="shared" ca="1" si="40"/>
        <v>-1.6984003255578965E-3</v>
      </c>
      <c r="K372" s="13"/>
      <c r="L372" s="13">
        <f ca="1">L371-O372*Prices!B372</f>
        <v>0.73602277515754255</v>
      </c>
      <c r="M372" s="4">
        <f t="shared" ca="1" si="41"/>
        <v>2.948057142745553E-2</v>
      </c>
      <c r="N372" s="13">
        <f ca="1">IF(Prices!B371&gt;OFFSET(Prices!B371,-$N$3,0),1,-1)</f>
        <v>-1</v>
      </c>
      <c r="O372" s="4">
        <f ca="1">IF(N372=1,O$3*L371/Prices!B371,-O$3*M371)</f>
        <v>-1.5516090224976596E-3</v>
      </c>
      <c r="P372" s="22"/>
      <c r="Q372" s="13">
        <f ca="1">Q371-T372*Prices!B372</f>
        <v>0.94863015803649409</v>
      </c>
      <c r="R372" s="4">
        <f t="shared" ca="1" si="42"/>
        <v>1.3211217275421313E-3</v>
      </c>
      <c r="S372" s="13">
        <f ca="1">IF(Prices!D371&gt;OFFSET(Prices!D371,-S$3,0),1,-1)</f>
        <v>-1</v>
      </c>
      <c r="T372" s="4">
        <f ca="1">IF(S372=1,T$3*Q371/Prices!B371,-T$3*R371)</f>
        <v>-1.4679130306023683E-4</v>
      </c>
      <c r="V372" s="13"/>
      <c r="W372" s="4"/>
      <c r="X372" s="4"/>
      <c r="Y372" s="4"/>
      <c r="Z372" s="4"/>
      <c r="AA372" s="4"/>
      <c r="AB372" s="4"/>
      <c r="AC372" s="4"/>
      <c r="AD372" s="4"/>
      <c r="AE372" s="52"/>
    </row>
    <row r="373" spans="1:31" x14ac:dyDescent="0.2">
      <c r="A373" s="7">
        <v>43975</v>
      </c>
      <c r="B373" s="13">
        <f ca="1">Prices!B372*(1+J373/(50*(ABS(O373)+ABS(T373)+0.0001)))</f>
        <v>0</v>
      </c>
      <c r="C373" s="62">
        <f t="shared" ca="1" si="37"/>
        <v>0</v>
      </c>
      <c r="D373" s="13" t="e">
        <f ca="1">D372+C373*(Prices!B373-Prices!B372)/Prices!B372</f>
        <v>#DIV/0!</v>
      </c>
      <c r="E373" s="13" t="e">
        <f t="shared" ca="1" si="38"/>
        <v>#DIV/0!</v>
      </c>
      <c r="F373" s="13" t="e">
        <f t="shared" ca="1" si="39"/>
        <v>#DIV/0!</v>
      </c>
      <c r="G373" s="21">
        <f ca="1">IF((Prices!B373-Prices!B372)*C373&gt;0,1,0)</f>
        <v>0</v>
      </c>
      <c r="H373" s="13" t="e">
        <f>ABS(Prices!B373-Prices!B372)/Prices!B372</f>
        <v>#DIV/0!</v>
      </c>
      <c r="I373" s="21"/>
      <c r="J373" s="4">
        <f t="shared" ca="1" si="40"/>
        <v>-1.6061407441269897E-3</v>
      </c>
      <c r="K373" s="13"/>
      <c r="L373" s="13">
        <f ca="1">L372-O373*Prices!B373</f>
        <v>0.73602277515754255</v>
      </c>
      <c r="M373" s="4">
        <f t="shared" ca="1" si="41"/>
        <v>2.8006542856082752E-2</v>
      </c>
      <c r="N373" s="13">
        <f ca="1">IF(Prices!B372&gt;OFFSET(Prices!B372,-$N$3,0),1,-1)</f>
        <v>-1</v>
      </c>
      <c r="O373" s="4">
        <f ca="1">IF(N373=1,O$3*L372/Prices!B372,-O$3*M372)</f>
        <v>-1.4740285713727766E-3</v>
      </c>
      <c r="P373" s="22"/>
      <c r="Q373" s="13">
        <f ca="1">Q372-T373*Prices!B373</f>
        <v>0.94863015803649409</v>
      </c>
      <c r="R373" s="4">
        <f t="shared" ca="1" si="42"/>
        <v>1.1890095547879183E-3</v>
      </c>
      <c r="S373" s="13">
        <f ca="1">IF(Prices!D372&gt;OFFSET(Prices!D372,-S$3,0),1,-1)</f>
        <v>-1</v>
      </c>
      <c r="T373" s="4">
        <f ca="1">IF(S373=1,T$3*Q372/Prices!B372,-T$3*R372)</f>
        <v>-1.3211217275421313E-4</v>
      </c>
      <c r="V373" s="13"/>
      <c r="W373" s="4"/>
      <c r="X373" s="4"/>
      <c r="Y373" s="4"/>
      <c r="Z373" s="4"/>
      <c r="AA373" s="4"/>
      <c r="AB373" s="4"/>
      <c r="AC373" s="4"/>
      <c r="AD373" s="4"/>
      <c r="AE373" s="52"/>
    </row>
    <row r="374" spans="1:31" x14ac:dyDescent="0.2">
      <c r="A374" s="7">
        <v>43982</v>
      </c>
      <c r="B374" s="13">
        <f ca="1">Prices!B373*(1+J374/(50*(ABS(O374)+ABS(T374)+0.0001)))</f>
        <v>0</v>
      </c>
      <c r="C374" s="62">
        <f t="shared" ca="1" si="37"/>
        <v>0</v>
      </c>
      <c r="D374" s="13" t="e">
        <f ca="1">D373+C374*(Prices!B374-Prices!B373)/Prices!B373</f>
        <v>#DIV/0!</v>
      </c>
      <c r="E374" s="13" t="e">
        <f t="shared" ca="1" si="38"/>
        <v>#DIV/0!</v>
      </c>
      <c r="F374" s="13" t="e">
        <f t="shared" ca="1" si="39"/>
        <v>#DIV/0!</v>
      </c>
      <c r="G374" s="21">
        <f ca="1">IF((Prices!B374-Prices!B373)*C374&gt;0,1,0)</f>
        <v>0</v>
      </c>
      <c r="H374" s="13" t="e">
        <f>ABS(Prices!B374-Prices!B373)/Prices!B373</f>
        <v>#DIV/0!</v>
      </c>
      <c r="I374" s="21"/>
      <c r="J374" s="4">
        <f t="shared" ca="1" si="40"/>
        <v>-1.5192280982829296E-3</v>
      </c>
      <c r="K374" s="13"/>
      <c r="L374" s="13">
        <f ca="1">L373-O374*Prices!B374</f>
        <v>0.73602277515754255</v>
      </c>
      <c r="M374" s="4">
        <f t="shared" ca="1" si="41"/>
        <v>2.6606215713278616E-2</v>
      </c>
      <c r="N374" s="13">
        <f ca="1">IF(Prices!B373&gt;OFFSET(Prices!B373,-$N$3,0),1,-1)</f>
        <v>-1</v>
      </c>
      <c r="O374" s="4">
        <f ca="1">IF(N374=1,O$3*L373/Prices!B373,-O$3*M373)</f>
        <v>-1.4003271428041377E-3</v>
      </c>
      <c r="P374" s="22"/>
      <c r="Q374" s="13">
        <f ca="1">Q373-T374*Prices!B374</f>
        <v>0.94863015803649409</v>
      </c>
      <c r="R374" s="4">
        <f t="shared" ca="1" si="42"/>
        <v>1.0701085993091264E-3</v>
      </c>
      <c r="S374" s="13">
        <f ca="1">IF(Prices!D373&gt;OFFSET(Prices!D373,-S$3,0),1,-1)</f>
        <v>-1</v>
      </c>
      <c r="T374" s="4">
        <f ca="1">IF(S374=1,T$3*Q373/Prices!B373,-T$3*R373)</f>
        <v>-1.1890095547879183E-4</v>
      </c>
      <c r="V374" s="13"/>
      <c r="W374" s="4"/>
      <c r="X374" s="4"/>
      <c r="Y374" s="4"/>
      <c r="Z374" s="4"/>
      <c r="AA374" s="4"/>
      <c r="AB374" s="4"/>
      <c r="AC374" s="4"/>
      <c r="AD374" s="4"/>
      <c r="AE374" s="52"/>
    </row>
    <row r="375" spans="1:31" x14ac:dyDescent="0.2">
      <c r="A375" s="7">
        <v>43989</v>
      </c>
      <c r="B375" s="13">
        <f ca="1">Prices!B374*(1+J375/(50*(ABS(O375)+ABS(T375)+0.0001)))</f>
        <v>0</v>
      </c>
      <c r="C375" s="62">
        <f t="shared" ca="1" si="37"/>
        <v>0</v>
      </c>
      <c r="D375" s="13" t="e">
        <f ca="1">D374+C375*(Prices!B375-Prices!B374)/Prices!B374</f>
        <v>#DIV/0!</v>
      </c>
      <c r="E375" s="13" t="e">
        <f t="shared" ca="1" si="38"/>
        <v>#DIV/0!</v>
      </c>
      <c r="F375" s="13" t="e">
        <f t="shared" ca="1" si="39"/>
        <v>#DIV/0!</v>
      </c>
      <c r="G375" s="21">
        <f ca="1">IF((Prices!B375-Prices!B374)*C375&gt;0,1,0)</f>
        <v>0</v>
      </c>
      <c r="H375" s="13" t="e">
        <f>ABS(Prices!B375-Prices!B374)/Prices!B374</f>
        <v>#DIV/0!</v>
      </c>
      <c r="I375" s="21"/>
      <c r="J375" s="4">
        <f t="shared" ca="1" si="40"/>
        <v>-1.4373216455948435E-3</v>
      </c>
      <c r="K375" s="13"/>
      <c r="L375" s="13">
        <f ca="1">L374-O375*Prices!B375</f>
        <v>0.73602277515754255</v>
      </c>
      <c r="M375" s="4">
        <f t="shared" ca="1" si="41"/>
        <v>2.5275904927614685E-2</v>
      </c>
      <c r="N375" s="13">
        <f ca="1">IF(Prices!B374&gt;OFFSET(Prices!B374,-$N$3,0),1,-1)</f>
        <v>-1</v>
      </c>
      <c r="O375" s="4">
        <f ca="1">IF(N375=1,O$3*L374/Prices!B374,-O$3*M374)</f>
        <v>-1.330310785663931E-3</v>
      </c>
      <c r="P375" s="22"/>
      <c r="Q375" s="13">
        <f ca="1">Q374-T375*Prices!B375</f>
        <v>0.94863015803649409</v>
      </c>
      <c r="R375" s="4">
        <f t="shared" ca="1" si="42"/>
        <v>9.6309773937821371E-4</v>
      </c>
      <c r="S375" s="13">
        <f ca="1">IF(Prices!D374&gt;OFFSET(Prices!D374,-S$3,0),1,-1)</f>
        <v>-1</v>
      </c>
      <c r="T375" s="4">
        <f ca="1">IF(S375=1,T$3*Q374/Prices!B374,-T$3*R374)</f>
        <v>-1.0701085993091264E-4</v>
      </c>
      <c r="V375" s="13"/>
      <c r="W375" s="4"/>
      <c r="X375" s="4"/>
      <c r="Y375" s="4"/>
      <c r="Z375" s="4"/>
      <c r="AA375" s="4"/>
      <c r="AB375" s="4"/>
      <c r="AC375" s="4"/>
      <c r="AD375" s="4"/>
      <c r="AE375" s="52"/>
    </row>
    <row r="376" spans="1:31" x14ac:dyDescent="0.2">
      <c r="A376" s="7">
        <v>43996</v>
      </c>
      <c r="B376" s="13">
        <f ca="1">Prices!B375*(1+J376/(50*(ABS(O376)+ABS(T376)+0.0001)))</f>
        <v>0</v>
      </c>
      <c r="C376" s="62">
        <f t="shared" ca="1" si="37"/>
        <v>0</v>
      </c>
      <c r="D376" s="13" t="e">
        <f ca="1">D375+C376*(Prices!B376-Prices!B375)/Prices!B375</f>
        <v>#DIV/0!</v>
      </c>
      <c r="E376" s="13" t="e">
        <f t="shared" ca="1" si="38"/>
        <v>#DIV/0!</v>
      </c>
      <c r="F376" s="13" t="e">
        <f t="shared" ca="1" si="39"/>
        <v>#DIV/0!</v>
      </c>
      <c r="G376" s="21">
        <f ca="1">IF((Prices!B376-Prices!B375)*C376&gt;0,1,0)</f>
        <v>0</v>
      </c>
      <c r="H376" s="13" t="e">
        <f>ABS(Prices!B376-Prices!B375)/Prices!B375</f>
        <v>#DIV/0!</v>
      </c>
      <c r="I376" s="21"/>
      <c r="J376" s="4">
        <f t="shared" ca="1" si="40"/>
        <v>-1.3601050203185556E-3</v>
      </c>
      <c r="K376" s="13"/>
      <c r="L376" s="13">
        <f ca="1">L375-O376*Prices!B376</f>
        <v>0.73602277515754255</v>
      </c>
      <c r="M376" s="4">
        <f t="shared" ca="1" si="41"/>
        <v>2.4012109681233951E-2</v>
      </c>
      <c r="N376" s="13">
        <f ca="1">IF(Prices!B375&gt;OFFSET(Prices!B375,-$N$3,0),1,-1)</f>
        <v>-1</v>
      </c>
      <c r="O376" s="4">
        <f ca="1">IF(N376=1,O$3*L375/Prices!B375,-O$3*M375)</f>
        <v>-1.2637952463807342E-3</v>
      </c>
      <c r="P376" s="22"/>
      <c r="Q376" s="13">
        <f ca="1">Q375-T376*Prices!B376</f>
        <v>0.94863015803649409</v>
      </c>
      <c r="R376" s="4">
        <f t="shared" ca="1" si="42"/>
        <v>8.6678796544039228E-4</v>
      </c>
      <c r="S376" s="13">
        <f ca="1">IF(Prices!D375&gt;OFFSET(Prices!D375,-S$3,0),1,-1)</f>
        <v>-1</v>
      </c>
      <c r="T376" s="4">
        <f ca="1">IF(S376=1,T$3*Q375/Prices!B375,-T$3*R375)</f>
        <v>-9.6309773937821371E-5</v>
      </c>
      <c r="V376" s="13"/>
      <c r="W376" s="4"/>
      <c r="X376" s="4"/>
      <c r="Y376" s="4"/>
      <c r="Z376" s="4"/>
      <c r="AA376" s="4"/>
      <c r="AB376" s="4"/>
      <c r="AC376" s="4"/>
      <c r="AD376" s="4"/>
      <c r="AE376" s="52"/>
    </row>
    <row r="377" spans="1:31" x14ac:dyDescent="0.2">
      <c r="A377" s="7">
        <v>44003</v>
      </c>
      <c r="B377" s="13">
        <f ca="1">Prices!B376*(1+J377/(50*(ABS(O377)+ABS(T377)+0.0001)))</f>
        <v>0</v>
      </c>
      <c r="C377" s="62">
        <f t="shared" ca="1" si="37"/>
        <v>0</v>
      </c>
      <c r="D377" s="13" t="e">
        <f ca="1">D376+C377*(Prices!B377-Prices!B376)/Prices!B376</f>
        <v>#DIV/0!</v>
      </c>
      <c r="E377" s="13" t="e">
        <f t="shared" ca="1" si="38"/>
        <v>#DIV/0!</v>
      </c>
      <c r="F377" s="13" t="e">
        <f t="shared" ca="1" si="39"/>
        <v>#DIV/0!</v>
      </c>
      <c r="G377" s="21">
        <f ca="1">IF((Prices!B377-Prices!B376)*C377&gt;0,1,0)</f>
        <v>0</v>
      </c>
      <c r="H377" s="13" t="e">
        <f>ABS(Prices!B377-Prices!B376)/Prices!B376</f>
        <v>#DIV/0!</v>
      </c>
      <c r="I377" s="21"/>
      <c r="J377" s="4">
        <f t="shared" ca="1" si="40"/>
        <v>-1.2872842806057369E-3</v>
      </c>
      <c r="K377" s="13"/>
      <c r="L377" s="13">
        <f ca="1">L376-O377*Prices!B377</f>
        <v>0.73602277515754255</v>
      </c>
      <c r="M377" s="4">
        <f t="shared" ca="1" si="41"/>
        <v>2.2811504197172254E-2</v>
      </c>
      <c r="N377" s="13">
        <f ca="1">IF(Prices!B376&gt;OFFSET(Prices!B376,-$N$3,0),1,-1)</f>
        <v>-1</v>
      </c>
      <c r="O377" s="4">
        <f ca="1">IF(N377=1,O$3*L376/Prices!B376,-O$3*M376)</f>
        <v>-1.2006054840616976E-3</v>
      </c>
      <c r="P377" s="22"/>
      <c r="Q377" s="13">
        <f ca="1">Q376-T377*Prices!B377</f>
        <v>0.94863015803649409</v>
      </c>
      <c r="R377" s="4">
        <f t="shared" ca="1" si="42"/>
        <v>7.8010916889635303E-4</v>
      </c>
      <c r="S377" s="13">
        <f ca="1">IF(Prices!D376&gt;OFFSET(Prices!D376,-S$3,0),1,-1)</f>
        <v>-1</v>
      </c>
      <c r="T377" s="4">
        <f ca="1">IF(S377=1,T$3*Q376/Prices!B376,-T$3*R376)</f>
        <v>-8.6678796544039237E-5</v>
      </c>
      <c r="V377" s="13"/>
      <c r="W377" s="4"/>
      <c r="X377" s="4"/>
      <c r="Y377" s="4"/>
      <c r="Z377" s="4"/>
      <c r="AA377" s="4"/>
      <c r="AB377" s="4"/>
      <c r="AC377" s="4"/>
      <c r="AD377" s="4"/>
      <c r="AE377" s="52"/>
    </row>
    <row r="378" spans="1:31" x14ac:dyDescent="0.2">
      <c r="A378" s="7">
        <v>44010</v>
      </c>
      <c r="B378" s="13">
        <f ca="1">Prices!B377*(1+J378/(50*(ABS(O378)+ABS(T378)+0.0001)))</f>
        <v>0</v>
      </c>
      <c r="C378" s="62">
        <f t="shared" ca="1" si="37"/>
        <v>0</v>
      </c>
      <c r="D378" s="13" t="e">
        <f ca="1">D377+C378*(Prices!B378-Prices!B377)/Prices!B377</f>
        <v>#DIV/0!</v>
      </c>
      <c r="E378" s="13" t="e">
        <f t="shared" ca="1" si="38"/>
        <v>#DIV/0!</v>
      </c>
      <c r="F378" s="13" t="e">
        <f t="shared" ca="1" si="39"/>
        <v>#DIV/0!</v>
      </c>
      <c r="G378" s="21">
        <f ca="1">IF((Prices!B378-Prices!B377)*C378&gt;0,1,0)</f>
        <v>0</v>
      </c>
      <c r="H378" s="13" t="e">
        <f>ABS(Prices!B378-Prices!B377)/Prices!B377</f>
        <v>#DIV/0!</v>
      </c>
      <c r="I378" s="21"/>
      <c r="J378" s="4">
        <f t="shared" ca="1" si="40"/>
        <v>-1.218586126748248E-3</v>
      </c>
      <c r="K378" s="13"/>
      <c r="L378" s="13">
        <f ca="1">L377-O378*Prices!B378</f>
        <v>0.73602277515754255</v>
      </c>
      <c r="M378" s="4">
        <f t="shared" ca="1" si="41"/>
        <v>2.167092898731364E-2</v>
      </c>
      <c r="N378" s="13">
        <f ca="1">IF(Prices!B377&gt;OFFSET(Prices!B377,-$N$3,0),1,-1)</f>
        <v>-1</v>
      </c>
      <c r="O378" s="4">
        <f ca="1">IF(N378=1,O$3*L377/Prices!B377,-O$3*M377)</f>
        <v>-1.1405752098586127E-3</v>
      </c>
      <c r="P378" s="22"/>
      <c r="Q378" s="13">
        <f ca="1">Q377-T378*Prices!B378</f>
        <v>0.94863015803649409</v>
      </c>
      <c r="R378" s="4">
        <f t="shared" ca="1" si="42"/>
        <v>7.0209825200671775E-4</v>
      </c>
      <c r="S378" s="13">
        <f ca="1">IF(Prices!D377&gt;OFFSET(Prices!D377,-S$3,0),1,-1)</f>
        <v>-1</v>
      </c>
      <c r="T378" s="4">
        <f ca="1">IF(S378=1,T$3*Q377/Prices!B377,-T$3*R377)</f>
        <v>-7.8010916889635309E-5</v>
      </c>
      <c r="V378" s="13"/>
      <c r="W378" s="4"/>
      <c r="X378" s="4"/>
      <c r="Y378" s="4"/>
      <c r="Z378" s="4"/>
      <c r="AA378" s="4"/>
      <c r="AB378" s="4"/>
      <c r="AC378" s="4"/>
      <c r="AD378" s="4"/>
      <c r="AE378" s="52"/>
    </row>
    <row r="379" spans="1:31" x14ac:dyDescent="0.2">
      <c r="A379" s="7">
        <v>44017</v>
      </c>
      <c r="B379" s="13">
        <f ca="1">Prices!B378*(1+J379/(50*(ABS(O379)+ABS(T379)+0.0001)))</f>
        <v>0</v>
      </c>
      <c r="C379" s="62">
        <f t="shared" ca="1" si="37"/>
        <v>0</v>
      </c>
      <c r="D379" s="13" t="e">
        <f ca="1">D378+C379*(Prices!B379-Prices!B378)/Prices!B378</f>
        <v>#DIV/0!</v>
      </c>
      <c r="E379" s="13" t="e">
        <f t="shared" ca="1" si="38"/>
        <v>#DIV/0!</v>
      </c>
      <c r="F379" s="13" t="e">
        <f t="shared" ca="1" si="39"/>
        <v>#DIV/0!</v>
      </c>
      <c r="G379" s="21">
        <f ca="1">IF((Prices!B379-Prices!B378)*C379&gt;0,1,0)</f>
        <v>0</v>
      </c>
      <c r="H379" s="13" t="e">
        <f>ABS(Prices!B379-Prices!B378)/Prices!B378</f>
        <v>#DIV/0!</v>
      </c>
      <c r="I379" s="21"/>
      <c r="J379" s="4">
        <f t="shared" ca="1" si="40"/>
        <v>-1.1537562745663537E-3</v>
      </c>
      <c r="K379" s="13"/>
      <c r="L379" s="13">
        <f ca="1">L378-O379*Prices!B379</f>
        <v>0.73602277515754255</v>
      </c>
      <c r="M379" s="4">
        <f t="shared" ca="1" si="41"/>
        <v>2.0587382537947958E-2</v>
      </c>
      <c r="N379" s="13">
        <f ca="1">IF(Prices!B378&gt;OFFSET(Prices!B378,-$N$3,0),1,-1)</f>
        <v>-1</v>
      </c>
      <c r="O379" s="4">
        <f ca="1">IF(N379=1,O$3*L378/Prices!B378,-O$3*M378)</f>
        <v>-1.0835464493656819E-3</v>
      </c>
      <c r="P379" s="22"/>
      <c r="Q379" s="13">
        <f ca="1">Q378-T379*Prices!B379</f>
        <v>0.94863015803649409</v>
      </c>
      <c r="R379" s="4">
        <f t="shared" ca="1" si="42"/>
        <v>6.3188842680604596E-4</v>
      </c>
      <c r="S379" s="13">
        <f ca="1">IF(Prices!D378&gt;OFFSET(Prices!D378,-S$3,0),1,-1)</f>
        <v>-1</v>
      </c>
      <c r="T379" s="4">
        <f ca="1">IF(S379=1,T$3*Q378/Prices!B378,-T$3*R378)</f>
        <v>-7.0209825200671783E-5</v>
      </c>
      <c r="V379" s="13"/>
      <c r="W379" s="4"/>
      <c r="X379" s="4"/>
      <c r="Y379" s="4"/>
      <c r="Z379" s="4"/>
      <c r="AA379" s="4"/>
      <c r="AB379" s="4"/>
      <c r="AC379" s="4"/>
      <c r="AD379" s="4"/>
      <c r="AE379" s="52"/>
    </row>
    <row r="380" spans="1:31" x14ac:dyDescent="0.2">
      <c r="A380" s="7">
        <v>44024</v>
      </c>
      <c r="B380" s="13">
        <f ca="1">Prices!B379*(1+J380/(50*(ABS(O380)+ABS(T380)+0.0001)))</f>
        <v>0</v>
      </c>
      <c r="C380" s="62">
        <f t="shared" ca="1" si="37"/>
        <v>0</v>
      </c>
      <c r="D380" s="13" t="e">
        <f ca="1">D379+C380*(Prices!B380-Prices!B379)/Prices!B379</f>
        <v>#DIV/0!</v>
      </c>
      <c r="E380" s="13" t="e">
        <f t="shared" ca="1" si="38"/>
        <v>#DIV/0!</v>
      </c>
      <c r="F380" s="13" t="e">
        <f t="shared" ca="1" si="39"/>
        <v>#DIV/0!</v>
      </c>
      <c r="G380" s="21">
        <f ca="1">IF((Prices!B380-Prices!B379)*C380&gt;0,1,0)</f>
        <v>0</v>
      </c>
      <c r="H380" s="13" t="e">
        <f>ABS(Prices!B380-Prices!B379)/Prices!B379</f>
        <v>#DIV/0!</v>
      </c>
      <c r="I380" s="21"/>
      <c r="J380" s="4">
        <f t="shared" ca="1" si="40"/>
        <v>-1.0925579695780026E-3</v>
      </c>
      <c r="K380" s="13"/>
      <c r="L380" s="13">
        <f ca="1">L379-O380*Prices!B380</f>
        <v>0.73602277515754255</v>
      </c>
      <c r="M380" s="4">
        <f t="shared" ca="1" si="41"/>
        <v>1.9558013411050561E-2</v>
      </c>
      <c r="N380" s="13">
        <f ca="1">IF(Prices!B379&gt;OFFSET(Prices!B379,-$N$3,0),1,-1)</f>
        <v>-1</v>
      </c>
      <c r="O380" s="4">
        <f ca="1">IF(N380=1,O$3*L379/Prices!B379,-O$3*M379)</f>
        <v>-1.029369126897398E-3</v>
      </c>
      <c r="P380" s="22"/>
      <c r="Q380" s="13">
        <f ca="1">Q379-T380*Prices!B380</f>
        <v>0.94863015803649409</v>
      </c>
      <c r="R380" s="4">
        <f t="shared" ca="1" si="42"/>
        <v>5.6869958412544136E-4</v>
      </c>
      <c r="S380" s="13">
        <f ca="1">IF(Prices!D379&gt;OFFSET(Prices!D379,-S$3,0),1,-1)</f>
        <v>-1</v>
      </c>
      <c r="T380" s="4">
        <f ca="1">IF(S380=1,T$3*Q379/Prices!B379,-T$3*R379)</f>
        <v>-6.3188842680604596E-5</v>
      </c>
      <c r="V380" s="13"/>
      <c r="W380" s="4"/>
      <c r="X380" s="4"/>
      <c r="Y380" s="4"/>
      <c r="Z380" s="4"/>
      <c r="AA380" s="4"/>
      <c r="AB380" s="4"/>
      <c r="AC380" s="4"/>
      <c r="AD380" s="4"/>
      <c r="AE380" s="52"/>
    </row>
    <row r="381" spans="1:31" x14ac:dyDescent="0.2">
      <c r="A381" s="7">
        <v>44031</v>
      </c>
      <c r="B381" s="13">
        <f ca="1">Prices!B380*(1+J381/(50*(ABS(O381)+ABS(T381)+0.0001)))</f>
        <v>0</v>
      </c>
      <c r="C381" s="62">
        <f t="shared" ca="1" si="37"/>
        <v>0</v>
      </c>
      <c r="D381" s="13" t="e">
        <f ca="1">D380+C381*(Prices!B381-Prices!B380)/Prices!B380</f>
        <v>#DIV/0!</v>
      </c>
      <c r="E381" s="13" t="e">
        <f t="shared" ca="1" si="38"/>
        <v>#DIV/0!</v>
      </c>
      <c r="F381" s="13" t="e">
        <f t="shared" ca="1" si="39"/>
        <v>#DIV/0!</v>
      </c>
      <c r="G381" s="21">
        <f ca="1">IF((Prices!B381-Prices!B380)*C381&gt;0,1,0)</f>
        <v>0</v>
      </c>
      <c r="H381" s="13" t="e">
        <f>ABS(Prices!B381-Prices!B380)/Prices!B380</f>
        <v>#DIV/0!</v>
      </c>
      <c r="I381" s="21"/>
      <c r="J381" s="4">
        <f t="shared" ca="1" si="40"/>
        <v>-1.0347706289650723E-3</v>
      </c>
      <c r="K381" s="13"/>
      <c r="L381" s="13">
        <f ca="1">L380-O381*Prices!B381</f>
        <v>0.73602277515754255</v>
      </c>
      <c r="M381" s="4">
        <f t="shared" ca="1" si="41"/>
        <v>1.8580112740498034E-2</v>
      </c>
      <c r="N381" s="13">
        <f ca="1">IF(Prices!B380&gt;OFFSET(Prices!B380,-$N$3,0),1,-1)</f>
        <v>-1</v>
      </c>
      <c r="O381" s="4">
        <f ca="1">IF(N381=1,O$3*L380/Prices!B380,-O$3*M380)</f>
        <v>-9.7790067055252808E-4</v>
      </c>
      <c r="P381" s="22"/>
      <c r="Q381" s="13">
        <f ca="1">Q380-T381*Prices!B381</f>
        <v>0.94863015803649409</v>
      </c>
      <c r="R381" s="4">
        <f t="shared" ca="1" si="42"/>
        <v>5.1182962571289718E-4</v>
      </c>
      <c r="S381" s="13">
        <f ca="1">IF(Prices!D380&gt;OFFSET(Prices!D380,-S$3,0),1,-1)</f>
        <v>-1</v>
      </c>
      <c r="T381" s="4">
        <f ca="1">IF(S381=1,T$3*Q380/Prices!B380,-T$3*R380)</f>
        <v>-5.6869958412544139E-5</v>
      </c>
      <c r="V381" s="13"/>
      <c r="W381" s="4"/>
      <c r="X381" s="4"/>
      <c r="Y381" s="4"/>
      <c r="Z381" s="4"/>
      <c r="AA381" s="4"/>
      <c r="AB381" s="4"/>
      <c r="AC381" s="4"/>
      <c r="AD381" s="4"/>
      <c r="AE381" s="52"/>
    </row>
    <row r="382" spans="1:31" x14ac:dyDescent="0.2">
      <c r="A382" s="7">
        <v>44038</v>
      </c>
      <c r="B382" s="13">
        <f ca="1">Prices!B381*(1+J382/(50*(ABS(O382)+ABS(T382)+0.0001)))</f>
        <v>0</v>
      </c>
      <c r="C382" s="62">
        <f t="shared" ca="1" si="37"/>
        <v>0</v>
      </c>
      <c r="D382" s="13" t="e">
        <f ca="1">D381+C382*(Prices!B382-Prices!B381)/Prices!B381</f>
        <v>#DIV/0!</v>
      </c>
      <c r="E382" s="13" t="e">
        <f t="shared" ca="1" si="38"/>
        <v>#DIV/0!</v>
      </c>
      <c r="F382" s="13" t="e">
        <f t="shared" ca="1" si="39"/>
        <v>#DIV/0!</v>
      </c>
      <c r="G382" s="21">
        <f ca="1">IF((Prices!B382-Prices!B381)*C382&gt;0,1,0)</f>
        <v>0</v>
      </c>
      <c r="H382" s="13" t="e">
        <f>ABS(Prices!B382-Prices!B381)/Prices!B381</f>
        <v>#DIV/0!</v>
      </c>
      <c r="I382" s="21"/>
      <c r="J382" s="4">
        <f t="shared" ca="1" si="40"/>
        <v>-9.8018859959619138E-4</v>
      </c>
      <c r="K382" s="13"/>
      <c r="L382" s="13">
        <f ca="1">L381-O382*Prices!B382</f>
        <v>0.73602277515754255</v>
      </c>
      <c r="M382" s="4">
        <f t="shared" ca="1" si="41"/>
        <v>1.7651107103473132E-2</v>
      </c>
      <c r="N382" s="13">
        <f ca="1">IF(Prices!B381&gt;OFFSET(Prices!B381,-$N$3,0),1,-1)</f>
        <v>-1</v>
      </c>
      <c r="O382" s="4">
        <f ca="1">IF(N382=1,O$3*L381/Prices!B381,-O$3*M381)</f>
        <v>-9.2900563702490169E-4</v>
      </c>
      <c r="P382" s="22"/>
      <c r="Q382" s="13">
        <f ca="1">Q381-T382*Prices!B382</f>
        <v>0.94863015803649409</v>
      </c>
      <c r="R382" s="4">
        <f t="shared" ca="1" si="42"/>
        <v>4.6064666314160748E-4</v>
      </c>
      <c r="S382" s="13">
        <f ca="1">IF(Prices!D381&gt;OFFSET(Prices!D381,-S$3,0),1,-1)</f>
        <v>-1</v>
      </c>
      <c r="T382" s="4">
        <f ca="1">IF(S382=1,T$3*Q381/Prices!B381,-T$3*R381)</f>
        <v>-5.1182962571289723E-5</v>
      </c>
      <c r="V382" s="13"/>
      <c r="W382" s="4"/>
      <c r="X382" s="4"/>
      <c r="Y382" s="4"/>
      <c r="Z382" s="4"/>
      <c r="AA382" s="4"/>
      <c r="AB382" s="4"/>
      <c r="AC382" s="4"/>
      <c r="AD382" s="4"/>
      <c r="AE382" s="52"/>
    </row>
    <row r="383" spans="1:31" x14ac:dyDescent="0.2">
      <c r="A383" s="7">
        <v>44045</v>
      </c>
      <c r="B383" s="13">
        <f ca="1">Prices!B382*(1+J383/(50*(ABS(O383)+ABS(T383)+0.0001)))</f>
        <v>0</v>
      </c>
      <c r="C383" s="62">
        <f t="shared" ca="1" si="37"/>
        <v>0</v>
      </c>
      <c r="D383" s="13" t="e">
        <f ca="1">D382+C383*(Prices!B383-Prices!B382)/Prices!B382</f>
        <v>#DIV/0!</v>
      </c>
      <c r="E383" s="13" t="e">
        <f t="shared" ca="1" si="38"/>
        <v>#DIV/0!</v>
      </c>
      <c r="F383" s="13" t="e">
        <f t="shared" ca="1" si="39"/>
        <v>#DIV/0!</v>
      </c>
      <c r="G383" s="21">
        <f ca="1">IF((Prices!B383-Prices!B382)*C383&gt;0,1,0)</f>
        <v>0</v>
      </c>
      <c r="H383" s="13" t="e">
        <f>ABS(Prices!B383-Prices!B382)/Prices!B382</f>
        <v>#DIV/0!</v>
      </c>
      <c r="I383" s="21"/>
      <c r="J383" s="4">
        <f t="shared" ca="1" si="40"/>
        <v>-9.2862002148781739E-4</v>
      </c>
      <c r="K383" s="13"/>
      <c r="L383" s="13">
        <f ca="1">L382-O383*Prices!B383</f>
        <v>0.73602277515754255</v>
      </c>
      <c r="M383" s="4">
        <f t="shared" ca="1" si="41"/>
        <v>1.6768551748299474E-2</v>
      </c>
      <c r="N383" s="13">
        <f ca="1">IF(Prices!B382&gt;OFFSET(Prices!B382,-$N$3,0),1,-1)</f>
        <v>-1</v>
      </c>
      <c r="O383" s="4">
        <f ca="1">IF(N383=1,O$3*L382/Prices!B382,-O$3*M382)</f>
        <v>-8.8255535517365669E-4</v>
      </c>
      <c r="P383" s="22"/>
      <c r="Q383" s="13">
        <f ca="1">Q382-T383*Prices!B383</f>
        <v>0.94863015803649409</v>
      </c>
      <c r="R383" s="4">
        <f t="shared" ca="1" si="42"/>
        <v>4.1458199682744672E-4</v>
      </c>
      <c r="S383" s="13">
        <f ca="1">IF(Prices!D382&gt;OFFSET(Prices!D382,-S$3,0),1,-1)</f>
        <v>-1</v>
      </c>
      <c r="T383" s="4">
        <f ca="1">IF(S383=1,T$3*Q382/Prices!B382,-T$3*R382)</f>
        <v>-4.6064666314160752E-5</v>
      </c>
      <c r="V383" s="13"/>
      <c r="W383" s="4"/>
      <c r="X383" s="4"/>
      <c r="Y383" s="4"/>
      <c r="Z383" s="4"/>
      <c r="AA383" s="4"/>
      <c r="AB383" s="4"/>
      <c r="AC383" s="4"/>
      <c r="AD383" s="4"/>
      <c r="AE383" s="52"/>
    </row>
    <row r="384" spans="1:31" x14ac:dyDescent="0.2">
      <c r="A384" s="7">
        <v>44052</v>
      </c>
      <c r="B384" s="13">
        <f ca="1">Prices!B383*(1+J384/(50*(ABS(O384)+ABS(T384)+0.0001)))</f>
        <v>0</v>
      </c>
      <c r="C384" s="62">
        <f t="shared" ca="1" si="37"/>
        <v>0</v>
      </c>
      <c r="D384" s="13" t="e">
        <f ca="1">D383+C384*(Prices!B384-Prices!B383)/Prices!B383</f>
        <v>#DIV/0!</v>
      </c>
      <c r="E384" s="13" t="e">
        <f t="shared" ca="1" si="38"/>
        <v>#DIV/0!</v>
      </c>
      <c r="F384" s="13" t="e">
        <f t="shared" ca="1" si="39"/>
        <v>#DIV/0!</v>
      </c>
      <c r="G384" s="21">
        <f ca="1">IF((Prices!B384-Prices!B383)*C384&gt;0,1,0)</f>
        <v>0</v>
      </c>
      <c r="H384" s="13" t="e">
        <f>ABS(Prices!B384-Prices!B383)/Prices!B383</f>
        <v>#DIV/0!</v>
      </c>
      <c r="I384" s="21"/>
      <c r="J384" s="4">
        <f t="shared" ca="1" si="40"/>
        <v>-8.7988578709771845E-4</v>
      </c>
      <c r="K384" s="13"/>
      <c r="L384" s="13">
        <f ca="1">L383-O384*Prices!B384</f>
        <v>0.73602277515754255</v>
      </c>
      <c r="M384" s="4">
        <f t="shared" ca="1" si="41"/>
        <v>1.5930124160884501E-2</v>
      </c>
      <c r="N384" s="13">
        <f ca="1">IF(Prices!B383&gt;OFFSET(Prices!B383,-$N$3,0),1,-1)</f>
        <v>-1</v>
      </c>
      <c r="O384" s="4">
        <f ca="1">IF(N384=1,O$3*L383/Prices!B383,-O$3*M383)</f>
        <v>-8.3842758741497375E-4</v>
      </c>
      <c r="P384" s="22"/>
      <c r="Q384" s="13">
        <f ca="1">Q383-T384*Prices!B384</f>
        <v>0.94863015803649409</v>
      </c>
      <c r="R384" s="4">
        <f t="shared" ca="1" si="42"/>
        <v>3.7312379714470208E-4</v>
      </c>
      <c r="S384" s="13">
        <f ca="1">IF(Prices!D383&gt;OFFSET(Prices!D383,-S$3,0),1,-1)</f>
        <v>-1</v>
      </c>
      <c r="T384" s="4">
        <f ca="1">IF(S384=1,T$3*Q383/Prices!B383,-T$3*R383)</f>
        <v>-4.1458199682744672E-5</v>
      </c>
      <c r="V384" s="13"/>
      <c r="W384" s="4"/>
      <c r="X384" s="4"/>
      <c r="Y384" s="4"/>
      <c r="Z384" s="4"/>
      <c r="AA384" s="4"/>
      <c r="AB384" s="4"/>
      <c r="AC384" s="4"/>
      <c r="AD384" s="4"/>
      <c r="AE384" s="52"/>
    </row>
    <row r="385" spans="1:31" x14ac:dyDescent="0.2">
      <c r="A385" s="7">
        <v>44059</v>
      </c>
      <c r="B385" s="13">
        <f ca="1">Prices!B384*(1+J385/(50*(ABS(O385)+ABS(T385)+0.0001)))</f>
        <v>0</v>
      </c>
      <c r="C385" s="62">
        <f t="shared" ca="1" si="37"/>
        <v>0</v>
      </c>
      <c r="D385" s="13" t="e">
        <f ca="1">D384+C385*(Prices!B385-Prices!B384)/Prices!B384</f>
        <v>#DIV/0!</v>
      </c>
      <c r="E385" s="13" t="e">
        <f t="shared" ca="1" si="38"/>
        <v>#DIV/0!</v>
      </c>
      <c r="F385" s="13" t="e">
        <f t="shared" ca="1" si="39"/>
        <v>#DIV/0!</v>
      </c>
      <c r="G385" s="21">
        <f ca="1">IF((Prices!B385-Prices!B384)*C385&gt;0,1,0)</f>
        <v>0</v>
      </c>
      <c r="H385" s="13" t="e">
        <f>ABS(Prices!B385-Prices!B384)/Prices!B384</f>
        <v>#DIV/0!</v>
      </c>
      <c r="I385" s="21"/>
      <c r="J385" s="4">
        <f t="shared" ca="1" si="40"/>
        <v>-8.3381858775869529E-4</v>
      </c>
      <c r="K385" s="13"/>
      <c r="L385" s="13">
        <f ca="1">L384-O385*Prices!B385</f>
        <v>0.73602277515754255</v>
      </c>
      <c r="M385" s="4">
        <f t="shared" ca="1" si="41"/>
        <v>1.5133617952840276E-2</v>
      </c>
      <c r="N385" s="13">
        <f ca="1">IF(Prices!B384&gt;OFFSET(Prices!B384,-$N$3,0),1,-1)</f>
        <v>-1</v>
      </c>
      <c r="O385" s="4">
        <f ca="1">IF(N385=1,O$3*L384/Prices!B384,-O$3*M384)</f>
        <v>-7.9650620804422507E-4</v>
      </c>
      <c r="P385" s="22"/>
      <c r="Q385" s="13">
        <f ca="1">Q384-T385*Prices!B385</f>
        <v>0.94863015803649409</v>
      </c>
      <c r="R385" s="4">
        <f t="shared" ca="1" si="42"/>
        <v>3.3581141743023186E-4</v>
      </c>
      <c r="S385" s="13">
        <f ca="1">IF(Prices!D384&gt;OFFSET(Prices!D384,-S$3,0),1,-1)</f>
        <v>-1</v>
      </c>
      <c r="T385" s="4">
        <f ca="1">IF(S385=1,T$3*Q384/Prices!B384,-T$3*R384)</f>
        <v>-3.7312379714470212E-5</v>
      </c>
      <c r="V385" s="13"/>
      <c r="W385" s="4"/>
      <c r="X385" s="4"/>
      <c r="Y385" s="4"/>
      <c r="Z385" s="4"/>
      <c r="AA385" s="4"/>
      <c r="AB385" s="4"/>
      <c r="AC385" s="4"/>
      <c r="AD385" s="4"/>
      <c r="AE385" s="52"/>
    </row>
    <row r="386" spans="1:31" x14ac:dyDescent="0.2">
      <c r="A386" s="7">
        <v>44066</v>
      </c>
      <c r="B386" s="13">
        <f ca="1">Prices!B385*(1+J386/(50*(ABS(O386)+ABS(T386)+0.0001)))</f>
        <v>0</v>
      </c>
      <c r="C386" s="62">
        <f t="shared" ca="1" si="37"/>
        <v>0</v>
      </c>
      <c r="D386" s="13" t="e">
        <f ca="1">D385+C386*(Prices!B386-Prices!B385)/Prices!B385</f>
        <v>#DIV/0!</v>
      </c>
      <c r="E386" s="13" t="e">
        <f t="shared" ca="1" si="38"/>
        <v>#DIV/0!</v>
      </c>
      <c r="F386" s="13" t="e">
        <f t="shared" ca="1" si="39"/>
        <v>#DIV/0!</v>
      </c>
      <c r="G386" s="21">
        <f ca="1">IF((Prices!B386-Prices!B385)*C386&gt;0,1,0)</f>
        <v>0</v>
      </c>
      <c r="H386" s="13" t="e">
        <f>ABS(Prices!B386-Prices!B385)/Prices!B385</f>
        <v>#DIV/0!</v>
      </c>
      <c r="I386" s="21"/>
      <c r="J386" s="4">
        <f t="shared" ca="1" si="40"/>
        <v>-7.9026203938503702E-4</v>
      </c>
      <c r="K386" s="13"/>
      <c r="L386" s="13">
        <f ca="1">L385-O386*Prices!B386</f>
        <v>0.73602277515754255</v>
      </c>
      <c r="M386" s="4">
        <f t="shared" ca="1" si="41"/>
        <v>1.4376937055198262E-2</v>
      </c>
      <c r="N386" s="13">
        <f ca="1">IF(Prices!B385&gt;OFFSET(Prices!B385,-$N$3,0),1,-1)</f>
        <v>-1</v>
      </c>
      <c r="O386" s="4">
        <f ca="1">IF(N386=1,O$3*L385/Prices!B385,-O$3*M385)</f>
        <v>-7.5668089764201381E-4</v>
      </c>
      <c r="P386" s="22"/>
      <c r="Q386" s="13">
        <f ca="1">Q385-T386*Prices!B386</f>
        <v>0.94863015803649409</v>
      </c>
      <c r="R386" s="4">
        <f t="shared" ca="1" si="42"/>
        <v>3.022302756872087E-4</v>
      </c>
      <c r="S386" s="13">
        <f ca="1">IF(Prices!D385&gt;OFFSET(Prices!D385,-S$3,0),1,-1)</f>
        <v>-1</v>
      </c>
      <c r="T386" s="4">
        <f ca="1">IF(S386=1,T$3*Q385/Prices!B385,-T$3*R385)</f>
        <v>-3.3581141743023185E-5</v>
      </c>
      <c r="V386" s="13"/>
      <c r="W386" s="4"/>
      <c r="X386" s="4"/>
      <c r="Y386" s="4"/>
      <c r="Z386" s="4"/>
      <c r="AA386" s="4"/>
      <c r="AB386" s="4"/>
      <c r="AC386" s="4"/>
      <c r="AD386" s="4"/>
      <c r="AE386" s="52"/>
    </row>
    <row r="387" spans="1:31" x14ac:dyDescent="0.2">
      <c r="A387" s="7">
        <v>44073</v>
      </c>
      <c r="B387" s="13">
        <f ca="1">Prices!B386*(1+J387/(50*(ABS(O387)+ABS(T387)+0.0001)))</f>
        <v>0</v>
      </c>
      <c r="C387" s="62">
        <f t="shared" ca="1" si="37"/>
        <v>0</v>
      </c>
      <c r="D387" s="13" t="e">
        <f ca="1">D386+C387*(Prices!B387-Prices!B386)/Prices!B386</f>
        <v>#DIV/0!</v>
      </c>
      <c r="E387" s="13" t="e">
        <f t="shared" ca="1" si="38"/>
        <v>#DIV/0!</v>
      </c>
      <c r="F387" s="13" t="e">
        <f t="shared" ca="1" si="39"/>
        <v>#DIV/0!</v>
      </c>
      <c r="G387" s="21">
        <f ca="1">IF((Prices!B387-Prices!B386)*C387&gt;0,1,0)</f>
        <v>0</v>
      </c>
      <c r="H387" s="13" t="e">
        <f>ABS(Prices!B387-Prices!B386)/Prices!B386</f>
        <v>#DIV/0!</v>
      </c>
      <c r="I387" s="21"/>
      <c r="J387" s="4">
        <f t="shared" ca="1" si="40"/>
        <v>-7.4906988032863399E-4</v>
      </c>
      <c r="K387" s="13"/>
      <c r="L387" s="13">
        <f ca="1">L386-O387*Prices!B387</f>
        <v>0.73602277515754255</v>
      </c>
      <c r="M387" s="4">
        <f t="shared" ca="1" si="41"/>
        <v>1.3658090202438349E-2</v>
      </c>
      <c r="N387" s="13">
        <f ca="1">IF(Prices!B386&gt;OFFSET(Prices!B386,-$N$3,0),1,-1)</f>
        <v>-1</v>
      </c>
      <c r="O387" s="4">
        <f ca="1">IF(N387=1,O$3*L386/Prices!B386,-O$3*M386)</f>
        <v>-7.1884685275991312E-4</v>
      </c>
      <c r="P387" s="22"/>
      <c r="Q387" s="13">
        <f ca="1">Q386-T387*Prices!B387</f>
        <v>0.94863015803649409</v>
      </c>
      <c r="R387" s="4">
        <f t="shared" ca="1" si="42"/>
        <v>2.7200724811848783E-4</v>
      </c>
      <c r="S387" s="13">
        <f ca="1">IF(Prices!D386&gt;OFFSET(Prices!D386,-S$3,0),1,-1)</f>
        <v>-1</v>
      </c>
      <c r="T387" s="4">
        <f ca="1">IF(S387=1,T$3*Q386/Prices!B386,-T$3*R386)</f>
        <v>-3.0223027568720871E-5</v>
      </c>
      <c r="V387" s="13"/>
      <c r="W387" s="4"/>
      <c r="X387" s="4"/>
      <c r="Y387" s="4"/>
      <c r="Z387" s="4"/>
      <c r="AA387" s="4"/>
      <c r="AB387" s="4"/>
      <c r="AC387" s="4"/>
      <c r="AD387" s="4"/>
      <c r="AE387" s="52"/>
    </row>
    <row r="388" spans="1:31" x14ac:dyDescent="0.2">
      <c r="A388" s="58">
        <v>44080</v>
      </c>
      <c r="B388" s="13">
        <f ca="1">Prices!B387*(1+J388/(50*(ABS(O388)+ABS(T388)+0.0001)))</f>
        <v>0</v>
      </c>
      <c r="C388" s="62">
        <f t="shared" ca="1" si="37"/>
        <v>0</v>
      </c>
      <c r="D388" s="13" t="e">
        <f ca="1">D387+C388*(Prices!B388-Prices!B387)/Prices!B387</f>
        <v>#DIV/0!</v>
      </c>
      <c r="E388" s="13" t="e">
        <f t="shared" ca="1" si="38"/>
        <v>#DIV/0!</v>
      </c>
      <c r="F388" s="13" t="e">
        <f t="shared" ca="1" si="39"/>
        <v>#DIV/0!</v>
      </c>
      <c r="G388" s="21">
        <f ca="1">IF((Prices!B388-Prices!B387)*C388&gt;0,1,0)</f>
        <v>0</v>
      </c>
      <c r="H388" s="13" t="e">
        <f>ABS(Prices!B388-Prices!B387)/Prices!B387</f>
        <v>#DIV/0!</v>
      </c>
      <c r="I388" s="21"/>
      <c r="J388" s="4">
        <f t="shared" ca="1" si="40"/>
        <v>-7.1010523493376628E-4</v>
      </c>
      <c r="K388" s="13"/>
      <c r="L388" s="13">
        <f ca="1">L387-O388*Prices!B388</f>
        <v>0.73602277515754255</v>
      </c>
      <c r="M388" s="4">
        <f t="shared" ca="1" si="41"/>
        <v>1.2975185692316432E-2</v>
      </c>
      <c r="N388" s="13">
        <f ca="1">IF(Prices!B387&gt;OFFSET(Prices!B387,-$N$3,0),1,-1)</f>
        <v>-1</v>
      </c>
      <c r="O388" s="4">
        <f ca="1">IF(N388=1,O$3*L387/Prices!B387,-O$3*M387)</f>
        <v>-6.8290451012191749E-4</v>
      </c>
      <c r="P388" s="22"/>
      <c r="Q388" s="13">
        <f ca="1">Q387-T388*Prices!B388</f>
        <v>0.94863015803649409</v>
      </c>
      <c r="R388" s="4">
        <f t="shared" ca="1" si="42"/>
        <v>2.4480652330663904E-4</v>
      </c>
      <c r="S388" s="13">
        <f ca="1">IF(Prices!D387&gt;OFFSET(Prices!D387,-S$3,0),1,-1)</f>
        <v>-1</v>
      </c>
      <c r="T388" s="4">
        <f ca="1">IF(S388=1,T$3*Q387/Prices!B387,-T$3*R387)</f>
        <v>-2.7200724811848785E-5</v>
      </c>
      <c r="V388" s="13"/>
      <c r="W388" s="4"/>
      <c r="X388" s="4"/>
      <c r="Y388" s="4"/>
      <c r="Z388" s="4"/>
      <c r="AA388" s="4"/>
      <c r="AB388" s="4"/>
      <c r="AC388" s="4"/>
      <c r="AD388" s="4"/>
      <c r="AE388" s="52"/>
    </row>
    <row r="389" spans="1:31" x14ac:dyDescent="0.2">
      <c r="A389" s="7">
        <v>44087</v>
      </c>
      <c r="B389" s="13">
        <f ca="1">Prices!B388*(1+J389/(50*(ABS(O389)+ABS(T389)+0.0001)))</f>
        <v>0</v>
      </c>
      <c r="C389" s="62">
        <f t="shared" ca="1" si="37"/>
        <v>0</v>
      </c>
      <c r="D389" s="13" t="e">
        <f ca="1">D388+C389*(Prices!B389-Prices!B388)/Prices!B388</f>
        <v>#DIV/0!</v>
      </c>
      <c r="E389" s="13" t="e">
        <f t="shared" ca="1" si="38"/>
        <v>#DIV/0!</v>
      </c>
      <c r="F389" s="13" t="e">
        <f t="shared" ca="1" si="39"/>
        <v>#DIV/0!</v>
      </c>
      <c r="G389" s="21">
        <f ca="1">IF((Prices!B389-Prices!B388)*C389&gt;0,1,0)</f>
        <v>0</v>
      </c>
      <c r="H389" s="13" t="e">
        <f>ABS(Prices!B389-Prices!B388)/Prices!B388</f>
        <v>#DIV/0!</v>
      </c>
      <c r="I389" s="21"/>
      <c r="J389" s="4">
        <f t="shared" ca="1" si="40"/>
        <v>-6.7323993694648552E-4</v>
      </c>
      <c r="K389" s="13"/>
      <c r="L389" s="13">
        <f ca="1">L388-O389*Prices!B389</f>
        <v>0.73602277515754255</v>
      </c>
      <c r="M389" s="4">
        <f t="shared" ca="1" si="41"/>
        <v>1.2326426407700611E-2</v>
      </c>
      <c r="N389" s="13">
        <f ca="1">IF(Prices!B388&gt;OFFSET(Prices!B388,-$N$3,0),1,-1)</f>
        <v>-1</v>
      </c>
      <c r="O389" s="4">
        <f ca="1">IF(N389=1,O$3*L388/Prices!B388,-O$3*M388)</f>
        <v>-6.4875928461582163E-4</v>
      </c>
      <c r="P389" s="22"/>
      <c r="Q389" s="13">
        <f ca="1">Q388-T389*Prices!B389</f>
        <v>0.94863015803649409</v>
      </c>
      <c r="R389" s="4">
        <f t="shared" ca="1" si="42"/>
        <v>2.2032587097597513E-4</v>
      </c>
      <c r="S389" s="13">
        <f ca="1">IF(Prices!D388&gt;OFFSET(Prices!D388,-S$3,0),1,-1)</f>
        <v>-1</v>
      </c>
      <c r="T389" s="4">
        <f ca="1">IF(S389=1,T$3*Q388/Prices!B388,-T$3*R388)</f>
        <v>-2.4480652330663905E-5</v>
      </c>
      <c r="V389" s="13"/>
      <c r="W389" s="4"/>
      <c r="X389" s="4"/>
      <c r="Y389" s="4"/>
      <c r="Z389" s="4"/>
      <c r="AA389" s="4"/>
      <c r="AB389" s="4"/>
      <c r="AC389" s="4"/>
      <c r="AD389" s="4"/>
      <c r="AE389" s="52"/>
    </row>
    <row r="390" spans="1:31" x14ac:dyDescent="0.2">
      <c r="A390" s="7">
        <v>44094</v>
      </c>
      <c r="B390" s="13">
        <f ca="1">Prices!B389*(1+J390/(50*(ABS(O390)+ABS(T390)+0.0001)))</f>
        <v>0</v>
      </c>
      <c r="C390" s="62">
        <f t="shared" ca="1" si="37"/>
        <v>0</v>
      </c>
      <c r="D390" s="13" t="e">
        <f ca="1">D389+C390*(Prices!B390-Prices!B389)/Prices!B389</f>
        <v>#DIV/0!</v>
      </c>
      <c r="E390" s="13" t="e">
        <f t="shared" ca="1" si="38"/>
        <v>#DIV/0!</v>
      </c>
      <c r="F390" s="13" t="e">
        <f t="shared" ca="1" si="39"/>
        <v>#DIV/0!</v>
      </c>
      <c r="G390" s="21">
        <f ca="1">IF((Prices!B390-Prices!B389)*C390&gt;0,1,0)</f>
        <v>0</v>
      </c>
      <c r="H390" s="13" t="e">
        <f>ABS(Prices!B390-Prices!B389)/Prices!B389</f>
        <v>#DIV/0!</v>
      </c>
      <c r="I390" s="21"/>
      <c r="J390" s="4">
        <f t="shared" ca="1" si="40"/>
        <v>-6.3835390748262803E-4</v>
      </c>
      <c r="K390" s="13"/>
      <c r="L390" s="13">
        <f ca="1">L389-O390*Prices!B390</f>
        <v>0.73602277515754255</v>
      </c>
      <c r="M390" s="4">
        <f t="shared" ca="1" si="41"/>
        <v>1.171010508731558E-2</v>
      </c>
      <c r="N390" s="13">
        <f ca="1">IF(Prices!B389&gt;OFFSET(Prices!B389,-$N$3,0),1,-1)</f>
        <v>-1</v>
      </c>
      <c r="O390" s="4">
        <f ca="1">IF(N390=1,O$3*L389/Prices!B389,-O$3*M389)</f>
        <v>-6.1632132038503054E-4</v>
      </c>
      <c r="P390" s="22"/>
      <c r="Q390" s="13">
        <f ca="1">Q389-T390*Prices!B390</f>
        <v>0.94863015803649409</v>
      </c>
      <c r="R390" s="4">
        <f t="shared" ca="1" si="42"/>
        <v>1.9829328387837761E-4</v>
      </c>
      <c r="S390" s="13">
        <f ca="1">IF(Prices!D389&gt;OFFSET(Prices!D389,-S$3,0),1,-1)</f>
        <v>-1</v>
      </c>
      <c r="T390" s="4">
        <f ca="1">IF(S390=1,T$3*Q389/Prices!B389,-T$3*R389)</f>
        <v>-2.2032587097597516E-5</v>
      </c>
      <c r="V390" s="13"/>
      <c r="W390" s="4"/>
      <c r="X390" s="4"/>
      <c r="Y390" s="4"/>
      <c r="Z390" s="4"/>
      <c r="AA390" s="4"/>
      <c r="AB390" s="4"/>
      <c r="AC390" s="4"/>
      <c r="AD390" s="4"/>
      <c r="AE390" s="52"/>
    </row>
    <row r="391" spans="1:31" x14ac:dyDescent="0.2">
      <c r="A391" s="58">
        <v>44101</v>
      </c>
      <c r="B391" s="13">
        <f ca="1">Prices!B390*(1+J391/(50*(ABS(O391)+ABS(T391)+0.0001)))</f>
        <v>0</v>
      </c>
      <c r="C391" s="62">
        <f t="shared" ca="1" si="37"/>
        <v>0</v>
      </c>
      <c r="D391" s="13" t="e">
        <f ca="1">D390+C391*(Prices!B391-Prices!B390)/Prices!B390</f>
        <v>#DIV/0!</v>
      </c>
      <c r="E391" s="13" t="e">
        <f t="shared" ca="1" si="38"/>
        <v>#DIV/0!</v>
      </c>
      <c r="F391" s="13" t="e">
        <f t="shared" ca="1" si="39"/>
        <v>#DIV/0!</v>
      </c>
      <c r="G391" s="21">
        <f ca="1">IF((Prices!B391-Prices!B390)*C391&gt;0,1,0)</f>
        <v>0</v>
      </c>
      <c r="H391" s="13" t="e">
        <f>ABS(Prices!B391-Prices!B390)/Prices!B390</f>
        <v>#DIV/0!</v>
      </c>
      <c r="I391" s="21"/>
      <c r="J391" s="4">
        <f t="shared" ca="1" si="40"/>
        <v>-6.0533458275361675E-4</v>
      </c>
      <c r="K391" s="13"/>
      <c r="L391" s="13">
        <f ca="1">L390-O391*Prices!B391</f>
        <v>0.73602277515754255</v>
      </c>
      <c r="M391" s="4">
        <f t="shared" ca="1" si="41"/>
        <v>1.1124599832949802E-2</v>
      </c>
      <c r="N391" s="13">
        <f ca="1">IF(Prices!B390&gt;OFFSET(Prices!B390,-$N$3,0),1,-1)</f>
        <v>-1</v>
      </c>
      <c r="O391" s="4">
        <f ca="1">IF(N391=1,O$3*L390/Prices!B390,-O$3*M390)</f>
        <v>-5.8550525436577904E-4</v>
      </c>
      <c r="P391" s="22"/>
      <c r="Q391" s="13">
        <f ca="1">Q390-T391*Prices!B391</f>
        <v>0.94863015803649409</v>
      </c>
      <c r="R391" s="4">
        <f t="shared" ca="1" si="42"/>
        <v>1.7846395549053984E-4</v>
      </c>
      <c r="S391" s="13">
        <f ca="1">IF(Prices!D390&gt;OFFSET(Prices!D390,-S$3,0),1,-1)</f>
        <v>-1</v>
      </c>
      <c r="T391" s="4">
        <f ca="1">IF(S391=1,T$3*Q390/Prices!B390,-T$3*R390)</f>
        <v>-1.9829328387837762E-5</v>
      </c>
      <c r="V391" s="13"/>
      <c r="W391" s="4"/>
      <c r="X391" s="4"/>
      <c r="Y391" s="4"/>
      <c r="Z391" s="4"/>
      <c r="AA391" s="4"/>
      <c r="AB391" s="4"/>
      <c r="AC391" s="4"/>
      <c r="AD391" s="4"/>
      <c r="AE391" s="52"/>
    </row>
    <row r="392" spans="1:31" x14ac:dyDescent="0.2">
      <c r="A392" s="7">
        <v>44108</v>
      </c>
      <c r="B392" s="13">
        <f ca="1">Prices!B391*(1+J392/(50*(ABS(O392)+ABS(T392)+0.0001)))</f>
        <v>0</v>
      </c>
      <c r="C392" s="62">
        <f t="shared" ca="1" si="37"/>
        <v>0</v>
      </c>
      <c r="D392" s="13" t="e">
        <f ca="1">D391+C392*(Prices!B392-Prices!B391)/Prices!B391</f>
        <v>#DIV/0!</v>
      </c>
      <c r="E392" s="13" t="e">
        <f t="shared" ca="1" si="38"/>
        <v>#DIV/0!</v>
      </c>
      <c r="F392" s="13" t="e">
        <f t="shared" ca="1" si="39"/>
        <v>#DIV/0!</v>
      </c>
      <c r="G392" s="21">
        <f ca="1">IF((Prices!B392-Prices!B391)*C392&gt;0,1,0)</f>
        <v>0</v>
      </c>
      <c r="H392" s="13" t="e">
        <f>ABS(Prices!B392-Prices!B391)/Prices!B391</f>
        <v>#DIV/0!</v>
      </c>
      <c r="I392" s="21"/>
      <c r="J392" s="4">
        <f t="shared" ca="1" si="40"/>
        <v>-5.7407638719654411E-4</v>
      </c>
      <c r="K392" s="13"/>
      <c r="L392" s="13">
        <f ca="1">L391-O392*Prices!B392</f>
        <v>0.73602277515754255</v>
      </c>
      <c r="M392" s="4">
        <f t="shared" ca="1" si="41"/>
        <v>1.0568369841302312E-2</v>
      </c>
      <c r="N392" s="13">
        <f ca="1">IF(Prices!B391&gt;OFFSET(Prices!B391,-$N$3,0),1,-1)</f>
        <v>-1</v>
      </c>
      <c r="O392" s="4">
        <f ca="1">IF(N392=1,O$3*L391/Prices!B391,-O$3*M391)</f>
        <v>-5.5622999164749013E-4</v>
      </c>
      <c r="P392" s="22"/>
      <c r="Q392" s="13">
        <f ca="1">Q391-T392*Prices!B392</f>
        <v>0.94863015803649409</v>
      </c>
      <c r="R392" s="4">
        <f t="shared" ca="1" si="42"/>
        <v>1.6061755994148586E-4</v>
      </c>
      <c r="S392" s="13">
        <f ca="1">IF(Prices!D391&gt;OFFSET(Prices!D391,-S$3,0),1,-1)</f>
        <v>-1</v>
      </c>
      <c r="T392" s="4">
        <f ca="1">IF(S392=1,T$3*Q391/Prices!B391,-T$3*R391)</f>
        <v>-1.7846395549053985E-5</v>
      </c>
      <c r="V392" s="13"/>
      <c r="W392" s="4"/>
      <c r="X392" s="4"/>
      <c r="Y392" s="4"/>
      <c r="Z392" s="4"/>
      <c r="AA392" s="4"/>
      <c r="AB392" s="4"/>
      <c r="AC392" s="4"/>
      <c r="AD392" s="4"/>
      <c r="AE392" s="52"/>
    </row>
    <row r="393" spans="1:31" x14ac:dyDescent="0.2">
      <c r="A393" s="7">
        <v>44115</v>
      </c>
      <c r="B393" s="13">
        <f ca="1">Prices!B392*(1+J393/(50*(ABS(O393)+ABS(T393)+0.0001)))</f>
        <v>0</v>
      </c>
      <c r="C393" s="62">
        <f t="shared" ca="1" si="37"/>
        <v>0</v>
      </c>
      <c r="D393" s="13" t="e">
        <f ca="1">D392+C393*(Prices!B393-Prices!B392)/Prices!B392</f>
        <v>#DIV/0!</v>
      </c>
      <c r="E393" s="13" t="e">
        <f t="shared" ca="1" si="38"/>
        <v>#DIV/0!</v>
      </c>
      <c r="F393" s="13" t="e">
        <f t="shared" ca="1" si="39"/>
        <v>#DIV/0!</v>
      </c>
      <c r="G393" s="21">
        <f ca="1">IF((Prices!B393-Prices!B392)*C393&gt;0,1,0)</f>
        <v>0</v>
      </c>
      <c r="H393" s="13" t="e">
        <f>ABS(Prices!B393-Prices!B392)/Prices!B392</f>
        <v>#DIV/0!</v>
      </c>
      <c r="I393" s="21"/>
      <c r="J393" s="4">
        <f t="shared" ca="1" si="40"/>
        <v>-5.4448024805926428E-4</v>
      </c>
      <c r="K393" s="13"/>
      <c r="L393" s="13">
        <f ca="1">L392-O393*Prices!B393</f>
        <v>0.73602277515754255</v>
      </c>
      <c r="M393" s="4">
        <f t="shared" ca="1" si="41"/>
        <v>1.0039951349237197E-2</v>
      </c>
      <c r="N393" s="13">
        <f ca="1">IF(Prices!B392&gt;OFFSET(Prices!B392,-$N$3,0),1,-1)</f>
        <v>-1</v>
      </c>
      <c r="O393" s="4">
        <f ca="1">IF(N393=1,O$3*L392/Prices!B392,-O$3*M392)</f>
        <v>-5.2841849206511566E-4</v>
      </c>
      <c r="P393" s="22"/>
      <c r="Q393" s="13">
        <f ca="1">Q392-T393*Prices!B393</f>
        <v>0.94863015803649409</v>
      </c>
      <c r="R393" s="4">
        <f t="shared" ca="1" si="42"/>
        <v>1.4455580394733726E-4</v>
      </c>
      <c r="S393" s="13">
        <f ca="1">IF(Prices!D392&gt;OFFSET(Prices!D392,-S$3,0),1,-1)</f>
        <v>-1</v>
      </c>
      <c r="T393" s="4">
        <f ca="1">IF(S393=1,T$3*Q392/Prices!B392,-T$3*R392)</f>
        <v>-1.6061755994148587E-5</v>
      </c>
      <c r="V393" s="13"/>
      <c r="W393" s="4"/>
      <c r="X393" s="4"/>
      <c r="Y393" s="4"/>
      <c r="Z393" s="4"/>
      <c r="AA393" s="4"/>
      <c r="AB393" s="4"/>
      <c r="AC393" s="4"/>
      <c r="AD393" s="4"/>
      <c r="AE393" s="52"/>
    </row>
    <row r="394" spans="1:31" x14ac:dyDescent="0.2">
      <c r="A394" s="7">
        <v>44122</v>
      </c>
      <c r="B394" s="13">
        <f ca="1">Prices!B393*(1+J394/(50*(ABS(O394)+ABS(T394)+0.0001)))</f>
        <v>0</v>
      </c>
      <c r="C394" s="62">
        <f t="shared" ca="1" si="37"/>
        <v>0</v>
      </c>
      <c r="D394" s="13" t="e">
        <f ca="1">D393+C394*(Prices!B394-Prices!B393)/Prices!B393</f>
        <v>#DIV/0!</v>
      </c>
      <c r="E394" s="13" t="e">
        <f t="shared" ca="1" si="38"/>
        <v>#DIV/0!</v>
      </c>
      <c r="F394" s="13" t="e">
        <f t="shared" ca="1" si="39"/>
        <v>#DIV/0!</v>
      </c>
      <c r="G394" s="21">
        <f ca="1">IF((Prices!B394-Prices!B393)*C394&gt;0,1,0)</f>
        <v>0</v>
      </c>
      <c r="H394" s="13" t="e">
        <f>ABS(Prices!B394-Prices!B393)/Prices!B393</f>
        <v>#DIV/0!</v>
      </c>
      <c r="I394" s="21"/>
      <c r="J394" s="4">
        <f t="shared" ca="1" si="40"/>
        <v>-5.1645314785659356E-4</v>
      </c>
      <c r="K394" s="13"/>
      <c r="L394" s="13">
        <f ca="1">L393-O394*Prices!B394</f>
        <v>0.73602277515754255</v>
      </c>
      <c r="M394" s="4">
        <f t="shared" ca="1" si="41"/>
        <v>9.5379537817753372E-3</v>
      </c>
      <c r="N394" s="13">
        <f ca="1">IF(Prices!B393&gt;OFFSET(Prices!B393,-$N$3,0),1,-1)</f>
        <v>-1</v>
      </c>
      <c r="O394" s="4">
        <f ca="1">IF(N394=1,O$3*L393/Prices!B393,-O$3*M393)</f>
        <v>-5.0199756746185985E-4</v>
      </c>
      <c r="P394" s="22"/>
      <c r="Q394" s="13">
        <f ca="1">Q393-T394*Prices!B394</f>
        <v>0.94863015803649409</v>
      </c>
      <c r="R394" s="4">
        <f t="shared" ca="1" si="42"/>
        <v>1.3010022355260353E-4</v>
      </c>
      <c r="S394" s="13">
        <f ca="1">IF(Prices!D393&gt;OFFSET(Prices!D393,-S$3,0),1,-1)</f>
        <v>-1</v>
      </c>
      <c r="T394" s="4">
        <f ca="1">IF(S394=1,T$3*Q393/Prices!B393,-T$3*R393)</f>
        <v>-1.4455580394733728E-5</v>
      </c>
      <c r="V394" s="13"/>
      <c r="W394" s="4"/>
      <c r="X394" s="4"/>
      <c r="Y394" s="4"/>
      <c r="Z394" s="4"/>
      <c r="AA394" s="4"/>
      <c r="AB394" s="4"/>
      <c r="AC394" s="4"/>
      <c r="AD394" s="4"/>
      <c r="AE394" s="52"/>
    </row>
    <row r="395" spans="1:31" x14ac:dyDescent="0.2">
      <c r="A395" s="7">
        <v>44129</v>
      </c>
      <c r="B395" s="13">
        <f ca="1">Prices!B394*(1+J395/(50*(ABS(O395)+ABS(T395)+0.0001)))</f>
        <v>0</v>
      </c>
      <c r="C395" s="62">
        <f t="shared" ca="1" si="37"/>
        <v>0</v>
      </c>
      <c r="D395" s="13" t="e">
        <f ca="1">D394+C395*(Prices!B395-Prices!B394)/Prices!B394</f>
        <v>#DIV/0!</v>
      </c>
      <c r="E395" s="13" t="e">
        <f t="shared" ca="1" si="38"/>
        <v>#DIV/0!</v>
      </c>
      <c r="F395" s="13" t="e">
        <f t="shared" ca="1" si="39"/>
        <v>#DIV/0!</v>
      </c>
      <c r="G395" s="21">
        <f ca="1">IF((Prices!B395-Prices!B394)*C395&gt;0,1,0)</f>
        <v>0</v>
      </c>
      <c r="H395" s="13" t="e">
        <f>ABS(Prices!B395-Prices!B394)/Prices!B394</f>
        <v>#DIV/0!</v>
      </c>
      <c r="I395" s="21"/>
      <c r="J395" s="4">
        <f t="shared" ca="1" si="40"/>
        <v>-4.8990771144402721E-4</v>
      </c>
      <c r="K395" s="13"/>
      <c r="L395" s="13">
        <f ca="1">L394-O395*Prices!B395</f>
        <v>0.73602277515754255</v>
      </c>
      <c r="M395" s="4">
        <f t="shared" ca="1" si="41"/>
        <v>9.0610560926865698E-3</v>
      </c>
      <c r="N395" s="13">
        <f ca="1">IF(Prices!B394&gt;OFFSET(Prices!B394,-$N$3,0),1,-1)</f>
        <v>-1</v>
      </c>
      <c r="O395" s="4">
        <f ca="1">IF(N395=1,O$3*L394/Prices!B394,-O$3*M394)</f>
        <v>-4.7689768908876689E-4</v>
      </c>
      <c r="P395" s="22"/>
      <c r="Q395" s="13">
        <f ca="1">Q394-T395*Prices!B395</f>
        <v>0.94863015803649409</v>
      </c>
      <c r="R395" s="4">
        <f t="shared" ca="1" si="42"/>
        <v>1.1709020119734317E-4</v>
      </c>
      <c r="S395" s="13">
        <f ca="1">IF(Prices!D394&gt;OFFSET(Prices!D394,-S$3,0),1,-1)</f>
        <v>-1</v>
      </c>
      <c r="T395" s="4">
        <f ca="1">IF(S395=1,T$3*Q394/Prices!B394,-T$3*R394)</f>
        <v>-1.3010022355260354E-5</v>
      </c>
      <c r="V395" s="13"/>
      <c r="W395" s="4"/>
      <c r="X395" s="4"/>
      <c r="Y395" s="4"/>
      <c r="Z395" s="4"/>
      <c r="AA395" s="4"/>
      <c r="AB395" s="4"/>
      <c r="AC395" s="4"/>
      <c r="AD395" s="4"/>
      <c r="AE395" s="52"/>
    </row>
    <row r="396" spans="1:31" x14ac:dyDescent="0.2">
      <c r="A396" s="7">
        <v>44136</v>
      </c>
      <c r="B396" s="13">
        <f ca="1">Prices!B395*(1+J396/(50*(ABS(O396)+ABS(T396)+0.0001)))</f>
        <v>0</v>
      </c>
      <c r="C396" s="62">
        <f t="shared" ca="1" si="37"/>
        <v>0</v>
      </c>
      <c r="D396" s="13" t="e">
        <f ca="1">D395+C396*(Prices!B396-Prices!B395)/Prices!B395</f>
        <v>#DIV/0!</v>
      </c>
      <c r="E396" s="13" t="e">
        <f t="shared" ca="1" si="38"/>
        <v>#DIV/0!</v>
      </c>
      <c r="F396" s="13" t="e">
        <f t="shared" ca="1" si="39"/>
        <v>#DIV/0!</v>
      </c>
      <c r="G396" s="21">
        <f ca="1">IF((Prices!B396-Prices!B395)*C396&gt;0,1,0)</f>
        <v>0</v>
      </c>
      <c r="H396" s="13" t="e">
        <f>ABS(Prices!B396-Prices!B395)/Prices!B395</f>
        <v>#DIV/0!</v>
      </c>
      <c r="I396" s="21"/>
      <c r="J396" s="4">
        <f t="shared" ca="1" si="40"/>
        <v>-4.6476182475406285E-4</v>
      </c>
      <c r="K396" s="13"/>
      <c r="L396" s="13">
        <f ca="1">L395-O396*Prices!B396</f>
        <v>0.73602277515754255</v>
      </c>
      <c r="M396" s="4">
        <f t="shared" ca="1" si="41"/>
        <v>8.6080032880522413E-3</v>
      </c>
      <c r="N396" s="13">
        <f ca="1">IF(Prices!B395&gt;OFFSET(Prices!B395,-$N$3,0),1,-1)</f>
        <v>-1</v>
      </c>
      <c r="O396" s="4">
        <f ca="1">IF(N396=1,O$3*L395/Prices!B395,-O$3*M395)</f>
        <v>-4.5305280463432852E-4</v>
      </c>
      <c r="P396" s="22"/>
      <c r="Q396" s="13">
        <f ca="1">Q395-T396*Prices!B396</f>
        <v>0.94863015803649409</v>
      </c>
      <c r="R396" s="4">
        <f t="shared" ca="1" si="42"/>
        <v>1.0538118107760885E-4</v>
      </c>
      <c r="S396" s="13">
        <f ca="1">IF(Prices!D395&gt;OFFSET(Prices!D395,-S$3,0),1,-1)</f>
        <v>-1</v>
      </c>
      <c r="T396" s="4">
        <f ca="1">IF(S396=1,T$3*Q395/Prices!B395,-T$3*R395)</f>
        <v>-1.1709020119734318E-5</v>
      </c>
      <c r="V396" s="13"/>
      <c r="W396" s="4"/>
      <c r="X396" s="4"/>
      <c r="Y396" s="4"/>
      <c r="Z396" s="4"/>
      <c r="AA396" s="4"/>
      <c r="AB396" s="4"/>
      <c r="AC396" s="4"/>
      <c r="AD396" s="4"/>
      <c r="AE396" s="52"/>
    </row>
    <row r="397" spans="1:31" x14ac:dyDescent="0.2">
      <c r="A397" s="7">
        <v>44143</v>
      </c>
      <c r="B397" s="13">
        <f ca="1">Prices!B396*(1+J397/(50*(ABS(O397)+ABS(T397)+0.0001)))</f>
        <v>0</v>
      </c>
      <c r="C397" s="62">
        <f t="shared" ca="1" si="37"/>
        <v>0</v>
      </c>
      <c r="D397" s="13" t="e">
        <f ca="1">D396+C397*(Prices!B397-Prices!B396)/Prices!B396</f>
        <v>#DIV/0!</v>
      </c>
      <c r="E397" s="13" t="e">
        <f t="shared" ca="1" si="38"/>
        <v>#DIV/0!</v>
      </c>
      <c r="F397" s="13" t="e">
        <f t="shared" ca="1" si="39"/>
        <v>#DIV/0!</v>
      </c>
      <c r="G397" s="21">
        <f ca="1">IF((Prices!B397-Prices!B396)*C397&gt;0,1,0)</f>
        <v>0</v>
      </c>
      <c r="H397" s="13" t="e">
        <f>ABS(Prices!B397-Prices!B396)/Prices!B396</f>
        <v>#DIV/0!</v>
      </c>
      <c r="I397" s="21"/>
      <c r="J397" s="4">
        <f t="shared" ca="1" si="40"/>
        <v>-4.4093828251037294E-4</v>
      </c>
      <c r="K397" s="13"/>
      <c r="L397" s="13">
        <f ca="1">L396-O397*Prices!B397</f>
        <v>0.73602277515754255</v>
      </c>
      <c r="M397" s="4">
        <f t="shared" ca="1" si="41"/>
        <v>8.177603123649629E-3</v>
      </c>
      <c r="N397" s="13">
        <f ca="1">IF(Prices!B396&gt;OFFSET(Prices!B396,-$N$3,0),1,-1)</f>
        <v>-1</v>
      </c>
      <c r="O397" s="4">
        <f ca="1">IF(N397=1,O$3*L396/Prices!B396,-O$3*M396)</f>
        <v>-4.3040016440261207E-4</v>
      </c>
      <c r="P397" s="22"/>
      <c r="Q397" s="13">
        <f ca="1">Q396-T397*Prices!B397</f>
        <v>0.94863015803649409</v>
      </c>
      <c r="R397" s="4">
        <f t="shared" ca="1" si="42"/>
        <v>9.4843062969847964E-5</v>
      </c>
      <c r="S397" s="13">
        <f ca="1">IF(Prices!D396&gt;OFFSET(Prices!D396,-S$3,0),1,-1)</f>
        <v>-1</v>
      </c>
      <c r="T397" s="4">
        <f ca="1">IF(S397=1,T$3*Q396/Prices!B396,-T$3*R396)</f>
        <v>-1.0538118107760886E-5</v>
      </c>
      <c r="V397" s="13"/>
      <c r="W397" s="4"/>
      <c r="X397" s="4"/>
      <c r="Y397" s="4"/>
      <c r="Z397" s="4"/>
      <c r="AA397" s="4"/>
      <c r="AB397" s="4"/>
      <c r="AC397" s="4"/>
      <c r="AD397" s="4"/>
      <c r="AE397" s="52"/>
    </row>
    <row r="398" spans="1:31" x14ac:dyDescent="0.2">
      <c r="A398" s="58">
        <v>44150</v>
      </c>
      <c r="B398" s="13">
        <f ca="1">Prices!B397*(1+J398/(50*(ABS(O398)+ABS(T398)+0.0001)))</f>
        <v>0</v>
      </c>
      <c r="C398" s="62">
        <f t="shared" ca="1" si="37"/>
        <v>0</v>
      </c>
      <c r="D398" s="13" t="e">
        <f ca="1">D397+C398*(Prices!B398-Prices!B397)/Prices!B397</f>
        <v>#DIV/0!</v>
      </c>
      <c r="E398" s="13" t="e">
        <f t="shared" ca="1" si="38"/>
        <v>#DIV/0!</v>
      </c>
      <c r="F398" s="13" t="e">
        <f t="shared" ca="1" si="39"/>
        <v>#DIV/0!</v>
      </c>
      <c r="G398" s="21">
        <f ca="1">IF((Prices!B398-Prices!B397)*C398&gt;0,1,0)</f>
        <v>0</v>
      </c>
      <c r="H398" s="13" t="e">
        <f>ABS(Prices!B398-Prices!B397)/Prices!B397</f>
        <v>#DIV/0!</v>
      </c>
      <c r="I398" s="21"/>
      <c r="J398" s="4">
        <f t="shared" ca="1" si="40"/>
        <v>-4.1836446247946624E-4</v>
      </c>
      <c r="K398" s="13"/>
      <c r="L398" s="13">
        <f ca="1">L397-O398*Prices!B398</f>
        <v>0.73602277515754255</v>
      </c>
      <c r="M398" s="4">
        <f t="shared" ca="1" si="41"/>
        <v>7.7687229674671477E-3</v>
      </c>
      <c r="N398" s="13">
        <f ca="1">IF(Prices!B397&gt;OFFSET(Prices!B397,-$N$3,0),1,-1)</f>
        <v>-1</v>
      </c>
      <c r="O398" s="4">
        <f ca="1">IF(N398=1,O$3*L397/Prices!B397,-O$3*M397)</f>
        <v>-4.0888015618248147E-4</v>
      </c>
      <c r="P398" s="22"/>
      <c r="Q398" s="13">
        <f ca="1">Q397-T398*Prices!B398</f>
        <v>0.94863015803649409</v>
      </c>
      <c r="R398" s="4">
        <f t="shared" ca="1" si="42"/>
        <v>8.5358756672863166E-5</v>
      </c>
      <c r="S398" s="13">
        <f ca="1">IF(Prices!D397&gt;OFFSET(Prices!D397,-S$3,0),1,-1)</f>
        <v>-1</v>
      </c>
      <c r="T398" s="4">
        <f ca="1">IF(S398=1,T$3*Q397/Prices!B397,-T$3*R397)</f>
        <v>-9.4843062969847977E-6</v>
      </c>
      <c r="V398" s="13"/>
      <c r="W398" s="4"/>
      <c r="X398" s="4"/>
      <c r="Y398" s="4"/>
      <c r="Z398" s="4"/>
      <c r="AA398" s="4"/>
      <c r="AB398" s="4"/>
      <c r="AC398" s="4"/>
      <c r="AD398" s="4"/>
      <c r="AE398" s="52"/>
    </row>
    <row r="399" spans="1:31" x14ac:dyDescent="0.2">
      <c r="A399" s="7">
        <v>44157</v>
      </c>
      <c r="B399" s="13">
        <f ca="1">Prices!B398*(1+J399/(50*(ABS(O399)+ABS(T399)+0.0001)))</f>
        <v>0</v>
      </c>
      <c r="C399" s="62">
        <f t="shared" ca="1" si="37"/>
        <v>0</v>
      </c>
      <c r="D399" s="13" t="e">
        <f ca="1">D398+C399*(Prices!B399-Prices!B398)/Prices!B398</f>
        <v>#DIV/0!</v>
      </c>
      <c r="E399" s="13" t="e">
        <f t="shared" ca="1" si="38"/>
        <v>#DIV/0!</v>
      </c>
      <c r="F399" s="13" t="e">
        <f t="shared" ca="1" si="39"/>
        <v>#DIV/0!</v>
      </c>
      <c r="G399" s="21">
        <f ca="1">IF((Prices!B399-Prices!B398)*C399&gt;0,1,0)</f>
        <v>0</v>
      </c>
      <c r="H399" s="13" t="e">
        <f>ABS(Prices!B399-Prices!B398)/Prices!B398</f>
        <v>#DIV/0!</v>
      </c>
      <c r="I399" s="21"/>
      <c r="J399" s="4">
        <f t="shared" ca="1" si="40"/>
        <v>-3.9697202404064371E-4</v>
      </c>
      <c r="K399" s="13"/>
      <c r="L399" s="13">
        <f ca="1">L398-O399*Prices!B399</f>
        <v>0.73602277515754255</v>
      </c>
      <c r="M399" s="4">
        <f t="shared" ca="1" si="41"/>
        <v>7.38028681909379E-3</v>
      </c>
      <c r="N399" s="13">
        <f ca="1">IF(Prices!B398&gt;OFFSET(Prices!B398,-$N$3,0),1,-1)</f>
        <v>-1</v>
      </c>
      <c r="O399" s="4">
        <f ca="1">IF(N399=1,O$3*L398/Prices!B398,-O$3*M398)</f>
        <v>-3.8843614837335742E-4</v>
      </c>
      <c r="P399" s="22"/>
      <c r="Q399" s="13">
        <f ca="1">Q398-T399*Prices!B399</f>
        <v>0.94863015803649409</v>
      </c>
      <c r="R399" s="4">
        <f t="shared" ca="1" si="42"/>
        <v>7.6822881005576845E-5</v>
      </c>
      <c r="S399" s="13">
        <f ca="1">IF(Prices!D398&gt;OFFSET(Prices!D398,-S$3,0),1,-1)</f>
        <v>-1</v>
      </c>
      <c r="T399" s="4">
        <f ca="1">IF(S399=1,T$3*Q398/Prices!B398,-T$3*R398)</f>
        <v>-8.5358756672863173E-6</v>
      </c>
      <c r="V399" s="13"/>
      <c r="W399" s="4"/>
      <c r="X399" s="4"/>
      <c r="Y399" s="4"/>
      <c r="Z399" s="4"/>
      <c r="AA399" s="4"/>
      <c r="AB399" s="4"/>
      <c r="AC399" s="4"/>
      <c r="AD399" s="4"/>
      <c r="AE399" s="52"/>
    </row>
    <row r="400" spans="1:31" x14ac:dyDescent="0.2">
      <c r="A400" s="7">
        <v>44164</v>
      </c>
      <c r="B400" s="13">
        <f ca="1">Prices!B399*(1+J400/(50*(ABS(O400)+ABS(T400)+0.0001)))</f>
        <v>0</v>
      </c>
      <c r="C400" s="62">
        <f t="shared" ca="1" si="37"/>
        <v>0</v>
      </c>
      <c r="D400" s="13" t="e">
        <f ca="1">D399+C400*(Prices!B400-Prices!B399)/Prices!B399</f>
        <v>#DIV/0!</v>
      </c>
      <c r="E400" s="13" t="e">
        <f t="shared" ca="1" si="38"/>
        <v>#DIV/0!</v>
      </c>
      <c r="F400" s="13" t="e">
        <f t="shared" ca="1" si="39"/>
        <v>#DIV/0!</v>
      </c>
      <c r="G400" s="21">
        <f ca="1">IF((Prices!B400-Prices!B399)*C400&gt;0,1,0)</f>
        <v>0</v>
      </c>
      <c r="H400" s="13" t="e">
        <f>ABS(Prices!B400-Prices!B399)/Prices!B399</f>
        <v>#DIV/0!</v>
      </c>
      <c r="I400" s="21"/>
      <c r="J400" s="4">
        <f t="shared" ca="1" si="40"/>
        <v>-3.7669662905524722E-4</v>
      </c>
      <c r="K400" s="13"/>
      <c r="L400" s="13">
        <f ca="1">L399-O400*Prices!B400</f>
        <v>0.73602277515754255</v>
      </c>
      <c r="M400" s="4">
        <f t="shared" ca="1" si="41"/>
        <v>7.0112724781391002E-3</v>
      </c>
      <c r="N400" s="13">
        <f ca="1">IF(Prices!B399&gt;OFFSET(Prices!B399,-$N$3,0),1,-1)</f>
        <v>-1</v>
      </c>
      <c r="O400" s="4">
        <f ca="1">IF(N400=1,O$3*L399/Prices!B399,-O$3*M399)</f>
        <v>-3.6901434095468953E-4</v>
      </c>
      <c r="P400" s="22"/>
      <c r="Q400" s="13">
        <f ca="1">Q399-T400*Prices!B400</f>
        <v>0.94863015803649409</v>
      </c>
      <c r="R400" s="4">
        <f t="shared" ca="1" si="42"/>
        <v>6.9140592905019168E-5</v>
      </c>
      <c r="S400" s="13">
        <f ca="1">IF(Prices!D399&gt;OFFSET(Prices!D399,-S$3,0),1,-1)</f>
        <v>-1</v>
      </c>
      <c r="T400" s="4">
        <f ca="1">IF(S400=1,T$3*Q399/Prices!B399,-T$3*R399)</f>
        <v>-7.6822881005576845E-6</v>
      </c>
      <c r="V400" s="13"/>
      <c r="W400" s="4"/>
      <c r="X400" s="4"/>
      <c r="Y400" s="4"/>
      <c r="Z400" s="4"/>
      <c r="AA400" s="4"/>
      <c r="AB400" s="4"/>
      <c r="AC400" s="4"/>
      <c r="AD400" s="4"/>
      <c r="AE400" s="52"/>
    </row>
    <row r="401" spans="1:31" x14ac:dyDescent="0.2">
      <c r="A401" s="7">
        <v>44171</v>
      </c>
      <c r="B401" s="13">
        <f ca="1">Prices!B400*(1+J401/(50*(ABS(O401)+ABS(T401)+0.0001)))</f>
        <v>0</v>
      </c>
      <c r="C401" s="62">
        <f t="shared" ca="1" si="37"/>
        <v>0</v>
      </c>
      <c r="D401" s="13" t="e">
        <f ca="1">D400+C401*(Prices!B401-Prices!B400)/Prices!B400</f>
        <v>#DIV/0!</v>
      </c>
      <c r="E401" s="13" t="e">
        <f t="shared" ca="1" si="38"/>
        <v>#DIV/0!</v>
      </c>
      <c r="F401" s="13" t="e">
        <f t="shared" ca="1" si="39"/>
        <v>#DIV/0!</v>
      </c>
      <c r="G401" s="21">
        <f ca="1">IF((Prices!B401-Prices!B400)*C401&gt;0,1,0)</f>
        <v>0</v>
      </c>
      <c r="H401" s="13" t="e">
        <f>ABS(Prices!B401-Prices!B400)/Prices!B400</f>
        <v>#DIV/0!</v>
      </c>
      <c r="I401" s="21"/>
      <c r="J401" s="4">
        <f t="shared" ca="1" si="40"/>
        <v>-3.5747768319745697E-4</v>
      </c>
      <c r="K401" s="13"/>
      <c r="L401" s="13">
        <f ca="1">L400-O401*Prices!B401</f>
        <v>0.73602277515754255</v>
      </c>
      <c r="M401" s="4">
        <f t="shared" ca="1" si="41"/>
        <v>6.6607088542321455E-3</v>
      </c>
      <c r="N401" s="13">
        <f ca="1">IF(Prices!B400&gt;OFFSET(Prices!B400,-$N$3,0),1,-1)</f>
        <v>-1</v>
      </c>
      <c r="O401" s="4">
        <f ca="1">IF(N401=1,O$3*L400/Prices!B400,-O$3*M400)</f>
        <v>-3.5056362390695504E-4</v>
      </c>
      <c r="P401" s="22"/>
      <c r="Q401" s="13">
        <f ca="1">Q400-T401*Prices!B401</f>
        <v>0.94863015803649409</v>
      </c>
      <c r="R401" s="4">
        <f t="shared" ca="1" si="42"/>
        <v>6.2226533614517248E-5</v>
      </c>
      <c r="S401" s="13">
        <f ca="1">IF(Prices!D400&gt;OFFSET(Prices!D400,-S$3,0),1,-1)</f>
        <v>-1</v>
      </c>
      <c r="T401" s="4">
        <f ca="1">IF(S401=1,T$3*Q400/Prices!B400,-T$3*R400)</f>
        <v>-6.9140592905019169E-6</v>
      </c>
      <c r="V401" s="13"/>
      <c r="W401" s="4"/>
      <c r="X401" s="4"/>
      <c r="Y401" s="4"/>
      <c r="Z401" s="4"/>
      <c r="AA401" s="4"/>
      <c r="AB401" s="4"/>
      <c r="AC401" s="4"/>
      <c r="AD401" s="4"/>
      <c r="AE401" s="52"/>
    </row>
    <row r="402" spans="1:31" x14ac:dyDescent="0.2">
      <c r="A402" s="7">
        <v>44178</v>
      </c>
      <c r="B402" s="13">
        <f ca="1">Prices!B401*(1+J402/(50*(ABS(O402)+ABS(T402)+0.0001)))</f>
        <v>0</v>
      </c>
      <c r="C402" s="62">
        <f t="shared" ca="1" si="37"/>
        <v>0</v>
      </c>
      <c r="D402" s="13" t="e">
        <f ca="1">D401+C402*(Prices!B402-Prices!B401)/Prices!B401</f>
        <v>#DIV/0!</v>
      </c>
      <c r="E402" s="13" t="e">
        <f t="shared" ca="1" si="38"/>
        <v>#DIV/0!</v>
      </c>
      <c r="F402" s="13" t="e">
        <f t="shared" ca="1" si="39"/>
        <v>#DIV/0!</v>
      </c>
      <c r="G402" s="21">
        <f ca="1">IF((Prices!B402-Prices!B401)*C402&gt;0,1,0)</f>
        <v>0</v>
      </c>
      <c r="H402" s="13" t="e">
        <f>ABS(Prices!B402-Prices!B401)/Prices!B401</f>
        <v>#DIV/0!</v>
      </c>
      <c r="I402" s="21"/>
      <c r="J402" s="4">
        <f t="shared" ca="1" si="40"/>
        <v>-3.3925809607305901E-4</v>
      </c>
      <c r="K402" s="13"/>
      <c r="L402" s="13">
        <f ca="1">L401-O402*Prices!B402</f>
        <v>0.73602277515754255</v>
      </c>
      <c r="M402" s="4">
        <f t="shared" ca="1" si="41"/>
        <v>6.3276734115205379E-3</v>
      </c>
      <c r="N402" s="13">
        <f ca="1">IF(Prices!B401&gt;OFFSET(Prices!B401,-$N$3,0),1,-1)</f>
        <v>-1</v>
      </c>
      <c r="O402" s="4">
        <f ca="1">IF(N402=1,O$3*L401/Prices!B401,-O$3*M401)</f>
        <v>-3.3303544271160731E-4</v>
      </c>
      <c r="P402" s="22"/>
      <c r="Q402" s="13">
        <f ca="1">Q401-T402*Prices!B402</f>
        <v>0.94863015803649409</v>
      </c>
      <c r="R402" s="4">
        <f t="shared" ca="1" si="42"/>
        <v>5.6003880253065519E-5</v>
      </c>
      <c r="S402" s="13">
        <f ca="1">IF(Prices!D401&gt;OFFSET(Prices!D401,-S$3,0),1,-1)</f>
        <v>-1</v>
      </c>
      <c r="T402" s="4">
        <f ca="1">IF(S402=1,T$3*Q401/Prices!B401,-T$3*R401)</f>
        <v>-6.2226533614517255E-6</v>
      </c>
      <c r="V402" s="13"/>
      <c r="W402" s="4"/>
      <c r="X402" s="4"/>
      <c r="Y402" s="4"/>
      <c r="Z402" s="4"/>
      <c r="AA402" s="4"/>
      <c r="AB402" s="4"/>
      <c r="AC402" s="4"/>
      <c r="AD402" s="4"/>
      <c r="AE402" s="52"/>
    </row>
    <row r="403" spans="1:31" x14ac:dyDescent="0.2">
      <c r="A403" s="7">
        <v>44185</v>
      </c>
      <c r="B403" s="13">
        <f ca="1">Prices!B402*(1+J403/(50*(ABS(O403)+ABS(T403)+0.0001)))</f>
        <v>0</v>
      </c>
      <c r="C403" s="62">
        <f t="shared" ref="C403:C437" ca="1" si="43">IF(J403&gt;0,1,IF(J403&lt;0,0,0))</f>
        <v>0</v>
      </c>
      <c r="D403" s="13" t="e">
        <f ca="1">D402+C403*(Prices!B403-Prices!B402)/Prices!B402</f>
        <v>#DIV/0!</v>
      </c>
      <c r="E403" s="13" t="e">
        <f t="shared" ref="E403:E437" ca="1" si="44">F403-D403</f>
        <v>#DIV/0!</v>
      </c>
      <c r="F403" s="13" t="e">
        <f t="shared" ref="F403:F437" ca="1" si="45">MAX(F402,D403)</f>
        <v>#DIV/0!</v>
      </c>
      <c r="G403" s="21">
        <f ca="1">IF((Prices!B403-Prices!B402)*C403&gt;0,1,0)</f>
        <v>0</v>
      </c>
      <c r="H403" s="13" t="e">
        <f>ABS(Prices!B403-Prices!B402)/Prices!B402</f>
        <v>#DIV/0!</v>
      </c>
      <c r="I403" s="21"/>
      <c r="J403" s="4">
        <f t="shared" ref="J403:J437" ca="1" si="46">O403+T403</f>
        <v>-3.2198405860133352E-4</v>
      </c>
      <c r="K403" s="13"/>
      <c r="L403" s="13">
        <f ca="1">L402-O403*Prices!B403</f>
        <v>0.73602277515754255</v>
      </c>
      <c r="M403" s="4">
        <f t="shared" ref="M403:M437" ca="1" si="47">M402+O403</f>
        <v>6.011289740944511E-3</v>
      </c>
      <c r="N403" s="13">
        <f ca="1">IF(Prices!B402&gt;OFFSET(Prices!B402,-$N$3,0),1,-1)</f>
        <v>-1</v>
      </c>
      <c r="O403" s="4">
        <f ca="1">IF(N403=1,O$3*L402/Prices!B402,-O$3*M402)</f>
        <v>-3.1638367057602694E-4</v>
      </c>
      <c r="P403" s="22"/>
      <c r="Q403" s="13">
        <f ca="1">Q402-T403*Prices!B403</f>
        <v>0.94863015803649409</v>
      </c>
      <c r="R403" s="4">
        <f t="shared" ref="R403:R437" ca="1" si="48">R402+T403</f>
        <v>5.0403492227758965E-5</v>
      </c>
      <c r="S403" s="13">
        <f ca="1">IF(Prices!D402&gt;OFFSET(Prices!D402,-S$3,0),1,-1)</f>
        <v>-1</v>
      </c>
      <c r="T403" s="4">
        <f ca="1">IF(S403=1,T$3*Q402/Prices!B402,-T$3*R402)</f>
        <v>-5.6003880253065521E-6</v>
      </c>
      <c r="V403" s="13"/>
      <c r="W403" s="4"/>
      <c r="X403" s="4"/>
      <c r="Y403" s="4"/>
      <c r="Z403" s="4"/>
      <c r="AA403" s="4"/>
      <c r="AB403" s="4"/>
      <c r="AC403" s="4"/>
      <c r="AD403" s="4"/>
      <c r="AE403" s="52"/>
    </row>
    <row r="404" spans="1:31" x14ac:dyDescent="0.2">
      <c r="A404" s="7">
        <v>44192</v>
      </c>
      <c r="B404" s="13">
        <f ca="1">Prices!B403*(1+J404/(50*(ABS(O404)+ABS(T404)+0.0001)))</f>
        <v>0</v>
      </c>
      <c r="C404" s="62">
        <f t="shared" ca="1" si="43"/>
        <v>0</v>
      </c>
      <c r="D404" s="13" t="e">
        <f ca="1">D403+C404*(Prices!B404-Prices!B403)/Prices!B403</f>
        <v>#DIV/0!</v>
      </c>
      <c r="E404" s="13" t="e">
        <f t="shared" ca="1" si="44"/>
        <v>#DIV/0!</v>
      </c>
      <c r="F404" s="13" t="e">
        <f t="shared" ca="1" si="45"/>
        <v>#DIV/0!</v>
      </c>
      <c r="G404" s="21">
        <f ca="1">IF((Prices!B404-Prices!B403)*C404&gt;0,1,0)</f>
        <v>0</v>
      </c>
      <c r="H404" s="13" t="e">
        <f>ABS(Prices!B404-Prices!B403)/Prices!B403</f>
        <v>#DIV/0!</v>
      </c>
      <c r="I404" s="21"/>
      <c r="J404" s="4">
        <f t="shared" ca="1" si="46"/>
        <v>-3.056048362700015E-4</v>
      </c>
      <c r="K404" s="13"/>
      <c r="L404" s="13">
        <f ca="1">L403-O404*Prices!B404</f>
        <v>0.73602277515754255</v>
      </c>
      <c r="M404" s="4">
        <f t="shared" ca="1" si="47"/>
        <v>5.710725253897285E-3</v>
      </c>
      <c r="N404" s="13">
        <f ca="1">IF(Prices!B403&gt;OFFSET(Prices!B403,-$N$3,0),1,-1)</f>
        <v>-1</v>
      </c>
      <c r="O404" s="4">
        <f ca="1">IF(N404=1,O$3*L403/Prices!B403,-O$3*M403)</f>
        <v>-3.0056448704722559E-4</v>
      </c>
      <c r="P404" s="22"/>
      <c r="Q404" s="13">
        <f ca="1">Q403-T404*Prices!B404</f>
        <v>0.94863015803649409</v>
      </c>
      <c r="R404" s="4">
        <f t="shared" ca="1" si="48"/>
        <v>4.5363143004983065E-5</v>
      </c>
      <c r="S404" s="13">
        <f ca="1">IF(Prices!D403&gt;OFFSET(Prices!D403,-S$3,0),1,-1)</f>
        <v>-1</v>
      </c>
      <c r="T404" s="4">
        <f ca="1">IF(S404=1,T$3*Q403/Prices!B403,-T$3*R403)</f>
        <v>-5.0403492227758965E-6</v>
      </c>
      <c r="V404" s="13"/>
      <c r="W404" s="4"/>
      <c r="X404" s="4"/>
      <c r="Y404" s="4"/>
      <c r="Z404" s="4"/>
      <c r="AA404" s="4"/>
      <c r="AB404" s="4"/>
      <c r="AC404" s="4"/>
      <c r="AD404" s="4"/>
      <c r="AE404" s="52"/>
    </row>
    <row r="405" spans="1:31" x14ac:dyDescent="0.2">
      <c r="A405" s="7">
        <v>44199</v>
      </c>
      <c r="B405" s="13">
        <f ca="1">Prices!B404*(1+J405/(50*(ABS(O405)+ABS(T405)+0.0001)))</f>
        <v>0</v>
      </c>
      <c r="C405" s="62">
        <f t="shared" ca="1" si="43"/>
        <v>0</v>
      </c>
      <c r="D405" s="13" t="e">
        <f ca="1">D404+C405*(Prices!B405-Prices!B404)/Prices!B404</f>
        <v>#DIV/0!</v>
      </c>
      <c r="E405" s="13" t="e">
        <f t="shared" ca="1" si="44"/>
        <v>#DIV/0!</v>
      </c>
      <c r="F405" s="13" t="e">
        <f t="shared" ca="1" si="45"/>
        <v>#DIV/0!</v>
      </c>
      <c r="G405" s="21">
        <f ca="1">IF((Prices!B405-Prices!B404)*C405&gt;0,1,0)</f>
        <v>0</v>
      </c>
      <c r="H405" s="13" t="e">
        <f>ABS(Prices!B405-Prices!B404)/Prices!B404</f>
        <v>#DIV/0!</v>
      </c>
      <c r="I405" s="21"/>
      <c r="J405" s="4">
        <f t="shared" ca="1" si="46"/>
        <v>-2.9007257699536256E-4</v>
      </c>
      <c r="K405" s="13"/>
      <c r="L405" s="13">
        <f ca="1">L404-O405*Prices!B405</f>
        <v>0.73602277515754255</v>
      </c>
      <c r="M405" s="4">
        <f t="shared" ca="1" si="47"/>
        <v>5.4251889912024205E-3</v>
      </c>
      <c r="N405" s="13">
        <f ca="1">IF(Prices!B404&gt;OFFSET(Prices!B404,-$N$3,0),1,-1)</f>
        <v>-1</v>
      </c>
      <c r="O405" s="4">
        <f ca="1">IF(N405=1,O$3*L404/Prices!B404,-O$3*M404)</f>
        <v>-2.8553626269486426E-4</v>
      </c>
      <c r="P405" s="22"/>
      <c r="Q405" s="13">
        <f ca="1">Q404-T405*Prices!B405</f>
        <v>0.94863015803649409</v>
      </c>
      <c r="R405" s="4">
        <f t="shared" ca="1" si="48"/>
        <v>4.082682870448476E-5</v>
      </c>
      <c r="S405" s="13">
        <f ca="1">IF(Prices!D404&gt;OFFSET(Prices!D404,-S$3,0),1,-1)</f>
        <v>-1</v>
      </c>
      <c r="T405" s="4">
        <f ca="1">IF(S405=1,T$3*Q404/Prices!B404,-T$3*R404)</f>
        <v>-4.5363143004983068E-6</v>
      </c>
      <c r="V405" s="13"/>
      <c r="W405" s="4"/>
      <c r="X405" s="4"/>
      <c r="Y405" s="4"/>
      <c r="Z405" s="4"/>
      <c r="AA405" s="4"/>
      <c r="AB405" s="4"/>
      <c r="AC405" s="4"/>
      <c r="AD405" s="4"/>
      <c r="AE405" s="52"/>
    </row>
    <row r="406" spans="1:31" x14ac:dyDescent="0.2">
      <c r="A406" s="7">
        <v>44206</v>
      </c>
      <c r="B406" s="13">
        <f ca="1">Prices!B405*(1+J406/(50*(ABS(O406)+ABS(T406)+0.0001)))</f>
        <v>0</v>
      </c>
      <c r="C406" s="62">
        <f t="shared" ca="1" si="43"/>
        <v>0</v>
      </c>
      <c r="D406" s="13" t="e">
        <f ca="1">D405+C406*(Prices!B406-Prices!B405)/Prices!B405</f>
        <v>#DIV/0!</v>
      </c>
      <c r="E406" s="13" t="e">
        <f t="shared" ca="1" si="44"/>
        <v>#DIV/0!</v>
      </c>
      <c r="F406" s="13" t="e">
        <f t="shared" ca="1" si="45"/>
        <v>#DIV/0!</v>
      </c>
      <c r="G406" s="21">
        <f ca="1">IF((Prices!B406-Prices!B405)*C406&gt;0,1,0)</f>
        <v>0</v>
      </c>
      <c r="H406" s="13" t="e">
        <f>ABS(Prices!B406-Prices!B405)/Prices!B405</f>
        <v>#DIV/0!</v>
      </c>
      <c r="I406" s="21"/>
      <c r="J406" s="4">
        <f t="shared" ca="1" si="46"/>
        <v>-2.7534213243056953E-4</v>
      </c>
      <c r="K406" s="13"/>
      <c r="L406" s="13">
        <f ca="1">L405-O406*Prices!B406</f>
        <v>0.73602277515754255</v>
      </c>
      <c r="M406" s="4">
        <f t="shared" ca="1" si="47"/>
        <v>5.1539295416422994E-3</v>
      </c>
      <c r="N406" s="13">
        <f ca="1">IF(Prices!B405&gt;OFFSET(Prices!B405,-$N$3,0),1,-1)</f>
        <v>-1</v>
      </c>
      <c r="O406" s="4">
        <f ca="1">IF(N406=1,O$3*L405/Prices!B405,-O$3*M405)</f>
        <v>-2.7125944956012105E-4</v>
      </c>
      <c r="P406" s="22"/>
      <c r="Q406" s="13">
        <f ca="1">Q405-T406*Prices!B406</f>
        <v>0.94863015803649409</v>
      </c>
      <c r="R406" s="4">
        <f t="shared" ca="1" si="48"/>
        <v>3.6744145834036286E-5</v>
      </c>
      <c r="S406" s="13">
        <f ca="1">IF(Prices!D405&gt;OFFSET(Prices!D405,-S$3,0),1,-1)</f>
        <v>-1</v>
      </c>
      <c r="T406" s="4">
        <f ca="1">IF(S406=1,T$3*Q405/Prices!B405,-T$3*R405)</f>
        <v>-4.0826828704484758E-6</v>
      </c>
      <c r="V406" s="13"/>
      <c r="W406" s="4"/>
      <c r="X406" s="4"/>
      <c r="Y406" s="4"/>
      <c r="Z406" s="4"/>
      <c r="AA406" s="4"/>
      <c r="AB406" s="4"/>
      <c r="AC406" s="4"/>
      <c r="AD406" s="4"/>
      <c r="AE406" s="52"/>
    </row>
    <row r="407" spans="1:31" x14ac:dyDescent="0.2">
      <c r="A407" s="58">
        <v>44213</v>
      </c>
      <c r="B407" s="13">
        <f ca="1">Prices!B406*(1+J407/(50*(ABS(O407)+ABS(T407)+0.0001)))</f>
        <v>0</v>
      </c>
      <c r="C407" s="62">
        <f t="shared" ca="1" si="43"/>
        <v>0</v>
      </c>
      <c r="D407" s="13" t="e">
        <f ca="1">D406+C407*(Prices!B407-Prices!B406)/Prices!B406</f>
        <v>#DIV/0!</v>
      </c>
      <c r="E407" s="13" t="e">
        <f t="shared" ca="1" si="44"/>
        <v>#DIV/0!</v>
      </c>
      <c r="F407" s="13" t="e">
        <f t="shared" ca="1" si="45"/>
        <v>#DIV/0!</v>
      </c>
      <c r="G407" s="21">
        <f ca="1">IF((Prices!B407-Prices!B406)*C407&gt;0,1,0)</f>
        <v>0</v>
      </c>
      <c r="H407" s="13" t="e">
        <f>ABS(Prices!B407-Prices!B406)/Prices!B406</f>
        <v>#DIV/0!</v>
      </c>
      <c r="I407" s="21"/>
      <c r="J407" s="4">
        <f t="shared" ca="1" si="46"/>
        <v>-2.6137089166551863E-4</v>
      </c>
      <c r="K407" s="13"/>
      <c r="L407" s="13">
        <f ca="1">L406-O407*Prices!B407</f>
        <v>0.73602277515754255</v>
      </c>
      <c r="M407" s="4">
        <f t="shared" ca="1" si="47"/>
        <v>4.8962330645601843E-3</v>
      </c>
      <c r="N407" s="13">
        <f ca="1">IF(Prices!B406&gt;OFFSET(Prices!B406,-$N$3,0),1,-1)</f>
        <v>-1</v>
      </c>
      <c r="O407" s="4">
        <f ca="1">IF(N407=1,O$3*L406/Prices!B406,-O$3*M406)</f>
        <v>-2.5769647708211499E-4</v>
      </c>
      <c r="P407" s="22"/>
      <c r="Q407" s="13">
        <f ca="1">Q406-T407*Prices!B407</f>
        <v>0.94863015803649409</v>
      </c>
      <c r="R407" s="4">
        <f t="shared" ca="1" si="48"/>
        <v>3.3069731250632656E-5</v>
      </c>
      <c r="S407" s="13">
        <f ca="1">IF(Prices!D406&gt;OFFSET(Prices!D406,-S$3,0),1,-1)</f>
        <v>-1</v>
      </c>
      <c r="T407" s="4">
        <f ca="1">IF(S407=1,T$3*Q406/Prices!B406,-T$3*R406)</f>
        <v>-3.674414583403629E-6</v>
      </c>
      <c r="V407" s="13"/>
      <c r="W407" s="4"/>
      <c r="X407" s="4"/>
      <c r="Y407" s="4"/>
      <c r="Z407" s="4"/>
      <c r="AA407" s="4"/>
      <c r="AB407" s="4"/>
      <c r="AC407" s="4"/>
      <c r="AD407" s="4"/>
      <c r="AE407" s="52"/>
    </row>
    <row r="408" spans="1:31" x14ac:dyDescent="0.2">
      <c r="A408" s="7">
        <v>44220</v>
      </c>
      <c r="B408" s="13">
        <f ca="1">Prices!B407*(1+J408/(50*(ABS(O408)+ABS(T408)+0.0001)))</f>
        <v>0</v>
      </c>
      <c r="C408" s="62">
        <f t="shared" ca="1" si="43"/>
        <v>0</v>
      </c>
      <c r="D408" s="13" t="e">
        <f ca="1">D407+C408*(Prices!B408-Prices!B407)/Prices!B407</f>
        <v>#DIV/0!</v>
      </c>
      <c r="E408" s="13" t="e">
        <f t="shared" ca="1" si="44"/>
        <v>#DIV/0!</v>
      </c>
      <c r="F408" s="13" t="e">
        <f t="shared" ca="1" si="45"/>
        <v>#DIV/0!</v>
      </c>
      <c r="G408" s="21">
        <f ca="1">IF((Prices!B408-Prices!B407)*C408&gt;0,1,0)</f>
        <v>0</v>
      </c>
      <c r="H408" s="13" t="e">
        <f>ABS(Prices!B408-Prices!B407)/Prices!B407</f>
        <v>#DIV/0!</v>
      </c>
      <c r="I408" s="21"/>
      <c r="J408" s="4">
        <f t="shared" ca="1" si="46"/>
        <v>-2.4811862635307252E-4</v>
      </c>
      <c r="K408" s="13"/>
      <c r="L408" s="13">
        <f ca="1">L407-O408*Prices!B408</f>
        <v>0.73602277515754255</v>
      </c>
      <c r="M408" s="4">
        <f t="shared" ca="1" si="47"/>
        <v>4.6514214113321751E-3</v>
      </c>
      <c r="N408" s="13">
        <f ca="1">IF(Prices!B407&gt;OFFSET(Prices!B407,-$N$3,0),1,-1)</f>
        <v>-1</v>
      </c>
      <c r="O408" s="4">
        <f ca="1">IF(N408=1,O$3*L407/Prices!B407,-O$3*M407)</f>
        <v>-2.4481165322800923E-4</v>
      </c>
      <c r="P408" s="22"/>
      <c r="Q408" s="13">
        <f ca="1">Q407-T408*Prices!B408</f>
        <v>0.94863015803649409</v>
      </c>
      <c r="R408" s="4">
        <f t="shared" ca="1" si="48"/>
        <v>2.9762758125569389E-5</v>
      </c>
      <c r="S408" s="13">
        <f ca="1">IF(Prices!D407&gt;OFFSET(Prices!D407,-S$3,0),1,-1)</f>
        <v>-1</v>
      </c>
      <c r="T408" s="4">
        <f ca="1">IF(S408=1,T$3*Q407/Prices!B407,-T$3*R407)</f>
        <v>-3.3069731250632658E-6</v>
      </c>
      <c r="V408" s="13"/>
      <c r="W408" s="4"/>
      <c r="X408" s="4"/>
      <c r="Y408" s="4"/>
      <c r="Z408" s="4"/>
      <c r="AA408" s="4"/>
      <c r="AB408" s="4"/>
      <c r="AC408" s="4"/>
      <c r="AD408" s="4"/>
      <c r="AE408" s="52"/>
    </row>
    <row r="409" spans="1:31" x14ac:dyDescent="0.2">
      <c r="A409" s="58">
        <v>44227</v>
      </c>
      <c r="B409" s="13">
        <f ca="1">Prices!B408*(1+J409/(50*(ABS(O409)+ABS(T409)+0.0001)))</f>
        <v>0</v>
      </c>
      <c r="C409" s="62">
        <f t="shared" ca="1" si="43"/>
        <v>0</v>
      </c>
      <c r="D409" s="13" t="e">
        <f ca="1">D408+C409*(Prices!B409-Prices!B408)/Prices!B408</f>
        <v>#DIV/0!</v>
      </c>
      <c r="E409" s="13" t="e">
        <f t="shared" ca="1" si="44"/>
        <v>#DIV/0!</v>
      </c>
      <c r="F409" s="13" t="e">
        <f t="shared" ca="1" si="45"/>
        <v>#DIV/0!</v>
      </c>
      <c r="G409" s="21">
        <f ca="1">IF((Prices!B409-Prices!B408)*C409&gt;0,1,0)</f>
        <v>0</v>
      </c>
      <c r="H409" s="13" t="e">
        <f>ABS(Prices!B409-Prices!B408)/Prices!B408</f>
        <v>#DIV/0!</v>
      </c>
      <c r="I409" s="21"/>
      <c r="J409" s="4">
        <f t="shared" ca="1" si="46"/>
        <v>-2.3554734637916571E-4</v>
      </c>
      <c r="K409" s="13"/>
      <c r="L409" s="13">
        <f ca="1">L408-O409*Prices!B409</f>
        <v>0.73602277515754255</v>
      </c>
      <c r="M409" s="4">
        <f t="shared" ca="1" si="47"/>
        <v>4.4188503407655661E-3</v>
      </c>
      <c r="N409" s="13">
        <f ca="1">IF(Prices!B408&gt;OFFSET(Prices!B408,-$N$3,0),1,-1)</f>
        <v>-1</v>
      </c>
      <c r="O409" s="4">
        <f ca="1">IF(N409=1,O$3*L408/Prices!B408,-O$3*M408)</f>
        <v>-2.3257107056660876E-4</v>
      </c>
      <c r="P409" s="22"/>
      <c r="Q409" s="13">
        <f ca="1">Q408-T409*Prices!B409</f>
        <v>0.94863015803649409</v>
      </c>
      <c r="R409" s="4">
        <f t="shared" ca="1" si="48"/>
        <v>2.6786482313012449E-5</v>
      </c>
      <c r="S409" s="13">
        <f ca="1">IF(Prices!D408&gt;OFFSET(Prices!D408,-S$3,0),1,-1)</f>
        <v>-1</v>
      </c>
      <c r="T409" s="4">
        <f ca="1">IF(S409=1,T$3*Q408/Prices!B408,-T$3*R408)</f>
        <v>-2.9762758125569391E-6</v>
      </c>
      <c r="V409" s="13"/>
      <c r="W409" s="4"/>
      <c r="X409" s="4"/>
      <c r="Y409" s="4"/>
      <c r="Z409" s="4"/>
      <c r="AA409" s="4"/>
      <c r="AB409" s="4"/>
      <c r="AC409" s="4"/>
      <c r="AD409" s="4"/>
      <c r="AE409" s="52"/>
    </row>
    <row r="410" spans="1:31" x14ac:dyDescent="0.2">
      <c r="A410" s="7">
        <v>44234</v>
      </c>
      <c r="B410" s="13">
        <f ca="1">Prices!B409*(1+J410/(50*(ABS(O410)+ABS(T410)+0.0001)))</f>
        <v>0</v>
      </c>
      <c r="C410" s="62">
        <f t="shared" ca="1" si="43"/>
        <v>0</v>
      </c>
      <c r="D410" s="13" t="e">
        <f ca="1">D409+C410*(Prices!B410-Prices!B409)/Prices!B409</f>
        <v>#DIV/0!</v>
      </c>
      <c r="E410" s="13" t="e">
        <f t="shared" ca="1" si="44"/>
        <v>#DIV/0!</v>
      </c>
      <c r="F410" s="13" t="e">
        <f t="shared" ca="1" si="45"/>
        <v>#DIV/0!</v>
      </c>
      <c r="G410" s="21">
        <f ca="1">IF((Prices!B410-Prices!B409)*C410&gt;0,1,0)</f>
        <v>0</v>
      </c>
      <c r="H410" s="13" t="e">
        <f>ABS(Prices!B410-Prices!B409)/Prices!B409</f>
        <v>#DIV/0!</v>
      </c>
      <c r="I410" s="21"/>
      <c r="J410" s="4">
        <f t="shared" ca="1" si="46"/>
        <v>-2.2362116526957956E-4</v>
      </c>
      <c r="K410" s="13"/>
      <c r="L410" s="13">
        <f ca="1">L409-O410*Prices!B410</f>
        <v>0.73602277515754255</v>
      </c>
      <c r="M410" s="4">
        <f t="shared" ca="1" si="47"/>
        <v>4.1979078237272876E-3</v>
      </c>
      <c r="N410" s="13">
        <f ca="1">IF(Prices!B409&gt;OFFSET(Prices!B409,-$N$3,0),1,-1)</f>
        <v>-1</v>
      </c>
      <c r="O410" s="4">
        <f ca="1">IF(N410=1,O$3*L409/Prices!B409,-O$3*M409)</f>
        <v>-2.2094251703827831E-4</v>
      </c>
      <c r="P410" s="22"/>
      <c r="Q410" s="13">
        <f ca="1">Q409-T410*Prices!B410</f>
        <v>0.94863015803649409</v>
      </c>
      <c r="R410" s="4">
        <f t="shared" ca="1" si="48"/>
        <v>2.4107834081711205E-5</v>
      </c>
      <c r="S410" s="13">
        <f ca="1">IF(Prices!D409&gt;OFFSET(Prices!D409,-S$3,0),1,-1)</f>
        <v>-1</v>
      </c>
      <c r="T410" s="4">
        <f ca="1">IF(S410=1,T$3*Q409/Prices!B409,-T$3*R409)</f>
        <v>-2.6786482313012449E-6</v>
      </c>
      <c r="V410" s="13"/>
      <c r="W410" s="4"/>
      <c r="X410" s="4"/>
      <c r="Y410" s="4"/>
      <c r="Z410" s="4"/>
      <c r="AA410" s="4"/>
      <c r="AB410" s="4"/>
      <c r="AC410" s="4"/>
      <c r="AD410" s="4"/>
      <c r="AE410" s="52"/>
    </row>
    <row r="411" spans="1:31" x14ac:dyDescent="0.2">
      <c r="A411" s="7">
        <v>44241</v>
      </c>
      <c r="B411" s="13">
        <f ca="1">Prices!B410*(1+J411/(50*(ABS(O411)+ABS(T411)+0.0001)))</f>
        <v>0</v>
      </c>
      <c r="C411" s="62">
        <f t="shared" ca="1" si="43"/>
        <v>0</v>
      </c>
      <c r="D411" s="13" t="e">
        <f ca="1">D410+C411*(Prices!B411-Prices!B410)/Prices!B410</f>
        <v>#DIV/0!</v>
      </c>
      <c r="E411" s="13" t="e">
        <f t="shared" ca="1" si="44"/>
        <v>#DIV/0!</v>
      </c>
      <c r="F411" s="13" t="e">
        <f t="shared" ca="1" si="45"/>
        <v>#DIV/0!</v>
      </c>
      <c r="G411" s="21">
        <f ca="1">IF((Prices!B411-Prices!B410)*C411&gt;0,1,0)</f>
        <v>0</v>
      </c>
      <c r="H411" s="13" t="e">
        <f>ABS(Prices!B411-Prices!B410)/Prices!B410</f>
        <v>#DIV/0!</v>
      </c>
      <c r="I411" s="21"/>
      <c r="J411" s="4">
        <f t="shared" ca="1" si="46"/>
        <v>-2.1230617459453552E-4</v>
      </c>
      <c r="K411" s="13"/>
      <c r="L411" s="13">
        <f ca="1">L410-O411*Prices!B411</f>
        <v>0.73602277515754255</v>
      </c>
      <c r="M411" s="4">
        <f t="shared" ca="1" si="47"/>
        <v>3.9880124325409232E-3</v>
      </c>
      <c r="N411" s="13">
        <f ca="1">IF(Prices!B410&gt;OFFSET(Prices!B410,-$N$3,0),1,-1)</f>
        <v>-1</v>
      </c>
      <c r="O411" s="4">
        <f ca="1">IF(N411=1,O$3*L410/Prices!B410,-O$3*M410)</f>
        <v>-2.098953911863644E-4</v>
      </c>
      <c r="P411" s="22"/>
      <c r="Q411" s="13">
        <f ca="1">Q410-T411*Prices!B411</f>
        <v>0.94863015803649409</v>
      </c>
      <c r="R411" s="4">
        <f t="shared" ca="1" si="48"/>
        <v>2.1697050673540084E-5</v>
      </c>
      <c r="S411" s="13">
        <f ca="1">IF(Prices!D410&gt;OFFSET(Prices!D410,-S$3,0),1,-1)</f>
        <v>-1</v>
      </c>
      <c r="T411" s="4">
        <f ca="1">IF(S411=1,T$3*Q410/Prices!B410,-T$3*R410)</f>
        <v>-2.4107834081711208E-6</v>
      </c>
      <c r="V411" s="13"/>
      <c r="W411" s="4"/>
      <c r="X411" s="4"/>
      <c r="Y411" s="4"/>
      <c r="Z411" s="4"/>
      <c r="AA411" s="4"/>
      <c r="AB411" s="4"/>
      <c r="AC411" s="4"/>
      <c r="AD411" s="4"/>
      <c r="AE411" s="52"/>
    </row>
    <row r="412" spans="1:31" x14ac:dyDescent="0.2">
      <c r="A412" s="7">
        <v>44248</v>
      </c>
      <c r="B412" s="13">
        <f ca="1">Prices!B411*(1+J412/(50*(ABS(O412)+ABS(T412)+0.0001)))</f>
        <v>0</v>
      </c>
      <c r="C412" s="62">
        <f t="shared" ca="1" si="43"/>
        <v>0</v>
      </c>
      <c r="D412" s="13" t="e">
        <f ca="1">D411+C412*(Prices!B412-Prices!B411)/Prices!B411</f>
        <v>#DIV/0!</v>
      </c>
      <c r="E412" s="13" t="e">
        <f t="shared" ca="1" si="44"/>
        <v>#DIV/0!</v>
      </c>
      <c r="F412" s="13" t="e">
        <f t="shared" ca="1" si="45"/>
        <v>#DIV/0!</v>
      </c>
      <c r="G412" s="21">
        <f ca="1">IF((Prices!B412-Prices!B411)*C412&gt;0,1,0)</f>
        <v>0</v>
      </c>
      <c r="H412" s="13" t="e">
        <f>ABS(Prices!B412-Prices!B411)/Prices!B411</f>
        <v>#DIV/0!</v>
      </c>
      <c r="I412" s="21"/>
      <c r="J412" s="4">
        <f t="shared" ca="1" si="46"/>
        <v>-2.0157032669440017E-4</v>
      </c>
      <c r="K412" s="13"/>
      <c r="L412" s="13">
        <f ca="1">L411-O412*Prices!B412</f>
        <v>0.73602277515754255</v>
      </c>
      <c r="M412" s="4">
        <f t="shared" ca="1" si="47"/>
        <v>3.7886118109138772E-3</v>
      </c>
      <c r="N412" s="13">
        <f ca="1">IF(Prices!B411&gt;OFFSET(Prices!B411,-$N$3,0),1,-1)</f>
        <v>-1</v>
      </c>
      <c r="O412" s="4">
        <f ca="1">IF(N412=1,O$3*L411/Prices!B411,-O$3*M411)</f>
        <v>-1.9940062162704617E-4</v>
      </c>
      <c r="P412" s="22"/>
      <c r="Q412" s="13">
        <f ca="1">Q411-T412*Prices!B412</f>
        <v>0.94863015803649409</v>
      </c>
      <c r="R412" s="4">
        <f t="shared" ca="1" si="48"/>
        <v>1.9527345606186076E-5</v>
      </c>
      <c r="S412" s="13">
        <f ca="1">IF(Prices!D411&gt;OFFSET(Prices!D411,-S$3,0),1,-1)</f>
        <v>-1</v>
      </c>
      <c r="T412" s="4">
        <f ca="1">IF(S412=1,T$3*Q411/Prices!B411,-T$3*R411)</f>
        <v>-2.1697050673540085E-6</v>
      </c>
      <c r="V412" s="13"/>
      <c r="W412" s="4"/>
      <c r="X412" s="4"/>
      <c r="Y412" s="4"/>
      <c r="Z412" s="4"/>
      <c r="AA412" s="4"/>
      <c r="AB412" s="4"/>
      <c r="AC412" s="4"/>
      <c r="AD412" s="4"/>
      <c r="AE412" s="52"/>
    </row>
    <row r="413" spans="1:31" x14ac:dyDescent="0.2">
      <c r="A413" s="7">
        <v>44255</v>
      </c>
      <c r="B413" s="13">
        <f ca="1">Prices!B412*(1+J413/(50*(ABS(O413)+ABS(T413)+0.0001)))</f>
        <v>0</v>
      </c>
      <c r="C413" s="62">
        <f t="shared" ca="1" si="43"/>
        <v>0</v>
      </c>
      <c r="D413" s="13" t="e">
        <f ca="1">D412+C413*(Prices!B413-Prices!B412)/Prices!B412</f>
        <v>#DIV/0!</v>
      </c>
      <c r="E413" s="13" t="e">
        <f t="shared" ca="1" si="44"/>
        <v>#DIV/0!</v>
      </c>
      <c r="F413" s="13" t="e">
        <f t="shared" ca="1" si="45"/>
        <v>#DIV/0!</v>
      </c>
      <c r="G413" s="21">
        <f ca="1">IF((Prices!B413-Prices!B412)*C413&gt;0,1,0)</f>
        <v>0</v>
      </c>
      <c r="H413" s="13" t="e">
        <f>ABS(Prices!B413-Prices!B412)/Prices!B412</f>
        <v>#DIV/0!</v>
      </c>
      <c r="I413" s="21"/>
      <c r="J413" s="4">
        <f t="shared" ca="1" si="46"/>
        <v>-1.9138332510631247E-4</v>
      </c>
      <c r="K413" s="13"/>
      <c r="L413" s="13">
        <f ca="1">L412-O413*Prices!B413</f>
        <v>0.73602277515754255</v>
      </c>
      <c r="M413" s="4">
        <f t="shared" ca="1" si="47"/>
        <v>3.5991812203681832E-3</v>
      </c>
      <c r="N413" s="13">
        <f ca="1">IF(Prices!B412&gt;OFFSET(Prices!B412,-$N$3,0),1,-1)</f>
        <v>-1</v>
      </c>
      <c r="O413" s="4">
        <f ca="1">IF(N413=1,O$3*L412/Prices!B412,-O$3*M412)</f>
        <v>-1.8943059054569387E-4</v>
      </c>
      <c r="P413" s="22"/>
      <c r="Q413" s="13">
        <f ca="1">Q412-T413*Prices!B413</f>
        <v>0.94863015803649409</v>
      </c>
      <c r="R413" s="4">
        <f t="shared" ca="1" si="48"/>
        <v>1.7574611045567468E-5</v>
      </c>
      <c r="S413" s="13">
        <f ca="1">IF(Prices!D412&gt;OFFSET(Prices!D412,-S$3,0),1,-1)</f>
        <v>-1</v>
      </c>
      <c r="T413" s="4">
        <f ca="1">IF(S413=1,T$3*Q412/Prices!B412,-T$3*R412)</f>
        <v>-1.9527345606186076E-6</v>
      </c>
      <c r="V413" s="13"/>
      <c r="W413" s="4"/>
      <c r="X413" s="4"/>
      <c r="Y413" s="4"/>
      <c r="Z413" s="4"/>
      <c r="AA413" s="4"/>
      <c r="AB413" s="4"/>
      <c r="AC413" s="4"/>
      <c r="AD413" s="4"/>
      <c r="AE413" s="52"/>
    </row>
    <row r="414" spans="1:31" x14ac:dyDescent="0.2">
      <c r="A414" s="58">
        <v>44262</v>
      </c>
      <c r="B414" s="13">
        <f ca="1">Prices!B413*(1+J414/(50*(ABS(O414)+ABS(T414)+0.0001)))</f>
        <v>0</v>
      </c>
      <c r="C414" s="62">
        <f t="shared" ca="1" si="43"/>
        <v>0</v>
      </c>
      <c r="D414" s="13" t="e">
        <f ca="1">D413+C414*(Prices!B414-Prices!B413)/Prices!B413</f>
        <v>#DIV/0!</v>
      </c>
      <c r="E414" s="13" t="e">
        <f t="shared" ca="1" si="44"/>
        <v>#DIV/0!</v>
      </c>
      <c r="F414" s="13" t="e">
        <f t="shared" ca="1" si="45"/>
        <v>#DIV/0!</v>
      </c>
      <c r="G414" s="21">
        <f ca="1">IF((Prices!B414-Prices!B413)*C414&gt;0,1,0)</f>
        <v>0</v>
      </c>
      <c r="H414" s="13" t="e">
        <f>ABS(Prices!B414-Prices!B413)/Prices!B413</f>
        <v>#DIV/0!</v>
      </c>
      <c r="I414" s="21"/>
      <c r="J414" s="4">
        <f t="shared" ca="1" si="46"/>
        <v>-1.8171652212296591E-4</v>
      </c>
      <c r="K414" s="13"/>
      <c r="L414" s="13">
        <f ca="1">L413-O414*Prices!B414</f>
        <v>0.73602277515754255</v>
      </c>
      <c r="M414" s="4">
        <f t="shared" ca="1" si="47"/>
        <v>3.4192221593497742E-3</v>
      </c>
      <c r="N414" s="13">
        <f ca="1">IF(Prices!B413&gt;OFFSET(Prices!B413,-$N$3,0),1,-1)</f>
        <v>-1</v>
      </c>
      <c r="O414" s="4">
        <f ca="1">IF(N414=1,O$3*L413/Prices!B413,-O$3*M413)</f>
        <v>-1.7995906101840917E-4</v>
      </c>
      <c r="P414" s="22"/>
      <c r="Q414" s="13">
        <f ca="1">Q413-T414*Prices!B414</f>
        <v>0.94863015803649409</v>
      </c>
      <c r="R414" s="4">
        <f t="shared" ca="1" si="48"/>
        <v>1.5817149941010723E-5</v>
      </c>
      <c r="S414" s="13">
        <f ca="1">IF(Prices!D413&gt;OFFSET(Prices!D413,-S$3,0),1,-1)</f>
        <v>-1</v>
      </c>
      <c r="T414" s="4">
        <f ca="1">IF(S414=1,T$3*Q413/Prices!B413,-T$3*R413)</f>
        <v>-1.757461104556747E-6</v>
      </c>
      <c r="V414" s="13"/>
      <c r="W414" s="4"/>
      <c r="X414" s="4"/>
      <c r="Y414" s="4"/>
      <c r="Z414" s="4"/>
      <c r="AA414" s="4"/>
      <c r="AB414" s="4"/>
      <c r="AC414" s="4"/>
      <c r="AD414" s="4"/>
      <c r="AE414" s="52"/>
    </row>
    <row r="415" spans="1:31" x14ac:dyDescent="0.2">
      <c r="A415" s="7">
        <v>44269</v>
      </c>
      <c r="B415" s="13">
        <f ca="1">Prices!B414*(1+J415/(50*(ABS(O415)+ABS(T415)+0.0001)))</f>
        <v>0</v>
      </c>
      <c r="C415" s="62">
        <f t="shared" ca="1" si="43"/>
        <v>0</v>
      </c>
      <c r="D415" s="13" t="e">
        <f ca="1">D414+C415*(Prices!B415-Prices!B414)/Prices!B414</f>
        <v>#DIV/0!</v>
      </c>
      <c r="E415" s="13" t="e">
        <f t="shared" ca="1" si="44"/>
        <v>#DIV/0!</v>
      </c>
      <c r="F415" s="13" t="e">
        <f t="shared" ca="1" si="45"/>
        <v>#DIV/0!</v>
      </c>
      <c r="G415" s="21">
        <f ca="1">IF((Prices!B415-Prices!B414)*C415&gt;0,1,0)</f>
        <v>0</v>
      </c>
      <c r="H415" s="13" t="e">
        <f>ABS(Prices!B415-Prices!B414)/Prices!B414</f>
        <v>#DIV/0!</v>
      </c>
      <c r="I415" s="21"/>
      <c r="J415" s="4">
        <f t="shared" ca="1" si="46"/>
        <v>-1.725428229615898E-4</v>
      </c>
      <c r="K415" s="13"/>
      <c r="L415" s="13">
        <f ca="1">L414-O415*Prices!B415</f>
        <v>0.73602277515754255</v>
      </c>
      <c r="M415" s="4">
        <f t="shared" ca="1" si="47"/>
        <v>3.2482610513822857E-3</v>
      </c>
      <c r="N415" s="13">
        <f ca="1">IF(Prices!B414&gt;OFFSET(Prices!B414,-$N$3,0),1,-1)</f>
        <v>-1</v>
      </c>
      <c r="O415" s="4">
        <f ca="1">IF(N415=1,O$3*L414/Prices!B414,-O$3*M414)</f>
        <v>-1.7096110796748873E-4</v>
      </c>
      <c r="P415" s="22"/>
      <c r="Q415" s="13">
        <f ca="1">Q414-T415*Prices!B415</f>
        <v>0.94863015803649409</v>
      </c>
      <c r="R415" s="4">
        <f t="shared" ca="1" si="48"/>
        <v>1.423543494690965E-5</v>
      </c>
      <c r="S415" s="13">
        <f ca="1">IF(Prices!D414&gt;OFFSET(Prices!D414,-S$3,0),1,-1)</f>
        <v>-1</v>
      </c>
      <c r="T415" s="4">
        <f ca="1">IF(S415=1,T$3*Q414/Prices!B414,-T$3*R414)</f>
        <v>-1.5817149941010724E-6</v>
      </c>
      <c r="V415" s="13"/>
      <c r="W415" s="4"/>
      <c r="X415" s="4"/>
      <c r="Y415" s="4"/>
      <c r="Z415" s="4"/>
      <c r="AA415" s="4"/>
      <c r="AB415" s="4"/>
      <c r="AC415" s="4"/>
      <c r="AD415" s="4"/>
      <c r="AE415" s="52"/>
    </row>
    <row r="416" spans="1:31" x14ac:dyDescent="0.2">
      <c r="A416" s="58">
        <v>44276</v>
      </c>
      <c r="B416" s="13">
        <f ca="1">Prices!B415*(1+J416/(50*(ABS(O416)+ABS(T416)+0.0001)))</f>
        <v>0</v>
      </c>
      <c r="C416" s="62">
        <f t="shared" ca="1" si="43"/>
        <v>0</v>
      </c>
      <c r="D416" s="13" t="e">
        <f ca="1">D415+C416*(Prices!B416-Prices!B415)/Prices!B415</f>
        <v>#DIV/0!</v>
      </c>
      <c r="E416" s="13" t="e">
        <f t="shared" ca="1" si="44"/>
        <v>#DIV/0!</v>
      </c>
      <c r="F416" s="13" t="e">
        <f t="shared" ca="1" si="45"/>
        <v>#DIV/0!</v>
      </c>
      <c r="G416" s="21">
        <f ca="1">IF((Prices!B416-Prices!B415)*C416&gt;0,1,0)</f>
        <v>0</v>
      </c>
      <c r="H416" s="13" t="e">
        <f>ABS(Prices!B416-Prices!B415)/Prices!B415</f>
        <v>#DIV/0!</v>
      </c>
      <c r="I416" s="21"/>
      <c r="J416" s="4">
        <f t="shared" ca="1" si="46"/>
        <v>-1.6383659606380527E-4</v>
      </c>
      <c r="K416" s="13"/>
      <c r="L416" s="13">
        <f ca="1">L415-O416*Prices!B416</f>
        <v>0.73602277515754255</v>
      </c>
      <c r="M416" s="4">
        <f t="shared" ca="1" si="47"/>
        <v>3.0858479988131716E-3</v>
      </c>
      <c r="N416" s="13">
        <f ca="1">IF(Prices!B415&gt;OFFSET(Prices!B415,-$N$3,0),1,-1)</f>
        <v>-1</v>
      </c>
      <c r="O416" s="4">
        <f ca="1">IF(N416=1,O$3*L415/Prices!B415,-O$3*M415)</f>
        <v>-1.624130525691143E-4</v>
      </c>
      <c r="P416" s="22"/>
      <c r="Q416" s="13">
        <f ca="1">Q415-T416*Prices!B416</f>
        <v>0.94863015803649409</v>
      </c>
      <c r="R416" s="4">
        <f t="shared" ca="1" si="48"/>
        <v>1.2811891452218685E-5</v>
      </c>
      <c r="S416" s="13">
        <f ca="1">IF(Prices!D415&gt;OFFSET(Prices!D415,-S$3,0),1,-1)</f>
        <v>-1</v>
      </c>
      <c r="T416" s="4">
        <f ca="1">IF(S416=1,T$3*Q415/Prices!B415,-T$3*R415)</f>
        <v>-1.423543494690965E-6</v>
      </c>
      <c r="W416" s="4"/>
      <c r="X416" s="4"/>
      <c r="Y416" s="4"/>
      <c r="Z416" s="4"/>
      <c r="AA416" s="4"/>
      <c r="AB416" s="4"/>
      <c r="AC416" s="4"/>
      <c r="AD416" s="4"/>
      <c r="AE416" s="52"/>
    </row>
    <row r="417" spans="1:31" x14ac:dyDescent="0.2">
      <c r="A417" s="7">
        <v>44283</v>
      </c>
      <c r="B417" s="13">
        <f ca="1">Prices!B416*(1+J417/(50*(ABS(O417)+ABS(T417)+0.0001)))</f>
        <v>0</v>
      </c>
      <c r="C417" s="62">
        <f t="shared" ca="1" si="43"/>
        <v>0</v>
      </c>
      <c r="D417" s="13" t="e">
        <f ca="1">D416+C417*(Prices!B417-Prices!B416)/Prices!B416</f>
        <v>#DIV/0!</v>
      </c>
      <c r="E417" s="13" t="e">
        <f t="shared" ca="1" si="44"/>
        <v>#DIV/0!</v>
      </c>
      <c r="F417" s="13" t="e">
        <f t="shared" ca="1" si="45"/>
        <v>#DIV/0!</v>
      </c>
      <c r="G417" s="21">
        <f ca="1">IF((Prices!B417-Prices!B416)*C417&gt;0,1,0)</f>
        <v>0</v>
      </c>
      <c r="H417" s="13" t="e">
        <f>ABS(Prices!B417-Prices!B416)/Prices!B416</f>
        <v>#DIV/0!</v>
      </c>
      <c r="I417" s="21"/>
      <c r="J417" s="4">
        <f t="shared" ca="1" si="46"/>
        <v>-1.5557358908588047E-4</v>
      </c>
      <c r="K417" s="13"/>
      <c r="L417" s="13">
        <f ca="1">L416-O417*Prices!B417</f>
        <v>0.73602277515754255</v>
      </c>
      <c r="M417" s="4">
        <f t="shared" ca="1" si="47"/>
        <v>2.931555598872513E-3</v>
      </c>
      <c r="N417" s="13">
        <f ca="1">IF(Prices!B416&gt;OFFSET(Prices!B416,-$N$3,0),1,-1)</f>
        <v>-1</v>
      </c>
      <c r="O417" s="4">
        <f ca="1">IF(N417=1,O$3*L416/Prices!B416,-O$3*M416)</f>
        <v>-1.542923999406586E-4</v>
      </c>
      <c r="P417" s="22"/>
      <c r="Q417" s="13">
        <f ca="1">Q416-T417*Prices!B417</f>
        <v>0.94863015803649409</v>
      </c>
      <c r="R417" s="4">
        <f t="shared" ca="1" si="48"/>
        <v>1.1530702306996817E-5</v>
      </c>
      <c r="S417" s="13">
        <f ca="1">IF(Prices!D416&gt;OFFSET(Prices!D416,-S$3,0),1,-1)</f>
        <v>-1</v>
      </c>
      <c r="T417" s="4">
        <f ca="1">IF(S417=1,T$3*Q416/Prices!B416,-T$3*R416)</f>
        <v>-1.2811891452218687E-6</v>
      </c>
      <c r="W417" s="4"/>
      <c r="X417" s="4"/>
      <c r="Y417" s="4"/>
      <c r="Z417" s="4"/>
      <c r="AA417" s="4"/>
      <c r="AB417" s="4"/>
      <c r="AC417" s="4"/>
      <c r="AD417" s="4"/>
      <c r="AE417" s="52"/>
    </row>
    <row r="418" spans="1:31" x14ac:dyDescent="0.2">
      <c r="A418" s="7">
        <v>44290</v>
      </c>
      <c r="B418" s="13">
        <f ca="1">Prices!B417*(1+J418/(50*(ABS(O418)+ABS(T418)+0.0001)))</f>
        <v>0</v>
      </c>
      <c r="C418" s="62">
        <f t="shared" ca="1" si="43"/>
        <v>0</v>
      </c>
      <c r="D418" s="13" t="e">
        <f ca="1">D417+C418*(Prices!B418-Prices!B417)/Prices!B417</f>
        <v>#DIV/0!</v>
      </c>
      <c r="E418" s="13" t="e">
        <f t="shared" ca="1" si="44"/>
        <v>#DIV/0!</v>
      </c>
      <c r="F418" s="13" t="e">
        <f t="shared" ca="1" si="45"/>
        <v>#DIV/0!</v>
      </c>
      <c r="G418" s="21">
        <f ca="1">IF((Prices!B418-Prices!B417)*C418&gt;0,1,0)</f>
        <v>0</v>
      </c>
      <c r="H418" s="13" t="e">
        <f>ABS(Prices!B418-Prices!B417)/Prices!B417</f>
        <v>#DIV/0!</v>
      </c>
      <c r="I418" s="21"/>
      <c r="J418" s="4">
        <f t="shared" ca="1" si="46"/>
        <v>-1.4773085017432536E-4</v>
      </c>
      <c r="K418" s="13"/>
      <c r="L418" s="13">
        <f ca="1">L417-O418*Prices!B418</f>
        <v>0.73602277515754255</v>
      </c>
      <c r="M418" s="4">
        <f t="shared" ca="1" si="47"/>
        <v>2.7849778189288875E-3</v>
      </c>
      <c r="N418" s="13">
        <f ca="1">IF(Prices!B417&gt;OFFSET(Prices!B417,-$N$3,0),1,-1)</f>
        <v>-1</v>
      </c>
      <c r="O418" s="4">
        <f ca="1">IF(N418=1,O$3*L417/Prices!B417,-O$3*M417)</f>
        <v>-1.4657777994362566E-4</v>
      </c>
      <c r="P418" s="22"/>
      <c r="Q418" s="13">
        <f ca="1">Q417-T418*Prices!B418</f>
        <v>0.94863015803649409</v>
      </c>
      <c r="R418" s="4">
        <f t="shared" ca="1" si="48"/>
        <v>1.0377632076297136E-5</v>
      </c>
      <c r="S418" s="13">
        <f ca="1">IF(Prices!D417&gt;OFFSET(Prices!D417,-S$3,0),1,-1)</f>
        <v>-1</v>
      </c>
      <c r="T418" s="4">
        <f ca="1">IF(S418=1,T$3*Q417/Prices!B417,-T$3*R417)</f>
        <v>-1.1530702306996819E-6</v>
      </c>
      <c r="W418" s="4"/>
      <c r="X418" s="4"/>
      <c r="Y418" s="4"/>
      <c r="Z418" s="4"/>
      <c r="AA418" s="4"/>
      <c r="AB418" s="4"/>
      <c r="AC418" s="4"/>
      <c r="AD418" s="4"/>
      <c r="AE418" s="52"/>
    </row>
    <row r="419" spans="1:31" x14ac:dyDescent="0.2">
      <c r="A419" s="7">
        <v>44297</v>
      </c>
      <c r="B419" s="13">
        <f ca="1">Prices!B418*(1+J419/(50*(ABS(O419)+ABS(T419)+0.0001)))</f>
        <v>0</v>
      </c>
      <c r="C419" s="62">
        <f t="shared" ca="1" si="43"/>
        <v>0</v>
      </c>
      <c r="D419" s="13" t="e">
        <f ca="1">D418+C419*(Prices!B419-Prices!B418)/Prices!B418</f>
        <v>#DIV/0!</v>
      </c>
      <c r="E419" s="13" t="e">
        <f t="shared" ca="1" si="44"/>
        <v>#DIV/0!</v>
      </c>
      <c r="F419" s="13" t="e">
        <f t="shared" ca="1" si="45"/>
        <v>#DIV/0!</v>
      </c>
      <c r="G419" s="21">
        <f ca="1">IF((Prices!B419-Prices!B418)*C419&gt;0,1,0)</f>
        <v>0</v>
      </c>
      <c r="H419" s="13" t="e">
        <f>ABS(Prices!B419-Prices!B418)/Prices!B418</f>
        <v>#DIV/0!</v>
      </c>
      <c r="I419" s="21"/>
      <c r="J419" s="4">
        <f t="shared" ca="1" si="46"/>
        <v>-1.4028665415407408E-4</v>
      </c>
      <c r="K419" s="13"/>
      <c r="L419" s="13">
        <f ca="1">L418-O419*Prices!B419</f>
        <v>0.73602277515754255</v>
      </c>
      <c r="M419" s="4">
        <f t="shared" ca="1" si="47"/>
        <v>2.645728927982443E-3</v>
      </c>
      <c r="N419" s="13">
        <f ca="1">IF(Prices!B418&gt;OFFSET(Prices!B418,-$N$3,0),1,-1)</f>
        <v>-1</v>
      </c>
      <c r="O419" s="4">
        <f ca="1">IF(N419=1,O$3*L418/Prices!B418,-O$3*M418)</f>
        <v>-1.3924889094644438E-4</v>
      </c>
      <c r="P419" s="22"/>
      <c r="Q419" s="13">
        <f ca="1">Q418-T419*Prices!B419</f>
        <v>0.94863015803649409</v>
      </c>
      <c r="R419" s="4">
        <f t="shared" ca="1" si="48"/>
        <v>9.3398688686674233E-6</v>
      </c>
      <c r="S419" s="13">
        <f ca="1">IF(Prices!D418&gt;OFFSET(Prices!D418,-S$3,0),1,-1)</f>
        <v>-1</v>
      </c>
      <c r="T419" s="4">
        <f ca="1">IF(S419=1,T$3*Q418/Prices!B418,-T$3*R418)</f>
        <v>-1.0377632076297136E-6</v>
      </c>
      <c r="W419" s="4"/>
      <c r="X419" s="4"/>
      <c r="Y419" s="4"/>
      <c r="Z419" s="4"/>
      <c r="AA419" s="4"/>
      <c r="AB419" s="4"/>
      <c r="AC419" s="4"/>
      <c r="AD419" s="4"/>
      <c r="AE419" s="52"/>
    </row>
    <row r="420" spans="1:31" x14ac:dyDescent="0.2">
      <c r="A420" s="7">
        <v>44304</v>
      </c>
      <c r="B420" s="13">
        <f ca="1">Prices!B419*(1+J420/(50*(ABS(O420)+ABS(T420)+0.0001)))</f>
        <v>0</v>
      </c>
      <c r="C420" s="62">
        <f t="shared" ca="1" si="43"/>
        <v>0</v>
      </c>
      <c r="D420" s="13" t="e">
        <f ca="1">D419+C420*(Prices!B420-Prices!B419)/Prices!B419</f>
        <v>#DIV/0!</v>
      </c>
      <c r="E420" s="13" t="e">
        <f t="shared" ca="1" si="44"/>
        <v>#DIV/0!</v>
      </c>
      <c r="F420" s="13" t="e">
        <f t="shared" ca="1" si="45"/>
        <v>#DIV/0!</v>
      </c>
      <c r="G420" s="21">
        <f ca="1">IF((Prices!B420-Prices!B419)*C420&gt;0,1,0)</f>
        <v>0</v>
      </c>
      <c r="H420" s="13" t="e">
        <f>ABS(Prices!B420-Prices!B419)/Prices!B419</f>
        <v>#DIV/0!</v>
      </c>
      <c r="I420" s="21"/>
      <c r="J420" s="4">
        <f t="shared" ca="1" si="46"/>
        <v>-1.332204332859889E-4</v>
      </c>
      <c r="K420" s="13"/>
      <c r="L420" s="13">
        <f ca="1">L419-O420*Prices!B420</f>
        <v>0.73602277515754255</v>
      </c>
      <c r="M420" s="4">
        <f t="shared" ca="1" si="47"/>
        <v>2.5134424815833208E-3</v>
      </c>
      <c r="N420" s="13">
        <f ca="1">IF(Prices!B419&gt;OFFSET(Prices!B419,-$N$3,0),1,-1)</f>
        <v>-1</v>
      </c>
      <c r="O420" s="4">
        <f ca="1">IF(N420=1,O$3*L419/Prices!B419,-O$3*M419)</f>
        <v>-1.3228644639912216E-4</v>
      </c>
      <c r="P420" s="22"/>
      <c r="Q420" s="13">
        <f ca="1">Q419-T420*Prices!B420</f>
        <v>0.94863015803649409</v>
      </c>
      <c r="R420" s="4">
        <f t="shared" ca="1" si="48"/>
        <v>8.4058819818006816E-6</v>
      </c>
      <c r="S420" s="13">
        <f ca="1">IF(Prices!D419&gt;OFFSET(Prices!D419,-S$3,0),1,-1)</f>
        <v>-1</v>
      </c>
      <c r="T420" s="4">
        <f ca="1">IF(S420=1,T$3*Q419/Prices!B419,-T$3*R419)</f>
        <v>-9.3398688686674239E-7</v>
      </c>
      <c r="W420" s="4"/>
      <c r="X420" s="4"/>
      <c r="Y420" s="4"/>
      <c r="Z420" s="4"/>
      <c r="AA420" s="4"/>
      <c r="AB420" s="4"/>
      <c r="AC420" s="4"/>
      <c r="AD420" s="4"/>
      <c r="AE420" s="52"/>
    </row>
    <row r="421" spans="1:31" x14ac:dyDescent="0.2">
      <c r="A421" s="7">
        <v>44311</v>
      </c>
      <c r="B421" s="13">
        <f ca="1">Prices!B420*(1+J421/(50*(ABS(O421)+ABS(T421)+0.0001)))</f>
        <v>0</v>
      </c>
      <c r="C421" s="62">
        <f t="shared" ca="1" si="43"/>
        <v>0</v>
      </c>
      <c r="D421" s="13" t="e">
        <f ca="1">D420+C421*(Prices!B421-Prices!B420)/Prices!B420</f>
        <v>#DIV/0!</v>
      </c>
      <c r="E421" s="13" t="e">
        <f t="shared" ca="1" si="44"/>
        <v>#DIV/0!</v>
      </c>
      <c r="F421" s="13" t="e">
        <f t="shared" ca="1" si="45"/>
        <v>#DIV/0!</v>
      </c>
      <c r="G421" s="21">
        <f ca="1">IF((Prices!B421-Prices!B420)*C421&gt;0,1,0)</f>
        <v>0</v>
      </c>
      <c r="H421" s="13" t="e">
        <f>ABS(Prices!B421-Prices!B420)/Prices!B420</f>
        <v>#DIV/0!</v>
      </c>
      <c r="I421" s="21"/>
      <c r="J421" s="4">
        <f t="shared" ca="1" si="46"/>
        <v>-1.2651271227734611E-4</v>
      </c>
      <c r="K421" s="13"/>
      <c r="L421" s="13">
        <f ca="1">L420-O421*Prices!B421</f>
        <v>0.73602277515754255</v>
      </c>
      <c r="M421" s="4">
        <f t="shared" ca="1" si="47"/>
        <v>2.3877703575041547E-3</v>
      </c>
      <c r="N421" s="13">
        <f ca="1">IF(Prices!B420&gt;OFFSET(Prices!B420,-$N$3,0),1,-1)</f>
        <v>-1</v>
      </c>
      <c r="O421" s="4">
        <f ca="1">IF(N421=1,O$3*L420/Prices!B420,-O$3*M420)</f>
        <v>-1.2567212407916604E-4</v>
      </c>
      <c r="P421" s="22"/>
      <c r="Q421" s="13">
        <f ca="1">Q420-T421*Prices!B421</f>
        <v>0.94863015803649409</v>
      </c>
      <c r="R421" s="4">
        <f t="shared" ca="1" si="48"/>
        <v>7.5652937836206136E-6</v>
      </c>
      <c r="S421" s="13">
        <f ca="1">IF(Prices!D420&gt;OFFSET(Prices!D420,-S$3,0),1,-1)</f>
        <v>-1</v>
      </c>
      <c r="T421" s="4">
        <f ca="1">IF(S421=1,T$3*Q420/Prices!B420,-T$3*R420)</f>
        <v>-8.4058819818006821E-7</v>
      </c>
      <c r="W421" s="4"/>
      <c r="X421" s="4"/>
      <c r="Y421" s="4"/>
      <c r="Z421" s="4"/>
      <c r="AA421" s="4"/>
      <c r="AB421" s="4"/>
      <c r="AC421" s="4"/>
      <c r="AD421" s="4"/>
      <c r="AE421" s="52"/>
    </row>
    <row r="422" spans="1:31" x14ac:dyDescent="0.2">
      <c r="A422" s="7">
        <v>44318</v>
      </c>
      <c r="B422" s="13">
        <f ca="1">Prices!B421*(1+J422/(50*(ABS(O422)+ABS(T422)+0.0001)))</f>
        <v>0</v>
      </c>
      <c r="C422" s="62">
        <f t="shared" ca="1" si="43"/>
        <v>0</v>
      </c>
      <c r="D422" s="13" t="e">
        <f ca="1">D421+C422*(Prices!B422-Prices!B421)/Prices!B421</f>
        <v>#DIV/0!</v>
      </c>
      <c r="E422" s="13" t="e">
        <f t="shared" ca="1" si="44"/>
        <v>#DIV/0!</v>
      </c>
      <c r="F422" s="13" t="e">
        <f t="shared" ca="1" si="45"/>
        <v>#DIV/0!</v>
      </c>
      <c r="G422" s="21">
        <f ca="1">IF((Prices!B422-Prices!B421)*C422&gt;0,1,0)</f>
        <v>0</v>
      </c>
      <c r="H422" s="13" t="e">
        <f>ABS(Prices!B422-Prices!B421)/Prices!B421</f>
        <v>#DIV/0!</v>
      </c>
      <c r="I422" s="21"/>
      <c r="J422" s="4">
        <f t="shared" ca="1" si="46"/>
        <v>-1.201450472535698E-4</v>
      </c>
      <c r="K422" s="13"/>
      <c r="L422" s="13">
        <f ca="1">L421-O422*Prices!B422</f>
        <v>0.73602277515754255</v>
      </c>
      <c r="M422" s="4">
        <f t="shared" ca="1" si="47"/>
        <v>2.268381839628947E-3</v>
      </c>
      <c r="N422" s="13">
        <f ca="1">IF(Prices!B421&gt;OFFSET(Prices!B421,-$N$3,0),1,-1)</f>
        <v>-1</v>
      </c>
      <c r="O422" s="4">
        <f ca="1">IF(N422=1,O$3*L421/Prices!B421,-O$3*M421)</f>
        <v>-1.1938851787520774E-4</v>
      </c>
      <c r="P422" s="22"/>
      <c r="Q422" s="13">
        <f ca="1">Q421-T422*Prices!B422</f>
        <v>0.94863015803649409</v>
      </c>
      <c r="R422" s="4">
        <f t="shared" ca="1" si="48"/>
        <v>6.808764405258552E-6</v>
      </c>
      <c r="S422" s="13">
        <f ca="1">IF(Prices!D421&gt;OFFSET(Prices!D421,-S$3,0),1,-1)</f>
        <v>-1</v>
      </c>
      <c r="T422" s="4">
        <f ca="1">IF(S422=1,T$3*Q421/Prices!B421,-T$3*R421)</f>
        <v>-7.5652937836206141E-7</v>
      </c>
      <c r="W422" s="4"/>
      <c r="X422" s="4"/>
      <c r="Y422" s="4"/>
      <c r="Z422" s="4"/>
      <c r="AA422" s="4"/>
      <c r="AB422" s="4"/>
      <c r="AC422" s="4"/>
      <c r="AD422" s="4"/>
      <c r="AE422" s="52"/>
    </row>
    <row r="423" spans="1:31" x14ac:dyDescent="0.2">
      <c r="A423" s="7">
        <v>44325</v>
      </c>
      <c r="B423" s="13">
        <f ca="1">Prices!B422*(1+J423/(50*(ABS(O423)+ABS(T423)+0.0001)))</f>
        <v>0</v>
      </c>
      <c r="C423" s="62">
        <f t="shared" ca="1" si="43"/>
        <v>0</v>
      </c>
      <c r="D423" s="13" t="e">
        <f ca="1">D422+C423*(Prices!B423-Prices!B422)/Prices!B422</f>
        <v>#DIV/0!</v>
      </c>
      <c r="E423" s="13" t="e">
        <f t="shared" ca="1" si="44"/>
        <v>#DIV/0!</v>
      </c>
      <c r="F423" s="13" t="e">
        <f t="shared" ca="1" si="45"/>
        <v>#DIV/0!</v>
      </c>
      <c r="G423" s="21">
        <f ca="1">IF((Prices!B423-Prices!B422)*C423&gt;0,1,0)</f>
        <v>0</v>
      </c>
      <c r="H423" s="13" t="e">
        <f>ABS(Prices!B423-Prices!B422)/Prices!B422</f>
        <v>#DIV/0!</v>
      </c>
      <c r="I423" s="21"/>
      <c r="J423" s="4">
        <f t="shared" ca="1" si="46"/>
        <v>-1.1409996842197321E-4</v>
      </c>
      <c r="K423" s="13"/>
      <c r="L423" s="13">
        <f ca="1">L422-O423*Prices!B423</f>
        <v>0.73602277515754255</v>
      </c>
      <c r="M423" s="4">
        <f t="shared" ca="1" si="47"/>
        <v>2.1549627476474997E-3</v>
      </c>
      <c r="N423" s="13">
        <f ca="1">IF(Prices!B422&gt;OFFSET(Prices!B422,-$N$3,0),1,-1)</f>
        <v>-1</v>
      </c>
      <c r="O423" s="4">
        <f ca="1">IF(N423=1,O$3*L422/Prices!B422,-O$3*M422)</f>
        <v>-1.1341909198144735E-4</v>
      </c>
      <c r="P423" s="22"/>
      <c r="Q423" s="13">
        <f ca="1">Q422-T423*Prices!B423</f>
        <v>0.94863015803649409</v>
      </c>
      <c r="R423" s="4">
        <f t="shared" ca="1" si="48"/>
        <v>6.1278879647326972E-6</v>
      </c>
      <c r="S423" s="13">
        <f ca="1">IF(Prices!D422&gt;OFFSET(Prices!D422,-S$3,0),1,-1)</f>
        <v>-1</v>
      </c>
      <c r="T423" s="4">
        <f ca="1">IF(S423=1,T$3*Q422/Prices!B422,-T$3*R422)</f>
        <v>-6.808764405258552E-7</v>
      </c>
      <c r="W423" s="4"/>
      <c r="X423" s="4"/>
      <c r="Y423" s="4"/>
      <c r="Z423" s="4"/>
      <c r="AA423" s="4"/>
      <c r="AB423" s="4"/>
      <c r="AC423" s="4"/>
      <c r="AD423" s="4"/>
      <c r="AE423" s="52"/>
    </row>
    <row r="424" spans="1:31" x14ac:dyDescent="0.2">
      <c r="A424" s="7">
        <v>44332</v>
      </c>
      <c r="B424" s="13">
        <f ca="1">Prices!B423*(1+J424/(50*(ABS(O424)+ABS(T424)+0.0001)))</f>
        <v>0</v>
      </c>
      <c r="C424" s="62">
        <f t="shared" ca="1" si="43"/>
        <v>0</v>
      </c>
      <c r="D424" s="13" t="e">
        <f ca="1">D423+C424*(Prices!B424-Prices!B423)/Prices!B423</f>
        <v>#DIV/0!</v>
      </c>
      <c r="E424" s="13" t="e">
        <f t="shared" ca="1" si="44"/>
        <v>#DIV/0!</v>
      </c>
      <c r="F424" s="13" t="e">
        <f t="shared" ca="1" si="45"/>
        <v>#DIV/0!</v>
      </c>
      <c r="G424" s="21">
        <f ca="1">IF((Prices!B424-Prices!B423)*C424&gt;0,1,0)</f>
        <v>0</v>
      </c>
      <c r="H424" s="13" t="e">
        <f>ABS(Prices!B424-Prices!B423)/Prices!B423</f>
        <v>#DIV/0!</v>
      </c>
      <c r="I424" s="21"/>
      <c r="J424" s="4">
        <f t="shared" ca="1" si="46"/>
        <v>-1.0836092617884827E-4</v>
      </c>
      <c r="K424" s="13"/>
      <c r="L424" s="13">
        <f ca="1">L423-O424*Prices!B424</f>
        <v>0.73602277515754255</v>
      </c>
      <c r="M424" s="4">
        <f t="shared" ca="1" si="47"/>
        <v>2.0472146102651248E-3</v>
      </c>
      <c r="N424" s="13">
        <f ca="1">IF(Prices!B423&gt;OFFSET(Prices!B423,-$N$3,0),1,-1)</f>
        <v>-1</v>
      </c>
      <c r="O424" s="4">
        <f ca="1">IF(N424=1,O$3*L423/Prices!B423,-O$3*M423)</f>
        <v>-1.0774813738237499E-4</v>
      </c>
      <c r="P424" s="22"/>
      <c r="Q424" s="13">
        <f ca="1">Q423-T424*Prices!B424</f>
        <v>0.94863015803649409</v>
      </c>
      <c r="R424" s="4">
        <f t="shared" ca="1" si="48"/>
        <v>5.515099168259427E-6</v>
      </c>
      <c r="S424" s="13">
        <f ca="1">IF(Prices!D423&gt;OFFSET(Prices!D423,-S$3,0),1,-1)</f>
        <v>-1</v>
      </c>
      <c r="T424" s="4">
        <f ca="1">IF(S424=1,T$3*Q423/Prices!B423,-T$3*R423)</f>
        <v>-6.1278879647326981E-7</v>
      </c>
      <c r="W424" s="4"/>
      <c r="X424" s="4"/>
      <c r="Y424" s="4"/>
      <c r="Z424" s="4"/>
      <c r="AA424" s="4"/>
      <c r="AB424" s="4"/>
      <c r="AC424" s="4"/>
      <c r="AD424" s="4"/>
      <c r="AE424" s="52"/>
    </row>
    <row r="425" spans="1:31" x14ac:dyDescent="0.2">
      <c r="A425" s="7">
        <v>44339</v>
      </c>
      <c r="B425" s="13">
        <f ca="1">Prices!B424*(1+J425/(50*(ABS(O425)+ABS(T425)+0.0001)))</f>
        <v>0</v>
      </c>
      <c r="C425" s="62">
        <f t="shared" ca="1" si="43"/>
        <v>0</v>
      </c>
      <c r="D425" s="13" t="e">
        <f ca="1">D424+C425*(Prices!B425-Prices!B424)/Prices!B424</f>
        <v>#DIV/0!</v>
      </c>
      <c r="E425" s="13" t="e">
        <f t="shared" ca="1" si="44"/>
        <v>#DIV/0!</v>
      </c>
      <c r="F425" s="13" t="e">
        <f t="shared" ca="1" si="45"/>
        <v>#DIV/0!</v>
      </c>
      <c r="G425" s="21">
        <f ca="1">IF((Prices!B425-Prices!B424)*C425&gt;0,1,0)</f>
        <v>0</v>
      </c>
      <c r="H425" s="13" t="e">
        <f>ABS(Prices!B425-Prices!B424)/Prices!B424</f>
        <v>#DIV/0!</v>
      </c>
      <c r="I425" s="21"/>
      <c r="J425" s="4">
        <f t="shared" ca="1" si="46"/>
        <v>-1.0291224043008218E-4</v>
      </c>
      <c r="K425" s="13"/>
      <c r="L425" s="13">
        <f ca="1">L424-O425*Prices!B425</f>
        <v>0.73602277515754255</v>
      </c>
      <c r="M425" s="4">
        <f t="shared" ca="1" si="47"/>
        <v>1.9448538797518684E-3</v>
      </c>
      <c r="N425" s="13">
        <f ca="1">IF(Prices!B424&gt;OFFSET(Prices!B424,-$N$3,0),1,-1)</f>
        <v>-1</v>
      </c>
      <c r="O425" s="4">
        <f ca="1">IF(N425=1,O$3*L424/Prices!B424,-O$3*M424)</f>
        <v>-1.0236073051325624E-4</v>
      </c>
      <c r="P425" s="22"/>
      <c r="Q425" s="13">
        <f ca="1">Q424-T425*Prices!B425</f>
        <v>0.94863015803649409</v>
      </c>
      <c r="R425" s="4">
        <f t="shared" ca="1" si="48"/>
        <v>4.9635892514334847E-6</v>
      </c>
      <c r="S425" s="13">
        <f ca="1">IF(Prices!D424&gt;OFFSET(Prices!D424,-S$3,0),1,-1)</f>
        <v>-1</v>
      </c>
      <c r="T425" s="4">
        <f ca="1">IF(S425=1,T$3*Q424/Prices!B424,-T$3*R424)</f>
        <v>-5.5150991682594268E-7</v>
      </c>
      <c r="W425" s="4"/>
      <c r="X425" s="4"/>
      <c r="Y425" s="4"/>
      <c r="Z425" s="4"/>
      <c r="AA425" s="4"/>
      <c r="AB425" s="4"/>
      <c r="AC425" s="4"/>
      <c r="AD425" s="4"/>
      <c r="AE425" s="52"/>
    </row>
    <row r="426" spans="1:31" x14ac:dyDescent="0.2">
      <c r="A426" s="7">
        <v>44346</v>
      </c>
      <c r="B426" s="13">
        <f ca="1">Prices!B425*(1+J426/(50*(ABS(O426)+ABS(T426)+0.0001)))</f>
        <v>0</v>
      </c>
      <c r="C426" s="62">
        <f t="shared" ca="1" si="43"/>
        <v>0</v>
      </c>
      <c r="D426" s="13" t="e">
        <f ca="1">D425+C426*(Prices!B426-Prices!B425)/Prices!B425</f>
        <v>#DIV/0!</v>
      </c>
      <c r="E426" s="13" t="e">
        <f t="shared" ca="1" si="44"/>
        <v>#DIV/0!</v>
      </c>
      <c r="F426" s="13" t="e">
        <f t="shared" ca="1" si="45"/>
        <v>#DIV/0!</v>
      </c>
      <c r="G426" s="21">
        <f ca="1">IF((Prices!B426-Prices!B425)*C426&gt;0,1,0)</f>
        <v>0</v>
      </c>
      <c r="H426" s="13" t="e">
        <f>ABS(Prices!B426-Prices!B425)/Prices!B425</f>
        <v>#DIV/0!</v>
      </c>
      <c r="I426" s="21"/>
      <c r="J426" s="4">
        <f t="shared" ca="1" si="46"/>
        <v>-9.7739052912736781E-5</v>
      </c>
      <c r="K426" s="13"/>
      <c r="L426" s="13">
        <f ca="1">L425-O426*Prices!B426</f>
        <v>0.73602277515754255</v>
      </c>
      <c r="M426" s="4">
        <f t="shared" ca="1" si="47"/>
        <v>1.8476111857642749E-3</v>
      </c>
      <c r="N426" s="13">
        <f ca="1">IF(Prices!B425&gt;OFFSET(Prices!B425,-$N$3,0),1,-1)</f>
        <v>-1</v>
      </c>
      <c r="O426" s="4">
        <f ca="1">IF(N426=1,O$3*L425/Prices!B425,-O$3*M425)</f>
        <v>-9.7242693987593427E-5</v>
      </c>
      <c r="P426" s="22"/>
      <c r="Q426" s="13">
        <f ca="1">Q425-T426*Prices!B426</f>
        <v>0.94863015803649409</v>
      </c>
      <c r="R426" s="4">
        <f t="shared" ca="1" si="48"/>
        <v>4.4672303262901362E-6</v>
      </c>
      <c r="S426" s="13">
        <f ca="1">IF(Prices!D425&gt;OFFSET(Prices!D425,-S$3,0),1,-1)</f>
        <v>-1</v>
      </c>
      <c r="T426" s="4">
        <f ca="1">IF(S426=1,T$3*Q425/Prices!B425,-T$3*R425)</f>
        <v>-4.9635892514334847E-7</v>
      </c>
      <c r="W426" s="4"/>
      <c r="X426" s="4"/>
      <c r="Y426" s="4"/>
      <c r="Z426" s="4"/>
      <c r="AA426" s="4"/>
      <c r="AB426" s="4"/>
      <c r="AC426" s="4"/>
      <c r="AD426" s="4"/>
      <c r="AE426" s="52"/>
    </row>
    <row r="427" spans="1:31" x14ac:dyDescent="0.2">
      <c r="A427" s="7">
        <v>44353</v>
      </c>
      <c r="B427" s="13">
        <f ca="1">Prices!B426*(1+J427/(50*(ABS(O427)+ABS(T427)+0.0001)))</f>
        <v>0</v>
      </c>
      <c r="C427" s="62">
        <f t="shared" ca="1" si="43"/>
        <v>0</v>
      </c>
      <c r="D427" s="13" t="e">
        <f ca="1">D426+C427*(Prices!B427-Prices!B426)/Prices!B426</f>
        <v>#DIV/0!</v>
      </c>
      <c r="E427" s="13" t="e">
        <f t="shared" ca="1" si="44"/>
        <v>#DIV/0!</v>
      </c>
      <c r="F427" s="13" t="e">
        <f t="shared" ca="1" si="45"/>
        <v>#DIV/0!</v>
      </c>
      <c r="G427" s="21">
        <f ca="1">IF((Prices!B427-Prices!B426)*C427&gt;0,1,0)</f>
        <v>0</v>
      </c>
      <c r="H427" s="13" t="e">
        <f>ABS(Prices!B427-Prices!B426)/Prices!B426</f>
        <v>#DIV/0!</v>
      </c>
      <c r="I427" s="21"/>
      <c r="J427" s="4">
        <f t="shared" ca="1" si="46"/>
        <v>-9.2827282320842767E-5</v>
      </c>
      <c r="K427" s="13"/>
      <c r="L427" s="13">
        <f ca="1">L426-O427*Prices!B427</f>
        <v>0.73602277515754255</v>
      </c>
      <c r="M427" s="4">
        <f t="shared" ca="1" si="47"/>
        <v>1.7552306264760611E-3</v>
      </c>
      <c r="N427" s="13">
        <f ca="1">IF(Prices!B426&gt;OFFSET(Prices!B426,-$N$3,0),1,-1)</f>
        <v>-1</v>
      </c>
      <c r="O427" s="4">
        <f ca="1">IF(N427=1,O$3*L426/Prices!B426,-O$3*M426)</f>
        <v>-9.2380559288213757E-5</v>
      </c>
      <c r="P427" s="22"/>
      <c r="Q427" s="13">
        <f ca="1">Q426-T427*Prices!B427</f>
        <v>0.94863015803649409</v>
      </c>
      <c r="R427" s="4">
        <f t="shared" ca="1" si="48"/>
        <v>4.0205072936611227E-6</v>
      </c>
      <c r="S427" s="13">
        <f ca="1">IF(Prices!D426&gt;OFFSET(Prices!D426,-S$3,0),1,-1)</f>
        <v>-1</v>
      </c>
      <c r="T427" s="4">
        <f ca="1">IF(S427=1,T$3*Q426/Prices!B426,-T$3*R426)</f>
        <v>-4.4672303262901366E-7</v>
      </c>
      <c r="W427" s="4"/>
      <c r="X427" s="4"/>
      <c r="Y427" s="4"/>
      <c r="Z427" s="4"/>
      <c r="AA427" s="4"/>
      <c r="AB427" s="4"/>
      <c r="AC427" s="4"/>
      <c r="AD427" s="4"/>
      <c r="AE427" s="52"/>
    </row>
    <row r="428" spans="1:31" x14ac:dyDescent="0.2">
      <c r="A428" s="7">
        <v>44360</v>
      </c>
      <c r="B428" s="13">
        <f ca="1">Prices!B427*(1+J428/(50*(ABS(O428)+ABS(T428)+0.0001)))</f>
        <v>0</v>
      </c>
      <c r="C428" s="62">
        <f t="shared" ca="1" si="43"/>
        <v>0</v>
      </c>
      <c r="D428" s="13" t="e">
        <f ca="1">D427+C428*(Prices!B428-Prices!B427)/Prices!B427</f>
        <v>#DIV/0!</v>
      </c>
      <c r="E428" s="13" t="e">
        <f t="shared" ca="1" si="44"/>
        <v>#DIV/0!</v>
      </c>
      <c r="F428" s="13" t="e">
        <f t="shared" ca="1" si="45"/>
        <v>#DIV/0!</v>
      </c>
      <c r="G428" s="21">
        <f ca="1">IF((Prices!B428-Prices!B427)*C428&gt;0,1,0)</f>
        <v>0</v>
      </c>
      <c r="H428" s="13" t="e">
        <f>ABS(Prices!B428-Prices!B427)/Prices!B427</f>
        <v>#DIV/0!</v>
      </c>
      <c r="I428" s="21"/>
      <c r="J428" s="4">
        <f t="shared" ca="1" si="46"/>
        <v>-8.8163582053169174E-5</v>
      </c>
      <c r="K428" s="13"/>
      <c r="L428" s="13">
        <f ca="1">L427-O428*Prices!B428</f>
        <v>0.73602277515754255</v>
      </c>
      <c r="M428" s="4">
        <f t="shared" ca="1" si="47"/>
        <v>1.667469095152258E-3</v>
      </c>
      <c r="N428" s="13">
        <f ca="1">IF(Prices!B427&gt;OFFSET(Prices!B427,-$N$3,0),1,-1)</f>
        <v>-1</v>
      </c>
      <c r="O428" s="4">
        <f ca="1">IF(N428=1,O$3*L427/Prices!B427,-O$3*M427)</f>
        <v>-8.7761531323803059E-5</v>
      </c>
      <c r="P428" s="22"/>
      <c r="Q428" s="13">
        <f ca="1">Q427-T428*Prices!B428</f>
        <v>0.94863015803649409</v>
      </c>
      <c r="R428" s="4">
        <f t="shared" ca="1" si="48"/>
        <v>3.6184565642950103E-6</v>
      </c>
      <c r="S428" s="13">
        <f ca="1">IF(Prices!D427&gt;OFFSET(Prices!D427,-S$3,0),1,-1)</f>
        <v>-1</v>
      </c>
      <c r="T428" s="4">
        <f ca="1">IF(S428=1,T$3*Q427/Prices!B427,-T$3*R427)</f>
        <v>-4.0205072936611228E-7</v>
      </c>
      <c r="W428" s="13"/>
      <c r="X428" s="4"/>
      <c r="Y428" s="13"/>
      <c r="Z428" s="4"/>
      <c r="AA428" s="53"/>
      <c r="AB428" s="52"/>
      <c r="AC428" s="52"/>
      <c r="AD428" s="52"/>
      <c r="AE428" s="52"/>
    </row>
    <row r="429" spans="1:31" x14ac:dyDescent="0.2">
      <c r="A429" s="7">
        <v>44367</v>
      </c>
      <c r="B429" s="13">
        <f ca="1">Prices!B428*(1+J429/(50*(ABS(O429)+ABS(T429)+0.0001)))</f>
        <v>0</v>
      </c>
      <c r="C429" s="62">
        <f t="shared" ca="1" si="43"/>
        <v>0</v>
      </c>
      <c r="D429" s="13" t="e">
        <f ca="1">D428+C429*(Prices!B429-Prices!B428)/Prices!B428</f>
        <v>#DIV/0!</v>
      </c>
      <c r="E429" s="13" t="e">
        <f t="shared" ca="1" si="44"/>
        <v>#DIV/0!</v>
      </c>
      <c r="F429" s="13" t="e">
        <f t="shared" ca="1" si="45"/>
        <v>#DIV/0!</v>
      </c>
      <c r="G429" s="21">
        <f ca="1">IF((Prices!B429-Prices!B428)*C429&gt;0,1,0)</f>
        <v>0</v>
      </c>
      <c r="H429" s="13" t="e">
        <f>ABS(Prices!B429-Prices!B428)/Prices!B428</f>
        <v>#DIV/0!</v>
      </c>
      <c r="I429" s="21"/>
      <c r="J429" s="4">
        <f t="shared" ca="1" si="46"/>
        <v>-8.3735300414042408E-5</v>
      </c>
      <c r="K429" s="13"/>
      <c r="L429" s="13">
        <f ca="1">L428-O429*Prices!B429</f>
        <v>0.73602277515754255</v>
      </c>
      <c r="M429" s="4">
        <f t="shared" ca="1" si="47"/>
        <v>1.5840956403946451E-3</v>
      </c>
      <c r="N429" s="13">
        <f ca="1">IF(Prices!B428&gt;OFFSET(Prices!B428,-$N$3,0),1,-1)</f>
        <v>-1</v>
      </c>
      <c r="O429" s="4">
        <f ca="1">IF(N429=1,O$3*L428/Prices!B428,-O$3*M428)</f>
        <v>-8.3373454757612904E-5</v>
      </c>
      <c r="P429" s="22"/>
      <c r="Q429" s="13">
        <f ca="1">Q428-T429*Prices!B429</f>
        <v>0.94863015803649409</v>
      </c>
      <c r="R429" s="4">
        <f t="shared" ca="1" si="48"/>
        <v>3.2566109078655094E-6</v>
      </c>
      <c r="S429" s="13">
        <f ca="1">IF(Prices!D428&gt;OFFSET(Prices!D428,-S$3,0),1,-1)</f>
        <v>-1</v>
      </c>
      <c r="T429" s="4">
        <f ca="1">IF(S429=1,T$3*Q428/Prices!B428,-T$3*R428)</f>
        <v>-3.6184565642950107E-7</v>
      </c>
      <c r="W429" s="13"/>
      <c r="X429" s="4"/>
      <c r="Y429" s="13"/>
      <c r="Z429" s="4"/>
      <c r="AA429" s="4"/>
      <c r="AB429" s="4"/>
      <c r="AC429" s="4"/>
    </row>
    <row r="430" spans="1:31" x14ac:dyDescent="0.2">
      <c r="A430" s="7">
        <v>44374</v>
      </c>
      <c r="B430" s="13">
        <f ca="1">Prices!B429*(1+J430/(50*(ABS(O430)+ABS(T430)+0.0001)))</f>
        <v>0</v>
      </c>
      <c r="C430" s="62">
        <f t="shared" ca="1" si="43"/>
        <v>0</v>
      </c>
      <c r="D430" s="13" t="e">
        <f ca="1">D429+C430*(Prices!B430-Prices!B429)/Prices!B429</f>
        <v>#DIV/0!</v>
      </c>
      <c r="E430" s="13" t="e">
        <f t="shared" ca="1" si="44"/>
        <v>#DIV/0!</v>
      </c>
      <c r="F430" s="13" t="e">
        <f t="shared" ca="1" si="45"/>
        <v>#DIV/0!</v>
      </c>
      <c r="G430" s="21">
        <f ca="1">IF((Prices!B430-Prices!B429)*C430&gt;0,1,0)</f>
        <v>0</v>
      </c>
      <c r="H430" s="13" t="e">
        <f>ABS(Prices!B430-Prices!B429)/Prices!B429</f>
        <v>#DIV/0!</v>
      </c>
      <c r="I430" s="21"/>
      <c r="J430" s="4">
        <f t="shared" ca="1" si="46"/>
        <v>-7.953044311051881E-5</v>
      </c>
      <c r="K430" s="13"/>
      <c r="L430" s="13">
        <f ca="1">L429-O430*Prices!B430</f>
        <v>0.73602277515754255</v>
      </c>
      <c r="M430" s="4">
        <f t="shared" ca="1" si="47"/>
        <v>1.5048908583749129E-3</v>
      </c>
      <c r="N430" s="13">
        <f ca="1">IF(Prices!B429&gt;OFFSET(Prices!B429,-$N$3,0),1,-1)</f>
        <v>-1</v>
      </c>
      <c r="O430" s="4">
        <f ca="1">IF(N430=1,O$3*L429/Prices!B429,-O$3*M429)</f>
        <v>-7.9204782019732264E-5</v>
      </c>
      <c r="P430" s="22"/>
      <c r="Q430" s="13">
        <f ca="1">Q429-T430*Prices!B430</f>
        <v>0.94863015803649409</v>
      </c>
      <c r="R430" s="4">
        <f t="shared" ca="1" si="48"/>
        <v>2.9309498170789587E-6</v>
      </c>
      <c r="S430" s="13">
        <f ca="1">IF(Prices!D429&gt;OFFSET(Prices!D429,-S$3,0),1,-1)</f>
        <v>-1</v>
      </c>
      <c r="T430" s="4">
        <f ca="1">IF(S430=1,T$3*Q429/Prices!B429,-T$3*R429)</f>
        <v>-3.2566109078655099E-7</v>
      </c>
    </row>
    <row r="431" spans="1:31" x14ac:dyDescent="0.2">
      <c r="A431" s="7">
        <v>44381</v>
      </c>
      <c r="B431" s="13">
        <f ca="1">Prices!B430*(1+J431/(50*(ABS(O431)+ABS(T431)+0.0001)))</f>
        <v>0</v>
      </c>
      <c r="C431" s="62">
        <f t="shared" ca="1" si="43"/>
        <v>0</v>
      </c>
      <c r="D431" s="13" t="e">
        <f ca="1">D430+C431*(Prices!B431-Prices!B430)/Prices!B430</f>
        <v>#DIV/0!</v>
      </c>
      <c r="E431" s="13" t="e">
        <f t="shared" ca="1" si="44"/>
        <v>#DIV/0!</v>
      </c>
      <c r="F431" s="13" t="e">
        <f t="shared" ca="1" si="45"/>
        <v>#DIV/0!</v>
      </c>
      <c r="G431" s="21">
        <f ca="1">IF((Prices!B431-Prices!B430)*C431&gt;0,1,0)</f>
        <v>0</v>
      </c>
      <c r="H431" s="13" t="e">
        <f>ABS(Prices!B431-Prices!B430)/Prices!B430</f>
        <v>#DIV/0!</v>
      </c>
      <c r="I431" s="21"/>
      <c r="J431" s="4">
        <f t="shared" ca="1" si="46"/>
        <v>-7.5537637900453548E-5</v>
      </c>
      <c r="K431" s="13"/>
      <c r="L431" s="13">
        <f ca="1">L430-O431*Prices!B431</f>
        <v>0.73602277515754255</v>
      </c>
      <c r="M431" s="4">
        <f t="shared" ca="1" si="47"/>
        <v>1.4296463154561672E-3</v>
      </c>
      <c r="N431" s="13">
        <f ca="1">IF(Prices!B430&gt;OFFSET(Prices!B430,-$N$3,0),1,-1)</f>
        <v>-1</v>
      </c>
      <c r="O431" s="4">
        <f ca="1">IF(N431=1,O$3*L430/Prices!B430,-O$3*M430)</f>
        <v>-7.5244542918745646E-5</v>
      </c>
      <c r="P431" s="22"/>
      <c r="Q431" s="13">
        <f ca="1">Q430-T431*Prices!B431</f>
        <v>0.94863015803649409</v>
      </c>
      <c r="R431" s="4">
        <f t="shared" ca="1" si="48"/>
        <v>2.6378548353710626E-6</v>
      </c>
      <c r="S431" s="13">
        <f ca="1">IF(Prices!D430&gt;OFFSET(Prices!D430,-S$3,0),1,-1)</f>
        <v>-1</v>
      </c>
      <c r="T431" s="4">
        <f ca="1">IF(S431=1,T$3*Q430/Prices!B430,-T$3*R430)</f>
        <v>-2.9309498170789588E-7</v>
      </c>
    </row>
    <row r="432" spans="1:31" x14ac:dyDescent="0.2">
      <c r="A432" s="7">
        <v>44388</v>
      </c>
      <c r="B432" s="13">
        <f ca="1">Prices!B431*(1+J432/(50*(ABS(O432)+ABS(T432)+0.0001)))</f>
        <v>0</v>
      </c>
      <c r="C432" s="62">
        <f t="shared" ca="1" si="43"/>
        <v>0</v>
      </c>
      <c r="D432" s="13" t="e">
        <f ca="1">D431+C432*(Prices!B432-Prices!B431)/Prices!B431</f>
        <v>#DIV/0!</v>
      </c>
      <c r="E432" s="13" t="e">
        <f t="shared" ca="1" si="44"/>
        <v>#DIV/0!</v>
      </c>
      <c r="F432" s="13" t="e">
        <f t="shared" ca="1" si="45"/>
        <v>#DIV/0!</v>
      </c>
      <c r="G432" s="21">
        <f ca="1">IF((Prices!B432-Prices!B431)*C432&gt;0,1,0)</f>
        <v>0</v>
      </c>
      <c r="H432" s="13" t="e">
        <f>ABS(Prices!B432-Prices!B431)/Prices!B431</f>
        <v>#DIV/0!</v>
      </c>
      <c r="I432" s="21"/>
      <c r="J432" s="4">
        <f t="shared" ca="1" si="46"/>
        <v>-7.1746101256345472E-5</v>
      </c>
      <c r="K432" s="13"/>
      <c r="L432" s="13">
        <f ca="1">L431-O432*Prices!B432</f>
        <v>0.73602277515754255</v>
      </c>
      <c r="M432" s="4">
        <f t="shared" ca="1" si="47"/>
        <v>1.3581639996833588E-3</v>
      </c>
      <c r="N432" s="13">
        <f ca="1">IF(Prices!B431&gt;OFFSET(Prices!B431,-$N$3,0),1,-1)</f>
        <v>-1</v>
      </c>
      <c r="O432" s="4">
        <f ca="1">IF(N432=1,O$3*L431/Prices!B431,-O$3*M431)</f>
        <v>-7.1482315772808364E-5</v>
      </c>
      <c r="P432" s="22"/>
      <c r="Q432" s="13">
        <f ca="1">Q431-T432*Prices!B432</f>
        <v>0.94863015803649409</v>
      </c>
      <c r="R432" s="4">
        <f t="shared" ca="1" si="48"/>
        <v>2.3740693518339562E-6</v>
      </c>
      <c r="S432" s="13">
        <f ca="1">IF(Prices!D431&gt;OFFSET(Prices!D431,-S$3,0),1,-1)</f>
        <v>-1</v>
      </c>
      <c r="T432" s="4">
        <f ca="1">IF(S432=1,T$3*Q431/Prices!B431,-T$3*R431)</f>
        <v>-2.6378548353710627E-7</v>
      </c>
      <c r="Y432" s="13"/>
      <c r="Z432" s="13"/>
    </row>
    <row r="433" spans="1:20" x14ac:dyDescent="0.2">
      <c r="A433" s="7">
        <v>44395</v>
      </c>
      <c r="B433" s="13">
        <f ca="1">Prices!B432*(1+J433/(50*(ABS(O433)+ABS(T433)+0.0001)))</f>
        <v>0</v>
      </c>
      <c r="C433" s="62">
        <f t="shared" ca="1" si="43"/>
        <v>0</v>
      </c>
      <c r="D433" s="13" t="e">
        <f ca="1">D432+C433*(Prices!B433-Prices!B432)/Prices!B432</f>
        <v>#DIV/0!</v>
      </c>
      <c r="E433" s="13" t="e">
        <f t="shared" ca="1" si="44"/>
        <v>#DIV/0!</v>
      </c>
      <c r="F433" s="13" t="e">
        <f t="shared" ca="1" si="45"/>
        <v>#DIV/0!</v>
      </c>
      <c r="G433" s="21">
        <f ca="1">IF((Prices!B433-Prices!B432)*C433&gt;0,1,0)</f>
        <v>0</v>
      </c>
      <c r="H433" s="13" t="e">
        <f>ABS(Prices!B433-Prices!B432)/Prices!B432</f>
        <v>#DIV/0!</v>
      </c>
      <c r="I433" s="21"/>
      <c r="J433" s="4">
        <f t="shared" ca="1" si="46"/>
        <v>-6.8145606919351329E-5</v>
      </c>
      <c r="K433" s="13"/>
      <c r="L433" s="13">
        <f ca="1">L432-O433*Prices!B433</f>
        <v>0.73602277515754255</v>
      </c>
      <c r="M433" s="4">
        <f t="shared" ca="1" si="47"/>
        <v>1.2902557996991909E-3</v>
      </c>
      <c r="N433" s="13">
        <f ca="1">IF(Prices!B432&gt;OFFSET(Prices!B432,-$N$3,0),1,-1)</f>
        <v>-1</v>
      </c>
      <c r="O433" s="4">
        <f ca="1">IF(N433=1,O$3*L432/Prices!B432,-O$3*M432)</f>
        <v>-6.7908199984167939E-5</v>
      </c>
      <c r="P433" s="22"/>
      <c r="Q433" s="13">
        <f ca="1">Q432-T433*Prices!B433</f>
        <v>0.94863015803649409</v>
      </c>
      <c r="R433" s="4">
        <f t="shared" ca="1" si="48"/>
        <v>2.1366624166505605E-6</v>
      </c>
      <c r="S433" s="13">
        <f ca="1">IF(Prices!D432&gt;OFFSET(Prices!D432,-S$3,0),1,-1)</f>
        <v>-1</v>
      </c>
      <c r="T433" s="4">
        <f ca="1">IF(S433=1,T$3*Q432/Prices!B432,-T$3*R432)</f>
        <v>-2.3740693518339564E-7</v>
      </c>
    </row>
    <row r="434" spans="1:20" x14ac:dyDescent="0.2">
      <c r="A434" s="7">
        <v>44402</v>
      </c>
      <c r="B434" s="13">
        <f ca="1">Prices!B433*(1+J434/(50*(ABS(O434)+ABS(T434)+0.0001)))</f>
        <v>0</v>
      </c>
      <c r="C434" s="62">
        <f t="shared" ca="1" si="43"/>
        <v>0</v>
      </c>
      <c r="D434" s="13" t="e">
        <f ca="1">D433+C434*(Prices!B434-Prices!B433)/Prices!B433</f>
        <v>#DIV/0!</v>
      </c>
      <c r="E434" s="13" t="e">
        <f t="shared" ca="1" si="44"/>
        <v>#DIV/0!</v>
      </c>
      <c r="F434" s="13" t="e">
        <f t="shared" ca="1" si="45"/>
        <v>#DIV/0!</v>
      </c>
      <c r="G434" s="21">
        <f ca="1">IF((Prices!B434-Prices!B433)*C434&gt;0,1,0)</f>
        <v>0</v>
      </c>
      <c r="H434" s="13" t="e">
        <f>ABS(Prices!B434-Prices!B433)/Prices!B433</f>
        <v>#DIV/0!</v>
      </c>
      <c r="I434" s="21"/>
      <c r="J434" s="4">
        <f t="shared" ca="1" si="46"/>
        <v>-6.4726456226624611E-5</v>
      </c>
      <c r="K434" s="13"/>
      <c r="L434" s="13">
        <f ca="1">L433-O434*Prices!B434</f>
        <v>0.73602277515754255</v>
      </c>
      <c r="M434" s="4">
        <f t="shared" ca="1" si="47"/>
        <v>1.2257430097142314E-3</v>
      </c>
      <c r="N434" s="13">
        <f ca="1">IF(Prices!B433&gt;OFFSET(Prices!B433,-$N$3,0),1,-1)</f>
        <v>-1</v>
      </c>
      <c r="O434" s="4">
        <f ca="1">IF(N434=1,O$3*L433/Prices!B433,-O$3*M433)</f>
        <v>-6.451278998495955E-5</v>
      </c>
      <c r="P434" s="22"/>
      <c r="Q434" s="13">
        <f ca="1">Q433-T434*Prices!B434</f>
        <v>0.94863015803649409</v>
      </c>
      <c r="R434" s="4">
        <f t="shared" ca="1" si="48"/>
        <v>1.9229961749855046E-6</v>
      </c>
      <c r="S434" s="13">
        <f ca="1">IF(Prices!D433&gt;OFFSET(Prices!D433,-S$3,0),1,-1)</f>
        <v>-1</v>
      </c>
      <c r="T434" s="4">
        <f ca="1">IF(S434=1,T$3*Q433/Prices!B433,-T$3*R433)</f>
        <v>-2.1366624166505607E-7</v>
      </c>
    </row>
    <row r="435" spans="1:20" x14ac:dyDescent="0.2">
      <c r="A435" s="7">
        <v>44409</v>
      </c>
      <c r="B435" s="13">
        <f ca="1">Prices!B434*(1+J435/(50*(ABS(O435)+ABS(T435)+0.0001)))</f>
        <v>0</v>
      </c>
      <c r="C435" s="62">
        <f t="shared" ca="1" si="43"/>
        <v>0</v>
      </c>
      <c r="D435" s="13" t="e">
        <f ca="1">D434+C435*(Prices!B435-Prices!B434)/Prices!B434</f>
        <v>#DIV/0!</v>
      </c>
      <c r="E435" s="13" t="e">
        <f t="shared" ca="1" si="44"/>
        <v>#DIV/0!</v>
      </c>
      <c r="F435" s="13" t="e">
        <f t="shared" ca="1" si="45"/>
        <v>#DIV/0!</v>
      </c>
      <c r="G435" s="21">
        <f ca="1">IF((Prices!B435-Prices!B434)*C435&gt;0,1,0)</f>
        <v>0</v>
      </c>
      <c r="H435" s="13" t="e">
        <f>ABS(Prices!B435-Prices!B434)/Prices!B434</f>
        <v>#DIV/0!</v>
      </c>
      <c r="I435" s="21"/>
      <c r="J435" s="4">
        <f t="shared" ca="1" si="46"/>
        <v>-6.1479450103210127E-5</v>
      </c>
      <c r="K435" s="13"/>
      <c r="L435" s="13">
        <f ca="1">L434-O435*Prices!B435</f>
        <v>0.73602277515754255</v>
      </c>
      <c r="M435" s="4">
        <f t="shared" ca="1" si="47"/>
        <v>1.1644558592285199E-3</v>
      </c>
      <c r="N435" s="13">
        <f ca="1">IF(Prices!B434&gt;OFFSET(Prices!B434,-$N$3,0),1,-1)</f>
        <v>-1</v>
      </c>
      <c r="O435" s="4">
        <f ca="1">IF(N435=1,O$3*L434/Prices!B434,-O$3*M434)</f>
        <v>-6.1287150485711577E-5</v>
      </c>
      <c r="P435" s="22"/>
      <c r="Q435" s="13">
        <f ca="1">Q434-T435*Prices!B435</f>
        <v>0.94863015803649409</v>
      </c>
      <c r="R435" s="4">
        <f t="shared" ca="1" si="48"/>
        <v>1.7306965574869541E-6</v>
      </c>
      <c r="S435" s="13">
        <f ca="1">IF(Prices!D434&gt;OFFSET(Prices!D434,-S$3,0),1,-1)</f>
        <v>-1</v>
      </c>
      <c r="T435" s="4">
        <f ca="1">IF(S435=1,T$3*Q434/Prices!B434,-T$3*R434)</f>
        <v>-1.9229961749855047E-7</v>
      </c>
    </row>
    <row r="436" spans="1:20" x14ac:dyDescent="0.2">
      <c r="A436" s="7">
        <v>44416</v>
      </c>
      <c r="B436" s="13">
        <f ca="1">Prices!B435*(1+J436/(50*(ABS(O436)+ABS(T436)+0.0001)))</f>
        <v>0</v>
      </c>
      <c r="C436" s="62">
        <f t="shared" ca="1" si="43"/>
        <v>0</v>
      </c>
      <c r="D436" s="13" t="e">
        <f ca="1">D435+C436*(Prices!B436-Prices!B435)/Prices!B435</f>
        <v>#DIV/0!</v>
      </c>
      <c r="E436" s="13" t="e">
        <f t="shared" ca="1" si="44"/>
        <v>#DIV/0!</v>
      </c>
      <c r="F436" s="13" t="e">
        <f t="shared" ca="1" si="45"/>
        <v>#DIV/0!</v>
      </c>
      <c r="G436" s="21">
        <f ca="1">IF((Prices!B436-Prices!B435)*C436&gt;0,1,0)</f>
        <v>0</v>
      </c>
      <c r="H436" s="13" t="e">
        <f>ABS(Prices!B436-Prices!B435)/Prices!B435</f>
        <v>#DIV/0!</v>
      </c>
      <c r="I436" s="21"/>
      <c r="J436" s="4">
        <f t="shared" ca="1" si="46"/>
        <v>-5.8395862617174698E-5</v>
      </c>
      <c r="K436" s="13"/>
      <c r="L436" s="13">
        <f ca="1">L435-O436*Prices!B436</f>
        <v>0.73602277515754255</v>
      </c>
      <c r="M436" s="4">
        <f t="shared" ca="1" si="47"/>
        <v>1.1062330662670939E-3</v>
      </c>
      <c r="N436" s="13">
        <f ca="1">IF(Prices!B435&gt;OFFSET(Prices!B435,-$N$3,0),1,-1)</f>
        <v>-1</v>
      </c>
      <c r="O436" s="4">
        <f ca="1">IF(N436=1,O$3*L435/Prices!B435,-O$3*M435)</f>
        <v>-5.8222792961425999E-5</v>
      </c>
      <c r="P436" s="22"/>
      <c r="Q436" s="13">
        <f ca="1">Q435-T436*Prices!B436</f>
        <v>0.94863015803649409</v>
      </c>
      <c r="R436" s="4">
        <f t="shared" ca="1" si="48"/>
        <v>1.5576269017382587E-6</v>
      </c>
      <c r="S436" s="13">
        <f ca="1">IF(Prices!D435&gt;OFFSET(Prices!D435,-S$3,0),1,-1)</f>
        <v>-1</v>
      </c>
      <c r="T436" s="4">
        <f ca="1">IF(S436=1,T$3*Q435/Prices!B435,-T$3*R435)</f>
        <v>-1.7306965574869541E-7</v>
      </c>
    </row>
    <row r="437" spans="1:20" x14ac:dyDescent="0.2">
      <c r="A437" s="7">
        <v>44423</v>
      </c>
      <c r="B437" s="13">
        <f ca="1">Prices!B436*(1+J437/(50*(ABS(O437)+ABS(T437)+0.0001)))</f>
        <v>0</v>
      </c>
      <c r="C437" s="62">
        <f t="shared" ca="1" si="43"/>
        <v>0</v>
      </c>
      <c r="D437" s="13" t="e">
        <f ca="1">D436+C437*(Prices!B437-Prices!B436)/Prices!B436</f>
        <v>#DIV/0!</v>
      </c>
      <c r="E437" s="13" t="e">
        <f t="shared" ca="1" si="44"/>
        <v>#DIV/0!</v>
      </c>
      <c r="F437" s="13" t="e">
        <f t="shared" ca="1" si="45"/>
        <v>#DIV/0!</v>
      </c>
      <c r="G437" s="21">
        <f ca="1">IF((Prices!B437-Prices!B436)*C437&gt;0,1,0)</f>
        <v>0</v>
      </c>
      <c r="H437" s="13" t="e">
        <f>ABS(Prices!B437-Prices!B436)/Prices!B436</f>
        <v>#DIV/0!</v>
      </c>
      <c r="I437" s="21"/>
      <c r="J437" s="4">
        <f t="shared" ca="1" si="46"/>
        <v>-5.5467416003528523E-5</v>
      </c>
      <c r="K437" s="13"/>
      <c r="L437" s="13">
        <f ca="1">L436-O437*Prices!B437</f>
        <v>0.73602277515754255</v>
      </c>
      <c r="M437" s="4">
        <f t="shared" ca="1" si="47"/>
        <v>1.0509214129537391E-3</v>
      </c>
      <c r="N437" s="13">
        <f ca="1">IF(Prices!B436&gt;OFFSET(Prices!B436,-$N$3,0),1,-1)</f>
        <v>-1</v>
      </c>
      <c r="O437" s="4">
        <f ca="1">IF(N437=1,O$3*L436/Prices!B436,-O$3*M436)</f>
        <v>-5.5311653313354695E-5</v>
      </c>
      <c r="P437" s="22"/>
      <c r="Q437" s="13">
        <f ca="1">Q436-T437*Prices!B437</f>
        <v>0.94863015803649409</v>
      </c>
      <c r="R437" s="4">
        <f t="shared" ca="1" si="48"/>
        <v>1.4018642115644329E-6</v>
      </c>
      <c r="S437" s="13">
        <f ca="1">IF(Prices!D436&gt;OFFSET(Prices!D436,-S$3,0),1,-1)</f>
        <v>-1</v>
      </c>
      <c r="T437" s="4">
        <f ca="1">IF(S437=1,T$3*Q436/Prices!B436,-T$3*R436)</f>
        <v>-1.5576269017382588E-7</v>
      </c>
    </row>
    <row r="438" spans="1:20" x14ac:dyDescent="0.2">
      <c r="A438" s="7">
        <v>44430</v>
      </c>
      <c r="B438" s="13">
        <f ca="1">Prices!B437*(1+J438/(50*(ABS(O438)+ABS(T438)+0.0001)))</f>
        <v>0</v>
      </c>
      <c r="C438" s="62">
        <f t="shared" ref="C438:C441" ca="1" si="49">IF(J438&gt;0,1,IF(J438&lt;0,0,0))</f>
        <v>0</v>
      </c>
      <c r="D438" s="13" t="e">
        <f ca="1">D437+C438*(Prices!B438-Prices!B437)/Prices!B437</f>
        <v>#DIV/0!</v>
      </c>
      <c r="E438" s="13" t="e">
        <f t="shared" ref="E438:E441" ca="1" si="50">F438-D438</f>
        <v>#DIV/0!</v>
      </c>
      <c r="F438" s="13" t="e">
        <f t="shared" ref="F438:F441" ca="1" si="51">MAX(F437,D438)</f>
        <v>#DIV/0!</v>
      </c>
      <c r="G438" s="21">
        <f ca="1">IF((Prices!B438-Prices!B437)*C438&gt;0,1,0)</f>
        <v>0</v>
      </c>
      <c r="H438" s="13" t="e">
        <f>ABS(Prices!B438-Prices!B437)/Prices!B437</f>
        <v>#DIV/0!</v>
      </c>
      <c r="I438" s="21"/>
      <c r="J438" s="4">
        <f t="shared" ref="J438:J441" ca="1" si="52">O438+T438</f>
        <v>-5.2686257068843402E-5</v>
      </c>
      <c r="K438" s="13"/>
      <c r="L438" s="13">
        <f ca="1">L437-O438*Prices!B438</f>
        <v>0.73602277515754255</v>
      </c>
      <c r="M438" s="4">
        <f t="shared" ref="M438:M441" ca="1" si="53">M437+O438</f>
        <v>9.9837534230605212E-4</v>
      </c>
      <c r="N438" s="13">
        <f ca="1">IF(Prices!B437&gt;OFFSET(Prices!B437,-$N$3,0),1,-1)</f>
        <v>-1</v>
      </c>
      <c r="O438" s="4">
        <f ca="1">IF(N438=1,O$3*L437/Prices!B437,-O$3*M437)</f>
        <v>-5.2546070647686961E-5</v>
      </c>
      <c r="P438" s="22"/>
      <c r="Q438" s="13">
        <f ca="1">Q437-T438*Prices!B438</f>
        <v>0.94863015803649409</v>
      </c>
      <c r="R438" s="4">
        <f t="shared" ref="R438:R441" ca="1" si="54">R437+T438</f>
        <v>1.2616777904079895E-6</v>
      </c>
      <c r="S438" s="13">
        <f ca="1">IF(Prices!D437&gt;OFFSET(Prices!D437,-S$3,0),1,-1)</f>
        <v>-1</v>
      </c>
      <c r="T438" s="4">
        <f ca="1">IF(S438=1,T$3*Q437/Prices!B437,-T$3*R437)</f>
        <v>-1.4018642115644328E-7</v>
      </c>
    </row>
    <row r="439" spans="1:20" x14ac:dyDescent="0.2">
      <c r="A439" s="7">
        <v>44437</v>
      </c>
      <c r="B439" s="13">
        <f ca="1">Prices!B438*(1+J439/(50*(ABS(O439)+ABS(T439)+0.0001)))</f>
        <v>0</v>
      </c>
      <c r="C439" s="62">
        <f t="shared" ca="1" si="49"/>
        <v>0</v>
      </c>
      <c r="D439" s="13" t="e">
        <f ca="1">D438+C439*(Prices!B439-Prices!B438)/Prices!B438</f>
        <v>#DIV/0!</v>
      </c>
      <c r="E439" s="13" t="e">
        <f t="shared" ca="1" si="50"/>
        <v>#DIV/0!</v>
      </c>
      <c r="F439" s="13" t="e">
        <f t="shared" ca="1" si="51"/>
        <v>#DIV/0!</v>
      </c>
      <c r="G439" s="21">
        <f ca="1">IF((Prices!B439-Prices!B438)*C439&gt;0,1,0)</f>
        <v>0</v>
      </c>
      <c r="H439" s="13" t="e">
        <f>ABS(Prices!B439-Prices!B438)/Prices!B438</f>
        <v>#DIV/0!</v>
      </c>
      <c r="I439" s="21"/>
      <c r="J439" s="4">
        <f t="shared" ca="1" si="52"/>
        <v>-5.0044934894343409E-5</v>
      </c>
      <c r="K439" s="13"/>
      <c r="L439" s="13">
        <f ca="1">L438-O439*Prices!B439</f>
        <v>0.73602277515754255</v>
      </c>
      <c r="M439" s="4">
        <f t="shared" ca="1" si="53"/>
        <v>9.484565751907495E-4</v>
      </c>
      <c r="N439" s="13">
        <f ca="1">IF(Prices!B438&gt;OFFSET(Prices!B438,-$N$3,0),1,-1)</f>
        <v>-1</v>
      </c>
      <c r="O439" s="4">
        <f ca="1">IF(N439=1,O$3*L438/Prices!B438,-O$3*M438)</f>
        <v>-4.9918767115302608E-5</v>
      </c>
      <c r="P439" s="22"/>
      <c r="Q439" s="13">
        <f ca="1">Q438-T439*Prices!B439</f>
        <v>0.94863015803649409</v>
      </c>
      <c r="R439" s="4">
        <f t="shared" ca="1" si="54"/>
        <v>1.1355100113671907E-6</v>
      </c>
      <c r="S439" s="13">
        <f ca="1">IF(Prices!D438&gt;OFFSET(Prices!D438,-S$3,0),1,-1)</f>
        <v>-1</v>
      </c>
      <c r="T439" s="4">
        <f ca="1">IF(S439=1,T$3*Q438/Prices!B438,-T$3*R438)</f>
        <v>-1.2616777904079897E-7</v>
      </c>
    </row>
    <row r="440" spans="1:20" x14ac:dyDescent="0.2">
      <c r="A440" s="7">
        <v>44444</v>
      </c>
      <c r="B440" s="13">
        <f ca="1">Prices!B439*(1+J440/(50*(ABS(O440)+ABS(T440)+0.0001)))</f>
        <v>0</v>
      </c>
      <c r="C440" s="62">
        <f t="shared" ca="1" si="49"/>
        <v>0</v>
      </c>
      <c r="D440" s="13" t="e">
        <f ca="1">D439+C440*(Prices!B440-Prices!B439)/Prices!B439</f>
        <v>#DIV/0!</v>
      </c>
      <c r="E440" s="13" t="e">
        <f t="shared" ca="1" si="50"/>
        <v>#DIV/0!</v>
      </c>
      <c r="F440" s="13" t="e">
        <f t="shared" ca="1" si="51"/>
        <v>#DIV/0!</v>
      </c>
      <c r="G440" s="21">
        <f ca="1">IF((Prices!B440-Prices!B439)*C440&gt;0,1,0)</f>
        <v>0</v>
      </c>
      <c r="H440" s="13" t="e">
        <f>ABS(Prices!B440-Prices!B439)/Prices!B439</f>
        <v>#DIV/0!</v>
      </c>
      <c r="I440" s="21"/>
      <c r="J440" s="4">
        <f t="shared" ca="1" si="52"/>
        <v>-4.7536379760674195E-5</v>
      </c>
      <c r="K440" s="13"/>
      <c r="L440" s="13">
        <f ca="1">L439-O440*Prices!B440</f>
        <v>0.73602277515754255</v>
      </c>
      <c r="M440" s="4">
        <f t="shared" ca="1" si="53"/>
        <v>9.0103374643121206E-4</v>
      </c>
      <c r="N440" s="13">
        <f ca="1">IF(Prices!B439&gt;OFFSET(Prices!B439,-$N$3,0),1,-1)</f>
        <v>-1</v>
      </c>
      <c r="O440" s="4">
        <f ca="1">IF(N440=1,O$3*L439/Prices!B439,-O$3*M439)</f>
        <v>-4.7422828759537479E-5</v>
      </c>
      <c r="P440" s="22"/>
      <c r="Q440" s="13">
        <f ca="1">Q439-T440*Prices!B440</f>
        <v>0.94863015803649409</v>
      </c>
      <c r="R440" s="4">
        <f t="shared" ca="1" si="54"/>
        <v>1.0219590102304716E-6</v>
      </c>
      <c r="S440" s="13">
        <f ca="1">IF(Prices!D439&gt;OFFSET(Prices!D439,-S$3,0),1,-1)</f>
        <v>-1</v>
      </c>
      <c r="T440" s="4">
        <f ca="1">IF(S440=1,T$3*Q439/Prices!B439,-T$3*R439)</f>
        <v>-1.1355100113671907E-7</v>
      </c>
    </row>
    <row r="441" spans="1:20" x14ac:dyDescent="0.2">
      <c r="A441" s="7">
        <v>44451</v>
      </c>
      <c r="B441" s="13">
        <f ca="1">Prices!B440*(1+J441/(50*(ABS(O441)+ABS(T441)+0.0001)))</f>
        <v>0</v>
      </c>
      <c r="C441" s="62">
        <f t="shared" ca="1" si="49"/>
        <v>0</v>
      </c>
      <c r="D441" s="13" t="e">
        <f ca="1">D440+C441*(Prices!B441-Prices!B440)/Prices!B440</f>
        <v>#DIV/0!</v>
      </c>
      <c r="E441" s="13" t="e">
        <f t="shared" ca="1" si="50"/>
        <v>#DIV/0!</v>
      </c>
      <c r="F441" s="13" t="e">
        <f t="shared" ca="1" si="51"/>
        <v>#DIV/0!</v>
      </c>
      <c r="G441" s="21">
        <f ca="1">IF((Prices!B441-Prices!B440)*C441&gt;0,1,0)</f>
        <v>0</v>
      </c>
      <c r="H441" s="13" t="e">
        <f>ABS(Prices!B441-Prices!B440)/Prices!B440</f>
        <v>#DIV/0!</v>
      </c>
      <c r="I441" s="21"/>
      <c r="J441" s="4">
        <f t="shared" ca="1" si="52"/>
        <v>-4.5153883222583652E-5</v>
      </c>
      <c r="K441" s="13"/>
      <c r="L441" s="13">
        <f ca="1">L440-O441*Prices!B441</f>
        <v>0.73602277515754255</v>
      </c>
      <c r="M441" s="4">
        <f t="shared" ca="1" si="53"/>
        <v>8.5598205910965145E-4</v>
      </c>
      <c r="N441" s="13">
        <f ca="1">IF(Prices!B440&gt;OFFSET(Prices!B440,-$N$3,0),1,-1)</f>
        <v>-1</v>
      </c>
      <c r="O441" s="4">
        <f ca="1">IF(N441=1,O$3*L440/Prices!B440,-O$3*M440)</f>
        <v>-4.5051687321560607E-5</v>
      </c>
      <c r="P441" s="22"/>
      <c r="Q441" s="13">
        <f ca="1">Q440-T441*Prices!B441</f>
        <v>0.94863015803649409</v>
      </c>
      <c r="R441" s="4">
        <f t="shared" ca="1" si="54"/>
        <v>9.1976310920742447E-7</v>
      </c>
      <c r="S441" s="13">
        <f ca="1">IF(Prices!D440&gt;OFFSET(Prices!D440,-S$3,0),1,-1)</f>
        <v>-1</v>
      </c>
      <c r="T441" s="4">
        <f ca="1">IF(S441=1,T$3*Q440/Prices!B440,-T$3*R440)</f>
        <v>-1.0219590102304717E-7</v>
      </c>
    </row>
    <row r="442" spans="1:20" x14ac:dyDescent="0.2">
      <c r="A442" s="7">
        <v>44458</v>
      </c>
      <c r="B442" s="13">
        <f ca="1">Prices!B441*(1+J442/(50*(ABS(O442)+ABS(T442)+0.0001)))</f>
        <v>0</v>
      </c>
      <c r="C442" s="62">
        <f t="shared" ref="C442" ca="1" si="55">IF(J442&gt;0,1,IF(J442&lt;0,0,0))</f>
        <v>0</v>
      </c>
      <c r="D442" s="13" t="e">
        <f ca="1">D441+C442*(Prices!B442-Prices!B441)/Prices!B441</f>
        <v>#DIV/0!</v>
      </c>
      <c r="E442" s="13" t="e">
        <f t="shared" ref="E442" ca="1" si="56">F442-D442</f>
        <v>#DIV/0!</v>
      </c>
      <c r="F442" s="13" t="e">
        <f t="shared" ref="F442" ca="1" si="57">MAX(F441,D442)</f>
        <v>#DIV/0!</v>
      </c>
      <c r="G442" s="21">
        <f ca="1">IF((Prices!B442-Prices!B441)*C442&gt;0,1,0)</f>
        <v>0</v>
      </c>
      <c r="H442" s="13" t="e">
        <f>ABS(Prices!B442-Prices!B441)/Prices!B441</f>
        <v>#DIV/0!</v>
      </c>
      <c r="I442" s="21"/>
      <c r="J442" s="4">
        <f t="shared" ref="J442" ca="1" si="58">O442+T442</f>
        <v>-4.2891079266403316E-5</v>
      </c>
      <c r="K442" s="13"/>
      <c r="L442" s="13">
        <f ca="1">L441-O442*Prices!B442</f>
        <v>0.73602277515754255</v>
      </c>
      <c r="M442" s="4">
        <f t="shared" ref="M442" ca="1" si="59">M441+O442</f>
        <v>8.1318295615416883E-4</v>
      </c>
      <c r="N442" s="13">
        <f ca="1">IF(Prices!B441&gt;OFFSET(Prices!B441,-$N$3,0),1,-1)</f>
        <v>-1</v>
      </c>
      <c r="O442" s="4">
        <f ca="1">IF(N442=1,O$3*L441/Prices!B441,-O$3*M441)</f>
        <v>-4.2799102955482574E-5</v>
      </c>
      <c r="P442" s="22"/>
      <c r="Q442" s="13">
        <f ca="1">Q441-T442*Prices!B442</f>
        <v>0.94863015803649409</v>
      </c>
      <c r="R442" s="4">
        <f t="shared" ref="R442" ca="1" si="60">R441+T442</f>
        <v>8.2778679828668201E-7</v>
      </c>
      <c r="S442" s="13">
        <f ca="1">IF(Prices!D441&gt;OFFSET(Prices!D441,-S$3,0),1,-1)</f>
        <v>-1</v>
      </c>
      <c r="T442" s="4">
        <f ca="1">IF(S442=1,T$3*Q441/Prices!B441,-T$3*R441)</f>
        <v>-9.1976310920742458E-8</v>
      </c>
    </row>
    <row r="443" spans="1:20" x14ac:dyDescent="0.2">
      <c r="A443" s="7">
        <v>44465</v>
      </c>
      <c r="B443" s="13">
        <f ca="1">Prices!B442*(1+J443/(50*(ABS(O443)+ABS(T443)+0.0001)))</f>
        <v>0</v>
      </c>
      <c r="C443" s="62">
        <f t="shared" ref="C443" ca="1" si="61">IF(J443&gt;0,1,IF(J443&lt;0,0,0))</f>
        <v>0</v>
      </c>
      <c r="D443" s="13" t="e">
        <f ca="1">D442+C443*(Prices!B443-Prices!B442)/Prices!B442</f>
        <v>#DIV/0!</v>
      </c>
      <c r="E443" s="13" t="e">
        <f t="shared" ref="E443" ca="1" si="62">F443-D443</f>
        <v>#DIV/0!</v>
      </c>
      <c r="F443" s="13" t="e">
        <f t="shared" ref="F443" ca="1" si="63">MAX(F442,D443)</f>
        <v>#DIV/0!</v>
      </c>
      <c r="G443" s="21">
        <f ca="1">IF((Prices!B443-Prices!B442)*C443&gt;0,1,0)</f>
        <v>0</v>
      </c>
      <c r="H443" s="13" t="e">
        <f>ABS(Prices!B443-Prices!B442)/Prices!B442</f>
        <v>#DIV/0!</v>
      </c>
      <c r="I443" s="21"/>
      <c r="J443" s="4">
        <f t="shared" ref="J443" ca="1" si="64">O443+T443</f>
        <v>-4.0741926487537116E-5</v>
      </c>
      <c r="K443" s="13"/>
      <c r="L443" s="13">
        <f ca="1">L442-O443*Prices!B443</f>
        <v>0.73602277515754255</v>
      </c>
      <c r="M443" s="4">
        <f t="shared" ref="M443" ca="1" si="65">M442+O443</f>
        <v>7.7252380834646041E-4</v>
      </c>
      <c r="N443" s="13">
        <f ca="1">IF(Prices!B442&gt;OFFSET(Prices!B442,-$N$3,0),1,-1)</f>
        <v>-1</v>
      </c>
      <c r="O443" s="4">
        <f ca="1">IF(N443=1,O$3*L442/Prices!B442,-O$3*M442)</f>
        <v>-4.0659147807708447E-5</v>
      </c>
      <c r="P443" s="22"/>
      <c r="Q443" s="13">
        <f ca="1">Q442-T443*Prices!B443</f>
        <v>0.94863015803649409</v>
      </c>
      <c r="R443" s="4">
        <f t="shared" ref="R443" ca="1" si="66">R442+T443</f>
        <v>7.4500811845801377E-7</v>
      </c>
      <c r="S443" s="13">
        <f ca="1">IF(Prices!D442&gt;OFFSET(Prices!D442,-S$3,0),1,-1)</f>
        <v>-1</v>
      </c>
      <c r="T443" s="4">
        <f ca="1">IF(S443=1,T$3*Q442/Prices!B442,-T$3*R442)</f>
        <v>-8.2778679828668204E-8</v>
      </c>
    </row>
    <row r="444" spans="1:20" x14ac:dyDescent="0.2">
      <c r="A444" s="7">
        <v>44472</v>
      </c>
      <c r="B444" s="13">
        <f ca="1">Prices!B443*(1+J444/(50*(ABS(O444)+ABS(T444)+0.0001)))</f>
        <v>0</v>
      </c>
      <c r="C444" s="62">
        <f t="shared" ref="C444" ca="1" si="67">IF(J444&gt;0,1,IF(J444&lt;0,0,0))</f>
        <v>0</v>
      </c>
      <c r="D444" s="13" t="e">
        <f ca="1">D443+C444*(Prices!B444-Prices!B443)/Prices!B443</f>
        <v>#DIV/0!</v>
      </c>
      <c r="E444" s="13" t="e">
        <f t="shared" ref="E444" ca="1" si="68">F444-D444</f>
        <v>#DIV/0!</v>
      </c>
      <c r="F444" s="13" t="e">
        <f t="shared" ref="F444" ca="1" si="69">MAX(F443,D444)</f>
        <v>#DIV/0!</v>
      </c>
      <c r="G444" s="21">
        <f ca="1">IF((Prices!B444-Prices!B443)*C444&gt;0,1,0)</f>
        <v>0</v>
      </c>
      <c r="H444" s="13" t="e">
        <f>ABS(Prices!B444-Prices!B443)/Prices!B443</f>
        <v>#DIV/0!</v>
      </c>
      <c r="I444" s="21"/>
      <c r="J444" s="4">
        <f t="shared" ref="J444" ca="1" si="70">O444+T444</f>
        <v>-3.8700691229168825E-5</v>
      </c>
      <c r="K444" s="13"/>
      <c r="L444" s="13">
        <f ca="1">L443-O444*Prices!B444</f>
        <v>0.73602277515754255</v>
      </c>
      <c r="M444" s="4">
        <f t="shared" ref="M444" ca="1" si="71">M443+O444</f>
        <v>7.3389761792913739E-4</v>
      </c>
      <c r="N444" s="13">
        <f ca="1">IF(Prices!B443&gt;OFFSET(Prices!B443,-$N$3,0),1,-1)</f>
        <v>-1</v>
      </c>
      <c r="O444" s="4">
        <f ca="1">IF(N444=1,O$3*L443/Prices!B443,-O$3*M443)</f>
        <v>-3.8626190417323022E-5</v>
      </c>
      <c r="P444" s="22"/>
      <c r="Q444" s="13">
        <f ca="1">Q443-T444*Prices!B444</f>
        <v>0.94863015803649409</v>
      </c>
      <c r="R444" s="4">
        <f t="shared" ref="R444" ca="1" si="72">R443+T444</f>
        <v>6.7050730661221234E-7</v>
      </c>
      <c r="S444" s="13">
        <f ca="1">IF(Prices!D443&gt;OFFSET(Prices!D443,-S$3,0),1,-1)</f>
        <v>-1</v>
      </c>
      <c r="T444" s="4">
        <f ca="1">IF(S444=1,T$3*Q443/Prices!B443,-T$3*R443)</f>
        <v>-7.4500811845801377E-8</v>
      </c>
    </row>
    <row r="445" spans="1:20" x14ac:dyDescent="0.2">
      <c r="A445" s="7">
        <v>44479</v>
      </c>
      <c r="B445" s="13">
        <f ca="1">Prices!B444*(1+J445/(50*(ABS(O445)+ABS(T445)+0.0001)))</f>
        <v>0</v>
      </c>
      <c r="C445" s="62">
        <f t="shared" ref="C445" ca="1" si="73">IF(J445&gt;0,1,IF(J445&lt;0,0,0))</f>
        <v>0</v>
      </c>
      <c r="D445" s="13" t="e">
        <f ca="1">D444+C445*(Prices!B445-Prices!B444)/Prices!B444</f>
        <v>#DIV/0!</v>
      </c>
      <c r="E445" s="13" t="e">
        <f t="shared" ref="E445" ca="1" si="74">F445-D445</f>
        <v>#DIV/0!</v>
      </c>
      <c r="F445" s="13" t="e">
        <f t="shared" ref="F445" ca="1" si="75">MAX(F444,D445)</f>
        <v>#DIV/0!</v>
      </c>
      <c r="G445" s="21">
        <f ca="1">IF((Prices!B445-Prices!B444)*C445&gt;0,1,0)</f>
        <v>0</v>
      </c>
      <c r="H445" s="13" t="e">
        <f>ABS(Prices!B445-Prices!B444)/Prices!B444</f>
        <v>#DIV/0!</v>
      </c>
      <c r="I445" s="21"/>
      <c r="J445" s="4">
        <f t="shared" ref="J445" ca="1" si="76">O445+T445</f>
        <v>-3.6761931627118091E-5</v>
      </c>
      <c r="K445" s="13"/>
      <c r="L445" s="13">
        <f ca="1">L444-O445*Prices!B445</f>
        <v>0.73602277515754255</v>
      </c>
      <c r="M445" s="4">
        <f t="shared" ref="M445" ca="1" si="77">M444+O445</f>
        <v>6.972027370326805E-4</v>
      </c>
      <c r="N445" s="13">
        <f ca="1">IF(Prices!B444&gt;OFFSET(Prices!B444,-$N$3,0),1,-1)</f>
        <v>-1</v>
      </c>
      <c r="O445" s="4">
        <f ca="1">IF(N445=1,O$3*L444/Prices!B444,-O$3*M444)</f>
        <v>-3.6694880896456871E-5</v>
      </c>
      <c r="P445" s="22"/>
      <c r="Q445" s="13">
        <f ca="1">Q444-T445*Prices!B445</f>
        <v>0.94863015803649409</v>
      </c>
      <c r="R445" s="4">
        <f t="shared" ref="R445" ca="1" si="78">R444+T445</f>
        <v>6.0345657595099115E-7</v>
      </c>
      <c r="S445" s="13">
        <f ca="1">IF(Prices!D444&gt;OFFSET(Prices!D444,-S$3,0),1,-1)</f>
        <v>-1</v>
      </c>
      <c r="T445" s="4">
        <f ca="1">IF(S445=1,T$3*Q444/Prices!B444,-T$3*R444)</f>
        <v>-6.7050730661221231E-8</v>
      </c>
    </row>
    <row r="446" spans="1:20" x14ac:dyDescent="0.2">
      <c r="A446" s="7">
        <v>44486</v>
      </c>
      <c r="B446" s="13">
        <f ca="1">Prices!B445*(1+J446/(50*(ABS(O446)+ABS(T446)+0.0001)))</f>
        <v>0</v>
      </c>
      <c r="C446" s="62">
        <f t="shared" ref="C446" ca="1" si="79">IF(J446&gt;0,1,IF(J446&lt;0,0,0))</f>
        <v>0</v>
      </c>
      <c r="D446" s="13" t="e">
        <f ca="1">D445+C446*(Prices!B446-Prices!B445)/Prices!B445</f>
        <v>#DIV/0!</v>
      </c>
      <c r="E446" s="13" t="e">
        <f t="shared" ref="E446" ca="1" si="80">F446-D446</f>
        <v>#DIV/0!</v>
      </c>
      <c r="F446" s="13" t="e">
        <f t="shared" ref="F446" ca="1" si="81">MAX(F445,D446)</f>
        <v>#DIV/0!</v>
      </c>
      <c r="G446" s="21">
        <f ca="1">IF((Prices!B446-Prices!B445)*C446&gt;0,1,0)</f>
        <v>0</v>
      </c>
      <c r="H446" s="13" t="e">
        <f>ABS(Prices!B446-Prices!B445)/Prices!B445</f>
        <v>#DIV/0!</v>
      </c>
      <c r="I446" s="21"/>
      <c r="J446" s="4">
        <f t="shared" ref="J446" ca="1" si="82">O446+T446</f>
        <v>-3.4920482509229123E-5</v>
      </c>
      <c r="K446" s="13"/>
      <c r="L446" s="13">
        <f ca="1">L445-O446*Prices!B446</f>
        <v>0.73602277515754255</v>
      </c>
      <c r="M446" s="4">
        <f t="shared" ref="M446" ca="1" si="83">M445+O446</f>
        <v>6.6234260018104647E-4</v>
      </c>
      <c r="N446" s="13">
        <f ca="1">IF(Prices!B445&gt;OFFSET(Prices!B445,-$N$3,0),1,-1)</f>
        <v>-1</v>
      </c>
      <c r="O446" s="4">
        <f ca="1">IF(N446=1,O$3*L445/Prices!B445,-O$3*M445)</f>
        <v>-3.4860136851634024E-5</v>
      </c>
      <c r="P446" s="22"/>
      <c r="Q446" s="13">
        <f ca="1">Q445-T446*Prices!B446</f>
        <v>0.94863015803649409</v>
      </c>
      <c r="R446" s="4">
        <f t="shared" ref="R446" ca="1" si="84">R445+T446</f>
        <v>5.4311091835589206E-7</v>
      </c>
      <c r="S446" s="13">
        <f ca="1">IF(Prices!D445&gt;OFFSET(Prices!D445,-S$3,0),1,-1)</f>
        <v>-1</v>
      </c>
      <c r="T446" s="4">
        <f ca="1">IF(S446=1,T$3*Q445/Prices!B445,-T$3*R445)</f>
        <v>-6.034565759509912E-8</v>
      </c>
    </row>
    <row r="447" spans="1:20" x14ac:dyDescent="0.2">
      <c r="A447" s="7">
        <v>44493</v>
      </c>
      <c r="B447" s="13">
        <f ca="1">Prices!B446*(1+J447/(50*(ABS(O447)+ABS(T447)+0.0001)))</f>
        <v>0</v>
      </c>
      <c r="C447" s="62">
        <f t="shared" ref="C447" ca="1" si="85">IF(J447&gt;0,1,IF(J447&lt;0,0,0))</f>
        <v>0</v>
      </c>
      <c r="D447" s="13" t="e">
        <f ca="1">D446+C447*(Prices!B447-Prices!B446)/Prices!B446</f>
        <v>#DIV/0!</v>
      </c>
      <c r="E447" s="13" t="e">
        <f t="shared" ref="E447" ca="1" si="86">F447-D447</f>
        <v>#DIV/0!</v>
      </c>
      <c r="F447" s="13" t="e">
        <f t="shared" ref="F447" ca="1" si="87">MAX(F446,D447)</f>
        <v>#DIV/0!</v>
      </c>
      <c r="G447" s="21">
        <f ca="1">IF((Prices!B447-Prices!B446)*C447&gt;0,1,0)</f>
        <v>0</v>
      </c>
      <c r="H447" s="13" t="e">
        <f>ABS(Prices!B447-Prices!B446)/Prices!B446</f>
        <v>#DIV/0!</v>
      </c>
      <c r="I447" s="21"/>
      <c r="J447" s="4">
        <f t="shared" ref="J447" ca="1" si="88">O447+T447</f>
        <v>-3.3171441100887917E-5</v>
      </c>
      <c r="K447" s="13"/>
      <c r="L447" s="13">
        <f ca="1">L446-O447*Prices!B447</f>
        <v>0.73602277515754255</v>
      </c>
      <c r="M447" s="4">
        <f t="shared" ref="M447" ca="1" si="89">M446+O447</f>
        <v>6.2922547017199419E-4</v>
      </c>
      <c r="N447" s="13">
        <f ca="1">IF(Prices!B446&gt;OFFSET(Prices!B446,-$N$3,0),1,-1)</f>
        <v>-1</v>
      </c>
      <c r="O447" s="4">
        <f ca="1">IF(N447=1,O$3*L446/Prices!B446,-O$3*M446)</f>
        <v>-3.3117130009052326E-5</v>
      </c>
      <c r="P447" s="22"/>
      <c r="Q447" s="13">
        <f ca="1">Q446-T447*Prices!B447</f>
        <v>0.94863015803649409</v>
      </c>
      <c r="R447" s="4">
        <f t="shared" ref="R447" ca="1" si="90">R446+T447</f>
        <v>4.8879982652030289E-7</v>
      </c>
      <c r="S447" s="13">
        <f ca="1">IF(Prices!D446&gt;OFFSET(Prices!D446,-S$3,0),1,-1)</f>
        <v>-1</v>
      </c>
      <c r="T447" s="4">
        <f ca="1">IF(S447=1,T$3*Q446/Prices!B446,-T$3*R446)</f>
        <v>-5.431109183558921E-8</v>
      </c>
    </row>
    <row r="448" spans="1:20" x14ac:dyDescent="0.2">
      <c r="A448" s="7">
        <v>44500</v>
      </c>
      <c r="B448" s="13">
        <f ca="1">Prices!B447*(1+J448/(50*(ABS(O448)+ABS(T448)+0.0001)))</f>
        <v>0</v>
      </c>
      <c r="C448" s="62">
        <f t="shared" ref="C448" ca="1" si="91">IF(J448&gt;0,1,IF(J448&lt;0,0,0))</f>
        <v>0</v>
      </c>
      <c r="D448" s="13" t="e">
        <f ca="1">D447+C448*(Prices!B448-Prices!B447)/Prices!B447</f>
        <v>#DIV/0!</v>
      </c>
      <c r="E448" s="13" t="e">
        <f t="shared" ref="E448" ca="1" si="92">F448-D448</f>
        <v>#DIV/0!</v>
      </c>
      <c r="F448" s="13" t="e">
        <f t="shared" ref="F448" ca="1" si="93">MAX(F447,D448)</f>
        <v>#DIV/0!</v>
      </c>
      <c r="G448" s="21">
        <f ca="1">IF((Prices!B448-Prices!B447)*C448&gt;0,1,0)</f>
        <v>0</v>
      </c>
      <c r="H448" s="13" t="e">
        <f>ABS(Prices!B448-Prices!B447)/Prices!B447</f>
        <v>#DIV/0!</v>
      </c>
      <c r="I448" s="21"/>
      <c r="J448" s="4">
        <f t="shared" ref="J448" ca="1" si="94">O448+T448</f>
        <v>-3.151015349125174E-5</v>
      </c>
      <c r="K448" s="13"/>
      <c r="L448" s="13">
        <f ca="1">L447-O448*Prices!B448</f>
        <v>0.73602277515754255</v>
      </c>
      <c r="M448" s="4">
        <f t="shared" ref="M448" ca="1" si="95">M447+O448</f>
        <v>5.9776419666339453E-4</v>
      </c>
      <c r="N448" s="13">
        <f ca="1">IF(Prices!B447&gt;OFFSET(Prices!B447,-$N$3,0),1,-1)</f>
        <v>-1</v>
      </c>
      <c r="O448" s="4">
        <f ca="1">IF(N448=1,O$3*L447/Prices!B447,-O$3*M447)</f>
        <v>-3.1461273508599709E-5</v>
      </c>
      <c r="P448" s="22"/>
      <c r="Q448" s="13">
        <f ca="1">Q447-T448*Prices!B448</f>
        <v>0.94863015803649409</v>
      </c>
      <c r="R448" s="4">
        <f t="shared" ref="R448" ca="1" si="96">R447+T448</f>
        <v>4.3991984386827261E-7</v>
      </c>
      <c r="S448" s="13">
        <f ca="1">IF(Prices!D447&gt;OFFSET(Prices!D447,-S$3,0),1,-1)</f>
        <v>-1</v>
      </c>
      <c r="T448" s="4">
        <f ca="1">IF(S448=1,T$3*Q447/Prices!B447,-T$3*R447)</f>
        <v>-4.8879982652030292E-8</v>
      </c>
    </row>
    <row r="449" spans="1:20" x14ac:dyDescent="0.2">
      <c r="A449" s="7">
        <v>44507</v>
      </c>
      <c r="B449" s="13">
        <f ca="1">Prices!B448*(1+J449/(50*(ABS(O449)+ABS(T449)+0.0001)))</f>
        <v>0</v>
      </c>
      <c r="C449" s="62">
        <f t="shared" ref="C449" ca="1" si="97">IF(J449&gt;0,1,IF(J449&lt;0,0,0))</f>
        <v>0</v>
      </c>
      <c r="D449" s="13" t="e">
        <f ca="1">D448+C449*(Prices!B449-Prices!B448)/Prices!B448</f>
        <v>#DIV/0!</v>
      </c>
      <c r="E449" s="13" t="e">
        <f t="shared" ref="E449" ca="1" si="98">F449-D449</f>
        <v>#DIV/0!</v>
      </c>
      <c r="F449" s="13" t="e">
        <f t="shared" ref="F449" ca="1" si="99">MAX(F448,D449)</f>
        <v>#DIV/0!</v>
      </c>
      <c r="G449" s="21">
        <f ca="1">IF((Prices!B449-Prices!B448)*C449&gt;0,1,0)</f>
        <v>0</v>
      </c>
      <c r="H449" s="13" t="e">
        <f>ABS(Prices!B449-Prices!B448)/Prices!B448</f>
        <v>#DIV/0!</v>
      </c>
      <c r="I449" s="21"/>
      <c r="J449" s="4">
        <f t="shared" ref="J449" ca="1" si="100">O449+T449</f>
        <v>-2.9932201817556557E-5</v>
      </c>
      <c r="K449" s="13"/>
      <c r="L449" s="13">
        <f ca="1">L448-O449*Prices!B449</f>
        <v>0.73602277515754255</v>
      </c>
      <c r="M449" s="4">
        <f t="shared" ref="M449" ca="1" si="101">M448+O449</f>
        <v>5.6787598683022476E-4</v>
      </c>
      <c r="N449" s="13">
        <f ca="1">IF(Prices!B448&gt;OFFSET(Prices!B448,-$N$3,0),1,-1)</f>
        <v>-1</v>
      </c>
      <c r="O449" s="4">
        <f ca="1">IF(N449=1,O$3*L448/Prices!B448,-O$3*M448)</f>
        <v>-2.9888209833169729E-5</v>
      </c>
      <c r="P449" s="22"/>
      <c r="Q449" s="13">
        <f ca="1">Q448-T449*Prices!B449</f>
        <v>0.94863015803649409</v>
      </c>
      <c r="R449" s="4">
        <f t="shared" ref="R449" ca="1" si="102">R448+T449</f>
        <v>3.9592785948144536E-7</v>
      </c>
      <c r="S449" s="13">
        <f ca="1">IF(Prices!D448&gt;OFFSET(Prices!D448,-S$3,0),1,-1)</f>
        <v>-1</v>
      </c>
      <c r="T449" s="4">
        <f ca="1">IF(S449=1,T$3*Q448/Prices!B448,-T$3*R448)</f>
        <v>-4.3991984386827264E-8</v>
      </c>
    </row>
    <row r="450" spans="1:20" x14ac:dyDescent="0.2">
      <c r="A450" s="7">
        <v>44514</v>
      </c>
      <c r="B450" s="13">
        <f ca="1">Prices!B449*(1+J450/(50*(ABS(O450)+ABS(T450)+0.0001)))</f>
        <v>0</v>
      </c>
      <c r="C450" s="62">
        <f t="shared" ref="C450:C451" ca="1" si="103">IF(J450&gt;0,1,IF(J450&lt;0,0,0))</f>
        <v>0</v>
      </c>
      <c r="D450" s="13" t="e">
        <f ca="1">D449+C450*(Prices!B450-Prices!B449)/Prices!B449</f>
        <v>#DIV/0!</v>
      </c>
      <c r="E450" s="13" t="e">
        <f t="shared" ref="E450" ca="1" si="104">F450-D450</f>
        <v>#DIV/0!</v>
      </c>
      <c r="F450" s="13" t="e">
        <f t="shared" ref="F450" ca="1" si="105">MAX(F449,D450)</f>
        <v>#DIV/0!</v>
      </c>
      <c r="G450" s="21">
        <f ca="1">IF((Prices!B450-Prices!B449)*C450&gt;0,1,0)</f>
        <v>0</v>
      </c>
      <c r="H450" s="13" t="e">
        <f>ABS(Prices!B450-Prices!B449)/Prices!B449</f>
        <v>#DIV/0!</v>
      </c>
      <c r="I450" s="21"/>
      <c r="J450" s="4">
        <f t="shared" ref="J450:J451" ca="1" si="106">O450+T450</f>
        <v>-2.8433392127459383E-5</v>
      </c>
      <c r="K450" s="13"/>
      <c r="L450" s="13">
        <f ca="1">L449-O450*Prices!B450</f>
        <v>0.73602277515754255</v>
      </c>
      <c r="M450" s="4">
        <f t="shared" ref="M450:M451" ca="1" si="107">M449+O450</f>
        <v>5.3948218748871356E-4</v>
      </c>
      <c r="N450" s="13">
        <f ca="1">IF(Prices!B449&gt;OFFSET(Prices!B449,-$N$3,0),1,-1)</f>
        <v>-1</v>
      </c>
      <c r="O450" s="4">
        <f ca="1">IF(N450=1,O$3*L449/Prices!B449,-O$3*M449)</f>
        <v>-2.8393799341511239E-5</v>
      </c>
      <c r="P450" s="22"/>
      <c r="Q450" s="13">
        <f ca="1">Q449-T450*Prices!B450</f>
        <v>0.94863015803649409</v>
      </c>
      <c r="R450" s="4">
        <f t="shared" ref="R450:R451" ca="1" si="108">R449+T450</f>
        <v>3.5633507353330083E-7</v>
      </c>
      <c r="S450" s="13">
        <f ca="1">IF(Prices!D449&gt;OFFSET(Prices!D449,-S$3,0),1,-1)</f>
        <v>-1</v>
      </c>
      <c r="T450" s="4">
        <f ca="1">IF(S450=1,T$3*Q449/Prices!B449,-T$3*R449)</f>
        <v>-3.9592785948144538E-8</v>
      </c>
    </row>
    <row r="451" spans="1:20" x14ac:dyDescent="0.2">
      <c r="B451" s="13">
        <f ca="1">Prices!B450*(1+J451/(50*(ABS(O451)+ABS(T451)+0.0001)))</f>
        <v>0</v>
      </c>
      <c r="C451" s="62">
        <f t="shared" ca="1" si="103"/>
        <v>0</v>
      </c>
      <c r="D451" s="13"/>
      <c r="E451" s="13"/>
      <c r="F451" s="13"/>
      <c r="G451" s="21"/>
      <c r="H451" s="13"/>
      <c r="I451" s="21"/>
      <c r="J451" s="4">
        <f t="shared" ca="1" si="106"/>
        <v>-2.7009742881789008E-5</v>
      </c>
      <c r="K451" s="13"/>
      <c r="L451" s="13">
        <f ca="1">L450-O451*Prices!B451</f>
        <v>0.73602277515754255</v>
      </c>
      <c r="M451" s="4">
        <f t="shared" ca="1" si="107"/>
        <v>5.1250807811427791E-4</v>
      </c>
      <c r="N451" s="13">
        <f ca="1">IF(Prices!B450&gt;OFFSET(Prices!B450,-$N$3,0),1,-1)</f>
        <v>-1</v>
      </c>
      <c r="O451" s="4">
        <f ca="1">IF(N451=1,O$3*L450/Prices!B450,-O$3*M450)</f>
        <v>-2.6974109374435679E-5</v>
      </c>
      <c r="P451" s="22"/>
      <c r="Q451" s="13">
        <f ca="1">Q450-T451*Prices!B451</f>
        <v>0.94863015803649409</v>
      </c>
      <c r="R451" s="4">
        <f t="shared" ca="1" si="108"/>
        <v>3.2070156617997075E-7</v>
      </c>
      <c r="S451" s="13">
        <f ca="1">IF(Prices!D450&gt;OFFSET(Prices!D450,-S$3,0),1,-1)</f>
        <v>-1</v>
      </c>
      <c r="T451" s="4">
        <f ca="1">IF(S451=1,T$3*Q450/Prices!B450,-T$3*R450)</f>
        <v>-3.5633507353330085E-8</v>
      </c>
    </row>
  </sheetData>
  <mergeCells count="3">
    <mergeCell ref="L1:O1"/>
    <mergeCell ref="Q1:T1"/>
    <mergeCell ref="W1:Z1"/>
  </mergeCells>
  <pageMargins left="0.7" right="0.7" top="0.75" bottom="0.75" header="0.3" footer="0.3"/>
  <pageSetup paperSize="8" scale="3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5F3D8-98CC-4AE4-B0DA-6F3DFCCA4A4C}">
  <dimension ref="A1:AE451"/>
  <sheetViews>
    <sheetView workbookViewId="0">
      <pane ySplit="1320" topLeftCell="A441" activePane="bottomLeft"/>
      <selection pane="bottomLeft" activeCell="D460" sqref="D460"/>
    </sheetView>
  </sheetViews>
  <sheetFormatPr defaultColWidth="8.85546875" defaultRowHeight="12.75" x14ac:dyDescent="0.2"/>
  <cols>
    <col min="1" max="1" width="9.7109375" style="7" customWidth="1"/>
    <col min="2" max="3" width="9.140625" style="15" customWidth="1"/>
    <col min="4" max="5" width="10.5703125" style="15" customWidth="1"/>
    <col min="6" max="6" width="1.7109375" style="15" customWidth="1"/>
    <col min="7" max="12" width="9.140625" style="15" customWidth="1"/>
    <col min="13" max="16" width="8.85546875" style="19"/>
    <col min="17" max="17" width="9.140625" style="15" customWidth="1"/>
    <col min="18" max="22" width="8.85546875" style="19"/>
    <col min="23" max="23" width="9.140625" style="15" customWidth="1"/>
    <col min="24" max="26" width="8.85546875" style="19"/>
    <col min="27" max="27" width="17" style="19" bestFit="1" customWidth="1"/>
    <col min="28" max="28" width="10.5703125" style="19" bestFit="1" customWidth="1"/>
    <col min="29" max="29" width="9.28515625" style="19" customWidth="1"/>
    <col min="30" max="30" width="10.5703125" style="19" bestFit="1" customWidth="1"/>
    <col min="31" max="256" width="8.85546875" style="19"/>
    <col min="257" max="257" width="9.7109375" style="19" customWidth="1"/>
    <col min="258" max="259" width="9.140625" style="19" customWidth="1"/>
    <col min="260" max="261" width="10.5703125" style="19" customWidth="1"/>
    <col min="262" max="262" width="1.7109375" style="19" customWidth="1"/>
    <col min="263" max="268" width="9.140625" style="19" customWidth="1"/>
    <col min="269" max="272" width="8.85546875" style="19"/>
    <col min="273" max="273" width="9.140625" style="19" customWidth="1"/>
    <col min="274" max="512" width="8.85546875" style="19"/>
    <col min="513" max="513" width="9.7109375" style="19" customWidth="1"/>
    <col min="514" max="515" width="9.140625" style="19" customWidth="1"/>
    <col min="516" max="517" width="10.5703125" style="19" customWidth="1"/>
    <col min="518" max="518" width="1.7109375" style="19" customWidth="1"/>
    <col min="519" max="524" width="9.140625" style="19" customWidth="1"/>
    <col min="525" max="528" width="8.85546875" style="19"/>
    <col min="529" max="529" width="9.140625" style="19" customWidth="1"/>
    <col min="530" max="768" width="8.85546875" style="19"/>
    <col min="769" max="769" width="9.7109375" style="19" customWidth="1"/>
    <col min="770" max="771" width="9.140625" style="19" customWidth="1"/>
    <col min="772" max="773" width="10.5703125" style="19" customWidth="1"/>
    <col min="774" max="774" width="1.7109375" style="19" customWidth="1"/>
    <col min="775" max="780" width="9.140625" style="19" customWidth="1"/>
    <col min="781" max="784" width="8.85546875" style="19"/>
    <col min="785" max="785" width="9.140625" style="19" customWidth="1"/>
    <col min="786" max="1024" width="8.85546875" style="19"/>
    <col min="1025" max="1025" width="9.7109375" style="19" customWidth="1"/>
    <col min="1026" max="1027" width="9.140625" style="19" customWidth="1"/>
    <col min="1028" max="1029" width="10.5703125" style="19" customWidth="1"/>
    <col min="1030" max="1030" width="1.7109375" style="19" customWidth="1"/>
    <col min="1031" max="1036" width="9.140625" style="19" customWidth="1"/>
    <col min="1037" max="1040" width="8.85546875" style="19"/>
    <col min="1041" max="1041" width="9.140625" style="19" customWidth="1"/>
    <col min="1042" max="1280" width="8.85546875" style="19"/>
    <col min="1281" max="1281" width="9.7109375" style="19" customWidth="1"/>
    <col min="1282" max="1283" width="9.140625" style="19" customWidth="1"/>
    <col min="1284" max="1285" width="10.5703125" style="19" customWidth="1"/>
    <col min="1286" max="1286" width="1.7109375" style="19" customWidth="1"/>
    <col min="1287" max="1292" width="9.140625" style="19" customWidth="1"/>
    <col min="1293" max="1296" width="8.85546875" style="19"/>
    <col min="1297" max="1297" width="9.140625" style="19" customWidth="1"/>
    <col min="1298" max="1536" width="8.85546875" style="19"/>
    <col min="1537" max="1537" width="9.7109375" style="19" customWidth="1"/>
    <col min="1538" max="1539" width="9.140625" style="19" customWidth="1"/>
    <col min="1540" max="1541" width="10.5703125" style="19" customWidth="1"/>
    <col min="1542" max="1542" width="1.7109375" style="19" customWidth="1"/>
    <col min="1543" max="1548" width="9.140625" style="19" customWidth="1"/>
    <col min="1549" max="1552" width="8.85546875" style="19"/>
    <col min="1553" max="1553" width="9.140625" style="19" customWidth="1"/>
    <col min="1554" max="1792" width="8.85546875" style="19"/>
    <col min="1793" max="1793" width="9.7109375" style="19" customWidth="1"/>
    <col min="1794" max="1795" width="9.140625" style="19" customWidth="1"/>
    <col min="1796" max="1797" width="10.5703125" style="19" customWidth="1"/>
    <col min="1798" max="1798" width="1.7109375" style="19" customWidth="1"/>
    <col min="1799" max="1804" width="9.140625" style="19" customWidth="1"/>
    <col min="1805" max="1808" width="8.85546875" style="19"/>
    <col min="1809" max="1809" width="9.140625" style="19" customWidth="1"/>
    <col min="1810" max="2048" width="8.85546875" style="19"/>
    <col min="2049" max="2049" width="9.7109375" style="19" customWidth="1"/>
    <col min="2050" max="2051" width="9.140625" style="19" customWidth="1"/>
    <col min="2052" max="2053" width="10.5703125" style="19" customWidth="1"/>
    <col min="2054" max="2054" width="1.7109375" style="19" customWidth="1"/>
    <col min="2055" max="2060" width="9.140625" style="19" customWidth="1"/>
    <col min="2061" max="2064" width="8.85546875" style="19"/>
    <col min="2065" max="2065" width="9.140625" style="19" customWidth="1"/>
    <col min="2066" max="2304" width="8.85546875" style="19"/>
    <col min="2305" max="2305" width="9.7109375" style="19" customWidth="1"/>
    <col min="2306" max="2307" width="9.140625" style="19" customWidth="1"/>
    <col min="2308" max="2309" width="10.5703125" style="19" customWidth="1"/>
    <col min="2310" max="2310" width="1.7109375" style="19" customWidth="1"/>
    <col min="2311" max="2316" width="9.140625" style="19" customWidth="1"/>
    <col min="2317" max="2320" width="8.85546875" style="19"/>
    <col min="2321" max="2321" width="9.140625" style="19" customWidth="1"/>
    <col min="2322" max="2560" width="8.85546875" style="19"/>
    <col min="2561" max="2561" width="9.7109375" style="19" customWidth="1"/>
    <col min="2562" max="2563" width="9.140625" style="19" customWidth="1"/>
    <col min="2564" max="2565" width="10.5703125" style="19" customWidth="1"/>
    <col min="2566" max="2566" width="1.7109375" style="19" customWidth="1"/>
    <col min="2567" max="2572" width="9.140625" style="19" customWidth="1"/>
    <col min="2573" max="2576" width="8.85546875" style="19"/>
    <col min="2577" max="2577" width="9.140625" style="19" customWidth="1"/>
    <col min="2578" max="2816" width="8.85546875" style="19"/>
    <col min="2817" max="2817" width="9.7109375" style="19" customWidth="1"/>
    <col min="2818" max="2819" width="9.140625" style="19" customWidth="1"/>
    <col min="2820" max="2821" width="10.5703125" style="19" customWidth="1"/>
    <col min="2822" max="2822" width="1.7109375" style="19" customWidth="1"/>
    <col min="2823" max="2828" width="9.140625" style="19" customWidth="1"/>
    <col min="2829" max="2832" width="8.85546875" style="19"/>
    <col min="2833" max="2833" width="9.140625" style="19" customWidth="1"/>
    <col min="2834" max="3072" width="8.85546875" style="19"/>
    <col min="3073" max="3073" width="9.7109375" style="19" customWidth="1"/>
    <col min="3074" max="3075" width="9.140625" style="19" customWidth="1"/>
    <col min="3076" max="3077" width="10.5703125" style="19" customWidth="1"/>
    <col min="3078" max="3078" width="1.7109375" style="19" customWidth="1"/>
    <col min="3079" max="3084" width="9.140625" style="19" customWidth="1"/>
    <col min="3085" max="3088" width="8.85546875" style="19"/>
    <col min="3089" max="3089" width="9.140625" style="19" customWidth="1"/>
    <col min="3090" max="3328" width="8.85546875" style="19"/>
    <col min="3329" max="3329" width="9.7109375" style="19" customWidth="1"/>
    <col min="3330" max="3331" width="9.140625" style="19" customWidth="1"/>
    <col min="3332" max="3333" width="10.5703125" style="19" customWidth="1"/>
    <col min="3334" max="3334" width="1.7109375" style="19" customWidth="1"/>
    <col min="3335" max="3340" width="9.140625" style="19" customWidth="1"/>
    <col min="3341" max="3344" width="8.85546875" style="19"/>
    <col min="3345" max="3345" width="9.140625" style="19" customWidth="1"/>
    <col min="3346" max="3584" width="8.85546875" style="19"/>
    <col min="3585" max="3585" width="9.7109375" style="19" customWidth="1"/>
    <col min="3586" max="3587" width="9.140625" style="19" customWidth="1"/>
    <col min="3588" max="3589" width="10.5703125" style="19" customWidth="1"/>
    <col min="3590" max="3590" width="1.7109375" style="19" customWidth="1"/>
    <col min="3591" max="3596" width="9.140625" style="19" customWidth="1"/>
    <col min="3597" max="3600" width="8.85546875" style="19"/>
    <col min="3601" max="3601" width="9.140625" style="19" customWidth="1"/>
    <col min="3602" max="3840" width="8.85546875" style="19"/>
    <col min="3841" max="3841" width="9.7109375" style="19" customWidth="1"/>
    <col min="3842" max="3843" width="9.140625" style="19" customWidth="1"/>
    <col min="3844" max="3845" width="10.5703125" style="19" customWidth="1"/>
    <col min="3846" max="3846" width="1.7109375" style="19" customWidth="1"/>
    <col min="3847" max="3852" width="9.140625" style="19" customWidth="1"/>
    <col min="3853" max="3856" width="8.85546875" style="19"/>
    <col min="3857" max="3857" width="9.140625" style="19" customWidth="1"/>
    <col min="3858" max="4096" width="8.85546875" style="19"/>
    <col min="4097" max="4097" width="9.7109375" style="19" customWidth="1"/>
    <col min="4098" max="4099" width="9.140625" style="19" customWidth="1"/>
    <col min="4100" max="4101" width="10.5703125" style="19" customWidth="1"/>
    <col min="4102" max="4102" width="1.7109375" style="19" customWidth="1"/>
    <col min="4103" max="4108" width="9.140625" style="19" customWidth="1"/>
    <col min="4109" max="4112" width="8.85546875" style="19"/>
    <col min="4113" max="4113" width="9.140625" style="19" customWidth="1"/>
    <col min="4114" max="4352" width="8.85546875" style="19"/>
    <col min="4353" max="4353" width="9.7109375" style="19" customWidth="1"/>
    <col min="4354" max="4355" width="9.140625" style="19" customWidth="1"/>
    <col min="4356" max="4357" width="10.5703125" style="19" customWidth="1"/>
    <col min="4358" max="4358" width="1.7109375" style="19" customWidth="1"/>
    <col min="4359" max="4364" width="9.140625" style="19" customWidth="1"/>
    <col min="4365" max="4368" width="8.85546875" style="19"/>
    <col min="4369" max="4369" width="9.140625" style="19" customWidth="1"/>
    <col min="4370" max="4608" width="8.85546875" style="19"/>
    <col min="4609" max="4609" width="9.7109375" style="19" customWidth="1"/>
    <col min="4610" max="4611" width="9.140625" style="19" customWidth="1"/>
    <col min="4612" max="4613" width="10.5703125" style="19" customWidth="1"/>
    <col min="4614" max="4614" width="1.7109375" style="19" customWidth="1"/>
    <col min="4615" max="4620" width="9.140625" style="19" customWidth="1"/>
    <col min="4621" max="4624" width="8.85546875" style="19"/>
    <col min="4625" max="4625" width="9.140625" style="19" customWidth="1"/>
    <col min="4626" max="4864" width="8.85546875" style="19"/>
    <col min="4865" max="4865" width="9.7109375" style="19" customWidth="1"/>
    <col min="4866" max="4867" width="9.140625" style="19" customWidth="1"/>
    <col min="4868" max="4869" width="10.5703125" style="19" customWidth="1"/>
    <col min="4870" max="4870" width="1.7109375" style="19" customWidth="1"/>
    <col min="4871" max="4876" width="9.140625" style="19" customWidth="1"/>
    <col min="4877" max="4880" width="8.85546875" style="19"/>
    <col min="4881" max="4881" width="9.140625" style="19" customWidth="1"/>
    <col min="4882" max="5120" width="8.85546875" style="19"/>
    <col min="5121" max="5121" width="9.7109375" style="19" customWidth="1"/>
    <col min="5122" max="5123" width="9.140625" style="19" customWidth="1"/>
    <col min="5124" max="5125" width="10.5703125" style="19" customWidth="1"/>
    <col min="5126" max="5126" width="1.7109375" style="19" customWidth="1"/>
    <col min="5127" max="5132" width="9.140625" style="19" customWidth="1"/>
    <col min="5133" max="5136" width="8.85546875" style="19"/>
    <col min="5137" max="5137" width="9.140625" style="19" customWidth="1"/>
    <col min="5138" max="5376" width="8.85546875" style="19"/>
    <col min="5377" max="5377" width="9.7109375" style="19" customWidth="1"/>
    <col min="5378" max="5379" width="9.140625" style="19" customWidth="1"/>
    <col min="5380" max="5381" width="10.5703125" style="19" customWidth="1"/>
    <col min="5382" max="5382" width="1.7109375" style="19" customWidth="1"/>
    <col min="5383" max="5388" width="9.140625" style="19" customWidth="1"/>
    <col min="5389" max="5392" width="8.85546875" style="19"/>
    <col min="5393" max="5393" width="9.140625" style="19" customWidth="1"/>
    <col min="5394" max="5632" width="8.85546875" style="19"/>
    <col min="5633" max="5633" width="9.7109375" style="19" customWidth="1"/>
    <col min="5634" max="5635" width="9.140625" style="19" customWidth="1"/>
    <col min="5636" max="5637" width="10.5703125" style="19" customWidth="1"/>
    <col min="5638" max="5638" width="1.7109375" style="19" customWidth="1"/>
    <col min="5639" max="5644" width="9.140625" style="19" customWidth="1"/>
    <col min="5645" max="5648" width="8.85546875" style="19"/>
    <col min="5649" max="5649" width="9.140625" style="19" customWidth="1"/>
    <col min="5650" max="5888" width="8.85546875" style="19"/>
    <col min="5889" max="5889" width="9.7109375" style="19" customWidth="1"/>
    <col min="5890" max="5891" width="9.140625" style="19" customWidth="1"/>
    <col min="5892" max="5893" width="10.5703125" style="19" customWidth="1"/>
    <col min="5894" max="5894" width="1.7109375" style="19" customWidth="1"/>
    <col min="5895" max="5900" width="9.140625" style="19" customWidth="1"/>
    <col min="5901" max="5904" width="8.85546875" style="19"/>
    <col min="5905" max="5905" width="9.140625" style="19" customWidth="1"/>
    <col min="5906" max="6144" width="8.85546875" style="19"/>
    <col min="6145" max="6145" width="9.7109375" style="19" customWidth="1"/>
    <col min="6146" max="6147" width="9.140625" style="19" customWidth="1"/>
    <col min="6148" max="6149" width="10.5703125" style="19" customWidth="1"/>
    <col min="6150" max="6150" width="1.7109375" style="19" customWidth="1"/>
    <col min="6151" max="6156" width="9.140625" style="19" customWidth="1"/>
    <col min="6157" max="6160" width="8.85546875" style="19"/>
    <col min="6161" max="6161" width="9.140625" style="19" customWidth="1"/>
    <col min="6162" max="6400" width="8.85546875" style="19"/>
    <col min="6401" max="6401" width="9.7109375" style="19" customWidth="1"/>
    <col min="6402" max="6403" width="9.140625" style="19" customWidth="1"/>
    <col min="6404" max="6405" width="10.5703125" style="19" customWidth="1"/>
    <col min="6406" max="6406" width="1.7109375" style="19" customWidth="1"/>
    <col min="6407" max="6412" width="9.140625" style="19" customWidth="1"/>
    <col min="6413" max="6416" width="8.85546875" style="19"/>
    <col min="6417" max="6417" width="9.140625" style="19" customWidth="1"/>
    <col min="6418" max="6656" width="8.85546875" style="19"/>
    <col min="6657" max="6657" width="9.7109375" style="19" customWidth="1"/>
    <col min="6658" max="6659" width="9.140625" style="19" customWidth="1"/>
    <col min="6660" max="6661" width="10.5703125" style="19" customWidth="1"/>
    <col min="6662" max="6662" width="1.7109375" style="19" customWidth="1"/>
    <col min="6663" max="6668" width="9.140625" style="19" customWidth="1"/>
    <col min="6669" max="6672" width="8.85546875" style="19"/>
    <col min="6673" max="6673" width="9.140625" style="19" customWidth="1"/>
    <col min="6674" max="6912" width="8.85546875" style="19"/>
    <col min="6913" max="6913" width="9.7109375" style="19" customWidth="1"/>
    <col min="6914" max="6915" width="9.140625" style="19" customWidth="1"/>
    <col min="6916" max="6917" width="10.5703125" style="19" customWidth="1"/>
    <col min="6918" max="6918" width="1.7109375" style="19" customWidth="1"/>
    <col min="6919" max="6924" width="9.140625" style="19" customWidth="1"/>
    <col min="6925" max="6928" width="8.85546875" style="19"/>
    <col min="6929" max="6929" width="9.140625" style="19" customWidth="1"/>
    <col min="6930" max="7168" width="8.85546875" style="19"/>
    <col min="7169" max="7169" width="9.7109375" style="19" customWidth="1"/>
    <col min="7170" max="7171" width="9.140625" style="19" customWidth="1"/>
    <col min="7172" max="7173" width="10.5703125" style="19" customWidth="1"/>
    <col min="7174" max="7174" width="1.7109375" style="19" customWidth="1"/>
    <col min="7175" max="7180" width="9.140625" style="19" customWidth="1"/>
    <col min="7181" max="7184" width="8.85546875" style="19"/>
    <col min="7185" max="7185" width="9.140625" style="19" customWidth="1"/>
    <col min="7186" max="7424" width="8.85546875" style="19"/>
    <col min="7425" max="7425" width="9.7109375" style="19" customWidth="1"/>
    <col min="7426" max="7427" width="9.140625" style="19" customWidth="1"/>
    <col min="7428" max="7429" width="10.5703125" style="19" customWidth="1"/>
    <col min="7430" max="7430" width="1.7109375" style="19" customWidth="1"/>
    <col min="7431" max="7436" width="9.140625" style="19" customWidth="1"/>
    <col min="7437" max="7440" width="8.85546875" style="19"/>
    <col min="7441" max="7441" width="9.140625" style="19" customWidth="1"/>
    <col min="7442" max="7680" width="8.85546875" style="19"/>
    <col min="7681" max="7681" width="9.7109375" style="19" customWidth="1"/>
    <col min="7682" max="7683" width="9.140625" style="19" customWidth="1"/>
    <col min="7684" max="7685" width="10.5703125" style="19" customWidth="1"/>
    <col min="7686" max="7686" width="1.7109375" style="19" customWidth="1"/>
    <col min="7687" max="7692" width="9.140625" style="19" customWidth="1"/>
    <col min="7693" max="7696" width="8.85546875" style="19"/>
    <col min="7697" max="7697" width="9.140625" style="19" customWidth="1"/>
    <col min="7698" max="7936" width="8.85546875" style="19"/>
    <col min="7937" max="7937" width="9.7109375" style="19" customWidth="1"/>
    <col min="7938" max="7939" width="9.140625" style="19" customWidth="1"/>
    <col min="7940" max="7941" width="10.5703125" style="19" customWidth="1"/>
    <col min="7942" max="7942" width="1.7109375" style="19" customWidth="1"/>
    <col min="7943" max="7948" width="9.140625" style="19" customWidth="1"/>
    <col min="7949" max="7952" width="8.85546875" style="19"/>
    <col min="7953" max="7953" width="9.140625" style="19" customWidth="1"/>
    <col min="7954" max="8192" width="8.85546875" style="19"/>
    <col min="8193" max="8193" width="9.7109375" style="19" customWidth="1"/>
    <col min="8194" max="8195" width="9.140625" style="19" customWidth="1"/>
    <col min="8196" max="8197" width="10.5703125" style="19" customWidth="1"/>
    <col min="8198" max="8198" width="1.7109375" style="19" customWidth="1"/>
    <col min="8199" max="8204" width="9.140625" style="19" customWidth="1"/>
    <col min="8205" max="8208" width="8.85546875" style="19"/>
    <col min="8209" max="8209" width="9.140625" style="19" customWidth="1"/>
    <col min="8210" max="8448" width="8.85546875" style="19"/>
    <col min="8449" max="8449" width="9.7109375" style="19" customWidth="1"/>
    <col min="8450" max="8451" width="9.140625" style="19" customWidth="1"/>
    <col min="8452" max="8453" width="10.5703125" style="19" customWidth="1"/>
    <col min="8454" max="8454" width="1.7109375" style="19" customWidth="1"/>
    <col min="8455" max="8460" width="9.140625" style="19" customWidth="1"/>
    <col min="8461" max="8464" width="8.85546875" style="19"/>
    <col min="8465" max="8465" width="9.140625" style="19" customWidth="1"/>
    <col min="8466" max="8704" width="8.85546875" style="19"/>
    <col min="8705" max="8705" width="9.7109375" style="19" customWidth="1"/>
    <col min="8706" max="8707" width="9.140625" style="19" customWidth="1"/>
    <col min="8708" max="8709" width="10.5703125" style="19" customWidth="1"/>
    <col min="8710" max="8710" width="1.7109375" style="19" customWidth="1"/>
    <col min="8711" max="8716" width="9.140625" style="19" customWidth="1"/>
    <col min="8717" max="8720" width="8.85546875" style="19"/>
    <col min="8721" max="8721" width="9.140625" style="19" customWidth="1"/>
    <col min="8722" max="8960" width="8.85546875" style="19"/>
    <col min="8961" max="8961" width="9.7109375" style="19" customWidth="1"/>
    <col min="8962" max="8963" width="9.140625" style="19" customWidth="1"/>
    <col min="8964" max="8965" width="10.5703125" style="19" customWidth="1"/>
    <col min="8966" max="8966" width="1.7109375" style="19" customWidth="1"/>
    <col min="8967" max="8972" width="9.140625" style="19" customWidth="1"/>
    <col min="8973" max="8976" width="8.85546875" style="19"/>
    <col min="8977" max="8977" width="9.140625" style="19" customWidth="1"/>
    <col min="8978" max="9216" width="8.85546875" style="19"/>
    <col min="9217" max="9217" width="9.7109375" style="19" customWidth="1"/>
    <col min="9218" max="9219" width="9.140625" style="19" customWidth="1"/>
    <col min="9220" max="9221" width="10.5703125" style="19" customWidth="1"/>
    <col min="9222" max="9222" width="1.7109375" style="19" customWidth="1"/>
    <col min="9223" max="9228" width="9.140625" style="19" customWidth="1"/>
    <col min="9229" max="9232" width="8.85546875" style="19"/>
    <col min="9233" max="9233" width="9.140625" style="19" customWidth="1"/>
    <col min="9234" max="9472" width="8.85546875" style="19"/>
    <col min="9473" max="9473" width="9.7109375" style="19" customWidth="1"/>
    <col min="9474" max="9475" width="9.140625" style="19" customWidth="1"/>
    <col min="9476" max="9477" width="10.5703125" style="19" customWidth="1"/>
    <col min="9478" max="9478" width="1.7109375" style="19" customWidth="1"/>
    <col min="9479" max="9484" width="9.140625" style="19" customWidth="1"/>
    <col min="9485" max="9488" width="8.85546875" style="19"/>
    <col min="9489" max="9489" width="9.140625" style="19" customWidth="1"/>
    <col min="9490" max="9728" width="8.85546875" style="19"/>
    <col min="9729" max="9729" width="9.7109375" style="19" customWidth="1"/>
    <col min="9730" max="9731" width="9.140625" style="19" customWidth="1"/>
    <col min="9732" max="9733" width="10.5703125" style="19" customWidth="1"/>
    <col min="9734" max="9734" width="1.7109375" style="19" customWidth="1"/>
    <col min="9735" max="9740" width="9.140625" style="19" customWidth="1"/>
    <col min="9741" max="9744" width="8.85546875" style="19"/>
    <col min="9745" max="9745" width="9.140625" style="19" customWidth="1"/>
    <col min="9746" max="9984" width="8.85546875" style="19"/>
    <col min="9985" max="9985" width="9.7109375" style="19" customWidth="1"/>
    <col min="9986" max="9987" width="9.140625" style="19" customWidth="1"/>
    <col min="9988" max="9989" width="10.5703125" style="19" customWidth="1"/>
    <col min="9990" max="9990" width="1.7109375" style="19" customWidth="1"/>
    <col min="9991" max="9996" width="9.140625" style="19" customWidth="1"/>
    <col min="9997" max="10000" width="8.85546875" style="19"/>
    <col min="10001" max="10001" width="9.140625" style="19" customWidth="1"/>
    <col min="10002" max="10240" width="8.85546875" style="19"/>
    <col min="10241" max="10241" width="9.7109375" style="19" customWidth="1"/>
    <col min="10242" max="10243" width="9.140625" style="19" customWidth="1"/>
    <col min="10244" max="10245" width="10.5703125" style="19" customWidth="1"/>
    <col min="10246" max="10246" width="1.7109375" style="19" customWidth="1"/>
    <col min="10247" max="10252" width="9.140625" style="19" customWidth="1"/>
    <col min="10253" max="10256" width="8.85546875" style="19"/>
    <col min="10257" max="10257" width="9.140625" style="19" customWidth="1"/>
    <col min="10258" max="10496" width="8.85546875" style="19"/>
    <col min="10497" max="10497" width="9.7109375" style="19" customWidth="1"/>
    <col min="10498" max="10499" width="9.140625" style="19" customWidth="1"/>
    <col min="10500" max="10501" width="10.5703125" style="19" customWidth="1"/>
    <col min="10502" max="10502" width="1.7109375" style="19" customWidth="1"/>
    <col min="10503" max="10508" width="9.140625" style="19" customWidth="1"/>
    <col min="10509" max="10512" width="8.85546875" style="19"/>
    <col min="10513" max="10513" width="9.140625" style="19" customWidth="1"/>
    <col min="10514" max="10752" width="8.85546875" style="19"/>
    <col min="10753" max="10753" width="9.7109375" style="19" customWidth="1"/>
    <col min="10754" max="10755" width="9.140625" style="19" customWidth="1"/>
    <col min="10756" max="10757" width="10.5703125" style="19" customWidth="1"/>
    <col min="10758" max="10758" width="1.7109375" style="19" customWidth="1"/>
    <col min="10759" max="10764" width="9.140625" style="19" customWidth="1"/>
    <col min="10765" max="10768" width="8.85546875" style="19"/>
    <col min="10769" max="10769" width="9.140625" style="19" customWidth="1"/>
    <col min="10770" max="11008" width="8.85546875" style="19"/>
    <col min="11009" max="11009" width="9.7109375" style="19" customWidth="1"/>
    <col min="11010" max="11011" width="9.140625" style="19" customWidth="1"/>
    <col min="11012" max="11013" width="10.5703125" style="19" customWidth="1"/>
    <col min="11014" max="11014" width="1.7109375" style="19" customWidth="1"/>
    <col min="11015" max="11020" width="9.140625" style="19" customWidth="1"/>
    <col min="11021" max="11024" width="8.85546875" style="19"/>
    <col min="11025" max="11025" width="9.140625" style="19" customWidth="1"/>
    <col min="11026" max="11264" width="8.85546875" style="19"/>
    <col min="11265" max="11265" width="9.7109375" style="19" customWidth="1"/>
    <col min="11266" max="11267" width="9.140625" style="19" customWidth="1"/>
    <col min="11268" max="11269" width="10.5703125" style="19" customWidth="1"/>
    <col min="11270" max="11270" width="1.7109375" style="19" customWidth="1"/>
    <col min="11271" max="11276" width="9.140625" style="19" customWidth="1"/>
    <col min="11277" max="11280" width="8.85546875" style="19"/>
    <col min="11281" max="11281" width="9.140625" style="19" customWidth="1"/>
    <col min="11282" max="11520" width="8.85546875" style="19"/>
    <col min="11521" max="11521" width="9.7109375" style="19" customWidth="1"/>
    <col min="11522" max="11523" width="9.140625" style="19" customWidth="1"/>
    <col min="11524" max="11525" width="10.5703125" style="19" customWidth="1"/>
    <col min="11526" max="11526" width="1.7109375" style="19" customWidth="1"/>
    <col min="11527" max="11532" width="9.140625" style="19" customWidth="1"/>
    <col min="11533" max="11536" width="8.85546875" style="19"/>
    <col min="11537" max="11537" width="9.140625" style="19" customWidth="1"/>
    <col min="11538" max="11776" width="8.85546875" style="19"/>
    <col min="11777" max="11777" width="9.7109375" style="19" customWidth="1"/>
    <col min="11778" max="11779" width="9.140625" style="19" customWidth="1"/>
    <col min="11780" max="11781" width="10.5703125" style="19" customWidth="1"/>
    <col min="11782" max="11782" width="1.7109375" style="19" customWidth="1"/>
    <col min="11783" max="11788" width="9.140625" style="19" customWidth="1"/>
    <col min="11789" max="11792" width="8.85546875" style="19"/>
    <col min="11793" max="11793" width="9.140625" style="19" customWidth="1"/>
    <col min="11794" max="12032" width="8.85546875" style="19"/>
    <col min="12033" max="12033" width="9.7109375" style="19" customWidth="1"/>
    <col min="12034" max="12035" width="9.140625" style="19" customWidth="1"/>
    <col min="12036" max="12037" width="10.5703125" style="19" customWidth="1"/>
    <col min="12038" max="12038" width="1.7109375" style="19" customWidth="1"/>
    <col min="12039" max="12044" width="9.140625" style="19" customWidth="1"/>
    <col min="12045" max="12048" width="8.85546875" style="19"/>
    <col min="12049" max="12049" width="9.140625" style="19" customWidth="1"/>
    <col min="12050" max="12288" width="8.85546875" style="19"/>
    <col min="12289" max="12289" width="9.7109375" style="19" customWidth="1"/>
    <col min="12290" max="12291" width="9.140625" style="19" customWidth="1"/>
    <col min="12292" max="12293" width="10.5703125" style="19" customWidth="1"/>
    <col min="12294" max="12294" width="1.7109375" style="19" customWidth="1"/>
    <col min="12295" max="12300" width="9.140625" style="19" customWidth="1"/>
    <col min="12301" max="12304" width="8.85546875" style="19"/>
    <col min="12305" max="12305" width="9.140625" style="19" customWidth="1"/>
    <col min="12306" max="12544" width="8.85546875" style="19"/>
    <col min="12545" max="12545" width="9.7109375" style="19" customWidth="1"/>
    <col min="12546" max="12547" width="9.140625" style="19" customWidth="1"/>
    <col min="12548" max="12549" width="10.5703125" style="19" customWidth="1"/>
    <col min="12550" max="12550" width="1.7109375" style="19" customWidth="1"/>
    <col min="12551" max="12556" width="9.140625" style="19" customWidth="1"/>
    <col min="12557" max="12560" width="8.85546875" style="19"/>
    <col min="12561" max="12561" width="9.140625" style="19" customWidth="1"/>
    <col min="12562" max="12800" width="8.85546875" style="19"/>
    <col min="12801" max="12801" width="9.7109375" style="19" customWidth="1"/>
    <col min="12802" max="12803" width="9.140625" style="19" customWidth="1"/>
    <col min="12804" max="12805" width="10.5703125" style="19" customWidth="1"/>
    <col min="12806" max="12806" width="1.7109375" style="19" customWidth="1"/>
    <col min="12807" max="12812" width="9.140625" style="19" customWidth="1"/>
    <col min="12813" max="12816" width="8.85546875" style="19"/>
    <col min="12817" max="12817" width="9.140625" style="19" customWidth="1"/>
    <col min="12818" max="13056" width="8.85546875" style="19"/>
    <col min="13057" max="13057" width="9.7109375" style="19" customWidth="1"/>
    <col min="13058" max="13059" width="9.140625" style="19" customWidth="1"/>
    <col min="13060" max="13061" width="10.5703125" style="19" customWidth="1"/>
    <col min="13062" max="13062" width="1.7109375" style="19" customWidth="1"/>
    <col min="13063" max="13068" width="9.140625" style="19" customWidth="1"/>
    <col min="13069" max="13072" width="8.85546875" style="19"/>
    <col min="13073" max="13073" width="9.140625" style="19" customWidth="1"/>
    <col min="13074" max="13312" width="8.85546875" style="19"/>
    <col min="13313" max="13313" width="9.7109375" style="19" customWidth="1"/>
    <col min="13314" max="13315" width="9.140625" style="19" customWidth="1"/>
    <col min="13316" max="13317" width="10.5703125" style="19" customWidth="1"/>
    <col min="13318" max="13318" width="1.7109375" style="19" customWidth="1"/>
    <col min="13319" max="13324" width="9.140625" style="19" customWidth="1"/>
    <col min="13325" max="13328" width="8.85546875" style="19"/>
    <col min="13329" max="13329" width="9.140625" style="19" customWidth="1"/>
    <col min="13330" max="13568" width="8.85546875" style="19"/>
    <col min="13569" max="13569" width="9.7109375" style="19" customWidth="1"/>
    <col min="13570" max="13571" width="9.140625" style="19" customWidth="1"/>
    <col min="13572" max="13573" width="10.5703125" style="19" customWidth="1"/>
    <col min="13574" max="13574" width="1.7109375" style="19" customWidth="1"/>
    <col min="13575" max="13580" width="9.140625" style="19" customWidth="1"/>
    <col min="13581" max="13584" width="8.85546875" style="19"/>
    <col min="13585" max="13585" width="9.140625" style="19" customWidth="1"/>
    <col min="13586" max="13824" width="8.85546875" style="19"/>
    <col min="13825" max="13825" width="9.7109375" style="19" customWidth="1"/>
    <col min="13826" max="13827" width="9.140625" style="19" customWidth="1"/>
    <col min="13828" max="13829" width="10.5703125" style="19" customWidth="1"/>
    <col min="13830" max="13830" width="1.7109375" style="19" customWidth="1"/>
    <col min="13831" max="13836" width="9.140625" style="19" customWidth="1"/>
    <col min="13837" max="13840" width="8.85546875" style="19"/>
    <col min="13841" max="13841" width="9.140625" style="19" customWidth="1"/>
    <col min="13842" max="14080" width="8.85546875" style="19"/>
    <col min="14081" max="14081" width="9.7109375" style="19" customWidth="1"/>
    <col min="14082" max="14083" width="9.140625" style="19" customWidth="1"/>
    <col min="14084" max="14085" width="10.5703125" style="19" customWidth="1"/>
    <col min="14086" max="14086" width="1.7109375" style="19" customWidth="1"/>
    <col min="14087" max="14092" width="9.140625" style="19" customWidth="1"/>
    <col min="14093" max="14096" width="8.85546875" style="19"/>
    <col min="14097" max="14097" width="9.140625" style="19" customWidth="1"/>
    <col min="14098" max="14336" width="8.85546875" style="19"/>
    <col min="14337" max="14337" width="9.7109375" style="19" customWidth="1"/>
    <col min="14338" max="14339" width="9.140625" style="19" customWidth="1"/>
    <col min="14340" max="14341" width="10.5703125" style="19" customWidth="1"/>
    <col min="14342" max="14342" width="1.7109375" style="19" customWidth="1"/>
    <col min="14343" max="14348" width="9.140625" style="19" customWidth="1"/>
    <col min="14349" max="14352" width="8.85546875" style="19"/>
    <col min="14353" max="14353" width="9.140625" style="19" customWidth="1"/>
    <col min="14354" max="14592" width="8.85546875" style="19"/>
    <col min="14593" max="14593" width="9.7109375" style="19" customWidth="1"/>
    <col min="14594" max="14595" width="9.140625" style="19" customWidth="1"/>
    <col min="14596" max="14597" width="10.5703125" style="19" customWidth="1"/>
    <col min="14598" max="14598" width="1.7109375" style="19" customWidth="1"/>
    <col min="14599" max="14604" width="9.140625" style="19" customWidth="1"/>
    <col min="14605" max="14608" width="8.85546875" style="19"/>
    <col min="14609" max="14609" width="9.140625" style="19" customWidth="1"/>
    <col min="14610" max="14848" width="8.85546875" style="19"/>
    <col min="14849" max="14849" width="9.7109375" style="19" customWidth="1"/>
    <col min="14850" max="14851" width="9.140625" style="19" customWidth="1"/>
    <col min="14852" max="14853" width="10.5703125" style="19" customWidth="1"/>
    <col min="14854" max="14854" width="1.7109375" style="19" customWidth="1"/>
    <col min="14855" max="14860" width="9.140625" style="19" customWidth="1"/>
    <col min="14861" max="14864" width="8.85546875" style="19"/>
    <col min="14865" max="14865" width="9.140625" style="19" customWidth="1"/>
    <col min="14866" max="15104" width="8.85546875" style="19"/>
    <col min="15105" max="15105" width="9.7109375" style="19" customWidth="1"/>
    <col min="15106" max="15107" width="9.140625" style="19" customWidth="1"/>
    <col min="15108" max="15109" width="10.5703125" style="19" customWidth="1"/>
    <col min="15110" max="15110" width="1.7109375" style="19" customWidth="1"/>
    <col min="15111" max="15116" width="9.140625" style="19" customWidth="1"/>
    <col min="15117" max="15120" width="8.85546875" style="19"/>
    <col min="15121" max="15121" width="9.140625" style="19" customWidth="1"/>
    <col min="15122" max="15360" width="8.85546875" style="19"/>
    <col min="15361" max="15361" width="9.7109375" style="19" customWidth="1"/>
    <col min="15362" max="15363" width="9.140625" style="19" customWidth="1"/>
    <col min="15364" max="15365" width="10.5703125" style="19" customWidth="1"/>
    <col min="15366" max="15366" width="1.7109375" style="19" customWidth="1"/>
    <col min="15367" max="15372" width="9.140625" style="19" customWidth="1"/>
    <col min="15373" max="15376" width="8.85546875" style="19"/>
    <col min="15377" max="15377" width="9.140625" style="19" customWidth="1"/>
    <col min="15378" max="15616" width="8.85546875" style="19"/>
    <col min="15617" max="15617" width="9.7109375" style="19" customWidth="1"/>
    <col min="15618" max="15619" width="9.140625" style="19" customWidth="1"/>
    <col min="15620" max="15621" width="10.5703125" style="19" customWidth="1"/>
    <col min="15622" max="15622" width="1.7109375" style="19" customWidth="1"/>
    <col min="15623" max="15628" width="9.140625" style="19" customWidth="1"/>
    <col min="15629" max="15632" width="8.85546875" style="19"/>
    <col min="15633" max="15633" width="9.140625" style="19" customWidth="1"/>
    <col min="15634" max="15872" width="8.85546875" style="19"/>
    <col min="15873" max="15873" width="9.7109375" style="19" customWidth="1"/>
    <col min="15874" max="15875" width="9.140625" style="19" customWidth="1"/>
    <col min="15876" max="15877" width="10.5703125" style="19" customWidth="1"/>
    <col min="15878" max="15878" width="1.7109375" style="19" customWidth="1"/>
    <col min="15879" max="15884" width="9.140625" style="19" customWidth="1"/>
    <col min="15885" max="15888" width="8.85546875" style="19"/>
    <col min="15889" max="15889" width="9.140625" style="19" customWidth="1"/>
    <col min="15890" max="16128" width="8.85546875" style="19"/>
    <col min="16129" max="16129" width="9.7109375" style="19" customWidth="1"/>
    <col min="16130" max="16131" width="9.140625" style="19" customWidth="1"/>
    <col min="16132" max="16133" width="10.5703125" style="19" customWidth="1"/>
    <col min="16134" max="16134" width="1.7109375" style="19" customWidth="1"/>
    <col min="16135" max="16140" width="9.140625" style="19" customWidth="1"/>
    <col min="16141" max="16144" width="8.85546875" style="19"/>
    <col min="16145" max="16145" width="9.140625" style="19" customWidth="1"/>
    <col min="16146" max="16384" width="8.85546875" style="19"/>
  </cols>
  <sheetData>
    <row r="1" spans="1:31" x14ac:dyDescent="0.2">
      <c r="A1" s="5" t="s">
        <v>0</v>
      </c>
      <c r="B1" s="65" t="s">
        <v>1</v>
      </c>
      <c r="C1" s="65" t="s">
        <v>2</v>
      </c>
      <c r="D1" s="65" t="s">
        <v>3</v>
      </c>
      <c r="E1" s="65" t="s">
        <v>4</v>
      </c>
      <c r="F1" s="65"/>
      <c r="G1" s="65" t="s">
        <v>5</v>
      </c>
      <c r="H1" s="65" t="s">
        <v>6</v>
      </c>
      <c r="I1" s="65"/>
      <c r="J1" s="65" t="s">
        <v>7</v>
      </c>
      <c r="K1" s="65"/>
      <c r="L1" s="75" t="s">
        <v>8</v>
      </c>
      <c r="M1" s="75"/>
      <c r="N1" s="75"/>
      <c r="O1" s="75"/>
      <c r="Q1" s="75" t="s">
        <v>8</v>
      </c>
      <c r="R1" s="75"/>
      <c r="S1" s="75"/>
      <c r="T1" s="75"/>
      <c r="W1" s="75"/>
      <c r="X1" s="75"/>
      <c r="Y1" s="75"/>
      <c r="Z1" s="75"/>
    </row>
    <row r="2" spans="1:31" x14ac:dyDescent="0.2">
      <c r="B2" s="6"/>
      <c r="C2" s="6"/>
      <c r="D2" s="6" t="s">
        <v>65</v>
      </c>
      <c r="E2" s="20" t="e">
        <f ca="1">MAX(E4:E2000)</f>
        <v>#DIV/0!</v>
      </c>
      <c r="F2" s="6"/>
      <c r="G2" s="20">
        <f ca="1">SUM(G4:G2000)/COUNT(G4:G2000)</f>
        <v>0.16359447004608296</v>
      </c>
      <c r="H2" s="20" t="e">
        <f ca="1">D409/SUM(H4:H2000)</f>
        <v>#DIV/0!</v>
      </c>
      <c r="I2" s="6"/>
      <c r="J2" s="6"/>
      <c r="K2" s="6"/>
      <c r="L2" s="10" t="s">
        <v>9</v>
      </c>
      <c r="M2" s="10" t="s">
        <v>10</v>
      </c>
      <c r="N2" s="10" t="s">
        <v>11</v>
      </c>
      <c r="O2" s="10" t="s">
        <v>12</v>
      </c>
      <c r="Q2" s="10" t="s">
        <v>9</v>
      </c>
      <c r="R2" s="10" t="s">
        <v>10</v>
      </c>
      <c r="S2" s="10" t="s">
        <v>11</v>
      </c>
      <c r="T2" s="10" t="s">
        <v>12</v>
      </c>
      <c r="W2" s="10"/>
      <c r="X2" s="10"/>
      <c r="Y2" s="10"/>
      <c r="Z2" s="10"/>
    </row>
    <row r="3" spans="1:31" x14ac:dyDescent="0.2">
      <c r="B3" s="11"/>
      <c r="C3" s="11"/>
      <c r="D3" s="61" t="s">
        <v>64</v>
      </c>
      <c r="E3" s="20" t="e">
        <f ca="1">MAX(E4:E352)</f>
        <v>#DIV/0!</v>
      </c>
      <c r="F3" s="61"/>
      <c r="G3" s="20">
        <f ca="1">SUM(G4:G352)/COUNT(G4:G352)</f>
        <v>0.21130952380952381</v>
      </c>
      <c r="H3" s="20" t="e">
        <f ca="1">D352/SUM(H4:H352)</f>
        <v>#DIV/0!</v>
      </c>
      <c r="I3" s="11"/>
      <c r="J3" s="11"/>
      <c r="K3" s="11"/>
      <c r="L3" s="13"/>
      <c r="M3" s="13"/>
      <c r="N3" s="13">
        <v>4</v>
      </c>
      <c r="O3" s="13">
        <v>0.1</v>
      </c>
      <c r="P3" s="13"/>
      <c r="Q3" s="13"/>
      <c r="R3" s="13"/>
      <c r="S3" s="13">
        <v>12</v>
      </c>
      <c r="T3" s="13">
        <v>0.09</v>
      </c>
      <c r="W3" s="13"/>
      <c r="X3" s="13"/>
      <c r="Y3" s="13"/>
      <c r="Z3" s="4"/>
    </row>
    <row r="4" spans="1:31" x14ac:dyDescent="0.2">
      <c r="A4" s="7">
        <v>41392</v>
      </c>
      <c r="B4" s="13"/>
      <c r="C4" s="13"/>
      <c r="D4" s="13"/>
      <c r="E4" s="13"/>
      <c r="F4" s="13"/>
      <c r="G4" s="13"/>
      <c r="H4" s="13"/>
      <c r="I4" s="21"/>
      <c r="J4" s="13"/>
      <c r="K4" s="13"/>
      <c r="L4" s="13">
        <v>1</v>
      </c>
      <c r="M4" s="4">
        <v>0.01</v>
      </c>
      <c r="N4" s="13"/>
      <c r="O4" s="13"/>
      <c r="P4" s="13"/>
      <c r="Q4" s="13">
        <v>1</v>
      </c>
      <c r="R4" s="4">
        <v>0.01</v>
      </c>
      <c r="S4" s="13"/>
      <c r="T4" s="13"/>
      <c r="W4" s="13"/>
      <c r="X4" s="4"/>
      <c r="Y4" s="13"/>
      <c r="Z4" s="13"/>
    </row>
    <row r="5" spans="1:31" x14ac:dyDescent="0.2">
      <c r="A5" s="7">
        <v>41399</v>
      </c>
      <c r="B5" s="13"/>
      <c r="C5" s="13"/>
      <c r="D5" s="13"/>
      <c r="E5" s="13"/>
      <c r="F5" s="13"/>
      <c r="G5" s="13"/>
      <c r="H5" s="13"/>
      <c r="I5" s="21"/>
      <c r="J5" s="13"/>
      <c r="K5" s="13"/>
      <c r="L5" s="13">
        <f>L4-O5*Prices!B5</f>
        <v>1</v>
      </c>
      <c r="M5" s="4">
        <f>M4+O5</f>
        <v>0.01</v>
      </c>
      <c r="N5" s="21"/>
      <c r="O5" s="13"/>
      <c r="P5" s="13"/>
      <c r="Q5" s="13">
        <f>Q4-T5*Prices!B5</f>
        <v>1</v>
      </c>
      <c r="R5" s="4">
        <f t="shared" ref="R5:R68" si="0">R4+T5</f>
        <v>0.01</v>
      </c>
      <c r="S5" s="13"/>
      <c r="T5" s="13"/>
      <c r="W5" s="13"/>
      <c r="X5" s="4"/>
      <c r="Y5" s="21"/>
      <c r="Z5" s="13"/>
    </row>
    <row r="6" spans="1:31" x14ac:dyDescent="0.2">
      <c r="A6" s="7">
        <v>41406</v>
      </c>
      <c r="B6" s="13"/>
      <c r="C6" s="13"/>
      <c r="D6" s="13"/>
      <c r="E6" s="13"/>
      <c r="F6" s="13"/>
      <c r="G6" s="13"/>
      <c r="H6" s="13"/>
      <c r="I6" s="21"/>
      <c r="J6" s="13"/>
      <c r="K6" s="13"/>
      <c r="L6" s="13">
        <f>L5-O6*Prices!B6</f>
        <v>1</v>
      </c>
      <c r="M6" s="4">
        <f>M5+O6</f>
        <v>0.01</v>
      </c>
      <c r="N6" s="21"/>
      <c r="O6" s="13"/>
      <c r="P6" s="13"/>
      <c r="Q6" s="13">
        <f>Q5-T6*Prices!B6</f>
        <v>1</v>
      </c>
      <c r="R6" s="4">
        <f t="shared" si="0"/>
        <v>0.01</v>
      </c>
      <c r="S6" s="13"/>
      <c r="T6" s="13"/>
      <c r="W6" s="13"/>
      <c r="X6" s="4"/>
      <c r="Y6" s="21"/>
      <c r="Z6" s="13"/>
    </row>
    <row r="7" spans="1:31" x14ac:dyDescent="0.2">
      <c r="A7" s="7">
        <v>41413</v>
      </c>
      <c r="B7" s="13"/>
      <c r="C7" s="13"/>
      <c r="D7" s="13"/>
      <c r="E7" s="13"/>
      <c r="F7" s="13"/>
      <c r="G7" s="13"/>
      <c r="H7" s="13"/>
      <c r="I7" s="21"/>
      <c r="J7" s="13"/>
      <c r="K7" s="13"/>
      <c r="L7" s="13">
        <f>L6-O7*Prices!B7</f>
        <v>1</v>
      </c>
      <c r="M7" s="4">
        <f>M6+O7</f>
        <v>0.01</v>
      </c>
      <c r="N7" s="13"/>
      <c r="O7" s="13"/>
      <c r="P7" s="22"/>
      <c r="Q7" s="13">
        <f>Q6-T7*Prices!B7</f>
        <v>1</v>
      </c>
      <c r="R7" s="4">
        <f t="shared" si="0"/>
        <v>0.01</v>
      </c>
      <c r="S7" s="13"/>
      <c r="T7" s="13"/>
      <c r="U7" s="23"/>
      <c r="W7" s="13"/>
      <c r="X7" s="4"/>
      <c r="Y7" s="13"/>
      <c r="Z7" s="13"/>
    </row>
    <row r="8" spans="1:31" x14ac:dyDescent="0.2">
      <c r="A8" s="7">
        <v>41420</v>
      </c>
      <c r="B8" s="13"/>
      <c r="C8" s="13"/>
      <c r="D8" s="13"/>
      <c r="E8" s="13"/>
      <c r="F8" s="13"/>
      <c r="G8" s="21"/>
      <c r="H8" s="13"/>
      <c r="I8" s="21"/>
      <c r="J8" s="4"/>
      <c r="K8" s="13"/>
      <c r="L8" s="13">
        <f>L7-O8*Prices!B8</f>
        <v>1</v>
      </c>
      <c r="M8" s="4">
        <f>M7+O8</f>
        <v>0.01</v>
      </c>
      <c r="N8" s="13"/>
      <c r="O8" s="4"/>
      <c r="P8" s="22"/>
      <c r="Q8" s="13">
        <f>Q7-T8*Prices!B8</f>
        <v>1</v>
      </c>
      <c r="R8" s="4">
        <f t="shared" si="0"/>
        <v>0.01</v>
      </c>
      <c r="S8" s="13"/>
      <c r="T8" s="4"/>
      <c r="U8" s="23"/>
      <c r="V8" s="13"/>
      <c r="W8" s="13"/>
      <c r="X8" s="4"/>
      <c r="Y8" s="13"/>
      <c r="Z8" s="4"/>
    </row>
    <row r="9" spans="1:31" x14ac:dyDescent="0.2">
      <c r="A9" s="7">
        <v>41427</v>
      </c>
      <c r="B9" s="13"/>
      <c r="C9" s="13"/>
      <c r="D9" s="13"/>
      <c r="E9" s="13"/>
      <c r="F9" s="13"/>
      <c r="G9" s="21"/>
      <c r="H9" s="13"/>
      <c r="I9" s="21"/>
      <c r="J9" s="4"/>
      <c r="K9" s="13"/>
      <c r="L9" s="13">
        <f>L8-O9*Prices!B9</f>
        <v>1</v>
      </c>
      <c r="M9" s="4">
        <f t="shared" ref="M9:M72" si="1">M8+O9</f>
        <v>0.01</v>
      </c>
      <c r="N9" s="13"/>
      <c r="O9" s="4"/>
      <c r="P9" s="22"/>
      <c r="Q9" s="13">
        <f>Q8-T9*Prices!B9</f>
        <v>1</v>
      </c>
      <c r="R9" s="4">
        <f t="shared" si="0"/>
        <v>0.01</v>
      </c>
      <c r="S9" s="13"/>
      <c r="T9" s="4"/>
      <c r="V9" s="13"/>
      <c r="W9" s="13"/>
      <c r="X9" s="4"/>
      <c r="Y9" s="13"/>
      <c r="Z9" s="4"/>
    </row>
    <row r="10" spans="1:31" x14ac:dyDescent="0.2">
      <c r="A10" s="7">
        <v>41434</v>
      </c>
      <c r="B10" s="13"/>
      <c r="C10" s="13"/>
      <c r="D10" s="13"/>
      <c r="E10" s="13"/>
      <c r="F10" s="13"/>
      <c r="G10" s="21"/>
      <c r="H10" s="13"/>
      <c r="I10" s="21"/>
      <c r="J10" s="4"/>
      <c r="K10" s="13"/>
      <c r="L10" s="13">
        <f>L9-O10*Prices!B10</f>
        <v>1</v>
      </c>
      <c r="M10" s="4">
        <f t="shared" si="1"/>
        <v>0.01</v>
      </c>
      <c r="N10" s="13"/>
      <c r="O10" s="4"/>
      <c r="P10" s="22"/>
      <c r="Q10" s="13">
        <f>Q9-T10*Prices!B10</f>
        <v>1</v>
      </c>
      <c r="R10" s="4">
        <f t="shared" si="0"/>
        <v>0.01</v>
      </c>
      <c r="S10" s="13"/>
      <c r="T10" s="4"/>
      <c r="V10" s="13"/>
      <c r="W10" s="13"/>
      <c r="X10" s="4"/>
      <c r="Y10" s="13"/>
      <c r="Z10" s="4"/>
    </row>
    <row r="11" spans="1:31" x14ac:dyDescent="0.2">
      <c r="A11" s="7">
        <v>41441</v>
      </c>
      <c r="B11" s="13"/>
      <c r="C11" s="13"/>
      <c r="D11" s="13"/>
      <c r="E11" s="13"/>
      <c r="F11" s="13"/>
      <c r="G11" s="21"/>
      <c r="H11" s="13"/>
      <c r="I11" s="21"/>
      <c r="J11" s="4"/>
      <c r="K11" s="13"/>
      <c r="L11" s="13">
        <f>L10-O11*Prices!B11</f>
        <v>1</v>
      </c>
      <c r="M11" s="4">
        <f t="shared" si="1"/>
        <v>0.01</v>
      </c>
      <c r="N11" s="13"/>
      <c r="O11" s="4"/>
      <c r="P11" s="22"/>
      <c r="Q11" s="13">
        <f>Q10-T11*Prices!B11</f>
        <v>1</v>
      </c>
      <c r="R11" s="4">
        <f t="shared" si="0"/>
        <v>0.01</v>
      </c>
      <c r="S11" s="13"/>
      <c r="T11" s="4"/>
      <c r="V11" s="13"/>
      <c r="W11" s="13"/>
      <c r="X11" s="4"/>
      <c r="Y11" s="13"/>
      <c r="Z11" s="4"/>
    </row>
    <row r="12" spans="1:31" x14ac:dyDescent="0.2">
      <c r="A12" s="7">
        <v>41448</v>
      </c>
      <c r="B12" s="13"/>
      <c r="C12" s="13"/>
      <c r="D12" s="13"/>
      <c r="E12" s="13"/>
      <c r="F12" s="13"/>
      <c r="G12" s="21"/>
      <c r="H12" s="13"/>
      <c r="I12" s="21"/>
      <c r="J12" s="4"/>
      <c r="K12" s="13"/>
      <c r="L12" s="13">
        <f>L11-O12*Prices!B12</f>
        <v>1</v>
      </c>
      <c r="M12" s="4">
        <f t="shared" si="1"/>
        <v>0.01</v>
      </c>
      <c r="N12" s="13"/>
      <c r="O12" s="4"/>
      <c r="P12" s="22"/>
      <c r="Q12" s="13">
        <f>Q11-T12*Prices!B12</f>
        <v>1</v>
      </c>
      <c r="R12" s="4">
        <f t="shared" si="0"/>
        <v>0.01</v>
      </c>
      <c r="S12" s="13"/>
      <c r="T12" s="4"/>
      <c r="V12" s="13"/>
      <c r="W12" s="13"/>
      <c r="X12" s="4"/>
      <c r="Y12" s="13"/>
      <c r="Z12" s="4"/>
    </row>
    <row r="13" spans="1:31" x14ac:dyDescent="0.2">
      <c r="A13" s="7">
        <v>41455</v>
      </c>
      <c r="B13" s="13"/>
      <c r="C13" s="13"/>
      <c r="D13" s="13"/>
      <c r="E13" s="13"/>
      <c r="F13" s="13"/>
      <c r="G13" s="21"/>
      <c r="H13" s="13"/>
      <c r="I13" s="21"/>
      <c r="J13" s="4"/>
      <c r="K13" s="13"/>
      <c r="L13" s="13">
        <f>L12-O13*Prices!B13</f>
        <v>1</v>
      </c>
      <c r="M13" s="4">
        <f t="shared" si="1"/>
        <v>0.01</v>
      </c>
      <c r="N13" s="13"/>
      <c r="O13" s="4"/>
      <c r="P13" s="22"/>
      <c r="Q13" s="13">
        <f>Q12-T13*Prices!B13</f>
        <v>1</v>
      </c>
      <c r="R13" s="4">
        <f t="shared" si="0"/>
        <v>0.01</v>
      </c>
      <c r="S13" s="13"/>
      <c r="T13" s="4"/>
      <c r="V13" s="13"/>
      <c r="W13" s="13"/>
      <c r="X13" s="4"/>
      <c r="Y13" s="13"/>
      <c r="Z13" s="4"/>
    </row>
    <row r="14" spans="1:31" x14ac:dyDescent="0.2">
      <c r="A14" s="7">
        <v>41462</v>
      </c>
      <c r="B14" s="13"/>
      <c r="C14" s="13"/>
      <c r="D14" s="13"/>
      <c r="E14" s="13"/>
      <c r="F14" s="13"/>
      <c r="G14" s="21"/>
      <c r="H14" s="13"/>
      <c r="I14" s="21"/>
      <c r="J14" s="4"/>
      <c r="K14" s="13"/>
      <c r="L14" s="13">
        <f>L13-O14*Prices!B14</f>
        <v>1</v>
      </c>
      <c r="M14" s="4">
        <f t="shared" si="1"/>
        <v>0.01</v>
      </c>
      <c r="N14" s="13"/>
      <c r="O14" s="4"/>
      <c r="P14" s="22"/>
      <c r="Q14" s="13">
        <f>Q13-T14*Prices!B14</f>
        <v>1</v>
      </c>
      <c r="R14" s="4">
        <f t="shared" si="0"/>
        <v>0.01</v>
      </c>
      <c r="S14" s="13"/>
      <c r="T14" s="4"/>
      <c r="V14" s="13"/>
      <c r="W14" s="4"/>
      <c r="X14" s="4"/>
      <c r="Y14" s="4"/>
      <c r="Z14" s="4"/>
      <c r="AA14" s="13"/>
      <c r="AB14" s="4"/>
      <c r="AC14" s="4"/>
      <c r="AD14" s="4"/>
      <c r="AE14" s="52"/>
    </row>
    <row r="15" spans="1:31" x14ac:dyDescent="0.2">
      <c r="A15" s="7">
        <v>41469</v>
      </c>
      <c r="B15" s="13"/>
      <c r="C15" s="13"/>
      <c r="D15" s="13"/>
      <c r="E15" s="13"/>
      <c r="F15" s="13"/>
      <c r="G15" s="21"/>
      <c r="H15" s="13"/>
      <c r="I15" s="21"/>
      <c r="J15" s="4"/>
      <c r="K15" s="13"/>
      <c r="L15" s="13">
        <f>L14-O15*Prices!B15</f>
        <v>1</v>
      </c>
      <c r="M15" s="4">
        <f t="shared" si="1"/>
        <v>0.01</v>
      </c>
      <c r="N15" s="13"/>
      <c r="O15" s="4"/>
      <c r="P15" s="22"/>
      <c r="Q15" s="13">
        <f>Q14-T15*Prices!B15</f>
        <v>1</v>
      </c>
      <c r="R15" s="4">
        <f t="shared" si="0"/>
        <v>0.01</v>
      </c>
      <c r="S15" s="13"/>
      <c r="T15" s="4"/>
      <c r="V15" s="4"/>
      <c r="W15" s="4"/>
      <c r="X15" s="4"/>
      <c r="Y15" s="4"/>
      <c r="Z15" s="4"/>
      <c r="AA15" s="4"/>
      <c r="AB15" s="4"/>
      <c r="AC15" s="4"/>
      <c r="AD15" s="4"/>
      <c r="AE15" s="52"/>
    </row>
    <row r="16" spans="1:31" x14ac:dyDescent="0.2">
      <c r="A16" s="7">
        <v>41476</v>
      </c>
      <c r="B16" s="13"/>
      <c r="C16" s="13"/>
      <c r="D16" s="13"/>
      <c r="E16" s="13"/>
      <c r="F16" s="13">
        <f t="shared" ref="F16:F79" si="2">MAX(F15,D16)</f>
        <v>0</v>
      </c>
      <c r="G16" s="21"/>
      <c r="H16" s="13"/>
      <c r="I16" s="21"/>
      <c r="J16" s="4"/>
      <c r="K16" s="13"/>
      <c r="L16" s="13">
        <f>L15-O16*Prices!B16</f>
        <v>1</v>
      </c>
      <c r="M16" s="4">
        <f t="shared" si="1"/>
        <v>0.01</v>
      </c>
      <c r="N16" s="13"/>
      <c r="O16" s="4"/>
      <c r="P16" s="22"/>
      <c r="Q16" s="13">
        <f>Q15-T16*Prices!B16</f>
        <v>1</v>
      </c>
      <c r="R16" s="4">
        <f t="shared" si="0"/>
        <v>0.01</v>
      </c>
      <c r="S16" s="13"/>
      <c r="T16" s="4"/>
      <c r="V16" s="4"/>
      <c r="W16" s="4"/>
      <c r="X16" s="4"/>
      <c r="Y16" s="4"/>
      <c r="Z16" s="4"/>
      <c r="AA16" s="4"/>
      <c r="AB16" s="4"/>
      <c r="AC16" s="4"/>
      <c r="AD16" s="4"/>
      <c r="AE16" s="52"/>
    </row>
    <row r="17" spans="1:31" x14ac:dyDescent="0.2">
      <c r="A17" s="7">
        <v>41483</v>
      </c>
      <c r="B17" s="13">
        <f ca="1">Prices!B16*(1+J17/(50*(ABS(O17)+ABS(T17)+0.0001)))</f>
        <v>1.1220542202939876</v>
      </c>
      <c r="C17" s="62">
        <f t="shared" ref="C17:C80" ca="1" si="3">IF(J17&gt;0,1,IF(J17&lt;0,0,0))</f>
        <v>1</v>
      </c>
      <c r="D17" s="13">
        <f ca="1">D16+C17*(Prices!B17-Prices!B16)/Prices!B16</f>
        <v>-2.4077775758677054E-2</v>
      </c>
      <c r="E17" s="13">
        <f t="shared" ref="E17:E80" ca="1" si="4">F17-D17</f>
        <v>2.4077775758677054E-2</v>
      </c>
      <c r="F17" s="13">
        <f t="shared" ca="1" si="2"/>
        <v>0</v>
      </c>
      <c r="G17" s="21">
        <f ca="1">IF((Prices!B17-Prices!B16)*C17&gt;0,1,0)</f>
        <v>0</v>
      </c>
      <c r="H17" s="13">
        <f>ABS(Prices!B17-Prices!B16)/Prices!B16</f>
        <v>2.4077775758677054E-2</v>
      </c>
      <c r="I17" s="21"/>
      <c r="J17" s="4">
        <f t="shared" ref="J17:J80" ca="1" si="5">O17+T17</f>
        <v>8.0773578048337263E-2</v>
      </c>
      <c r="K17" s="13"/>
      <c r="L17" s="13">
        <f ca="1">L16-O17*Prices!B17</f>
        <v>1.0010741000000001</v>
      </c>
      <c r="M17" s="4">
        <f t="shared" ca="1" si="1"/>
        <v>9.0000000000000011E-3</v>
      </c>
      <c r="N17" s="13">
        <f ca="1">IF(Prices!B16&gt;OFFSET(Prices!B16,-$N$3,0),1,-1)</f>
        <v>-1</v>
      </c>
      <c r="O17" s="4">
        <f ca="1">IF(N17=1,O$3*L16/Prices!B16,-O$3*M16)</f>
        <v>-1E-3</v>
      </c>
      <c r="P17" s="22"/>
      <c r="Q17" s="13">
        <f ca="1">Q16-T17*Prices!B17</f>
        <v>0.91216699981828098</v>
      </c>
      <c r="R17" s="4">
        <f t="shared" ca="1" si="0"/>
        <v>9.1773578048337259E-2</v>
      </c>
      <c r="S17" s="13">
        <f ca="1">IF(Prices!B16&gt;OFFSET(Prices!B16,-S$3,0),1,-1)</f>
        <v>1</v>
      </c>
      <c r="T17" s="4">
        <f ca="1">IF(S17=1,T$3*Q16/Prices!B16,-T$3*R16)</f>
        <v>8.1773578048337264E-2</v>
      </c>
      <c r="V17" s="4"/>
      <c r="W17" s="4"/>
      <c r="X17" s="4"/>
      <c r="Y17" s="4"/>
      <c r="Z17" s="4"/>
      <c r="AA17" s="4"/>
      <c r="AB17" s="4"/>
      <c r="AC17" s="4"/>
      <c r="AD17" s="4"/>
      <c r="AE17" s="52"/>
    </row>
    <row r="18" spans="1:31" x14ac:dyDescent="0.2">
      <c r="A18" s="7">
        <v>41490</v>
      </c>
      <c r="B18" s="13">
        <f ca="1">Prices!B17*(1+J18/(50*(ABS(O18)+ABS(T18)+0.0001)))</f>
        <v>1.0528499965106948</v>
      </c>
      <c r="C18" s="62">
        <f t="shared" ca="1" si="3"/>
        <v>0</v>
      </c>
      <c r="D18" s="13">
        <f ca="1">D17+C18*(Prices!B18-Prices!B17)/Prices!B17</f>
        <v>-2.4077775758677054E-2</v>
      </c>
      <c r="E18" s="13">
        <f t="shared" ca="1" si="4"/>
        <v>2.4077775758677054E-2</v>
      </c>
      <c r="F18" s="13">
        <f t="shared" ca="1" si="2"/>
        <v>0</v>
      </c>
      <c r="G18" s="21">
        <f ca="1">IF((Prices!B18-Prices!B17)*C18&gt;0,1,0)</f>
        <v>0</v>
      </c>
      <c r="H18" s="13">
        <f>ABS(Prices!B18-Prices!B17)/Prices!B17</f>
        <v>2.9792384321756537E-3</v>
      </c>
      <c r="I18" s="21"/>
      <c r="J18" s="4">
        <f t="shared" ca="1" si="5"/>
        <v>-9.1596220243503525E-3</v>
      </c>
      <c r="K18" s="13"/>
      <c r="L18" s="13">
        <f ca="1">L17-O18*Prices!B18</f>
        <v>1.0020436700000002</v>
      </c>
      <c r="M18" s="4">
        <f t="shared" ca="1" si="1"/>
        <v>8.1000000000000013E-3</v>
      </c>
      <c r="N18" s="13">
        <f ca="1">IF(Prices!B17&gt;OFFSET(Prices!B17,-$N$3,0),1,-1)</f>
        <v>-1</v>
      </c>
      <c r="O18" s="4">
        <f ca="1">IF(N18=1,O$3*L17/Prices!B17,-O$3*M17)</f>
        <v>-9.0000000000000019E-4</v>
      </c>
      <c r="P18" s="22"/>
      <c r="Q18" s="13">
        <f ca="1">Q17-T18*Prices!B18</f>
        <v>0.92106509062511366</v>
      </c>
      <c r="R18" s="4">
        <f t="shared" ca="1" si="0"/>
        <v>8.351395602398691E-2</v>
      </c>
      <c r="S18" s="13">
        <f ca="1">IF(Prices!B17&gt;OFFSET(Prices!B17,-S$3,0),1,-1)</f>
        <v>-1</v>
      </c>
      <c r="T18" s="4">
        <f ca="1">IF(S18=1,T$3*Q17/Prices!B17,-T$3*R17)</f>
        <v>-8.2596220243503528E-3</v>
      </c>
      <c r="V18" s="4"/>
      <c r="W18" s="4"/>
      <c r="X18" s="4"/>
      <c r="Y18" s="4"/>
      <c r="Z18" s="4"/>
      <c r="AA18" s="4"/>
      <c r="AB18" s="4"/>
      <c r="AC18" s="4"/>
      <c r="AD18" s="4"/>
      <c r="AE18" s="52"/>
    </row>
    <row r="19" spans="1:31" x14ac:dyDescent="0.2">
      <c r="A19" s="7">
        <v>41497</v>
      </c>
      <c r="B19" s="13">
        <f ca="1">Prices!B18*(1+J19/(50*(ABS(O19)+ABS(T19)+0.0001)))</f>
        <v>1.0560097007512257</v>
      </c>
      <c r="C19" s="62">
        <f t="shared" ca="1" si="3"/>
        <v>0</v>
      </c>
      <c r="D19" s="13">
        <f ca="1">D18+C19*(Prices!B19-Prices!B18)/Prices!B18</f>
        <v>-2.4077775758677054E-2</v>
      </c>
      <c r="E19" s="13">
        <f t="shared" ca="1" si="4"/>
        <v>2.4077775758677054E-2</v>
      </c>
      <c r="F19" s="13">
        <f t="shared" ca="1" si="2"/>
        <v>0</v>
      </c>
      <c r="G19" s="21">
        <f ca="1">IF((Prices!B19-Prices!B18)*C19&gt;0,1,0)</f>
        <v>0</v>
      </c>
      <c r="H19" s="13">
        <f>ABS(Prices!B19-Prices!B18)/Prices!B18</f>
        <v>1.178873108697664E-2</v>
      </c>
      <c r="I19" s="21"/>
      <c r="J19" s="4">
        <f t="shared" ca="1" si="5"/>
        <v>-8.3262560421588222E-3</v>
      </c>
      <c r="K19" s="13"/>
      <c r="L19" s="13">
        <f ca="1">L18-O19*Prices!B19</f>
        <v>1.0029059960000002</v>
      </c>
      <c r="M19" s="4">
        <f t="shared" ca="1" si="1"/>
        <v>7.2900000000000013E-3</v>
      </c>
      <c r="N19" s="13">
        <f ca="1">IF(Prices!B18&gt;OFFSET(Prices!B18,-$N$3,0),1,-1)</f>
        <v>-1</v>
      </c>
      <c r="O19" s="4">
        <f ca="1">IF(N19=1,O$3*L18/Prices!B18,-O$3*M18)</f>
        <v>-8.1000000000000017E-4</v>
      </c>
      <c r="P19" s="22"/>
      <c r="Q19" s="13">
        <f ca="1">Q18-T19*Prices!B19</f>
        <v>0.92906689680759591</v>
      </c>
      <c r="R19" s="4">
        <f t="shared" ca="1" si="0"/>
        <v>7.5997699981828093E-2</v>
      </c>
      <c r="S19" s="13">
        <f ca="1">IF(Prices!B18&gt;OFFSET(Prices!B18,-S$3,0),1,-1)</f>
        <v>-1</v>
      </c>
      <c r="T19" s="4">
        <f ca="1">IF(S19=1,T$3*Q18/Prices!B18,-T$3*R18)</f>
        <v>-7.5162560421588214E-3</v>
      </c>
      <c r="V19" s="4"/>
      <c r="W19" s="4"/>
      <c r="X19" s="4"/>
      <c r="Y19" s="4"/>
      <c r="Z19" s="4"/>
      <c r="AA19" s="4"/>
      <c r="AB19" s="4"/>
      <c r="AC19" s="4"/>
      <c r="AD19" s="4"/>
      <c r="AE19" s="52"/>
    </row>
    <row r="20" spans="1:31" x14ac:dyDescent="0.2">
      <c r="A20" s="7">
        <v>41504</v>
      </c>
      <c r="B20" s="13">
        <f ca="1">Prices!B19*(1+J20/(50*(ABS(O20)+ABS(T20)+0.0001)))</f>
        <v>1.043585644735026</v>
      </c>
      <c r="C20" s="62">
        <f t="shared" ca="1" si="3"/>
        <v>0</v>
      </c>
      <c r="D20" s="13">
        <f ca="1">D19+C20*(Prices!B20-Prices!B19)/Prices!B19</f>
        <v>-2.4077775758677054E-2</v>
      </c>
      <c r="E20" s="13">
        <f t="shared" ca="1" si="4"/>
        <v>2.4077775758677054E-2</v>
      </c>
      <c r="F20" s="13">
        <f t="shared" ca="1" si="2"/>
        <v>0</v>
      </c>
      <c r="G20" s="21">
        <f ca="1">IF((Prices!B20-Prices!B19)*C20&gt;0,1,0)</f>
        <v>0</v>
      </c>
      <c r="H20" s="13">
        <f>ABS(Prices!B20-Prices!B19)/Prices!B19</f>
        <v>4.9783956415555917E-3</v>
      </c>
      <c r="I20" s="21"/>
      <c r="J20" s="4">
        <f t="shared" ca="1" si="5"/>
        <v>-7.5687929983645286E-3</v>
      </c>
      <c r="K20" s="13"/>
      <c r="L20" s="13">
        <f ca="1">L19-O20*Prices!B20</f>
        <v>1.0036782257000001</v>
      </c>
      <c r="M20" s="4">
        <f t="shared" ca="1" si="1"/>
        <v>6.5610000000000009E-3</v>
      </c>
      <c r="N20" s="13">
        <f ca="1">IF(Prices!B19&gt;OFFSET(Prices!B19,-$N$3,0),1,-1)</f>
        <v>-1</v>
      </c>
      <c r="O20" s="4">
        <f ca="1">IF(N20=1,O$3*L19/Prices!B19,-O$3*M19)</f>
        <v>-7.2900000000000016E-4</v>
      </c>
      <c r="P20" s="22"/>
      <c r="Q20" s="13">
        <f ca="1">Q19-T20*Prices!B20</f>
        <v>0.93631228953076351</v>
      </c>
      <c r="R20" s="4">
        <f t="shared" ca="1" si="0"/>
        <v>6.9157906983463566E-2</v>
      </c>
      <c r="S20" s="13">
        <f ca="1">IF(Prices!B19&gt;OFFSET(Prices!B19,-S$3,0),1,-1)</f>
        <v>-1</v>
      </c>
      <c r="T20" s="4">
        <f ca="1">IF(S20=1,T$3*Q19/Prices!B19,-T$3*R19)</f>
        <v>-6.8397929983645281E-3</v>
      </c>
      <c r="V20" s="4"/>
      <c r="W20" s="4"/>
      <c r="X20" s="4"/>
      <c r="Y20" s="4"/>
      <c r="Z20" s="4"/>
      <c r="AA20" s="4"/>
      <c r="AB20" s="4"/>
      <c r="AC20" s="4"/>
      <c r="AD20" s="4"/>
      <c r="AE20" s="52"/>
    </row>
    <row r="21" spans="1:31" x14ac:dyDescent="0.2">
      <c r="A21" s="7">
        <v>41511</v>
      </c>
      <c r="B21" s="13">
        <f ca="1">Prices!B20*(1+J21/(50*(ABS(O21)+ABS(T21)+0.0001)))</f>
        <v>1.0384175108047822</v>
      </c>
      <c r="C21" s="62">
        <f t="shared" ca="1" si="3"/>
        <v>0</v>
      </c>
      <c r="D21" s="13">
        <f ca="1">D20+C21*(Prices!B21-Prices!B20)/Prices!B20</f>
        <v>-2.4077775758677054E-2</v>
      </c>
      <c r="E21" s="13">
        <f t="shared" ca="1" si="4"/>
        <v>2.4077775758677054E-2</v>
      </c>
      <c r="F21" s="13">
        <f t="shared" ca="1" si="2"/>
        <v>0</v>
      </c>
      <c r="G21" s="21">
        <f ca="1">IF((Prices!B21-Prices!B20)*C21&gt;0,1,0)</f>
        <v>0</v>
      </c>
      <c r="H21" s="13">
        <f>ABS(Prices!B21-Prices!B20)/Prices!B20</f>
        <v>2.7187765505522668E-2</v>
      </c>
      <c r="I21" s="21"/>
      <c r="J21" s="4">
        <f t="shared" ca="1" si="5"/>
        <v>-6.8803116285117202E-3</v>
      </c>
      <c r="K21" s="13"/>
      <c r="L21" s="13">
        <f ca="1">L20-O21*Prices!B21</f>
        <v>1.0043921281100001</v>
      </c>
      <c r="M21" s="4">
        <f t="shared" ca="1" si="1"/>
        <v>5.9049000000000011E-3</v>
      </c>
      <c r="N21" s="13">
        <f ca="1">IF(Prices!B20&gt;OFFSET(Prices!B20,-$N$3,0),1,-1)</f>
        <v>-1</v>
      </c>
      <c r="O21" s="4">
        <f ca="1">IF(N21=1,O$3*L20/Prices!B20,-O$3*M20)</f>
        <v>-6.5610000000000017E-4</v>
      </c>
      <c r="P21" s="22"/>
      <c r="Q21" s="13">
        <f ca="1">Q20-T21*Prices!B21</f>
        <v>0.9430848542037471</v>
      </c>
      <c r="R21" s="4">
        <f ca="1">R20+T21</f>
        <v>6.2933695354951844E-2</v>
      </c>
      <c r="S21" s="13">
        <f ca="1">IF(Prices!B20&gt;OFFSET(Prices!B20,-S$3,0),1,-1)</f>
        <v>-1</v>
      </c>
      <c r="T21" s="4">
        <f ca="1">IF(S21=1,T$3*Q20/Prices!B20,-T$3*R20)</f>
        <v>-6.2242116285117204E-3</v>
      </c>
      <c r="V21" s="4"/>
      <c r="W21" s="4"/>
      <c r="X21" s="4"/>
      <c r="Y21" s="4"/>
      <c r="Z21" s="4"/>
      <c r="AA21" s="4"/>
      <c r="AB21" s="4"/>
      <c r="AC21" s="4"/>
      <c r="AD21" s="4"/>
      <c r="AE21" s="52"/>
    </row>
    <row r="22" spans="1:31" x14ac:dyDescent="0.2">
      <c r="A22" s="7">
        <v>41518</v>
      </c>
      <c r="B22" s="13">
        <f ca="1">Prices!B21*(1+J22/(50*(ABS(O22)+ABS(T22)+0.0001)))</f>
        <v>1.107326107121851</v>
      </c>
      <c r="C22" s="62">
        <f t="shared" ca="1" si="3"/>
        <v>1</v>
      </c>
      <c r="D22" s="13">
        <f ca="1">D21+C22*(Prices!B22-Prices!B21)/Prices!B21</f>
        <v>-1.4427927399151318E-2</v>
      </c>
      <c r="E22" s="13">
        <f t="shared" ca="1" si="4"/>
        <v>1.4427927399151318E-2</v>
      </c>
      <c r="F22" s="13">
        <f t="shared" ca="1" si="2"/>
        <v>0</v>
      </c>
      <c r="G22" s="21">
        <f ca="1">IF((Prices!B22-Prices!B21)*C22&gt;0,1,0)</f>
        <v>1</v>
      </c>
      <c r="H22" s="13">
        <f>ABS(Prices!B22-Prices!B21)/Prices!B21</f>
        <v>9.6498483595257364E-3</v>
      </c>
      <c r="I22" s="21"/>
      <c r="J22" s="4">
        <f t="shared" ca="1" si="5"/>
        <v>8.6642936272938995E-2</v>
      </c>
      <c r="K22" s="13"/>
      <c r="L22" s="13">
        <f ca="1">L21-O22*Prices!B22</f>
        <v>0.90298369212602381</v>
      </c>
      <c r="M22" s="4">
        <f t="shared" ca="1" si="1"/>
        <v>9.8211868854884671E-2</v>
      </c>
      <c r="N22" s="13">
        <f ca="1">IF(Prices!B21&gt;OFFSET(Prices!B21,-$N$3,0),1,-1)</f>
        <v>1</v>
      </c>
      <c r="O22" s="4">
        <f ca="1">IF(N22=1,O$3*L21/Prices!B21,-O$3*M21)</f>
        <v>9.2306968854884666E-2</v>
      </c>
      <c r="P22" s="22"/>
      <c r="Q22" s="13">
        <f ca="1">Q21-T22*Prices!B22</f>
        <v>0.94930736039827257</v>
      </c>
      <c r="R22" s="4">
        <f t="shared" ca="1" si="0"/>
        <v>5.7269662773006179E-2</v>
      </c>
      <c r="S22" s="13">
        <f ca="1">IF(Prices!B21&gt;OFFSET(Prices!B21,-S$3,0),1,-1)</f>
        <v>-1</v>
      </c>
      <c r="T22" s="4">
        <f ca="1">IF(S22=1,T$3*Q21/Prices!B21,-T$3*R21)</f>
        <v>-5.6640325819456655E-3</v>
      </c>
      <c r="V22" s="4"/>
      <c r="W22" s="4"/>
      <c r="X22" s="4"/>
      <c r="Y22" s="4"/>
      <c r="Z22" s="4"/>
      <c r="AA22" s="4"/>
      <c r="AB22" s="4"/>
      <c r="AC22" s="4"/>
      <c r="AD22" s="4"/>
      <c r="AE22" s="52"/>
    </row>
    <row r="23" spans="1:31" x14ac:dyDescent="0.2">
      <c r="A23" s="7">
        <v>41525</v>
      </c>
      <c r="B23" s="13">
        <f ca="1">Prices!B22*(1+J23/(50*(ABS(O23)+ABS(T23)+0.0001)))</f>
        <v>1.1179567815486489</v>
      </c>
      <c r="C23" s="62">
        <f t="shared" ca="1" si="3"/>
        <v>1</v>
      </c>
      <c r="D23" s="13">
        <f ca="1">D22+C23*(Prices!B23-Prices!B22)/Prices!B22</f>
        <v>-2.5168870417538385E-2</v>
      </c>
      <c r="E23" s="13">
        <f t="shared" ca="1" si="4"/>
        <v>2.5168870417538385E-2</v>
      </c>
      <c r="F23" s="13">
        <f t="shared" ca="1" si="2"/>
        <v>0</v>
      </c>
      <c r="G23" s="21">
        <f ca="1">IF((Prices!B23-Prices!B22)*C23&gt;0,1,0)</f>
        <v>0</v>
      </c>
      <c r="H23" s="13">
        <f>ABS(Prices!B23-Prices!B22)/Prices!B22</f>
        <v>1.0740943018387067E-2</v>
      </c>
      <c r="I23" s="21"/>
      <c r="J23" s="4">
        <f t="shared" ca="1" si="5"/>
        <v>7.7039767500076614E-2</v>
      </c>
      <c r="K23" s="13"/>
      <c r="L23" s="13">
        <f ca="1">L22-O23*Prices!B23</f>
        <v>0.8136552125517873</v>
      </c>
      <c r="M23" s="4">
        <f t="shared" ca="1" si="1"/>
        <v>0.18040590600453182</v>
      </c>
      <c r="N23" s="13">
        <f ca="1">IF(Prices!B22&gt;OFFSET(Prices!B22,-$N$3,0),1,-1)</f>
        <v>1</v>
      </c>
      <c r="O23" s="4">
        <f ca="1">IF(N23=1,O$3*L22/Prices!B22,-O$3*M22)</f>
        <v>8.2194037149647167E-2</v>
      </c>
      <c r="P23" s="22"/>
      <c r="Q23" s="13">
        <f ca="1">Q22-T23*Prices!B23</f>
        <v>0.95490902065342587</v>
      </c>
      <c r="R23" s="4">
        <f t="shared" ca="1" si="0"/>
        <v>5.2115393123435626E-2</v>
      </c>
      <c r="S23" s="13">
        <f ca="1">IF(Prices!B22&gt;OFFSET(Prices!B22,-S$3,0),1,-1)</f>
        <v>-1</v>
      </c>
      <c r="T23" s="4">
        <f ca="1">IF(S23=1,T$3*Q22/Prices!B22,-T$3*R22)</f>
        <v>-5.1542696495705557E-3</v>
      </c>
      <c r="V23" s="4"/>
      <c r="W23" s="4"/>
      <c r="X23" s="4"/>
      <c r="Y23" s="4"/>
      <c r="Z23" s="4"/>
      <c r="AA23" s="4"/>
      <c r="AB23" s="4"/>
      <c r="AC23" s="4"/>
      <c r="AD23" s="4"/>
      <c r="AE23" s="52"/>
    </row>
    <row r="24" spans="1:31" x14ac:dyDescent="0.2">
      <c r="A24" s="7">
        <v>41532</v>
      </c>
      <c r="B24" s="13">
        <f ca="1">Prices!B23*(1+J24/(50*(ABS(O24)+ABS(T24)+0.0001)))</f>
        <v>1.1059489972253416</v>
      </c>
      <c r="C24" s="62">
        <f t="shared" ca="1" si="3"/>
        <v>1</v>
      </c>
      <c r="D24" s="13">
        <f ca="1">D23+C24*(Prices!B24-Prices!B23)/Prices!B23</f>
        <v>-1.6703651426003517E-2</v>
      </c>
      <c r="E24" s="13">
        <f t="shared" ca="1" si="4"/>
        <v>1.6703651426003517E-2</v>
      </c>
      <c r="F24" s="13">
        <f t="shared" ca="1" si="2"/>
        <v>0</v>
      </c>
      <c r="G24" s="21">
        <f ca="1">IF((Prices!B24-Prices!B23)*C24&gt;0,1,0)</f>
        <v>1</v>
      </c>
      <c r="H24" s="13">
        <f>ABS(Prices!B24-Prices!B23)/Prices!B23</f>
        <v>8.4652189915348699E-3</v>
      </c>
      <c r="I24" s="21"/>
      <c r="J24" s="4">
        <f t="shared" ca="1" si="5"/>
        <v>7.0176675030354477E-2</v>
      </c>
      <c r="K24" s="13"/>
      <c r="L24" s="13">
        <f ca="1">L23-O24*Prices!B24</f>
        <v>0.73160091434082308</v>
      </c>
      <c r="M24" s="4">
        <f t="shared" ca="1" si="1"/>
        <v>0.25527296641599551</v>
      </c>
      <c r="N24" s="13">
        <f ca="1">IF(Prices!B23&gt;OFFSET(Prices!B23,-$N$3,0),1,-1)</f>
        <v>1</v>
      </c>
      <c r="O24" s="4">
        <f ca="1">IF(N24=1,O$3*L23/Prices!B23,-O$3*M23)</f>
        <v>7.4867060411463682E-2</v>
      </c>
      <c r="P24" s="22"/>
      <c r="Q24" s="13">
        <f ca="1">Q23-T24*Prices!B24</f>
        <v>0.96004968303112159</v>
      </c>
      <c r="R24" s="4">
        <f t="shared" ca="1" si="0"/>
        <v>4.7425007742326421E-2</v>
      </c>
      <c r="S24" s="13">
        <f ca="1">IF(Prices!B23&gt;OFFSET(Prices!B23,-S$3,0),1,-1)</f>
        <v>-1</v>
      </c>
      <c r="T24" s="4">
        <f ca="1">IF(S24=1,T$3*Q23/Prices!B23,-T$3*R23)</f>
        <v>-4.6903853811092059E-3</v>
      </c>
      <c r="V24" s="4"/>
      <c r="W24" s="4"/>
      <c r="X24" s="4"/>
      <c r="Y24" s="4"/>
      <c r="Z24" s="4"/>
      <c r="AA24" s="4"/>
      <c r="AB24" s="4"/>
      <c r="AC24" s="4"/>
      <c r="AD24" s="4"/>
      <c r="AE24" s="52"/>
    </row>
    <row r="25" spans="1:31" x14ac:dyDescent="0.2">
      <c r="A25" s="7">
        <v>41539</v>
      </c>
      <c r="B25" s="13">
        <f ca="1">Prices!B24*(1+J25/(50*(ABS(O25)+ABS(T25)+0.0001)))</f>
        <v>1.1152581371277737</v>
      </c>
      <c r="C25" s="62">
        <f t="shared" ca="1" si="3"/>
        <v>1</v>
      </c>
      <c r="D25" s="13">
        <f ca="1">D24+C25*(Prices!B25-Prices!B24)/Prices!B24</f>
        <v>-2.6192702520894198E-2</v>
      </c>
      <c r="E25" s="13">
        <f t="shared" ca="1" si="4"/>
        <v>2.6192702520894198E-2</v>
      </c>
      <c r="F25" s="13">
        <f t="shared" ca="1" si="2"/>
        <v>0</v>
      </c>
      <c r="G25" s="21">
        <f ca="1">IF((Prices!B25-Prices!B24)*C25&gt;0,1,0)</f>
        <v>0</v>
      </c>
      <c r="H25" s="13">
        <f>ABS(Prices!B25-Prices!B24)/Prices!B24</f>
        <v>9.4890510948906805E-3</v>
      </c>
      <c r="I25" s="21"/>
      <c r="J25" s="4">
        <f t="shared" ca="1" si="5"/>
        <v>6.2483657545966451E-2</v>
      </c>
      <c r="K25" s="13"/>
      <c r="L25" s="13">
        <f ca="1">L24-O25*Prices!B25</f>
        <v>0.65913504275246559</v>
      </c>
      <c r="M25" s="4">
        <f t="shared" ca="1" si="1"/>
        <v>0.32202487465877133</v>
      </c>
      <c r="N25" s="13">
        <f ca="1">IF(Prices!B24&gt;OFFSET(Prices!B24,-$N$3,0),1,-1)</f>
        <v>1</v>
      </c>
      <c r="O25" s="4">
        <f ca="1">IF(N25=1,O$3*L24/Prices!B24,-O$3*M24)</f>
        <v>6.6751908242775826E-2</v>
      </c>
      <c r="P25" s="22"/>
      <c r="Q25" s="13">
        <f ca="1">Q24-T25*Prices!B25</f>
        <v>0.96468329598757785</v>
      </c>
      <c r="R25" s="4">
        <f t="shared" ca="1" si="0"/>
        <v>4.3156757045517045E-2</v>
      </c>
      <c r="S25" s="13">
        <f ca="1">IF(Prices!B24&gt;OFFSET(Prices!B24,-S$3,0),1,-1)</f>
        <v>-1</v>
      </c>
      <c r="T25" s="4">
        <f ca="1">IF(S25=1,T$3*Q24/Prices!B24,-T$3*R24)</f>
        <v>-4.2682506968093779E-3</v>
      </c>
      <c r="V25" s="4"/>
      <c r="W25" s="4"/>
      <c r="X25" s="4"/>
      <c r="Y25" s="4"/>
      <c r="Z25" s="4"/>
      <c r="AA25" s="4"/>
      <c r="AB25" s="4"/>
      <c r="AC25" s="4"/>
      <c r="AD25" s="4"/>
      <c r="AE25" s="52"/>
    </row>
    <row r="26" spans="1:31" x14ac:dyDescent="0.2">
      <c r="A26" s="7">
        <v>41546</v>
      </c>
      <c r="B26" s="13">
        <f ca="1">Prices!B25*(1+J26/(50*(ABS(O26)+ABS(T26)+0.0001)))</f>
        <v>1.0639480001178336</v>
      </c>
      <c r="C26" s="62">
        <f t="shared" ca="1" si="3"/>
        <v>0</v>
      </c>
      <c r="D26" s="13">
        <f ca="1">D25+C26*(Prices!B26-Prices!B25)/Prices!B25</f>
        <v>-2.6192702520894198E-2</v>
      </c>
      <c r="E26" s="13">
        <f t="shared" ca="1" si="4"/>
        <v>2.6192702520894198E-2</v>
      </c>
      <c r="F26" s="13">
        <f t="shared" ca="1" si="2"/>
        <v>0</v>
      </c>
      <c r="G26" s="21">
        <f ca="1">IF((Prices!B26-Prices!B25)*C26&gt;0,1,0)</f>
        <v>0</v>
      </c>
      <c r="H26" s="13">
        <f>ABS(Prices!B26-Prices!B25)/Prices!B25</f>
        <v>6.0795873249817264E-3</v>
      </c>
      <c r="I26" s="21"/>
      <c r="J26" s="4">
        <f t="shared" ca="1" si="5"/>
        <v>-3.6086595599973674E-2</v>
      </c>
      <c r="K26" s="13"/>
      <c r="L26" s="13">
        <f ca="1">L25-O26*Prices!B26</f>
        <v>0.69430659956269658</v>
      </c>
      <c r="M26" s="4">
        <f t="shared" ca="1" si="1"/>
        <v>0.28982238719289422</v>
      </c>
      <c r="N26" s="13">
        <f ca="1">IF(Prices!B25&gt;OFFSET(Prices!B25,-$N$3,0),1,-1)</f>
        <v>-1</v>
      </c>
      <c r="O26" s="4">
        <f ca="1">IF(N26=1,O$3*L25/Prices!B25,-O$3*M25)</f>
        <v>-3.2202487465877137E-2</v>
      </c>
      <c r="P26" s="22"/>
      <c r="Q26" s="13">
        <f ca="1">Q25-T26*Prices!B26</f>
        <v>0.96892551889163814</v>
      </c>
      <c r="R26" s="4">
        <f t="shared" ca="1" si="0"/>
        <v>3.9272648911420509E-2</v>
      </c>
      <c r="S26" s="13">
        <f ca="1">IF(Prices!B25&gt;OFFSET(Prices!B25,-S$3,0),1,-1)</f>
        <v>-1</v>
      </c>
      <c r="T26" s="4">
        <f ca="1">IF(S26=1,T$3*Q25/Prices!B25,-T$3*R25)</f>
        <v>-3.8841081340965341E-3</v>
      </c>
      <c r="V26" s="4"/>
      <c r="W26" s="4"/>
      <c r="X26" s="4"/>
      <c r="Y26" s="4"/>
      <c r="Z26" s="4"/>
      <c r="AA26" s="4"/>
      <c r="AB26" s="4"/>
      <c r="AC26" s="4"/>
      <c r="AD26" s="4"/>
      <c r="AE26" s="52"/>
    </row>
    <row r="27" spans="1:31" x14ac:dyDescent="0.2">
      <c r="A27" s="7">
        <v>41553</v>
      </c>
      <c r="B27" s="13">
        <f ca="1">Prices!B26*(1+J27/(50*(ABS(O27)+ABS(T27)+0.0001)))</f>
        <v>1.0704229716689628</v>
      </c>
      <c r="C27" s="62">
        <f t="shared" ca="1" si="3"/>
        <v>0</v>
      </c>
      <c r="D27" s="13">
        <f ca="1">D26+C27*(Prices!B27-Prices!B26)/Prices!B26</f>
        <v>-2.6192702520894198E-2</v>
      </c>
      <c r="E27" s="13">
        <f t="shared" ca="1" si="4"/>
        <v>2.6192702520894198E-2</v>
      </c>
      <c r="F27" s="13">
        <f t="shared" ca="1" si="2"/>
        <v>0</v>
      </c>
      <c r="G27" s="21">
        <f ca="1">IF((Prices!B27-Prices!B26)*C27&gt;0,1,0)</f>
        <v>0</v>
      </c>
      <c r="H27" s="13">
        <f>ABS(Prices!B27-Prices!B26)/Prices!B26</f>
        <v>5.4934993590931693E-4</v>
      </c>
      <c r="I27" s="21"/>
      <c r="J27" s="4">
        <f t="shared" ca="1" si="5"/>
        <v>-3.2516777121317272E-2</v>
      </c>
      <c r="K27" s="13"/>
      <c r="L27" s="13">
        <f ca="1">L26-O27*Prices!B27</f>
        <v>0.72594361134867291</v>
      </c>
      <c r="M27" s="4">
        <f t="shared" ca="1" si="1"/>
        <v>0.26084014847360482</v>
      </c>
      <c r="N27" s="13">
        <f ca="1">IF(Prices!B26&gt;OFFSET(Prices!B26,-$N$3,0),1,-1)</f>
        <v>-1</v>
      </c>
      <c r="O27" s="4">
        <f ca="1">IF(N27=1,O$3*L26/Prices!B26,-O$3*M26)</f>
        <v>-2.8982238719289424E-2</v>
      </c>
      <c r="P27" s="22"/>
      <c r="Q27" s="13">
        <f ca="1">Q26-T27*Prices!B27</f>
        <v>0.97278382101129168</v>
      </c>
      <c r="R27" s="4">
        <f t="shared" ca="1" si="0"/>
        <v>3.5738110509392663E-2</v>
      </c>
      <c r="S27" s="13">
        <f ca="1">IF(Prices!B26&gt;OFFSET(Prices!B26,-S$3,0),1,-1)</f>
        <v>-1</v>
      </c>
      <c r="T27" s="4">
        <f ca="1">IF(S27=1,T$3*Q26/Prices!B26,-T$3*R26)</f>
        <v>-3.5345384020278457E-3</v>
      </c>
      <c r="V27" s="4"/>
      <c r="W27" s="4"/>
      <c r="X27" s="4"/>
      <c r="Y27" s="4"/>
      <c r="Z27" s="4"/>
      <c r="AA27" s="4"/>
      <c r="AB27" s="4"/>
      <c r="AC27" s="4"/>
      <c r="AD27" s="4"/>
      <c r="AE27" s="52"/>
    </row>
    <row r="28" spans="1:31" x14ac:dyDescent="0.2">
      <c r="A28" s="7">
        <v>41560</v>
      </c>
      <c r="B28" s="13">
        <f ca="1">Prices!B27*(1+J28/(50*(ABS(O28)+ABS(T28)+0.0001)))</f>
        <v>1.1113892164331847</v>
      </c>
      <c r="C28" s="62">
        <f t="shared" ca="1" si="3"/>
        <v>1</v>
      </c>
      <c r="D28" s="13">
        <f ca="1">D27+C28*(Prices!B28-Prices!B27)/Prices!B27</f>
        <v>-3.7185740263656925E-2</v>
      </c>
      <c r="E28" s="13">
        <f t="shared" ca="1" si="4"/>
        <v>3.7185740263656925E-2</v>
      </c>
      <c r="F28" s="13">
        <f t="shared" ca="1" si="2"/>
        <v>0</v>
      </c>
      <c r="G28" s="21">
        <f ca="1">IF((Prices!B28-Prices!B27)*C28&gt;0,1,0)</f>
        <v>0</v>
      </c>
      <c r="H28" s="13">
        <f>ABS(Prices!B28-Prices!B27)/Prices!B27</f>
        <v>1.0993037742762723E-2</v>
      </c>
      <c r="I28" s="21"/>
      <c r="J28" s="4">
        <f t="shared" ca="1" si="5"/>
        <v>6.3286282709767799E-2</v>
      </c>
      <c r="K28" s="13"/>
      <c r="L28" s="13">
        <f ca="1">L27-O28*Prices!B28</f>
        <v>0.65414728276567291</v>
      </c>
      <c r="M28" s="4">
        <f t="shared" ca="1" si="1"/>
        <v>0.32734286112921795</v>
      </c>
      <c r="N28" s="13">
        <f ca="1">IF(Prices!B27&gt;OFFSET(Prices!B27,-$N$3,0),1,-1)</f>
        <v>1</v>
      </c>
      <c r="O28" s="4">
        <f ca="1">IF(N28=1,O$3*L27/Prices!B27,-O$3*M27)</f>
        <v>6.6502712655613139E-2</v>
      </c>
      <c r="P28" s="22"/>
      <c r="Q28" s="13">
        <f ca="1">Q27-T28*Prices!B28</f>
        <v>0.97625627878082633</v>
      </c>
      <c r="R28" s="4">
        <f t="shared" ca="1" si="0"/>
        <v>3.2521680563547324E-2</v>
      </c>
      <c r="S28" s="13">
        <f ca="1">IF(Prices!B27&gt;OFFSET(Prices!B27,-S$3,0),1,-1)</f>
        <v>-1</v>
      </c>
      <c r="T28" s="4">
        <f ca="1">IF(S28=1,T$3*Q27/Prices!B27,-T$3*R27)</f>
        <v>-3.2164299458453398E-3</v>
      </c>
      <c r="V28" s="4"/>
      <c r="W28" s="4"/>
      <c r="X28" s="4"/>
      <c r="Y28" s="4"/>
      <c r="Z28" s="4"/>
      <c r="AA28" s="4"/>
      <c r="AB28" s="4"/>
      <c r="AC28" s="4"/>
      <c r="AD28" s="4"/>
      <c r="AE28" s="52"/>
    </row>
    <row r="29" spans="1:31" x14ac:dyDescent="0.2">
      <c r="A29" s="7">
        <v>41567</v>
      </c>
      <c r="B29" s="13">
        <f ca="1">Prices!B28*(1+J29/(50*(ABS(O29)+ABS(T29)+0.0001)))</f>
        <v>1.0580683782239984</v>
      </c>
      <c r="C29" s="62">
        <f t="shared" ca="1" si="3"/>
        <v>0</v>
      </c>
      <c r="D29" s="13">
        <f ca="1">D28+C29*(Prices!B29-Prices!B28)/Prices!B28</f>
        <v>-3.7185740263656925E-2</v>
      </c>
      <c r="E29" s="13">
        <f t="shared" ca="1" si="4"/>
        <v>3.7185740263656925E-2</v>
      </c>
      <c r="F29" s="13">
        <f t="shared" ca="1" si="2"/>
        <v>0</v>
      </c>
      <c r="G29" s="21">
        <f ca="1">IF((Prices!B29-Prices!B28)*C29&gt;0,1,0)</f>
        <v>0</v>
      </c>
      <c r="H29" s="13">
        <f>ABS(Prices!B29-Prices!B28)/Prices!B28</f>
        <v>3.2419414597997741E-3</v>
      </c>
      <c r="I29" s="21"/>
      <c r="J29" s="4">
        <f t="shared" ca="1" si="5"/>
        <v>-3.566123736364106E-2</v>
      </c>
      <c r="K29" s="13"/>
      <c r="L29" s="13">
        <f ca="1">L28-O29*Prices!B29</f>
        <v>0.6896017880545785</v>
      </c>
      <c r="M29" s="4">
        <f t="shared" ca="1" si="1"/>
        <v>0.29460857501629617</v>
      </c>
      <c r="N29" s="13">
        <f ca="1">IF(Prices!B28&gt;OFFSET(Prices!B28,-$N$3,0),1,-1)</f>
        <v>-1</v>
      </c>
      <c r="O29" s="4">
        <f ca="1">IF(N29=1,O$3*L28/Prices!B28,-O$3*M28)</f>
        <v>-3.2734286112921798E-2</v>
      </c>
      <c r="P29" s="22"/>
      <c r="Q29" s="13">
        <f ca="1">Q28-T29*Prices!B29</f>
        <v>0.97942645968048037</v>
      </c>
      <c r="R29" s="4">
        <f t="shared" ca="1" si="0"/>
        <v>2.9594729312828066E-2</v>
      </c>
      <c r="S29" s="13">
        <f ca="1">IF(Prices!B28&gt;OFFSET(Prices!B28,-S$3,0),1,-1)</f>
        <v>-1</v>
      </c>
      <c r="T29" s="4">
        <f ca="1">IF(S29=1,T$3*Q28/Prices!B28,-T$3*R28)</f>
        <v>-2.9269512507192593E-3</v>
      </c>
      <c r="V29" s="4"/>
      <c r="W29" s="4"/>
      <c r="X29" s="4"/>
      <c r="Y29" s="4"/>
      <c r="Z29" s="4"/>
      <c r="AA29" s="4"/>
      <c r="AB29" s="4"/>
      <c r="AC29" s="4"/>
      <c r="AD29" s="4"/>
      <c r="AE29" s="52"/>
    </row>
    <row r="30" spans="1:31" x14ac:dyDescent="0.2">
      <c r="A30" s="7">
        <v>41574</v>
      </c>
      <c r="B30" s="13">
        <f ca="1">Prices!B29*(1+J30/(50*(ABS(O30)+ABS(T30)+0.0001)))</f>
        <v>1.0932381328063465</v>
      </c>
      <c r="C30" s="62">
        <f t="shared" ca="1" si="3"/>
        <v>1</v>
      </c>
      <c r="D30" s="13">
        <f ca="1">D29+C30*(Prices!B30-Prices!B29)/Prices!B29</f>
        <v>-6.9946221766843883E-3</v>
      </c>
      <c r="E30" s="13">
        <f t="shared" ca="1" si="4"/>
        <v>6.9946221766843883E-3</v>
      </c>
      <c r="F30" s="13">
        <f t="shared" ca="1" si="2"/>
        <v>0</v>
      </c>
      <c r="G30" s="21">
        <f ca="1">IF((Prices!B30-Prices!B29)*C30&gt;0,1,0)</f>
        <v>1</v>
      </c>
      <c r="H30" s="13">
        <f>ABS(Prices!B30-Prices!B29)/Prices!B29</f>
        <v>3.0191118086972536E-2</v>
      </c>
      <c r="I30" s="21"/>
      <c r="J30" s="4">
        <f t="shared" ca="1" si="5"/>
        <v>5.1924408282917722E-2</v>
      </c>
      <c r="K30" s="13"/>
      <c r="L30" s="13">
        <f ca="1">L29-O30*Prices!B30</f>
        <v>0.72247421285489688</v>
      </c>
      <c r="M30" s="4">
        <f t="shared" ca="1" si="1"/>
        <v>0.26514771751466654</v>
      </c>
      <c r="N30" s="13">
        <f ca="1">IF(Prices!B29&gt;OFFSET(Prices!B29,-$N$3,0),1,-1)</f>
        <v>-1</v>
      </c>
      <c r="O30" s="4">
        <f ca="1">IF(N30=1,O$3*L29/Prices!B29,-O$3*M29)</f>
        <v>-2.946085750162962E-2</v>
      </c>
      <c r="P30" s="22"/>
      <c r="Q30" s="13">
        <f ca="1">Q29-T30*Prices!B30</f>
        <v>0.88861678011808243</v>
      </c>
      <c r="R30" s="4">
        <f t="shared" ca="1" si="0"/>
        <v>0.11097999509737541</v>
      </c>
      <c r="S30" s="13">
        <f ca="1">IF(Prices!B29&gt;OFFSET(Prices!B29,-S$3,0),1,-1)</f>
        <v>1</v>
      </c>
      <c r="T30" s="4">
        <f ca="1">IF(S30=1,T$3*Q29/Prices!B29,-T$3*R29)</f>
        <v>8.1385265784547342E-2</v>
      </c>
      <c r="V30" s="4"/>
      <c r="W30" s="4"/>
      <c r="X30" s="4"/>
      <c r="Y30" s="4"/>
      <c r="Z30" s="4"/>
      <c r="AA30" s="4"/>
      <c r="AB30" s="4"/>
      <c r="AC30" s="4"/>
      <c r="AD30" s="4"/>
      <c r="AE30" s="52"/>
    </row>
    <row r="31" spans="1:31" x14ac:dyDescent="0.2">
      <c r="A31" s="7">
        <v>41581</v>
      </c>
      <c r="B31" s="13">
        <f ca="1">Prices!B30*(1+J31/(50*(ABS(O31)+ABS(T31)+0.0001)))</f>
        <v>1.1380996542668136</v>
      </c>
      <c r="C31" s="62">
        <f t="shared" ca="1" si="3"/>
        <v>1</v>
      </c>
      <c r="D31" s="13">
        <f ca="1">D30+C31*(Prices!B31-Prices!B30)/Prices!B30</f>
        <v>1.7883138333532819E-3</v>
      </c>
      <c r="E31" s="13">
        <f t="shared" ca="1" si="4"/>
        <v>0</v>
      </c>
      <c r="F31" s="13">
        <f t="shared" ca="1" si="2"/>
        <v>1.7883138333532819E-3</v>
      </c>
      <c r="G31" s="21">
        <f ca="1">IF((Prices!B31-Prices!B30)*C31&gt;0,1,0)</f>
        <v>1</v>
      </c>
      <c r="H31" s="13">
        <f>ABS(Prices!B31-Prices!B30)/Prices!B30</f>
        <v>8.7829360100376702E-3</v>
      </c>
      <c r="I31" s="21"/>
      <c r="J31" s="4">
        <f t="shared" ca="1" si="5"/>
        <v>0.13642492516232041</v>
      </c>
      <c r="K31" s="13"/>
      <c r="L31" s="13">
        <f ca="1">L30-O31*Prices!B31</f>
        <v>0.64959224709136654</v>
      </c>
      <c r="M31" s="4">
        <f t="shared" ca="1" si="1"/>
        <v>0.32989715404943054</v>
      </c>
      <c r="N31" s="13">
        <f ca="1">IF(Prices!B30&gt;OFFSET(Prices!B30,-$N$3,0),1,-1)</f>
        <v>1</v>
      </c>
      <c r="O31" s="4">
        <f ca="1">IF(N31=1,O$3*L30/Prices!B30,-O$3*M30)</f>
        <v>6.4749436534764032E-2</v>
      </c>
      <c r="P31" s="22"/>
      <c r="Q31" s="13">
        <f ca="1">Q30-T31*Prices!B31</f>
        <v>0.80793885011890498</v>
      </c>
      <c r="R31" s="4">
        <f t="shared" ca="1" si="0"/>
        <v>0.18265548372493179</v>
      </c>
      <c r="S31" s="13">
        <f ca="1">IF(Prices!B30&gt;OFFSET(Prices!B30,-S$3,0),1,-1)</f>
        <v>1</v>
      </c>
      <c r="T31" s="4">
        <f ca="1">IF(S31=1,T$3*Q30/Prices!B30,-T$3*R30)</f>
        <v>7.1675488627556391E-2</v>
      </c>
      <c r="V31" s="4"/>
      <c r="W31" s="4"/>
      <c r="X31" s="4"/>
      <c r="Y31" s="4"/>
      <c r="Z31" s="4"/>
      <c r="AA31" s="4"/>
      <c r="AB31" s="4"/>
      <c r="AC31" s="4"/>
      <c r="AD31" s="4"/>
      <c r="AE31" s="52"/>
    </row>
    <row r="32" spans="1:31" x14ac:dyDescent="0.2">
      <c r="A32" s="7">
        <v>41588</v>
      </c>
      <c r="B32" s="13">
        <f ca="1">Prices!B31*(1+J32/(50*(ABS(O32)+ABS(T32)+0.0001)))</f>
        <v>1.1480936095572245</v>
      </c>
      <c r="C32" s="62">
        <f t="shared" ca="1" si="3"/>
        <v>1</v>
      </c>
      <c r="D32" s="13">
        <f ca="1">D31+C32*(Prices!B32-Prices!B31)/Prices!B31</f>
        <v>-9.4057160173929375E-3</v>
      </c>
      <c r="E32" s="13">
        <f t="shared" ca="1" si="4"/>
        <v>1.1194029850746219E-2</v>
      </c>
      <c r="F32" s="13">
        <f t="shared" ca="1" si="2"/>
        <v>1.7883138333532819E-3</v>
      </c>
      <c r="G32" s="21">
        <f ca="1">IF((Prices!B32-Prices!B31)*C32&gt;0,1,0)</f>
        <v>0</v>
      </c>
      <c r="H32" s="13">
        <f>ABS(Prices!B32-Prices!B31)/Prices!B31</f>
        <v>1.1194029850746219E-2</v>
      </c>
      <c r="I32" s="21"/>
      <c r="J32" s="4">
        <f t="shared" ca="1" si="5"/>
        <v>0.12231140833318951</v>
      </c>
      <c r="K32" s="13"/>
      <c r="L32" s="13">
        <f ca="1">L31-O32*Prices!B32</f>
        <v>0.58536017788270533</v>
      </c>
      <c r="M32" s="4">
        <f t="shared" ca="1" si="1"/>
        <v>0.38760790805541551</v>
      </c>
      <c r="N32" s="13">
        <f ca="1">IF(Prices!B31&gt;OFFSET(Prices!B31,-$N$3,0),1,-1)</f>
        <v>1</v>
      </c>
      <c r="O32" s="4">
        <f ca="1">IF(N32=1,O$3*L31/Prices!B31,-O$3*M31)</f>
        <v>5.7710754005984959E-2</v>
      </c>
      <c r="P32" s="22"/>
      <c r="Q32" s="13">
        <f ca="1">Q31-T32*Prices!B32</f>
        <v>0.73603832185272633</v>
      </c>
      <c r="R32" s="4">
        <f t="shared" ca="1" si="0"/>
        <v>0.24725613805213634</v>
      </c>
      <c r="S32" s="13">
        <f ca="1">IF(Prices!B31&gt;OFFSET(Prices!B31,-S$3,0),1,-1)</f>
        <v>1</v>
      </c>
      <c r="T32" s="4">
        <f ca="1">IF(S32=1,T$3*Q31/Prices!B31,-T$3*R31)</f>
        <v>6.4600654327204549E-2</v>
      </c>
      <c r="V32" s="4"/>
      <c r="W32" s="4"/>
      <c r="X32" s="4"/>
      <c r="Y32" s="4"/>
      <c r="Z32" s="4"/>
      <c r="AA32" s="4"/>
      <c r="AB32" s="4"/>
      <c r="AC32" s="4"/>
      <c r="AD32" s="4"/>
      <c r="AE32" s="52"/>
    </row>
    <row r="33" spans="1:31" x14ac:dyDescent="0.2">
      <c r="A33" s="7">
        <v>41595</v>
      </c>
      <c r="B33" s="13">
        <f ca="1">Prices!B32*(1+J33/(50*(ABS(O33)+ABS(T33)+0.0001)))</f>
        <v>1.1352401623605621</v>
      </c>
      <c r="C33" s="62">
        <f t="shared" ca="1" si="3"/>
        <v>1</v>
      </c>
      <c r="D33" s="13">
        <f ca="1">D32+C33*(Prices!B33-Prices!B32)/Prices!B32</f>
        <v>-2.7015778910474755E-2</v>
      </c>
      <c r="E33" s="13">
        <f t="shared" ca="1" si="4"/>
        <v>2.8804092743828037E-2</v>
      </c>
      <c r="F33" s="13">
        <f t="shared" ca="1" si="2"/>
        <v>1.7883138333532819E-3</v>
      </c>
      <c r="G33" s="21">
        <f ca="1">IF((Prices!B33-Prices!B32)*C33&gt;0,1,0)</f>
        <v>0</v>
      </c>
      <c r="H33" s="13">
        <f>ABS(Prices!B33-Prices!B32)/Prices!B32</f>
        <v>1.7610062893081816E-2</v>
      </c>
      <c r="I33" s="21"/>
      <c r="J33" s="4">
        <f t="shared" ca="1" si="5"/>
        <v>0.11211093149597115</v>
      </c>
      <c r="K33" s="13"/>
      <c r="L33" s="13">
        <f ca="1">L32-O33*Prices!B33</f>
        <v>0.52785498304919676</v>
      </c>
      <c r="M33" s="4">
        <f t="shared" ca="1" si="1"/>
        <v>0.44020091595143573</v>
      </c>
      <c r="N33" s="13">
        <f ca="1">IF(Prices!B32&gt;OFFSET(Prices!B32,-$N$3,0),1,-1)</f>
        <v>1</v>
      </c>
      <c r="O33" s="4">
        <f ca="1">IF(N33=1,O$3*L32/Prices!B32,-O$3*M32)</f>
        <v>5.2593007896020248E-2</v>
      </c>
      <c r="P33" s="22"/>
      <c r="Q33" s="13">
        <f ca="1">Q32-T33*Prices!B33</f>
        <v>0.67096142418853999</v>
      </c>
      <c r="R33" s="4">
        <f t="shared" ca="1" si="0"/>
        <v>0.30677406165208726</v>
      </c>
      <c r="S33" s="13">
        <f ca="1">IF(Prices!B32&gt;OFFSET(Prices!B32,-S$3,0),1,-1)</f>
        <v>1</v>
      </c>
      <c r="T33" s="4">
        <f ca="1">IF(S33=1,T$3*Q32/Prices!B32,-T$3*R32)</f>
        <v>5.9517923599950909E-2</v>
      </c>
      <c r="V33" s="13"/>
      <c r="W33" s="4"/>
      <c r="X33" s="4"/>
      <c r="Y33" s="4"/>
      <c r="Z33" s="4"/>
      <c r="AA33" s="4"/>
      <c r="AB33" s="4"/>
      <c r="AC33" s="4"/>
      <c r="AD33" s="4"/>
      <c r="AE33" s="52"/>
    </row>
    <row r="34" spans="1:31" x14ac:dyDescent="0.2">
      <c r="A34" s="7">
        <v>41602</v>
      </c>
      <c r="B34" s="13">
        <f ca="1">Prices!B33*(1+J34/(50*(ABS(O34)+ABS(T34)+0.0001)))</f>
        <v>1.1152468928471269</v>
      </c>
      <c r="C34" s="62">
        <f t="shared" ca="1" si="3"/>
        <v>1</v>
      </c>
      <c r="D34" s="13">
        <f ca="1">D33+C34*(Prices!B34-Prices!B33)/Prices!B33</f>
        <v>-2.0522272416968163E-2</v>
      </c>
      <c r="E34" s="13">
        <f t="shared" ca="1" si="4"/>
        <v>2.2310586250321444E-2</v>
      </c>
      <c r="F34" s="13">
        <f t="shared" ca="1" si="2"/>
        <v>1.7883138333532819E-3</v>
      </c>
      <c r="G34" s="21">
        <f ca="1">IF((Prices!B34-Prices!B33)*C34&gt;0,1,0)</f>
        <v>1</v>
      </c>
      <c r="H34" s="13">
        <f>ABS(Prices!B34-Prices!B33)/Prices!B33</f>
        <v>6.4935064935065911E-3</v>
      </c>
      <c r="I34" s="21"/>
      <c r="J34" s="4">
        <f t="shared" ca="1" si="5"/>
        <v>0.10350468856949724</v>
      </c>
      <c r="K34" s="13"/>
      <c r="L34" s="13">
        <f ca="1">L33-O34*Prices!B34</f>
        <v>0.47472672176827113</v>
      </c>
      <c r="M34" s="4">
        <f t="shared" ca="1" si="1"/>
        <v>0.48847739144523461</v>
      </c>
      <c r="N34" s="13">
        <f ca="1">IF(Prices!B33&gt;OFFSET(Prices!B33,-$N$3,0),1,-1)</f>
        <v>1</v>
      </c>
      <c r="O34" s="4">
        <f ca="1">IF(N34=1,O$3*L33/Prices!B33,-O$3*M33)</f>
        <v>4.8276475493798869E-2</v>
      </c>
      <c r="P34" s="22"/>
      <c r="Q34" s="13">
        <f ca="1">Q33-T34*Prices!B34</f>
        <v>0.61018277569873391</v>
      </c>
      <c r="R34" s="4">
        <f t="shared" ca="1" si="0"/>
        <v>0.36200227472778562</v>
      </c>
      <c r="S34" s="13">
        <f ca="1">IF(Prices!B33&gt;OFFSET(Prices!B33,-S$3,0),1,-1)</f>
        <v>1</v>
      </c>
      <c r="T34" s="4">
        <f ca="1">IF(S34=1,T$3*Q33/Prices!B33,-T$3*R33)</f>
        <v>5.5228213075698369E-2</v>
      </c>
      <c r="V34" s="13"/>
      <c r="W34" s="4"/>
      <c r="X34" s="4"/>
      <c r="Y34" s="4"/>
      <c r="Z34" s="4"/>
      <c r="AA34" s="4"/>
      <c r="AB34" s="4"/>
      <c r="AC34" s="4"/>
      <c r="AD34" s="4"/>
      <c r="AE34" s="52"/>
    </row>
    <row r="35" spans="1:31" x14ac:dyDescent="0.2">
      <c r="A35" s="7">
        <v>41609</v>
      </c>
      <c r="B35" s="13">
        <f ca="1">Prices!B34*(1+J35/(50*(ABS(O35)+ABS(T35)+0.0001)))</f>
        <v>1.1007346026136768</v>
      </c>
      <c r="C35" s="62">
        <f t="shared" ca="1" si="3"/>
        <v>1</v>
      </c>
      <c r="D35" s="13">
        <f ca="1">D34+C35*(Prices!B35-Prices!B34)/Prices!B34</f>
        <v>-6.8012365241922508E-3</v>
      </c>
      <c r="E35" s="13">
        <f t="shared" ca="1" si="4"/>
        <v>8.5895503575455327E-3</v>
      </c>
      <c r="F35" s="13">
        <f t="shared" ca="1" si="2"/>
        <v>1.7883138333532819E-3</v>
      </c>
      <c r="G35" s="21">
        <f ca="1">IF((Prices!B35-Prices!B34)*C35&gt;0,1,0)</f>
        <v>1</v>
      </c>
      <c r="H35" s="13">
        <f>ABS(Prices!B35-Prices!B34)/Prices!B34</f>
        <v>1.3721035892775912E-2</v>
      </c>
      <c r="I35" s="21"/>
      <c r="J35" s="4">
        <f t="shared" ca="1" si="5"/>
        <v>1.053623702260767E-3</v>
      </c>
      <c r="K35" s="13"/>
      <c r="L35" s="13">
        <f ca="1">L34-O35*Prices!B35</f>
        <v>0.52922125955790156</v>
      </c>
      <c r="M35" s="4">
        <f t="shared" ca="1" si="1"/>
        <v>0.43962965230071116</v>
      </c>
      <c r="N35" s="13">
        <f ca="1">IF(Prices!B34&gt;OFFSET(Prices!B34,-$N$3,0),1,-1)</f>
        <v>-1</v>
      </c>
      <c r="O35" s="4">
        <f ca="1">IF(N35=1,O$3*L34/Prices!B34,-O$3*M34)</f>
        <v>-4.8847739144523464E-2</v>
      </c>
      <c r="P35" s="22"/>
      <c r="Q35" s="13">
        <f ca="1">Q34-T35*Prices!B35</f>
        <v>0.55451281530686147</v>
      </c>
      <c r="R35" s="4">
        <f t="shared" ca="1" si="0"/>
        <v>0.41190363757456983</v>
      </c>
      <c r="S35" s="13">
        <f ca="1">IF(Prices!B34&gt;OFFSET(Prices!B34,-S$3,0),1,-1)</f>
        <v>1</v>
      </c>
      <c r="T35" s="4">
        <f ca="1">IF(S35=1,T$3*Q34/Prices!B34,-T$3*R34)</f>
        <v>4.9901362846784231E-2</v>
      </c>
      <c r="V35" s="13"/>
      <c r="W35" s="4"/>
      <c r="X35" s="4"/>
      <c r="Y35" s="4"/>
      <c r="Z35" s="4"/>
      <c r="AA35" s="4"/>
      <c r="AB35" s="4"/>
      <c r="AC35" s="4"/>
      <c r="AD35" s="4"/>
      <c r="AE35" s="52"/>
    </row>
    <row r="36" spans="1:31" x14ac:dyDescent="0.2">
      <c r="A36" s="7">
        <v>41616</v>
      </c>
      <c r="B36" s="13">
        <f ca="1">Prices!B35*(1+J36/(50*(ABS(O36)+ABS(T36)+0.0001)))</f>
        <v>1.1157939394022973</v>
      </c>
      <c r="C36" s="62">
        <f t="shared" ca="1" si="3"/>
        <v>1</v>
      </c>
      <c r="D36" s="13">
        <f ca="1">D35+C36*(Prices!B36-Prices!B35)/Prices!B35</f>
        <v>3.4174798616091809E-3</v>
      </c>
      <c r="E36" s="13">
        <f t="shared" ca="1" si="4"/>
        <v>0</v>
      </c>
      <c r="F36" s="13">
        <f t="shared" ca="1" si="2"/>
        <v>3.4174798616091809E-3</v>
      </c>
      <c r="G36" s="21">
        <f ca="1">IF((Prices!B36-Prices!B35)*C36&gt;0,1,0)</f>
        <v>1</v>
      </c>
      <c r="H36" s="13">
        <f>ABS(Prices!B36-Prices!B35)/Prices!B35</f>
        <v>1.0218716385801432E-2</v>
      </c>
      <c r="I36" s="21"/>
      <c r="J36" s="4">
        <f t="shared" ca="1" si="5"/>
        <v>7.7184417976890185E-4</v>
      </c>
      <c r="K36" s="13"/>
      <c r="L36" s="13">
        <f ca="1">L35-O36*Prices!B36</f>
        <v>0.57876752137219167</v>
      </c>
      <c r="M36" s="4">
        <f t="shared" ca="1" si="1"/>
        <v>0.39566668707064001</v>
      </c>
      <c r="N36" s="13">
        <f ca="1">IF(Prices!B35&gt;OFFSET(Prices!B35,-$N$3,0),1,-1)</f>
        <v>-1</v>
      </c>
      <c r="O36" s="4">
        <f ca="1">IF(N36=1,O$3*L35/Prices!B35,-O$3*M35)</f>
        <v>-4.3962965230071122E-2</v>
      </c>
      <c r="P36" s="22"/>
      <c r="Q36" s="13">
        <f ca="1">Q35-T36*Prices!B36</f>
        <v>0.50409668510197181</v>
      </c>
      <c r="R36" s="4">
        <f t="shared" ca="1" si="0"/>
        <v>0.45663844698440986</v>
      </c>
      <c r="S36" s="13">
        <f ca="1">IF(Prices!B35&gt;OFFSET(Prices!B35,-S$3,0),1,-1)</f>
        <v>1</v>
      </c>
      <c r="T36" s="4">
        <f ca="1">IF(S36=1,T$3*Q35/Prices!B35,-T$3*R35)</f>
        <v>4.4734809409840023E-2</v>
      </c>
      <c r="V36" s="13"/>
      <c r="W36" s="4"/>
      <c r="X36" s="4"/>
      <c r="Y36" s="4"/>
      <c r="Z36" s="4"/>
      <c r="AA36" s="4"/>
      <c r="AB36" s="4"/>
      <c r="AC36" s="4"/>
      <c r="AD36" s="4"/>
      <c r="AE36" s="52"/>
    </row>
    <row r="37" spans="1:31" x14ac:dyDescent="0.2">
      <c r="A37" s="7">
        <v>41623</v>
      </c>
      <c r="B37" s="13">
        <f ca="1">Prices!B36*(1+J37/(50*(ABS(O37)+ABS(T37)+0.0001)))</f>
        <v>1.149515422761469</v>
      </c>
      <c r="C37" s="62">
        <f t="shared" ca="1" si="3"/>
        <v>1</v>
      </c>
      <c r="D37" s="13">
        <f ca="1">D36+C37*(Prices!B37-Prices!B36)/Prices!B36</f>
        <v>-5.7218280354626692E-3</v>
      </c>
      <c r="E37" s="13">
        <f t="shared" ca="1" si="4"/>
        <v>9.1393078970718501E-3</v>
      </c>
      <c r="F37" s="13">
        <f t="shared" ca="1" si="2"/>
        <v>3.4174798616091809E-3</v>
      </c>
      <c r="G37" s="21">
        <f ca="1">IF((Prices!B37-Prices!B36)*C37&gt;0,1,0)</f>
        <v>0</v>
      </c>
      <c r="H37" s="13">
        <f>ABS(Prices!B37-Prices!B36)/Prices!B36</f>
        <v>9.1393078970718501E-3</v>
      </c>
      <c r="I37" s="21"/>
      <c r="J37" s="4">
        <f t="shared" ca="1" si="5"/>
        <v>9.1610872933803572E-2</v>
      </c>
      <c r="K37" s="13"/>
      <c r="L37" s="13">
        <f ca="1">L36-O37*Prices!B37</f>
        <v>0.5214197226928371</v>
      </c>
      <c r="M37" s="4">
        <f t="shared" ca="1" si="1"/>
        <v>0.44702139171768451</v>
      </c>
      <c r="N37" s="13">
        <f ca="1">IF(Prices!B36&gt;OFFSET(Prices!B36,-$N$3,0),1,-1)</f>
        <v>1</v>
      </c>
      <c r="O37" s="4">
        <f ca="1">IF(N37=1,O$3*L36/Prices!B36,-O$3*M36)</f>
        <v>5.1354704647044516E-2</v>
      </c>
      <c r="P37" s="22"/>
      <c r="Q37" s="13">
        <f ca="1">Q36-T37*Prices!B37</f>
        <v>0.45914262197614797</v>
      </c>
      <c r="R37" s="4">
        <f t="shared" ca="1" si="0"/>
        <v>0.4968946152711689</v>
      </c>
      <c r="S37" s="13">
        <f ca="1">IF(Prices!B36&gt;OFFSET(Prices!B36,-S$3,0),1,-1)</f>
        <v>1</v>
      </c>
      <c r="T37" s="4">
        <f ca="1">IF(S37=1,T$3*Q36/Prices!B36,-T$3*R36)</f>
        <v>4.0256168286759063E-2</v>
      </c>
      <c r="V37" s="13"/>
      <c r="W37" s="4"/>
      <c r="X37" s="4"/>
      <c r="Y37" s="4"/>
      <c r="Z37" s="4"/>
      <c r="AA37" s="4"/>
      <c r="AB37" s="4"/>
      <c r="AC37" s="4"/>
      <c r="AD37" s="4"/>
      <c r="AE37" s="52"/>
    </row>
    <row r="38" spans="1:31" x14ac:dyDescent="0.2">
      <c r="A38" s="7">
        <v>41630</v>
      </c>
      <c r="B38" s="13">
        <f ca="1">Prices!B37*(1+J38/(50*(ABS(O38)+ABS(T38)+0.0001)))</f>
        <v>1.1390073475994533</v>
      </c>
      <c r="C38" s="62">
        <f t="shared" ca="1" si="3"/>
        <v>1</v>
      </c>
      <c r="D38" s="13">
        <f ca="1">D37+C38*(Prices!B38-Prices!B37)/Prices!B37</f>
        <v>1.4337274677889148E-2</v>
      </c>
      <c r="E38" s="13">
        <f t="shared" ca="1" si="4"/>
        <v>0</v>
      </c>
      <c r="F38" s="13">
        <f t="shared" ca="1" si="2"/>
        <v>1.4337274677889148E-2</v>
      </c>
      <c r="G38" s="21">
        <f ca="1">IF((Prices!B38-Prices!B37)*C38&gt;0,1,0)</f>
        <v>1</v>
      </c>
      <c r="H38" s="13">
        <f>ABS(Prices!B38-Prices!B37)/Prices!B37</f>
        <v>2.0059102713351817E-2</v>
      </c>
      <c r="I38" s="21"/>
      <c r="J38" s="4">
        <f t="shared" ca="1" si="5"/>
        <v>8.3697329853261421E-2</v>
      </c>
      <c r="K38" s="13"/>
      <c r="L38" s="13">
        <f ca="1">L37-O38*Prices!B38</f>
        <v>0.46823182924612705</v>
      </c>
      <c r="M38" s="4">
        <f t="shared" ca="1" si="1"/>
        <v>0.49371430142421602</v>
      </c>
      <c r="N38" s="13">
        <f ca="1">IF(Prices!B37&gt;OFFSET(Prices!B37,-$N$3,0),1,-1)</f>
        <v>1</v>
      </c>
      <c r="O38" s="4">
        <f ca="1">IF(N38=1,O$3*L37/Prices!B37,-O$3*M37)</f>
        <v>4.6692909706531491E-2</v>
      </c>
      <c r="P38" s="22"/>
      <c r="Q38" s="13">
        <f ca="1">Q37-T38*Prices!B38</f>
        <v>0.41699088698700792</v>
      </c>
      <c r="R38" s="4">
        <f t="shared" ca="1" si="0"/>
        <v>0.53389903541789885</v>
      </c>
      <c r="S38" s="13">
        <f ca="1">IF(Prices!B37&gt;OFFSET(Prices!B37,-S$3,0),1,-1)</f>
        <v>1</v>
      </c>
      <c r="T38" s="4">
        <f ca="1">IF(S38=1,T$3*Q37/Prices!B37,-T$3*R37)</f>
        <v>3.700442014672993E-2</v>
      </c>
      <c r="V38" s="13"/>
      <c r="W38" s="4"/>
      <c r="X38" s="4"/>
      <c r="Y38" s="4"/>
      <c r="Z38" s="4"/>
      <c r="AA38" s="4"/>
      <c r="AB38" s="4"/>
      <c r="AC38" s="4"/>
      <c r="AD38" s="4"/>
      <c r="AE38" s="52"/>
    </row>
    <row r="39" spans="1:31" x14ac:dyDescent="0.2">
      <c r="A39" s="7">
        <v>41637</v>
      </c>
      <c r="B39" s="13">
        <f ca="1">Prices!B38*(1+J39/(50*(ABS(O39)+ABS(T39)+0.0001)))</f>
        <v>1.1618512765226237</v>
      </c>
      <c r="C39" s="62">
        <f t="shared" ca="1" si="3"/>
        <v>1</v>
      </c>
      <c r="D39" s="13">
        <f ca="1">D38+C39*(Prices!B39-Prices!B38)/Prices!B38</f>
        <v>1.5039583518201598E-2</v>
      </c>
      <c r="E39" s="13">
        <f t="shared" ca="1" si="4"/>
        <v>0</v>
      </c>
      <c r="F39" s="13">
        <f t="shared" ca="1" si="2"/>
        <v>1.5039583518201598E-2</v>
      </c>
      <c r="G39" s="21">
        <f ca="1">IF((Prices!B39-Prices!B38)*C39&gt;0,1,0)</f>
        <v>1</v>
      </c>
      <c r="H39" s="13">
        <f>ABS(Prices!B39-Prices!B38)/Prices!B38</f>
        <v>7.0230884031245006E-4</v>
      </c>
      <c r="I39" s="21"/>
      <c r="J39" s="4">
        <f t="shared" ca="1" si="5"/>
        <v>7.4051762578740604E-2</v>
      </c>
      <c r="K39" s="13"/>
      <c r="L39" s="13">
        <f ca="1">L38-O39*Prices!B39</f>
        <v>0.42137576198621485</v>
      </c>
      <c r="M39" s="4">
        <f t="shared" ca="1" si="1"/>
        <v>0.53481972054862359</v>
      </c>
      <c r="N39" s="13">
        <f ca="1">IF(Prices!B38&gt;OFFSET(Prices!B38,-$N$3,0),1,-1)</f>
        <v>1</v>
      </c>
      <c r="O39" s="4">
        <f ca="1">IF(N39=1,O$3*L38/Prices!B38,-O$3*M38)</f>
        <v>4.1105419124407613E-2</v>
      </c>
      <c r="P39" s="22"/>
      <c r="Q39" s="13">
        <f ca="1">Q38-T39*Prices!B39</f>
        <v>0.37943535008341372</v>
      </c>
      <c r="R39" s="4">
        <f t="shared" ca="1" si="0"/>
        <v>0.56684537887223185</v>
      </c>
      <c r="S39" s="13">
        <f ca="1">IF(Prices!B38&gt;OFFSET(Prices!B38,-S$3,0),1,-1)</f>
        <v>1</v>
      </c>
      <c r="T39" s="4">
        <f ca="1">IF(S39=1,T$3*Q38/Prices!B38,-T$3*R38)</f>
        <v>3.2946343454332998E-2</v>
      </c>
      <c r="V39" s="13"/>
      <c r="W39" s="4"/>
      <c r="X39" s="4"/>
      <c r="Y39" s="4"/>
      <c r="Z39" s="4"/>
      <c r="AA39" s="4"/>
      <c r="AB39" s="4"/>
      <c r="AC39" s="4"/>
      <c r="AD39" s="4"/>
      <c r="AE39" s="52"/>
    </row>
    <row r="40" spans="1:31" x14ac:dyDescent="0.2">
      <c r="A40" s="7">
        <v>41644</v>
      </c>
      <c r="B40" s="13">
        <f ca="1">Prices!B39*(1+J40/(50*(ABS(O40)+ABS(T40)+0.0001)))</f>
        <v>1.1626639853588081</v>
      </c>
      <c r="C40" s="62">
        <f t="shared" ca="1" si="3"/>
        <v>1</v>
      </c>
      <c r="D40" s="13">
        <f ca="1">D39+C40*(Prices!B40-Prices!B39)/Prices!B39</f>
        <v>4.9509792546698454E-3</v>
      </c>
      <c r="E40" s="13">
        <f t="shared" ca="1" si="4"/>
        <v>1.0088604263531753E-2</v>
      </c>
      <c r="F40" s="13">
        <f t="shared" ca="1" si="2"/>
        <v>1.5039583518201598E-2</v>
      </c>
      <c r="G40" s="21">
        <f ca="1">IF((Prices!B40-Prices!B39)*C40&gt;0,1,0)</f>
        <v>0</v>
      </c>
      <c r="H40" s="13">
        <f>ABS(Prices!B40-Prices!B39)/Prices!B39</f>
        <v>1.0088604263531753E-2</v>
      </c>
      <c r="I40" s="21"/>
      <c r="J40" s="4">
        <f t="shared" ca="1" si="5"/>
        <v>6.6924079047397778E-2</v>
      </c>
      <c r="K40" s="13"/>
      <c r="L40" s="13">
        <f ca="1">L39-O40*Prices!B40</f>
        <v>0.37966329511848568</v>
      </c>
      <c r="M40" s="4">
        <f t="shared" ca="1" si="1"/>
        <v>0.57178574932186821</v>
      </c>
      <c r="N40" s="13">
        <f ca="1">IF(Prices!B39&gt;OFFSET(Prices!B39,-$N$3,0),1,-1)</f>
        <v>1</v>
      </c>
      <c r="O40" s="4">
        <f ca="1">IF(N40=1,O$3*L39/Prices!B39,-O$3*M39)</f>
        <v>3.6966028773244577E-2</v>
      </c>
      <c r="P40" s="22"/>
      <c r="Q40" s="13">
        <f ca="1">Q39-T40*Prices!B40</f>
        <v>0.34563068615405923</v>
      </c>
      <c r="R40" s="4">
        <f t="shared" ca="1" si="0"/>
        <v>0.59680342914638507</v>
      </c>
      <c r="S40" s="13">
        <f ca="1">IF(Prices!B39&gt;OFFSET(Prices!B39,-S$3,0),1,-1)</f>
        <v>1</v>
      </c>
      <c r="T40" s="4">
        <f ca="1">IF(S40=1,T$3*Q39/Prices!B39,-T$3*R39)</f>
        <v>2.99580502741532E-2</v>
      </c>
      <c r="V40" s="13"/>
      <c r="W40" s="4"/>
      <c r="X40" s="4"/>
      <c r="Y40" s="4"/>
      <c r="Z40" s="4"/>
      <c r="AA40" s="4"/>
      <c r="AB40" s="4"/>
      <c r="AC40" s="4"/>
      <c r="AD40" s="4"/>
      <c r="AE40" s="52"/>
    </row>
    <row r="41" spans="1:31" x14ac:dyDescent="0.2">
      <c r="A41" s="7">
        <v>41651</v>
      </c>
      <c r="B41" s="13">
        <f ca="1">Prices!B40*(1+J41/(50*(ABS(O41)+ABS(T41)+0.0001)))</f>
        <v>1.1509311923272056</v>
      </c>
      <c r="C41" s="62">
        <f t="shared" ca="1" si="3"/>
        <v>1</v>
      </c>
      <c r="D41" s="13">
        <f ca="1">D40+C41*(Prices!B41-Prices!B40)/Prices!B40</f>
        <v>-5.435262398356339E-4</v>
      </c>
      <c r="E41" s="13">
        <f t="shared" ca="1" si="4"/>
        <v>1.5583109758037231E-2</v>
      </c>
      <c r="F41" s="13">
        <f t="shared" ca="1" si="2"/>
        <v>1.5039583518201598E-2</v>
      </c>
      <c r="G41" s="21">
        <f ca="1">IF((Prices!B41-Prices!B40)*C41&gt;0,1,0)</f>
        <v>0</v>
      </c>
      <c r="H41" s="13">
        <f>ABS(Prices!B41-Prices!B40)/Prices!B40</f>
        <v>5.4945054945054793E-3</v>
      </c>
      <c r="I41" s="21"/>
      <c r="J41" s="4">
        <f t="shared" ca="1" si="5"/>
        <v>6.1213303142249112E-2</v>
      </c>
      <c r="K41" s="13"/>
      <c r="L41" s="13">
        <f ca="1">L40-O41*Prices!B41</f>
        <v>0.34190557181274617</v>
      </c>
      <c r="M41" s="4">
        <f t="shared" ca="1" si="1"/>
        <v>0.60543191159752274</v>
      </c>
      <c r="N41" s="13">
        <f ca="1">IF(Prices!B40&gt;OFFSET(Prices!B40,-$N$3,0),1,-1)</f>
        <v>1</v>
      </c>
      <c r="O41" s="4">
        <f ca="1">IF(N41=1,O$3*L40/Prices!B40,-O$3*M40)</f>
        <v>3.3646162275654527E-2</v>
      </c>
      <c r="P41" s="22"/>
      <c r="Q41" s="13">
        <f ca="1">Q40-T41*Prices!B41</f>
        <v>0.31469484067356679</v>
      </c>
      <c r="R41" s="4">
        <f t="shared" ca="1" si="0"/>
        <v>0.62437057001297969</v>
      </c>
      <c r="S41" s="13">
        <f ca="1">IF(Prices!B40&gt;OFFSET(Prices!B40,-S$3,0),1,-1)</f>
        <v>1</v>
      </c>
      <c r="T41" s="4">
        <f ca="1">IF(S41=1,T$3*Q40/Prices!B40,-T$3*R40)</f>
        <v>2.7567140866594581E-2</v>
      </c>
      <c r="V41" s="13"/>
      <c r="W41" s="4"/>
      <c r="X41" s="4"/>
      <c r="Y41" s="4"/>
      <c r="Z41" s="4"/>
      <c r="AA41" s="4"/>
      <c r="AB41" s="4"/>
      <c r="AC41" s="4"/>
      <c r="AD41" s="4"/>
      <c r="AE41" s="52"/>
    </row>
    <row r="42" spans="1:31" x14ac:dyDescent="0.2">
      <c r="A42" s="7">
        <v>41658</v>
      </c>
      <c r="B42" s="13">
        <f ca="1">Prices!B41*(1+J42/(50*(ABS(O42)+ABS(T42)+0.0001)))</f>
        <v>1.1446037819864572</v>
      </c>
      <c r="C42" s="62">
        <f t="shared" ca="1" si="3"/>
        <v>1</v>
      </c>
      <c r="D42" s="13">
        <f ca="1">D41+C42*(Prices!B42-Prices!B41)/Prices!B41</f>
        <v>1.9862818440256971E-2</v>
      </c>
      <c r="E42" s="13">
        <f t="shared" ca="1" si="4"/>
        <v>0</v>
      </c>
      <c r="F42" s="13">
        <f t="shared" ca="1" si="2"/>
        <v>1.9862818440256971E-2</v>
      </c>
      <c r="G42" s="21">
        <f ca="1">IF((Prices!B42-Prices!B41)*C42&gt;0,1,0)</f>
        <v>1</v>
      </c>
      <c r="H42" s="13">
        <f>ABS(Prices!B42-Prices!B41)/Prices!B41</f>
        <v>2.0406344680092604E-2</v>
      </c>
      <c r="I42" s="21"/>
      <c r="J42" s="4">
        <f t="shared" ca="1" si="5"/>
        <v>5.570583928167494E-2</v>
      </c>
      <c r="K42" s="13"/>
      <c r="L42" s="13">
        <f ca="1">L41-O42*Prices!B42</f>
        <v>0.30701731033682605</v>
      </c>
      <c r="M42" s="4">
        <f t="shared" ca="1" si="1"/>
        <v>0.63589934804492487</v>
      </c>
      <c r="N42" s="13">
        <f ca="1">IF(Prices!B41&gt;OFFSET(Prices!B41,-$N$3,0),1,-1)</f>
        <v>1</v>
      </c>
      <c r="O42" s="4">
        <f ca="1">IF(N42=1,O$3*L41/Prices!B41,-O$3*M41)</f>
        <v>3.0467436447402081E-2</v>
      </c>
      <c r="P42" s="22"/>
      <c r="Q42" s="13">
        <f ca="1">Q41-T42*Prices!B42</f>
        <v>0.28579434558804095</v>
      </c>
      <c r="R42" s="4">
        <f t="shared" ca="1" si="0"/>
        <v>0.6496089728472525</v>
      </c>
      <c r="S42" s="13">
        <f ca="1">IF(Prices!B41&gt;OFFSET(Prices!B41,-S$3,0),1,-1)</f>
        <v>1</v>
      </c>
      <c r="T42" s="4">
        <f ca="1">IF(S42=1,T$3*Q41/Prices!B41,-T$3*R41)</f>
        <v>2.5238402834272863E-2</v>
      </c>
      <c r="V42" s="13"/>
      <c r="W42" s="4"/>
      <c r="X42" s="4"/>
      <c r="Y42" s="4"/>
      <c r="Z42" s="4"/>
      <c r="AA42" s="4"/>
      <c r="AB42" s="4"/>
      <c r="AC42" s="4"/>
      <c r="AD42" s="4"/>
      <c r="AE42" s="52"/>
    </row>
    <row r="43" spans="1:31" x14ac:dyDescent="0.2">
      <c r="A43" s="7">
        <v>41665</v>
      </c>
      <c r="B43" s="13">
        <f ca="1">Prices!B42*(1+J43/(50*(ABS(O43)+ABS(T43)+0.0001)))</f>
        <v>1.1679556149059949</v>
      </c>
      <c r="C43" s="62">
        <f t="shared" ca="1" si="3"/>
        <v>1</v>
      </c>
      <c r="D43" s="13">
        <f ca="1">D42+C43*(Prices!B43-Prices!B42)/Prices!B42</f>
        <v>1.5758373413621806E-2</v>
      </c>
      <c r="E43" s="13">
        <f t="shared" ca="1" si="4"/>
        <v>4.1044450266351645E-3</v>
      </c>
      <c r="F43" s="13">
        <f t="shared" ca="1" si="2"/>
        <v>1.9862818440256971E-2</v>
      </c>
      <c r="G43" s="21">
        <f ca="1">IF((Prices!B43-Prices!B42)*C43&gt;0,1,0)</f>
        <v>0</v>
      </c>
      <c r="H43" s="13">
        <f>ABS(Prices!B43-Prices!B42)/Prices!B42</f>
        <v>4.1044450266351645E-3</v>
      </c>
      <c r="I43" s="21"/>
      <c r="J43" s="4">
        <f t="shared" ca="1" si="5"/>
        <v>4.9273619890495404E-2</v>
      </c>
      <c r="K43" s="13"/>
      <c r="L43" s="13">
        <f ca="1">L42-O43*Prices!B43</f>
        <v>0.27644159287039372</v>
      </c>
      <c r="M43" s="4">
        <f t="shared" ca="1" si="1"/>
        <v>0.66271074533222085</v>
      </c>
      <c r="N43" s="13">
        <f ca="1">IF(Prices!B42&gt;OFFSET(Prices!B42,-$N$3,0),1,-1)</f>
        <v>1</v>
      </c>
      <c r="O43" s="4">
        <f ca="1">IF(N43=1,O$3*L42/Prices!B42,-O$3*M42)</f>
        <v>2.6811397287295962E-2</v>
      </c>
      <c r="P43" s="22"/>
      <c r="Q43" s="13">
        <f ca="1">Q42-T43*Prices!B43</f>
        <v>0.26017842693135229</v>
      </c>
      <c r="R43" s="4">
        <f t="shared" ca="1" si="0"/>
        <v>0.67207119545045191</v>
      </c>
      <c r="S43" s="13">
        <f ca="1">IF(Prices!B42&gt;OFFSET(Prices!B42,-S$3,0),1,-1)</f>
        <v>1</v>
      </c>
      <c r="T43" s="4">
        <f ca="1">IF(S43=1,T$3*Q42/Prices!B42,-T$3*R42)</f>
        <v>2.2462222603199446E-2</v>
      </c>
      <c r="V43" s="13"/>
      <c r="W43" s="4"/>
      <c r="X43" s="4"/>
      <c r="Y43" s="4"/>
      <c r="Z43" s="4"/>
      <c r="AA43" s="4"/>
      <c r="AB43" s="4"/>
      <c r="AC43" s="4"/>
      <c r="AD43" s="4"/>
      <c r="AE43" s="52"/>
    </row>
    <row r="44" spans="1:31" x14ac:dyDescent="0.2">
      <c r="A44" s="7">
        <v>41672</v>
      </c>
      <c r="B44" s="13">
        <f ca="1">Prices!B43*(1+J44/(50*(ABS(O44)+ABS(T44)+0.0001)))</f>
        <v>1.1631571731890926</v>
      </c>
      <c r="C44" s="62">
        <f t="shared" ca="1" si="3"/>
        <v>1</v>
      </c>
      <c r="D44" s="13">
        <f ca="1">D43+C44*(Prices!B44-Prices!B43)/Prices!B43</f>
        <v>7.4279630312997589E-3</v>
      </c>
      <c r="E44" s="13">
        <f t="shared" ca="1" si="4"/>
        <v>1.2434855408957212E-2</v>
      </c>
      <c r="F44" s="13">
        <f t="shared" ca="1" si="2"/>
        <v>1.9862818440256971E-2</v>
      </c>
      <c r="G44" s="21">
        <f ca="1">IF((Prices!B44-Prices!B43)*C44&gt;0,1,0)</f>
        <v>0</v>
      </c>
      <c r="H44" s="13">
        <f>ABS(Prices!B44-Prices!B43)/Prices!B43</f>
        <v>8.3304103823220472E-3</v>
      </c>
      <c r="I44" s="21"/>
      <c r="J44" s="4">
        <f t="shared" ca="1" si="5"/>
        <v>4.477395449917667E-2</v>
      </c>
      <c r="K44" s="13"/>
      <c r="L44" s="13">
        <f ca="1">L43-O44*Prices!B44</f>
        <v>0.24902772077488966</v>
      </c>
      <c r="M44" s="4">
        <f t="shared" ca="1" si="1"/>
        <v>0.68695150233593827</v>
      </c>
      <c r="N44" s="13">
        <f ca="1">IF(Prices!B43&gt;OFFSET(Prices!B43,-$N$3,0),1,-1)</f>
        <v>1</v>
      </c>
      <c r="O44" s="4">
        <f ca="1">IF(N44=1,O$3*L43/Prices!B43,-O$3*M43)</f>
        <v>2.4240757003717441E-2</v>
      </c>
      <c r="P44" s="22"/>
      <c r="Q44" s="13">
        <f ca="1">Q43-T44*Prices!B44</f>
        <v>0.23695743388373744</v>
      </c>
      <c r="R44" s="4">
        <f t="shared" ca="1" si="0"/>
        <v>0.69260439294591114</v>
      </c>
      <c r="S44" s="13">
        <f ca="1">IF(Prices!B43&gt;OFFSET(Prices!B43,-S$3,0),1,-1)</f>
        <v>1</v>
      </c>
      <c r="T44" s="4">
        <f ca="1">IF(S44=1,T$3*Q43/Prices!B43,-T$3*R43)</f>
        <v>2.0533197495459229E-2</v>
      </c>
      <c r="V44" s="13"/>
      <c r="W44" s="4"/>
      <c r="X44" s="4"/>
      <c r="Y44" s="4"/>
      <c r="Z44" s="4"/>
      <c r="AA44" s="4"/>
      <c r="AB44" s="4"/>
      <c r="AC44" s="4"/>
      <c r="AD44" s="4"/>
      <c r="AE44" s="52"/>
    </row>
    <row r="45" spans="1:31" x14ac:dyDescent="0.2">
      <c r="A45" s="7">
        <v>41679</v>
      </c>
      <c r="B45" s="13">
        <f ca="1">Prices!B44*(1+J45/(50*(ABS(O45)+ABS(T45)+0.0001)))</f>
        <v>1.1534628045422741</v>
      </c>
      <c r="C45" s="62">
        <f t="shared" ca="1" si="3"/>
        <v>1</v>
      </c>
      <c r="D45" s="13">
        <f ca="1">D44+C45*(Prices!B45-Prices!B44)/Prices!B44</f>
        <v>-8.817455823066124E-5</v>
      </c>
      <c r="E45" s="13">
        <f t="shared" ca="1" si="4"/>
        <v>1.9950992998487634E-2</v>
      </c>
      <c r="F45" s="13">
        <f t="shared" ca="1" si="2"/>
        <v>1.9862818440256971E-2</v>
      </c>
      <c r="G45" s="21">
        <f ca="1">IF((Prices!B45-Prices!B44)*C45&gt;0,1,0)</f>
        <v>0</v>
      </c>
      <c r="H45" s="13">
        <f>ABS(Prices!B45-Prices!B44)/Prices!B44</f>
        <v>7.5161375895304201E-3</v>
      </c>
      <c r="I45" s="21"/>
      <c r="J45" s="4">
        <f t="shared" ca="1" si="5"/>
        <v>4.087800966223834E-2</v>
      </c>
      <c r="K45" s="13"/>
      <c r="L45" s="13">
        <f ca="1">L44-O45*Prices!B45</f>
        <v>0.22431212135869583</v>
      </c>
      <c r="M45" s="4">
        <f t="shared" ca="1" si="1"/>
        <v>0.70897181542948229</v>
      </c>
      <c r="N45" s="13">
        <f ca="1">IF(Prices!B44&gt;OFFSET(Prices!B44,-$N$3,0),1,-1)</f>
        <v>1</v>
      </c>
      <c r="O45" s="4">
        <f ca="1">IF(N45=1,O$3*L44/Prices!B44,-O$3*M44)</f>
        <v>2.2020313093544051E-2</v>
      </c>
      <c r="P45" s="22"/>
      <c r="Q45" s="13">
        <f ca="1">Q44-T45*Prices!B45</f>
        <v>0.21579155525503496</v>
      </c>
      <c r="R45" s="4">
        <f t="shared" ca="1" si="0"/>
        <v>0.71146208951460543</v>
      </c>
      <c r="S45" s="13">
        <f ca="1">IF(Prices!B44&gt;OFFSET(Prices!B44,-S$3,0),1,-1)</f>
        <v>1</v>
      </c>
      <c r="T45" s="4">
        <f ca="1">IF(S45=1,T$3*Q44/Prices!B44,-T$3*R44)</f>
        <v>1.8857696568694286E-2</v>
      </c>
      <c r="V45" s="13"/>
      <c r="W45" s="4"/>
      <c r="X45" s="4"/>
      <c r="Y45" s="4"/>
      <c r="Z45" s="4"/>
      <c r="AA45" s="4"/>
      <c r="AB45" s="4"/>
      <c r="AC45" s="4"/>
      <c r="AD45" s="4"/>
      <c r="AE45" s="52"/>
    </row>
    <row r="46" spans="1:31" x14ac:dyDescent="0.2">
      <c r="A46" s="7">
        <v>41686</v>
      </c>
      <c r="B46" s="13">
        <f ca="1">Prices!B45*(1+J46/(50*(ABS(O46)+ABS(T46)+0.0001)))</f>
        <v>1.1447879599188415</v>
      </c>
      <c r="C46" s="62">
        <f t="shared" ca="1" si="3"/>
        <v>1</v>
      </c>
      <c r="D46" s="13">
        <f ca="1">D45+C46*(Prices!B46-Prices!B45)/Prices!B45</f>
        <v>-9.7995074163918609E-3</v>
      </c>
      <c r="E46" s="13">
        <f t="shared" ca="1" si="4"/>
        <v>2.9662325856648832E-2</v>
      </c>
      <c r="F46" s="13">
        <f t="shared" ca="1" si="2"/>
        <v>1.9862818440256971E-2</v>
      </c>
      <c r="G46" s="21">
        <f ca="1">IF((Prices!B46-Prices!B45)*C46&gt;0,1,0)</f>
        <v>0</v>
      </c>
      <c r="H46" s="13">
        <f>ABS(Prices!B46-Prices!B45)/Prices!B45</f>
        <v>9.7113328581611997E-3</v>
      </c>
      <c r="I46" s="21"/>
      <c r="J46" s="4">
        <f t="shared" ca="1" si="5"/>
        <v>3.7288357188901222E-2</v>
      </c>
      <c r="K46" s="13"/>
      <c r="L46" s="13">
        <f ca="1">L45-O46*Prices!B46</f>
        <v>0.2020987461902897</v>
      </c>
      <c r="M46" s="4">
        <f t="shared" ca="1" si="1"/>
        <v>0.72895685831603751</v>
      </c>
      <c r="N46" s="13">
        <f ca="1">IF(Prices!B45&gt;OFFSET(Prices!B45,-$N$3,0),1,-1)</f>
        <v>1</v>
      </c>
      <c r="O46" s="4">
        <f ca="1">IF(N46=1,O$3*L45/Prices!B45,-O$3*M45)</f>
        <v>1.9985042886555223E-2</v>
      </c>
      <c r="P46" s="22"/>
      <c r="Q46" s="13">
        <f ca="1">Q45-T46*Prices!B46</f>
        <v>0.1965589214079774</v>
      </c>
      <c r="R46" s="4">
        <f t="shared" ca="1" si="0"/>
        <v>0.72876540381695143</v>
      </c>
      <c r="S46" s="13">
        <f ca="1">IF(Prices!B45&gt;OFFSET(Prices!B45,-S$3,0),1,-1)</f>
        <v>1</v>
      </c>
      <c r="T46" s="4">
        <f ca="1">IF(S46=1,T$3*Q45/Prices!B45,-T$3*R45)</f>
        <v>1.7303314302345996E-2</v>
      </c>
      <c r="V46" s="13"/>
      <c r="W46" s="4"/>
      <c r="X46" s="4"/>
      <c r="Y46" s="4"/>
      <c r="Z46" s="4"/>
      <c r="AA46" s="4"/>
      <c r="AB46" s="4"/>
      <c r="AC46" s="4"/>
      <c r="AD46" s="4"/>
      <c r="AE46" s="52"/>
    </row>
    <row r="47" spans="1:31" x14ac:dyDescent="0.2">
      <c r="A47" s="7">
        <v>41693</v>
      </c>
      <c r="B47" s="13">
        <f ca="1">Prices!B46*(1+J47/(50*(ABS(O47)+ABS(T47)+0.0001)))</f>
        <v>1.0972536242946629</v>
      </c>
      <c r="C47" s="62">
        <f t="shared" ca="1" si="3"/>
        <v>0</v>
      </c>
      <c r="D47" s="13">
        <f ca="1">D46+C47*(Prices!B47-Prices!B46)/Prices!B46</f>
        <v>-9.7995074163918609E-3</v>
      </c>
      <c r="E47" s="13">
        <f t="shared" ca="1" si="4"/>
        <v>2.9662325856648832E-2</v>
      </c>
      <c r="F47" s="13">
        <f t="shared" ca="1" si="2"/>
        <v>1.9862818440256971E-2</v>
      </c>
      <c r="G47" s="21">
        <f ca="1">IF((Prices!B47-Prices!B46)*C47&gt;0,1,0)</f>
        <v>0</v>
      </c>
      <c r="H47" s="13">
        <f>ABS(Prices!B47-Prices!B46)/Prices!B46</f>
        <v>2.2672064777328037E-2</v>
      </c>
      <c r="I47" s="21"/>
      <c r="J47" s="4">
        <f t="shared" ca="1" si="5"/>
        <v>-5.6979983693305994E-2</v>
      </c>
      <c r="K47" s="13"/>
      <c r="L47" s="13">
        <f ca="1">L46-O47*Prices!B47</f>
        <v>0.28495927227507367</v>
      </c>
      <c r="M47" s="4">
        <f t="shared" ca="1" si="1"/>
        <v>0.65606117248443374</v>
      </c>
      <c r="N47" s="13">
        <f ca="1">IF(Prices!B46&gt;OFFSET(Prices!B46,-$N$3,0),1,-1)</f>
        <v>-1</v>
      </c>
      <c r="O47" s="4">
        <f ca="1">IF(N47=1,O$3*L46/Prices!B46,-O$3*M46)</f>
        <v>-7.289568583160376E-2</v>
      </c>
      <c r="P47" s="22"/>
      <c r="Q47" s="13">
        <f ca="1">Q46-T47*Prices!B47</f>
        <v>0.17846754278737434</v>
      </c>
      <c r="R47" s="4">
        <f t="shared" ca="1" si="0"/>
        <v>0.74468110595524917</v>
      </c>
      <c r="S47" s="13">
        <f ca="1">IF(Prices!B46&gt;OFFSET(Prices!B46,-S$3,0),1,-1)</f>
        <v>1</v>
      </c>
      <c r="T47" s="4">
        <f ca="1">IF(S47=1,T$3*Q46/Prices!B46,-T$3*R46)</f>
        <v>1.5915702138297766E-2</v>
      </c>
      <c r="V47" s="13"/>
      <c r="W47" s="4"/>
      <c r="X47" s="4"/>
      <c r="Y47" s="4"/>
      <c r="Z47" s="4"/>
      <c r="AA47" s="4"/>
      <c r="AB47" s="4"/>
      <c r="AC47" s="4"/>
      <c r="AD47" s="4"/>
      <c r="AE47" s="52"/>
    </row>
    <row r="48" spans="1:31" x14ac:dyDescent="0.2">
      <c r="A48" s="7">
        <v>41700</v>
      </c>
      <c r="B48" s="13">
        <f ca="1">Prices!B47*(1+J48/(50*(ABS(O48)+ABS(T48)+0.0001)))</f>
        <v>1.1220419556966028</v>
      </c>
      <c r="C48" s="62">
        <f t="shared" ca="1" si="3"/>
        <v>0</v>
      </c>
      <c r="D48" s="13">
        <f ca="1">D47+C48*(Prices!B48-Prices!B47)/Prices!B47</f>
        <v>-9.7995074163918609E-3</v>
      </c>
      <c r="E48" s="13">
        <f t="shared" ca="1" si="4"/>
        <v>2.9662325856648832E-2</v>
      </c>
      <c r="F48" s="13">
        <f t="shared" ca="1" si="2"/>
        <v>1.9862818440256971E-2</v>
      </c>
      <c r="G48" s="21">
        <f ca="1">IF((Prices!B48-Prices!B47)*C48&gt;0,1,0)</f>
        <v>0</v>
      </c>
      <c r="H48" s="13">
        <f>ABS(Prices!B48-Prices!B47)/Prices!B47</f>
        <v>1.0204979326119516E-2</v>
      </c>
      <c r="I48" s="21"/>
      <c r="J48" s="4">
        <f t="shared" ca="1" si="5"/>
        <v>-5.1475670471929184E-2</v>
      </c>
      <c r="K48" s="13"/>
      <c r="L48" s="13">
        <f ca="1">L47-O48*Prices!B48</f>
        <v>0.35877271479129735</v>
      </c>
      <c r="M48" s="4">
        <f t="shared" ca="1" si="1"/>
        <v>0.5904550552359904</v>
      </c>
      <c r="N48" s="13">
        <f ca="1">IF(Prices!B47&gt;OFFSET(Prices!B47,-$N$3,0),1,-1)</f>
        <v>-1</v>
      </c>
      <c r="O48" s="4">
        <f ca="1">IF(N48=1,O$3*L47/Prices!B47,-O$3*M47)</f>
        <v>-6.5606117248443382E-2</v>
      </c>
      <c r="P48" s="22"/>
      <c r="Q48" s="13">
        <f ca="1">Q47-T48*Prices!B48</f>
        <v>0.16256937711911823</v>
      </c>
      <c r="R48" s="4">
        <f t="shared" ca="1" si="0"/>
        <v>0.75881155273176337</v>
      </c>
      <c r="S48" s="13">
        <f ca="1">IF(Prices!B47&gt;OFFSET(Prices!B47,-S$3,0),1,-1)</f>
        <v>1</v>
      </c>
      <c r="T48" s="4">
        <f ca="1">IF(S48=1,T$3*Q47/Prices!B47,-T$3*R47)</f>
        <v>1.4130446776514198E-2</v>
      </c>
      <c r="V48" s="13"/>
      <c r="W48" s="4"/>
      <c r="X48" s="4"/>
      <c r="Y48" s="4"/>
      <c r="Z48" s="4"/>
      <c r="AA48" s="4"/>
      <c r="AB48" s="4"/>
      <c r="AC48" s="4"/>
      <c r="AD48" s="4"/>
      <c r="AE48" s="52"/>
    </row>
    <row r="49" spans="1:31" x14ac:dyDescent="0.2">
      <c r="A49" s="7">
        <v>41707</v>
      </c>
      <c r="B49" s="13">
        <f ca="1">Prices!B48*(1+J49/(50*(ABS(O49)+ABS(T49)+0.0001)))</f>
        <v>1.1026156571381542</v>
      </c>
      <c r="C49" s="62">
        <f t="shared" ca="1" si="3"/>
        <v>0</v>
      </c>
      <c r="D49" s="13">
        <f ca="1">D48+C49*(Prices!B49-Prices!B48)/Prices!B48</f>
        <v>-9.7995074163918609E-3</v>
      </c>
      <c r="E49" s="13">
        <f t="shared" ca="1" si="4"/>
        <v>2.9662325856648832E-2</v>
      </c>
      <c r="F49" s="13">
        <f t="shared" ca="1" si="2"/>
        <v>1.9862818440256971E-2</v>
      </c>
      <c r="G49" s="21">
        <f ca="1">IF((Prices!B49-Prices!B48)*C49&gt;0,1,0)</f>
        <v>0</v>
      </c>
      <c r="H49" s="13">
        <f>ABS(Prices!B49-Prices!B48)/Prices!B48</f>
        <v>2.3109056972712965E-3</v>
      </c>
      <c r="I49" s="21"/>
      <c r="J49" s="4">
        <f t="shared" ca="1" si="5"/>
        <v>-0.12733854526945773</v>
      </c>
      <c r="K49" s="13"/>
      <c r="L49" s="13">
        <f ca="1">L48-O49*Prices!B49</f>
        <v>0.42535833137026002</v>
      </c>
      <c r="M49" s="4">
        <f t="shared" ca="1" si="1"/>
        <v>0.5314095497123914</v>
      </c>
      <c r="N49" s="13">
        <f ca="1">IF(Prices!B48&gt;OFFSET(Prices!B48,-$N$3,0),1,-1)</f>
        <v>-1</v>
      </c>
      <c r="O49" s="4">
        <f ca="1">IF(N49=1,O$3*L48/Prices!B48,-O$3*M48)</f>
        <v>-5.9045505523599044E-2</v>
      </c>
      <c r="P49" s="22"/>
      <c r="Q49" s="13">
        <f ca="1">Q48-T49*Prices!B49</f>
        <v>0.23958343804052307</v>
      </c>
      <c r="R49" s="4">
        <f t="shared" ca="1" si="0"/>
        <v>0.69051851298590472</v>
      </c>
      <c r="S49" s="13">
        <f ca="1">IF(Prices!B48&gt;OFFSET(Prices!B48,-S$3,0),1,-1)</f>
        <v>-1</v>
      </c>
      <c r="T49" s="4">
        <f ca="1">IF(S49=1,T$3*Q48/Prices!B48,-T$3*R48)</f>
        <v>-6.8293039745858694E-2</v>
      </c>
      <c r="V49" s="13"/>
      <c r="W49" s="4"/>
      <c r="X49" s="4"/>
      <c r="Y49" s="4"/>
      <c r="Z49" s="4"/>
      <c r="AA49" s="4"/>
      <c r="AB49" s="4"/>
      <c r="AC49" s="4"/>
      <c r="AD49" s="4"/>
      <c r="AE49" s="52"/>
    </row>
    <row r="50" spans="1:31" x14ac:dyDescent="0.2">
      <c r="A50" s="7">
        <v>41714</v>
      </c>
      <c r="B50" s="13">
        <f ca="1">Prices!B49*(1+J50/(50*(ABS(O50)+ABS(T50)+0.0001)))</f>
        <v>1.1502143898067083</v>
      </c>
      <c r="C50" s="62">
        <f t="shared" ca="1" si="3"/>
        <v>1</v>
      </c>
      <c r="D50" s="13">
        <f ca="1">D49+C50*(Prices!B50-Prices!B49)/Prices!B49</f>
        <v>-2.3987678029143492E-2</v>
      </c>
      <c r="E50" s="13">
        <f t="shared" ca="1" si="4"/>
        <v>4.3850496469400466E-2</v>
      </c>
      <c r="F50" s="13">
        <f t="shared" ca="1" si="2"/>
        <v>1.9862818440256971E-2</v>
      </c>
      <c r="G50" s="21">
        <f ca="1">IF((Prices!B50-Prices!B49)*C50&gt;0,1,0)</f>
        <v>0</v>
      </c>
      <c r="H50" s="13">
        <f>ABS(Prices!B50-Prices!B49)/Prices!B49</f>
        <v>1.4188170612751632E-2</v>
      </c>
      <c r="I50" s="21"/>
      <c r="J50" s="4">
        <f t="shared" ca="1" si="5"/>
        <v>5.6839888765339255E-2</v>
      </c>
      <c r="K50" s="13"/>
      <c r="L50" s="13">
        <f ca="1">L49-O50*Prices!B50</f>
        <v>0.38342600389093767</v>
      </c>
      <c r="M50" s="4">
        <f t="shared" ca="1" si="1"/>
        <v>0.56912865331887008</v>
      </c>
      <c r="N50" s="13">
        <f ca="1">IF(Prices!B49&gt;OFFSET(Prices!B49,-$N$3,0),1,-1)</f>
        <v>1</v>
      </c>
      <c r="O50" s="4">
        <f ca="1">IF(N50=1,O$3*L49/Prices!B49,-O$3*M49)</f>
        <v>3.7719103606478677E-2</v>
      </c>
      <c r="P50" s="22"/>
      <c r="Q50" s="13">
        <f ca="1">Q49-T50*Prices!B50</f>
        <v>0.21832686117941777</v>
      </c>
      <c r="R50" s="4">
        <f t="shared" ca="1" si="0"/>
        <v>0.70963929814476534</v>
      </c>
      <c r="S50" s="13">
        <f ca="1">IF(Prices!B49&gt;OFFSET(Prices!B49,-S$3,0),1,-1)</f>
        <v>1</v>
      </c>
      <c r="T50" s="4">
        <f ca="1">IF(S50=1,T$3*Q49/Prices!B49,-T$3*R49)</f>
        <v>1.9120785158860582E-2</v>
      </c>
      <c r="V50" s="13"/>
      <c r="W50" s="4"/>
      <c r="X50" s="4"/>
      <c r="Y50" s="4"/>
      <c r="Z50" s="4"/>
      <c r="AA50" s="4"/>
      <c r="AB50" s="4"/>
      <c r="AC50" s="4"/>
      <c r="AD50" s="4"/>
      <c r="AE50" s="52"/>
    </row>
    <row r="51" spans="1:31" x14ac:dyDescent="0.2">
      <c r="A51" s="7">
        <v>41721</v>
      </c>
      <c r="B51" s="13">
        <f ca="1">Prices!B50*(1+J51/(50*(ABS(O51)+ABS(T51)+0.0001)))</f>
        <v>1.1050658872136485</v>
      </c>
      <c r="C51" s="62">
        <f t="shared" ca="1" si="3"/>
        <v>0</v>
      </c>
      <c r="D51" s="13">
        <f ca="1">D50+C51*(Prices!B51-Prices!B50)/Prices!B50</f>
        <v>-2.3987678029143492E-2</v>
      </c>
      <c r="E51" s="13">
        <f t="shared" ca="1" si="4"/>
        <v>4.3850496469400466E-2</v>
      </c>
      <c r="F51" s="13">
        <f t="shared" ca="1" si="2"/>
        <v>1.9862818440256971E-2</v>
      </c>
      <c r="G51" s="21">
        <f ca="1">IF((Prices!B51-Prices!B50)*C51&gt;0,1,0)</f>
        <v>0</v>
      </c>
      <c r="H51" s="13">
        <f>ABS(Prices!B51-Prices!B50)/Prices!B50</f>
        <v>1.7090941800845668E-3</v>
      </c>
      <c r="I51" s="21"/>
      <c r="J51" s="4">
        <f t="shared" ca="1" si="5"/>
        <v>-2.9377476214972061E-2</v>
      </c>
      <c r="K51" s="13"/>
      <c r="L51" s="13">
        <f ca="1">L50-O51*Prices!B51</f>
        <v>0.34501787238666959</v>
      </c>
      <c r="M51" s="4">
        <f t="shared" ca="1" si="1"/>
        <v>0.6036187139369269</v>
      </c>
      <c r="N51" s="13">
        <f ca="1">IF(Prices!B50&gt;OFFSET(Prices!B50,-$N$3,0),1,-1)</f>
        <v>1</v>
      </c>
      <c r="O51" s="4">
        <f ca="1">IF(N51=1,O$3*L50/Prices!B50,-O$3*M50)</f>
        <v>3.4490060618056824E-2</v>
      </c>
      <c r="P51" s="22"/>
      <c r="Q51" s="13">
        <f ca="1">Q50-T51*Prices!B51</f>
        <v>0.28944975019667873</v>
      </c>
      <c r="R51" s="4">
        <f t="shared" ca="1" si="0"/>
        <v>0.64577176131173641</v>
      </c>
      <c r="S51" s="13">
        <f ca="1">IF(Prices!B50&gt;OFFSET(Prices!B50,-S$3,0),1,-1)</f>
        <v>-1</v>
      </c>
      <c r="T51" s="4">
        <f ca="1">IF(S51=1,T$3*Q50/Prices!B50,-T$3*R50)</f>
        <v>-6.3867536833028885E-2</v>
      </c>
      <c r="V51" s="13"/>
      <c r="W51" s="4"/>
      <c r="X51" s="4"/>
      <c r="Y51" s="4"/>
      <c r="Z51" s="4"/>
      <c r="AA51" s="4"/>
      <c r="AB51" s="4"/>
      <c r="AC51" s="4"/>
      <c r="AD51" s="4"/>
      <c r="AE51" s="52"/>
    </row>
    <row r="52" spans="1:31" x14ac:dyDescent="0.2">
      <c r="A52" s="7">
        <v>41728</v>
      </c>
      <c r="B52" s="13">
        <f ca="1">Prices!B51*(1+J52/(50*(ABS(O52)+ABS(T52)+0.0001)))</f>
        <v>1.0913467820460576</v>
      </c>
      <c r="C52" s="62">
        <f t="shared" ca="1" si="3"/>
        <v>0</v>
      </c>
      <c r="D52" s="13">
        <f ca="1">D51+C52*(Prices!B52-Prices!B51)/Prices!B51</f>
        <v>-2.3987678029143492E-2</v>
      </c>
      <c r="E52" s="13">
        <f t="shared" ca="1" si="4"/>
        <v>4.3850496469400466E-2</v>
      </c>
      <c r="F52" s="13">
        <f t="shared" ca="1" si="2"/>
        <v>1.9862818440256971E-2</v>
      </c>
      <c r="G52" s="21">
        <f ca="1">IF((Prices!B52-Prices!B51)*C52&gt;0,1,0)</f>
        <v>0</v>
      </c>
      <c r="H52" s="13">
        <f>ABS(Prices!B52-Prices!B51)/Prices!B51</f>
        <v>7.6329022988505324E-3</v>
      </c>
      <c r="I52" s="21"/>
      <c r="J52" s="4">
        <f t="shared" ca="1" si="5"/>
        <v>-0.11848132991174898</v>
      </c>
      <c r="K52" s="13"/>
      <c r="L52" s="13">
        <f ca="1">L51-O52*Prices!B52</f>
        <v>0.4117237764638394</v>
      </c>
      <c r="M52" s="4">
        <f t="shared" ca="1" si="1"/>
        <v>0.54325684254323425</v>
      </c>
      <c r="N52" s="13">
        <f ca="1">IF(Prices!B51&gt;OFFSET(Prices!B51,-$N$3,0),1,-1)</f>
        <v>-1</v>
      </c>
      <c r="O52" s="4">
        <f ca="1">IF(N52=1,O$3*L51/Prices!B51,-O$3*M51)</f>
        <v>-6.0361871393692694E-2</v>
      </c>
      <c r="P52" s="22"/>
      <c r="Q52" s="13">
        <f ca="1">Q51-T52*Prices!B52</f>
        <v>0.35367756380498272</v>
      </c>
      <c r="R52" s="4">
        <f t="shared" ca="1" si="0"/>
        <v>0.58765230279368019</v>
      </c>
      <c r="S52" s="13">
        <f ca="1">IF(Prices!B51&gt;OFFSET(Prices!B51,-S$3,0),1,-1)</f>
        <v>-1</v>
      </c>
      <c r="T52" s="4">
        <f ca="1">IF(S52=1,T$3*Q51/Prices!B51,-T$3*R51)</f>
        <v>-5.8119458518056277E-2</v>
      </c>
      <c r="V52" s="13"/>
      <c r="W52" s="4"/>
      <c r="X52" s="4"/>
      <c r="Y52" s="4"/>
      <c r="Z52" s="4"/>
      <c r="AA52" s="4"/>
      <c r="AB52" s="4"/>
      <c r="AC52" s="4"/>
      <c r="AD52" s="4"/>
      <c r="AE52" s="52"/>
    </row>
    <row r="53" spans="1:31" x14ac:dyDescent="0.2">
      <c r="A53" s="7">
        <v>41735</v>
      </c>
      <c r="B53" s="13">
        <f ca="1">Prices!B52*(1+J53/(50*(ABS(O53)+ABS(T53)+0.0001)))</f>
        <v>1.0830185955601013</v>
      </c>
      <c r="C53" s="62">
        <f t="shared" ca="1" si="3"/>
        <v>0</v>
      </c>
      <c r="D53" s="13">
        <f ca="1">D52+C53*(Prices!B53-Prices!B52)/Prices!B52</f>
        <v>-2.3987678029143492E-2</v>
      </c>
      <c r="E53" s="13">
        <f t="shared" ca="1" si="4"/>
        <v>4.3850496469400466E-2</v>
      </c>
      <c r="F53" s="13">
        <f t="shared" ca="1" si="2"/>
        <v>1.9862818440256971E-2</v>
      </c>
      <c r="G53" s="21">
        <f ca="1">IF((Prices!B53-Prices!B52)*C53&gt;0,1,0)</f>
        <v>0</v>
      </c>
      <c r="H53" s="13">
        <f>ABS(Prices!B53-Prices!B52)/Prices!B52</f>
        <v>1.4478327753144928E-3</v>
      </c>
      <c r="I53" s="21"/>
      <c r="J53" s="4">
        <f t="shared" ca="1" si="5"/>
        <v>-0.10721439150575465</v>
      </c>
      <c r="K53" s="13"/>
      <c r="L53" s="13">
        <f ca="1">L52-O53*Prices!B53</f>
        <v>0.4716721690384853</v>
      </c>
      <c r="M53" s="4">
        <f t="shared" ca="1" si="1"/>
        <v>0.48893115828891082</v>
      </c>
      <c r="N53" s="13">
        <f ca="1">IF(Prices!B52&gt;OFFSET(Prices!B52,-$N$3,0),1,-1)</f>
        <v>-1</v>
      </c>
      <c r="O53" s="4">
        <f ca="1">IF(N53=1,O$3*L52/Prices!B52,-O$3*M52)</f>
        <v>-5.4325684254323429E-2</v>
      </c>
      <c r="P53" s="22"/>
      <c r="Q53" s="13">
        <f ca="1">Q52-T53*Prices!B53</f>
        <v>0.41204025225693708</v>
      </c>
      <c r="R53" s="4">
        <f t="shared" ca="1" si="0"/>
        <v>0.53476359554224895</v>
      </c>
      <c r="S53" s="13">
        <f ca="1">IF(Prices!B52&gt;OFFSET(Prices!B52,-S$3,0),1,-1)</f>
        <v>-1</v>
      </c>
      <c r="T53" s="4">
        <f ca="1">IF(S53=1,T$3*Q52/Prices!B52,-T$3*R52)</f>
        <v>-5.2888707251431216E-2</v>
      </c>
      <c r="V53" s="13"/>
      <c r="W53" s="4"/>
      <c r="X53" s="4"/>
      <c r="Y53" s="4"/>
      <c r="Z53" s="4"/>
      <c r="AA53" s="4"/>
      <c r="AB53" s="4"/>
      <c r="AC53" s="4"/>
      <c r="AD53" s="4"/>
      <c r="AE53" s="52"/>
    </row>
    <row r="54" spans="1:31" x14ac:dyDescent="0.2">
      <c r="A54" s="7">
        <v>41742</v>
      </c>
      <c r="B54" s="13">
        <f ca="1">Prices!B53*(1+J54/(50*(ABS(O54)+ABS(T54)+0.0001)))</f>
        <v>1.0814527240341925</v>
      </c>
      <c r="C54" s="62">
        <f t="shared" ca="1" si="3"/>
        <v>0</v>
      </c>
      <c r="D54" s="13">
        <f ca="1">D53+C54*(Prices!B54-Prices!B53)/Prices!B53</f>
        <v>-2.3987678029143492E-2</v>
      </c>
      <c r="E54" s="13">
        <f t="shared" ca="1" si="4"/>
        <v>4.3850496469400466E-2</v>
      </c>
      <c r="F54" s="13">
        <f t="shared" ca="1" si="2"/>
        <v>1.9862818440256971E-2</v>
      </c>
      <c r="G54" s="21">
        <f ca="1">IF((Prices!B54-Prices!B53)*C54&gt;0,1,0)</f>
        <v>0</v>
      </c>
      <c r="H54" s="13">
        <f>ABS(Prices!B54-Prices!B53)/Prices!B53</f>
        <v>5.2560036248301108E-3</v>
      </c>
      <c r="I54" s="21"/>
      <c r="J54" s="4">
        <f t="shared" ca="1" si="5"/>
        <v>-9.702183942769349E-2</v>
      </c>
      <c r="K54" s="13"/>
      <c r="L54" s="13">
        <f ca="1">L53-O54*Prices!B54</f>
        <v>0.525342142283859</v>
      </c>
      <c r="M54" s="4">
        <f t="shared" ca="1" si="1"/>
        <v>0.44003804246001976</v>
      </c>
      <c r="N54" s="13">
        <f ca="1">IF(Prices!B53&gt;OFFSET(Prices!B53,-$N$3,0),1,-1)</f>
        <v>-1</v>
      </c>
      <c r="O54" s="4">
        <f ca="1">IF(N54=1,O$3*L53/Prices!B53,-O$3*M53)</f>
        <v>-4.8893115828891082E-2</v>
      </c>
      <c r="P54" s="22"/>
      <c r="Q54" s="13">
        <f ca="1">Q53-T54*Prices!B54</f>
        <v>0.46487115215134245</v>
      </c>
      <c r="R54" s="4">
        <f t="shared" ca="1" si="0"/>
        <v>0.48663487194344657</v>
      </c>
      <c r="S54" s="13">
        <f ca="1">IF(Prices!B53&gt;OFFSET(Prices!B53,-S$3,0),1,-1)</f>
        <v>-1</v>
      </c>
      <c r="T54" s="4">
        <f ca="1">IF(S54=1,T$3*Q53/Prices!B53,-T$3*R53)</f>
        <v>-4.8128723598802402E-2</v>
      </c>
      <c r="V54" s="13"/>
      <c r="W54" s="4"/>
      <c r="X54" s="4"/>
      <c r="Y54" s="4"/>
      <c r="Z54" s="4"/>
      <c r="AA54" s="4"/>
      <c r="AB54" s="4"/>
      <c r="AC54" s="4"/>
      <c r="AD54" s="4"/>
      <c r="AE54" s="52"/>
    </row>
    <row r="55" spans="1:31" x14ac:dyDescent="0.2">
      <c r="A55" s="7">
        <v>41749</v>
      </c>
      <c r="B55" s="13">
        <f ca="1">Prices!B54*(1+J55/(50*(ABS(O55)+ABS(T55)+0.0001)))</f>
        <v>1.075770975841351</v>
      </c>
      <c r="C55" s="62">
        <f t="shared" ca="1" si="3"/>
        <v>0</v>
      </c>
      <c r="D55" s="13">
        <f ca="1">D54+C55*(Prices!B55-Prices!B54)/Prices!B54</f>
        <v>-2.3987678029143492E-2</v>
      </c>
      <c r="E55" s="13">
        <f t="shared" ca="1" si="4"/>
        <v>4.3850496469400466E-2</v>
      </c>
      <c r="F55" s="13">
        <f t="shared" ca="1" si="2"/>
        <v>1.9862818440256971E-2</v>
      </c>
      <c r="G55" s="21">
        <f ca="1">IF((Prices!B55-Prices!B54)*C55&gt;0,1,0)</f>
        <v>0</v>
      </c>
      <c r="H55" s="13">
        <f>ABS(Prices!B55-Prices!B54)/Prices!B54</f>
        <v>1.7946615650906488E-2</v>
      </c>
      <c r="I55" s="21"/>
      <c r="J55" s="4">
        <f t="shared" ca="1" si="5"/>
        <v>-8.7800942720912156E-2</v>
      </c>
      <c r="K55" s="13"/>
      <c r="L55" s="13">
        <f ca="1">L54-O55*Prices!B55</f>
        <v>0.57451199314834156</v>
      </c>
      <c r="M55" s="4">
        <f t="shared" ca="1" si="1"/>
        <v>0.39603423821401779</v>
      </c>
      <c r="N55" s="13">
        <f ca="1">IF(Prices!B54&gt;OFFSET(Prices!B54,-$N$3,0),1,-1)</f>
        <v>-1</v>
      </c>
      <c r="O55" s="4">
        <f ca="1">IF(N55=1,O$3*L54/Prices!B54,-O$3*M54)</f>
        <v>-4.4003804246001976E-2</v>
      </c>
      <c r="P55" s="22"/>
      <c r="Q55" s="13">
        <f ca="1">Q54-T55*Prices!B55</f>
        <v>0.51381007468320705</v>
      </c>
      <c r="R55" s="4">
        <f t="shared" ca="1" si="0"/>
        <v>0.44283773346853639</v>
      </c>
      <c r="S55" s="13">
        <f ca="1">IF(Prices!B54&gt;OFFSET(Prices!B54,-S$3,0),1,-1)</f>
        <v>-1</v>
      </c>
      <c r="T55" s="4">
        <f ca="1">IF(S55=1,T$3*Q54/Prices!B54,-T$3*R54)</f>
        <v>-4.3797138474910187E-2</v>
      </c>
      <c r="V55" s="13"/>
      <c r="W55" s="4"/>
      <c r="X55" s="4"/>
      <c r="Y55" s="4"/>
      <c r="Z55" s="4"/>
      <c r="AA55" s="4"/>
      <c r="AB55" s="4"/>
      <c r="AC55" s="4"/>
      <c r="AD55" s="4"/>
      <c r="AE55" s="52"/>
    </row>
    <row r="56" spans="1:31" x14ac:dyDescent="0.2">
      <c r="A56" s="7">
        <v>41756</v>
      </c>
      <c r="B56" s="13">
        <f ca="1">Prices!B55*(1+J56/(50*(ABS(O56)+ABS(T56)+0.0001)))</f>
        <v>1.1202273424362017</v>
      </c>
      <c r="C56" s="62">
        <f t="shared" ca="1" si="3"/>
        <v>1</v>
      </c>
      <c r="D56" s="13">
        <f ca="1">D55+C56*(Prices!B56-Prices!B55)/Prices!B55</f>
        <v>-3.1863103123111559E-2</v>
      </c>
      <c r="E56" s="13">
        <f t="shared" ca="1" si="4"/>
        <v>5.1725921563368527E-2</v>
      </c>
      <c r="F56" s="13">
        <f t="shared" ca="1" si="2"/>
        <v>1.9862818440256971E-2</v>
      </c>
      <c r="G56" s="21">
        <f ca="1">IF((Prices!B56-Prices!B55)*C56&gt;0,1,0)</f>
        <v>0</v>
      </c>
      <c r="H56" s="13">
        <f>ABS(Prices!B56-Prices!B55)/Prices!B55</f>
        <v>7.8754250939680678E-3</v>
      </c>
      <c r="I56" s="21"/>
      <c r="J56" s="4">
        <f t="shared" ca="1" si="5"/>
        <v>1.1559674074491974E-2</v>
      </c>
      <c r="K56" s="13"/>
      <c r="L56" s="13">
        <f ca="1">L55-O56*Prices!B56</f>
        <v>0.51751324645026997</v>
      </c>
      <c r="M56" s="4">
        <f t="shared" ca="1" si="1"/>
        <v>0.44744930830067803</v>
      </c>
      <c r="N56" s="13">
        <f ca="1">IF(Prices!B55&gt;OFFSET(Prices!B55,-$N$3,0),1,-1)</f>
        <v>1</v>
      </c>
      <c r="O56" s="4">
        <f ca="1">IF(N56=1,O$3*L55/Prices!B55,-O$3*M55)</f>
        <v>5.1415070086660249E-2</v>
      </c>
      <c r="P56" s="22"/>
      <c r="Q56" s="13">
        <f ca="1">Q55-T56*Prices!B56</f>
        <v>0.55799376670229683</v>
      </c>
      <c r="R56" s="4">
        <f t="shared" ca="1" si="0"/>
        <v>0.40298233745636813</v>
      </c>
      <c r="S56" s="13">
        <f ca="1">IF(Prices!B55&gt;OFFSET(Prices!B55,-S$3,0),1,-1)</f>
        <v>-1</v>
      </c>
      <c r="T56" s="4">
        <f ca="1">IF(S56=1,T$3*Q55/Prices!B55,-T$3*R55)</f>
        <v>-3.9855396012168275E-2</v>
      </c>
      <c r="V56" s="13"/>
      <c r="W56" s="4"/>
      <c r="X56" s="4"/>
      <c r="Y56" s="4"/>
      <c r="Z56" s="4"/>
      <c r="AA56" s="4"/>
      <c r="AB56" s="4"/>
      <c r="AC56" s="4"/>
      <c r="AD56" s="4"/>
      <c r="AE56" s="52"/>
    </row>
    <row r="57" spans="1:31" x14ac:dyDescent="0.2">
      <c r="A57" s="7">
        <v>41763</v>
      </c>
      <c r="B57" s="13">
        <f ca="1">Prices!B56*(1+J57/(50*(ABS(O57)+ABS(T57)+0.0001)))</f>
        <v>1.1113800483000014</v>
      </c>
      <c r="C57" s="62">
        <f t="shared" ca="1" si="3"/>
        <v>1</v>
      </c>
      <c r="D57" s="13">
        <f ca="1">D56+C57*(Prices!B57-Prices!B56)/Prices!B56</f>
        <v>-2.5007609707993345E-2</v>
      </c>
      <c r="E57" s="13">
        <f t="shared" ca="1" si="4"/>
        <v>4.4870428148250319E-2</v>
      </c>
      <c r="F57" s="13">
        <f t="shared" ca="1" si="2"/>
        <v>1.9862818440256971E-2</v>
      </c>
      <c r="G57" s="21">
        <f ca="1">IF((Prices!B57-Prices!B56)*C57&gt;0,1,0)</f>
        <v>1</v>
      </c>
      <c r="H57" s="13">
        <f>ABS(Prices!B57-Prices!B56)/Prices!B56</f>
        <v>6.8554934151182131E-3</v>
      </c>
      <c r="I57" s="21"/>
      <c r="J57" s="4">
        <f t="shared" ca="1" si="5"/>
        <v>1.0413282435193329E-2</v>
      </c>
      <c r="K57" s="13"/>
      <c r="L57" s="13">
        <f ca="1">L56-O57*Prices!B57</f>
        <v>0.46540714093991536</v>
      </c>
      <c r="M57" s="4">
        <f t="shared" ca="1" si="1"/>
        <v>0.49413100110694447</v>
      </c>
      <c r="N57" s="13">
        <f ca="1">IF(Prices!B56&gt;OFFSET(Prices!B56,-$N$3,0),1,-1)</f>
        <v>1</v>
      </c>
      <c r="O57" s="4">
        <f ca="1">IF(N57=1,O$3*L56/Prices!B56,-O$3*M56)</f>
        <v>4.668169280626646E-2</v>
      </c>
      <c r="P57" s="22"/>
      <c r="Q57" s="13">
        <f ca="1">Q56-T57*Prices!B57</f>
        <v>0.59847656635848867</v>
      </c>
      <c r="R57" s="4">
        <f t="shared" ca="1" si="0"/>
        <v>0.36671392708529499</v>
      </c>
      <c r="S57" s="13">
        <f ca="1">IF(Prices!B56&gt;OFFSET(Prices!B56,-S$3,0),1,-1)</f>
        <v>-1</v>
      </c>
      <c r="T57" s="4">
        <f ca="1">IF(S57=1,T$3*Q56/Prices!B56,-T$3*R56)</f>
        <v>-3.6268410371073131E-2</v>
      </c>
      <c r="V57" s="13"/>
      <c r="W57" s="4"/>
      <c r="X57" s="4"/>
      <c r="Y57" s="4"/>
      <c r="Z57" s="4"/>
      <c r="AA57" s="4"/>
      <c r="AB57" s="4"/>
      <c r="AC57" s="4"/>
      <c r="AD57" s="4"/>
      <c r="AE57" s="52"/>
    </row>
    <row r="58" spans="1:31" x14ac:dyDescent="0.2">
      <c r="A58" s="7">
        <v>41770</v>
      </c>
      <c r="B58" s="13">
        <f ca="1">Prices!B57*(1+J58/(50*(ABS(O58)+ABS(T58)+0.0001)))</f>
        <v>1.1187939506672584</v>
      </c>
      <c r="C58" s="62">
        <f t="shared" ca="1" si="3"/>
        <v>1</v>
      </c>
      <c r="D58" s="13">
        <f ca="1">D57+C58*(Prices!B58-Prices!B57)/Prices!B57</f>
        <v>-1.0404491987154802E-2</v>
      </c>
      <c r="E58" s="13">
        <f t="shared" ca="1" si="4"/>
        <v>3.0267310427411771E-2</v>
      </c>
      <c r="F58" s="13">
        <f t="shared" ca="1" si="2"/>
        <v>1.9862818440256971E-2</v>
      </c>
      <c r="G58" s="21">
        <f ca="1">IF((Prices!B58-Prices!B57)*C58&gt;0,1,0)</f>
        <v>1</v>
      </c>
      <c r="H58" s="13">
        <f>ABS(Prices!B58-Prices!B57)/Prices!B57</f>
        <v>1.4603117720838542E-2</v>
      </c>
      <c r="I58" s="21"/>
      <c r="J58" s="4">
        <f t="shared" ca="1" si="5"/>
        <v>8.6914230486086555E-3</v>
      </c>
      <c r="K58" s="13"/>
      <c r="L58" s="13">
        <f ca="1">L57-O58*Prices!B58</f>
        <v>0.41818678731919739</v>
      </c>
      <c r="M58" s="4">
        <f t="shared" ca="1" si="1"/>
        <v>0.53582667759322966</v>
      </c>
      <c r="N58" s="13">
        <f ca="1">IF(Prices!B57&gt;OFFSET(Prices!B57,-$N$3,0),1,-1)</f>
        <v>1</v>
      </c>
      <c r="O58" s="4">
        <f ca="1">IF(N58=1,O$3*L57/Prices!B57,-O$3*M57)</f>
        <v>4.1695676486285201E-2</v>
      </c>
      <c r="P58" s="22"/>
      <c r="Q58" s="13">
        <f ca="1">Q57-T58*Prices!B58</f>
        <v>0.63585388337665738</v>
      </c>
      <c r="R58" s="4">
        <f t="shared" ca="1" si="0"/>
        <v>0.33370967364761844</v>
      </c>
      <c r="S58" s="13">
        <f ca="1">IF(Prices!B57&gt;OFFSET(Prices!B57,-S$3,0),1,-1)</f>
        <v>-1</v>
      </c>
      <c r="T58" s="4">
        <f ca="1">IF(S58=1,T$3*Q57/Prices!B57,-T$3*R57)</f>
        <v>-3.3004253437676545E-2</v>
      </c>
      <c r="V58" s="13"/>
      <c r="W58" s="4"/>
      <c r="X58" s="4"/>
      <c r="Y58" s="4"/>
      <c r="Z58" s="4"/>
      <c r="AA58" s="4"/>
      <c r="AB58" s="4"/>
      <c r="AC58" s="4"/>
      <c r="AD58" s="4"/>
      <c r="AE58" s="52"/>
    </row>
    <row r="59" spans="1:31" x14ac:dyDescent="0.2">
      <c r="A59" s="7">
        <v>41777</v>
      </c>
      <c r="B59" s="13">
        <f ca="1">Prices!B58*(1+J59/(50*(ABS(O59)+ABS(T59)+0.0001)))</f>
        <v>1.1551241312615421</v>
      </c>
      <c r="C59" s="62">
        <f t="shared" ca="1" si="3"/>
        <v>1</v>
      </c>
      <c r="D59" s="13">
        <f ca="1">D58+C59*(Prices!B59-Prices!B58)/Prices!B58</f>
        <v>-2.1618620022475027E-2</v>
      </c>
      <c r="E59" s="13">
        <f t="shared" ca="1" si="4"/>
        <v>4.1481438462732001E-2</v>
      </c>
      <c r="F59" s="13">
        <f t="shared" ca="1" si="2"/>
        <v>1.9862818440256971E-2</v>
      </c>
      <c r="G59" s="21">
        <f ca="1">IF((Prices!B59-Prices!B58)*C59&gt;0,1,0)</f>
        <v>0</v>
      </c>
      <c r="H59" s="13">
        <f>ABS(Prices!B59-Prices!B58)/Prices!B58</f>
        <v>1.1214128035320224E-2</v>
      </c>
      <c r="I59" s="21"/>
      <c r="J59" s="4">
        <f t="shared" ca="1" si="5"/>
        <v>8.745742007577828E-2</v>
      </c>
      <c r="K59" s="13"/>
      <c r="L59" s="13">
        <f ca="1">L58-O59*Prices!B59</f>
        <v>0.37683706860484534</v>
      </c>
      <c r="M59" s="4">
        <f t="shared" ca="1" si="1"/>
        <v>0.57275266322847884</v>
      </c>
      <c r="N59" s="13">
        <f ca="1">IF(Prices!B58&gt;OFFSET(Prices!B58,-$N$3,0),1,-1)</f>
        <v>1</v>
      </c>
      <c r="O59" s="4">
        <f ca="1">IF(N59=1,O$3*L58/Prices!B58,-O$3*M58)</f>
        <v>3.6925985635249223E-2</v>
      </c>
      <c r="P59" s="22"/>
      <c r="Q59" s="13">
        <f ca="1">Q58-T59*Prices!B59</f>
        <v>0.57926878309015295</v>
      </c>
      <c r="R59" s="4">
        <f t="shared" ca="1" si="0"/>
        <v>0.38424110808814749</v>
      </c>
      <c r="S59" s="13">
        <f ca="1">IF(Prices!B58&gt;OFFSET(Prices!B58,-S$3,0),1,-1)</f>
        <v>1</v>
      </c>
      <c r="T59" s="4">
        <f ca="1">IF(S59=1,T$3*Q58/Prices!B58,-T$3*R58)</f>
        <v>5.0531434440529058E-2</v>
      </c>
      <c r="V59" s="13"/>
      <c r="W59" s="4"/>
      <c r="X59" s="4"/>
      <c r="Y59" s="4"/>
      <c r="Z59" s="4"/>
      <c r="AA59" s="4"/>
      <c r="AB59" s="4"/>
      <c r="AC59" s="4"/>
      <c r="AD59" s="4"/>
      <c r="AE59" s="52"/>
    </row>
    <row r="60" spans="1:31" x14ac:dyDescent="0.2">
      <c r="A60" s="7">
        <v>41784</v>
      </c>
      <c r="B60" s="13">
        <f ca="1">Prices!B59*(1+J60/(50*(ABS(O60)+ABS(T60)+0.0001)))</f>
        <v>1.119495354469104</v>
      </c>
      <c r="C60" s="62">
        <f t="shared" ca="1" si="3"/>
        <v>0</v>
      </c>
      <c r="D60" s="13">
        <f ca="1">D59+C60*(Prices!B60-Prices!B59)/Prices!B59</f>
        <v>-2.1618620022475027E-2</v>
      </c>
      <c r="E60" s="13">
        <f t="shared" ca="1" si="4"/>
        <v>4.1481438462732001E-2</v>
      </c>
      <c r="F60" s="13">
        <f t="shared" ca="1" si="2"/>
        <v>1.9862818440256971E-2</v>
      </c>
      <c r="G60" s="21">
        <f ca="1">IF((Prices!B60-Prices!B59)*C60&gt;0,1,0)</f>
        <v>0</v>
      </c>
      <c r="H60" s="13">
        <f>ABS(Prices!B60-Prices!B59)/Prices!B59</f>
        <v>3.7506697624575657E-3</v>
      </c>
      <c r="I60" s="21"/>
      <c r="J60" s="4">
        <f t="shared" ca="1" si="5"/>
        <v>-9.295235710440608E-4</v>
      </c>
      <c r="K60" s="13"/>
      <c r="L60" s="13">
        <f ca="1">L59-O60*Prices!B60</f>
        <v>0.33929470088421976</v>
      </c>
      <c r="M60" s="4">
        <f t="shared" ca="1" si="1"/>
        <v>0.60640483938536804</v>
      </c>
      <c r="N60" s="13">
        <f ca="1">IF(Prices!B59&gt;OFFSET(Prices!B59,-$N$3,0),1,-1)</f>
        <v>1</v>
      </c>
      <c r="O60" s="4">
        <f ca="1">IF(N60=1,O$3*L59/Prices!B59,-O$3*M59)</f>
        <v>3.3652176156889209E-2</v>
      </c>
      <c r="P60" s="22"/>
      <c r="Q60" s="13">
        <f ca="1">Q59-T60*Prices!B60</f>
        <v>0.6178481273066353</v>
      </c>
      <c r="R60" s="4">
        <f t="shared" ca="1" si="0"/>
        <v>0.3496594083602142</v>
      </c>
      <c r="S60" s="13">
        <f ca="1">IF(Prices!B59&gt;OFFSET(Prices!B59,-S$3,0),1,-1)</f>
        <v>-1</v>
      </c>
      <c r="T60" s="4">
        <f ca="1">IF(S60=1,T$3*Q59/Prices!B59,-T$3*R59)</f>
        <v>-3.458169972793327E-2</v>
      </c>
      <c r="V60" s="13"/>
      <c r="W60" s="4"/>
      <c r="X60" s="4"/>
      <c r="Y60" s="4"/>
      <c r="Z60" s="4"/>
      <c r="AA60" s="4"/>
      <c r="AB60" s="4"/>
      <c r="AC60" s="4"/>
      <c r="AD60" s="4"/>
      <c r="AE60" s="52"/>
    </row>
    <row r="61" spans="1:31" x14ac:dyDescent="0.2">
      <c r="A61" s="7">
        <v>41791</v>
      </c>
      <c r="B61" s="13">
        <f ca="1">Prices!B60*(1+J61/(50*(ABS(O61)+ABS(T61)+0.0001)))</f>
        <v>1.1152199818744841</v>
      </c>
      <c r="C61" s="62">
        <f t="shared" ca="1" si="3"/>
        <v>0</v>
      </c>
      <c r="D61" s="13">
        <f ca="1">D60+C61*(Prices!B61-Prices!B60)/Prices!B60</f>
        <v>-2.1618620022475027E-2</v>
      </c>
      <c r="E61" s="13">
        <f t="shared" ca="1" si="4"/>
        <v>4.1481438462732001E-2</v>
      </c>
      <c r="F61" s="13">
        <f t="shared" ca="1" si="2"/>
        <v>1.9862818440256971E-2</v>
      </c>
      <c r="G61" s="21">
        <f ca="1">IF((Prices!B61-Prices!B60)*C61&gt;0,1,0)</f>
        <v>0</v>
      </c>
      <c r="H61" s="13">
        <f>ABS(Prices!B61-Prices!B60)/Prices!B60</f>
        <v>6.902115453567623E-3</v>
      </c>
      <c r="I61" s="21"/>
      <c r="J61" s="4">
        <f t="shared" ca="1" si="5"/>
        <v>-1.0556948266197269E-3</v>
      </c>
      <c r="K61" s="13"/>
      <c r="L61" s="13">
        <f ca="1">L60-O61*Prices!B61</f>
        <v>0.3051310456759691</v>
      </c>
      <c r="M61" s="4">
        <f t="shared" ca="1" si="1"/>
        <v>0.63681849131116763</v>
      </c>
      <c r="N61" s="13">
        <f ca="1">IF(Prices!B60&gt;OFFSET(Prices!B60,-$N$3,0),1,-1)</f>
        <v>1</v>
      </c>
      <c r="O61" s="4">
        <f ca="1">IF(N61=1,O$3*L60/Prices!B60,-O$3*M60)</f>
        <v>3.0413651925799548E-2</v>
      </c>
      <c r="P61" s="22"/>
      <c r="Q61" s="13">
        <f ca="1">Q60-T61*Prices!B61</f>
        <v>0.65319764451362783</v>
      </c>
      <c r="R61" s="4">
        <f t="shared" ca="1" si="0"/>
        <v>0.31819006160779495</v>
      </c>
      <c r="S61" s="13">
        <f ca="1">IF(Prices!B60&gt;OFFSET(Prices!B60,-S$3,0),1,-1)</f>
        <v>-1</v>
      </c>
      <c r="T61" s="4">
        <f ca="1">IF(S61=1,T$3*Q60/Prices!B60,-T$3*R60)</f>
        <v>-3.1469346752419275E-2</v>
      </c>
      <c r="V61" s="13"/>
      <c r="W61" s="4"/>
      <c r="X61" s="4"/>
      <c r="Y61" s="4"/>
      <c r="Z61" s="4"/>
      <c r="AA61" s="4"/>
      <c r="AB61" s="4"/>
      <c r="AC61" s="4"/>
      <c r="AD61" s="4"/>
      <c r="AE61" s="52"/>
    </row>
    <row r="62" spans="1:31" x14ac:dyDescent="0.2">
      <c r="A62" s="7">
        <v>41798</v>
      </c>
      <c r="B62" s="13">
        <f ca="1">Prices!B61*(1+J62/(50*(ABS(O62)+ABS(T62)+0.0001)))</f>
        <v>1.1227078965758894</v>
      </c>
      <c r="C62" s="62">
        <f t="shared" ca="1" si="3"/>
        <v>0</v>
      </c>
      <c r="D62" s="13">
        <f ca="1">D61+C62*(Prices!B62-Prices!B61)/Prices!B61</f>
        <v>-2.1618620022475027E-2</v>
      </c>
      <c r="E62" s="13">
        <f t="shared" ca="1" si="4"/>
        <v>4.1481438462732001E-2</v>
      </c>
      <c r="F62" s="13">
        <f t="shared" ca="1" si="2"/>
        <v>1.9862818440256971E-2</v>
      </c>
      <c r="G62" s="21">
        <f ca="1">IF((Prices!B62-Prices!B61)*C62&gt;0,1,0)</f>
        <v>0</v>
      </c>
      <c r="H62" s="13">
        <f>ABS(Prices!B62-Prices!B61)/Prices!B61</f>
        <v>6.9438262262975425E-3</v>
      </c>
      <c r="I62" s="21"/>
      <c r="J62" s="4">
        <f t="shared" ca="1" si="5"/>
        <v>-1.4732983982607764E-3</v>
      </c>
      <c r="K62" s="13"/>
      <c r="L62" s="13">
        <f ca="1">L61-O62*Prices!B62</f>
        <v>0.27482981880411445</v>
      </c>
      <c r="M62" s="4">
        <f t="shared" ca="1" si="1"/>
        <v>0.66398229845760837</v>
      </c>
      <c r="N62" s="13">
        <f ca="1">IF(Prices!B61&gt;OFFSET(Prices!B61,-$N$3,0),1,-1)</f>
        <v>1</v>
      </c>
      <c r="O62" s="4">
        <f ca="1">IF(N62=1,O$3*L61/Prices!B61,-O$3*M61)</f>
        <v>2.7163807146440767E-2</v>
      </c>
      <c r="P62" s="22"/>
      <c r="Q62" s="13">
        <f ca="1">Q61-T62*Prices!B62</f>
        <v>0.68514233574874239</v>
      </c>
      <c r="R62" s="4">
        <f t="shared" ca="1" si="0"/>
        <v>0.28955295606309339</v>
      </c>
      <c r="S62" s="13">
        <f ca="1">IF(Prices!B61&gt;OFFSET(Prices!B61,-S$3,0),1,-1)</f>
        <v>-1</v>
      </c>
      <c r="T62" s="4">
        <f ca="1">IF(S62=1,T$3*Q61/Prices!B61,-T$3*R61)</f>
        <v>-2.8637105544701544E-2</v>
      </c>
      <c r="V62" s="13"/>
      <c r="W62" s="4"/>
      <c r="X62" s="4"/>
      <c r="Y62" s="4"/>
      <c r="Z62" s="4"/>
      <c r="AA62" s="4"/>
      <c r="AB62" s="4"/>
      <c r="AC62" s="4"/>
      <c r="AD62" s="4"/>
      <c r="AE62" s="52"/>
    </row>
    <row r="63" spans="1:31" x14ac:dyDescent="0.2">
      <c r="A63" s="7">
        <v>41805</v>
      </c>
      <c r="B63" s="13">
        <f ca="1">Prices!B62*(1+J63/(50*(ABS(O63)+ABS(T63)+0.0001)))</f>
        <v>1.1134627556515677</v>
      </c>
      <c r="C63" s="62">
        <f t="shared" ca="1" si="3"/>
        <v>0</v>
      </c>
      <c r="D63" s="13">
        <f ca="1">D62+C63*(Prices!B63-Prices!B62)/Prices!B62</f>
        <v>-2.1618620022475027E-2</v>
      </c>
      <c r="E63" s="13">
        <f t="shared" ca="1" si="4"/>
        <v>4.1481438462732001E-2</v>
      </c>
      <c r="F63" s="13">
        <f t="shared" ca="1" si="2"/>
        <v>1.9862818440256971E-2</v>
      </c>
      <c r="G63" s="21">
        <f ca="1">IF((Prices!B63-Prices!B62)*C63&gt;0,1,0)</f>
        <v>0</v>
      </c>
      <c r="H63" s="13">
        <f>ABS(Prices!B63-Prices!B62)/Prices!B62</f>
        <v>6.3648588077096432E-3</v>
      </c>
      <c r="I63" s="21"/>
      <c r="J63" s="4">
        <f t="shared" ca="1" si="5"/>
        <v>-1.1120049462626083E-2</v>
      </c>
      <c r="K63" s="13"/>
      <c r="L63" s="13">
        <f ca="1">L62-O63*Prices!B63</f>
        <v>0.34936847162896556</v>
      </c>
      <c r="M63" s="4">
        <f t="shared" ca="1" si="1"/>
        <v>0.59758406861184754</v>
      </c>
      <c r="N63" s="13">
        <f ca="1">IF(Prices!B62&gt;OFFSET(Prices!B62,-$N$3,0),1,-1)</f>
        <v>-1</v>
      </c>
      <c r="O63" s="4">
        <f ca="1">IF(N63=1,O$3*L62/Prices!B62,-O$3*M62)</f>
        <v>-6.6398229845760839E-2</v>
      </c>
      <c r="P63" s="22"/>
      <c r="Q63" s="13">
        <f ca="1">Q62-T63*Prices!B63</f>
        <v>0.62308705045063528</v>
      </c>
      <c r="R63" s="4">
        <f t="shared" ca="1" si="0"/>
        <v>0.34483113644622815</v>
      </c>
      <c r="S63" s="13">
        <f ca="1">IF(Prices!B62&gt;OFFSET(Prices!B62,-S$3,0),1,-1)</f>
        <v>1</v>
      </c>
      <c r="T63" s="4">
        <f ca="1">IF(S63=1,T$3*Q62/Prices!B62,-T$3*R62)</f>
        <v>5.5278180383134756E-2</v>
      </c>
      <c r="V63" s="13"/>
      <c r="W63" s="4"/>
      <c r="X63" s="4"/>
      <c r="Y63" s="4"/>
      <c r="Z63" s="4"/>
      <c r="AA63" s="4"/>
      <c r="AB63" s="4"/>
      <c r="AC63" s="4"/>
      <c r="AD63" s="4"/>
      <c r="AE63" s="52"/>
    </row>
    <row r="64" spans="1:31" x14ac:dyDescent="0.2">
      <c r="A64" s="7">
        <v>41812</v>
      </c>
      <c r="B64" s="13">
        <f ca="1">Prices!B63*(1+J64/(50*(ABS(O64)+ABS(T64)+0.0001)))</f>
        <v>1.1450243412036782</v>
      </c>
      <c r="C64" s="62">
        <f t="shared" ca="1" si="3"/>
        <v>1</v>
      </c>
      <c r="D64" s="13">
        <f ca="1">D63+C64*(Prices!B64-Prices!B63)/Prices!B63</f>
        <v>-2.0816909707135723E-2</v>
      </c>
      <c r="E64" s="13">
        <f t="shared" ca="1" si="4"/>
        <v>4.0679728147392694E-2</v>
      </c>
      <c r="F64" s="13">
        <f t="shared" ca="1" si="2"/>
        <v>1.9862818440256971E-2</v>
      </c>
      <c r="G64" s="21">
        <f ca="1">IF((Prices!B64-Prices!B63)*C64&gt;0,1,0)</f>
        <v>1</v>
      </c>
      <c r="H64" s="13">
        <f>ABS(Prices!B64-Prices!B63)/Prices!B63</f>
        <v>8.0171031533930238E-4</v>
      </c>
      <c r="I64" s="21"/>
      <c r="J64" s="4">
        <f t="shared" ca="1" si="5"/>
        <v>8.1074899076655729E-2</v>
      </c>
      <c r="K64" s="13"/>
      <c r="L64" s="13">
        <f ca="1">L63-O64*Prices!B64</f>
        <v>0.31440361523531307</v>
      </c>
      <c r="M64" s="4">
        <f t="shared" ca="1" si="1"/>
        <v>0.62870543611843632</v>
      </c>
      <c r="N64" s="13">
        <f ca="1">IF(Prices!B63&gt;OFFSET(Prices!B63,-$N$3,0),1,-1)</f>
        <v>1</v>
      </c>
      <c r="O64" s="4">
        <f ca="1">IF(N64=1,O$3*L63/Prices!B63,-O$3*M63)</f>
        <v>3.1121367506588771E-2</v>
      </c>
      <c r="P64" s="22"/>
      <c r="Q64" s="13">
        <f ca="1">Q63-T64*Prices!B64</f>
        <v>0.56696425773166503</v>
      </c>
      <c r="R64" s="4">
        <f t="shared" ca="1" si="0"/>
        <v>0.39478466801629508</v>
      </c>
      <c r="S64" s="13">
        <f ca="1">IF(Prices!B63&gt;OFFSET(Prices!B63,-S$3,0),1,-1)</f>
        <v>1</v>
      </c>
      <c r="T64" s="4">
        <f ca="1">IF(S64=1,T$3*Q63/Prices!B63,-T$3*R63)</f>
        <v>4.9953531570066961E-2</v>
      </c>
      <c r="V64" s="13"/>
      <c r="W64" s="4"/>
      <c r="X64" s="4"/>
      <c r="Y64" s="4"/>
      <c r="Z64" s="4"/>
      <c r="AA64" s="4"/>
      <c r="AB64" s="4"/>
      <c r="AC64" s="4"/>
      <c r="AD64" s="4"/>
      <c r="AE64" s="52"/>
    </row>
    <row r="65" spans="1:31" x14ac:dyDescent="0.2">
      <c r="A65" s="7">
        <v>41819</v>
      </c>
      <c r="B65" s="13">
        <f ca="1">Prices!B64*(1+J65/(50*(ABS(O65)+ABS(T65)+0.0001)))</f>
        <v>1.1459394294024372</v>
      </c>
      <c r="C65" s="62">
        <f t="shared" ca="1" si="3"/>
        <v>1</v>
      </c>
      <c r="D65" s="13">
        <f ca="1">D64+C65*(Prices!B65-Prices!B64)/Prices!B64</f>
        <v>-2.3843166939000297E-2</v>
      </c>
      <c r="E65" s="13">
        <f t="shared" ca="1" si="4"/>
        <v>4.3705985379257267E-2</v>
      </c>
      <c r="F65" s="13">
        <f t="shared" ca="1" si="2"/>
        <v>1.9862818440256971E-2</v>
      </c>
      <c r="G65" s="21">
        <f ca="1">IF((Prices!B65-Prices!B64)*C65&gt;0,1,0)</f>
        <v>0</v>
      </c>
      <c r="H65" s="13">
        <f>ABS(Prices!B65-Prices!B64)/Prices!B64</f>
        <v>3.0262572318645732E-3</v>
      </c>
      <c r="I65" s="21"/>
      <c r="J65" s="4">
        <f t="shared" ca="1" si="5"/>
        <v>7.3401997970076696E-2</v>
      </c>
      <c r="K65" s="13"/>
      <c r="L65" s="13">
        <f ca="1">L64-O65*Prices!B65</f>
        <v>0.28305840033321478</v>
      </c>
      <c r="M65" s="4">
        <f t="shared" ca="1" si="1"/>
        <v>0.65668973653991503</v>
      </c>
      <c r="N65" s="13">
        <f ca="1">IF(Prices!B64&gt;OFFSET(Prices!B64,-$N$3,0),1,-1)</f>
        <v>1</v>
      </c>
      <c r="O65" s="4">
        <f ca="1">IF(N65=1,O$3*L64/Prices!B64,-O$3*M64)</f>
        <v>2.7984300421478692E-2</v>
      </c>
      <c r="P65" s="22"/>
      <c r="Q65" s="13">
        <f ca="1">Q64-T65*Prices!B65</f>
        <v>0.5160918947074804</v>
      </c>
      <c r="R65" s="4">
        <f t="shared" ca="1" si="0"/>
        <v>0.44020236556489306</v>
      </c>
      <c r="S65" s="13">
        <f ca="1">IF(Prices!B64&gt;OFFSET(Prices!B64,-S$3,0),1,-1)</f>
        <v>1</v>
      </c>
      <c r="T65" s="4">
        <f ca="1">IF(S65=1,T$3*Q64/Prices!B64,-T$3*R64)</f>
        <v>4.5417697548598E-2</v>
      </c>
      <c r="V65" s="13"/>
      <c r="W65" s="4"/>
      <c r="X65" s="4"/>
      <c r="Y65" s="4"/>
      <c r="Z65" s="4"/>
      <c r="AA65" s="4"/>
      <c r="AB65" s="4"/>
      <c r="AC65" s="4"/>
      <c r="AD65" s="4"/>
      <c r="AE65" s="52"/>
    </row>
    <row r="66" spans="1:31" x14ac:dyDescent="0.2">
      <c r="A66" s="7">
        <v>41826</v>
      </c>
      <c r="B66" s="13">
        <f ca="1">Prices!B65*(1+J66/(50*(ABS(O66)+ABS(T66)+0.0001)))</f>
        <v>1.1150443640324295</v>
      </c>
      <c r="C66" s="62">
        <f t="shared" ca="1" si="3"/>
        <v>0</v>
      </c>
      <c r="D66" s="13">
        <f ca="1">D65+C66*(Prices!B66-Prices!B65)/Prices!B65</f>
        <v>-2.3843166939000297E-2</v>
      </c>
      <c r="E66" s="13">
        <f t="shared" ca="1" si="4"/>
        <v>4.3705985379257267E-2</v>
      </c>
      <c r="F66" s="13">
        <f t="shared" ca="1" si="2"/>
        <v>1.9862818440256971E-2</v>
      </c>
      <c r="G66" s="21">
        <f ca="1">IF((Prices!B66-Prices!B65)*C66&gt;0,1,0)</f>
        <v>0</v>
      </c>
      <c r="H66" s="13">
        <f>ABS(Prices!B66-Prices!B65)/Prices!B65</f>
        <v>2.0444603160432229E-2</v>
      </c>
      <c r="I66" s="21"/>
      <c r="J66" s="4">
        <f t="shared" ca="1" si="5"/>
        <v>-2.4201006040677306E-2</v>
      </c>
      <c r="K66" s="13"/>
      <c r="L66" s="13">
        <f ca="1">L65-O66*Prices!B66</f>
        <v>0.35511039822637425</v>
      </c>
      <c r="M66" s="4">
        <f t="shared" ca="1" si="1"/>
        <v>0.59102076288592353</v>
      </c>
      <c r="N66" s="13">
        <f ca="1">IF(Prices!B65&gt;OFFSET(Prices!B65,-$N$3,0),1,-1)</f>
        <v>-1</v>
      </c>
      <c r="O66" s="4">
        <f ca="1">IF(N66=1,O$3*L65/Prices!B65,-O$3*M65)</f>
        <v>-6.5668973653991505E-2</v>
      </c>
      <c r="P66" s="22"/>
      <c r="Q66" s="13">
        <f ca="1">Q65-T66*Prices!B66</f>
        <v>0.47059324064215208</v>
      </c>
      <c r="R66" s="4">
        <f t="shared" ca="1" si="0"/>
        <v>0.48167033317820729</v>
      </c>
      <c r="S66" s="13">
        <f ca="1">IF(Prices!B65&gt;OFFSET(Prices!B65,-S$3,0),1,-1)</f>
        <v>1</v>
      </c>
      <c r="T66" s="4">
        <f ca="1">IF(S66=1,T$3*Q65/Prices!B65,-T$3*R65)</f>
        <v>4.1467967613314199E-2</v>
      </c>
      <c r="V66" s="13"/>
      <c r="W66" s="4"/>
      <c r="X66" s="4"/>
      <c r="Y66" s="4"/>
      <c r="Z66" s="4"/>
      <c r="AA66" s="4"/>
      <c r="AB66" s="4"/>
      <c r="AC66" s="4"/>
      <c r="AD66" s="4"/>
      <c r="AE66" s="52"/>
    </row>
    <row r="67" spans="1:31" x14ac:dyDescent="0.2">
      <c r="A67" s="7">
        <v>41833</v>
      </c>
      <c r="B67" s="13">
        <f ca="1">Prices!B66*(1+J67/(50*(ABS(O67)+ABS(T67)+0.0001)))</f>
        <v>1.0752773978401844</v>
      </c>
      <c r="C67" s="62">
        <f t="shared" ca="1" si="3"/>
        <v>0</v>
      </c>
      <c r="D67" s="13">
        <f ca="1">D66+C67*(Prices!B67-Prices!B66)/Prices!B66</f>
        <v>-2.3843166939000297E-2</v>
      </c>
      <c r="E67" s="13">
        <f t="shared" ca="1" si="4"/>
        <v>4.3705985379257267E-2</v>
      </c>
      <c r="F67" s="13">
        <f t="shared" ca="1" si="2"/>
        <v>1.9862818440256971E-2</v>
      </c>
      <c r="G67" s="21">
        <f ca="1">IF((Prices!B67-Prices!B66)*C67&gt;0,1,0)</f>
        <v>0</v>
      </c>
      <c r="H67" s="13">
        <f>ABS(Prices!B67-Prices!B66)/Prices!B66</f>
        <v>8.0204156033539184E-3</v>
      </c>
      <c r="I67" s="21"/>
      <c r="J67" s="4">
        <f t="shared" ca="1" si="5"/>
        <v>-0.10245240627463101</v>
      </c>
      <c r="K67" s="13"/>
      <c r="L67" s="13">
        <f ca="1">L66-O67*Prices!B67</f>
        <v>0.41943709805887819</v>
      </c>
      <c r="M67" s="4">
        <f t="shared" ca="1" si="1"/>
        <v>0.53191868659733121</v>
      </c>
      <c r="N67" s="13">
        <f ca="1">IF(Prices!B66&gt;OFFSET(Prices!B66,-$N$3,0),1,-1)</f>
        <v>-1</v>
      </c>
      <c r="O67" s="4">
        <f ca="1">IF(N67=1,O$3*L66/Prices!B66,-O$3*M66)</f>
        <v>-5.9102076288592355E-2</v>
      </c>
      <c r="P67" s="22"/>
      <c r="Q67" s="13">
        <f ca="1">Q66-T67*Prices!B67</f>
        <v>0.51777573979895652</v>
      </c>
      <c r="R67" s="4">
        <f t="shared" ca="1" si="0"/>
        <v>0.43832000319216863</v>
      </c>
      <c r="S67" s="13">
        <f ca="1">IF(Prices!B66&gt;OFFSET(Prices!B66,-S$3,0),1,-1)</f>
        <v>-1</v>
      </c>
      <c r="T67" s="4">
        <f ca="1">IF(S67=1,T$3*Q66/Prices!B66,-T$3*R66)</f>
        <v>-4.3350329986038653E-2</v>
      </c>
      <c r="V67" s="13"/>
      <c r="W67" s="4"/>
      <c r="X67" s="4"/>
      <c r="Y67" s="4"/>
      <c r="Z67" s="4"/>
      <c r="AA67" s="4"/>
      <c r="AB67" s="4"/>
      <c r="AC67" s="4"/>
      <c r="AD67" s="4"/>
      <c r="AE67" s="52"/>
    </row>
    <row r="68" spans="1:31" x14ac:dyDescent="0.2">
      <c r="A68" s="7">
        <v>41840</v>
      </c>
      <c r="B68" s="13">
        <f ca="1">Prices!B67*(1+J68/(50*(ABS(O68)+ABS(T68)+0.0001)))</f>
        <v>1.0666554719031545</v>
      </c>
      <c r="C68" s="62">
        <f t="shared" ca="1" si="3"/>
        <v>0</v>
      </c>
      <c r="D68" s="13">
        <f ca="1">D67+C68*(Prices!B68-Prices!B67)/Prices!B67</f>
        <v>-2.3843166939000297E-2</v>
      </c>
      <c r="E68" s="13">
        <f t="shared" ca="1" si="4"/>
        <v>4.3705985379257267E-2</v>
      </c>
      <c r="F68" s="13">
        <f t="shared" ca="1" si="2"/>
        <v>1.9862818440256971E-2</v>
      </c>
      <c r="G68" s="21">
        <f ca="1">IF((Prices!B68-Prices!B67)*C68&gt;0,1,0)</f>
        <v>0</v>
      </c>
      <c r="H68" s="13">
        <f>ABS(Prices!B68-Prices!B67)/Prices!B67</f>
        <v>9.279676589489156E-3</v>
      </c>
      <c r="I68" s="21"/>
      <c r="J68" s="4">
        <f t="shared" ca="1" si="5"/>
        <v>-9.2640668947028298E-2</v>
      </c>
      <c r="K68" s="13"/>
      <c r="L68" s="13">
        <f ca="1">L67-O68*Prices!B68</f>
        <v>0.47786836578159503</v>
      </c>
      <c r="M68" s="4">
        <f t="shared" ca="1" si="1"/>
        <v>0.47872681793759808</v>
      </c>
      <c r="N68" s="13">
        <f ca="1">IF(Prices!B67&gt;OFFSET(Prices!B67,-$N$3,0),1,-1)</f>
        <v>-1</v>
      </c>
      <c r="O68" s="4">
        <f ca="1">IF(N68=1,O$3*L67/Prices!B67,-O$3*M67)</f>
        <v>-5.3191868659733126E-2</v>
      </c>
      <c r="P68" s="22"/>
      <c r="Q68" s="13">
        <f ca="1">Q67-T68*Prices!B68</f>
        <v>0.56111024691455025</v>
      </c>
      <c r="R68" s="4">
        <f t="shared" ca="1" si="0"/>
        <v>0.39887120290487343</v>
      </c>
      <c r="S68" s="13">
        <f ca="1">IF(Prices!B67&gt;OFFSET(Prices!B67,-S$3,0),1,-1)</f>
        <v>-1</v>
      </c>
      <c r="T68" s="4">
        <f ca="1">IF(S68=1,T$3*Q67/Prices!B67,-T$3*R67)</f>
        <v>-3.9448800287295173E-2</v>
      </c>
      <c r="V68" s="13"/>
      <c r="W68" s="4"/>
      <c r="X68" s="4"/>
      <c r="Y68" s="4"/>
      <c r="Z68" s="4"/>
      <c r="AA68" s="4"/>
      <c r="AB68" s="4"/>
      <c r="AC68" s="4"/>
      <c r="AD68" s="4"/>
      <c r="AE68" s="52"/>
    </row>
    <row r="69" spans="1:31" x14ac:dyDescent="0.2">
      <c r="A69" s="7">
        <v>41847</v>
      </c>
      <c r="B69" s="13">
        <f ca="1">Prices!B68*(1+J69/(50*(ABS(O69)+ABS(T69)+0.0001)))</f>
        <v>1.0765561949617986</v>
      </c>
      <c r="C69" s="62">
        <f t="shared" ca="1" si="3"/>
        <v>0</v>
      </c>
      <c r="D69" s="13">
        <f ca="1">D68+C69*(Prices!B69-Prices!B68)/Prices!B68</f>
        <v>-2.3843166939000297E-2</v>
      </c>
      <c r="E69" s="13">
        <f t="shared" ca="1" si="4"/>
        <v>4.3705985379257267E-2</v>
      </c>
      <c r="F69" s="13">
        <f t="shared" ca="1" si="2"/>
        <v>1.9862818440256971E-2</v>
      </c>
      <c r="G69" s="21">
        <f ca="1">IF((Prices!B69-Prices!B68)*C69&gt;0,1,0)</f>
        <v>0</v>
      </c>
      <c r="H69" s="13">
        <f>ABS(Prices!B69-Prices!B68)/Prices!B68</f>
        <v>1.4201183431952716E-2</v>
      </c>
      <c r="I69" s="21"/>
      <c r="J69" s="4">
        <f t="shared" ca="1" si="5"/>
        <v>-8.3771090055198422E-2</v>
      </c>
      <c r="K69" s="13"/>
      <c r="L69" s="13">
        <f ca="1">L68-O69*Prices!B69</f>
        <v>0.53120332056802289</v>
      </c>
      <c r="M69" s="4">
        <f t="shared" ca="1" si="1"/>
        <v>0.43085413614383827</v>
      </c>
      <c r="N69" s="13">
        <f ca="1">IF(Prices!B68&gt;OFFSET(Prices!B68,-$N$3,0),1,-1)</f>
        <v>-1</v>
      </c>
      <c r="O69" s="4">
        <f ca="1">IF(N69=1,O$3*L68/Prices!B68,-O$3*M68)</f>
        <v>-4.7872681793759808E-2</v>
      </c>
      <c r="P69" s="22"/>
      <c r="Q69" s="13">
        <f ca="1">Q68-T69*Prices!B69</f>
        <v>0.60110466355861902</v>
      </c>
      <c r="R69" s="4">
        <f t="shared" ref="R69:R132" ca="1" si="6">R68+T69</f>
        <v>0.36297279464343485</v>
      </c>
      <c r="S69" s="13">
        <f ca="1">IF(Prices!B68&gt;OFFSET(Prices!B68,-S$3,0),1,-1)</f>
        <v>-1</v>
      </c>
      <c r="T69" s="4">
        <f ca="1">IF(S69=1,T$3*Q68/Prices!B68,-T$3*R68)</f>
        <v>-3.5898408261438607E-2</v>
      </c>
      <c r="V69" s="13"/>
      <c r="W69" s="4"/>
      <c r="X69" s="4"/>
      <c r="Y69" s="4"/>
      <c r="Z69" s="4"/>
      <c r="AA69" s="4"/>
      <c r="AB69" s="4"/>
      <c r="AC69" s="4"/>
      <c r="AD69" s="4"/>
      <c r="AE69" s="52"/>
    </row>
    <row r="70" spans="1:31" x14ac:dyDescent="0.2">
      <c r="A70" s="7">
        <v>41854</v>
      </c>
      <c r="B70" s="13">
        <f ca="1">Prices!B69*(1+J70/(50*(ABS(O70)+ABS(T70)+0.0001)))</f>
        <v>1.0918473752524522</v>
      </c>
      <c r="C70" s="62">
        <f t="shared" ca="1" si="3"/>
        <v>0</v>
      </c>
      <c r="D70" s="13">
        <f ca="1">D69+C70*(Prices!B70-Prices!B69)/Prices!B69</f>
        <v>-2.3843166939000297E-2</v>
      </c>
      <c r="E70" s="13">
        <f t="shared" ca="1" si="4"/>
        <v>4.3705985379257267E-2</v>
      </c>
      <c r="F70" s="13">
        <f t="shared" ca="1" si="2"/>
        <v>1.9862818440256971E-2</v>
      </c>
      <c r="G70" s="21">
        <f ca="1">IF((Prices!B70-Prices!B69)*C70&gt;0,1,0)</f>
        <v>0</v>
      </c>
      <c r="H70" s="13">
        <f>ABS(Prices!B70-Prices!B69)/Prices!B69</f>
        <v>2.5670945157526416E-2</v>
      </c>
      <c r="I70" s="21"/>
      <c r="J70" s="4">
        <f t="shared" ca="1" si="5"/>
        <v>-7.575296513229296E-2</v>
      </c>
      <c r="K70" s="13"/>
      <c r="L70" s="13">
        <f ca="1">L69-O70*Prices!B70</f>
        <v>0.57797253704643659</v>
      </c>
      <c r="M70" s="4">
        <f t="shared" ca="1" si="1"/>
        <v>0.38776872252945443</v>
      </c>
      <c r="N70" s="13">
        <f ca="1">IF(Prices!B69&gt;OFFSET(Prices!B69,-$N$3,0),1,-1)</f>
        <v>-1</v>
      </c>
      <c r="O70" s="4">
        <f ca="1">IF(N70=1,O$3*L69/Prices!B69,-O$3*M69)</f>
        <v>-4.3085413614383831E-2</v>
      </c>
      <c r="P70" s="22"/>
      <c r="Q70" s="13">
        <f ca="1">Q69-T70*Prices!B70</f>
        <v>0.63656529073130941</v>
      </c>
      <c r="R70" s="4">
        <f t="shared" ca="1" si="6"/>
        <v>0.33030524312552573</v>
      </c>
      <c r="S70" s="13">
        <f ca="1">IF(Prices!B69&gt;OFFSET(Prices!B69,-S$3,0),1,-1)</f>
        <v>-1</v>
      </c>
      <c r="T70" s="4">
        <f ca="1">IF(S70=1,T$3*Q69/Prices!B69,-T$3*R69)</f>
        <v>-3.2667551517909135E-2</v>
      </c>
      <c r="V70" s="13"/>
      <c r="W70" s="4"/>
      <c r="X70" s="4"/>
      <c r="Y70" s="4"/>
      <c r="Z70" s="4"/>
      <c r="AA70" s="4"/>
      <c r="AB70" s="4"/>
      <c r="AC70" s="4"/>
      <c r="AD70" s="4"/>
      <c r="AE70" s="52"/>
    </row>
    <row r="71" spans="1:31" x14ac:dyDescent="0.2">
      <c r="A71" s="7">
        <v>41861</v>
      </c>
      <c r="B71" s="13">
        <f ca="1">Prices!B70*(1+J71/(50*(ABS(O71)+ABS(T71)+0.0001)))</f>
        <v>1.0638216452263685</v>
      </c>
      <c r="C71" s="62">
        <f t="shared" ca="1" si="3"/>
        <v>0</v>
      </c>
      <c r="D71" s="13">
        <f ca="1">D70+C71*(Prices!B71-Prices!B70)/Prices!B70</f>
        <v>-2.3843166939000297E-2</v>
      </c>
      <c r="E71" s="13">
        <f t="shared" ca="1" si="4"/>
        <v>4.3705985379257267E-2</v>
      </c>
      <c r="F71" s="13">
        <f t="shared" ca="1" si="2"/>
        <v>1.9862818440256971E-2</v>
      </c>
      <c r="G71" s="21">
        <f ca="1">IF((Prices!B71-Prices!B70)*C71&gt;0,1,0)</f>
        <v>0</v>
      </c>
      <c r="H71" s="13">
        <f>ABS(Prices!B71-Prices!B70)/Prices!B70</f>
        <v>2.4596959926301197E-2</v>
      </c>
      <c r="I71" s="21"/>
      <c r="J71" s="4">
        <f t="shared" ca="1" si="5"/>
        <v>-6.8504344134242764E-2</v>
      </c>
      <c r="K71" s="13"/>
      <c r="L71" s="13">
        <f ca="1">L70-O71*Prices!B71</f>
        <v>0.61902948938785518</v>
      </c>
      <c r="M71" s="4">
        <f t="shared" ca="1" si="1"/>
        <v>0.34899185027650897</v>
      </c>
      <c r="N71" s="13">
        <f ca="1">IF(Prices!B70&gt;OFFSET(Prices!B70,-$N$3,0),1,-1)</f>
        <v>-1</v>
      </c>
      <c r="O71" s="4">
        <f ca="1">IF(N71=1,O$3*L70/Prices!B70,-O$3*M70)</f>
        <v>-3.8776872252945446E-2</v>
      </c>
      <c r="P71" s="22"/>
      <c r="Q71" s="13">
        <f ca="1">Q70-T71*Prices!B71</f>
        <v>0.66804073795922703</v>
      </c>
      <c r="R71" s="4">
        <f t="shared" ca="1" si="6"/>
        <v>0.30057777124422841</v>
      </c>
      <c r="S71" s="13">
        <f ca="1">IF(Prices!B70&gt;OFFSET(Prices!B70,-S$3,0),1,-1)</f>
        <v>-1</v>
      </c>
      <c r="T71" s="4">
        <f ca="1">IF(S71=1,T$3*Q70/Prices!B70,-T$3*R70)</f>
        <v>-2.9727471881297315E-2</v>
      </c>
      <c r="V71" s="13"/>
      <c r="W71" s="4"/>
      <c r="X71" s="4"/>
      <c r="Y71" s="4"/>
      <c r="Z71" s="4"/>
      <c r="AA71" s="4"/>
      <c r="AB71" s="4"/>
      <c r="AC71" s="4"/>
      <c r="AD71" s="4"/>
      <c r="AE71" s="52"/>
    </row>
    <row r="72" spans="1:31" x14ac:dyDescent="0.2">
      <c r="A72" s="7">
        <v>41868</v>
      </c>
      <c r="B72" s="13">
        <f ca="1">Prices!B71*(1+J72/(50*(ABS(O72)+ABS(T72)+0.0001)))</f>
        <v>1.0376581266652543</v>
      </c>
      <c r="C72" s="62">
        <f t="shared" ca="1" si="3"/>
        <v>0</v>
      </c>
      <c r="D72" s="13">
        <f ca="1">D71+C72*(Prices!B72-Prices!B71)/Prices!B71</f>
        <v>-2.3843166939000297E-2</v>
      </c>
      <c r="E72" s="13">
        <f t="shared" ca="1" si="4"/>
        <v>4.3705985379257267E-2</v>
      </c>
      <c r="F72" s="13">
        <f t="shared" ca="1" si="2"/>
        <v>1.9862818440256971E-2</v>
      </c>
      <c r="G72" s="21">
        <f ca="1">IF((Prices!B72-Prices!B71)*C72&gt;0,1,0)</f>
        <v>0</v>
      </c>
      <c r="H72" s="13">
        <f>ABS(Prices!B72-Prices!B71)/Prices!B71</f>
        <v>9.4446543256506414E-5</v>
      </c>
      <c r="I72" s="21"/>
      <c r="J72" s="4">
        <f t="shared" ca="1" si="5"/>
        <v>-6.1951184439631463E-2</v>
      </c>
      <c r="K72" s="13"/>
      <c r="L72" s="13">
        <f ca="1">L71-O72*Prices!B72</f>
        <v>0.65598423641363468</v>
      </c>
      <c r="M72" s="4">
        <f t="shared" ca="1" si="1"/>
        <v>0.31409266524885809</v>
      </c>
      <c r="N72" s="13">
        <f ca="1">IF(Prices!B71&gt;OFFSET(Prices!B71,-$N$3,0),1,-1)</f>
        <v>-1</v>
      </c>
      <c r="O72" s="4">
        <f ca="1">IF(N72=1,O$3*L71/Prices!B71,-O$3*M71)</f>
        <v>-3.4899185027650902E-2</v>
      </c>
      <c r="P72" s="22"/>
      <c r="Q72" s="13">
        <f ca="1">Q71-T72*Prices!B72</f>
        <v>0.69668610013657328</v>
      </c>
      <c r="R72" s="4">
        <f t="shared" ca="1" si="6"/>
        <v>0.27352577183224785</v>
      </c>
      <c r="S72" s="13">
        <f ca="1">IF(Prices!B71&gt;OFFSET(Prices!B71,-S$3,0),1,-1)</f>
        <v>-1</v>
      </c>
      <c r="T72" s="4">
        <f ca="1">IF(S72=1,T$3*Q71/Prices!B71,-T$3*R71)</f>
        <v>-2.7051999411980557E-2</v>
      </c>
      <c r="V72" s="13"/>
      <c r="W72" s="4"/>
      <c r="X72" s="4"/>
      <c r="Y72" s="4"/>
      <c r="Z72" s="4"/>
      <c r="AA72" s="4"/>
      <c r="AB72" s="4"/>
      <c r="AC72" s="4"/>
      <c r="AD72" s="4"/>
      <c r="AE72" s="52"/>
    </row>
    <row r="73" spans="1:31" x14ac:dyDescent="0.2">
      <c r="A73" s="7">
        <v>41875</v>
      </c>
      <c r="B73" s="13">
        <f ca="1">Prices!B72*(1+J73/(50*(ABS(O73)+ABS(T73)+0.0001)))</f>
        <v>1.0377597325640362</v>
      </c>
      <c r="C73" s="62">
        <f t="shared" ca="1" si="3"/>
        <v>0</v>
      </c>
      <c r="D73" s="13">
        <f ca="1">D72+C73*(Prices!B73-Prices!B72)/Prices!B72</f>
        <v>-2.3843166939000297E-2</v>
      </c>
      <c r="E73" s="13">
        <f t="shared" ca="1" si="4"/>
        <v>4.3705985379257267E-2</v>
      </c>
      <c r="F73" s="13">
        <f t="shared" ca="1" si="2"/>
        <v>1.9862818440256971E-2</v>
      </c>
      <c r="G73" s="21">
        <f ca="1">IF((Prices!B73-Prices!B72)*C73&gt;0,1,0)</f>
        <v>0</v>
      </c>
      <c r="H73" s="13">
        <f>ABS(Prices!B73-Prices!B72)/Prices!B72</f>
        <v>7.0828217962036668E-3</v>
      </c>
      <c r="I73" s="21"/>
      <c r="J73" s="4">
        <f t="shared" ca="1" si="5"/>
        <v>-5.6026585989788116E-2</v>
      </c>
      <c r="K73" s="13"/>
      <c r="L73" s="13">
        <f ca="1">L72-O73*Prices!B73</f>
        <v>0.68947907823577292</v>
      </c>
      <c r="M73" s="4">
        <f t="shared" ref="M73:M136" ca="1" si="7">M72+O73</f>
        <v>0.2826833987239723</v>
      </c>
      <c r="N73" s="13">
        <f ca="1">IF(Prices!B72&gt;OFFSET(Prices!B72,-$N$3,0),1,-1)</f>
        <v>-1</v>
      </c>
      <c r="O73" s="4">
        <f ca="1">IF(N73=1,O$3*L72/Prices!B72,-O$3*M72)</f>
        <v>-3.1409266524885814E-2</v>
      </c>
      <c r="P73" s="22"/>
      <c r="Q73" s="13">
        <f ca="1">Q72-T73*Prices!B73</f>
        <v>0.72293800961394505</v>
      </c>
      <c r="R73" s="4">
        <f t="shared" ca="1" si="6"/>
        <v>0.24890845236734555</v>
      </c>
      <c r="S73" s="13">
        <f ca="1">IF(Prices!B72&gt;OFFSET(Prices!B72,-S$3,0),1,-1)</f>
        <v>-1</v>
      </c>
      <c r="T73" s="4">
        <f ca="1">IF(S73=1,T$3*Q72/Prices!B72,-T$3*R72)</f>
        <v>-2.4617319464902306E-2</v>
      </c>
      <c r="V73" s="13"/>
      <c r="W73" s="4"/>
      <c r="X73" s="4"/>
      <c r="Y73" s="4"/>
      <c r="Z73" s="4"/>
      <c r="AA73" s="4"/>
      <c r="AB73" s="4"/>
      <c r="AC73" s="4"/>
      <c r="AD73" s="4"/>
      <c r="AE73" s="52"/>
    </row>
    <row r="74" spans="1:31" x14ac:dyDescent="0.2">
      <c r="A74" s="7">
        <v>41882</v>
      </c>
      <c r="B74" s="13">
        <f ca="1">Prices!B73*(1+J74/(50*(ABS(O74)+ABS(T74)+0.0001)))</f>
        <v>1.0451140089772406</v>
      </c>
      <c r="C74" s="62">
        <f t="shared" ca="1" si="3"/>
        <v>0</v>
      </c>
      <c r="D74" s="13">
        <f ca="1">D73+C74*(Prices!B74-Prices!B73)/Prices!B73</f>
        <v>-2.3843166939000297E-2</v>
      </c>
      <c r="E74" s="13">
        <f t="shared" ca="1" si="4"/>
        <v>4.3705985379257267E-2</v>
      </c>
      <c r="F74" s="13">
        <f t="shared" ca="1" si="2"/>
        <v>1.9862818440256971E-2</v>
      </c>
      <c r="G74" s="21">
        <f ca="1">IF((Prices!B74-Prices!B73)*C74&gt;0,1,0)</f>
        <v>0</v>
      </c>
      <c r="H74" s="13">
        <f>ABS(Prices!B74-Prices!B73)/Prices!B73</f>
        <v>9.6586646661665186E-3</v>
      </c>
      <c r="I74" s="21"/>
      <c r="J74" s="4">
        <f t="shared" ca="1" si="5"/>
        <v>-5.067010058545833E-2</v>
      </c>
      <c r="K74" s="13"/>
      <c r="L74" s="13">
        <f ca="1">L73-O74*Prices!B74</f>
        <v>0.71933327197501162</v>
      </c>
      <c r="M74" s="4">
        <f t="shared" ca="1" si="7"/>
        <v>0.25441505885157506</v>
      </c>
      <c r="N74" s="13">
        <f ca="1">IF(Prices!B73&gt;OFFSET(Prices!B73,-$N$3,0),1,-1)</f>
        <v>-1</v>
      </c>
      <c r="O74" s="4">
        <f ca="1">IF(N74=1,O$3*L73/Prices!B73,-O$3*M73)</f>
        <v>-2.8268339872397231E-2</v>
      </c>
      <c r="P74" s="22"/>
      <c r="Q74" s="13">
        <f ca="1">Q73-T74*Prices!B74</f>
        <v>0.7465965091030089</v>
      </c>
      <c r="R74" s="4">
        <f t="shared" ca="1" si="6"/>
        <v>0.22650669165428444</v>
      </c>
      <c r="S74" s="13">
        <f ca="1">IF(Prices!B73&gt;OFFSET(Prices!B73,-S$3,0),1,-1)</f>
        <v>-1</v>
      </c>
      <c r="T74" s="4">
        <f ca="1">IF(S74=1,T$3*Q73/Prices!B73,-T$3*R73)</f>
        <v>-2.2401760713061099E-2</v>
      </c>
      <c r="V74" s="13"/>
      <c r="W74" s="4"/>
      <c r="X74" s="4"/>
      <c r="Y74" s="4"/>
      <c r="Z74" s="4"/>
      <c r="AA74" s="4"/>
      <c r="AB74" s="4"/>
      <c r="AC74" s="4"/>
      <c r="AD74" s="4"/>
      <c r="AE74" s="52"/>
    </row>
    <row r="75" spans="1:31" x14ac:dyDescent="0.2">
      <c r="A75" s="7">
        <v>41889</v>
      </c>
      <c r="B75" s="13">
        <f ca="1">Prices!B74*(1+J75/(50*(ABS(O75)+ABS(T75)+0.0001)))</f>
        <v>1.0350239902677485</v>
      </c>
      <c r="C75" s="62">
        <f t="shared" ca="1" si="3"/>
        <v>0</v>
      </c>
      <c r="D75" s="13">
        <f ca="1">D74+C75*(Prices!B75-Prices!B74)/Prices!B74</f>
        <v>-2.3843166939000297E-2</v>
      </c>
      <c r="E75" s="13">
        <f t="shared" ca="1" si="4"/>
        <v>4.3705985379257267E-2</v>
      </c>
      <c r="F75" s="13">
        <f t="shared" ca="1" si="2"/>
        <v>1.9862818440256971E-2</v>
      </c>
      <c r="G75" s="21">
        <f ca="1">IF((Prices!B75-Prices!B74)*C75&gt;0,1,0)</f>
        <v>0</v>
      </c>
      <c r="H75" s="13">
        <f>ABS(Prices!B75-Prices!B74)/Prices!B74</f>
        <v>1.0415680333301884E-2</v>
      </c>
      <c r="I75" s="21"/>
      <c r="J75" s="4">
        <f t="shared" ca="1" si="5"/>
        <v>-4.5827108134043101E-2</v>
      </c>
      <c r="K75" s="13"/>
      <c r="L75" s="13">
        <f ca="1">L74-O75*Prices!B75</f>
        <v>0.74592218977558977</v>
      </c>
      <c r="M75" s="4">
        <f t="shared" ca="1" si="7"/>
        <v>0.22897355296641755</v>
      </c>
      <c r="N75" s="13">
        <f ca="1">IF(Prices!B74&gt;OFFSET(Prices!B74,-$N$3,0),1,-1)</f>
        <v>-1</v>
      </c>
      <c r="O75" s="4">
        <f ca="1">IF(N75=1,O$3*L74/Prices!B74,-O$3*M74)</f>
        <v>-2.5441505885157506E-2</v>
      </c>
      <c r="P75" s="22"/>
      <c r="Q75" s="13">
        <f ca="1">Q74-T75*Prices!B75</f>
        <v>0.76790150201331919</v>
      </c>
      <c r="R75" s="4">
        <f t="shared" ca="1" si="6"/>
        <v>0.20612108940539883</v>
      </c>
      <c r="S75" s="13">
        <f ca="1">IF(Prices!B74&gt;OFFSET(Prices!B74,-S$3,0),1,-1)</f>
        <v>-1</v>
      </c>
      <c r="T75" s="4">
        <f ca="1">IF(S75=1,T$3*Q74/Prices!B74,-T$3*R74)</f>
        <v>-2.0385602248885599E-2</v>
      </c>
      <c r="V75" s="13"/>
      <c r="W75" s="4"/>
      <c r="X75" s="4"/>
      <c r="Y75" s="4"/>
      <c r="Z75" s="4"/>
      <c r="AA75" s="4"/>
      <c r="AB75" s="4"/>
      <c r="AC75" s="4"/>
      <c r="AD75" s="4"/>
      <c r="AE75" s="52"/>
    </row>
    <row r="76" spans="1:31" x14ac:dyDescent="0.2">
      <c r="A76" s="7">
        <v>41896</v>
      </c>
      <c r="B76" s="13">
        <f ca="1">Prices!B75*(1+J76/(50*(ABS(O76)+ABS(T76)+0.0001)))</f>
        <v>1.0242483077706477</v>
      </c>
      <c r="C76" s="62">
        <f t="shared" ca="1" si="3"/>
        <v>0</v>
      </c>
      <c r="D76" s="13">
        <f ca="1">D75+C76*(Prices!B76-Prices!B75)/Prices!B75</f>
        <v>-2.3843166939000297E-2</v>
      </c>
      <c r="E76" s="13">
        <f t="shared" ca="1" si="4"/>
        <v>4.3705985379257267E-2</v>
      </c>
      <c r="F76" s="13">
        <f t="shared" ca="1" si="2"/>
        <v>1.9862818440256971E-2</v>
      </c>
      <c r="G76" s="21">
        <f ca="1">IF((Prices!B76-Prices!B75)*C76&gt;0,1,0)</f>
        <v>0</v>
      </c>
      <c r="H76" s="13">
        <f>ABS(Prices!B76-Prices!B75)/Prices!B75</f>
        <v>4.7842311740519284E-4</v>
      </c>
      <c r="I76" s="21"/>
      <c r="J76" s="4">
        <f t="shared" ca="1" si="5"/>
        <v>-4.1448253343127656E-2</v>
      </c>
      <c r="K76" s="13"/>
      <c r="L76" s="13">
        <f ca="1">L75-O76*Prices!B76</f>
        <v>0.76986366447375842</v>
      </c>
      <c r="M76" s="4">
        <f t="shared" ca="1" si="7"/>
        <v>0.20607619766977581</v>
      </c>
      <c r="N76" s="13">
        <f ca="1">IF(Prices!B75&gt;OFFSET(Prices!B75,-$N$3,0),1,-1)</f>
        <v>-1</v>
      </c>
      <c r="O76" s="4">
        <f ca="1">IF(N76=1,O$3*L75/Prices!B75,-O$3*M75)</f>
        <v>-2.2897355296641757E-2</v>
      </c>
      <c r="P76" s="22"/>
      <c r="Q76" s="13">
        <f ca="1">Q75-T76*Prices!B76</f>
        <v>0.78729832101072483</v>
      </c>
      <c r="R76" s="4">
        <f t="shared" ca="1" si="6"/>
        <v>0.18757019135891295</v>
      </c>
      <c r="S76" s="13">
        <f ca="1">IF(Prices!B75&gt;OFFSET(Prices!B75,-S$3,0),1,-1)</f>
        <v>-1</v>
      </c>
      <c r="T76" s="4">
        <f ca="1">IF(S76=1,T$3*Q75/Prices!B75,-T$3*R75)</f>
        <v>-1.8550898046485895E-2</v>
      </c>
      <c r="V76" s="13"/>
      <c r="W76" s="4"/>
      <c r="X76" s="4"/>
      <c r="Y76" s="4"/>
      <c r="Z76" s="4"/>
      <c r="AA76" s="4"/>
      <c r="AB76" s="4"/>
      <c r="AC76" s="4"/>
      <c r="AD76" s="4"/>
      <c r="AE76" s="52"/>
    </row>
    <row r="77" spans="1:31" x14ac:dyDescent="0.2">
      <c r="A77" s="7">
        <v>41903</v>
      </c>
      <c r="B77" s="13">
        <f ca="1">Prices!B76*(1+J77/(50*(ABS(O77)+ABS(T77)+0.0001)))</f>
        <v>1.024743633390234</v>
      </c>
      <c r="C77" s="62">
        <f t="shared" ca="1" si="3"/>
        <v>0</v>
      </c>
      <c r="D77" s="13">
        <f ca="1">D76+C77*(Prices!B77-Prices!B76)/Prices!B76</f>
        <v>-2.3843166939000297E-2</v>
      </c>
      <c r="E77" s="13">
        <f t="shared" ca="1" si="4"/>
        <v>4.3705985379257267E-2</v>
      </c>
      <c r="F77" s="13">
        <f t="shared" ca="1" si="2"/>
        <v>1.9862818440256971E-2</v>
      </c>
      <c r="G77" s="21">
        <f ca="1">IF((Prices!B77-Prices!B76)*C77&gt;0,1,0)</f>
        <v>0</v>
      </c>
      <c r="H77" s="13">
        <f>ABS(Prices!B77-Prices!B76)/Prices!B76</f>
        <v>5.8339709257842331E-3</v>
      </c>
      <c r="I77" s="21"/>
      <c r="J77" s="4">
        <f t="shared" ca="1" si="5"/>
        <v>-3.7488936989279749E-2</v>
      </c>
      <c r="K77" s="13"/>
      <c r="L77" s="13">
        <f ca="1">L76-O77*Prices!B77</f>
        <v>0.79153669818268879</v>
      </c>
      <c r="M77" s="4">
        <f t="shared" ca="1" si="7"/>
        <v>0.18546857790279822</v>
      </c>
      <c r="N77" s="13">
        <f ca="1">IF(Prices!B76&gt;OFFSET(Prices!B76,-$N$3,0),1,-1)</f>
        <v>-1</v>
      </c>
      <c r="O77" s="4">
        <f ca="1">IF(N77=1,O$3*L76/Prices!B76,-O$3*M76)</f>
        <v>-2.0607619766977583E-2</v>
      </c>
      <c r="P77" s="22"/>
      <c r="Q77" s="13">
        <f ca="1">Q76-T77*Prices!B77</f>
        <v>0.80505240233342001</v>
      </c>
      <c r="R77" s="4">
        <f t="shared" ca="1" si="6"/>
        <v>0.1706888741366108</v>
      </c>
      <c r="S77" s="13">
        <f ca="1">IF(Prices!B76&gt;OFFSET(Prices!B76,-S$3,0),1,-1)</f>
        <v>-1</v>
      </c>
      <c r="T77" s="4">
        <f ca="1">IF(S77=1,T$3*Q76/Prices!B76,-T$3*R76)</f>
        <v>-1.6881317222302166E-2</v>
      </c>
      <c r="V77" s="13"/>
      <c r="W77" s="4"/>
      <c r="X77" s="4"/>
      <c r="Y77" s="4"/>
      <c r="Z77" s="4"/>
      <c r="AA77" s="4"/>
      <c r="AB77" s="4"/>
      <c r="AC77" s="4"/>
      <c r="AD77" s="4"/>
      <c r="AE77" s="52"/>
    </row>
    <row r="78" spans="1:31" x14ac:dyDescent="0.2">
      <c r="A78" s="7">
        <v>41910</v>
      </c>
      <c r="B78" s="13">
        <f ca="1">Prices!B77*(1+J78/(50*(ABS(O78)+ABS(T78)+0.0001)))</f>
        <v>1.0307278485953009</v>
      </c>
      <c r="C78" s="62">
        <f t="shared" ca="1" si="3"/>
        <v>0</v>
      </c>
      <c r="D78" s="13">
        <f ca="1">D77+C78*(Prices!B78-Prices!B77)/Prices!B77</f>
        <v>-2.3843166939000297E-2</v>
      </c>
      <c r="E78" s="13">
        <f t="shared" ca="1" si="4"/>
        <v>4.3705985379257267E-2</v>
      </c>
      <c r="F78" s="13">
        <f t="shared" ca="1" si="2"/>
        <v>1.9862818440256971E-2</v>
      </c>
      <c r="G78" s="21">
        <f ca="1">IF((Prices!B78-Prices!B77)*C78&gt;0,1,0)</f>
        <v>0</v>
      </c>
      <c r="H78" s="13">
        <f>ABS(Prices!B78-Prices!B77)/Prices!B77</f>
        <v>1.4262622420840873E-3</v>
      </c>
      <c r="I78" s="21"/>
      <c r="J78" s="4">
        <f t="shared" ca="1" si="5"/>
        <v>-3.3908856462574799E-2</v>
      </c>
      <c r="K78" s="13"/>
      <c r="L78" s="13">
        <f ca="1">L77-O78*Prices!B78</f>
        <v>0.81107024880741152</v>
      </c>
      <c r="M78" s="4">
        <f t="shared" ca="1" si="7"/>
        <v>0.16692172011251841</v>
      </c>
      <c r="N78" s="13">
        <f ca="1">IF(Prices!B77&gt;OFFSET(Prices!B77,-$N$3,0),1,-1)</f>
        <v>-1</v>
      </c>
      <c r="O78" s="4">
        <f ca="1">IF(N78=1,O$3*L77/Prices!B77,-O$3*M77)</f>
        <v>-1.8546857790279824E-2</v>
      </c>
      <c r="P78" s="22"/>
      <c r="Q78" s="13">
        <f ca="1">Q77-T78*Prices!B78</f>
        <v>0.82123165933508102</v>
      </c>
      <c r="R78" s="4">
        <f t="shared" ca="1" si="6"/>
        <v>0.15532687546431584</v>
      </c>
      <c r="S78" s="13">
        <f ca="1">IF(Prices!B77&gt;OFFSET(Prices!B77,-S$3,0),1,-1)</f>
        <v>-1</v>
      </c>
      <c r="T78" s="4">
        <f ca="1">IF(S78=1,T$3*Q77/Prices!B77,-T$3*R77)</f>
        <v>-1.5361998672294971E-2</v>
      </c>
      <c r="V78" s="13"/>
      <c r="W78" s="4"/>
      <c r="X78" s="4"/>
      <c r="Y78" s="4"/>
      <c r="Z78" s="4"/>
      <c r="AA78" s="4"/>
      <c r="AB78" s="4"/>
      <c r="AC78" s="4"/>
      <c r="AD78" s="4"/>
      <c r="AE78" s="52"/>
    </row>
    <row r="79" spans="1:31" x14ac:dyDescent="0.2">
      <c r="A79" s="7">
        <v>41917</v>
      </c>
      <c r="B79" s="13">
        <f ca="1">Prices!B78*(1+J79/(50*(ABS(O79)+ABS(T79)+0.0001)))</f>
        <v>1.0322044527495988</v>
      </c>
      <c r="C79" s="62">
        <f t="shared" ca="1" si="3"/>
        <v>0</v>
      </c>
      <c r="D79" s="13">
        <f ca="1">D78+C79*(Prices!B79-Prices!B78)/Prices!B78</f>
        <v>-2.3843166939000297E-2</v>
      </c>
      <c r="E79" s="13">
        <f t="shared" ca="1" si="4"/>
        <v>4.3705985379257267E-2</v>
      </c>
      <c r="F79" s="13">
        <f t="shared" ca="1" si="2"/>
        <v>1.9862818440256971E-2</v>
      </c>
      <c r="G79" s="21">
        <f ca="1">IF((Prices!B79-Prices!B78)*C79&gt;0,1,0)</f>
        <v>0</v>
      </c>
      <c r="H79" s="13">
        <f>ABS(Prices!B79-Prices!B78)/Prices!B78</f>
        <v>1.0539308773262543E-2</v>
      </c>
      <c r="I79" s="21"/>
      <c r="J79" s="4">
        <f t="shared" ca="1" si="5"/>
        <v>-3.0671590803040265E-2</v>
      </c>
      <c r="K79" s="13"/>
      <c r="L79" s="13">
        <f ca="1">L78-O79*Prices!B79</f>
        <v>0.82883572747898682</v>
      </c>
      <c r="M79" s="4">
        <f t="shared" ca="1" si="7"/>
        <v>0.15022954810126657</v>
      </c>
      <c r="N79" s="13">
        <f ca="1">IF(Prices!B78&gt;OFFSET(Prices!B78,-$N$3,0),1,-1)</f>
        <v>-1</v>
      </c>
      <c r="O79" s="4">
        <f ca="1">IF(N79=1,O$3*L78/Prices!B78,-O$3*M78)</f>
        <v>-1.6692172011251841E-2</v>
      </c>
      <c r="P79" s="22"/>
      <c r="Q79" s="13">
        <f ca="1">Q78-T79*Prices!B79</f>
        <v>0.83610995475518146</v>
      </c>
      <c r="R79" s="4">
        <f t="shared" ca="1" si="6"/>
        <v>0.14134745667252741</v>
      </c>
      <c r="S79" s="13">
        <f ca="1">IF(Prices!B78&gt;OFFSET(Prices!B78,-S$3,0),1,-1)</f>
        <v>-1</v>
      </c>
      <c r="T79" s="4">
        <f ca="1">IF(S79=1,T$3*Q78/Prices!B78,-T$3*R78)</f>
        <v>-1.3979418791788425E-2</v>
      </c>
      <c r="V79" s="13"/>
      <c r="W79" s="4"/>
      <c r="X79" s="4"/>
      <c r="Y79" s="4"/>
      <c r="Z79" s="4"/>
      <c r="AA79" s="4"/>
      <c r="AB79" s="4"/>
      <c r="AC79" s="4"/>
      <c r="AD79" s="4"/>
      <c r="AE79" s="52"/>
    </row>
    <row r="80" spans="1:31" x14ac:dyDescent="0.2">
      <c r="A80" s="7">
        <v>41924</v>
      </c>
      <c r="B80" s="13">
        <f ca="1">Prices!B79*(1+J80/(50*(ABS(O80)+ABS(T80)+0.0001)))</f>
        <v>1.0795913573316314</v>
      </c>
      <c r="C80" s="62">
        <f t="shared" ca="1" si="3"/>
        <v>1</v>
      </c>
      <c r="D80" s="13">
        <f ca="1">D79+C80*(Prices!B80-Prices!B79)/Prices!B79</f>
        <v>-1.8205658717634136E-2</v>
      </c>
      <c r="E80" s="13">
        <f t="shared" ca="1" si="4"/>
        <v>3.8068477157891106E-2</v>
      </c>
      <c r="F80" s="13">
        <f t="shared" ref="F80:F143" ca="1" si="8">MAX(F79,D80)</f>
        <v>1.9862818440256971E-2</v>
      </c>
      <c r="G80" s="21">
        <f ca="1">IF((Prices!B80-Prices!B79)*C80&gt;0,1,0)</f>
        <v>1</v>
      </c>
      <c r="H80" s="13">
        <f>ABS(Prices!B80-Prices!B79)/Prices!B79</f>
        <v>5.6375082213661609E-3</v>
      </c>
      <c r="I80" s="21"/>
      <c r="J80" s="4">
        <f t="shared" ca="1" si="5"/>
        <v>6.5154866029885655E-2</v>
      </c>
      <c r="K80" s="13"/>
      <c r="L80" s="13">
        <f ca="1">L79-O80*Prices!B80</f>
        <v>0.74548489790830563</v>
      </c>
      <c r="M80" s="4">
        <f t="shared" ca="1" si="7"/>
        <v>0.22810568523167968</v>
      </c>
      <c r="N80" s="13">
        <f ca="1">IF(Prices!B79&gt;OFFSET(Prices!B79,-$N$3,0),1,-1)</f>
        <v>1</v>
      </c>
      <c r="O80" s="4">
        <f ca="1">IF(N80=1,O$3*L79/Prices!B79,-O$3*M79)</f>
        <v>7.7876137130413123E-2</v>
      </c>
      <c r="P80" s="22"/>
      <c r="Q80" s="13">
        <f ca="1">Q79-T80*Prices!B80</f>
        <v>0.84972553121407601</v>
      </c>
      <c r="R80" s="4">
        <f t="shared" ca="1" si="6"/>
        <v>0.12862618557199995</v>
      </c>
      <c r="S80" s="13">
        <f ca="1">IF(Prices!B79&gt;OFFSET(Prices!B79,-S$3,0),1,-1)</f>
        <v>-1</v>
      </c>
      <c r="T80" s="4">
        <f ca="1">IF(S80=1,T$3*Q79/Prices!B79,-T$3*R79)</f>
        <v>-1.2721271100527466E-2</v>
      </c>
      <c r="V80" s="13"/>
      <c r="W80" s="4"/>
      <c r="X80" s="4"/>
      <c r="Y80" s="4"/>
      <c r="Z80" s="4"/>
      <c r="AA80" s="4"/>
      <c r="AB80" s="4"/>
      <c r="AC80" s="4"/>
      <c r="AD80" s="4"/>
      <c r="AE80" s="52"/>
    </row>
    <row r="81" spans="1:31" x14ac:dyDescent="0.2">
      <c r="A81" s="7">
        <v>41931</v>
      </c>
      <c r="B81" s="13">
        <f ca="1">Prices!B80*(1+J81/(50*(ABS(O81)+ABS(T81)+0.0001)))</f>
        <v>1.0855857749611704</v>
      </c>
      <c r="C81" s="62">
        <f t="shared" ref="C81:C144" ca="1" si="9">IF(J81&gt;0,1,IF(J81&lt;0,0,0))</f>
        <v>1</v>
      </c>
      <c r="D81" s="13">
        <f ca="1">D80+C81*(Prices!B81-Prices!B80)/Prices!B80</f>
        <v>-1.8579385710066124E-2</v>
      </c>
      <c r="E81" s="13">
        <f t="shared" ref="E81:E144" ca="1" si="10">F81-D81</f>
        <v>3.8442204150323095E-2</v>
      </c>
      <c r="F81" s="13">
        <f t="shared" ca="1" si="8"/>
        <v>1.9862818440256971E-2</v>
      </c>
      <c r="G81" s="21">
        <f ca="1">IF((Prices!B81-Prices!B80)*C81&gt;0,1,0)</f>
        <v>0</v>
      </c>
      <c r="H81" s="13">
        <f>ABS(Prices!B81-Prices!B80)/Prices!B80</f>
        <v>3.7372699243198724E-4</v>
      </c>
      <c r="I81" s="21"/>
      <c r="J81" s="4">
        <f t="shared" ref="J81:J144" ca="1" si="11">O81+T81</f>
        <v>5.8075600498212199E-2</v>
      </c>
      <c r="K81" s="13"/>
      <c r="L81" s="13">
        <f ca="1">L80-O81*Prices!B81</f>
        <v>0.67096426890035499</v>
      </c>
      <c r="M81" s="4">
        <f t="shared" ca="1" si="7"/>
        <v>0.29775764243137187</v>
      </c>
      <c r="N81" s="13">
        <f ca="1">IF(Prices!B80&gt;OFFSET(Prices!B80,-$N$3,0),1,-1)</f>
        <v>1</v>
      </c>
      <c r="O81" s="4">
        <f ca="1">IF(N81=1,O$3*L80/Prices!B80,-O$3*M80)</f>
        <v>6.9651957199692194E-2</v>
      </c>
      <c r="P81" s="22"/>
      <c r="Q81" s="13">
        <f ca="1">Q80-T81*Prices!B81</f>
        <v>0.86211107524898944</v>
      </c>
      <c r="R81" s="4">
        <f t="shared" ca="1" si="6"/>
        <v>0.11704982887051996</v>
      </c>
      <c r="S81" s="13">
        <f ca="1">IF(Prices!B80&gt;OFFSET(Prices!B80,-S$3,0),1,-1)</f>
        <v>-1</v>
      </c>
      <c r="T81" s="4">
        <f ca="1">IF(S81=1,T$3*Q80/Prices!B80,-T$3*R80)</f>
        <v>-1.1576356701479995E-2</v>
      </c>
      <c r="V81" s="13"/>
      <c r="W81" s="4"/>
      <c r="X81" s="4"/>
      <c r="Y81" s="4"/>
      <c r="Z81" s="4"/>
      <c r="AA81" s="4"/>
      <c r="AB81" s="4"/>
      <c r="AC81" s="4"/>
      <c r="AD81" s="4"/>
      <c r="AE81" s="52"/>
    </row>
    <row r="82" spans="1:31" x14ac:dyDescent="0.2">
      <c r="A82" s="7">
        <v>41938</v>
      </c>
      <c r="B82" s="13">
        <f ca="1">Prices!B81*(1+J82/(50*(ABS(O82)+ABS(T82)+0.0001)))</f>
        <v>1.0851222623046601</v>
      </c>
      <c r="C82" s="62">
        <f t="shared" ca="1" si="9"/>
        <v>1</v>
      </c>
      <c r="D82" s="13">
        <f ca="1">D81+C82*(Prices!B82-Prices!B81)/Prices!B81</f>
        <v>-1.0728184663239352E-2</v>
      </c>
      <c r="E82" s="13">
        <f t="shared" ca="1" si="10"/>
        <v>3.0591003103496321E-2</v>
      </c>
      <c r="F82" s="13">
        <f t="shared" ca="1" si="8"/>
        <v>1.9862818440256971E-2</v>
      </c>
      <c r="G82" s="21">
        <f ca="1">IF((Prices!B82-Prices!B81)*C82&gt;0,1,0)</f>
        <v>1</v>
      </c>
      <c r="H82" s="13">
        <f>ABS(Prices!B82-Prices!B81)/Prices!B81</f>
        <v>7.851201046826772E-3</v>
      </c>
      <c r="I82" s="21"/>
      <c r="J82" s="4">
        <f t="shared" ca="1" si="11"/>
        <v>5.2178317429913315E-2</v>
      </c>
      <c r="K82" s="13"/>
      <c r="L82" s="13">
        <f ca="1">L81-O82*Prices!B82</f>
        <v>0.60334105447328212</v>
      </c>
      <c r="M82" s="4">
        <f t="shared" ca="1" si="7"/>
        <v>0.360470444459632</v>
      </c>
      <c r="N82" s="13">
        <f ca="1">IF(Prices!B81&gt;OFFSET(Prices!B81,-$N$3,0),1,-1)</f>
        <v>1</v>
      </c>
      <c r="O82" s="4">
        <f ca="1">IF(N82=1,O$3*L81/Prices!B81,-O$3*M81)</f>
        <v>6.2712802028260115E-2</v>
      </c>
      <c r="P82" s="22"/>
      <c r="Q82" s="13">
        <f ca="1">Q81-T82*Prices!B82</f>
        <v>0.87347040999138681</v>
      </c>
      <c r="R82" s="4">
        <f t="shared" ca="1" si="6"/>
        <v>0.10651534427217316</v>
      </c>
      <c r="S82" s="13">
        <f ca="1">IF(Prices!B81&gt;OFFSET(Prices!B81,-S$3,0),1,-1)</f>
        <v>-1</v>
      </c>
      <c r="T82" s="4">
        <f ca="1">IF(S82=1,T$3*Q81/Prices!B81,-T$3*R81)</f>
        <v>-1.0534484598346796E-2</v>
      </c>
      <c r="V82" s="13"/>
      <c r="W82" s="4"/>
      <c r="X82" s="4"/>
      <c r="Y82" s="4"/>
      <c r="Z82" s="4"/>
      <c r="AA82" s="4"/>
      <c r="AB82" s="4"/>
      <c r="AC82" s="4"/>
      <c r="AD82" s="4"/>
      <c r="AE82" s="52"/>
    </row>
    <row r="83" spans="1:31" x14ac:dyDescent="0.2">
      <c r="A83" s="7">
        <v>41945</v>
      </c>
      <c r="B83" s="13">
        <f ca="1">Prices!B82*(1+J83/(50*(ABS(O83)+ABS(T83)+0.0001)))</f>
        <v>1.0935338795067839</v>
      </c>
      <c r="C83" s="62">
        <f t="shared" ca="1" si="9"/>
        <v>1</v>
      </c>
      <c r="D83" s="13">
        <f ca="1">D82+C83*(Prices!B83-Prices!B82)/Prices!B82</f>
        <v>-2.3711584459214508E-2</v>
      </c>
      <c r="E83" s="13">
        <f t="shared" ca="1" si="10"/>
        <v>4.3574402899471482E-2</v>
      </c>
      <c r="F83" s="13">
        <f t="shared" ca="1" si="8"/>
        <v>1.9862818440256971E-2</v>
      </c>
      <c r="G83" s="21">
        <f ca="1">IF((Prices!B83-Prices!B82)*C83&gt;0,1,0)</f>
        <v>0</v>
      </c>
      <c r="H83" s="13">
        <f>ABS(Prices!B83-Prices!B82)/Prices!B82</f>
        <v>1.2983399795975157E-2</v>
      </c>
      <c r="I83" s="21"/>
      <c r="J83" s="4">
        <f t="shared" ca="1" si="11"/>
        <v>4.6366605612303283E-2</v>
      </c>
      <c r="K83" s="13"/>
      <c r="L83" s="13">
        <f ca="1">L82-O83*Prices!B83</f>
        <v>0.5437902908383091</v>
      </c>
      <c r="M83" s="4">
        <f t="shared" ca="1" si="7"/>
        <v>0.41642343105643087</v>
      </c>
      <c r="N83" s="13">
        <f ca="1">IF(Prices!B82&gt;OFFSET(Prices!B82,-$N$3,0),1,-1)</f>
        <v>1</v>
      </c>
      <c r="O83" s="4">
        <f ca="1">IF(N83=1,O$3*L82/Prices!B82,-O$3*M82)</f>
        <v>5.5952986596798863E-2</v>
      </c>
      <c r="P83" s="22"/>
      <c r="Q83" s="13">
        <f ca="1">Q82-T83*Prices!B83</f>
        <v>0.88367319527318544</v>
      </c>
      <c r="R83" s="4">
        <f t="shared" ca="1" si="6"/>
        <v>9.6928963287677569E-2</v>
      </c>
      <c r="S83" s="13">
        <f ca="1">IF(Prices!B82&gt;OFFSET(Prices!B82,-S$3,0),1,-1)</f>
        <v>-1</v>
      </c>
      <c r="T83" s="4">
        <f ca="1">IF(S83=1,T$3*Q82/Prices!B82,-T$3*R82)</f>
        <v>-9.5863809844955843E-3</v>
      </c>
      <c r="V83" s="13"/>
      <c r="W83" s="4"/>
      <c r="X83" s="4"/>
      <c r="Y83" s="4"/>
      <c r="Z83" s="4"/>
      <c r="AA83" s="4"/>
      <c r="AB83" s="4"/>
      <c r="AC83" s="4"/>
      <c r="AD83" s="4"/>
      <c r="AE83" s="52"/>
    </row>
    <row r="84" spans="1:31" x14ac:dyDescent="0.2">
      <c r="A84" s="7">
        <v>41952</v>
      </c>
      <c r="B84" s="13">
        <f ca="1">Prices!B83*(1+J84/(50*(ABS(O84)+ABS(T84)+0.0001)))</f>
        <v>1.0703464027296452</v>
      </c>
      <c r="C84" s="62">
        <f t="shared" ca="1" si="9"/>
        <v>1</v>
      </c>
      <c r="D84" s="13">
        <f ca="1">D83+C84*(Prices!B84-Prices!B83)/Prices!B83</f>
        <v>-2.6248463158829206E-2</v>
      </c>
      <c r="E84" s="13">
        <f t="shared" ca="1" si="10"/>
        <v>4.6111281599086174E-2</v>
      </c>
      <c r="F84" s="13">
        <f t="shared" ca="1" si="8"/>
        <v>1.9862818440256971E-2</v>
      </c>
      <c r="G84" s="21">
        <f ca="1">IF((Prices!B84-Prices!B83)*C84&gt;0,1,0)</f>
        <v>0</v>
      </c>
      <c r="H84" s="13">
        <f>ABS(Prices!B84-Prices!B83)/Prices!B83</f>
        <v>2.5368786996146993E-3</v>
      </c>
      <c r="I84" s="21"/>
      <c r="J84" s="4">
        <f t="shared" ca="1" si="11"/>
        <v>3.3083380444659152E-2</v>
      </c>
      <c r="K84" s="13"/>
      <c r="L84" s="13">
        <f ca="1">L83-O84*Prices!B84</f>
        <v>0.5879978022792598</v>
      </c>
      <c r="M84" s="4">
        <f t="shared" ca="1" si="7"/>
        <v>0.37478108795078779</v>
      </c>
      <c r="N84" s="13">
        <f ca="1">IF(Prices!B83&gt;OFFSET(Prices!B83,-$N$3,0),1,-1)</f>
        <v>-1</v>
      </c>
      <c r="O84" s="4">
        <f ca="1">IF(N84=1,O$3*L83/Prices!B83,-O$3*M83)</f>
        <v>-4.164234310564309E-2</v>
      </c>
      <c r="P84" s="22"/>
      <c r="Q84" s="13">
        <f ca="1">Q83-T84*Prices!B84</f>
        <v>0.8043443671521846</v>
      </c>
      <c r="R84" s="4">
        <f t="shared" ca="1" si="6"/>
        <v>0.1716546868379798</v>
      </c>
      <c r="S84" s="13">
        <f ca="1">IF(Prices!B83&gt;OFFSET(Prices!B83,-S$3,0),1,-1)</f>
        <v>1</v>
      </c>
      <c r="T84" s="4">
        <f ca="1">IF(S84=1,T$3*Q83/Prices!B83,-T$3*R83)</f>
        <v>7.4725723550302242E-2</v>
      </c>
      <c r="V84" s="13"/>
      <c r="W84" s="4"/>
      <c r="X84" s="4"/>
      <c r="Y84" s="4"/>
      <c r="Z84" s="4"/>
      <c r="AA84" s="4"/>
      <c r="AB84" s="4"/>
      <c r="AC84" s="4"/>
      <c r="AD84" s="4"/>
      <c r="AE84" s="52"/>
    </row>
    <row r="85" spans="1:31" x14ac:dyDescent="0.2">
      <c r="A85" s="7">
        <v>41959</v>
      </c>
      <c r="B85" s="13">
        <f ca="1">Prices!B84*(1+J85/(50*(ABS(O85)+ABS(T85)+0.0001)))</f>
        <v>1.0677652025573903</v>
      </c>
      <c r="C85" s="62">
        <f t="shared" ca="1" si="9"/>
        <v>1</v>
      </c>
      <c r="D85" s="13">
        <f ca="1">D84+C85*(Prices!B85-Prices!B84)/Prices!B84</f>
        <v>-3.1240927363802906E-2</v>
      </c>
      <c r="E85" s="13">
        <f t="shared" ca="1" si="10"/>
        <v>5.110374580405988E-2</v>
      </c>
      <c r="F85" s="13">
        <f t="shared" ca="1" si="8"/>
        <v>1.9862818440256971E-2</v>
      </c>
      <c r="G85" s="21">
        <f ca="1">IF((Prices!B85-Prices!B84)*C85&gt;0,1,0)</f>
        <v>0</v>
      </c>
      <c r="H85" s="13">
        <f>ABS(Prices!B85-Prices!B84)/Prices!B84</f>
        <v>4.9924642049737015E-3</v>
      </c>
      <c r="I85" s="21"/>
      <c r="J85" s="4">
        <f t="shared" ca="1" si="11"/>
        <v>3.0712351871553294E-2</v>
      </c>
      <c r="K85" s="13"/>
      <c r="L85" s="13">
        <f ca="1">L84-O85*Prices!B85</f>
        <v>0.62758592859950146</v>
      </c>
      <c r="M85" s="4">
        <f t="shared" ca="1" si="7"/>
        <v>0.337302979155709</v>
      </c>
      <c r="N85" s="13">
        <f ca="1">IF(Prices!B84&gt;OFFSET(Prices!B84,-$N$3,0),1,-1)</f>
        <v>-1</v>
      </c>
      <c r="O85" s="4">
        <f ca="1">IF(N85=1,O$3*L84/Prices!B84,-O$3*M84)</f>
        <v>-3.7478108795078784E-2</v>
      </c>
      <c r="P85" s="22"/>
      <c r="Q85" s="13">
        <f ca="1">Q84-T85*Prices!B85</f>
        <v>0.73231478355002111</v>
      </c>
      <c r="R85" s="4">
        <f t="shared" ca="1" si="6"/>
        <v>0.23984514750461189</v>
      </c>
      <c r="S85" s="13">
        <f ca="1">IF(Prices!B84&gt;OFFSET(Prices!B84,-S$3,0),1,-1)</f>
        <v>1</v>
      </c>
      <c r="T85" s="4">
        <f ca="1">IF(S85=1,T$3*Q84/Prices!B84,-T$3*R84)</f>
        <v>6.8190460666632077E-2</v>
      </c>
      <c r="V85" s="13"/>
      <c r="W85" s="4"/>
      <c r="X85" s="4"/>
      <c r="Y85" s="4"/>
      <c r="Z85" s="4"/>
      <c r="AA85" s="4"/>
      <c r="AB85" s="4"/>
      <c r="AC85" s="4"/>
      <c r="AD85" s="4"/>
      <c r="AE85" s="52"/>
    </row>
    <row r="86" spans="1:31" x14ac:dyDescent="0.2">
      <c r="A86" s="7">
        <v>41966</v>
      </c>
      <c r="B86" s="13">
        <f ca="1">Prices!B85*(1+J86/(50*(ABS(O86)+ABS(T86)+0.0001)))</f>
        <v>1.0352121223154065</v>
      </c>
      <c r="C86" s="62">
        <f t="shared" ca="1" si="9"/>
        <v>0</v>
      </c>
      <c r="D86" s="13">
        <f ca="1">D85+C86*(Prices!B86-Prices!B85)/Prices!B85</f>
        <v>-3.1240927363802906E-2</v>
      </c>
      <c r="E86" s="13">
        <f t="shared" ca="1" si="10"/>
        <v>5.110374580405988E-2</v>
      </c>
      <c r="F86" s="13">
        <f t="shared" ca="1" si="8"/>
        <v>1.9862818440256971E-2</v>
      </c>
      <c r="G86" s="21">
        <f ca="1">IF((Prices!B86-Prices!B85)*C86&gt;0,1,0)</f>
        <v>0</v>
      </c>
      <c r="H86" s="13">
        <f>ABS(Prices!B86-Prices!B85)/Prices!B85</f>
        <v>5.5855344125722017E-3</v>
      </c>
      <c r="I86" s="21"/>
      <c r="J86" s="4">
        <f t="shared" ca="1" si="11"/>
        <v>-5.5316361190985971E-2</v>
      </c>
      <c r="K86" s="13"/>
      <c r="L86" s="13">
        <f ca="1">L85-O86*Prices!B86</f>
        <v>0.66341425104542084</v>
      </c>
      <c r="M86" s="4">
        <f t="shared" ca="1" si="7"/>
        <v>0.30357268124013809</v>
      </c>
      <c r="N86" s="13">
        <f ca="1">IF(Prices!B85&gt;OFFSET(Prices!B85,-$N$3,0),1,-1)</f>
        <v>-1</v>
      </c>
      <c r="O86" s="4">
        <f ca="1">IF(N86=1,O$3*L85/Prices!B85,-O$3*M85)</f>
        <v>-3.3730297915570903E-2</v>
      </c>
      <c r="P86" s="22"/>
      <c r="Q86" s="13">
        <f ca="1">Q85-T86*Prices!B86</f>
        <v>0.75524349996116702</v>
      </c>
      <c r="R86" s="4">
        <f t="shared" ca="1" si="6"/>
        <v>0.21825908422919682</v>
      </c>
      <c r="S86" s="13">
        <f ca="1">IF(Prices!B85&gt;OFFSET(Prices!B85,-S$3,0),1,-1)</f>
        <v>-1</v>
      </c>
      <c r="T86" s="4">
        <f ca="1">IF(S86=1,T$3*Q85/Prices!B85,-T$3*R85)</f>
        <v>-2.1586063275415068E-2</v>
      </c>
      <c r="V86" s="13"/>
      <c r="W86" s="4"/>
      <c r="X86" s="4"/>
      <c r="Y86" s="4"/>
      <c r="Z86" s="4"/>
      <c r="AA86" s="4"/>
      <c r="AB86" s="4"/>
      <c r="AC86" s="4"/>
      <c r="AD86" s="4"/>
      <c r="AE86" s="52"/>
    </row>
    <row r="87" spans="1:31" x14ac:dyDescent="0.2">
      <c r="A87" s="7">
        <v>41973</v>
      </c>
      <c r="B87" s="13">
        <f ca="1">Prices!B86*(1+J87/(50*(ABS(O87)+ABS(T87)+0.0001)))</f>
        <v>1.0697652386648919</v>
      </c>
      <c r="C87" s="62">
        <f t="shared" ca="1" si="9"/>
        <v>1</v>
      </c>
      <c r="D87" s="13">
        <f ca="1">D86+C87*(Prices!B87-Prices!B86)/Prices!B86</f>
        <v>-2.643957168690601E-2</v>
      </c>
      <c r="E87" s="13">
        <f t="shared" ca="1" si="10"/>
        <v>4.630239012716298E-2</v>
      </c>
      <c r="F87" s="13">
        <f t="shared" ca="1" si="8"/>
        <v>1.9862818440256971E-2</v>
      </c>
      <c r="G87" s="21">
        <f ca="1">IF((Prices!B87-Prices!B86)*C87&gt;0,1,0)</f>
        <v>1</v>
      </c>
      <c r="H87" s="13">
        <f>ABS(Prices!B87-Prices!B86)/Prices!B86</f>
        <v>4.8013556768968955E-3</v>
      </c>
      <c r="I87" s="21"/>
      <c r="J87" s="4">
        <f t="shared" ca="1" si="11"/>
        <v>3.3634367157952885E-2</v>
      </c>
      <c r="K87" s="13"/>
      <c r="L87" s="13">
        <f ca="1">L86-O87*Prices!B87</f>
        <v>0.69581456331418079</v>
      </c>
      <c r="M87" s="4">
        <f t="shared" ca="1" si="7"/>
        <v>0.27321541311612429</v>
      </c>
      <c r="N87" s="13">
        <f ca="1">IF(Prices!B86&gt;OFFSET(Prices!B86,-$N$3,0),1,-1)</f>
        <v>-1</v>
      </c>
      <c r="O87" s="4">
        <f ca="1">IF(N87=1,O$3*L86/Prices!B86,-O$3*M86)</f>
        <v>-3.0357268124013809E-2</v>
      </c>
      <c r="P87" s="22"/>
      <c r="Q87" s="13">
        <f ca="1">Q86-T87*Prices!B87</f>
        <v>0.68694522762472399</v>
      </c>
      <c r="R87" s="4">
        <f t="shared" ca="1" si="6"/>
        <v>0.28225071951116354</v>
      </c>
      <c r="S87" s="13">
        <f ca="1">IF(Prices!B86&gt;OFFSET(Prices!B86,-S$3,0),1,-1)</f>
        <v>1</v>
      </c>
      <c r="T87" s="4">
        <f ca="1">IF(S87=1,T$3*Q86/Prices!B86,-T$3*R86)</f>
        <v>6.3991635281966691E-2</v>
      </c>
      <c r="V87" s="13"/>
      <c r="W87" s="4"/>
      <c r="X87" s="4"/>
      <c r="Y87" s="4"/>
      <c r="Z87" s="4"/>
      <c r="AA87" s="4"/>
      <c r="AB87" s="4"/>
      <c r="AC87" s="4"/>
      <c r="AD87" s="4"/>
      <c r="AE87" s="52"/>
    </row>
    <row r="88" spans="1:31" x14ac:dyDescent="0.2">
      <c r="A88" s="7">
        <v>41980</v>
      </c>
      <c r="B88" s="13">
        <f ca="1">Prices!B87*(1+J88/(50*(ABS(O88)+ABS(T88)+0.0001)))</f>
        <v>1.0886286765861091</v>
      </c>
      <c r="C88" s="62">
        <f t="shared" ca="1" si="9"/>
        <v>1</v>
      </c>
      <c r="D88" s="13">
        <f ca="1">D87+C88*(Prices!B88-Prices!B87)/Prices!B87</f>
        <v>-2.0349437703958223E-2</v>
      </c>
      <c r="E88" s="13">
        <f t="shared" ca="1" si="10"/>
        <v>4.0212256144215197E-2</v>
      </c>
      <c r="F88" s="13">
        <f t="shared" ca="1" si="8"/>
        <v>1.9862818440256971E-2</v>
      </c>
      <c r="G88" s="21">
        <f ca="1">IF((Prices!B88-Prices!B87)*C88&gt;0,1,0)</f>
        <v>1</v>
      </c>
      <c r="H88" s="13">
        <f>ABS(Prices!B88-Prices!B87)/Prices!B87</f>
        <v>6.0901339829477867E-3</v>
      </c>
      <c r="I88" s="21"/>
      <c r="J88" s="4">
        <f t="shared" ca="1" si="11"/>
        <v>0.12312051608511501</v>
      </c>
      <c r="K88" s="13"/>
      <c r="L88" s="13">
        <f ca="1">L87-O88*Prices!B88</f>
        <v>0.62580934659097576</v>
      </c>
      <c r="M88" s="4">
        <f t="shared" ca="1" si="7"/>
        <v>0.33840931954488668</v>
      </c>
      <c r="N88" s="13">
        <f ca="1">IF(Prices!B87&gt;OFFSET(Prices!B87,-$N$3,0),1,-1)</f>
        <v>1</v>
      </c>
      <c r="O88" s="4">
        <f ca="1">IF(N88=1,O$3*L87/Prices!B87,-O$3*M87)</f>
        <v>6.5193906428762383E-2</v>
      </c>
      <c r="P88" s="22"/>
      <c r="Q88" s="13">
        <f ca="1">Q87-T88*Prices!B88</f>
        <v>0.62474363417573253</v>
      </c>
      <c r="R88" s="4">
        <f t="shared" ca="1" si="6"/>
        <v>0.3401773291675162</v>
      </c>
      <c r="S88" s="13">
        <f ca="1">IF(Prices!B87&gt;OFFSET(Prices!B87,-S$3,0),1,-1)</f>
        <v>1</v>
      </c>
      <c r="T88" s="4">
        <f ca="1">IF(S88=1,T$3*Q87/Prices!B87,-T$3*R87)</f>
        <v>5.7926609656352629E-2</v>
      </c>
      <c r="V88" s="13"/>
      <c r="W88" s="4"/>
      <c r="X88" s="4"/>
      <c r="Y88" s="4"/>
      <c r="Z88" s="4"/>
      <c r="AA88" s="4"/>
      <c r="AB88" s="4"/>
      <c r="AC88" s="4"/>
      <c r="AD88" s="4"/>
      <c r="AE88" s="52"/>
    </row>
    <row r="89" spans="1:31" x14ac:dyDescent="0.2">
      <c r="A89" s="7">
        <v>41987</v>
      </c>
      <c r="B89" s="13">
        <f ca="1">Prices!B88*(1+J89/(50*(ABS(O89)+ABS(T89)+0.0001)))</f>
        <v>1.0952566072556693</v>
      </c>
      <c r="C89" s="62">
        <f t="shared" ca="1" si="9"/>
        <v>1</v>
      </c>
      <c r="D89" s="13">
        <f ca="1">D88+C89*(Prices!B89-Prices!B88)/Prices!B88</f>
        <v>-1.4761804997681444E-2</v>
      </c>
      <c r="E89" s="13">
        <f t="shared" ca="1" si="10"/>
        <v>3.4624623437938415E-2</v>
      </c>
      <c r="F89" s="13">
        <f t="shared" ca="1" si="8"/>
        <v>1.9862818440256971E-2</v>
      </c>
      <c r="G89" s="21">
        <f ca="1">IF((Prices!B89-Prices!B88)*C89&gt;0,1,0)</f>
        <v>1</v>
      </c>
      <c r="H89" s="13">
        <f>ABS(Prices!B89-Prices!B88)/Prices!B88</f>
        <v>5.5876327062767787E-3</v>
      </c>
      <c r="I89" s="21"/>
      <c r="J89" s="4">
        <f t="shared" ca="1" si="11"/>
        <v>0.11064244899880191</v>
      </c>
      <c r="K89" s="13"/>
      <c r="L89" s="13">
        <f ca="1">L88-O89*Prices!B89</f>
        <v>0.56287873265458765</v>
      </c>
      <c r="M89" s="4">
        <f t="shared" ca="1" si="7"/>
        <v>0.39668919909331057</v>
      </c>
      <c r="N89" s="13">
        <f ca="1">IF(Prices!B88&gt;OFFSET(Prices!B88,-$N$3,0),1,-1)</f>
        <v>1</v>
      </c>
      <c r="O89" s="4">
        <f ca="1">IF(N89=1,O$3*L88/Prices!B88,-O$3*M88)</f>
        <v>5.8279879548423882E-2</v>
      </c>
      <c r="P89" s="22"/>
      <c r="Q89" s="13">
        <f ca="1">Q88-T89*Prices!B89</f>
        <v>0.56820253168321433</v>
      </c>
      <c r="R89" s="4">
        <f t="shared" ca="1" si="6"/>
        <v>0.39253989861789423</v>
      </c>
      <c r="S89" s="13">
        <f ca="1">IF(Prices!B88&gt;OFFSET(Prices!B88,-S$3,0),1,-1)</f>
        <v>1</v>
      </c>
      <c r="T89" s="4">
        <f ca="1">IF(S89=1,T$3*Q88/Prices!B88,-T$3*R88)</f>
        <v>5.2362569450378024E-2</v>
      </c>
      <c r="V89" s="13"/>
      <c r="W89" s="4"/>
      <c r="X89" s="4"/>
      <c r="Y89" s="4"/>
      <c r="Z89" s="4"/>
      <c r="AA89" s="4"/>
      <c r="AB89" s="4"/>
      <c r="AC89" s="4"/>
      <c r="AD89" s="4"/>
      <c r="AE89" s="52"/>
    </row>
    <row r="90" spans="1:31" x14ac:dyDescent="0.2">
      <c r="A90" s="7">
        <v>41994</v>
      </c>
      <c r="B90" s="13">
        <f ca="1">Prices!B89*(1+J90/(50*(ABS(O90)+ABS(T90)+0.0001)))</f>
        <v>1.101374314446399</v>
      </c>
      <c r="C90" s="62">
        <f t="shared" ca="1" si="9"/>
        <v>1</v>
      </c>
      <c r="D90" s="13">
        <f ca="1">D89+C90*(Prices!B90-Prices!B89)/Prices!B89</f>
        <v>-2.8282827409239295E-2</v>
      </c>
      <c r="E90" s="13">
        <f t="shared" ca="1" si="10"/>
        <v>4.8145645849496266E-2</v>
      </c>
      <c r="F90" s="13">
        <f t="shared" ca="1" si="8"/>
        <v>1.9862818440256971E-2</v>
      </c>
      <c r="G90" s="21">
        <f ca="1">IF((Prices!B90-Prices!B89)*C90&gt;0,1,0)</f>
        <v>0</v>
      </c>
      <c r="H90" s="13">
        <f>ABS(Prices!B90-Prices!B89)/Prices!B89</f>
        <v>1.3521022411557851E-2</v>
      </c>
      <c r="I90" s="21"/>
      <c r="J90" s="4">
        <f t="shared" ca="1" si="11"/>
        <v>9.9487035670446422E-2</v>
      </c>
      <c r="K90" s="13"/>
      <c r="L90" s="13">
        <f ca="1">L89-O90*Prices!B90</f>
        <v>0.5073519289850501</v>
      </c>
      <c r="M90" s="4">
        <f t="shared" ca="1" si="7"/>
        <v>0.44881725360846036</v>
      </c>
      <c r="N90" s="13">
        <f ca="1">IF(Prices!B89&gt;OFFSET(Prices!B89,-$N$3,0),1,-1)</f>
        <v>1</v>
      </c>
      <c r="O90" s="4">
        <f ca="1">IF(N90=1,O$3*L89/Prices!B89,-O$3*M89)</f>
        <v>5.2128054515149812E-2</v>
      </c>
      <c r="P90" s="22"/>
      <c r="Q90" s="13">
        <f ca="1">Q89-T90*Prices!B90</f>
        <v>0.51775574495659238</v>
      </c>
      <c r="R90" s="4">
        <f t="shared" ca="1" si="6"/>
        <v>0.43989887977319087</v>
      </c>
      <c r="S90" s="13">
        <f ca="1">IF(Prices!B89&gt;OFFSET(Prices!B89,-S$3,0),1,-1)</f>
        <v>1</v>
      </c>
      <c r="T90" s="4">
        <f ca="1">IF(S90=1,T$3*Q89/Prices!B89,-T$3*R89)</f>
        <v>4.7358981155296617E-2</v>
      </c>
      <c r="V90" s="13"/>
      <c r="W90" s="4"/>
      <c r="X90" s="4"/>
      <c r="Y90" s="4"/>
      <c r="Z90" s="4"/>
      <c r="AA90" s="4"/>
      <c r="AB90" s="4"/>
      <c r="AC90" s="4"/>
      <c r="AD90" s="4"/>
      <c r="AE90" s="52"/>
    </row>
    <row r="91" spans="1:31" x14ac:dyDescent="0.2">
      <c r="A91" s="7">
        <v>42001</v>
      </c>
      <c r="B91" s="13">
        <f ca="1">Prices!B90*(1+J91/(50*(ABS(O91)+ABS(T91)+0.0001)))</f>
        <v>1.0864807107104946</v>
      </c>
      <c r="C91" s="62">
        <f t="shared" ca="1" si="9"/>
        <v>1</v>
      </c>
      <c r="D91" s="13">
        <f ca="1">D90+C91*(Prices!B91-Prices!B90)/Prices!B90</f>
        <v>-3.4009451517387997E-2</v>
      </c>
      <c r="E91" s="13">
        <f t="shared" ca="1" si="10"/>
        <v>5.3872269957644964E-2</v>
      </c>
      <c r="F91" s="13">
        <f t="shared" ca="1" si="8"/>
        <v>1.9862818440256971E-2</v>
      </c>
      <c r="G91" s="21">
        <f ca="1">IF((Prices!B91-Prices!B90)*C91&gt;0,1,0)</f>
        <v>0</v>
      </c>
      <c r="H91" s="13">
        <f>ABS(Prices!B91-Prices!B90)/Prices!B90</f>
        <v>5.7266241081486997E-3</v>
      </c>
      <c r="I91" s="21"/>
      <c r="J91" s="4">
        <f t="shared" ca="1" si="11"/>
        <v>9.1375525670858368E-2</v>
      </c>
      <c r="K91" s="13"/>
      <c r="L91" s="13">
        <f ca="1">L90-O91*Prices!B91</f>
        <v>0.45690727746532922</v>
      </c>
      <c r="M91" s="4">
        <f t="shared" ca="1" si="7"/>
        <v>0.49644698783537083</v>
      </c>
      <c r="N91" s="13">
        <f ca="1">IF(Prices!B90&gt;OFFSET(Prices!B90,-$N$3,0),1,-1)</f>
        <v>1</v>
      </c>
      <c r="O91" s="4">
        <f ca="1">IF(N91=1,O$3*L90/Prices!B90,-O$3*M90)</f>
        <v>4.7629734226910456E-2</v>
      </c>
      <c r="P91" s="22"/>
      <c r="Q91" s="13">
        <f ca="1">Q90-T91*Prices!B91</f>
        <v>0.47142457723830716</v>
      </c>
      <c r="R91" s="4">
        <f t="shared" ca="1" si="6"/>
        <v>0.48364467121713878</v>
      </c>
      <c r="S91" s="13">
        <f ca="1">IF(Prices!B90&gt;OFFSET(Prices!B90,-S$3,0),1,-1)</f>
        <v>1</v>
      </c>
      <c r="T91" s="4">
        <f ca="1">IF(S91=1,T$3*Q90/Prices!B90,-T$3*R90)</f>
        <v>4.3745791443947912E-2</v>
      </c>
      <c r="V91" s="13"/>
      <c r="W91" s="4"/>
      <c r="X91" s="4"/>
      <c r="Y91" s="4"/>
      <c r="Z91" s="4"/>
      <c r="AA91" s="4"/>
      <c r="AB91" s="4"/>
      <c r="AC91" s="4"/>
      <c r="AD91" s="4"/>
      <c r="AE91" s="52"/>
    </row>
    <row r="92" spans="1:31" x14ac:dyDescent="0.2">
      <c r="A92" s="7">
        <v>42008</v>
      </c>
      <c r="B92" s="13">
        <f ca="1">Prices!B91*(1+J92/(50*(ABS(O92)+ABS(T92)+0.0001)))</f>
        <v>1.0379407097485558</v>
      </c>
      <c r="C92" s="62">
        <f t="shared" ca="1" si="9"/>
        <v>0</v>
      </c>
      <c r="D92" s="13">
        <f ca="1">D91+C92*(Prices!B92-Prices!B91)/Prices!B91</f>
        <v>-3.4009451517387997E-2</v>
      </c>
      <c r="E92" s="13">
        <f t="shared" ca="1" si="10"/>
        <v>5.3872269957644964E-2</v>
      </c>
      <c r="F92" s="13">
        <f t="shared" ca="1" si="8"/>
        <v>1.9862818440256971E-2</v>
      </c>
      <c r="G92" s="21">
        <f ca="1">IF((Prices!B92-Prices!B91)*C92&gt;0,1,0)</f>
        <v>0</v>
      </c>
      <c r="H92" s="13">
        <f>ABS(Prices!B92-Prices!B91)/Prices!B91</f>
        <v>2.5493343404779027E-3</v>
      </c>
      <c r="I92" s="21"/>
      <c r="J92" s="4">
        <f t="shared" ca="1" si="11"/>
        <v>-9.3172719193079567E-2</v>
      </c>
      <c r="K92" s="13"/>
      <c r="L92" s="13">
        <f ca="1">L91-O92*Prices!B92</f>
        <v>0.50962001863368889</v>
      </c>
      <c r="M92" s="4">
        <f t="shared" ca="1" si="7"/>
        <v>0.44680228905183372</v>
      </c>
      <c r="N92" s="13">
        <f ca="1">IF(Prices!B91&gt;OFFSET(Prices!B91,-$N$3,0),1,-1)</f>
        <v>-1</v>
      </c>
      <c r="O92" s="4">
        <f ca="1">IF(N92=1,O$3*L91/Prices!B91,-O$3*M91)</f>
        <v>-4.9644698783537083E-2</v>
      </c>
      <c r="P92" s="22"/>
      <c r="Q92" s="13">
        <f ca="1">Q91-T92*Prices!B92</f>
        <v>0.51764262930915939</v>
      </c>
      <c r="R92" s="4">
        <f t="shared" ca="1" si="6"/>
        <v>0.44011665080759627</v>
      </c>
      <c r="S92" s="13">
        <f ca="1">IF(Prices!B91&gt;OFFSET(Prices!B91,-S$3,0),1,-1)</f>
        <v>-1</v>
      </c>
      <c r="T92" s="4">
        <f ca="1">IF(S92=1,T$3*Q91/Prices!B91,-T$3*R91)</f>
        <v>-4.3528020409542491E-2</v>
      </c>
      <c r="V92" s="13"/>
      <c r="W92" s="4"/>
      <c r="X92" s="4"/>
      <c r="Y92" s="4"/>
      <c r="Z92" s="4"/>
      <c r="AA92" s="4"/>
      <c r="AB92" s="4"/>
      <c r="AC92" s="4"/>
      <c r="AD92" s="4"/>
      <c r="AE92" s="52"/>
    </row>
    <row r="93" spans="1:31" x14ac:dyDescent="0.2">
      <c r="A93" s="7">
        <v>42015</v>
      </c>
      <c r="B93" s="13">
        <f ca="1">Prices!B92*(1+J93/(50*(ABS(O93)+ABS(T93)+0.0001)))</f>
        <v>1.0405891639020479</v>
      </c>
      <c r="C93" s="62">
        <f t="shared" ca="1" si="9"/>
        <v>0</v>
      </c>
      <c r="D93" s="13">
        <f ca="1">D92+C93*(Prices!B93-Prices!B92)/Prices!B92</f>
        <v>-3.4009451517387997E-2</v>
      </c>
      <c r="E93" s="13">
        <f t="shared" ca="1" si="10"/>
        <v>5.3872269957644964E-2</v>
      </c>
      <c r="F93" s="13">
        <f t="shared" ca="1" si="8"/>
        <v>1.9862818440256971E-2</v>
      </c>
      <c r="G93" s="21">
        <f ca="1">IF((Prices!B93-Prices!B92)*C93&gt;0,1,0)</f>
        <v>0</v>
      </c>
      <c r="H93" s="13">
        <f>ABS(Prices!B93-Prices!B92)/Prices!B92</f>
        <v>1.0359766434356656E-2</v>
      </c>
      <c r="I93" s="21"/>
      <c r="J93" s="4">
        <f t="shared" ca="1" si="11"/>
        <v>-8.4290727477867033E-2</v>
      </c>
      <c r="K93" s="13"/>
      <c r="L93" s="13">
        <f ca="1">L92-O93*Prices!B93</f>
        <v>0.55755296820316957</v>
      </c>
      <c r="M93" s="4">
        <f t="shared" ca="1" si="7"/>
        <v>0.40212206014665036</v>
      </c>
      <c r="N93" s="13">
        <f ca="1">IF(Prices!B92&gt;OFFSET(Prices!B92,-$N$3,0),1,-1)</f>
        <v>-1</v>
      </c>
      <c r="O93" s="4">
        <f ca="1">IF(N93=1,O$3*L92/Prices!B92,-O$3*M92)</f>
        <v>-4.4680228905183375E-2</v>
      </c>
      <c r="P93" s="22"/>
      <c r="Q93" s="13">
        <f ca="1">Q92-T93*Prices!B93</f>
        <v>0.56013677217793445</v>
      </c>
      <c r="R93" s="4">
        <f t="shared" ca="1" si="6"/>
        <v>0.40050615223491259</v>
      </c>
      <c r="S93" s="13">
        <f ca="1">IF(Prices!B92&gt;OFFSET(Prices!B92,-S$3,0),1,-1)</f>
        <v>-1</v>
      </c>
      <c r="T93" s="4">
        <f ca="1">IF(S93=1,T$3*Q92/Prices!B92,-T$3*R92)</f>
        <v>-3.9610498572683665E-2</v>
      </c>
      <c r="V93" s="13"/>
      <c r="W93" s="4"/>
      <c r="X93" s="4"/>
      <c r="Y93" s="4"/>
      <c r="Z93" s="4"/>
      <c r="AA93" s="4"/>
      <c r="AB93" s="4"/>
      <c r="AC93" s="4"/>
      <c r="AD93" s="4"/>
      <c r="AE93" s="52"/>
    </row>
    <row r="94" spans="1:31" x14ac:dyDescent="0.2">
      <c r="A94" s="7">
        <v>42022</v>
      </c>
      <c r="B94" s="13">
        <f ca="1">Prices!B93*(1+J94/(50*(ABS(O94)+ABS(T94)+0.0001)))</f>
        <v>1.0744660617397159</v>
      </c>
      <c r="C94" s="62">
        <f t="shared" ca="1" si="9"/>
        <v>1</v>
      </c>
      <c r="D94" s="13">
        <f ca="1">D93+C94*(Prices!B94-Prices!B93)/Prices!B93</f>
        <v>-1.8442710279505878E-2</v>
      </c>
      <c r="E94" s="13">
        <f t="shared" ca="1" si="10"/>
        <v>3.8305528719762852E-2</v>
      </c>
      <c r="F94" s="13">
        <f t="shared" ca="1" si="8"/>
        <v>1.9862818440256971E-2</v>
      </c>
      <c r="G94" s="21">
        <f ca="1">IF((Prices!B94-Prices!B93)*C94&gt;0,1,0)</f>
        <v>1</v>
      </c>
      <c r="H94" s="13">
        <f>ABS(Prices!B94-Prices!B93)/Prices!B93</f>
        <v>1.5566741237882119E-2</v>
      </c>
      <c r="I94" s="21"/>
      <c r="J94" s="4">
        <f t="shared" ca="1" si="11"/>
        <v>6.7791339331482528E-3</v>
      </c>
      <c r="K94" s="13"/>
      <c r="L94" s="13">
        <f ca="1">L93-O94*Prices!B94</f>
        <v>0.60136416665614711</v>
      </c>
      <c r="M94" s="4">
        <f t="shared" ca="1" si="7"/>
        <v>0.36190985413198534</v>
      </c>
      <c r="N94" s="13">
        <f ca="1">IF(Prices!B93&gt;OFFSET(Prices!B93,-$N$3,0),1,-1)</f>
        <v>-1</v>
      </c>
      <c r="O94" s="4">
        <f ca="1">IF(N94=1,O$3*L93/Prices!B93,-O$3*M93)</f>
        <v>-4.021220601466504E-2</v>
      </c>
      <c r="P94" s="22"/>
      <c r="Q94" s="13">
        <f ca="1">Q93-T94*Prices!B94</f>
        <v>0.50893970730479188</v>
      </c>
      <c r="R94" s="4">
        <f t="shared" ca="1" si="6"/>
        <v>0.44749749218272589</v>
      </c>
      <c r="S94" s="13">
        <f ca="1">IF(Prices!B93&gt;OFFSET(Prices!B93,-S$3,0),1,-1)</f>
        <v>1</v>
      </c>
      <c r="T94" s="4">
        <f ca="1">IF(S94=1,T$3*Q93/Prices!B93,-T$3*R93)</f>
        <v>4.6991339947813293E-2</v>
      </c>
      <c r="V94" s="13"/>
      <c r="W94" s="4"/>
      <c r="X94" s="4"/>
      <c r="Y94" s="4"/>
      <c r="Z94" s="4"/>
      <c r="AA94" s="4"/>
      <c r="AB94" s="4"/>
      <c r="AC94" s="4"/>
      <c r="AD94" s="4"/>
      <c r="AE94" s="52"/>
    </row>
    <row r="95" spans="1:31" x14ac:dyDescent="0.2">
      <c r="A95" s="7">
        <v>42029</v>
      </c>
      <c r="B95" s="13">
        <f ca="1">Prices!B94*(1+J95/(50*(ABS(O95)+ABS(T95)+0.0001)))</f>
        <v>1.1112676141269597</v>
      </c>
      <c r="C95" s="62">
        <f t="shared" ca="1" si="9"/>
        <v>1</v>
      </c>
      <c r="D95" s="13">
        <f ca="1">D94+C95*(Prices!B95-Prices!B94)/Prices!B94</f>
        <v>-8.9888323538517261E-3</v>
      </c>
      <c r="E95" s="13">
        <f t="shared" ca="1" si="10"/>
        <v>2.8851650794108695E-2</v>
      </c>
      <c r="F95" s="13">
        <f t="shared" ca="1" si="8"/>
        <v>1.9862818440256971E-2</v>
      </c>
      <c r="G95" s="21">
        <f ca="1">IF((Prices!B95-Prices!B94)*C95&gt;0,1,0)</f>
        <v>1</v>
      </c>
      <c r="H95" s="13">
        <f>ABS(Prices!B95-Prices!B94)/Prices!B94</f>
        <v>9.4538779256541517E-3</v>
      </c>
      <c r="I95" s="21"/>
      <c r="J95" s="4">
        <f t="shared" ca="1" si="11"/>
        <v>9.7238173770579167E-2</v>
      </c>
      <c r="K95" s="13"/>
      <c r="L95" s="13">
        <f ca="1">L94-O95*Prices!B95</f>
        <v>0.54065922764848939</v>
      </c>
      <c r="M95" s="4">
        <f t="shared" ca="1" si="7"/>
        <v>0.41710619801965376</v>
      </c>
      <c r="N95" s="13">
        <f ca="1">IF(Prices!B94&gt;OFFSET(Prices!B94,-$N$3,0),1,-1)</f>
        <v>1</v>
      </c>
      <c r="O95" s="4">
        <f ca="1">IF(N95=1,O$3*L94/Prices!B94,-O$3*M94)</f>
        <v>5.5196343887668399E-2</v>
      </c>
      <c r="P95" s="22"/>
      <c r="Q95" s="13">
        <f ca="1">Q94-T95*Prices!B95</f>
        <v>0.46270210279956664</v>
      </c>
      <c r="R95" s="4">
        <f t="shared" ca="1" si="6"/>
        <v>0.48953932206563666</v>
      </c>
      <c r="S95" s="13">
        <f ca="1">IF(Prices!B94&gt;OFFSET(Prices!B94,-S$3,0),1,-1)</f>
        <v>1</v>
      </c>
      <c r="T95" s="4">
        <f ca="1">IF(S95=1,T$3*Q94/Prices!B94,-T$3*R94)</f>
        <v>4.2041829882910761E-2</v>
      </c>
      <c r="V95" s="13"/>
      <c r="W95" s="4"/>
      <c r="X95" s="4"/>
      <c r="Y95" s="4"/>
      <c r="Z95" s="4"/>
      <c r="AA95" s="4"/>
      <c r="AB95" s="4"/>
      <c r="AC95" s="4"/>
      <c r="AD95" s="4"/>
      <c r="AE95" s="52"/>
    </row>
    <row r="96" spans="1:31" x14ac:dyDescent="0.2">
      <c r="A96" s="7">
        <v>42036</v>
      </c>
      <c r="B96" s="13">
        <f ca="1">Prices!B95*(1+J96/(50*(ABS(O96)+ABS(T96)+0.0001)))</f>
        <v>1.1217707532560677</v>
      </c>
      <c r="C96" s="62">
        <f t="shared" ca="1" si="9"/>
        <v>1</v>
      </c>
      <c r="D96" s="13">
        <f ca="1">D95+C96*(Prices!B96-Prices!B95)/Prices!B95</f>
        <v>-1.5080849084166466E-2</v>
      </c>
      <c r="E96" s="13">
        <f t="shared" ca="1" si="10"/>
        <v>3.4943667524423433E-2</v>
      </c>
      <c r="F96" s="13">
        <f t="shared" ca="1" si="8"/>
        <v>1.9862818440256971E-2</v>
      </c>
      <c r="G96" s="21">
        <f ca="1">IF((Prices!B96-Prices!B95)*C96&gt;0,1,0)</f>
        <v>0</v>
      </c>
      <c r="H96" s="13">
        <f>ABS(Prices!B96-Prices!B95)/Prices!B95</f>
        <v>6.0920167303147388E-3</v>
      </c>
      <c r="I96" s="21"/>
      <c r="J96" s="4">
        <f t="shared" ca="1" si="11"/>
        <v>8.7024106216412017E-2</v>
      </c>
      <c r="K96" s="13"/>
      <c r="L96" s="13">
        <f ca="1">L95-O96*Prices!B96</f>
        <v>0.48692267538966383</v>
      </c>
      <c r="M96" s="4">
        <f t="shared" ca="1" si="7"/>
        <v>0.46626597503806522</v>
      </c>
      <c r="N96" s="13">
        <f ca="1">IF(Prices!B95&gt;OFFSET(Prices!B95,-$N$3,0),1,-1)</f>
        <v>1</v>
      </c>
      <c r="O96" s="4">
        <f ca="1">IF(N96=1,O$3*L95/Prices!B95,-O$3*M95)</f>
        <v>4.9159777018411475E-2</v>
      </c>
      <c r="P96" s="22"/>
      <c r="Q96" s="13">
        <f ca="1">Q95-T96*Prices!B96</f>
        <v>0.42131260455323227</v>
      </c>
      <c r="R96" s="4">
        <f t="shared" ca="1" si="6"/>
        <v>0.5274036512636372</v>
      </c>
      <c r="S96" s="13">
        <f ca="1">IF(Prices!B95&gt;OFFSET(Prices!B95,-S$3,0),1,-1)</f>
        <v>1</v>
      </c>
      <c r="T96" s="4">
        <f ca="1">IF(S96=1,T$3*Q95/Prices!B95,-T$3*R95)</f>
        <v>3.7864329198000542E-2</v>
      </c>
      <c r="V96" s="13"/>
      <c r="W96" s="4"/>
      <c r="X96" s="4"/>
      <c r="Y96" s="4"/>
      <c r="Z96" s="4"/>
      <c r="AA96" s="4"/>
      <c r="AB96" s="4"/>
      <c r="AC96" s="4"/>
      <c r="AD96" s="4"/>
      <c r="AE96" s="52"/>
    </row>
    <row r="97" spans="1:31" x14ac:dyDescent="0.2">
      <c r="A97" s="7">
        <v>42043</v>
      </c>
      <c r="B97" s="13">
        <f ca="1">Prices!B96*(1+J97/(50*(ABS(O97)+ABS(T97)+0.0001)))</f>
        <v>1.1149344429986412</v>
      </c>
      <c r="C97" s="62">
        <f t="shared" ca="1" si="9"/>
        <v>1</v>
      </c>
      <c r="D97" s="13">
        <f ca="1">D96+C97*(Prices!B97-Prices!B96)/Prices!B96</f>
        <v>1.0076958984628778E-2</v>
      </c>
      <c r="E97" s="13">
        <f t="shared" ca="1" si="10"/>
        <v>9.7858594556281923E-3</v>
      </c>
      <c r="F97" s="13">
        <f t="shared" ca="1" si="8"/>
        <v>1.9862818440256971E-2</v>
      </c>
      <c r="G97" s="21">
        <f ca="1">IF((Prices!B97-Prices!B96)*C97&gt;0,1,0)</f>
        <v>1</v>
      </c>
      <c r="H97" s="13">
        <f>ABS(Prices!B97-Prices!B96)/Prices!B96</f>
        <v>2.5157808068795244E-2</v>
      </c>
      <c r="I97" s="21"/>
      <c r="J97" s="4">
        <f t="shared" ca="1" si="11"/>
        <v>7.9233740690474147E-2</v>
      </c>
      <c r="K97" s="13"/>
      <c r="L97" s="13">
        <f ca="1">L96-O97*Prices!B97</f>
        <v>0.43700541712951768</v>
      </c>
      <c r="M97" s="4">
        <f t="shared" ca="1" si="7"/>
        <v>0.51081109217187404</v>
      </c>
      <c r="N97" s="13">
        <f ca="1">IF(Prices!B96&gt;OFFSET(Prices!B96,-$N$3,0),1,-1)</f>
        <v>1</v>
      </c>
      <c r="O97" s="4">
        <f ca="1">IF(N97=1,O$3*L96/Prices!B96,-O$3*M96)</f>
        <v>4.4545117133808786E-2</v>
      </c>
      <c r="P97" s="22"/>
      <c r="Q97" s="13">
        <f ca="1">Q96-T97*Prices!B97</f>
        <v>0.38244053299563308</v>
      </c>
      <c r="R97" s="4">
        <f t="shared" ca="1" si="6"/>
        <v>0.56209227482030255</v>
      </c>
      <c r="S97" s="13">
        <f ca="1">IF(Prices!B96&gt;OFFSET(Prices!B96,-S$3,0),1,-1)</f>
        <v>1</v>
      </c>
      <c r="T97" s="4">
        <f ca="1">IF(S97=1,T$3*Q96/Prices!B96,-T$3*R96)</f>
        <v>3.4688623556665361E-2</v>
      </c>
      <c r="V97" s="13"/>
      <c r="W97" s="4"/>
      <c r="X97" s="4"/>
      <c r="Y97" s="4"/>
      <c r="Z97" s="4"/>
      <c r="AA97" s="4"/>
      <c r="AB97" s="4"/>
      <c r="AC97" s="4"/>
      <c r="AD97" s="4"/>
      <c r="AE97" s="52"/>
    </row>
    <row r="98" spans="1:31" x14ac:dyDescent="0.2">
      <c r="A98" s="7">
        <v>42050</v>
      </c>
      <c r="B98" s="13">
        <f ca="1">Prices!B97*(1+J98/(50*(ABS(O98)+ABS(T98)+0.0001)))</f>
        <v>1.1429798970152312</v>
      </c>
      <c r="C98" s="62">
        <f t="shared" ca="1" si="9"/>
        <v>1</v>
      </c>
      <c r="D98" s="13">
        <f ca="1">D97+C98*(Prices!B98-Prices!B97)/Prices!B97</f>
        <v>8.0244870945699095E-3</v>
      </c>
      <c r="E98" s="13">
        <f t="shared" ca="1" si="10"/>
        <v>1.1838331345687061E-2</v>
      </c>
      <c r="F98" s="13">
        <f t="shared" ca="1" si="8"/>
        <v>1.9862818440256971E-2</v>
      </c>
      <c r="G98" s="21">
        <f ca="1">IF((Prices!B98-Prices!B97)*C98&gt;0,1,0)</f>
        <v>0</v>
      </c>
      <c r="H98" s="13">
        <f>ABS(Prices!B98-Prices!B97)/Prices!B97</f>
        <v>2.0524718900588692E-3</v>
      </c>
      <c r="I98" s="21"/>
      <c r="J98" s="4">
        <f t="shared" ca="1" si="11"/>
        <v>6.9712823204139518E-2</v>
      </c>
      <c r="K98" s="13"/>
      <c r="L98" s="13">
        <f ca="1">L97-O98*Prices!B98</f>
        <v>0.39339456955001206</v>
      </c>
      <c r="M98" s="4">
        <f t="shared" ca="1" si="7"/>
        <v>0.54980854149629999</v>
      </c>
      <c r="N98" s="13">
        <f ca="1">IF(Prices!B97&gt;OFFSET(Prices!B97,-$N$3,0),1,-1)</f>
        <v>1</v>
      </c>
      <c r="O98" s="4">
        <f ca="1">IF(N98=1,O$3*L97/Prices!B97,-O$3*M97)</f>
        <v>3.8997449324425996E-2</v>
      </c>
      <c r="P98" s="22"/>
      <c r="Q98" s="13">
        <f ca="1">Q97-T98*Prices!B98</f>
        <v>0.34809153038594942</v>
      </c>
      <c r="R98" s="4">
        <f t="shared" ca="1" si="6"/>
        <v>0.59280764870001612</v>
      </c>
      <c r="S98" s="13">
        <f ca="1">IF(Prices!B97&gt;OFFSET(Prices!B97,-S$3,0),1,-1)</f>
        <v>1</v>
      </c>
      <c r="T98" s="4">
        <f ca="1">IF(S98=1,T$3*Q97/Prices!B97,-T$3*R97)</f>
        <v>3.0715373879713525E-2</v>
      </c>
      <c r="V98" s="13"/>
      <c r="W98" s="4"/>
      <c r="X98" s="4"/>
      <c r="Y98" s="4"/>
      <c r="Z98" s="4"/>
      <c r="AA98" s="4"/>
      <c r="AB98" s="4"/>
      <c r="AC98" s="4"/>
      <c r="AD98" s="4"/>
      <c r="AE98" s="52"/>
    </row>
    <row r="99" spans="1:31" x14ac:dyDescent="0.2">
      <c r="A99" s="7">
        <v>42057</v>
      </c>
      <c r="B99" s="13">
        <f ca="1">Prices!B98*(1+J99/(50*(ABS(O99)+ABS(T99)+0.0001)))</f>
        <v>1.1406306622410796</v>
      </c>
      <c r="C99" s="62">
        <f t="shared" ca="1" si="9"/>
        <v>1</v>
      </c>
      <c r="D99" s="13">
        <f ca="1">D98+C99*(Prices!B99-Prices!B98)/Prices!B98</f>
        <v>1.6608945647730806E-2</v>
      </c>
      <c r="E99" s="13">
        <f t="shared" ca="1" si="10"/>
        <v>3.2538727925261642E-3</v>
      </c>
      <c r="F99" s="13">
        <f t="shared" ca="1" si="8"/>
        <v>1.9862818440256971E-2</v>
      </c>
      <c r="G99" s="21">
        <f ca="1">IF((Prices!B99-Prices!B98)*C99&gt;0,1,0)</f>
        <v>1</v>
      </c>
      <c r="H99" s="13">
        <f>ABS(Prices!B99-Prices!B98)/Prices!B98</f>
        <v>8.584458553160897E-3</v>
      </c>
      <c r="I99" s="21"/>
      <c r="J99" s="4">
        <f t="shared" ca="1" si="11"/>
        <v>6.3192072511612851E-2</v>
      </c>
      <c r="K99" s="13"/>
      <c r="L99" s="13">
        <f ca="1">L98-O99*Prices!B99</f>
        <v>0.3537174046572768</v>
      </c>
      <c r="M99" s="4">
        <f t="shared" ca="1" si="7"/>
        <v>0.58498645167693242</v>
      </c>
      <c r="N99" s="13">
        <f ca="1">IF(Prices!B98&gt;OFFSET(Prices!B98,-$N$3,0),1,-1)</f>
        <v>1</v>
      </c>
      <c r="O99" s="4">
        <f ca="1">IF(N99=1,O$3*L98/Prices!B98,-O$3*M98)</f>
        <v>3.5177910180632398E-2</v>
      </c>
      <c r="P99" s="22"/>
      <c r="Q99" s="13">
        <f ca="1">Q98-T99*Prices!B99</f>
        <v>0.31649435669283654</v>
      </c>
      <c r="R99" s="4">
        <f t="shared" ca="1" si="6"/>
        <v>0.62082181103099654</v>
      </c>
      <c r="S99" s="13">
        <f ca="1">IF(Prices!B98&gt;OFFSET(Prices!B98,-S$3,0),1,-1)</f>
        <v>1</v>
      </c>
      <c r="T99" s="4">
        <f ca="1">IF(S99=1,T$3*Q98/Prices!B98,-T$3*R98)</f>
        <v>2.8014162330980457E-2</v>
      </c>
      <c r="V99" s="13"/>
      <c r="W99" s="4"/>
      <c r="X99" s="4"/>
      <c r="Y99" s="4"/>
      <c r="Z99" s="4"/>
      <c r="AA99" s="4"/>
      <c r="AB99" s="4"/>
      <c r="AC99" s="4"/>
      <c r="AD99" s="4"/>
      <c r="AE99" s="52"/>
    </row>
    <row r="100" spans="1:31" x14ac:dyDescent="0.2">
      <c r="A100" s="7">
        <v>42064</v>
      </c>
      <c r="B100" s="13">
        <f ca="1">Prices!B99*(1+J100/(50*(ABS(O100)+ABS(T100)+0.0001)))</f>
        <v>1.1504182257980837</v>
      </c>
      <c r="C100" s="62">
        <f t="shared" ca="1" si="9"/>
        <v>1</v>
      </c>
      <c r="D100" s="13">
        <f ca="1">D99+C100*(Prices!B100-Prices!B99)/Prices!B99</f>
        <v>9.1614769005014737E-3</v>
      </c>
      <c r="E100" s="13">
        <f t="shared" ca="1" si="10"/>
        <v>1.0701341539755497E-2</v>
      </c>
      <c r="F100" s="13">
        <f t="shared" ca="1" si="8"/>
        <v>1.9862818440256971E-2</v>
      </c>
      <c r="G100" s="21">
        <f ca="1">IF((Prices!B100-Prices!B99)*C100&gt;0,1,0)</f>
        <v>0</v>
      </c>
      <c r="H100" s="13">
        <f>ABS(Prices!B100-Prices!B99)/Prices!B99</f>
        <v>7.4474687472293319E-3</v>
      </c>
      <c r="I100" s="21"/>
      <c r="J100" s="4">
        <f t="shared" ca="1" si="11"/>
        <v>5.6615154329358076E-2</v>
      </c>
      <c r="K100" s="13"/>
      <c r="L100" s="13">
        <f ca="1">L99-O100*Prices!B100</f>
        <v>0.31860909412320271</v>
      </c>
      <c r="M100" s="4">
        <f t="shared" ca="1" si="7"/>
        <v>0.61634715782617233</v>
      </c>
      <c r="N100" s="13">
        <f ca="1">IF(Prices!B99&gt;OFFSET(Prices!B99,-$N$3,0),1,-1)</f>
        <v>1</v>
      </c>
      <c r="O100" s="4">
        <f ca="1">IF(N100=1,O$3*L99/Prices!B99,-O$3*M99)</f>
        <v>3.13607061492399E-2</v>
      </c>
      <c r="P100" s="22"/>
      <c r="Q100" s="13">
        <f ca="1">Q99-T100*Prices!B100</f>
        <v>0.28822200195519426</v>
      </c>
      <c r="R100" s="4">
        <f t="shared" ca="1" si="6"/>
        <v>0.64607625921111467</v>
      </c>
      <c r="S100" s="13">
        <f ca="1">IF(Prices!B99&gt;OFFSET(Prices!B99,-S$3,0),1,-1)</f>
        <v>1</v>
      </c>
      <c r="T100" s="4">
        <f ca="1">IF(S100=1,T$3*Q99/Prices!B99,-T$3*R99)</f>
        <v>2.5254448180118176E-2</v>
      </c>
      <c r="V100" s="13"/>
      <c r="W100" s="4"/>
      <c r="X100" s="4"/>
      <c r="Y100" s="4"/>
      <c r="Z100" s="4"/>
      <c r="AA100" s="4"/>
      <c r="AB100" s="4"/>
      <c r="AC100" s="4"/>
      <c r="AD100" s="4"/>
      <c r="AE100" s="52"/>
    </row>
    <row r="101" spans="1:31" x14ac:dyDescent="0.2">
      <c r="A101" s="7">
        <v>42071</v>
      </c>
      <c r="B101" s="13">
        <f ca="1">Prices!B100*(1+J101/(50*(ABS(O101)+ABS(T101)+0.0001)))</f>
        <v>1.1418467183975467</v>
      </c>
      <c r="C101" s="62">
        <f t="shared" ca="1" si="9"/>
        <v>1</v>
      </c>
      <c r="D101" s="13">
        <f ca="1">D100+C101*(Prices!B101-Prices!B100)/Prices!B100</f>
        <v>9.4294536758475801E-3</v>
      </c>
      <c r="E101" s="13">
        <f t="shared" ca="1" si="10"/>
        <v>1.043336476440939E-2</v>
      </c>
      <c r="F101" s="13">
        <f t="shared" ca="1" si="8"/>
        <v>1.9862818440256971E-2</v>
      </c>
      <c r="G101" s="21">
        <f ca="1">IF((Prices!B101-Prices!B100)*C101&gt;0,1,0)</f>
        <v>1</v>
      </c>
      <c r="H101" s="13">
        <f>ABS(Prices!B101-Prices!B100)/Prices!B100</f>
        <v>2.6797677534610715E-4</v>
      </c>
      <c r="I101" s="21"/>
      <c r="J101" s="4">
        <f t="shared" ca="1" si="11"/>
        <v>5.1630986680024797E-2</v>
      </c>
      <c r="K101" s="13"/>
      <c r="L101" s="13">
        <f ca="1">L100-O101*Prices!B101</f>
        <v>0.28673964672711855</v>
      </c>
      <c r="M101" s="4">
        <f t="shared" ca="1" si="7"/>
        <v>0.64480710370586891</v>
      </c>
      <c r="N101" s="13">
        <f ca="1">IF(Prices!B100&gt;OFFSET(Prices!B100,-$N$3,0),1,-1)</f>
        <v>1</v>
      </c>
      <c r="O101" s="4">
        <f ca="1">IF(N101=1,O$3*L100/Prices!B100,-O$3*M100)</f>
        <v>2.8459945879696542E-2</v>
      </c>
      <c r="P101" s="22"/>
      <c r="Q101" s="13">
        <f ca="1">Q100-T101*Prices!B101</f>
        <v>0.26227507046698667</v>
      </c>
      <c r="R101" s="4">
        <f t="shared" ca="1" si="6"/>
        <v>0.66924730001144295</v>
      </c>
      <c r="S101" s="13">
        <f ca="1">IF(Prices!B100&gt;OFFSET(Prices!B100,-S$3,0),1,-1)</f>
        <v>1</v>
      </c>
      <c r="T101" s="4">
        <f ca="1">IF(S101=1,T$3*Q100/Prices!B100,-T$3*R100)</f>
        <v>2.3171040800328255E-2</v>
      </c>
      <c r="V101" s="13"/>
      <c r="W101" s="4"/>
      <c r="X101" s="4"/>
      <c r="Y101" s="4"/>
      <c r="Z101" s="4"/>
      <c r="AA101" s="4"/>
      <c r="AB101" s="4"/>
      <c r="AC101" s="4"/>
      <c r="AD101" s="4"/>
      <c r="AE101" s="52"/>
    </row>
    <row r="102" spans="1:31" x14ac:dyDescent="0.2">
      <c r="A102" s="7">
        <v>42078</v>
      </c>
      <c r="B102" s="13">
        <f ca="1">Prices!B101*(1+J102/(50*(ABS(O102)+ABS(T102)+0.0001)))</f>
        <v>1.108452659793502</v>
      </c>
      <c r="C102" s="62">
        <f t="shared" ca="1" si="9"/>
        <v>0</v>
      </c>
      <c r="D102" s="13">
        <f ca="1">D101+C102*(Prices!B102-Prices!B101)/Prices!B101</f>
        <v>9.4294536758475801E-3</v>
      </c>
      <c r="E102" s="13">
        <f t="shared" ca="1" si="10"/>
        <v>1.043336476440939E-2</v>
      </c>
      <c r="F102" s="13">
        <f t="shared" ca="1" si="8"/>
        <v>1.9862818440256971E-2</v>
      </c>
      <c r="G102" s="21">
        <f ca="1">IF((Prices!B102-Prices!B101)*C102&gt;0,1,0)</f>
        <v>0</v>
      </c>
      <c r="H102" s="13">
        <f>ABS(Prices!B102-Prices!B101)/Prices!B101</f>
        <v>3.572066440435399E-4</v>
      </c>
      <c r="I102" s="21"/>
      <c r="J102" s="4">
        <f t="shared" ca="1" si="11"/>
        <v>-4.3401270879580636E-2</v>
      </c>
      <c r="K102" s="13"/>
      <c r="L102" s="13">
        <f ca="1">L101-O102*Prices!B102</f>
        <v>0.35891935391595353</v>
      </c>
      <c r="M102" s="4">
        <f t="shared" ca="1" si="7"/>
        <v>0.58032639333528202</v>
      </c>
      <c r="N102" s="13">
        <f ca="1">IF(Prices!B101&gt;OFFSET(Prices!B101,-$N$3,0),1,-1)</f>
        <v>-1</v>
      </c>
      <c r="O102" s="4">
        <f ca="1">IF(N102=1,O$3*L101/Prices!B101,-O$3*M101)</f>
        <v>-6.4480710370586891E-2</v>
      </c>
      <c r="P102" s="22"/>
      <c r="Q102" s="13">
        <f ca="1">Q101-T102*Prices!B102</f>
        <v>0.23867874590075427</v>
      </c>
      <c r="R102" s="4">
        <f t="shared" ca="1" si="6"/>
        <v>0.69032673950244916</v>
      </c>
      <c r="S102" s="13">
        <f ca="1">IF(Prices!B101&gt;OFFSET(Prices!B101,-S$3,0),1,-1)</f>
        <v>1</v>
      </c>
      <c r="T102" s="4">
        <f ca="1">IF(S102=1,T$3*Q101/Prices!B101,-T$3*R101)</f>
        <v>2.1079439491006251E-2</v>
      </c>
      <c r="V102" s="13"/>
      <c r="W102" s="4"/>
      <c r="X102" s="4"/>
      <c r="Y102" s="4"/>
      <c r="Z102" s="4"/>
      <c r="AA102" s="4"/>
      <c r="AB102" s="4"/>
      <c r="AC102" s="4"/>
      <c r="AD102" s="4"/>
      <c r="AE102" s="52"/>
    </row>
    <row r="103" spans="1:31" x14ac:dyDescent="0.2">
      <c r="A103" s="7">
        <v>42085</v>
      </c>
      <c r="B103" s="13">
        <f ca="1">Prices!B102*(1+J103/(50*(ABS(O103)+ABS(T103)+0.0001)))</f>
        <v>1.1417444040296796</v>
      </c>
      <c r="C103" s="62">
        <f t="shared" ca="1" si="9"/>
        <v>1</v>
      </c>
      <c r="D103" s="13">
        <f ca="1">D102+C103*(Prices!B103-Prices!B102)/Prices!B102</f>
        <v>3.0154842276883947E-2</v>
      </c>
      <c r="E103" s="13">
        <f t="shared" ca="1" si="10"/>
        <v>0</v>
      </c>
      <c r="F103" s="13">
        <f t="shared" ca="1" si="8"/>
        <v>3.0154842276883947E-2</v>
      </c>
      <c r="G103" s="21">
        <f ca="1">IF((Prices!B103-Prices!B102)*C103&gt;0,1,0)</f>
        <v>1</v>
      </c>
      <c r="H103" s="13">
        <f>ABS(Prices!B103-Prices!B102)/Prices!B102</f>
        <v>2.0725388601036367E-2</v>
      </c>
      <c r="I103" s="21"/>
      <c r="J103" s="4">
        <f t="shared" ca="1" si="11"/>
        <v>5.1253370129232839E-2</v>
      </c>
      <c r="K103" s="13"/>
      <c r="L103" s="13">
        <f ca="1">L102-O103*Prices!B103</f>
        <v>0.32228354421572408</v>
      </c>
      <c r="M103" s="4">
        <f t="shared" ca="1" si="7"/>
        <v>0.61238994112123468</v>
      </c>
      <c r="N103" s="13">
        <f ca="1">IF(Prices!B102&gt;OFFSET(Prices!B102,-$N$3,0),1,-1)</f>
        <v>1</v>
      </c>
      <c r="O103" s="4">
        <f ca="1">IF(N103=1,O$3*L102/Prices!B102,-O$3*M102)</f>
        <v>3.2063547785952613E-2</v>
      </c>
      <c r="P103" s="22"/>
      <c r="Q103" s="13">
        <f ca="1">Q102-T103*Prices!B103</f>
        <v>0.21675245489132228</v>
      </c>
      <c r="R103" s="4">
        <f t="shared" ca="1" si="6"/>
        <v>0.70951656184572942</v>
      </c>
      <c r="S103" s="13">
        <f ca="1">IF(Prices!B102&gt;OFFSET(Prices!B102,-S$3,0),1,-1)</f>
        <v>1</v>
      </c>
      <c r="T103" s="4">
        <f ca="1">IF(S103=1,T$3*Q102/Prices!B102,-T$3*R102)</f>
        <v>1.9189822343280226E-2</v>
      </c>
      <c r="V103" s="13"/>
      <c r="W103" s="4"/>
      <c r="X103" s="4"/>
      <c r="Y103" s="4"/>
      <c r="Z103" s="4"/>
      <c r="AA103" s="4"/>
      <c r="AB103" s="4"/>
      <c r="AC103" s="4"/>
      <c r="AD103" s="4"/>
      <c r="AE103" s="52"/>
    </row>
    <row r="104" spans="1:31" x14ac:dyDescent="0.2">
      <c r="A104" s="7">
        <v>42092</v>
      </c>
      <c r="B104" s="13">
        <f ca="1">Prices!B103*(1+J104/(50*(ABS(O104)+ABS(T104)+0.0001)))</f>
        <v>1.1654016421864628</v>
      </c>
      <c r="C104" s="62">
        <f t="shared" ca="1" si="9"/>
        <v>1</v>
      </c>
      <c r="D104" s="13">
        <f ca="1">D103+C104*(Prices!B104-Prices!B103)/Prices!B103</f>
        <v>2.796684997861669E-2</v>
      </c>
      <c r="E104" s="13">
        <f t="shared" ca="1" si="10"/>
        <v>2.1879922982672578E-3</v>
      </c>
      <c r="F104" s="13">
        <f t="shared" ca="1" si="8"/>
        <v>3.0154842276883947E-2</v>
      </c>
      <c r="G104" s="21">
        <f ca="1">IF((Prices!B104-Prices!B103)*C104&gt;0,1,0)</f>
        <v>0</v>
      </c>
      <c r="H104" s="13">
        <f>ABS(Prices!B104-Prices!B103)/Prices!B103</f>
        <v>2.1879922982672578E-3</v>
      </c>
      <c r="I104" s="21"/>
      <c r="J104" s="4">
        <f t="shared" ca="1" si="11"/>
        <v>4.5279253773666553E-2</v>
      </c>
      <c r="K104" s="13"/>
      <c r="L104" s="13">
        <f ca="1">L103-O104*Prices!B104</f>
        <v>0.29012570518541192</v>
      </c>
      <c r="M104" s="4">
        <f t="shared" ca="1" si="7"/>
        <v>0.64059609762532399</v>
      </c>
      <c r="N104" s="13">
        <f ca="1">IF(Prices!B103&gt;OFFSET(Prices!B103,-$N$3,0),1,-1)</f>
        <v>1</v>
      </c>
      <c r="O104" s="4">
        <f ca="1">IF(N104=1,O$3*L103/Prices!B103,-O$3*M103)</f>
        <v>2.8206156504089277E-2</v>
      </c>
      <c r="P104" s="22"/>
      <c r="Q104" s="13">
        <f ca="1">Q103-T104*Prices!B104</f>
        <v>0.19728741669427721</v>
      </c>
      <c r="R104" s="4">
        <f t="shared" ca="1" si="6"/>
        <v>0.72658965911530671</v>
      </c>
      <c r="S104" s="13">
        <f ca="1">IF(Prices!B103&gt;OFFSET(Prices!B103,-S$3,0),1,-1)</f>
        <v>1</v>
      </c>
      <c r="T104" s="4">
        <f ca="1">IF(S104=1,T$3*Q103/Prices!B103,-T$3*R103)</f>
        <v>1.707309726957728E-2</v>
      </c>
      <c r="V104" s="13"/>
      <c r="W104" s="4"/>
      <c r="X104" s="4"/>
      <c r="Y104" s="4"/>
      <c r="Z104" s="4"/>
      <c r="AA104" s="4"/>
      <c r="AB104" s="4"/>
      <c r="AC104" s="4"/>
      <c r="AD104" s="4"/>
      <c r="AE104" s="52"/>
    </row>
    <row r="105" spans="1:31" x14ac:dyDescent="0.2">
      <c r="A105" s="7">
        <v>42099</v>
      </c>
      <c r="B105" s="13">
        <f ca="1">Prices!B104*(1+J105/(50*(ABS(O105)+ABS(T105)+0.0001)))</f>
        <v>1.1628465494821678</v>
      </c>
      <c r="C105" s="62">
        <f t="shared" ca="1" si="9"/>
        <v>1</v>
      </c>
      <c r="D105" s="13">
        <f ca="1">D104+C105*(Prices!B105-Prices!B104)/Prices!B104</f>
        <v>3.4018950671538477E-2</v>
      </c>
      <c r="E105" s="13">
        <f t="shared" ca="1" si="10"/>
        <v>0</v>
      </c>
      <c r="F105" s="13">
        <f t="shared" ca="1" si="8"/>
        <v>3.4018950671538477E-2</v>
      </c>
      <c r="G105" s="21">
        <f ca="1">IF((Prices!B105-Prices!B104)*C105&gt;0,1,0)</f>
        <v>1</v>
      </c>
      <c r="H105" s="13">
        <f>ABS(Prices!B105-Prices!B104)/Prices!B104</f>
        <v>6.0521006929217863E-3</v>
      </c>
      <c r="I105" s="21"/>
      <c r="J105" s="4">
        <f t="shared" ca="1" si="11"/>
        <v>4.1021347268683575E-2</v>
      </c>
      <c r="K105" s="13"/>
      <c r="L105" s="13">
        <f ca="1">L104-O105*Prices!B105</f>
        <v>0.26093754766873201</v>
      </c>
      <c r="M105" s="4">
        <f t="shared" ca="1" si="7"/>
        <v>0.66604348865991847</v>
      </c>
      <c r="N105" s="13">
        <f ca="1">IF(Prices!B104&gt;OFFSET(Prices!B104,-$N$3,0),1,-1)</f>
        <v>1</v>
      </c>
      <c r="O105" s="4">
        <f ca="1">IF(N105=1,O$3*L104/Prices!B104,-O$3*M104)</f>
        <v>2.5447391034594508E-2</v>
      </c>
      <c r="P105" s="22"/>
      <c r="Q105" s="13">
        <f ca="1">Q104-T105*Prices!B105</f>
        <v>0.17942408889377703</v>
      </c>
      <c r="R105" s="4">
        <f t="shared" ca="1" si="6"/>
        <v>0.74216361534939579</v>
      </c>
      <c r="S105" s="13">
        <f ca="1">IF(Prices!B104&gt;OFFSET(Prices!B104,-S$3,0),1,-1)</f>
        <v>1</v>
      </c>
      <c r="T105" s="4">
        <f ca="1">IF(S105=1,T$3*Q104/Prices!B104,-T$3*R104)</f>
        <v>1.5573956234089071E-2</v>
      </c>
      <c r="V105" s="13"/>
      <c r="W105" s="4"/>
      <c r="X105" s="4"/>
      <c r="Y105" s="4"/>
      <c r="Z105" s="4"/>
      <c r="AA105" s="4"/>
      <c r="AB105" s="4"/>
      <c r="AC105" s="4"/>
      <c r="AD105" s="4"/>
      <c r="AE105" s="52"/>
    </row>
    <row r="106" spans="1:31" x14ac:dyDescent="0.2">
      <c r="A106" s="7">
        <v>42106</v>
      </c>
      <c r="B106" s="13">
        <f ca="1">Prices!B105*(1+J106/(50*(ABS(O106)+ABS(T106)+0.0001)))</f>
        <v>1.1698778794193661</v>
      </c>
      <c r="C106" s="62">
        <f t="shared" ca="1" si="9"/>
        <v>1</v>
      </c>
      <c r="D106" s="13">
        <f ca="1">D105+C106*(Prices!B106-Prices!B105)/Prices!B105</f>
        <v>5.084545459481668E-2</v>
      </c>
      <c r="E106" s="13">
        <f t="shared" ca="1" si="10"/>
        <v>0</v>
      </c>
      <c r="F106" s="13">
        <f t="shared" ca="1" si="8"/>
        <v>5.084545459481668E-2</v>
      </c>
      <c r="G106" s="21">
        <f ca="1">IF((Prices!B106-Prices!B105)*C106&gt;0,1,0)</f>
        <v>1</v>
      </c>
      <c r="H106" s="13">
        <f>ABS(Prices!B106-Prices!B105)/Prices!B105</f>
        <v>1.68265039232782E-2</v>
      </c>
      <c r="I106" s="21"/>
      <c r="J106" s="4">
        <f t="shared" ca="1" si="11"/>
        <v>3.6828180267927751E-2</v>
      </c>
      <c r="K106" s="13"/>
      <c r="L106" s="13">
        <f ca="1">L105-O106*Prices!B106</f>
        <v>0.23440472623490097</v>
      </c>
      <c r="M106" s="4">
        <f t="shared" ca="1" si="7"/>
        <v>0.68879305689607639</v>
      </c>
      <c r="N106" s="13">
        <f ca="1">IF(Prices!B105&gt;OFFSET(Prices!B105,-$N$3,0),1,-1)</f>
        <v>1</v>
      </c>
      <c r="O106" s="4">
        <f ca="1">IF(N106=1,O$3*L105/Prices!B105,-O$3*M105)</f>
        <v>2.2749568236157976E-2</v>
      </c>
      <c r="P106" s="22"/>
      <c r="Q106" s="13">
        <f ca="1">Q105-T106*Prices!B106</f>
        <v>0.16300420368112395</v>
      </c>
      <c r="R106" s="4">
        <f t="shared" ca="1" si="6"/>
        <v>0.75624222738116553</v>
      </c>
      <c r="S106" s="13">
        <f ca="1">IF(Prices!B105&gt;OFFSET(Prices!B105,-S$3,0),1,-1)</f>
        <v>1</v>
      </c>
      <c r="T106" s="4">
        <f ca="1">IF(S106=1,T$3*Q105/Prices!B105,-T$3*R105)</f>
        <v>1.4078612031769777E-2</v>
      </c>
      <c r="V106" s="13"/>
      <c r="W106" s="4"/>
      <c r="X106" s="4"/>
      <c r="Y106" s="4"/>
      <c r="Z106" s="4"/>
      <c r="AA106" s="4"/>
      <c r="AB106" s="4"/>
      <c r="AC106" s="4"/>
      <c r="AD106" s="4"/>
      <c r="AE106" s="52"/>
    </row>
    <row r="107" spans="1:31" x14ac:dyDescent="0.2">
      <c r="A107" s="7">
        <v>42113</v>
      </c>
      <c r="B107" s="13">
        <f ca="1">Prices!B106*(1+J107/(50*(ABS(O107)+ABS(T107)+0.0001)))</f>
        <v>1.1895548336214667</v>
      </c>
      <c r="C107" s="62">
        <f t="shared" ca="1" si="9"/>
        <v>1</v>
      </c>
      <c r="D107" s="13">
        <f ca="1">D106+C107*(Prices!B107-Prices!B106)/Prices!B106</f>
        <v>5.8390683095202442E-2</v>
      </c>
      <c r="E107" s="13">
        <f t="shared" ca="1" si="10"/>
        <v>0</v>
      </c>
      <c r="F107" s="13">
        <f t="shared" ca="1" si="8"/>
        <v>5.8390683095202442E-2</v>
      </c>
      <c r="G107" s="21">
        <f ca="1">IF((Prices!B107-Prices!B106)*C107&gt;0,1,0)</f>
        <v>1</v>
      </c>
      <c r="H107" s="13">
        <f>ABS(Prices!B107-Prices!B106)/Prices!B106</f>
        <v>7.5452285003857651E-3</v>
      </c>
      <c r="I107" s="21"/>
      <c r="J107" s="4">
        <f t="shared" ca="1" si="11"/>
        <v>3.2676713499778146E-2</v>
      </c>
      <c r="K107" s="13"/>
      <c r="L107" s="13">
        <f ca="1">L106-O107*Prices!B107</f>
        <v>0.21078738988930959</v>
      </c>
      <c r="M107" s="4">
        <f t="shared" ca="1" si="7"/>
        <v>0.7088912071348572</v>
      </c>
      <c r="N107" s="13">
        <f ca="1">IF(Prices!B106&gt;OFFSET(Prices!B106,-$N$3,0),1,-1)</f>
        <v>1</v>
      </c>
      <c r="O107" s="4">
        <f ca="1">IF(N107=1,O$3*L106/Prices!B106,-O$3*M106)</f>
        <v>2.0098150238780841E-2</v>
      </c>
      <c r="P107" s="22"/>
      <c r="Q107" s="13">
        <f ca="1">Q106-T107*Prices!B107</f>
        <v>0.14822313399312603</v>
      </c>
      <c r="R107" s="4">
        <f t="shared" ca="1" si="6"/>
        <v>0.7688207906421628</v>
      </c>
      <c r="S107" s="13">
        <f ca="1">IF(Prices!B106&gt;OFFSET(Prices!B106,-S$3,0),1,-1)</f>
        <v>1</v>
      </c>
      <c r="T107" s="4">
        <f ca="1">IF(S107=1,T$3*Q106/Prices!B106,-T$3*R106)</f>
        <v>1.2578563260997301E-2</v>
      </c>
      <c r="V107" s="13"/>
      <c r="W107" s="4"/>
      <c r="X107" s="4"/>
      <c r="Y107" s="4"/>
      <c r="Z107" s="4"/>
      <c r="AA107" s="4"/>
      <c r="AB107" s="4"/>
      <c r="AC107" s="4"/>
      <c r="AD107" s="4"/>
      <c r="AE107" s="52"/>
    </row>
    <row r="108" spans="1:31" x14ac:dyDescent="0.2">
      <c r="A108" s="7">
        <v>42120</v>
      </c>
      <c r="B108" s="13">
        <f ca="1">Prices!B107*(1+J108/(50*(ABS(O108)+ABS(T108)+0.0001)))</f>
        <v>1.1985220343540797</v>
      </c>
      <c r="C108" s="62">
        <f t="shared" ca="1" si="9"/>
        <v>1</v>
      </c>
      <c r="D108" s="13">
        <f ca="1">D107+C108*(Prices!B108-Prices!B107)/Prices!B107</f>
        <v>6.0262864186173409E-2</v>
      </c>
      <c r="E108" s="13">
        <f t="shared" ca="1" si="10"/>
        <v>0</v>
      </c>
      <c r="F108" s="13">
        <f t="shared" ca="1" si="8"/>
        <v>6.0262864186173409E-2</v>
      </c>
      <c r="G108" s="21">
        <f ca="1">IF((Prices!B108-Prices!B107)*C108&gt;0,1,0)</f>
        <v>1</v>
      </c>
      <c r="H108" s="13">
        <f>ABS(Prices!B108-Prices!B107)/Prices!B107</f>
        <v>1.8721810909709639E-3</v>
      </c>
      <c r="I108" s="21"/>
      <c r="J108" s="4">
        <f t="shared" ca="1" si="11"/>
        <v>2.929012088189286E-2</v>
      </c>
      <c r="K108" s="13"/>
      <c r="L108" s="13">
        <f ca="1">L107-O108*Prices!B108</f>
        <v>0.18966918768382204</v>
      </c>
      <c r="M108" s="4">
        <f t="shared" ca="1" si="7"/>
        <v>0.72682903284239786</v>
      </c>
      <c r="N108" s="13">
        <f ca="1">IF(Prices!B107&gt;OFFSET(Prices!B107,-$N$3,0),1,-1)</f>
        <v>1</v>
      </c>
      <c r="O108" s="4">
        <f ca="1">IF(N108=1,O$3*L107/Prices!B107,-O$3*M107)</f>
        <v>1.79378257075406E-2</v>
      </c>
      <c r="P108" s="22"/>
      <c r="Q108" s="13">
        <f ca="1">Q107-T108*Prices!B108</f>
        <v>0.13485807688436111</v>
      </c>
      <c r="R108" s="4">
        <f t="shared" ca="1" si="6"/>
        <v>0.78017308581651501</v>
      </c>
      <c r="S108" s="13">
        <f ca="1">IF(Prices!B107&gt;OFFSET(Prices!B107,-S$3,0),1,-1)</f>
        <v>1</v>
      </c>
      <c r="T108" s="4">
        <f ca="1">IF(S108=1,T$3*Q107/Prices!B107,-T$3*R107)</f>
        <v>1.1352295174352262E-2</v>
      </c>
      <c r="V108" s="13"/>
      <c r="W108" s="4"/>
      <c r="X108" s="4"/>
      <c r="Y108" s="4"/>
      <c r="Z108" s="4"/>
      <c r="AA108" s="4"/>
      <c r="AB108" s="4"/>
      <c r="AC108" s="4"/>
      <c r="AD108" s="4"/>
      <c r="AE108" s="52"/>
    </row>
    <row r="109" spans="1:31" x14ac:dyDescent="0.2">
      <c r="A109" s="7">
        <v>42127</v>
      </c>
      <c r="B109" s="13">
        <f ca="1">Prices!B108*(1+J109/(50*(ABS(O109)+ABS(T109)+0.0001)))</f>
        <v>1.2007572138358469</v>
      </c>
      <c r="C109" s="62">
        <f t="shared" ca="1" si="9"/>
        <v>1</v>
      </c>
      <c r="D109" s="13">
        <f ca="1">D108+C109*(Prices!B109-Prices!B108)/Prices!B108</f>
        <v>6.4339989812606704E-2</v>
      </c>
      <c r="E109" s="13">
        <f t="shared" ca="1" si="10"/>
        <v>0</v>
      </c>
      <c r="F109" s="13">
        <f t="shared" ca="1" si="8"/>
        <v>6.4339989812606704E-2</v>
      </c>
      <c r="G109" s="21">
        <f ca="1">IF((Prices!B109-Prices!B108)*C109&gt;0,1,0)</f>
        <v>1</v>
      </c>
      <c r="H109" s="13">
        <f>ABS(Prices!B109-Prices!B108)/Prices!B108</f>
        <v>4.0771256264332924E-3</v>
      </c>
      <c r="I109" s="21"/>
      <c r="J109" s="4">
        <f t="shared" ca="1" si="11"/>
        <v>2.6419897806824685E-2</v>
      </c>
      <c r="K109" s="13"/>
      <c r="L109" s="13">
        <f ca="1">L108-O109*Prices!B109</f>
        <v>0.1706249384048748</v>
      </c>
      <c r="M109" s="4">
        <f t="shared" ca="1" si="7"/>
        <v>0.74293955587678351</v>
      </c>
      <c r="N109" s="13">
        <f ca="1">IF(Prices!B108&gt;OFFSET(Prices!B108,-$N$3,0),1,-1)</f>
        <v>1</v>
      </c>
      <c r="O109" s="4">
        <f ca="1">IF(N109=1,O$3*L108/Prices!B108,-O$3*M108)</f>
        <v>1.6110523034385631E-2</v>
      </c>
      <c r="P109" s="22"/>
      <c r="Q109" s="13">
        <f ca="1">Q108-T109*Prices!B109</f>
        <v>0.1226713649658609</v>
      </c>
      <c r="R109" s="4">
        <f t="shared" ca="1" si="6"/>
        <v>0.79048246058895411</v>
      </c>
      <c r="S109" s="13">
        <f ca="1">IF(Prices!B108&gt;OFFSET(Prices!B108,-S$3,0),1,-1)</f>
        <v>1</v>
      </c>
      <c r="T109" s="4">
        <f ca="1">IF(S109=1,T$3*Q108/Prices!B108,-T$3*R108)</f>
        <v>1.0309374772439053E-2</v>
      </c>
      <c r="V109" s="13"/>
      <c r="W109" s="4"/>
      <c r="X109" s="4"/>
      <c r="Y109" s="4"/>
      <c r="Z109" s="4"/>
      <c r="AA109" s="4"/>
      <c r="AB109" s="4"/>
      <c r="AC109" s="4"/>
      <c r="AD109" s="4"/>
      <c r="AE109" s="52"/>
    </row>
    <row r="110" spans="1:31" x14ac:dyDescent="0.2">
      <c r="A110" s="7">
        <v>42134</v>
      </c>
      <c r="B110" s="13">
        <f ca="1">Prices!B109*(1+J110/(50*(ABS(O110)+ABS(T110)+0.0001)))</f>
        <v>1.2056429706149951</v>
      </c>
      <c r="C110" s="62">
        <f t="shared" ca="1" si="9"/>
        <v>1</v>
      </c>
      <c r="D110" s="13">
        <f ca="1">D109+C110*(Prices!B110-Prices!B109)/Prices!B109</f>
        <v>5.926427709794635E-2</v>
      </c>
      <c r="E110" s="13">
        <f t="shared" ca="1" si="10"/>
        <v>5.0757127146603548E-3</v>
      </c>
      <c r="F110" s="13">
        <f t="shared" ca="1" si="8"/>
        <v>6.4339989812606704E-2</v>
      </c>
      <c r="G110" s="21">
        <f ca="1">IF((Prices!B110-Prices!B109)*C110&gt;0,1,0)</f>
        <v>0</v>
      </c>
      <c r="H110" s="13">
        <f>ABS(Prices!B110-Prices!B109)/Prices!B109</f>
        <v>5.0757127146603548E-3</v>
      </c>
      <c r="I110" s="21"/>
      <c r="J110" s="4">
        <f t="shared" ca="1" si="11"/>
        <v>2.3773721924892108E-2</v>
      </c>
      <c r="K110" s="13"/>
      <c r="L110" s="13">
        <f ca="1">L109-O110*Prices!B110</f>
        <v>0.15364904888131731</v>
      </c>
      <c r="M110" s="4">
        <f t="shared" ca="1" si="7"/>
        <v>0.75737360869844617</v>
      </c>
      <c r="N110" s="13">
        <f ca="1">IF(Prices!B109&gt;OFFSET(Prices!B109,-$N$3,0),1,-1)</f>
        <v>1</v>
      </c>
      <c r="O110" s="4">
        <f ca="1">IF(N110=1,O$3*L109/Prices!B109,-O$3*M109)</f>
        <v>1.4434052821662702E-2</v>
      </c>
      <c r="P110" s="22"/>
      <c r="Q110" s="13">
        <f ca="1">Q109-T110*Prices!B110</f>
        <v>0.1116869801335528</v>
      </c>
      <c r="R110" s="4">
        <f t="shared" ca="1" si="6"/>
        <v>0.79982212969218347</v>
      </c>
      <c r="S110" s="13">
        <f ca="1">IF(Prices!B109&gt;OFFSET(Prices!B109,-S$3,0),1,-1)</f>
        <v>1</v>
      </c>
      <c r="T110" s="4">
        <f ca="1">IF(S110=1,T$3*Q109/Prices!B109,-T$3*R109)</f>
        <v>9.339669103229406E-3</v>
      </c>
      <c r="V110" s="13"/>
      <c r="W110" s="4"/>
      <c r="X110" s="4"/>
      <c r="Y110" s="4"/>
      <c r="Z110" s="4"/>
      <c r="AA110" s="4"/>
      <c r="AB110" s="4"/>
      <c r="AC110" s="4"/>
      <c r="AD110" s="4"/>
      <c r="AE110" s="52"/>
    </row>
    <row r="111" spans="1:31" x14ac:dyDescent="0.2">
      <c r="A111" s="7">
        <v>42141</v>
      </c>
      <c r="B111" s="13">
        <f ca="1">Prices!B110*(1+J111/(50*(ABS(O111)+ABS(T111)+0.0001)))</f>
        <v>1.1995136587589839</v>
      </c>
      <c r="C111" s="62">
        <f t="shared" ca="1" si="9"/>
        <v>1</v>
      </c>
      <c r="D111" s="13">
        <f ca="1">D110+C111*(Prices!B111-Prices!B110)/Prices!B110</f>
        <v>7.3123642798141902E-2</v>
      </c>
      <c r="E111" s="13">
        <f t="shared" ca="1" si="10"/>
        <v>0</v>
      </c>
      <c r="F111" s="13">
        <f t="shared" ca="1" si="8"/>
        <v>7.3123642798141902E-2</v>
      </c>
      <c r="G111" s="21">
        <f ca="1">IF((Prices!B111-Prices!B110)*C111&gt;0,1,0)</f>
        <v>1</v>
      </c>
      <c r="H111" s="13">
        <f>ABS(Prices!B111-Prices!B110)/Prices!B110</f>
        <v>1.3859365700195546E-2</v>
      </c>
      <c r="I111" s="21"/>
      <c r="J111" s="4">
        <f t="shared" ca="1" si="11"/>
        <v>2.1611030609770841E-2</v>
      </c>
      <c r="K111" s="13"/>
      <c r="L111" s="13">
        <f ca="1">L110-O111*Prices!B111</f>
        <v>0.13807119615739225</v>
      </c>
      <c r="M111" s="4">
        <f t="shared" ca="1" si="7"/>
        <v>0.77043789310294553</v>
      </c>
      <c r="N111" s="13">
        <f ca="1">IF(Prices!B110&gt;OFFSET(Prices!B110,-$N$3,0),1,-1)</f>
        <v>1</v>
      </c>
      <c r="O111" s="4">
        <f ca="1">IF(N111=1,O$3*L110/Prices!B110,-O$3*M110)</f>
        <v>1.306428440449939E-2</v>
      </c>
      <c r="P111" s="22"/>
      <c r="Q111" s="13">
        <f ca="1">Q110-T111*Prices!B111</f>
        <v>0.10149583995838712</v>
      </c>
      <c r="R111" s="4">
        <f t="shared" ca="1" si="6"/>
        <v>0.80836887589745487</v>
      </c>
      <c r="S111" s="13">
        <f ca="1">IF(Prices!B110&gt;OFFSET(Prices!B110,-S$3,0),1,-1)</f>
        <v>1</v>
      </c>
      <c r="T111" s="4">
        <f ca="1">IF(S111=1,T$3*Q110/Prices!B110,-T$3*R110)</f>
        <v>8.54674620527145E-3</v>
      </c>
      <c r="V111" s="13"/>
      <c r="W111" s="4"/>
      <c r="X111" s="4"/>
      <c r="Y111" s="4"/>
      <c r="Z111" s="4"/>
      <c r="AA111" s="4"/>
      <c r="AB111" s="4"/>
      <c r="AC111" s="4"/>
      <c r="AD111" s="4"/>
      <c r="AE111" s="52"/>
    </row>
    <row r="112" spans="1:31" x14ac:dyDescent="0.2">
      <c r="A112" s="7">
        <v>42148</v>
      </c>
      <c r="B112" s="13">
        <f ca="1">Prices!B111*(1+J112/(50*(ABS(O112)+ABS(T112)+0.0001)))</f>
        <v>1.2161246906316507</v>
      </c>
      <c r="C112" s="62">
        <f t="shared" ca="1" si="9"/>
        <v>1</v>
      </c>
      <c r="D112" s="13">
        <f ca="1">D111+C112*(Prices!B112-Prices!B111)/Prices!B111</f>
        <v>6.7756316397605196E-2</v>
      </c>
      <c r="E112" s="13">
        <f t="shared" ca="1" si="10"/>
        <v>5.3673264005367066E-3</v>
      </c>
      <c r="F112" s="13">
        <f t="shared" ca="1" si="8"/>
        <v>7.3123642798141902E-2</v>
      </c>
      <c r="G112" s="21">
        <f ca="1">IF((Prices!B112-Prices!B111)*C112&gt;0,1,0)</f>
        <v>0</v>
      </c>
      <c r="H112" s="13">
        <f>ABS(Prices!B112-Prices!B111)/Prices!B111</f>
        <v>5.3673264005367005E-3</v>
      </c>
      <c r="I112" s="21"/>
      <c r="J112" s="4">
        <f t="shared" ca="1" si="11"/>
        <v>1.9239974179800459E-2</v>
      </c>
      <c r="K112" s="13"/>
      <c r="L112" s="13">
        <f ca="1">L111-O112*Prices!B112</f>
        <v>0.12433818385928194</v>
      </c>
      <c r="M112" s="4">
        <f t="shared" ca="1" si="7"/>
        <v>0.78201716148246514</v>
      </c>
      <c r="N112" s="13">
        <f ca="1">IF(Prices!B111&gt;OFFSET(Prices!B111,-$N$3,0),1,-1)</f>
        <v>1</v>
      </c>
      <c r="O112" s="4">
        <f ca="1">IF(N112=1,O$3*L111/Prices!B111,-O$3*M111)</f>
        <v>1.1579268379519647E-2</v>
      </c>
      <c r="P112" s="22"/>
      <c r="Q112" s="13">
        <f ca="1">Q111-T112*Prices!B112</f>
        <v>9.2410242879254076E-2</v>
      </c>
      <c r="R112" s="4">
        <f t="shared" ca="1" si="6"/>
        <v>0.81602958169773565</v>
      </c>
      <c r="S112" s="13">
        <f ca="1">IF(Prices!B111&gt;OFFSET(Prices!B111,-S$3,0),1,-1)</f>
        <v>1</v>
      </c>
      <c r="T112" s="4">
        <f ca="1">IF(S112=1,T$3*Q111/Prices!B111,-T$3*R111)</f>
        <v>7.6607058002808133E-3</v>
      </c>
      <c r="V112" s="13"/>
      <c r="W112" s="4"/>
      <c r="X112" s="4"/>
      <c r="Y112" s="4"/>
      <c r="Z112" s="4"/>
      <c r="AA112" s="4"/>
      <c r="AB112" s="4"/>
      <c r="AC112" s="4"/>
      <c r="AD112" s="4"/>
      <c r="AE112" s="52"/>
    </row>
    <row r="113" spans="1:31" x14ac:dyDescent="0.2">
      <c r="A113" s="7">
        <v>42155</v>
      </c>
      <c r="B113" s="13">
        <f ca="1">Prices!B112*(1+J113/(50*(ABS(O113)+ABS(T113)+0.0001)))</f>
        <v>1.2095851997635303</v>
      </c>
      <c r="C113" s="62">
        <f t="shared" ca="1" si="9"/>
        <v>1</v>
      </c>
      <c r="D113" s="13">
        <f ca="1">D112+C113*(Prices!B113-Prices!B112)/Prices!B112</f>
        <v>8.2596114036728355E-2</v>
      </c>
      <c r="E113" s="13">
        <f t="shared" ca="1" si="10"/>
        <v>0</v>
      </c>
      <c r="F113" s="13">
        <f t="shared" ca="1" si="8"/>
        <v>8.2596114036728355E-2</v>
      </c>
      <c r="G113" s="21">
        <f ca="1">IF((Prices!B113-Prices!B112)*C113&gt;0,1,0)</f>
        <v>1</v>
      </c>
      <c r="H113" s="13">
        <f>ABS(Prices!B113-Prices!B112)/Prices!B112</f>
        <v>1.4839797639123154E-2</v>
      </c>
      <c r="I113" s="21"/>
      <c r="J113" s="4">
        <f t="shared" ca="1" si="11"/>
        <v>1.749640830106329E-2</v>
      </c>
      <c r="K113" s="13"/>
      <c r="L113" s="13">
        <f ca="1">L112-O113*Prices!B113</f>
        <v>0.11171985012462496</v>
      </c>
      <c r="M113" s="4">
        <f t="shared" ca="1" si="7"/>
        <v>0.79250098811478231</v>
      </c>
      <c r="N113" s="13">
        <f ca="1">IF(Prices!B112&gt;OFFSET(Prices!B112,-$N$3,0),1,-1)</f>
        <v>1</v>
      </c>
      <c r="O113" s="4">
        <f ca="1">IF(N113=1,O$3*L112/Prices!B112,-O$3*M112)</f>
        <v>1.0483826632317197E-2</v>
      </c>
      <c r="P113" s="22"/>
      <c r="Q113" s="13">
        <f ca="1">Q112-T113*Prices!B113</f>
        <v>8.3969899582751278E-2</v>
      </c>
      <c r="R113" s="4">
        <f t="shared" ca="1" si="6"/>
        <v>0.82304216336648173</v>
      </c>
      <c r="S113" s="13">
        <f ca="1">IF(Prices!B112&gt;OFFSET(Prices!B112,-S$3,0),1,-1)</f>
        <v>1</v>
      </c>
      <c r="T113" s="4">
        <f ca="1">IF(S113=1,T$3*Q112/Prices!B112,-T$3*R112)</f>
        <v>7.0125816687460936E-3</v>
      </c>
      <c r="V113" s="13"/>
      <c r="W113" s="4"/>
      <c r="X113" s="4"/>
      <c r="Y113" s="4"/>
      <c r="Z113" s="4"/>
      <c r="AA113" s="4"/>
      <c r="AB113" s="4"/>
      <c r="AC113" s="4"/>
      <c r="AD113" s="4"/>
      <c r="AE113" s="52"/>
    </row>
    <row r="114" spans="1:31" x14ac:dyDescent="0.2">
      <c r="A114" s="7">
        <v>42162</v>
      </c>
      <c r="B114" s="13">
        <f ca="1">Prices!B113*(1+J114/(50*(ABS(O114)+ABS(T114)+0.0001)))</f>
        <v>1.2275182937998457</v>
      </c>
      <c r="C114" s="62">
        <f t="shared" ca="1" si="9"/>
        <v>1</v>
      </c>
      <c r="D114" s="13">
        <f ca="1">D113+C114*(Prices!B114-Prices!B113)/Prices!B113</f>
        <v>7.5035462657532706E-2</v>
      </c>
      <c r="E114" s="13">
        <f t="shared" ca="1" si="10"/>
        <v>7.5606513791956487E-3</v>
      </c>
      <c r="F114" s="13">
        <f t="shared" ca="1" si="8"/>
        <v>8.2596114036728355E-2</v>
      </c>
      <c r="G114" s="21">
        <f ca="1">IF((Prices!B114-Prices!B113)*C114&gt;0,1,0)</f>
        <v>0</v>
      </c>
      <c r="H114" s="13">
        <f>ABS(Prices!B114-Prices!B113)/Prices!B113</f>
        <v>7.5606513791956513E-3</v>
      </c>
      <c r="I114" s="21"/>
      <c r="J114" s="4">
        <f t="shared" ca="1" si="11"/>
        <v>1.556104683857603E-2</v>
      </c>
      <c r="K114" s="13"/>
      <c r="L114" s="13">
        <f ca="1">L113-O114*Prices!B114</f>
        <v>0.10063233259605529</v>
      </c>
      <c r="M114" s="4">
        <f t="shared" ca="1" si="7"/>
        <v>0.80178312920190631</v>
      </c>
      <c r="N114" s="13">
        <f ca="1">IF(Prices!B113&gt;OFFSET(Prices!B113,-$N$3,0),1,-1)</f>
        <v>1</v>
      </c>
      <c r="O114" s="4">
        <f ca="1">IF(N114=1,O$3*L113/Prices!B113,-O$3*M113)</f>
        <v>9.2821410871240413E-3</v>
      </c>
      <c r="P114" s="22"/>
      <c r="Q114" s="13">
        <f ca="1">Q113-T114*Prices!B114</f>
        <v>7.6469746662641877E-2</v>
      </c>
      <c r="R114" s="4">
        <f t="shared" ca="1" si="6"/>
        <v>0.82932106911793368</v>
      </c>
      <c r="S114" s="13">
        <f ca="1">IF(Prices!B113&gt;OFFSET(Prices!B113,-S$3,0),1,-1)</f>
        <v>1</v>
      </c>
      <c r="T114" s="4">
        <f ca="1">IF(S114=1,T$3*Q113/Prices!B113,-T$3*R113)</f>
        <v>6.2789057514519896E-3</v>
      </c>
      <c r="V114" s="13"/>
      <c r="W114" s="4"/>
      <c r="X114" s="4"/>
      <c r="Y114" s="4"/>
      <c r="Z114" s="4"/>
      <c r="AA114" s="4"/>
      <c r="AB114" s="4"/>
      <c r="AC114" s="4"/>
      <c r="AD114" s="4"/>
      <c r="AE114" s="52"/>
    </row>
    <row r="115" spans="1:31" x14ac:dyDescent="0.2">
      <c r="A115" s="7">
        <v>42169</v>
      </c>
      <c r="B115" s="13">
        <f ca="1">Prices!B114*(1+J115/(50*(ABS(O115)+ABS(T115)+0.0001)))</f>
        <v>1.2182227766122393</v>
      </c>
      <c r="C115" s="62">
        <f t="shared" ca="1" si="9"/>
        <v>1</v>
      </c>
      <c r="D115" s="13">
        <f ca="1">D114+C115*(Prices!B115-Prices!B114)/Prices!B114</f>
        <v>7.5537764876034114E-2</v>
      </c>
      <c r="E115" s="13">
        <f t="shared" ca="1" si="10"/>
        <v>7.0583491606942411E-3</v>
      </c>
      <c r="F115" s="13">
        <f t="shared" ca="1" si="8"/>
        <v>8.2596114036728355E-2</v>
      </c>
      <c r="G115" s="21">
        <f ca="1">IF((Prices!B115-Prices!B114)*C115&gt;0,1,0)</f>
        <v>1</v>
      </c>
      <c r="H115" s="13">
        <f>ABS(Prices!B115-Prices!B114)/Prices!B114</f>
        <v>5.0230221850140972E-4</v>
      </c>
      <c r="I115" s="21"/>
      <c r="J115" s="4">
        <f t="shared" ca="1" si="11"/>
        <v>1.4186279162196145E-2</v>
      </c>
      <c r="K115" s="13"/>
      <c r="L115" s="13">
        <f ca="1">L114-O115*Prices!B115</f>
        <v>9.0564044552058173E-2</v>
      </c>
      <c r="M115" s="4">
        <f t="shared" ca="1" si="7"/>
        <v>0.81020776985456899</v>
      </c>
      <c r="N115" s="13">
        <f ca="1">IF(Prices!B114&gt;OFFSET(Prices!B114,-$N$3,0),1,-1)</f>
        <v>1</v>
      </c>
      <c r="O115" s="4">
        <f ca="1">IF(N115=1,O$3*L114/Prices!B114,-O$3*M114)</f>
        <v>8.4246406526626433E-3</v>
      </c>
      <c r="P115" s="22"/>
      <c r="Q115" s="13">
        <f ca="1">Q114-T115*Prices!B115</f>
        <v>6.9584012479898386E-2</v>
      </c>
      <c r="R115" s="4">
        <f t="shared" ca="1" si="6"/>
        <v>0.83508270762746717</v>
      </c>
      <c r="S115" s="13">
        <f ca="1">IF(Prices!B114&gt;OFFSET(Prices!B114,-S$3,0),1,-1)</f>
        <v>1</v>
      </c>
      <c r="T115" s="4">
        <f ca="1">IF(S115=1,T$3*Q114/Prices!B114,-T$3*R114)</f>
        <v>5.7616385095335025E-3</v>
      </c>
      <c r="V115" s="13"/>
      <c r="W115" s="4"/>
      <c r="X115" s="4"/>
      <c r="Y115" s="4"/>
      <c r="Z115" s="4"/>
      <c r="AA115" s="4"/>
      <c r="AB115" s="4"/>
      <c r="AC115" s="4"/>
      <c r="AD115" s="4"/>
      <c r="AE115" s="52"/>
    </row>
    <row r="116" spans="1:31" x14ac:dyDescent="0.2">
      <c r="A116" s="7">
        <v>42176</v>
      </c>
      <c r="B116" s="13">
        <f ca="1">Prices!B115*(1+J116/(50*(ABS(O116)+ABS(T116)+0.0001)))</f>
        <v>1.2188169734405128</v>
      </c>
      <c r="C116" s="62">
        <f t="shared" ca="1" si="9"/>
        <v>1</v>
      </c>
      <c r="D116" s="13">
        <f ca="1">D115+C116*(Prices!B116-Prices!B115)/Prices!B115</f>
        <v>6.4074289016273392E-2</v>
      </c>
      <c r="E116" s="13">
        <f t="shared" ca="1" si="10"/>
        <v>1.8521825020454963E-2</v>
      </c>
      <c r="F116" s="13">
        <f t="shared" ca="1" si="8"/>
        <v>8.2596114036728355E-2</v>
      </c>
      <c r="G116" s="21">
        <f ca="1">IF((Prices!B116-Prices!B115)*C116&gt;0,1,0)</f>
        <v>0</v>
      </c>
      <c r="H116" s="13">
        <f>ABS(Prices!B116-Prices!B115)/Prices!B115</f>
        <v>1.1463475859760727E-2</v>
      </c>
      <c r="I116" s="21"/>
      <c r="J116" s="4">
        <f t="shared" ca="1" si="11"/>
        <v>1.281814540908432E-2</v>
      </c>
      <c r="K116" s="13"/>
      <c r="L116" s="13">
        <f ca="1">L115-O116*Prices!B116</f>
        <v>8.1611457970700838E-2</v>
      </c>
      <c r="M116" s="4">
        <f t="shared" ca="1" si="7"/>
        <v>0.81778571685080848</v>
      </c>
      <c r="N116" s="13">
        <f ca="1">IF(Prices!B115&gt;OFFSET(Prices!B115,-$N$3,0),1,-1)</f>
        <v>1</v>
      </c>
      <c r="O116" s="4">
        <f ca="1">IF(N116=1,O$3*L115/Prices!B115,-O$3*M115)</f>
        <v>7.5779469962394923E-3</v>
      </c>
      <c r="P116" s="22"/>
      <c r="Q116" s="13">
        <f ca="1">Q115-T116*Prices!B116</f>
        <v>6.339324207496351E-2</v>
      </c>
      <c r="R116" s="4">
        <f t="shared" ca="1" si="6"/>
        <v>0.84032290604031201</v>
      </c>
      <c r="S116" s="13">
        <f ca="1">IF(Prices!B115&gt;OFFSET(Prices!B115,-S$3,0),1,-1)</f>
        <v>1</v>
      </c>
      <c r="T116" s="4">
        <f ca="1">IF(S116=1,T$3*Q115/Prices!B115,-T$3*R115)</f>
        <v>5.2401984128448275E-3</v>
      </c>
      <c r="V116" s="13"/>
      <c r="W116" s="4"/>
      <c r="X116" s="4"/>
      <c r="Y116" s="4"/>
      <c r="Z116" s="4"/>
      <c r="AA116" s="4"/>
      <c r="AB116" s="4"/>
      <c r="AC116" s="4"/>
      <c r="AD116" s="4"/>
      <c r="AE116" s="52"/>
    </row>
    <row r="117" spans="1:31" x14ac:dyDescent="0.2">
      <c r="A117" s="7">
        <v>42183</v>
      </c>
      <c r="B117" s="13">
        <f ca="1">Prices!B116*(1+J117/(50*(ABS(O117)+ABS(T117)+0.0001)))</f>
        <v>1.1604312550273757</v>
      </c>
      <c r="C117" s="62">
        <f t="shared" ca="1" si="9"/>
        <v>0</v>
      </c>
      <c r="D117" s="13">
        <f ca="1">D116+C117*(Prices!B117-Prices!B116)/Prices!B116</f>
        <v>6.4074289016273392E-2</v>
      </c>
      <c r="E117" s="13">
        <f t="shared" ca="1" si="10"/>
        <v>1.8521825020454963E-2</v>
      </c>
      <c r="F117" s="13">
        <f t="shared" ca="1" si="8"/>
        <v>8.2596114036728355E-2</v>
      </c>
      <c r="G117" s="21">
        <f ca="1">IF((Prices!B117-Prices!B116)*C117&gt;0,1,0)</f>
        <v>0</v>
      </c>
      <c r="H117" s="13">
        <f>ABS(Prices!B117-Prices!B116)/Prices!B116</f>
        <v>7.1102082275266319E-3</v>
      </c>
      <c r="I117" s="21"/>
      <c r="J117" s="4">
        <f t="shared" ca="1" si="11"/>
        <v>-7.6949223634677336E-2</v>
      </c>
      <c r="K117" s="13"/>
      <c r="L117" s="13">
        <f ca="1">L116-O117*Prices!B117</f>
        <v>0.17753772255730066</v>
      </c>
      <c r="M117" s="4">
        <f t="shared" ca="1" si="7"/>
        <v>0.73600714516572763</v>
      </c>
      <c r="N117" s="13">
        <f ca="1">IF(Prices!B116&gt;OFFSET(Prices!B116,-$N$3,0),1,-1)</f>
        <v>-1</v>
      </c>
      <c r="O117" s="4">
        <f ca="1">IF(N117=1,O$3*L116/Prices!B116,-O$3*M116)</f>
        <v>-8.1778571685080848E-2</v>
      </c>
      <c r="P117" s="22"/>
      <c r="Q117" s="13">
        <f ca="1">Q116-T117*Prices!B117</f>
        <v>5.7728416811840183E-2</v>
      </c>
      <c r="R117" s="4">
        <f t="shared" ca="1" si="6"/>
        <v>0.84515225409071548</v>
      </c>
      <c r="S117" s="13">
        <f ca="1">IF(Prices!B116&gt;OFFSET(Prices!B116,-S$3,0),1,-1)</f>
        <v>1</v>
      </c>
      <c r="T117" s="4">
        <f ca="1">IF(S117=1,T$3*Q116/Prices!B116,-T$3*R116)</f>
        <v>4.8293480504035171E-3</v>
      </c>
      <c r="V117" s="13"/>
      <c r="W117" s="4"/>
      <c r="X117" s="4"/>
      <c r="Y117" s="4"/>
      <c r="Z117" s="4"/>
      <c r="AA117" s="4"/>
      <c r="AB117" s="4"/>
      <c r="AC117" s="4"/>
      <c r="AD117" s="4"/>
      <c r="AE117" s="52"/>
    </row>
    <row r="118" spans="1:31" x14ac:dyDescent="0.2">
      <c r="A118" s="7">
        <v>42190</v>
      </c>
      <c r="B118" s="13">
        <f ca="1">Prices!B117*(1+J118/(50*(ABS(O118)+ABS(T118)+0.0001)))</f>
        <v>1.1522299819222628</v>
      </c>
      <c r="C118" s="62">
        <f t="shared" ca="1" si="9"/>
        <v>0</v>
      </c>
      <c r="D118" s="13">
        <f ca="1">D117+C118*(Prices!B118-Prices!B117)/Prices!B117</f>
        <v>6.4074289016273392E-2</v>
      </c>
      <c r="E118" s="13">
        <f t="shared" ca="1" si="10"/>
        <v>1.8521825020454963E-2</v>
      </c>
      <c r="F118" s="13">
        <f t="shared" ca="1" si="8"/>
        <v>8.2596114036728355E-2</v>
      </c>
      <c r="G118" s="21">
        <f ca="1">IF((Prices!B118-Prices!B117)*C118&gt;0,1,0)</f>
        <v>0</v>
      </c>
      <c r="H118" s="13">
        <f>ABS(Prices!B118-Prices!B117)/Prices!B117</f>
        <v>7.672634271099656E-3</v>
      </c>
      <c r="I118" s="21"/>
      <c r="J118" s="4">
        <f t="shared" ca="1" si="11"/>
        <v>-6.9171424224104217E-2</v>
      </c>
      <c r="K118" s="13"/>
      <c r="L118" s="13">
        <f ca="1">L117-O118*Prices!B118</f>
        <v>0.26453376711588966</v>
      </c>
      <c r="M118" s="4">
        <f t="shared" ca="1" si="7"/>
        <v>0.66240643064915483</v>
      </c>
      <c r="N118" s="13">
        <f ca="1">IF(Prices!B117&gt;OFFSET(Prices!B117,-$N$3,0),1,-1)</f>
        <v>-1</v>
      </c>
      <c r="O118" s="4">
        <f ca="1">IF(N118=1,O$3*L117/Prices!B117,-O$3*M117)</f>
        <v>-7.3600714516572768E-2</v>
      </c>
      <c r="P118" s="22"/>
      <c r="Q118" s="13">
        <f ca="1">Q117-T118*Prices!B118</f>
        <v>5.2492995686142352E-2</v>
      </c>
      <c r="R118" s="4">
        <f t="shared" ca="1" si="6"/>
        <v>0.84958154438318401</v>
      </c>
      <c r="S118" s="13">
        <f ca="1">IF(Prices!B117&gt;OFFSET(Prices!B117,-S$3,0),1,-1)</f>
        <v>1</v>
      </c>
      <c r="T118" s="4">
        <f ca="1">IF(S118=1,T$3*Q117/Prices!B117,-T$3*R117)</f>
        <v>4.4292902924685552E-3</v>
      </c>
      <c r="V118" s="13"/>
      <c r="W118" s="4"/>
      <c r="X118" s="4"/>
      <c r="Y118" s="4"/>
      <c r="Z118" s="4"/>
      <c r="AA118" s="4"/>
      <c r="AB118" s="4"/>
      <c r="AC118" s="4"/>
      <c r="AD118" s="4"/>
      <c r="AE118" s="52"/>
    </row>
    <row r="119" spans="1:31" x14ac:dyDescent="0.2">
      <c r="A119" s="7">
        <v>42197</v>
      </c>
      <c r="B119" s="13">
        <f ca="1">Prices!B118*(1+J119/(50*(ABS(O119)+ABS(T119)+0.0001)))</f>
        <v>1.1610802927244426</v>
      </c>
      <c r="C119" s="62">
        <f t="shared" ca="1" si="9"/>
        <v>0</v>
      </c>
      <c r="D119" s="13">
        <f ca="1">D118+C119*(Prices!B119-Prices!B118)/Prices!B118</f>
        <v>6.4074289016273392E-2</v>
      </c>
      <c r="E119" s="13">
        <f t="shared" ca="1" si="10"/>
        <v>1.8521825020454963E-2</v>
      </c>
      <c r="F119" s="13">
        <f t="shared" ca="1" si="8"/>
        <v>8.2596114036728355E-2</v>
      </c>
      <c r="G119" s="21">
        <f ca="1">IF((Prices!B119-Prices!B118)*C119&gt;0,1,0)</f>
        <v>0</v>
      </c>
      <c r="H119" s="13">
        <f>ABS(Prices!B119-Prices!B118)/Prices!B118</f>
        <v>3.0456852791878575E-3</v>
      </c>
      <c r="I119" s="21"/>
      <c r="J119" s="4">
        <f t="shared" ca="1" si="11"/>
        <v>-6.2243714459371657E-2</v>
      </c>
      <c r="K119" s="13"/>
      <c r="L119" s="13">
        <f ca="1">L118-O119*Prices!B119</f>
        <v>0.34259174090358607</v>
      </c>
      <c r="M119" s="4">
        <f t="shared" ca="1" si="7"/>
        <v>0.59616578758423933</v>
      </c>
      <c r="N119" s="13">
        <f ca="1">IF(Prices!B118&gt;OFFSET(Prices!B118,-$N$3,0),1,-1)</f>
        <v>-1</v>
      </c>
      <c r="O119" s="4">
        <f ca="1">IF(N119=1,O$3*L118/Prices!B118,-O$3*M118)</f>
        <v>-6.6240643064915491E-2</v>
      </c>
      <c r="P119" s="22"/>
      <c r="Q119" s="13">
        <f ca="1">Q118-T119*Prices!B119</f>
        <v>4.77830150173695E-2</v>
      </c>
      <c r="R119" s="4">
        <f t="shared" ca="1" si="6"/>
        <v>0.8535784729887278</v>
      </c>
      <c r="S119" s="13">
        <f ca="1">IF(Prices!B118&gt;OFFSET(Prices!B118,-S$3,0),1,-1)</f>
        <v>1</v>
      </c>
      <c r="T119" s="4">
        <f ca="1">IF(S119=1,T$3*Q118/Prices!B118,-T$3*R118)</f>
        <v>3.9969286055438341E-3</v>
      </c>
      <c r="V119" s="13"/>
      <c r="W119" s="4"/>
      <c r="X119" s="4"/>
      <c r="Y119" s="4"/>
      <c r="Z119" s="4"/>
      <c r="AA119" s="4"/>
      <c r="AB119" s="4"/>
      <c r="AC119" s="4"/>
      <c r="AD119" s="4"/>
      <c r="AE119" s="52"/>
    </row>
    <row r="120" spans="1:31" x14ac:dyDescent="0.2">
      <c r="A120" s="7">
        <v>42204</v>
      </c>
      <c r="B120" s="13">
        <f ca="1">Prices!B119*(1+J120/(50*(ABS(O120)+ABS(T120)+0.0001)))</f>
        <v>1.1575838806547292</v>
      </c>
      <c r="C120" s="62">
        <f t="shared" ca="1" si="9"/>
        <v>0</v>
      </c>
      <c r="D120" s="13">
        <f ca="1">D119+C120*(Prices!B120-Prices!B119)/Prices!B119</f>
        <v>6.4074289016273392E-2</v>
      </c>
      <c r="E120" s="13">
        <f t="shared" ca="1" si="10"/>
        <v>1.8521825020454963E-2</v>
      </c>
      <c r="F120" s="13">
        <f t="shared" ca="1" si="8"/>
        <v>8.2596114036728355E-2</v>
      </c>
      <c r="G120" s="21">
        <f ca="1">IF((Prices!B120-Prices!B119)*C120&gt;0,1,0)</f>
        <v>0</v>
      </c>
      <c r="H120" s="13">
        <f>ABS(Prices!B120-Prices!B119)/Prices!B119</f>
        <v>1.4935505770536185E-2</v>
      </c>
      <c r="I120" s="21"/>
      <c r="J120" s="4">
        <f t="shared" ca="1" si="11"/>
        <v>-5.5967163151191032E-2</v>
      </c>
      <c r="K120" s="13"/>
      <c r="L120" s="13">
        <f ca="1">L119-O120*Prices!B120</f>
        <v>0.41179466552636457</v>
      </c>
      <c r="M120" s="4">
        <f t="shared" ca="1" si="7"/>
        <v>0.53654920882581536</v>
      </c>
      <c r="N120" s="13">
        <f ca="1">IF(Prices!B119&gt;OFFSET(Prices!B119,-$N$3,0),1,-1)</f>
        <v>-1</v>
      </c>
      <c r="O120" s="4">
        <f ca="1">IF(N120=1,O$3*L119/Prices!B119,-O$3*M119)</f>
        <v>-5.9616578758423938E-2</v>
      </c>
      <c r="P120" s="22"/>
      <c r="Q120" s="13">
        <f ca="1">Q119-T120*Prices!B120</f>
        <v>4.3546773380493543E-2</v>
      </c>
      <c r="R120" s="4">
        <f t="shared" ca="1" si="6"/>
        <v>0.85722788859596066</v>
      </c>
      <c r="S120" s="13">
        <f ca="1">IF(Prices!B119&gt;OFFSET(Prices!B119,-S$3,0),1,-1)</f>
        <v>1</v>
      </c>
      <c r="T120" s="4">
        <f ca="1">IF(S120=1,T$3*Q119/Prices!B119,-T$3*R119)</f>
        <v>3.6494156072329055E-3</v>
      </c>
      <c r="V120" s="13"/>
      <c r="W120" s="4"/>
      <c r="X120" s="4"/>
      <c r="Y120" s="4"/>
      <c r="Z120" s="4"/>
      <c r="AA120" s="4"/>
      <c r="AB120" s="4"/>
      <c r="AC120" s="4"/>
      <c r="AD120" s="4"/>
      <c r="AE120" s="52"/>
    </row>
    <row r="121" spans="1:31" x14ac:dyDescent="0.2">
      <c r="A121" s="7">
        <v>42211</v>
      </c>
      <c r="B121" s="13">
        <f ca="1">Prices!B120*(1+J121/(50*(ABS(O121)+ABS(T121)+0.0001)))</f>
        <v>1.1376017349402909</v>
      </c>
      <c r="C121" s="62">
        <f t="shared" ca="1" si="9"/>
        <v>0</v>
      </c>
      <c r="D121" s="13">
        <f ca="1">D120+C121*(Prices!B121-Prices!B120)/Prices!B120</f>
        <v>6.4074289016273392E-2</v>
      </c>
      <c r="E121" s="13">
        <f t="shared" ca="1" si="10"/>
        <v>1.8521825020454963E-2</v>
      </c>
      <c r="F121" s="13">
        <f t="shared" ca="1" si="8"/>
        <v>8.2596114036728355E-2</v>
      </c>
      <c r="G121" s="21">
        <f ca="1">IF((Prices!B121-Prices!B120)*C121&gt;0,1,0)</f>
        <v>0</v>
      </c>
      <c r="H121" s="13">
        <f>ABS(Prices!B121-Prices!B120)/Prices!B120</f>
        <v>0</v>
      </c>
      <c r="I121" s="21"/>
      <c r="J121" s="4">
        <f t="shared" ca="1" si="11"/>
        <v>-0.13080543085621799</v>
      </c>
      <c r="K121" s="13"/>
      <c r="L121" s="13">
        <f ca="1">L120-O121*Prices!B121</f>
        <v>0.47407729768686524</v>
      </c>
      <c r="M121" s="4">
        <f t="shared" ca="1" si="7"/>
        <v>0.4828942879432338</v>
      </c>
      <c r="N121" s="13">
        <f ca="1">IF(Prices!B120&gt;OFFSET(Prices!B120,-$N$3,0),1,-1)</f>
        <v>-1</v>
      </c>
      <c r="O121" s="4">
        <f ca="1">IF(N121=1,O$3*L120/Prices!B120,-O$3*M120)</f>
        <v>-5.3654920882581537E-2</v>
      </c>
      <c r="P121" s="22"/>
      <c r="Q121" s="13">
        <f ca="1">Q120-T121*Prices!B121</f>
        <v>0.13310308535789075</v>
      </c>
      <c r="R121" s="4">
        <f t="shared" ca="1" si="6"/>
        <v>0.78007737862232418</v>
      </c>
      <c r="S121" s="13">
        <f ca="1">IF(Prices!B120&gt;OFFSET(Prices!B120,-S$3,0),1,-1)</f>
        <v>-1</v>
      </c>
      <c r="T121" s="4">
        <f ca="1">IF(S121=1,T$3*Q120/Prices!B120,-T$3*R120)</f>
        <v>-7.7150509973636455E-2</v>
      </c>
      <c r="V121" s="13"/>
      <c r="W121" s="4"/>
      <c r="X121" s="4"/>
      <c r="Y121" s="4"/>
      <c r="Z121" s="4"/>
      <c r="AA121" s="4"/>
      <c r="AB121" s="4"/>
      <c r="AC121" s="4"/>
      <c r="AD121" s="4"/>
      <c r="AE121" s="52"/>
    </row>
    <row r="122" spans="1:31" x14ac:dyDescent="0.2">
      <c r="A122" s="7">
        <v>42218</v>
      </c>
      <c r="B122" s="13">
        <f ca="1">Prices!B121*(1+J122/(50*(ABS(O122)+ABS(T122)+0.0001)))</f>
        <v>1.1376035756375369</v>
      </c>
      <c r="C122" s="62">
        <f t="shared" ca="1" si="9"/>
        <v>0</v>
      </c>
      <c r="D122" s="13">
        <f ca="1">D121+C122*(Prices!B122-Prices!B121)/Prices!B121</f>
        <v>6.4074289016273392E-2</v>
      </c>
      <c r="E122" s="13">
        <f t="shared" ca="1" si="10"/>
        <v>1.8521825020454963E-2</v>
      </c>
      <c r="F122" s="13">
        <f t="shared" ca="1" si="8"/>
        <v>8.2596114036728355E-2</v>
      </c>
      <c r="G122" s="21">
        <f ca="1">IF((Prices!B122-Prices!B121)*C122&gt;0,1,0)</f>
        <v>0</v>
      </c>
      <c r="H122" s="13">
        <f>ABS(Prices!B122-Prices!B121)/Prices!B121</f>
        <v>4.9104066161268422E-3</v>
      </c>
      <c r="I122" s="21"/>
      <c r="J122" s="4">
        <f t="shared" ca="1" si="11"/>
        <v>-0.11849639287033255</v>
      </c>
      <c r="K122" s="13"/>
      <c r="L122" s="13">
        <f ca="1">L121-O122*Prices!B122</f>
        <v>0.53040691637544346</v>
      </c>
      <c r="M122" s="4">
        <f t="shared" ca="1" si="7"/>
        <v>0.43460485914891045</v>
      </c>
      <c r="N122" s="13">
        <f ca="1">IF(Prices!B121&gt;OFFSET(Prices!B121,-$N$3,0),1,-1)</f>
        <v>-1</v>
      </c>
      <c r="O122" s="4">
        <f ca="1">IF(N122=1,O$3*L121/Prices!B121,-O$3*M121)</f>
        <v>-4.828942879432338E-2</v>
      </c>
      <c r="P122" s="22"/>
      <c r="Q122" s="13">
        <f ca="1">Q121-T122*Prices!B122</f>
        <v>0.21499950895255546</v>
      </c>
      <c r="R122" s="4">
        <f t="shared" ca="1" si="6"/>
        <v>0.70987041454631505</v>
      </c>
      <c r="S122" s="13">
        <f ca="1">IF(Prices!B121&gt;OFFSET(Prices!B121,-S$3,0),1,-1)</f>
        <v>-1</v>
      </c>
      <c r="T122" s="4">
        <f ca="1">IF(S122=1,T$3*Q121/Prices!B121,-T$3*R121)</f>
        <v>-7.0206964076009168E-2</v>
      </c>
      <c r="V122" s="13"/>
      <c r="W122" s="4"/>
      <c r="X122" s="4"/>
      <c r="Y122" s="4"/>
      <c r="Z122" s="4"/>
      <c r="AA122" s="4"/>
      <c r="AB122" s="4"/>
      <c r="AC122" s="4"/>
      <c r="AD122" s="4"/>
      <c r="AE122" s="52"/>
    </row>
    <row r="123" spans="1:31" x14ac:dyDescent="0.2">
      <c r="A123" s="7">
        <v>42225</v>
      </c>
      <c r="B123" s="13">
        <f ca="1">Prices!B122*(1+J123/(50*(ABS(O123)+ABS(T123)+0.0001)))</f>
        <v>1.1431917126621773</v>
      </c>
      <c r="C123" s="62">
        <f t="shared" ca="1" si="9"/>
        <v>0</v>
      </c>
      <c r="D123" s="13">
        <f ca="1">D122+C123*(Prices!B123-Prices!B122)/Prices!B122</f>
        <v>6.4074289016273392E-2</v>
      </c>
      <c r="E123" s="13">
        <f t="shared" ca="1" si="10"/>
        <v>1.8521825020454963E-2</v>
      </c>
      <c r="F123" s="13">
        <f t="shared" ca="1" si="8"/>
        <v>8.2596114036728355E-2</v>
      </c>
      <c r="G123" s="21">
        <f ca="1">IF((Prices!B123-Prices!B122)*C123&gt;0,1,0)</f>
        <v>0</v>
      </c>
      <c r="H123" s="13">
        <f>ABS(Prices!B123-Prices!B122)/Prices!B122</f>
        <v>1.0715816545220707E-2</v>
      </c>
      <c r="I123" s="21"/>
      <c r="J123" s="4">
        <f t="shared" ca="1" si="11"/>
        <v>-0.10734882322405939</v>
      </c>
      <c r="K123" s="13"/>
      <c r="L123" s="13">
        <f ca="1">L122-O123*Prices!B123</f>
        <v>0.58164682926910005</v>
      </c>
      <c r="M123" s="4">
        <f t="shared" ca="1" si="7"/>
        <v>0.3911443732340194</v>
      </c>
      <c r="N123" s="13">
        <f ca="1">IF(Prices!B122&gt;OFFSET(Prices!B122,-$N$3,0),1,-1)</f>
        <v>-1</v>
      </c>
      <c r="O123" s="4">
        <f ca="1">IF(N123=1,O$3*L122/Prices!B122,-O$3*M122)</f>
        <v>-4.3460485914891045E-2</v>
      </c>
      <c r="P123" s="22"/>
      <c r="Q123" s="13">
        <f ca="1">Q122-T123*Prices!B123</f>
        <v>0.29032385864006494</v>
      </c>
      <c r="R123" s="4">
        <f t="shared" ca="1" si="6"/>
        <v>0.64598207723714673</v>
      </c>
      <c r="S123" s="13">
        <f ca="1">IF(Prices!B122&gt;OFFSET(Prices!B122,-S$3,0),1,-1)</f>
        <v>-1</v>
      </c>
      <c r="T123" s="4">
        <f ca="1">IF(S123=1,T$3*Q122/Prices!B122,-T$3*R122)</f>
        <v>-6.3888337309168347E-2</v>
      </c>
      <c r="V123" s="13"/>
      <c r="W123" s="4"/>
      <c r="X123" s="4"/>
      <c r="Y123" s="4"/>
      <c r="Z123" s="4"/>
      <c r="AA123" s="4"/>
      <c r="AB123" s="4"/>
      <c r="AC123" s="4"/>
      <c r="AD123" s="4"/>
      <c r="AE123" s="52"/>
    </row>
    <row r="124" spans="1:31" x14ac:dyDescent="0.2">
      <c r="A124" s="7">
        <v>42232</v>
      </c>
      <c r="B124" s="13">
        <f ca="1">Prices!B123*(1+J124/(50*(ABS(O124)+ABS(T124)+0.0001)))</f>
        <v>1.1770700467807513</v>
      </c>
      <c r="C124" s="62">
        <f t="shared" ca="1" si="9"/>
        <v>0</v>
      </c>
      <c r="D124" s="13">
        <f ca="1">D123+C124*(Prices!B124-Prices!B123)/Prices!B123</f>
        <v>6.4074289016273392E-2</v>
      </c>
      <c r="E124" s="13">
        <f t="shared" ca="1" si="10"/>
        <v>1.8521825020454963E-2</v>
      </c>
      <c r="F124" s="13">
        <f t="shared" ca="1" si="8"/>
        <v>8.2596114036728355E-2</v>
      </c>
      <c r="G124" s="21">
        <f ca="1">IF((Prices!B124-Prices!B123)*C124&gt;0,1,0)</f>
        <v>0</v>
      </c>
      <c r="H124" s="13">
        <f>ABS(Prices!B124-Prices!B123)/Prices!B123</f>
        <v>1.2128922815945698E-2</v>
      </c>
      <c r="I124" s="21"/>
      <c r="J124" s="4">
        <f t="shared" ca="1" si="11"/>
        <v>-8.8044743755077495E-3</v>
      </c>
      <c r="K124" s="13"/>
      <c r="L124" s="13">
        <f ca="1">L123-O124*Prices!B124</f>
        <v>0.52277667139235562</v>
      </c>
      <c r="M124" s="4">
        <f t="shared" ca="1" si="7"/>
        <v>0.44047828580985487</v>
      </c>
      <c r="N124" s="13">
        <f ca="1">IF(Prices!B123&gt;OFFSET(Prices!B123,-$N$3,0),1,-1)</f>
        <v>1</v>
      </c>
      <c r="O124" s="4">
        <f ca="1">IF(N124=1,O$3*L123/Prices!B123,-O$3*M123)</f>
        <v>4.9333912575835456E-2</v>
      </c>
      <c r="P124" s="22"/>
      <c r="Q124" s="13">
        <f ca="1">Q123-T124*Prices!B124</f>
        <v>0.35970039578910279</v>
      </c>
      <c r="R124" s="4">
        <f t="shared" ca="1" si="6"/>
        <v>0.58784369028580352</v>
      </c>
      <c r="S124" s="13">
        <f ca="1">IF(Prices!B123&gt;OFFSET(Prices!B123,-S$3,0),1,-1)</f>
        <v>-1</v>
      </c>
      <c r="T124" s="4">
        <f ca="1">IF(S124=1,T$3*Q123/Prices!B123,-T$3*R123)</f>
        <v>-5.8138386951343206E-2</v>
      </c>
      <c r="V124" s="13"/>
      <c r="W124" s="4"/>
      <c r="X124" s="4"/>
      <c r="Y124" s="4"/>
      <c r="Z124" s="4"/>
      <c r="AA124" s="4"/>
      <c r="AB124" s="4"/>
      <c r="AC124" s="4"/>
      <c r="AD124" s="4"/>
      <c r="AE124" s="52"/>
    </row>
    <row r="125" spans="1:31" x14ac:dyDescent="0.2">
      <c r="A125" s="7">
        <v>42239</v>
      </c>
      <c r="B125" s="13">
        <f ca="1">Prices!B124*(1+J125/(50*(ABS(O125)+ABS(T125)+0.0001)))</f>
        <v>1.2171324040500249</v>
      </c>
      <c r="C125" s="62">
        <f t="shared" ca="1" si="9"/>
        <v>1</v>
      </c>
      <c r="D125" s="13">
        <f ca="1">D124+C125*(Prices!B125-Prices!B124)/Prices!B124</f>
        <v>6.0973643746852428E-2</v>
      </c>
      <c r="E125" s="13">
        <f t="shared" ca="1" si="10"/>
        <v>2.1622470289875927E-2</v>
      </c>
      <c r="F125" s="13">
        <f t="shared" ca="1" si="8"/>
        <v>8.2596114036728355E-2</v>
      </c>
      <c r="G125" s="21">
        <f ca="1">IF((Prices!B125-Prices!B124)*C125&gt;0,1,0)</f>
        <v>0</v>
      </c>
      <c r="H125" s="13">
        <f>ABS(Prices!B125-Prices!B124)/Prices!B124</f>
        <v>3.1006452694209642E-3</v>
      </c>
      <c r="I125" s="21"/>
      <c r="J125" s="4">
        <f t="shared" ca="1" si="11"/>
        <v>7.0938324612632886E-2</v>
      </c>
      <c r="K125" s="13"/>
      <c r="L125" s="13">
        <f ca="1">L124-O125*Prices!B125</f>
        <v>0.47066109875443168</v>
      </c>
      <c r="M125" s="4">
        <f t="shared" ca="1" si="7"/>
        <v>0.48428761048867458</v>
      </c>
      <c r="N125" s="13">
        <f ca="1">IF(Prices!B124&gt;OFFSET(Prices!B124,-$N$3,0),1,-1)</f>
        <v>1</v>
      </c>
      <c r="O125" s="4">
        <f ca="1">IF(N125=1,O$3*L124/Prices!B124,-O$3*M124)</f>
        <v>4.3809324678819712E-2</v>
      </c>
      <c r="P125" s="22"/>
      <c r="Q125" s="13">
        <f ca="1">Q124-T125*Prices!B125</f>
        <v>0.32742773746783865</v>
      </c>
      <c r="R125" s="4">
        <f t="shared" ca="1" si="6"/>
        <v>0.61497269021961665</v>
      </c>
      <c r="S125" s="13">
        <f ca="1">IF(Prices!B124&gt;OFFSET(Prices!B124,-S$3,0),1,-1)</f>
        <v>1</v>
      </c>
      <c r="T125" s="4">
        <f ca="1">IF(S125=1,T$3*Q124/Prices!B124,-T$3*R124)</f>
        <v>2.7128999933813167E-2</v>
      </c>
      <c r="V125" s="13"/>
      <c r="W125" s="4"/>
      <c r="X125" s="4"/>
      <c r="Y125" s="4"/>
      <c r="Z125" s="4"/>
      <c r="AA125" s="4"/>
      <c r="AB125" s="4"/>
      <c r="AC125" s="4"/>
      <c r="AD125" s="4"/>
      <c r="AE125" s="52"/>
    </row>
    <row r="126" spans="1:31" x14ac:dyDescent="0.2">
      <c r="A126" s="7">
        <v>42246</v>
      </c>
      <c r="B126" s="13">
        <f ca="1">Prices!B125*(1+J126/(50*(ABS(O126)+ABS(T126)+0.0001)))</f>
        <v>1.1856478070361278</v>
      </c>
      <c r="C126" s="62">
        <f t="shared" ca="1" si="9"/>
        <v>0</v>
      </c>
      <c r="D126" s="13">
        <f ca="1">D125+C126*(Prices!B126-Prices!B125)/Prices!B125</f>
        <v>6.0973643746852428E-2</v>
      </c>
      <c r="E126" s="13">
        <f t="shared" ca="1" si="10"/>
        <v>2.1622470289875927E-2</v>
      </c>
      <c r="F126" s="13">
        <f t="shared" ca="1" si="8"/>
        <v>8.2596114036728355E-2</v>
      </c>
      <c r="G126" s="21">
        <f ca="1">IF((Prices!B126-Prices!B125)*C126&gt;0,1,0)</f>
        <v>0</v>
      </c>
      <c r="H126" s="13">
        <f>ABS(Prices!B126-Prices!B125)/Prices!B125</f>
        <v>1.0339609952925334E-2</v>
      </c>
      <c r="I126" s="21"/>
      <c r="J126" s="4">
        <f t="shared" ca="1" si="11"/>
        <v>-1.5782890240610171E-2</v>
      </c>
      <c r="K126" s="13"/>
      <c r="L126" s="13">
        <f ca="1">L125-O126*Prices!B126</f>
        <v>0.42408163409710209</v>
      </c>
      <c r="M126" s="4">
        <f t="shared" ca="1" si="7"/>
        <v>0.52385226236782989</v>
      </c>
      <c r="N126" s="13">
        <f ca="1">IF(Prices!B125&gt;OFFSET(Prices!B125,-$N$3,0),1,-1)</f>
        <v>1</v>
      </c>
      <c r="O126" s="4">
        <f ca="1">IF(N126=1,O$3*L125/Prices!B125,-O$3*M125)</f>
        <v>3.9564651879155324E-2</v>
      </c>
      <c r="P126" s="22"/>
      <c r="Q126" s="13">
        <f ca="1">Q125-T126*Prices!B126</f>
        <v>0.39258839880543855</v>
      </c>
      <c r="R126" s="4">
        <f t="shared" ca="1" si="6"/>
        <v>0.5596251480998512</v>
      </c>
      <c r="S126" s="13">
        <f ca="1">IF(Prices!B125&gt;OFFSET(Prices!B125,-S$3,0),1,-1)</f>
        <v>-1</v>
      </c>
      <c r="T126" s="4">
        <f ca="1">IF(S126=1,T$3*Q125/Prices!B125,-T$3*R125)</f>
        <v>-5.5347542119765496E-2</v>
      </c>
      <c r="V126" s="13"/>
      <c r="W126" s="4"/>
      <c r="X126" s="4"/>
      <c r="Y126" s="4"/>
      <c r="Z126" s="4"/>
      <c r="AA126" s="4"/>
      <c r="AB126" s="4"/>
      <c r="AC126" s="4"/>
      <c r="AD126" s="4"/>
      <c r="AE126" s="52"/>
    </row>
    <row r="127" spans="1:31" x14ac:dyDescent="0.2">
      <c r="A127" s="7">
        <v>42253</v>
      </c>
      <c r="B127" s="13">
        <f ca="1">Prices!B126*(1+J127/(50*(ABS(O127)+ABS(T127)+0.0001)))</f>
        <v>1.1733947007478396</v>
      </c>
      <c r="C127" s="62">
        <f t="shared" ca="1" si="9"/>
        <v>0</v>
      </c>
      <c r="D127" s="13">
        <f ca="1">D126+C127*(Prices!B127-Prices!B126)/Prices!B126</f>
        <v>6.0973643746852428E-2</v>
      </c>
      <c r="E127" s="13">
        <f t="shared" ca="1" si="10"/>
        <v>2.1622470289875927E-2</v>
      </c>
      <c r="F127" s="13">
        <f t="shared" ca="1" si="8"/>
        <v>8.2596114036728355E-2</v>
      </c>
      <c r="G127" s="21">
        <f ca="1">IF((Prices!B127-Prices!B126)*C127&gt;0,1,0)</f>
        <v>0</v>
      </c>
      <c r="H127" s="13">
        <f>ABS(Prices!B127-Prices!B126)/Prices!B126</f>
        <v>2.0385628132166462E-3</v>
      </c>
      <c r="I127" s="21"/>
      <c r="J127" s="4">
        <f t="shared" ca="1" si="11"/>
        <v>-1.4344719619048429E-2</v>
      </c>
      <c r="K127" s="13"/>
      <c r="L127" s="13">
        <f ca="1">L126-O127*Prices!B127</f>
        <v>0.38175992239229573</v>
      </c>
      <c r="M127" s="4">
        <f t="shared" ca="1" si="7"/>
        <v>0.55987380607776804</v>
      </c>
      <c r="N127" s="13">
        <f ca="1">IF(Prices!B126&gt;OFFSET(Prices!B126,-$N$3,0),1,-1)</f>
        <v>1</v>
      </c>
      <c r="O127" s="4">
        <f ca="1">IF(N127=1,O$3*L126/Prices!B126,-O$3*M126)</f>
        <v>3.6021543709938174E-2</v>
      </c>
      <c r="P127" s="22"/>
      <c r="Q127" s="13">
        <f ca="1">Q126-T127*Prices!B127</f>
        <v>0.45176372159066491</v>
      </c>
      <c r="R127" s="4">
        <f t="shared" ca="1" si="6"/>
        <v>0.50925888477086456</v>
      </c>
      <c r="S127" s="13">
        <f ca="1">IF(Prices!B126&gt;OFFSET(Prices!B126,-S$3,0),1,-1)</f>
        <v>-1</v>
      </c>
      <c r="T127" s="4">
        <f ca="1">IF(S127=1,T$3*Q126/Prices!B126,-T$3*R126)</f>
        <v>-5.0366263328986603E-2</v>
      </c>
      <c r="V127" s="13"/>
      <c r="W127" s="4"/>
      <c r="X127" s="4"/>
      <c r="Y127" s="4"/>
      <c r="Z127" s="4"/>
      <c r="AA127" s="4"/>
      <c r="AB127" s="4"/>
      <c r="AC127" s="4"/>
      <c r="AD127" s="4"/>
      <c r="AE127" s="52"/>
    </row>
    <row r="128" spans="1:31" x14ac:dyDescent="0.2">
      <c r="A128" s="7">
        <v>42260</v>
      </c>
      <c r="B128" s="13">
        <f ca="1">Prices!B127*(1+J128/(50*(ABS(O128)+ABS(T128)+0.0001)))</f>
        <v>1.151425055183644</v>
      </c>
      <c r="C128" s="62">
        <f t="shared" ca="1" si="9"/>
        <v>0</v>
      </c>
      <c r="D128" s="13">
        <f ca="1">D127+C128*(Prices!B128-Prices!B127)/Prices!B127</f>
        <v>6.0973643746852428E-2</v>
      </c>
      <c r="E128" s="13">
        <f t="shared" ca="1" si="10"/>
        <v>2.1622470289875927E-2</v>
      </c>
      <c r="F128" s="13">
        <f t="shared" ca="1" si="8"/>
        <v>8.2596114036728355E-2</v>
      </c>
      <c r="G128" s="21">
        <f ca="1">IF((Prices!B128-Prices!B127)*C128&gt;0,1,0)</f>
        <v>0</v>
      </c>
      <c r="H128" s="13">
        <f>ABS(Prices!B128-Prices!B127)/Prices!B127</f>
        <v>9.6178398161544509E-3</v>
      </c>
      <c r="I128" s="21"/>
      <c r="J128" s="4">
        <f t="shared" ca="1" si="11"/>
        <v>-0.10182068023715461</v>
      </c>
      <c r="K128" s="13"/>
      <c r="L128" s="13">
        <f ca="1">L127-O128*Prices!B128</f>
        <v>0.44817215326924054</v>
      </c>
      <c r="M128" s="4">
        <f t="shared" ca="1" si="7"/>
        <v>0.50388642546999129</v>
      </c>
      <c r="N128" s="13">
        <f ca="1">IF(Prices!B127&gt;OFFSET(Prices!B127,-$N$3,0),1,-1)</f>
        <v>-1</v>
      </c>
      <c r="O128" s="4">
        <f ca="1">IF(N128=1,O$3*L127/Prices!B127,-O$3*M127)</f>
        <v>-5.5987380607776804E-2</v>
      </c>
      <c r="P128" s="22"/>
      <c r="Q128" s="13">
        <f ca="1">Q127-T128*Prices!B128</f>
        <v>0.50613118161103288</v>
      </c>
      <c r="R128" s="4">
        <f t="shared" ca="1" si="6"/>
        <v>0.46342558514148674</v>
      </c>
      <c r="S128" s="13">
        <f ca="1">IF(Prices!B127&gt;OFFSET(Prices!B127,-S$3,0),1,-1)</f>
        <v>-1</v>
      </c>
      <c r="T128" s="4">
        <f ca="1">IF(S128=1,T$3*Q127/Prices!B127,-T$3*R127)</f>
        <v>-4.5833299629377808E-2</v>
      </c>
      <c r="V128" s="13"/>
      <c r="W128" s="4"/>
      <c r="X128" s="4"/>
      <c r="Y128" s="4"/>
      <c r="Z128" s="4"/>
      <c r="AA128" s="4"/>
      <c r="AB128" s="4"/>
      <c r="AC128" s="4"/>
      <c r="AD128" s="4"/>
      <c r="AE128" s="52"/>
    </row>
    <row r="129" spans="1:31" x14ac:dyDescent="0.2">
      <c r="A129" s="7">
        <v>42267</v>
      </c>
      <c r="B129" s="13">
        <f ca="1">Prices!B128*(1+J129/(50*(ABS(O129)+ABS(T129)+0.0001)))</f>
        <v>1.1830007231897652</v>
      </c>
      <c r="C129" s="62">
        <f t="shared" ca="1" si="9"/>
        <v>0</v>
      </c>
      <c r="D129" s="13">
        <f ca="1">D128+C129*(Prices!B129-Prices!B128)/Prices!B128</f>
        <v>6.0973643746852428E-2</v>
      </c>
      <c r="E129" s="13">
        <f t="shared" ca="1" si="10"/>
        <v>2.1622470289875927E-2</v>
      </c>
      <c r="F129" s="13">
        <f t="shared" ca="1" si="8"/>
        <v>8.2596114036728355E-2</v>
      </c>
      <c r="G129" s="21">
        <f ca="1">IF((Prices!B129-Prices!B128)*C129&gt;0,1,0)</f>
        <v>0</v>
      </c>
      <c r="H129" s="13">
        <f>ABS(Prices!B129-Prices!B128)/Prices!B128</f>
        <v>1.2055302647108397E-2</v>
      </c>
      <c r="I129" s="21"/>
      <c r="J129" s="4">
        <f t="shared" ca="1" si="11"/>
        <v>-1.1987187189561127E-2</v>
      </c>
      <c r="K129" s="13"/>
      <c r="L129" s="13">
        <f ca="1">L128-O129*Prices!B129</f>
        <v>0.50866371864691295</v>
      </c>
      <c r="M129" s="4">
        <f t="shared" ca="1" si="7"/>
        <v>0.45349778292299214</v>
      </c>
      <c r="N129" s="13">
        <f ca="1">IF(Prices!B128&gt;OFFSET(Prices!B128,-$N$3,0),1,-1)</f>
        <v>-1</v>
      </c>
      <c r="O129" s="4">
        <f ca="1">IF(N129=1,O$3*L128/Prices!B128,-O$3*M128)</f>
        <v>-5.0388642546999131E-2</v>
      </c>
      <c r="P129" s="22"/>
      <c r="Q129" s="13">
        <f ca="1">Q128-T129*Prices!B129</f>
        <v>0.46003023445442853</v>
      </c>
      <c r="R129" s="4">
        <f t="shared" ca="1" si="6"/>
        <v>0.50182704049892479</v>
      </c>
      <c r="S129" s="13">
        <f ca="1">IF(Prices!B128&gt;OFFSET(Prices!B128,-S$3,0),1,-1)</f>
        <v>1</v>
      </c>
      <c r="T129" s="4">
        <f ca="1">IF(S129=1,T$3*Q128/Prices!B128,-T$3*R128)</f>
        <v>3.8401455357438004E-2</v>
      </c>
      <c r="V129" s="13"/>
      <c r="W129" s="4"/>
      <c r="X129" s="4"/>
      <c r="Y129" s="4"/>
      <c r="Z129" s="4"/>
      <c r="AA129" s="4"/>
      <c r="AB129" s="4"/>
      <c r="AC129" s="4"/>
      <c r="AD129" s="4"/>
      <c r="AE129" s="52"/>
    </row>
    <row r="130" spans="1:31" x14ac:dyDescent="0.2">
      <c r="A130" s="7">
        <v>42274</v>
      </c>
      <c r="B130" s="13">
        <f ca="1">Prices!B129*(1+J130/(50*(ABS(O130)+ABS(T130)+0.0001)))</f>
        <v>1.2244788015235613</v>
      </c>
      <c r="C130" s="62">
        <f t="shared" ca="1" si="9"/>
        <v>1</v>
      </c>
      <c r="D130" s="13">
        <f ca="1">D129+C130*(Prices!B130-Prices!B129)/Prices!B129</f>
        <v>6.2972810760596853E-2</v>
      </c>
      <c r="E130" s="13">
        <f t="shared" ca="1" si="10"/>
        <v>1.9623303276131501E-2</v>
      </c>
      <c r="F130" s="13">
        <f t="shared" ca="1" si="8"/>
        <v>8.2596114036728355E-2</v>
      </c>
      <c r="G130" s="21">
        <f ca="1">IF((Prices!B130-Prices!B129)*C130&gt;0,1,0)</f>
        <v>1</v>
      </c>
      <c r="H130" s="13">
        <f>ABS(Prices!B130-Prices!B129)/Prices!B129</f>
        <v>1.9991670137444232E-3</v>
      </c>
      <c r="I130" s="21"/>
      <c r="J130" s="4">
        <f t="shared" ca="1" si="11"/>
        <v>7.6858886268712928E-2</v>
      </c>
      <c r="K130" s="13"/>
      <c r="L130" s="13">
        <f ca="1">L129-O130*Prices!B130</f>
        <v>0.4576956564094809</v>
      </c>
      <c r="M130" s="4">
        <f t="shared" ca="1" si="7"/>
        <v>0.49586877156496739</v>
      </c>
      <c r="N130" s="13">
        <f ca="1">IF(Prices!B129&gt;OFFSET(Prices!B129,-$N$3,0),1,-1)</f>
        <v>1</v>
      </c>
      <c r="O130" s="4">
        <f ca="1">IF(N130=1,O$3*L129/Prices!B129,-O$3*M129)</f>
        <v>4.2370988641975263E-2</v>
      </c>
      <c r="P130" s="22"/>
      <c r="Q130" s="13">
        <f ca="1">Q129-T130*Prices!B130</f>
        <v>0.41854474239922579</v>
      </c>
      <c r="R130" s="4">
        <f t="shared" ca="1" si="6"/>
        <v>0.53631493812566244</v>
      </c>
      <c r="S130" s="13">
        <f ca="1">IF(Prices!B129&gt;OFFSET(Prices!B129,-S$3,0),1,-1)</f>
        <v>1</v>
      </c>
      <c r="T130" s="4">
        <f ca="1">IF(S130=1,T$3*Q129/Prices!B129,-T$3*R129)</f>
        <v>3.4487897626737665E-2</v>
      </c>
      <c r="V130" s="13"/>
      <c r="W130" s="4"/>
      <c r="X130" s="4"/>
      <c r="Y130" s="4"/>
      <c r="Z130" s="4"/>
      <c r="AA130" s="4"/>
      <c r="AB130" s="4"/>
      <c r="AC130" s="4"/>
      <c r="AD130" s="4"/>
      <c r="AE130" s="52"/>
    </row>
    <row r="131" spans="1:31" x14ac:dyDescent="0.2">
      <c r="A131" s="7">
        <v>42281</v>
      </c>
      <c r="B131" s="13">
        <f ca="1">Prices!B130*(1+J131/(50*(ABS(O131)+ABS(T131)+0.0001)))</f>
        <v>1.2269233664968355</v>
      </c>
      <c r="C131" s="62">
        <f t="shared" ca="1" si="9"/>
        <v>1</v>
      </c>
      <c r="D131" s="13">
        <f ca="1">D130+C131*(Prices!B131-Prices!B130)/Prices!B130</f>
        <v>7.7354721143837249E-2</v>
      </c>
      <c r="E131" s="13">
        <f t="shared" ca="1" si="10"/>
        <v>5.2413928928911058E-3</v>
      </c>
      <c r="F131" s="13">
        <f t="shared" ca="1" si="8"/>
        <v>8.2596114036728355E-2</v>
      </c>
      <c r="G131" s="21">
        <f ca="1">IF((Prices!B131-Prices!B130)*C131&gt;0,1,0)</f>
        <v>1</v>
      </c>
      <c r="H131" s="13">
        <f>ABS(Prices!B131-Prices!B130)/Prices!B130</f>
        <v>1.4381910383240394E-2</v>
      </c>
      <c r="I131" s="21"/>
      <c r="J131" s="4">
        <f t="shared" ca="1" si="11"/>
        <v>6.9364529434598393E-2</v>
      </c>
      <c r="K131" s="13"/>
      <c r="L131" s="13">
        <f ca="1">L130-O131*Prices!B131</f>
        <v>0.41126783697720487</v>
      </c>
      <c r="M131" s="4">
        <f t="shared" ca="1" si="7"/>
        <v>0.53391812366484936</v>
      </c>
      <c r="N131" s="13">
        <f ca="1">IF(Prices!B130&gt;OFFSET(Prices!B130,-$N$3,0),1,-1)</f>
        <v>1</v>
      </c>
      <c r="O131" s="4">
        <f ca="1">IF(N131=1,O$3*L130/Prices!B130,-O$3*M130)</f>
        <v>3.8049352099882028E-2</v>
      </c>
      <c r="P131" s="22"/>
      <c r="Q131" s="13">
        <f ca="1">Q130-T131*Prices!B131</f>
        <v>0.3803339630154049</v>
      </c>
      <c r="R131" s="4">
        <f t="shared" ca="1" si="6"/>
        <v>0.56763011546037878</v>
      </c>
      <c r="S131" s="13">
        <f ca="1">IF(Prices!B130&gt;OFFSET(Prices!B130,-S$3,0),1,-1)</f>
        <v>1</v>
      </c>
      <c r="T131" s="4">
        <f ca="1">IF(S131=1,T$3*Q130/Prices!B130,-T$3*R130)</f>
        <v>3.1315177334716365E-2</v>
      </c>
      <c r="V131" s="13"/>
      <c r="W131" s="4"/>
      <c r="X131" s="4"/>
      <c r="Y131" s="4"/>
      <c r="Z131" s="4"/>
      <c r="AA131" s="4"/>
      <c r="AB131" s="4"/>
      <c r="AC131" s="4"/>
      <c r="AD131" s="4"/>
      <c r="AE131" s="52"/>
    </row>
    <row r="132" spans="1:31" x14ac:dyDescent="0.2">
      <c r="A132" s="7">
        <v>42288</v>
      </c>
      <c r="B132" s="13">
        <f ca="1">Prices!B131*(1+J132/(50*(ABS(O132)+ABS(T132)+0.0001)))</f>
        <v>1.2445645482109102</v>
      </c>
      <c r="C132" s="62">
        <f t="shared" ca="1" si="9"/>
        <v>1</v>
      </c>
      <c r="D132" s="13">
        <f ca="1">D131+C132*(Prices!B132-Prices!B131)/Prices!B131</f>
        <v>7.8993796705220637E-2</v>
      </c>
      <c r="E132" s="13">
        <f t="shared" ca="1" si="10"/>
        <v>3.6023173315077178E-3</v>
      </c>
      <c r="F132" s="13">
        <f t="shared" ca="1" si="8"/>
        <v>8.2596114036728355E-2</v>
      </c>
      <c r="G132" s="21">
        <f ca="1">IF((Prices!B132-Prices!B131)*C132&gt;0,1,0)</f>
        <v>1</v>
      </c>
      <c r="H132" s="13">
        <f>ABS(Prices!B132-Prices!B131)/Prices!B131</f>
        <v>1.6390755613833812E-3</v>
      </c>
      <c r="I132" s="21"/>
      <c r="J132" s="4">
        <f t="shared" ca="1" si="11"/>
        <v>6.1757777716035842E-2</v>
      </c>
      <c r="K132" s="13"/>
      <c r="L132" s="13">
        <f ca="1">L131-O132*Prices!B132</f>
        <v>0.37007364337340715</v>
      </c>
      <c r="M132" s="4">
        <f t="shared" ca="1" si="7"/>
        <v>0.56762307670346634</v>
      </c>
      <c r="N132" s="13">
        <f ca="1">IF(Prices!B131&gt;OFFSET(Prices!B131,-$N$3,0),1,-1)</f>
        <v>1</v>
      </c>
      <c r="O132" s="4">
        <f ca="1">IF(N132=1,O$3*L131/Prices!B131,-O$3*M131)</f>
        <v>3.3704953038617022E-2</v>
      </c>
      <c r="P132" s="22"/>
      <c r="Q132" s="13">
        <f ca="1">Q131-T132*Prices!B132</f>
        <v>0.34604780069466362</v>
      </c>
      <c r="R132" s="4">
        <f t="shared" ca="1" si="6"/>
        <v>0.59568294013779766</v>
      </c>
      <c r="S132" s="13">
        <f ca="1">IF(Prices!B131&gt;OFFSET(Prices!B131,-S$3,0),1,-1)</f>
        <v>1</v>
      </c>
      <c r="T132" s="4">
        <f ca="1">IF(S132=1,T$3*Q131/Prices!B131,-T$3*R131)</f>
        <v>2.8052824677418819E-2</v>
      </c>
      <c r="V132" s="13"/>
      <c r="W132" s="4"/>
      <c r="X132" s="4"/>
      <c r="Y132" s="4"/>
      <c r="Z132" s="4"/>
      <c r="AA132" s="4"/>
      <c r="AB132" s="4"/>
      <c r="AC132" s="4"/>
      <c r="AD132" s="4"/>
      <c r="AE132" s="52"/>
    </row>
    <row r="133" spans="1:31" x14ac:dyDescent="0.2">
      <c r="A133" s="7">
        <v>42295</v>
      </c>
      <c r="B133" s="13">
        <f ca="1">Prices!B132*(1+J133/(50*(ABS(O133)+ABS(T133)+0.0001)))</f>
        <v>1.2466002417516047</v>
      </c>
      <c r="C133" s="62">
        <f t="shared" ca="1" si="9"/>
        <v>1</v>
      </c>
      <c r="D133" s="13">
        <f ca="1">D132+C133*(Prices!B133-Prices!B132)/Prices!B132</f>
        <v>9.5766828942170368E-2</v>
      </c>
      <c r="E133" s="13">
        <f t="shared" ca="1" si="10"/>
        <v>0</v>
      </c>
      <c r="F133" s="13">
        <f t="shared" ca="1" si="8"/>
        <v>9.5766828942170368E-2</v>
      </c>
      <c r="G133" s="21">
        <f ca="1">IF((Prices!B133-Prices!B132)*C133&gt;0,1,0)</f>
        <v>1</v>
      </c>
      <c r="H133" s="13">
        <f>ABS(Prices!B133-Prices!B132)/Prices!B132</f>
        <v>1.6773032236949734E-2</v>
      </c>
      <c r="I133" s="21"/>
      <c r="J133" s="4">
        <f t="shared" ca="1" si="11"/>
        <v>5.5761468172034402E-2</v>
      </c>
      <c r="K133" s="13"/>
      <c r="L133" s="13">
        <f ca="1">L132-O133*Prices!B133</f>
        <v>0.33244555332103165</v>
      </c>
      <c r="M133" s="4">
        <f t="shared" ca="1" si="7"/>
        <v>0.59790237987589367</v>
      </c>
      <c r="N133" s="13">
        <f ca="1">IF(Prices!B132&gt;OFFSET(Prices!B132,-$N$3,0),1,-1)</f>
        <v>1</v>
      </c>
      <c r="O133" s="4">
        <f ca="1">IF(N133=1,O$3*L132/Prices!B132,-O$3*M132)</f>
        <v>3.0279303172427361E-2</v>
      </c>
      <c r="P133" s="22"/>
      <c r="Q133" s="13">
        <f ca="1">Q132-T133*Prices!B133</f>
        <v>0.31438111424965198</v>
      </c>
      <c r="R133" s="4">
        <f t="shared" ref="R133:R196" ca="1" si="12">R132+T133</f>
        <v>0.62116510513740475</v>
      </c>
      <c r="S133" s="13">
        <f ca="1">IF(Prices!B132&gt;OFFSET(Prices!B132,-S$3,0),1,-1)</f>
        <v>1</v>
      </c>
      <c r="T133" s="4">
        <f ca="1">IF(S133=1,T$3*Q132/Prices!B132,-T$3*R132)</f>
        <v>2.5482164999607041E-2</v>
      </c>
      <c r="V133" s="13"/>
      <c r="W133" s="4"/>
      <c r="X133" s="4"/>
      <c r="Y133" s="4"/>
      <c r="Z133" s="4"/>
      <c r="AA133" s="4"/>
      <c r="AB133" s="4"/>
      <c r="AC133" s="4"/>
      <c r="AD133" s="4"/>
      <c r="AE133" s="52"/>
    </row>
    <row r="134" spans="1:31" x14ac:dyDescent="0.2">
      <c r="A134" s="7">
        <v>42302</v>
      </c>
      <c r="B134" s="13">
        <f ca="1">Prices!B133*(1+J134/(50*(ABS(O134)+ABS(T134)+0.0001)))</f>
        <v>1.2675039116116928</v>
      </c>
      <c r="C134" s="62">
        <f t="shared" ca="1" si="9"/>
        <v>1</v>
      </c>
      <c r="D134" s="13">
        <f ca="1">D133+C134*(Prices!B134-Prices!B133)/Prices!B133</f>
        <v>9.8663746943296979E-2</v>
      </c>
      <c r="E134" s="13">
        <f t="shared" ca="1" si="10"/>
        <v>0</v>
      </c>
      <c r="F134" s="13">
        <f t="shared" ca="1" si="8"/>
        <v>9.8663746943296979E-2</v>
      </c>
      <c r="G134" s="21">
        <f ca="1">IF((Prices!B134-Prices!B133)*C134&gt;0,1,0)</f>
        <v>1</v>
      </c>
      <c r="H134" s="13">
        <f>ABS(Prices!B134-Prices!B133)/Prices!B133</f>
        <v>2.8969180011266175E-3</v>
      </c>
      <c r="I134" s="21"/>
      <c r="J134" s="4">
        <f t="shared" ca="1" si="11"/>
        <v>4.9520282944050739E-2</v>
      </c>
      <c r="K134" s="13"/>
      <c r="L134" s="13">
        <f ca="1">L133-O134*Prices!B134</f>
        <v>0.29910469123814748</v>
      </c>
      <c r="M134" s="4">
        <f t="shared" ca="1" si="7"/>
        <v>0.62465425509284322</v>
      </c>
      <c r="N134" s="13">
        <f ca="1">IF(Prices!B133&gt;OFFSET(Prices!B133,-$N$3,0),1,-1)</f>
        <v>1</v>
      </c>
      <c r="O134" s="4">
        <f ca="1">IF(N134=1,O$3*L133/Prices!B133,-O$3*M133)</f>
        <v>2.6751875216949519E-2</v>
      </c>
      <c r="P134" s="22"/>
      <c r="Q134" s="13">
        <f ca="1">Q133-T134*Prices!B134</f>
        <v>0.28600484769936574</v>
      </c>
      <c r="R134" s="4">
        <f t="shared" ca="1" si="12"/>
        <v>0.64393351286450595</v>
      </c>
      <c r="S134" s="13">
        <f ca="1">IF(Prices!B133&gt;OFFSET(Prices!B133,-S$3,0),1,-1)</f>
        <v>1</v>
      </c>
      <c r="T134" s="4">
        <f ca="1">IF(S134=1,T$3*Q133/Prices!B133,-T$3*R133)</f>
        <v>2.2768407727101217E-2</v>
      </c>
      <c r="V134" s="13"/>
      <c r="W134" s="4"/>
      <c r="X134" s="4"/>
      <c r="Y134" s="4"/>
      <c r="Z134" s="4"/>
      <c r="AA134" s="4"/>
      <c r="AB134" s="4"/>
      <c r="AC134" s="4"/>
      <c r="AD134" s="4"/>
      <c r="AE134" s="52"/>
    </row>
    <row r="135" spans="1:31" x14ac:dyDescent="0.2">
      <c r="A135" s="7">
        <v>42309</v>
      </c>
      <c r="B135" s="13">
        <f ca="1">Prices!B134*(1+J135/(50*(ABS(O135)+ABS(T135)+0.0001)))</f>
        <v>1.2711703030469041</v>
      </c>
      <c r="C135" s="62">
        <f t="shared" ca="1" si="9"/>
        <v>1</v>
      </c>
      <c r="D135" s="13">
        <f ca="1">D134+C135*(Prices!B135-Prices!B134)/Prices!B134</f>
        <v>8.1733633808417819E-2</v>
      </c>
      <c r="E135" s="13">
        <f t="shared" ca="1" si="10"/>
        <v>1.693011313487916E-2</v>
      </c>
      <c r="F135" s="13">
        <f t="shared" ca="1" si="8"/>
        <v>9.8663746943296979E-2</v>
      </c>
      <c r="G135" s="21">
        <f ca="1">IF((Prices!B135-Prices!B134)*C135&gt;0,1,0)</f>
        <v>0</v>
      </c>
      <c r="H135" s="13">
        <f>ABS(Prices!B135-Prices!B134)/Prices!B134</f>
        <v>1.693011313487916E-2</v>
      </c>
      <c r="I135" s="21"/>
      <c r="J135" s="4">
        <f t="shared" ca="1" si="11"/>
        <v>4.4652896908254566E-2</v>
      </c>
      <c r="K135" s="13"/>
      <c r="L135" s="13">
        <f ca="1">L134-O135*Prices!B135</f>
        <v>0.26970060974051624</v>
      </c>
      <c r="M135" s="4">
        <f t="shared" ca="1" si="7"/>
        <v>0.64865366865604213</v>
      </c>
      <c r="N135" s="13">
        <f ca="1">IF(Prices!B134&gt;OFFSET(Prices!B134,-$N$3,0),1,-1)</f>
        <v>1</v>
      </c>
      <c r="O135" s="4">
        <f ca="1">IF(N135=1,O$3*L134/Prices!B134,-O$3*M134)</f>
        <v>2.3999413563198867E-2</v>
      </c>
      <c r="P135" s="22"/>
      <c r="Q135" s="13">
        <f ca="1">Q134-T135*Prices!B135</f>
        <v>0.26070019990500348</v>
      </c>
      <c r="R135" s="4">
        <f t="shared" ca="1" si="12"/>
        <v>0.66458699620956163</v>
      </c>
      <c r="S135" s="13">
        <f ca="1">IF(Prices!B134&gt;OFFSET(Prices!B134,-S$3,0),1,-1)</f>
        <v>1</v>
      </c>
      <c r="T135" s="4">
        <f ca="1">IF(S135=1,T$3*Q134/Prices!B134,-T$3*R134)</f>
        <v>2.0653483345055696E-2</v>
      </c>
      <c r="V135" s="13"/>
      <c r="W135" s="4"/>
      <c r="X135" s="4"/>
      <c r="Y135" s="4"/>
      <c r="Z135" s="4"/>
      <c r="AA135" s="4"/>
      <c r="AB135" s="4"/>
      <c r="AC135" s="4"/>
      <c r="AD135" s="4"/>
      <c r="AE135" s="52"/>
    </row>
    <row r="136" spans="1:31" x14ac:dyDescent="0.2">
      <c r="A136" s="7">
        <v>42316</v>
      </c>
      <c r="B136" s="13">
        <f ca="1">Prices!B135*(1+J136/(50*(ABS(O136)+ABS(T136)+0.0001)))</f>
        <v>1.2496446152801779</v>
      </c>
      <c r="C136" s="62">
        <f t="shared" ca="1" si="9"/>
        <v>1</v>
      </c>
      <c r="D136" s="13">
        <f ca="1">D135+C136*(Prices!B136-Prices!B135)/Prices!B135</f>
        <v>9.4303010236755927E-2</v>
      </c>
      <c r="E136" s="13">
        <f t="shared" ca="1" si="10"/>
        <v>4.3607367065410518E-3</v>
      </c>
      <c r="F136" s="13">
        <f t="shared" ca="1" si="8"/>
        <v>9.8663746943296979E-2</v>
      </c>
      <c r="G136" s="21">
        <f ca="1">IF((Prices!B136-Prices!B135)*C136&gt;0,1,0)</f>
        <v>1</v>
      </c>
      <c r="H136" s="13">
        <f>ABS(Prices!B136-Prices!B135)/Prices!B135</f>
        <v>1.2569376428338113E-2</v>
      </c>
      <c r="I136" s="21"/>
      <c r="J136" s="4">
        <f t="shared" ca="1" si="11"/>
        <v>4.116313986737017E-2</v>
      </c>
      <c r="K136" s="13"/>
      <c r="L136" s="13">
        <f ca="1">L135-O136*Prices!B136</f>
        <v>0.24239155191778652</v>
      </c>
      <c r="M136" s="4">
        <f t="shared" ca="1" si="7"/>
        <v>0.67066645103773626</v>
      </c>
      <c r="N136" s="13">
        <f ca="1">IF(Prices!B135&gt;OFFSET(Prices!B135,-$N$3,0),1,-1)</f>
        <v>1</v>
      </c>
      <c r="O136" s="4">
        <f ca="1">IF(N136=1,O$3*L135/Prices!B135,-O$3*M135)</f>
        <v>2.2012782381694108E-2</v>
      </c>
      <c r="P136" s="22"/>
      <c r="Q136" s="13">
        <f ca="1">Q135-T136*Prices!B136</f>
        <v>0.23694226640827376</v>
      </c>
      <c r="R136" s="4">
        <f t="shared" ca="1" si="12"/>
        <v>0.68373735369523769</v>
      </c>
      <c r="S136" s="13">
        <f ca="1">IF(Prices!B135&gt;OFFSET(Prices!B135,-S$3,0),1,-1)</f>
        <v>1</v>
      </c>
      <c r="T136" s="4">
        <f ca="1">IF(S136=1,T$3*Q135/Prices!B135,-T$3*R135)</f>
        <v>1.9150357485676062E-2</v>
      </c>
      <c r="V136" s="13"/>
      <c r="W136" s="4"/>
      <c r="X136" s="4"/>
      <c r="Y136" s="4"/>
      <c r="Z136" s="4"/>
      <c r="AA136" s="4"/>
      <c r="AB136" s="4"/>
      <c r="AC136" s="4"/>
      <c r="AD136" s="4"/>
      <c r="AE136" s="52"/>
    </row>
    <row r="137" spans="1:31" x14ac:dyDescent="0.2">
      <c r="A137" s="7">
        <v>42323</v>
      </c>
      <c r="B137" s="13">
        <f ca="1">Prices!B136*(1+J137/(50*(ABS(O137)+ABS(T137)+0.0001)))</f>
        <v>1.2653446261725498</v>
      </c>
      <c r="C137" s="62">
        <f t="shared" ca="1" si="9"/>
        <v>1</v>
      </c>
      <c r="D137" s="13">
        <f ca="1">D136+C137*(Prices!B137-Prices!B136)/Prices!B136</f>
        <v>8.5355726664291087E-2</v>
      </c>
      <c r="E137" s="13">
        <f t="shared" ca="1" si="10"/>
        <v>1.3308020279005892E-2</v>
      </c>
      <c r="F137" s="13">
        <f t="shared" ca="1" si="8"/>
        <v>9.8663746943296979E-2</v>
      </c>
      <c r="G137" s="21">
        <f ca="1">IF((Prices!B137-Prices!B136)*C137&gt;0,1,0)</f>
        <v>0</v>
      </c>
      <c r="H137" s="13">
        <f>ABS(Prices!B137-Prices!B136)/Prices!B136</f>
        <v>8.9472835724648467E-3</v>
      </c>
      <c r="I137" s="21"/>
      <c r="J137" s="4">
        <f t="shared" ca="1" si="11"/>
        <v>3.6727357059909149E-2</v>
      </c>
      <c r="K137" s="13"/>
      <c r="L137" s="13">
        <f ca="1">L136-O137*Prices!B137</f>
        <v>0.21836927132106571</v>
      </c>
      <c r="M137" s="4">
        <f t="shared" ref="M137:M200" ca="1" si="13">M136+O137</f>
        <v>0.69020470284474789</v>
      </c>
      <c r="N137" s="13">
        <f ca="1">IF(Prices!B136&gt;OFFSET(Prices!B136,-$N$3,0),1,-1)</f>
        <v>1</v>
      </c>
      <c r="O137" s="4">
        <f ca="1">IF(N137=1,O$3*L136/Prices!B136,-O$3*M136)</f>
        <v>1.9538251807011651E-2</v>
      </c>
      <c r="P137" s="22"/>
      <c r="Q137" s="13">
        <f ca="1">Q136-T137*Prices!B137</f>
        <v>0.21580826149983628</v>
      </c>
      <c r="R137" s="4">
        <f t="shared" ca="1" si="12"/>
        <v>0.70092645894813521</v>
      </c>
      <c r="S137" s="13">
        <f ca="1">IF(Prices!B136&gt;OFFSET(Prices!B136,-S$3,0),1,-1)</f>
        <v>1</v>
      </c>
      <c r="T137" s="4">
        <f ca="1">IF(S137=1,T$3*Q136/Prices!B136,-T$3*R136)</f>
        <v>1.7189105252897498E-2</v>
      </c>
      <c r="V137" s="13"/>
      <c r="W137" s="4"/>
      <c r="X137" s="4"/>
      <c r="Y137" s="4"/>
      <c r="Z137" s="4"/>
      <c r="AA137" s="4"/>
      <c r="AB137" s="4"/>
      <c r="AC137" s="4"/>
      <c r="AD137" s="4"/>
      <c r="AE137" s="52"/>
    </row>
    <row r="138" spans="1:31" x14ac:dyDescent="0.2">
      <c r="A138" s="7">
        <v>42330</v>
      </c>
      <c r="B138" s="13">
        <f ca="1">Prices!B137*(1+J138/(50*(ABS(O138)+ABS(T138)+0.0001)))</f>
        <v>1.2140879260525079</v>
      </c>
      <c r="C138" s="62">
        <f t="shared" ca="1" si="9"/>
        <v>0</v>
      </c>
      <c r="D138" s="13">
        <f ca="1">D137+C138*(Prices!B138-Prices!B137)/Prices!B137</f>
        <v>8.5355726664291087E-2</v>
      </c>
      <c r="E138" s="13">
        <f t="shared" ca="1" si="10"/>
        <v>1.3308020279005892E-2</v>
      </c>
      <c r="F138" s="13">
        <f t="shared" ca="1" si="8"/>
        <v>9.8663746943296979E-2</v>
      </c>
      <c r="G138" s="21">
        <f ca="1">IF((Prices!B138-Prices!B137)*C138&gt;0,1,0)</f>
        <v>0</v>
      </c>
      <c r="H138" s="13">
        <f>ABS(Prices!B138-Prices!B137)/Prices!B137</f>
        <v>1.7893452623017321E-3</v>
      </c>
      <c r="I138" s="21"/>
      <c r="J138" s="4">
        <f t="shared" ca="1" si="11"/>
        <v>-5.3223200227553065E-2</v>
      </c>
      <c r="K138" s="13"/>
      <c r="L138" s="13">
        <f ca="1">L137-O138*Prices!B138</f>
        <v>0.30338178457045328</v>
      </c>
      <c r="M138" s="4">
        <f t="shared" ca="1" si="13"/>
        <v>0.62118423256027311</v>
      </c>
      <c r="N138" s="13">
        <f ca="1">IF(Prices!B137&gt;OFFSET(Prices!B137,-$N$3,0),1,-1)</f>
        <v>-1</v>
      </c>
      <c r="O138" s="4">
        <f ca="1">IF(N138=1,O$3*L137/Prices!B137,-O$3*M137)</f>
        <v>-6.9020470284474791E-2</v>
      </c>
      <c r="P138" s="22"/>
      <c r="Q138" s="13">
        <f ca="1">Q137-T138*Prices!B138</f>
        <v>0.19635076397072579</v>
      </c>
      <c r="R138" s="4">
        <f t="shared" ca="1" si="12"/>
        <v>0.71672372900505699</v>
      </c>
      <c r="S138" s="13">
        <f ca="1">IF(Prices!B137&gt;OFFSET(Prices!B137,-S$3,0),1,-1)</f>
        <v>1</v>
      </c>
      <c r="T138" s="4">
        <f ca="1">IF(S138=1,T$3*Q137/Prices!B137,-T$3*R137)</f>
        <v>1.5797270056921726E-2</v>
      </c>
      <c r="V138" s="13"/>
      <c r="W138" s="4"/>
      <c r="X138" s="4"/>
      <c r="Y138" s="4"/>
      <c r="Z138" s="4"/>
      <c r="AA138" s="4"/>
      <c r="AB138" s="4"/>
      <c r="AC138" s="4"/>
      <c r="AD138" s="4"/>
      <c r="AE138" s="52"/>
    </row>
    <row r="139" spans="1:31" x14ac:dyDescent="0.2">
      <c r="A139" s="7">
        <v>42337</v>
      </c>
      <c r="B139" s="13">
        <f ca="1">Prices!B138*(1+J139/(50*(ABS(O139)+ABS(T139)+0.0001)))</f>
        <v>1.2163302781265386</v>
      </c>
      <c r="C139" s="62">
        <f t="shared" ca="1" si="9"/>
        <v>0</v>
      </c>
      <c r="D139" s="13">
        <f ca="1">D138+C139*(Prices!B139-Prices!B138)/Prices!B138</f>
        <v>8.5355726664291087E-2</v>
      </c>
      <c r="E139" s="13">
        <f t="shared" ca="1" si="10"/>
        <v>1.3308020279005892E-2</v>
      </c>
      <c r="F139" s="13">
        <f t="shared" ca="1" si="8"/>
        <v>9.8663746943296979E-2</v>
      </c>
      <c r="G139" s="21">
        <f ca="1">IF((Prices!B139-Prices!B138)*C139&gt;0,1,0)</f>
        <v>0</v>
      </c>
      <c r="H139" s="13">
        <f>ABS(Prices!B139-Prices!B138)/Prices!B138</f>
        <v>8.1188601120411776E-4</v>
      </c>
      <c r="I139" s="21"/>
      <c r="J139" s="4">
        <f t="shared" ca="1" si="11"/>
        <v>-4.777112378589228E-2</v>
      </c>
      <c r="K139" s="13"/>
      <c r="L139" s="13">
        <f ca="1">L138-O139*Prices!B139</f>
        <v>0.37983092807164609</v>
      </c>
      <c r="M139" s="4">
        <f t="shared" ca="1" si="13"/>
        <v>0.55906580930424576</v>
      </c>
      <c r="N139" s="13">
        <f ca="1">IF(Prices!B138&gt;OFFSET(Prices!B138,-$N$3,0),1,-1)</f>
        <v>-1</v>
      </c>
      <c r="O139" s="4">
        <f ca="1">IF(N139=1,O$3*L138/Prices!B138,-O$3*M138)</f>
        <v>-6.2118423256027316E-2</v>
      </c>
      <c r="P139" s="22"/>
      <c r="Q139" s="13">
        <f ca="1">Q138-T139*Prices!B139</f>
        <v>0.17869354251283059</v>
      </c>
      <c r="R139" s="4">
        <f t="shared" ca="1" si="12"/>
        <v>0.73107102847519201</v>
      </c>
      <c r="S139" s="13">
        <f ca="1">IF(Prices!B138&gt;OFFSET(Prices!B138,-S$3,0),1,-1)</f>
        <v>1</v>
      </c>
      <c r="T139" s="4">
        <f ca="1">IF(S139=1,T$3*Q138/Prices!B138,-T$3*R138)</f>
        <v>1.4347299470135034E-2</v>
      </c>
      <c r="V139" s="13"/>
      <c r="W139" s="4"/>
      <c r="X139" s="4"/>
      <c r="Y139" s="4"/>
      <c r="Z139" s="4"/>
      <c r="AA139" s="4"/>
      <c r="AB139" s="4"/>
      <c r="AC139" s="4"/>
      <c r="AD139" s="4"/>
      <c r="AE139" s="52"/>
    </row>
    <row r="140" spans="1:31" x14ac:dyDescent="0.2">
      <c r="A140" s="7">
        <v>42344</v>
      </c>
      <c r="B140" s="13">
        <f ca="1">Prices!B139*(1+J140/(50*(ABS(O140)+ABS(T140)+0.0001)))</f>
        <v>1.2552580980943089</v>
      </c>
      <c r="C140" s="62">
        <f t="shared" ca="1" si="9"/>
        <v>1</v>
      </c>
      <c r="D140" s="13">
        <f ca="1">D139+C140*(Prices!B140-Prices!B139)/Prices!B139</f>
        <v>8.3974398964608135E-2</v>
      </c>
      <c r="E140" s="13">
        <f t="shared" ca="1" si="10"/>
        <v>1.4689347978688844E-2</v>
      </c>
      <c r="F140" s="13">
        <f t="shared" ca="1" si="8"/>
        <v>9.8663746943296979E-2</v>
      </c>
      <c r="G140" s="21">
        <f ca="1">IF((Prices!B140-Prices!B139)*C140&gt;0,1,0)</f>
        <v>0</v>
      </c>
      <c r="H140" s="13">
        <f>ABS(Prices!B140-Prices!B139)/Prices!B139</f>
        <v>1.3813276996829551E-3</v>
      </c>
      <c r="I140" s="21"/>
      <c r="J140" s="4">
        <f t="shared" ca="1" si="11"/>
        <v>4.3930699303907826E-2</v>
      </c>
      <c r="K140" s="13"/>
      <c r="L140" s="13">
        <f ca="1">L139-O140*Prices!B140</f>
        <v>0.34190030236269564</v>
      </c>
      <c r="M140" s="4">
        <f t="shared" ca="1" si="13"/>
        <v>0.58992880825375793</v>
      </c>
      <c r="N140" s="13">
        <f ca="1">IF(Prices!B139&gt;OFFSET(Prices!B139,-$N$3,0),1,-1)</f>
        <v>1</v>
      </c>
      <c r="O140" s="4">
        <f ca="1">IF(N140=1,O$3*L139/Prices!B139,-O$3*M139)</f>
        <v>3.0862998949512156E-2</v>
      </c>
      <c r="P140" s="22"/>
      <c r="Q140" s="13">
        <f ca="1">Q139-T140*Prices!B140</f>
        <v>0.16263333877727831</v>
      </c>
      <c r="R140" s="4">
        <f t="shared" ca="1" si="12"/>
        <v>0.74413872882958765</v>
      </c>
      <c r="S140" s="13">
        <f ca="1">IF(Prices!B139&gt;OFFSET(Prices!B139,-S$3,0),1,-1)</f>
        <v>1</v>
      </c>
      <c r="T140" s="4">
        <f ca="1">IF(S140=1,T$3*Q139/Prices!B139,-T$3*R139)</f>
        <v>1.3067700354395672E-2</v>
      </c>
      <c r="V140" s="13"/>
      <c r="W140" s="4"/>
      <c r="X140" s="4"/>
      <c r="Y140" s="4"/>
      <c r="Z140" s="4"/>
      <c r="AA140" s="4"/>
      <c r="AB140" s="4"/>
      <c r="AC140" s="4"/>
      <c r="AD140" s="4"/>
      <c r="AE140" s="52"/>
    </row>
    <row r="141" spans="1:31" x14ac:dyDescent="0.2">
      <c r="A141" s="7">
        <v>42351</v>
      </c>
      <c r="B141" s="13">
        <f ca="1">Prices!B140*(1+J141/(50*(ABS(O141)+ABS(T141)+0.0001)))</f>
        <v>1.2127005181582635</v>
      </c>
      <c r="C141" s="62">
        <f t="shared" ca="1" si="9"/>
        <v>0</v>
      </c>
      <c r="D141" s="13">
        <f ca="1">D140+C141*(Prices!B141-Prices!B140)/Prices!B140</f>
        <v>8.3974398964608135E-2</v>
      </c>
      <c r="E141" s="13">
        <f t="shared" ca="1" si="10"/>
        <v>1.4689347978688844E-2</v>
      </c>
      <c r="F141" s="13">
        <f t="shared" ca="1" si="8"/>
        <v>9.8663746943296979E-2</v>
      </c>
      <c r="G141" s="21">
        <f ca="1">IF((Prices!B141-Prices!B140)*C141&gt;0,1,0)</f>
        <v>0</v>
      </c>
      <c r="H141" s="13">
        <f>ABS(Prices!B141-Prices!B140)/Prices!B140</f>
        <v>5.126118795768895E-3</v>
      </c>
      <c r="I141" s="21"/>
      <c r="J141" s="4">
        <f t="shared" ca="1" si="11"/>
        <v>-4.7083197757877789E-2</v>
      </c>
      <c r="K141" s="13"/>
      <c r="L141" s="13">
        <f ca="1">L140-O141*Prices!B141</f>
        <v>0.41477420804628234</v>
      </c>
      <c r="M141" s="4">
        <f t="shared" ca="1" si="13"/>
        <v>0.53093592742838214</v>
      </c>
      <c r="N141" s="13">
        <f ca="1">IF(Prices!B140&gt;OFFSET(Prices!B140,-$N$3,0),1,-1)</f>
        <v>-1</v>
      </c>
      <c r="O141" s="4">
        <f ca="1">IF(N141=1,O$3*L140/Prices!B140,-O$3*M140)</f>
        <v>-5.8992880825375793E-2</v>
      </c>
      <c r="P141" s="22"/>
      <c r="Q141" s="13">
        <f ca="1">Q140-T141*Prices!B141</f>
        <v>0.14792130728399802</v>
      </c>
      <c r="R141" s="4">
        <f t="shared" ca="1" si="12"/>
        <v>0.7560484118970856</v>
      </c>
      <c r="S141" s="13">
        <f ca="1">IF(Prices!B140&gt;OFFSET(Prices!B140,-S$3,0),1,-1)</f>
        <v>1</v>
      </c>
      <c r="T141" s="4">
        <f ca="1">IF(S141=1,T$3*Q140/Prices!B140,-T$3*R140)</f>
        <v>1.1909683067498004E-2</v>
      </c>
      <c r="V141" s="13"/>
      <c r="W141" s="4"/>
      <c r="X141" s="4"/>
      <c r="Y141" s="4"/>
      <c r="Z141" s="4"/>
      <c r="AA141" s="4"/>
      <c r="AB141" s="4"/>
      <c r="AC141" s="4"/>
      <c r="AD141" s="4"/>
      <c r="AE141" s="52"/>
    </row>
    <row r="142" spans="1:31" x14ac:dyDescent="0.2">
      <c r="A142" s="7">
        <v>42358</v>
      </c>
      <c r="B142" s="13">
        <f ca="1">Prices!B141*(1+J142/(50*(ABS(O142)+ABS(T142)+0.0001)))</f>
        <v>1.2599504232893151</v>
      </c>
      <c r="C142" s="62">
        <f t="shared" ca="1" si="9"/>
        <v>1</v>
      </c>
      <c r="D142" s="13">
        <f ca="1">D141+C142*(Prices!B142-Prices!B141)/Prices!B141</f>
        <v>8.1626791096074069E-2</v>
      </c>
      <c r="E142" s="13">
        <f t="shared" ca="1" si="10"/>
        <v>1.7036955847222909E-2</v>
      </c>
      <c r="F142" s="13">
        <f t="shared" ca="1" si="8"/>
        <v>9.8663746943296979E-2</v>
      </c>
      <c r="G142" s="21">
        <f ca="1">IF((Prices!B142-Prices!B141)*C142&gt;0,1,0)</f>
        <v>0</v>
      </c>
      <c r="H142" s="13">
        <f>ABS(Prices!B142-Prices!B141)/Prices!B141</f>
        <v>2.34760786853406E-3</v>
      </c>
      <c r="I142" s="21"/>
      <c r="J142" s="4">
        <f t="shared" ca="1" si="11"/>
        <v>4.4353872306474591E-2</v>
      </c>
      <c r="K142" s="13"/>
      <c r="L142" s="13">
        <f ca="1">L141-O142*Prices!B142</f>
        <v>0.37339415996110153</v>
      </c>
      <c r="M142" s="4">
        <f t="shared" ca="1" si="13"/>
        <v>0.56451272723784396</v>
      </c>
      <c r="N142" s="13">
        <f ca="1">IF(Prices!B141&gt;OFFSET(Prices!B141,-$N$3,0),1,-1)</f>
        <v>1</v>
      </c>
      <c r="O142" s="4">
        <f ca="1">IF(N142=1,O$3*L141/Prices!B141,-O$3*M141)</f>
        <v>3.3576799809461863E-2</v>
      </c>
      <c r="P142" s="22"/>
      <c r="Q142" s="13">
        <f ca="1">Q141-T142*Prices!B142</f>
        <v>0.13463964313867954</v>
      </c>
      <c r="R142" s="4">
        <f t="shared" ca="1" si="12"/>
        <v>0.76682548439409837</v>
      </c>
      <c r="S142" s="13">
        <f ca="1">IF(Prices!B141&gt;OFFSET(Prices!B141,-S$3,0),1,-1)</f>
        <v>1</v>
      </c>
      <c r="T142" s="4">
        <f ca="1">IF(S142=1,T$3*Q141/Prices!B141,-T$3*R141)</f>
        <v>1.0777072497012727E-2</v>
      </c>
      <c r="V142" s="13"/>
      <c r="W142" s="4"/>
      <c r="X142" s="4"/>
      <c r="Y142" s="4"/>
      <c r="Z142" s="4"/>
      <c r="AA142" s="4"/>
      <c r="AB142" s="4"/>
      <c r="AC142" s="4"/>
      <c r="AD142" s="4"/>
      <c r="AE142" s="52"/>
    </row>
    <row r="143" spans="1:31" x14ac:dyDescent="0.2">
      <c r="A143" s="7">
        <v>42365</v>
      </c>
      <c r="B143" s="13">
        <f ca="1">Prices!B142*(1+J143/(50*(ABS(O143)+ABS(T143)+0.0001)))</f>
        <v>1.2569867332431688</v>
      </c>
      <c r="C143" s="62">
        <f t="shared" ca="1" si="9"/>
        <v>1</v>
      </c>
      <c r="D143" s="13">
        <f ca="1">D142+C143*(Prices!B143-Prices!B142)/Prices!B142</f>
        <v>7.8137664189225672E-2</v>
      </c>
      <c r="E143" s="13">
        <f t="shared" ca="1" si="10"/>
        <v>2.0526082754071306E-2</v>
      </c>
      <c r="F143" s="13">
        <f t="shared" ca="1" si="8"/>
        <v>9.8663746943296979E-2</v>
      </c>
      <c r="G143" s="21">
        <f ca="1">IF((Prices!B143-Prices!B142)*C143&gt;0,1,0)</f>
        <v>0</v>
      </c>
      <c r="H143" s="13">
        <f>ABS(Prices!B143-Prices!B142)/Prices!B142</f>
        <v>3.4891269068484019E-3</v>
      </c>
      <c r="I143" s="21"/>
      <c r="J143" s="4">
        <f t="shared" ca="1" si="11"/>
        <v>4.0130626321479484E-2</v>
      </c>
      <c r="K143" s="13"/>
      <c r="L143" s="13">
        <f ca="1">L142-O143*Prices!B143</f>
        <v>0.33618502592602939</v>
      </c>
      <c r="M143" s="4">
        <f t="shared" ca="1" si="13"/>
        <v>0.59481085771180542</v>
      </c>
      <c r="N143" s="13">
        <f ca="1">IF(Prices!B142&gt;OFFSET(Prices!B142,-$N$3,0),1,-1)</f>
        <v>1</v>
      </c>
      <c r="O143" s="4">
        <f ca="1">IF(N143=1,O$3*L142/Prices!B142,-O$3*M142)</f>
        <v>3.0298130473961501E-2</v>
      </c>
      <c r="P143" s="22"/>
      <c r="Q143" s="13">
        <f ca="1">Q142-T143*Prices!B143</f>
        <v>0.12256435498834271</v>
      </c>
      <c r="R143" s="4">
        <f t="shared" ca="1" si="12"/>
        <v>0.77665798024161636</v>
      </c>
      <c r="S143" s="13">
        <f ca="1">IF(Prices!B142&gt;OFFSET(Prices!B142,-S$3,0),1,-1)</f>
        <v>1</v>
      </c>
      <c r="T143" s="4">
        <f ca="1">IF(S143=1,T$3*Q142/Prices!B142,-T$3*R142)</f>
        <v>9.8324958475179813E-3</v>
      </c>
      <c r="V143" s="13"/>
      <c r="W143" s="4"/>
      <c r="X143" s="4"/>
      <c r="Y143" s="4"/>
      <c r="Z143" s="4"/>
      <c r="AA143" s="4"/>
      <c r="AB143" s="4"/>
      <c r="AC143" s="4"/>
      <c r="AD143" s="4"/>
      <c r="AE143" s="52"/>
    </row>
    <row r="144" spans="1:31" x14ac:dyDescent="0.2">
      <c r="A144" s="7">
        <v>42372</v>
      </c>
      <c r="B144" s="13">
        <f ca="1">Prices!B143*(1+J144/(50*(ABS(O144)+ABS(T144)+0.0001)))</f>
        <v>1.2100092357215113</v>
      </c>
      <c r="C144" s="62">
        <f t="shared" ca="1" si="9"/>
        <v>0</v>
      </c>
      <c r="D144" s="13">
        <f ca="1">D143+C144*(Prices!B144-Prices!B143)/Prices!B143</f>
        <v>7.8137664189225672E-2</v>
      </c>
      <c r="E144" s="13">
        <f t="shared" ca="1" si="10"/>
        <v>2.0526082754071306E-2</v>
      </c>
      <c r="F144" s="13">
        <f t="shared" ref="F144:F207" ca="1" si="14">MAX(F143,D144)</f>
        <v>9.8663746943296979E-2</v>
      </c>
      <c r="G144" s="21">
        <f ca="1">IF((Prices!B144-Prices!B143)*C144&gt;0,1,0)</f>
        <v>0</v>
      </c>
      <c r="H144" s="13">
        <f>ABS(Prices!B144-Prices!B143)/Prices!B143</f>
        <v>4.0713296962788985E-3</v>
      </c>
      <c r="I144" s="21"/>
      <c r="J144" s="4">
        <f t="shared" ca="1" si="11"/>
        <v>-5.04990876041332E-2</v>
      </c>
      <c r="K144" s="13"/>
      <c r="L144" s="13">
        <f ca="1">L143-O144*Prices!B144</f>
        <v>0.40953115279047214</v>
      </c>
      <c r="M144" s="4">
        <f t="shared" ca="1" si="13"/>
        <v>0.53532977194062492</v>
      </c>
      <c r="N144" s="13">
        <f ca="1">IF(Prices!B143&gt;OFFSET(Prices!B143,-$N$3,0),1,-1)</f>
        <v>-1</v>
      </c>
      <c r="O144" s="4">
        <f ca="1">IF(N144=1,O$3*L143/Prices!B143,-O$3*M143)</f>
        <v>-5.9481085771180546E-2</v>
      </c>
      <c r="P144" s="22"/>
      <c r="Q144" s="13">
        <f ca="1">Q143-T144*Prices!B144</f>
        <v>0.11148865304855664</v>
      </c>
      <c r="R144" s="4">
        <f t="shared" ca="1" si="12"/>
        <v>0.78563997840866373</v>
      </c>
      <c r="S144" s="13">
        <f ca="1">IF(Prices!B143&gt;OFFSET(Prices!B143,-S$3,0),1,-1)</f>
        <v>1</v>
      </c>
      <c r="T144" s="4">
        <f ca="1">IF(S144=1,T$3*Q143/Prices!B143,-T$3*R143)</f>
        <v>8.9819981670473444E-3</v>
      </c>
      <c r="V144" s="13"/>
      <c r="W144" s="4"/>
      <c r="X144" s="4"/>
      <c r="Y144" s="4"/>
      <c r="Z144" s="4"/>
      <c r="AA144" s="4"/>
      <c r="AB144" s="4"/>
      <c r="AC144" s="4"/>
      <c r="AD144" s="4"/>
      <c r="AE144" s="52"/>
    </row>
    <row r="145" spans="1:31" x14ac:dyDescent="0.2">
      <c r="A145" s="7">
        <v>42379</v>
      </c>
      <c r="B145" s="13">
        <f ca="1">Prices!B144*(1+J145/(50*(ABS(O145)+ABS(T145)+0.0001)))</f>
        <v>1.2577024999573703</v>
      </c>
      <c r="C145" s="62">
        <f t="shared" ref="C145:C208" ca="1" si="15">IF(J145&gt;0,1,IF(J145&lt;0,0,0))</f>
        <v>1</v>
      </c>
      <c r="D145" s="13">
        <f ca="1">D144+C145*(Prices!B145-Prices!B144)/Prices!B144</f>
        <v>7.4650517972373862E-2</v>
      </c>
      <c r="E145" s="13">
        <f t="shared" ref="E145:E208" ca="1" si="16">F145-D145</f>
        <v>2.4013228970923117E-2</v>
      </c>
      <c r="F145" s="13">
        <f t="shared" ca="1" si="14"/>
        <v>9.8663746943296979E-2</v>
      </c>
      <c r="G145" s="21">
        <f ca="1">IF((Prices!B145-Prices!B144)*C145&gt;0,1,0)</f>
        <v>0</v>
      </c>
      <c r="H145" s="13">
        <f>ABS(Prices!B145-Prices!B144)/Prices!B144</f>
        <v>3.4871462168518125E-3</v>
      </c>
      <c r="I145" s="21"/>
      <c r="J145" s="4">
        <f t="shared" ref="J145:J208" ca="1" si="17">O145+T145</f>
        <v>4.1348709799219285E-2</v>
      </c>
      <c r="K145" s="13"/>
      <c r="L145" s="13">
        <f ca="1">L144-O145*Prices!B145</f>
        <v>0.36872084701243857</v>
      </c>
      <c r="M145" s="4">
        <f t="shared" ca="1" si="13"/>
        <v>0.56854128380425906</v>
      </c>
      <c r="N145" s="13">
        <f ca="1">IF(Prices!B144&gt;OFFSET(Prices!B144,-$N$3,0),1,-1)</f>
        <v>1</v>
      </c>
      <c r="O145" s="4">
        <f ca="1">IF(N145=1,O$3*L144/Prices!B144,-O$3*M144)</f>
        <v>3.3211511863634101E-2</v>
      </c>
      <c r="P145" s="22"/>
      <c r="Q145" s="13">
        <f ca="1">Q144-T145*Prices!B145</f>
        <v>0.10148966422530956</v>
      </c>
      <c r="R145" s="4">
        <f t="shared" ca="1" si="12"/>
        <v>0.79377717634424894</v>
      </c>
      <c r="S145" s="13">
        <f ca="1">IF(Prices!B144&gt;OFFSET(Prices!B144,-S$3,0),1,-1)</f>
        <v>1</v>
      </c>
      <c r="T145" s="4">
        <f ca="1">IF(S145=1,T$3*Q144/Prices!B144,-T$3*R144)</f>
        <v>8.137197935585188E-3</v>
      </c>
      <c r="V145" s="13"/>
      <c r="W145" s="4"/>
      <c r="X145" s="4"/>
      <c r="Y145" s="4"/>
      <c r="Z145" s="4"/>
      <c r="AA145" s="4"/>
      <c r="AB145" s="4"/>
      <c r="AC145" s="4"/>
      <c r="AD145" s="4"/>
      <c r="AE145" s="52"/>
    </row>
    <row r="146" spans="1:31" x14ac:dyDescent="0.2">
      <c r="A146" s="7">
        <v>42386</v>
      </c>
      <c r="B146" s="13">
        <f ca="1">Prices!B145*(1+J146/(50*(ABS(O146)+ABS(T146)+0.0001)))</f>
        <v>1.2042431410702896</v>
      </c>
      <c r="C146" s="62">
        <f t="shared" ca="1" si="15"/>
        <v>0</v>
      </c>
      <c r="D146" s="13">
        <f ca="1">D145+C146*(Prices!B146-Prices!B145)/Prices!B145</f>
        <v>7.4650517972373862E-2</v>
      </c>
      <c r="E146" s="13">
        <f t="shared" ca="1" si="16"/>
        <v>2.4013228970923117E-2</v>
      </c>
      <c r="F146" s="13">
        <f t="shared" ca="1" si="14"/>
        <v>9.8663746943296979E-2</v>
      </c>
      <c r="G146" s="21">
        <f ca="1">IF((Prices!B146-Prices!B145)*C146&gt;0,1,0)</f>
        <v>0</v>
      </c>
      <c r="H146" s="13">
        <f>ABS(Prices!B146-Prices!B145)/Prices!B145</f>
        <v>1.2858072916666696E-2</v>
      </c>
      <c r="I146" s="21"/>
      <c r="J146" s="4">
        <f t="shared" ca="1" si="17"/>
        <v>-0.12829407425140832</v>
      </c>
      <c r="K146" s="13"/>
      <c r="L146" s="13">
        <f ca="1">L145-O146*Prices!B146</f>
        <v>0.43768490473789523</v>
      </c>
      <c r="M146" s="4">
        <f t="shared" ca="1" si="13"/>
        <v>0.51168715542383314</v>
      </c>
      <c r="N146" s="13">
        <f ca="1">IF(Prices!B145&gt;OFFSET(Prices!B145,-$N$3,0),1,-1)</f>
        <v>-1</v>
      </c>
      <c r="O146" s="4">
        <f ca="1">IF(N146=1,O$3*L145/Prices!B145,-O$3*M145)</f>
        <v>-5.685412838042591E-2</v>
      </c>
      <c r="P146" s="22"/>
      <c r="Q146" s="13">
        <f ca="1">Q145-T146*Prices!B146</f>
        <v>0.18814631856681122</v>
      </c>
      <c r="R146" s="4">
        <f t="shared" ca="1" si="12"/>
        <v>0.72233723047326648</v>
      </c>
      <c r="S146" s="13">
        <f ca="1">IF(Prices!B145&gt;OFFSET(Prices!B145,-S$3,0),1,-1)</f>
        <v>-1</v>
      </c>
      <c r="T146" s="4">
        <f ca="1">IF(S146=1,T$3*Q145/Prices!B145,-T$3*R145)</f>
        <v>-7.1439945870982402E-2</v>
      </c>
      <c r="V146" s="13"/>
      <c r="W146" s="4"/>
      <c r="X146" s="4"/>
      <c r="Y146" s="4"/>
      <c r="Z146" s="4"/>
      <c r="AA146" s="4"/>
      <c r="AB146" s="4"/>
      <c r="AC146" s="4"/>
      <c r="AD146" s="4"/>
      <c r="AE146" s="52"/>
    </row>
    <row r="147" spans="1:31" x14ac:dyDescent="0.2">
      <c r="A147" s="7">
        <v>42393</v>
      </c>
      <c r="B147" s="13">
        <f ca="1">Prices!B146*(1+J147/(50*(ABS(O147)+ABS(T147)+0.0001)))</f>
        <v>1.1887608636006251</v>
      </c>
      <c r="C147" s="62">
        <f t="shared" ca="1" si="15"/>
        <v>0</v>
      </c>
      <c r="D147" s="13">
        <f ca="1">D146+C147*(Prices!B147-Prices!B146)/Prices!B146</f>
        <v>7.4650517972373862E-2</v>
      </c>
      <c r="E147" s="13">
        <f t="shared" ca="1" si="16"/>
        <v>2.4013228970923117E-2</v>
      </c>
      <c r="F147" s="13">
        <f t="shared" ca="1" si="14"/>
        <v>9.8663746943296979E-2</v>
      </c>
      <c r="G147" s="21">
        <f ca="1">IF((Prices!B147-Prices!B146)*C147&gt;0,1,0)</f>
        <v>0</v>
      </c>
      <c r="H147" s="13">
        <f>ABS(Prices!B147-Prices!B146)/Prices!B146</f>
        <v>1.4014839241549979E-2</v>
      </c>
      <c r="I147" s="21"/>
      <c r="J147" s="4">
        <f t="shared" ca="1" si="17"/>
        <v>-0.11617906628497729</v>
      </c>
      <c r="K147" s="13"/>
      <c r="L147" s="13">
        <f ca="1">L146-O147*Prices!B147</f>
        <v>0.49888268852658568</v>
      </c>
      <c r="M147" s="4">
        <f t="shared" ca="1" si="13"/>
        <v>0.4605184398814498</v>
      </c>
      <c r="N147" s="13">
        <f ca="1">IF(Prices!B146&gt;OFFSET(Prices!B146,-$N$3,0),1,-1)</f>
        <v>-1</v>
      </c>
      <c r="O147" s="4">
        <f ca="1">IF(N147=1,O$3*L146/Prices!B146,-O$3*M146)</f>
        <v>-5.1168715542383315E-2</v>
      </c>
      <c r="P147" s="22"/>
      <c r="Q147" s="13">
        <f ca="1">Q146-T147*Prices!B147</f>
        <v>0.26589869805495359</v>
      </c>
      <c r="R147" s="4">
        <f t="shared" ca="1" si="12"/>
        <v>0.6573268797306725</v>
      </c>
      <c r="S147" s="13">
        <f ca="1">IF(Prices!B146&gt;OFFSET(Prices!B146,-S$3,0),1,-1)</f>
        <v>-1</v>
      </c>
      <c r="T147" s="4">
        <f ca="1">IF(S147=1,T$3*Q146/Prices!B146,-T$3*R146)</f>
        <v>-6.5010350742593981E-2</v>
      </c>
      <c r="V147" s="13"/>
      <c r="W147" s="4"/>
      <c r="X147" s="4"/>
      <c r="Y147" s="4"/>
      <c r="Z147" s="4"/>
      <c r="AA147" s="4"/>
      <c r="AB147" s="4"/>
      <c r="AC147" s="4"/>
      <c r="AD147" s="4"/>
      <c r="AE147" s="52"/>
    </row>
    <row r="148" spans="1:31" x14ac:dyDescent="0.2">
      <c r="A148" s="7">
        <v>42400</v>
      </c>
      <c r="B148" s="13">
        <f ca="1">Prices!B147*(1+J148/(50*(ABS(O148)+ABS(T148)+0.0001)))</f>
        <v>1.1721027136198745</v>
      </c>
      <c r="C148" s="62">
        <f t="shared" ca="1" si="15"/>
        <v>0</v>
      </c>
      <c r="D148" s="13">
        <f ca="1">D147+C148*(Prices!B148-Prices!B147)/Prices!B147</f>
        <v>7.4650517972373862E-2</v>
      </c>
      <c r="E148" s="13">
        <f t="shared" ca="1" si="16"/>
        <v>2.4013228970923117E-2</v>
      </c>
      <c r="F148" s="13">
        <f t="shared" ca="1" si="14"/>
        <v>9.8663746943296979E-2</v>
      </c>
      <c r="G148" s="21">
        <f ca="1">IF((Prices!B148-Prices!B147)*C148&gt;0,1,0)</f>
        <v>0</v>
      </c>
      <c r="H148" s="13">
        <f>ABS(Prices!B148-Prices!B147)/Prices!B147</f>
        <v>1.4214046822742766E-3</v>
      </c>
      <c r="I148" s="21"/>
      <c r="J148" s="4">
        <f t="shared" ca="1" si="17"/>
        <v>-0.1052112631639055</v>
      </c>
      <c r="K148" s="13"/>
      <c r="L148" s="13">
        <f ca="1">L147-O148*Prices!B148</f>
        <v>0.55388240580162718</v>
      </c>
      <c r="M148" s="4">
        <f t="shared" ca="1" si="13"/>
        <v>0.41446659589330481</v>
      </c>
      <c r="N148" s="13">
        <f ca="1">IF(Prices!B147&gt;OFFSET(Prices!B147,-$N$3,0),1,-1)</f>
        <v>-1</v>
      </c>
      <c r="O148" s="4">
        <f ca="1">IF(N148=1,O$3*L147/Prices!B147,-O$3*M147)</f>
        <v>-4.6051843988144985E-2</v>
      </c>
      <c r="P148" s="22"/>
      <c r="Q148" s="13">
        <f ca="1">Q147-T148*Prices!B148</f>
        <v>0.33655279237656438</v>
      </c>
      <c r="R148" s="4">
        <f t="shared" ca="1" si="12"/>
        <v>0.59816746055491199</v>
      </c>
      <c r="S148" s="13">
        <f ca="1">IF(Prices!B147&gt;OFFSET(Prices!B147,-S$3,0),1,-1)</f>
        <v>-1</v>
      </c>
      <c r="T148" s="4">
        <f ca="1">IF(S148=1,T$3*Q147/Prices!B147,-T$3*R147)</f>
        <v>-5.9159419175760522E-2</v>
      </c>
      <c r="V148" s="13"/>
      <c r="W148" s="4"/>
      <c r="X148" s="4"/>
      <c r="Y148" s="4"/>
      <c r="Z148" s="4"/>
      <c r="AA148" s="4"/>
      <c r="AB148" s="4"/>
      <c r="AC148" s="4"/>
      <c r="AD148" s="4"/>
      <c r="AE148" s="52"/>
    </row>
    <row r="149" spans="1:31" x14ac:dyDescent="0.2">
      <c r="A149" s="7">
        <v>42407</v>
      </c>
      <c r="B149" s="13">
        <f ca="1">Prices!B148*(1+J149/(50*(ABS(O149)+ABS(T149)+0.0001)))</f>
        <v>1.1704390425314573</v>
      </c>
      <c r="C149" s="62">
        <f t="shared" ca="1" si="15"/>
        <v>0</v>
      </c>
      <c r="D149" s="13">
        <f ca="1">D148+C149*(Prices!B149-Prices!B148)/Prices!B148</f>
        <v>7.4650517972373862E-2</v>
      </c>
      <c r="E149" s="13">
        <f t="shared" ca="1" si="16"/>
        <v>2.4013228970923117E-2</v>
      </c>
      <c r="F149" s="13">
        <f t="shared" ca="1" si="14"/>
        <v>9.8663746943296979E-2</v>
      </c>
      <c r="G149" s="21">
        <f ca="1">IF((Prices!B149-Prices!B148)*C149&gt;0,1,0)</f>
        <v>0</v>
      </c>
      <c r="H149" s="13">
        <f>ABS(Prices!B149-Prices!B148)/Prices!B148</f>
        <v>1.4318010550112949E-2</v>
      </c>
      <c r="I149" s="21"/>
      <c r="J149" s="4">
        <f t="shared" ca="1" si="17"/>
        <v>-9.5281731039272566E-2</v>
      </c>
      <c r="K149" s="13"/>
      <c r="L149" s="13">
        <f ca="1">L148-O149*Prices!B149</f>
        <v>0.60267341347018699</v>
      </c>
      <c r="M149" s="4">
        <f t="shared" ca="1" si="13"/>
        <v>0.37301993630397434</v>
      </c>
      <c r="N149" s="13">
        <f ca="1">IF(Prices!B148&gt;OFFSET(Prices!B148,-$N$3,0),1,-1)</f>
        <v>-1</v>
      </c>
      <c r="O149" s="4">
        <f ca="1">IF(N149=1,O$3*L148/Prices!B148,-O$3*M148)</f>
        <v>-4.1446659589330484E-2</v>
      </c>
      <c r="P149" s="22"/>
      <c r="Q149" s="13">
        <f ca="1">Q148-T149*Prices!B149</f>
        <v>0.39992743848743617</v>
      </c>
      <c r="R149" s="4">
        <f t="shared" ca="1" si="12"/>
        <v>0.54433238910496995</v>
      </c>
      <c r="S149" s="13">
        <f ca="1">IF(Prices!B148&gt;OFFSET(Prices!B148,-S$3,0),1,-1)</f>
        <v>-1</v>
      </c>
      <c r="T149" s="4">
        <f ca="1">IF(S149=1,T$3*Q148/Prices!B148,-T$3*R148)</f>
        <v>-5.3835071449942075E-2</v>
      </c>
      <c r="V149" s="13"/>
      <c r="W149" s="4"/>
      <c r="X149" s="4"/>
      <c r="Y149" s="4"/>
      <c r="Z149" s="4"/>
      <c r="AA149" s="4"/>
      <c r="AB149" s="4"/>
      <c r="AC149" s="4"/>
      <c r="AD149" s="4"/>
      <c r="AE149" s="52"/>
    </row>
    <row r="150" spans="1:31" x14ac:dyDescent="0.2">
      <c r="A150" s="7">
        <v>42414</v>
      </c>
      <c r="B150" s="13">
        <f ca="1">Prices!B149*(1+J150/(50*(ABS(O150)+ABS(T150)+0.0001)))</f>
        <v>1.1536832525521985</v>
      </c>
      <c r="C150" s="62">
        <f t="shared" ca="1" si="15"/>
        <v>0</v>
      </c>
      <c r="D150" s="13">
        <f ca="1">D149+C150*(Prices!B150-Prices!B149)/Prices!B149</f>
        <v>7.4650517972373862E-2</v>
      </c>
      <c r="E150" s="13">
        <f t="shared" ca="1" si="16"/>
        <v>2.4013228970923117E-2</v>
      </c>
      <c r="F150" s="13">
        <f t="shared" ca="1" si="14"/>
        <v>9.8663746943296979E-2</v>
      </c>
      <c r="G150" s="21">
        <f ca="1">IF((Prices!B150-Prices!B149)*C150&gt;0,1,0)</f>
        <v>0</v>
      </c>
      <c r="H150" s="13">
        <f>ABS(Prices!B150-Prices!B149)/Prices!B149</f>
        <v>1.0278627251104315E-2</v>
      </c>
      <c r="I150" s="21"/>
      <c r="J150" s="4">
        <f t="shared" ca="1" si="17"/>
        <v>-8.6291908649844734E-2</v>
      </c>
      <c r="K150" s="13"/>
      <c r="L150" s="13">
        <f ca="1">L149-O150*Prices!B150</f>
        <v>0.64613396624896302</v>
      </c>
      <c r="M150" s="4">
        <f t="shared" ca="1" si="13"/>
        <v>0.33571794267357691</v>
      </c>
      <c r="N150" s="13">
        <f ca="1">IF(Prices!B149&gt;OFFSET(Prices!B149,-$N$3,0),1,-1)</f>
        <v>-1</v>
      </c>
      <c r="O150" s="4">
        <f ca="1">IF(N150=1,O$3*L149/Prices!B149,-O$3*M149)</f>
        <v>-3.7301993630397434E-2</v>
      </c>
      <c r="P150" s="22"/>
      <c r="Q150" s="13">
        <f ca="1">Q149-T150*Prices!B150</f>
        <v>0.45700558847659423</v>
      </c>
      <c r="R150" s="4">
        <f t="shared" ca="1" si="12"/>
        <v>0.49534247408552268</v>
      </c>
      <c r="S150" s="13">
        <f ca="1">IF(Prices!B149&gt;OFFSET(Prices!B149,-S$3,0),1,-1)</f>
        <v>-1</v>
      </c>
      <c r="T150" s="4">
        <f ca="1">IF(S150=1,T$3*Q149/Prices!B149,-T$3*R149)</f>
        <v>-4.8989915019447293E-2</v>
      </c>
      <c r="V150" s="13"/>
      <c r="W150" s="4"/>
      <c r="X150" s="4"/>
      <c r="Y150" s="4"/>
      <c r="Z150" s="4"/>
      <c r="AA150" s="4"/>
      <c r="AB150" s="4"/>
      <c r="AC150" s="4"/>
      <c r="AD150" s="4"/>
      <c r="AE150" s="52"/>
    </row>
    <row r="151" spans="1:31" x14ac:dyDescent="0.2">
      <c r="A151" s="7">
        <v>42421</v>
      </c>
      <c r="B151" s="13">
        <f ca="1">Prices!B150*(1+J151/(50*(ABS(O151)+ABS(T151)+0.0001)))</f>
        <v>1.1418277779178674</v>
      </c>
      <c r="C151" s="62">
        <f t="shared" ca="1" si="15"/>
        <v>0</v>
      </c>
      <c r="D151" s="13">
        <f ca="1">D150+C151*(Prices!B151-Prices!B150)/Prices!B150</f>
        <v>7.4650517972373862E-2</v>
      </c>
      <c r="E151" s="13">
        <f t="shared" ca="1" si="16"/>
        <v>2.4013228970923117E-2</v>
      </c>
      <c r="F151" s="13">
        <f t="shared" ca="1" si="14"/>
        <v>9.8663746943296979E-2</v>
      </c>
      <c r="G151" s="21">
        <f ca="1">IF((Prices!B151-Prices!B150)*C151&gt;0,1,0)</f>
        <v>0</v>
      </c>
      <c r="H151" s="13">
        <f>ABS(Prices!B151-Prices!B150)/Prices!B150</f>
        <v>6.8663634022823091E-4</v>
      </c>
      <c r="I151" s="21"/>
      <c r="J151" s="4">
        <f t="shared" ca="1" si="17"/>
        <v>-7.8152616935054736E-2</v>
      </c>
      <c r="K151" s="13"/>
      <c r="L151" s="13">
        <f ca="1">L150-O151*Prices!B151</f>
        <v>0.68527532118527534</v>
      </c>
      <c r="M151" s="4">
        <f t="shared" ca="1" si="13"/>
        <v>0.30214614840621923</v>
      </c>
      <c r="N151" s="13">
        <f ca="1">IF(Prices!B150&gt;OFFSET(Prices!B150,-$N$3,0),1,-1)</f>
        <v>-1</v>
      </c>
      <c r="O151" s="4">
        <f ca="1">IF(N151=1,O$3*L150/Prices!B150,-O$3*M150)</f>
        <v>-3.3571794267357694E-2</v>
      </c>
      <c r="P151" s="22"/>
      <c r="Q151" s="13">
        <f ca="1">Q150-T151*Prices!B151</f>
        <v>0.50898236962486221</v>
      </c>
      <c r="R151" s="4">
        <f t="shared" ca="1" si="12"/>
        <v>0.45076165141782565</v>
      </c>
      <c r="S151" s="13">
        <f ca="1">IF(Prices!B150&gt;OFFSET(Prices!B150,-S$3,0),1,-1)</f>
        <v>-1</v>
      </c>
      <c r="T151" s="4">
        <f ca="1">IF(S151=1,T$3*Q150/Prices!B150,-T$3*R150)</f>
        <v>-4.4580822667697043E-2</v>
      </c>
      <c r="V151" s="13"/>
      <c r="W151" s="4"/>
      <c r="X151" s="4"/>
      <c r="Y151" s="4"/>
      <c r="Z151" s="4"/>
      <c r="AA151" s="4"/>
      <c r="AB151" s="4"/>
      <c r="AC151" s="4"/>
      <c r="AD151" s="4"/>
      <c r="AE151" s="52"/>
    </row>
    <row r="152" spans="1:31" x14ac:dyDescent="0.2">
      <c r="A152" s="7">
        <v>42428</v>
      </c>
      <c r="B152" s="13">
        <f ca="1">Prices!B151*(1+J152/(50*(ABS(O152)+ABS(T152)+0.0001)))</f>
        <v>1.1426148963873211</v>
      </c>
      <c r="C152" s="62">
        <f t="shared" ca="1" si="15"/>
        <v>0</v>
      </c>
      <c r="D152" s="13">
        <f ca="1">D151+C152*(Prices!B152-Prices!B151)/Prices!B151</f>
        <v>7.4650517972373862E-2</v>
      </c>
      <c r="E152" s="13">
        <f t="shared" ca="1" si="16"/>
        <v>2.4013228970923117E-2</v>
      </c>
      <c r="F152" s="13">
        <f t="shared" ca="1" si="14"/>
        <v>9.8663746943296979E-2</v>
      </c>
      <c r="G152" s="21">
        <f ca="1">IF((Prices!B152-Prices!B151)*C152&gt;0,1,0)</f>
        <v>0</v>
      </c>
      <c r="H152" s="13">
        <f>ABS(Prices!B152-Prices!B151)/Prices!B151</f>
        <v>9.434771421219762E-3</v>
      </c>
      <c r="I152" s="21"/>
      <c r="J152" s="4">
        <f t="shared" ca="1" si="17"/>
        <v>-7.0783163468226232E-2</v>
      </c>
      <c r="K152" s="13"/>
      <c r="L152" s="13">
        <f ca="1">L151-O152*Prices!B152</f>
        <v>0.72083490139120332</v>
      </c>
      <c r="M152" s="4">
        <f t="shared" ca="1" si="13"/>
        <v>0.27193153356559729</v>
      </c>
      <c r="N152" s="13">
        <f ca="1">IF(Prices!B151&gt;OFFSET(Prices!B151,-$N$3,0),1,-1)</f>
        <v>-1</v>
      </c>
      <c r="O152" s="4">
        <f ca="1">IF(N152=1,O$3*L151/Prices!B151,-O$3*M151)</f>
        <v>-3.0214614840621924E-2</v>
      </c>
      <c r="P152" s="22"/>
      <c r="Q152" s="13">
        <f ca="1">Q151-T152*Prices!B152</f>
        <v>0.55672749450468972</v>
      </c>
      <c r="R152" s="4">
        <f t="shared" ca="1" si="12"/>
        <v>0.41019310279022136</v>
      </c>
      <c r="S152" s="13">
        <f ca="1">IF(Prices!B151&gt;OFFSET(Prices!B151,-S$3,0),1,-1)</f>
        <v>-1</v>
      </c>
      <c r="T152" s="4">
        <f ca="1">IF(S152=1,T$3*Q151/Prices!B151,-T$3*R151)</f>
        <v>-4.0568548627604305E-2</v>
      </c>
      <c r="V152" s="13"/>
      <c r="W152" s="4"/>
      <c r="X152" s="4"/>
      <c r="Y152" s="4"/>
      <c r="Z152" s="4"/>
      <c r="AA152" s="4"/>
      <c r="AB152" s="4"/>
      <c r="AC152" s="4"/>
      <c r="AD152" s="4"/>
      <c r="AE152" s="52"/>
    </row>
    <row r="153" spans="1:31" x14ac:dyDescent="0.2">
      <c r="A153" s="7">
        <v>42435</v>
      </c>
      <c r="B153" s="13">
        <f ca="1">Prices!B152*(1+J153/(50*(ABS(O153)+ABS(T153)+0.0001)))</f>
        <v>1.1533986575373916</v>
      </c>
      <c r="C153" s="62">
        <f t="shared" ca="1" si="15"/>
        <v>0</v>
      </c>
      <c r="D153" s="13">
        <f ca="1">D152+C153*(Prices!B153-Prices!B152)/Prices!B152</f>
        <v>7.4650517972373862E-2</v>
      </c>
      <c r="E153" s="13">
        <f t="shared" ca="1" si="16"/>
        <v>2.4013228970923117E-2</v>
      </c>
      <c r="F153" s="13">
        <f t="shared" ca="1" si="14"/>
        <v>9.8663746943296979E-2</v>
      </c>
      <c r="G153" s="21">
        <f ca="1">IF((Prices!B153-Prices!B152)*C153&gt;0,1,0)</f>
        <v>0</v>
      </c>
      <c r="H153" s="13">
        <f>ABS(Prices!B153-Prices!B152)/Prices!B152</f>
        <v>1.351006882487894E-2</v>
      </c>
      <c r="I153" s="21"/>
      <c r="J153" s="4">
        <f t="shared" ca="1" si="17"/>
        <v>-6.4110532607679654E-2</v>
      </c>
      <c r="K153" s="13"/>
      <c r="L153" s="13">
        <f ca="1">L152-O153*Prices!B153</f>
        <v>0.75240615243816922</v>
      </c>
      <c r="M153" s="4">
        <f t="shared" ca="1" si="13"/>
        <v>0.24473838020903757</v>
      </c>
      <c r="N153" s="13">
        <f ca="1">IF(Prices!B152&gt;OFFSET(Prices!B152,-$N$3,0),1,-1)</f>
        <v>-1</v>
      </c>
      <c r="O153" s="4">
        <f ca="1">IF(N153=1,O$3*L152/Prices!B152,-O$3*M152)</f>
        <v>-2.7193153356559731E-2</v>
      </c>
      <c r="P153" s="22"/>
      <c r="Q153" s="13">
        <f ca="1">Q152-T153*Prices!B153</f>
        <v>0.59958857181523995</v>
      </c>
      <c r="R153" s="4">
        <f t="shared" ca="1" si="12"/>
        <v>0.37327572353910143</v>
      </c>
      <c r="S153" s="13">
        <f ca="1">IF(Prices!B152&gt;OFFSET(Prices!B152,-S$3,0),1,-1)</f>
        <v>-1</v>
      </c>
      <c r="T153" s="4">
        <f ca="1">IF(S153=1,T$3*Q152/Prices!B152,-T$3*R152)</f>
        <v>-3.6917379251119924E-2</v>
      </c>
      <c r="V153" s="13"/>
      <c r="W153" s="4"/>
      <c r="X153" s="4"/>
      <c r="Y153" s="4"/>
      <c r="Z153" s="4"/>
      <c r="AA153" s="4"/>
      <c r="AB153" s="4"/>
      <c r="AC153" s="4"/>
      <c r="AD153" s="4"/>
      <c r="AE153" s="52"/>
    </row>
    <row r="154" spans="1:31" x14ac:dyDescent="0.2">
      <c r="A154" s="7">
        <v>42442</v>
      </c>
      <c r="B154" s="13">
        <f ca="1">Prices!B153*(1+J154/(50*(ABS(O154)+ABS(T154)+0.0001)))</f>
        <v>1.1378199184075044</v>
      </c>
      <c r="C154" s="62">
        <f t="shared" ca="1" si="15"/>
        <v>0</v>
      </c>
      <c r="D154" s="13">
        <f ca="1">D153+C154*(Prices!B154-Prices!B153)/Prices!B153</f>
        <v>7.4650517972373862E-2</v>
      </c>
      <c r="E154" s="13">
        <f t="shared" ca="1" si="16"/>
        <v>2.4013228970923117E-2</v>
      </c>
      <c r="F154" s="13">
        <f t="shared" ca="1" si="14"/>
        <v>9.8663746943296979E-2</v>
      </c>
      <c r="G154" s="21">
        <f ca="1">IF((Prices!B154-Prices!B153)*C154&gt;0,1,0)</f>
        <v>0</v>
      </c>
      <c r="H154" s="13">
        <f>ABS(Prices!B154-Prices!B153)/Prices!B153</f>
        <v>3.5314384151593388E-3</v>
      </c>
      <c r="I154" s="21"/>
      <c r="J154" s="4">
        <f t="shared" ca="1" si="17"/>
        <v>-5.8068653139422888E-2</v>
      </c>
      <c r="K154" s="13"/>
      <c r="L154" s="13">
        <f ca="1">L153-O154*Prices!B154</f>
        <v>0.78092062111632421</v>
      </c>
      <c r="M154" s="4">
        <f t="shared" ca="1" si="13"/>
        <v>0.22026454218813382</v>
      </c>
      <c r="N154" s="13">
        <f ca="1">IF(Prices!B153&gt;OFFSET(Prices!B153,-$N$3,0),1,-1)</f>
        <v>-1</v>
      </c>
      <c r="O154" s="4">
        <f ca="1">IF(N154=1,O$3*L153/Prices!B153,-O$3*M153)</f>
        <v>-2.4473838020903759E-2</v>
      </c>
      <c r="P154" s="22"/>
      <c r="Q154" s="13">
        <f ca="1">Q153-T154*Prices!B154</f>
        <v>0.63872989090982657</v>
      </c>
      <c r="R154" s="4">
        <f t="shared" ca="1" si="12"/>
        <v>0.33968090842058229</v>
      </c>
      <c r="S154" s="13">
        <f ca="1">IF(Prices!B153&gt;OFFSET(Prices!B153,-S$3,0),1,-1)</f>
        <v>-1</v>
      </c>
      <c r="T154" s="4">
        <f ca="1">IF(S154=1,T$3*Q153/Prices!B153,-T$3*R153)</f>
        <v>-3.3594815118519125E-2</v>
      </c>
      <c r="V154" s="13"/>
      <c r="W154" s="4"/>
      <c r="X154" s="4"/>
      <c r="Y154" s="4"/>
      <c r="Z154" s="4"/>
      <c r="AA154" s="4"/>
      <c r="AB154" s="4"/>
      <c r="AC154" s="4"/>
      <c r="AD154" s="4"/>
      <c r="AE154" s="52"/>
    </row>
    <row r="155" spans="1:31" x14ac:dyDescent="0.2">
      <c r="A155" s="7">
        <v>42449</v>
      </c>
      <c r="B155" s="13">
        <f ca="1">Prices!B154*(1+J155/(50*(ABS(O155)+ABS(T155)+0.0001)))</f>
        <v>1.1418422182184267</v>
      </c>
      <c r="C155" s="62">
        <f t="shared" ca="1" si="15"/>
        <v>0</v>
      </c>
      <c r="D155" s="13">
        <f ca="1">D154+C155*(Prices!B155-Prices!B154)/Prices!B154</f>
        <v>7.4650517972373862E-2</v>
      </c>
      <c r="E155" s="13">
        <f t="shared" ca="1" si="16"/>
        <v>2.4013228970923117E-2</v>
      </c>
      <c r="F155" s="13">
        <f t="shared" ca="1" si="14"/>
        <v>9.8663746943296979E-2</v>
      </c>
      <c r="G155" s="21">
        <f ca="1">IF((Prices!B155-Prices!B154)*C155&gt;0,1,0)</f>
        <v>0</v>
      </c>
      <c r="H155" s="13">
        <f>ABS(Prices!B155-Prices!B154)/Prices!B154</f>
        <v>2.8323749034418338E-3</v>
      </c>
      <c r="I155" s="21"/>
      <c r="J155" s="4">
        <f t="shared" ca="1" si="17"/>
        <v>-5.259773597666579E-2</v>
      </c>
      <c r="K155" s="13"/>
      <c r="L155" s="13">
        <f ca="1">L154-O155*Prices!B155</f>
        <v>0.8066563302255858</v>
      </c>
      <c r="M155" s="4">
        <f t="shared" ca="1" si="13"/>
        <v>0.19823808796932044</v>
      </c>
      <c r="N155" s="13">
        <f ca="1">IF(Prices!B154&gt;OFFSET(Prices!B154,-$N$3,0),1,-1)</f>
        <v>-1</v>
      </c>
      <c r="O155" s="4">
        <f ca="1">IF(N155=1,O$3*L154/Prices!B154,-O$3*M154)</f>
        <v>-2.2026454218813385E-2</v>
      </c>
      <c r="P155" s="22"/>
      <c r="Q155" s="13">
        <f ca="1">Q154-T155*Prices!B155</f>
        <v>0.67444937651570136</v>
      </c>
      <c r="R155" s="4">
        <f t="shared" ca="1" si="12"/>
        <v>0.3091096266627299</v>
      </c>
      <c r="S155" s="13">
        <f ca="1">IF(Prices!B154&gt;OFFSET(Prices!B154,-S$3,0),1,-1)</f>
        <v>-1</v>
      </c>
      <c r="T155" s="4">
        <f ca="1">IF(S155=1,T$3*Q154/Prices!B154,-T$3*R154)</f>
        <v>-3.0571281757852405E-2</v>
      </c>
      <c r="V155" s="13"/>
      <c r="W155" s="4"/>
      <c r="X155" s="4"/>
      <c r="Y155" s="4"/>
      <c r="Z155" s="4"/>
      <c r="AA155" s="4"/>
      <c r="AB155" s="4"/>
      <c r="AC155" s="4"/>
      <c r="AD155" s="4"/>
      <c r="AE155" s="52"/>
    </row>
    <row r="156" spans="1:31" x14ac:dyDescent="0.2">
      <c r="A156" s="7">
        <v>42456</v>
      </c>
      <c r="B156" s="13">
        <f ca="1">Prices!B155*(1+J156/(50*(ABS(O156)+ABS(T156)+0.0001)))</f>
        <v>1.1783342546067446</v>
      </c>
      <c r="C156" s="62">
        <f t="shared" ca="1" si="15"/>
        <v>1</v>
      </c>
      <c r="D156" s="13">
        <f ca="1">D155+C156*(Prices!B156-Prices!B155)/Prices!B155</f>
        <v>7.995691988952551E-2</v>
      </c>
      <c r="E156" s="13">
        <f t="shared" ca="1" si="16"/>
        <v>1.8706827053771469E-2</v>
      </c>
      <c r="F156" s="13">
        <f t="shared" ca="1" si="14"/>
        <v>9.8663746943296979E-2</v>
      </c>
      <c r="G156" s="21">
        <f ca="1">IF((Prices!B156-Prices!B155)*C156&gt;0,1,0)</f>
        <v>1</v>
      </c>
      <c r="H156" s="13">
        <f>ABS(Prices!B156-Prices!B155)/Prices!B155</f>
        <v>5.3064019171516459E-3</v>
      </c>
      <c r="I156" s="21"/>
      <c r="J156" s="4">
        <f t="shared" ca="1" si="17"/>
        <v>4.1219531942153845E-2</v>
      </c>
      <c r="K156" s="13"/>
      <c r="L156" s="13">
        <f ca="1">L155-O156*Prices!B156</f>
        <v>0.72556265293330802</v>
      </c>
      <c r="M156" s="4">
        <f t="shared" ca="1" si="13"/>
        <v>0.26727748631111997</v>
      </c>
      <c r="N156" s="13">
        <f ca="1">IF(Prices!B155&gt;OFFSET(Prices!B155,-$N$3,0),1,-1)</f>
        <v>1</v>
      </c>
      <c r="O156" s="4">
        <f ca="1">IF(N156=1,O$3*L155/Prices!B155,-O$3*M155)</f>
        <v>6.9039398341799535E-2</v>
      </c>
      <c r="P156" s="22"/>
      <c r="Q156" s="13">
        <f ca="1">Q155-T156*Prices!B156</f>
        <v>0.70712659158872515</v>
      </c>
      <c r="R156" s="4">
        <f t="shared" ca="1" si="12"/>
        <v>0.28128976026308422</v>
      </c>
      <c r="S156" s="13">
        <f ca="1">IF(Prices!B155&gt;OFFSET(Prices!B155,-S$3,0),1,-1)</f>
        <v>-1</v>
      </c>
      <c r="T156" s="4">
        <f ca="1">IF(S156=1,T$3*Q155/Prices!B155,-T$3*R155)</f>
        <v>-2.781986639964569E-2</v>
      </c>
      <c r="V156" s="13"/>
      <c r="W156" s="4"/>
      <c r="X156" s="4"/>
      <c r="Y156" s="4"/>
      <c r="Z156" s="4"/>
      <c r="AA156" s="4"/>
      <c r="AB156" s="4"/>
      <c r="AC156" s="4"/>
      <c r="AD156" s="4"/>
      <c r="AE156" s="52"/>
    </row>
    <row r="157" spans="1:31" x14ac:dyDescent="0.2">
      <c r="A157" s="7">
        <v>42463</v>
      </c>
      <c r="B157" s="13">
        <f ca="1">Prices!B156*(1+J157/(50*(ABS(O157)+ABS(T157)+0.0001)))</f>
        <v>1.1511530523126647</v>
      </c>
      <c r="C157" s="62">
        <f t="shared" ca="1" si="15"/>
        <v>0</v>
      </c>
      <c r="D157" s="13">
        <f ca="1">D156+C157*(Prices!B157-Prices!B156)/Prices!B156</f>
        <v>7.995691988952551E-2</v>
      </c>
      <c r="E157" s="13">
        <f t="shared" ca="1" si="16"/>
        <v>1.8706827053771469E-2</v>
      </c>
      <c r="F157" s="13">
        <f t="shared" ca="1" si="14"/>
        <v>9.8663746943296979E-2</v>
      </c>
      <c r="G157" s="21">
        <f ca="1">IF((Prices!B157-Prices!B156)*C157&gt;0,1,0)</f>
        <v>0</v>
      </c>
      <c r="H157" s="13">
        <f>ABS(Prices!B157-Prices!B156)/Prices!B156</f>
        <v>5.1932572790737222E-3</v>
      </c>
      <c r="I157" s="21"/>
      <c r="J157" s="4">
        <f t="shared" ca="1" si="17"/>
        <v>-5.2043827054789576E-2</v>
      </c>
      <c r="K157" s="13"/>
      <c r="L157" s="13">
        <f ca="1">L156-O157*Prices!B157</f>
        <v>0.75679402720876243</v>
      </c>
      <c r="M157" s="4">
        <f t="shared" ca="1" si="13"/>
        <v>0.24054973768000798</v>
      </c>
      <c r="N157" s="13">
        <f ca="1">IF(Prices!B156&gt;OFFSET(Prices!B156,-$N$3,0),1,-1)</f>
        <v>-1</v>
      </c>
      <c r="O157" s="4">
        <f ca="1">IF(N157=1,O$3*L156/Prices!B156,-O$3*M156)</f>
        <v>-2.6727748631111999E-2</v>
      </c>
      <c r="P157" s="22"/>
      <c r="Q157" s="13">
        <f ca="1">Q156-T157*Prices!B157</f>
        <v>0.73670842922679236</v>
      </c>
      <c r="R157" s="4">
        <f t="shared" ca="1" si="12"/>
        <v>0.25597368183940666</v>
      </c>
      <c r="S157" s="13">
        <f ca="1">IF(Prices!B156&gt;OFFSET(Prices!B156,-S$3,0),1,-1)</f>
        <v>-1</v>
      </c>
      <c r="T157" s="4">
        <f ca="1">IF(S157=1,T$3*Q156/Prices!B156,-T$3*R156)</f>
        <v>-2.5316078423677578E-2</v>
      </c>
      <c r="V157" s="13"/>
      <c r="W157" s="4"/>
      <c r="X157" s="4"/>
      <c r="Y157" s="4"/>
      <c r="Z157" s="4"/>
      <c r="AA157" s="4"/>
      <c r="AB157" s="4"/>
      <c r="AC157" s="4"/>
      <c r="AD157" s="4"/>
      <c r="AE157" s="52"/>
    </row>
    <row r="158" spans="1:31" x14ac:dyDescent="0.2">
      <c r="A158" s="7">
        <v>42470</v>
      </c>
      <c r="B158" s="13">
        <f ca="1">Prices!B157*(1+J158/(50*(ABS(O158)+ABS(T158)+0.0001)))</f>
        <v>1.1795939155168829</v>
      </c>
      <c r="C158" s="62">
        <f t="shared" ca="1" si="15"/>
        <v>1</v>
      </c>
      <c r="D158" s="13">
        <f ca="1">D157+C158*(Prices!B158-Prices!B157)/Prices!B157</f>
        <v>8.3294532213017178E-2</v>
      </c>
      <c r="E158" s="13">
        <f t="shared" ca="1" si="16"/>
        <v>1.5369214730279801E-2</v>
      </c>
      <c r="F158" s="13">
        <f t="shared" ca="1" si="14"/>
        <v>9.8663746943296979E-2</v>
      </c>
      <c r="G158" s="21">
        <f ca="1">IF((Prices!B158-Prices!B157)*C158&gt;0,1,0)</f>
        <v>1</v>
      </c>
      <c r="H158" s="13">
        <f>ABS(Prices!B158-Prices!B157)/Prices!B157</f>
        <v>3.3376123234916681E-3</v>
      </c>
      <c r="I158" s="21"/>
      <c r="J158" s="4">
        <f t="shared" ca="1" si="17"/>
        <v>4.1728652520526363E-2</v>
      </c>
      <c r="K158" s="13"/>
      <c r="L158" s="13">
        <f ca="1">L157-O158*Prices!B158</f>
        <v>0.68086203598073047</v>
      </c>
      <c r="M158" s="4">
        <f t="shared" ca="1" si="13"/>
        <v>0.30531602156608095</v>
      </c>
      <c r="N158" s="13">
        <f ca="1">IF(Prices!B157&gt;OFFSET(Prices!B157,-$N$3,0),1,-1)</f>
        <v>1</v>
      </c>
      <c r="O158" s="4">
        <f ca="1">IF(N158=1,O$3*L157/Prices!B157,-O$3*M157)</f>
        <v>6.4766283886072959E-2</v>
      </c>
      <c r="P158" s="22"/>
      <c r="Q158" s="13">
        <f ca="1">Q157-T158*Prices!B158</f>
        <v>0.76371774823975924</v>
      </c>
      <c r="R158" s="4">
        <f t="shared" ca="1" si="12"/>
        <v>0.23293605047386007</v>
      </c>
      <c r="S158" s="13">
        <f ca="1">IF(Prices!B157&gt;OFFSET(Prices!B157,-S$3,0),1,-1)</f>
        <v>-1</v>
      </c>
      <c r="T158" s="4">
        <f ca="1">IF(S158=1,T$3*Q157/Prices!B157,-T$3*R157)</f>
        <v>-2.3037631365546599E-2</v>
      </c>
      <c r="V158" s="13"/>
      <c r="W158" s="4"/>
      <c r="X158" s="4"/>
      <c r="Y158" s="4"/>
      <c r="Z158" s="4"/>
      <c r="AA158" s="4"/>
      <c r="AB158" s="4"/>
      <c r="AC158" s="4"/>
      <c r="AD158" s="4"/>
      <c r="AE158" s="52"/>
    </row>
    <row r="159" spans="1:31" x14ac:dyDescent="0.2">
      <c r="A159" s="7">
        <v>42477</v>
      </c>
      <c r="B159" s="13">
        <f ca="1">Prices!B158*(1+J159/(50*(ABS(O159)+ABS(T159)+0.0001)))</f>
        <v>1.1833953431980129</v>
      </c>
      <c r="C159" s="62">
        <f t="shared" ca="1" si="15"/>
        <v>1</v>
      </c>
      <c r="D159" s="13">
        <f ca="1">D158+C159*(Prices!B159-Prices!B158)/Prices!B158</f>
        <v>7.7579759098039228E-2</v>
      </c>
      <c r="E159" s="13">
        <f t="shared" ca="1" si="16"/>
        <v>2.1083987845257751E-2</v>
      </c>
      <c r="F159" s="13">
        <f t="shared" ca="1" si="14"/>
        <v>9.8663746943296979E-2</v>
      </c>
      <c r="G159" s="21">
        <f ca="1">IF((Prices!B159-Prices!B158)*C159&gt;0,1,0)</f>
        <v>0</v>
      </c>
      <c r="H159" s="13">
        <f>ABS(Prices!B159-Prices!B158)/Prices!B158</f>
        <v>5.714773114977951E-3</v>
      </c>
      <c r="I159" s="21"/>
      <c r="J159" s="4">
        <f t="shared" ca="1" si="17"/>
        <v>3.7109965281706944E-2</v>
      </c>
      <c r="K159" s="13"/>
      <c r="L159" s="13">
        <f ca="1">L158-O159*Prices!B159</f>
        <v>0.61316492958848057</v>
      </c>
      <c r="M159" s="4">
        <f t="shared" ca="1" si="13"/>
        <v>0.3633902313904353</v>
      </c>
      <c r="N159" s="13">
        <f ca="1">IF(Prices!B158&gt;OFFSET(Prices!B158,-$N$3,0),1,-1)</f>
        <v>1</v>
      </c>
      <c r="O159" s="4">
        <f ca="1">IF(N159=1,O$3*L158/Prices!B158,-O$3*M158)</f>
        <v>5.807420982435435E-2</v>
      </c>
      <c r="P159" s="22"/>
      <c r="Q159" s="13">
        <f ca="1">Q158-T159*Prices!B159</f>
        <v>0.78815576810312327</v>
      </c>
      <c r="R159" s="4">
        <f t="shared" ca="1" si="12"/>
        <v>0.21197180593121268</v>
      </c>
      <c r="S159" s="13">
        <f ca="1">IF(Prices!B158&gt;OFFSET(Prices!B158,-S$3,0),1,-1)</f>
        <v>-1</v>
      </c>
      <c r="T159" s="4">
        <f ca="1">IF(S159=1,T$3*Q158/Prices!B158,-T$3*R158)</f>
        <v>-2.0964244542647406E-2</v>
      </c>
      <c r="V159" s="13"/>
      <c r="W159" s="4"/>
      <c r="X159" s="4"/>
      <c r="Y159" s="4"/>
      <c r="Z159" s="4"/>
      <c r="AA159" s="4"/>
      <c r="AB159" s="4"/>
      <c r="AC159" s="4"/>
      <c r="AD159" s="4"/>
      <c r="AE159" s="52"/>
    </row>
    <row r="160" spans="1:31" x14ac:dyDescent="0.2">
      <c r="A160" s="7">
        <v>42484</v>
      </c>
      <c r="B160" s="13">
        <f ca="1">Prices!B159*(1+J160/(50*(ABS(O160)+ABS(T160)+0.0001)))</f>
        <v>1.1424279947331273</v>
      </c>
      <c r="C160" s="62">
        <f t="shared" ca="1" si="15"/>
        <v>0</v>
      </c>
      <c r="D160" s="13">
        <f ca="1">D159+C160*(Prices!B160-Prices!B159)/Prices!B159</f>
        <v>7.7579759098039228E-2</v>
      </c>
      <c r="E160" s="13">
        <f t="shared" ca="1" si="16"/>
        <v>2.1083987845257751E-2</v>
      </c>
      <c r="F160" s="13">
        <f t="shared" ca="1" si="14"/>
        <v>9.8663746943296979E-2</v>
      </c>
      <c r="G160" s="21">
        <f ca="1">IF((Prices!B160-Prices!B159)*C160&gt;0,1,0)</f>
        <v>0</v>
      </c>
      <c r="H160" s="13">
        <f>ABS(Prices!B160-Prices!B159)/Prices!B159</f>
        <v>7.6348974864887268E-3</v>
      </c>
      <c r="I160" s="21"/>
      <c r="J160" s="4">
        <f t="shared" ca="1" si="17"/>
        <v>-5.5416485672852671E-2</v>
      </c>
      <c r="K160" s="13"/>
      <c r="L160" s="13">
        <f ca="1">L159-O160*Prices!B160</f>
        <v>0.65520191155572616</v>
      </c>
      <c r="M160" s="4">
        <f t="shared" ca="1" si="13"/>
        <v>0.32705120825139178</v>
      </c>
      <c r="N160" s="13">
        <f ca="1">IF(Prices!B159&gt;OFFSET(Prices!B159,-$N$3,0),1,-1)</f>
        <v>-1</v>
      </c>
      <c r="O160" s="4">
        <f ca="1">IF(N160=1,O$3*L159/Prices!B159,-O$3*M159)</f>
        <v>-3.6339023139043532E-2</v>
      </c>
      <c r="P160" s="22"/>
      <c r="Q160" s="13">
        <f ca="1">Q159-T160*Prices!B160</f>
        <v>0.81022457676223369</v>
      </c>
      <c r="R160" s="4">
        <f t="shared" ca="1" si="12"/>
        <v>0.19289434339740352</v>
      </c>
      <c r="S160" s="13">
        <f ca="1">IF(Prices!B159&gt;OFFSET(Prices!B159,-S$3,0),1,-1)</f>
        <v>-1</v>
      </c>
      <c r="T160" s="4">
        <f ca="1">IF(S160=1,T$3*Q159/Prices!B159,-T$3*R159)</f>
        <v>-1.9077462533809139E-2</v>
      </c>
      <c r="V160" s="13"/>
      <c r="W160" s="4"/>
      <c r="X160" s="4"/>
      <c r="Y160" s="4"/>
      <c r="Z160" s="4"/>
      <c r="AA160" s="4"/>
      <c r="AB160" s="4"/>
      <c r="AC160" s="4"/>
      <c r="AD160" s="4"/>
      <c r="AE160" s="52"/>
    </row>
    <row r="161" spans="1:31" x14ac:dyDescent="0.2">
      <c r="A161" s="7">
        <v>42491</v>
      </c>
      <c r="B161" s="13">
        <f ca="1">Prices!B160*(1+J161/(50*(ABS(O161)+ABS(T161)+0.0001)))</f>
        <v>1.1337101192422494</v>
      </c>
      <c r="C161" s="62">
        <f t="shared" ca="1" si="15"/>
        <v>0</v>
      </c>
      <c r="D161" s="13">
        <f ca="1">D160+C161*(Prices!B161-Prices!B160)/Prices!B160</f>
        <v>7.7579759098039228E-2</v>
      </c>
      <c r="E161" s="13">
        <f t="shared" ca="1" si="16"/>
        <v>2.1083987845257751E-2</v>
      </c>
      <c r="F161" s="13">
        <f t="shared" ca="1" si="14"/>
        <v>9.8663746943296979E-2</v>
      </c>
      <c r="G161" s="21">
        <f ca="1">IF((Prices!B161-Prices!B160)*C161&gt;0,1,0)</f>
        <v>0</v>
      </c>
      <c r="H161" s="13">
        <f>ABS(Prices!B161-Prices!B160)/Prices!B160</f>
        <v>1.3399031811894942E-2</v>
      </c>
      <c r="I161" s="21"/>
      <c r="J161" s="4">
        <f t="shared" ca="1" si="17"/>
        <v>-5.0065611730905492E-2</v>
      </c>
      <c r="K161" s="13"/>
      <c r="L161" s="13">
        <f ca="1">L160-O161*Prices!B161</f>
        <v>0.69252826595345751</v>
      </c>
      <c r="M161" s="4">
        <f t="shared" ca="1" si="13"/>
        <v>0.29434608742625262</v>
      </c>
      <c r="N161" s="13">
        <f ca="1">IF(Prices!B160&gt;OFFSET(Prices!B160,-$N$3,0),1,-1)</f>
        <v>-1</v>
      </c>
      <c r="O161" s="4">
        <f ca="1">IF(N161=1,O$3*L160/Prices!B160,-O$3*M160)</f>
        <v>-3.2705120825139176E-2</v>
      </c>
      <c r="P161" s="22"/>
      <c r="Q161" s="13">
        <f ca="1">Q160-T161*Prices!B161</f>
        <v>0.83003810503298481</v>
      </c>
      <c r="R161" s="4">
        <f t="shared" ca="1" si="12"/>
        <v>0.17553385249163722</v>
      </c>
      <c r="S161" s="13">
        <f ca="1">IF(Prices!B160&gt;OFFSET(Prices!B160,-S$3,0),1,-1)</f>
        <v>-1</v>
      </c>
      <c r="T161" s="4">
        <f ca="1">IF(S161=1,T$3*Q160/Prices!B160,-T$3*R160)</f>
        <v>-1.7360490905766315E-2</v>
      </c>
      <c r="V161" s="13"/>
      <c r="W161" s="4"/>
      <c r="X161" s="4"/>
      <c r="Y161" s="4"/>
      <c r="Z161" s="4"/>
      <c r="AA161" s="4"/>
      <c r="AB161" s="4"/>
      <c r="AC161" s="4"/>
      <c r="AD161" s="4"/>
      <c r="AE161" s="52"/>
    </row>
    <row r="162" spans="1:31" x14ac:dyDescent="0.2">
      <c r="A162" s="7">
        <v>42498</v>
      </c>
      <c r="B162" s="13">
        <f ca="1">Prices!B161*(1+J162/(50*(ABS(O162)+ABS(T162)+0.0001)))</f>
        <v>1.1185243522235018</v>
      </c>
      <c r="C162" s="62">
        <f t="shared" ca="1" si="15"/>
        <v>0</v>
      </c>
      <c r="D162" s="13">
        <f ca="1">D161+C162*(Prices!B162-Prices!B161)/Prices!B161</f>
        <v>7.7579759098039228E-2</v>
      </c>
      <c r="E162" s="13">
        <f t="shared" ca="1" si="16"/>
        <v>2.1083987845257751E-2</v>
      </c>
      <c r="F162" s="13">
        <f t="shared" ca="1" si="14"/>
        <v>9.8663746943296979E-2</v>
      </c>
      <c r="G162" s="21">
        <f ca="1">IF((Prices!B162-Prices!B161)*C162&gt;0,1,0)</f>
        <v>0</v>
      </c>
      <c r="H162" s="13">
        <f>ABS(Prices!B162-Prices!B161)/Prices!B161</f>
        <v>2.1904845351791349E-3</v>
      </c>
      <c r="I162" s="21"/>
      <c r="J162" s="4">
        <f t="shared" ca="1" si="17"/>
        <v>-4.5232655466872614E-2</v>
      </c>
      <c r="K162" s="13"/>
      <c r="L162" s="13">
        <f ca="1">L161-O162*Prices!B162</f>
        <v>0.72619557143327229</v>
      </c>
      <c r="M162" s="4">
        <f t="shared" ca="1" si="13"/>
        <v>0.26491147868362735</v>
      </c>
      <c r="N162" s="13">
        <f ca="1">IF(Prices!B161&gt;OFFSET(Prices!B161,-$N$3,0),1,-1)</f>
        <v>-1</v>
      </c>
      <c r="O162" s="4">
        <f ca="1">IF(N162=1,O$3*L161/Prices!B161,-O$3*M161)</f>
        <v>-2.9434608742625264E-2</v>
      </c>
      <c r="P162" s="22"/>
      <c r="Q162" s="13">
        <f ca="1">Q161-T162*Prices!B162</f>
        <v>0.84810791087617887</v>
      </c>
      <c r="R162" s="4">
        <f t="shared" ca="1" si="12"/>
        <v>0.15973580576738988</v>
      </c>
      <c r="S162" s="13">
        <f ca="1">IF(Prices!B161&gt;OFFSET(Prices!B161,-S$3,0),1,-1)</f>
        <v>-1</v>
      </c>
      <c r="T162" s="4">
        <f ca="1">IF(S162=1,T$3*Q161/Prices!B161,-T$3*R161)</f>
        <v>-1.5798046724247349E-2</v>
      </c>
      <c r="V162" s="13"/>
      <c r="W162" s="4"/>
      <c r="X162" s="4"/>
      <c r="Y162" s="4"/>
      <c r="Z162" s="4"/>
      <c r="AA162" s="4"/>
      <c r="AB162" s="4"/>
      <c r="AC162" s="4"/>
      <c r="AD162" s="4"/>
      <c r="AE162" s="52"/>
    </row>
    <row r="163" spans="1:31" x14ac:dyDescent="0.2">
      <c r="A163" s="7">
        <v>42505</v>
      </c>
      <c r="B163" s="13">
        <f ca="1">Prices!B162*(1+J163/(50*(ABS(O163)+ABS(T163)+0.0001)))</f>
        <v>1.1209798395615429</v>
      </c>
      <c r="C163" s="62">
        <f t="shared" ca="1" si="15"/>
        <v>0</v>
      </c>
      <c r="D163" s="13">
        <f ca="1">D162+C163*(Prices!B163-Prices!B162)/Prices!B162</f>
        <v>7.7579759098039228E-2</v>
      </c>
      <c r="E163" s="13">
        <f t="shared" ca="1" si="16"/>
        <v>2.1083987845257751E-2</v>
      </c>
      <c r="F163" s="13">
        <f t="shared" ca="1" si="14"/>
        <v>9.8663746943296979E-2</v>
      </c>
      <c r="G163" s="21">
        <f ca="1">IF((Prices!B163-Prices!B162)*C163&gt;0,1,0)</f>
        <v>0</v>
      </c>
      <c r="H163" s="13">
        <f>ABS(Prices!B163-Prices!B162)/Prices!B162</f>
        <v>1.6086728449029527E-2</v>
      </c>
      <c r="I163" s="21"/>
      <c r="J163" s="4">
        <f t="shared" ca="1" si="17"/>
        <v>-4.0867370387427826E-2</v>
      </c>
      <c r="K163" s="13"/>
      <c r="L163" s="13">
        <f ca="1">L162-O163*Prices!B163</f>
        <v>0.75698358348588346</v>
      </c>
      <c r="M163" s="4">
        <f t="shared" ca="1" si="13"/>
        <v>0.23842033081526462</v>
      </c>
      <c r="N163" s="13">
        <f ca="1">IF(Prices!B162&gt;OFFSET(Prices!B162,-$N$3,0),1,-1)</f>
        <v>-1</v>
      </c>
      <c r="O163" s="4">
        <f ca="1">IF(N163=1,O$3*L162/Prices!B162,-O$3*M162)</f>
        <v>-2.6491147868362735E-2</v>
      </c>
      <c r="P163" s="22"/>
      <c r="Q163" s="13">
        <f ca="1">Q162-T163*Prices!B163</f>
        <v>0.86481595668783628</v>
      </c>
      <c r="R163" s="4">
        <f t="shared" ca="1" si="12"/>
        <v>0.14535958324832479</v>
      </c>
      <c r="S163" s="13">
        <f ca="1">IF(Prices!B162&gt;OFFSET(Prices!B162,-S$3,0),1,-1)</f>
        <v>-1</v>
      </c>
      <c r="T163" s="4">
        <f ca="1">IF(S163=1,T$3*Q162/Prices!B162,-T$3*R162)</f>
        <v>-1.4376222519065089E-2</v>
      </c>
      <c r="V163" s="13"/>
      <c r="W163" s="4"/>
      <c r="X163" s="4"/>
      <c r="Y163" s="4"/>
      <c r="Z163" s="4"/>
      <c r="AA163" s="4"/>
      <c r="AB163" s="4"/>
      <c r="AC163" s="4"/>
      <c r="AD163" s="4"/>
      <c r="AE163" s="52"/>
    </row>
    <row r="164" spans="1:31" x14ac:dyDescent="0.2">
      <c r="A164" s="7">
        <v>42512</v>
      </c>
      <c r="B164" s="13">
        <f ca="1">Prices!B163*(1+J164/(50*(ABS(O164)+ABS(T164)+0.0001)))</f>
        <v>1.1390187802281162</v>
      </c>
      <c r="C164" s="62">
        <f t="shared" ca="1" si="15"/>
        <v>0</v>
      </c>
      <c r="D164" s="13">
        <f ca="1">D163+C164*(Prices!B164-Prices!B163)/Prices!B163</f>
        <v>7.7579759098039228E-2</v>
      </c>
      <c r="E164" s="13">
        <f t="shared" ca="1" si="16"/>
        <v>2.1083987845257751E-2</v>
      </c>
      <c r="F164" s="13">
        <f t="shared" ca="1" si="14"/>
        <v>9.8663746943296979E-2</v>
      </c>
      <c r="G164" s="21">
        <f ca="1">IF((Prices!B164-Prices!B163)*C164&gt;0,1,0)</f>
        <v>0</v>
      </c>
      <c r="H164" s="13">
        <f>ABS(Prices!B164-Prices!B163)/Prices!B163</f>
        <v>1.7208742040954912E-3</v>
      </c>
      <c r="I164" s="21"/>
      <c r="J164" s="4">
        <f t="shared" ca="1" si="17"/>
        <v>-3.6924395573875696E-2</v>
      </c>
      <c r="K164" s="13"/>
      <c r="L164" s="13">
        <f ca="1">L163-O164*Prices!B164</f>
        <v>0.78464511026707051</v>
      </c>
      <c r="M164" s="4">
        <f t="shared" ca="1" si="13"/>
        <v>0.21457829773373815</v>
      </c>
      <c r="N164" s="13">
        <f ca="1">IF(Prices!B163&gt;OFFSET(Prices!B163,-$N$3,0),1,-1)</f>
        <v>-1</v>
      </c>
      <c r="O164" s="4">
        <f ca="1">IF(N164=1,O$3*L163/Prices!B163,-O$3*M163)</f>
        <v>-2.3842033081526465E-2</v>
      </c>
      <c r="P164" s="22"/>
      <c r="Q164" s="13">
        <f ca="1">Q163-T164*Prices!B164</f>
        <v>0.87999411365145985</v>
      </c>
      <c r="R164" s="4">
        <f t="shared" ca="1" si="12"/>
        <v>0.13227722075597556</v>
      </c>
      <c r="S164" s="13">
        <f ca="1">IF(Prices!B163&gt;OFFSET(Prices!B163,-S$3,0),1,-1)</f>
        <v>-1</v>
      </c>
      <c r="T164" s="4">
        <f ca="1">IF(S164=1,T$3*Q163/Prices!B163,-T$3*R163)</f>
        <v>-1.3082362492349231E-2</v>
      </c>
      <c r="V164" s="13"/>
      <c r="W164" s="4"/>
      <c r="X164" s="4"/>
      <c r="Y164" s="4"/>
      <c r="Z164" s="4"/>
      <c r="AA164" s="4"/>
      <c r="AB164" s="4"/>
      <c r="AC164" s="4"/>
      <c r="AD164" s="4"/>
      <c r="AE164" s="52"/>
    </row>
    <row r="165" spans="1:31" x14ac:dyDescent="0.2">
      <c r="A165" s="7">
        <v>42519</v>
      </c>
      <c r="B165" s="13">
        <f ca="1">Prices!B164*(1+J165/(50*(ABS(O165)+ABS(T165)+0.0001)))</f>
        <v>1.1764371568823104</v>
      </c>
      <c r="C165" s="62">
        <f t="shared" ca="1" si="15"/>
        <v>1</v>
      </c>
      <c r="D165" s="13">
        <f ca="1">D164+C165*(Prices!B165-Prices!B164)/Prices!B164</f>
        <v>7.3356349341100663E-2</v>
      </c>
      <c r="E165" s="13">
        <f t="shared" ca="1" si="16"/>
        <v>2.5307397602196316E-2</v>
      </c>
      <c r="F165" s="13">
        <f t="shared" ca="1" si="14"/>
        <v>9.8663746943296979E-2</v>
      </c>
      <c r="G165" s="21">
        <f ca="1">IF((Prices!B165-Prices!B164)*C165&gt;0,1,0)</f>
        <v>0</v>
      </c>
      <c r="H165" s="13">
        <f>ABS(Prices!B165-Prices!B164)/Prices!B164</f>
        <v>4.2234097569385674E-3</v>
      </c>
      <c r="I165" s="21"/>
      <c r="J165" s="4">
        <f t="shared" ca="1" si="17"/>
        <v>5.5725209610247885E-2</v>
      </c>
      <c r="K165" s="13"/>
      <c r="L165" s="13">
        <f ca="1">L164-O165*Prices!B165</f>
        <v>0.70651198702180706</v>
      </c>
      <c r="M165" s="4">
        <f t="shared" ca="1" si="13"/>
        <v>0.28220845721202381</v>
      </c>
      <c r="N165" s="13">
        <f ca="1">IF(Prices!B164&gt;OFFSET(Prices!B164,-$N$3,0),1,-1)</f>
        <v>1</v>
      </c>
      <c r="O165" s="4">
        <f ca="1">IF(N165=1,O$3*L164/Prices!B164,-O$3*M164)</f>
        <v>6.7630159478285684E-2</v>
      </c>
      <c r="P165" s="22"/>
      <c r="Q165" s="13">
        <f ca="1">Q164-T165*Prices!B165</f>
        <v>0.89374790223400391</v>
      </c>
      <c r="R165" s="4">
        <f t="shared" ca="1" si="12"/>
        <v>0.12037227088793775</v>
      </c>
      <c r="S165" s="13">
        <f ca="1">IF(Prices!B164&gt;OFFSET(Prices!B164,-S$3,0),1,-1)</f>
        <v>-1</v>
      </c>
      <c r="T165" s="4">
        <f ca="1">IF(S165=1,T$3*Q164/Prices!B164,-T$3*R164)</f>
        <v>-1.1904949868037799E-2</v>
      </c>
      <c r="V165" s="13"/>
      <c r="W165" s="4"/>
      <c r="X165" s="4"/>
      <c r="Y165" s="4"/>
      <c r="Z165" s="4"/>
      <c r="AA165" s="4"/>
      <c r="AB165" s="4"/>
      <c r="AC165" s="4"/>
      <c r="AD165" s="4"/>
      <c r="AE165" s="52"/>
    </row>
    <row r="166" spans="1:31" x14ac:dyDescent="0.2">
      <c r="A166" s="7">
        <v>42526</v>
      </c>
      <c r="B166" s="13">
        <f ca="1">Prices!B165*(1+J166/(50*(ABS(O166)+ABS(T166)+0.0001)))</f>
        <v>1.1714290819557265</v>
      </c>
      <c r="C166" s="62">
        <f t="shared" ca="1" si="15"/>
        <v>1</v>
      </c>
      <c r="D166" s="13">
        <f ca="1">D165+C166*(Prices!B166-Prices!B165)/Prices!B165</f>
        <v>7.9588496835258107E-2</v>
      </c>
      <c r="E166" s="13">
        <f t="shared" ca="1" si="16"/>
        <v>1.9075250108038871E-2</v>
      </c>
      <c r="F166" s="13">
        <f t="shared" ca="1" si="14"/>
        <v>9.8663746943296979E-2</v>
      </c>
      <c r="G166" s="21">
        <f ca="1">IF((Prices!B166-Prices!B165)*C166&gt;0,1,0)</f>
        <v>1</v>
      </c>
      <c r="H166" s="13">
        <f>ABS(Prices!B166-Prices!B165)/Prices!B165</f>
        <v>6.2321474941574445E-3</v>
      </c>
      <c r="I166" s="21"/>
      <c r="J166" s="4">
        <f t="shared" ca="1" si="17"/>
        <v>5.0320480474392464E-2</v>
      </c>
      <c r="K166" s="13"/>
      <c r="L166" s="13">
        <f ca="1">L165-O166*Prices!B166</f>
        <v>0.63542047962867532</v>
      </c>
      <c r="M166" s="4">
        <f t="shared" ca="1" si="13"/>
        <v>0.34336244206633065</v>
      </c>
      <c r="N166" s="13">
        <f ca="1">IF(Prices!B165&gt;OFFSET(Prices!B165,-$N$3,0),1,-1)</f>
        <v>1</v>
      </c>
      <c r="O166" s="4">
        <f ca="1">IF(N166=1,O$3*L165/Prices!B165,-O$3*M165)</f>
        <v>6.1153984854306863E-2</v>
      </c>
      <c r="P166" s="22"/>
      <c r="Q166" s="13">
        <f ca="1">Q165-T166*Prices!B166</f>
        <v>0.90634185107565435</v>
      </c>
      <c r="R166" s="4">
        <f t="shared" ca="1" si="12"/>
        <v>0.10953876650802336</v>
      </c>
      <c r="S166" s="13">
        <f ca="1">IF(Prices!B165&gt;OFFSET(Prices!B165,-S$3,0),1,-1)</f>
        <v>-1</v>
      </c>
      <c r="T166" s="4">
        <f ca="1">IF(S166=1,T$3*Q165/Prices!B165,-T$3*R165)</f>
        <v>-1.0833504379914398E-2</v>
      </c>
      <c r="V166" s="13"/>
      <c r="W166" s="4"/>
      <c r="X166" s="4"/>
      <c r="Y166" s="4"/>
      <c r="Z166" s="4"/>
      <c r="AA166" s="4"/>
      <c r="AB166" s="4"/>
      <c r="AC166" s="4"/>
      <c r="AD166" s="4"/>
      <c r="AE166" s="52"/>
    </row>
    <row r="167" spans="1:31" x14ac:dyDescent="0.2">
      <c r="A167" s="7">
        <v>42533</v>
      </c>
      <c r="B167" s="13">
        <f ca="1">Prices!B166*(1+J167/(50*(ABS(O167)+ABS(T167)+0.0001)))</f>
        <v>1.1786197500626734</v>
      </c>
      <c r="C167" s="62">
        <f t="shared" ca="1" si="15"/>
        <v>1</v>
      </c>
      <c r="D167" s="13">
        <f ca="1">D166+C167*(Prices!B167-Prices!B166)/Prices!B166</f>
        <v>9.0255163501924751E-2</v>
      </c>
      <c r="E167" s="13">
        <f t="shared" ca="1" si="16"/>
        <v>8.4085834413722277E-3</v>
      </c>
      <c r="F167" s="13">
        <f t="shared" ca="1" si="14"/>
        <v>9.8663746943296979E-2</v>
      </c>
      <c r="G167" s="21">
        <f ca="1">IF((Prices!B167-Prices!B166)*C167&gt;0,1,0)</f>
        <v>1</v>
      </c>
      <c r="H167" s="13">
        <f>ABS(Prices!B167-Prices!B166)/Prices!B166</f>
        <v>1.0666666666666637E-2</v>
      </c>
      <c r="I167" s="21"/>
      <c r="J167" s="4">
        <f t="shared" ca="1" si="17"/>
        <v>4.4801337218895135E-2</v>
      </c>
      <c r="K167" s="13"/>
      <c r="L167" s="13">
        <f ca="1">L166-O167*Prices!B167</f>
        <v>0.57120064982087049</v>
      </c>
      <c r="M167" s="4">
        <f t="shared" ca="1" si="13"/>
        <v>0.39802226827094789</v>
      </c>
      <c r="N167" s="13">
        <f ca="1">IF(Prices!B166&gt;OFFSET(Prices!B166,-$N$3,0),1,-1)</f>
        <v>1</v>
      </c>
      <c r="O167" s="4">
        <f ca="1">IF(N167=1,O$3*L166/Prices!B166,-O$3*M166)</f>
        <v>5.4659826204617235E-2</v>
      </c>
      <c r="P167" s="22"/>
      <c r="Q167" s="13">
        <f ca="1">Q166-T167*Prices!B167</f>
        <v>0.91792458978497926</v>
      </c>
      <c r="R167" s="4">
        <f t="shared" ca="1" si="12"/>
        <v>9.9680277522301255E-2</v>
      </c>
      <c r="S167" s="13">
        <f ca="1">IF(Prices!B166&gt;OFFSET(Prices!B166,-S$3,0),1,-1)</f>
        <v>-1</v>
      </c>
      <c r="T167" s="4">
        <f ca="1">IF(S167=1,T$3*Q166/Prices!B166,-T$3*R166)</f>
        <v>-9.8584889857221015E-3</v>
      </c>
      <c r="V167" s="13"/>
      <c r="W167" s="4"/>
      <c r="X167" s="4"/>
      <c r="Y167" s="4"/>
      <c r="Z167" s="4"/>
      <c r="AA167" s="4"/>
      <c r="AB167" s="4"/>
      <c r="AC167" s="4"/>
      <c r="AD167" s="4"/>
      <c r="AE167" s="52"/>
    </row>
    <row r="168" spans="1:31" x14ac:dyDescent="0.2">
      <c r="A168" s="7">
        <v>42540</v>
      </c>
      <c r="B168" s="13">
        <f ca="1">Prices!B167*(1+J168/(50*(ABS(O168)+ABS(T168)+0.0001)))</f>
        <v>1.1983782591000518</v>
      </c>
      <c r="C168" s="62">
        <f t="shared" ca="1" si="15"/>
        <v>1</v>
      </c>
      <c r="D168" s="13">
        <f ca="1">D167+C168*(Prices!B168-Prices!B167)/Prices!B167</f>
        <v>7.791368763163796E-2</v>
      </c>
      <c r="E168" s="13">
        <f t="shared" ca="1" si="16"/>
        <v>2.0750059311659019E-2</v>
      </c>
      <c r="F168" s="13">
        <f t="shared" ca="1" si="14"/>
        <v>9.8663746943296979E-2</v>
      </c>
      <c r="G168" s="21">
        <f ca="1">IF((Prices!B168-Prices!B167)*C168&gt;0,1,0)</f>
        <v>0</v>
      </c>
      <c r="H168" s="13">
        <f>ABS(Prices!B168-Prices!B167)/Prices!B167</f>
        <v>1.2341475870286797E-2</v>
      </c>
      <c r="I168" s="21"/>
      <c r="J168" s="4">
        <f t="shared" ca="1" si="17"/>
        <v>0.11893206065429839</v>
      </c>
      <c r="K168" s="13"/>
      <c r="L168" s="13">
        <f ca="1">L167-O168*Prices!B168</f>
        <v>0.51478553074246913</v>
      </c>
      <c r="M168" s="4">
        <f t="shared" ca="1" si="13"/>
        <v>0.44663922714581983</v>
      </c>
      <c r="N168" s="13">
        <f ca="1">IF(Prices!B167&gt;OFFSET(Prices!B167,-$N$3,0),1,-1)</f>
        <v>1</v>
      </c>
      <c r="O168" s="4">
        <f ca="1">IF(N168=1,O$3*L167/Prices!B167,-O$3*M167)</f>
        <v>4.8616958874871941E-2</v>
      </c>
      <c r="P168" s="22"/>
      <c r="Q168" s="13">
        <f ca="1">Q167-T168*Prices!B168</f>
        <v>0.83633094568013278</v>
      </c>
      <c r="R168" s="4">
        <f t="shared" ca="1" si="12"/>
        <v>0.1699953793017277</v>
      </c>
      <c r="S168" s="13">
        <f ca="1">IF(Prices!B167&gt;OFFSET(Prices!B167,-S$3,0),1,-1)</f>
        <v>1</v>
      </c>
      <c r="T168" s="4">
        <f ca="1">IF(S168=1,T$3*Q167/Prices!B167,-T$3*R167)</f>
        <v>7.0315101779426445E-2</v>
      </c>
      <c r="V168" s="13"/>
      <c r="W168" s="4"/>
      <c r="X168" s="4"/>
      <c r="Y168" s="4"/>
      <c r="Z168" s="4"/>
      <c r="AA168" s="4"/>
      <c r="AB168" s="4"/>
      <c r="AC168" s="4"/>
      <c r="AD168" s="4"/>
      <c r="AE168" s="52"/>
    </row>
    <row r="169" spans="1:31" x14ac:dyDescent="0.2">
      <c r="A169" s="7">
        <v>42547</v>
      </c>
      <c r="B169" s="13">
        <f ca="1">Prices!B168*(1+J169/(50*(ABS(O169)+ABS(T169)+0.0001)))</f>
        <v>1.1716863419367092</v>
      </c>
      <c r="C169" s="62">
        <f t="shared" ca="1" si="15"/>
        <v>1</v>
      </c>
      <c r="D169" s="13">
        <f ca="1">D168+C169*(Prices!B169-Prices!B168)/Prices!B168</f>
        <v>7.1019513209025067E-2</v>
      </c>
      <c r="E169" s="13">
        <f t="shared" ca="1" si="16"/>
        <v>2.7644233734271911E-2</v>
      </c>
      <c r="F169" s="13">
        <f t="shared" ca="1" si="14"/>
        <v>9.8663746943296979E-2</v>
      </c>
      <c r="G169" s="21">
        <f ca="1">IF((Prices!B169-Prices!B168)*C169&gt;0,1,0)</f>
        <v>0</v>
      </c>
      <c r="H169" s="13">
        <f>ABS(Prices!B169-Prices!B168)/Prices!B168</f>
        <v>6.8941744226128972E-3</v>
      </c>
      <c r="I169" s="21"/>
      <c r="J169" s="4">
        <f t="shared" ca="1" si="17"/>
        <v>2.9063181352543675E-2</v>
      </c>
      <c r="K169" s="13"/>
      <c r="L169" s="13">
        <f ca="1">L168-O169*Prices!B169</f>
        <v>0.4636618797921398</v>
      </c>
      <c r="M169" s="4">
        <f t="shared" ca="1" si="13"/>
        <v>0.49100199263551902</v>
      </c>
      <c r="N169" s="13">
        <f ca="1">IF(Prices!B168&gt;OFFSET(Prices!B168,-$N$3,0),1,-1)</f>
        <v>1</v>
      </c>
      <c r="O169" s="4">
        <f ca="1">IF(N169=1,O$3*L168/Prices!B168,-O$3*M168)</f>
        <v>4.4362765489699169E-2</v>
      </c>
      <c r="P169" s="22"/>
      <c r="Q169" s="13">
        <f ca="1">Q168-T169*Prices!B169</f>
        <v>0.85396218643979072</v>
      </c>
      <c r="R169" s="4">
        <f t="shared" ca="1" si="12"/>
        <v>0.15469579516457221</v>
      </c>
      <c r="S169" s="13">
        <f ca="1">IF(Prices!B168&gt;OFFSET(Prices!B168,-S$3,0),1,-1)</f>
        <v>-1</v>
      </c>
      <c r="T169" s="4">
        <f ca="1">IF(S169=1,T$3*Q168/Prices!B168,-T$3*R168)</f>
        <v>-1.5299584137155493E-2</v>
      </c>
      <c r="V169" s="13"/>
      <c r="W169" s="4"/>
      <c r="X169" s="4"/>
      <c r="Y169" s="4"/>
      <c r="Z169" s="4"/>
      <c r="AA169" s="4"/>
      <c r="AB169" s="4"/>
      <c r="AC169" s="4"/>
      <c r="AD169" s="4"/>
      <c r="AE169" s="52"/>
    </row>
    <row r="170" spans="1:31" x14ac:dyDescent="0.2">
      <c r="A170" s="7">
        <v>42554</v>
      </c>
      <c r="B170" s="13">
        <f ca="1">Prices!B169*(1+J170/(50*(ABS(O170)+ABS(T170)+0.0001)))</f>
        <v>1.1293885129436512</v>
      </c>
      <c r="C170" s="62">
        <f t="shared" ca="1" si="15"/>
        <v>0</v>
      </c>
      <c r="D170" s="13">
        <f ca="1">D169+C170*(Prices!B170-Prices!B169)/Prices!B169</f>
        <v>7.1019513209025067E-2</v>
      </c>
      <c r="E170" s="13">
        <f t="shared" ca="1" si="16"/>
        <v>2.7644233734271911E-2</v>
      </c>
      <c r="F170" s="13">
        <f t="shared" ca="1" si="14"/>
        <v>9.8663746943296979E-2</v>
      </c>
      <c r="G170" s="21">
        <f ca="1">IF((Prices!B170-Prices!B169)*C170&gt;0,1,0)</f>
        <v>0</v>
      </c>
      <c r="H170" s="13">
        <f>ABS(Prices!B170-Prices!B169)/Prices!B169</f>
        <v>3.1239153071848536E-3</v>
      </c>
      <c r="I170" s="21"/>
      <c r="J170" s="4">
        <f t="shared" ca="1" si="17"/>
        <v>-6.3022820828363413E-2</v>
      </c>
      <c r="K170" s="13"/>
      <c r="L170" s="13">
        <f ca="1">L169-O170*Prices!B170</f>
        <v>0.52042171014080585</v>
      </c>
      <c r="M170" s="4">
        <f t="shared" ca="1" si="13"/>
        <v>0.44190179337196711</v>
      </c>
      <c r="N170" s="13">
        <f ca="1">IF(Prices!B169&gt;OFFSET(Prices!B169,-$N$3,0),1,-1)</f>
        <v>-1</v>
      </c>
      <c r="O170" s="4">
        <f ca="1">IF(N170=1,O$3*L169/Prices!B169,-O$3*M169)</f>
        <v>-4.9100199263551907E-2</v>
      </c>
      <c r="P170" s="22"/>
      <c r="Q170" s="13">
        <f ca="1">Q169-T170*Prices!B170</f>
        <v>0.87005673696871277</v>
      </c>
      <c r="R170" s="4">
        <f t="shared" ca="1" si="12"/>
        <v>0.14077317359976071</v>
      </c>
      <c r="S170" s="13">
        <f ca="1">IF(Prices!B169&gt;OFFSET(Prices!B169,-S$3,0),1,-1)</f>
        <v>-1</v>
      </c>
      <c r="T170" s="4">
        <f ca="1">IF(S170=1,T$3*Q169/Prices!B169,-T$3*R169)</f>
        <v>-1.3922621564811499E-2</v>
      </c>
      <c r="V170" s="13"/>
      <c r="W170" s="4"/>
      <c r="X170" s="4"/>
      <c r="Y170" s="4"/>
      <c r="Z170" s="4"/>
      <c r="AA170" s="4"/>
      <c r="AB170" s="4"/>
      <c r="AC170" s="4"/>
      <c r="AD170" s="4"/>
      <c r="AE170" s="52"/>
    </row>
    <row r="171" spans="1:31" x14ac:dyDescent="0.2">
      <c r="A171" s="7">
        <v>42561</v>
      </c>
      <c r="B171" s="13">
        <f ca="1">Prices!B170*(1+J171/(50*(ABS(O171)+ABS(T171)+0.0001)))</f>
        <v>1.1329205900551305</v>
      </c>
      <c r="C171" s="62">
        <f t="shared" ca="1" si="15"/>
        <v>0</v>
      </c>
      <c r="D171" s="13">
        <f ca="1">D170+C171*(Prices!B171-Prices!B170)/Prices!B170</f>
        <v>7.1019513209025067E-2</v>
      </c>
      <c r="E171" s="13">
        <f t="shared" ca="1" si="16"/>
        <v>2.7644233734271911E-2</v>
      </c>
      <c r="F171" s="13">
        <f t="shared" ca="1" si="14"/>
        <v>9.8663746943296979E-2</v>
      </c>
      <c r="G171" s="21">
        <f ca="1">IF((Prices!B171-Prices!B170)*C171&gt;0,1,0)</f>
        <v>0</v>
      </c>
      <c r="H171" s="13">
        <f>ABS(Prices!B171-Prices!B170)/Prices!B170</f>
        <v>3.979238754325206E-3</v>
      </c>
      <c r="I171" s="21"/>
      <c r="J171" s="4">
        <f t="shared" ca="1" si="17"/>
        <v>-5.6859764961175174E-2</v>
      </c>
      <c r="K171" s="13"/>
      <c r="L171" s="13">
        <f ca="1">L170-O171*Prices!B171</f>
        <v>0.5713022826296541</v>
      </c>
      <c r="M171" s="4">
        <f t="shared" ca="1" si="13"/>
        <v>0.3977116140347704</v>
      </c>
      <c r="N171" s="13">
        <f ca="1">IF(Prices!B170&gt;OFFSET(Prices!B170,-$N$3,0),1,-1)</f>
        <v>-1</v>
      </c>
      <c r="O171" s="4">
        <f ca="1">IF(N171=1,O$3*L170/Prices!B170,-O$3*M170)</f>
        <v>-4.4190179337196711E-2</v>
      </c>
      <c r="P171" s="22"/>
      <c r="Q171" s="13">
        <f ca="1">Q170-T171*Prices!B171</f>
        <v>0.88464449785616162</v>
      </c>
      <c r="R171" s="4">
        <f t="shared" ca="1" si="12"/>
        <v>0.12810358797578225</v>
      </c>
      <c r="S171" s="13">
        <f ca="1">IF(Prices!B170&gt;OFFSET(Prices!B170,-S$3,0),1,-1)</f>
        <v>-1</v>
      </c>
      <c r="T171" s="4">
        <f ca="1">IF(S171=1,T$3*Q170/Prices!B170,-T$3*R170)</f>
        <v>-1.2669585623978463E-2</v>
      </c>
      <c r="V171" s="13"/>
      <c r="W171" s="4"/>
      <c r="X171" s="4"/>
      <c r="Y171" s="4"/>
      <c r="Z171" s="4"/>
      <c r="AA171" s="4"/>
      <c r="AB171" s="4"/>
      <c r="AC171" s="4"/>
      <c r="AD171" s="4"/>
      <c r="AE171" s="52"/>
    </row>
    <row r="172" spans="1:31" x14ac:dyDescent="0.2">
      <c r="A172" s="7">
        <v>42568</v>
      </c>
      <c r="B172" s="13">
        <f ca="1">Prices!B171*(1+J172/(50*(ABS(O172)+ABS(T172)+0.0001)))</f>
        <v>1.1284168011342774</v>
      </c>
      <c r="C172" s="62">
        <f t="shared" ca="1" si="15"/>
        <v>0</v>
      </c>
      <c r="D172" s="13">
        <f ca="1">D171+C172*(Prices!B172-Prices!B171)/Prices!B171</f>
        <v>7.1019513209025067E-2</v>
      </c>
      <c r="E172" s="13">
        <f t="shared" ca="1" si="16"/>
        <v>2.7644233734271911E-2</v>
      </c>
      <c r="F172" s="13">
        <f t="shared" ca="1" si="14"/>
        <v>9.8663746943296979E-2</v>
      </c>
      <c r="G172" s="21">
        <f ca="1">IF((Prices!B172-Prices!B171)*C172&gt;0,1,0)</f>
        <v>0</v>
      </c>
      <c r="H172" s="13">
        <f>ABS(Prices!B172-Prices!B171)/Prices!B171</f>
        <v>9.6404377279832275E-3</v>
      </c>
      <c r="I172" s="21"/>
      <c r="J172" s="4">
        <f t="shared" ca="1" si="17"/>
        <v>-5.1300484321297447E-2</v>
      </c>
      <c r="K172" s="13"/>
      <c r="L172" s="13">
        <f ca="1">L171-O172*Prices!B172</f>
        <v>0.61665333797803901</v>
      </c>
      <c r="M172" s="4">
        <f t="shared" ca="1" si="13"/>
        <v>0.35794045263129337</v>
      </c>
      <c r="N172" s="13">
        <f ca="1">IF(Prices!B171&gt;OFFSET(Prices!B171,-$N$3,0),1,-1)</f>
        <v>-1</v>
      </c>
      <c r="O172" s="4">
        <f ca="1">IF(N172=1,O$3*L171/Prices!B171,-O$3*M171)</f>
        <v>-3.9771161403477043E-2</v>
      </c>
      <c r="P172" s="22"/>
      <c r="Q172" s="13">
        <f ca="1">Q171-T172*Prices!B172</f>
        <v>0.89779138477935228</v>
      </c>
      <c r="R172" s="4">
        <f t="shared" ca="1" si="12"/>
        <v>0.11657426505796185</v>
      </c>
      <c r="S172" s="13">
        <f ca="1">IF(Prices!B171&gt;OFFSET(Prices!B171,-S$3,0),1,-1)</f>
        <v>-1</v>
      </c>
      <c r="T172" s="4">
        <f ca="1">IF(S172=1,T$3*Q171/Prices!B171,-T$3*R171)</f>
        <v>-1.1529322917820403E-2</v>
      </c>
      <c r="V172" s="13"/>
      <c r="W172" s="4"/>
      <c r="X172" s="4"/>
      <c r="Y172" s="4"/>
      <c r="Z172" s="4"/>
      <c r="AA172" s="4"/>
      <c r="AB172" s="4"/>
      <c r="AC172" s="4"/>
      <c r="AD172" s="4"/>
      <c r="AE172" s="52"/>
    </row>
    <row r="173" spans="1:31" x14ac:dyDescent="0.2">
      <c r="A173" s="7">
        <v>42575</v>
      </c>
      <c r="B173" s="13">
        <f ca="1">Prices!B172*(1+J173/(50*(ABS(O173)+ABS(T173)+0.0001)))</f>
        <v>1.1175431659836625</v>
      </c>
      <c r="C173" s="62">
        <f t="shared" ca="1" si="15"/>
        <v>0</v>
      </c>
      <c r="D173" s="13">
        <f ca="1">D172+C173*(Prices!B173-Prices!B172)/Prices!B172</f>
        <v>7.1019513209025067E-2</v>
      </c>
      <c r="E173" s="13">
        <f t="shared" ca="1" si="16"/>
        <v>2.7644233734271911E-2</v>
      </c>
      <c r="F173" s="13">
        <f t="shared" ca="1" si="14"/>
        <v>9.8663746943296979E-2</v>
      </c>
      <c r="G173" s="21">
        <f ca="1">IF((Prices!B173-Prices!B172)*C173&gt;0,1,0)</f>
        <v>0</v>
      </c>
      <c r="H173" s="13">
        <f>ABS(Prices!B173-Prices!B172)/Prices!B172</f>
        <v>1.3154433043936304E-3</v>
      </c>
      <c r="I173" s="21"/>
      <c r="J173" s="4">
        <f t="shared" ca="1" si="17"/>
        <v>-4.6285729118345907E-2</v>
      </c>
      <c r="K173" s="13"/>
      <c r="L173" s="13">
        <f ca="1">L172-O173*Prices!B173</f>
        <v>0.65741559672369065</v>
      </c>
      <c r="M173" s="4">
        <f t="shared" ca="1" si="13"/>
        <v>0.32214640736816402</v>
      </c>
      <c r="N173" s="13">
        <f ca="1">IF(Prices!B172&gt;OFFSET(Prices!B172,-$N$3,0),1,-1)</f>
        <v>-1</v>
      </c>
      <c r="O173" s="4">
        <f ca="1">IF(N173=1,O$3*L172/Prices!B172,-O$3*M172)</f>
        <v>-3.5794045263129341E-2</v>
      </c>
      <c r="P173" s="22"/>
      <c r="Q173" s="13">
        <f ca="1">Q172-T173*Prices!B173</f>
        <v>0.90973931435367295</v>
      </c>
      <c r="R173" s="4">
        <f t="shared" ca="1" si="12"/>
        <v>0.10608258120274529</v>
      </c>
      <c r="S173" s="13">
        <f ca="1">IF(Prices!B172&gt;OFFSET(Prices!B172,-S$3,0),1,-1)</f>
        <v>-1</v>
      </c>
      <c r="T173" s="4">
        <f ca="1">IF(S173=1,T$3*Q172/Prices!B172,-T$3*R172)</f>
        <v>-1.0491683855216566E-2</v>
      </c>
      <c r="V173" s="13"/>
      <c r="W173" s="4"/>
      <c r="X173" s="4"/>
      <c r="Y173" s="4"/>
      <c r="Z173" s="4"/>
      <c r="AA173" s="4"/>
      <c r="AB173" s="4"/>
      <c r="AC173" s="4"/>
      <c r="AD173" s="4"/>
      <c r="AE173" s="52"/>
    </row>
    <row r="174" spans="1:31" x14ac:dyDescent="0.2">
      <c r="A174" s="7">
        <v>42582</v>
      </c>
      <c r="B174" s="13">
        <f ca="1">Prices!B173*(1+J174/(50*(ABS(O174)+ABS(T174)+0.0001)))</f>
        <v>1.1160784072434624</v>
      </c>
      <c r="C174" s="62">
        <f t="shared" ca="1" si="15"/>
        <v>0</v>
      </c>
      <c r="D174" s="13">
        <f ca="1">D173+C174*(Prices!B174-Prices!B173)/Prices!B173</f>
        <v>7.1019513209025067E-2</v>
      </c>
      <c r="E174" s="13">
        <f t="shared" ca="1" si="16"/>
        <v>2.7644233734271911E-2</v>
      </c>
      <c r="F174" s="13">
        <f t="shared" ca="1" si="14"/>
        <v>9.8663746943296979E-2</v>
      </c>
      <c r="G174" s="21">
        <f ca="1">IF((Prices!B174-Prices!B173)*C174&gt;0,1,0)</f>
        <v>0</v>
      </c>
      <c r="H174" s="13">
        <f>ABS(Prices!B174-Prices!B173)/Prices!B173</f>
        <v>4.5662100456621826E-3</v>
      </c>
      <c r="I174" s="21"/>
      <c r="J174" s="4">
        <f t="shared" ca="1" si="17"/>
        <v>-4.1762073045063478E-2</v>
      </c>
      <c r="K174" s="13"/>
      <c r="L174" s="13">
        <f ca="1">L173-O174*Prices!B174</f>
        <v>0.69393411346294576</v>
      </c>
      <c r="M174" s="4">
        <f t="shared" ca="1" si="13"/>
        <v>0.28993176663134762</v>
      </c>
      <c r="N174" s="13">
        <f ca="1">IF(Prices!B173&gt;OFFSET(Prices!B173,-$N$3,0),1,-1)</f>
        <v>-1</v>
      </c>
      <c r="O174" s="4">
        <f ca="1">IF(N174=1,O$3*L173/Prices!B173,-O$3*M173)</f>
        <v>-3.2214640736816402E-2</v>
      </c>
      <c r="P174" s="22"/>
      <c r="Q174" s="13">
        <f ca="1">Q173-T174*Prices!B174</f>
        <v>0.92056228361830184</v>
      </c>
      <c r="R174" s="4">
        <f t="shared" ca="1" si="12"/>
        <v>9.6535148894498213E-2</v>
      </c>
      <c r="S174" s="13">
        <f ca="1">IF(Prices!B173&gt;OFFSET(Prices!B173,-S$3,0),1,-1)</f>
        <v>-1</v>
      </c>
      <c r="T174" s="4">
        <f ca="1">IF(S174=1,T$3*Q173/Prices!B173,-T$3*R173)</f>
        <v>-9.5474323082470752E-3</v>
      </c>
      <c r="V174" s="13"/>
      <c r="W174" s="4"/>
      <c r="X174" s="4"/>
      <c r="Y174" s="4"/>
      <c r="Z174" s="4"/>
      <c r="AA174" s="4"/>
      <c r="AB174" s="4"/>
      <c r="AC174" s="4"/>
      <c r="AD174" s="4"/>
      <c r="AE174" s="52"/>
    </row>
    <row r="175" spans="1:31" x14ac:dyDescent="0.2">
      <c r="A175" s="7">
        <v>42589</v>
      </c>
      <c r="B175" s="13">
        <f ca="1">Prices!B174*(1+J175/(50*(ABS(O175)+ABS(T175)+0.0001)))</f>
        <v>1.1109880084591013</v>
      </c>
      <c r="C175" s="62">
        <f t="shared" ca="1" si="15"/>
        <v>0</v>
      </c>
      <c r="D175" s="13">
        <f ca="1">D174+C175*(Prices!B175-Prices!B174)/Prices!B174</f>
        <v>7.1019513209025067E-2</v>
      </c>
      <c r="E175" s="13">
        <f t="shared" ca="1" si="16"/>
        <v>2.7644233734271911E-2</v>
      </c>
      <c r="F175" s="13">
        <f t="shared" ca="1" si="14"/>
        <v>9.8663746943296979E-2</v>
      </c>
      <c r="G175" s="21">
        <f ca="1">IF((Prices!B175-Prices!B174)*C175&gt;0,1,0)</f>
        <v>0</v>
      </c>
      <c r="H175" s="13">
        <f>ABS(Prices!B175-Prices!B174)/Prices!B174</f>
        <v>6.9689484827099666E-3</v>
      </c>
      <c r="I175" s="21"/>
      <c r="J175" s="4">
        <f t="shared" ca="1" si="17"/>
        <v>-3.7681340063639601E-2</v>
      </c>
      <c r="K175" s="13"/>
      <c r="L175" s="13">
        <f ca="1">L174-O175*Prices!B175</f>
        <v>0.72702982462391408</v>
      </c>
      <c r="M175" s="4">
        <f t="shared" ca="1" si="13"/>
        <v>0.26093858996821284</v>
      </c>
      <c r="N175" s="13">
        <f ca="1">IF(Prices!B174&gt;OFFSET(Prices!B174,-$N$3,0),1,-1)</f>
        <v>-1</v>
      </c>
      <c r="O175" s="4">
        <f ca="1">IF(N175=1,O$3*L174/Prices!B174,-O$3*M174)</f>
        <v>-2.8993176663134765E-2</v>
      </c>
      <c r="P175" s="22"/>
      <c r="Q175" s="13">
        <f ca="1">Q174-T175*Prices!B175</f>
        <v>0.93047982213997815</v>
      </c>
      <c r="R175" s="4">
        <f t="shared" ca="1" si="12"/>
        <v>8.7846985493993376E-2</v>
      </c>
      <c r="S175" s="13">
        <f ca="1">IF(Prices!B174&gt;OFFSET(Prices!B174,-S$3,0),1,-1)</f>
        <v>-1</v>
      </c>
      <c r="T175" s="4">
        <f ca="1">IF(S175=1,T$3*Q174/Prices!B174,-T$3*R174)</f>
        <v>-8.6881634005048381E-3</v>
      </c>
      <c r="V175" s="13"/>
      <c r="W175" s="4"/>
      <c r="X175" s="4"/>
      <c r="Y175" s="4"/>
      <c r="Z175" s="4"/>
      <c r="AA175" s="4"/>
      <c r="AB175" s="4"/>
      <c r="AC175" s="4"/>
      <c r="AD175" s="4"/>
      <c r="AE175" s="52"/>
    </row>
    <row r="176" spans="1:31" x14ac:dyDescent="0.2">
      <c r="A176" s="7">
        <v>42596</v>
      </c>
      <c r="B176" s="13">
        <f ca="1">Prices!B175*(1+J176/(50*(ABS(O176)+ABS(T176)+0.0001)))</f>
        <v>1.1187369499744595</v>
      </c>
      <c r="C176" s="62">
        <f t="shared" ca="1" si="15"/>
        <v>0</v>
      </c>
      <c r="D176" s="13">
        <f ca="1">D175+C176*(Prices!B176-Prices!B175)/Prices!B175</f>
        <v>7.1019513209025067E-2</v>
      </c>
      <c r="E176" s="13">
        <f t="shared" ca="1" si="16"/>
        <v>2.7644233734271911E-2</v>
      </c>
      <c r="F176" s="13">
        <f t="shared" ca="1" si="14"/>
        <v>9.8663746943296979E-2</v>
      </c>
      <c r="G176" s="21">
        <f ca="1">IF((Prices!B176-Prices!B175)*C176&gt;0,1,0)</f>
        <v>0</v>
      </c>
      <c r="H176" s="13">
        <f>ABS(Prices!B176-Prices!B175)/Prices!B175</f>
        <v>6.8331143232588957E-3</v>
      </c>
      <c r="I176" s="21"/>
      <c r="J176" s="4">
        <f t="shared" ca="1" si="17"/>
        <v>-3.4000087691280691E-2</v>
      </c>
      <c r="K176" s="13"/>
      <c r="L176" s="13">
        <f ca="1">L175-O176*Prices!B176</f>
        <v>0.75661243256861033</v>
      </c>
      <c r="M176" s="4">
        <f t="shared" ca="1" si="13"/>
        <v>0.23484473097139155</v>
      </c>
      <c r="N176" s="13">
        <f ca="1">IF(Prices!B175&gt;OFFSET(Prices!B175,-$N$3,0),1,-1)</f>
        <v>-1</v>
      </c>
      <c r="O176" s="4">
        <f ca="1">IF(N176=1,O$3*L175/Prices!B175,-O$3*M175)</f>
        <v>-2.6093858996821286E-2</v>
      </c>
      <c r="P176" s="22"/>
      <c r="Q176" s="13">
        <f ca="1">Q175-T176*Prices!B176</f>
        <v>0.93944311361088673</v>
      </c>
      <c r="R176" s="4">
        <f t="shared" ca="1" si="12"/>
        <v>7.9940756799533969E-2</v>
      </c>
      <c r="S176" s="13">
        <f ca="1">IF(Prices!B175&gt;OFFSET(Prices!B175,-S$3,0),1,-1)</f>
        <v>-1</v>
      </c>
      <c r="T176" s="4">
        <f ca="1">IF(S176=1,T$3*Q175/Prices!B175,-T$3*R175)</f>
        <v>-7.9062286944594044E-3</v>
      </c>
      <c r="V176" s="13"/>
      <c r="W176" s="4"/>
      <c r="X176" s="4"/>
      <c r="Y176" s="4"/>
      <c r="Z176" s="4"/>
      <c r="AA176" s="4"/>
      <c r="AB176" s="4"/>
      <c r="AC176" s="4"/>
      <c r="AD176" s="4"/>
      <c r="AE176" s="52"/>
    </row>
    <row r="177" spans="1:31" x14ac:dyDescent="0.2">
      <c r="A177" s="7">
        <v>42603</v>
      </c>
      <c r="B177" s="13">
        <f ca="1">Prices!B176*(1+J177/(50*(ABS(O177)+ABS(T177)+0.0001)))</f>
        <v>1.1110996667727211</v>
      </c>
      <c r="C177" s="62">
        <f t="shared" ca="1" si="15"/>
        <v>0</v>
      </c>
      <c r="D177" s="13">
        <f ca="1">D176+C177*(Prices!B177-Prices!B176)/Prices!B176</f>
        <v>7.1019513209025067E-2</v>
      </c>
      <c r="E177" s="13">
        <f t="shared" ca="1" si="16"/>
        <v>2.7644233734271911E-2</v>
      </c>
      <c r="F177" s="13">
        <f t="shared" ca="1" si="14"/>
        <v>9.8663746943296979E-2</v>
      </c>
      <c r="G177" s="21">
        <f ca="1">IF((Prices!B177-Prices!B176)*C177&gt;0,1,0)</f>
        <v>0</v>
      </c>
      <c r="H177" s="13">
        <f>ABS(Prices!B177-Prices!B176)/Prices!B176</f>
        <v>1.7641351327511703E-3</v>
      </c>
      <c r="I177" s="21"/>
      <c r="J177" s="4">
        <f t="shared" ca="1" si="17"/>
        <v>-3.0679141209097212E-2</v>
      </c>
      <c r="K177" s="13"/>
      <c r="L177" s="13">
        <f ca="1">L176-O177*Prices!B177</f>
        <v>0.78318981077264271</v>
      </c>
      <c r="M177" s="4">
        <f t="shared" ca="1" si="13"/>
        <v>0.21136025787425239</v>
      </c>
      <c r="N177" s="13">
        <f ca="1">IF(Prices!B176&gt;OFFSET(Prices!B176,-$N$3,0),1,-1)</f>
        <v>-1</v>
      </c>
      <c r="O177" s="4">
        <f ca="1">IF(N177=1,O$3*L176/Prices!B176,-O$3*M176)</f>
        <v>-2.3484473097139157E-2</v>
      </c>
      <c r="P177" s="22"/>
      <c r="Q177" s="13">
        <f ca="1">Q176-T177*Prices!B177</f>
        <v>0.94758531951318969</v>
      </c>
      <c r="R177" s="4">
        <f t="shared" ca="1" si="12"/>
        <v>7.2746088687575913E-2</v>
      </c>
      <c r="S177" s="13">
        <f ca="1">IF(Prices!B176&gt;OFFSET(Prices!B176,-S$3,0),1,-1)</f>
        <v>-1</v>
      </c>
      <c r="T177" s="4">
        <f ca="1">IF(S177=1,T$3*Q176/Prices!B176,-T$3*R176)</f>
        <v>-7.194668111958057E-3</v>
      </c>
      <c r="V177" s="13"/>
      <c r="W177" s="4"/>
      <c r="X177" s="4"/>
      <c r="Y177" s="4"/>
      <c r="Z177" s="4"/>
      <c r="AA177" s="4"/>
      <c r="AB177" s="4"/>
      <c r="AC177" s="4"/>
      <c r="AD177" s="4"/>
      <c r="AE177" s="52"/>
    </row>
    <row r="178" spans="1:31" x14ac:dyDescent="0.2">
      <c r="A178" s="7">
        <v>42610</v>
      </c>
      <c r="B178" s="13">
        <f ca="1">Prices!B177*(1+J178/(50*(ABS(O178)+ABS(T178)+0.0001)))</f>
        <v>1.1091474665746539</v>
      </c>
      <c r="C178" s="62">
        <f t="shared" ca="1" si="15"/>
        <v>0</v>
      </c>
      <c r="D178" s="13">
        <f ca="1">D177+C178*(Prices!B178-Prices!B177)/Prices!B177</f>
        <v>7.1019513209025067E-2</v>
      </c>
      <c r="E178" s="13">
        <f t="shared" ca="1" si="16"/>
        <v>2.7644233734271911E-2</v>
      </c>
      <c r="F178" s="13">
        <f t="shared" ca="1" si="14"/>
        <v>9.8663746943296979E-2</v>
      </c>
      <c r="G178" s="21">
        <f ca="1">IF((Prices!B178-Prices!B177)*C178&gt;0,1,0)</f>
        <v>0</v>
      </c>
      <c r="H178" s="13">
        <f>ABS(Prices!B178-Prices!B177)/Prices!B177</f>
        <v>5.4784836970928549E-3</v>
      </c>
      <c r="I178" s="21"/>
      <c r="J178" s="4">
        <f t="shared" ca="1" si="17"/>
        <v>-2.7683173769307071E-2</v>
      </c>
      <c r="K178" s="13"/>
      <c r="L178" s="13">
        <f ca="1">L177-O178*Prices!B178</f>
        <v>0.80724049451615387</v>
      </c>
      <c r="M178" s="4">
        <f t="shared" ca="1" si="13"/>
        <v>0.19022423208682715</v>
      </c>
      <c r="N178" s="13">
        <f ca="1">IF(Prices!B177&gt;OFFSET(Prices!B177,-$N$3,0),1,-1)</f>
        <v>-1</v>
      </c>
      <c r="O178" s="4">
        <f ca="1">IF(N178=1,O$3*L177/Prices!B177,-O$3*M177)</f>
        <v>-2.1136025787425239E-2</v>
      </c>
      <c r="P178" s="22"/>
      <c r="Q178" s="13">
        <f ca="1">Q177-T178*Prices!B178</f>
        <v>0.95503531920177298</v>
      </c>
      <c r="R178" s="4">
        <f t="shared" ca="1" si="12"/>
        <v>6.6198940705694084E-2</v>
      </c>
      <c r="S178" s="13">
        <f ca="1">IF(Prices!B177&gt;OFFSET(Prices!B177,-S$3,0),1,-1)</f>
        <v>-1</v>
      </c>
      <c r="T178" s="4">
        <f ca="1">IF(S178=1,T$3*Q177/Prices!B177,-T$3*R177)</f>
        <v>-6.5471479818818316E-3</v>
      </c>
      <c r="V178" s="13"/>
      <c r="W178" s="4"/>
      <c r="X178" s="4"/>
      <c r="Y178" s="4"/>
      <c r="Z178" s="4"/>
      <c r="AA178" s="4"/>
      <c r="AB178" s="4"/>
      <c r="AC178" s="4"/>
      <c r="AD178" s="4"/>
      <c r="AE178" s="52"/>
    </row>
    <row r="179" spans="1:31" x14ac:dyDescent="0.2">
      <c r="A179" s="7">
        <v>42617</v>
      </c>
      <c r="B179" s="13">
        <f ca="1">Prices!B178*(1+J179/(50*(ABS(O179)+ABS(T179)+0.0001)))</f>
        <v>1.1571065871760631</v>
      </c>
      <c r="C179" s="62">
        <f t="shared" ca="1" si="15"/>
        <v>1</v>
      </c>
      <c r="D179" s="13">
        <f ca="1">D178+C179*(Prices!B179-Prices!B178)/Prices!B178</f>
        <v>6.4604186730424257E-2</v>
      </c>
      <c r="E179" s="13">
        <f t="shared" ca="1" si="16"/>
        <v>3.4059560212872722E-2</v>
      </c>
      <c r="F179" s="13">
        <f t="shared" ca="1" si="14"/>
        <v>9.8663746943296979E-2</v>
      </c>
      <c r="G179" s="21">
        <f ca="1">IF((Prices!B179-Prices!B178)*C179&gt;0,1,0)</f>
        <v>0</v>
      </c>
      <c r="H179" s="13">
        <f>ABS(Prices!B179-Prices!B178)/Prices!B178</f>
        <v>6.4153264786008107E-3</v>
      </c>
      <c r="I179" s="21"/>
      <c r="J179" s="4">
        <f t="shared" ca="1" si="17"/>
        <v>6.4983346282629903E-2</v>
      </c>
      <c r="K179" s="13"/>
      <c r="L179" s="13">
        <f ca="1">L178-O179*Prices!B179</f>
        <v>0.72703431619644532</v>
      </c>
      <c r="M179" s="4">
        <f t="shared" ca="1" si="13"/>
        <v>0.26116548303296949</v>
      </c>
      <c r="N179" s="13">
        <f ca="1">IF(Prices!B178&gt;OFFSET(Prices!B178,-$N$3,0),1,-1)</f>
        <v>1</v>
      </c>
      <c r="O179" s="4">
        <f ca="1">IF(N179=1,O$3*L178/Prices!B178,-O$3*M178)</f>
        <v>7.094125094614237E-2</v>
      </c>
      <c r="P179" s="22"/>
      <c r="Q179" s="13">
        <f ca="1">Q178-T179*Prices!B179</f>
        <v>0.96177132621434014</v>
      </c>
      <c r="R179" s="4">
        <f t="shared" ca="1" si="12"/>
        <v>6.0241036042181617E-2</v>
      </c>
      <c r="S179" s="13">
        <f ca="1">IF(Prices!B178&gt;OFFSET(Prices!B178,-S$3,0),1,-1)</f>
        <v>-1</v>
      </c>
      <c r="T179" s="4">
        <f ca="1">IF(S179=1,T$3*Q178/Prices!B178,-T$3*R178)</f>
        <v>-5.9579046635124672E-3</v>
      </c>
      <c r="V179" s="13"/>
      <c r="W179" s="4"/>
      <c r="X179" s="4"/>
      <c r="Y179" s="4"/>
      <c r="Z179" s="4"/>
      <c r="AA179" s="4"/>
      <c r="AB179" s="4"/>
      <c r="AC179" s="4"/>
      <c r="AD179" s="4"/>
      <c r="AE179" s="52"/>
    </row>
    <row r="180" spans="1:31" x14ac:dyDescent="0.2">
      <c r="A180" s="7">
        <v>42624</v>
      </c>
      <c r="B180" s="13">
        <f ca="1">Prices!B179*(1+J180/(50*(ABS(O180)+ABS(T180)+0.0001)))</f>
        <v>1.1080594704702105</v>
      </c>
      <c r="C180" s="62">
        <f t="shared" ca="1" si="15"/>
        <v>0</v>
      </c>
      <c r="D180" s="13">
        <f ca="1">D179+C180*(Prices!B180-Prices!B179)/Prices!B179</f>
        <v>6.4604186730424257E-2</v>
      </c>
      <c r="E180" s="13">
        <f t="shared" ca="1" si="16"/>
        <v>3.4059560212872722E-2</v>
      </c>
      <c r="F180" s="13">
        <f t="shared" ca="1" si="14"/>
        <v>9.8663746943296979E-2</v>
      </c>
      <c r="G180" s="21">
        <f ca="1">IF((Prices!B180-Prices!B179)*C180&gt;0,1,0)</f>
        <v>0</v>
      </c>
      <c r="H180" s="13">
        <f>ABS(Prices!B180-Prices!B179)/Prices!B179</f>
        <v>5.8376083495488579E-3</v>
      </c>
      <c r="I180" s="21"/>
      <c r="J180" s="4">
        <f t="shared" ca="1" si="17"/>
        <v>-3.1538241547093296E-2</v>
      </c>
      <c r="K180" s="13"/>
      <c r="L180" s="13">
        <f ca="1">L179-O180*Prices!B180</f>
        <v>0.75673405492695456</v>
      </c>
      <c r="M180" s="4">
        <f t="shared" ca="1" si="13"/>
        <v>0.23504893472967253</v>
      </c>
      <c r="N180" s="13">
        <f ca="1">IF(Prices!B179&gt;OFFSET(Prices!B179,-$N$3,0),1,-1)</f>
        <v>-1</v>
      </c>
      <c r="O180" s="4">
        <f ca="1">IF(N180=1,O$3*L179/Prices!B179,-O$3*M179)</f>
        <v>-2.611654830329695E-2</v>
      </c>
      <c r="P180" s="22"/>
      <c r="Q180" s="13">
        <f ca="1">Q179-T180*Prices!B180</f>
        <v>0.96793687577118537</v>
      </c>
      <c r="R180" s="4">
        <f t="shared" ca="1" si="12"/>
        <v>5.4819342798385275E-2</v>
      </c>
      <c r="S180" s="13">
        <f ca="1">IF(Prices!B179&gt;OFFSET(Prices!B179,-S$3,0),1,-1)</f>
        <v>-1</v>
      </c>
      <c r="T180" s="4">
        <f ca="1">IF(S180=1,T$3*Q179/Prices!B179,-T$3*R179)</f>
        <v>-5.4216932437963451E-3</v>
      </c>
      <c r="V180" s="13"/>
      <c r="W180" s="4"/>
      <c r="X180" s="4"/>
      <c r="Y180" s="4"/>
      <c r="Z180" s="4"/>
      <c r="AA180" s="4"/>
      <c r="AB180" s="4"/>
      <c r="AC180" s="4"/>
      <c r="AD180" s="4"/>
      <c r="AE180" s="52"/>
    </row>
    <row r="181" spans="1:31" x14ac:dyDescent="0.2">
      <c r="A181" s="7">
        <v>42631</v>
      </c>
      <c r="B181" s="13">
        <f ca="1">Prices!B180*(1+J181/(50*(ABS(O181)+ABS(T181)+0.0001)))</f>
        <v>1.1567767918372072</v>
      </c>
      <c r="C181" s="62">
        <f t="shared" ca="1" si="15"/>
        <v>1</v>
      </c>
      <c r="D181" s="13">
        <f ca="1">D180+C181*(Prices!B181-Prices!B180)/Prices!B180</f>
        <v>7.0935526864085968E-2</v>
      </c>
      <c r="E181" s="13">
        <f t="shared" ca="1" si="16"/>
        <v>2.7728220079211011E-2</v>
      </c>
      <c r="F181" s="13">
        <f t="shared" ca="1" si="14"/>
        <v>9.8663746943296979E-2</v>
      </c>
      <c r="G181" s="21">
        <f ca="1">IF((Prices!B181-Prices!B180)*C181&gt;0,1,0)</f>
        <v>1</v>
      </c>
      <c r="H181" s="13">
        <f>ABS(Prices!B181-Prices!B180)/Prices!B180</f>
        <v>6.3313401336617088E-3</v>
      </c>
      <c r="I181" s="21"/>
      <c r="J181" s="4">
        <f t="shared" ca="1" si="17"/>
        <v>6.1609879876861007E-2</v>
      </c>
      <c r="K181" s="13"/>
      <c r="L181" s="13">
        <f ca="1">L180-O181*Prices!B181</f>
        <v>0.68058153536501231</v>
      </c>
      <c r="M181" s="4">
        <f t="shared" ca="1" si="13"/>
        <v>0.3015925554583882</v>
      </c>
      <c r="N181" s="13">
        <f ca="1">IF(Prices!B180&gt;OFFSET(Prices!B180,-$N$3,0),1,-1)</f>
        <v>1</v>
      </c>
      <c r="O181" s="4">
        <f ca="1">IF(N181=1,O$3*L180/Prices!B180,-O$3*M180)</f>
        <v>6.6543620728715683E-2</v>
      </c>
      <c r="P181" s="22"/>
      <c r="Q181" s="13">
        <f ca="1">Q180-T181*Prices!B181</f>
        <v>0.97358304880204782</v>
      </c>
      <c r="R181" s="4">
        <f t="shared" ca="1" si="12"/>
        <v>4.9885601946530599E-2</v>
      </c>
      <c r="S181" s="13">
        <f ca="1">IF(Prices!B180&gt;OFFSET(Prices!B180,-S$3,0),1,-1)</f>
        <v>-1</v>
      </c>
      <c r="T181" s="4">
        <f ca="1">IF(S181=1,T$3*Q180/Prices!B180,-T$3*R180)</f>
        <v>-4.9337408518546743E-3</v>
      </c>
      <c r="V181" s="13"/>
      <c r="W181" s="4"/>
      <c r="X181" s="4"/>
      <c r="Y181" s="4"/>
      <c r="Z181" s="4"/>
      <c r="AA181" s="4"/>
      <c r="AB181" s="4"/>
      <c r="AC181" s="4"/>
      <c r="AD181" s="4"/>
      <c r="AE181" s="52"/>
    </row>
    <row r="182" spans="1:31" x14ac:dyDescent="0.2">
      <c r="A182" s="7">
        <v>42638</v>
      </c>
      <c r="B182" s="13">
        <f ca="1">Prices!B181*(1+J182/(50*(ABS(O182)+ABS(T182)+0.0001)))</f>
        <v>1.1640440331764408</v>
      </c>
      <c r="C182" s="62">
        <f t="shared" ca="1" si="15"/>
        <v>1</v>
      </c>
      <c r="D182" s="13">
        <f ca="1">D181+C182*(Prices!B182-Prices!B181)/Prices!B181</f>
        <v>6.6653807185651739E-2</v>
      </c>
      <c r="E182" s="13">
        <f t="shared" ca="1" si="16"/>
        <v>3.2009939757645239E-2</v>
      </c>
      <c r="F182" s="13">
        <f t="shared" ca="1" si="14"/>
        <v>9.8663746943296979E-2</v>
      </c>
      <c r="G182" s="21">
        <f ca="1">IF((Prices!B182-Prices!B181)*C182&gt;0,1,0)</f>
        <v>0</v>
      </c>
      <c r="H182" s="13">
        <f>ABS(Prices!B182-Prices!B181)/Prices!B181</f>
        <v>4.2817196784342244E-3</v>
      </c>
      <c r="I182" s="21"/>
      <c r="J182" s="4">
        <f t="shared" ca="1" si="17"/>
        <v>5.4980894860552562E-2</v>
      </c>
      <c r="K182" s="13"/>
      <c r="L182" s="13">
        <f ca="1">L181-O182*Prices!B182</f>
        <v>0.61281478776378617</v>
      </c>
      <c r="M182" s="4">
        <f t="shared" ca="1" si="13"/>
        <v>0.36106315449412851</v>
      </c>
      <c r="N182" s="13">
        <f ca="1">IF(Prices!B181&gt;OFFSET(Prices!B181,-$N$3,0),1,-1)</f>
        <v>1</v>
      </c>
      <c r="O182" s="4">
        <f ca="1">IF(N182=1,O$3*L181/Prices!B181,-O$3*M181)</f>
        <v>5.9470599035740319E-2</v>
      </c>
      <c r="P182" s="22"/>
      <c r="Q182" s="13">
        <f ca="1">Q181-T182*Prices!B182</f>
        <v>0.97869906670967421</v>
      </c>
      <c r="R182" s="4">
        <f t="shared" ca="1" si="12"/>
        <v>4.5395897771342841E-2</v>
      </c>
      <c r="S182" s="13">
        <f ca="1">IF(Prices!B181&gt;OFFSET(Prices!B181,-S$3,0),1,-1)</f>
        <v>-1</v>
      </c>
      <c r="T182" s="4">
        <f ca="1">IF(S182=1,T$3*Q181/Prices!B181,-T$3*R181)</f>
        <v>-4.4897041751877538E-3</v>
      </c>
      <c r="V182" s="13"/>
      <c r="W182" s="4"/>
      <c r="X182" s="4"/>
      <c r="Y182" s="4"/>
      <c r="Z182" s="4"/>
      <c r="AA182" s="4"/>
      <c r="AB182" s="4"/>
      <c r="AC182" s="4"/>
      <c r="AD182" s="4"/>
      <c r="AE182" s="52"/>
    </row>
    <row r="183" spans="1:31" x14ac:dyDescent="0.2">
      <c r="A183" s="7">
        <v>42645</v>
      </c>
      <c r="B183" s="13">
        <f ca="1">Prices!B182*(1+J183/(50*(ABS(O183)+ABS(T183)+0.0001)))</f>
        <v>1.1590379966756938</v>
      </c>
      <c r="C183" s="62">
        <f t="shared" ca="1" si="15"/>
        <v>1</v>
      </c>
      <c r="D183" s="13">
        <f ca="1">D182+C183*(Prices!B183-Prices!B182)/Prices!B182</f>
        <v>7.3147883534927807E-2</v>
      </c>
      <c r="E183" s="13">
        <f t="shared" ca="1" si="16"/>
        <v>2.5515863408369172E-2</v>
      </c>
      <c r="F183" s="13">
        <f t="shared" ca="1" si="14"/>
        <v>9.8663746943296979E-2</v>
      </c>
      <c r="G183" s="21">
        <f ca="1">IF((Prices!B183-Prices!B182)*C183&gt;0,1,0)</f>
        <v>1</v>
      </c>
      <c r="H183" s="13">
        <f>ABS(Prices!B183-Prices!B182)/Prices!B182</f>
        <v>6.4940763492760626E-3</v>
      </c>
      <c r="I183" s="21"/>
      <c r="J183" s="4">
        <f t="shared" ca="1" si="17"/>
        <v>4.9693639737111502E-2</v>
      </c>
      <c r="K183" s="13"/>
      <c r="L183" s="13">
        <f ca="1">L182-O183*Prices!B183</f>
        <v>0.55113534238543727</v>
      </c>
      <c r="M183" s="4">
        <f t="shared" ca="1" si="13"/>
        <v>0.41484242503066088</v>
      </c>
      <c r="N183" s="13">
        <f ca="1">IF(Prices!B182&gt;OFFSET(Prices!B182,-$N$3,0),1,-1)</f>
        <v>1</v>
      </c>
      <c r="O183" s="4">
        <f ca="1">IF(N183=1,O$3*L182/Prices!B182,-O$3*M182)</f>
        <v>5.3779270536532357E-2</v>
      </c>
      <c r="P183" s="22"/>
      <c r="Q183" s="13">
        <f ca="1">Q182-T183*Prices!B183</f>
        <v>0.98338487667353003</v>
      </c>
      <c r="R183" s="4">
        <f t="shared" ca="1" si="12"/>
        <v>4.1310266971921986E-2</v>
      </c>
      <c r="S183" s="13">
        <f ca="1">IF(Prices!B182&gt;OFFSET(Prices!B182,-S$3,0),1,-1)</f>
        <v>-1</v>
      </c>
      <c r="T183" s="4">
        <f ca="1">IF(S183=1,T$3*Q182/Prices!B182,-T$3*R182)</f>
        <v>-4.0856307994208557E-3</v>
      </c>
      <c r="V183" s="13"/>
      <c r="W183" s="4"/>
      <c r="X183" s="4"/>
      <c r="Y183" s="4"/>
      <c r="Z183" s="4"/>
      <c r="AA183" s="4"/>
      <c r="AB183" s="4"/>
      <c r="AC183" s="4"/>
      <c r="AD183" s="4"/>
      <c r="AE183" s="52"/>
    </row>
    <row r="184" spans="1:31" x14ac:dyDescent="0.2">
      <c r="A184" s="7">
        <v>42652</v>
      </c>
      <c r="B184" s="13">
        <f ca="1">Prices!B183*(1+J184/(50*(ABS(O184)+ABS(T184)+0.0001)))</f>
        <v>1.1665056363187145</v>
      </c>
      <c r="C184" s="62">
        <f t="shared" ca="1" si="15"/>
        <v>1</v>
      </c>
      <c r="D184" s="13">
        <f ca="1">D183+C184*(Prices!B184-Prices!B183)/Prices!B183</f>
        <v>6.3905578190085244E-2</v>
      </c>
      <c r="E184" s="13">
        <f t="shared" ca="1" si="16"/>
        <v>3.4758168753211735E-2</v>
      </c>
      <c r="F184" s="13">
        <f t="shared" ca="1" si="14"/>
        <v>9.8663746943296979E-2</v>
      </c>
      <c r="G184" s="21">
        <f ca="1">IF((Prices!B184-Prices!B183)*C184&gt;0,1,0)</f>
        <v>0</v>
      </c>
      <c r="H184" s="13">
        <f>ABS(Prices!B184-Prices!B183)/Prices!B183</f>
        <v>9.2423053448425687E-3</v>
      </c>
      <c r="I184" s="21"/>
      <c r="J184" s="4">
        <f t="shared" ca="1" si="17"/>
        <v>4.4336426167438284E-2</v>
      </c>
      <c r="K184" s="13"/>
      <c r="L184" s="13">
        <f ca="1">L183-O184*Prices!B184</f>
        <v>0.49653118425895959</v>
      </c>
      <c r="M184" s="4">
        <f t="shared" ca="1" si="13"/>
        <v>0.46289677522557215</v>
      </c>
      <c r="N184" s="13">
        <f ca="1">IF(Prices!B183&gt;OFFSET(Prices!B183,-$N$3,0),1,-1)</f>
        <v>1</v>
      </c>
      <c r="O184" s="4">
        <f ca="1">IF(N184=1,O$3*L183/Prices!B183,-O$3*M183)</f>
        <v>4.8054350194911263E-2</v>
      </c>
      <c r="P184" s="22"/>
      <c r="Q184" s="13">
        <f ca="1">Q183-T184*Prices!B184</f>
        <v>0.98760955374594761</v>
      </c>
      <c r="R184" s="4">
        <f t="shared" ca="1" si="12"/>
        <v>3.7592342944449006E-2</v>
      </c>
      <c r="S184" s="13">
        <f ca="1">IF(Prices!B183&gt;OFFSET(Prices!B183,-S$3,0),1,-1)</f>
        <v>-1</v>
      </c>
      <c r="T184" s="4">
        <f ca="1">IF(S184=1,T$3*Q183/Prices!B183,-T$3*R183)</f>
        <v>-3.7179240274729784E-3</v>
      </c>
      <c r="V184" s="13"/>
      <c r="W184" s="4"/>
      <c r="X184" s="4"/>
      <c r="Y184" s="4"/>
      <c r="Z184" s="4"/>
      <c r="AA184" s="4"/>
      <c r="AB184" s="4"/>
      <c r="AC184" s="4"/>
      <c r="AD184" s="4"/>
      <c r="AE184" s="52"/>
    </row>
    <row r="185" spans="1:31" x14ac:dyDescent="0.2">
      <c r="A185" s="7">
        <v>42659</v>
      </c>
      <c r="B185" s="13">
        <f ca="1">Prices!B184*(1+J185/(50*(ABS(O185)+ABS(T185)+0.0001)))</f>
        <v>1.1136196593038439</v>
      </c>
      <c r="C185" s="62">
        <f t="shared" ca="1" si="15"/>
        <v>0</v>
      </c>
      <c r="D185" s="13">
        <f ca="1">D184+C185*(Prices!B185-Prices!B184)/Prices!B184</f>
        <v>6.3905578190085244E-2</v>
      </c>
      <c r="E185" s="13">
        <f t="shared" ca="1" si="16"/>
        <v>3.4758168753211735E-2</v>
      </c>
      <c r="F185" s="13">
        <f t="shared" ca="1" si="14"/>
        <v>9.8663746943296979E-2</v>
      </c>
      <c r="G185" s="21">
        <f ca="1">IF((Prices!B185-Prices!B184)*C185&gt;0,1,0)</f>
        <v>0</v>
      </c>
      <c r="H185" s="13">
        <f>ABS(Prices!B185-Prices!B184)/Prices!B184</f>
        <v>3.7842119158672622E-3</v>
      </c>
      <c r="I185" s="21"/>
      <c r="J185" s="4">
        <f t="shared" ca="1" si="17"/>
        <v>-4.9672988387557633E-2</v>
      </c>
      <c r="K185" s="13"/>
      <c r="L185" s="13">
        <f ca="1">L184-O185*Prices!B185</f>
        <v>0.54932919044118833</v>
      </c>
      <c r="M185" s="4">
        <f t="shared" ca="1" si="13"/>
        <v>0.41660709770301496</v>
      </c>
      <c r="N185" s="13">
        <f ca="1">IF(Prices!B184&gt;OFFSET(Prices!B184,-$N$3,0),1,-1)</f>
        <v>-1</v>
      </c>
      <c r="O185" s="4">
        <f ca="1">IF(N185=1,O$3*L184/Prices!B184,-O$3*M184)</f>
        <v>-4.6289677522557221E-2</v>
      </c>
      <c r="P185" s="22"/>
      <c r="Q185" s="13">
        <f ca="1">Q184-T185*Prices!B185</f>
        <v>0.99146855811856704</v>
      </c>
      <c r="R185" s="4">
        <f t="shared" ca="1" si="12"/>
        <v>3.4209032079448594E-2</v>
      </c>
      <c r="S185" s="13">
        <f ca="1">IF(Prices!B184&gt;OFFSET(Prices!B184,-S$3,0),1,-1)</f>
        <v>-1</v>
      </c>
      <c r="T185" s="4">
        <f ca="1">IF(S185=1,T$3*Q184/Prices!B184,-T$3*R184)</f>
        <v>-3.3833108650004103E-3</v>
      </c>
      <c r="V185" s="13"/>
      <c r="W185" s="4"/>
      <c r="X185" s="4"/>
      <c r="Y185" s="4"/>
      <c r="Z185" s="4"/>
      <c r="AA185" s="4"/>
      <c r="AB185" s="4"/>
      <c r="AC185" s="4"/>
      <c r="AD185" s="4"/>
      <c r="AE185" s="52"/>
    </row>
    <row r="186" spans="1:31" x14ac:dyDescent="0.2">
      <c r="A186" s="7">
        <v>42666</v>
      </c>
      <c r="B186" s="13">
        <f ca="1">Prices!B185*(1+J186/(50*(ABS(O186)+ABS(T186)+0.0001)))</f>
        <v>1.1475527116847473</v>
      </c>
      <c r="C186" s="62">
        <f t="shared" ca="1" si="15"/>
        <v>1</v>
      </c>
      <c r="D186" s="13">
        <f ca="1">D185+C186*(Prices!B186-Prices!B185)/Prices!B185</f>
        <v>6.8289235914090057E-2</v>
      </c>
      <c r="E186" s="13">
        <f t="shared" ca="1" si="16"/>
        <v>3.0374511029206921E-2</v>
      </c>
      <c r="F186" s="13">
        <f t="shared" ca="1" si="14"/>
        <v>9.8663746943296979E-2</v>
      </c>
      <c r="G186" s="21">
        <f ca="1">IF((Prices!B186-Prices!B185)*C186&gt;0,1,0)</f>
        <v>1</v>
      </c>
      <c r="H186" s="13">
        <f>ABS(Prices!B186-Prices!B185)/Prices!B185</f>
        <v>4.3836577240048162E-3</v>
      </c>
      <c r="I186" s="21"/>
      <c r="J186" s="4">
        <f t="shared" ca="1" si="17"/>
        <v>3.6571948681978904E-2</v>
      </c>
      <c r="K186" s="13"/>
      <c r="L186" s="13">
        <f ca="1">L185-O186*Prices!B186</f>
        <v>0.59705569955404569</v>
      </c>
      <c r="M186" s="4">
        <f t="shared" ca="1" si="13"/>
        <v>0.37494638793271345</v>
      </c>
      <c r="N186" s="13">
        <f ca="1">IF(Prices!B185&gt;OFFSET(Prices!B185,-$N$3,0),1,-1)</f>
        <v>-1</v>
      </c>
      <c r="O186" s="4">
        <f ca="1">IF(N186=1,O$3*L185/Prices!B185,-O$3*M185)</f>
        <v>-4.16607097703015E-2</v>
      </c>
      <c r="P186" s="22"/>
      <c r="Q186" s="13">
        <f ca="1">Q185-T186*Prices!B186</f>
        <v>0.90184522459563465</v>
      </c>
      <c r="R186" s="4">
        <f t="shared" ca="1" si="12"/>
        <v>0.112441690531729</v>
      </c>
      <c r="S186" s="13">
        <f ca="1">IF(Prices!B185&gt;OFFSET(Prices!B185,-S$3,0),1,-1)</f>
        <v>1</v>
      </c>
      <c r="T186" s="4">
        <f ca="1">IF(S186=1,T$3*Q185/Prices!B185,-T$3*R185)</f>
        <v>7.8232658452280404E-2</v>
      </c>
      <c r="V186" s="13"/>
      <c r="W186" s="4"/>
      <c r="X186" s="4"/>
      <c r="Y186" s="4"/>
      <c r="Z186" s="4"/>
      <c r="AA186" s="4"/>
      <c r="AB186" s="4"/>
      <c r="AC186" s="4"/>
      <c r="AD186" s="4"/>
      <c r="AE186" s="52"/>
    </row>
    <row r="187" spans="1:31" x14ac:dyDescent="0.2">
      <c r="A187" s="7">
        <v>42673</v>
      </c>
      <c r="B187" s="13">
        <f ca="1">Prices!B186*(1+J187/(50*(ABS(O187)+ABS(T187)+0.0001)))</f>
        <v>1.1684933825841333</v>
      </c>
      <c r="C187" s="62">
        <f t="shared" ca="1" si="15"/>
        <v>1</v>
      </c>
      <c r="D187" s="13">
        <f ca="1">D186+C187*(Prices!B187-Prices!B186)/Prices!B186</f>
        <v>5.6679599042581796E-2</v>
      </c>
      <c r="E187" s="13">
        <f t="shared" ca="1" si="16"/>
        <v>4.1984147900715182E-2</v>
      </c>
      <c r="F187" s="13">
        <f t="shared" ca="1" si="14"/>
        <v>9.8663746943296979E-2</v>
      </c>
      <c r="G187" s="21">
        <f ca="1">IF((Prices!B187-Prices!B186)*C187&gt;0,1,0)</f>
        <v>0</v>
      </c>
      <c r="H187" s="13">
        <f>ABS(Prices!B187-Prices!B186)/Prices!B186</f>
        <v>1.1609636871508264E-2</v>
      </c>
      <c r="I187" s="21"/>
      <c r="J187" s="4">
        <f t="shared" ca="1" si="17"/>
        <v>0.12296756299669317</v>
      </c>
      <c r="K187" s="13"/>
      <c r="L187" s="13">
        <f ca="1">L186-O187*Prices!B187</f>
        <v>0.53804328958502978</v>
      </c>
      <c r="M187" s="4">
        <f t="shared" ca="1" si="13"/>
        <v>0.42706368014238927</v>
      </c>
      <c r="N187" s="13">
        <f ca="1">IF(Prices!B186&gt;OFFSET(Prices!B186,-$N$3,0),1,-1)</f>
        <v>1</v>
      </c>
      <c r="O187" s="4">
        <f ca="1">IF(N187=1,O$3*L186/Prices!B186,-O$3*M186)</f>
        <v>5.2117292209675786E-2</v>
      </c>
      <c r="P187" s="22"/>
      <c r="Q187" s="13">
        <f ca="1">Q186-T187*Prices!B187</f>
        <v>0.82162146298349481</v>
      </c>
      <c r="R187" s="4">
        <f t="shared" ca="1" si="12"/>
        <v>0.18329196131874639</v>
      </c>
      <c r="S187" s="13">
        <f ca="1">IF(Prices!B186&gt;OFFSET(Prices!B186,-S$3,0),1,-1)</f>
        <v>1</v>
      </c>
      <c r="T187" s="4">
        <f ca="1">IF(S187=1,T$3*Q186/Prices!B186,-T$3*R186)</f>
        <v>7.0850270787017389E-2</v>
      </c>
      <c r="V187" s="13"/>
      <c r="W187" s="4"/>
      <c r="X187" s="4"/>
      <c r="Y187" s="4"/>
      <c r="Z187" s="4"/>
      <c r="AA187" s="4"/>
      <c r="AB187" s="4"/>
      <c r="AC187" s="4"/>
      <c r="AD187" s="4"/>
      <c r="AE187" s="52"/>
    </row>
    <row r="188" spans="1:31" x14ac:dyDescent="0.2">
      <c r="A188" s="7">
        <v>42680</v>
      </c>
      <c r="B188" s="13">
        <f ca="1">Prices!B187*(1+J188/(50*(ABS(O188)+ABS(T188)+0.0001)))</f>
        <v>1.1096921871671632</v>
      </c>
      <c r="C188" s="62">
        <f t="shared" ca="1" si="15"/>
        <v>0</v>
      </c>
      <c r="D188" s="13">
        <f ca="1">D187+C188*(Prices!B188-Prices!B187)/Prices!B187</f>
        <v>5.6679599042581796E-2</v>
      </c>
      <c r="E188" s="13">
        <f t="shared" ca="1" si="16"/>
        <v>4.1984147900715182E-2</v>
      </c>
      <c r="F188" s="13">
        <f t="shared" ca="1" si="14"/>
        <v>9.8663746943296979E-2</v>
      </c>
      <c r="G188" s="21">
        <f ca="1">IF((Prices!B188-Prices!B187)*C188&gt;0,1,0)</f>
        <v>0</v>
      </c>
      <c r="H188" s="13">
        <f>ABS(Prices!B188-Prices!B187)/Prices!B187</f>
        <v>2.3845270687981512E-3</v>
      </c>
      <c r="I188" s="21"/>
      <c r="J188" s="4">
        <f t="shared" ca="1" si="17"/>
        <v>-5.9202644532926105E-2</v>
      </c>
      <c r="K188" s="13"/>
      <c r="L188" s="13">
        <f ca="1">L187-O188*Prices!B188</f>
        <v>0.58628440289391404</v>
      </c>
      <c r="M188" s="4">
        <f t="shared" ca="1" si="13"/>
        <v>0.38435731212815033</v>
      </c>
      <c r="N188" s="13">
        <f ca="1">IF(Prices!B187&gt;OFFSET(Prices!B187,-$N$3,0),1,-1)</f>
        <v>-1</v>
      </c>
      <c r="O188" s="4">
        <f ca="1">IF(N188=1,O$3*L187/Prices!B187,-O$3*M187)</f>
        <v>-4.2706368014238931E-2</v>
      </c>
      <c r="P188" s="22"/>
      <c r="Q188" s="13">
        <f ca="1">Q187-T188*Prices!B188</f>
        <v>0.84025565693900384</v>
      </c>
      <c r="R188" s="4">
        <f t="shared" ca="1" si="12"/>
        <v>0.16679568480005921</v>
      </c>
      <c r="S188" s="13">
        <f ca="1">IF(Prices!B187&gt;OFFSET(Prices!B187,-S$3,0),1,-1)</f>
        <v>-1</v>
      </c>
      <c r="T188" s="4">
        <f ca="1">IF(S188=1,T$3*Q187/Prices!B187,-T$3*R187)</f>
        <v>-1.6496276518687174E-2</v>
      </c>
      <c r="V188" s="13"/>
      <c r="W188" s="4"/>
      <c r="X188" s="4"/>
      <c r="Y188" s="4"/>
      <c r="Z188" s="4"/>
      <c r="AA188" s="4"/>
      <c r="AB188" s="4"/>
      <c r="AC188" s="4"/>
      <c r="AD188" s="4"/>
      <c r="AE188" s="52"/>
    </row>
    <row r="189" spans="1:31" x14ac:dyDescent="0.2">
      <c r="A189" s="7">
        <v>42687</v>
      </c>
      <c r="B189" s="13">
        <f ca="1">Prices!B188*(1+J189/(50*(ABS(O189)+ABS(T189)+0.0001)))</f>
        <v>1.1070501907022827</v>
      </c>
      <c r="C189" s="62">
        <f t="shared" ca="1" si="15"/>
        <v>0</v>
      </c>
      <c r="D189" s="13">
        <f ca="1">D188+C189*(Prices!B189-Prices!B188)/Prices!B188</f>
        <v>5.6679599042581796E-2</v>
      </c>
      <c r="E189" s="13">
        <f t="shared" ca="1" si="16"/>
        <v>4.1984147900715182E-2</v>
      </c>
      <c r="F189" s="13">
        <f t="shared" ca="1" si="14"/>
        <v>9.8663746943296979E-2</v>
      </c>
      <c r="G189" s="21">
        <f ca="1">IF((Prices!B189-Prices!B188)*C189&gt;0,1,0)</f>
        <v>0</v>
      </c>
      <c r="H189" s="13">
        <f>ABS(Prices!B189-Prices!B188)/Prices!B188</f>
        <v>3.4525495750708348E-3</v>
      </c>
      <c r="I189" s="21"/>
      <c r="J189" s="4">
        <f t="shared" ca="1" si="17"/>
        <v>-5.3447342844820368E-2</v>
      </c>
      <c r="K189" s="13"/>
      <c r="L189" s="13">
        <f ca="1">L188-O189*Prices!B189</f>
        <v>0.62985130422363989</v>
      </c>
      <c r="M189" s="4">
        <f t="shared" ca="1" si="13"/>
        <v>0.34592158091533531</v>
      </c>
      <c r="N189" s="13">
        <f ca="1">IF(Prices!B188&gt;OFFSET(Prices!B188,-$N$3,0),1,-1)</f>
        <v>-1</v>
      </c>
      <c r="O189" s="4">
        <f ca="1">IF(N189=1,O$3*L188/Prices!B188,-O$3*M188)</f>
        <v>-3.8435731212815037E-2</v>
      </c>
      <c r="P189" s="22"/>
      <c r="Q189" s="13">
        <f ca="1">Q188-T189*Prices!B189</f>
        <v>0.85727131872388185</v>
      </c>
      <c r="R189" s="4">
        <f t="shared" ca="1" si="12"/>
        <v>0.1517840731680539</v>
      </c>
      <c r="S189" s="13">
        <f ca="1">IF(Prices!B188&gt;OFFSET(Prices!B188,-S$3,0),1,-1)</f>
        <v>-1</v>
      </c>
      <c r="T189" s="4">
        <f ca="1">IF(S189=1,T$3*Q188/Prices!B188,-T$3*R188)</f>
        <v>-1.5011611632005329E-2</v>
      </c>
      <c r="V189" s="13"/>
      <c r="W189" s="4"/>
      <c r="X189" s="4"/>
      <c r="Y189" s="4"/>
      <c r="Z189" s="4"/>
      <c r="AA189" s="4"/>
      <c r="AB189" s="4"/>
      <c r="AC189" s="4"/>
      <c r="AD189" s="4"/>
      <c r="AE189" s="52"/>
    </row>
    <row r="190" spans="1:31" x14ac:dyDescent="0.2">
      <c r="A190" s="7">
        <v>42694</v>
      </c>
      <c r="B190" s="13">
        <f ca="1">Prices!B189*(1+J190/(50*(ABS(O190)+ABS(T190)+0.0001)))</f>
        <v>1.1408850455222015</v>
      </c>
      <c r="C190" s="62">
        <f t="shared" ca="1" si="15"/>
        <v>1</v>
      </c>
      <c r="D190" s="13">
        <f ca="1">D189+C190*(Prices!B190-Prices!B189)/Prices!B189</f>
        <v>5.9326268649992575E-2</v>
      </c>
      <c r="E190" s="13">
        <f t="shared" ca="1" si="16"/>
        <v>3.9337478293304404E-2</v>
      </c>
      <c r="F190" s="13">
        <f t="shared" ca="1" si="14"/>
        <v>9.8663746943296979E-2</v>
      </c>
      <c r="G190" s="21">
        <f ca="1">IF((Prices!B190-Prices!B189)*C190&gt;0,1,0)</f>
        <v>1</v>
      </c>
      <c r="H190" s="13">
        <f>ABS(Prices!B190-Prices!B189)/Prices!B189</f>
        <v>2.6466696074107753E-3</v>
      </c>
      <c r="I190" s="21"/>
      <c r="J190" s="4">
        <f t="shared" ca="1" si="17"/>
        <v>3.3475260245607506E-2</v>
      </c>
      <c r="K190" s="13"/>
      <c r="L190" s="13">
        <f ca="1">L189-O190*Prices!B190</f>
        <v>0.66916529189466778</v>
      </c>
      <c r="M190" s="4">
        <f t="shared" ca="1" si="13"/>
        <v>0.31132942282380177</v>
      </c>
      <c r="N190" s="13">
        <f ca="1">IF(Prices!B189&gt;OFFSET(Prices!B189,-$N$3,0),1,-1)</f>
        <v>-1</v>
      </c>
      <c r="O190" s="4">
        <f ca="1">IF(N190=1,O$3*L189/Prices!B189,-O$3*M189)</f>
        <v>-3.4592158091533536E-2</v>
      </c>
      <c r="P190" s="22"/>
      <c r="Q190" s="13">
        <f ca="1">Q189-T190*Prices!B190</f>
        <v>0.77991269778372108</v>
      </c>
      <c r="R190" s="4">
        <f t="shared" ca="1" si="12"/>
        <v>0.21985149150519495</v>
      </c>
      <c r="S190" s="13">
        <f ca="1">IF(Prices!B189&gt;OFFSET(Prices!B189,-S$3,0),1,-1)</f>
        <v>1</v>
      </c>
      <c r="T190" s="4">
        <f ca="1">IF(S190=1,T$3*Q189/Prices!B189,-T$3*R189)</f>
        <v>6.8067418337141042E-2</v>
      </c>
      <c r="V190" s="13"/>
      <c r="W190" s="4"/>
      <c r="X190" s="4"/>
      <c r="Y190" s="4"/>
      <c r="Z190" s="4"/>
      <c r="AA190" s="4"/>
      <c r="AB190" s="4"/>
      <c r="AC190" s="4"/>
      <c r="AD190" s="4"/>
      <c r="AE190" s="52"/>
    </row>
    <row r="191" spans="1:31" x14ac:dyDescent="0.2">
      <c r="A191" s="7">
        <v>42701</v>
      </c>
      <c r="B191" s="13">
        <f ca="1">Prices!B190*(1+J191/(50*(ABS(O191)+ABS(T191)+0.0001)))</f>
        <v>1.113814551526201</v>
      </c>
      <c r="C191" s="62">
        <f t="shared" ca="1" si="15"/>
        <v>0</v>
      </c>
      <c r="D191" s="13">
        <f ca="1">D190+C191*(Prices!B191-Prices!B190)/Prices!B190</f>
        <v>5.9326268649992575E-2</v>
      </c>
      <c r="E191" s="13">
        <f t="shared" ca="1" si="16"/>
        <v>3.9337478293304404E-2</v>
      </c>
      <c r="F191" s="13">
        <f t="shared" ca="1" si="14"/>
        <v>9.8663746943296979E-2</v>
      </c>
      <c r="G191" s="21">
        <f ca="1">IF((Prices!B191-Prices!B190)*C191&gt;0,1,0)</f>
        <v>0</v>
      </c>
      <c r="H191" s="13">
        <f>ABS(Prices!B191-Prices!B190)/Prices!B190</f>
        <v>1.1438627364716342E-2</v>
      </c>
      <c r="I191" s="21"/>
      <c r="J191" s="4">
        <f t="shared" ca="1" si="17"/>
        <v>-5.0919576517847724E-2</v>
      </c>
      <c r="K191" s="13"/>
      <c r="L191" s="13">
        <f ca="1">L190-O191*Prices!B191</f>
        <v>0.7041431525489219</v>
      </c>
      <c r="M191" s="4">
        <f t="shared" ca="1" si="13"/>
        <v>0.2801964805414216</v>
      </c>
      <c r="N191" s="13">
        <f ca="1">IF(Prices!B190&gt;OFFSET(Prices!B190,-$N$3,0),1,-1)</f>
        <v>-1</v>
      </c>
      <c r="O191" s="4">
        <f ca="1">IF(N191=1,O$3*L190/Prices!B190,-O$3*M190)</f>
        <v>-3.1132942282380179E-2</v>
      </c>
      <c r="P191" s="22"/>
      <c r="Q191" s="13">
        <f ca="1">Q190-T191*Prices!B191</f>
        <v>0.80214298134726891</v>
      </c>
      <c r="R191" s="4">
        <f t="shared" ca="1" si="12"/>
        <v>0.20006485726972739</v>
      </c>
      <c r="S191" s="13">
        <f ca="1">IF(Prices!B190&gt;OFFSET(Prices!B190,-S$3,0),1,-1)</f>
        <v>-1</v>
      </c>
      <c r="T191" s="4">
        <f ca="1">IF(S191=1,T$3*Q190/Prices!B190,-T$3*R190)</f>
        <v>-1.9786634235467546E-2</v>
      </c>
      <c r="V191" s="13"/>
      <c r="W191" s="4"/>
      <c r="X191" s="4"/>
      <c r="Y191" s="4"/>
      <c r="Z191" s="4"/>
      <c r="AA191" s="4"/>
      <c r="AB191" s="4"/>
      <c r="AC191" s="4"/>
      <c r="AD191" s="4"/>
      <c r="AE191" s="52"/>
    </row>
    <row r="192" spans="1:31" x14ac:dyDescent="0.2">
      <c r="A192" s="7">
        <v>42708</v>
      </c>
      <c r="B192" s="13">
        <f ca="1">Prices!B191*(1+J192/(50*(ABS(O192)+ABS(T192)+0.0001)))</f>
        <v>1.1010787149347014</v>
      </c>
      <c r="C192" s="62">
        <f t="shared" ca="1" si="15"/>
        <v>0</v>
      </c>
      <c r="D192" s="13">
        <f ca="1">D191+C192*(Prices!B192-Prices!B191)/Prices!B191</f>
        <v>5.9326268649992575E-2</v>
      </c>
      <c r="E192" s="13">
        <f t="shared" ca="1" si="16"/>
        <v>3.9337478293304404E-2</v>
      </c>
      <c r="F192" s="13">
        <f t="shared" ca="1" si="14"/>
        <v>9.8663746943296979E-2</v>
      </c>
      <c r="G192" s="21">
        <f ca="1">IF((Prices!B192-Prices!B191)*C192&gt;0,1,0)</f>
        <v>0</v>
      </c>
      <c r="H192" s="13">
        <f>ABS(Prices!B192-Prices!B191)/Prices!B191</f>
        <v>8.0996884735203452E-3</v>
      </c>
      <c r="I192" s="21"/>
      <c r="J192" s="4">
        <f t="shared" ca="1" si="17"/>
        <v>-4.6025485208417621E-2</v>
      </c>
      <c r="K192" s="13"/>
      <c r="L192" s="13">
        <f ca="1">L191-O192*Prices!B192</f>
        <v>0.73587820593504327</v>
      </c>
      <c r="M192" s="4">
        <f t="shared" ca="1" si="13"/>
        <v>0.25217683248727946</v>
      </c>
      <c r="N192" s="13">
        <f ca="1">IF(Prices!B191&gt;OFFSET(Prices!B191,-$N$3,0),1,-1)</f>
        <v>-1</v>
      </c>
      <c r="O192" s="4">
        <f ca="1">IF(N192=1,O$3*L191/Prices!B191,-O$3*M191)</f>
        <v>-2.8019648054142161E-2</v>
      </c>
      <c r="P192" s="22"/>
      <c r="Q192" s="13">
        <f ca="1">Q191-T192*Prices!B192</f>
        <v>0.82253639250820132</v>
      </c>
      <c r="R192" s="4">
        <f t="shared" ca="1" si="12"/>
        <v>0.18205902011545194</v>
      </c>
      <c r="S192" s="13">
        <f ca="1">IF(Prices!B191&gt;OFFSET(Prices!B191,-S$3,0),1,-1)</f>
        <v>-1</v>
      </c>
      <c r="T192" s="4">
        <f ca="1">IF(S192=1,T$3*Q191/Prices!B191,-T$3*R191)</f>
        <v>-1.8005837154275464E-2</v>
      </c>
      <c r="V192" s="13"/>
      <c r="W192" s="4"/>
      <c r="X192" s="4"/>
      <c r="Y192" s="4"/>
      <c r="Z192" s="4"/>
      <c r="AA192" s="4"/>
      <c r="AB192" s="4"/>
      <c r="AC192" s="4"/>
      <c r="AD192" s="4"/>
      <c r="AE192" s="52"/>
    </row>
    <row r="193" spans="1:31" x14ac:dyDescent="0.2">
      <c r="A193" s="7">
        <v>42715</v>
      </c>
      <c r="B193" s="13">
        <f ca="1">Prices!B192*(1+J193/(50*(ABS(O193)+ABS(T193)+0.0001)))</f>
        <v>1.1461112482994023</v>
      </c>
      <c r="C193" s="62">
        <f t="shared" ca="1" si="15"/>
        <v>1</v>
      </c>
      <c r="D193" s="13">
        <f ca="1">D192+C193*(Prices!B193-Prices!B192)/Prices!B192</f>
        <v>5.7207250461753165E-2</v>
      </c>
      <c r="E193" s="13">
        <f t="shared" ca="1" si="16"/>
        <v>4.1456496481543814E-2</v>
      </c>
      <c r="F193" s="13">
        <f t="shared" ca="1" si="14"/>
        <v>9.8663746943296979E-2</v>
      </c>
      <c r="G193" s="21">
        <f ca="1">IF((Prices!B193-Prices!B192)*C193&gt;0,1,0)</f>
        <v>0</v>
      </c>
      <c r="H193" s="13">
        <f>ABS(Prices!B193-Prices!B192)/Prices!B192</f>
        <v>2.1190181882394118E-3</v>
      </c>
      <c r="I193" s="21"/>
      <c r="J193" s="4">
        <f t="shared" ca="1" si="17"/>
        <v>4.8587159135666469E-2</v>
      </c>
      <c r="K193" s="13"/>
      <c r="L193" s="13">
        <f ca="1">L192-O193*Prices!B193</f>
        <v>0.66244631927180953</v>
      </c>
      <c r="M193" s="4">
        <f t="shared" ca="1" si="13"/>
        <v>0.31714930343333658</v>
      </c>
      <c r="N193" s="13">
        <f ca="1">IF(Prices!B192&gt;OFFSET(Prices!B192,-$N$3,0),1,-1)</f>
        <v>1</v>
      </c>
      <c r="O193" s="4">
        <f ca="1">IF(N193=1,O$3*L192/Prices!B192,-O$3*M192)</f>
        <v>6.497247094605714E-2</v>
      </c>
      <c r="P193" s="22"/>
      <c r="Q193" s="13">
        <f ca="1">Q192-T193*Prices!B193</f>
        <v>0.84105507191630491</v>
      </c>
      <c r="R193" s="4">
        <f t="shared" ca="1" si="12"/>
        <v>0.16567370830506126</v>
      </c>
      <c r="S193" s="13">
        <f ca="1">IF(Prices!B192&gt;OFFSET(Prices!B192,-S$3,0),1,-1)</f>
        <v>-1</v>
      </c>
      <c r="T193" s="4">
        <f ca="1">IF(S193=1,T$3*Q192/Prices!B192,-T$3*R192)</f>
        <v>-1.6385311810390674E-2</v>
      </c>
      <c r="V193" s="13"/>
      <c r="W193" s="4"/>
      <c r="X193" s="4"/>
      <c r="Y193" s="4"/>
      <c r="Z193" s="4"/>
      <c r="AA193" s="4"/>
      <c r="AB193" s="4"/>
      <c r="AC193" s="4"/>
      <c r="AD193" s="4"/>
      <c r="AE193" s="52"/>
    </row>
    <row r="194" spans="1:31" x14ac:dyDescent="0.2">
      <c r="A194" s="7">
        <v>42722</v>
      </c>
      <c r="B194" s="13">
        <f ca="1">Prices!B193*(1+J194/(50*(ABS(O194)+ABS(T194)+0.0001)))</f>
        <v>1.1076443760879937</v>
      </c>
      <c r="C194" s="62">
        <f t="shared" ca="1" si="15"/>
        <v>0</v>
      </c>
      <c r="D194" s="13">
        <f ca="1">D193+C194*(Prices!B194-Prices!B193)/Prices!B193</f>
        <v>5.7207250461753165E-2</v>
      </c>
      <c r="E194" s="13">
        <f t="shared" ca="1" si="16"/>
        <v>4.1456496481543814E-2</v>
      </c>
      <c r="F194" s="13">
        <f t="shared" ca="1" si="14"/>
        <v>9.8663746943296979E-2</v>
      </c>
      <c r="G194" s="21">
        <f ca="1">IF((Prices!B194-Prices!B193)*C194&gt;0,1,0)</f>
        <v>0</v>
      </c>
      <c r="H194" s="13">
        <f>ABS(Prices!B194-Prices!B193)/Prices!B193</f>
        <v>7.4323128649798125E-3</v>
      </c>
      <c r="I194" s="21"/>
      <c r="J194" s="4">
        <f t="shared" ca="1" si="17"/>
        <v>-4.6625564090789176E-2</v>
      </c>
      <c r="K194" s="13"/>
      <c r="L194" s="13">
        <f ca="1">L193-O194*Prices!B194</f>
        <v>0.69802412813096126</v>
      </c>
      <c r="M194" s="4">
        <f t="shared" ca="1" si="13"/>
        <v>0.28543437309000291</v>
      </c>
      <c r="N194" s="13">
        <f ca="1">IF(Prices!B193&gt;OFFSET(Prices!B193,-$N$3,0),1,-1)</f>
        <v>-1</v>
      </c>
      <c r="O194" s="4">
        <f ca="1">IF(N194=1,O$3*L193/Prices!B193,-O$3*M193)</f>
        <v>-3.1714930343333662E-2</v>
      </c>
      <c r="P194" s="22"/>
      <c r="Q194" s="13">
        <f ca="1">Q193-T194*Prices!B194</f>
        <v>0.85778182085420052</v>
      </c>
      <c r="R194" s="4">
        <f t="shared" ca="1" si="12"/>
        <v>0.15076307455760574</v>
      </c>
      <c r="S194" s="13">
        <f ca="1">IF(Prices!B193&gt;OFFSET(Prices!B193,-S$3,0),1,-1)</f>
        <v>-1</v>
      </c>
      <c r="T194" s="4">
        <f ca="1">IF(S194=1,T$3*Q193/Prices!B193,-T$3*R193)</f>
        <v>-1.4910633747455512E-2</v>
      </c>
      <c r="V194" s="13"/>
      <c r="W194" s="4"/>
      <c r="X194" s="4"/>
      <c r="Y194" s="4"/>
      <c r="Z194" s="4"/>
      <c r="AA194" s="4"/>
      <c r="AB194" s="4"/>
      <c r="AC194" s="4"/>
      <c r="AD194" s="4"/>
      <c r="AE194" s="52"/>
    </row>
    <row r="195" spans="1:31" x14ac:dyDescent="0.2">
      <c r="A195" s="7">
        <v>42729</v>
      </c>
      <c r="B195" s="13">
        <f ca="1">Prices!B194*(1+J195/(50*(ABS(O195)+ABS(T195)+0.0001)))</f>
        <v>1.0994171506192505</v>
      </c>
      <c r="C195" s="62">
        <f t="shared" ca="1" si="15"/>
        <v>0</v>
      </c>
      <c r="D195" s="13">
        <f ca="1">D194+C195*(Prices!B195-Prices!B194)/Prices!B194</f>
        <v>5.7207250461753165E-2</v>
      </c>
      <c r="E195" s="13">
        <f t="shared" ca="1" si="16"/>
        <v>4.1456496481543814E-2</v>
      </c>
      <c r="F195" s="13">
        <f t="shared" ca="1" si="14"/>
        <v>9.8663746943296979E-2</v>
      </c>
      <c r="G195" s="21">
        <f ca="1">IF((Prices!B195-Prices!B194)*C195&gt;0,1,0)</f>
        <v>0</v>
      </c>
      <c r="H195" s="13">
        <f>ABS(Prices!B195-Prices!B194)/Prices!B194</f>
        <v>1.782848992690123E-4</v>
      </c>
      <c r="I195" s="21"/>
      <c r="J195" s="4">
        <f t="shared" ca="1" si="17"/>
        <v>-4.2112114019184806E-2</v>
      </c>
      <c r="K195" s="13"/>
      <c r="L195" s="13">
        <f ca="1">L194-O195*Prices!B195</f>
        <v>0.73003844741673596</v>
      </c>
      <c r="M195" s="4">
        <f t="shared" ca="1" si="13"/>
        <v>0.25689093578100264</v>
      </c>
      <c r="N195" s="13">
        <f ca="1">IF(Prices!B194&gt;OFFSET(Prices!B194,-$N$3,0),1,-1)</f>
        <v>-1</v>
      </c>
      <c r="O195" s="4">
        <f ca="1">IF(N195=1,O$3*L194/Prices!B194,-O$3*M194)</f>
        <v>-2.8543437309000292E-2</v>
      </c>
      <c r="P195" s="22"/>
      <c r="Q195" s="13">
        <f ca="1">Q194-T195*Prices!B195</f>
        <v>0.8730004486523435</v>
      </c>
      <c r="R195" s="4">
        <f t="shared" ca="1" si="12"/>
        <v>0.13719439784742121</v>
      </c>
      <c r="S195" s="13">
        <f ca="1">IF(Prices!B194&gt;OFFSET(Prices!B194,-S$3,0),1,-1)</f>
        <v>-1</v>
      </c>
      <c r="T195" s="4">
        <f ca="1">IF(S195=1,T$3*Q194/Prices!B194,-T$3*R194)</f>
        <v>-1.3568676710184515E-2</v>
      </c>
      <c r="V195" s="13"/>
      <c r="W195" s="4"/>
      <c r="X195" s="4"/>
      <c r="Y195" s="4"/>
      <c r="Z195" s="4"/>
      <c r="AA195" s="4"/>
      <c r="AB195" s="4"/>
      <c r="AC195" s="4"/>
      <c r="AD195" s="4"/>
      <c r="AE195" s="52"/>
    </row>
    <row r="196" spans="1:31" x14ac:dyDescent="0.2">
      <c r="A196" s="7">
        <v>42736</v>
      </c>
      <c r="B196" s="13">
        <f ca="1">Prices!B195*(1+J196/(50*(ABS(O196)+ABS(T196)+0.0001)))</f>
        <v>1.0992268201524102</v>
      </c>
      <c r="C196" s="62">
        <f t="shared" ca="1" si="15"/>
        <v>0</v>
      </c>
      <c r="D196" s="13">
        <f ca="1">D195+C196*(Prices!B196-Prices!B195)/Prices!B195</f>
        <v>5.7207250461753165E-2</v>
      </c>
      <c r="E196" s="13">
        <f t="shared" ca="1" si="16"/>
        <v>4.1456496481543814E-2</v>
      </c>
      <c r="F196" s="13">
        <f t="shared" ca="1" si="14"/>
        <v>9.8663746943296979E-2</v>
      </c>
      <c r="G196" s="21">
        <f ca="1">IF((Prices!B196-Prices!B195)*C196&gt;0,1,0)</f>
        <v>0</v>
      </c>
      <c r="H196" s="13">
        <f>ABS(Prices!B196-Prices!B195)/Prices!B195</f>
        <v>7.4001426533523307E-3</v>
      </c>
      <c r="I196" s="21"/>
      <c r="J196" s="4">
        <f t="shared" ca="1" si="17"/>
        <v>-3.8036589384368172E-2</v>
      </c>
      <c r="K196" s="13"/>
      <c r="L196" s="13">
        <f ca="1">L195-O196*Prices!B196</f>
        <v>0.75906455425063146</v>
      </c>
      <c r="M196" s="4">
        <f t="shared" ca="1" si="13"/>
        <v>0.23120184220290238</v>
      </c>
      <c r="N196" s="13">
        <f ca="1">IF(Prices!B195&gt;OFFSET(Prices!B195,-$N$3,0),1,-1)</f>
        <v>-1</v>
      </c>
      <c r="O196" s="4">
        <f ca="1">IF(N196=1,O$3*L195/Prices!B195,-O$3*M195)</f>
        <v>-2.5689093578100265E-2</v>
      </c>
      <c r="P196" s="22"/>
      <c r="Q196" s="13">
        <f ca="1">Q195-T196*Prices!B196</f>
        <v>0.88695188416384563</v>
      </c>
      <c r="R196" s="4">
        <f t="shared" ca="1" si="12"/>
        <v>0.1248469020411533</v>
      </c>
      <c r="S196" s="13">
        <f ca="1">IF(Prices!B195&gt;OFFSET(Prices!B195,-S$3,0),1,-1)</f>
        <v>-1</v>
      </c>
      <c r="T196" s="4">
        <f ca="1">IF(S196=1,T$3*Q195/Prices!B195,-T$3*R195)</f>
        <v>-1.2347495806267908E-2</v>
      </c>
      <c r="V196" s="13"/>
      <c r="W196" s="4"/>
      <c r="X196" s="4"/>
      <c r="Y196" s="4"/>
      <c r="Z196" s="4"/>
      <c r="AA196" s="4"/>
      <c r="AB196" s="4"/>
      <c r="AC196" s="4"/>
      <c r="AD196" s="4"/>
      <c r="AE196" s="52"/>
    </row>
    <row r="197" spans="1:31" x14ac:dyDescent="0.2">
      <c r="A197" s="7">
        <v>42743</v>
      </c>
      <c r="B197" s="13">
        <f ca="1">Prices!B196*(1+J197/(50*(ABS(O197)+ABS(T197)+0.0001)))</f>
        <v>1.1073675843223778</v>
      </c>
      <c r="C197" s="62">
        <f t="shared" ca="1" si="15"/>
        <v>0</v>
      </c>
      <c r="D197" s="13">
        <f ca="1">D196+C197*(Prices!B197-Prices!B196)/Prices!B196</f>
        <v>5.7207250461753165E-2</v>
      </c>
      <c r="E197" s="13">
        <f t="shared" ca="1" si="16"/>
        <v>4.1456496481543814E-2</v>
      </c>
      <c r="F197" s="13">
        <f t="shared" ca="1" si="14"/>
        <v>9.8663746943296979E-2</v>
      </c>
      <c r="G197" s="21">
        <f ca="1">IF((Prices!B197-Prices!B196)*C197&gt;0,1,0)</f>
        <v>0</v>
      </c>
      <c r="H197" s="13">
        <f>ABS(Prices!B197-Prices!B196)/Prices!B196</f>
        <v>4.7791839985838122E-3</v>
      </c>
      <c r="I197" s="21"/>
      <c r="J197" s="4">
        <f t="shared" ca="1" si="17"/>
        <v>-3.4356405403994039E-2</v>
      </c>
      <c r="K197" s="13"/>
      <c r="L197" s="13">
        <f ca="1">L196-O197*Prices!B197</f>
        <v>0.78506320140634789</v>
      </c>
      <c r="M197" s="4">
        <f t="shared" ca="1" si="13"/>
        <v>0.20808165798261213</v>
      </c>
      <c r="N197" s="13">
        <f ca="1">IF(Prices!B196&gt;OFFSET(Prices!B196,-$N$3,0),1,-1)</f>
        <v>-1</v>
      </c>
      <c r="O197" s="4">
        <f ca="1">IF(N197=1,O$3*L196/Prices!B196,-O$3*M196)</f>
        <v>-2.3120184220290239E-2</v>
      </c>
      <c r="P197" s="22"/>
      <c r="Q197" s="13">
        <f ca="1">Q196-T197*Prices!B197</f>
        <v>0.89958701488492054</v>
      </c>
      <c r="R197" s="4">
        <f t="shared" ref="R197:R260" ca="1" si="18">R196+T197</f>
        <v>0.11361068085744951</v>
      </c>
      <c r="S197" s="13">
        <f ca="1">IF(Prices!B196&gt;OFFSET(Prices!B196,-S$3,0),1,-1)</f>
        <v>-1</v>
      </c>
      <c r="T197" s="4">
        <f ca="1">IF(S197=1,T$3*Q196/Prices!B196,-T$3*R196)</f>
        <v>-1.1236221183703796E-2</v>
      </c>
      <c r="V197" s="13"/>
      <c r="W197" s="4"/>
      <c r="X197" s="4"/>
      <c r="Y197" s="4"/>
      <c r="Z197" s="4"/>
      <c r="AA197" s="4"/>
      <c r="AB197" s="4"/>
      <c r="AC197" s="4"/>
      <c r="AD197" s="4"/>
      <c r="AE197" s="52"/>
    </row>
    <row r="198" spans="1:31" x14ac:dyDescent="0.2">
      <c r="A198" s="7">
        <v>42750</v>
      </c>
      <c r="B198" s="13">
        <f ca="1">Prices!B197*(1+J198/(50*(ABS(O198)+ABS(T198)+0.0001)))</f>
        <v>1.1020822381659432</v>
      </c>
      <c r="C198" s="62">
        <f t="shared" ca="1" si="15"/>
        <v>0</v>
      </c>
      <c r="D198" s="13">
        <f ca="1">D197+C198*(Prices!B198-Prices!B197)/Prices!B197</f>
        <v>5.7207250461753165E-2</v>
      </c>
      <c r="E198" s="13">
        <f t="shared" ca="1" si="16"/>
        <v>4.1456496481543814E-2</v>
      </c>
      <c r="F198" s="13">
        <f t="shared" ca="1" si="14"/>
        <v>9.8663746943296979E-2</v>
      </c>
      <c r="G198" s="21">
        <f ca="1">IF((Prices!B198-Prices!B197)*C198&gt;0,1,0)</f>
        <v>0</v>
      </c>
      <c r="H198" s="13">
        <f>ABS(Prices!B198-Prices!B197)/Prices!B197</f>
        <v>8.3592707870165182E-3</v>
      </c>
      <c r="I198" s="21"/>
      <c r="J198" s="4">
        <f t="shared" ca="1" si="17"/>
        <v>-3.1033127075431668E-2</v>
      </c>
      <c r="K198" s="13"/>
      <c r="L198" s="13">
        <f ca="1">L197-O198*Prices!B198</f>
        <v>0.80826638708798892</v>
      </c>
      <c r="M198" s="4">
        <f t="shared" ca="1" si="13"/>
        <v>0.18727349218435091</v>
      </c>
      <c r="N198" s="13">
        <f ca="1">IF(Prices!B197&gt;OFFSET(Prices!B197,-$N$3,0),1,-1)</f>
        <v>-1</v>
      </c>
      <c r="O198" s="4">
        <f ca="1">IF(N198=1,O$3*L197/Prices!B197,-O$3*M197)</f>
        <v>-2.0808165798261214E-2</v>
      </c>
      <c r="P198" s="22"/>
      <c r="Q198" s="13">
        <f ca="1">Q197-T198*Prices!B198</f>
        <v>0.91098886920509337</v>
      </c>
      <c r="R198" s="4">
        <f t="shared" ca="1" si="18"/>
        <v>0.10338571958027905</v>
      </c>
      <c r="S198" s="13">
        <f ca="1">IF(Prices!B197&gt;OFFSET(Prices!B197,-S$3,0),1,-1)</f>
        <v>-1</v>
      </c>
      <c r="T198" s="4">
        <f ca="1">IF(S198=1,T$3*Q197/Prices!B197,-T$3*R197)</f>
        <v>-1.0224961277170454E-2</v>
      </c>
      <c r="V198" s="13"/>
      <c r="W198" s="4"/>
      <c r="X198" s="4"/>
      <c r="Y198" s="4"/>
      <c r="Z198" s="4"/>
      <c r="AA198" s="4"/>
      <c r="AB198" s="4"/>
      <c r="AC198" s="4"/>
      <c r="AD198" s="4"/>
      <c r="AE198" s="52"/>
    </row>
    <row r="199" spans="1:31" x14ac:dyDescent="0.2">
      <c r="A199" s="7">
        <v>42757</v>
      </c>
      <c r="B199" s="13">
        <f ca="1">Prices!B198*(1+J199/(50*(ABS(O199)+ABS(T199)+0.0001)))</f>
        <v>1.0928772760887198</v>
      </c>
      <c r="C199" s="62">
        <f t="shared" ca="1" si="15"/>
        <v>0</v>
      </c>
      <c r="D199" s="13">
        <f ca="1">D198+C199*(Prices!B199-Prices!B198)/Prices!B198</f>
        <v>5.7207250461753165E-2</v>
      </c>
      <c r="E199" s="13">
        <f t="shared" ca="1" si="16"/>
        <v>4.1456496481543814E-2</v>
      </c>
      <c r="F199" s="13">
        <f t="shared" ca="1" si="14"/>
        <v>9.8663746943296979E-2</v>
      </c>
      <c r="G199" s="21">
        <f ca="1">IF((Prices!B199-Prices!B198)*C199&gt;0,1,0)</f>
        <v>0</v>
      </c>
      <c r="H199" s="13">
        <f>ABS(Prices!B199-Prices!B198)/Prices!B198</f>
        <v>4.2148686216482165E-3</v>
      </c>
      <c r="I199" s="21"/>
      <c r="J199" s="4">
        <f t="shared" ca="1" si="17"/>
        <v>-2.8032063980660202E-2</v>
      </c>
      <c r="K199" s="13"/>
      <c r="L199" s="13">
        <f ca="1">L198-O199*Prices!B199</f>
        <v>0.82923727274279257</v>
      </c>
      <c r="M199" s="4">
        <f t="shared" ca="1" si="13"/>
        <v>0.16854614296591583</v>
      </c>
      <c r="N199" s="13">
        <f ca="1">IF(Prices!B198&gt;OFFSET(Prices!B198,-$N$3,0),1,-1)</f>
        <v>-1</v>
      </c>
      <c r="O199" s="4">
        <f ca="1">IF(N199=1,O$3*L198/Prices!B198,-O$3*M198)</f>
        <v>-1.872734921843509E-2</v>
      </c>
      <c r="P199" s="22"/>
      <c r="Q199" s="13">
        <f ca="1">Q198-T199*Prices!B199</f>
        <v>0.92140828879583303</v>
      </c>
      <c r="R199" s="4">
        <f t="shared" ca="1" si="18"/>
        <v>9.408100481805394E-2</v>
      </c>
      <c r="S199" s="13">
        <f ca="1">IF(Prices!B198&gt;OFFSET(Prices!B198,-S$3,0),1,-1)</f>
        <v>-1</v>
      </c>
      <c r="T199" s="4">
        <f ca="1">IF(S199=1,T$3*Q198/Prices!B198,-T$3*R198)</f>
        <v>-9.3047147622251133E-3</v>
      </c>
      <c r="V199" s="13"/>
      <c r="W199" s="4"/>
      <c r="X199" s="4"/>
      <c r="Y199" s="4"/>
      <c r="Z199" s="4"/>
      <c r="AA199" s="4"/>
      <c r="AB199" s="4"/>
      <c r="AC199" s="4"/>
      <c r="AD199" s="4"/>
      <c r="AE199" s="52"/>
    </row>
    <row r="200" spans="1:31" x14ac:dyDescent="0.2">
      <c r="A200" s="7">
        <v>42764</v>
      </c>
      <c r="B200" s="13">
        <f ca="1">Prices!B199*(1+J200/(50*(ABS(O200)+ABS(T200)+0.0001)))</f>
        <v>1.0974920972540714</v>
      </c>
      <c r="C200" s="62">
        <f t="shared" ca="1" si="15"/>
        <v>0</v>
      </c>
      <c r="D200" s="13">
        <f ca="1">D199+C200*(Prices!B200-Prices!B199)/Prices!B199</f>
        <v>5.7207250461753165E-2</v>
      </c>
      <c r="E200" s="13">
        <f t="shared" ca="1" si="16"/>
        <v>4.1456496481543814E-2</v>
      </c>
      <c r="F200" s="13">
        <f t="shared" ca="1" si="14"/>
        <v>9.8663746943296979E-2</v>
      </c>
      <c r="G200" s="21">
        <f ca="1">IF((Prices!B200-Prices!B199)*C200&gt;0,1,0)</f>
        <v>0</v>
      </c>
      <c r="H200" s="13">
        <f>ABS(Prices!B200-Prices!B199)/Prices!B199</f>
        <v>3.1255581353813707E-3</v>
      </c>
      <c r="I200" s="21"/>
      <c r="J200" s="4">
        <f t="shared" ca="1" si="17"/>
        <v>-2.5321904730216439E-2</v>
      </c>
      <c r="K200" s="13"/>
      <c r="L200" s="13">
        <f ca="1">L199-O200*Prices!B200</f>
        <v>0.84817006098215386</v>
      </c>
      <c r="M200" s="4">
        <f t="shared" ca="1" si="13"/>
        <v>0.15169152866932425</v>
      </c>
      <c r="N200" s="13">
        <f ca="1">IF(Prices!B199&gt;OFFSET(Prices!B199,-$N$3,0),1,-1)</f>
        <v>-1</v>
      </c>
      <c r="O200" s="4">
        <f ca="1">IF(N200=1,O$3*L199/Prices!B199,-O$3*M199)</f>
        <v>-1.6854614296591585E-2</v>
      </c>
      <c r="P200" s="22"/>
      <c r="Q200" s="13">
        <f ca="1">Q199-T200*Prices!B200</f>
        <v>0.93091959613992381</v>
      </c>
      <c r="R200" s="4">
        <f t="shared" ca="1" si="18"/>
        <v>8.5613714384429079E-2</v>
      </c>
      <c r="S200" s="13">
        <f ca="1">IF(Prices!B199&gt;OFFSET(Prices!B199,-S$3,0),1,-1)</f>
        <v>-1</v>
      </c>
      <c r="T200" s="4">
        <f ca="1">IF(S200=1,T$3*Q199/Prices!B199,-T$3*R199)</f>
        <v>-8.4672904336248536E-3</v>
      </c>
      <c r="V200" s="13"/>
      <c r="W200" s="4"/>
      <c r="X200" s="4"/>
      <c r="Y200" s="4"/>
      <c r="Z200" s="4"/>
      <c r="AA200" s="4"/>
      <c r="AB200" s="4"/>
      <c r="AC200" s="4"/>
      <c r="AD200" s="4"/>
      <c r="AE200" s="52"/>
    </row>
    <row r="201" spans="1:31" x14ac:dyDescent="0.2">
      <c r="A201" s="7">
        <v>42771</v>
      </c>
      <c r="B201" s="13">
        <f ca="1">Prices!B200*(1+J201/(50*(ABS(O201)+ABS(T201)+0.0001)))</f>
        <v>1.1009317871568109</v>
      </c>
      <c r="C201" s="62">
        <f t="shared" ca="1" si="15"/>
        <v>0</v>
      </c>
      <c r="D201" s="13">
        <f ca="1">D200+C201*(Prices!B201-Prices!B200)/Prices!B200</f>
        <v>5.7207250461753165E-2</v>
      </c>
      <c r="E201" s="13">
        <f t="shared" ca="1" si="16"/>
        <v>4.1456496481543814E-2</v>
      </c>
      <c r="F201" s="13">
        <f t="shared" ca="1" si="14"/>
        <v>9.8663746943296979E-2</v>
      </c>
      <c r="G201" s="21">
        <f ca="1">IF((Prices!B201-Prices!B200)*C201&gt;0,1,0)</f>
        <v>0</v>
      </c>
      <c r="H201" s="13">
        <f>ABS(Prices!B201-Prices!B200)/Prices!B200</f>
        <v>6.6767559868245903E-3</v>
      </c>
      <c r="I201" s="21"/>
      <c r="J201" s="4">
        <f t="shared" ca="1" si="17"/>
        <v>-2.2874387161531045E-2</v>
      </c>
      <c r="K201" s="13"/>
      <c r="L201" s="13">
        <f ca="1">L200-O201*Prices!B201</f>
        <v>0.86509580175107703</v>
      </c>
      <c r="M201" s="4">
        <f t="shared" ref="M201:M264" ca="1" si="19">M200+O201</f>
        <v>0.13652237580239182</v>
      </c>
      <c r="N201" s="13">
        <f ca="1">IF(Prices!B200&gt;OFFSET(Prices!B200,-$N$3,0),1,-1)</f>
        <v>-1</v>
      </c>
      <c r="O201" s="4">
        <f ca="1">IF(N201=1,O$3*L200/Prices!B200,-O$3*M200)</f>
        <v>-1.5169152866932427E-2</v>
      </c>
      <c r="P201" s="22"/>
      <c r="Q201" s="13">
        <f ca="1">Q200-T201*Prices!B201</f>
        <v>0.93951709656583693</v>
      </c>
      <c r="R201" s="4">
        <f t="shared" ca="1" si="18"/>
        <v>7.7908480089830465E-2</v>
      </c>
      <c r="S201" s="13">
        <f ca="1">IF(Prices!B200&gt;OFFSET(Prices!B200,-S$3,0),1,-1)</f>
        <v>-1</v>
      </c>
      <c r="T201" s="4">
        <f ca="1">IF(S201=1,T$3*Q200/Prices!B200,-T$3*R200)</f>
        <v>-7.7052342945986172E-3</v>
      </c>
      <c r="V201" s="13"/>
      <c r="W201" s="4"/>
      <c r="X201" s="4"/>
      <c r="Y201" s="4"/>
      <c r="Z201" s="4"/>
      <c r="AA201" s="4"/>
      <c r="AB201" s="4"/>
      <c r="AC201" s="4"/>
      <c r="AD201" s="4"/>
      <c r="AE201" s="52"/>
    </row>
    <row r="202" spans="1:31" x14ac:dyDescent="0.2">
      <c r="A202" s="7">
        <v>42778</v>
      </c>
      <c r="B202" s="13">
        <f ca="1">Prices!B201*(1+J202/(50*(ABS(O202)+ABS(T202)+0.0001)))</f>
        <v>1.0935914744709725</v>
      </c>
      <c r="C202" s="62">
        <f t="shared" ca="1" si="15"/>
        <v>0</v>
      </c>
      <c r="D202" s="13">
        <f ca="1">D201+C202*(Prices!B202-Prices!B201)/Prices!B201</f>
        <v>5.7207250461753165E-2</v>
      </c>
      <c r="E202" s="13">
        <f t="shared" ca="1" si="16"/>
        <v>4.1456496481543814E-2</v>
      </c>
      <c r="F202" s="13">
        <f t="shared" ca="1" si="14"/>
        <v>9.8663746943296979E-2</v>
      </c>
      <c r="G202" s="21">
        <f ca="1">IF((Prices!B202-Prices!B201)*C202&gt;0,1,0)</f>
        <v>0</v>
      </c>
      <c r="H202" s="13">
        <f>ABS(Prices!B202-Prices!B201)/Prices!B201</f>
        <v>4.0329808209358048E-3</v>
      </c>
      <c r="I202" s="21"/>
      <c r="J202" s="4">
        <f t="shared" ca="1" si="17"/>
        <v>-2.0664000788323925E-2</v>
      </c>
      <c r="K202" s="13"/>
      <c r="L202" s="13">
        <f ca="1">L201-O202*Prices!B202</f>
        <v>0.88039040351221898</v>
      </c>
      <c r="M202" s="4">
        <f t="shared" ca="1" si="19"/>
        <v>0.12287013822215263</v>
      </c>
      <c r="N202" s="13">
        <f ca="1">IF(Prices!B201&gt;OFFSET(Prices!B201,-$N$3,0),1,-1)</f>
        <v>-1</v>
      </c>
      <c r="O202" s="4">
        <f ca="1">IF(N202=1,O$3*L201/Prices!B201,-O$3*M201)</f>
        <v>-1.3652237580239182E-2</v>
      </c>
      <c r="P202" s="22"/>
      <c r="Q202" s="13">
        <f ca="1">Q201-T202*Prices!B202</f>
        <v>0.94737237488785431</v>
      </c>
      <c r="R202" s="4">
        <f t="shared" ca="1" si="18"/>
        <v>7.0896716881745717E-2</v>
      </c>
      <c r="S202" s="13">
        <f ca="1">IF(Prices!B201&gt;OFFSET(Prices!B201,-S$3,0),1,-1)</f>
        <v>-1</v>
      </c>
      <c r="T202" s="4">
        <f ca="1">IF(S202=1,T$3*Q201/Prices!B201,-T$3*R201)</f>
        <v>-7.011763208084742E-3</v>
      </c>
      <c r="V202" s="13"/>
      <c r="W202" s="4"/>
      <c r="X202" s="4"/>
      <c r="Y202" s="4"/>
      <c r="Z202" s="4"/>
      <c r="AA202" s="4"/>
      <c r="AB202" s="4"/>
      <c r="AC202" s="4"/>
      <c r="AD202" s="4"/>
      <c r="AE202" s="52"/>
    </row>
    <row r="203" spans="1:31" x14ac:dyDescent="0.2">
      <c r="A203" s="7">
        <v>42785</v>
      </c>
      <c r="B203" s="13">
        <f ca="1">Prices!B202*(1+J203/(50*(ABS(O203)+ABS(T203)+0.0001)))</f>
        <v>1.1393183606255362</v>
      </c>
      <c r="C203" s="62">
        <f t="shared" ca="1" si="15"/>
        <v>1</v>
      </c>
      <c r="D203" s="13">
        <f ca="1">D202+C203*(Prices!B203-Prices!B202)/Prices!B202</f>
        <v>5.4172349096047491E-2</v>
      </c>
      <c r="E203" s="13">
        <f t="shared" ca="1" si="16"/>
        <v>4.4491397847249488E-2</v>
      </c>
      <c r="F203" s="13">
        <f t="shared" ca="1" si="14"/>
        <v>9.8663746943296979E-2</v>
      </c>
      <c r="G203" s="21">
        <f ca="1">IF((Prices!B203-Prices!B202)*C203&gt;0,1,0)</f>
        <v>0</v>
      </c>
      <c r="H203" s="13">
        <f>ABS(Prices!B203-Prices!B202)/Prices!B202</f>
        <v>3.0349013657056767E-3</v>
      </c>
      <c r="I203" s="21"/>
      <c r="J203" s="4">
        <f t="shared" ca="1" si="17"/>
        <v>7.2204531891623777E-2</v>
      </c>
      <c r="K203" s="13"/>
      <c r="L203" s="13">
        <f ca="1">L202-O203*Prices!B203</f>
        <v>0.79261855296479444</v>
      </c>
      <c r="M203" s="4">
        <f t="shared" ca="1" si="19"/>
        <v>0.20145537463313351</v>
      </c>
      <c r="N203" s="13">
        <f ca="1">IF(Prices!B202&gt;OFFSET(Prices!B202,-$N$3,0),1,-1)</f>
        <v>1</v>
      </c>
      <c r="O203" s="4">
        <f ca="1">IF(N203=1,O$3*L202/Prices!B202,-O$3*M202)</f>
        <v>7.8585236410980891E-2</v>
      </c>
      <c r="P203" s="22"/>
      <c r="Q203" s="13">
        <f ca="1">Q202-T203*Prices!B203</f>
        <v>0.95449898376552422</v>
      </c>
      <c r="R203" s="4">
        <f t="shared" ca="1" si="18"/>
        <v>6.4516012362388603E-2</v>
      </c>
      <c r="S203" s="13">
        <f ca="1">IF(Prices!B202&gt;OFFSET(Prices!B202,-S$3,0),1,-1)</f>
        <v>-1</v>
      </c>
      <c r="T203" s="4">
        <f ca="1">IF(S203=1,T$3*Q202/Prices!B202,-T$3*R202)</f>
        <v>-6.3807045193571147E-3</v>
      </c>
      <c r="V203" s="13"/>
      <c r="W203" s="4"/>
      <c r="X203" s="4"/>
      <c r="Y203" s="4"/>
      <c r="Z203" s="4"/>
      <c r="AA203" s="4"/>
      <c r="AB203" s="4"/>
      <c r="AC203" s="4"/>
      <c r="AD203" s="4"/>
      <c r="AE203" s="52"/>
    </row>
    <row r="204" spans="1:31" x14ac:dyDescent="0.2">
      <c r="A204" s="7">
        <v>42792</v>
      </c>
      <c r="B204" s="13">
        <f ca="1">Prices!B203*(1+J204/(50*(ABS(O204)+ABS(T204)+0.0001)))</f>
        <v>1.0946477439673339</v>
      </c>
      <c r="C204" s="62">
        <f t="shared" ca="1" si="15"/>
        <v>0</v>
      </c>
      <c r="D204" s="13">
        <f ca="1">D203+C204*(Prices!B204-Prices!B203)/Prices!B203</f>
        <v>5.4172349096047491E-2</v>
      </c>
      <c r="E204" s="13">
        <f t="shared" ca="1" si="16"/>
        <v>4.4491397847249488E-2</v>
      </c>
      <c r="F204" s="13">
        <f t="shared" ca="1" si="14"/>
        <v>9.8663746943296979E-2</v>
      </c>
      <c r="G204" s="21">
        <f ca="1">IF((Prices!B204-Prices!B203)*C204&gt;0,1,0)</f>
        <v>0</v>
      </c>
      <c r="H204" s="13">
        <f>ABS(Prices!B204-Prices!B203)/Prices!B203</f>
        <v>1.4773032500671465E-2</v>
      </c>
      <c r="I204" s="21"/>
      <c r="J204" s="4">
        <f t="shared" ca="1" si="17"/>
        <v>-2.5951978575928326E-2</v>
      </c>
      <c r="K204" s="13"/>
      <c r="L204" s="13">
        <f ca="1">L203-O204*Prices!B204</f>
        <v>0.81545150512571385</v>
      </c>
      <c r="M204" s="4">
        <f t="shared" ca="1" si="19"/>
        <v>0.18130983716982016</v>
      </c>
      <c r="N204" s="13">
        <f ca="1">IF(Prices!B203&gt;OFFSET(Prices!B203,-$N$3,0),1,-1)</f>
        <v>-1</v>
      </c>
      <c r="O204" s="4">
        <f ca="1">IF(N204=1,O$3*L203/Prices!B203,-O$3*M203)</f>
        <v>-2.0145537463313351E-2</v>
      </c>
      <c r="P204" s="22"/>
      <c r="Q204" s="13">
        <f ca="1">Q203-T204*Prices!B204</f>
        <v>0.961080004122562</v>
      </c>
      <c r="R204" s="4">
        <f t="shared" ca="1" si="18"/>
        <v>5.8709571249773627E-2</v>
      </c>
      <c r="S204" s="13">
        <f ca="1">IF(Prices!B203&gt;OFFSET(Prices!B203,-S$3,0),1,-1)</f>
        <v>-1</v>
      </c>
      <c r="T204" s="4">
        <f ca="1">IF(S204=1,T$3*Q203/Prices!B203,-T$3*R203)</f>
        <v>-5.8064411126149736E-3</v>
      </c>
      <c r="V204" s="13"/>
      <c r="W204" s="4"/>
      <c r="X204" s="4"/>
      <c r="Y204" s="4"/>
      <c r="Z204" s="4"/>
      <c r="AA204" s="4"/>
      <c r="AB204" s="4"/>
      <c r="AC204" s="4"/>
      <c r="AD204" s="4"/>
      <c r="AE204" s="52"/>
    </row>
    <row r="205" spans="1:31" x14ac:dyDescent="0.2">
      <c r="A205" s="7">
        <v>42799</v>
      </c>
      <c r="B205" s="13">
        <f ca="1">Prices!B204*(1+J205/(50*(ABS(O205)+ABS(T205)+0.0001)))</f>
        <v>1.1560527213549152</v>
      </c>
      <c r="C205" s="62">
        <f t="shared" ca="1" si="15"/>
        <v>1</v>
      </c>
      <c r="D205" s="13">
        <f ca="1">D204+C205*(Prices!B205-Prices!B204)/Prices!B204</f>
        <v>4.305535597799566E-2</v>
      </c>
      <c r="E205" s="13">
        <f t="shared" ca="1" si="16"/>
        <v>5.5608390965301319E-2</v>
      </c>
      <c r="F205" s="13">
        <f t="shared" ca="1" si="14"/>
        <v>9.8663746943296979E-2</v>
      </c>
      <c r="G205" s="21">
        <f ca="1">IF((Prices!B205-Prices!B204)*C205&gt;0,1,0)</f>
        <v>0</v>
      </c>
      <c r="H205" s="13">
        <f>ABS(Prices!B205-Prices!B204)/Prices!B204</f>
        <v>1.1116993118051831E-2</v>
      </c>
      <c r="I205" s="21"/>
      <c r="J205" s="4">
        <f t="shared" ca="1" si="17"/>
        <v>0.14826394113605257</v>
      </c>
      <c r="K205" s="13"/>
      <c r="L205" s="13">
        <f ca="1">L204-O205*Prices!B205</f>
        <v>0.73481289149020124</v>
      </c>
      <c r="M205" s="4">
        <f t="shared" ca="1" si="19"/>
        <v>0.25325720836495991</v>
      </c>
      <c r="N205" s="13">
        <f ca="1">IF(Prices!B204&gt;OFFSET(Prices!B204,-$N$3,0),1,-1)</f>
        <v>1</v>
      </c>
      <c r="O205" s="4">
        <f ca="1">IF(N205=1,O$3*L204/Prices!B204,-O$3*M204)</f>
        <v>7.1947371195139748E-2</v>
      </c>
      <c r="P205" s="22"/>
      <c r="Q205" s="13">
        <f ca="1">Q204-T205*Prices!B205</f>
        <v>0.87554439253278693</v>
      </c>
      <c r="R205" s="4">
        <f t="shared" ca="1" si="18"/>
        <v>0.13502614119068643</v>
      </c>
      <c r="S205" s="13">
        <f ca="1">IF(Prices!B204&gt;OFFSET(Prices!B204,-S$3,0),1,-1)</f>
        <v>1</v>
      </c>
      <c r="T205" s="4">
        <f ca="1">IF(S205=1,T$3*Q204/Prices!B204,-T$3*R204)</f>
        <v>7.6316569940912807E-2</v>
      </c>
      <c r="V205" s="13"/>
      <c r="W205" s="4"/>
      <c r="X205" s="4"/>
      <c r="Y205" s="4"/>
      <c r="Z205" s="4"/>
      <c r="AA205" s="4"/>
      <c r="AB205" s="4"/>
      <c r="AC205" s="4"/>
      <c r="AD205" s="4"/>
      <c r="AE205" s="52"/>
    </row>
    <row r="206" spans="1:31" x14ac:dyDescent="0.2">
      <c r="A206" s="7">
        <v>42806</v>
      </c>
      <c r="B206" s="13">
        <f ca="1">Prices!B205*(1+J206/(50*(ABS(O206)+ABS(T206)+0.0001)))</f>
        <v>1.1361856820198639</v>
      </c>
      <c r="C206" s="62">
        <f t="shared" ca="1" si="15"/>
        <v>1</v>
      </c>
      <c r="D206" s="13">
        <f ca="1">D205+C206*(Prices!B206-Prices!B205)/Prices!B205</f>
        <v>5.742009544980152E-2</v>
      </c>
      <c r="E206" s="13">
        <f t="shared" ca="1" si="16"/>
        <v>4.1243651493495459E-2</v>
      </c>
      <c r="F206" s="13">
        <f t="shared" ca="1" si="14"/>
        <v>9.8663746943296979E-2</v>
      </c>
      <c r="G206" s="21">
        <f ca="1">IF((Prices!B206-Prices!B205)*C206&gt;0,1,0)</f>
        <v>1</v>
      </c>
      <c r="H206" s="13">
        <f>ABS(Prices!B206-Prices!B205)/Prices!B205</f>
        <v>1.4364739471805856E-2</v>
      </c>
      <c r="I206" s="21"/>
      <c r="J206" s="4">
        <f t="shared" ca="1" si="17"/>
        <v>5.3409111558559236E-2</v>
      </c>
      <c r="K206" s="13"/>
      <c r="L206" s="13">
        <f ca="1">L205-O206*Prices!B206</f>
        <v>0.66027606276650297</v>
      </c>
      <c r="M206" s="4">
        <f t="shared" ca="1" si="19"/>
        <v>0.31881867263068092</v>
      </c>
      <c r="N206" s="13">
        <f ca="1">IF(Prices!B205&gt;OFFSET(Prices!B205,-$N$3,0),1,-1)</f>
        <v>1</v>
      </c>
      <c r="O206" s="4">
        <f ca="1">IF(N206=1,O$3*L205/Prices!B205,-O$3*M205)</f>
        <v>6.5561464265721014E-2</v>
      </c>
      <c r="P206" s="22"/>
      <c r="Q206" s="13">
        <f ca="1">Q205-T206*Prices!B206</f>
        <v>0.88936040232555913</v>
      </c>
      <c r="R206" s="4">
        <f t="shared" ca="1" si="18"/>
        <v>0.12287378848352465</v>
      </c>
      <c r="S206" s="13">
        <f ca="1">IF(Prices!B205&gt;OFFSET(Prices!B205,-S$3,0),1,-1)</f>
        <v>-1</v>
      </c>
      <c r="T206" s="4">
        <f ca="1">IF(S206=1,T$3*Q205/Prices!B205,-T$3*R205)</f>
        <v>-1.2152352707161779E-2</v>
      </c>
      <c r="V206" s="13"/>
      <c r="W206" s="4"/>
      <c r="X206" s="4"/>
      <c r="Y206" s="4"/>
      <c r="Z206" s="4"/>
      <c r="AA206" s="4"/>
      <c r="AB206" s="4"/>
      <c r="AC206" s="4"/>
      <c r="AD206" s="4"/>
      <c r="AE206" s="52"/>
    </row>
    <row r="207" spans="1:31" x14ac:dyDescent="0.2">
      <c r="A207" s="7">
        <v>42813</v>
      </c>
      <c r="B207" s="13">
        <f ca="1">Prices!B206*(1+J207/(50*(ABS(O207)+ABS(T207)+0.0001)))</f>
        <v>1.1596203162045733</v>
      </c>
      <c r="C207" s="62">
        <f t="shared" ca="1" si="15"/>
        <v>1</v>
      </c>
      <c r="D207" s="13">
        <f ca="1">D206+C207*(Prices!B207-Prices!B206)/Prices!B206</f>
        <v>5.7771929384184455E-2</v>
      </c>
      <c r="E207" s="13">
        <f t="shared" ca="1" si="16"/>
        <v>4.0891817559112524E-2</v>
      </c>
      <c r="F207" s="13">
        <f t="shared" ca="1" si="14"/>
        <v>9.8663746943296979E-2</v>
      </c>
      <c r="G207" s="21">
        <f ca="1">IF((Prices!B207-Prices!B206)*C207&gt;0,1,0)</f>
        <v>1</v>
      </c>
      <c r="H207" s="13">
        <f>ABS(Prices!B207-Prices!B206)/Prices!B206</f>
        <v>3.5183393438293248E-4</v>
      </c>
      <c r="I207" s="21"/>
      <c r="J207" s="4">
        <f t="shared" ca="1" si="17"/>
        <v>0.12848099435829943</v>
      </c>
      <c r="K207" s="13"/>
      <c r="L207" s="13">
        <f ca="1">L206-O207*Prices!B207</f>
        <v>0.59422522573735848</v>
      </c>
      <c r="M207" s="4">
        <f t="shared" ca="1" si="19"/>
        <v>0.37689555386619</v>
      </c>
      <c r="N207" s="13">
        <f ca="1">IF(Prices!B206&gt;OFFSET(Prices!B206,-$N$3,0),1,-1)</f>
        <v>1</v>
      </c>
      <c r="O207" s="4">
        <f ca="1">IF(N207=1,O$3*L206/Prices!B206,-O$3*M206)</f>
        <v>5.8076881235509102E-2</v>
      </c>
      <c r="P207" s="22"/>
      <c r="Q207" s="13">
        <f ca="1">Q206-T207*Prices!B207</f>
        <v>0.80928980447100973</v>
      </c>
      <c r="R207" s="4">
        <f t="shared" ca="1" si="18"/>
        <v>0.19327790160631497</v>
      </c>
      <c r="S207" s="13">
        <f ca="1">IF(Prices!B206&gt;OFFSET(Prices!B206,-S$3,0),1,-1)</f>
        <v>1</v>
      </c>
      <c r="T207" s="4">
        <f ca="1">IF(S207=1,T$3*Q206/Prices!B206,-T$3*R206)</f>
        <v>7.0404113122790324E-2</v>
      </c>
      <c r="V207" s="13"/>
      <c r="W207" s="4"/>
      <c r="X207" s="4"/>
      <c r="Y207" s="4"/>
      <c r="Z207" s="4"/>
      <c r="AA207" s="4"/>
      <c r="AB207" s="4"/>
      <c r="AC207" s="4"/>
      <c r="AD207" s="4"/>
      <c r="AE207" s="52"/>
    </row>
    <row r="208" spans="1:31" x14ac:dyDescent="0.2">
      <c r="A208" s="7">
        <v>42820</v>
      </c>
      <c r="B208" s="13">
        <f ca="1">Prices!B207*(1+J208/(50*(ABS(O208)+ABS(T208)+0.0001)))</f>
        <v>1.1600264573774388</v>
      </c>
      <c r="C208" s="62">
        <f t="shared" ca="1" si="15"/>
        <v>1</v>
      </c>
      <c r="D208" s="13">
        <f ca="1">D207+C208*(Prices!B208-Prices!B207)/Prices!B207</f>
        <v>4.4758652324481715E-2</v>
      </c>
      <c r="E208" s="13">
        <f t="shared" ca="1" si="16"/>
        <v>5.3905094618815264E-2</v>
      </c>
      <c r="F208" s="13">
        <f t="shared" ref="F208:F271" ca="1" si="20">MAX(F207,D208)</f>
        <v>9.8663746943296979E-2</v>
      </c>
      <c r="G208" s="21">
        <f ca="1">IF((Prices!B208-Prices!B207)*C208&gt;0,1,0)</f>
        <v>0</v>
      </c>
      <c r="H208" s="13">
        <f>ABS(Prices!B208-Prices!B207)/Prices!B207</f>
        <v>1.3013277059702739E-2</v>
      </c>
      <c r="I208" s="21"/>
      <c r="J208" s="4">
        <f t="shared" ca="1" si="17"/>
        <v>0.1162917479786571</v>
      </c>
      <c r="K208" s="13"/>
      <c r="L208" s="13">
        <f ca="1">L207-O208*Prices!B208</f>
        <v>0.53557598491346114</v>
      </c>
      <c r="M208" s="4">
        <f t="shared" ca="1" si="19"/>
        <v>0.42914432074716763</v>
      </c>
      <c r="N208" s="13">
        <f ca="1">IF(Prices!B207&gt;OFFSET(Prices!B207,-$N$3,0),1,-1)</f>
        <v>1</v>
      </c>
      <c r="O208" s="4">
        <f ca="1">IF(N208=1,O$3*L207/Prices!B207,-O$3*M207)</f>
        <v>5.2248766880977619E-2</v>
      </c>
      <c r="P208" s="22"/>
      <c r="Q208" s="13">
        <f ca="1">Q207-T208*Prices!B208</f>
        <v>0.73740155818886455</v>
      </c>
      <c r="R208" s="4">
        <f t="shared" ca="1" si="18"/>
        <v>0.25732088270399445</v>
      </c>
      <c r="S208" s="13">
        <f ca="1">IF(Prices!B207&gt;OFFSET(Prices!B207,-S$3,0),1,-1)</f>
        <v>1</v>
      </c>
      <c r="T208" s="4">
        <f ca="1">IF(S208=1,T$3*Q207/Prices!B207,-T$3*R207)</f>
        <v>6.4042981097679474E-2</v>
      </c>
      <c r="V208" s="13"/>
      <c r="W208" s="4"/>
      <c r="X208" s="4"/>
      <c r="Y208" s="4"/>
      <c r="Z208" s="4"/>
      <c r="AA208" s="4"/>
      <c r="AB208" s="4"/>
      <c r="AC208" s="4"/>
      <c r="AD208" s="4"/>
      <c r="AE208" s="52"/>
    </row>
    <row r="209" spans="1:31" x14ac:dyDescent="0.2">
      <c r="A209" s="7">
        <v>42827</v>
      </c>
      <c r="B209" s="13">
        <f ca="1">Prices!B208*(1+J209/(50*(ABS(O209)+ABS(T209)+0.0001)))</f>
        <v>1.100083926063975</v>
      </c>
      <c r="C209" s="62">
        <f t="shared" ref="C209:C272" ca="1" si="21">IF(J209&gt;0,1,IF(J209&lt;0,0,0))</f>
        <v>0</v>
      </c>
      <c r="D209" s="13">
        <f ca="1">D208+C209*(Prices!B209-Prices!B208)/Prices!B208</f>
        <v>4.4758652324481715E-2</v>
      </c>
      <c r="E209" s="13">
        <f t="shared" ref="E209:E271" ca="1" si="22">F209-D209</f>
        <v>5.3905094618815264E-2</v>
      </c>
      <c r="F209" s="13">
        <f t="shared" ca="1" si="20"/>
        <v>9.8663746943296979E-2</v>
      </c>
      <c r="G209" s="21">
        <f ca="1">IF((Prices!B209-Prices!B208)*C209&gt;0,1,0)</f>
        <v>0</v>
      </c>
      <c r="H209" s="13">
        <f>ABS(Prices!B209-Prices!B208)/Prices!B208</f>
        <v>4.0089086859687734E-3</v>
      </c>
      <c r="I209" s="21"/>
      <c r="J209" s="4">
        <f t="shared" ref="J209:J272" ca="1" si="23">O209+T209</f>
        <v>-6.6073311518076258E-2</v>
      </c>
      <c r="K209" s="13"/>
      <c r="L209" s="13">
        <f ca="1">L208-O209*Prices!B209</f>
        <v>0.58394054986166699</v>
      </c>
      <c r="M209" s="4">
        <f t="shared" ca="1" si="19"/>
        <v>0.38622988867245089</v>
      </c>
      <c r="N209" s="13">
        <f ca="1">IF(Prices!B208&gt;OFFSET(Prices!B208,-$N$3,0),1,-1)</f>
        <v>-1</v>
      </c>
      <c r="O209" s="4">
        <f ca="1">IF(N209=1,O$3*L208/Prices!B208,-O$3*M208)</f>
        <v>-4.2914432074716763E-2</v>
      </c>
      <c r="P209" s="22"/>
      <c r="Q209" s="13">
        <f ca="1">Q208-T209*Prices!B209</f>
        <v>0.76350161532153071</v>
      </c>
      <c r="R209" s="4">
        <f t="shared" ca="1" si="18"/>
        <v>0.23416200326063494</v>
      </c>
      <c r="S209" s="13">
        <f ca="1">IF(Prices!B208&gt;OFFSET(Prices!B208,-S$3,0),1,-1)</f>
        <v>-1</v>
      </c>
      <c r="T209" s="4">
        <f ca="1">IF(S209=1,T$3*Q208/Prices!B208,-T$3*R208)</f>
        <v>-2.3158879443359499E-2</v>
      </c>
      <c r="V209" s="13"/>
      <c r="W209" s="4"/>
      <c r="X209" s="4"/>
      <c r="Y209" s="4"/>
      <c r="Z209" s="4"/>
      <c r="AA209" s="4"/>
      <c r="AB209" s="4"/>
      <c r="AC209" s="4"/>
      <c r="AD209" s="4"/>
      <c r="AE209" s="52"/>
    </row>
    <row r="210" spans="1:31" x14ac:dyDescent="0.2">
      <c r="A210" s="7">
        <v>42834</v>
      </c>
      <c r="B210" s="13">
        <f ca="1">Prices!B209*(1+J210/(50*(ABS(O210)+ABS(T210)+0.0001)))</f>
        <v>1.1495200328560355</v>
      </c>
      <c r="C210" s="62">
        <f t="shared" ca="1" si="21"/>
        <v>1</v>
      </c>
      <c r="D210" s="13">
        <f ca="1">D209+C210*(Prices!B210-Prices!B209)/Prices!B209</f>
        <v>4.0410826237525281E-2</v>
      </c>
      <c r="E210" s="13">
        <f t="shared" ca="1" si="22"/>
        <v>5.8252920705771698E-2</v>
      </c>
      <c r="F210" s="13">
        <f t="shared" ca="1" si="20"/>
        <v>9.8663746943296979E-2</v>
      </c>
      <c r="G210" s="21">
        <f ca="1">IF((Prices!B210-Prices!B209)*C210&gt;0,1,0)</f>
        <v>0</v>
      </c>
      <c r="H210" s="13">
        <f>ABS(Prices!B210-Prices!B209)/Prices!B209</f>
        <v>4.3478260869564368E-3</v>
      </c>
      <c r="I210" s="21"/>
      <c r="J210" s="4">
        <f t="shared" ca="1" si="23"/>
        <v>0.11278544841624176</v>
      </c>
      <c r="K210" s="13"/>
      <c r="L210" s="13">
        <f ca="1">L209-O210*Prices!B210</f>
        <v>0.52580038207109236</v>
      </c>
      <c r="M210" s="4">
        <f t="shared" ca="1" si="19"/>
        <v>0.43804360205857928</v>
      </c>
      <c r="N210" s="13">
        <f ca="1">IF(Prices!B209&gt;OFFSET(Prices!B209,-$N$3,0),1,-1)</f>
        <v>1</v>
      </c>
      <c r="O210" s="4">
        <f ca="1">IF(N210=1,O$3*L209/Prices!B209,-O$3*M209)</f>
        <v>5.1813713386128397E-2</v>
      </c>
      <c r="P210" s="22"/>
      <c r="Q210" s="13">
        <f ca="1">Q209-T210*Prices!B210</f>
        <v>0.6950852314442405</v>
      </c>
      <c r="R210" s="4">
        <f t="shared" ca="1" si="18"/>
        <v>0.29513373829074829</v>
      </c>
      <c r="S210" s="13">
        <f ca="1">IF(Prices!B209&gt;OFFSET(Prices!B209,-S$3,0),1,-1)</f>
        <v>1</v>
      </c>
      <c r="T210" s="4">
        <f ca="1">IF(S210=1,T$3*Q209/Prices!B209,-T$3*R209)</f>
        <v>6.0971735030113362E-2</v>
      </c>
      <c r="V210" s="13"/>
      <c r="W210" s="4"/>
      <c r="X210" s="4"/>
      <c r="Y210" s="4"/>
      <c r="Z210" s="4"/>
      <c r="AA210" s="4"/>
      <c r="AB210" s="4"/>
      <c r="AC210" s="4"/>
      <c r="AD210" s="4"/>
      <c r="AE210" s="52"/>
    </row>
    <row r="211" spans="1:31" x14ac:dyDescent="0.2">
      <c r="A211" s="7">
        <v>42841</v>
      </c>
      <c r="B211" s="13">
        <f ca="1">Prices!B210*(1+J211/(50*(ABS(O211)+ABS(T211)+0.0001)))</f>
        <v>1.1247902439170621</v>
      </c>
      <c r="C211" s="62">
        <f t="shared" ca="1" si="21"/>
        <v>1</v>
      </c>
      <c r="D211" s="13">
        <f ca="1">D210+C211*(Prices!B211-Prices!B210)/Prices!B210</f>
        <v>3.2122794867772066E-2</v>
      </c>
      <c r="E211" s="13">
        <f t="shared" ca="1" si="22"/>
        <v>6.6540952075524906E-2</v>
      </c>
      <c r="F211" s="13">
        <f t="shared" ca="1" si="20"/>
        <v>9.8663746943296979E-2</v>
      </c>
      <c r="G211" s="21">
        <f ca="1">IF((Prices!B211-Prices!B210)*C211&gt;0,1,0)</f>
        <v>0</v>
      </c>
      <c r="H211" s="13">
        <f>ABS(Prices!B211-Prices!B210)/Prices!B210</f>
        <v>8.2880313697532172E-3</v>
      </c>
      <c r="I211" s="21"/>
      <c r="J211" s="4">
        <f t="shared" ca="1" si="23"/>
        <v>1.1946170789580664E-2</v>
      </c>
      <c r="K211" s="13"/>
      <c r="L211" s="13">
        <f ca="1">L210-O211*Prices!B211</f>
        <v>0.57454587410817104</v>
      </c>
      <c r="M211" s="4">
        <f t="shared" ca="1" si="19"/>
        <v>0.39423924185272136</v>
      </c>
      <c r="N211" s="13">
        <f ca="1">IF(Prices!B210&gt;OFFSET(Prices!B210,-$N$3,0),1,-1)</f>
        <v>-1</v>
      </c>
      <c r="O211" s="4">
        <f ca="1">IF(N211=1,O$3*L210/Prices!B210,-O$3*M210)</f>
        <v>-4.3804360205857928E-2</v>
      </c>
      <c r="P211" s="22"/>
      <c r="Q211" s="13">
        <f ca="1">Q210-T211*Prices!B211</f>
        <v>0.63304604055251645</v>
      </c>
      <c r="R211" s="4">
        <f t="shared" ca="1" si="18"/>
        <v>0.35088426928618688</v>
      </c>
      <c r="S211" s="13">
        <f ca="1">IF(Prices!B210&gt;OFFSET(Prices!B210,-S$3,0),1,-1)</f>
        <v>1</v>
      </c>
      <c r="T211" s="4">
        <f ca="1">IF(S211=1,T$3*Q210/Prices!B210,-T$3*R210)</f>
        <v>5.5750530995438592E-2</v>
      </c>
      <c r="V211" s="13"/>
      <c r="W211" s="4"/>
      <c r="X211" s="4"/>
      <c r="Y211" s="4"/>
      <c r="Z211" s="4"/>
      <c r="AA211" s="4"/>
      <c r="AB211" s="4"/>
      <c r="AC211" s="4"/>
      <c r="AD211" s="4"/>
      <c r="AE211" s="52"/>
    </row>
    <row r="212" spans="1:31" x14ac:dyDescent="0.2">
      <c r="A212" s="7">
        <v>42848</v>
      </c>
      <c r="B212" s="13">
        <f ca="1">Prices!B211*(1+J212/(50*(ABS(O212)+ABS(T212)+0.0001)))</f>
        <v>1.090575300846462</v>
      </c>
      <c r="C212" s="62">
        <f t="shared" ca="1" si="21"/>
        <v>0</v>
      </c>
      <c r="D212" s="13">
        <f ca="1">D211+C212*(Prices!B212-Prices!B211)/Prices!B211</f>
        <v>3.2122794867772066E-2</v>
      </c>
      <c r="E212" s="13">
        <f t="shared" ca="1" si="22"/>
        <v>6.6540952075524906E-2</v>
      </c>
      <c r="F212" s="13">
        <f t="shared" ca="1" si="20"/>
        <v>9.8663746943296979E-2</v>
      </c>
      <c r="G212" s="21">
        <f ca="1">IF((Prices!B212-Prices!B211)*C212&gt;0,1,0)</f>
        <v>0</v>
      </c>
      <c r="H212" s="13">
        <f>ABS(Prices!B212-Prices!B211)/Prices!B211</f>
        <v>1.7972681524083408E-3</v>
      </c>
      <c r="I212" s="21"/>
      <c r="J212" s="4">
        <f t="shared" ca="1" si="23"/>
        <v>-7.1003508421028955E-2</v>
      </c>
      <c r="K212" s="13"/>
      <c r="L212" s="13">
        <f ca="1">L211-O212*Prices!B212</f>
        <v>0.61833796909317129</v>
      </c>
      <c r="M212" s="4">
        <f t="shared" ca="1" si="19"/>
        <v>0.35481531766744923</v>
      </c>
      <c r="N212" s="13">
        <f ca="1">IF(Prices!B211&gt;OFFSET(Prices!B211,-$N$3,0),1,-1)</f>
        <v>-1</v>
      </c>
      <c r="O212" s="4">
        <f ca="1">IF(N212=1,O$3*L211/Prices!B211,-O$3*M211)</f>
        <v>-3.9423924185272137E-2</v>
      </c>
      <c r="P212" s="22"/>
      <c r="Q212" s="13">
        <f ca="1">Q211-T212*Prices!B212</f>
        <v>0.66812464272159511</v>
      </c>
      <c r="R212" s="4">
        <f t="shared" ca="1" si="18"/>
        <v>0.31930468505043008</v>
      </c>
      <c r="S212" s="13">
        <f ca="1">IF(Prices!B211&gt;OFFSET(Prices!B211,-S$3,0),1,-1)</f>
        <v>-1</v>
      </c>
      <c r="T212" s="4">
        <f ca="1">IF(S212=1,T$3*Q211/Prices!B211,-T$3*R211)</f>
        <v>-3.1579584235756818E-2</v>
      </c>
      <c r="V212" s="13"/>
      <c r="W212" s="4"/>
      <c r="X212" s="4"/>
      <c r="Y212" s="4"/>
      <c r="Z212" s="4"/>
      <c r="AA212" s="4"/>
      <c r="AB212" s="4"/>
      <c r="AC212" s="4"/>
      <c r="AD212" s="4"/>
      <c r="AE212" s="52"/>
    </row>
    <row r="213" spans="1:31" x14ac:dyDescent="0.2">
      <c r="A213" s="7">
        <v>42855</v>
      </c>
      <c r="B213" s="13">
        <f ca="1">Prices!B212*(1+J213/(50*(ABS(O213)+ABS(T213)+0.0001)))</f>
        <v>1.0886185403630162</v>
      </c>
      <c r="C213" s="62">
        <f t="shared" ca="1" si="21"/>
        <v>0</v>
      </c>
      <c r="D213" s="13">
        <f ca="1">D212+C213*(Prices!B213-Prices!B212)/Prices!B212</f>
        <v>3.2122794867772066E-2</v>
      </c>
      <c r="E213" s="13">
        <f t="shared" ca="1" si="22"/>
        <v>6.6540952075524906E-2</v>
      </c>
      <c r="F213" s="13">
        <f t="shared" ca="1" si="20"/>
        <v>9.8663746943296979E-2</v>
      </c>
      <c r="G213" s="21">
        <f ca="1">IF((Prices!B213-Prices!B212)*C213&gt;0,1,0)</f>
        <v>0</v>
      </c>
      <c r="H213" s="13">
        <f>ABS(Prices!B213-Prices!B212)/Prices!B212</f>
        <v>8.2823190493339013E-3</v>
      </c>
      <c r="I213" s="21"/>
      <c r="J213" s="4">
        <f t="shared" ca="1" si="23"/>
        <v>-6.4218953421283628E-2</v>
      </c>
      <c r="K213" s="13"/>
      <c r="L213" s="13">
        <f ca="1">L212-O213*Prices!B213</f>
        <v>0.65807728467192561</v>
      </c>
      <c r="M213" s="4">
        <f t="shared" ca="1" si="19"/>
        <v>0.31933378590070433</v>
      </c>
      <c r="N213" s="13">
        <f ca="1">IF(Prices!B212&gt;OFFSET(Prices!B212,-$N$3,0),1,-1)</f>
        <v>-1</v>
      </c>
      <c r="O213" s="4">
        <f ca="1">IF(N213=1,O$3*L212/Prices!B212,-O$3*M212)</f>
        <v>-3.5481531766744921E-2</v>
      </c>
      <c r="P213" s="22"/>
      <c r="Q213" s="13">
        <f ca="1">Q212-T213*Prices!B213</f>
        <v>0.70031055497467842</v>
      </c>
      <c r="R213" s="4">
        <f t="shared" ca="1" si="18"/>
        <v>0.2905672633958914</v>
      </c>
      <c r="S213" s="13">
        <f ca="1">IF(Prices!B212&gt;OFFSET(Prices!B212,-S$3,0),1,-1)</f>
        <v>-1</v>
      </c>
      <c r="T213" s="4">
        <f ca="1">IF(S213=1,T$3*Q212/Prices!B212,-T$3*R212)</f>
        <v>-2.8737421654538707E-2</v>
      </c>
      <c r="V213" s="13"/>
      <c r="W213" s="4"/>
      <c r="X213" s="4"/>
      <c r="Y213" s="4"/>
      <c r="Z213" s="4"/>
      <c r="AA213" s="4"/>
      <c r="AB213" s="4"/>
      <c r="AC213" s="4"/>
      <c r="AD213" s="4"/>
      <c r="AE213" s="52"/>
    </row>
    <row r="214" spans="1:31" x14ac:dyDescent="0.2">
      <c r="A214" s="7">
        <v>42862</v>
      </c>
      <c r="B214" s="13">
        <f ca="1">Prices!B213*(1+J214/(50*(ABS(O214)+ABS(T214)+0.0001)))</f>
        <v>1.1261744038694126</v>
      </c>
      <c r="C214" s="62">
        <f t="shared" ca="1" si="21"/>
        <v>1</v>
      </c>
      <c r="D214" s="13">
        <f ca="1">D213+C214*(Prices!B214-Prices!B213)/Prices!B213</f>
        <v>2.2301366296343387E-2</v>
      </c>
      <c r="E214" s="13">
        <f t="shared" ca="1" si="22"/>
        <v>7.6362380646953595E-2</v>
      </c>
      <c r="F214" s="13">
        <f t="shared" ca="1" si="20"/>
        <v>9.8663746943296979E-2</v>
      </c>
      <c r="G214" s="21">
        <f ca="1">IF((Prices!B214-Prices!B213)*C214&gt;0,1,0)</f>
        <v>0</v>
      </c>
      <c r="H214" s="13">
        <f>ABS(Prices!B214-Prices!B213)/Prices!B213</f>
        <v>9.8214285714286788E-3</v>
      </c>
      <c r="I214" s="21"/>
      <c r="J214" s="4">
        <f t="shared" ca="1" si="23"/>
        <v>2.4341576720394789E-2</v>
      </c>
      <c r="K214" s="13"/>
      <c r="L214" s="13">
        <f ca="1">L213-O214*Prices!B214</f>
        <v>0.69349140152831368</v>
      </c>
      <c r="M214" s="4">
        <f t="shared" ca="1" si="19"/>
        <v>0.28740040731063388</v>
      </c>
      <c r="N214" s="13">
        <f ca="1">IF(Prices!B213&gt;OFFSET(Prices!B213,-$N$3,0),1,-1)</f>
        <v>-1</v>
      </c>
      <c r="O214" s="4">
        <f ca="1">IF(N214=1,O$3*L213/Prices!B213,-O$3*M213)</f>
        <v>-3.1933378590070435E-2</v>
      </c>
      <c r="P214" s="22"/>
      <c r="Q214" s="13">
        <f ca="1">Q213-T214*Prices!B214</f>
        <v>0.63790162953537244</v>
      </c>
      <c r="R214" s="4">
        <f t="shared" ca="1" si="18"/>
        <v>0.34684221870635662</v>
      </c>
      <c r="S214" s="13">
        <f ca="1">IF(Prices!B213&gt;OFFSET(Prices!B213,-S$3,0),1,-1)</f>
        <v>1</v>
      </c>
      <c r="T214" s="4">
        <f ca="1">IF(S214=1,T$3*Q213/Prices!B213,-T$3*R213)</f>
        <v>5.6274955310465224E-2</v>
      </c>
      <c r="V214" s="13"/>
      <c r="W214" s="4"/>
      <c r="X214" s="4"/>
      <c r="Y214" s="4"/>
      <c r="Z214" s="4"/>
      <c r="AA214" s="4"/>
      <c r="AB214" s="4"/>
      <c r="AC214" s="4"/>
      <c r="AD214" s="4"/>
      <c r="AE214" s="52"/>
    </row>
    <row r="215" spans="1:31" x14ac:dyDescent="0.2">
      <c r="A215" s="7">
        <v>42869</v>
      </c>
      <c r="B215" s="13">
        <f ca="1">Prices!B214*(1+J215/(50*(ABS(O215)+ABS(T215)+0.0001)))</f>
        <v>1.0868569322947559</v>
      </c>
      <c r="C215" s="62">
        <f t="shared" ca="1" si="21"/>
        <v>0</v>
      </c>
      <c r="D215" s="13">
        <f ca="1">D214+C215*(Prices!B215-Prices!B214)/Prices!B214</f>
        <v>2.2301366296343387E-2</v>
      </c>
      <c r="E215" s="13">
        <f t="shared" ca="1" si="22"/>
        <v>7.6362380646953595E-2</v>
      </c>
      <c r="F215" s="13">
        <f t="shared" ca="1" si="20"/>
        <v>9.8663746943296979E-2</v>
      </c>
      <c r="G215" s="21">
        <f ca="1">IF((Prices!B215-Prices!B214)*C215&gt;0,1,0)</f>
        <v>0</v>
      </c>
      <c r="H215" s="13">
        <f>ABS(Prices!B215-Prices!B214)/Prices!B214</f>
        <v>4.869251577998261E-3</v>
      </c>
      <c r="I215" s="21"/>
      <c r="J215" s="4">
        <f t="shared" ca="1" si="23"/>
        <v>-5.9955840414635482E-2</v>
      </c>
      <c r="K215" s="13"/>
      <c r="L215" s="13">
        <f ca="1">L214-O215*Prices!B215</f>
        <v>0.72551930291901068</v>
      </c>
      <c r="M215" s="4">
        <f t="shared" ca="1" si="19"/>
        <v>0.25866036657957048</v>
      </c>
      <c r="N215" s="13">
        <f ca="1">IF(Prices!B214&gt;OFFSET(Prices!B214,-$N$3,0),1,-1)</f>
        <v>-1</v>
      </c>
      <c r="O215" s="4">
        <f ca="1">IF(N215=1,O$3*L214/Prices!B214,-O$3*M214)</f>
        <v>-2.8740040731063388E-2</v>
      </c>
      <c r="P215" s="22"/>
      <c r="Q215" s="13">
        <f ca="1">Q214-T215*Prices!B215</f>
        <v>0.67268851670274521</v>
      </c>
      <c r="R215" s="4">
        <f t="shared" ca="1" si="18"/>
        <v>0.31562641902278454</v>
      </c>
      <c r="S215" s="13">
        <f ca="1">IF(Prices!B214&gt;OFFSET(Prices!B214,-S$3,0),1,-1)</f>
        <v>-1</v>
      </c>
      <c r="T215" s="4">
        <f ca="1">IF(S215=1,T$3*Q214/Prices!B214,-T$3*R214)</f>
        <v>-3.1215799683572094E-2</v>
      </c>
      <c r="V215" s="13"/>
      <c r="W215" s="4"/>
      <c r="X215" s="4"/>
      <c r="Y215" s="4"/>
      <c r="Z215" s="4"/>
      <c r="AA215" s="4"/>
      <c r="AB215" s="4"/>
      <c r="AC215" s="4"/>
      <c r="AD215" s="4"/>
      <c r="AE215" s="52"/>
    </row>
    <row r="216" spans="1:31" x14ac:dyDescent="0.2">
      <c r="A216" s="7">
        <v>42876</v>
      </c>
      <c r="B216" s="13">
        <f ca="1">Prices!B215*(1+J216/(50*(ABS(O216)+ABS(T216)+0.0001)))</f>
        <v>1.1231374607715687</v>
      </c>
      <c r="C216" s="62">
        <f t="shared" ca="1" si="21"/>
        <v>1</v>
      </c>
      <c r="D216" s="13">
        <f ca="1">D215+C216*(Prices!B216-Prices!B215)/Prices!B215</f>
        <v>7.7643957292220737E-3</v>
      </c>
      <c r="E216" s="13">
        <f t="shared" ca="1" si="22"/>
        <v>9.08993512140749E-2</v>
      </c>
      <c r="F216" s="13">
        <f t="shared" ca="1" si="20"/>
        <v>9.8663746943296979E-2</v>
      </c>
      <c r="G216" s="21">
        <f ca="1">IF((Prices!B216-Prices!B215)*C216&gt;0,1,0)</f>
        <v>0</v>
      </c>
      <c r="H216" s="13">
        <f>ABS(Prices!B216-Prices!B215)/Prices!B215</f>
        <v>1.4536970567121313E-2</v>
      </c>
      <c r="I216" s="21"/>
      <c r="J216" s="4">
        <f t="shared" ca="1" si="23"/>
        <v>3.6697651623826155E-2</v>
      </c>
      <c r="K216" s="13"/>
      <c r="L216" s="13">
        <f ca="1">L215-O216*Prices!B216</f>
        <v>0.6540220579023508</v>
      </c>
      <c r="M216" s="4">
        <f t="shared" ca="1" si="19"/>
        <v>0.32376439591544726</v>
      </c>
      <c r="N216" s="13">
        <f ca="1">IF(Prices!B215&gt;OFFSET(Prices!B215,-$N$3,0),1,-1)</f>
        <v>1</v>
      </c>
      <c r="O216" s="4">
        <f ca="1">IF(N216=1,O$3*L215/Prices!B215,-O$3*M215)</f>
        <v>6.5104029335876765E-2</v>
      </c>
      <c r="P216" s="22"/>
      <c r="Q216" s="13">
        <f ca="1">Q215-T216*Prices!B216</f>
        <v>0.70388440070611924</v>
      </c>
      <c r="R216" s="4">
        <f t="shared" ca="1" si="18"/>
        <v>0.28722004131073392</v>
      </c>
      <c r="S216" s="13">
        <f ca="1">IF(Prices!B215&gt;OFFSET(Prices!B215,-S$3,0),1,-1)</f>
        <v>-1</v>
      </c>
      <c r="T216" s="4">
        <f ca="1">IF(S216=1,T$3*Q215/Prices!B215,-T$3*R215)</f>
        <v>-2.8406377712050609E-2</v>
      </c>
      <c r="V216" s="13"/>
      <c r="W216" s="4"/>
      <c r="X216" s="4"/>
      <c r="Y216" s="4"/>
      <c r="Z216" s="4"/>
      <c r="AA216" s="4"/>
      <c r="AB216" s="4"/>
      <c r="AC216" s="4"/>
      <c r="AD216" s="4"/>
      <c r="AE216" s="52"/>
    </row>
    <row r="217" spans="1:31" x14ac:dyDescent="0.2">
      <c r="A217" s="7">
        <v>42883</v>
      </c>
      <c r="B217" s="13">
        <f ca="1">Prices!B216*(1+J217/(50*(ABS(O217)+ABS(T217)+0.0001)))</f>
        <v>1.0762736571484015</v>
      </c>
      <c r="C217" s="62">
        <f t="shared" ca="1" si="21"/>
        <v>0</v>
      </c>
      <c r="D217" s="13">
        <f ca="1">D216+C217*(Prices!B217-Prices!B216)/Prices!B216</f>
        <v>7.7643957292220737E-3</v>
      </c>
      <c r="E217" s="13">
        <f t="shared" ca="1" si="22"/>
        <v>9.08993512140749E-2</v>
      </c>
      <c r="F217" s="13">
        <f t="shared" ca="1" si="20"/>
        <v>9.8663746943296979E-2</v>
      </c>
      <c r="G217" s="21">
        <f ca="1">IF((Prices!B217-Prices!B216)*C217&gt;0,1,0)</f>
        <v>0</v>
      </c>
      <c r="H217" s="13">
        <f>ABS(Prices!B217-Prices!B216)/Prices!B216</f>
        <v>4.2797304680385418E-3</v>
      </c>
      <c r="I217" s="21"/>
      <c r="J217" s="4">
        <f t="shared" ca="1" si="23"/>
        <v>-5.8226243309510782E-2</v>
      </c>
      <c r="K217" s="13"/>
      <c r="L217" s="13">
        <f ca="1">L216-O217*Prices!B217</f>
        <v>0.68973003312786552</v>
      </c>
      <c r="M217" s="4">
        <f t="shared" ca="1" si="19"/>
        <v>0.29138795632390252</v>
      </c>
      <c r="N217" s="13">
        <f ca="1">IF(Prices!B216&gt;OFFSET(Prices!B216,-$N$3,0),1,-1)</f>
        <v>-1</v>
      </c>
      <c r="O217" s="4">
        <f ca="1">IF(N217=1,O$3*L216/Prices!B216,-O$3*M216)</f>
        <v>-3.237643959154473E-2</v>
      </c>
      <c r="P217" s="22"/>
      <c r="Q217" s="13">
        <f ca="1">Q216-T217*Prices!B217</f>
        <v>0.73239414922666402</v>
      </c>
      <c r="R217" s="4">
        <f t="shared" ca="1" si="18"/>
        <v>0.2613702375927679</v>
      </c>
      <c r="S217" s="13">
        <f ca="1">IF(Prices!B216&gt;OFFSET(Prices!B216,-S$3,0),1,-1)</f>
        <v>-1</v>
      </c>
      <c r="T217" s="4">
        <f ca="1">IF(S217=1,T$3*Q216/Prices!B216,-T$3*R216)</f>
        <v>-2.5849803717966052E-2</v>
      </c>
      <c r="V217" s="13"/>
      <c r="W217" s="4"/>
      <c r="X217" s="4"/>
      <c r="Y217" s="4"/>
      <c r="Z217" s="4"/>
      <c r="AA217" s="4"/>
      <c r="AB217" s="4"/>
      <c r="AC217" s="4"/>
      <c r="AD217" s="4"/>
      <c r="AE217" s="52"/>
    </row>
    <row r="218" spans="1:31" x14ac:dyDescent="0.2">
      <c r="A218" s="7">
        <v>42890</v>
      </c>
      <c r="B218" s="13">
        <f ca="1">Prices!B217*(1+J218/(50*(ABS(O218)+ABS(T218)+0.0001)))</f>
        <v>1.0808838065105184</v>
      </c>
      <c r="C218" s="62">
        <f t="shared" ca="1" si="21"/>
        <v>0</v>
      </c>
      <c r="D218" s="13">
        <f ca="1">D217+C218*(Prices!B218-Prices!B217)/Prices!B217</f>
        <v>7.7643957292220737E-3</v>
      </c>
      <c r="E218" s="13">
        <f t="shared" ca="1" si="22"/>
        <v>9.08993512140749E-2</v>
      </c>
      <c r="F218" s="13">
        <f t="shared" ca="1" si="20"/>
        <v>9.8663746943296979E-2</v>
      </c>
      <c r="G218" s="21">
        <f ca="1">IF((Prices!B218-Prices!B217)*C218&gt;0,1,0)</f>
        <v>0</v>
      </c>
      <c r="H218" s="13">
        <f>ABS(Prices!B218-Prices!B217)/Prices!B217</f>
        <v>3.9894822740048595E-3</v>
      </c>
      <c r="I218" s="21"/>
      <c r="J218" s="4">
        <f t="shared" ca="1" si="23"/>
        <v>-5.2662117015739363E-2</v>
      </c>
      <c r="K218" s="13"/>
      <c r="L218" s="13">
        <f ca="1">L217-O218*Prices!B218</f>
        <v>0.72199542153161123</v>
      </c>
      <c r="M218" s="4">
        <f t="shared" ca="1" si="19"/>
        <v>0.26224916069151227</v>
      </c>
      <c r="N218" s="13">
        <f ca="1">IF(Prices!B217&gt;OFFSET(Prices!B217,-$N$3,0),1,-1)</f>
        <v>-1</v>
      </c>
      <c r="O218" s="4">
        <f ca="1">IF(N218=1,O$3*L217/Prices!B217,-O$3*M217)</f>
        <v>-2.9138795632390253E-2</v>
      </c>
      <c r="P218" s="22"/>
      <c r="Q218" s="13">
        <f ca="1">Q217-T218*Prices!B218</f>
        <v>0.75844152299444645</v>
      </c>
      <c r="R218" s="4">
        <f t="shared" ca="1" si="18"/>
        <v>0.23784691620941878</v>
      </c>
      <c r="S218" s="13">
        <f ca="1">IF(Prices!B217&gt;OFFSET(Prices!B217,-S$3,0),1,-1)</f>
        <v>-1</v>
      </c>
      <c r="T218" s="4">
        <f ca="1">IF(S218=1,T$3*Q217/Prices!B217,-T$3*R217)</f>
        <v>-2.3523321383349109E-2</v>
      </c>
      <c r="V218" s="13"/>
      <c r="W218" s="4"/>
      <c r="X218" s="4"/>
      <c r="Y218" s="4"/>
      <c r="Z218" s="4"/>
      <c r="AA218" s="4"/>
      <c r="AB218" s="4"/>
      <c r="AC218" s="4"/>
      <c r="AD218" s="4"/>
      <c r="AE218" s="52"/>
    </row>
    <row r="219" spans="1:31" x14ac:dyDescent="0.2">
      <c r="A219" s="7">
        <v>42897</v>
      </c>
      <c r="B219" s="13">
        <f ca="1">Prices!B218*(1+J219/(50*(ABS(O219)+ABS(T219)+0.0001)))</f>
        <v>1.0852003973847744</v>
      </c>
      <c r="C219" s="62">
        <f t="shared" ca="1" si="21"/>
        <v>0</v>
      </c>
      <c r="D219" s="13">
        <f ca="1">D218+C219*(Prices!B219-Prices!B218)/Prices!B218</f>
        <v>7.7643957292220737E-3</v>
      </c>
      <c r="E219" s="13">
        <f t="shared" ca="1" si="22"/>
        <v>9.08993512140749E-2</v>
      </c>
      <c r="F219" s="13">
        <f t="shared" ca="1" si="20"/>
        <v>9.8663746943296979E-2</v>
      </c>
      <c r="G219" s="21">
        <f ca="1">IF((Prices!B219-Prices!B218)*C219&gt;0,1,0)</f>
        <v>0</v>
      </c>
      <c r="H219" s="13">
        <f>ABS(Prices!B219-Prices!B218)/Prices!B218</f>
        <v>5.0573466991782256E-3</v>
      </c>
      <c r="I219" s="21"/>
      <c r="J219" s="4">
        <f t="shared" ca="1" si="23"/>
        <v>-4.7631138527998912E-2</v>
      </c>
      <c r="K219" s="13"/>
      <c r="L219" s="13">
        <f ca="1">L218-O219*Prices!B219</f>
        <v>0.75088741156499517</v>
      </c>
      <c r="M219" s="4">
        <f t="shared" ca="1" si="19"/>
        <v>0.23602424462236105</v>
      </c>
      <c r="N219" s="13">
        <f ca="1">IF(Prices!B218&gt;OFFSET(Prices!B218,-$N$3,0),1,-1)</f>
        <v>-1</v>
      </c>
      <c r="O219" s="4">
        <f ca="1">IF(N219=1,O$3*L218/Prices!B218,-O$3*M218)</f>
        <v>-2.6224916069151227E-2</v>
      </c>
      <c r="P219" s="22"/>
      <c r="Q219" s="13">
        <f ca="1">Q218-T219*Prices!B219</f>
        <v>0.78202475827735896</v>
      </c>
      <c r="R219" s="4">
        <f t="shared" ca="1" si="18"/>
        <v>0.21644069375057109</v>
      </c>
      <c r="S219" s="13">
        <f ca="1">IF(Prices!B218&gt;OFFSET(Prices!B218,-S$3,0),1,-1)</f>
        <v>-1</v>
      </c>
      <c r="T219" s="4">
        <f ca="1">IF(S219=1,T$3*Q218/Prices!B218,-T$3*R218)</f>
        <v>-2.1406222458847688E-2</v>
      </c>
      <c r="V219" s="13"/>
      <c r="W219" s="4"/>
      <c r="X219" s="4"/>
      <c r="Y219" s="4"/>
      <c r="Z219" s="4"/>
      <c r="AA219" s="4"/>
      <c r="AB219" s="4"/>
      <c r="AC219" s="4"/>
      <c r="AD219" s="4"/>
      <c r="AE219" s="52"/>
    </row>
    <row r="220" spans="1:31" x14ac:dyDescent="0.2">
      <c r="A220" s="7">
        <v>42904</v>
      </c>
      <c r="B220" s="13">
        <f ca="1">Prices!B219*(1+J220/(50*(ABS(O220)+ABS(T220)+0.0001)))</f>
        <v>1.0797170257877324</v>
      </c>
      <c r="C220" s="62">
        <f t="shared" ca="1" si="21"/>
        <v>0</v>
      </c>
      <c r="D220" s="13">
        <f ca="1">D219+C220*(Prices!B220-Prices!B219)/Prices!B219</f>
        <v>7.7643957292220737E-3</v>
      </c>
      <c r="E220" s="13">
        <f t="shared" ca="1" si="22"/>
        <v>9.08993512140749E-2</v>
      </c>
      <c r="F220" s="13">
        <f t="shared" ca="1" si="20"/>
        <v>9.8663746943296979E-2</v>
      </c>
      <c r="G220" s="21">
        <f ca="1">IF((Prices!B220-Prices!B219)*C220&gt;0,1,0)</f>
        <v>0</v>
      </c>
      <c r="H220" s="13">
        <f>ABS(Prices!B220-Prices!B219)/Prices!B219</f>
        <v>6.9891985113913211E-3</v>
      </c>
      <c r="I220" s="21"/>
      <c r="J220" s="4">
        <f t="shared" ca="1" si="23"/>
        <v>-4.30820868997875E-2</v>
      </c>
      <c r="K220" s="13"/>
      <c r="L220" s="13">
        <f ca="1">L219-O220*Prices!B220</f>
        <v>0.77670846392668147</v>
      </c>
      <c r="M220" s="4">
        <f t="shared" ca="1" si="19"/>
        <v>0.21242182016012495</v>
      </c>
      <c r="N220" s="13">
        <f ca="1">IF(Prices!B219&gt;OFFSET(Prices!B219,-$N$3,0),1,-1)</f>
        <v>-1</v>
      </c>
      <c r="O220" s="4">
        <f ca="1">IF(N220=1,O$3*L219/Prices!B219,-O$3*M219)</f>
        <v>-2.3602424462236107E-2</v>
      </c>
      <c r="P220" s="22"/>
      <c r="Q220" s="13">
        <f ca="1">Q219-T220*Prices!B220</f>
        <v>0.80333550898404016</v>
      </c>
      <c r="R220" s="4">
        <f t="shared" ca="1" si="18"/>
        <v>0.1969610313130197</v>
      </c>
      <c r="S220" s="13">
        <f ca="1">IF(Prices!B219&gt;OFFSET(Prices!B219,-S$3,0),1,-1)</f>
        <v>-1</v>
      </c>
      <c r="T220" s="4">
        <f ca="1">IF(S220=1,T$3*Q219/Prices!B219,-T$3*R219)</f>
        <v>-1.9479662437551396E-2</v>
      </c>
      <c r="V220" s="13"/>
      <c r="W220" s="4"/>
      <c r="X220" s="4"/>
      <c r="Y220" s="4"/>
      <c r="Z220" s="4"/>
      <c r="AA220" s="4"/>
      <c r="AB220" s="4"/>
      <c r="AC220" s="4"/>
      <c r="AD220" s="4"/>
      <c r="AE220" s="52"/>
    </row>
    <row r="221" spans="1:31" x14ac:dyDescent="0.2">
      <c r="A221" s="7">
        <v>42911</v>
      </c>
      <c r="B221" s="13">
        <f ca="1">Prices!B220*(1+J221/(50*(ABS(O221)+ABS(T221)+0.0001)))</f>
        <v>1.072176003947134</v>
      </c>
      <c r="C221" s="62">
        <f t="shared" ca="1" si="21"/>
        <v>0</v>
      </c>
      <c r="D221" s="13">
        <f ca="1">D220+C221*(Prices!B221-Prices!B220)/Prices!B220</f>
        <v>7.7643957292220737E-3</v>
      </c>
      <c r="E221" s="13">
        <f t="shared" ca="1" si="22"/>
        <v>9.08993512140749E-2</v>
      </c>
      <c r="F221" s="13">
        <f t="shared" ca="1" si="20"/>
        <v>9.8663746943296979E-2</v>
      </c>
      <c r="G221" s="21">
        <f ca="1">IF((Prices!B221-Prices!B220)*C221&gt;0,1,0)</f>
        <v>0</v>
      </c>
      <c r="H221" s="13">
        <f>ABS(Prices!B221-Prices!B220)/Prices!B220</f>
        <v>3.5648994515539434E-3</v>
      </c>
      <c r="I221" s="21"/>
      <c r="J221" s="4">
        <f t="shared" ca="1" si="23"/>
        <v>-3.8968674834184272E-2</v>
      </c>
      <c r="K221" s="13"/>
      <c r="L221" s="13">
        <f ca="1">L220-O221*Prices!B221</f>
        <v>0.80003025556206164</v>
      </c>
      <c r="M221" s="4">
        <f t="shared" ca="1" si="19"/>
        <v>0.19117963814411246</v>
      </c>
      <c r="N221" s="13">
        <f ca="1">IF(Prices!B220&gt;OFFSET(Prices!B220,-$N$3,0),1,-1)</f>
        <v>-1</v>
      </c>
      <c r="O221" s="4">
        <f ca="1">IF(N221=1,O$3*L220/Prices!B220,-O$3*M220)</f>
        <v>-2.1242182016012495E-2</v>
      </c>
      <c r="P221" s="22"/>
      <c r="Q221" s="13">
        <f ca="1">Q220-T221*Prices!B221</f>
        <v>0.82279742544911094</v>
      </c>
      <c r="R221" s="4">
        <f t="shared" ca="1" si="18"/>
        <v>0.17923453849484794</v>
      </c>
      <c r="S221" s="13">
        <f ca="1">IF(Prices!B220&gt;OFFSET(Prices!B220,-S$3,0),1,-1)</f>
        <v>-1</v>
      </c>
      <c r="T221" s="4">
        <f ca="1">IF(S221=1,T$3*Q220/Prices!B220,-T$3*R220)</f>
        <v>-1.7726492818171773E-2</v>
      </c>
      <c r="V221" s="13"/>
      <c r="W221" s="4"/>
      <c r="X221" s="4"/>
      <c r="Y221" s="4"/>
      <c r="Z221" s="4"/>
      <c r="AA221" s="4"/>
      <c r="AB221" s="4"/>
      <c r="AC221" s="4"/>
      <c r="AD221" s="4"/>
      <c r="AE221" s="52"/>
    </row>
    <row r="222" spans="1:31" x14ac:dyDescent="0.2">
      <c r="A222" s="7">
        <v>42918</v>
      </c>
      <c r="B222" s="13">
        <f ca="1">Prices!B221*(1+J222/(50*(ABS(O222)+ABS(T222)+0.0001)))</f>
        <v>1.076004117613234</v>
      </c>
      <c r="C222" s="62">
        <f t="shared" ca="1" si="21"/>
        <v>0</v>
      </c>
      <c r="D222" s="13">
        <f ca="1">D221+C222*(Prices!B222-Prices!B221)/Prices!B221</f>
        <v>7.7643957292220737E-3</v>
      </c>
      <c r="E222" s="13">
        <f t="shared" ca="1" si="22"/>
        <v>9.08993512140749E-2</v>
      </c>
      <c r="F222" s="13">
        <f t="shared" ca="1" si="20"/>
        <v>9.8663746943296979E-2</v>
      </c>
      <c r="G222" s="21">
        <f ca="1">IF((Prices!B222-Prices!B221)*C222&gt;0,1,0)</f>
        <v>0</v>
      </c>
      <c r="H222" s="13">
        <f>ABS(Prices!B222-Prices!B221)/Prices!B221</f>
        <v>5.7382275252755004E-3</v>
      </c>
      <c r="I222" s="21"/>
      <c r="J222" s="4">
        <f t="shared" ca="1" si="23"/>
        <v>-3.5249072278947566E-2</v>
      </c>
      <c r="K222" s="13"/>
      <c r="L222" s="13">
        <f ca="1">L221-O222*Prices!B222</f>
        <v>0.82114031120593456</v>
      </c>
      <c r="M222" s="4">
        <f t="shared" ca="1" si="19"/>
        <v>0.17206167432970121</v>
      </c>
      <c r="N222" s="13">
        <f ca="1">IF(Prices!B221&gt;OFFSET(Prices!B221,-$N$3,0),1,-1)</f>
        <v>-1</v>
      </c>
      <c r="O222" s="4">
        <f ca="1">IF(N222=1,O$3*L221/Prices!B221,-O$3*M221)</f>
        <v>-1.9117963814411248E-2</v>
      </c>
      <c r="P222" s="22"/>
      <c r="Q222" s="13">
        <f ca="1">Q221-T222*Prices!B222</f>
        <v>0.84060939541565194</v>
      </c>
      <c r="R222" s="4">
        <f t="shared" ca="1" si="18"/>
        <v>0.16310343003031164</v>
      </c>
      <c r="S222" s="13">
        <f ca="1">IF(Prices!B221&gt;OFFSET(Prices!B221,-S$3,0),1,-1)</f>
        <v>-1</v>
      </c>
      <c r="T222" s="4">
        <f ca="1">IF(S222=1,T$3*Q221/Prices!B221,-T$3*R221)</f>
        <v>-1.6131108464536314E-2</v>
      </c>
      <c r="V222" s="13"/>
      <c r="W222" s="4"/>
      <c r="X222" s="4"/>
      <c r="Y222" s="4"/>
      <c r="Z222" s="4"/>
      <c r="AA222" s="4"/>
      <c r="AB222" s="4"/>
      <c r="AC222" s="4"/>
      <c r="AD222" s="4"/>
      <c r="AE222" s="52"/>
    </row>
    <row r="223" spans="1:31" x14ac:dyDescent="0.2">
      <c r="A223" s="7">
        <v>42925</v>
      </c>
      <c r="B223" s="13">
        <f ca="1">Prices!B222*(1+J223/(50*(ABS(O223)+ABS(T223)+0.0001)))</f>
        <v>1.0821850438369789</v>
      </c>
      <c r="C223" s="62">
        <f t="shared" ca="1" si="21"/>
        <v>0</v>
      </c>
      <c r="D223" s="13">
        <f ca="1">D222+C223*(Prices!B223-Prices!B222)/Prices!B222</f>
        <v>7.7643957292220737E-3</v>
      </c>
      <c r="E223" s="13">
        <f t="shared" ca="1" si="22"/>
        <v>9.08993512140749E-2</v>
      </c>
      <c r="F223" s="13">
        <f t="shared" ca="1" si="20"/>
        <v>9.8663746943296979E-2</v>
      </c>
      <c r="G223" s="21">
        <f ca="1">IF((Prices!B223-Prices!B222)*C223&gt;0,1,0)</f>
        <v>0</v>
      </c>
      <c r="H223" s="13">
        <f>ABS(Prices!B223-Prices!B222)/Prices!B222</f>
        <v>1.1320412968665056E-2</v>
      </c>
      <c r="I223" s="21"/>
      <c r="J223" s="4">
        <f t="shared" ca="1" si="23"/>
        <v>-3.1885476135698171E-2</v>
      </c>
      <c r="K223" s="13"/>
      <c r="L223" s="13">
        <f ca="1">L222-O223*Prices!B223</f>
        <v>0.84035443837833235</v>
      </c>
      <c r="M223" s="4">
        <f t="shared" ca="1" si="19"/>
        <v>0.15485550689673108</v>
      </c>
      <c r="N223" s="13">
        <f ca="1">IF(Prices!B222&gt;OFFSET(Prices!B222,-$N$3,0),1,-1)</f>
        <v>-1</v>
      </c>
      <c r="O223" s="4">
        <f ca="1">IF(N223=1,O$3*L222/Prices!B222,-O$3*M222)</f>
        <v>-1.7206167432970123E-2</v>
      </c>
      <c r="P223" s="22"/>
      <c r="Q223" s="13">
        <f ca="1">Q222-T223*Prices!B223</f>
        <v>0.85700177944398837</v>
      </c>
      <c r="R223" s="4">
        <f t="shared" ca="1" si="18"/>
        <v>0.14842412132758359</v>
      </c>
      <c r="S223" s="13">
        <f ca="1">IF(Prices!B222&gt;OFFSET(Prices!B222,-S$3,0),1,-1)</f>
        <v>-1</v>
      </c>
      <c r="T223" s="4">
        <f ca="1">IF(S223=1,T$3*Q222/Prices!B222,-T$3*R222)</f>
        <v>-1.4679308702728046E-2</v>
      </c>
      <c r="V223" s="13"/>
      <c r="W223" s="4"/>
      <c r="X223" s="4"/>
      <c r="Y223" s="4"/>
      <c r="Z223" s="4"/>
      <c r="AA223" s="4"/>
      <c r="AB223" s="4"/>
      <c r="AC223" s="4"/>
      <c r="AD223" s="4"/>
      <c r="AE223" s="52"/>
    </row>
    <row r="224" spans="1:31" x14ac:dyDescent="0.2">
      <c r="A224" s="7">
        <v>42932</v>
      </c>
      <c r="B224" s="13">
        <f ca="1">Prices!B223*(1+J224/(50*(ABS(O224)+ABS(T224)+0.0001)))</f>
        <v>1.1390185357146836</v>
      </c>
      <c r="C224" s="62">
        <f t="shared" ca="1" si="21"/>
        <v>1</v>
      </c>
      <c r="D224" s="13">
        <f ca="1">D223+C224*(Prices!B224-Prices!B223)/Prices!B223</f>
        <v>-2.641648533862305E-5</v>
      </c>
      <c r="E224" s="13">
        <f t="shared" ca="1" si="22"/>
        <v>9.8690163428635597E-2</v>
      </c>
      <c r="F224" s="13">
        <f t="shared" ca="1" si="20"/>
        <v>9.8663746943296979E-2</v>
      </c>
      <c r="G224" s="21">
        <f ca="1">IF((Prices!B224-Prices!B223)*C224&gt;0,1,0)</f>
        <v>0</v>
      </c>
      <c r="H224" s="13">
        <f>ABS(Prices!B224-Prices!B223)/Prices!B223</f>
        <v>7.7908122145606967E-3</v>
      </c>
      <c r="I224" s="21"/>
      <c r="J224" s="4">
        <f t="shared" ca="1" si="23"/>
        <v>0.14432309840404062</v>
      </c>
      <c r="K224" s="13"/>
      <c r="L224" s="13">
        <f ca="1">L223-O224*Prices!B224</f>
        <v>0.75697369890280697</v>
      </c>
      <c r="M224" s="4">
        <f t="shared" ca="1" si="19"/>
        <v>0.2301088818746421</v>
      </c>
      <c r="N224" s="13">
        <f ca="1">IF(Prices!B223&gt;OFFSET(Prices!B223,-$N$3,0),1,-1)</f>
        <v>1</v>
      </c>
      <c r="O224" s="4">
        <f ca="1">IF(N224=1,O$3*L223/Prices!B223,-O$3*M223)</f>
        <v>7.5253374977911014E-2</v>
      </c>
      <c r="P224" s="22"/>
      <c r="Q224" s="13">
        <f ca="1">Q223-T224*Prices!B224</f>
        <v>0.78047252588783678</v>
      </c>
      <c r="R224" s="4">
        <f t="shared" ca="1" si="18"/>
        <v>0.21749384475371319</v>
      </c>
      <c r="S224" s="13">
        <f ca="1">IF(Prices!B223&gt;OFFSET(Prices!B223,-S$3,0),1,-1)</f>
        <v>1</v>
      </c>
      <c r="T224" s="4">
        <f ca="1">IF(S224=1,T$3*Q223/Prices!B223,-T$3*R223)</f>
        <v>6.9069723426129617E-2</v>
      </c>
      <c r="V224" s="13"/>
      <c r="W224" s="4"/>
      <c r="X224" s="4"/>
      <c r="Y224" s="4"/>
      <c r="Z224" s="4"/>
      <c r="AA224" s="4"/>
      <c r="AB224" s="4"/>
      <c r="AC224" s="4"/>
      <c r="AD224" s="4"/>
      <c r="AE224" s="52"/>
    </row>
    <row r="225" spans="1:31" x14ac:dyDescent="0.2">
      <c r="A225" s="7">
        <v>42939</v>
      </c>
      <c r="B225" s="13">
        <f ca="1">Prices!B224*(1+J225/(50*(ABS(O225)+ABS(T225)+0.0001)))</f>
        <v>1.1202756708856589</v>
      </c>
      <c r="C225" s="62">
        <f t="shared" ca="1" si="21"/>
        <v>1</v>
      </c>
      <c r="D225" s="13">
        <f ca="1">D224+C225*(Prices!B225-Prices!B224)/Prices!B224</f>
        <v>7.7353163666468829E-3</v>
      </c>
      <c r="E225" s="13">
        <f t="shared" ca="1" si="22"/>
        <v>9.0928430576650093E-2</v>
      </c>
      <c r="F225" s="13">
        <f t="shared" ca="1" si="20"/>
        <v>9.8663746943296979E-2</v>
      </c>
      <c r="G225" s="21">
        <f ca="1">IF((Prices!B225-Prices!B224)*C225&gt;0,1,0)</f>
        <v>1</v>
      </c>
      <c r="H225" s="13">
        <f>ABS(Prices!B225-Prices!B224)/Prices!B224</f>
        <v>7.7617328519855059E-3</v>
      </c>
      <c r="I225" s="21"/>
      <c r="J225" s="4">
        <f t="shared" ca="1" si="23"/>
        <v>4.8744479865920953E-2</v>
      </c>
      <c r="K225" s="13"/>
      <c r="L225" s="13">
        <f ca="1">L224-O225*Prices!B225</f>
        <v>0.68068878624983997</v>
      </c>
      <c r="M225" s="4">
        <f t="shared" ca="1" si="19"/>
        <v>0.29842780776839722</v>
      </c>
      <c r="N225" s="13">
        <f ca="1">IF(Prices!B224&gt;OFFSET(Prices!B224,-$N$3,0),1,-1)</f>
        <v>1</v>
      </c>
      <c r="O225" s="4">
        <f ca="1">IF(N225=1,O$3*L224/Prices!B224,-O$3*M224)</f>
        <v>6.8318925893755142E-2</v>
      </c>
      <c r="P225" s="22"/>
      <c r="Q225" s="13">
        <f ca="1">Q224-T225*Prices!B225</f>
        <v>0.80232935232251645</v>
      </c>
      <c r="R225" s="4">
        <f t="shared" ca="1" si="18"/>
        <v>0.19791939872587902</v>
      </c>
      <c r="S225" s="13">
        <f ca="1">IF(Prices!B224&gt;OFFSET(Prices!B224,-S$3,0),1,-1)</f>
        <v>-1</v>
      </c>
      <c r="T225" s="4">
        <f ca="1">IF(S225=1,T$3*Q224/Prices!B224,-T$3*R224)</f>
        <v>-1.9574446027834185E-2</v>
      </c>
      <c r="V225" s="13"/>
      <c r="W225" s="4"/>
      <c r="X225" s="4"/>
      <c r="Y225" s="4"/>
      <c r="Z225" s="4"/>
      <c r="AA225" s="4"/>
      <c r="AB225" s="4"/>
      <c r="AC225" s="4"/>
      <c r="AD225" s="4"/>
      <c r="AE225" s="52"/>
    </row>
    <row r="226" spans="1:31" x14ac:dyDescent="0.2">
      <c r="A226" s="7">
        <v>42946</v>
      </c>
      <c r="B226" s="13">
        <f ca="1">Prices!B225*(1+J226/(50*(ABS(O226)+ABS(T226)+0.0001)))</f>
        <v>1.1288168057830466</v>
      </c>
      <c r="C226" s="62">
        <f t="shared" ca="1" si="21"/>
        <v>1</v>
      </c>
      <c r="D226" s="13">
        <f ca="1">D225+C226*(Prices!B226-Prices!B225)/Prices!B225</f>
        <v>-5.5192062914223858E-3</v>
      </c>
      <c r="E226" s="13">
        <f t="shared" ca="1" si="22"/>
        <v>0.10418295323471936</v>
      </c>
      <c r="F226" s="13">
        <f t="shared" ca="1" si="20"/>
        <v>9.8663746943296979E-2</v>
      </c>
      <c r="G226" s="21">
        <f ca="1">IF((Prices!B226-Prices!B225)*C226&gt;0,1,0)</f>
        <v>0</v>
      </c>
      <c r="H226" s="13">
        <f>ABS(Prices!B226-Prices!B225)/Prices!B225</f>
        <v>1.3254522658069269E-2</v>
      </c>
      <c r="I226" s="21"/>
      <c r="J226" s="4">
        <f t="shared" ca="1" si="23"/>
        <v>4.3148098306847127E-2</v>
      </c>
      <c r="K226" s="13"/>
      <c r="L226" s="13">
        <f ca="1">L225-O226*Prices!B226</f>
        <v>0.61352212811890017</v>
      </c>
      <c r="M226" s="4">
        <f t="shared" ca="1" si="19"/>
        <v>0.35938865196057346</v>
      </c>
      <c r="N226" s="13">
        <f ca="1">IF(Prices!B225&gt;OFFSET(Prices!B225,-$N$3,0),1,-1)</f>
        <v>1</v>
      </c>
      <c r="O226" s="4">
        <f ca="1">IF(N226=1,O$3*L225/Prices!B225,-O$3*M225)</f>
        <v>6.096084419217624E-2</v>
      </c>
      <c r="P226" s="22"/>
      <c r="Q226" s="13">
        <f ca="1">Q225-T226*Prices!B226</f>
        <v>0.82195543573897212</v>
      </c>
      <c r="R226" s="4">
        <f t="shared" ca="1" si="18"/>
        <v>0.18010665284054991</v>
      </c>
      <c r="S226" s="13">
        <f ca="1">IF(Prices!B225&gt;OFFSET(Prices!B225,-S$3,0),1,-1)</f>
        <v>-1</v>
      </c>
      <c r="T226" s="4">
        <f ca="1">IF(S226=1,T$3*Q225/Prices!B225,-T$3*R225)</f>
        <v>-1.781274588532911E-2</v>
      </c>
      <c r="V226" s="13"/>
      <c r="W226" s="4"/>
      <c r="X226" s="4"/>
      <c r="Y226" s="4"/>
      <c r="Z226" s="4"/>
      <c r="AA226" s="4"/>
      <c r="AB226" s="4"/>
      <c r="AC226" s="4"/>
      <c r="AD226" s="4"/>
      <c r="AE226" s="52"/>
    </row>
    <row r="227" spans="1:31" x14ac:dyDescent="0.2">
      <c r="A227" s="7">
        <v>42953</v>
      </c>
      <c r="B227" s="13">
        <f ca="1">Prices!B226*(1+J227/(50*(ABS(O227)+ABS(T227)+0.0001)))</f>
        <v>1.0798061754025541</v>
      </c>
      <c r="C227" s="62">
        <f t="shared" ca="1" si="21"/>
        <v>0</v>
      </c>
      <c r="D227" s="13">
        <f ca="1">D226+C227*(Prices!B227-Prices!B226)/Prices!B226</f>
        <v>-5.5192062914223858E-3</v>
      </c>
      <c r="E227" s="13">
        <f t="shared" ca="1" si="22"/>
        <v>0.10418295323471936</v>
      </c>
      <c r="F227" s="13">
        <f t="shared" ca="1" si="20"/>
        <v>9.8663746943296979E-2</v>
      </c>
      <c r="G227" s="21">
        <f ca="1">IF((Prices!B227-Prices!B226)*C227&gt;0,1,0)</f>
        <v>0</v>
      </c>
      <c r="H227" s="13">
        <f>ABS(Prices!B227-Prices!B226)/Prices!B226</f>
        <v>2.9950989290253049E-3</v>
      </c>
      <c r="I227" s="21"/>
      <c r="J227" s="4">
        <f t="shared" ca="1" si="23"/>
        <v>-5.2148463951706837E-2</v>
      </c>
      <c r="K227" s="13"/>
      <c r="L227" s="13">
        <f ca="1">L226-O227*Prices!B227</f>
        <v>0.65323816804706314</v>
      </c>
      <c r="M227" s="4">
        <f t="shared" ca="1" si="19"/>
        <v>0.32344978676451613</v>
      </c>
      <c r="N227" s="13">
        <f ca="1">IF(Prices!B226&gt;OFFSET(Prices!B226,-$N$3,0),1,-1)</f>
        <v>-1</v>
      </c>
      <c r="O227" s="4">
        <f ca="1">IF(N227=1,O$3*L226/Prices!B226,-O$3*M226)</f>
        <v>-3.5938865196057344E-2</v>
      </c>
      <c r="P227" s="22"/>
      <c r="Q227" s="13">
        <f ca="1">Q226-T227*Prices!B227</f>
        <v>0.83986866332384036</v>
      </c>
      <c r="R227" s="4">
        <f t="shared" ca="1" si="18"/>
        <v>0.16389705408490041</v>
      </c>
      <c r="S227" s="13">
        <f ca="1">IF(Prices!B226&gt;OFFSET(Prices!B226,-S$3,0),1,-1)</f>
        <v>-1</v>
      </c>
      <c r="T227" s="4">
        <f ca="1">IF(S227=1,T$3*Q226/Prices!B226,-T$3*R226)</f>
        <v>-1.6209598755649493E-2</v>
      </c>
      <c r="V227" s="13"/>
      <c r="W227" s="4"/>
      <c r="X227" s="4"/>
      <c r="Y227" s="4"/>
      <c r="Z227" s="4"/>
      <c r="AA227" s="4"/>
      <c r="AB227" s="4"/>
      <c r="AC227" s="4"/>
      <c r="AD227" s="4"/>
      <c r="AE227" s="52"/>
    </row>
    <row r="228" spans="1:31" x14ac:dyDescent="0.2">
      <c r="A228" s="7">
        <v>42960</v>
      </c>
      <c r="B228" s="13">
        <f ca="1">Prices!B227*(1+J228/(50*(ABS(O228)+ABS(T228)+0.0001)))</f>
        <v>1.0830448305240885</v>
      </c>
      <c r="C228" s="62">
        <f t="shared" ca="1" si="21"/>
        <v>0</v>
      </c>
      <c r="D228" s="13">
        <f ca="1">D227+C228*(Prices!B228-Prices!B227)/Prices!B227</f>
        <v>-5.5192062914223858E-3</v>
      </c>
      <c r="E228" s="13">
        <f t="shared" ca="1" si="22"/>
        <v>0.10418295323471936</v>
      </c>
      <c r="F228" s="13">
        <f t="shared" ca="1" si="20"/>
        <v>9.8663746943296979E-2</v>
      </c>
      <c r="G228" s="21">
        <f ca="1">IF((Prices!B228-Prices!B227)*C228&gt;0,1,0)</f>
        <v>0</v>
      </c>
      <c r="H228" s="13">
        <f>ABS(Prices!B228-Prices!B227)/Prices!B227</f>
        <v>2.7146864537144978E-3</v>
      </c>
      <c r="I228" s="21"/>
      <c r="J228" s="4">
        <f t="shared" ca="1" si="23"/>
        <v>-4.709571354409265E-2</v>
      </c>
      <c r="K228" s="13"/>
      <c r="L228" s="13">
        <f ca="1">L227-O228*Prices!B228</f>
        <v>0.68888556904638043</v>
      </c>
      <c r="M228" s="4">
        <f t="shared" ca="1" si="19"/>
        <v>0.29110480808806449</v>
      </c>
      <c r="N228" s="13">
        <f ca="1">IF(Prices!B227&gt;OFFSET(Prices!B227,-$N$3,0),1,-1)</f>
        <v>-1</v>
      </c>
      <c r="O228" s="4">
        <f ca="1">IF(N228=1,O$3*L227/Prices!B227,-O$3*M227)</f>
        <v>-3.2344978676451613E-2</v>
      </c>
      <c r="P228" s="22"/>
      <c r="Q228" s="13">
        <f ca="1">Q227-T228*Prices!B228</f>
        <v>0.85612544822146752</v>
      </c>
      <c r="R228" s="4">
        <f t="shared" ca="1" si="18"/>
        <v>0.14914631921725938</v>
      </c>
      <c r="S228" s="13">
        <f ca="1">IF(Prices!B227&gt;OFFSET(Prices!B227,-S$3,0),1,-1)</f>
        <v>-1</v>
      </c>
      <c r="T228" s="4">
        <f ca="1">IF(S228=1,T$3*Q227/Prices!B227,-T$3*R227)</f>
        <v>-1.4750734867641037E-2</v>
      </c>
      <c r="V228" s="13"/>
      <c r="W228" s="4"/>
      <c r="X228" s="4"/>
      <c r="Y228" s="4"/>
      <c r="Z228" s="4"/>
      <c r="AA228" s="4"/>
      <c r="AB228" s="4"/>
      <c r="AC228" s="4"/>
      <c r="AD228" s="4"/>
      <c r="AE228" s="52"/>
    </row>
    <row r="229" spans="1:31" x14ac:dyDescent="0.2">
      <c r="A229" s="7">
        <v>42967</v>
      </c>
      <c r="B229" s="13">
        <f ca="1">Prices!B228*(1+J229/(50*(ABS(O229)+ABS(T229)+0.0001)))</f>
        <v>1.1111732403350798</v>
      </c>
      <c r="C229" s="62">
        <f t="shared" ca="1" si="21"/>
        <v>1</v>
      </c>
      <c r="D229" s="13">
        <f ca="1">D228+C229*(Prices!B229-Prices!B228)/Prices!B228</f>
        <v>-5.7914138950882861E-3</v>
      </c>
      <c r="E229" s="13">
        <f t="shared" ca="1" si="22"/>
        <v>0.10445516083838527</v>
      </c>
      <c r="F229" s="13">
        <f t="shared" ca="1" si="20"/>
        <v>9.8663746943296979E-2</v>
      </c>
      <c r="G229" s="21">
        <f ca="1">IF((Prices!B229-Prices!B228)*C229&gt;0,1,0)</f>
        <v>0</v>
      </c>
      <c r="H229" s="13">
        <f>ABS(Prices!B229-Prices!B228)/Prices!B228</f>
        <v>2.7220760366590053E-4</v>
      </c>
      <c r="I229" s="21"/>
      <c r="J229" s="4">
        <f t="shared" ca="1" si="23"/>
        <v>4.0802676200477714E-2</v>
      </c>
      <c r="K229" s="13"/>
      <c r="L229" s="13">
        <f ca="1">L228-O229*Prices!B229</f>
        <v>0.72095949680152338</v>
      </c>
      <c r="M229" s="4">
        <f t="shared" ca="1" si="19"/>
        <v>0.26199432727925803</v>
      </c>
      <c r="N229" s="13">
        <f ca="1">IF(Prices!B228&gt;OFFSET(Prices!B228,-$N$3,0),1,-1)</f>
        <v>-1</v>
      </c>
      <c r="O229" s="4">
        <f ca="1">IF(N229=1,O$3*L228/Prices!B228,-O$3*M228)</f>
        <v>-2.911048080880645E-2</v>
      </c>
      <c r="P229" s="22"/>
      <c r="Q229" s="13">
        <f ca="1">Q228-T229*Prices!B229</f>
        <v>0.77909513182863821</v>
      </c>
      <c r="R229" s="4">
        <f t="shared" ca="1" si="18"/>
        <v>0.21905947622654354</v>
      </c>
      <c r="S229" s="13">
        <f ca="1">IF(Prices!B228&gt;OFFSET(Prices!B228,-S$3,0),1,-1)</f>
        <v>1</v>
      </c>
      <c r="T229" s="4">
        <f ca="1">IF(S229=1,T$3*Q228/Prices!B228,-T$3*R228)</f>
        <v>6.991315700928416E-2</v>
      </c>
      <c r="V229" s="13"/>
      <c r="W229" s="4"/>
      <c r="X229" s="4"/>
      <c r="Y229" s="4"/>
      <c r="Z229" s="4"/>
      <c r="AA229" s="4"/>
      <c r="AB229" s="4"/>
      <c r="AC229" s="4"/>
      <c r="AD229" s="4"/>
      <c r="AE229" s="52"/>
    </row>
    <row r="230" spans="1:31" x14ac:dyDescent="0.2">
      <c r="A230" s="7">
        <v>42974</v>
      </c>
      <c r="B230" s="13">
        <f ca="1">Prices!B229*(1+J230/(50*(ABS(O230)+ABS(T230)+0.0001)))</f>
        <v>1.0798118889550787</v>
      </c>
      <c r="C230" s="62">
        <f t="shared" ca="1" si="21"/>
        <v>0</v>
      </c>
      <c r="D230" s="13">
        <f ca="1">D229+C230*(Prices!B230-Prices!B229)/Prices!B229</f>
        <v>-5.7914138950882861E-3</v>
      </c>
      <c r="E230" s="13">
        <f t="shared" ca="1" si="22"/>
        <v>0.10445516083838527</v>
      </c>
      <c r="F230" s="13">
        <f t="shared" ca="1" si="20"/>
        <v>9.8663746943296979E-2</v>
      </c>
      <c r="G230" s="21">
        <f ca="1">IF((Prices!B230-Prices!B229)*C230&gt;0,1,0)</f>
        <v>0</v>
      </c>
      <c r="H230" s="13">
        <f>ABS(Prices!B230-Prices!B229)/Prices!B229</f>
        <v>3.8119440914868435E-3</v>
      </c>
      <c r="I230" s="21"/>
      <c r="J230" s="4">
        <f t="shared" ca="1" si="23"/>
        <v>-4.5914785588314723E-2</v>
      </c>
      <c r="K230" s="13"/>
      <c r="L230" s="13">
        <f ca="1">L229-O230*Prices!B230</f>
        <v>0.74993606939860935</v>
      </c>
      <c r="M230" s="4">
        <f t="shared" ca="1" si="19"/>
        <v>0.23579489455133223</v>
      </c>
      <c r="N230" s="13">
        <f ca="1">IF(Prices!B229&gt;OFFSET(Prices!B229,-$N$3,0),1,-1)</f>
        <v>-1</v>
      </c>
      <c r="O230" s="4">
        <f ca="1">IF(N230=1,O$3*L229/Prices!B229,-O$3*M229)</f>
        <v>-2.6199432727925805E-2</v>
      </c>
      <c r="P230" s="22"/>
      <c r="Q230" s="13">
        <f ca="1">Q229-T230*Prices!B230</f>
        <v>0.80090031209222834</v>
      </c>
      <c r="R230" s="4">
        <f t="shared" ca="1" si="18"/>
        <v>0.19934412336615462</v>
      </c>
      <c r="S230" s="13">
        <f ca="1">IF(Prices!B229&gt;OFFSET(Prices!B229,-S$3,0),1,-1)</f>
        <v>-1</v>
      </c>
      <c r="T230" s="4">
        <f ca="1">IF(S230=1,T$3*Q229/Prices!B229,-T$3*R229)</f>
        <v>-1.9715352860388918E-2</v>
      </c>
      <c r="V230" s="13"/>
      <c r="W230" s="4"/>
      <c r="X230" s="4"/>
      <c r="Y230" s="4"/>
      <c r="Z230" s="4"/>
      <c r="AA230" s="4"/>
      <c r="AB230" s="4"/>
      <c r="AC230" s="4"/>
      <c r="AD230" s="4"/>
      <c r="AE230" s="52"/>
    </row>
    <row r="231" spans="1:31" x14ac:dyDescent="0.2">
      <c r="A231" s="7">
        <v>42981</v>
      </c>
      <c r="B231" s="13">
        <f ca="1">Prices!B230*(1+J231/(50*(ABS(O231)+ABS(T231)+0.0001)))</f>
        <v>1.1188486288797965</v>
      </c>
      <c r="C231" s="62">
        <f t="shared" ca="1" si="21"/>
        <v>1</v>
      </c>
      <c r="D231" s="13">
        <f ca="1">D230+C231*(Prices!B231-Prices!B230)/Prices!B230</f>
        <v>-2.7604318984416829E-4</v>
      </c>
      <c r="E231" s="13">
        <f t="shared" ca="1" si="22"/>
        <v>9.8939790133141151E-2</v>
      </c>
      <c r="F231" s="13">
        <f t="shared" ca="1" si="20"/>
        <v>9.8663746943296979E-2</v>
      </c>
      <c r="G231" s="21">
        <f ca="1">IF((Prices!B231-Prices!B230)*C231&gt;0,1,0)</f>
        <v>1</v>
      </c>
      <c r="H231" s="13">
        <f>ABS(Prices!B231-Prices!B230)/Prices!B230</f>
        <v>5.5153707052441178E-3</v>
      </c>
      <c r="I231" s="21"/>
      <c r="J231" s="4">
        <f t="shared" ca="1" si="23"/>
        <v>4.9865183453882377E-2</v>
      </c>
      <c r="K231" s="13"/>
      <c r="L231" s="13">
        <f ca="1">L230-O231*Prices!B231</f>
        <v>0.67452884491595166</v>
      </c>
      <c r="M231" s="4">
        <f t="shared" ca="1" si="19"/>
        <v>0.30360104910816854</v>
      </c>
      <c r="N231" s="13">
        <f ca="1">IF(Prices!B230&gt;OFFSET(Prices!B230,-$N$3,0),1,-1)</f>
        <v>1</v>
      </c>
      <c r="O231" s="4">
        <f ca="1">IF(N231=1,O$3*L230/Prices!B230,-O$3*M230)</f>
        <v>6.7806154556836293E-2</v>
      </c>
      <c r="P231" s="22"/>
      <c r="Q231" s="13">
        <f ca="1">Q230-T231*Prices!B231</f>
        <v>0.8208524660558234</v>
      </c>
      <c r="R231" s="4">
        <f t="shared" ca="1" si="18"/>
        <v>0.1814031522632007</v>
      </c>
      <c r="S231" s="13">
        <f ca="1">IF(Prices!B230&gt;OFFSET(Prices!B230,-S$3,0),1,-1)</f>
        <v>-1</v>
      </c>
      <c r="T231" s="4">
        <f ca="1">IF(S231=1,T$3*Q230/Prices!B230,-T$3*R230)</f>
        <v>-1.7940971102953916E-2</v>
      </c>
      <c r="V231" s="13"/>
      <c r="W231" s="4"/>
      <c r="X231" s="4"/>
      <c r="Y231" s="4"/>
      <c r="Z231" s="4"/>
      <c r="AA231" s="4"/>
      <c r="AB231" s="4"/>
      <c r="AC231" s="4"/>
      <c r="AD231" s="4"/>
      <c r="AE231" s="52"/>
    </row>
    <row r="232" spans="1:31" x14ac:dyDescent="0.2">
      <c r="A232" s="7">
        <v>42988</v>
      </c>
      <c r="B232" s="13">
        <f ca="1">Prices!B231*(1+J232/(50*(ABS(O232)+ABS(T232)+0.0001)))</f>
        <v>1.1343245118881358</v>
      </c>
      <c r="C232" s="62">
        <f t="shared" ca="1" si="21"/>
        <v>1</v>
      </c>
      <c r="D232" s="13">
        <f ca="1">D231+C232*(Prices!B232-Prices!B231)/Prices!B231</f>
        <v>-4.0526819813199375E-3</v>
      </c>
      <c r="E232" s="13">
        <f t="shared" ca="1" si="22"/>
        <v>0.10271642892461691</v>
      </c>
      <c r="F232" s="13">
        <f t="shared" ca="1" si="20"/>
        <v>9.8663746943296979E-2</v>
      </c>
      <c r="G232" s="21">
        <f ca="1">IF((Prices!B232-Prices!B231)*C232&gt;0,1,0)</f>
        <v>0</v>
      </c>
      <c r="H232" s="13">
        <f>ABS(Prices!B232-Prices!B231)/Prices!B231</f>
        <v>3.7766387914757696E-3</v>
      </c>
      <c r="I232" s="21"/>
      <c r="J232" s="4">
        <f t="shared" ca="1" si="23"/>
        <v>0.12708354144107478</v>
      </c>
      <c r="K232" s="13"/>
      <c r="L232" s="13">
        <f ca="1">L231-O232*Prices!B232</f>
        <v>0.6073307056045244</v>
      </c>
      <c r="M232" s="4">
        <f t="shared" ca="1" si="19"/>
        <v>0.36425466343385432</v>
      </c>
      <c r="N232" s="13">
        <f ca="1">IF(Prices!B231&gt;OFFSET(Prices!B231,-$N$3,0),1,-1)</f>
        <v>1</v>
      </c>
      <c r="O232" s="4">
        <f ca="1">IF(N232=1,O$3*L231/Prices!B231,-O$3*M231)</f>
        <v>6.0653614325685792E-2</v>
      </c>
      <c r="P232" s="22"/>
      <c r="Q232" s="13">
        <f ca="1">Q231-T232*Prices!B232</f>
        <v>0.74725474980468398</v>
      </c>
      <c r="R232" s="4">
        <f t="shared" ca="1" si="18"/>
        <v>0.24783307937858967</v>
      </c>
      <c r="S232" s="13">
        <f ca="1">IF(Prices!B231&gt;OFFSET(Prices!B231,-S$3,0),1,-1)</f>
        <v>1</v>
      </c>
      <c r="T232" s="4">
        <f ca="1">IF(S232=1,T$3*Q231/Prices!B231,-T$3*R231)</f>
        <v>6.642992711538899E-2</v>
      </c>
      <c r="V232" s="13"/>
      <c r="W232" s="4"/>
      <c r="X232" s="4"/>
      <c r="Y232" s="4"/>
      <c r="Z232" s="4"/>
      <c r="AA232" s="4"/>
      <c r="AB232" s="4"/>
      <c r="AC232" s="4"/>
      <c r="AD232" s="4"/>
      <c r="AE232" s="52"/>
    </row>
    <row r="233" spans="1:31" x14ac:dyDescent="0.2">
      <c r="A233" s="7">
        <v>42995</v>
      </c>
      <c r="B233" s="13">
        <f ca="1">Prices!B232*(1+J233/(50*(ABS(O233)+ABS(T233)+0.0001)))</f>
        <v>1.1300388357035525</v>
      </c>
      <c r="C233" s="62">
        <f t="shared" ca="1" si="21"/>
        <v>1</v>
      </c>
      <c r="D233" s="13">
        <f ca="1">D232+C233*(Prices!B233-Prices!B232)/Prices!B232</f>
        <v>4.7928816977124943E-3</v>
      </c>
      <c r="E233" s="13">
        <f t="shared" ca="1" si="22"/>
        <v>9.3870865245584481E-2</v>
      </c>
      <c r="F233" s="13">
        <f t="shared" ca="1" si="20"/>
        <v>9.8663746943296979E-2</v>
      </c>
      <c r="G233" s="21">
        <f ca="1">IF((Prices!B233-Prices!B232)*C233&gt;0,1,0)</f>
        <v>1</v>
      </c>
      <c r="H233" s="13">
        <f>ABS(Prices!B233-Prices!B232)/Prices!B232</f>
        <v>8.8455636790324317E-3</v>
      </c>
      <c r="I233" s="21"/>
      <c r="J233" s="4">
        <f t="shared" ca="1" si="23"/>
        <v>0.1155212546645672</v>
      </c>
      <c r="K233" s="13"/>
      <c r="L233" s="13">
        <f ca="1">L232-O233*Prices!B233</f>
        <v>0.54606041680100625</v>
      </c>
      <c r="M233" s="4">
        <f t="shared" ca="1" si="19"/>
        <v>0.41907285150177781</v>
      </c>
      <c r="N233" s="13">
        <f ca="1">IF(Prices!B232&gt;OFFSET(Prices!B232,-$N$3,0),1,-1)</f>
        <v>1</v>
      </c>
      <c r="O233" s="4">
        <f ca="1">IF(N233=1,O$3*L232/Prices!B232,-O$3*M232)</f>
        <v>5.4818188067923504E-2</v>
      </c>
      <c r="P233" s="22"/>
      <c r="Q233" s="13">
        <f ca="1">Q232-T233*Prices!B233</f>
        <v>0.67940693226961535</v>
      </c>
      <c r="R233" s="4">
        <f t="shared" ca="1" si="18"/>
        <v>0.30853614597523338</v>
      </c>
      <c r="S233" s="13">
        <f ca="1">IF(Prices!B232&gt;OFFSET(Prices!B232,-S$3,0),1,-1)</f>
        <v>1</v>
      </c>
      <c r="T233" s="4">
        <f ca="1">IF(S233=1,T$3*Q232/Prices!B232,-T$3*R232)</f>
        <v>6.07030665966437E-2</v>
      </c>
      <c r="V233" s="13"/>
      <c r="W233" s="4"/>
      <c r="X233" s="4"/>
      <c r="Y233" s="4"/>
      <c r="Z233" s="4"/>
      <c r="AA233" s="4"/>
      <c r="AB233" s="4"/>
      <c r="AC233" s="4"/>
      <c r="AD233" s="4"/>
      <c r="AE233" s="52"/>
    </row>
    <row r="234" spans="1:31" x14ac:dyDescent="0.2">
      <c r="A234" s="7">
        <v>43002</v>
      </c>
      <c r="B234" s="13">
        <f ca="1">Prices!B233*(1+J234/(50*(ABS(O234)+ABS(T234)+0.0001)))</f>
        <v>1.1400324359491554</v>
      </c>
      <c r="C234" s="62">
        <f t="shared" ca="1" si="21"/>
        <v>1</v>
      </c>
      <c r="D234" s="13">
        <f ca="1">D233+C234*(Prices!B234-Prices!B233)/Prices!B233</f>
        <v>3.3613705587666018E-3</v>
      </c>
      <c r="E234" s="13">
        <f t="shared" ca="1" si="22"/>
        <v>9.5302376384530374E-2</v>
      </c>
      <c r="F234" s="13">
        <f t="shared" ca="1" si="20"/>
        <v>9.8663746943296979E-2</v>
      </c>
      <c r="G234" s="21">
        <f ca="1">IF((Prices!B234-Prices!B233)*C234&gt;0,1,0)</f>
        <v>0</v>
      </c>
      <c r="H234" s="13">
        <f>ABS(Prices!B234-Prices!B233)/Prices!B233</f>
        <v>1.4315111389458924E-3</v>
      </c>
      <c r="I234" s="21"/>
      <c r="J234" s="4">
        <f t="shared" ca="1" si="23"/>
        <v>0.10356326884169814</v>
      </c>
      <c r="K234" s="13"/>
      <c r="L234" s="13">
        <f ca="1">L233-O234*Prices!B234</f>
        <v>0.49153254427782445</v>
      </c>
      <c r="M234" s="4">
        <f t="shared" ca="1" si="19"/>
        <v>0.46792857457603804</v>
      </c>
      <c r="N234" s="13">
        <f ca="1">IF(Prices!B233&gt;OFFSET(Prices!B233,-$N$3,0),1,-1)</f>
        <v>1</v>
      </c>
      <c r="O234" s="4">
        <f ca="1">IF(N234=1,O$3*L233/Prices!B233,-O$3*M233)</f>
        <v>4.8855723074260206E-2</v>
      </c>
      <c r="P234" s="22"/>
      <c r="Q234" s="13">
        <f ca="1">Q233-T234*Prices!B234</f>
        <v>0.61834784043857782</v>
      </c>
      <c r="R234" s="4">
        <f t="shared" ca="1" si="18"/>
        <v>0.36324369174267135</v>
      </c>
      <c r="S234" s="13">
        <f ca="1">IF(Prices!B233&gt;OFFSET(Prices!B233,-S$3,0),1,-1)</f>
        <v>1</v>
      </c>
      <c r="T234" s="4">
        <f ca="1">IF(S234=1,T$3*Q233/Prices!B233,-T$3*R233)</f>
        <v>5.4707545767437943E-2</v>
      </c>
      <c r="V234" s="13"/>
      <c r="W234" s="4"/>
      <c r="X234" s="4"/>
      <c r="Y234" s="4"/>
      <c r="Z234" s="4"/>
      <c r="AA234" s="4"/>
      <c r="AB234" s="4"/>
      <c r="AC234" s="4"/>
      <c r="AD234" s="4"/>
      <c r="AE234" s="52"/>
    </row>
    <row r="235" spans="1:31" x14ac:dyDescent="0.2">
      <c r="A235" s="7">
        <v>43009</v>
      </c>
      <c r="B235" s="13">
        <f ca="1">Prices!B234*(1+J235/(50*(ABS(O235)+ABS(T235)+0.0001)))</f>
        <v>1.1383982538184687</v>
      </c>
      <c r="C235" s="62">
        <f t="shared" ca="1" si="21"/>
        <v>1</v>
      </c>
      <c r="D235" s="13">
        <f ca="1">D234+C235*(Prices!B235-Prices!B234)/Prices!B234</f>
        <v>-2.2253769318215108E-4</v>
      </c>
      <c r="E235" s="13">
        <f t="shared" ca="1" si="22"/>
        <v>9.8886284636479124E-2</v>
      </c>
      <c r="F235" s="13">
        <f t="shared" ca="1" si="20"/>
        <v>9.8663746943296979E-2</v>
      </c>
      <c r="G235" s="21">
        <f ca="1">IF((Prices!B235-Prices!B234)*C235&gt;0,1,0)</f>
        <v>0</v>
      </c>
      <c r="H235" s="13">
        <f>ABS(Prices!B235-Prices!B234)/Prices!B234</f>
        <v>3.5839082519487529E-3</v>
      </c>
      <c r="I235" s="21"/>
      <c r="J235" s="4">
        <f t="shared" ca="1" si="23"/>
        <v>9.3902481916722916E-2</v>
      </c>
      <c r="K235" s="13"/>
      <c r="L235" s="13">
        <f ca="1">L234-O235*Prices!B235</f>
        <v>0.44255545060419588</v>
      </c>
      <c r="M235" s="4">
        <f t="shared" ca="1" si="19"/>
        <v>0.51196876311450457</v>
      </c>
      <c r="N235" s="13">
        <f ca="1">IF(Prices!B234&gt;OFFSET(Prices!B234,-$N$3,0),1,-1)</f>
        <v>1</v>
      </c>
      <c r="O235" s="4">
        <f ca="1">IF(N235=1,O$3*L234/Prices!B234,-O$3*M234)</f>
        <v>4.4040188538466488E-2</v>
      </c>
      <c r="P235" s="22"/>
      <c r="Q235" s="13">
        <f ca="1">Q234-T235*Prices!B235</f>
        <v>0.56289598397261886</v>
      </c>
      <c r="R235" s="4">
        <f t="shared" ca="1" si="18"/>
        <v>0.41310598512092778</v>
      </c>
      <c r="S235" s="13">
        <f ca="1">IF(Prices!B234&gt;OFFSET(Prices!B234,-S$3,0),1,-1)</f>
        <v>1</v>
      </c>
      <c r="T235" s="4">
        <f ca="1">IF(S235=1,T$3*Q234/Prices!B234,-T$3*R234)</f>
        <v>4.9862293378256428E-2</v>
      </c>
      <c r="V235" s="13"/>
      <c r="W235" s="4"/>
      <c r="X235" s="4"/>
      <c r="Y235" s="4"/>
      <c r="Z235" s="4"/>
      <c r="AA235" s="4"/>
      <c r="AB235" s="4"/>
      <c r="AC235" s="4"/>
      <c r="AD235" s="4"/>
      <c r="AE235" s="52"/>
    </row>
    <row r="236" spans="1:31" x14ac:dyDescent="0.2">
      <c r="A236" s="7">
        <v>43016</v>
      </c>
      <c r="B236" s="13">
        <f ca="1">Prices!B235*(1+J236/(50*(ABS(O236)+ABS(T236)+0.0001)))</f>
        <v>1.0898831389028443</v>
      </c>
      <c r="C236" s="62">
        <f t="shared" ca="1" si="21"/>
        <v>0</v>
      </c>
      <c r="D236" s="13">
        <f ca="1">D235+C236*(Prices!B236-Prices!B235)/Prices!B235</f>
        <v>-2.2253769318215108E-4</v>
      </c>
      <c r="E236" s="13">
        <f t="shared" ca="1" si="22"/>
        <v>9.8886284636479124E-2</v>
      </c>
      <c r="F236" s="13">
        <f t="shared" ca="1" si="20"/>
        <v>9.8663746943296979E-2</v>
      </c>
      <c r="G236" s="21">
        <f ca="1">IF((Prices!B236-Prices!B235)*C236&gt;0,1,0)</f>
        <v>0</v>
      </c>
      <c r="H236" s="13">
        <f>ABS(Prices!B236-Prices!B235)/Prices!B235</f>
        <v>2.607679165542779E-3</v>
      </c>
      <c r="I236" s="21"/>
      <c r="J236" s="4">
        <f t="shared" ca="1" si="23"/>
        <v>-8.837641497233395E-2</v>
      </c>
      <c r="K236" s="13"/>
      <c r="L236" s="13">
        <f ca="1">L235-O236*Prices!B236</f>
        <v>0.4993430258088567</v>
      </c>
      <c r="M236" s="4">
        <f t="shared" ca="1" si="19"/>
        <v>0.46077188680305409</v>
      </c>
      <c r="N236" s="13">
        <f ca="1">IF(Prices!B235&gt;OFFSET(Prices!B235,-$N$3,0),1,-1)</f>
        <v>-1</v>
      </c>
      <c r="O236" s="4">
        <f ca="1">IF(N236=1,O$3*L235/Prices!B235,-O$3*M235)</f>
        <v>-5.1196876311450458E-2</v>
      </c>
      <c r="P236" s="22"/>
      <c r="Q236" s="13">
        <f ca="1">Q235-T236*Prices!B236</f>
        <v>0.60413552825527084</v>
      </c>
      <c r="R236" s="4">
        <f t="shared" ca="1" si="18"/>
        <v>0.37592644646004425</v>
      </c>
      <c r="S236" s="13">
        <f ca="1">IF(Prices!B235&gt;OFFSET(Prices!B235,-S$3,0),1,-1)</f>
        <v>-1</v>
      </c>
      <c r="T236" s="4">
        <f ca="1">IF(S236=1,T$3*Q235/Prices!B235,-T$3*R235)</f>
        <v>-3.7179538660883499E-2</v>
      </c>
      <c r="V236" s="13"/>
      <c r="W236" s="4"/>
      <c r="X236" s="4"/>
      <c r="Y236" s="4"/>
      <c r="Z236" s="4"/>
      <c r="AA236" s="4"/>
      <c r="AB236" s="4"/>
      <c r="AC236" s="4"/>
      <c r="AD236" s="4"/>
      <c r="AE236" s="52"/>
    </row>
    <row r="237" spans="1:31" x14ac:dyDescent="0.2">
      <c r="A237" s="7">
        <v>43023</v>
      </c>
      <c r="B237" s="13">
        <f ca="1">Prices!B236*(1+J237/(50*(ABS(O237)+ABS(T237)+0.0001)))</f>
        <v>1.1313604344945787</v>
      </c>
      <c r="C237" s="62">
        <f t="shared" ca="1" si="21"/>
        <v>1</v>
      </c>
      <c r="D237" s="13">
        <f ca="1">D236+C237*(Prices!B237-Prices!B236)/Prices!B236</f>
        <v>-6.2629271630702948E-3</v>
      </c>
      <c r="E237" s="13">
        <f t="shared" ca="1" si="22"/>
        <v>0.10492667410636727</v>
      </c>
      <c r="F237" s="13">
        <f t="shared" ca="1" si="20"/>
        <v>9.8663746943296979E-2</v>
      </c>
      <c r="G237" s="21">
        <f ca="1">IF((Prices!B237-Prices!B236)*C237&gt;0,1,0)</f>
        <v>0</v>
      </c>
      <c r="H237" s="13">
        <f>ABS(Prices!B237-Prices!B236)/Prices!B236</f>
        <v>6.0403894698881433E-3</v>
      </c>
      <c r="I237" s="21"/>
      <c r="J237" s="4">
        <f t="shared" ca="1" si="23"/>
        <v>9.4037594774486158E-2</v>
      </c>
      <c r="K237" s="13"/>
      <c r="L237" s="13">
        <f ca="1">L236-O237*Prices!B237</f>
        <v>0.44971034586346681</v>
      </c>
      <c r="M237" s="4">
        <f t="shared" ca="1" si="19"/>
        <v>0.50579019060839636</v>
      </c>
      <c r="N237" s="13">
        <f ca="1">IF(Prices!B236&gt;OFFSET(Prices!B236,-$N$3,0),1,-1)</f>
        <v>1</v>
      </c>
      <c r="O237" s="4">
        <f ca="1">IF(N237=1,O$3*L236/Prices!B236,-O$3*M236)</f>
        <v>4.5018303805342295E-2</v>
      </c>
      <c r="P237" s="22"/>
      <c r="Q237" s="13">
        <f ca="1">Q236-T237*Prices!B237</f>
        <v>0.55009175996178972</v>
      </c>
      <c r="R237" s="4">
        <f t="shared" ca="1" si="18"/>
        <v>0.42494573742918812</v>
      </c>
      <c r="S237" s="13">
        <f ca="1">IF(Prices!B236&gt;OFFSET(Prices!B236,-S$3,0),1,-1)</f>
        <v>1</v>
      </c>
      <c r="T237" s="4">
        <f ca="1">IF(S237=1,T$3*Q236/Prices!B236,-T$3*R236)</f>
        <v>4.9019290969143862E-2</v>
      </c>
      <c r="V237" s="13"/>
      <c r="W237" s="4"/>
      <c r="X237" s="4"/>
      <c r="Y237" s="4"/>
      <c r="Z237" s="4"/>
      <c r="AA237" s="4"/>
      <c r="AB237" s="4"/>
      <c r="AC237" s="4"/>
      <c r="AD237" s="4"/>
      <c r="AE237" s="52"/>
    </row>
    <row r="238" spans="1:31" x14ac:dyDescent="0.2">
      <c r="A238" s="7">
        <v>43030</v>
      </c>
      <c r="B238" s="13">
        <f ca="1">Prices!B237*(1+J238/(50*(ABS(O238)+ABS(T238)+0.0001)))</f>
        <v>1.0804747964176358</v>
      </c>
      <c r="C238" s="62">
        <f t="shared" ca="1" si="21"/>
        <v>0</v>
      </c>
      <c r="D238" s="13">
        <f ca="1">D237+C238*(Prices!B238-Prices!B237)/Prices!B237</f>
        <v>-6.2629271630702948E-3</v>
      </c>
      <c r="E238" s="13">
        <f t="shared" ca="1" si="22"/>
        <v>0.10492667410636727</v>
      </c>
      <c r="F238" s="13">
        <f t="shared" ca="1" si="20"/>
        <v>9.8663746943296979E-2</v>
      </c>
      <c r="G238" s="21">
        <f ca="1">IF((Prices!B238-Prices!B237)*C238&gt;0,1,0)</f>
        <v>0</v>
      </c>
      <c r="H238" s="13">
        <f>ABS(Prices!B238-Prices!B237)/Prices!B237</f>
        <v>6.1678004535146635E-3</v>
      </c>
      <c r="I238" s="21"/>
      <c r="J238" s="4">
        <f t="shared" ca="1" si="23"/>
        <v>-8.8824135429466572E-2</v>
      </c>
      <c r="K238" s="13"/>
      <c r="L238" s="13">
        <f ca="1">L237-O238*Prices!B238</f>
        <v>0.50581765170765625</v>
      </c>
      <c r="M238" s="4">
        <f t="shared" ca="1" si="19"/>
        <v>0.45521117154755675</v>
      </c>
      <c r="N238" s="13">
        <f ca="1">IF(Prices!B237&gt;OFFSET(Prices!B237,-$N$3,0),1,-1)</f>
        <v>-1</v>
      </c>
      <c r="O238" s="4">
        <f ca="1">IF(N238=1,O$3*L237/Prices!B237,-O$3*M237)</f>
        <v>-5.0579019060839642E-2</v>
      </c>
      <c r="P238" s="22"/>
      <c r="Q238" s="13">
        <f ca="1">Q237-T238*Prices!B238</f>
        <v>0.59251706754950761</v>
      </c>
      <c r="R238" s="4">
        <f t="shared" ca="1" si="18"/>
        <v>0.38670062106056119</v>
      </c>
      <c r="S238" s="13">
        <f ca="1">IF(Prices!B237&gt;OFFSET(Prices!B237,-S$3,0),1,-1)</f>
        <v>-1</v>
      </c>
      <c r="T238" s="4">
        <f ca="1">IF(S238=1,T$3*Q237/Prices!B237,-T$3*R237)</f>
        <v>-3.824511636862693E-2</v>
      </c>
      <c r="V238" s="13"/>
      <c r="W238" s="4"/>
      <c r="X238" s="4"/>
      <c r="Y238" s="4"/>
      <c r="Z238" s="4"/>
      <c r="AA238" s="4"/>
      <c r="AB238" s="4"/>
      <c r="AC238" s="4"/>
      <c r="AD238" s="4"/>
      <c r="AE238" s="52"/>
    </row>
    <row r="239" spans="1:31" x14ac:dyDescent="0.2">
      <c r="A239" s="7">
        <v>43037</v>
      </c>
      <c r="B239" s="13">
        <f ca="1">Prices!B238*(1+J239/(50*(ABS(O239)+ABS(T239)+0.0001)))</f>
        <v>1.1099040899587518</v>
      </c>
      <c r="C239" s="62">
        <f t="shared" ca="1" si="21"/>
        <v>1</v>
      </c>
      <c r="D239" s="13">
        <f ca="1">D238+C239*(Prices!B239-Prices!B238)/Prices!B238</f>
        <v>-1.9514527271246564E-2</v>
      </c>
      <c r="E239" s="13">
        <f t="shared" ca="1" si="22"/>
        <v>0.11817827421454355</v>
      </c>
      <c r="F239" s="13">
        <f t="shared" ca="1" si="20"/>
        <v>9.8663746943296979E-2</v>
      </c>
      <c r="G239" s="21">
        <f ca="1">IF((Prices!B239-Prices!B238)*C239&gt;0,1,0)</f>
        <v>0</v>
      </c>
      <c r="H239" s="13">
        <f>ABS(Prices!B239-Prices!B238)/Prices!B238</f>
        <v>1.3251600108176271E-2</v>
      </c>
      <c r="I239" s="21"/>
      <c r="J239" s="4">
        <f t="shared" ca="1" si="23"/>
        <v>2.551123068318048E-3</v>
      </c>
      <c r="K239" s="13"/>
      <c r="L239" s="13">
        <f ca="1">L238-O239*Prices!B239</f>
        <v>0.55564506654525181</v>
      </c>
      <c r="M239" s="4">
        <f t="shared" ca="1" si="19"/>
        <v>0.40969005439280104</v>
      </c>
      <c r="N239" s="13">
        <f ca="1">IF(Prices!B238&gt;OFFSET(Prices!B238,-$N$3,0),1,-1)</f>
        <v>-1</v>
      </c>
      <c r="O239" s="4">
        <f ca="1">IF(N239=1,O$3*L238/Prices!B238,-O$3*M238)</f>
        <v>-4.552111715475568E-2</v>
      </c>
      <c r="P239" s="22"/>
      <c r="Q239" s="13">
        <f ca="1">Q238-T239*Prices!B239</f>
        <v>0.53989719340133113</v>
      </c>
      <c r="R239" s="4">
        <f t="shared" ca="1" si="18"/>
        <v>0.4347728612836349</v>
      </c>
      <c r="S239" s="13">
        <f ca="1">IF(Prices!B238&gt;OFFSET(Prices!B238,-S$3,0),1,-1)</f>
        <v>1</v>
      </c>
      <c r="T239" s="4">
        <f ca="1">IF(S239=1,T$3*Q238/Prices!B238,-T$3*R238)</f>
        <v>4.8072240223073728E-2</v>
      </c>
      <c r="V239" s="13"/>
      <c r="W239" s="4"/>
      <c r="X239" s="4"/>
      <c r="Y239" s="4"/>
      <c r="Z239" s="4"/>
      <c r="AA239" s="4"/>
      <c r="AB239" s="4"/>
      <c r="AC239" s="4"/>
      <c r="AD239" s="4"/>
      <c r="AE239" s="52"/>
    </row>
    <row r="240" spans="1:31" x14ac:dyDescent="0.2">
      <c r="A240" s="7">
        <v>43044</v>
      </c>
      <c r="B240" s="13">
        <f ca="1">Prices!B239*(1+J240/(50*(ABS(O240)+ABS(T240)+0.0001)))</f>
        <v>1.0727352972472242</v>
      </c>
      <c r="C240" s="62">
        <f t="shared" ca="1" si="21"/>
        <v>0</v>
      </c>
      <c r="D240" s="13">
        <f ca="1">D239+C240*(Prices!B240-Prices!B239)/Prices!B239</f>
        <v>-1.9514527271246564E-2</v>
      </c>
      <c r="E240" s="13">
        <f t="shared" ca="1" si="22"/>
        <v>0.11817827421454355</v>
      </c>
      <c r="F240" s="13">
        <f t="shared" ca="1" si="20"/>
        <v>9.8663746943296979E-2</v>
      </c>
      <c r="G240" s="21">
        <f ca="1">IF((Prices!B240-Prices!B239)*C240&gt;0,1,0)</f>
        <v>0</v>
      </c>
      <c r="H240" s="13">
        <f>ABS(Prices!B240-Prices!B239)/Prices!B239</f>
        <v>1.050612095742743E-2</v>
      </c>
      <c r="I240" s="21"/>
      <c r="J240" s="4">
        <f t="shared" ca="1" si="23"/>
        <v>-8.0098562954807245E-2</v>
      </c>
      <c r="K240" s="13"/>
      <c r="L240" s="13">
        <f ca="1">L239-O240*Prices!B240</f>
        <v>0.60001859633653609</v>
      </c>
      <c r="M240" s="4">
        <f t="shared" ca="1" si="19"/>
        <v>0.36872104895352092</v>
      </c>
      <c r="N240" s="13">
        <f ca="1">IF(Prices!B239&gt;OFFSET(Prices!B239,-$N$3,0),1,-1)</f>
        <v>-1</v>
      </c>
      <c r="O240" s="4">
        <f ca="1">IF(N240=1,O$3*L239/Prices!B239,-O$3*M239)</f>
        <v>-4.0969005439280108E-2</v>
      </c>
      <c r="P240" s="22"/>
      <c r="Q240" s="13">
        <f ca="1">Q239-T240*Prices!B240</f>
        <v>0.58227841714639861</v>
      </c>
      <c r="R240" s="4">
        <f t="shared" ca="1" si="18"/>
        <v>0.39564330376810775</v>
      </c>
      <c r="S240" s="13">
        <f ca="1">IF(Prices!B239&gt;OFFSET(Prices!B239,-S$3,0),1,-1)</f>
        <v>-1</v>
      </c>
      <c r="T240" s="4">
        <f ca="1">IF(S240=1,T$3*Q239/Prices!B239,-T$3*R239)</f>
        <v>-3.9129557515527137E-2</v>
      </c>
      <c r="V240" s="13"/>
      <c r="W240" s="4"/>
      <c r="X240" s="4"/>
      <c r="Y240" s="4"/>
      <c r="Z240" s="4"/>
      <c r="AA240" s="4"/>
      <c r="AB240" s="4"/>
      <c r="AC240" s="4"/>
      <c r="AD240" s="4"/>
      <c r="AE240" s="52"/>
    </row>
    <row r="241" spans="1:31" x14ac:dyDescent="0.2">
      <c r="A241" s="7">
        <v>43051</v>
      </c>
      <c r="B241" s="13">
        <f ca="1">Prices!B240*(1+J241/(50*(ABS(O241)+ABS(T241)+0.0001)))</f>
        <v>1.0614678456865982</v>
      </c>
      <c r="C241" s="62">
        <f t="shared" ca="1" si="21"/>
        <v>0</v>
      </c>
      <c r="D241" s="13">
        <f ca="1">D240+C241*(Prices!B241-Prices!B240)/Prices!B240</f>
        <v>-1.9514527271246564E-2</v>
      </c>
      <c r="E241" s="13">
        <f t="shared" ca="1" si="22"/>
        <v>0.11817827421454355</v>
      </c>
      <c r="F241" s="13">
        <f t="shared" ca="1" si="20"/>
        <v>9.8663746943296979E-2</v>
      </c>
      <c r="G241" s="21">
        <f ca="1">IF((Prices!B241-Prices!B240)*C241&gt;0,1,0)</f>
        <v>0</v>
      </c>
      <c r="H241" s="13">
        <f>ABS(Prices!B241-Prices!B240)/Prices!B240</f>
        <v>1.4772412519620034E-3</v>
      </c>
      <c r="I241" s="21"/>
      <c r="J241" s="4">
        <f t="shared" ca="1" si="23"/>
        <v>-7.2480002234481783E-2</v>
      </c>
      <c r="K241" s="13"/>
      <c r="L241" s="13">
        <f ca="1">L240-O241*Prices!B241</f>
        <v>0.64001376851652447</v>
      </c>
      <c r="M241" s="4">
        <f t="shared" ca="1" si="19"/>
        <v>0.33184894405816884</v>
      </c>
      <c r="N241" s="13">
        <f ca="1">IF(Prices!B240&gt;OFFSET(Prices!B240,-$N$3,0),1,-1)</f>
        <v>-1</v>
      </c>
      <c r="O241" s="4">
        <f ca="1">IF(N241=1,O$3*L240/Prices!B240,-O$3*M240)</f>
        <v>-3.6872104895352094E-2</v>
      </c>
      <c r="P241" s="22"/>
      <c r="Q241" s="13">
        <f ca="1">Q240-T241*Prices!B241</f>
        <v>0.62090230339015262</v>
      </c>
      <c r="R241" s="4">
        <f t="shared" ca="1" si="18"/>
        <v>0.36003540642897802</v>
      </c>
      <c r="S241" s="13">
        <f ca="1">IF(Prices!B240&gt;OFFSET(Prices!B240,-S$3,0),1,-1)</f>
        <v>-1</v>
      </c>
      <c r="T241" s="4">
        <f ca="1">IF(S241=1,T$3*Q240/Prices!B240,-T$3*R240)</f>
        <v>-3.5607897339129696E-2</v>
      </c>
      <c r="V241" s="13"/>
      <c r="W241" s="4"/>
      <c r="X241" s="4"/>
      <c r="Y241" s="4"/>
      <c r="Z241" s="4"/>
      <c r="AA241" s="4"/>
      <c r="AB241" s="4"/>
      <c r="AC241" s="4"/>
      <c r="AD241" s="4"/>
      <c r="AE241" s="52"/>
    </row>
    <row r="242" spans="1:31" x14ac:dyDescent="0.2">
      <c r="A242" s="7">
        <v>43058</v>
      </c>
      <c r="B242" s="13">
        <f ca="1">Prices!B241*(1+J242/(50*(ABS(O242)+ABS(T242)+0.0001)))</f>
        <v>1.0630390257783069</v>
      </c>
      <c r="C242" s="62">
        <f t="shared" ca="1" si="21"/>
        <v>0</v>
      </c>
      <c r="D242" s="13">
        <f ca="1">D241+C242*(Prices!B242-Prices!B241)/Prices!B241</f>
        <v>-1.9514527271246564E-2</v>
      </c>
      <c r="E242" s="13">
        <f t="shared" ca="1" si="22"/>
        <v>0.11817827421454355</v>
      </c>
      <c r="F242" s="13">
        <f t="shared" ca="1" si="20"/>
        <v>9.8663746943296979E-2</v>
      </c>
      <c r="G242" s="21">
        <f ca="1">IF((Prices!B242-Prices!B241)*C242&gt;0,1,0)</f>
        <v>0</v>
      </c>
      <c r="H242" s="13">
        <f>ABS(Prices!B242-Prices!B241)/Prices!B241</f>
        <v>1.6502258689038467E-2</v>
      </c>
      <c r="I242" s="21"/>
      <c r="J242" s="4">
        <f t="shared" ca="1" si="23"/>
        <v>-6.558808098442491E-2</v>
      </c>
      <c r="K242" s="13"/>
      <c r="L242" s="13">
        <f ca="1">L241-O242*Prices!B242</f>
        <v>0.67660343308837811</v>
      </c>
      <c r="M242" s="4">
        <f t="shared" ca="1" si="19"/>
        <v>0.29866404965235194</v>
      </c>
      <c r="N242" s="13">
        <f ca="1">IF(Prices!B241&gt;OFFSET(Prices!B241,-$N$3,0),1,-1)</f>
        <v>-1</v>
      </c>
      <c r="O242" s="4">
        <f ca="1">IF(N242=1,O$3*L241/Prices!B241,-O$3*M241)</f>
        <v>-3.3184894405816887E-2</v>
      </c>
      <c r="P242" s="22"/>
      <c r="Q242" s="13">
        <f ca="1">Q241-T242*Prices!B242</f>
        <v>0.65663005691172582</v>
      </c>
      <c r="R242" s="4">
        <f t="shared" ca="1" si="18"/>
        <v>0.32763221985037</v>
      </c>
      <c r="S242" s="13">
        <f ca="1">IF(Prices!B241&gt;OFFSET(Prices!B241,-S$3,0),1,-1)</f>
        <v>-1</v>
      </c>
      <c r="T242" s="4">
        <f ca="1">IF(S242=1,T$3*Q241/Prices!B241,-T$3*R241)</f>
        <v>-3.2403186578608023E-2</v>
      </c>
      <c r="V242" s="13"/>
      <c r="W242" s="4"/>
      <c r="X242" s="4"/>
      <c r="Y242" s="4"/>
      <c r="Z242" s="4"/>
      <c r="AA242" s="4"/>
      <c r="AB242" s="4"/>
      <c r="AC242" s="4"/>
      <c r="AD242" s="4"/>
      <c r="AE242" s="52"/>
    </row>
    <row r="243" spans="1:31" x14ac:dyDescent="0.2">
      <c r="A243" s="7">
        <v>43065</v>
      </c>
      <c r="B243" s="13">
        <f ca="1">Prices!B242*(1+J243/(50*(ABS(O243)+ABS(T243)+0.0001)))</f>
        <v>1.0805850912939021</v>
      </c>
      <c r="C243" s="62">
        <f t="shared" ca="1" si="21"/>
        <v>0</v>
      </c>
      <c r="D243" s="13">
        <f ca="1">D242+C243*(Prices!B243-Prices!B242)/Prices!B242</f>
        <v>-1.9514527271246564E-2</v>
      </c>
      <c r="E243" s="13">
        <f t="shared" ca="1" si="22"/>
        <v>0.11817827421454355</v>
      </c>
      <c r="F243" s="13">
        <f t="shared" ca="1" si="20"/>
        <v>9.8663746943296979E-2</v>
      </c>
      <c r="G243" s="21">
        <f ca="1">IF((Prices!B243-Prices!B242)*C243&gt;0,1,0)</f>
        <v>0</v>
      </c>
      <c r="H243" s="13">
        <f>ABS(Prices!B243-Prices!B242)/Prices!B242</f>
        <v>2.3399238164338875E-2</v>
      </c>
      <c r="I243" s="21"/>
      <c r="J243" s="4">
        <f t="shared" ca="1" si="23"/>
        <v>-5.935330475176849E-2</v>
      </c>
      <c r="K243" s="13"/>
      <c r="L243" s="13">
        <f ca="1">L242-O243*Prices!B243</f>
        <v>0.71030468445114947</v>
      </c>
      <c r="M243" s="4">
        <f t="shared" ca="1" si="19"/>
        <v>0.26879764468711675</v>
      </c>
      <c r="N243" s="13">
        <f ca="1">IF(Prices!B242&gt;OFFSET(Prices!B242,-$N$3,0),1,-1)</f>
        <v>-1</v>
      </c>
      <c r="O243" s="4">
        <f ca="1">IF(N243=1,O$3*L242/Prices!B242,-O$3*M242)</f>
        <v>-2.9866404965235197E-2</v>
      </c>
      <c r="P243" s="22"/>
      <c r="Q243" s="13">
        <f ca="1">Q242-T243*Prices!B243</f>
        <v>0.68990307463084999</v>
      </c>
      <c r="R243" s="4">
        <f t="shared" ca="1" si="18"/>
        <v>0.29814532006383671</v>
      </c>
      <c r="S243" s="13">
        <f ca="1">IF(Prices!B242&gt;OFFSET(Prices!B242,-S$3,0),1,-1)</f>
        <v>-1</v>
      </c>
      <c r="T243" s="4">
        <f ca="1">IF(S243=1,T$3*Q242/Prices!B242,-T$3*R242)</f>
        <v>-2.9486899786533297E-2</v>
      </c>
      <c r="V243" s="13"/>
      <c r="W243" s="4"/>
      <c r="X243" s="4"/>
      <c r="Y243" s="4"/>
      <c r="Z243" s="4"/>
      <c r="AA243" s="4"/>
      <c r="AB243" s="4"/>
      <c r="AC243" s="4"/>
      <c r="AD243" s="4"/>
      <c r="AE243" s="52"/>
    </row>
    <row r="244" spans="1:31" x14ac:dyDescent="0.2">
      <c r="A244" s="7">
        <v>43072</v>
      </c>
      <c r="B244" s="13">
        <f ca="1">Prices!B243*(1+J244/(50*(ABS(O244)+ABS(T244)+0.0001)))</f>
        <v>1.1509488865459603</v>
      </c>
      <c r="C244" s="62">
        <f t="shared" ca="1" si="21"/>
        <v>1</v>
      </c>
      <c r="D244" s="13">
        <f ca="1">D243+C244*(Prices!B244-Prices!B243)/Prices!B243</f>
        <v>-3.5200454247496162E-2</v>
      </c>
      <c r="E244" s="13">
        <f t="shared" ca="1" si="22"/>
        <v>0.13386420119079315</v>
      </c>
      <c r="F244" s="13">
        <f t="shared" ca="1" si="20"/>
        <v>9.8663746943296979E-2</v>
      </c>
      <c r="G244" s="21">
        <f ca="1">IF((Prices!B244-Prices!B243)*C244&gt;0,1,0)</f>
        <v>0</v>
      </c>
      <c r="H244" s="13">
        <f>ABS(Prices!B244-Prices!B243)/Prices!B243</f>
        <v>1.5685926976249598E-2</v>
      </c>
      <c r="I244" s="21"/>
      <c r="J244" s="4">
        <f t="shared" ca="1" si="23"/>
        <v>0.11797389681131817</v>
      </c>
      <c r="K244" s="13"/>
      <c r="L244" s="13">
        <f ca="1">L243-O244*Prices!B244</f>
        <v>0.64038839474715337</v>
      </c>
      <c r="M244" s="4">
        <f t="shared" ca="1" si="19"/>
        <v>0.33174559616275923</v>
      </c>
      <c r="N244" s="13">
        <f ca="1">IF(Prices!B243&gt;OFFSET(Prices!B243,-$N$3,0),1,-1)</f>
        <v>1</v>
      </c>
      <c r="O244" s="4">
        <f ca="1">IF(N244=1,O$3*L243/Prices!B243,-O$3*M243)</f>
        <v>6.2947951475642444E-2</v>
      </c>
      <c r="P244" s="22"/>
      <c r="Q244" s="13">
        <f ca="1">Q243-T244*Prices!B244</f>
        <v>0.62878575714651497</v>
      </c>
      <c r="R244" s="4">
        <f t="shared" ca="1" si="18"/>
        <v>0.35317126539951244</v>
      </c>
      <c r="S244" s="13">
        <f ca="1">IF(Prices!B243&gt;OFFSET(Prices!B243,-S$3,0),1,-1)</f>
        <v>1</v>
      </c>
      <c r="T244" s="4">
        <f ca="1">IF(S244=1,T$3*Q243/Prices!B243,-T$3*R243)</f>
        <v>5.502594533567573E-2</v>
      </c>
      <c r="V244" s="13"/>
      <c r="W244" s="4"/>
      <c r="X244" s="4"/>
      <c r="Y244" s="4"/>
      <c r="Z244" s="4"/>
      <c r="AA244" s="4"/>
      <c r="AB244" s="4"/>
      <c r="AC244" s="4"/>
      <c r="AD244" s="4"/>
      <c r="AE244" s="52"/>
    </row>
    <row r="245" spans="1:31" x14ac:dyDescent="0.2">
      <c r="A245" s="7">
        <v>43079</v>
      </c>
      <c r="B245" s="13">
        <f ca="1">Prices!B244*(1+J245/(50*(ABS(O245)+ABS(T245)+0.0001)))</f>
        <v>1.1328935652132286</v>
      </c>
      <c r="C245" s="62">
        <f t="shared" ca="1" si="21"/>
        <v>1</v>
      </c>
      <c r="D245" s="13">
        <f ca="1">D244+C245*(Prices!B245-Prices!B244)/Prices!B244</f>
        <v>-7.2924412111906034E-2</v>
      </c>
      <c r="E245" s="13">
        <f t="shared" ca="1" si="22"/>
        <v>0.17158815905520303</v>
      </c>
      <c r="F245" s="13">
        <f t="shared" ca="1" si="20"/>
        <v>9.8663746943296979E-2</v>
      </c>
      <c r="G245" s="21">
        <f ca="1">IF((Prices!B245-Prices!B244)*C245&gt;0,1,0)</f>
        <v>0</v>
      </c>
      <c r="H245" s="13">
        <f>ABS(Prices!B245-Prices!B244)/Prices!B244</f>
        <v>3.7723957864409872E-2</v>
      </c>
      <c r="I245" s="21"/>
      <c r="J245" s="4">
        <f t="shared" ca="1" si="23"/>
        <v>0.10860678636706733</v>
      </c>
      <c r="K245" s="13"/>
      <c r="L245" s="13">
        <f ca="1">L244-O245*Prices!B245</f>
        <v>0.57876535375446791</v>
      </c>
      <c r="M245" s="4">
        <f t="shared" ca="1" si="19"/>
        <v>0.389401884516694</v>
      </c>
      <c r="N245" s="13">
        <f ca="1">IF(Prices!B244&gt;OFFSET(Prices!B244,-$N$3,0),1,-1)</f>
        <v>1</v>
      </c>
      <c r="O245" s="4">
        <f ca="1">IF(N245=1,O$3*L244/Prices!B244,-O$3*M244)</f>
        <v>5.7656288353934756E-2</v>
      </c>
      <c r="P245" s="22"/>
      <c r="Q245" s="13">
        <f ca="1">Q244-T245*Prices!B245</f>
        <v>0.57432986487007887</v>
      </c>
      <c r="R245" s="4">
        <f t="shared" ca="1" si="18"/>
        <v>0.404121763412645</v>
      </c>
      <c r="S245" s="13">
        <f ca="1">IF(Prices!B244&gt;OFFSET(Prices!B244,-S$3,0),1,-1)</f>
        <v>1</v>
      </c>
      <c r="T245" s="4">
        <f ca="1">IF(S245=1,T$3*Q244/Prices!B244,-T$3*R244)</f>
        <v>5.0950498013132568E-2</v>
      </c>
      <c r="V245" s="13"/>
      <c r="W245" s="4"/>
      <c r="X245" s="4"/>
      <c r="Y245" s="4"/>
      <c r="Z245" s="4"/>
      <c r="AA245" s="4"/>
      <c r="AB245" s="4"/>
      <c r="AC245" s="4"/>
      <c r="AD245" s="4"/>
      <c r="AE245" s="52"/>
    </row>
    <row r="246" spans="1:31" x14ac:dyDescent="0.2">
      <c r="A246" s="7">
        <v>43086</v>
      </c>
      <c r="B246" s="13">
        <f ca="1">Prices!B245*(1+J246/(50*(ABS(O246)+ABS(T246)+0.0001)))</f>
        <v>1.0474523459419534</v>
      </c>
      <c r="C246" s="62">
        <f t="shared" ca="1" si="21"/>
        <v>0</v>
      </c>
      <c r="D246" s="13">
        <f ca="1">D245+C246*(Prices!B246-Prices!B245)/Prices!B245</f>
        <v>-7.2924412111906034E-2</v>
      </c>
      <c r="E246" s="13">
        <f t="shared" ca="1" si="22"/>
        <v>0.17158815905520303</v>
      </c>
      <c r="F246" s="13">
        <f t="shared" ca="1" si="20"/>
        <v>9.8663746943296979E-2</v>
      </c>
      <c r="G246" s="21">
        <f ca="1">IF((Prices!B246-Prices!B245)*C246&gt;0,1,0)</f>
        <v>0</v>
      </c>
      <c r="H246" s="13">
        <f>ABS(Prices!B246-Prices!B245)/Prices!B245</f>
        <v>4.2383982035928254E-2</v>
      </c>
      <c r="I246" s="21"/>
      <c r="J246" s="4">
        <f t="shared" ca="1" si="23"/>
        <v>-7.5311147158807462E-2</v>
      </c>
      <c r="K246" s="13"/>
      <c r="L246" s="13">
        <f ca="1">L245-O246*Prices!B246</f>
        <v>0.62214861770847285</v>
      </c>
      <c r="M246" s="4">
        <f t="shared" ca="1" si="19"/>
        <v>0.35046169606502459</v>
      </c>
      <c r="N246" s="13">
        <f ca="1">IF(Prices!B245&gt;OFFSET(Prices!B245,-$N$3,0),1,-1)</f>
        <v>-1</v>
      </c>
      <c r="O246" s="4">
        <f ca="1">IF(N246=1,O$3*L245/Prices!B245,-O$3*M245)</f>
        <v>-3.8940188451669404E-2</v>
      </c>
      <c r="P246" s="22"/>
      <c r="Q246" s="13">
        <f ca="1">Q245-T246*Prices!B246</f>
        <v>0.61485074996570133</v>
      </c>
      <c r="R246" s="4">
        <f t="shared" ca="1" si="18"/>
        <v>0.36775080470550692</v>
      </c>
      <c r="S246" s="13">
        <f ca="1">IF(Prices!B245&gt;OFFSET(Prices!B245,-S$3,0),1,-1)</f>
        <v>-1</v>
      </c>
      <c r="T246" s="4">
        <f ca="1">IF(S246=1,T$3*Q245/Prices!B245,-T$3*R245)</f>
        <v>-3.6370958707138051E-2</v>
      </c>
      <c r="V246" s="13"/>
      <c r="W246" s="4"/>
      <c r="X246" s="4"/>
      <c r="Y246" s="4"/>
      <c r="Z246" s="4"/>
      <c r="AA246" s="4"/>
      <c r="AB246" s="4"/>
      <c r="AC246" s="4"/>
      <c r="AD246" s="4"/>
      <c r="AE246" s="52"/>
    </row>
    <row r="247" spans="1:31" x14ac:dyDescent="0.2">
      <c r="A247" s="7">
        <v>43093</v>
      </c>
      <c r="B247" s="13">
        <f ca="1">Prices!B246*(1+J247/(50*(ABS(O247)+ABS(T247)+0.0001)))</f>
        <v>1.1197919695864083</v>
      </c>
      <c r="C247" s="62">
        <f t="shared" ca="1" si="21"/>
        <v>1</v>
      </c>
      <c r="D247" s="13">
        <f ca="1">D246+C247*(Prices!B247-Prices!B246)/Prices!B246</f>
        <v>-0.10344231894253167</v>
      </c>
      <c r="E247" s="13">
        <f t="shared" ca="1" si="22"/>
        <v>0.20210606588582863</v>
      </c>
      <c r="F247" s="13">
        <f t="shared" ca="1" si="20"/>
        <v>9.8663746943296979E-2</v>
      </c>
      <c r="G247" s="21">
        <f ca="1">IF((Prices!B247-Prices!B246)*C247&gt;0,1,0)</f>
        <v>0</v>
      </c>
      <c r="H247" s="13">
        <f>ABS(Prices!B247-Prices!B246)/Prices!B246</f>
        <v>3.0517906830625642E-2</v>
      </c>
      <c r="I247" s="21"/>
      <c r="J247" s="4">
        <f t="shared" ca="1" si="23"/>
        <v>2.2745585076591697E-2</v>
      </c>
      <c r="K247" s="13"/>
      <c r="L247" s="13">
        <f ca="1">L246-O247*Prices!B247</f>
        <v>0.5618324232926285</v>
      </c>
      <c r="M247" s="4">
        <f t="shared" ca="1" si="19"/>
        <v>0.40630485356511192</v>
      </c>
      <c r="N247" s="13">
        <f ca="1">IF(Prices!B246&gt;OFFSET(Prices!B246,-$N$3,0),1,-1)</f>
        <v>1</v>
      </c>
      <c r="O247" s="4">
        <f ca="1">IF(N247=1,O$3*L246/Prices!B246,-O$3*M246)</f>
        <v>5.5843157500087316E-2</v>
      </c>
      <c r="P247" s="22"/>
      <c r="Q247" s="13">
        <f ca="1">Q246-T247*Prices!B247</f>
        <v>0.65059943794031894</v>
      </c>
      <c r="R247" s="4">
        <f t="shared" ca="1" si="18"/>
        <v>0.33465323228201127</v>
      </c>
      <c r="S247" s="13">
        <f ca="1">IF(Prices!B246&gt;OFFSET(Prices!B246,-S$3,0),1,-1)</f>
        <v>-1</v>
      </c>
      <c r="T247" s="4">
        <f ca="1">IF(S247=1,T$3*Q246/Prices!B246,-T$3*R246)</f>
        <v>-3.3097572423495619E-2</v>
      </c>
      <c r="V247" s="13"/>
      <c r="W247" s="4"/>
      <c r="X247" s="4"/>
      <c r="Y247" s="4"/>
      <c r="Z247" s="4"/>
      <c r="AA247" s="4"/>
      <c r="AB247" s="4"/>
      <c r="AC247" s="4"/>
      <c r="AD247" s="4"/>
      <c r="AE247" s="52"/>
    </row>
    <row r="248" spans="1:31" x14ac:dyDescent="0.2">
      <c r="A248" s="7">
        <v>43100</v>
      </c>
      <c r="B248" s="13">
        <f ca="1">Prices!B247*(1+J248/(50*(ABS(O248)+ABS(T248)+0.0001)))</f>
        <v>1.0585284900785721</v>
      </c>
      <c r="C248" s="62">
        <f t="shared" ca="1" si="21"/>
        <v>0</v>
      </c>
      <c r="D248" s="13">
        <f ca="1">D247+C248*(Prices!B248-Prices!B247)/Prices!B247</f>
        <v>-0.10344231894253167</v>
      </c>
      <c r="E248" s="13">
        <f t="shared" ca="1" si="22"/>
        <v>0.20210606588582863</v>
      </c>
      <c r="F248" s="13">
        <f t="shared" ca="1" si="20"/>
        <v>9.8663746943296979E-2</v>
      </c>
      <c r="G248" s="21">
        <f ca="1">IF((Prices!B248-Prices!B247)*C248&gt;0,1,0)</f>
        <v>0</v>
      </c>
      <c r="H248" s="13">
        <f>ABS(Prices!B248-Prices!B247)/Prices!B247</f>
        <v>1.2591426719748224E-2</v>
      </c>
      <c r="I248" s="21"/>
      <c r="J248" s="4">
        <f t="shared" ca="1" si="23"/>
        <v>-7.0749276261892202E-2</v>
      </c>
      <c r="K248" s="13"/>
      <c r="L248" s="13">
        <f ca="1">L247-O248*Prices!B248</f>
        <v>0.60626998512704477</v>
      </c>
      <c r="M248" s="4">
        <f t="shared" ca="1" si="19"/>
        <v>0.36567436820860072</v>
      </c>
      <c r="N248" s="13">
        <f ca="1">IF(Prices!B247&gt;OFFSET(Prices!B247,-$N$3,0),1,-1)</f>
        <v>-1</v>
      </c>
      <c r="O248" s="4">
        <f ca="1">IF(N248=1,O$3*L247/Prices!B247,-O$3*M247)</f>
        <v>-4.0630485356511196E-2</v>
      </c>
      <c r="P248" s="22"/>
      <c r="Q248" s="13">
        <f ca="1">Q247-T248*Prices!B248</f>
        <v>0.6835403595535342</v>
      </c>
      <c r="R248" s="4">
        <f t="shared" ca="1" si="18"/>
        <v>0.30453444137663027</v>
      </c>
      <c r="S248" s="13">
        <f ca="1">IF(Prices!B247&gt;OFFSET(Prices!B247,-S$3,0),1,-1)</f>
        <v>-1</v>
      </c>
      <c r="T248" s="4">
        <f ca="1">IF(S248=1,T$3*Q247/Prices!B247,-T$3*R247)</f>
        <v>-3.0118790905381013E-2</v>
      </c>
      <c r="V248" s="13"/>
      <c r="W248" s="4"/>
      <c r="X248" s="4"/>
      <c r="Y248" s="4"/>
      <c r="Z248" s="4"/>
      <c r="AA248" s="4"/>
      <c r="AB248" s="4"/>
      <c r="AC248" s="4"/>
      <c r="AD248" s="4"/>
      <c r="AE248" s="52"/>
    </row>
    <row r="249" spans="1:31" x14ac:dyDescent="0.2">
      <c r="A249" s="7">
        <v>43107</v>
      </c>
      <c r="B249" s="13">
        <f ca="1">Prices!B248*(1+J249/(50*(ABS(O249)+ABS(T249)+0.0001)))</f>
        <v>1.0718601378335315</v>
      </c>
      <c r="C249" s="62">
        <f t="shared" ca="1" si="21"/>
        <v>0</v>
      </c>
      <c r="D249" s="13">
        <f ca="1">D248+C249*(Prices!B249-Prices!B248)/Prices!B248</f>
        <v>-0.10344231894253167</v>
      </c>
      <c r="E249" s="13">
        <f t="shared" ca="1" si="22"/>
        <v>0.20210606588582863</v>
      </c>
      <c r="F249" s="13">
        <f t="shared" ca="1" si="20"/>
        <v>9.8663746943296979E-2</v>
      </c>
      <c r="G249" s="21">
        <f ca="1">IF((Prices!B249-Prices!B248)*C249&gt;0,1,0)</f>
        <v>0</v>
      </c>
      <c r="H249" s="13">
        <f>ABS(Prices!B249-Prices!B248)/Prices!B248</f>
        <v>5.6688305751121919E-3</v>
      </c>
      <c r="I249" s="21"/>
      <c r="J249" s="4">
        <f t="shared" ca="1" si="23"/>
        <v>-6.3975536544756795E-2</v>
      </c>
      <c r="K249" s="13"/>
      <c r="L249" s="13">
        <f ca="1">L248-O249*Prices!B249</f>
        <v>0.64603707266973009</v>
      </c>
      <c r="M249" s="4">
        <f t="shared" ca="1" si="19"/>
        <v>0.32910693138774066</v>
      </c>
      <c r="N249" s="13">
        <f ca="1">IF(Prices!B248&gt;OFFSET(Prices!B248,-$N$3,0),1,-1)</f>
        <v>-1</v>
      </c>
      <c r="O249" s="4">
        <f ca="1">IF(N249=1,O$3*L248/Prices!B248,-O$3*M248)</f>
        <v>-3.6567436820860076E-2</v>
      </c>
      <c r="P249" s="22"/>
      <c r="Q249" s="13">
        <f ca="1">Q248-T249*Prices!B249</f>
        <v>0.71334666800327184</v>
      </c>
      <c r="R249" s="4">
        <f t="shared" ca="1" si="18"/>
        <v>0.27712634165273353</v>
      </c>
      <c r="S249" s="13">
        <f ca="1">IF(Prices!B248&gt;OFFSET(Prices!B248,-S$3,0),1,-1)</f>
        <v>-1</v>
      </c>
      <c r="T249" s="4">
        <f ca="1">IF(S249=1,T$3*Q248/Prices!B248,-T$3*R248)</f>
        <v>-2.7408099723896722E-2</v>
      </c>
      <c r="V249" s="13"/>
      <c r="W249" s="4"/>
      <c r="X249" s="4"/>
      <c r="Y249" s="4"/>
      <c r="Z249" s="4"/>
      <c r="AA249" s="4"/>
      <c r="AB249" s="4"/>
      <c r="AC249" s="4"/>
      <c r="AD249" s="4"/>
      <c r="AE249" s="52"/>
    </row>
    <row r="250" spans="1:31" x14ac:dyDescent="0.2">
      <c r="A250" s="7">
        <v>43114</v>
      </c>
      <c r="B250" s="13">
        <f ca="1">Prices!B249*(1+J250/(50*(ABS(O250)+ABS(T250)+0.0001)))</f>
        <v>1.0963765572966524</v>
      </c>
      <c r="C250" s="62">
        <f t="shared" ca="1" si="21"/>
        <v>1</v>
      </c>
      <c r="D250" s="13">
        <f ca="1">D249+C250*(Prices!B250-Prices!B249)/Prices!B249</f>
        <v>-0.10822392813793386</v>
      </c>
      <c r="E250" s="13">
        <f t="shared" ca="1" si="22"/>
        <v>0.20688767508123085</v>
      </c>
      <c r="F250" s="13">
        <f t="shared" ca="1" si="20"/>
        <v>9.8663746943296979E-2</v>
      </c>
      <c r="G250" s="21">
        <f ca="1">IF((Prices!B250-Prices!B249)*C250&gt;0,1,0)</f>
        <v>0</v>
      </c>
      <c r="H250" s="13">
        <f>ABS(Prices!B250-Prices!B249)/Prices!B249</f>
        <v>4.7816091954021806E-3</v>
      </c>
      <c r="I250" s="21"/>
      <c r="J250" s="4">
        <f t="shared" ca="1" si="23"/>
        <v>3.4464337082953309E-2</v>
      </c>
      <c r="K250" s="13"/>
      <c r="L250" s="13">
        <f ca="1">L249-O250*Prices!B250</f>
        <v>0.58174227508348197</v>
      </c>
      <c r="M250" s="4">
        <f t="shared" ca="1" si="19"/>
        <v>0.38851263921944001</v>
      </c>
      <c r="N250" s="13">
        <f ca="1">IF(Prices!B249&gt;OFFSET(Prices!B249,-$N$3,0),1,-1)</f>
        <v>1</v>
      </c>
      <c r="O250" s="4">
        <f ca="1">IF(N250=1,O$3*L249/Prices!B249,-O$3*M249)</f>
        <v>5.9405707831699323E-2</v>
      </c>
      <c r="P250" s="22"/>
      <c r="Q250" s="13">
        <f ca="1">Q249-T250*Prices!B250</f>
        <v>0.74034071356463971</v>
      </c>
      <c r="R250" s="4">
        <f t="shared" ca="1" si="18"/>
        <v>0.2521849709039875</v>
      </c>
      <c r="S250" s="13">
        <f ca="1">IF(Prices!B249&gt;OFFSET(Prices!B249,-S$3,0),1,-1)</f>
        <v>-1</v>
      </c>
      <c r="T250" s="4">
        <f ca="1">IF(S250=1,T$3*Q249/Prices!B249,-T$3*R249)</f>
        <v>-2.4941370748746017E-2</v>
      </c>
      <c r="V250" s="13"/>
      <c r="W250" s="4"/>
      <c r="X250" s="4"/>
      <c r="Y250" s="4"/>
      <c r="Z250" s="4"/>
      <c r="AA250" s="4"/>
      <c r="AB250" s="4"/>
      <c r="AC250" s="4"/>
      <c r="AD250" s="4"/>
      <c r="AE250" s="52"/>
    </row>
    <row r="251" spans="1:31" x14ac:dyDescent="0.2">
      <c r="A251" s="7">
        <v>43121</v>
      </c>
      <c r="B251" s="13">
        <f ca="1">Prices!B250*(1+J251/(50*(ABS(O251)+ABS(T251)+0.0001)))</f>
        <v>1.0606891123007129</v>
      </c>
      <c r="C251" s="62">
        <f t="shared" ca="1" si="21"/>
        <v>0</v>
      </c>
      <c r="D251" s="13">
        <f ca="1">D250+C251*(Prices!B251-Prices!B250)/Prices!B250</f>
        <v>-0.10822392813793386</v>
      </c>
      <c r="E251" s="13">
        <f t="shared" ca="1" si="22"/>
        <v>0.20688767508123085</v>
      </c>
      <c r="F251" s="13">
        <f t="shared" ca="1" si="20"/>
        <v>9.8663746943296979E-2</v>
      </c>
      <c r="G251" s="21">
        <f ca="1">IF((Prices!B251-Prices!B250)*C251&gt;0,1,0)</f>
        <v>0</v>
      </c>
      <c r="H251" s="13">
        <f>ABS(Prices!B251-Prices!B250)/Prices!B250</f>
        <v>1.4598540145985434E-2</v>
      </c>
      <c r="I251" s="21"/>
      <c r="J251" s="4">
        <f t="shared" ca="1" si="23"/>
        <v>-6.154791130330288E-2</v>
      </c>
      <c r="K251" s="13"/>
      <c r="L251" s="13">
        <f ca="1">L250-O251*Prices!B251</f>
        <v>0.62440484799616869</v>
      </c>
      <c r="M251" s="4">
        <f t="shared" ca="1" si="19"/>
        <v>0.34966137529749602</v>
      </c>
      <c r="N251" s="13">
        <f ca="1">IF(Prices!B250&gt;OFFSET(Prices!B250,-$N$3,0),1,-1)</f>
        <v>-1</v>
      </c>
      <c r="O251" s="4">
        <f ca="1">IF(N251=1,O$3*L250/Prices!B250,-O$3*M250)</f>
        <v>-3.8851263921944004E-2</v>
      </c>
      <c r="P251" s="22"/>
      <c r="Q251" s="13">
        <f ca="1">Q250-T251*Prices!B251</f>
        <v>0.76526390205410988</v>
      </c>
      <c r="R251" s="4">
        <f t="shared" ca="1" si="18"/>
        <v>0.22948832352262863</v>
      </c>
      <c r="S251" s="13">
        <f ca="1">IF(Prices!B250&gt;OFFSET(Prices!B250,-S$3,0),1,-1)</f>
        <v>-1</v>
      </c>
      <c r="T251" s="4">
        <f ca="1">IF(S251=1,T$3*Q250/Prices!B250,-T$3*R250)</f>
        <v>-2.2696647381358875E-2</v>
      </c>
      <c r="V251" s="13"/>
      <c r="W251" s="4"/>
      <c r="X251" s="4"/>
      <c r="Y251" s="4"/>
      <c r="Z251" s="4"/>
      <c r="AA251" s="4"/>
      <c r="AB251" s="4"/>
      <c r="AC251" s="4"/>
      <c r="AD251" s="4"/>
      <c r="AE251" s="52"/>
    </row>
    <row r="252" spans="1:31" x14ac:dyDescent="0.2">
      <c r="A252" s="7">
        <v>43128</v>
      </c>
      <c r="B252" s="13">
        <f ca="1">Prices!B251*(1+J252/(50*(ABS(O252)+ABS(T252)+0.0001)))</f>
        <v>1.1200436498784379</v>
      </c>
      <c r="C252" s="62">
        <f t="shared" ca="1" si="21"/>
        <v>1</v>
      </c>
      <c r="D252" s="13">
        <f ca="1">D251+C252*(Prices!B252-Prices!B251)/Prices!B251</f>
        <v>-0.12115535514822434</v>
      </c>
      <c r="E252" s="13">
        <f t="shared" ca="1" si="22"/>
        <v>0.21981910209152133</v>
      </c>
      <c r="F252" s="13">
        <f t="shared" ca="1" si="20"/>
        <v>9.8663746943296979E-2</v>
      </c>
      <c r="G252" s="21">
        <f ca="1">IF((Prices!B252-Prices!B251)*C252&gt;0,1,0)</f>
        <v>0</v>
      </c>
      <c r="H252" s="13">
        <f>ABS(Prices!B252-Prices!B251)/Prices!B251</f>
        <v>1.2931427010290493E-2</v>
      </c>
      <c r="I252" s="21"/>
      <c r="J252" s="4">
        <f t="shared" ca="1" si="23"/>
        <v>0.11958313084827132</v>
      </c>
      <c r="K252" s="13"/>
      <c r="L252" s="13">
        <f ca="1">L251-O252*Prices!B252</f>
        <v>0.56277180776822522</v>
      </c>
      <c r="M252" s="4">
        <f t="shared" ca="1" si="19"/>
        <v>0.40652366907731285</v>
      </c>
      <c r="N252" s="13">
        <f ca="1">IF(Prices!B251&gt;OFFSET(Prices!B251,-$N$3,0),1,-1)</f>
        <v>1</v>
      </c>
      <c r="O252" s="4">
        <f ca="1">IF(N252=1,O$3*L251/Prices!B251,-O$3*M251)</f>
        <v>5.6862293779816837E-2</v>
      </c>
      <c r="P252" s="22"/>
      <c r="Q252" s="13">
        <f ca="1">Q251-T252*Prices!B252</f>
        <v>0.697280786755612</v>
      </c>
      <c r="R252" s="4">
        <f t="shared" ca="1" si="18"/>
        <v>0.29220916059108315</v>
      </c>
      <c r="S252" s="13">
        <f ca="1">IF(Prices!B251&gt;OFFSET(Prices!B251,-S$3,0),1,-1)</f>
        <v>1</v>
      </c>
      <c r="T252" s="4">
        <f ca="1">IF(S252=1,T$3*Q251/Prices!B251,-T$3*R251)</f>
        <v>6.2720837068454494E-2</v>
      </c>
      <c r="V252" s="13"/>
      <c r="W252" s="4"/>
      <c r="X252" s="4"/>
      <c r="Y252" s="4"/>
      <c r="Z252" s="4"/>
      <c r="AA252" s="4"/>
      <c r="AB252" s="4"/>
      <c r="AC252" s="4"/>
      <c r="AD252" s="4"/>
      <c r="AE252" s="52"/>
    </row>
    <row r="253" spans="1:31" x14ac:dyDescent="0.2">
      <c r="A253" s="7">
        <v>43135</v>
      </c>
      <c r="B253" s="13">
        <f ca="1">Prices!B252*(1+J253/(50*(ABS(O253)+ABS(T253)+0.0001)))</f>
        <v>1.0876895926445538</v>
      </c>
      <c r="C253" s="62">
        <f t="shared" ca="1" si="21"/>
        <v>1</v>
      </c>
      <c r="D253" s="13">
        <f ca="1">D252+C253*(Prices!B253-Prices!B252)/Prices!B252</f>
        <v>-0.12290828438523883</v>
      </c>
      <c r="E253" s="13">
        <f t="shared" ca="1" si="22"/>
        <v>0.22157203132853581</v>
      </c>
      <c r="F253" s="13">
        <f t="shared" ca="1" si="20"/>
        <v>9.8663746943296979E-2</v>
      </c>
      <c r="G253" s="21">
        <f ca="1">IF((Prices!B253-Prices!B252)*C253&gt;0,1,0)</f>
        <v>0</v>
      </c>
      <c r="H253" s="13">
        <f>ABS(Prices!B253-Prices!B252)/Prices!B252</f>
        <v>1.7529292370144964E-3</v>
      </c>
      <c r="I253" s="21"/>
      <c r="J253" s="4">
        <f t="shared" ca="1" si="23"/>
        <v>1.7245290448118032E-2</v>
      </c>
      <c r="K253" s="13"/>
      <c r="L253" s="13">
        <f ca="1">L252-O253*Prices!B253</f>
        <v>0.60675766876239046</v>
      </c>
      <c r="M253" s="4">
        <f t="shared" ca="1" si="19"/>
        <v>0.36587130216958158</v>
      </c>
      <c r="N253" s="13">
        <f ca="1">IF(Prices!B252&gt;OFFSET(Prices!B252,-$N$3,0),1,-1)</f>
        <v>-1</v>
      </c>
      <c r="O253" s="4">
        <f ca="1">IF(N253=1,O$3*L252/Prices!B252,-O$3*M252)</f>
        <v>-4.0652366907731288E-2</v>
      </c>
      <c r="P253" s="22"/>
      <c r="Q253" s="13">
        <f ca="1">Q252-T253*Prices!B253</f>
        <v>0.63463552149658309</v>
      </c>
      <c r="R253" s="4">
        <f t="shared" ca="1" si="18"/>
        <v>0.35010681794693249</v>
      </c>
      <c r="S253" s="13">
        <f ca="1">IF(Prices!B252&gt;OFFSET(Prices!B252,-S$3,0),1,-1)</f>
        <v>1</v>
      </c>
      <c r="T253" s="4">
        <f ca="1">IF(S253=1,T$3*Q252/Prices!B252,-T$3*R252)</f>
        <v>5.789765735584932E-2</v>
      </c>
      <c r="V253" s="13"/>
      <c r="W253" s="4"/>
      <c r="X253" s="4"/>
      <c r="Y253" s="4"/>
      <c r="Z253" s="4"/>
      <c r="AA253" s="4"/>
      <c r="AB253" s="4"/>
      <c r="AC253" s="4"/>
      <c r="AD253" s="4"/>
      <c r="AE253" s="52"/>
    </row>
    <row r="254" spans="1:31" x14ac:dyDescent="0.2">
      <c r="A254" s="7">
        <v>43142</v>
      </c>
      <c r="B254" s="13">
        <f ca="1">Prices!B253*(1+J254/(50*(ABS(O254)+ABS(T254)+0.0001)))</f>
        <v>1.0603917317202904</v>
      </c>
      <c r="C254" s="62">
        <f t="shared" ca="1" si="21"/>
        <v>0</v>
      </c>
      <c r="D254" s="13">
        <f ca="1">D253+C254*(Prices!B254-Prices!B253)/Prices!B253</f>
        <v>-0.12290828438523883</v>
      </c>
      <c r="E254" s="13">
        <f t="shared" ca="1" si="22"/>
        <v>0.22157203132853581</v>
      </c>
      <c r="F254" s="13">
        <f t="shared" ca="1" si="20"/>
        <v>9.8663746943296979E-2</v>
      </c>
      <c r="G254" s="21">
        <f ca="1">IF((Prices!B254-Prices!B253)*C254&gt;0,1,0)</f>
        <v>0</v>
      </c>
      <c r="H254" s="13">
        <f>ABS(Prices!B254-Prices!B253)/Prices!B253</f>
        <v>7.4861367837338218E-3</v>
      </c>
      <c r="I254" s="21"/>
      <c r="J254" s="4">
        <f t="shared" ca="1" si="23"/>
        <v>-6.8096743832182088E-2</v>
      </c>
      <c r="K254" s="13"/>
      <c r="L254" s="13">
        <f ca="1">L253-O254*Prices!B254</f>
        <v>0.64664129941189652</v>
      </c>
      <c r="M254" s="4">
        <f t="shared" ca="1" si="19"/>
        <v>0.32928417195262344</v>
      </c>
      <c r="N254" s="13">
        <f ca="1">IF(Prices!B253&gt;OFFSET(Prices!B253,-$N$3,0),1,-1)</f>
        <v>-1</v>
      </c>
      <c r="O254" s="4">
        <f ca="1">IF(N254=1,O$3*L253/Prices!B253,-O$3*M253)</f>
        <v>-3.6587130216958162E-2</v>
      </c>
      <c r="P254" s="22"/>
      <c r="Q254" s="13">
        <f ca="1">Q253-T254*Prices!B254</f>
        <v>0.66898415129853872</v>
      </c>
      <c r="R254" s="4">
        <f t="shared" ca="1" si="18"/>
        <v>0.31859720433170857</v>
      </c>
      <c r="S254" s="13">
        <f ca="1">IF(Prices!B253&gt;OFFSET(Prices!B253,-S$3,0),1,-1)</f>
        <v>-1</v>
      </c>
      <c r="T254" s="4">
        <f ca="1">IF(S254=1,T$3*Q253/Prices!B253,-T$3*R253)</f>
        <v>-3.1509613615223926E-2</v>
      </c>
      <c r="V254" s="13"/>
      <c r="W254" s="4"/>
      <c r="X254" s="4"/>
      <c r="Y254" s="4"/>
      <c r="Z254" s="4"/>
      <c r="AA254" s="4"/>
      <c r="AB254" s="4"/>
      <c r="AC254" s="4"/>
      <c r="AD254" s="4"/>
      <c r="AE254" s="52"/>
    </row>
    <row r="255" spans="1:31" x14ac:dyDescent="0.2">
      <c r="A255" s="7">
        <v>43149</v>
      </c>
      <c r="B255" s="13">
        <f ca="1">Prices!B254*(1+J255/(50*(ABS(O255)+ABS(T255)+0.0001)))</f>
        <v>1.0976844397304297</v>
      </c>
      <c r="C255" s="62">
        <f t="shared" ca="1" si="21"/>
        <v>1</v>
      </c>
      <c r="D255" s="13">
        <f ca="1">D254+C255*(Prices!B255-Prices!B254)/Prices!B254</f>
        <v>-0.10456134373759182</v>
      </c>
      <c r="E255" s="13">
        <f t="shared" ca="1" si="22"/>
        <v>0.20322509068088879</v>
      </c>
      <c r="F255" s="13">
        <f t="shared" ca="1" si="20"/>
        <v>9.8663746943296979E-2</v>
      </c>
      <c r="G255" s="21">
        <f ca="1">IF((Prices!B255-Prices!B254)*C255&gt;0,1,0)</f>
        <v>1</v>
      </c>
      <c r="H255" s="13">
        <f>ABS(Prices!B255-Prices!B254)/Prices!B254</f>
        <v>1.8346940647647018E-2</v>
      </c>
      <c r="I255" s="21"/>
      <c r="J255" s="4">
        <f t="shared" ca="1" si="23"/>
        <v>3.0645699313283235E-2</v>
      </c>
      <c r="K255" s="13"/>
      <c r="L255" s="13">
        <f ca="1">L254-O255*Prices!B255</f>
        <v>0.58079078051664412</v>
      </c>
      <c r="M255" s="4">
        <f t="shared" ca="1" si="19"/>
        <v>0.38860361965576046</v>
      </c>
      <c r="N255" s="13">
        <f ca="1">IF(Prices!B254&gt;OFFSET(Prices!B254,-$N$3,0),1,-1)</f>
        <v>1</v>
      </c>
      <c r="O255" s="4">
        <f ca="1">IF(N255=1,O$3*L254/Prices!B254,-O$3*M254)</f>
        <v>5.9319447703137004E-2</v>
      </c>
      <c r="P255" s="22"/>
      <c r="Q255" s="13">
        <f ca="1">Q254-T255*Prices!B255</f>
        <v>0.70081487938611542</v>
      </c>
      <c r="R255" s="4">
        <f t="shared" ca="1" si="18"/>
        <v>0.28992345594185481</v>
      </c>
      <c r="S255" s="13">
        <f ca="1">IF(Prices!B254&gt;OFFSET(Prices!B254,-S$3,0),1,-1)</f>
        <v>-1</v>
      </c>
      <c r="T255" s="4">
        <f ca="1">IF(S255=1,T$3*Q254/Prices!B254,-T$3*R254)</f>
        <v>-2.867374838985377E-2</v>
      </c>
      <c r="V255" s="13"/>
      <c r="W255" s="4"/>
      <c r="X255" s="4"/>
      <c r="Y255" s="4"/>
      <c r="Z255" s="4"/>
      <c r="AA255" s="4"/>
      <c r="AB255" s="4"/>
      <c r="AC255" s="4"/>
      <c r="AD255" s="4"/>
      <c r="AE255" s="52"/>
    </row>
    <row r="256" spans="1:31" x14ac:dyDescent="0.2">
      <c r="A256" s="7">
        <v>43156</v>
      </c>
      <c r="B256" s="13">
        <f ca="1">Prices!B255*(1+J256/(50*(ABS(O256)+ABS(T256)+0.0001)))</f>
        <v>1.1175162308367432</v>
      </c>
      <c r="C256" s="62">
        <f t="shared" ca="1" si="21"/>
        <v>1</v>
      </c>
      <c r="D256" s="13">
        <f ca="1">D255+C256*(Prices!B256-Prices!B255)/Prices!B255</f>
        <v>-8.7355686589587228E-2</v>
      </c>
      <c r="E256" s="13">
        <f t="shared" ca="1" si="22"/>
        <v>0.18601943353288419</v>
      </c>
      <c r="F256" s="13">
        <f t="shared" ca="1" si="20"/>
        <v>9.8663746943296979E-2</v>
      </c>
      <c r="G256" s="21">
        <f ca="1">IF((Prices!B256-Prices!B255)*C256&gt;0,1,0)</f>
        <v>1</v>
      </c>
      <c r="H256" s="13">
        <f>ABS(Prices!B256-Prices!B255)/Prices!B255</f>
        <v>1.7205657148004587E-2</v>
      </c>
      <c r="I256" s="21"/>
      <c r="J256" s="4">
        <f t="shared" ca="1" si="23"/>
        <v>2.622566930183735E-2</v>
      </c>
      <c r="K256" s="13"/>
      <c r="L256" s="13">
        <f ca="1">L255-O256*Prices!B256</f>
        <v>0.52171241376055055</v>
      </c>
      <c r="M256" s="4">
        <f t="shared" ca="1" si="19"/>
        <v>0.44092239999236471</v>
      </c>
      <c r="N256" s="13">
        <f ca="1">IF(Prices!B255&gt;OFFSET(Prices!B255,-$N$3,0),1,-1)</f>
        <v>1</v>
      </c>
      <c r="O256" s="4">
        <f ca="1">IF(N256=1,O$3*L255/Prices!B255,-O$3*M255)</f>
        <v>5.2318780336604281E-2</v>
      </c>
      <c r="P256" s="22"/>
      <c r="Q256" s="13">
        <f ca="1">Q255-T256*Prices!B256</f>
        <v>0.73027922036657422</v>
      </c>
      <c r="R256" s="4">
        <f t="shared" ca="1" si="18"/>
        <v>0.2638303449070879</v>
      </c>
      <c r="S256" s="13">
        <f ca="1">IF(Prices!B255&gt;OFFSET(Prices!B255,-S$3,0),1,-1)</f>
        <v>-1</v>
      </c>
      <c r="T256" s="4">
        <f ca="1">IF(S256=1,T$3*Q255/Prices!B255,-T$3*R255)</f>
        <v>-2.6093111034766931E-2</v>
      </c>
      <c r="V256" s="13"/>
      <c r="W256" s="4"/>
      <c r="X256" s="4"/>
      <c r="Y256" s="4"/>
      <c r="Z256" s="4"/>
      <c r="AA256" s="4"/>
      <c r="AB256" s="4"/>
      <c r="AC256" s="4"/>
      <c r="AD256" s="4"/>
      <c r="AE256" s="52"/>
    </row>
    <row r="257" spans="1:31" x14ac:dyDescent="0.2">
      <c r="A257" s="7">
        <v>43163</v>
      </c>
      <c r="B257" s="13">
        <f ca="1">Prices!B256*(1+J257/(50*(ABS(O257)+ABS(T257)+0.0001)))</f>
        <v>1.151762389961893</v>
      </c>
      <c r="C257" s="62">
        <f t="shared" ca="1" si="21"/>
        <v>1</v>
      </c>
      <c r="D257" s="13">
        <f ca="1">D256+C257*(Prices!B257-Prices!B256)/Prices!B256</f>
        <v>-9.0543784357918836E-2</v>
      </c>
      <c r="E257" s="13">
        <f t="shared" ca="1" si="22"/>
        <v>0.18920753130121581</v>
      </c>
      <c r="F257" s="13">
        <f t="shared" ca="1" si="20"/>
        <v>9.8663746943296979E-2</v>
      </c>
      <c r="G257" s="21">
        <f ca="1">IF((Prices!B257-Prices!B256)*C257&gt;0,1,0)</f>
        <v>0</v>
      </c>
      <c r="H257" s="13">
        <f>ABS(Prices!B257-Prices!B256)/Prices!B256</f>
        <v>3.1880977683316045E-3</v>
      </c>
      <c r="I257" s="21"/>
      <c r="J257" s="4">
        <f t="shared" ca="1" si="23"/>
        <v>0.10440698831831982</v>
      </c>
      <c r="K257" s="13"/>
      <c r="L257" s="13">
        <f ca="1">L256-O257*Prices!B257</f>
        <v>0.46970749940269757</v>
      </c>
      <c r="M257" s="4">
        <f t="shared" ca="1" si="19"/>
        <v>0.48712434949294481</v>
      </c>
      <c r="N257" s="13">
        <f ca="1">IF(Prices!B256&gt;OFFSET(Prices!B256,-$N$3,0),1,-1)</f>
        <v>1</v>
      </c>
      <c r="O257" s="4">
        <f ca="1">IF(N257=1,O$3*L256/Prices!B256,-O$3*M256)</f>
        <v>4.6201949500580104E-2</v>
      </c>
      <c r="P257" s="22"/>
      <c r="Q257" s="13">
        <f ca="1">Q256-T257*Prices!B257</f>
        <v>0.66476362867332639</v>
      </c>
      <c r="R257" s="4">
        <f t="shared" ca="1" si="18"/>
        <v>0.3220353837248276</v>
      </c>
      <c r="S257" s="13">
        <f ca="1">IF(Prices!B256&gt;OFFSET(Prices!B256,-S$3,0),1,-1)</f>
        <v>1</v>
      </c>
      <c r="T257" s="4">
        <f ca="1">IF(S257=1,T$3*Q256/Prices!B256,-T$3*R256)</f>
        <v>5.820503881773971E-2</v>
      </c>
      <c r="V257" s="13"/>
      <c r="W257" s="4"/>
      <c r="X257" s="4"/>
      <c r="Y257" s="4"/>
      <c r="Z257" s="4"/>
      <c r="AA257" s="4"/>
      <c r="AB257" s="4"/>
      <c r="AC257" s="4"/>
      <c r="AD257" s="4"/>
      <c r="AE257" s="52"/>
    </row>
    <row r="258" spans="1:31" x14ac:dyDescent="0.2">
      <c r="A258" s="7">
        <v>43170</v>
      </c>
      <c r="B258" s="13">
        <f ca="1">Prices!B257*(1+J258/(50*(ABS(O258)+ABS(T258)+0.0001)))</f>
        <v>1.148088298733029</v>
      </c>
      <c r="C258" s="62">
        <f t="shared" ca="1" si="21"/>
        <v>1</v>
      </c>
      <c r="D258" s="13">
        <f ca="1">D257+C258*(Prices!B258-Prices!B257)/Prices!B257</f>
        <v>-9.747342188457131E-2</v>
      </c>
      <c r="E258" s="13">
        <f t="shared" ca="1" si="22"/>
        <v>0.1961371688278683</v>
      </c>
      <c r="F258" s="13">
        <f t="shared" ca="1" si="20"/>
        <v>9.8663746943296979E-2</v>
      </c>
      <c r="G258" s="21">
        <f ca="1">IF((Prices!B258-Prices!B257)*C258&gt;0,1,0)</f>
        <v>0</v>
      </c>
      <c r="H258" s="13">
        <f>ABS(Prices!B258-Prices!B257)/Prices!B257</f>
        <v>6.9296375266524783E-3</v>
      </c>
      <c r="I258" s="21"/>
      <c r="J258" s="4">
        <f t="shared" ca="1" si="23"/>
        <v>9.4882264144340034E-2</v>
      </c>
      <c r="K258" s="13"/>
      <c r="L258" s="13">
        <f ca="1">L257-O258*Prices!B258</f>
        <v>0.42306223973386892</v>
      </c>
      <c r="M258" s="4">
        <f t="shared" ca="1" si="19"/>
        <v>0.52885387147257323</v>
      </c>
      <c r="N258" s="13">
        <f ca="1">IF(Prices!B257&gt;OFFSET(Prices!B257,-$N$3,0),1,-1)</f>
        <v>1</v>
      </c>
      <c r="O258" s="4">
        <f ca="1">IF(N258=1,O$3*L257/Prices!B257,-O$3*M257)</f>
        <v>4.1729521979628433E-2</v>
      </c>
      <c r="P258" s="22"/>
      <c r="Q258" s="13">
        <f ca="1">Q257-T258*Prices!B258</f>
        <v>0.60534949348161171</v>
      </c>
      <c r="R258" s="4">
        <f t="shared" ca="1" si="18"/>
        <v>0.3751881258895392</v>
      </c>
      <c r="S258" s="13">
        <f ca="1">IF(Prices!B257&gt;OFFSET(Prices!B257,-S$3,0),1,-1)</f>
        <v>1</v>
      </c>
      <c r="T258" s="4">
        <f ca="1">IF(S258=1,T$3*Q257/Prices!B257,-T$3*R257)</f>
        <v>5.3152742164711601E-2</v>
      </c>
      <c r="V258" s="13"/>
      <c r="W258" s="4"/>
      <c r="X258" s="4"/>
      <c r="Y258" s="4"/>
      <c r="Z258" s="4"/>
      <c r="AA258" s="4"/>
      <c r="AB258" s="4"/>
      <c r="AC258" s="4"/>
      <c r="AD258" s="4"/>
      <c r="AE258" s="52"/>
    </row>
    <row r="259" spans="1:31" x14ac:dyDescent="0.2">
      <c r="A259" s="7">
        <v>43177</v>
      </c>
      <c r="B259" s="13">
        <f ca="1">Prices!B258*(1+J259/(50*(ABS(O259)+ABS(T259)+0.0001)))</f>
        <v>1.1401302108601883</v>
      </c>
      <c r="C259" s="62">
        <f t="shared" ca="1" si="21"/>
        <v>1</v>
      </c>
      <c r="D259" s="13">
        <f ca="1">D258+C259*(Prices!B259-Prices!B258)/Prices!B258</f>
        <v>-9.3805502757714987E-2</v>
      </c>
      <c r="E259" s="13">
        <f t="shared" ca="1" si="22"/>
        <v>0.19246924970101198</v>
      </c>
      <c r="F259" s="13">
        <f t="shared" ca="1" si="20"/>
        <v>9.8663746943296979E-2</v>
      </c>
      <c r="G259" s="21">
        <f ca="1">IF((Prices!B259-Prices!B258)*C259&gt;0,1,0)</f>
        <v>1</v>
      </c>
      <c r="H259" s="13">
        <f>ABS(Prices!B259-Prices!B258)/Prices!B258</f>
        <v>3.6679191268563184E-3</v>
      </c>
      <c r="I259" s="21"/>
      <c r="J259" s="4">
        <f t="shared" ca="1" si="23"/>
        <v>8.6587652877734789E-2</v>
      </c>
      <c r="K259" s="13"/>
      <c r="L259" s="13">
        <f ca="1">L258-O259*Prices!B259</f>
        <v>0.38060083995238497</v>
      </c>
      <c r="M259" s="4">
        <f t="shared" ca="1" si="19"/>
        <v>0.56670162954502523</v>
      </c>
      <c r="N259" s="13">
        <f ca="1">IF(Prices!B258&gt;OFFSET(Prices!B258,-$N$3,0),1,-1)</f>
        <v>1</v>
      </c>
      <c r="O259" s="4">
        <f ca="1">IF(N259=1,O$3*L258/Prices!B258,-O$3*M258)</f>
        <v>3.7847758072452047E-2</v>
      </c>
      <c r="P259" s="22"/>
      <c r="Q259" s="13">
        <f ca="1">Q258-T259*Prices!B259</f>
        <v>0.55066820549956497</v>
      </c>
      <c r="R259" s="4">
        <f t="shared" ca="1" si="18"/>
        <v>0.42392802069482194</v>
      </c>
      <c r="S259" s="13">
        <f ca="1">IF(Prices!B258&gt;OFFSET(Prices!B258,-S$3,0),1,-1)</f>
        <v>1</v>
      </c>
      <c r="T259" s="4">
        <f ca="1">IF(S259=1,T$3*Q258/Prices!B258,-T$3*R258)</f>
        <v>4.8739894805282749E-2</v>
      </c>
      <c r="V259" s="13"/>
      <c r="W259" s="4"/>
      <c r="X259" s="4"/>
      <c r="Y259" s="4"/>
      <c r="Z259" s="4"/>
      <c r="AA259" s="4"/>
      <c r="AB259" s="4"/>
      <c r="AC259" s="4"/>
      <c r="AD259" s="4"/>
      <c r="AE259" s="52"/>
    </row>
    <row r="260" spans="1:31" x14ac:dyDescent="0.2">
      <c r="A260" s="7">
        <v>43184</v>
      </c>
      <c r="B260" s="13">
        <f ca="1">Prices!B259*(1+J260/(50*(ABS(O260)+ABS(T260)+0.0001)))</f>
        <v>1.1443093068505863</v>
      </c>
      <c r="C260" s="62">
        <f t="shared" ca="1" si="21"/>
        <v>1</v>
      </c>
      <c r="D260" s="13">
        <f ca="1">D259+C260*(Prices!B260-Prices!B259)/Prices!B259</f>
        <v>-9.1220602142686805E-2</v>
      </c>
      <c r="E260" s="13">
        <f t="shared" ca="1" si="22"/>
        <v>0.18988434908598378</v>
      </c>
      <c r="F260" s="13">
        <f t="shared" ca="1" si="20"/>
        <v>9.8663746943296979E-2</v>
      </c>
      <c r="G260" s="21">
        <f ca="1">IF((Prices!B260-Prices!B259)*C260&gt;0,1,0)</f>
        <v>1</v>
      </c>
      <c r="H260" s="13">
        <f>ABS(Prices!B260-Prices!B259)/Prices!B259</f>
        <v>2.5849006150281888E-3</v>
      </c>
      <c r="I260" s="21"/>
      <c r="J260" s="4">
        <f t="shared" ca="1" si="23"/>
        <v>7.8099850690970099E-2</v>
      </c>
      <c r="K260" s="13"/>
      <c r="L260" s="13">
        <f ca="1">L259-O260*Prices!B260</f>
        <v>0.34244237442261916</v>
      </c>
      <c r="M260" s="4">
        <f t="shared" ca="1" si="19"/>
        <v>0.60062629662340883</v>
      </c>
      <c r="N260" s="13">
        <f ca="1">IF(Prices!B259&gt;OFFSET(Prices!B259,-$N$3,0),1,-1)</f>
        <v>1</v>
      </c>
      <c r="O260" s="4">
        <f ca="1">IF(N260=1,O$3*L259/Prices!B259,-O$3*M259)</f>
        <v>3.3924667078383548E-2</v>
      </c>
      <c r="P260" s="22"/>
      <c r="Q260" s="13">
        <f ca="1">Q259-T260*Prices!B260</f>
        <v>0.50097995897212766</v>
      </c>
      <c r="R260" s="4">
        <f t="shared" ca="1" si="18"/>
        <v>0.46810320430740848</v>
      </c>
      <c r="S260" s="13">
        <f ca="1">IF(Prices!B259&gt;OFFSET(Prices!B259,-S$3,0),1,-1)</f>
        <v>1</v>
      </c>
      <c r="T260" s="4">
        <f ca="1">IF(S260=1,T$3*Q259/Prices!B259,-T$3*R259)</f>
        <v>4.4175183612586551E-2</v>
      </c>
      <c r="V260" s="13"/>
      <c r="W260" s="4"/>
      <c r="X260" s="4"/>
      <c r="Y260" s="4"/>
      <c r="Z260" s="4"/>
      <c r="AA260" s="4"/>
      <c r="AB260" s="4"/>
      <c r="AC260" s="4"/>
      <c r="AD260" s="4"/>
      <c r="AE260" s="52"/>
    </row>
    <row r="261" spans="1:31" x14ac:dyDescent="0.2">
      <c r="A261" s="7">
        <v>43191</v>
      </c>
      <c r="B261" s="13">
        <f ca="1">Prices!B260*(1+J261/(50*(ABS(O261)+ABS(T261)+0.0001)))</f>
        <v>1.120317074592885</v>
      </c>
      <c r="C261" s="62">
        <f t="shared" ca="1" si="21"/>
        <v>0</v>
      </c>
      <c r="D261" s="13">
        <f ca="1">D260+C261*(Prices!B261-Prices!B260)/Prices!B260</f>
        <v>-9.1220602142686805E-2</v>
      </c>
      <c r="E261" s="13">
        <f t="shared" ca="1" si="22"/>
        <v>0.18988434908598378</v>
      </c>
      <c r="F261" s="13">
        <f t="shared" ca="1" si="20"/>
        <v>9.8663746943296979E-2</v>
      </c>
      <c r="G261" s="21">
        <f ca="1">IF((Prices!B261-Prices!B260)*C261&gt;0,1,0)</f>
        <v>0</v>
      </c>
      <c r="H261" s="13">
        <f>ABS(Prices!B261-Prices!B260)/Prices!B260</f>
        <v>4.6230440967281929E-3</v>
      </c>
      <c r="I261" s="21"/>
      <c r="J261" s="4">
        <f t="shared" ca="1" si="23"/>
        <v>-1.9977106629364812E-2</v>
      </c>
      <c r="K261" s="13"/>
      <c r="L261" s="13">
        <f ca="1">L260-O261*Prices!B261</f>
        <v>0.41031314594106433</v>
      </c>
      <c r="M261" s="4">
        <f t="shared" ca="1" si="19"/>
        <v>0.54056366696106795</v>
      </c>
      <c r="N261" s="13">
        <f ca="1">IF(Prices!B260&gt;OFFSET(Prices!B260,-$N$3,0),1,-1)</f>
        <v>-1</v>
      </c>
      <c r="O261" s="4">
        <f ca="1">IF(N261=1,O$3*L260/Prices!B260,-O$3*M260)</f>
        <v>-6.0062629662340883E-2</v>
      </c>
      <c r="P261" s="22"/>
      <c r="Q261" s="13">
        <f ca="1">Q260-T261*Prices!B261</f>
        <v>0.45568331794486472</v>
      </c>
      <c r="R261" s="4">
        <f t="shared" ref="R261:R324" ca="1" si="24">R260+T261</f>
        <v>0.50818872734038456</v>
      </c>
      <c r="S261" s="13">
        <f ca="1">IF(Prices!B260&gt;OFFSET(Prices!B260,-S$3,0),1,-1)</f>
        <v>1</v>
      </c>
      <c r="T261" s="4">
        <f ca="1">IF(S261=1,T$3*Q260/Prices!B260,-T$3*R260)</f>
        <v>4.0085523032976071E-2</v>
      </c>
      <c r="V261" s="13"/>
      <c r="W261" s="4"/>
      <c r="X261" s="4"/>
      <c r="Y261" s="4"/>
      <c r="Z261" s="4"/>
      <c r="AA261" s="4"/>
      <c r="AB261" s="4"/>
      <c r="AC261" s="4"/>
      <c r="AD261" s="4"/>
      <c r="AE261" s="52"/>
    </row>
    <row r="262" spans="1:31" x14ac:dyDescent="0.2">
      <c r="A262" s="7">
        <v>43198</v>
      </c>
      <c r="B262" s="13">
        <f ca="1">Prices!B261*(1+J262/(50*(ABS(O262)+ABS(T262)+0.0001)))</f>
        <v>1.152568915163757</v>
      </c>
      <c r="C262" s="62">
        <f t="shared" ca="1" si="21"/>
        <v>1</v>
      </c>
      <c r="D262" s="13">
        <f ca="1">D261+C262*(Prices!B262-Prices!B261)/Prices!B261</f>
        <v>-7.989316851436809E-2</v>
      </c>
      <c r="E262" s="13">
        <f t="shared" ca="1" si="22"/>
        <v>0.17855691545766506</v>
      </c>
      <c r="F262" s="13">
        <f t="shared" ca="1" si="20"/>
        <v>9.8663746943296979E-2</v>
      </c>
      <c r="G262" s="21">
        <f ca="1">IF((Prices!B262-Prices!B261)*C262&gt;0,1,0)</f>
        <v>1</v>
      </c>
      <c r="H262" s="13">
        <f>ABS(Prices!B262-Prices!B261)/Prices!B261</f>
        <v>1.1327433628318713E-2</v>
      </c>
      <c r="I262" s="21"/>
      <c r="J262" s="4">
        <f t="shared" ca="1" si="23"/>
        <v>7.2604259477118821E-2</v>
      </c>
      <c r="K262" s="13"/>
      <c r="L262" s="13">
        <f ca="1">L261-O262*Prices!B262</f>
        <v>0.36881705185421049</v>
      </c>
      <c r="M262" s="4">
        <f t="shared" ca="1" si="19"/>
        <v>0.57687456483195865</v>
      </c>
      <c r="N262" s="13">
        <f ca="1">IF(Prices!B261&gt;OFFSET(Prices!B261,-$N$3,0),1,-1)</f>
        <v>1</v>
      </c>
      <c r="O262" s="4">
        <f ca="1">IF(N262=1,O$3*L261/Prices!B261,-O$3*M261)</f>
        <v>3.6310897870890653E-2</v>
      </c>
      <c r="P262" s="22"/>
      <c r="Q262" s="13">
        <f ca="1">Q261-T262*Prices!B262</f>
        <v>0.4142072643012672</v>
      </c>
      <c r="R262" s="4">
        <f t="shared" ca="1" si="24"/>
        <v>0.54448208894661276</v>
      </c>
      <c r="S262" s="13">
        <f ca="1">IF(Prices!B261&gt;OFFSET(Prices!B261,-S$3,0),1,-1)</f>
        <v>1</v>
      </c>
      <c r="T262" s="4">
        <f ca="1">IF(S262=1,T$3*Q261/Prices!B261,-T$3*R261)</f>
        <v>3.6293361606228168E-2</v>
      </c>
      <c r="V262" s="13"/>
      <c r="W262" s="4"/>
      <c r="X262" s="4"/>
      <c r="Y262" s="4"/>
      <c r="Z262" s="4"/>
      <c r="AA262" s="4"/>
      <c r="AB262" s="4"/>
      <c r="AC262" s="4"/>
      <c r="AD262" s="4"/>
      <c r="AE262" s="52"/>
    </row>
    <row r="263" spans="1:31" x14ac:dyDescent="0.2">
      <c r="A263" s="7">
        <v>43205</v>
      </c>
      <c r="B263" s="13">
        <f ca="1">Prices!B262*(1+J263/(50*(ABS(O263)+ABS(T263)+0.0001)))</f>
        <v>1.1656208334382214</v>
      </c>
      <c r="C263" s="62">
        <f t="shared" ca="1" si="21"/>
        <v>1</v>
      </c>
      <c r="D263" s="13">
        <f ca="1">D262+C263*(Prices!B263-Prices!B262)/Prices!B262</f>
        <v>-5.9942170964490657E-2</v>
      </c>
      <c r="E263" s="13">
        <f t="shared" ca="1" si="22"/>
        <v>0.15860591790778764</v>
      </c>
      <c r="F263" s="13">
        <f t="shared" ca="1" si="20"/>
        <v>9.8663746943296979E-2</v>
      </c>
      <c r="G263" s="21">
        <f ca="1">IF((Prices!B263-Prices!B262)*C263&gt;0,1,0)</f>
        <v>1</v>
      </c>
      <c r="H263" s="13">
        <f>ABS(Prices!B263-Prices!B262)/Prices!B262</f>
        <v>1.9950997549877433E-2</v>
      </c>
      <c r="I263" s="21"/>
      <c r="J263" s="4">
        <f t="shared" ca="1" si="23"/>
        <v>6.4893558778907151E-2</v>
      </c>
      <c r="K263" s="13"/>
      <c r="L263" s="13">
        <f ca="1">L262-O263*Prices!B263</f>
        <v>0.33119951985899981</v>
      </c>
      <c r="M263" s="4">
        <f t="shared" ca="1" si="19"/>
        <v>0.60914767052448671</v>
      </c>
      <c r="N263" s="13">
        <f ca="1">IF(Prices!B262&gt;OFFSET(Prices!B262,-$N$3,0),1,-1)</f>
        <v>1</v>
      </c>
      <c r="O263" s="4">
        <f ca="1">IF(N263=1,O$3*L262/Prices!B262,-O$3*M262)</f>
        <v>3.2273105692528045E-2</v>
      </c>
      <c r="P263" s="22"/>
      <c r="Q263" s="13">
        <f ca="1">Q262-T263*Prices!B263</f>
        <v>0.37618486418378372</v>
      </c>
      <c r="R263" s="4">
        <f t="shared" ca="1" si="24"/>
        <v>0.57710254203299183</v>
      </c>
      <c r="S263" s="13">
        <f ca="1">IF(Prices!B262&gt;OFFSET(Prices!B262,-S$3,0),1,-1)</f>
        <v>1</v>
      </c>
      <c r="T263" s="4">
        <f ca="1">IF(S263=1,T$3*Q262/Prices!B262,-T$3*R262)</f>
        <v>3.2620453086379113E-2</v>
      </c>
      <c r="V263" s="13"/>
      <c r="W263" s="4"/>
      <c r="X263" s="4"/>
      <c r="Y263" s="4"/>
      <c r="Z263" s="4"/>
      <c r="AA263" s="4"/>
      <c r="AB263" s="4"/>
      <c r="AC263" s="4"/>
      <c r="AD263" s="4"/>
      <c r="AE263" s="52"/>
    </row>
    <row r="264" spans="1:31" x14ac:dyDescent="0.2">
      <c r="A264" s="7">
        <v>43212</v>
      </c>
      <c r="B264" s="13">
        <f ca="1">Prices!B263*(1+J264/(50*(ABS(O264)+ABS(T264)+0.0001)))</f>
        <v>1.1888715003852162</v>
      </c>
      <c r="C264" s="62">
        <f t="shared" ca="1" si="21"/>
        <v>1</v>
      </c>
      <c r="D264" s="13">
        <f ca="1">D263+C264*(Prices!B264-Prices!B263)/Prices!B263</f>
        <v>-4.9475458541704119E-2</v>
      </c>
      <c r="E264" s="13">
        <f t="shared" ca="1" si="22"/>
        <v>0.14813920548500109</v>
      </c>
      <c r="F264" s="13">
        <f t="shared" ca="1" si="20"/>
        <v>9.8663746943296979E-2</v>
      </c>
      <c r="G264" s="21">
        <f ca="1">IF((Prices!B264-Prices!B263)*C264&gt;0,1,0)</f>
        <v>1</v>
      </c>
      <c r="H264" s="13">
        <f>ABS(Prices!B264-Prices!B263)/Prices!B263</f>
        <v>1.0466712422786538E-2</v>
      </c>
      <c r="I264" s="21"/>
      <c r="J264" s="4">
        <f t="shared" ca="1" si="23"/>
        <v>5.7461041319870038E-2</v>
      </c>
      <c r="K264" s="13"/>
      <c r="L264" s="13">
        <f ca="1">L263-O264*Prices!B264</f>
        <v>0.29773291086020692</v>
      </c>
      <c r="M264" s="4">
        <f t="shared" ca="1" si="19"/>
        <v>0.63756217977800422</v>
      </c>
      <c r="N264" s="13">
        <f ca="1">IF(Prices!B263&gt;OFFSET(Prices!B263,-$N$3,0),1,-1)</f>
        <v>1</v>
      </c>
      <c r="O264" s="4">
        <f ca="1">IF(N264=1,O$3*L263/Prices!B263,-O$3*M263)</f>
        <v>2.8414509253517486E-2</v>
      </c>
      <c r="P264" s="22"/>
      <c r="Q264" s="13">
        <f ca="1">Q263-T264*Prices!B264</f>
        <v>0.3419738587160337</v>
      </c>
      <c r="R264" s="4">
        <f t="shared" ca="1" si="24"/>
        <v>0.60614907409934438</v>
      </c>
      <c r="S264" s="13">
        <f ca="1">IF(Prices!B263&gt;OFFSET(Prices!B263,-S$3,0),1,-1)</f>
        <v>1</v>
      </c>
      <c r="T264" s="4">
        <f ca="1">IF(S264=1,T$3*Q263/Prices!B263,-T$3*R263)</f>
        <v>2.9046532066352552E-2</v>
      </c>
      <c r="V264" s="13"/>
      <c r="W264" s="4"/>
      <c r="X264" s="4"/>
      <c r="Y264" s="4"/>
      <c r="Z264" s="4"/>
      <c r="AA264" s="4"/>
      <c r="AB264" s="4"/>
      <c r="AC264" s="4"/>
      <c r="AD264" s="4"/>
      <c r="AE264" s="52"/>
    </row>
    <row r="265" spans="1:31" x14ac:dyDescent="0.2">
      <c r="A265" s="7">
        <v>43219</v>
      </c>
      <c r="B265" s="13">
        <f ca="1">Prices!B264*(1+J265/(50*(ABS(O265)+ABS(T265)+0.0001)))</f>
        <v>1.2013102692551529</v>
      </c>
      <c r="C265" s="62">
        <f t="shared" ca="1" si="21"/>
        <v>1</v>
      </c>
      <c r="D265" s="13">
        <f ca="1">D264+C265*(Prices!B265-Prices!B264)/Prices!B264</f>
        <v>-4.8711322015978088E-2</v>
      </c>
      <c r="E265" s="13">
        <f t="shared" ca="1" si="22"/>
        <v>0.14737506895927507</v>
      </c>
      <c r="F265" s="13">
        <f t="shared" ca="1" si="20"/>
        <v>9.8663746943296979E-2</v>
      </c>
      <c r="G265" s="21">
        <f ca="1">IF((Prices!B265-Prices!B264)*C265&gt;0,1,0)</f>
        <v>1</v>
      </c>
      <c r="H265" s="13">
        <f>ABS(Prices!B265-Prices!B264)/Prices!B264</f>
        <v>7.6413652572603411E-4</v>
      </c>
      <c r="I265" s="21"/>
      <c r="J265" s="4">
        <f t="shared" ca="1" si="23"/>
        <v>5.1410204084278932E-2</v>
      </c>
      <c r="K265" s="13"/>
      <c r="L265" s="13">
        <f ca="1">L264-O265*Prices!B265</f>
        <v>0.26793686891497631</v>
      </c>
      <c r="M265" s="4">
        <f t="shared" ref="M265:M328" ca="1" si="25">M264+O265</f>
        <v>0.66284091223344721</v>
      </c>
      <c r="N265" s="13">
        <f ca="1">IF(Prices!B264&gt;OFFSET(Prices!B264,-$N$3,0),1,-1)</f>
        <v>1</v>
      </c>
      <c r="O265" s="4">
        <f ca="1">IF(N265=1,O$3*L264/Prices!B264,-O$3*M264)</f>
        <v>2.5278732455442942E-2</v>
      </c>
      <c r="P265" s="22"/>
      <c r="Q265" s="13">
        <f ca="1">Q264-T265*Prices!B265</f>
        <v>0.3111726931071247</v>
      </c>
      <c r="R265" s="4">
        <f t="shared" ca="1" si="24"/>
        <v>0.63228054572818038</v>
      </c>
      <c r="S265" s="13">
        <f ca="1">IF(Prices!B264&gt;OFFSET(Prices!B264,-S$3,0),1,-1)</f>
        <v>1</v>
      </c>
      <c r="T265" s="4">
        <f ca="1">IF(S265=1,T$3*Q264/Prices!B264,-T$3*R264)</f>
        <v>2.613147162883599E-2</v>
      </c>
      <c r="V265" s="13"/>
      <c r="W265" s="4"/>
      <c r="X265" s="4"/>
      <c r="Y265" s="4"/>
      <c r="Z265" s="4"/>
      <c r="AA265" s="4"/>
      <c r="AB265" s="4"/>
      <c r="AC265" s="4"/>
      <c r="AD265" s="4"/>
      <c r="AE265" s="52"/>
    </row>
    <row r="266" spans="1:31" x14ac:dyDescent="0.2">
      <c r="A266" s="7">
        <v>43226</v>
      </c>
      <c r="B266" s="13">
        <f ca="1">Prices!B265*(1+J266/(50*(ABS(O266)+ABS(T266)+0.0001)))</f>
        <v>1.202223402510022</v>
      </c>
      <c r="C266" s="62">
        <f t="shared" ca="1" si="21"/>
        <v>1</v>
      </c>
      <c r="D266" s="13">
        <f ca="1">D265+C266*(Prices!B266-Prices!B265)/Prices!B265</f>
        <v>-4.4045164384689514E-2</v>
      </c>
      <c r="E266" s="13">
        <f t="shared" ca="1" si="22"/>
        <v>0.14270891132798649</v>
      </c>
      <c r="F266" s="13">
        <f t="shared" ca="1" si="20"/>
        <v>9.8663746943296979E-2</v>
      </c>
      <c r="G266" s="21">
        <f ca="1">IF((Prices!B266-Prices!B265)*C266&gt;0,1,0)</f>
        <v>1</v>
      </c>
      <c r="H266" s="13">
        <f>ABS(Prices!B266-Prices!B265)/Prices!B265</f>
        <v>4.6661576312885707E-3</v>
      </c>
      <c r="I266" s="21"/>
      <c r="J266" s="4">
        <f t="shared" ca="1" si="23"/>
        <v>4.6491243973138932E-2</v>
      </c>
      <c r="K266" s="13"/>
      <c r="L266" s="13">
        <f ca="1">L265-O266*Prices!B266</f>
        <v>0.24101815845691957</v>
      </c>
      <c r="M266" s="4">
        <f t="shared" ca="1" si="25"/>
        <v>0.68557246978965114</v>
      </c>
      <c r="N266" s="13">
        <f ca="1">IF(Prices!B265&gt;OFFSET(Prices!B265,-$N$3,0),1,-1)</f>
        <v>1</v>
      </c>
      <c r="O266" s="4">
        <f ca="1">IF(N266=1,O$3*L265/Prices!B265,-O$3*M265)</f>
        <v>2.2731557556203982E-2</v>
      </c>
      <c r="P266" s="22"/>
      <c r="Q266" s="13">
        <f ca="1">Q265-T266*Prices!B266</f>
        <v>0.28303647245219032</v>
      </c>
      <c r="R266" s="4">
        <f t="shared" ca="1" si="24"/>
        <v>0.65604023214511531</v>
      </c>
      <c r="S266" s="13">
        <f ca="1">IF(Prices!B265&gt;OFFSET(Prices!B265,-S$3,0),1,-1)</f>
        <v>1</v>
      </c>
      <c r="T266" s="4">
        <f ca="1">IF(S266=1,T$3*Q265/Prices!B265,-T$3*R265)</f>
        <v>2.3759686416934947E-2</v>
      </c>
      <c r="V266" s="13"/>
      <c r="W266" s="4"/>
      <c r="X266" s="4"/>
      <c r="Y266" s="4"/>
      <c r="Z266" s="4"/>
      <c r="AA266" s="4"/>
      <c r="AB266" s="4"/>
      <c r="AC266" s="4"/>
      <c r="AD266" s="4"/>
      <c r="AE266" s="52"/>
    </row>
    <row r="267" spans="1:31" x14ac:dyDescent="0.2">
      <c r="A267" s="7">
        <v>43233</v>
      </c>
      <c r="B267" s="13">
        <f ca="1">Prices!B266*(1+J267/(50*(ABS(O267)+ABS(T267)+0.0001)))</f>
        <v>1.2078275608632232</v>
      </c>
      <c r="C267" s="62">
        <f t="shared" ca="1" si="21"/>
        <v>1</v>
      </c>
      <c r="D267" s="13">
        <f ca="1">D266+C267*(Prices!B267-Prices!B266)/Prices!B266</f>
        <v>-4.7845198162767499E-2</v>
      </c>
      <c r="E267" s="13">
        <f t="shared" ca="1" si="22"/>
        <v>0.14650894510606449</v>
      </c>
      <c r="F267" s="13">
        <f t="shared" ca="1" si="20"/>
        <v>9.8663746943296979E-2</v>
      </c>
      <c r="G267" s="21">
        <f ca="1">IF((Prices!B267-Prices!B266)*C267&gt;0,1,0)</f>
        <v>0</v>
      </c>
      <c r="H267" s="13">
        <f>ABS(Prices!B267-Prices!B266)/Prices!B266</f>
        <v>3.800033778077984E-3</v>
      </c>
      <c r="I267" s="21"/>
      <c r="J267" s="4">
        <f t="shared" ca="1" si="23"/>
        <v>4.1863788520848752E-2</v>
      </c>
      <c r="K267" s="13"/>
      <c r="L267" s="13">
        <f ca="1">L266-O267*Prices!B267</f>
        <v>0.21700793032555427</v>
      </c>
      <c r="M267" s="4">
        <f t="shared" ca="1" si="25"/>
        <v>0.70592529519557246</v>
      </c>
      <c r="N267" s="13">
        <f ca="1">IF(Prices!B266&gt;OFFSET(Prices!B266,-$N$3,0),1,-1)</f>
        <v>1</v>
      </c>
      <c r="O267" s="4">
        <f ca="1">IF(N267=1,O$3*L266/Prices!B266,-O$3*M266)</f>
        <v>2.0352825405921263E-2</v>
      </c>
      <c r="P267" s="22"/>
      <c r="Q267" s="13">
        <f ca="1">Q266-T267*Prices!B267</f>
        <v>0.25765998926551037</v>
      </c>
      <c r="R267" s="4">
        <f t="shared" ca="1" si="24"/>
        <v>0.67755119526004282</v>
      </c>
      <c r="S267" s="13">
        <f ca="1">IF(Prices!B266&gt;OFFSET(Prices!B266,-S$3,0),1,-1)</f>
        <v>1</v>
      </c>
      <c r="T267" s="4">
        <f ca="1">IF(S267=1,T$3*Q266/Prices!B266,-T$3*R266)</f>
        <v>2.1510963114927485E-2</v>
      </c>
      <c r="V267" s="13"/>
      <c r="W267" s="4"/>
      <c r="X267" s="4"/>
      <c r="Y267" s="4"/>
      <c r="Z267" s="4"/>
      <c r="AA267" s="4"/>
      <c r="AB267" s="4"/>
      <c r="AC267" s="4"/>
      <c r="AD267" s="4"/>
      <c r="AE267" s="52"/>
    </row>
    <row r="268" spans="1:31" x14ac:dyDescent="0.2">
      <c r="A268" s="7">
        <v>43240</v>
      </c>
      <c r="B268" s="13">
        <f ca="1">Prices!B267*(1+J268/(50*(ABS(O268)+ABS(T268)+0.0001)))</f>
        <v>1.2032321582350354</v>
      </c>
      <c r="C268" s="62">
        <f t="shared" ca="1" si="21"/>
        <v>1</v>
      </c>
      <c r="D268" s="13">
        <f ca="1">D267+C268*(Prices!B268-Prices!B267)/Prices!B267</f>
        <v>-3.8859862908041769E-2</v>
      </c>
      <c r="E268" s="13">
        <f t="shared" ca="1" si="22"/>
        <v>0.13752360985133874</v>
      </c>
      <c r="F268" s="13">
        <f t="shared" ca="1" si="20"/>
        <v>9.8663746943296979E-2</v>
      </c>
      <c r="G268" s="21">
        <f ca="1">IF((Prices!B268-Prices!B267)*C268&gt;0,1,0)</f>
        <v>1</v>
      </c>
      <c r="H268" s="13">
        <f>ABS(Prices!B268-Prices!B267)/Prices!B267</f>
        <v>8.9853352547257289E-3</v>
      </c>
      <c r="I268" s="21"/>
      <c r="J268" s="4">
        <f t="shared" ca="1" si="23"/>
        <v>3.8052209940197812E-2</v>
      </c>
      <c r="K268" s="13"/>
      <c r="L268" s="13">
        <f ca="1">L267-O268*Prices!B268</f>
        <v>0.19511214839230792</v>
      </c>
      <c r="M268" s="4">
        <f t="shared" ca="1" si="25"/>
        <v>0.72432047450603732</v>
      </c>
      <c r="N268" s="13">
        <f ca="1">IF(Prices!B267&gt;OFFSET(Prices!B267,-$N$3,0),1,-1)</f>
        <v>1</v>
      </c>
      <c r="O268" s="4">
        <f ca="1">IF(N268=1,O$3*L267/Prices!B267,-O$3*M267)</f>
        <v>1.8395179310464888E-2</v>
      </c>
      <c r="P268" s="22"/>
      <c r="Q268" s="13">
        <f ca="1">Q267-T268*Prices!B268</f>
        <v>0.23426222570693928</v>
      </c>
      <c r="R268" s="4">
        <f t="shared" ca="1" si="24"/>
        <v>0.69720822588977571</v>
      </c>
      <c r="S268" s="13">
        <f ca="1">IF(Prices!B267&gt;OFFSET(Prices!B267,-S$3,0),1,-1)</f>
        <v>1</v>
      </c>
      <c r="T268" s="4">
        <f ca="1">IF(S268=1,T$3*Q267/Prices!B267,-T$3*R267)</f>
        <v>1.9657030629732928E-2</v>
      </c>
      <c r="V268" s="13"/>
      <c r="W268" s="4"/>
      <c r="X268" s="4"/>
      <c r="Y268" s="4"/>
      <c r="Z268" s="4"/>
      <c r="AA268" s="4"/>
      <c r="AB268" s="4"/>
      <c r="AC268" s="4"/>
      <c r="AD268" s="4"/>
      <c r="AE268" s="52"/>
    </row>
    <row r="269" spans="1:31" x14ac:dyDescent="0.2">
      <c r="A269" s="7">
        <v>43247</v>
      </c>
      <c r="B269" s="13">
        <f ca="1">Prices!B268*(1+J269/(50*(ABS(O269)+ABS(T269)+0.0001)))</f>
        <v>1.2140364013617637</v>
      </c>
      <c r="C269" s="62">
        <f t="shared" ca="1" si="21"/>
        <v>1</v>
      </c>
      <c r="D269" s="13">
        <f ca="1">D268+C269*(Prices!B269-Prices!B268)/Prices!B268</f>
        <v>-4.4320671107655273E-2</v>
      </c>
      <c r="E269" s="13">
        <f t="shared" ca="1" si="22"/>
        <v>0.14298441805095224</v>
      </c>
      <c r="F269" s="13">
        <f t="shared" ca="1" si="20"/>
        <v>9.8663746943296979E-2</v>
      </c>
      <c r="G269" s="21">
        <f ca="1">IF((Prices!B269-Prices!B268)*C269&gt;0,1,0)</f>
        <v>0</v>
      </c>
      <c r="H269" s="13">
        <f>ABS(Prices!B269-Prices!B268)/Prices!B268</f>
        <v>5.4608081996135012E-3</v>
      </c>
      <c r="I269" s="21"/>
      <c r="J269" s="4">
        <f t="shared" ca="1" si="23"/>
        <v>3.4104692222847462E-2</v>
      </c>
      <c r="K269" s="13"/>
      <c r="L269" s="13">
        <f ca="1">L268-O269*Prices!B269</f>
        <v>0.17570748055505561</v>
      </c>
      <c r="M269" s="4">
        <f t="shared" ca="1" si="25"/>
        <v>0.74071232096426698</v>
      </c>
      <c r="N269" s="13">
        <f ca="1">IF(Prices!B268&gt;OFFSET(Prices!B268,-$N$3,0),1,-1)</f>
        <v>1</v>
      </c>
      <c r="O269" s="4">
        <f ca="1">IF(N269=1,O$3*L268/Prices!B268,-O$3*M268)</f>
        <v>1.6391846458229688E-2</v>
      </c>
      <c r="P269" s="22"/>
      <c r="Q269" s="13">
        <f ca="1">Q268-T269*Prices!B269</f>
        <v>0.21329375889078475</v>
      </c>
      <c r="R269" s="4">
        <f t="shared" ca="1" si="24"/>
        <v>0.71492107165439345</v>
      </c>
      <c r="S269" s="13">
        <f ca="1">IF(Prices!B268&gt;OFFSET(Prices!B268,-S$3,0),1,-1)</f>
        <v>1</v>
      </c>
      <c r="T269" s="4">
        <f ca="1">IF(S269=1,T$3*Q268/Prices!B268,-T$3*R268)</f>
        <v>1.7712845764617773E-2</v>
      </c>
      <c r="V269" s="13"/>
      <c r="W269" s="4"/>
      <c r="X269" s="4"/>
      <c r="Y269" s="4"/>
      <c r="Z269" s="4"/>
      <c r="AA269" s="4"/>
      <c r="AB269" s="4"/>
      <c r="AC269" s="4"/>
      <c r="AD269" s="4"/>
      <c r="AE269" s="52"/>
    </row>
    <row r="270" spans="1:31" x14ac:dyDescent="0.2">
      <c r="A270" s="7">
        <v>43254</v>
      </c>
      <c r="B270" s="13">
        <f ca="1">Prices!B269*(1+J270/(50*(ABS(O270)+ABS(T270)+0.0001)))</f>
        <v>1.2074000145900707</v>
      </c>
      <c r="C270" s="62">
        <f t="shared" ca="1" si="21"/>
        <v>1</v>
      </c>
      <c r="D270" s="13">
        <f ca="1">D269+C270*(Prices!B270-Prices!B269)/Prices!B269</f>
        <v>-4.3644881278292094E-2</v>
      </c>
      <c r="E270" s="13">
        <f t="shared" ca="1" si="22"/>
        <v>0.14230862822158907</v>
      </c>
      <c r="F270" s="13">
        <f t="shared" ca="1" si="20"/>
        <v>9.8663746943296979E-2</v>
      </c>
      <c r="G270" s="21">
        <f ca="1">IF((Prices!B270-Prices!B269)*C270&gt;0,1,0)</f>
        <v>1</v>
      </c>
      <c r="H270" s="13">
        <f>ABS(Prices!B270-Prices!B269)/Prices!B269</f>
        <v>6.757898293631812E-4</v>
      </c>
      <c r="I270" s="21"/>
      <c r="J270" s="4">
        <f t="shared" ca="1" si="23"/>
        <v>3.1058613241828174E-2</v>
      </c>
      <c r="K270" s="13"/>
      <c r="L270" s="13">
        <f ca="1">L269-O270*Prices!B270</f>
        <v>0.15812485836671983</v>
      </c>
      <c r="M270" s="4">
        <f t="shared" ca="1" si="25"/>
        <v>0.75555498700203139</v>
      </c>
      <c r="N270" s="13">
        <f ca="1">IF(Prices!B269&gt;OFFSET(Prices!B269,-$N$3,0),1,-1)</f>
        <v>1</v>
      </c>
      <c r="O270" s="4">
        <f ca="1">IF(N270=1,O$3*L269/Prices!B269,-O$3*M269)</f>
        <v>1.4842666037764456E-2</v>
      </c>
      <c r="P270" s="22"/>
      <c r="Q270" s="13">
        <f ca="1">Q269-T270*Prices!B270</f>
        <v>0.19408434783285086</v>
      </c>
      <c r="R270" s="4">
        <f t="shared" ca="1" si="24"/>
        <v>0.73113701885845717</v>
      </c>
      <c r="S270" s="13">
        <f ca="1">IF(Prices!B269&gt;OFFSET(Prices!B269,-S$3,0),1,-1)</f>
        <v>1</v>
      </c>
      <c r="T270" s="4">
        <f ca="1">IF(S270=1,T$3*Q269/Prices!B269,-T$3*R269)</f>
        <v>1.6215947204063719E-2</v>
      </c>
      <c r="V270" s="13"/>
      <c r="W270" s="4"/>
      <c r="X270" s="4"/>
      <c r="Y270" s="4"/>
      <c r="Z270" s="4"/>
      <c r="AA270" s="4"/>
      <c r="AB270" s="4"/>
      <c r="AC270" s="4"/>
      <c r="AD270" s="4"/>
      <c r="AE270" s="52"/>
    </row>
    <row r="271" spans="1:31" x14ac:dyDescent="0.2">
      <c r="A271" s="7">
        <v>43261</v>
      </c>
      <c r="B271" s="13">
        <f ca="1">Prices!B270*(1+J271/(50*(ABS(O271)+ABS(T271)+0.0001)))</f>
        <v>1.2082079677470874</v>
      </c>
      <c r="C271" s="62">
        <f t="shared" ca="1" si="21"/>
        <v>1</v>
      </c>
      <c r="D271" s="13">
        <f ca="1">D270+C271*(Prices!B271-Prices!B270)/Prices!B270</f>
        <v>-4.4151381362708908E-2</v>
      </c>
      <c r="E271" s="13">
        <f t="shared" ca="1" si="22"/>
        <v>0.1428151283060059</v>
      </c>
      <c r="F271" s="13">
        <f t="shared" ca="1" si="20"/>
        <v>9.8663746943296979E-2</v>
      </c>
      <c r="G271" s="21">
        <f ca="1">IF((Prices!B271-Prices!B270)*C271&gt;0,1,0)</f>
        <v>0</v>
      </c>
      <c r="H271" s="13">
        <f>ABS(Prices!B271-Prices!B270)/Prices!B270</f>
        <v>5.065000844168123E-4</v>
      </c>
      <c r="I271" s="21"/>
      <c r="J271" s="4">
        <f t="shared" ca="1" si="23"/>
        <v>2.8093936469380854E-2</v>
      </c>
      <c r="K271" s="13"/>
      <c r="L271" s="13">
        <f ca="1">L270-O271*Prices!B271</f>
        <v>0.14232038155545895</v>
      </c>
      <c r="M271" s="4">
        <f t="shared" ca="1" si="25"/>
        <v>0.76890336268721793</v>
      </c>
      <c r="N271" s="13">
        <f ca="1">IF(Prices!B270&gt;OFFSET(Prices!B270,-$N$3,0),1,-1)</f>
        <v>1</v>
      </c>
      <c r="O271" s="4">
        <f ca="1">IF(N271=1,O$3*L270/Prices!B270,-O$3*M270)</f>
        <v>1.3348375685186546E-2</v>
      </c>
      <c r="P271" s="22"/>
      <c r="Q271" s="13">
        <f ca="1">Q270-T271*Prices!B271</f>
        <v>0.17662560386436479</v>
      </c>
      <c r="R271" s="4">
        <f t="shared" ca="1" si="24"/>
        <v>0.74588257964265148</v>
      </c>
      <c r="S271" s="13">
        <f ca="1">IF(Prices!B270&gt;OFFSET(Prices!B270,-S$3,0),1,-1)</f>
        <v>1</v>
      </c>
      <c r="T271" s="4">
        <f ca="1">IF(S271=1,T$3*Q270/Prices!B270,-T$3*R270)</f>
        <v>1.4745560784194308E-2</v>
      </c>
      <c r="V271" s="13"/>
      <c r="W271" s="4"/>
      <c r="X271" s="4"/>
      <c r="Y271" s="4"/>
      <c r="Z271" s="4"/>
      <c r="AA271" s="4"/>
      <c r="AB271" s="4"/>
      <c r="AC271" s="4"/>
      <c r="AD271" s="4"/>
      <c r="AE271" s="52"/>
    </row>
    <row r="272" spans="1:31" x14ac:dyDescent="0.2">
      <c r="A272" s="7">
        <v>43268</v>
      </c>
      <c r="B272" s="13">
        <f ca="1">Prices!B271*(1+J272/(50*(ABS(O272)+ABS(T272)+0.0001)))</f>
        <v>1.2075873053238808</v>
      </c>
      <c r="C272" s="62">
        <f t="shared" ca="1" si="21"/>
        <v>1</v>
      </c>
      <c r="D272" s="13">
        <f ca="1">D271+C272*(Prices!B272-Prices!B271)/Prices!B271</f>
        <v>-6.1803408389735866E-2</v>
      </c>
      <c r="E272" s="13">
        <f ca="1">F272-D272</f>
        <v>0.16046715533303285</v>
      </c>
      <c r="F272" s="13">
        <f ca="1">MAX(F271,D272)</f>
        <v>9.8663746943296979E-2</v>
      </c>
      <c r="G272" s="21">
        <f ca="1">IF((Prices!B272-Prices!B271)*C272&gt;0,1,0)</f>
        <v>0</v>
      </c>
      <c r="H272" s="13">
        <f>ABS(Prices!B272-Prices!B271)/Prices!B271</f>
        <v>1.7652027027026958E-2</v>
      </c>
      <c r="I272" s="21"/>
      <c r="J272" s="4">
        <f t="shared" ca="1" si="23"/>
        <v>2.5446235222414466E-2</v>
      </c>
      <c r="K272" s="13"/>
      <c r="L272" s="13">
        <f ca="1">L271-O272*Prices!B272</f>
        <v>0.12833956772208444</v>
      </c>
      <c r="M272" s="4">
        <f t="shared" ca="1" si="25"/>
        <v>0.78092366518345602</v>
      </c>
      <c r="N272" s="13">
        <f ca="1">IF(Prices!B271&gt;OFFSET(Prices!B271,-$N$3,0),1,-1)</f>
        <v>1</v>
      </c>
      <c r="O272" s="4">
        <f ca="1">IF(N272=1,O$3*L271/Prices!B271,-O$3*M271)</f>
        <v>1.2020302496238089E-2</v>
      </c>
      <c r="P272" s="22"/>
      <c r="Q272" s="13">
        <f ca="1">Q271-T272*Prices!B272</f>
        <v>0.16100990151054906</v>
      </c>
      <c r="R272" s="4">
        <f t="shared" ca="1" si="24"/>
        <v>0.7593085123688279</v>
      </c>
      <c r="S272" s="13">
        <f ca="1">IF(Prices!B271&gt;OFFSET(Prices!B271,-S$3,0),1,-1)</f>
        <v>1</v>
      </c>
      <c r="T272" s="4">
        <f ca="1">IF(S272=1,T$3*Q271/Prices!B271,-T$3*R271)</f>
        <v>1.3425932726176378E-2</v>
      </c>
      <c r="V272" s="13"/>
      <c r="W272" s="4"/>
      <c r="X272" s="4"/>
      <c r="Y272" s="4"/>
      <c r="Z272" s="4"/>
      <c r="AA272" s="4"/>
      <c r="AB272" s="4"/>
      <c r="AC272" s="4"/>
      <c r="AD272" s="4"/>
      <c r="AE272" s="52"/>
    </row>
    <row r="273" spans="1:31" x14ac:dyDescent="0.2">
      <c r="A273" s="7">
        <v>43275</v>
      </c>
      <c r="B273" s="13">
        <f ca="1">Prices!B272*(1+J273/(50*(ABS(O273)+ABS(T273)+0.0001)))</f>
        <v>1.1462577906314051</v>
      </c>
      <c r="C273" s="62">
        <f t="shared" ref="C273:C336" ca="1" si="26">IF(J273&gt;0,1,IF(J273&lt;0,0,0))</f>
        <v>0</v>
      </c>
      <c r="D273" s="13">
        <f ca="1">D272+C273*(Prices!B273-Prices!B272)/Prices!B272</f>
        <v>-6.1803408389735866E-2</v>
      </c>
      <c r="E273" s="13">
        <f t="shared" ref="E273" ca="1" si="27">F273-D273</f>
        <v>0.16046715533303285</v>
      </c>
      <c r="F273" s="13">
        <f t="shared" ref="F273:F336" ca="1" si="28">MAX(F272,D273)</f>
        <v>9.8663746943296979E-2</v>
      </c>
      <c r="G273" s="21">
        <f ca="1">IF((Prices!B273-Prices!B272)*C273&gt;0,1,0)</f>
        <v>0</v>
      </c>
      <c r="H273" s="13">
        <f>ABS(Prices!B273-Prices!B272)/Prices!B272</f>
        <v>7.3080560570887732E-3</v>
      </c>
      <c r="I273" s="21"/>
      <c r="J273" s="4">
        <f t="shared" ref="J273:J336" ca="1" si="29">O273+T273</f>
        <v>-6.5633514196146825E-2</v>
      </c>
      <c r="K273" s="13"/>
      <c r="L273" s="13">
        <f ca="1">L272-O273*Prices!B273</f>
        <v>0.21983258433497815</v>
      </c>
      <c r="M273" s="4">
        <f t="shared" ca="1" si="25"/>
        <v>0.7028312986651104</v>
      </c>
      <c r="N273" s="13">
        <f ca="1">IF(Prices!B272&gt;OFFSET(Prices!B272,-$N$3,0),1,-1)</f>
        <v>-1</v>
      </c>
      <c r="O273" s="4">
        <f ca="1">IF(N273=1,O$3*L272/Prices!B272,-O$3*M272)</f>
        <v>-7.8092366518345613E-2</v>
      </c>
      <c r="P273" s="22"/>
      <c r="Q273" s="13">
        <f ca="1">Q272-T273*Prices!B273</f>
        <v>0.14641311012986097</v>
      </c>
      <c r="R273" s="4">
        <f t="shared" ca="1" si="24"/>
        <v>0.77176736469102669</v>
      </c>
      <c r="S273" s="13">
        <f ca="1">IF(Prices!B272&gt;OFFSET(Prices!B272,-S$3,0),1,-1)</f>
        <v>1</v>
      </c>
      <c r="T273" s="4">
        <f ca="1">IF(S273=1,T$3*Q272/Prices!B272,-T$3*R272)</f>
        <v>1.2458852322198791E-2</v>
      </c>
      <c r="V273" s="13"/>
      <c r="W273" s="4"/>
      <c r="X273" s="4"/>
      <c r="Y273" s="4"/>
      <c r="Z273" s="4"/>
      <c r="AA273" s="4"/>
      <c r="AB273" s="4"/>
      <c r="AC273" s="4"/>
      <c r="AD273" s="4"/>
      <c r="AE273" s="52"/>
    </row>
    <row r="274" spans="1:31" x14ac:dyDescent="0.2">
      <c r="A274" s="7">
        <v>43282</v>
      </c>
      <c r="B274" s="13">
        <f ca="1">Prices!B273*(1+J274/(50*(ABS(O274)+ABS(T274)+0.0001)))</f>
        <v>1.1546537096203804</v>
      </c>
      <c r="C274" s="62">
        <f t="shared" ca="1" si="26"/>
        <v>0</v>
      </c>
      <c r="D274" s="13">
        <f ca="1">D273+C274*(Prices!B274-Prices!B273)/Prices!B273</f>
        <v>-6.1803408389735866E-2</v>
      </c>
      <c r="E274" s="13">
        <f ca="1">F274-D274</f>
        <v>0.16046715533303285</v>
      </c>
      <c r="F274" s="13">
        <f t="shared" ca="1" si="28"/>
        <v>9.8663746943296979E-2</v>
      </c>
      <c r="G274" s="21">
        <f ca="1">IF((Prices!B274-Prices!B273)*C274&gt;0,1,0)</f>
        <v>0</v>
      </c>
      <c r="H274" s="13">
        <f>ABS(Prices!B274-Prices!B273)/Prices!B273</f>
        <v>9.3888699214750102E-3</v>
      </c>
      <c r="I274" s="21"/>
      <c r="J274" s="4">
        <f t="shared" ca="1" si="29"/>
        <v>-5.9035963673537771E-2</v>
      </c>
      <c r="K274" s="13"/>
      <c r="L274" s="13">
        <f ca="1">L273-O274*Prices!B274</f>
        <v>0.30294941371511414</v>
      </c>
      <c r="M274" s="4">
        <f t="shared" ca="1" si="25"/>
        <v>0.63254816879859932</v>
      </c>
      <c r="N274" s="13">
        <f ca="1">IF(Prices!B273&gt;OFFSET(Prices!B273,-$N$3,0),1,-1)</f>
        <v>-1</v>
      </c>
      <c r="O274" s="4">
        <f ca="1">IF(N274=1,O$3*L273/Prices!B273,-O$3*M273)</f>
        <v>-7.0283129866511043E-2</v>
      </c>
      <c r="P274" s="22"/>
      <c r="Q274" s="13">
        <f ca="1">Q273-T274*Prices!B274</f>
        <v>0.13311221139005078</v>
      </c>
      <c r="R274" s="4">
        <f t="shared" ca="1" si="24"/>
        <v>0.78301453088399997</v>
      </c>
      <c r="S274" s="13">
        <f ca="1">IF(Prices!B273&gt;OFFSET(Prices!B273,-S$3,0),1,-1)</f>
        <v>1</v>
      </c>
      <c r="T274" s="4">
        <f ca="1">IF(S274=1,T$3*Q273/Prices!B273,-T$3*R273)</f>
        <v>1.1247166192973274E-2</v>
      </c>
      <c r="V274" s="13"/>
      <c r="W274" s="4"/>
      <c r="X274" s="4"/>
      <c r="Y274" s="4"/>
      <c r="Z274" s="4"/>
      <c r="AA274" s="4"/>
      <c r="AB274" s="4"/>
      <c r="AC274" s="4"/>
      <c r="AD274" s="4"/>
      <c r="AE274" s="52"/>
    </row>
    <row r="275" spans="1:31" x14ac:dyDescent="0.2">
      <c r="A275" s="7">
        <v>43289</v>
      </c>
      <c r="B275" s="13">
        <f ca="1">Prices!B274*(1+J275/(50*(ABS(O275)+ABS(T275)+0.0001)))</f>
        <v>1.1655012878880049</v>
      </c>
      <c r="C275" s="62">
        <f t="shared" ca="1" si="26"/>
        <v>0</v>
      </c>
      <c r="D275" s="13">
        <f ca="1">D274+C275*(Prices!B275-Prices!B274)/Prices!B274</f>
        <v>-6.1803408389735866E-2</v>
      </c>
      <c r="E275" s="13">
        <f ca="1">F275-D275</f>
        <v>0.16046715533303285</v>
      </c>
      <c r="F275" s="13">
        <f t="shared" ca="1" si="28"/>
        <v>9.8663746943296979E-2</v>
      </c>
      <c r="G275" s="21">
        <f ca="1">IF((Prices!B275-Prices!B274)*C275&gt;0,1,0)</f>
        <v>0</v>
      </c>
      <c r="H275" s="13">
        <f>ABS(Prices!B275-Prices!B274)/Prices!B274</f>
        <v>9.1324200913243201E-3</v>
      </c>
      <c r="I275" s="21"/>
      <c r="J275" s="4">
        <f t="shared" ca="1" si="29"/>
        <v>-5.3124511599034162E-2</v>
      </c>
      <c r="K275" s="13"/>
      <c r="L275" s="13">
        <f ca="1">L274-O275*Prices!B275</f>
        <v>0.37707140813493401</v>
      </c>
      <c r="M275" s="4">
        <f t="shared" ca="1" si="25"/>
        <v>0.56929335191873942</v>
      </c>
      <c r="N275" s="13">
        <f ca="1">IF(Prices!B274&gt;OFFSET(Prices!B274,-$N$3,0),1,-1)</f>
        <v>-1</v>
      </c>
      <c r="O275" s="4">
        <f ca="1">IF(N275=1,O$3*L274/Prices!B274,-O$3*M274)</f>
        <v>-6.325481687985994E-2</v>
      </c>
      <c r="P275" s="22"/>
      <c r="Q275" s="13">
        <f ca="1">Q274-T275*Prices!B275</f>
        <v>0.12124151966197913</v>
      </c>
      <c r="R275" s="4">
        <f t="shared" ca="1" si="24"/>
        <v>0.79314483616482578</v>
      </c>
      <c r="S275" s="13">
        <f ca="1">IF(Prices!B274&gt;OFFSET(Prices!B274,-S$3,0),1,-1)</f>
        <v>1</v>
      </c>
      <c r="T275" s="4">
        <f ca="1">IF(S275=1,T$3*Q274/Prices!B274,-T$3*R274)</f>
        <v>1.013030528082578E-2</v>
      </c>
      <c r="V275" s="13"/>
      <c r="W275" s="4"/>
      <c r="X275" s="4"/>
      <c r="Y275" s="4"/>
      <c r="Z275" s="4"/>
      <c r="AA275" s="4"/>
      <c r="AB275" s="4"/>
      <c r="AC275" s="4"/>
      <c r="AD275" s="4"/>
      <c r="AE275" s="52"/>
    </row>
    <row r="276" spans="1:31" x14ac:dyDescent="0.2">
      <c r="A276" s="7">
        <v>43296</v>
      </c>
      <c r="B276" s="13">
        <f ca="1">Prices!B275*(1+J276/(50*(ABS(O276)+ABS(T276)+0.0001)))</f>
        <v>1.1549784800291309</v>
      </c>
      <c r="C276" s="62">
        <f t="shared" ca="1" si="26"/>
        <v>0</v>
      </c>
      <c r="D276" s="13">
        <f ca="1">D275+C276*(Prices!B276-Prices!B275)/Prices!B275</f>
        <v>-6.1803408389735866E-2</v>
      </c>
      <c r="E276" s="13">
        <f t="shared" ref="E276:E339" ca="1" si="30">F276-D276</f>
        <v>0.16046715533303285</v>
      </c>
      <c r="F276" s="13">
        <f t="shared" ca="1" si="28"/>
        <v>9.8663746943296979E-2</v>
      </c>
      <c r="G276" s="21">
        <f ca="1">IF((Prices!B276-Prices!B275)*C276&gt;0,1,0)</f>
        <v>0</v>
      </c>
      <c r="H276" s="13">
        <f>ABS(Prices!B276-Prices!B275)/Prices!B275</f>
        <v>1.2118108892302432E-2</v>
      </c>
      <c r="I276" s="21"/>
      <c r="J276" s="4">
        <f t="shared" ca="1" si="29"/>
        <v>-4.7617390517374777E-2</v>
      </c>
      <c r="K276" s="13"/>
      <c r="L276" s="13">
        <f ca="1">L275-O276*Prices!B276</f>
        <v>0.4445895996724965</v>
      </c>
      <c r="M276" s="4">
        <f t="shared" ca="1" si="25"/>
        <v>0.51236401672686549</v>
      </c>
      <c r="N276" s="13">
        <f ca="1">IF(Prices!B275&gt;OFFSET(Prices!B275,-$N$3,0),1,-1)</f>
        <v>-1</v>
      </c>
      <c r="O276" s="4">
        <f ca="1">IF(N276=1,O$3*L275/Prices!B275,-O$3*M275)</f>
        <v>-5.6929335191873945E-2</v>
      </c>
      <c r="P276" s="22"/>
      <c r="Q276" s="13">
        <f ca="1">Q275-T276*Prices!B276</f>
        <v>0.11019755327802312</v>
      </c>
      <c r="R276" s="4">
        <f t="shared" ca="1" si="24"/>
        <v>0.80245678083932492</v>
      </c>
      <c r="S276" s="13">
        <f ca="1">IF(Prices!B275&gt;OFFSET(Prices!B275,-S$3,0),1,-1)</f>
        <v>1</v>
      </c>
      <c r="T276" s="4">
        <f ca="1">IF(S276=1,T$3*Q275/Prices!B275,-T$3*R275)</f>
        <v>9.3119446744991657E-3</v>
      </c>
      <c r="V276" s="13"/>
      <c r="W276" s="4"/>
      <c r="X276" s="4"/>
      <c r="Y276" s="4"/>
      <c r="Z276" s="4"/>
      <c r="AA276" s="4"/>
      <c r="AB276" s="4"/>
      <c r="AC276" s="4"/>
      <c r="AD276" s="4"/>
      <c r="AE276" s="52"/>
    </row>
    <row r="277" spans="1:31" x14ac:dyDescent="0.2">
      <c r="A277" s="7">
        <v>43303</v>
      </c>
      <c r="B277" s="13">
        <f ca="1">Prices!B276*(1+J277/(50*(ABS(O277)+ABS(T277)+0.0001)))</f>
        <v>1.2096683773839694</v>
      </c>
      <c r="C277" s="62">
        <f t="shared" ca="1" si="26"/>
        <v>1</v>
      </c>
      <c r="D277" s="13">
        <f ca="1">D276+C277*(Prices!B277-Prices!B276)/Prices!B276</f>
        <v>-7.9762936214356331E-2</v>
      </c>
      <c r="E277" s="13">
        <f t="shared" ca="1" si="30"/>
        <v>0.17842668315765331</v>
      </c>
      <c r="F277" s="13">
        <f t="shared" ca="1" si="28"/>
        <v>9.8663746943296979E-2</v>
      </c>
      <c r="G277" s="21">
        <f ca="1">IF((Prices!B277-Prices!B276)*C277&gt;0,1,0)</f>
        <v>0</v>
      </c>
      <c r="H277" s="13">
        <f>ABS(Prices!B277-Prices!B276)/Prices!B276</f>
        <v>1.7959527824620469E-2</v>
      </c>
      <c r="I277" s="21"/>
      <c r="J277" s="4">
        <f t="shared" ca="1" si="29"/>
        <v>4.5848853087918834E-2</v>
      </c>
      <c r="K277" s="13"/>
      <c r="L277" s="13">
        <f ca="1">L276-O277*Prices!B277</f>
        <v>0.40092910163383233</v>
      </c>
      <c r="M277" s="4">
        <f t="shared" ca="1" si="25"/>
        <v>0.54985049224731208</v>
      </c>
      <c r="N277" s="13">
        <f ca="1">IF(Prices!B276&gt;OFFSET(Prices!B276,-$N$3,0),1,-1)</f>
        <v>1</v>
      </c>
      <c r="O277" s="4">
        <f ca="1">IF(N277=1,O$3*L276/Prices!B276,-O$3*M276)</f>
        <v>3.7486475520446594E-2</v>
      </c>
      <c r="P277" s="22"/>
      <c r="Q277" s="13">
        <f ca="1">Q276-T277*Prices!B277</f>
        <v>0.1004578921251882</v>
      </c>
      <c r="R277" s="4">
        <f t="shared" ca="1" si="24"/>
        <v>0.81081915840679719</v>
      </c>
      <c r="S277" s="13">
        <f ca="1">IF(Prices!B276&gt;OFFSET(Prices!B276,-S$3,0),1,-1)</f>
        <v>1</v>
      </c>
      <c r="T277" s="4">
        <f ca="1">IF(S277=1,T$3*Q276/Prices!B276,-T$3*R276)</f>
        <v>8.3623775674722435E-3</v>
      </c>
      <c r="V277" s="13"/>
      <c r="W277" s="4"/>
      <c r="X277" s="4"/>
      <c r="Y277" s="4"/>
      <c r="Z277" s="4"/>
      <c r="AA277" s="4"/>
      <c r="AB277" s="4"/>
      <c r="AC277" s="4"/>
      <c r="AD277" s="4"/>
      <c r="AE277" s="52"/>
    </row>
    <row r="278" spans="1:31" x14ac:dyDescent="0.2">
      <c r="A278" s="7">
        <v>43310</v>
      </c>
      <c r="B278" s="13">
        <f ca="1">Prices!B277*(1+J278/(50*(ABS(O278)+ABS(T278)+0.0001)))</f>
        <v>1.1414241900851982</v>
      </c>
      <c r="C278" s="62">
        <f t="shared" ca="1" si="26"/>
        <v>0</v>
      </c>
      <c r="D278" s="13">
        <f ca="1">D277+C278*(Prices!B278-Prices!B277)/Prices!B277</f>
        <v>-7.9762936214356331E-2</v>
      </c>
      <c r="E278" s="13">
        <f t="shared" ca="1" si="30"/>
        <v>0.17842668315765331</v>
      </c>
      <c r="F278" s="13">
        <f t="shared" ca="1" si="28"/>
        <v>9.8663746943296979E-2</v>
      </c>
      <c r="G278" s="21">
        <f ca="1">IF((Prices!B278-Prices!B277)*C278&gt;0,1,0)</f>
        <v>0</v>
      </c>
      <c r="H278" s="13">
        <f>ABS(Prices!B278-Prices!B277)/Prices!B277</f>
        <v>1.9489997424229365E-2</v>
      </c>
      <c r="I278" s="21"/>
      <c r="J278" s="4">
        <f t="shared" ca="1" si="29"/>
        <v>-0.12795877348134296</v>
      </c>
      <c r="K278" s="13"/>
      <c r="L278" s="13">
        <f ca="1">L277-O278*Prices!B278</f>
        <v>0.46621834908327819</v>
      </c>
      <c r="M278" s="4">
        <f t="shared" ca="1" si="25"/>
        <v>0.49486544302258084</v>
      </c>
      <c r="N278" s="13">
        <f ca="1">IF(Prices!B277&gt;OFFSET(Prices!B277,-$N$3,0),1,-1)</f>
        <v>-1</v>
      </c>
      <c r="O278" s="4">
        <f ca="1">IF(N278=1,O$3*L277/Prices!B277,-O$3*M277)</f>
        <v>-5.4985049224731214E-2</v>
      </c>
      <c r="P278" s="22"/>
      <c r="Q278" s="13">
        <f ca="1">Q277-T278*Prices!B278</f>
        <v>0.187106892307489</v>
      </c>
      <c r="R278" s="4">
        <f t="shared" ca="1" si="24"/>
        <v>0.73784543415018544</v>
      </c>
      <c r="S278" s="13">
        <f ca="1">IF(Prices!B277&gt;OFFSET(Prices!B277,-S$3,0),1,-1)</f>
        <v>-1</v>
      </c>
      <c r="T278" s="4">
        <f ca="1">IF(S278=1,T$3*Q277/Prices!B277,-T$3*R277)</f>
        <v>-7.2973724256611749E-2</v>
      </c>
      <c r="V278" s="13"/>
      <c r="W278" s="4"/>
      <c r="X278" s="4"/>
      <c r="Y278" s="4"/>
      <c r="Z278" s="4"/>
      <c r="AA278" s="4"/>
      <c r="AB278" s="4"/>
      <c r="AC278" s="4"/>
      <c r="AD278" s="4"/>
      <c r="AE278" s="52"/>
    </row>
    <row r="279" spans="1:31" x14ac:dyDescent="0.2">
      <c r="A279" s="7">
        <v>43317</v>
      </c>
      <c r="B279" s="13">
        <f ca="1">Prices!B278*(1+J279/(50*(ABS(O279)+ABS(T279)+0.0001)))</f>
        <v>1.2111036491213905</v>
      </c>
      <c r="C279" s="62">
        <f t="shared" ca="1" si="26"/>
        <v>1</v>
      </c>
      <c r="D279" s="13">
        <f ca="1">D278+C279*(Prices!B279-Prices!B278)/Prices!B278</f>
        <v>-8.3131640947386481E-2</v>
      </c>
      <c r="E279" s="13">
        <f t="shared" ca="1" si="30"/>
        <v>0.18179538789068345</v>
      </c>
      <c r="F279" s="13">
        <f t="shared" ca="1" si="28"/>
        <v>9.8663746943296979E-2</v>
      </c>
      <c r="G279" s="21">
        <f ca="1">IF((Prices!B279-Prices!B278)*C279&gt;0,1,0)</f>
        <v>0</v>
      </c>
      <c r="H279" s="13">
        <f>ABS(Prices!B279-Prices!B278)/Prices!B278</f>
        <v>3.3687047330301528E-3</v>
      </c>
      <c r="I279" s="21"/>
      <c r="J279" s="4">
        <f t="shared" ca="1" si="29"/>
        <v>5.3445726137781563E-2</v>
      </c>
      <c r="K279" s="13"/>
      <c r="L279" s="13">
        <f ca="1">L278-O279*Prices!B279</f>
        <v>0.41975356937086861</v>
      </c>
      <c r="M279" s="4">
        <f t="shared" ca="1" si="25"/>
        <v>0.5341292420021394</v>
      </c>
      <c r="N279" s="13">
        <f ca="1">IF(Prices!B278&gt;OFFSET(Prices!B278,-$N$3,0),1,-1)</f>
        <v>1</v>
      </c>
      <c r="O279" s="4">
        <f ca="1">IF(N279=1,O$3*L278/Prices!B278,-O$3*M278)</f>
        <v>3.9263798979558548E-2</v>
      </c>
      <c r="P279" s="22"/>
      <c r="Q279" s="13">
        <f ca="1">Q278-T279*Prices!B279</f>
        <v>0.17032399970844789</v>
      </c>
      <c r="R279" s="4">
        <f t="shared" ca="1" si="24"/>
        <v>0.75202736130840842</v>
      </c>
      <c r="S279" s="13">
        <f ca="1">IF(Prices!B278&gt;OFFSET(Prices!B278,-S$3,0),1,-1)</f>
        <v>1</v>
      </c>
      <c r="T279" s="4">
        <f ca="1">IF(S279=1,T$3*Q278/Prices!B278,-T$3*R278)</f>
        <v>1.4181927158223017E-2</v>
      </c>
      <c r="V279" s="13"/>
      <c r="W279" s="4"/>
      <c r="X279" s="4"/>
      <c r="Y279" s="4"/>
      <c r="Z279" s="4"/>
      <c r="AA279" s="4"/>
      <c r="AB279" s="4"/>
      <c r="AC279" s="4"/>
      <c r="AD279" s="4"/>
      <c r="AE279" s="52"/>
    </row>
    <row r="280" spans="1:31" x14ac:dyDescent="0.2">
      <c r="A280" s="7">
        <v>43324</v>
      </c>
      <c r="B280" s="13">
        <f ca="1">Prices!B279*(1+J280/(50*(ABS(O280)+ABS(T280)+0.0001)))</f>
        <v>1.2070192237587838</v>
      </c>
      <c r="C280" s="62">
        <f t="shared" ca="1" si="26"/>
        <v>1</v>
      </c>
      <c r="D280" s="13">
        <f ca="1">D279+C280*(Prices!B280-Prices!B279)/Prices!B279</f>
        <v>-8.118808847146966E-2</v>
      </c>
      <c r="E280" s="13">
        <f t="shared" ca="1" si="30"/>
        <v>0.17985183541476663</v>
      </c>
      <c r="F280" s="13">
        <f t="shared" ca="1" si="28"/>
        <v>9.8663746943296979E-2</v>
      </c>
      <c r="G280" s="21">
        <f ca="1">IF((Prices!B280-Prices!B279)*C280&gt;0,1,0)</f>
        <v>1</v>
      </c>
      <c r="H280" s="13">
        <f>ABS(Prices!B280-Prices!B279)/Prices!B279</f>
        <v>1.9435524759168234E-3</v>
      </c>
      <c r="I280" s="21"/>
      <c r="J280" s="4">
        <f t="shared" ca="1" si="29"/>
        <v>4.8423624227520001E-2</v>
      </c>
      <c r="K280" s="13"/>
      <c r="L280" s="13">
        <f ca="1">L279-O280*Prices!B280</f>
        <v>0.37769663112487917</v>
      </c>
      <c r="M280" s="4">
        <f t="shared" ca="1" si="25"/>
        <v>0.56959937630760404</v>
      </c>
      <c r="N280" s="13">
        <f ca="1">IF(Prices!B279&gt;OFFSET(Prices!B279,-$N$3,0),1,-1)</f>
        <v>1</v>
      </c>
      <c r="O280" s="4">
        <f ca="1">IF(N280=1,O$3*L279/Prices!B279,-O$3*M279)</f>
        <v>3.5470134305464647E-2</v>
      </c>
      <c r="P280" s="22"/>
      <c r="Q280" s="13">
        <f ca="1">Q279-T280*Prices!B280</f>
        <v>0.15496504670786684</v>
      </c>
      <c r="R280" s="4">
        <f t="shared" ca="1" si="24"/>
        <v>0.76498085123046378</v>
      </c>
      <c r="S280" s="13">
        <f ca="1">IF(Prices!B279&gt;OFFSET(Prices!B279,-S$3,0),1,-1)</f>
        <v>1</v>
      </c>
      <c r="T280" s="4">
        <f ca="1">IF(S280=1,T$3*Q279/Prices!B279,-T$3*R279)</f>
        <v>1.2953489922055356E-2</v>
      </c>
      <c r="V280" s="13"/>
      <c r="W280" s="4"/>
      <c r="X280" s="4"/>
      <c r="Y280" s="4"/>
      <c r="Z280" s="4"/>
      <c r="AA280" s="4"/>
      <c r="AB280" s="4"/>
      <c r="AC280" s="4"/>
      <c r="AD280" s="4"/>
      <c r="AE280" s="52"/>
    </row>
    <row r="281" spans="1:31" x14ac:dyDescent="0.2">
      <c r="A281" s="7">
        <v>43331</v>
      </c>
      <c r="B281" s="13">
        <f ca="1">Prices!B280*(1+J281/(50*(ABS(O281)+ABS(T281)+0.0001)))</f>
        <v>1.1620048343549647</v>
      </c>
      <c r="C281" s="62">
        <f t="shared" ca="1" si="26"/>
        <v>0</v>
      </c>
      <c r="D281" s="13">
        <f ca="1">D280+C281*(Prices!B281-Prices!B280)/Prices!B280</f>
        <v>-8.118808847146966E-2</v>
      </c>
      <c r="E281" s="13">
        <f t="shared" ca="1" si="30"/>
        <v>0.17985183541476663</v>
      </c>
      <c r="F281" s="13">
        <f t="shared" ca="1" si="28"/>
        <v>9.8663746943296979E-2</v>
      </c>
      <c r="G281" s="21">
        <f ca="1">IF((Prices!B281-Prices!B280)*C281&gt;0,1,0)</f>
        <v>0</v>
      </c>
      <c r="H281" s="13">
        <f>ABS(Prices!B281-Prices!B280)/Prices!B280</f>
        <v>8.9398667453824271E-3</v>
      </c>
      <c r="I281" s="21"/>
      <c r="J281" s="4">
        <f t="shared" ca="1" si="29"/>
        <v>-0.12580821424150213</v>
      </c>
      <c r="K281" s="13"/>
      <c r="L281" s="13">
        <f ca="1">L280-O281*Prices!B281</f>
        <v>0.44583780451255783</v>
      </c>
      <c r="M281" s="4">
        <f t="shared" ca="1" si="25"/>
        <v>0.51263943867684358</v>
      </c>
      <c r="N281" s="13">
        <f ca="1">IF(Prices!B280&gt;OFFSET(Prices!B280,-$N$3,0),1,-1)</f>
        <v>-1</v>
      </c>
      <c r="O281" s="4">
        <f ca="1">IF(N281=1,O$3*L280/Prices!B280,-O$3*M280)</f>
        <v>-5.6959937630760404E-2</v>
      </c>
      <c r="P281" s="22"/>
      <c r="Q281" s="13">
        <f ca="1">Q280-T281*Prices!B281</f>
        <v>0.23732824001729719</v>
      </c>
      <c r="R281" s="4">
        <f t="shared" ca="1" si="24"/>
        <v>0.696132574619722</v>
      </c>
      <c r="S281" s="13">
        <f ca="1">IF(Prices!B280&gt;OFFSET(Prices!B280,-S$3,0),1,-1)</f>
        <v>-1</v>
      </c>
      <c r="T281" s="4">
        <f ca="1">IF(S281=1,T$3*Q280/Prices!B280,-T$3*R280)</f>
        <v>-6.8848276610741735E-2</v>
      </c>
      <c r="V281" s="13"/>
      <c r="W281" s="4"/>
      <c r="X281" s="4"/>
      <c r="Y281" s="4"/>
      <c r="Z281" s="4"/>
      <c r="AA281" s="4"/>
      <c r="AB281" s="4"/>
      <c r="AC281" s="4"/>
      <c r="AD281" s="4"/>
      <c r="AE281" s="52"/>
    </row>
    <row r="282" spans="1:31" x14ac:dyDescent="0.2">
      <c r="A282" s="7">
        <v>43338</v>
      </c>
      <c r="B282" s="13">
        <f ca="1">Prices!B281*(1+J282/(50*(ABS(O282)+ABS(T282)+0.0001)))</f>
        <v>1.2201826736379309</v>
      </c>
      <c r="C282" s="62">
        <f t="shared" ca="1" si="26"/>
        <v>1</v>
      </c>
      <c r="D282" s="13">
        <f ca="1">D281+C282*(Prices!B282-Prices!B281)/Prices!B281</f>
        <v>-6.7980699020662977E-2</v>
      </c>
      <c r="E282" s="13">
        <f t="shared" ca="1" si="30"/>
        <v>0.16664444596395994</v>
      </c>
      <c r="F282" s="13">
        <f t="shared" ca="1" si="28"/>
        <v>9.8663746943296979E-2</v>
      </c>
      <c r="G282" s="21">
        <f ca="1">IF((Prices!B282-Prices!B281)*C282&gt;0,1,0)</f>
        <v>1</v>
      </c>
      <c r="H282" s="13">
        <f>ABS(Prices!B282-Prices!B281)/Prices!B281</f>
        <v>1.3207389450806685E-2</v>
      </c>
      <c r="I282" s="21"/>
      <c r="J282" s="4">
        <f t="shared" ca="1" si="29"/>
        <v>5.5122730128573549E-2</v>
      </c>
      <c r="K282" s="13"/>
      <c r="L282" s="13">
        <f ca="1">L281-O282*Prices!B282</f>
        <v>0.40066518870969303</v>
      </c>
      <c r="M282" s="4">
        <f t="shared" ca="1" si="25"/>
        <v>0.54990749890526103</v>
      </c>
      <c r="N282" s="13">
        <f ca="1">IF(Prices!B281&gt;OFFSET(Prices!B281,-$N$3,0),1,-1)</f>
        <v>1</v>
      </c>
      <c r="O282" s="4">
        <f ca="1">IF(N282=1,O$3*L281/Prices!B281,-O$3*M281)</f>
        <v>3.7268060228417443E-2</v>
      </c>
      <c r="P282" s="22"/>
      <c r="Q282" s="13">
        <f ca="1">Q281-T282*Prices!B282</f>
        <v>0.21568659463131798</v>
      </c>
      <c r="R282" s="4">
        <f t="shared" ca="1" si="24"/>
        <v>0.71398724451987805</v>
      </c>
      <c r="S282" s="13">
        <f ca="1">IF(Prices!B281&gt;OFFSET(Prices!B281,-S$3,0),1,-1)</f>
        <v>1</v>
      </c>
      <c r="T282" s="4">
        <f ca="1">IF(S282=1,T$3*Q281/Prices!B281,-T$3*R281)</f>
        <v>1.7854669900156103E-2</v>
      </c>
      <c r="V282" s="13"/>
      <c r="W282" s="4"/>
      <c r="X282" s="4"/>
      <c r="Y282" s="4"/>
      <c r="Z282" s="4"/>
      <c r="AA282" s="4"/>
      <c r="AB282" s="4"/>
      <c r="AC282" s="4"/>
      <c r="AD282" s="4"/>
      <c r="AE282" s="52"/>
    </row>
    <row r="283" spans="1:31" x14ac:dyDescent="0.2">
      <c r="A283" s="7">
        <v>43345</v>
      </c>
      <c r="B283" s="13">
        <f ca="1">Prices!B282*(1+J283/(50*(ABS(O283)+ABS(T283)+0.0001)))</f>
        <v>1.2362926980475299</v>
      </c>
      <c r="C283" s="62">
        <f t="shared" ca="1" si="26"/>
        <v>1</v>
      </c>
      <c r="D283" s="13">
        <f ca="1">D282+C283*(Prices!B283-Prices!B282)/Prices!B282</f>
        <v>-6.8723212014640295E-2</v>
      </c>
      <c r="E283" s="13">
        <f t="shared" ca="1" si="30"/>
        <v>0.16738695895793726</v>
      </c>
      <c r="F283" s="13">
        <f t="shared" ca="1" si="28"/>
        <v>9.8663746943296979E-2</v>
      </c>
      <c r="G283" s="21">
        <f ca="1">IF((Prices!B283-Prices!B282)*C283&gt;0,1,0)</f>
        <v>0</v>
      </c>
      <c r="H283" s="13">
        <f>ABS(Prices!B283-Prices!B282)/Prices!B282</f>
        <v>7.4251299397731286E-4</v>
      </c>
      <c r="I283" s="21"/>
      <c r="J283" s="4">
        <f t="shared" ca="1" si="29"/>
        <v>4.9070466453087963E-2</v>
      </c>
      <c r="K283" s="13"/>
      <c r="L283" s="13">
        <f ca="1">L282-O283*Prices!B283</f>
        <v>0.36062841974960885</v>
      </c>
      <c r="M283" s="4">
        <f t="shared" ca="1" si="25"/>
        <v>0.5829629554443001</v>
      </c>
      <c r="N283" s="13">
        <f ca="1">IF(Prices!B282&gt;OFFSET(Prices!B282,-$N$3,0),1,-1)</f>
        <v>1</v>
      </c>
      <c r="O283" s="4">
        <f ca="1">IF(N283=1,O$3*L282/Prices!B282,-O$3*M282)</f>
        <v>3.3055456539039109E-2</v>
      </c>
      <c r="P283" s="22"/>
      <c r="Q283" s="13">
        <f ca="1">Q282-T283*Prices!B283</f>
        <v>0.196289214623422</v>
      </c>
      <c r="R283" s="4">
        <f t="shared" ca="1" si="24"/>
        <v>0.73000225443392686</v>
      </c>
      <c r="S283" s="13">
        <f ca="1">IF(Prices!B282&gt;OFFSET(Prices!B282,-S$3,0),1,-1)</f>
        <v>1</v>
      </c>
      <c r="T283" s="4">
        <f ca="1">IF(S283=1,T$3*Q282/Prices!B282,-T$3*R282)</f>
        <v>1.6015009914048854E-2</v>
      </c>
      <c r="V283" s="13"/>
      <c r="W283" s="4"/>
      <c r="X283" s="4"/>
      <c r="Y283" s="4"/>
      <c r="Z283" s="4"/>
      <c r="AA283" s="4"/>
      <c r="AB283" s="4"/>
      <c r="AC283" s="4"/>
      <c r="AD283" s="4"/>
      <c r="AE283" s="52"/>
    </row>
    <row r="284" spans="1:31" x14ac:dyDescent="0.2">
      <c r="A284" s="7">
        <v>43352</v>
      </c>
      <c r="B284" s="13">
        <f ca="1">Prices!B283*(1+J284/(50*(ABS(O284)+ABS(T284)+0.0001)))</f>
        <v>1.2353695151094799</v>
      </c>
      <c r="C284" s="62">
        <f t="shared" ca="1" si="26"/>
        <v>1</v>
      </c>
      <c r="D284" s="13">
        <f ca="1">D283+C284*(Prices!B284-Prices!B283)/Prices!B283</f>
        <v>-5.6751613599845083E-2</v>
      </c>
      <c r="E284" s="13">
        <f t="shared" ca="1" si="30"/>
        <v>0.15541536054314206</v>
      </c>
      <c r="F284" s="13">
        <f t="shared" ca="1" si="28"/>
        <v>9.8663746943296979E-2</v>
      </c>
      <c r="G284" s="21">
        <f ca="1">IF((Prices!B284-Prices!B283)*C284&gt;0,1,0)</f>
        <v>1</v>
      </c>
      <c r="H284" s="13">
        <f>ABS(Prices!B284-Prices!B283)/Prices!B283</f>
        <v>1.1971598414795209E-2</v>
      </c>
      <c r="I284" s="21"/>
      <c r="J284" s="4">
        <f t="shared" ca="1" si="29"/>
        <v>4.4360032439786048E-2</v>
      </c>
      <c r="K284" s="13"/>
      <c r="L284" s="13">
        <f ca="1">L283-O284*Prices!B284</f>
        <v>0.32413384791282751</v>
      </c>
      <c r="M284" s="4">
        <f t="shared" ca="1" si="25"/>
        <v>0.61273742867329684</v>
      </c>
      <c r="N284" s="13">
        <f ca="1">IF(Prices!B283&gt;OFFSET(Prices!B283,-$N$3,0),1,-1)</f>
        <v>1</v>
      </c>
      <c r="O284" s="4">
        <f ca="1">IF(N284=1,O$3*L283/Prices!B283,-O$3*M283)</f>
        <v>2.9774473228996769E-2</v>
      </c>
      <c r="P284" s="22"/>
      <c r="Q284" s="13">
        <f ca="1">Q283-T284*Prices!B284</f>
        <v>0.17841169469875756</v>
      </c>
      <c r="R284" s="4">
        <f t="shared" ca="1" si="24"/>
        <v>0.74458781364471616</v>
      </c>
      <c r="S284" s="13">
        <f ca="1">IF(Prices!B283&gt;OFFSET(Prices!B283,-S$3,0),1,-1)</f>
        <v>1</v>
      </c>
      <c r="T284" s="4">
        <f ca="1">IF(S284=1,T$3*Q283/Prices!B283,-T$3*R283)</f>
        <v>1.4585559210789283E-2</v>
      </c>
      <c r="V284" s="13"/>
      <c r="W284" s="4"/>
      <c r="X284" s="4"/>
      <c r="Y284" s="4"/>
      <c r="Z284" s="4"/>
      <c r="AA284" s="4"/>
      <c r="AB284" s="4"/>
      <c r="AC284" s="4"/>
      <c r="AD284" s="4"/>
      <c r="AE284" s="52"/>
    </row>
    <row r="285" spans="1:31" x14ac:dyDescent="0.2">
      <c r="A285" s="7">
        <v>43359</v>
      </c>
      <c r="B285" s="13">
        <f ca="1">Prices!B284*(1+J285/(50*(ABS(O285)+ABS(T285)+0.0001)))</f>
        <v>1.2501521663917079</v>
      </c>
      <c r="C285" s="62">
        <f t="shared" ca="1" si="26"/>
        <v>1</v>
      </c>
      <c r="D285" s="13">
        <f ca="1">D284+C285*(Prices!B285-Prices!B284)/Prices!B284</f>
        <v>-6.1973119678004472E-2</v>
      </c>
      <c r="E285" s="13">
        <f t="shared" ca="1" si="30"/>
        <v>0.16063686662130144</v>
      </c>
      <c r="F285" s="13">
        <f t="shared" ca="1" si="28"/>
        <v>9.8663746943296979E-2</v>
      </c>
      <c r="G285" s="21">
        <f ca="1">IF((Prices!B285-Prices!B284)*C285&gt;0,1,0)</f>
        <v>0</v>
      </c>
      <c r="H285" s="13">
        <f>ABS(Prices!B285-Prices!B284)/Prices!B284</f>
        <v>5.2215060781593877E-3</v>
      </c>
      <c r="I285" s="21"/>
      <c r="J285" s="4">
        <f t="shared" ca="1" si="29"/>
        <v>3.9545106726091975E-2</v>
      </c>
      <c r="K285" s="13"/>
      <c r="L285" s="13">
        <f ca="1">L284-O285*Prices!B285</f>
        <v>0.29188970980724616</v>
      </c>
      <c r="M285" s="4">
        <f t="shared" ca="1" si="25"/>
        <v>0.6391822233141411</v>
      </c>
      <c r="N285" s="13">
        <f ca="1">IF(Prices!B284&gt;OFFSET(Prices!B284,-$N$3,0),1,-1)</f>
        <v>1</v>
      </c>
      <c r="O285" s="4">
        <f ca="1">IF(N285=1,O$3*L284/Prices!B284,-O$3*M284)</f>
        <v>2.6444794640844212E-2</v>
      </c>
      <c r="P285" s="22"/>
      <c r="Q285" s="13">
        <f ca="1">Q284-T285*Prices!B285</f>
        <v>0.16243848417321496</v>
      </c>
      <c r="R285" s="4">
        <f t="shared" ca="1" si="24"/>
        <v>0.75768812572996391</v>
      </c>
      <c r="S285" s="13">
        <f ca="1">IF(Prices!B284&gt;OFFSET(Prices!B284,-S$3,0),1,-1)</f>
        <v>1</v>
      </c>
      <c r="T285" s="4">
        <f ca="1">IF(S285=1,T$3*Q284/Prices!B284,-T$3*R284)</f>
        <v>1.310031208524776E-2</v>
      </c>
      <c r="V285" s="13"/>
      <c r="W285" s="4"/>
      <c r="X285" s="4"/>
      <c r="Y285" s="4"/>
      <c r="Z285" s="4"/>
      <c r="AA285" s="4"/>
      <c r="AB285" s="4"/>
      <c r="AC285" s="4"/>
      <c r="AD285" s="4"/>
      <c r="AE285" s="52"/>
    </row>
    <row r="286" spans="1:31" x14ac:dyDescent="0.2">
      <c r="A286" s="7">
        <v>43366</v>
      </c>
      <c r="B286" s="13">
        <f ca="1">Prices!B285*(1+J286/(50*(ABS(O286)+ABS(T286)+0.0001)))</f>
        <v>1.2436183159502538</v>
      </c>
      <c r="C286" s="62">
        <f t="shared" ca="1" si="26"/>
        <v>1</v>
      </c>
      <c r="D286" s="13">
        <f ca="1">D285+C286*(Prices!B286-Prices!B285)/Prices!B285</f>
        <v>-6.0168805727377081E-2</v>
      </c>
      <c r="E286" s="13">
        <f t="shared" ca="1" si="30"/>
        <v>0.15883255267067406</v>
      </c>
      <c r="F286" s="13">
        <f t="shared" ca="1" si="28"/>
        <v>9.8663746943296979E-2</v>
      </c>
      <c r="G286" s="21">
        <f ca="1">IF((Prices!B286-Prices!B285)*C286&gt;0,1,0)</f>
        <v>1</v>
      </c>
      <c r="H286" s="13">
        <f>ABS(Prices!B286-Prices!B285)/Prices!B285</f>
        <v>1.8043139506273924E-3</v>
      </c>
      <c r="I286" s="21"/>
      <c r="J286" s="4">
        <f t="shared" ca="1" si="29"/>
        <v>3.5929168011411439E-2</v>
      </c>
      <c r="K286" s="13"/>
      <c r="L286" s="13">
        <f ca="1">L285-O286*Prices!B286</f>
        <v>0.26264807275897656</v>
      </c>
      <c r="M286" s="4">
        <f t="shared" ca="1" si="25"/>
        <v>0.66312134492549568</v>
      </c>
      <c r="N286" s="13">
        <f ca="1">IF(Prices!B285&gt;OFFSET(Prices!B285,-$N$3,0),1,-1)</f>
        <v>1</v>
      </c>
      <c r="O286" s="4">
        <f ca="1">IF(N286=1,O$3*L285/Prices!B285,-O$3*M285)</f>
        <v>2.3939121611354561E-2</v>
      </c>
      <c r="P286" s="22"/>
      <c r="Q286" s="13">
        <f ca="1">Q285-T286*Prices!B286</f>
        <v>0.1477926424955455</v>
      </c>
      <c r="R286" s="4">
        <f t="shared" ca="1" si="24"/>
        <v>0.76967817213002077</v>
      </c>
      <c r="S286" s="13">
        <f ca="1">IF(Prices!B285&gt;OFFSET(Prices!B285,-S$3,0),1,-1)</f>
        <v>1</v>
      </c>
      <c r="T286" s="4">
        <f ca="1">IF(S286=1,T$3*Q285/Prices!B285,-T$3*R285)</f>
        <v>1.1990046400056874E-2</v>
      </c>
      <c r="V286" s="13"/>
      <c r="W286" s="4"/>
      <c r="X286" s="4"/>
      <c r="Y286" s="4"/>
      <c r="Z286" s="4"/>
      <c r="AA286" s="4"/>
      <c r="AB286" s="4"/>
      <c r="AC286" s="4"/>
      <c r="AD286" s="4"/>
      <c r="AE286" s="52"/>
    </row>
    <row r="287" spans="1:31" x14ac:dyDescent="0.2">
      <c r="A287" s="7">
        <v>43373</v>
      </c>
      <c r="B287" s="13">
        <f ca="1">Prices!B286*(1+J287/(50*(ABS(O287)+ABS(T287)+0.0001)))</f>
        <v>1.2458548109677567</v>
      </c>
      <c r="C287" s="62">
        <f t="shared" ca="1" si="26"/>
        <v>1</v>
      </c>
      <c r="D287" s="13">
        <f ca="1">D286+C287*(Prices!B287-Prices!B286)/Prices!B286</f>
        <v>-5.9923206054843338E-2</v>
      </c>
      <c r="E287" s="13">
        <f t="shared" ca="1" si="30"/>
        <v>0.15858695299814032</v>
      </c>
      <c r="F287" s="13">
        <f t="shared" ca="1" si="28"/>
        <v>9.8663746943296979E-2</v>
      </c>
      <c r="G287" s="21">
        <f ca="1">IF((Prices!B287-Prices!B286)*C287&gt;0,1,0)</f>
        <v>1</v>
      </c>
      <c r="H287" s="13">
        <f>ABS(Prices!B287-Prices!B286)/Prices!B286</f>
        <v>2.4559967253374288E-4</v>
      </c>
      <c r="I287" s="21"/>
      <c r="J287" s="4">
        <f t="shared" ca="1" si="29"/>
        <v>3.2391440933685428E-2</v>
      </c>
      <c r="K287" s="13"/>
      <c r="L287" s="13">
        <f ca="1">L286-O287*Prices!B287</f>
        <v>0.23637681485501277</v>
      </c>
      <c r="M287" s="4">
        <f t="shared" ca="1" si="25"/>
        <v>0.68462343847923912</v>
      </c>
      <c r="N287" s="13">
        <f ca="1">IF(Prices!B286&gt;OFFSET(Prices!B286,-$N$3,0),1,-1)</f>
        <v>1</v>
      </c>
      <c r="O287" s="4">
        <f ca="1">IF(N287=1,O$3*L286/Prices!B286,-O$3*M286)</f>
        <v>2.1502093553743475E-2</v>
      </c>
      <c r="P287" s="22"/>
      <c r="Q287" s="13">
        <f ca="1">Q286-T287*Prices!B287</f>
        <v>0.13448803786673241</v>
      </c>
      <c r="R287" s="4">
        <f t="shared" ca="1" si="24"/>
        <v>0.78056751950996273</v>
      </c>
      <c r="S287" s="13">
        <f ca="1">IF(Prices!B286&gt;OFFSET(Prices!B286,-S$3,0),1,-1)</f>
        <v>1</v>
      </c>
      <c r="T287" s="4">
        <f ca="1">IF(S287=1,T$3*Q286/Prices!B286,-T$3*R286)</f>
        <v>1.0889347379941952E-2</v>
      </c>
      <c r="V287" s="13"/>
      <c r="W287" s="4"/>
      <c r="X287" s="4"/>
      <c r="Y287" s="4"/>
      <c r="Z287" s="4"/>
      <c r="AA287" s="4"/>
      <c r="AB287" s="4"/>
      <c r="AC287" s="4"/>
      <c r="AD287" s="4"/>
      <c r="AE287" s="52"/>
    </row>
    <row r="288" spans="1:31" x14ac:dyDescent="0.2">
      <c r="A288" s="7">
        <v>43380</v>
      </c>
      <c r="B288" s="13">
        <f ca="1">Prices!B287*(1+J288/(50*(ABS(O288)+ABS(T288)+0.0001)))</f>
        <v>1.2461527519410218</v>
      </c>
      <c r="C288" s="62">
        <f t="shared" ca="1" si="26"/>
        <v>1</v>
      </c>
      <c r="D288" s="13">
        <f ca="1">D287+C288*(Prices!B288-Prices!B287)/Prices!B287</f>
        <v>-7.1054324077433006E-2</v>
      </c>
      <c r="E288" s="13">
        <f t="shared" ca="1" si="30"/>
        <v>0.16971807102073</v>
      </c>
      <c r="F288" s="13">
        <f t="shared" ca="1" si="28"/>
        <v>9.8663746943296979E-2</v>
      </c>
      <c r="G288" s="21">
        <f ca="1">IF((Prices!B288-Prices!B287)*C288&gt;0,1,0)</f>
        <v>0</v>
      </c>
      <c r="H288" s="13">
        <f>ABS(Prices!B288-Prices!B287)/Prices!B287</f>
        <v>1.1131118022589669E-2</v>
      </c>
      <c r="I288" s="21"/>
      <c r="J288" s="4">
        <f t="shared" ca="1" si="29"/>
        <v>2.9253236940176133E-2</v>
      </c>
      <c r="K288" s="13"/>
      <c r="L288" s="13">
        <f ca="1">L287-O288*Prices!B288</f>
        <v>0.213002247191907</v>
      </c>
      <c r="M288" s="4">
        <f t="shared" ca="1" si="25"/>
        <v>0.70397004306714328</v>
      </c>
      <c r="N288" s="13">
        <f ca="1">IF(Prices!B287&gt;OFFSET(Prices!B287,-$N$3,0),1,-1)</f>
        <v>1</v>
      </c>
      <c r="O288" s="4">
        <f ca="1">IF(N288=1,O$3*L287/Prices!B287,-O$3*M287)</f>
        <v>1.9346604587904142E-2</v>
      </c>
      <c r="P288" s="22"/>
      <c r="Q288" s="13">
        <f ca="1">Q287-T288*Prices!B288</f>
        <v>0.1225188446587174</v>
      </c>
      <c r="R288" s="4">
        <f t="shared" ca="1" si="24"/>
        <v>0.79047415186223469</v>
      </c>
      <c r="S288" s="13">
        <f ca="1">IF(Prices!B287&gt;OFFSET(Prices!B287,-S$3,0),1,-1)</f>
        <v>1</v>
      </c>
      <c r="T288" s="4">
        <f ca="1">IF(S288=1,T$3*Q287/Prices!B287,-T$3*R287)</f>
        <v>9.9066323522719896E-3</v>
      </c>
      <c r="V288" s="13"/>
      <c r="W288" s="4"/>
      <c r="X288" s="4"/>
      <c r="Y288" s="4"/>
      <c r="Z288" s="4"/>
      <c r="AA288" s="4"/>
      <c r="AB288" s="4"/>
      <c r="AC288" s="4"/>
      <c r="AD288" s="4"/>
      <c r="AE288" s="52"/>
    </row>
    <row r="289" spans="1:31" x14ac:dyDescent="0.2">
      <c r="A289" s="7">
        <v>43387</v>
      </c>
      <c r="B289" s="13">
        <f ca="1">Prices!B288*(1+J289/(50*(ABS(O289)+ABS(T289)+0.0001)))</f>
        <v>1.1896057620186258</v>
      </c>
      <c r="C289" s="62">
        <f t="shared" ca="1" si="26"/>
        <v>0</v>
      </c>
      <c r="D289" s="13">
        <f ca="1">D288+C289*(Prices!B289-Prices!B288)/Prices!B288</f>
        <v>-7.1054324077433006E-2</v>
      </c>
      <c r="E289" s="13">
        <f t="shared" ca="1" si="30"/>
        <v>0.16971807102073</v>
      </c>
      <c r="F289" s="13">
        <f t="shared" ca="1" si="28"/>
        <v>9.8663746943296979E-2</v>
      </c>
      <c r="G289" s="21">
        <f ca="1">IF((Prices!B289-Prices!B288)*C289&gt;0,1,0)</f>
        <v>0</v>
      </c>
      <c r="H289" s="13">
        <f>ABS(Prices!B289-Prices!B288)/Prices!B288</f>
        <v>7.3663300778017962E-3</v>
      </c>
      <c r="I289" s="21"/>
      <c r="J289" s="4">
        <f t="shared" ca="1" si="29"/>
        <v>-6.1270455706081521E-2</v>
      </c>
      <c r="K289" s="13"/>
      <c r="L289" s="13">
        <f ca="1">L288-O289*Prices!B289</f>
        <v>0.29868244113360903</v>
      </c>
      <c r="M289" s="4">
        <f t="shared" ca="1" si="25"/>
        <v>0.63357303876042892</v>
      </c>
      <c r="N289" s="13">
        <f ca="1">IF(Prices!B288&gt;OFFSET(Prices!B288,-$N$3,0),1,-1)</f>
        <v>-1</v>
      </c>
      <c r="O289" s="4">
        <f ca="1">IF(N289=1,O$3*L288/Prices!B288,-O$3*M288)</f>
        <v>-7.0397004306714334E-2</v>
      </c>
      <c r="P289" s="22"/>
      <c r="Q289" s="13">
        <f ca="1">Q288-T289*Prices!B289</f>
        <v>0.11141092235688721</v>
      </c>
      <c r="R289" s="4">
        <f t="shared" ca="1" si="24"/>
        <v>0.79960070046286746</v>
      </c>
      <c r="S289" s="13">
        <f ca="1">IF(Prices!B288&gt;OFFSET(Prices!B288,-S$3,0),1,-1)</f>
        <v>1</v>
      </c>
      <c r="T289" s="4">
        <f ca="1">IF(S289=1,T$3*Q288/Prices!B288,-T$3*R288)</f>
        <v>9.1265486006328143E-3</v>
      </c>
      <c r="V289" s="13"/>
      <c r="W289" s="4"/>
      <c r="X289" s="4"/>
      <c r="Y289" s="4"/>
      <c r="Z289" s="4"/>
      <c r="AA289" s="4"/>
      <c r="AB289" s="4"/>
      <c r="AC289" s="4"/>
      <c r="AD289" s="4"/>
      <c r="AE289" s="52"/>
    </row>
    <row r="290" spans="1:31" x14ac:dyDescent="0.2">
      <c r="A290" s="7">
        <v>43394</v>
      </c>
      <c r="B290" s="13">
        <f ca="1">Prices!B289*(1+J290/(50*(ABS(O290)+ABS(T290)+0.0001)))</f>
        <v>1.1983861391592436</v>
      </c>
      <c r="C290" s="62">
        <f t="shared" ca="1" si="26"/>
        <v>0</v>
      </c>
      <c r="D290" s="13">
        <f ca="1">D289+C290*(Prices!B290-Prices!B289)/Prices!B289</f>
        <v>-7.1054324077433006E-2</v>
      </c>
      <c r="E290" s="13">
        <f t="shared" ca="1" si="30"/>
        <v>0.16971807102073</v>
      </c>
      <c r="F290" s="13">
        <f t="shared" ca="1" si="28"/>
        <v>9.8663746943296979E-2</v>
      </c>
      <c r="G290" s="21">
        <f ca="1">IF((Prices!B290-Prices!B289)*C290&gt;0,1,0)</f>
        <v>0</v>
      </c>
      <c r="H290" s="13">
        <f>ABS(Prices!B290-Prices!B289)/Prices!B289</f>
        <v>2.8756881110837715E-3</v>
      </c>
      <c r="I290" s="21"/>
      <c r="J290" s="4">
        <f t="shared" ca="1" si="29"/>
        <v>-5.5118882208045318E-2</v>
      </c>
      <c r="K290" s="13"/>
      <c r="L290" s="13">
        <f ca="1">L289-O290*Prices!B290</f>
        <v>0.37557286511757471</v>
      </c>
      <c r="M290" s="4">
        <f t="shared" ca="1" si="25"/>
        <v>0.57021573488438604</v>
      </c>
      <c r="N290" s="13">
        <f ca="1">IF(Prices!B289&gt;OFFSET(Prices!B289,-$N$3,0),1,-1)</f>
        <v>-1</v>
      </c>
      <c r="O290" s="4">
        <f ca="1">IF(N290=1,O$3*L289/Prices!B289,-O$3*M289)</f>
        <v>-6.3357303876042895E-2</v>
      </c>
      <c r="P290" s="22"/>
      <c r="Q290" s="13">
        <f ca="1">Q289-T290*Prices!B290</f>
        <v>0.10141277382060535</v>
      </c>
      <c r="R290" s="4">
        <f t="shared" ca="1" si="24"/>
        <v>0.80783912213086506</v>
      </c>
      <c r="S290" s="13">
        <f ca="1">IF(Prices!B289&gt;OFFSET(Prices!B289,-S$3,0),1,-1)</f>
        <v>1</v>
      </c>
      <c r="T290" s="4">
        <f ca="1">IF(S290=1,T$3*Q289/Prices!B289,-T$3*R289)</f>
        <v>8.2384216679975749E-3</v>
      </c>
      <c r="V290" s="13"/>
      <c r="W290" s="4"/>
      <c r="X290" s="4"/>
      <c r="Y290" s="4"/>
      <c r="Z290" s="4"/>
      <c r="AA290" s="4"/>
      <c r="AB290" s="4"/>
      <c r="AC290" s="4"/>
      <c r="AD290" s="4"/>
      <c r="AE290" s="52"/>
    </row>
    <row r="291" spans="1:31" x14ac:dyDescent="0.2">
      <c r="A291" s="7">
        <v>43401</v>
      </c>
      <c r="B291" s="13">
        <f ca="1">Prices!B290*(1+J291/(50*(ABS(O291)+ABS(T291)+0.0001)))</f>
        <v>1.1950133361456796</v>
      </c>
      <c r="C291" s="62">
        <f t="shared" ca="1" si="26"/>
        <v>0</v>
      </c>
      <c r="D291" s="13">
        <f ca="1">D290+C291*(Prices!B291-Prices!B290)/Prices!B290</f>
        <v>-7.1054324077433006E-2</v>
      </c>
      <c r="E291" s="13">
        <f t="shared" ca="1" si="30"/>
        <v>0.16971807102073</v>
      </c>
      <c r="F291" s="13">
        <f t="shared" ca="1" si="28"/>
        <v>9.8663746943296979E-2</v>
      </c>
      <c r="G291" s="21">
        <f ca="1">IF((Prices!B291-Prices!B290)*C291&gt;0,1,0)</f>
        <v>0</v>
      </c>
      <c r="H291" s="13">
        <f>ABS(Prices!B291-Prices!B290)/Prices!B290</f>
        <v>7.4159525379036721E-3</v>
      </c>
      <c r="I291" s="21"/>
      <c r="J291" s="4">
        <f t="shared" ca="1" si="29"/>
        <v>-4.9500850314530831E-2</v>
      </c>
      <c r="K291" s="13"/>
      <c r="L291" s="13">
        <f ca="1">L290-O291*Prices!B291</f>
        <v>0.44426105254174786</v>
      </c>
      <c r="M291" s="4">
        <f t="shared" ca="1" si="25"/>
        <v>0.51319416139594742</v>
      </c>
      <c r="N291" s="13">
        <f ca="1">IF(Prices!B290&gt;OFFSET(Prices!B290,-$N$3,0),1,-1)</f>
        <v>-1</v>
      </c>
      <c r="O291" s="4">
        <f ca="1">IF(N291=1,O$3*L290/Prices!B290,-O$3*M290)</f>
        <v>-5.7021573488438608E-2</v>
      </c>
      <c r="P291" s="22"/>
      <c r="Q291" s="13">
        <f ca="1">Q290-T291*Prices!B291</f>
        <v>9.2353310685316034E-2</v>
      </c>
      <c r="R291" s="4">
        <f t="shared" ca="1" si="24"/>
        <v>0.81535984530477279</v>
      </c>
      <c r="S291" s="13">
        <f ca="1">IF(Prices!B290&gt;OFFSET(Prices!B290,-S$3,0),1,-1)</f>
        <v>1</v>
      </c>
      <c r="T291" s="4">
        <f ca="1">IF(S291=1,T$3*Q290/Prices!B290,-T$3*R290)</f>
        <v>7.5207231739077797E-3</v>
      </c>
      <c r="V291" s="13"/>
      <c r="W291" s="4"/>
      <c r="X291" s="4"/>
      <c r="Y291" s="4"/>
      <c r="Z291" s="4"/>
      <c r="AA291" s="4"/>
      <c r="AB291" s="4"/>
      <c r="AC291" s="4"/>
      <c r="AD291" s="4"/>
      <c r="AE291" s="52"/>
    </row>
    <row r="292" spans="1:31" x14ac:dyDescent="0.2">
      <c r="A292" s="7">
        <v>43408</v>
      </c>
      <c r="B292" s="13">
        <f ca="1">Prices!B291*(1+J292/(50*(ABS(O292)+ABS(T292)+0.0001)))</f>
        <v>1.1862501844102342</v>
      </c>
      <c r="C292" s="62">
        <f t="shared" ca="1" si="26"/>
        <v>0</v>
      </c>
      <c r="D292" s="13">
        <f ca="1">D291+C292*(Prices!B292-Prices!B291)/Prices!B291</f>
        <v>-7.1054324077433006E-2</v>
      </c>
      <c r="E292" s="13">
        <f t="shared" ca="1" si="30"/>
        <v>0.16971807102073</v>
      </c>
      <c r="F292" s="13">
        <f t="shared" ca="1" si="28"/>
        <v>9.8663746943296979E-2</v>
      </c>
      <c r="G292" s="21">
        <f ca="1">IF((Prices!B292-Prices!B291)*C292&gt;0,1,0)</f>
        <v>0</v>
      </c>
      <c r="H292" s="13">
        <f>ABS(Prices!B292-Prices!B291)/Prices!B291</f>
        <v>6.1431180474845184E-3</v>
      </c>
      <c r="I292" s="21"/>
      <c r="J292" s="4">
        <f t="shared" ca="1" si="29"/>
        <v>-4.4419368022644352E-2</v>
      </c>
      <c r="K292" s="13"/>
      <c r="L292" s="13">
        <f ca="1">L291-O292*Prices!B292</f>
        <v>0.50646018490293665</v>
      </c>
      <c r="M292" s="4">
        <f t="shared" ca="1" si="25"/>
        <v>0.46187474525635269</v>
      </c>
      <c r="N292" s="13">
        <f ca="1">IF(Prices!B291&gt;OFFSET(Prices!B291,-$N$3,0),1,-1)</f>
        <v>-1</v>
      </c>
      <c r="O292" s="4">
        <f ca="1">IF(N292=1,O$3*L291/Prices!B291,-O$3*M291)</f>
        <v>-5.1319416139594745E-2</v>
      </c>
      <c r="P292" s="22"/>
      <c r="Q292" s="13">
        <f ca="1">Q291-T292*Prices!B292</f>
        <v>8.399045236757216E-2</v>
      </c>
      <c r="R292" s="4">
        <f t="shared" ca="1" si="24"/>
        <v>0.82225989342172323</v>
      </c>
      <c r="S292" s="13">
        <f ca="1">IF(Prices!B291&gt;OFFSET(Prices!B291,-S$3,0),1,-1)</f>
        <v>1</v>
      </c>
      <c r="T292" s="4">
        <f ca="1">IF(S292=1,T$3*Q291/Prices!B291,-T$3*R291)</f>
        <v>6.9000481169503919E-3</v>
      </c>
      <c r="V292" s="13"/>
      <c r="W292" s="4"/>
      <c r="X292" s="4"/>
      <c r="Y292" s="4"/>
      <c r="Z292" s="4"/>
      <c r="AA292" s="4"/>
      <c r="AB292" s="4"/>
      <c r="AC292" s="4"/>
      <c r="AD292" s="4"/>
      <c r="AE292" s="52"/>
    </row>
    <row r="293" spans="1:31" x14ac:dyDescent="0.2">
      <c r="A293" s="7">
        <v>43415</v>
      </c>
      <c r="B293" s="13">
        <f ca="1">Prices!B292*(1+J293/(50*(ABS(O293)+ABS(T293)+0.0001)))</f>
        <v>1.2361896301836746</v>
      </c>
      <c r="C293" s="62">
        <f t="shared" ca="1" si="26"/>
        <v>1</v>
      </c>
      <c r="D293" s="13">
        <f ca="1">D292+C293*(Prices!B293-Prices!B292)/Prices!B292</f>
        <v>-7.1136832328258084E-2</v>
      </c>
      <c r="E293" s="13">
        <f t="shared" ca="1" si="30"/>
        <v>0.16980057927155506</v>
      </c>
      <c r="F293" s="13">
        <f t="shared" ca="1" si="28"/>
        <v>9.8663746943296979E-2</v>
      </c>
      <c r="G293" s="21">
        <f ca="1">IF((Prices!B293-Prices!B292)*C293&gt;0,1,0)</f>
        <v>0</v>
      </c>
      <c r="H293" s="13">
        <f>ABS(Prices!B293-Prices!B292)/Prices!B292</f>
        <v>8.2508250825073429E-5</v>
      </c>
      <c r="I293" s="21"/>
      <c r="J293" s="4">
        <f t="shared" ca="1" si="29"/>
        <v>4.8024058748659379E-2</v>
      </c>
      <c r="K293" s="13"/>
      <c r="L293" s="13">
        <f ca="1">L292-O293*Prices!B293</f>
        <v>0.45581834512703989</v>
      </c>
      <c r="M293" s="4">
        <f t="shared" ca="1" si="25"/>
        <v>0.50366188922524191</v>
      </c>
      <c r="N293" s="13">
        <f ca="1">IF(Prices!B292&gt;OFFSET(Prices!B292,-$N$3,0),1,-1)</f>
        <v>1</v>
      </c>
      <c r="O293" s="4">
        <f ca="1">IF(N293=1,O$3*L292/Prices!B292,-O$3*M292)</f>
        <v>4.1787143968889169E-2</v>
      </c>
      <c r="P293" s="22"/>
      <c r="Q293" s="13">
        <f ca="1">Q292-T293*Prices!B293</f>
        <v>7.6431935345968649E-2</v>
      </c>
      <c r="R293" s="4">
        <f t="shared" ca="1" si="24"/>
        <v>0.82849680820149341</v>
      </c>
      <c r="S293" s="13">
        <f ca="1">IF(Prices!B292&gt;OFFSET(Prices!B292,-S$3,0),1,-1)</f>
        <v>1</v>
      </c>
      <c r="T293" s="4">
        <f ca="1">IF(S293=1,T$3*Q292/Prices!B292,-T$3*R292)</f>
        <v>6.2369147797702099E-3</v>
      </c>
      <c r="V293" s="13"/>
      <c r="W293" s="4"/>
      <c r="X293" s="4"/>
      <c r="Y293" s="4"/>
      <c r="Z293" s="4"/>
      <c r="AA293" s="4"/>
      <c r="AB293" s="4"/>
      <c r="AC293" s="4"/>
      <c r="AD293" s="4"/>
      <c r="AE293" s="52"/>
    </row>
    <row r="294" spans="1:31" x14ac:dyDescent="0.2">
      <c r="A294" s="7">
        <v>43422</v>
      </c>
      <c r="B294" s="13">
        <f ca="1">Prices!B293*(1+J294/(50*(ABS(O294)+ABS(T294)+0.0001)))</f>
        <v>1.1926062004863607</v>
      </c>
      <c r="C294" s="62">
        <f t="shared" ca="1" si="26"/>
        <v>0</v>
      </c>
      <c r="D294" s="13">
        <f ca="1">D293+C294*(Prices!B294-Prices!B293)/Prices!B293</f>
        <v>-7.1136832328258084E-2</v>
      </c>
      <c r="E294" s="13">
        <f t="shared" ca="1" si="30"/>
        <v>0.16980057927155506</v>
      </c>
      <c r="F294" s="13">
        <f t="shared" ca="1" si="28"/>
        <v>9.8663746943296979E-2</v>
      </c>
      <c r="G294" s="21">
        <f ca="1">IF((Prices!B294-Prices!B293)*C294&gt;0,1,0)</f>
        <v>0</v>
      </c>
      <c r="H294" s="13">
        <f>ABS(Prices!B294-Prices!B293)/Prices!B293</f>
        <v>3.6306625959237229E-3</v>
      </c>
      <c r="I294" s="21"/>
      <c r="J294" s="4">
        <f t="shared" ca="1" si="29"/>
        <v>-4.4690081833542283E-2</v>
      </c>
      <c r="K294" s="13"/>
      <c r="L294" s="13">
        <f ca="1">L293-O294*Prices!B294</f>
        <v>0.51663551825098786</v>
      </c>
      <c r="M294" s="4">
        <f t="shared" ca="1" si="25"/>
        <v>0.45329570030271771</v>
      </c>
      <c r="N294" s="13">
        <f ca="1">IF(Prices!B293&gt;OFFSET(Prices!B293,-$N$3,0),1,-1)</f>
        <v>-1</v>
      </c>
      <c r="O294" s="4">
        <f ca="1">IF(N294=1,O$3*L293/Prices!B293,-O$3*M293)</f>
        <v>-5.0366188922524195E-2</v>
      </c>
      <c r="P294" s="22"/>
      <c r="Q294" s="13">
        <f ca="1">Q293-T294*Prices!B294</f>
        <v>6.9578036036022986E-2</v>
      </c>
      <c r="R294" s="4">
        <f t="shared" ca="1" si="24"/>
        <v>0.83417291529047533</v>
      </c>
      <c r="S294" s="13">
        <f ca="1">IF(Prices!B293&gt;OFFSET(Prices!B293,-S$3,0),1,-1)</f>
        <v>1</v>
      </c>
      <c r="T294" s="4">
        <f ca="1">IF(S294=1,T$3*Q293/Prices!B293,-T$3*R293)</f>
        <v>5.6761070889819118E-3</v>
      </c>
      <c r="V294" s="13"/>
      <c r="W294" s="4"/>
      <c r="X294" s="4"/>
      <c r="Y294" s="4"/>
      <c r="Z294" s="4"/>
      <c r="AA294" s="4"/>
      <c r="AB294" s="4"/>
      <c r="AC294" s="4"/>
      <c r="AD294" s="4"/>
      <c r="AE294" s="52"/>
    </row>
    <row r="295" spans="1:31" x14ac:dyDescent="0.2">
      <c r="A295" s="7">
        <v>43429</v>
      </c>
      <c r="B295" s="13">
        <f ca="1">Prices!B294*(1+J295/(50*(ABS(O295)+ABS(T295)+0.0001)))</f>
        <v>1.1833700406401932</v>
      </c>
      <c r="C295" s="62">
        <f t="shared" ca="1" si="26"/>
        <v>0</v>
      </c>
      <c r="D295" s="13">
        <f ca="1">D294+C295*(Prices!B295-Prices!B294)/Prices!B294</f>
        <v>-7.1136832328258084E-2</v>
      </c>
      <c r="E295" s="13">
        <f t="shared" ca="1" si="30"/>
        <v>0.16980057927155506</v>
      </c>
      <c r="F295" s="13">
        <f t="shared" ca="1" si="28"/>
        <v>9.8663746943296979E-2</v>
      </c>
      <c r="G295" s="21">
        <f ca="1">IF((Prices!B295-Prices!B294)*C295&gt;0,1,0)</f>
        <v>0</v>
      </c>
      <c r="H295" s="13">
        <f>ABS(Prices!B295-Prices!B294)/Prices!B294</f>
        <v>1.3250517598343697E-2</v>
      </c>
      <c r="I295" s="21"/>
      <c r="J295" s="4">
        <f t="shared" ca="1" si="29"/>
        <v>-0.12040513240641455</v>
      </c>
      <c r="K295" s="13"/>
      <c r="L295" s="13">
        <f ca="1">L294-O295*Prices!B295</f>
        <v>0.57064570094205669</v>
      </c>
      <c r="M295" s="4">
        <f t="shared" ca="1" si="25"/>
        <v>0.40796613027244594</v>
      </c>
      <c r="N295" s="13">
        <f ca="1">IF(Prices!B294&gt;OFFSET(Prices!B294,-$N$3,0),1,-1)</f>
        <v>-1</v>
      </c>
      <c r="O295" s="4">
        <f ca="1">IF(N295=1,O$3*L294/Prices!B294,-O$3*M294)</f>
        <v>-4.5329570030271771E-2</v>
      </c>
      <c r="P295" s="22"/>
      <c r="Q295" s="13">
        <f ca="1">Q294-T295*Prices!B295</f>
        <v>0.15903056860719711</v>
      </c>
      <c r="R295" s="4">
        <f t="shared" ca="1" si="24"/>
        <v>0.75909735291433256</v>
      </c>
      <c r="S295" s="13">
        <f ca="1">IF(Prices!B294&gt;OFFSET(Prices!B294,-S$3,0),1,-1)</f>
        <v>-1</v>
      </c>
      <c r="T295" s="4">
        <f ca="1">IF(S295=1,T$3*Q294/Prices!B294,-T$3*R294)</f>
        <v>-7.5075562376142782E-2</v>
      </c>
      <c r="V295" s="13"/>
      <c r="W295" s="4"/>
      <c r="X295" s="4"/>
      <c r="Y295" s="4"/>
      <c r="Z295" s="4"/>
      <c r="AA295" s="4"/>
      <c r="AB295" s="4"/>
      <c r="AC295" s="4"/>
      <c r="AD295" s="4"/>
      <c r="AE295" s="52"/>
    </row>
    <row r="296" spans="1:31" x14ac:dyDescent="0.2">
      <c r="A296" s="7">
        <v>43436</v>
      </c>
      <c r="B296" s="13">
        <f ca="1">Prices!B295*(1+J296/(50*(ABS(O296)+ABS(T296)+0.0001)))</f>
        <v>1.1676918192722827</v>
      </c>
      <c r="C296" s="62">
        <f t="shared" ca="1" si="26"/>
        <v>0</v>
      </c>
      <c r="D296" s="13">
        <f ca="1">D295+C296*(Prices!B296-Prices!B295)/Prices!B295</f>
        <v>-7.1136832328258084E-2</v>
      </c>
      <c r="E296" s="13">
        <f t="shared" ca="1" si="30"/>
        <v>0.16980057927155506</v>
      </c>
      <c r="F296" s="13">
        <f t="shared" ca="1" si="28"/>
        <v>9.8663746943296979E-2</v>
      </c>
      <c r="G296" s="21">
        <f ca="1">IF((Prices!B296-Prices!B295)*C296&gt;0,1,0)</f>
        <v>0</v>
      </c>
      <c r="H296" s="13">
        <f>ABS(Prices!B296-Prices!B295)/Prices!B295</f>
        <v>3.1892572387746754E-3</v>
      </c>
      <c r="I296" s="21"/>
      <c r="J296" s="4">
        <f t="shared" ca="1" si="29"/>
        <v>-0.10911537478953454</v>
      </c>
      <c r="K296" s="13"/>
      <c r="L296" s="13">
        <f ca="1">L295-O296*Prices!B296</f>
        <v>0.61940989249352219</v>
      </c>
      <c r="M296" s="4">
        <f t="shared" ca="1" si="25"/>
        <v>0.36716951724520136</v>
      </c>
      <c r="N296" s="13">
        <f ca="1">IF(Prices!B295&gt;OFFSET(Prices!B295,-$N$3,0),1,-1)</f>
        <v>-1</v>
      </c>
      <c r="O296" s="4">
        <f ca="1">IF(N296=1,O$3*L295/Prices!B295,-O$3*M295)</f>
        <v>-4.0796613027244598E-2</v>
      </c>
      <c r="P296" s="22"/>
      <c r="Q296" s="13">
        <f ca="1">Q295-T296*Prices!B296</f>
        <v>0.24069198454166227</v>
      </c>
      <c r="R296" s="4">
        <f t="shared" ca="1" si="24"/>
        <v>0.69077859115204265</v>
      </c>
      <c r="S296" s="13">
        <f ca="1">IF(Prices!B295&gt;OFFSET(Prices!B295,-S$3,0),1,-1)</f>
        <v>-1</v>
      </c>
      <c r="T296" s="4">
        <f ca="1">IF(S296=1,T$3*Q295/Prices!B295,-T$3*R295)</f>
        <v>-6.8318761762289931E-2</v>
      </c>
      <c r="V296" s="13"/>
      <c r="W296" s="4"/>
      <c r="X296" s="4"/>
      <c r="Y296" s="4"/>
      <c r="Z296" s="4"/>
      <c r="AA296" s="4"/>
      <c r="AB296" s="4"/>
      <c r="AC296" s="4"/>
      <c r="AD296" s="4"/>
      <c r="AE296" s="52"/>
    </row>
    <row r="297" spans="1:31" x14ac:dyDescent="0.2">
      <c r="A297" s="7">
        <v>43443</v>
      </c>
      <c r="B297" s="13">
        <f ca="1">Prices!B296*(1+J297/(50*(ABS(O297)+ABS(T297)+0.0001)))</f>
        <v>1.1714181506399626</v>
      </c>
      <c r="C297" s="62">
        <f t="shared" ca="1" si="26"/>
        <v>0</v>
      </c>
      <c r="D297" s="13">
        <f ca="1">D296+C297*(Prices!B297-Prices!B296)/Prices!B296</f>
        <v>-7.1136832328258084E-2</v>
      </c>
      <c r="E297" s="13">
        <f t="shared" ca="1" si="30"/>
        <v>0.16980057927155506</v>
      </c>
      <c r="F297" s="13">
        <f t="shared" ca="1" si="28"/>
        <v>9.8663746943296979E-2</v>
      </c>
      <c r="G297" s="21">
        <f ca="1">IF((Prices!B297-Prices!B296)*C297&gt;0,1,0)</f>
        <v>0</v>
      </c>
      <c r="H297" s="13">
        <f>ABS(Prices!B297-Prices!B296)/Prices!B296</f>
        <v>4.099389274659187E-3</v>
      </c>
      <c r="I297" s="21"/>
      <c r="J297" s="4">
        <f t="shared" ca="1" si="29"/>
        <v>-9.8887024928203976E-2</v>
      </c>
      <c r="K297" s="13"/>
      <c r="L297" s="13">
        <f ca="1">L296-O297*Prices!B297</f>
        <v>0.66311775182639099</v>
      </c>
      <c r="M297" s="4">
        <f t="shared" ca="1" si="25"/>
        <v>0.33045256552068125</v>
      </c>
      <c r="N297" s="13">
        <f ca="1">IF(Prices!B296&gt;OFFSET(Prices!B296,-$N$3,0),1,-1)</f>
        <v>-1</v>
      </c>
      <c r="O297" s="4">
        <f ca="1">IF(N297=1,O$3*L296/Prices!B296,-O$3*M296)</f>
        <v>-3.6716951724520136E-2</v>
      </c>
      <c r="P297" s="22"/>
      <c r="Q297" s="13">
        <f ca="1">Q296-T297*Prices!B297</f>
        <v>0.31469923968332753</v>
      </c>
      <c r="R297" s="4">
        <f t="shared" ca="1" si="24"/>
        <v>0.62860851794835881</v>
      </c>
      <c r="S297" s="13">
        <f ca="1">IF(Prices!B296&gt;OFFSET(Prices!B296,-S$3,0),1,-1)</f>
        <v>-1</v>
      </c>
      <c r="T297" s="4">
        <f ca="1">IF(S297=1,T$3*Q296/Prices!B296,-T$3*R296)</f>
        <v>-6.217007320368384E-2</v>
      </c>
      <c r="V297" s="13"/>
      <c r="W297" s="4"/>
      <c r="X297" s="4"/>
      <c r="Y297" s="4"/>
      <c r="Z297" s="4"/>
      <c r="AA297" s="4"/>
      <c r="AB297" s="4"/>
      <c r="AC297" s="4"/>
      <c r="AD297" s="4"/>
      <c r="AE297" s="52"/>
    </row>
    <row r="298" spans="1:31" x14ac:dyDescent="0.2">
      <c r="A298" s="7">
        <v>43450</v>
      </c>
      <c r="B298" s="13">
        <f ca="1">Prices!B297*(1+J298/(50*(ABS(O298)+ABS(T298)+0.0001)))</f>
        <v>1.1666185358825816</v>
      </c>
      <c r="C298" s="62">
        <f t="shared" ca="1" si="26"/>
        <v>0</v>
      </c>
      <c r="D298" s="13">
        <f ca="1">D297+C298*(Prices!B298-Prices!B297)/Prices!B297</f>
        <v>-7.1136832328258084E-2</v>
      </c>
      <c r="E298" s="13">
        <f t="shared" ca="1" si="30"/>
        <v>0.16980057927155506</v>
      </c>
      <c r="F298" s="13">
        <f t="shared" ca="1" si="28"/>
        <v>9.8663746943296979E-2</v>
      </c>
      <c r="G298" s="21">
        <f ca="1">IF((Prices!B298-Prices!B297)*C298&gt;0,1,0)</f>
        <v>0</v>
      </c>
      <c r="H298" s="13">
        <f>ABS(Prices!B298-Prices!B297)/Prices!B297</f>
        <v>9.2405913978493778E-3</v>
      </c>
      <c r="I298" s="21"/>
      <c r="J298" s="4">
        <f t="shared" ca="1" si="29"/>
        <v>-8.9620023167420418E-2</v>
      </c>
      <c r="K298" s="13"/>
      <c r="L298" s="13">
        <f ca="1">L297-O298*Prices!B298</f>
        <v>0.70209132740390012</v>
      </c>
      <c r="M298" s="4">
        <f t="shared" ca="1" si="25"/>
        <v>0.29740730896861312</v>
      </c>
      <c r="N298" s="13">
        <f ca="1">IF(Prices!B297&gt;OFFSET(Prices!B297,-$N$3,0),1,-1)</f>
        <v>-1</v>
      </c>
      <c r="O298" s="4">
        <f ca="1">IF(N298=1,O$3*L297/Prices!B297,-O$3*M297)</f>
        <v>-3.3045256552068129E-2</v>
      </c>
      <c r="P298" s="22"/>
      <c r="Q298" s="13">
        <f ca="1">Q297-T298*Prices!B298</f>
        <v>0.381423519429474</v>
      </c>
      <c r="R298" s="4">
        <f t="shared" ca="1" si="24"/>
        <v>0.57203375133300649</v>
      </c>
      <c r="S298" s="13">
        <f ca="1">IF(Prices!B297&gt;OFFSET(Prices!B297,-S$3,0),1,-1)</f>
        <v>-1</v>
      </c>
      <c r="T298" s="4">
        <f ca="1">IF(S298=1,T$3*Q297/Prices!B297,-T$3*R297)</f>
        <v>-5.6574766615352289E-2</v>
      </c>
      <c r="V298" s="13"/>
      <c r="W298" s="4"/>
      <c r="X298" s="4"/>
      <c r="Y298" s="4"/>
      <c r="Z298" s="4"/>
      <c r="AA298" s="4"/>
      <c r="AB298" s="4"/>
      <c r="AC298" s="4"/>
      <c r="AD298" s="4"/>
      <c r="AE298" s="52"/>
    </row>
    <row r="299" spans="1:31" x14ac:dyDescent="0.2">
      <c r="A299" s="7">
        <v>43457</v>
      </c>
      <c r="B299" s="13">
        <f ca="1">Prices!B298*(1+J299/(50*(ABS(O299)+ABS(T299)+0.0001)))</f>
        <v>1.155841005050344</v>
      </c>
      <c r="C299" s="62">
        <f t="shared" ca="1" si="26"/>
        <v>0</v>
      </c>
      <c r="D299" s="13">
        <f ca="1">D298+C299*(Prices!B299-Prices!B298)/Prices!B298</f>
        <v>-7.1136832328258084E-2</v>
      </c>
      <c r="E299" s="13">
        <f t="shared" ca="1" si="30"/>
        <v>0.16980057927155506</v>
      </c>
      <c r="F299" s="13">
        <f t="shared" ca="1" si="28"/>
        <v>9.8663746943296979E-2</v>
      </c>
      <c r="G299" s="21">
        <f ca="1">IF((Prices!B299-Prices!B298)*C299&gt;0,1,0)</f>
        <v>0</v>
      </c>
      <c r="H299" s="13">
        <f>ABS(Prices!B299-Prices!B298)/Prices!B298</f>
        <v>2.9676106494828376E-3</v>
      </c>
      <c r="I299" s="21"/>
      <c r="J299" s="4">
        <f t="shared" ca="1" si="29"/>
        <v>-8.1223768516831898E-2</v>
      </c>
      <c r="K299" s="13"/>
      <c r="L299" s="13">
        <f ca="1">L298-O299*Prices!B299</f>
        <v>0.73706345286551933</v>
      </c>
      <c r="M299" s="4">
        <f t="shared" ca="1" si="25"/>
        <v>0.26766657807175182</v>
      </c>
      <c r="N299" s="13">
        <f ca="1">IF(Prices!B298&gt;OFFSET(Prices!B298,-$N$3,0),1,-1)</f>
        <v>-1</v>
      </c>
      <c r="O299" s="4">
        <f ca="1">IF(N299=1,O$3*L298/Prices!B298,-O$3*M298)</f>
        <v>-2.9740730896861314E-2</v>
      </c>
      <c r="P299" s="22"/>
      <c r="Q299" s="13">
        <f ca="1">Q298-T299*Prices!B299</f>
        <v>0.44196242336679742</v>
      </c>
      <c r="R299" s="4">
        <f t="shared" ca="1" si="24"/>
        <v>0.52055071371303585</v>
      </c>
      <c r="S299" s="13">
        <f ca="1">IF(Prices!B298&gt;OFFSET(Prices!B298,-S$3,0),1,-1)</f>
        <v>-1</v>
      </c>
      <c r="T299" s="4">
        <f ca="1">IF(S299=1,T$3*Q298/Prices!B298,-T$3*R298)</f>
        <v>-5.1483037619970584E-2</v>
      </c>
      <c r="V299" s="13"/>
      <c r="W299" s="4"/>
      <c r="X299" s="4"/>
      <c r="Y299" s="4"/>
      <c r="Z299" s="4"/>
      <c r="AA299" s="4"/>
      <c r="AB299" s="4"/>
      <c r="AC299" s="4"/>
      <c r="AD299" s="4"/>
      <c r="AE299" s="52"/>
    </row>
    <row r="300" spans="1:31" x14ac:dyDescent="0.2">
      <c r="A300" s="7">
        <v>43464</v>
      </c>
      <c r="B300" s="13">
        <f ca="1">Prices!B299*(1+J300/(50*(ABS(O300)+ABS(T300)+0.0001)))</f>
        <v>1.1524139034255265</v>
      </c>
      <c r="C300" s="62">
        <f t="shared" ca="1" si="26"/>
        <v>0</v>
      </c>
      <c r="D300" s="13">
        <f ca="1">D299+C300*(Prices!B300-Prices!B299)/Prices!B299</f>
        <v>-7.1136832328258084E-2</v>
      </c>
      <c r="E300" s="13">
        <f t="shared" ca="1" si="30"/>
        <v>0.16980057927155506</v>
      </c>
      <c r="F300" s="13">
        <f t="shared" ca="1" si="28"/>
        <v>9.8663746943296979E-2</v>
      </c>
      <c r="G300" s="21">
        <f ca="1">IF((Prices!B300-Prices!B299)*C300&gt;0,1,0)</f>
        <v>0</v>
      </c>
      <c r="H300" s="13">
        <f>ABS(Prices!B300-Prices!B299)/Prices!B299</f>
        <v>1.1905774300535771E-2</v>
      </c>
      <c r="I300" s="21"/>
      <c r="J300" s="4">
        <f t="shared" ca="1" si="29"/>
        <v>-7.3616222041348406E-2</v>
      </c>
      <c r="K300" s="13"/>
      <c r="L300" s="13">
        <f ca="1">L299-O300*Prices!B300</f>
        <v>0.76891309899027704</v>
      </c>
      <c r="M300" s="4">
        <f t="shared" ca="1" si="25"/>
        <v>0.24089992026457663</v>
      </c>
      <c r="N300" s="13">
        <f ca="1">IF(Prices!B299&gt;OFFSET(Prices!B299,-$N$3,0),1,-1)</f>
        <v>-1</v>
      </c>
      <c r="O300" s="4">
        <f ca="1">IF(N300=1,O$3*L299/Prices!B299,-O$3*M299)</f>
        <v>-2.6766657807175184E-2</v>
      </c>
      <c r="P300" s="22"/>
      <c r="Q300" s="13">
        <f ca="1">Q299-T300*Prices!B300</f>
        <v>0.49770871984904014</v>
      </c>
      <c r="R300" s="4">
        <f t="shared" ca="1" si="24"/>
        <v>0.4737011494788626</v>
      </c>
      <c r="S300" s="13">
        <f ca="1">IF(Prices!B299&gt;OFFSET(Prices!B299,-S$3,0),1,-1)</f>
        <v>-1</v>
      </c>
      <c r="T300" s="4">
        <f ca="1">IF(S300=1,T$3*Q299/Prices!B299,-T$3*R299)</f>
        <v>-4.6849564234173226E-2</v>
      </c>
      <c r="V300" s="13"/>
      <c r="W300" s="4"/>
      <c r="X300" s="4"/>
      <c r="Y300" s="4"/>
      <c r="Z300" s="4"/>
      <c r="AA300" s="4"/>
      <c r="AB300" s="4"/>
      <c r="AC300" s="4"/>
      <c r="AD300" s="4"/>
      <c r="AE300" s="52"/>
    </row>
    <row r="301" spans="1:31" x14ac:dyDescent="0.2">
      <c r="A301" s="7">
        <v>43471</v>
      </c>
      <c r="B301" s="13">
        <f ca="1">Prices!B300*(1+J301/(50*(ABS(O301)+ABS(T301)+0.0001)))</f>
        <v>1.1661376134354884</v>
      </c>
      <c r="C301" s="62">
        <f t="shared" ca="1" si="26"/>
        <v>0</v>
      </c>
      <c r="D301" s="13">
        <f ca="1">D300+C301*(Prices!B301-Prices!B300)/Prices!B300</f>
        <v>-7.1136832328258084E-2</v>
      </c>
      <c r="E301" s="13">
        <f t="shared" ca="1" si="30"/>
        <v>0.16980057927155506</v>
      </c>
      <c r="F301" s="13">
        <f t="shared" ca="1" si="28"/>
        <v>9.8663746943296979E-2</v>
      </c>
      <c r="G301" s="21">
        <f ca="1">IF((Prices!B301-Prices!B300)*C301&gt;0,1,0)</f>
        <v>0</v>
      </c>
      <c r="H301" s="13">
        <f>ABS(Prices!B301-Prices!B300)/Prices!B300</f>
        <v>7.0594167577107013E-3</v>
      </c>
      <c r="I301" s="21"/>
      <c r="J301" s="4">
        <f t="shared" ca="1" si="29"/>
        <v>-6.6723095479555294E-2</v>
      </c>
      <c r="K301" s="13"/>
      <c r="L301" s="13">
        <f ca="1">L300-O301*Prices!B301</f>
        <v>0.79778013643558121</v>
      </c>
      <c r="M301" s="4">
        <f t="shared" ca="1" si="25"/>
        <v>0.21680992823811895</v>
      </c>
      <c r="N301" s="13">
        <f ca="1">IF(Prices!B300&gt;OFFSET(Prices!B300,-$N$3,0),1,-1)</f>
        <v>-1</v>
      </c>
      <c r="O301" s="4">
        <f ca="1">IF(N301=1,O$3*L300/Prices!B300,-O$3*M300)</f>
        <v>-2.4089992026457663E-2</v>
      </c>
      <c r="P301" s="22"/>
      <c r="Q301" s="13">
        <f ca="1">Q300-T301*Prices!B301</f>
        <v>0.54879596771688699</v>
      </c>
      <c r="R301" s="4">
        <f t="shared" ca="1" si="24"/>
        <v>0.43106804602576498</v>
      </c>
      <c r="S301" s="13">
        <f ca="1">IF(Prices!B300&gt;OFFSET(Prices!B300,-S$3,0),1,-1)</f>
        <v>-1</v>
      </c>
      <c r="T301" s="4">
        <f ca="1">IF(S301=1,T$3*Q300/Prices!B300,-T$3*R300)</f>
        <v>-4.2633103453097634E-2</v>
      </c>
      <c r="V301" s="13"/>
      <c r="W301" s="4"/>
      <c r="X301" s="4"/>
      <c r="Y301" s="4"/>
      <c r="Z301" s="4"/>
      <c r="AA301" s="4"/>
      <c r="AB301" s="4"/>
      <c r="AC301" s="4"/>
      <c r="AD301" s="4"/>
      <c r="AE301" s="52"/>
    </row>
    <row r="302" spans="1:31" x14ac:dyDescent="0.2">
      <c r="A302" s="7">
        <v>43478</v>
      </c>
      <c r="B302" s="13">
        <f ca="1">Prices!B301*(1+J302/(50*(ABS(O302)+ABS(T302)+0.0001)))</f>
        <v>1.2046123067330672</v>
      </c>
      <c r="C302" s="62">
        <f t="shared" ca="1" si="26"/>
        <v>1</v>
      </c>
      <c r="D302" s="13">
        <f ca="1">D301+C302*(Prices!B302-Prices!B301)/Prices!B301</f>
        <v>-6.1623354901904015E-2</v>
      </c>
      <c r="E302" s="13">
        <f t="shared" ca="1" si="30"/>
        <v>0.16028710184520101</v>
      </c>
      <c r="F302" s="13">
        <f t="shared" ca="1" si="28"/>
        <v>9.8663746943296979E-2</v>
      </c>
      <c r="G302" s="21">
        <f ca="1">IF((Prices!B302-Prices!B301)*C302&gt;0,1,0)</f>
        <v>1</v>
      </c>
      <c r="H302" s="13">
        <f>ABS(Prices!B302-Prices!B301)/Prices!B301</f>
        <v>9.513477426354066E-3</v>
      </c>
      <c r="I302" s="21"/>
      <c r="J302" s="4">
        <f t="shared" ca="1" si="29"/>
        <v>2.7779869885519039E-2</v>
      </c>
      <c r="K302" s="13"/>
      <c r="L302" s="13">
        <f ca="1">L301-O302*Prices!B302</f>
        <v>0.71724315646010572</v>
      </c>
      <c r="M302" s="4">
        <f t="shared" ca="1" si="25"/>
        <v>0.28338592226595682</v>
      </c>
      <c r="N302" s="13">
        <f ca="1">IF(Prices!B301&gt;OFFSET(Prices!B301,-$N$3,0),1,-1)</f>
        <v>1</v>
      </c>
      <c r="O302" s="4">
        <f ca="1">IF(N302=1,O$3*L301/Prices!B301,-O$3*M301)</f>
        <v>6.6575994027837884E-2</v>
      </c>
      <c r="P302" s="22"/>
      <c r="Q302" s="13">
        <f ca="1">Q301-T302*Prices!B302</f>
        <v>0.59572763909185011</v>
      </c>
      <c r="R302" s="4">
        <f t="shared" ca="1" si="24"/>
        <v>0.39227192188344612</v>
      </c>
      <c r="S302" s="13">
        <f ca="1">IF(Prices!B301&gt;OFFSET(Prices!B301,-S$3,0),1,-1)</f>
        <v>-1</v>
      </c>
      <c r="T302" s="4">
        <f ca="1">IF(S302=1,T$3*Q301/Prices!B301,-T$3*R301)</f>
        <v>-3.8796124142318845E-2</v>
      </c>
      <c r="V302" s="13"/>
      <c r="W302" s="4"/>
      <c r="X302" s="4"/>
      <c r="Y302" s="4"/>
      <c r="Z302" s="4"/>
      <c r="AA302" s="4"/>
      <c r="AB302" s="4"/>
      <c r="AC302" s="4"/>
      <c r="AD302" s="4"/>
      <c r="AE302" s="52"/>
    </row>
    <row r="303" spans="1:31" x14ac:dyDescent="0.2">
      <c r="A303" s="7">
        <v>43485</v>
      </c>
      <c r="B303" s="13">
        <f ca="1">Prices!B302*(1+J303/(50*(ABS(O303)+ABS(T303)+0.0001)))</f>
        <v>1.215828380918679</v>
      </c>
      <c r="C303" s="62">
        <f t="shared" ca="1" si="26"/>
        <v>1</v>
      </c>
      <c r="D303" s="13">
        <f ca="1">D302+C303*(Prices!B303-Prices!B302)/Prices!B302</f>
        <v>-6.7988569417899755E-2</v>
      </c>
      <c r="E303" s="13">
        <f t="shared" ca="1" si="30"/>
        <v>0.16665231636119673</v>
      </c>
      <c r="F303" s="13">
        <f t="shared" ca="1" si="28"/>
        <v>9.8663746943296979E-2</v>
      </c>
      <c r="G303" s="21">
        <f ca="1">IF((Prices!B303-Prices!B302)*C303&gt;0,1,0)</f>
        <v>0</v>
      </c>
      <c r="H303" s="13">
        <f>ABS(Prices!B303-Prices!B302)/Prices!B302</f>
        <v>6.365214515995735E-3</v>
      </c>
      <c r="I303" s="21"/>
      <c r="J303" s="4">
        <f t="shared" ca="1" si="29"/>
        <v>2.3986521199300774E-2</v>
      </c>
      <c r="K303" s="13"/>
      <c r="L303" s="13">
        <f ca="1">L302-O303*Prices!B303</f>
        <v>0.64597538146919498</v>
      </c>
      <c r="M303" s="4">
        <f t="shared" ca="1" si="25"/>
        <v>0.34267691643476772</v>
      </c>
      <c r="N303" s="13">
        <f ca="1">IF(Prices!B302&gt;OFFSET(Prices!B302,-$N$3,0),1,-1)</f>
        <v>1</v>
      </c>
      <c r="O303" s="4">
        <f ca="1">IF(N303=1,O$3*L302/Prices!B302,-O$3*M302)</f>
        <v>5.9290994168810923E-2</v>
      </c>
      <c r="P303" s="22"/>
      <c r="Q303" s="13">
        <f ca="1">Q302-T303*Prices!B303</f>
        <v>0.63816361560120127</v>
      </c>
      <c r="R303" s="4">
        <f t="shared" ca="1" si="24"/>
        <v>0.35696744891393595</v>
      </c>
      <c r="S303" s="13">
        <f ca="1">IF(Prices!B302&gt;OFFSET(Prices!B302,-S$3,0),1,-1)</f>
        <v>-1</v>
      </c>
      <c r="T303" s="4">
        <f ca="1">IF(S303=1,T$3*Q302/Prices!B302,-T$3*R302)</f>
        <v>-3.5304472969510149E-2</v>
      </c>
      <c r="V303" s="13"/>
      <c r="W303" s="4"/>
      <c r="X303" s="4"/>
      <c r="Y303" s="4"/>
      <c r="Z303" s="4"/>
      <c r="AA303" s="4"/>
      <c r="AB303" s="4"/>
      <c r="AC303" s="4"/>
      <c r="AD303" s="4"/>
      <c r="AE303" s="52"/>
    </row>
    <row r="304" spans="1:31" x14ac:dyDescent="0.2">
      <c r="A304" s="7">
        <v>43492</v>
      </c>
      <c r="B304" s="13">
        <f ca="1">Prices!B303*(1+J304/(50*(ABS(O304)+ABS(T304)+0.0001)))</f>
        <v>1.2080442404129104</v>
      </c>
      <c r="C304" s="62">
        <f t="shared" ca="1" si="26"/>
        <v>1</v>
      </c>
      <c r="D304" s="13">
        <f ca="1">D303+C304*(Prices!B304-Prices!B303)/Prices!B303</f>
        <v>-5.5842146788948055E-2</v>
      </c>
      <c r="E304" s="13">
        <f t="shared" ca="1" si="30"/>
        <v>0.15450589373224505</v>
      </c>
      <c r="F304" s="13">
        <f t="shared" ca="1" si="28"/>
        <v>9.8663746943296979E-2</v>
      </c>
      <c r="G304" s="21">
        <f ca="1">IF((Prices!B304-Prices!B303)*C304&gt;0,1,0)</f>
        <v>1</v>
      </c>
      <c r="H304" s="13">
        <f>ABS(Prices!B304-Prices!B303)/Prices!B303</f>
        <v>1.2146422628951704E-2</v>
      </c>
      <c r="I304" s="21"/>
      <c r="J304" s="4">
        <f t="shared" ca="1" si="29"/>
        <v>2.1614641866397596E-2</v>
      </c>
      <c r="K304" s="13"/>
      <c r="L304" s="13">
        <f ca="1">L303-O304*Prices!B304</f>
        <v>0.58059321432315314</v>
      </c>
      <c r="M304" s="4">
        <f t="shared" ca="1" si="25"/>
        <v>0.39641862870341954</v>
      </c>
      <c r="N304" s="13">
        <f ca="1">IF(Prices!B303&gt;OFFSET(Prices!B303,-$N$3,0),1,-1)</f>
        <v>1</v>
      </c>
      <c r="O304" s="4">
        <f ca="1">IF(N304=1,O$3*L303/Prices!B303,-O$3*M303)</f>
        <v>5.3741712268651834E-2</v>
      </c>
      <c r="P304" s="22"/>
      <c r="Q304" s="13">
        <f ca="1">Q303-T304*Prices!B304</f>
        <v>0.67724940945258383</v>
      </c>
      <c r="R304" s="4">
        <f t="shared" ca="1" si="24"/>
        <v>0.32484037851168168</v>
      </c>
      <c r="S304" s="13">
        <f ca="1">IF(Prices!B303&gt;OFFSET(Prices!B303,-S$3,0),1,-1)</f>
        <v>-1</v>
      </c>
      <c r="T304" s="4">
        <f ca="1">IF(S304=1,T$3*Q303/Prices!B303,-T$3*R303)</f>
        <v>-3.2127070402254237E-2</v>
      </c>
      <c r="V304" s="13"/>
      <c r="W304" s="4"/>
      <c r="X304" s="4"/>
      <c r="Y304" s="4"/>
      <c r="Z304" s="4"/>
      <c r="AA304" s="4"/>
      <c r="AB304" s="4"/>
      <c r="AC304" s="4"/>
      <c r="AD304" s="4"/>
      <c r="AE304" s="52"/>
    </row>
    <row r="305" spans="1:31" x14ac:dyDescent="0.2">
      <c r="A305" s="7">
        <v>43499</v>
      </c>
      <c r="B305" s="13">
        <f ca="1">Prices!B304*(1+J305/(50*(ABS(O305)+ABS(T305)+0.0001)))</f>
        <v>1.2409071519689925</v>
      </c>
      <c r="C305" s="62">
        <f t="shared" ca="1" si="26"/>
        <v>1</v>
      </c>
      <c r="D305" s="13">
        <f ca="1">D304+C305*(Prices!B305-Prices!B304)/Prices!B304</f>
        <v>-5.7897053907146272E-2</v>
      </c>
      <c r="E305" s="13">
        <f t="shared" ca="1" si="30"/>
        <v>0.15656080085044324</v>
      </c>
      <c r="F305" s="13">
        <f t="shared" ca="1" si="28"/>
        <v>9.8663746943296979E-2</v>
      </c>
      <c r="G305" s="21">
        <f ca="1">IF((Prices!B305-Prices!B304)*C305&gt;0,1,0)</f>
        <v>0</v>
      </c>
      <c r="H305" s="13">
        <f>ABS(Prices!B305-Prices!B304)/Prices!B304</f>
        <v>2.0549071181982137E-3</v>
      </c>
      <c r="I305" s="21"/>
      <c r="J305" s="4">
        <f t="shared" ca="1" si="29"/>
        <v>9.7823251917678669E-2</v>
      </c>
      <c r="K305" s="13"/>
      <c r="L305" s="13">
        <f ca="1">L304-O305*Prices!B305</f>
        <v>0.5226531994037269</v>
      </c>
      <c r="M305" s="4">
        <f t="shared" ca="1" si="25"/>
        <v>0.4441412338590297</v>
      </c>
      <c r="N305" s="13">
        <f ca="1">IF(Prices!B304&gt;OFFSET(Prices!B304,-$N$3,0),1,-1)</f>
        <v>1</v>
      </c>
      <c r="O305" s="4">
        <f ca="1">IF(N305=1,O$3*L304/Prices!B304,-O$3*M304)</f>
        <v>4.7722605155610165E-2</v>
      </c>
      <c r="P305" s="22"/>
      <c r="Q305" s="13">
        <f ca="1">Q304-T305*Prices!B305</f>
        <v>0.61642221421875643</v>
      </c>
      <c r="R305" s="4">
        <f t="shared" ca="1" si="24"/>
        <v>0.37494102527375017</v>
      </c>
      <c r="S305" s="13">
        <f ca="1">IF(Prices!B304&gt;OFFSET(Prices!B304,-S$3,0),1,-1)</f>
        <v>1</v>
      </c>
      <c r="T305" s="4">
        <f ca="1">IF(S305=1,T$3*Q304/Prices!B304,-T$3*R304)</f>
        <v>5.0100646762068504E-2</v>
      </c>
      <c r="V305" s="13"/>
      <c r="W305" s="4"/>
      <c r="X305" s="4"/>
      <c r="Y305" s="4"/>
      <c r="Z305" s="4"/>
      <c r="AA305" s="4"/>
      <c r="AB305" s="4"/>
      <c r="AC305" s="4"/>
      <c r="AD305" s="4"/>
      <c r="AE305" s="52"/>
    </row>
    <row r="306" spans="1:31" x14ac:dyDescent="0.2">
      <c r="A306" s="7">
        <v>43506</v>
      </c>
      <c r="B306" s="13">
        <f ca="1">Prices!B305*(1+J306/(50*(ABS(O306)+ABS(T306)+0.0001)))</f>
        <v>1.238354668752415</v>
      </c>
      <c r="C306" s="62">
        <f t="shared" ca="1" si="26"/>
        <v>1</v>
      </c>
      <c r="D306" s="13">
        <f ca="1">D305+C306*(Prices!B306-Prices!B305)/Prices!B305</f>
        <v>-5.4520066838535781E-2</v>
      </c>
      <c r="E306" s="13">
        <f t="shared" ca="1" si="30"/>
        <v>0.15318381378183277</v>
      </c>
      <c r="F306" s="13">
        <f t="shared" ca="1" si="28"/>
        <v>9.8663746943296979E-2</v>
      </c>
      <c r="G306" s="21">
        <f ca="1">IF((Prices!B306-Prices!B305)*C306&gt;0,1,0)</f>
        <v>1</v>
      </c>
      <c r="H306" s="13">
        <f>ABS(Prices!B306-Prices!B305)/Prices!B305</f>
        <v>3.3769870686104872E-3</v>
      </c>
      <c r="I306" s="21"/>
      <c r="J306" s="4">
        <f t="shared" ca="1" si="29"/>
        <v>8.8743364813492112E-2</v>
      </c>
      <c r="K306" s="13"/>
      <c r="L306" s="13">
        <f ca="1">L305-O306*Prices!B306</f>
        <v>0.47021138015377878</v>
      </c>
      <c r="M306" s="4">
        <f t="shared" ca="1" si="25"/>
        <v>0.48718984595059767</v>
      </c>
      <c r="N306" s="13">
        <f ca="1">IF(Prices!B305&gt;OFFSET(Prices!B305,-$N$3,0),1,-1)</f>
        <v>1</v>
      </c>
      <c r="O306" s="4">
        <f ca="1">IF(N306=1,O$3*L305/Prices!B305,-O$3*M305)</f>
        <v>4.3048612091567989E-2</v>
      </c>
      <c r="P306" s="22"/>
      <c r="Q306" s="13">
        <f ca="1">Q305-T306*Prices!B306</f>
        <v>0.56075686645290845</v>
      </c>
      <c r="R306" s="4">
        <f t="shared" ca="1" si="24"/>
        <v>0.42063577799567431</v>
      </c>
      <c r="S306" s="13">
        <f ca="1">IF(Prices!B305&gt;OFFSET(Prices!B305,-S$3,0),1,-1)</f>
        <v>1</v>
      </c>
      <c r="T306" s="4">
        <f ca="1">IF(S306=1,T$3*Q305/Prices!B305,-T$3*R305)</f>
        <v>4.5694752721924123E-2</v>
      </c>
      <c r="V306" s="13"/>
      <c r="W306" s="4"/>
      <c r="X306" s="4"/>
      <c r="Y306" s="4"/>
      <c r="Z306" s="4"/>
      <c r="AA306" s="4"/>
      <c r="AB306" s="4"/>
      <c r="AC306" s="4"/>
      <c r="AD306" s="4"/>
      <c r="AE306" s="52"/>
    </row>
    <row r="307" spans="1:31" x14ac:dyDescent="0.2">
      <c r="A307" s="7">
        <f>A306+7</f>
        <v>43513</v>
      </c>
      <c r="B307" s="13">
        <f ca="1">Prices!B306*(1+J307/(50*(ABS(O307)+ABS(T307)+0.0001)))</f>
        <v>1.2425335933842578</v>
      </c>
      <c r="C307" s="62">
        <f t="shared" ca="1" si="26"/>
        <v>1</v>
      </c>
      <c r="D307" s="13">
        <f ca="1">D306+C307*(Prices!B307-Prices!B306)/Prices!B306</f>
        <v>-5.3699183568136744E-2</v>
      </c>
      <c r="E307" s="13">
        <f t="shared" ca="1" si="30"/>
        <v>0.15236293051143374</v>
      </c>
      <c r="F307" s="13">
        <f t="shared" ca="1" si="28"/>
        <v>9.8663746943296979E-2</v>
      </c>
      <c r="G307" s="21">
        <f ca="1">IF((Prices!B307-Prices!B306)*C307&gt;0,1,0)</f>
        <v>1</v>
      </c>
      <c r="H307" s="13">
        <f>ABS(Prices!B307-Prices!B306)/Prices!B306</f>
        <v>8.2088327039904116E-4</v>
      </c>
      <c r="I307" s="21"/>
      <c r="J307" s="4">
        <f t="shared" ca="1" si="29"/>
        <v>8.002729929087149E-2</v>
      </c>
      <c r="K307" s="13"/>
      <c r="L307" s="13">
        <f ca="1">L306-O307*Prices!B307</f>
        <v>0.42315164327284893</v>
      </c>
      <c r="M307" s="4">
        <f t="shared" ca="1" si="25"/>
        <v>0.52578871150254147</v>
      </c>
      <c r="N307" s="13">
        <f ca="1">IF(Prices!B306&gt;OFFSET(Prices!B306,-$N$3,0),1,-1)</f>
        <v>1</v>
      </c>
      <c r="O307" s="4">
        <f ca="1">IF(N307=1,O$3*L306/Prices!B306,-O$3*M306)</f>
        <v>3.8598865551943758E-2</v>
      </c>
      <c r="P307" s="22"/>
      <c r="Q307" s="13">
        <f ca="1">Q306-T307*Prices!B307</f>
        <v>0.51024732003840778</v>
      </c>
      <c r="R307" s="4">
        <f t="shared" ca="1" si="24"/>
        <v>0.46206421173460205</v>
      </c>
      <c r="S307" s="13">
        <f ca="1">IF(Prices!B306&gt;OFFSET(Prices!B306,-S$3,0),1,-1)</f>
        <v>1</v>
      </c>
      <c r="T307" s="4">
        <f ca="1">IF(S307=1,T$3*Q306/Prices!B306,-T$3*R306)</f>
        <v>4.1428433738927725E-2</v>
      </c>
      <c r="V307" s="13"/>
      <c r="W307" s="4"/>
      <c r="X307" s="4"/>
      <c r="Y307" s="4"/>
      <c r="Z307" s="4"/>
      <c r="AA307" s="4"/>
      <c r="AB307" s="4"/>
      <c r="AC307" s="4"/>
      <c r="AD307" s="4"/>
      <c r="AE307" s="52"/>
    </row>
    <row r="308" spans="1:31" x14ac:dyDescent="0.2">
      <c r="A308" s="7">
        <f t="shared" ref="A308:A313" si="31">A307+7</f>
        <v>43520</v>
      </c>
      <c r="B308" s="13">
        <f ca="1">Prices!B307*(1+J308/(50*(ABS(O308)+ABS(T308)+0.0001)))</f>
        <v>1.2435503544660398</v>
      </c>
      <c r="C308" s="62">
        <f t="shared" ca="1" si="26"/>
        <v>1</v>
      </c>
      <c r="D308" s="13">
        <f ca="1">D307+C308*(Prices!B308-Prices!B307)/Prices!B307</f>
        <v>-5.5749708502520083E-2</v>
      </c>
      <c r="E308" s="13">
        <f t="shared" ca="1" si="30"/>
        <v>0.15441345544581705</v>
      </c>
      <c r="F308" s="13">
        <f t="shared" ca="1" si="28"/>
        <v>9.8663746943296979E-2</v>
      </c>
      <c r="G308" s="21">
        <f ca="1">IF((Prices!B308-Prices!B307)*C308&gt;0,1,0)</f>
        <v>0</v>
      </c>
      <c r="H308" s="13">
        <f>ABS(Prices!B308-Prices!B307)/Prices!B307</f>
        <v>2.0505249343833404E-3</v>
      </c>
      <c r="I308" s="21"/>
      <c r="J308" s="4">
        <f t="shared" ca="1" si="29"/>
        <v>7.2373214510122699E-2</v>
      </c>
      <c r="K308" s="13"/>
      <c r="L308" s="13">
        <f ca="1">L307-O308*Prices!B308</f>
        <v>0.38092324724511967</v>
      </c>
      <c r="M308" s="4">
        <f t="shared" ca="1" si="25"/>
        <v>0.56049603132478953</v>
      </c>
      <c r="N308" s="13">
        <f ca="1">IF(Prices!B307&gt;OFFSET(Prices!B307,-$N$3,0),1,-1)</f>
        <v>1</v>
      </c>
      <c r="O308" s="4">
        <f ca="1">IF(N308=1,O$3*L307/Prices!B307,-O$3*M307)</f>
        <v>3.470731982224811E-2</v>
      </c>
      <c r="P308" s="22"/>
      <c r="Q308" s="13">
        <f ca="1">Q307-T308*Prices!B308</f>
        <v>0.46441922597167079</v>
      </c>
      <c r="R308" s="4">
        <f t="shared" ca="1" si="24"/>
        <v>0.49973010642247662</v>
      </c>
      <c r="S308" s="13">
        <f ca="1">IF(Prices!B307&gt;OFFSET(Prices!B307,-S$3,0),1,-1)</f>
        <v>1</v>
      </c>
      <c r="T308" s="4">
        <f ca="1">IF(S308=1,T$3*Q307/Prices!B307,-T$3*R307)</f>
        <v>3.7665894687874589E-2</v>
      </c>
      <c r="V308" s="13"/>
      <c r="W308" s="4"/>
      <c r="X308" s="4"/>
      <c r="Y308" s="4"/>
      <c r="Z308" s="4"/>
      <c r="AA308" s="4"/>
      <c r="AB308" s="4"/>
      <c r="AC308" s="4"/>
      <c r="AD308" s="4"/>
      <c r="AE308" s="52"/>
    </row>
    <row r="309" spans="1:31" x14ac:dyDescent="0.2">
      <c r="A309" s="7">
        <f t="shared" si="31"/>
        <v>43527</v>
      </c>
      <c r="B309" s="13">
        <f ca="1">Prices!B308*(1+J309/(50*(ABS(O309)+ABS(T309)+0.0001)))</f>
        <v>1.2409969964511112</v>
      </c>
      <c r="C309" s="62">
        <f t="shared" ca="1" si="26"/>
        <v>1</v>
      </c>
      <c r="D309" s="13">
        <f ca="1">D308+C309*(Prices!B309-Prices!B308)/Prices!B308</f>
        <v>-6.0516701187651838E-2</v>
      </c>
      <c r="E309" s="13">
        <f t="shared" ca="1" si="30"/>
        <v>0.15918044813094881</v>
      </c>
      <c r="F309" s="13">
        <f t="shared" ca="1" si="28"/>
        <v>9.8663746943296979E-2</v>
      </c>
      <c r="G309" s="21">
        <f ca="1">IF((Prices!B309-Prices!B308)*C309&gt;0,1,0)</f>
        <v>0</v>
      </c>
      <c r="H309" s="13">
        <f>ABS(Prices!B309-Prices!B308)/Prices!B308</f>
        <v>4.7669926851317546E-3</v>
      </c>
      <c r="I309" s="21"/>
      <c r="J309" s="4">
        <f t="shared" ca="1" si="29"/>
        <v>6.5661260016406958E-2</v>
      </c>
      <c r="K309" s="13"/>
      <c r="L309" s="13">
        <f ca="1">L308-O309*Prices!B309</f>
        <v>0.3430125083539291</v>
      </c>
      <c r="M309" s="4">
        <f t="shared" ca="1" si="25"/>
        <v>0.59180393362158579</v>
      </c>
      <c r="N309" s="13">
        <f ca="1">IF(Prices!B308&gt;OFFSET(Prices!B308,-$N$3,0),1,-1)</f>
        <v>1</v>
      </c>
      <c r="O309" s="4">
        <f ca="1">IF(N309=1,O$3*L308/Prices!B308,-O$3*M308)</f>
        <v>3.1307902296796232E-2</v>
      </c>
      <c r="P309" s="22"/>
      <c r="Q309" s="13">
        <f ca="1">Q308-T309*Prices!B309</f>
        <v>0.42282074510899414</v>
      </c>
      <c r="R309" s="4">
        <f t="shared" ca="1" si="24"/>
        <v>0.53408346414208729</v>
      </c>
      <c r="S309" s="13">
        <f ca="1">IF(Prices!B308&gt;OFFSET(Prices!B308,-S$3,0),1,-1)</f>
        <v>1</v>
      </c>
      <c r="T309" s="4">
        <f ca="1">IF(S309=1,T$3*Q308/Prices!B308,-T$3*R308)</f>
        <v>3.4353357719610733E-2</v>
      </c>
      <c r="V309" s="13"/>
      <c r="W309" s="4"/>
      <c r="X309" s="4"/>
      <c r="Y309" s="4"/>
      <c r="Z309" s="4"/>
      <c r="AA309" s="4"/>
      <c r="AB309" s="4"/>
      <c r="AC309" s="4"/>
      <c r="AD309" s="4"/>
      <c r="AE309" s="52"/>
    </row>
    <row r="310" spans="1:31" x14ac:dyDescent="0.2">
      <c r="A310" s="7">
        <f t="shared" si="31"/>
        <v>43534</v>
      </c>
      <c r="B310" s="13">
        <f ca="1">Prices!B309*(1+J310/(50*(ABS(O310)+ABS(T310)+0.0001)))</f>
        <v>1.2034897983197439</v>
      </c>
      <c r="C310" s="62">
        <f t="shared" ca="1" si="26"/>
        <v>0</v>
      </c>
      <c r="D310" s="13">
        <f ca="1">D309+C310*(Prices!B310-Prices!B309)/Prices!B309</f>
        <v>-6.0516701187651838E-2</v>
      </c>
      <c r="E310" s="13">
        <f t="shared" ca="1" si="30"/>
        <v>0.15918044813094881</v>
      </c>
      <c r="F310" s="13">
        <f t="shared" ca="1" si="28"/>
        <v>9.8663746943296979E-2</v>
      </c>
      <c r="G310" s="21">
        <f ca="1">IF((Prices!B310-Prices!B309)*C310&gt;0,1,0)</f>
        <v>0</v>
      </c>
      <c r="H310" s="13">
        <f>ABS(Prices!B310-Prices!B309)/Prices!B309</f>
        <v>2.0232884631266154E-2</v>
      </c>
      <c r="I310" s="21"/>
      <c r="J310" s="4">
        <f t="shared" ca="1" si="29"/>
        <v>-2.775429123992762E-2</v>
      </c>
      <c r="K310" s="13"/>
      <c r="L310" s="13">
        <f ca="1">L309-O310*Prices!B310</f>
        <v>0.41322412703879402</v>
      </c>
      <c r="M310" s="4">
        <f t="shared" ca="1" si="25"/>
        <v>0.53262354025942726</v>
      </c>
      <c r="N310" s="13">
        <f ca="1">IF(Prices!B309&gt;OFFSET(Prices!B309,-$N$3,0),1,-1)</f>
        <v>-1</v>
      </c>
      <c r="O310" s="4">
        <f ca="1">IF(N310=1,O$3*L309/Prices!B309,-O$3*M309)</f>
        <v>-5.9180393362158579E-2</v>
      </c>
      <c r="P310" s="22"/>
      <c r="Q310" s="13">
        <f ca="1">Q309-T310*Prices!B310</f>
        <v>0.38553681755117936</v>
      </c>
      <c r="R310" s="4">
        <f t="shared" ca="1" si="24"/>
        <v>0.56550956626431825</v>
      </c>
      <c r="S310" s="13">
        <f ca="1">IF(Prices!B309&gt;OFFSET(Prices!B309,-S$3,0),1,-1)</f>
        <v>1</v>
      </c>
      <c r="T310" s="4">
        <f ca="1">IF(S310=1,T$3*Q309/Prices!B309,-T$3*R309)</f>
        <v>3.1426102122230959E-2</v>
      </c>
      <c r="V310" s="13"/>
      <c r="W310" s="4"/>
      <c r="X310" s="4"/>
      <c r="Y310" s="4"/>
      <c r="Z310" s="4"/>
      <c r="AA310" s="4"/>
      <c r="AB310" s="4"/>
      <c r="AC310" s="4"/>
      <c r="AD310" s="4"/>
      <c r="AE310" s="52"/>
    </row>
    <row r="311" spans="1:31" x14ac:dyDescent="0.2">
      <c r="A311" s="7">
        <f t="shared" si="31"/>
        <v>43541</v>
      </c>
      <c r="B311" s="13">
        <f ca="1">Prices!B310*(1+J311/(50*(ABS(O311)+ABS(T311)+0.0001)))</f>
        <v>1.1795019341089554</v>
      </c>
      <c r="C311" s="62">
        <f t="shared" ca="1" si="26"/>
        <v>0</v>
      </c>
      <c r="D311" s="13">
        <f ca="1">D310+C311*(Prices!B311-Prices!B310)/Prices!B310</f>
        <v>-6.0516701187651838E-2</v>
      </c>
      <c r="E311" s="13">
        <f t="shared" ca="1" si="30"/>
        <v>0.15918044813094881</v>
      </c>
      <c r="F311" s="13">
        <f t="shared" ca="1" si="28"/>
        <v>9.8663746943296979E-2</v>
      </c>
      <c r="G311" s="21">
        <f ca="1">IF((Prices!B311-Prices!B310)*C311&gt;0,1,0)</f>
        <v>0</v>
      </c>
      <c r="H311" s="13">
        <f>ABS(Prices!B311-Prices!B310)/Prices!B310</f>
        <v>5.9844908968308382E-3</v>
      </c>
      <c r="I311" s="21"/>
      <c r="J311" s="4">
        <f t="shared" ca="1" si="29"/>
        <v>-2.4015629835445307E-2</v>
      </c>
      <c r="K311" s="13"/>
      <c r="L311" s="13">
        <f ca="1">L310-O311*Prices!B311</f>
        <v>0.4767927465687567</v>
      </c>
      <c r="M311" s="4">
        <f t="shared" ca="1" si="25"/>
        <v>0.47936118623348456</v>
      </c>
      <c r="N311" s="13">
        <f ca="1">IF(Prices!B310&gt;OFFSET(Prices!B310,-$N$3,0),1,-1)</f>
        <v>-1</v>
      </c>
      <c r="O311" s="4">
        <f ca="1">IF(N311=1,O$3*L310/Prices!B310,-O$3*M310)</f>
        <v>-5.3262354025942732E-2</v>
      </c>
      <c r="P311" s="22"/>
      <c r="Q311" s="13">
        <f ca="1">Q310-T311*Prices!B311</f>
        <v>0.35063085222982066</v>
      </c>
      <c r="R311" s="4">
        <f t="shared" ca="1" si="24"/>
        <v>0.59475629045481571</v>
      </c>
      <c r="S311" s="13">
        <f ca="1">IF(Prices!B310&gt;OFFSET(Prices!B310,-S$3,0),1,-1)</f>
        <v>1</v>
      </c>
      <c r="T311" s="4">
        <f ca="1">IF(S311=1,T$3*Q310/Prices!B310,-T$3*R310)</f>
        <v>2.9246724190497425E-2</v>
      </c>
      <c r="V311" s="13"/>
      <c r="W311" s="4"/>
      <c r="X311" s="4"/>
      <c r="Y311" s="4"/>
      <c r="Z311" s="4"/>
      <c r="AA311" s="4"/>
      <c r="AB311" s="4"/>
      <c r="AC311" s="4"/>
      <c r="AD311" s="4"/>
      <c r="AE311" s="52"/>
    </row>
    <row r="312" spans="1:31" x14ac:dyDescent="0.2">
      <c r="A312" s="7">
        <f t="shared" si="31"/>
        <v>43548</v>
      </c>
      <c r="B312" s="13">
        <f ca="1">Prices!B311*(1+J312/(50*(ABS(O312)+ABS(T312)+0.0001)))</f>
        <v>1.1866105977097618</v>
      </c>
      <c r="C312" s="62">
        <f t="shared" ca="1" si="26"/>
        <v>0</v>
      </c>
      <c r="D312" s="13">
        <f ca="1">D311+C312*(Prices!B312-Prices!B311)/Prices!B311</f>
        <v>-6.0516701187651838E-2</v>
      </c>
      <c r="E312" s="13">
        <f t="shared" ca="1" si="30"/>
        <v>0.15918044813094881</v>
      </c>
      <c r="F312" s="13">
        <f t="shared" ca="1" si="28"/>
        <v>9.8663746943296979E-2</v>
      </c>
      <c r="G312" s="21">
        <f ca="1">IF((Prices!B312-Prices!B311)*C312&gt;0,1,0)</f>
        <v>0</v>
      </c>
      <c r="H312" s="13">
        <f>ABS(Prices!B312-Prices!B311)/Prices!B311</f>
        <v>5.8651026392961001E-3</v>
      </c>
      <c r="I312" s="21"/>
      <c r="J312" s="4">
        <f t="shared" ca="1" si="29"/>
        <v>-2.1495585149796836E-2</v>
      </c>
      <c r="K312" s="13"/>
      <c r="L312" s="13">
        <f ca="1">L311-O312*Prices!B312</f>
        <v>0.53366895131535963</v>
      </c>
      <c r="M312" s="4">
        <f t="shared" ca="1" si="25"/>
        <v>0.4314250676101361</v>
      </c>
      <c r="N312" s="13">
        <f ca="1">IF(Prices!B311&gt;OFFSET(Prices!B311,-$N$3,0),1,-1)</f>
        <v>-1</v>
      </c>
      <c r="O312" s="4">
        <f ca="1">IF(N312=1,O$3*L311/Prices!B311,-O$3*M311)</f>
        <v>-4.7936118623348456E-2</v>
      </c>
      <c r="P312" s="22"/>
      <c r="Q312" s="13">
        <f ca="1">Q311-T312*Prices!B312</f>
        <v>0.31925915926345166</v>
      </c>
      <c r="R312" s="4">
        <f t="shared" ca="1" si="24"/>
        <v>0.62119682392836728</v>
      </c>
      <c r="S312" s="13">
        <f ca="1">IF(Prices!B311&gt;OFFSET(Prices!B311,-S$3,0),1,-1)</f>
        <v>1</v>
      </c>
      <c r="T312" s="4">
        <f ca="1">IF(S312=1,T$3*Q311/Prices!B311,-T$3*R311)</f>
        <v>2.644053347355162E-2</v>
      </c>
      <c r="V312" s="13"/>
      <c r="W312" s="4"/>
      <c r="X312" s="4"/>
      <c r="Y312" s="4"/>
      <c r="Z312" s="4"/>
      <c r="AA312" s="4"/>
      <c r="AB312" s="4"/>
      <c r="AC312" s="4"/>
      <c r="AD312" s="4"/>
      <c r="AE312" s="52"/>
    </row>
    <row r="313" spans="1:31" x14ac:dyDescent="0.2">
      <c r="A313" s="7">
        <f t="shared" si="31"/>
        <v>43555</v>
      </c>
      <c r="B313" s="13">
        <f ca="1">Prices!B312*(1+J313/(50*(ABS(O313)+ABS(T313)+0.0001)))</f>
        <v>1.1627939333808652</v>
      </c>
      <c r="C313" s="62">
        <f t="shared" ca="1" si="26"/>
        <v>0</v>
      </c>
      <c r="D313" s="13">
        <f ca="1">D312+C313*(Prices!B313-Prices!B312)/Prices!B312</f>
        <v>-6.0516701187651838E-2</v>
      </c>
      <c r="E313" s="13">
        <f t="shared" ca="1" si="30"/>
        <v>0.15918044813094881</v>
      </c>
      <c r="F313" s="13">
        <f t="shared" ca="1" si="28"/>
        <v>9.8663746943296979E-2</v>
      </c>
      <c r="G313" s="21">
        <f ca="1">IF((Prices!B313-Prices!B312)*C313&gt;0,1,0)</f>
        <v>0</v>
      </c>
      <c r="H313" s="13">
        <f>ABS(Prices!B313-Prices!B312)/Prices!B312</f>
        <v>9.2709650231763906E-4</v>
      </c>
      <c r="I313" s="21"/>
      <c r="J313" s="4">
        <f t="shared" ca="1" si="29"/>
        <v>-9.9050220914566667E-2</v>
      </c>
      <c r="K313" s="13"/>
      <c r="L313" s="13">
        <f ca="1">L312-O313*Prices!B313</f>
        <v>0.58490499234473936</v>
      </c>
      <c r="M313" s="4">
        <f t="shared" ca="1" si="25"/>
        <v>0.38828256084912249</v>
      </c>
      <c r="N313" s="13">
        <f ca="1">IF(Prices!B312&gt;OFFSET(Prices!B312,-$N$3,0),1,-1)</f>
        <v>-1</v>
      </c>
      <c r="O313" s="4">
        <f ca="1">IF(N313=1,O$3*L312/Prices!B312,-O$3*M312)</f>
        <v>-4.314250676101361E-2</v>
      </c>
      <c r="P313" s="22"/>
      <c r="Q313" s="13">
        <f ca="1">Q312-T313*Prices!B313</f>
        <v>0.38565516059221128</v>
      </c>
      <c r="R313" s="4">
        <f t="shared" ca="1" si="24"/>
        <v>0.56528910977481428</v>
      </c>
      <c r="S313" s="13">
        <f ca="1">IF(Prices!B312&gt;OFFSET(Prices!B312,-S$3,0),1,-1)</f>
        <v>-1</v>
      </c>
      <c r="T313" s="4">
        <f ca="1">IF(S313=1,T$3*Q312/Prices!B312,-T$3*R312)</f>
        <v>-5.5907714153553056E-2</v>
      </c>
      <c r="V313" s="13"/>
      <c r="W313" s="4"/>
      <c r="X313" s="4"/>
      <c r="Y313" s="4"/>
      <c r="Z313" s="4"/>
      <c r="AA313" s="4"/>
      <c r="AB313" s="4"/>
      <c r="AC313" s="4"/>
      <c r="AD313" s="4"/>
      <c r="AE313" s="52"/>
    </row>
    <row r="314" spans="1:31" x14ac:dyDescent="0.2">
      <c r="A314" s="7">
        <v>43562</v>
      </c>
      <c r="B314" s="13">
        <f ca="1">Prices!B313*(1+J314/(50*(ABS(O314)+ABS(T314)+0.0001)))</f>
        <v>1.1638744486292494</v>
      </c>
      <c r="C314" s="62">
        <f t="shared" ca="1" si="26"/>
        <v>0</v>
      </c>
      <c r="D314" s="13">
        <f ca="1">D313+C314*(Prices!B314-Prices!B313)/Prices!B313</f>
        <v>-6.0516701187651838E-2</v>
      </c>
      <c r="E314" s="13">
        <f t="shared" ca="1" si="30"/>
        <v>0.15918044813094881</v>
      </c>
      <c r="F314" s="13">
        <f t="shared" ca="1" si="28"/>
        <v>9.8663746943296979E-2</v>
      </c>
      <c r="G314" s="21">
        <f ca="1">IF((Prices!B314-Prices!B313)*C314&gt;0,1,0)</f>
        <v>0</v>
      </c>
      <c r="H314" s="13">
        <f>ABS(Prices!B314-Prices!B313)/Prices!B313</f>
        <v>5.8942404850117003E-3</v>
      </c>
      <c r="I314" s="21"/>
      <c r="J314" s="4">
        <f t="shared" ca="1" si="29"/>
        <v>-8.970427596464553E-2</v>
      </c>
      <c r="K314" s="13"/>
      <c r="L314" s="13">
        <f ca="1">L313-O314*Prices!B314</f>
        <v>0.63074563147858675</v>
      </c>
      <c r="M314" s="4">
        <f t="shared" ca="1" si="25"/>
        <v>0.34945430476421024</v>
      </c>
      <c r="N314" s="13">
        <f ca="1">IF(Prices!B313&gt;OFFSET(Prices!B313,-$N$3,0),1,-1)</f>
        <v>-1</v>
      </c>
      <c r="O314" s="4">
        <f ca="1">IF(N314=1,O$3*L313/Prices!B313,-O$3*M313)</f>
        <v>-3.8828256084912249E-2</v>
      </c>
      <c r="P314" s="22"/>
      <c r="Q314" s="13">
        <f ca="1">Q313-T314*Prices!B314</f>
        <v>0.44571938966222441</v>
      </c>
      <c r="R314" s="4">
        <f t="shared" ca="1" si="24"/>
        <v>0.51441308989508094</v>
      </c>
      <c r="S314" s="13">
        <f ca="1">IF(Prices!B313&gt;OFFSET(Prices!B313,-S$3,0),1,-1)</f>
        <v>-1</v>
      </c>
      <c r="T314" s="4">
        <f ca="1">IF(S314=1,T$3*Q313/Prices!B313,-T$3*R313)</f>
        <v>-5.0876019879733281E-2</v>
      </c>
      <c r="V314" s="13"/>
      <c r="W314" s="4"/>
      <c r="X314" s="4"/>
      <c r="Y314" s="4"/>
      <c r="Z314" s="4"/>
      <c r="AA314" s="4"/>
      <c r="AB314" s="4"/>
      <c r="AC314" s="4"/>
      <c r="AD314" s="4"/>
      <c r="AE314" s="52"/>
    </row>
    <row r="315" spans="1:31" x14ac:dyDescent="0.2">
      <c r="A315" s="7">
        <v>43569</v>
      </c>
      <c r="B315" s="13">
        <f ca="1">Prices!B314*(1+J315/(50*(ABS(O315)+ABS(T315)+0.0001)))</f>
        <v>1.1570170278372136</v>
      </c>
      <c r="C315" s="62">
        <f t="shared" ca="1" si="26"/>
        <v>0</v>
      </c>
      <c r="D315" s="13">
        <f ca="1">D314+C315*(Prices!B315-Prices!B314)/Prices!B314</f>
        <v>-6.0516701187651838E-2</v>
      </c>
      <c r="E315" s="13">
        <f t="shared" ca="1" si="30"/>
        <v>0.15918044813094881</v>
      </c>
      <c r="F315" s="13">
        <f t="shared" ca="1" si="28"/>
        <v>9.8663746943296979E-2</v>
      </c>
      <c r="G315" s="21">
        <f ca="1">IF((Prices!B315-Prices!B314)*C315&gt;0,1,0)</f>
        <v>0</v>
      </c>
      <c r="H315" s="13">
        <f>ABS(Prices!B315-Prices!B314)/Prices!B314</f>
        <v>2.9645942740979658E-3</v>
      </c>
      <c r="I315" s="21"/>
      <c r="J315" s="4">
        <f t="shared" ca="1" si="29"/>
        <v>-8.1242608566978319E-2</v>
      </c>
      <c r="K315" s="13"/>
      <c r="L315" s="13">
        <f ca="1">L314-O315*Prices!B315</f>
        <v>0.67187989769238199</v>
      </c>
      <c r="M315" s="4">
        <f t="shared" ca="1" si="25"/>
        <v>0.31450887428778923</v>
      </c>
      <c r="N315" s="13">
        <f ca="1">IF(Prices!B314&gt;OFFSET(Prices!B314,-$N$3,0),1,-1)</f>
        <v>-1</v>
      </c>
      <c r="O315" s="4">
        <f ca="1">IF(N315=1,O$3*L314/Prices!B314,-O$3*M314)</f>
        <v>-3.4945430476421027E-2</v>
      </c>
      <c r="P315" s="22"/>
      <c r="Q315" s="13">
        <f ca="1">Q314-T315*Prices!B315</f>
        <v>0.50021579799261939</v>
      </c>
      <c r="R315" s="4">
        <f t="shared" ca="1" si="24"/>
        <v>0.46811591180452367</v>
      </c>
      <c r="S315" s="13">
        <f ca="1">IF(Prices!B314&gt;OFFSET(Prices!B314,-S$3,0),1,-1)</f>
        <v>-1</v>
      </c>
      <c r="T315" s="4">
        <f ca="1">IF(S315=1,T$3*Q314/Prices!B314,-T$3*R314)</f>
        <v>-4.6297178090557285E-2</v>
      </c>
      <c r="V315" s="13"/>
      <c r="W315" s="4"/>
      <c r="X315" s="4"/>
      <c r="Y315" s="4"/>
      <c r="Z315" s="4"/>
      <c r="AA315" s="4"/>
      <c r="AB315" s="4"/>
      <c r="AC315" s="4"/>
      <c r="AD315" s="4"/>
      <c r="AE315" s="52"/>
    </row>
    <row r="316" spans="1:31" x14ac:dyDescent="0.2">
      <c r="A316" s="7">
        <v>43576</v>
      </c>
      <c r="B316" s="13">
        <f ca="1">Prices!B315*(1+J316/(50*(ABS(O316)+ABS(T316)+0.0001)))</f>
        <v>1.1535899511107599</v>
      </c>
      <c r="C316" s="62">
        <f t="shared" ca="1" si="26"/>
        <v>0</v>
      </c>
      <c r="D316" s="13">
        <f ca="1">D315+C316*(Prices!B316-Prices!B315)/Prices!B315</f>
        <v>-6.0516701187651838E-2</v>
      </c>
      <c r="E316" s="13">
        <f t="shared" ca="1" si="30"/>
        <v>0.15918044813094881</v>
      </c>
      <c r="F316" s="13">
        <f t="shared" ca="1" si="28"/>
        <v>9.8663746943296979E-2</v>
      </c>
      <c r="G316" s="21">
        <f ca="1">IF((Prices!B316-Prices!B315)*C316&gt;0,1,0)</f>
        <v>0</v>
      </c>
      <c r="H316" s="13">
        <f>ABS(Prices!B316-Prices!B315)/Prices!B315</f>
        <v>8.4105003822954882E-3</v>
      </c>
      <c r="I316" s="21"/>
      <c r="J316" s="4">
        <f t="shared" ca="1" si="29"/>
        <v>-7.3581319491186056E-2</v>
      </c>
      <c r="K316" s="13"/>
      <c r="L316" s="13">
        <f ca="1">L315-O316*Prices!B316</f>
        <v>0.7092121010703426</v>
      </c>
      <c r="M316" s="4">
        <f t="shared" ca="1" si="25"/>
        <v>0.28305798685901029</v>
      </c>
      <c r="N316" s="13">
        <f ca="1">IF(Prices!B315&gt;OFFSET(Prices!B315,-$N$3,0),1,-1)</f>
        <v>-1</v>
      </c>
      <c r="O316" s="4">
        <f ca="1">IF(N316=1,O$3*L315/Prices!B315,-O$3*M315)</f>
        <v>-3.1450887428778926E-2</v>
      </c>
      <c r="P316" s="22"/>
      <c r="Q316" s="13">
        <f ca="1">Q315-T316*Prices!B316</f>
        <v>0.55022462085069668</v>
      </c>
      <c r="R316" s="4">
        <f t="shared" ca="1" si="24"/>
        <v>0.42598547974211654</v>
      </c>
      <c r="S316" s="13">
        <f ca="1">IF(Prices!B315&gt;OFFSET(Prices!B315,-S$3,0),1,-1)</f>
        <v>-1</v>
      </c>
      <c r="T316" s="4">
        <f ca="1">IF(S316=1,T$3*Q315/Prices!B315,-T$3*R315)</f>
        <v>-4.213043206240713E-2</v>
      </c>
      <c r="V316" s="13"/>
      <c r="W316" s="4"/>
      <c r="X316" s="4"/>
      <c r="Y316" s="4"/>
      <c r="Z316" s="4"/>
      <c r="AA316" s="4"/>
      <c r="AB316" s="4"/>
      <c r="AC316" s="4"/>
      <c r="AD316" s="4"/>
      <c r="AE316" s="52"/>
    </row>
    <row r="317" spans="1:31" x14ac:dyDescent="0.2">
      <c r="A317" s="7">
        <v>43583</v>
      </c>
      <c r="B317" s="13">
        <f ca="1">Prices!B316*(1+J317/(50*(ABS(O317)+ABS(T317)+0.0001)))</f>
        <v>1.192176487288082</v>
      </c>
      <c r="C317" s="62">
        <f t="shared" ca="1" si="26"/>
        <v>1</v>
      </c>
      <c r="D317" s="13">
        <f ca="1">D316+C317*(Prices!B317-Prices!B316)/Prices!B316</f>
        <v>-6.9615269005680602E-2</v>
      </c>
      <c r="E317" s="13">
        <f t="shared" ca="1" si="30"/>
        <v>0.16827901594897759</v>
      </c>
      <c r="F317" s="13">
        <f t="shared" ca="1" si="28"/>
        <v>9.8663746943296979E-2</v>
      </c>
      <c r="G317" s="21">
        <f ca="1">IF((Prices!B317-Prices!B316)*C317&gt;0,1,0)</f>
        <v>0</v>
      </c>
      <c r="H317" s="13">
        <f>ABS(Prices!B317-Prices!B316)/Prices!B316</f>
        <v>9.0985678180287629E-3</v>
      </c>
      <c r="I317" s="21"/>
      <c r="J317" s="4">
        <f t="shared" ca="1" si="29"/>
        <v>2.140958829501597E-2</v>
      </c>
      <c r="K317" s="13"/>
      <c r="L317" s="13">
        <f ca="1">L316-O317*Prices!B317</f>
        <v>0.63893617240320388</v>
      </c>
      <c r="M317" s="4">
        <f t="shared" ca="1" si="25"/>
        <v>0.34280626833081673</v>
      </c>
      <c r="N317" s="13">
        <f ca="1">IF(Prices!B316&gt;OFFSET(Prices!B316,-$N$3,0),1,-1)</f>
        <v>1</v>
      </c>
      <c r="O317" s="4">
        <f ca="1">IF(N317=1,O$3*L316/Prices!B316,-O$3*M316)</f>
        <v>5.9748281471806455E-2</v>
      </c>
      <c r="P317" s="22"/>
      <c r="Q317" s="13">
        <f ca="1">Q316-T317*Prices!B317</f>
        <v>0.5953185917652376</v>
      </c>
      <c r="R317" s="4">
        <f t="shared" ca="1" si="24"/>
        <v>0.38764678656532603</v>
      </c>
      <c r="S317" s="13">
        <f ca="1">IF(Prices!B316&gt;OFFSET(Prices!B316,-S$3,0),1,-1)</f>
        <v>-1</v>
      </c>
      <c r="T317" s="4">
        <f ca="1">IF(S317=1,T$3*Q316/Prices!B316,-T$3*R316)</f>
        <v>-3.8338693176790485E-2</v>
      </c>
      <c r="V317" s="13"/>
      <c r="W317" s="4"/>
      <c r="X317" s="4"/>
      <c r="Y317" s="4"/>
      <c r="Z317" s="4"/>
      <c r="AA317" s="4"/>
      <c r="AB317" s="4"/>
      <c r="AC317" s="4"/>
      <c r="AD317" s="4"/>
      <c r="AE317" s="52"/>
    </row>
    <row r="318" spans="1:31" x14ac:dyDescent="0.2">
      <c r="A318" s="7">
        <v>43590</v>
      </c>
      <c r="B318" s="13">
        <f ca="1">Prices!B317*(1+J318/(50*(ABS(O318)+ABS(T318)+0.0001)))</f>
        <v>1.152709960437055</v>
      </c>
      <c r="C318" s="62">
        <f t="shared" ca="1" si="26"/>
        <v>0</v>
      </c>
      <c r="D318" s="13">
        <f ca="1">D317+C318*(Prices!B318-Prices!B317)/Prices!B317</f>
        <v>-6.9615269005680602E-2</v>
      </c>
      <c r="E318" s="13">
        <f t="shared" ca="1" si="30"/>
        <v>0.16827901594897759</v>
      </c>
      <c r="F318" s="13">
        <f t="shared" ca="1" si="28"/>
        <v>9.8663746943296979E-2</v>
      </c>
      <c r="G318" s="21">
        <f ca="1">IF((Prices!B318-Prices!B317)*C318&gt;0,1,0)</f>
        <v>0</v>
      </c>
      <c r="H318" s="13">
        <f>ABS(Prices!B318-Prices!B317)/Prices!B317</f>
        <v>2.9756844074137552E-3</v>
      </c>
      <c r="I318" s="21"/>
      <c r="J318" s="4">
        <f t="shared" ca="1" si="29"/>
        <v>-6.9168837623961019E-2</v>
      </c>
      <c r="K318" s="13"/>
      <c r="L318" s="13">
        <f ca="1">L317-O318*Prices!B318</f>
        <v>0.67937702787819032</v>
      </c>
      <c r="M318" s="4">
        <f t="shared" ca="1" si="25"/>
        <v>0.30852564149773504</v>
      </c>
      <c r="N318" s="13">
        <f ca="1">IF(Prices!B317&gt;OFFSET(Prices!B317,-$N$3,0),1,-1)</f>
        <v>-1</v>
      </c>
      <c r="O318" s="4">
        <f ca="1">IF(N318=1,O$3*L317/Prices!B317,-O$3*M317)</f>
        <v>-3.4280626833081675E-2</v>
      </c>
      <c r="P318" s="22"/>
      <c r="Q318" s="13">
        <f ca="1">Q317-T318*Prices!B318</f>
        <v>0.63647621403523802</v>
      </c>
      <c r="R318" s="4">
        <f t="shared" ca="1" si="24"/>
        <v>0.35275857577444669</v>
      </c>
      <c r="S318" s="13">
        <f ca="1">IF(Prices!B317&gt;OFFSET(Prices!B317,-S$3,0),1,-1)</f>
        <v>-1</v>
      </c>
      <c r="T318" s="4">
        <f ca="1">IF(S318=1,T$3*Q317/Prices!B317,-T$3*R317)</f>
        <v>-3.4888210790879344E-2</v>
      </c>
      <c r="V318" s="13"/>
      <c r="W318" s="4"/>
      <c r="X318" s="4"/>
      <c r="Y318" s="4"/>
      <c r="Z318" s="4"/>
      <c r="AA318" s="4"/>
      <c r="AB318" s="4"/>
      <c r="AC318" s="4"/>
      <c r="AD318" s="4"/>
      <c r="AE318" s="52"/>
    </row>
    <row r="319" spans="1:31" x14ac:dyDescent="0.2">
      <c r="A319" s="7">
        <v>43597</v>
      </c>
      <c r="B319" s="13">
        <f ca="1">Prices!B318*(1+J319/(50*(ABS(O319)+ABS(T319)+0.0001)))</f>
        <v>1.1561436294823428</v>
      </c>
      <c r="C319" s="62">
        <f t="shared" ca="1" si="26"/>
        <v>0</v>
      </c>
      <c r="D319" s="13">
        <f ca="1">D318+C319*(Prices!B319-Prices!B318)/Prices!B318</f>
        <v>-6.9615269005680602E-2</v>
      </c>
      <c r="E319" s="13">
        <f t="shared" ca="1" si="30"/>
        <v>0.16827901594897759</v>
      </c>
      <c r="F319" s="13">
        <f t="shared" ca="1" si="28"/>
        <v>9.8663746943296979E-2</v>
      </c>
      <c r="G319" s="21">
        <f ca="1">IF((Prices!B319-Prices!B318)*C319&gt;0,1,0)</f>
        <v>0</v>
      </c>
      <c r="H319" s="13">
        <f>ABS(Prices!B319-Prices!B318)/Prices!B318</f>
        <v>8.3919640586589978E-3</v>
      </c>
      <c r="I319" s="21"/>
      <c r="J319" s="4">
        <f t="shared" ca="1" si="29"/>
        <v>-6.2600835969473703E-2</v>
      </c>
      <c r="K319" s="13"/>
      <c r="L319" s="13">
        <f ca="1">L318-O319*Prices!B319</f>
        <v>0.71546835742059534</v>
      </c>
      <c r="M319" s="4">
        <f t="shared" ca="1" si="25"/>
        <v>0.27767307734796154</v>
      </c>
      <c r="N319" s="13">
        <f ca="1">IF(Prices!B318&gt;OFFSET(Prices!B318,-$N$3,0),1,-1)</f>
        <v>-1</v>
      </c>
      <c r="O319" s="4">
        <f ca="1">IF(N319=1,O$3*L318/Prices!B318,-O$3*M318)</f>
        <v>-3.0852564149773505E-2</v>
      </c>
      <c r="P319" s="22"/>
      <c r="Q319" s="13">
        <f ca="1">Q318-T319*Prices!B319</f>
        <v>0.67361534240992327</v>
      </c>
      <c r="R319" s="4">
        <f t="shared" ca="1" si="24"/>
        <v>0.3210103039547465</v>
      </c>
      <c r="S319" s="13">
        <f ca="1">IF(Prices!B318&gt;OFFSET(Prices!B318,-S$3,0),1,-1)</f>
        <v>-1</v>
      </c>
      <c r="T319" s="4">
        <f ca="1">IF(S319=1,T$3*Q318/Prices!B318,-T$3*R318)</f>
        <v>-3.1748271819700198E-2</v>
      </c>
      <c r="V319" s="13"/>
      <c r="W319" s="4"/>
      <c r="X319" s="4"/>
      <c r="Y319" s="4"/>
      <c r="Z319" s="4"/>
      <c r="AA319" s="4"/>
      <c r="AB319" s="4"/>
      <c r="AC319" s="4"/>
      <c r="AD319" s="4"/>
      <c r="AE319" s="52"/>
    </row>
    <row r="320" spans="1:31" x14ac:dyDescent="0.2">
      <c r="A320" s="7">
        <v>43604</v>
      </c>
      <c r="B320" s="13">
        <f ca="1">Prices!B319*(1+J320/(50*(ABS(O320)+ABS(T320)+0.0001)))</f>
        <v>1.1464452204501472</v>
      </c>
      <c r="C320" s="62">
        <f t="shared" ca="1" si="26"/>
        <v>0</v>
      </c>
      <c r="D320" s="13">
        <f ca="1">D319+C320*(Prices!B320-Prices!B319)/Prices!B319</f>
        <v>-6.9615269005680602E-2</v>
      </c>
      <c r="E320" s="13">
        <f t="shared" ca="1" si="30"/>
        <v>0.16827901594897759</v>
      </c>
      <c r="F320" s="13">
        <f t="shared" ca="1" si="28"/>
        <v>9.8663746943296979E-2</v>
      </c>
      <c r="G320" s="21">
        <f ca="1">IF((Prices!B320-Prices!B319)*C320&gt;0,1,0)</f>
        <v>0</v>
      </c>
      <c r="H320" s="13">
        <f>ABS(Prices!B320-Prices!B319)/Prices!B319</f>
        <v>8.2920157291845129E-3</v>
      </c>
      <c r="I320" s="21"/>
      <c r="J320" s="4">
        <f t="shared" ca="1" si="29"/>
        <v>-5.665823509072334E-2</v>
      </c>
      <c r="K320" s="13"/>
      <c r="L320" s="13">
        <f ca="1">L319-O320*Prices!B320</f>
        <v>0.74821989689378743</v>
      </c>
      <c r="M320" s="4">
        <f t="shared" ca="1" si="25"/>
        <v>0.24990576961316538</v>
      </c>
      <c r="N320" s="13">
        <f ca="1">IF(Prices!B319&gt;OFFSET(Prices!B319,-$N$3,0),1,-1)</f>
        <v>-1</v>
      </c>
      <c r="O320" s="4">
        <f ca="1">IF(N320=1,O$3*L319/Prices!B319,-O$3*M319)</f>
        <v>-2.7767307734796156E-2</v>
      </c>
      <c r="P320" s="22"/>
      <c r="Q320" s="13">
        <f ca="1">Q319-T320*Prices!B320</f>
        <v>0.70769219122623939</v>
      </c>
      <c r="R320" s="4">
        <f t="shared" ca="1" si="24"/>
        <v>0.29211937659881931</v>
      </c>
      <c r="S320" s="13">
        <f ca="1">IF(Prices!B319&gt;OFFSET(Prices!B319,-S$3,0),1,-1)</f>
        <v>-1</v>
      </c>
      <c r="T320" s="4">
        <f ca="1">IF(S320=1,T$3*Q319/Prices!B319,-T$3*R319)</f>
        <v>-2.8890927355927184E-2</v>
      </c>
      <c r="V320" s="13"/>
      <c r="W320" s="4"/>
      <c r="X320" s="4"/>
      <c r="Y320" s="4"/>
      <c r="Z320" s="4"/>
      <c r="AA320" s="4"/>
      <c r="AB320" s="4"/>
      <c r="AC320" s="4"/>
      <c r="AD320" s="4"/>
      <c r="AE320" s="52"/>
    </row>
    <row r="321" spans="1:31" x14ac:dyDescent="0.2">
      <c r="A321" s="7">
        <v>43611</v>
      </c>
      <c r="B321" s="13">
        <f ca="1">Prices!B320*(1+J321/(50*(ABS(O321)+ABS(T321)+0.0001)))</f>
        <v>1.1559559116262628</v>
      </c>
      <c r="C321" s="62">
        <f t="shared" ca="1" si="26"/>
        <v>0</v>
      </c>
      <c r="D321" s="13">
        <f ca="1">D320+C321*(Prices!B321-Prices!B320)/Prices!B320</f>
        <v>-6.9615269005680602E-2</v>
      </c>
      <c r="E321" s="13">
        <f t="shared" ca="1" si="30"/>
        <v>0.16827901594897759</v>
      </c>
      <c r="F321" s="13">
        <f t="shared" ca="1" si="28"/>
        <v>9.8663746943296979E-2</v>
      </c>
      <c r="G321" s="21">
        <f ca="1">IF((Prices!B321-Prices!B320)*C321&gt;0,1,0)</f>
        <v>0</v>
      </c>
      <c r="H321" s="13">
        <f>ABS(Prices!B321-Prices!B320)/Prices!B320</f>
        <v>7.2064434082237828E-3</v>
      </c>
      <c r="I321" s="21"/>
      <c r="J321" s="4">
        <f t="shared" ca="1" si="29"/>
        <v>-5.1281320855210283E-2</v>
      </c>
      <c r="K321" s="13"/>
      <c r="L321" s="13">
        <f ca="1">L320-O321*Prices!B321</f>
        <v>0.77790870232383147</v>
      </c>
      <c r="M321" s="4">
        <f t="shared" ca="1" si="25"/>
        <v>0.22491519265184884</v>
      </c>
      <c r="N321" s="13">
        <f ca="1">IF(Prices!B320&gt;OFFSET(Prices!B320,-$N$3,0),1,-1)</f>
        <v>-1</v>
      </c>
      <c r="O321" s="4">
        <f ca="1">IF(N321=1,O$3*L320/Prices!B320,-O$3*M320)</f>
        <v>-2.4990576961316541E-2</v>
      </c>
      <c r="P321" s="22"/>
      <c r="Q321" s="13">
        <f ca="1">Q320-T321*Prices!B321</f>
        <v>0.73892559497218513</v>
      </c>
      <c r="R321" s="4">
        <f t="shared" ca="1" si="24"/>
        <v>0.26582863270492557</v>
      </c>
      <c r="S321" s="13">
        <f ca="1">IF(Prices!B320&gt;OFFSET(Prices!B320,-S$3,0),1,-1)</f>
        <v>-1</v>
      </c>
      <c r="T321" s="4">
        <f ca="1">IF(S321=1,T$3*Q320/Prices!B320,-T$3*R320)</f>
        <v>-2.6290743893893739E-2</v>
      </c>
      <c r="V321" s="13"/>
      <c r="W321" s="4"/>
      <c r="X321" s="4"/>
      <c r="Y321" s="4"/>
      <c r="Z321" s="4"/>
      <c r="AA321" s="4"/>
      <c r="AB321" s="4"/>
      <c r="AC321" s="4"/>
      <c r="AD321" s="4"/>
      <c r="AE321" s="52"/>
    </row>
    <row r="322" spans="1:31" x14ac:dyDescent="0.2">
      <c r="A322" s="7">
        <v>43618</v>
      </c>
      <c r="B322" s="13">
        <f ca="1">Prices!B321*(1+J322/(50*(ABS(O322)+ABS(T322)+0.0001)))</f>
        <v>1.1990314314421706</v>
      </c>
      <c r="C322" s="62">
        <f t="shared" ca="1" si="26"/>
        <v>1</v>
      </c>
      <c r="D322" s="13">
        <f ca="1">D321+C322*(Prices!B322-Prices!B321)/Prices!B321</f>
        <v>-7.517082456123611E-2</v>
      </c>
      <c r="E322" s="13">
        <f t="shared" ca="1" si="30"/>
        <v>0.17383457150453308</v>
      </c>
      <c r="F322" s="13">
        <f t="shared" ca="1" si="28"/>
        <v>9.8663746943296979E-2</v>
      </c>
      <c r="G322" s="21">
        <f ca="1">IF((Prices!B322-Prices!B321)*C322&gt;0,1,0)</f>
        <v>0</v>
      </c>
      <c r="H322" s="13">
        <f>ABS(Prices!B322-Prices!B321)/Prices!B321</f>
        <v>5.5555555555555046E-3</v>
      </c>
      <c r="I322" s="21"/>
      <c r="J322" s="4">
        <f t="shared" ca="1" si="29"/>
        <v>4.1555953555195715E-2</v>
      </c>
      <c r="K322" s="13"/>
      <c r="L322" s="13">
        <f ca="1">L321-O322*Prices!B322</f>
        <v>0.70055000359273933</v>
      </c>
      <c r="M322" s="4">
        <f t="shared" ca="1" si="25"/>
        <v>0.29039572315048784</v>
      </c>
      <c r="N322" s="13">
        <f ca="1">IF(Prices!B321&gt;OFFSET(Prices!B321,-$N$3,0),1,-1)</f>
        <v>1</v>
      </c>
      <c r="O322" s="4">
        <f ca="1">IF(N322=1,O$3*L321/Prices!B321,-O$3*M321)</f>
        <v>6.5480530498639014E-2</v>
      </c>
      <c r="P322" s="22"/>
      <c r="Q322" s="13">
        <f ca="1">Q321-T322*Prices!B322</f>
        <v>0.76719009017316908</v>
      </c>
      <c r="R322" s="4">
        <f t="shared" ca="1" si="24"/>
        <v>0.24190405576148227</v>
      </c>
      <c r="S322" s="13">
        <f ca="1">IF(Prices!B321&gt;OFFSET(Prices!B321,-S$3,0),1,-1)</f>
        <v>-1</v>
      </c>
      <c r="T322" s="4">
        <f ca="1">IF(S322=1,T$3*Q321/Prices!B321,-T$3*R321)</f>
        <v>-2.3924576943443302E-2</v>
      </c>
      <c r="V322" s="13"/>
      <c r="W322" s="4"/>
      <c r="X322" s="4"/>
      <c r="Y322" s="4"/>
      <c r="Z322" s="4"/>
      <c r="AA322" s="4"/>
      <c r="AB322" s="4"/>
      <c r="AC322" s="4"/>
      <c r="AD322" s="4"/>
      <c r="AE322" s="52"/>
    </row>
    <row r="323" spans="1:31" x14ac:dyDescent="0.2">
      <c r="A323" s="7">
        <v>43625</v>
      </c>
      <c r="B323" s="13">
        <f ca="1">Prices!B322*(1+J323/(50*(ABS(O323)+ABS(T323)+0.0001)))</f>
        <v>1.192323862978218</v>
      </c>
      <c r="C323" s="62">
        <f t="shared" ca="1" si="26"/>
        <v>1</v>
      </c>
      <c r="D323" s="13">
        <f ca="1">D322+C323*(Prices!B323-Prices!B322)/Prices!B322</f>
        <v>-8.2704259468972807E-2</v>
      </c>
      <c r="E323" s="13">
        <f t="shared" ca="1" si="30"/>
        <v>0.1813680064122698</v>
      </c>
      <c r="F323" s="13">
        <f t="shared" ca="1" si="28"/>
        <v>9.8663746943296979E-2</v>
      </c>
      <c r="G323" s="21">
        <f ca="1">IF((Prices!B323-Prices!B322)*C323&gt;0,1,0)</f>
        <v>0</v>
      </c>
      <c r="H323" s="13">
        <f>ABS(Prices!B323-Prices!B322)/Prices!B322</f>
        <v>7.5334349077366934E-3</v>
      </c>
      <c r="I323" s="21"/>
      <c r="J323" s="4">
        <f t="shared" ca="1" si="29"/>
        <v>3.7526925449787175E-2</v>
      </c>
      <c r="K323" s="13"/>
      <c r="L323" s="13">
        <f ca="1">L322-O323*Prices!B323</f>
        <v>0.6310227580186335</v>
      </c>
      <c r="M323" s="4">
        <f t="shared" ca="1" si="25"/>
        <v>0.34969401361880842</v>
      </c>
      <c r="N323" s="13">
        <f ca="1">IF(Prices!B322&gt;OFFSET(Prices!B322,-$N$3,0),1,-1)</f>
        <v>1</v>
      </c>
      <c r="O323" s="4">
        <f ca="1">IF(N323=1,O$3*L322/Prices!B322,-O$3*M322)</f>
        <v>5.929829046832058E-2</v>
      </c>
      <c r="P323" s="22"/>
      <c r="Q323" s="13">
        <f ca="1">Q322-T323*Prices!B323</f>
        <v>0.79271701565739949</v>
      </c>
      <c r="R323" s="4">
        <f t="shared" ca="1" si="24"/>
        <v>0.22013269074294886</v>
      </c>
      <c r="S323" s="13">
        <f ca="1">IF(Prices!B322&gt;OFFSET(Prices!B322,-S$3,0),1,-1)</f>
        <v>-1</v>
      </c>
      <c r="T323" s="4">
        <f ca="1">IF(S323=1,T$3*Q322/Prices!B322,-T$3*R322)</f>
        <v>-2.1771365018533405E-2</v>
      </c>
      <c r="V323" s="13"/>
      <c r="W323" s="4"/>
      <c r="X323" s="4"/>
      <c r="Y323" s="4"/>
      <c r="Z323" s="4"/>
      <c r="AA323" s="4"/>
      <c r="AB323" s="4"/>
      <c r="AC323" s="4"/>
      <c r="AD323" s="4"/>
      <c r="AE323" s="52"/>
    </row>
    <row r="324" spans="1:31" x14ac:dyDescent="0.2">
      <c r="A324" s="7">
        <v>43632</v>
      </c>
      <c r="B324" s="13">
        <f ca="1">Prices!B323*(1+J324/(50*(ABS(O324)+ABS(T324)+0.0001)))</f>
        <v>1.1833158132357939</v>
      </c>
      <c r="C324" s="62">
        <f t="shared" ca="1" si="26"/>
        <v>1</v>
      </c>
      <c r="D324" s="13">
        <f ca="1">D323+C324*(Prices!B324-Prices!B323)/Prices!B323</f>
        <v>-8.3130698701382136E-2</v>
      </c>
      <c r="E324" s="13">
        <f t="shared" ca="1" si="30"/>
        <v>0.18179444564467911</v>
      </c>
      <c r="F324" s="13">
        <f t="shared" ca="1" si="28"/>
        <v>9.8663746943296979E-2</v>
      </c>
      <c r="G324" s="21">
        <f ca="1">IF((Prices!B324-Prices!B323)*C324&gt;0,1,0)</f>
        <v>0</v>
      </c>
      <c r="H324" s="13">
        <f>ABS(Prices!B324-Prices!B323)/Prices!B323</f>
        <v>4.2643923240933475E-4</v>
      </c>
      <c r="I324" s="21"/>
      <c r="J324" s="4">
        <f t="shared" ca="1" si="29"/>
        <v>3.4006629945598027E-2</v>
      </c>
      <c r="K324" s="13"/>
      <c r="L324" s="13">
        <f ca="1">L323-O324*Prices!B324</f>
        <v>0.56794739150282636</v>
      </c>
      <c r="M324" s="4">
        <f t="shared" ca="1" si="25"/>
        <v>0.40351258573127186</v>
      </c>
      <c r="N324" s="13">
        <f ca="1">IF(Prices!B323&gt;OFFSET(Prices!B323,-$N$3,0),1,-1)</f>
        <v>1</v>
      </c>
      <c r="O324" s="4">
        <f ca="1">IF(N324=1,O$3*L323/Prices!B323,-O$3*M323)</f>
        <v>5.3818572112463423E-2</v>
      </c>
      <c r="P324" s="22"/>
      <c r="Q324" s="13">
        <f ca="1">Q323-T324*Prices!B324</f>
        <v>0.81593661187696576</v>
      </c>
      <c r="R324" s="4">
        <f t="shared" ca="1" si="24"/>
        <v>0.20032074857608345</v>
      </c>
      <c r="S324" s="13">
        <f ca="1">IF(Prices!B323&gt;OFFSET(Prices!B323,-S$3,0),1,-1)</f>
        <v>-1</v>
      </c>
      <c r="T324" s="4">
        <f ca="1">IF(S324=1,T$3*Q323/Prices!B323,-T$3*R323)</f>
        <v>-1.9811942166865396E-2</v>
      </c>
      <c r="V324" s="13"/>
      <c r="W324" s="4"/>
      <c r="X324" s="4"/>
      <c r="Y324" s="4"/>
      <c r="Z324" s="4"/>
      <c r="AA324" s="4"/>
      <c r="AB324" s="4"/>
      <c r="AC324" s="4"/>
      <c r="AD324" s="4"/>
      <c r="AE324" s="52"/>
    </row>
    <row r="325" spans="1:31" x14ac:dyDescent="0.2">
      <c r="A325" s="7">
        <v>43639</v>
      </c>
      <c r="B325" s="13">
        <f ca="1">Prices!B324*(1+J325/(50*(ABS(O325)+ABS(T325)+0.0001)))</f>
        <v>1.1486000819930211</v>
      </c>
      <c r="C325" s="62">
        <f t="shared" ca="1" si="26"/>
        <v>0</v>
      </c>
      <c r="D325" s="13">
        <f ca="1">D324+C325*(Prices!B325-Prices!B324)/Prices!B324</f>
        <v>-8.3130698701382136E-2</v>
      </c>
      <c r="E325" s="13">
        <f t="shared" ca="1" si="30"/>
        <v>0.18179444564467911</v>
      </c>
      <c r="F325" s="13">
        <f t="shared" ca="1" si="28"/>
        <v>9.8663746943296979E-2</v>
      </c>
      <c r="G325" s="21">
        <f ca="1">IF((Prices!B325-Prices!B324)*C325&gt;0,1,0)</f>
        <v>0</v>
      </c>
      <c r="H325" s="13">
        <f>ABS(Prices!B325-Prices!B324)/Prices!B324</f>
        <v>1.0580204778156969E-2</v>
      </c>
      <c r="I325" s="21"/>
      <c r="J325" s="4">
        <f t="shared" ca="1" si="29"/>
        <v>-5.8380125944974701E-2</v>
      </c>
      <c r="K325" s="13"/>
      <c r="L325" s="13">
        <f ca="1">L324-O325*Prices!B325</f>
        <v>0.61473871094422461</v>
      </c>
      <c r="M325" s="4">
        <f t="shared" ca="1" si="25"/>
        <v>0.36316132715814464</v>
      </c>
      <c r="N325" s="13">
        <f ca="1">IF(Prices!B324&gt;OFFSET(Prices!B324,-$N$3,0),1,-1)</f>
        <v>-1</v>
      </c>
      <c r="O325" s="4">
        <f ca="1">IF(N325=1,O$3*L324/Prices!B324,-O$3*M324)</f>
        <v>-4.0351258573127186E-2</v>
      </c>
      <c r="P325" s="22"/>
      <c r="Q325" s="13">
        <f ca="1">Q324-T325*Prices!B325</f>
        <v>0.83684288648136018</v>
      </c>
      <c r="R325" s="4">
        <f t="shared" ref="R325:R388" ca="1" si="32">R324+T325</f>
        <v>0.18229188120423595</v>
      </c>
      <c r="S325" s="13">
        <f ca="1">IF(Prices!B324&gt;OFFSET(Prices!B324,-S$3,0),1,-1)</f>
        <v>-1</v>
      </c>
      <c r="T325" s="4">
        <f ca="1">IF(S325=1,T$3*Q324/Prices!B324,-T$3*R324)</f>
        <v>-1.8028867371847512E-2</v>
      </c>
      <c r="V325" s="13"/>
      <c r="W325" s="4"/>
      <c r="X325" s="4"/>
      <c r="Y325" s="4"/>
      <c r="Z325" s="4"/>
      <c r="AA325" s="4"/>
      <c r="AB325" s="4"/>
      <c r="AC325" s="4"/>
      <c r="AD325" s="4"/>
      <c r="AE325" s="52"/>
    </row>
    <row r="326" spans="1:31" x14ac:dyDescent="0.2">
      <c r="A326" s="7">
        <v>43646</v>
      </c>
      <c r="B326" s="13">
        <f ca="1">Prices!B325*(1+J326/(50*(ABS(O326)+ABS(T326)+0.0001)))</f>
        <v>1.1364519056141167</v>
      </c>
      <c r="C326" s="62">
        <f t="shared" ca="1" si="26"/>
        <v>0</v>
      </c>
      <c r="D326" s="13">
        <f ca="1">D325+C326*(Prices!B326-Prices!B325)/Prices!B325</f>
        <v>-8.3130698701382136E-2</v>
      </c>
      <c r="E326" s="13">
        <f t="shared" ca="1" si="30"/>
        <v>0.18179444564467911</v>
      </c>
      <c r="F326" s="13">
        <f t="shared" ca="1" si="28"/>
        <v>9.8663746943296979E-2</v>
      </c>
      <c r="G326" s="21">
        <f ca="1">IF((Prices!B326-Prices!B325)*C326&gt;0,1,0)</f>
        <v>0</v>
      </c>
      <c r="H326" s="13">
        <f>ABS(Prices!B326-Prices!B325)/Prices!B325</f>
        <v>2.3283890996894834E-3</v>
      </c>
      <c r="I326" s="21"/>
      <c r="J326" s="4">
        <f t="shared" ca="1" si="29"/>
        <v>-5.2722402024195703E-2</v>
      </c>
      <c r="K326" s="13"/>
      <c r="L326" s="13">
        <f ca="1">L325-O326*Prices!B326</f>
        <v>0.65675284488315033</v>
      </c>
      <c r="M326" s="4">
        <f t="shared" ca="1" si="25"/>
        <v>0.32684519444233018</v>
      </c>
      <c r="N326" s="13">
        <f ca="1">IF(Prices!B325&gt;OFFSET(Prices!B325,-$N$3,0),1,-1)</f>
        <v>-1</v>
      </c>
      <c r="O326" s="4">
        <f ca="1">IF(N326=1,O$3*L325/Prices!B325,-O$3*M325)</f>
        <v>-3.6316132715814464E-2</v>
      </c>
      <c r="P326" s="22"/>
      <c r="Q326" s="13">
        <f ca="1">Q325-T326*Prices!B326</f>
        <v>0.85582329944422642</v>
      </c>
      <c r="R326" s="4">
        <f t="shared" ca="1" si="32"/>
        <v>0.16588561189585471</v>
      </c>
      <c r="S326" s="13">
        <f ca="1">IF(Prices!B325&gt;OFFSET(Prices!B325,-S$3,0),1,-1)</f>
        <v>-1</v>
      </c>
      <c r="T326" s="4">
        <f ca="1">IF(S326=1,T$3*Q325/Prices!B325,-T$3*R325)</f>
        <v>-1.6406269308381235E-2</v>
      </c>
      <c r="V326" s="13"/>
      <c r="W326" s="4"/>
      <c r="X326" s="4"/>
      <c r="Y326" s="4"/>
      <c r="Z326" s="4"/>
      <c r="AA326" s="4"/>
      <c r="AB326" s="4"/>
      <c r="AC326" s="4"/>
      <c r="AD326" s="4"/>
      <c r="AE326" s="52"/>
    </row>
    <row r="327" spans="1:31" x14ac:dyDescent="0.2">
      <c r="A327" s="7">
        <v>43653</v>
      </c>
      <c r="B327" s="13">
        <f ca="1">Prices!B326*(1+J327/(50*(ABS(O327)+ABS(T327)+0.0001)))</f>
        <v>1.1338104928765693</v>
      </c>
      <c r="C327" s="62">
        <f t="shared" ca="1" si="26"/>
        <v>0</v>
      </c>
      <c r="D327" s="13">
        <f ca="1">D326+C327*(Prices!B327-Prices!B326)/Prices!B326</f>
        <v>-8.3130698701382136E-2</v>
      </c>
      <c r="E327" s="13">
        <f t="shared" ca="1" si="30"/>
        <v>0.18179444564467911</v>
      </c>
      <c r="F327" s="13">
        <f t="shared" ca="1" si="28"/>
        <v>9.8663746943296979E-2</v>
      </c>
      <c r="G327" s="21">
        <f ca="1">IF((Prices!B327-Prices!B326)*C327&gt;0,1,0)</f>
        <v>0</v>
      </c>
      <c r="H327" s="13">
        <f>ABS(Prices!B327-Prices!B326)/Prices!B326</f>
        <v>2.7660126199324656E-3</v>
      </c>
      <c r="I327" s="21"/>
      <c r="J327" s="4">
        <f t="shared" ca="1" si="29"/>
        <v>-4.7614224514859943E-2</v>
      </c>
      <c r="K327" s="13"/>
      <c r="L327" s="13">
        <f ca="1">L326-O327*Prices!B327</f>
        <v>0.69467015589040504</v>
      </c>
      <c r="M327" s="4">
        <f t="shared" ca="1" si="25"/>
        <v>0.29416067499809717</v>
      </c>
      <c r="N327" s="13">
        <f ca="1">IF(Prices!B326&gt;OFFSET(Prices!B326,-$N$3,0),1,-1)</f>
        <v>-1</v>
      </c>
      <c r="O327" s="4">
        <f ca="1">IF(N327=1,O$3*L326/Prices!B326,-O$3*M326)</f>
        <v>-3.2684519444233021E-2</v>
      </c>
      <c r="P327" s="22"/>
      <c r="Q327" s="13">
        <f ca="1">Q326-T327*Prices!B327</f>
        <v>0.87314325029666073</v>
      </c>
      <c r="R327" s="4">
        <f t="shared" ca="1" si="32"/>
        <v>0.15095590682522778</v>
      </c>
      <c r="S327" s="13">
        <f ca="1">IF(Prices!B326&gt;OFFSET(Prices!B326,-S$3,0),1,-1)</f>
        <v>-1</v>
      </c>
      <c r="T327" s="4">
        <f ca="1">IF(S327=1,T$3*Q326/Prices!B326,-T$3*R326)</f>
        <v>-1.4929705070626924E-2</v>
      </c>
      <c r="V327" s="13"/>
      <c r="W327" s="4"/>
      <c r="X327" s="4"/>
      <c r="Y327" s="4"/>
      <c r="Z327" s="4"/>
      <c r="AA327" s="4"/>
      <c r="AB327" s="4"/>
      <c r="AC327" s="4"/>
      <c r="AD327" s="4"/>
      <c r="AE327" s="52"/>
    </row>
    <row r="328" spans="1:31" x14ac:dyDescent="0.2">
      <c r="A328" s="7">
        <v>43660</v>
      </c>
      <c r="B328" s="13">
        <f ca="1">Prices!B327*(1+J328/(50*(ABS(O328)+ABS(T328)+0.0001)))</f>
        <v>1.1369518303249189</v>
      </c>
      <c r="C328" s="62">
        <f t="shared" ca="1" si="26"/>
        <v>0</v>
      </c>
      <c r="D328" s="13">
        <f ca="1">D327+C328*(Prices!B328-Prices!B327)/Prices!B327</f>
        <v>-8.3130698701382136E-2</v>
      </c>
      <c r="E328" s="13">
        <f t="shared" ca="1" si="30"/>
        <v>0.18179444564467911</v>
      </c>
      <c r="F328" s="13">
        <f t="shared" ca="1" si="28"/>
        <v>9.8663746943296979E-2</v>
      </c>
      <c r="G328" s="21">
        <f ca="1">IF((Prices!B328-Prices!B327)*C328&gt;0,1,0)</f>
        <v>0</v>
      </c>
      <c r="H328" s="13">
        <f>ABS(Prices!B328-Prices!B327)/Prices!B327</f>
        <v>3.6203775536591517E-3</v>
      </c>
      <c r="I328" s="21"/>
      <c r="J328" s="4">
        <f t="shared" ca="1" si="29"/>
        <v>-4.3002099114080219E-2</v>
      </c>
      <c r="K328" s="13"/>
      <c r="L328" s="13">
        <f ca="1">L327-O328*Prices!B328</f>
        <v>0.72891928328043354</v>
      </c>
      <c r="M328" s="4">
        <f t="shared" ca="1" si="25"/>
        <v>0.26474460749828743</v>
      </c>
      <c r="N328" s="13">
        <f ca="1">IF(Prices!B327&gt;OFFSET(Prices!B327,-$N$3,0),1,-1)</f>
        <v>-1</v>
      </c>
      <c r="O328" s="4">
        <f ca="1">IF(N328=1,O$3*L327/Prices!B327,-O$3*M327)</f>
        <v>-2.9416067499809719E-2</v>
      </c>
      <c r="P328" s="22"/>
      <c r="Q328" s="13">
        <f ca="1">Q327-T328*Prices!B328</f>
        <v>0.88896146690515587</v>
      </c>
      <c r="R328" s="4">
        <f t="shared" ca="1" si="32"/>
        <v>0.13736987521095728</v>
      </c>
      <c r="S328" s="13">
        <f ca="1">IF(Prices!B327&gt;OFFSET(Prices!B327,-S$3,0),1,-1)</f>
        <v>-1</v>
      </c>
      <c r="T328" s="4">
        <f ca="1">IF(S328=1,T$3*Q327/Prices!B327,-T$3*R327)</f>
        <v>-1.3586031614270499E-2</v>
      </c>
      <c r="V328" s="13"/>
      <c r="W328" s="4"/>
      <c r="X328" s="4"/>
      <c r="Y328" s="4"/>
      <c r="Z328" s="4"/>
      <c r="AA328" s="4"/>
      <c r="AB328" s="4"/>
      <c r="AC328" s="4"/>
      <c r="AD328" s="4"/>
      <c r="AE328" s="52"/>
    </row>
    <row r="329" spans="1:31" x14ac:dyDescent="0.2">
      <c r="A329" s="7">
        <v>43667</v>
      </c>
      <c r="B329" s="13">
        <f ca="1">Prices!B328*(1+J329/(50*(ABS(O329)+ABS(T329)+0.0001)))</f>
        <v>1.1410738031480703</v>
      </c>
      <c r="C329" s="62">
        <f t="shared" ca="1" si="26"/>
        <v>0</v>
      </c>
      <c r="D329" s="13">
        <f ca="1">D328+C329*(Prices!B329-Prices!B328)/Prices!B328</f>
        <v>-8.3130698701382136E-2</v>
      </c>
      <c r="E329" s="13">
        <f t="shared" ca="1" si="30"/>
        <v>0.18179444564467911</v>
      </c>
      <c r="F329" s="13">
        <f t="shared" ca="1" si="28"/>
        <v>9.8663746943296979E-2</v>
      </c>
      <c r="G329" s="21">
        <f ca="1">IF((Prices!B329-Prices!B328)*C329&gt;0,1,0)</f>
        <v>0</v>
      </c>
      <c r="H329" s="13">
        <f>ABS(Prices!B329-Prices!B328)/Prices!B328</f>
        <v>7.3005239199518618E-3</v>
      </c>
      <c r="I329" s="21"/>
      <c r="J329" s="4">
        <f t="shared" ca="1" si="29"/>
        <v>-3.8837749518814899E-2</v>
      </c>
      <c r="K329" s="13"/>
      <c r="L329" s="13">
        <f ca="1">L328-O329*Prices!B329</f>
        <v>0.75951846501508558</v>
      </c>
      <c r="M329" s="4">
        <f t="shared" ref="M329:M392" ca="1" si="33">M328+O329</f>
        <v>0.2382701467484587</v>
      </c>
      <c r="N329" s="13">
        <f ca="1">IF(Prices!B328&gt;OFFSET(Prices!B328,-$N$3,0),1,-1)</f>
        <v>-1</v>
      </c>
      <c r="O329" s="4">
        <f ca="1">IF(N329=1,O$3*L328/Prices!B328,-O$3*M328)</f>
        <v>-2.6474460749828746E-2</v>
      </c>
      <c r="P329" s="22"/>
      <c r="Q329" s="13">
        <f ca="1">Q328-T329*Prices!B329</f>
        <v>0.90325095606435002</v>
      </c>
      <c r="R329" s="4">
        <f t="shared" ca="1" si="32"/>
        <v>0.12500658644197113</v>
      </c>
      <c r="S329" s="13">
        <f ca="1">IF(Prices!B328&gt;OFFSET(Prices!B328,-S$3,0),1,-1)</f>
        <v>-1</v>
      </c>
      <c r="T329" s="4">
        <f ca="1">IF(S329=1,T$3*Q328/Prices!B328,-T$3*R328)</f>
        <v>-1.2363288768986154E-2</v>
      </c>
      <c r="V329" s="13"/>
      <c r="W329" s="4"/>
      <c r="X329" s="4"/>
      <c r="Y329" s="4"/>
      <c r="Z329" s="4"/>
      <c r="AA329" s="4"/>
      <c r="AB329" s="4"/>
      <c r="AC329" s="4"/>
      <c r="AD329" s="4"/>
      <c r="AE329" s="52"/>
    </row>
    <row r="330" spans="1:31" x14ac:dyDescent="0.2">
      <c r="A330" s="7">
        <v>43674</v>
      </c>
      <c r="B330" s="13">
        <f ca="1">Prices!B329*(1+J330/(50*(ABS(O330)+ABS(T330)+0.0001)))</f>
        <v>1.1327497122575201</v>
      </c>
      <c r="C330" s="62">
        <f t="shared" ca="1" si="26"/>
        <v>0</v>
      </c>
      <c r="D330" s="13">
        <f ca="1">D329+C330*(Prices!B330-Prices!B329)/Prices!B329</f>
        <v>-8.3130698701382136E-2</v>
      </c>
      <c r="E330" s="13">
        <f t="shared" ca="1" si="30"/>
        <v>0.18179444564467911</v>
      </c>
      <c r="F330" s="13">
        <f t="shared" ca="1" si="28"/>
        <v>9.8663746943296979E-2</v>
      </c>
      <c r="G330" s="21">
        <f ca="1">IF((Prices!B330-Prices!B329)*C330&gt;0,1,0)</f>
        <v>0</v>
      </c>
      <c r="H330" s="13">
        <f>ABS(Prices!B330-Prices!B329)/Prices!B329</f>
        <v>1</v>
      </c>
      <c r="I330" s="21"/>
      <c r="J330" s="4">
        <f t="shared" ca="1" si="29"/>
        <v>-3.5077607454623273E-2</v>
      </c>
      <c r="K330" s="13"/>
      <c r="L330" s="13">
        <f ca="1">L329-O330*Prices!B330</f>
        <v>0.75951846501508558</v>
      </c>
      <c r="M330" s="4">
        <f t="shared" ca="1" si="33"/>
        <v>0.21444313207361282</v>
      </c>
      <c r="N330" s="13">
        <f ca="1">IF(Prices!B329&gt;OFFSET(Prices!B329,-$N$3,0),1,-1)</f>
        <v>-1</v>
      </c>
      <c r="O330" s="4">
        <f ca="1">IF(N330=1,O$3*L329/Prices!B329,-O$3*M329)</f>
        <v>-2.3827014674845871E-2</v>
      </c>
      <c r="P330" s="22"/>
      <c r="Q330" s="13">
        <f ca="1">Q329-T330*Prices!B330</f>
        <v>0.90325095606435002</v>
      </c>
      <c r="R330" s="4">
        <f t="shared" ca="1" si="32"/>
        <v>0.11375599366219373</v>
      </c>
      <c r="S330" s="13">
        <f ca="1">IF(Prices!B329&gt;OFFSET(Prices!B329,-S$3,0),1,-1)</f>
        <v>-1</v>
      </c>
      <c r="T330" s="4">
        <f ca="1">IF(S330=1,T$3*Q329/Prices!B329,-T$3*R329)</f>
        <v>-1.1250592779777401E-2</v>
      </c>
      <c r="V330" s="13"/>
      <c r="W330" s="4"/>
      <c r="X330" s="4"/>
      <c r="Y330" s="4"/>
      <c r="Z330" s="4"/>
      <c r="AA330" s="4"/>
      <c r="AB330" s="4"/>
      <c r="AC330" s="4"/>
      <c r="AD330" s="4"/>
      <c r="AE330" s="52"/>
    </row>
    <row r="331" spans="1:31" x14ac:dyDescent="0.2">
      <c r="A331" s="7">
        <v>43681</v>
      </c>
      <c r="B331" s="13">
        <f ca="1">Prices!B330*(1+J331/(50*(ABS(O331)+ABS(T331)+0.0001)))</f>
        <v>0</v>
      </c>
      <c r="C331" s="62">
        <f t="shared" ca="1" si="26"/>
        <v>0</v>
      </c>
      <c r="D331" s="13" t="e">
        <f ca="1">D330+C331*(Prices!B331-Prices!B330)/Prices!B330</f>
        <v>#DIV/0!</v>
      </c>
      <c r="E331" s="13" t="e">
        <f t="shared" ca="1" si="30"/>
        <v>#DIV/0!</v>
      </c>
      <c r="F331" s="13" t="e">
        <f t="shared" ca="1" si="28"/>
        <v>#DIV/0!</v>
      </c>
      <c r="G331" s="21">
        <f ca="1">IF((Prices!B331-Prices!B330)*C331&gt;0,1,0)</f>
        <v>0</v>
      </c>
      <c r="H331" s="13" t="e">
        <f>ABS(Prices!B331-Prices!B330)/Prices!B330</f>
        <v>#DIV/0!</v>
      </c>
      <c r="I331" s="21"/>
      <c r="J331" s="4">
        <f t="shared" ca="1" si="29"/>
        <v>-3.1682352636958719E-2</v>
      </c>
      <c r="K331" s="13"/>
      <c r="L331" s="13">
        <f ca="1">L330-O331*Prices!B331</f>
        <v>0.75951846501508558</v>
      </c>
      <c r="M331" s="4">
        <f t="shared" ca="1" si="33"/>
        <v>0.19299881886625153</v>
      </c>
      <c r="N331" s="13">
        <f ca="1">IF(Prices!B330&gt;OFFSET(Prices!B330,-$N$3,0),1,-1)</f>
        <v>-1</v>
      </c>
      <c r="O331" s="4">
        <f ca="1">IF(N331=1,O$3*L330/Prices!B330,-O$3*M330)</f>
        <v>-2.1444313207361284E-2</v>
      </c>
      <c r="P331" s="22"/>
      <c r="Q331" s="13">
        <f ca="1">Q330-T331*Prices!B331</f>
        <v>0.90325095606435002</v>
      </c>
      <c r="R331" s="4">
        <f t="shared" ca="1" si="32"/>
        <v>0.1035179542325963</v>
      </c>
      <c r="S331" s="13">
        <f ca="1">IF(Prices!B330&gt;OFFSET(Prices!B330,-S$3,0),1,-1)</f>
        <v>-1</v>
      </c>
      <c r="T331" s="4">
        <f ca="1">IF(S331=1,T$3*Q330/Prices!B330,-T$3*R330)</f>
        <v>-1.0238039429597435E-2</v>
      </c>
      <c r="V331" s="13"/>
      <c r="W331" s="4"/>
      <c r="X331" s="4"/>
      <c r="Y331" s="4"/>
      <c r="Z331" s="4"/>
      <c r="AA331" s="4"/>
      <c r="AB331" s="4"/>
      <c r="AC331" s="4"/>
      <c r="AD331" s="4"/>
      <c r="AE331" s="52"/>
    </row>
    <row r="332" spans="1:31" x14ac:dyDescent="0.2">
      <c r="A332" s="7">
        <v>43688</v>
      </c>
      <c r="B332" s="13">
        <f ca="1">Prices!B331*(1+J332/(50*(ABS(O332)+ABS(T332)+0.0001)))</f>
        <v>0</v>
      </c>
      <c r="C332" s="62">
        <f t="shared" ca="1" si="26"/>
        <v>0</v>
      </c>
      <c r="D332" s="13" t="e">
        <f ca="1">D331+C332*(Prices!B332-Prices!B331)/Prices!B331</f>
        <v>#DIV/0!</v>
      </c>
      <c r="E332" s="13" t="e">
        <f t="shared" ca="1" si="30"/>
        <v>#DIV/0!</v>
      </c>
      <c r="F332" s="13" t="e">
        <f t="shared" ca="1" si="28"/>
        <v>#DIV/0!</v>
      </c>
      <c r="G332" s="21">
        <f ca="1">IF((Prices!B332-Prices!B331)*C332&gt;0,1,0)</f>
        <v>0</v>
      </c>
      <c r="H332" s="13" t="e">
        <f>ABS(Prices!B332-Prices!B331)/Prices!B331</f>
        <v>#DIV/0!</v>
      </c>
      <c r="I332" s="21"/>
      <c r="J332" s="4">
        <f t="shared" ca="1" si="29"/>
        <v>-2.861649776755882E-2</v>
      </c>
      <c r="K332" s="13"/>
      <c r="L332" s="13">
        <f ca="1">L331-O332*Prices!B332</f>
        <v>0.75951846501508558</v>
      </c>
      <c r="M332" s="4">
        <f t="shared" ca="1" si="33"/>
        <v>0.17369893697962638</v>
      </c>
      <c r="N332" s="13">
        <f ca="1">IF(Prices!B331&gt;OFFSET(Prices!B331,-$N$3,0),1,-1)</f>
        <v>-1</v>
      </c>
      <c r="O332" s="4">
        <f ca="1">IF(N332=1,O$3*L331/Prices!B331,-O$3*M331)</f>
        <v>-1.9299881886625153E-2</v>
      </c>
      <c r="P332" s="22"/>
      <c r="Q332" s="13">
        <f ca="1">Q331-T332*Prices!B332</f>
        <v>0.90325095606435002</v>
      </c>
      <c r="R332" s="4">
        <f t="shared" ca="1" si="32"/>
        <v>9.4201338351662639E-2</v>
      </c>
      <c r="S332" s="13">
        <f ca="1">IF(Prices!B331&gt;OFFSET(Prices!B331,-S$3,0),1,-1)</f>
        <v>-1</v>
      </c>
      <c r="T332" s="4">
        <f ca="1">IF(S332=1,T$3*Q331/Prices!B331,-T$3*R331)</f>
        <v>-9.3166158809336666E-3</v>
      </c>
      <c r="V332" s="13"/>
      <c r="W332" s="4"/>
      <c r="X332" s="4"/>
      <c r="Y332" s="4"/>
      <c r="Z332" s="4"/>
      <c r="AA332" s="4"/>
      <c r="AB332" s="4"/>
      <c r="AC332" s="4"/>
      <c r="AD332" s="4"/>
      <c r="AE332" s="52"/>
    </row>
    <row r="333" spans="1:31" x14ac:dyDescent="0.2">
      <c r="A333" s="7">
        <v>43695</v>
      </c>
      <c r="B333" s="13">
        <f ca="1">Prices!B332*(1+J333/(50*(ABS(O333)+ABS(T333)+0.0001)))</f>
        <v>0</v>
      </c>
      <c r="C333" s="62">
        <f t="shared" ca="1" si="26"/>
        <v>0</v>
      </c>
      <c r="D333" s="13" t="e">
        <f ca="1">D332+C333*(Prices!B333-Prices!B332)/Prices!B332</f>
        <v>#DIV/0!</v>
      </c>
      <c r="E333" s="13" t="e">
        <f t="shared" ca="1" si="30"/>
        <v>#DIV/0!</v>
      </c>
      <c r="F333" s="13" t="e">
        <f t="shared" ca="1" si="28"/>
        <v>#DIV/0!</v>
      </c>
      <c r="G333" s="21">
        <f ca="1">IF((Prices!B333-Prices!B332)*C333&gt;0,1,0)</f>
        <v>0</v>
      </c>
      <c r="H333" s="13" t="e">
        <f>ABS(Prices!B333-Prices!B332)/Prices!B332</f>
        <v>#DIV/0!</v>
      </c>
      <c r="I333" s="21"/>
      <c r="J333" s="4">
        <f t="shared" ca="1" si="29"/>
        <v>-2.5848014149612276E-2</v>
      </c>
      <c r="K333" s="13"/>
      <c r="L333" s="13">
        <f ca="1">L332-O333*Prices!B333</f>
        <v>0.75951846501508558</v>
      </c>
      <c r="M333" s="4">
        <f t="shared" ca="1" si="33"/>
        <v>0.15632904328166375</v>
      </c>
      <c r="N333" s="13">
        <f ca="1">IF(Prices!B332&gt;OFFSET(Prices!B332,-$N$3,0),1,-1)</f>
        <v>-1</v>
      </c>
      <c r="O333" s="4">
        <f ca="1">IF(N333=1,O$3*L332/Prices!B332,-O$3*M332)</f>
        <v>-1.736989369796264E-2</v>
      </c>
      <c r="P333" s="22"/>
      <c r="Q333" s="13">
        <f ca="1">Q332-T333*Prices!B333</f>
        <v>0.90325095606435002</v>
      </c>
      <c r="R333" s="4">
        <f t="shared" ca="1" si="32"/>
        <v>8.5723217900012999E-2</v>
      </c>
      <c r="S333" s="13">
        <f ca="1">IF(Prices!B332&gt;OFFSET(Prices!B332,-S$3,0),1,-1)</f>
        <v>-1</v>
      </c>
      <c r="T333" s="4">
        <f ca="1">IF(S333=1,T$3*Q332/Prices!B332,-T$3*R332)</f>
        <v>-8.4781204516496365E-3</v>
      </c>
      <c r="V333" s="13"/>
      <c r="W333" s="4"/>
      <c r="X333" s="4"/>
      <c r="Y333" s="4"/>
      <c r="Z333" s="4"/>
      <c r="AA333" s="4"/>
      <c r="AB333" s="4"/>
      <c r="AC333" s="4"/>
      <c r="AD333" s="4"/>
      <c r="AE333" s="52"/>
    </row>
    <row r="334" spans="1:31" x14ac:dyDescent="0.2">
      <c r="A334" s="7">
        <v>43702</v>
      </c>
      <c r="B334" s="13">
        <f ca="1">Prices!B333*(1+J334/(50*(ABS(O334)+ABS(T334)+0.0001)))</f>
        <v>0</v>
      </c>
      <c r="C334" s="62">
        <f t="shared" ca="1" si="26"/>
        <v>0</v>
      </c>
      <c r="D334" s="13" t="e">
        <f ca="1">D333+C334*(Prices!B334-Prices!B333)/Prices!B333</f>
        <v>#DIV/0!</v>
      </c>
      <c r="E334" s="13" t="e">
        <f t="shared" ca="1" si="30"/>
        <v>#DIV/0!</v>
      </c>
      <c r="F334" s="13" t="e">
        <f t="shared" ca="1" si="28"/>
        <v>#DIV/0!</v>
      </c>
      <c r="G334" s="21">
        <f ca="1">IF((Prices!B334-Prices!B333)*C334&gt;0,1,0)</f>
        <v>0</v>
      </c>
      <c r="H334" s="13" t="e">
        <f>ABS(Prices!B334-Prices!B333)/Prices!B333</f>
        <v>#DIV/0!</v>
      </c>
      <c r="I334" s="21"/>
      <c r="J334" s="4">
        <f t="shared" ca="1" si="29"/>
        <v>-2.3347993939167547E-2</v>
      </c>
      <c r="K334" s="13"/>
      <c r="L334" s="13">
        <f ca="1">L333-O334*Prices!B334</f>
        <v>0.75951846501508558</v>
      </c>
      <c r="M334" s="4">
        <f t="shared" ca="1" si="33"/>
        <v>0.14069613895349736</v>
      </c>
      <c r="N334" s="13">
        <f ca="1">IF(Prices!B333&gt;OFFSET(Prices!B333,-$N$3,0),1,-1)</f>
        <v>-1</v>
      </c>
      <c r="O334" s="4">
        <f ca="1">IF(N334=1,O$3*L333/Prices!B333,-O$3*M333)</f>
        <v>-1.5632904328166376E-2</v>
      </c>
      <c r="P334" s="22"/>
      <c r="Q334" s="13">
        <f ca="1">Q333-T334*Prices!B334</f>
        <v>0.90325095606435002</v>
      </c>
      <c r="R334" s="4">
        <f t="shared" ca="1" si="32"/>
        <v>7.8008128289011824E-2</v>
      </c>
      <c r="S334" s="13">
        <f ca="1">IF(Prices!B333&gt;OFFSET(Prices!B333,-S$3,0),1,-1)</f>
        <v>-1</v>
      </c>
      <c r="T334" s="4">
        <f ca="1">IF(S334=1,T$3*Q333/Prices!B333,-T$3*R333)</f>
        <v>-7.7150896110011694E-3</v>
      </c>
      <c r="V334" s="13"/>
      <c r="W334" s="4"/>
      <c r="X334" s="4"/>
      <c r="Y334" s="4"/>
      <c r="Z334" s="4"/>
      <c r="AA334" s="4"/>
      <c r="AB334" s="4"/>
      <c r="AC334" s="4"/>
      <c r="AD334" s="4"/>
      <c r="AE334" s="52"/>
    </row>
    <row r="335" spans="1:31" x14ac:dyDescent="0.2">
      <c r="A335" s="7">
        <v>43709</v>
      </c>
      <c r="B335" s="13">
        <f ca="1">Prices!B334*(1+J335/(50*(ABS(O335)+ABS(T335)+0.0001)))</f>
        <v>0</v>
      </c>
      <c r="C335" s="62">
        <f t="shared" ca="1" si="26"/>
        <v>0</v>
      </c>
      <c r="D335" s="13" t="e">
        <f ca="1">D334+C335*(Prices!B335-Prices!B334)/Prices!B334</f>
        <v>#DIV/0!</v>
      </c>
      <c r="E335" s="13" t="e">
        <f t="shared" ca="1" si="30"/>
        <v>#DIV/0!</v>
      </c>
      <c r="F335" s="13" t="e">
        <f t="shared" ca="1" si="28"/>
        <v>#DIV/0!</v>
      </c>
      <c r="G335" s="21">
        <f ca="1">IF((Prices!B335-Prices!B334)*C335&gt;0,1,0)</f>
        <v>0</v>
      </c>
      <c r="H335" s="13" t="e">
        <f>ABS(Prices!B335-Prices!B334)/Prices!B334</f>
        <v>#DIV/0!</v>
      </c>
      <c r="I335" s="21"/>
      <c r="J335" s="4">
        <f t="shared" ca="1" si="29"/>
        <v>-2.1090345441360802E-2</v>
      </c>
      <c r="K335" s="13"/>
      <c r="L335" s="13">
        <f ca="1">L334-O335*Prices!B335</f>
        <v>0.75951846501508558</v>
      </c>
      <c r="M335" s="4">
        <f t="shared" ca="1" si="33"/>
        <v>0.12662652505814762</v>
      </c>
      <c r="N335" s="13">
        <f ca="1">IF(Prices!B334&gt;OFFSET(Prices!B334,-$N$3,0),1,-1)</f>
        <v>-1</v>
      </c>
      <c r="O335" s="4">
        <f ca="1">IF(N335=1,O$3*L334/Prices!B334,-O$3*M334)</f>
        <v>-1.4069613895349737E-2</v>
      </c>
      <c r="P335" s="22"/>
      <c r="Q335" s="13">
        <f ca="1">Q334-T335*Prices!B335</f>
        <v>0.90325095606435002</v>
      </c>
      <c r="R335" s="4">
        <f t="shared" ca="1" si="32"/>
        <v>7.0987396743000766E-2</v>
      </c>
      <c r="S335" s="13">
        <f ca="1">IF(Prices!B334&gt;OFFSET(Prices!B334,-S$3,0),1,-1)</f>
        <v>-1</v>
      </c>
      <c r="T335" s="4">
        <f ca="1">IF(S335=1,T$3*Q334/Prices!B334,-T$3*R334)</f>
        <v>-7.0207315460110642E-3</v>
      </c>
      <c r="V335" s="13"/>
      <c r="W335" s="4"/>
      <c r="X335" s="4"/>
      <c r="Y335" s="4"/>
      <c r="Z335" s="4"/>
      <c r="AA335" s="4"/>
      <c r="AB335" s="4"/>
      <c r="AC335" s="4"/>
      <c r="AD335" s="4"/>
      <c r="AE335" s="52"/>
    </row>
    <row r="336" spans="1:31" x14ac:dyDescent="0.2">
      <c r="A336" s="7">
        <v>43716</v>
      </c>
      <c r="B336" s="13">
        <f ca="1">Prices!B335*(1+J336/(50*(ABS(O336)+ABS(T336)+0.0001)))</f>
        <v>0</v>
      </c>
      <c r="C336" s="62">
        <f t="shared" ca="1" si="26"/>
        <v>0</v>
      </c>
      <c r="D336" s="13" t="e">
        <f ca="1">D335+C336*(Prices!B336-Prices!B335)/Prices!B335</f>
        <v>#DIV/0!</v>
      </c>
      <c r="E336" s="13" t="e">
        <f t="shared" ca="1" si="30"/>
        <v>#DIV/0!</v>
      </c>
      <c r="F336" s="13" t="e">
        <f t="shared" ca="1" si="28"/>
        <v>#DIV/0!</v>
      </c>
      <c r="G336" s="21">
        <f ca="1">IF((Prices!B336-Prices!B335)*C336&gt;0,1,0)</f>
        <v>0</v>
      </c>
      <c r="H336" s="13" t="e">
        <f>ABS(Prices!B336-Prices!B335)/Prices!B335</f>
        <v>#DIV/0!</v>
      </c>
      <c r="I336" s="21"/>
      <c r="J336" s="4">
        <f t="shared" ca="1" si="29"/>
        <v>-1.9051518212684831E-2</v>
      </c>
      <c r="K336" s="13"/>
      <c r="L336" s="13">
        <f ca="1">L335-O336*Prices!B336</f>
        <v>0.75951846501508558</v>
      </c>
      <c r="M336" s="4">
        <f t="shared" ca="1" si="33"/>
        <v>0.11396387255233285</v>
      </c>
      <c r="N336" s="13">
        <f ca="1">IF(Prices!B335&gt;OFFSET(Prices!B335,-$N$3,0),1,-1)</f>
        <v>-1</v>
      </c>
      <c r="O336" s="4">
        <f ca="1">IF(N336=1,O$3*L335/Prices!B335,-O$3*M335)</f>
        <v>-1.2662652505814762E-2</v>
      </c>
      <c r="P336" s="22"/>
      <c r="Q336" s="13">
        <f ca="1">Q335-T336*Prices!B336</f>
        <v>0.90325095606435002</v>
      </c>
      <c r="R336" s="4">
        <f t="shared" ca="1" si="32"/>
        <v>6.4598531036130696E-2</v>
      </c>
      <c r="S336" s="13">
        <f ca="1">IF(Prices!B335&gt;OFFSET(Prices!B335,-S$3,0),1,-1)</f>
        <v>-1</v>
      </c>
      <c r="T336" s="4">
        <f ca="1">IF(S336=1,T$3*Q335/Prices!B335,-T$3*R335)</f>
        <v>-6.3888657068700691E-3</v>
      </c>
      <c r="V336" s="13"/>
      <c r="W336" s="4"/>
      <c r="X336" s="4"/>
      <c r="Y336" s="4"/>
      <c r="Z336" s="4"/>
      <c r="AA336" s="4"/>
      <c r="AB336" s="4"/>
      <c r="AC336" s="4"/>
      <c r="AD336" s="4"/>
      <c r="AE336" s="52"/>
    </row>
    <row r="337" spans="1:31" x14ac:dyDescent="0.2">
      <c r="A337" s="7">
        <v>43723</v>
      </c>
      <c r="B337" s="13">
        <f ca="1">Prices!B336*(1+J337/(50*(ABS(O337)+ABS(T337)+0.0001)))</f>
        <v>0</v>
      </c>
      <c r="C337" s="62">
        <f t="shared" ref="C337:C400" ca="1" si="34">IF(J337&gt;0,1,IF(J337&lt;0,0,0))</f>
        <v>0</v>
      </c>
      <c r="D337" s="13" t="e">
        <f ca="1">D336+C337*(Prices!B337-Prices!B336)/Prices!B336</f>
        <v>#DIV/0!</v>
      </c>
      <c r="E337" s="13" t="e">
        <f t="shared" ca="1" si="30"/>
        <v>#DIV/0!</v>
      </c>
      <c r="F337" s="13" t="e">
        <f t="shared" ref="F337:F400" ca="1" si="35">MAX(F336,D337)</f>
        <v>#DIV/0!</v>
      </c>
      <c r="G337" s="21">
        <f ca="1">IF((Prices!B337-Prices!B336)*C337&gt;0,1,0)</f>
        <v>0</v>
      </c>
      <c r="H337" s="13" t="e">
        <f>ABS(Prices!B337-Prices!B336)/Prices!B336</f>
        <v>#DIV/0!</v>
      </c>
      <c r="I337" s="21"/>
      <c r="J337" s="4">
        <f t="shared" ref="J337:J400" ca="1" si="36">O337+T337</f>
        <v>-1.721025504848505E-2</v>
      </c>
      <c r="K337" s="13"/>
      <c r="L337" s="13">
        <f ca="1">L336-O337*Prices!B337</f>
        <v>0.75951846501508558</v>
      </c>
      <c r="M337" s="4">
        <f t="shared" ca="1" si="33"/>
        <v>0.10256748529709957</v>
      </c>
      <c r="N337" s="13">
        <f ca="1">IF(Prices!B336&gt;OFFSET(Prices!B336,-$N$3,0),1,-1)</f>
        <v>-1</v>
      </c>
      <c r="O337" s="4">
        <f ca="1">IF(N337=1,O$3*L336/Prices!B336,-O$3*M336)</f>
        <v>-1.1396387255233287E-2</v>
      </c>
      <c r="P337" s="22"/>
      <c r="Q337" s="13">
        <f ca="1">Q336-T337*Prices!B337</f>
        <v>0.90325095606435002</v>
      </c>
      <c r="R337" s="4">
        <f t="shared" ca="1" si="32"/>
        <v>5.8784663242878933E-2</v>
      </c>
      <c r="S337" s="13">
        <f ca="1">IF(Prices!B336&gt;OFFSET(Prices!B336,-S$3,0),1,-1)</f>
        <v>-1</v>
      </c>
      <c r="T337" s="4">
        <f ca="1">IF(S337=1,T$3*Q336/Prices!B336,-T$3*R336)</f>
        <v>-5.8138677932517624E-3</v>
      </c>
      <c r="V337" s="13"/>
      <c r="W337" s="4"/>
      <c r="X337" s="4"/>
      <c r="Y337" s="4"/>
      <c r="Z337" s="4"/>
      <c r="AA337" s="4"/>
      <c r="AB337" s="4"/>
      <c r="AC337" s="4"/>
      <c r="AD337" s="4"/>
      <c r="AE337" s="52"/>
    </row>
    <row r="338" spans="1:31" x14ac:dyDescent="0.2">
      <c r="A338" s="7">
        <v>43730</v>
      </c>
      <c r="B338" s="13">
        <f ca="1">Prices!B337*(1+J338/(50*(ABS(O338)+ABS(T338)+0.0001)))</f>
        <v>0</v>
      </c>
      <c r="C338" s="62">
        <f t="shared" ca="1" si="34"/>
        <v>0</v>
      </c>
      <c r="D338" s="13" t="e">
        <f ca="1">D337+C338*(Prices!B338-Prices!B337)/Prices!B337</f>
        <v>#DIV/0!</v>
      </c>
      <c r="E338" s="13" t="e">
        <f t="shared" ca="1" si="30"/>
        <v>#DIV/0!</v>
      </c>
      <c r="F338" s="13" t="e">
        <f t="shared" ca="1" si="35"/>
        <v>#DIV/0!</v>
      </c>
      <c r="G338" s="21">
        <f ca="1">IF((Prices!B338-Prices!B337)*C338&gt;0,1,0)</f>
        <v>0</v>
      </c>
      <c r="H338" s="13" t="e">
        <f>ABS(Prices!B338-Prices!B337)/Prices!B337</f>
        <v>#DIV/0!</v>
      </c>
      <c r="I338" s="21"/>
      <c r="J338" s="4">
        <f t="shared" ca="1" si="36"/>
        <v>-1.5547368221569061E-2</v>
      </c>
      <c r="K338" s="13"/>
      <c r="L338" s="13">
        <f ca="1">L337-O338*Prices!B338</f>
        <v>0.75951846501508558</v>
      </c>
      <c r="M338" s="4">
        <f t="shared" ca="1" si="33"/>
        <v>9.2310736767389615E-2</v>
      </c>
      <c r="N338" s="13">
        <f ca="1">IF(Prices!B337&gt;OFFSET(Prices!B337,-$N$3,0),1,-1)</f>
        <v>-1</v>
      </c>
      <c r="O338" s="4">
        <f ca="1">IF(N338=1,O$3*L337/Prices!B337,-O$3*M337)</f>
        <v>-1.0256748529709958E-2</v>
      </c>
      <c r="P338" s="22"/>
      <c r="Q338" s="13">
        <f ca="1">Q337-T338*Prices!B338</f>
        <v>0.90325095606435002</v>
      </c>
      <c r="R338" s="4">
        <f t="shared" ca="1" si="32"/>
        <v>5.3494043551019832E-2</v>
      </c>
      <c r="S338" s="13">
        <f ca="1">IF(Prices!B337&gt;OFFSET(Prices!B337,-S$3,0),1,-1)</f>
        <v>-1</v>
      </c>
      <c r="T338" s="4">
        <f ca="1">IF(S338=1,T$3*Q337/Prices!B337,-T$3*R337)</f>
        <v>-5.2906196918591037E-3</v>
      </c>
      <c r="V338" s="13"/>
      <c r="W338" s="4"/>
      <c r="X338" s="4"/>
      <c r="Y338" s="4"/>
      <c r="Z338" s="4"/>
      <c r="AA338" s="4"/>
      <c r="AB338" s="4"/>
      <c r="AC338" s="4"/>
      <c r="AD338" s="4"/>
      <c r="AE338" s="52"/>
    </row>
    <row r="339" spans="1:31" x14ac:dyDescent="0.2">
      <c r="A339" s="7">
        <v>43737</v>
      </c>
      <c r="B339" s="13">
        <f ca="1">Prices!B338*(1+J339/(50*(ABS(O339)+ABS(T339)+0.0001)))</f>
        <v>0</v>
      </c>
      <c r="C339" s="62">
        <f t="shared" ca="1" si="34"/>
        <v>0</v>
      </c>
      <c r="D339" s="13" t="e">
        <f ca="1">D338+C339*(Prices!B339-Prices!B338)/Prices!B338</f>
        <v>#DIV/0!</v>
      </c>
      <c r="E339" s="13" t="e">
        <f t="shared" ca="1" si="30"/>
        <v>#DIV/0!</v>
      </c>
      <c r="F339" s="13" t="e">
        <f t="shared" ca="1" si="35"/>
        <v>#DIV/0!</v>
      </c>
      <c r="G339" s="21">
        <f ca="1">IF((Prices!B339-Prices!B338)*C339&gt;0,1,0)</f>
        <v>0</v>
      </c>
      <c r="H339" s="13" t="e">
        <f>ABS(Prices!B339-Prices!B338)/Prices!B338</f>
        <v>#DIV/0!</v>
      </c>
      <c r="I339" s="21"/>
      <c r="J339" s="4">
        <f t="shared" ca="1" si="36"/>
        <v>-1.4045537596330746E-2</v>
      </c>
      <c r="K339" s="13"/>
      <c r="L339" s="13">
        <f ca="1">L338-O339*Prices!B339</f>
        <v>0.75951846501508558</v>
      </c>
      <c r="M339" s="4">
        <f t="shared" ca="1" si="33"/>
        <v>8.3079663090650652E-2</v>
      </c>
      <c r="N339" s="13">
        <f ca="1">IF(Prices!B338&gt;OFFSET(Prices!B338,-$N$3,0),1,-1)</f>
        <v>-1</v>
      </c>
      <c r="O339" s="4">
        <f ca="1">IF(N339=1,O$3*L338/Prices!B338,-O$3*M338)</f>
        <v>-9.2310736767389611E-3</v>
      </c>
      <c r="P339" s="22"/>
      <c r="Q339" s="13">
        <f ca="1">Q338-T339*Prices!B339</f>
        <v>0.90325095606435002</v>
      </c>
      <c r="R339" s="4">
        <f t="shared" ca="1" si="32"/>
        <v>4.8679579631428049E-2</v>
      </c>
      <c r="S339" s="13">
        <f ca="1">IF(Prices!B338&gt;OFFSET(Prices!B338,-S$3,0),1,-1)</f>
        <v>-1</v>
      </c>
      <c r="T339" s="4">
        <f ca="1">IF(S339=1,T$3*Q338/Prices!B338,-T$3*R338)</f>
        <v>-4.8144639195917844E-3</v>
      </c>
      <c r="V339" s="13"/>
      <c r="W339" s="4"/>
      <c r="X339" s="4"/>
      <c r="Y339" s="4"/>
      <c r="Z339" s="4"/>
      <c r="AA339" s="4"/>
      <c r="AB339" s="4"/>
      <c r="AC339" s="4"/>
      <c r="AD339" s="4"/>
      <c r="AE339" s="52"/>
    </row>
    <row r="340" spans="1:31" x14ac:dyDescent="0.2">
      <c r="A340" s="7">
        <v>43744</v>
      </c>
      <c r="B340" s="13">
        <f ca="1">Prices!B339*(1+J340/(50*(ABS(O340)+ABS(T340)+0.0001)))</f>
        <v>0</v>
      </c>
      <c r="C340" s="62">
        <f t="shared" ca="1" si="34"/>
        <v>0</v>
      </c>
      <c r="D340" s="13" t="e">
        <f ca="1">D339+C340*(Prices!B340-Prices!B339)/Prices!B339</f>
        <v>#DIV/0!</v>
      </c>
      <c r="E340" s="13" t="e">
        <f t="shared" ref="E340:E403" ca="1" si="37">F340-D340</f>
        <v>#DIV/0!</v>
      </c>
      <c r="F340" s="13" t="e">
        <f t="shared" ca="1" si="35"/>
        <v>#DIV/0!</v>
      </c>
      <c r="G340" s="21">
        <f ca="1">IF((Prices!B340-Prices!B339)*C340&gt;0,1,0)</f>
        <v>0</v>
      </c>
      <c r="H340" s="13" t="e">
        <f>ABS(Prices!B340-Prices!B339)/Prices!B339</f>
        <v>#DIV/0!</v>
      </c>
      <c r="I340" s="21"/>
      <c r="J340" s="4">
        <f t="shared" ca="1" si="36"/>
        <v>-1.2689128475893589E-2</v>
      </c>
      <c r="K340" s="13"/>
      <c r="L340" s="13">
        <f ca="1">L339-O340*Prices!B340</f>
        <v>0.75951846501508558</v>
      </c>
      <c r="M340" s="4">
        <f t="shared" ca="1" si="33"/>
        <v>7.4771696781585587E-2</v>
      </c>
      <c r="N340" s="13">
        <f ca="1">IF(Prices!B339&gt;OFFSET(Prices!B339,-$N$3,0),1,-1)</f>
        <v>-1</v>
      </c>
      <c r="O340" s="4">
        <f ca="1">IF(N340=1,O$3*L339/Prices!B339,-O$3*M339)</f>
        <v>-8.3079663090650652E-3</v>
      </c>
      <c r="P340" s="22"/>
      <c r="Q340" s="13">
        <f ca="1">Q339-T340*Prices!B340</f>
        <v>0.90325095606435002</v>
      </c>
      <c r="R340" s="4">
        <f t="shared" ca="1" si="32"/>
        <v>4.4298417464599525E-2</v>
      </c>
      <c r="S340" s="13">
        <f ca="1">IF(Prices!B339&gt;OFFSET(Prices!B339,-S$3,0),1,-1)</f>
        <v>-1</v>
      </c>
      <c r="T340" s="4">
        <f ca="1">IF(S340=1,T$3*Q339/Prices!B339,-T$3*R339)</f>
        <v>-4.3811621668285242E-3</v>
      </c>
      <c r="V340" s="13"/>
      <c r="W340" s="4"/>
      <c r="X340" s="4"/>
      <c r="Y340" s="4"/>
      <c r="Z340" s="4"/>
      <c r="AA340" s="4"/>
      <c r="AB340" s="4"/>
      <c r="AC340" s="4"/>
      <c r="AD340" s="4"/>
      <c r="AE340" s="52"/>
    </row>
    <row r="341" spans="1:31" x14ac:dyDescent="0.2">
      <c r="A341" s="7">
        <v>43751</v>
      </c>
      <c r="B341" s="13">
        <f ca="1">Prices!B340*(1+J341/(50*(ABS(O341)+ABS(T341)+0.0001)))</f>
        <v>0</v>
      </c>
      <c r="C341" s="62">
        <f t="shared" ca="1" si="34"/>
        <v>0</v>
      </c>
      <c r="D341" s="13" t="e">
        <f ca="1">D340+C341*(Prices!B341-Prices!B340)/Prices!B340</f>
        <v>#DIV/0!</v>
      </c>
      <c r="E341" s="13" t="e">
        <f t="shared" ca="1" si="37"/>
        <v>#DIV/0!</v>
      </c>
      <c r="F341" s="13" t="e">
        <f t="shared" ca="1" si="35"/>
        <v>#DIV/0!</v>
      </c>
      <c r="G341" s="21">
        <f ca="1">IF((Prices!B341-Prices!B340)*C341&gt;0,1,0)</f>
        <v>0</v>
      </c>
      <c r="H341" s="13" t="e">
        <f>ABS(Prices!B341-Prices!B340)/Prices!B340</f>
        <v>#DIV/0!</v>
      </c>
      <c r="I341" s="21"/>
      <c r="J341" s="4">
        <f t="shared" ca="1" si="36"/>
        <v>-1.1464027249972517E-2</v>
      </c>
      <c r="K341" s="13"/>
      <c r="L341" s="13">
        <f ca="1">L340-O341*Prices!B341</f>
        <v>0.75951846501508558</v>
      </c>
      <c r="M341" s="4">
        <f t="shared" ca="1" si="33"/>
        <v>6.7294527103427024E-2</v>
      </c>
      <c r="N341" s="13">
        <f ca="1">IF(Prices!B340&gt;OFFSET(Prices!B340,-$N$3,0),1,-1)</f>
        <v>-1</v>
      </c>
      <c r="O341" s="4">
        <f ca="1">IF(N341=1,O$3*L340/Prices!B340,-O$3*M340)</f>
        <v>-7.4771696781585593E-3</v>
      </c>
      <c r="P341" s="22"/>
      <c r="Q341" s="13">
        <f ca="1">Q340-T341*Prices!B341</f>
        <v>0.90325095606435002</v>
      </c>
      <c r="R341" s="4">
        <f t="shared" ca="1" si="32"/>
        <v>4.0311559892785565E-2</v>
      </c>
      <c r="S341" s="13">
        <f ca="1">IF(Prices!B340&gt;OFFSET(Prices!B340,-S$3,0),1,-1)</f>
        <v>-1</v>
      </c>
      <c r="T341" s="4">
        <f ca="1">IF(S341=1,T$3*Q340/Prices!B340,-T$3*R340)</f>
        <v>-3.9868575718139572E-3</v>
      </c>
      <c r="V341" s="13"/>
      <c r="W341" s="4"/>
      <c r="X341" s="4"/>
      <c r="Y341" s="4"/>
      <c r="Z341" s="4"/>
      <c r="AA341" s="4"/>
      <c r="AB341" s="4"/>
      <c r="AC341" s="4"/>
      <c r="AD341" s="4"/>
      <c r="AE341" s="52"/>
    </row>
    <row r="342" spans="1:31" x14ac:dyDescent="0.2">
      <c r="A342" s="7">
        <v>43758</v>
      </c>
      <c r="B342" s="13">
        <f ca="1">Prices!B341*(1+J342/(50*(ABS(O342)+ABS(T342)+0.0001)))</f>
        <v>0</v>
      </c>
      <c r="C342" s="62">
        <f t="shared" ca="1" si="34"/>
        <v>0</v>
      </c>
      <c r="D342" s="13" t="e">
        <f ca="1">D341+C342*(Prices!B342-Prices!B341)/Prices!B341</f>
        <v>#DIV/0!</v>
      </c>
      <c r="E342" s="13" t="e">
        <f t="shared" ca="1" si="37"/>
        <v>#DIV/0!</v>
      </c>
      <c r="F342" s="13" t="e">
        <f t="shared" ca="1" si="35"/>
        <v>#DIV/0!</v>
      </c>
      <c r="G342" s="21">
        <f ca="1">IF((Prices!B342-Prices!B341)*C342&gt;0,1,0)</f>
        <v>0</v>
      </c>
      <c r="H342" s="13" t="e">
        <f>ABS(Prices!B342-Prices!B341)/Prices!B341</f>
        <v>#DIV/0!</v>
      </c>
      <c r="I342" s="21"/>
      <c r="J342" s="4">
        <f t="shared" ca="1" si="36"/>
        <v>-1.0357493100693404E-2</v>
      </c>
      <c r="K342" s="13"/>
      <c r="L342" s="13">
        <f ca="1">L341-O342*Prices!B342</f>
        <v>0.75951846501508558</v>
      </c>
      <c r="M342" s="4">
        <f t="shared" ca="1" si="33"/>
        <v>6.0565074393084319E-2</v>
      </c>
      <c r="N342" s="13">
        <f ca="1">IF(Prices!B341&gt;OFFSET(Prices!B341,-$N$3,0),1,-1)</f>
        <v>-1</v>
      </c>
      <c r="O342" s="4">
        <f ca="1">IF(N342=1,O$3*L341/Prices!B341,-O$3*M341)</f>
        <v>-6.7294527103427025E-3</v>
      </c>
      <c r="P342" s="22"/>
      <c r="Q342" s="13">
        <f ca="1">Q341-T342*Prices!B342</f>
        <v>0.90325095606435002</v>
      </c>
      <c r="R342" s="4">
        <f t="shared" ca="1" si="32"/>
        <v>3.6683519502434862E-2</v>
      </c>
      <c r="S342" s="13">
        <f ca="1">IF(Prices!B341&gt;OFFSET(Prices!B341,-S$3,0),1,-1)</f>
        <v>-1</v>
      </c>
      <c r="T342" s="4">
        <f ca="1">IF(S342=1,T$3*Q341/Prices!B341,-T$3*R341)</f>
        <v>-3.6280403903507005E-3</v>
      </c>
      <c r="V342" s="13"/>
      <c r="W342" s="4"/>
      <c r="X342" s="4"/>
      <c r="Y342" s="4"/>
      <c r="Z342" s="4"/>
      <c r="AA342" s="4"/>
      <c r="AB342" s="4"/>
      <c r="AC342" s="4"/>
      <c r="AD342" s="4"/>
      <c r="AE342" s="52"/>
    </row>
    <row r="343" spans="1:31" x14ac:dyDescent="0.2">
      <c r="A343" s="7">
        <v>43765</v>
      </c>
      <c r="B343" s="13">
        <f ca="1">Prices!B342*(1+J343/(50*(ABS(O343)+ABS(T343)+0.0001)))</f>
        <v>0</v>
      </c>
      <c r="C343" s="62">
        <f t="shared" ca="1" si="34"/>
        <v>0</v>
      </c>
      <c r="D343" s="13" t="e">
        <f ca="1">D342+C343*(Prices!B343-Prices!B342)/Prices!B342</f>
        <v>#DIV/0!</v>
      </c>
      <c r="E343" s="13" t="e">
        <f t="shared" ca="1" si="37"/>
        <v>#DIV/0!</v>
      </c>
      <c r="F343" s="13" t="e">
        <f t="shared" ca="1" si="35"/>
        <v>#DIV/0!</v>
      </c>
      <c r="G343" s="21">
        <f ca="1">IF((Prices!B343-Prices!B342)*C343&gt;0,1,0)</f>
        <v>0</v>
      </c>
      <c r="H343" s="13" t="e">
        <f>ABS(Prices!B343-Prices!B342)/Prices!B342</f>
        <v>#DIV/0!</v>
      </c>
      <c r="I343" s="21"/>
      <c r="J343" s="4">
        <f t="shared" ca="1" si="36"/>
        <v>-9.3580241945275706E-3</v>
      </c>
      <c r="K343" s="13"/>
      <c r="L343" s="13">
        <f ca="1">L342-O343*Prices!B343</f>
        <v>0.75951846501508558</v>
      </c>
      <c r="M343" s="4">
        <f t="shared" ca="1" si="33"/>
        <v>5.4508566953775886E-2</v>
      </c>
      <c r="N343" s="13">
        <f ca="1">IF(Prices!B342&gt;OFFSET(Prices!B342,-$N$3,0),1,-1)</f>
        <v>-1</v>
      </c>
      <c r="O343" s="4">
        <f ca="1">IF(N343=1,O$3*L342/Prices!B342,-O$3*M342)</f>
        <v>-6.0565074393084325E-3</v>
      </c>
      <c r="P343" s="22"/>
      <c r="Q343" s="13">
        <f ca="1">Q342-T343*Prices!B343</f>
        <v>0.90325095606435002</v>
      </c>
      <c r="R343" s="4">
        <f t="shared" ca="1" si="32"/>
        <v>3.3382002747215728E-2</v>
      </c>
      <c r="S343" s="13">
        <f ca="1">IF(Prices!B342&gt;OFFSET(Prices!B342,-S$3,0),1,-1)</f>
        <v>-1</v>
      </c>
      <c r="T343" s="4">
        <f ca="1">IF(S343=1,T$3*Q342/Prices!B342,-T$3*R342)</f>
        <v>-3.3015167552191377E-3</v>
      </c>
      <c r="V343" s="13"/>
      <c r="W343" s="4"/>
      <c r="X343" s="4"/>
      <c r="Y343" s="4"/>
      <c r="Z343" s="4"/>
      <c r="AA343" s="4"/>
      <c r="AB343" s="4"/>
      <c r="AC343" s="4"/>
      <c r="AD343" s="4"/>
      <c r="AE343" s="52"/>
    </row>
    <row r="344" spans="1:31" x14ac:dyDescent="0.2">
      <c r="A344" s="7">
        <v>43772</v>
      </c>
      <c r="B344" s="13">
        <f ca="1">Prices!B343*(1+J344/(50*(ABS(O344)+ABS(T344)+0.0001)))</f>
        <v>0</v>
      </c>
      <c r="C344" s="62">
        <f t="shared" ca="1" si="34"/>
        <v>0</v>
      </c>
      <c r="D344" s="13" t="e">
        <f ca="1">D343+C344*(Prices!B344-Prices!B343)/Prices!B343</f>
        <v>#DIV/0!</v>
      </c>
      <c r="E344" s="13" t="e">
        <f t="shared" ca="1" si="37"/>
        <v>#DIV/0!</v>
      </c>
      <c r="F344" s="13" t="e">
        <f t="shared" ca="1" si="35"/>
        <v>#DIV/0!</v>
      </c>
      <c r="G344" s="21">
        <f ca="1">IF((Prices!B344-Prices!B343)*C344&gt;0,1,0)</f>
        <v>0</v>
      </c>
      <c r="H344" s="13" t="e">
        <f>ABS(Prices!B344-Prices!B343)/Prices!B343</f>
        <v>#DIV/0!</v>
      </c>
      <c r="I344" s="21"/>
      <c r="J344" s="4">
        <f t="shared" ca="1" si="36"/>
        <v>-8.4552369426270056E-3</v>
      </c>
      <c r="K344" s="13"/>
      <c r="L344" s="13">
        <f ca="1">L343-O344*Prices!B344</f>
        <v>0.75951846501508558</v>
      </c>
      <c r="M344" s="4">
        <f t="shared" ca="1" si="33"/>
        <v>4.9057710258398293E-2</v>
      </c>
      <c r="N344" s="13">
        <f ca="1">IF(Prices!B343&gt;OFFSET(Prices!B343,-$N$3,0),1,-1)</f>
        <v>-1</v>
      </c>
      <c r="O344" s="4">
        <f ca="1">IF(N344=1,O$3*L343/Prices!B343,-O$3*M343)</f>
        <v>-5.4508566953775893E-3</v>
      </c>
      <c r="P344" s="22"/>
      <c r="Q344" s="13">
        <f ca="1">Q343-T344*Prices!B344</f>
        <v>0.90325095606435002</v>
      </c>
      <c r="R344" s="4">
        <f t="shared" ca="1" si="32"/>
        <v>3.0377622499966311E-2</v>
      </c>
      <c r="S344" s="13">
        <f ca="1">IF(Prices!B343&gt;OFFSET(Prices!B343,-S$3,0),1,-1)</f>
        <v>-1</v>
      </c>
      <c r="T344" s="4">
        <f ca="1">IF(S344=1,T$3*Q343/Prices!B343,-T$3*R343)</f>
        <v>-3.0043802472494155E-3</v>
      </c>
      <c r="V344" s="13"/>
      <c r="W344" s="4"/>
      <c r="X344" s="4"/>
      <c r="Y344" s="4"/>
      <c r="Z344" s="4"/>
      <c r="AA344" s="4"/>
      <c r="AB344" s="4"/>
      <c r="AC344" s="4"/>
      <c r="AD344" s="4"/>
      <c r="AE344" s="52"/>
    </row>
    <row r="345" spans="1:31" x14ac:dyDescent="0.2">
      <c r="A345" s="7">
        <v>43779</v>
      </c>
      <c r="B345" s="13">
        <f ca="1">Prices!B344*(1+J345/(50*(ABS(O345)+ABS(T345)+0.0001)))</f>
        <v>0</v>
      </c>
      <c r="C345" s="62">
        <f t="shared" ca="1" si="34"/>
        <v>0</v>
      </c>
      <c r="D345" s="13" t="e">
        <f ca="1">D344+C345*(Prices!B345-Prices!B344)/Prices!B344</f>
        <v>#DIV/0!</v>
      </c>
      <c r="E345" s="13" t="e">
        <f t="shared" ca="1" si="37"/>
        <v>#DIV/0!</v>
      </c>
      <c r="F345" s="13" t="e">
        <f t="shared" ca="1" si="35"/>
        <v>#DIV/0!</v>
      </c>
      <c r="G345" s="21">
        <f ca="1">IF((Prices!B345-Prices!B344)*C345&gt;0,1,0)</f>
        <v>0</v>
      </c>
      <c r="H345" s="13" t="e">
        <f>ABS(Prices!B345-Prices!B344)/Prices!B344</f>
        <v>#DIV/0!</v>
      </c>
      <c r="I345" s="21"/>
      <c r="J345" s="4">
        <f t="shared" ca="1" si="36"/>
        <v>-7.6397570508367979E-3</v>
      </c>
      <c r="K345" s="13"/>
      <c r="L345" s="13">
        <f ca="1">L344-O345*Prices!B345</f>
        <v>0.75951846501508558</v>
      </c>
      <c r="M345" s="4">
        <f t="shared" ca="1" si="33"/>
        <v>4.415193923255846E-2</v>
      </c>
      <c r="N345" s="13">
        <f ca="1">IF(Prices!B344&gt;OFFSET(Prices!B344,-$N$3,0),1,-1)</f>
        <v>-1</v>
      </c>
      <c r="O345" s="4">
        <f ca="1">IF(N345=1,O$3*L344/Prices!B344,-O$3*M344)</f>
        <v>-4.90577102583983E-3</v>
      </c>
      <c r="P345" s="22"/>
      <c r="Q345" s="13">
        <f ca="1">Q344-T345*Prices!B345</f>
        <v>0.90325095606435002</v>
      </c>
      <c r="R345" s="4">
        <f t="shared" ca="1" si="32"/>
        <v>2.7643636474969344E-2</v>
      </c>
      <c r="S345" s="13">
        <f ca="1">IF(Prices!B344&gt;OFFSET(Prices!B344,-S$3,0),1,-1)</f>
        <v>-1</v>
      </c>
      <c r="T345" s="4">
        <f ca="1">IF(S345=1,T$3*Q344/Prices!B344,-T$3*R344)</f>
        <v>-2.7339860249969679E-3</v>
      </c>
      <c r="V345" s="13"/>
      <c r="W345" s="4"/>
      <c r="X345" s="4"/>
      <c r="Y345" s="4"/>
      <c r="Z345" s="4"/>
      <c r="AA345" s="4"/>
      <c r="AB345" s="4"/>
      <c r="AC345" s="4"/>
      <c r="AD345" s="4"/>
      <c r="AE345" s="52"/>
    </row>
    <row r="346" spans="1:31" x14ac:dyDescent="0.2">
      <c r="A346" s="7">
        <v>43786</v>
      </c>
      <c r="B346" s="13">
        <f ca="1">Prices!B345*(1+J346/(50*(ABS(O346)+ABS(T346)+0.0001)))</f>
        <v>0</v>
      </c>
      <c r="C346" s="62">
        <f t="shared" ca="1" si="34"/>
        <v>0</v>
      </c>
      <c r="D346" s="13" t="e">
        <f ca="1">D345+C346*(Prices!B346-Prices!B345)/Prices!B345</f>
        <v>#DIV/0!</v>
      </c>
      <c r="E346" s="13" t="e">
        <f t="shared" ca="1" si="37"/>
        <v>#DIV/0!</v>
      </c>
      <c r="F346" s="13" t="e">
        <f t="shared" ca="1" si="35"/>
        <v>#DIV/0!</v>
      </c>
      <c r="G346" s="21">
        <f ca="1">IF((Prices!B346-Prices!B345)*C346&gt;0,1,0)</f>
        <v>0</v>
      </c>
      <c r="H346" s="13" t="e">
        <f>ABS(Prices!B346-Prices!B345)/Prices!B345</f>
        <v>#DIV/0!</v>
      </c>
      <c r="I346" s="21"/>
      <c r="J346" s="4">
        <f t="shared" ca="1" si="36"/>
        <v>-6.9031212060030878E-3</v>
      </c>
      <c r="K346" s="13"/>
      <c r="L346" s="13">
        <f ca="1">L345-O346*Prices!B346</f>
        <v>0.75951846501508558</v>
      </c>
      <c r="M346" s="4">
        <f t="shared" ca="1" si="33"/>
        <v>3.9736745309302615E-2</v>
      </c>
      <c r="N346" s="13">
        <f ca="1">IF(Prices!B345&gt;OFFSET(Prices!B345,-$N$3,0),1,-1)</f>
        <v>-1</v>
      </c>
      <c r="O346" s="4">
        <f ca="1">IF(N346=1,O$3*L345/Prices!B345,-O$3*M345)</f>
        <v>-4.4151939232558463E-3</v>
      </c>
      <c r="P346" s="22"/>
      <c r="Q346" s="13">
        <f ca="1">Q345-T346*Prices!B346</f>
        <v>0.90325095606435002</v>
      </c>
      <c r="R346" s="4">
        <f t="shared" ca="1" si="32"/>
        <v>2.5155709192222105E-2</v>
      </c>
      <c r="S346" s="13">
        <f ca="1">IF(Prices!B345&gt;OFFSET(Prices!B345,-S$3,0),1,-1)</f>
        <v>-1</v>
      </c>
      <c r="T346" s="4">
        <f ca="1">IF(S346=1,T$3*Q345/Prices!B345,-T$3*R345)</f>
        <v>-2.487927282747241E-3</v>
      </c>
      <c r="V346" s="13"/>
      <c r="W346" s="4"/>
      <c r="X346" s="4"/>
      <c r="Y346" s="4"/>
      <c r="Z346" s="4"/>
      <c r="AA346" s="4"/>
      <c r="AB346" s="4"/>
      <c r="AC346" s="4"/>
      <c r="AD346" s="4"/>
      <c r="AE346" s="52"/>
    </row>
    <row r="347" spans="1:31" x14ac:dyDescent="0.2">
      <c r="A347" s="7">
        <v>43793</v>
      </c>
      <c r="B347" s="13">
        <f ca="1">Prices!B346*(1+J347/(50*(ABS(O347)+ABS(T347)+0.0001)))</f>
        <v>0</v>
      </c>
      <c r="C347" s="62">
        <f t="shared" ca="1" si="34"/>
        <v>0</v>
      </c>
      <c r="D347" s="13" t="e">
        <f ca="1">D346+C347*(Prices!B347-Prices!B346)/Prices!B346</f>
        <v>#DIV/0!</v>
      </c>
      <c r="E347" s="13" t="e">
        <f t="shared" ca="1" si="37"/>
        <v>#DIV/0!</v>
      </c>
      <c r="F347" s="13" t="e">
        <f t="shared" ca="1" si="35"/>
        <v>#DIV/0!</v>
      </c>
      <c r="G347" s="21">
        <f ca="1">IF((Prices!B347-Prices!B346)*C347&gt;0,1,0)</f>
        <v>0</v>
      </c>
      <c r="H347" s="13" t="e">
        <f>ABS(Prices!B347-Prices!B346)/Prices!B346</f>
        <v>#DIV/0!</v>
      </c>
      <c r="I347" s="21"/>
      <c r="J347" s="4">
        <f t="shared" ca="1" si="36"/>
        <v>-6.2376883582302509E-3</v>
      </c>
      <c r="K347" s="13"/>
      <c r="L347" s="13">
        <f ca="1">L346-O347*Prices!B347</f>
        <v>0.75951846501508558</v>
      </c>
      <c r="M347" s="4">
        <f t="shared" ca="1" si="33"/>
        <v>3.5763070778372354E-2</v>
      </c>
      <c r="N347" s="13">
        <f ca="1">IF(Prices!B346&gt;OFFSET(Prices!B346,-$N$3,0),1,-1)</f>
        <v>-1</v>
      </c>
      <c r="O347" s="4">
        <f ca="1">IF(N347=1,O$3*L346/Prices!B346,-O$3*M346)</f>
        <v>-3.9736745309302615E-3</v>
      </c>
      <c r="P347" s="22"/>
      <c r="Q347" s="13">
        <f ca="1">Q346-T347*Prices!B347</f>
        <v>0.90325095606435002</v>
      </c>
      <c r="R347" s="4">
        <f t="shared" ca="1" si="32"/>
        <v>2.2891695364922117E-2</v>
      </c>
      <c r="S347" s="13">
        <f ca="1">IF(Prices!B346&gt;OFFSET(Prices!B346,-S$3,0),1,-1)</f>
        <v>-1</v>
      </c>
      <c r="T347" s="4">
        <f ca="1">IF(S347=1,T$3*Q346/Prices!B346,-T$3*R346)</f>
        <v>-2.2640138272999894E-3</v>
      </c>
      <c r="V347" s="13"/>
      <c r="W347" s="4"/>
      <c r="X347" s="4"/>
      <c r="Y347" s="4"/>
      <c r="Z347" s="4"/>
      <c r="AA347" s="4"/>
      <c r="AB347" s="4"/>
      <c r="AC347" s="4"/>
      <c r="AD347" s="4"/>
      <c r="AE347" s="52"/>
    </row>
    <row r="348" spans="1:31" x14ac:dyDescent="0.2">
      <c r="A348" s="7">
        <v>43800</v>
      </c>
      <c r="B348" s="13">
        <f ca="1">Prices!B347*(1+J348/(50*(ABS(O348)+ABS(T348)+0.0001)))</f>
        <v>0</v>
      </c>
      <c r="C348" s="62">
        <f t="shared" ca="1" si="34"/>
        <v>0</v>
      </c>
      <c r="D348" s="13" t="e">
        <f ca="1">D347+C348*(Prices!B348-Prices!B347)/Prices!B347</f>
        <v>#DIV/0!</v>
      </c>
      <c r="E348" s="13" t="e">
        <f t="shared" ca="1" si="37"/>
        <v>#DIV/0!</v>
      </c>
      <c r="F348" s="13" t="e">
        <f t="shared" ca="1" si="35"/>
        <v>#DIV/0!</v>
      </c>
      <c r="G348" s="21">
        <f ca="1">IF((Prices!B348-Prices!B347)*C348&gt;0,1,0)</f>
        <v>0</v>
      </c>
      <c r="H348" s="13" t="e">
        <f>ABS(Prices!B348-Prices!B347)/Prices!B347</f>
        <v>#DIV/0!</v>
      </c>
      <c r="I348" s="21"/>
      <c r="J348" s="4">
        <f t="shared" ca="1" si="36"/>
        <v>-5.636559660680226E-3</v>
      </c>
      <c r="K348" s="13"/>
      <c r="L348" s="13">
        <f ca="1">L347-O348*Prices!B348</f>
        <v>0.75951846501508558</v>
      </c>
      <c r="M348" s="4">
        <f t="shared" ca="1" si="33"/>
        <v>3.2186763700535116E-2</v>
      </c>
      <c r="N348" s="13">
        <f ca="1">IF(Prices!B347&gt;OFFSET(Prices!B347,-$N$3,0),1,-1)</f>
        <v>-1</v>
      </c>
      <c r="O348" s="4">
        <f ca="1">IF(N348=1,O$3*L347/Prices!B347,-O$3*M347)</f>
        <v>-3.5763070778372357E-3</v>
      </c>
      <c r="P348" s="22"/>
      <c r="Q348" s="13">
        <f ca="1">Q347-T348*Prices!B348</f>
        <v>0.90325095606435002</v>
      </c>
      <c r="R348" s="4">
        <f t="shared" ca="1" si="32"/>
        <v>2.0831442782079126E-2</v>
      </c>
      <c r="S348" s="13">
        <f ca="1">IF(Prices!B347&gt;OFFSET(Prices!B347,-S$3,0),1,-1)</f>
        <v>-1</v>
      </c>
      <c r="T348" s="4">
        <f ca="1">IF(S348=1,T$3*Q347/Prices!B347,-T$3*R347)</f>
        <v>-2.0602525828429903E-3</v>
      </c>
      <c r="V348" s="13"/>
      <c r="W348" s="4"/>
      <c r="X348" s="4"/>
      <c r="Y348" s="4"/>
      <c r="Z348" s="4"/>
      <c r="AA348" s="4"/>
      <c r="AB348" s="4"/>
      <c r="AC348" s="4"/>
      <c r="AD348" s="4"/>
      <c r="AE348" s="52"/>
    </row>
    <row r="349" spans="1:31" x14ac:dyDescent="0.2">
      <c r="A349" s="7">
        <v>43807</v>
      </c>
      <c r="B349" s="13">
        <f ca="1">Prices!B348*(1+J349/(50*(ABS(O349)+ABS(T349)+0.0001)))</f>
        <v>0</v>
      </c>
      <c r="C349" s="62">
        <f t="shared" ca="1" si="34"/>
        <v>0</v>
      </c>
      <c r="D349" s="13" t="e">
        <f ca="1">D348+C349*(Prices!B349-Prices!B348)/Prices!B348</f>
        <v>#DIV/0!</v>
      </c>
      <c r="E349" s="13" t="e">
        <f t="shared" ca="1" si="37"/>
        <v>#DIV/0!</v>
      </c>
      <c r="F349" s="13" t="e">
        <f t="shared" ca="1" si="35"/>
        <v>#DIV/0!</v>
      </c>
      <c r="G349" s="21">
        <f ca="1">IF((Prices!B349-Prices!B348)*C349&gt;0,1,0)</f>
        <v>0</v>
      </c>
      <c r="H349" s="13" t="e">
        <f>ABS(Prices!B349-Prices!B348)/Prices!B348</f>
        <v>#DIV/0!</v>
      </c>
      <c r="I349" s="21"/>
      <c r="J349" s="4">
        <f t="shared" ca="1" si="36"/>
        <v>-5.093506220440633E-3</v>
      </c>
      <c r="K349" s="13"/>
      <c r="L349" s="13">
        <f ca="1">L348-O349*Prices!B349</f>
        <v>0.75951846501508558</v>
      </c>
      <c r="M349" s="4">
        <f t="shared" ca="1" si="33"/>
        <v>2.8968087330481604E-2</v>
      </c>
      <c r="N349" s="13">
        <f ca="1">IF(Prices!B348&gt;OFFSET(Prices!B348,-$N$3,0),1,-1)</f>
        <v>-1</v>
      </c>
      <c r="O349" s="4">
        <f ca="1">IF(N349=1,O$3*L348/Prices!B348,-O$3*M348)</f>
        <v>-3.2186763700535119E-3</v>
      </c>
      <c r="P349" s="22"/>
      <c r="Q349" s="13">
        <f ca="1">Q348-T349*Prices!B349</f>
        <v>0.90325095606435002</v>
      </c>
      <c r="R349" s="4">
        <f t="shared" ca="1" si="32"/>
        <v>1.8956612931692006E-2</v>
      </c>
      <c r="S349" s="13">
        <f ca="1">IF(Prices!B348&gt;OFFSET(Prices!B348,-S$3,0),1,-1)</f>
        <v>-1</v>
      </c>
      <c r="T349" s="4">
        <f ca="1">IF(S349=1,T$3*Q348/Prices!B348,-T$3*R348)</f>
        <v>-1.8748298503871213E-3</v>
      </c>
      <c r="V349" s="13"/>
      <c r="W349" s="4"/>
      <c r="X349" s="4"/>
      <c r="Y349" s="4"/>
      <c r="Z349" s="4"/>
      <c r="AA349" s="4"/>
      <c r="AB349" s="4"/>
      <c r="AC349" s="4"/>
      <c r="AD349" s="4"/>
      <c r="AE349" s="52"/>
    </row>
    <row r="350" spans="1:31" x14ac:dyDescent="0.2">
      <c r="A350" s="7">
        <v>43814</v>
      </c>
      <c r="B350" s="13">
        <f ca="1">Prices!B349*(1+J350/(50*(ABS(O350)+ABS(T350)+0.0001)))</f>
        <v>0</v>
      </c>
      <c r="C350" s="62">
        <f t="shared" ca="1" si="34"/>
        <v>0</v>
      </c>
      <c r="D350" s="13" t="e">
        <f ca="1">D349+C350*(Prices!B350-Prices!B349)/Prices!B349</f>
        <v>#DIV/0!</v>
      </c>
      <c r="E350" s="13" t="e">
        <f t="shared" ca="1" si="37"/>
        <v>#DIV/0!</v>
      </c>
      <c r="F350" s="13" t="e">
        <f t="shared" ca="1" si="35"/>
        <v>#DIV/0!</v>
      </c>
      <c r="G350" s="21">
        <f ca="1">IF((Prices!B350-Prices!B349)*C350&gt;0,1,0)</f>
        <v>0</v>
      </c>
      <c r="H350" s="13" t="e">
        <f>ABS(Prices!B350-Prices!B349)/Prices!B349</f>
        <v>#DIV/0!</v>
      </c>
      <c r="I350" s="21"/>
      <c r="J350" s="4">
        <f t="shared" ca="1" si="36"/>
        <v>-4.6029038969004413E-3</v>
      </c>
      <c r="K350" s="13"/>
      <c r="L350" s="13">
        <f ca="1">L349-O350*Prices!B350</f>
        <v>0.75951846501508558</v>
      </c>
      <c r="M350" s="4">
        <f t="shared" ca="1" si="33"/>
        <v>2.6071278597433443E-2</v>
      </c>
      <c r="N350" s="13">
        <f ca="1">IF(Prices!B349&gt;OFFSET(Prices!B349,-$N$3,0),1,-1)</f>
        <v>-1</v>
      </c>
      <c r="O350" s="4">
        <f ca="1">IF(N350=1,O$3*L349/Prices!B349,-O$3*M349)</f>
        <v>-2.8968087330481606E-3</v>
      </c>
      <c r="P350" s="22"/>
      <c r="Q350" s="13">
        <f ca="1">Q349-T350*Prices!B350</f>
        <v>0.90325095606435002</v>
      </c>
      <c r="R350" s="4">
        <f t="shared" ca="1" si="32"/>
        <v>1.7250517767839726E-2</v>
      </c>
      <c r="S350" s="13">
        <f ca="1">IF(Prices!B349&gt;OFFSET(Prices!B349,-S$3,0),1,-1)</f>
        <v>-1</v>
      </c>
      <c r="T350" s="4">
        <f ca="1">IF(S350=1,T$3*Q349/Prices!B349,-T$3*R349)</f>
        <v>-1.7060951638522804E-3</v>
      </c>
      <c r="V350" s="13"/>
      <c r="W350" s="4"/>
      <c r="X350" s="4"/>
      <c r="Y350" s="4"/>
      <c r="Z350" s="4"/>
      <c r="AA350" s="4"/>
      <c r="AB350" s="4"/>
      <c r="AC350" s="4"/>
      <c r="AD350" s="4"/>
      <c r="AE350" s="52"/>
    </row>
    <row r="351" spans="1:31" x14ac:dyDescent="0.2">
      <c r="A351" s="7">
        <v>43821</v>
      </c>
      <c r="B351" s="13">
        <f ca="1">Prices!B350*(1+J351/(50*(ABS(O351)+ABS(T351)+0.0001)))</f>
        <v>0</v>
      </c>
      <c r="C351" s="62">
        <f t="shared" ca="1" si="34"/>
        <v>0</v>
      </c>
      <c r="D351" s="13" t="e">
        <f ca="1">D350+C351*(Prices!B351-Prices!B350)/Prices!B350</f>
        <v>#DIV/0!</v>
      </c>
      <c r="E351" s="13" t="e">
        <f t="shared" ca="1" si="37"/>
        <v>#DIV/0!</v>
      </c>
      <c r="F351" s="13" t="e">
        <f t="shared" ca="1" si="35"/>
        <v>#DIV/0!</v>
      </c>
      <c r="G351" s="21">
        <f ca="1">IF((Prices!B351-Prices!B350)*C351&gt;0,1,0)</f>
        <v>0</v>
      </c>
      <c r="H351" s="13" t="e">
        <f>ABS(Prices!B351-Prices!B350)/Prices!B350</f>
        <v>#DIV/0!</v>
      </c>
      <c r="I351" s="21"/>
      <c r="J351" s="4">
        <f t="shared" ca="1" si="36"/>
        <v>-4.1596744588489193E-3</v>
      </c>
      <c r="K351" s="13"/>
      <c r="L351" s="13">
        <f ca="1">L350-O351*Prices!B351</f>
        <v>0.75951846501508558</v>
      </c>
      <c r="M351" s="4">
        <f t="shared" ca="1" si="33"/>
        <v>2.34641507376901E-2</v>
      </c>
      <c r="N351" s="13">
        <f ca="1">IF(Prices!B350&gt;OFFSET(Prices!B350,-$N$3,0),1,-1)</f>
        <v>-1</v>
      </c>
      <c r="O351" s="4">
        <f ca="1">IF(N351=1,O$3*L350/Prices!B350,-O$3*M350)</f>
        <v>-2.6071278597433445E-3</v>
      </c>
      <c r="P351" s="22"/>
      <c r="Q351" s="13">
        <f ca="1">Q350-T351*Prices!B351</f>
        <v>0.90325095606435002</v>
      </c>
      <c r="R351" s="4">
        <f t="shared" ca="1" si="32"/>
        <v>1.569797116873415E-2</v>
      </c>
      <c r="S351" s="13">
        <f ca="1">IF(Prices!B350&gt;OFFSET(Prices!B350,-S$3,0),1,-1)</f>
        <v>-1</v>
      </c>
      <c r="T351" s="4">
        <f ca="1">IF(S351=1,T$3*Q350/Prices!B350,-T$3*R350)</f>
        <v>-1.5525465991055752E-3</v>
      </c>
      <c r="V351" s="13"/>
      <c r="W351" s="4"/>
      <c r="X351" s="4"/>
      <c r="Y351" s="4"/>
      <c r="Z351" s="4"/>
      <c r="AA351" s="4"/>
      <c r="AB351" s="4"/>
      <c r="AC351" s="4"/>
      <c r="AD351" s="4"/>
      <c r="AE351" s="52"/>
    </row>
    <row r="352" spans="1:31" x14ac:dyDescent="0.2">
      <c r="A352" s="7">
        <v>43828</v>
      </c>
      <c r="B352" s="13">
        <f ca="1">Prices!B351*(1+J352/(50*(ABS(O352)+ABS(T352)+0.0001)))</f>
        <v>0</v>
      </c>
      <c r="C352" s="62">
        <f t="shared" ca="1" si="34"/>
        <v>0</v>
      </c>
      <c r="D352" s="13" t="e">
        <f ca="1">D351+C352*(Prices!B352-Prices!B351)/Prices!B351</f>
        <v>#DIV/0!</v>
      </c>
      <c r="E352" s="13" t="e">
        <f t="shared" ca="1" si="37"/>
        <v>#DIV/0!</v>
      </c>
      <c r="F352" s="13" t="e">
        <f t="shared" ca="1" si="35"/>
        <v>#DIV/0!</v>
      </c>
      <c r="G352" s="21">
        <f ca="1">IF((Prices!B352-Prices!B351)*C352&gt;0,1,0)</f>
        <v>0</v>
      </c>
      <c r="H352" s="13" t="e">
        <f>ABS(Prices!B352-Prices!B351)/Prices!B351</f>
        <v>#DIV/0!</v>
      </c>
      <c r="I352" s="21"/>
      <c r="J352" s="4">
        <f t="shared" ca="1" si="36"/>
        <v>-3.7592324789550834E-3</v>
      </c>
      <c r="K352" s="13"/>
      <c r="L352" s="13">
        <f ca="1">L351-O352*Prices!B352</f>
        <v>0.75951846501508558</v>
      </c>
      <c r="M352" s="4">
        <f t="shared" ca="1" si="33"/>
        <v>2.111773566392109E-2</v>
      </c>
      <c r="N352" s="13">
        <f ca="1">IF(Prices!B351&gt;OFFSET(Prices!B351,-$N$3,0),1,-1)</f>
        <v>-1</v>
      </c>
      <c r="O352" s="4">
        <f ca="1">IF(N352=1,O$3*L351/Prices!B351,-O$3*M351)</f>
        <v>-2.3464150737690101E-3</v>
      </c>
      <c r="P352" s="22"/>
      <c r="Q352" s="13">
        <f ca="1">Q351-T352*Prices!B352</f>
        <v>0.90325095606435002</v>
      </c>
      <c r="R352" s="4">
        <f t="shared" ca="1" si="32"/>
        <v>1.4285153763548076E-2</v>
      </c>
      <c r="S352" s="13">
        <f ca="1">IF(Prices!B351&gt;OFFSET(Prices!B351,-S$3,0),1,-1)</f>
        <v>-1</v>
      </c>
      <c r="T352" s="4">
        <f ca="1">IF(S352=1,T$3*Q351/Prices!B351,-T$3*R351)</f>
        <v>-1.4128174051860735E-3</v>
      </c>
      <c r="V352" s="13"/>
      <c r="W352" s="4"/>
      <c r="X352" s="4"/>
      <c r="Y352" s="4"/>
      <c r="Z352" s="4"/>
      <c r="AA352" s="4"/>
      <c r="AB352" s="4"/>
      <c r="AC352" s="4"/>
      <c r="AD352" s="4"/>
      <c r="AE352" s="52"/>
    </row>
    <row r="353" spans="1:31" x14ac:dyDescent="0.2">
      <c r="A353" s="7">
        <v>43835</v>
      </c>
      <c r="B353" s="13">
        <f ca="1">Prices!B352*(1+J353/(50*(ABS(O353)+ABS(T353)+0.0001)))</f>
        <v>0</v>
      </c>
      <c r="C353" s="62">
        <f t="shared" ca="1" si="34"/>
        <v>0</v>
      </c>
      <c r="D353" s="13" t="e">
        <f ca="1">D352+C353*(Prices!B353-Prices!B352)/Prices!B352</f>
        <v>#DIV/0!</v>
      </c>
      <c r="E353" s="13" t="e">
        <f t="shared" ca="1" si="37"/>
        <v>#DIV/0!</v>
      </c>
      <c r="F353" s="13" t="e">
        <f t="shared" ca="1" si="35"/>
        <v>#DIV/0!</v>
      </c>
      <c r="G353" s="21">
        <f ca="1">IF((Prices!B353-Prices!B352)*C353&gt;0,1,0)</f>
        <v>0</v>
      </c>
      <c r="H353" s="13" t="e">
        <f>ABS(Prices!B353-Prices!B352)/Prices!B352</f>
        <v>#DIV/0!</v>
      </c>
      <c r="I353" s="21"/>
      <c r="J353" s="4">
        <f t="shared" ca="1" si="36"/>
        <v>-3.3974374051114354E-3</v>
      </c>
      <c r="K353" s="13"/>
      <c r="L353" s="13">
        <f ca="1">L352-O353*Prices!B353</f>
        <v>0.75951846501508558</v>
      </c>
      <c r="M353" s="4">
        <f t="shared" ca="1" si="33"/>
        <v>1.9005962097528983E-2</v>
      </c>
      <c r="N353" s="13">
        <f ca="1">IF(Prices!B352&gt;OFFSET(Prices!B352,-$N$3,0),1,-1)</f>
        <v>-1</v>
      </c>
      <c r="O353" s="4">
        <f ca="1">IF(N353=1,O$3*L352/Prices!B352,-O$3*M352)</f>
        <v>-2.1117735663921089E-3</v>
      </c>
      <c r="P353" s="22"/>
      <c r="Q353" s="13">
        <f ca="1">Q352-T353*Prices!B353</f>
        <v>0.90325095606435002</v>
      </c>
      <c r="R353" s="4">
        <f t="shared" ca="1" si="32"/>
        <v>1.299948992482875E-2</v>
      </c>
      <c r="S353" s="13">
        <f ca="1">IF(Prices!B352&gt;OFFSET(Prices!B352,-S$3,0),1,-1)</f>
        <v>-1</v>
      </c>
      <c r="T353" s="4">
        <f ca="1">IF(S353=1,T$3*Q352/Prices!B352,-T$3*R352)</f>
        <v>-1.2856638387193267E-3</v>
      </c>
      <c r="V353" s="13"/>
      <c r="W353" s="4"/>
      <c r="X353" s="4"/>
      <c r="Y353" s="4"/>
      <c r="Z353" s="4"/>
      <c r="AA353" s="4"/>
      <c r="AB353" s="4"/>
      <c r="AC353" s="4"/>
      <c r="AD353" s="4"/>
      <c r="AE353" s="52"/>
    </row>
    <row r="354" spans="1:31" x14ac:dyDescent="0.2">
      <c r="A354" s="7">
        <v>43842</v>
      </c>
      <c r="B354" s="13">
        <f ca="1">Prices!B353*(1+J354/(50*(ABS(O354)+ABS(T354)+0.0001)))</f>
        <v>0</v>
      </c>
      <c r="C354" s="62">
        <f t="shared" ca="1" si="34"/>
        <v>0</v>
      </c>
      <c r="D354" s="13" t="e">
        <f ca="1">D353+C354*(Prices!B354-Prices!B353)/Prices!B353</f>
        <v>#DIV/0!</v>
      </c>
      <c r="E354" s="13" t="e">
        <f t="shared" ca="1" si="37"/>
        <v>#DIV/0!</v>
      </c>
      <c r="F354" s="13" t="e">
        <f t="shared" ca="1" si="35"/>
        <v>#DIV/0!</v>
      </c>
      <c r="G354" s="21">
        <f ca="1">IF((Prices!B354-Prices!B353)*C354&gt;0,1,0)</f>
        <v>0</v>
      </c>
      <c r="H354" s="13" t="e">
        <f>ABS(Prices!B354-Prices!B353)/Prices!B353</f>
        <v>#DIV/0!</v>
      </c>
      <c r="I354" s="21"/>
      <c r="J354" s="4">
        <f t="shared" ca="1" si="36"/>
        <v>-3.0705503029874858E-3</v>
      </c>
      <c r="K354" s="13"/>
      <c r="L354" s="13">
        <f ca="1">L353-O354*Prices!B354</f>
        <v>0.75951846501508558</v>
      </c>
      <c r="M354" s="4">
        <f t="shared" ca="1" si="33"/>
        <v>1.7105365887776086E-2</v>
      </c>
      <c r="N354" s="13">
        <f ca="1">IF(Prices!B353&gt;OFFSET(Prices!B353,-$N$3,0),1,-1)</f>
        <v>-1</v>
      </c>
      <c r="O354" s="4">
        <f ca="1">IF(N354=1,O$3*L353/Prices!B353,-O$3*M353)</f>
        <v>-1.9005962097528983E-3</v>
      </c>
      <c r="P354" s="22"/>
      <c r="Q354" s="13">
        <f ca="1">Q353-T354*Prices!B354</f>
        <v>0.90325095606435002</v>
      </c>
      <c r="R354" s="4">
        <f t="shared" ca="1" si="32"/>
        <v>1.1829535831594162E-2</v>
      </c>
      <c r="S354" s="13">
        <f ca="1">IF(Prices!B353&gt;OFFSET(Prices!B353,-S$3,0),1,-1)</f>
        <v>-1</v>
      </c>
      <c r="T354" s="4">
        <f ca="1">IF(S354=1,T$3*Q353/Prices!B353,-T$3*R353)</f>
        <v>-1.1699540932345873E-3</v>
      </c>
      <c r="V354" s="13"/>
      <c r="W354" s="4"/>
      <c r="X354" s="4"/>
      <c r="Y354" s="4"/>
      <c r="Z354" s="4"/>
      <c r="AA354" s="4"/>
      <c r="AB354" s="4"/>
      <c r="AC354" s="4"/>
      <c r="AD354" s="4"/>
      <c r="AE354" s="52"/>
    </row>
    <row r="355" spans="1:31" x14ac:dyDescent="0.2">
      <c r="A355" s="7">
        <v>43849</v>
      </c>
      <c r="B355" s="13">
        <f ca="1">Prices!B354*(1+J355/(50*(ABS(O355)+ABS(T355)+0.0001)))</f>
        <v>0</v>
      </c>
      <c r="C355" s="62">
        <f t="shared" ca="1" si="34"/>
        <v>0</v>
      </c>
      <c r="D355" s="13" t="e">
        <f ca="1">D354+C355*(Prices!B355-Prices!B354)/Prices!B354</f>
        <v>#DIV/0!</v>
      </c>
      <c r="E355" s="13" t="e">
        <f t="shared" ca="1" si="37"/>
        <v>#DIV/0!</v>
      </c>
      <c r="F355" s="13" t="e">
        <f t="shared" ca="1" si="35"/>
        <v>#DIV/0!</v>
      </c>
      <c r="G355" s="21">
        <f ca="1">IF((Prices!B355-Prices!B354)*C355&gt;0,1,0)</f>
        <v>0</v>
      </c>
      <c r="H355" s="13" t="e">
        <f>ABS(Prices!B355-Prices!B354)/Prices!B354</f>
        <v>#DIV/0!</v>
      </c>
      <c r="I355" s="21"/>
      <c r="J355" s="4">
        <f t="shared" ca="1" si="36"/>
        <v>-2.7751948136210832E-3</v>
      </c>
      <c r="K355" s="13"/>
      <c r="L355" s="13">
        <f ca="1">L354-O355*Prices!B355</f>
        <v>0.75951846501508558</v>
      </c>
      <c r="M355" s="4">
        <f t="shared" ca="1" si="33"/>
        <v>1.5394829298998478E-2</v>
      </c>
      <c r="N355" s="13">
        <f ca="1">IF(Prices!B354&gt;OFFSET(Prices!B354,-$N$3,0),1,-1)</f>
        <v>-1</v>
      </c>
      <c r="O355" s="4">
        <f ca="1">IF(N355=1,O$3*L354/Prices!B354,-O$3*M354)</f>
        <v>-1.7105365887776086E-3</v>
      </c>
      <c r="P355" s="22"/>
      <c r="Q355" s="13">
        <f ca="1">Q354-T355*Prices!B355</f>
        <v>0.90325095606435002</v>
      </c>
      <c r="R355" s="4">
        <f t="shared" ca="1" si="32"/>
        <v>1.0764877606750687E-2</v>
      </c>
      <c r="S355" s="13">
        <f ca="1">IF(Prices!B354&gt;OFFSET(Prices!B354,-S$3,0),1,-1)</f>
        <v>-1</v>
      </c>
      <c r="T355" s="4">
        <f ca="1">IF(S355=1,T$3*Q354/Prices!B354,-T$3*R354)</f>
        <v>-1.0646582248434746E-3</v>
      </c>
      <c r="V355" s="13"/>
      <c r="W355" s="4"/>
      <c r="X355" s="4"/>
      <c r="Y355" s="4"/>
      <c r="Z355" s="4"/>
      <c r="AA355" s="4"/>
      <c r="AB355" s="4"/>
      <c r="AC355" s="4"/>
      <c r="AD355" s="4"/>
      <c r="AE355" s="52"/>
    </row>
    <row r="356" spans="1:31" x14ac:dyDescent="0.2">
      <c r="A356" s="58">
        <v>43856</v>
      </c>
      <c r="B356" s="13">
        <f ca="1">Prices!B355*(1+J356/(50*(ABS(O356)+ABS(T356)+0.0001)))</f>
        <v>0</v>
      </c>
      <c r="C356" s="62">
        <f t="shared" ca="1" si="34"/>
        <v>0</v>
      </c>
      <c r="D356" s="13" t="e">
        <f ca="1">D355+C356*(Prices!B356-Prices!B355)/Prices!B355</f>
        <v>#DIV/0!</v>
      </c>
      <c r="E356" s="13" t="e">
        <f t="shared" ca="1" si="37"/>
        <v>#DIV/0!</v>
      </c>
      <c r="F356" s="13" t="e">
        <f t="shared" ca="1" si="35"/>
        <v>#DIV/0!</v>
      </c>
      <c r="G356" s="21">
        <f ca="1">IF((Prices!B356-Prices!B355)*C356&gt;0,1,0)</f>
        <v>0</v>
      </c>
      <c r="H356" s="13" t="e">
        <f>ABS(Prices!B356-Prices!B355)/Prices!B355</f>
        <v>#DIV/0!</v>
      </c>
      <c r="I356" s="21"/>
      <c r="J356" s="4">
        <f t="shared" ca="1" si="36"/>
        <v>-2.5083219145074099E-3</v>
      </c>
      <c r="K356" s="13"/>
      <c r="L356" s="13">
        <f ca="1">L355-O356*Prices!B356</f>
        <v>0.75951846501508558</v>
      </c>
      <c r="M356" s="4">
        <f t="shared" ca="1" si="33"/>
        <v>1.3855346369098629E-2</v>
      </c>
      <c r="N356" s="13">
        <f ca="1">IF(Prices!B355&gt;OFFSET(Prices!B355,-$N$3,0),1,-1)</f>
        <v>-1</v>
      </c>
      <c r="O356" s="4">
        <f ca="1">IF(N356=1,O$3*L355/Prices!B355,-O$3*M355)</f>
        <v>-1.5394829298998479E-3</v>
      </c>
      <c r="P356" s="22"/>
      <c r="Q356" s="13">
        <f ca="1">Q355-T356*Prices!B356</f>
        <v>0.90325095606435002</v>
      </c>
      <c r="R356" s="4">
        <f t="shared" ca="1" si="32"/>
        <v>9.7960386221431252E-3</v>
      </c>
      <c r="S356" s="13">
        <f ca="1">IF(Prices!B355&gt;OFFSET(Prices!B355,-S$3,0),1,-1)</f>
        <v>-1</v>
      </c>
      <c r="T356" s="4">
        <f ca="1">IF(S356=1,T$3*Q355/Prices!B355,-T$3*R355)</f>
        <v>-9.6883898460756179E-4</v>
      </c>
      <c r="V356" s="13"/>
      <c r="W356" s="4"/>
      <c r="X356" s="4"/>
      <c r="Y356" s="4"/>
      <c r="Z356" s="4"/>
      <c r="AA356" s="4"/>
      <c r="AB356" s="4"/>
      <c r="AC356" s="4"/>
      <c r="AD356" s="4"/>
      <c r="AE356" s="52"/>
    </row>
    <row r="357" spans="1:31" x14ac:dyDescent="0.2">
      <c r="A357" s="58">
        <v>43863</v>
      </c>
      <c r="B357" s="13">
        <f ca="1">Prices!B356*(1+J357/(50*(ABS(O357)+ABS(T357)+0.0001)))</f>
        <v>0</v>
      </c>
      <c r="C357" s="62">
        <f t="shared" ca="1" si="34"/>
        <v>0</v>
      </c>
      <c r="D357" s="13" t="e">
        <f ca="1">D356+C357*(Prices!B357-Prices!B356)/Prices!B356</f>
        <v>#DIV/0!</v>
      </c>
      <c r="E357" s="13" t="e">
        <f t="shared" ca="1" si="37"/>
        <v>#DIV/0!</v>
      </c>
      <c r="F357" s="13" t="e">
        <f t="shared" ca="1" si="35"/>
        <v>#DIV/0!</v>
      </c>
      <c r="G357" s="21">
        <f ca="1">IF((Prices!B357-Prices!B356)*C357&gt;0,1,0)</f>
        <v>0</v>
      </c>
      <c r="H357" s="13" t="e">
        <f>ABS(Prices!B357-Prices!B356)/Prices!B356</f>
        <v>#DIV/0!</v>
      </c>
      <c r="I357" s="21"/>
      <c r="J357" s="4">
        <f t="shared" ca="1" si="36"/>
        <v>-2.2671781129027443E-3</v>
      </c>
      <c r="K357" s="13"/>
      <c r="L357" s="13">
        <f ca="1">L356-O357*Prices!B357</f>
        <v>0.75951846501508558</v>
      </c>
      <c r="M357" s="4">
        <f t="shared" ca="1" si="33"/>
        <v>1.2469811732188767E-2</v>
      </c>
      <c r="N357" s="13">
        <f ca="1">IF(Prices!B356&gt;OFFSET(Prices!B356,-$N$3,0),1,-1)</f>
        <v>-1</v>
      </c>
      <c r="O357" s="4">
        <f ca="1">IF(N357=1,O$3*L356/Prices!B356,-O$3*M356)</f>
        <v>-1.3855346369098631E-3</v>
      </c>
      <c r="P357" s="22"/>
      <c r="Q357" s="13">
        <f ca="1">Q356-T357*Prices!B357</f>
        <v>0.90325095606435002</v>
      </c>
      <c r="R357" s="4">
        <f t="shared" ca="1" si="32"/>
        <v>8.9143951461502433E-3</v>
      </c>
      <c r="S357" s="13">
        <f ca="1">IF(Prices!B356&gt;OFFSET(Prices!B356,-S$3,0),1,-1)</f>
        <v>-1</v>
      </c>
      <c r="T357" s="4">
        <f ca="1">IF(S357=1,T$3*Q356/Prices!B356,-T$3*R356)</f>
        <v>-8.8164347599288127E-4</v>
      </c>
      <c r="V357" s="13"/>
      <c r="W357" s="4"/>
      <c r="X357" s="4"/>
      <c r="Y357" s="4"/>
      <c r="Z357" s="4"/>
      <c r="AA357" s="4"/>
      <c r="AB357" s="4"/>
      <c r="AC357" s="4"/>
      <c r="AD357" s="4"/>
      <c r="AE357" s="52"/>
    </row>
    <row r="358" spans="1:31" x14ac:dyDescent="0.2">
      <c r="A358" s="7">
        <v>43870</v>
      </c>
      <c r="B358" s="13">
        <f ca="1">Prices!B357*(1+J358/(50*(ABS(O358)+ABS(T358)+0.0001)))</f>
        <v>0</v>
      </c>
      <c r="C358" s="62">
        <f t="shared" ca="1" si="34"/>
        <v>0</v>
      </c>
      <c r="D358" s="13" t="e">
        <f ca="1">D357+C358*(Prices!B358-Prices!B357)/Prices!B357</f>
        <v>#DIV/0!</v>
      </c>
      <c r="E358" s="13" t="e">
        <f t="shared" ca="1" si="37"/>
        <v>#DIV/0!</v>
      </c>
      <c r="F358" s="13" t="e">
        <f t="shared" ca="1" si="35"/>
        <v>#DIV/0!</v>
      </c>
      <c r="G358" s="21">
        <f ca="1">IF((Prices!B358-Prices!B357)*C358&gt;0,1,0)</f>
        <v>0</v>
      </c>
      <c r="H358" s="13" t="e">
        <f>ABS(Prices!B358-Prices!B357)/Prices!B357</f>
        <v>#DIV/0!</v>
      </c>
      <c r="I358" s="21"/>
      <c r="J358" s="4">
        <f t="shared" ca="1" si="36"/>
        <v>-2.0492767363723989E-3</v>
      </c>
      <c r="K358" s="13"/>
      <c r="L358" s="13">
        <f ca="1">L357-O358*Prices!B358</f>
        <v>0.75951846501508558</v>
      </c>
      <c r="M358" s="4">
        <f t="shared" ca="1" si="33"/>
        <v>1.1222830558969891E-2</v>
      </c>
      <c r="N358" s="13">
        <f ca="1">IF(Prices!B357&gt;OFFSET(Prices!B357,-$N$3,0),1,-1)</f>
        <v>-1</v>
      </c>
      <c r="O358" s="4">
        <f ca="1">IF(N358=1,O$3*L357/Prices!B357,-O$3*M357)</f>
        <v>-1.2469811732188768E-3</v>
      </c>
      <c r="P358" s="22"/>
      <c r="Q358" s="13">
        <f ca="1">Q357-T358*Prices!B358</f>
        <v>0.90325095606435002</v>
      </c>
      <c r="R358" s="4">
        <f t="shared" ca="1" si="32"/>
        <v>8.1120995829967214E-3</v>
      </c>
      <c r="S358" s="13">
        <f ca="1">IF(Prices!B357&gt;OFFSET(Prices!B357,-S$3,0),1,-1)</f>
        <v>-1</v>
      </c>
      <c r="T358" s="4">
        <f ca="1">IF(S358=1,T$3*Q357/Prices!B357,-T$3*R357)</f>
        <v>-8.0229556315352182E-4</v>
      </c>
      <c r="V358" s="13"/>
      <c r="W358" s="4"/>
      <c r="X358" s="4"/>
      <c r="Y358" s="4"/>
      <c r="Z358" s="4"/>
      <c r="AA358" s="4"/>
      <c r="AB358" s="4"/>
      <c r="AC358" s="4"/>
      <c r="AD358" s="4"/>
      <c r="AE358" s="52"/>
    </row>
    <row r="359" spans="1:31" x14ac:dyDescent="0.2">
      <c r="A359" s="7">
        <v>43877</v>
      </c>
      <c r="B359" s="13">
        <f ca="1">Prices!B358*(1+J359/(50*(ABS(O359)+ABS(T359)+0.0001)))</f>
        <v>0</v>
      </c>
      <c r="C359" s="62">
        <f t="shared" ca="1" si="34"/>
        <v>0</v>
      </c>
      <c r="D359" s="13" t="e">
        <f ca="1">D358+C359*(Prices!B359-Prices!B358)/Prices!B358</f>
        <v>#DIV/0!</v>
      </c>
      <c r="E359" s="13" t="e">
        <f t="shared" ca="1" si="37"/>
        <v>#DIV/0!</v>
      </c>
      <c r="F359" s="13" t="e">
        <f t="shared" ca="1" si="35"/>
        <v>#DIV/0!</v>
      </c>
      <c r="G359" s="21">
        <f ca="1">IF((Prices!B359-Prices!B358)*C359&gt;0,1,0)</f>
        <v>0</v>
      </c>
      <c r="H359" s="13" t="e">
        <f>ABS(Prices!B359-Prices!B358)/Prices!B358</f>
        <v>#DIV/0!</v>
      </c>
      <c r="I359" s="21"/>
      <c r="J359" s="4">
        <f t="shared" ca="1" si="36"/>
        <v>-1.8523720183666939E-3</v>
      </c>
      <c r="K359" s="13"/>
      <c r="L359" s="13">
        <f ca="1">L358-O359*Prices!B359</f>
        <v>0.75951846501508558</v>
      </c>
      <c r="M359" s="4">
        <f t="shared" ca="1" si="33"/>
        <v>1.0100547503072902E-2</v>
      </c>
      <c r="N359" s="13">
        <f ca="1">IF(Prices!B358&gt;OFFSET(Prices!B358,-$N$3,0),1,-1)</f>
        <v>-1</v>
      </c>
      <c r="O359" s="4">
        <f ca="1">IF(N359=1,O$3*L358/Prices!B358,-O$3*M358)</f>
        <v>-1.122283055896989E-3</v>
      </c>
      <c r="P359" s="22"/>
      <c r="Q359" s="13">
        <f ca="1">Q358-T359*Prices!B359</f>
        <v>0.90325095606435002</v>
      </c>
      <c r="R359" s="4">
        <f t="shared" ca="1" si="32"/>
        <v>7.3820106205270165E-3</v>
      </c>
      <c r="S359" s="13">
        <f ca="1">IF(Prices!B358&gt;OFFSET(Prices!B358,-S$3,0),1,-1)</f>
        <v>-1</v>
      </c>
      <c r="T359" s="4">
        <f ca="1">IF(S359=1,T$3*Q358/Prices!B358,-T$3*R358)</f>
        <v>-7.3008896246970489E-4</v>
      </c>
      <c r="V359" s="13"/>
      <c r="W359" s="4"/>
      <c r="X359" s="4"/>
      <c r="Y359" s="4"/>
      <c r="Z359" s="4"/>
      <c r="AA359" s="4"/>
      <c r="AB359" s="4"/>
      <c r="AC359" s="4"/>
      <c r="AD359" s="4"/>
      <c r="AE359" s="52"/>
    </row>
    <row r="360" spans="1:31" x14ac:dyDescent="0.2">
      <c r="A360" s="7">
        <v>43884</v>
      </c>
      <c r="B360" s="13">
        <f ca="1">Prices!B359*(1+J360/(50*(ABS(O360)+ABS(T360)+0.0001)))</f>
        <v>0</v>
      </c>
      <c r="C360" s="62">
        <f t="shared" ca="1" si="34"/>
        <v>0</v>
      </c>
      <c r="D360" s="13" t="e">
        <f ca="1">D359+C360*(Prices!B360-Prices!B359)/Prices!B359</f>
        <v>#DIV/0!</v>
      </c>
      <c r="E360" s="13" t="e">
        <f t="shared" ca="1" si="37"/>
        <v>#DIV/0!</v>
      </c>
      <c r="F360" s="13" t="e">
        <f t="shared" ca="1" si="35"/>
        <v>#DIV/0!</v>
      </c>
      <c r="G360" s="21">
        <f ca="1">IF((Prices!B360-Prices!B359)*C360&gt;0,1,0)</f>
        <v>0</v>
      </c>
      <c r="H360" s="13" t="e">
        <f>ABS(Prices!B360-Prices!B359)/Prices!B359</f>
        <v>#DIV/0!</v>
      </c>
      <c r="I360" s="21"/>
      <c r="J360" s="4">
        <f t="shared" ca="1" si="36"/>
        <v>-1.6744357061547217E-3</v>
      </c>
      <c r="K360" s="13"/>
      <c r="L360" s="13">
        <f ca="1">L359-O360*Prices!B360</f>
        <v>0.75951846501508558</v>
      </c>
      <c r="M360" s="4">
        <f t="shared" ca="1" si="33"/>
        <v>9.0904927527656124E-3</v>
      </c>
      <c r="N360" s="13">
        <f ca="1">IF(Prices!B359&gt;OFFSET(Prices!B359,-$N$3,0),1,-1)</f>
        <v>-1</v>
      </c>
      <c r="O360" s="4">
        <f ca="1">IF(N360=1,O$3*L359/Prices!B359,-O$3*M359)</f>
        <v>-1.0100547503072903E-3</v>
      </c>
      <c r="P360" s="22"/>
      <c r="Q360" s="13">
        <f ca="1">Q359-T360*Prices!B360</f>
        <v>0.90325095606435002</v>
      </c>
      <c r="R360" s="4">
        <f t="shared" ca="1" si="32"/>
        <v>6.7176296646795849E-3</v>
      </c>
      <c r="S360" s="13">
        <f ca="1">IF(Prices!B359&gt;OFFSET(Prices!B359,-S$3,0),1,-1)</f>
        <v>-1</v>
      </c>
      <c r="T360" s="4">
        <f ca="1">IF(S360=1,T$3*Q359/Prices!B359,-T$3*R359)</f>
        <v>-6.6438095584743148E-4</v>
      </c>
      <c r="V360" s="13"/>
      <c r="W360" s="4"/>
      <c r="X360" s="4"/>
      <c r="Y360" s="4"/>
      <c r="Z360" s="4"/>
      <c r="AA360" s="4"/>
      <c r="AB360" s="4"/>
      <c r="AC360" s="4"/>
      <c r="AD360" s="4"/>
      <c r="AE360" s="52"/>
    </row>
    <row r="361" spans="1:31" x14ac:dyDescent="0.2">
      <c r="A361" s="7">
        <v>43891</v>
      </c>
      <c r="B361" s="13">
        <f ca="1">Prices!B360*(1+J361/(50*(ABS(O361)+ABS(T361)+0.0001)))</f>
        <v>0</v>
      </c>
      <c r="C361" s="62">
        <f t="shared" ca="1" si="34"/>
        <v>0</v>
      </c>
      <c r="D361" s="13" t="e">
        <f ca="1">D360+C361*(Prices!B361-Prices!B360)/Prices!B360</f>
        <v>#DIV/0!</v>
      </c>
      <c r="E361" s="13" t="e">
        <f t="shared" ca="1" si="37"/>
        <v>#DIV/0!</v>
      </c>
      <c r="F361" s="13" t="e">
        <f t="shared" ca="1" si="35"/>
        <v>#DIV/0!</v>
      </c>
      <c r="G361" s="21">
        <f ca="1">IF((Prices!B361-Prices!B360)*C361&gt;0,1,0)</f>
        <v>0</v>
      </c>
      <c r="H361" s="13" t="e">
        <f>ABS(Prices!B361-Prices!B360)/Prices!B360</f>
        <v>#DIV/0!</v>
      </c>
      <c r="I361" s="21"/>
      <c r="J361" s="4">
        <f t="shared" ca="1" si="36"/>
        <v>-1.513635945097724E-3</v>
      </c>
      <c r="K361" s="13"/>
      <c r="L361" s="13">
        <f ca="1">L360-O361*Prices!B361</f>
        <v>0.75951846501508558</v>
      </c>
      <c r="M361" s="4">
        <f t="shared" ca="1" si="33"/>
        <v>8.1814434774890518E-3</v>
      </c>
      <c r="N361" s="13">
        <f ca="1">IF(Prices!B360&gt;OFFSET(Prices!B360,-$N$3,0),1,-1)</f>
        <v>-1</v>
      </c>
      <c r="O361" s="4">
        <f ca="1">IF(N361=1,O$3*L360/Prices!B360,-O$3*M360)</f>
        <v>-9.090492752765613E-4</v>
      </c>
      <c r="P361" s="22"/>
      <c r="Q361" s="13">
        <f ca="1">Q360-T361*Prices!B361</f>
        <v>0.90325095606435002</v>
      </c>
      <c r="R361" s="4">
        <f t="shared" ca="1" si="32"/>
        <v>6.1130429948584222E-3</v>
      </c>
      <c r="S361" s="13">
        <f ca="1">IF(Prices!B360&gt;OFFSET(Prices!B360,-S$3,0),1,-1)</f>
        <v>-1</v>
      </c>
      <c r="T361" s="4">
        <f ca="1">IF(S361=1,T$3*Q360/Prices!B360,-T$3*R360)</f>
        <v>-6.0458666982116268E-4</v>
      </c>
      <c r="V361" s="13"/>
      <c r="W361" s="4"/>
      <c r="X361" s="4"/>
      <c r="Y361" s="4"/>
      <c r="Z361" s="4"/>
      <c r="AA361" s="4"/>
      <c r="AB361" s="4"/>
      <c r="AC361" s="4"/>
      <c r="AD361" s="4"/>
      <c r="AE361" s="52"/>
    </row>
    <row r="362" spans="1:31" x14ac:dyDescent="0.2">
      <c r="A362" s="7">
        <v>43898</v>
      </c>
      <c r="B362" s="13">
        <f ca="1">Prices!B361*(1+J362/(50*(ABS(O362)+ABS(T362)+0.0001)))</f>
        <v>0</v>
      </c>
      <c r="C362" s="62">
        <f t="shared" ca="1" si="34"/>
        <v>0</v>
      </c>
      <c r="D362" s="13" t="e">
        <f ca="1">D361+C362*(Prices!B362-Prices!B361)/Prices!B361</f>
        <v>#DIV/0!</v>
      </c>
      <c r="E362" s="13" t="e">
        <f t="shared" ca="1" si="37"/>
        <v>#DIV/0!</v>
      </c>
      <c r="F362" s="13" t="e">
        <f t="shared" ca="1" si="35"/>
        <v>#DIV/0!</v>
      </c>
      <c r="G362" s="21">
        <f ca="1">IF((Prices!B362-Prices!B361)*C362&gt;0,1,0)</f>
        <v>0</v>
      </c>
      <c r="H362" s="13" t="e">
        <f>ABS(Prices!B362-Prices!B361)/Prices!B361</f>
        <v>#DIV/0!</v>
      </c>
      <c r="I362" s="21"/>
      <c r="J362" s="4">
        <f t="shared" ca="1" si="36"/>
        <v>-1.3683182172861633E-3</v>
      </c>
      <c r="K362" s="13"/>
      <c r="L362" s="13">
        <f ca="1">L361-O362*Prices!B362</f>
        <v>0.75951846501508558</v>
      </c>
      <c r="M362" s="4">
        <f t="shared" ca="1" si="33"/>
        <v>7.3632991297401468E-3</v>
      </c>
      <c r="N362" s="13">
        <f ca="1">IF(Prices!B361&gt;OFFSET(Prices!B361,-$N$3,0),1,-1)</f>
        <v>-1</v>
      </c>
      <c r="O362" s="4">
        <f ca="1">IF(N362=1,O$3*L361/Prices!B361,-O$3*M361)</f>
        <v>-8.1814434774890523E-4</v>
      </c>
      <c r="P362" s="22"/>
      <c r="Q362" s="13">
        <f ca="1">Q361-T362*Prices!B362</f>
        <v>0.90325095606435002</v>
      </c>
      <c r="R362" s="4">
        <f t="shared" ca="1" si="32"/>
        <v>5.5628691253211638E-3</v>
      </c>
      <c r="S362" s="13">
        <f ca="1">IF(Prices!B361&gt;OFFSET(Prices!B361,-S$3,0),1,-1)</f>
        <v>-1</v>
      </c>
      <c r="T362" s="4">
        <f ca="1">IF(S362=1,T$3*Q361/Prices!B361,-T$3*R361)</f>
        <v>-5.50173869537258E-4</v>
      </c>
      <c r="V362" s="13"/>
      <c r="W362" s="4"/>
      <c r="X362" s="4"/>
      <c r="Y362" s="4"/>
      <c r="Z362" s="4"/>
      <c r="AA362" s="4"/>
      <c r="AB362" s="4"/>
      <c r="AC362" s="4"/>
      <c r="AD362" s="4"/>
      <c r="AE362" s="52"/>
    </row>
    <row r="363" spans="1:31" x14ac:dyDescent="0.2">
      <c r="A363" s="7">
        <v>43905</v>
      </c>
      <c r="B363" s="13">
        <f ca="1">Prices!B362*(1+J363/(50*(ABS(O363)+ABS(T363)+0.0001)))</f>
        <v>0</v>
      </c>
      <c r="C363" s="62">
        <f t="shared" ca="1" si="34"/>
        <v>0</v>
      </c>
      <c r="D363" s="13" t="e">
        <f ca="1">D362+C363*(Prices!B363-Prices!B362)/Prices!B362</f>
        <v>#DIV/0!</v>
      </c>
      <c r="E363" s="13" t="e">
        <f t="shared" ca="1" si="37"/>
        <v>#DIV/0!</v>
      </c>
      <c r="F363" s="13" t="e">
        <f t="shared" ca="1" si="35"/>
        <v>#DIV/0!</v>
      </c>
      <c r="G363" s="21">
        <f ca="1">IF((Prices!B363-Prices!B362)*C363&gt;0,1,0)</f>
        <v>0</v>
      </c>
      <c r="H363" s="13" t="e">
        <f>ABS(Prices!B363-Prices!B362)/Prices!B362</f>
        <v>#DIV/0!</v>
      </c>
      <c r="I363" s="21"/>
      <c r="J363" s="4">
        <f t="shared" ca="1" si="36"/>
        <v>-1.2369881342529196E-3</v>
      </c>
      <c r="K363" s="13"/>
      <c r="L363" s="13">
        <f ca="1">L362-O363*Prices!B363</f>
        <v>0.75951846501508558</v>
      </c>
      <c r="M363" s="4">
        <f t="shared" ca="1" si="33"/>
        <v>6.6269692167661319E-3</v>
      </c>
      <c r="N363" s="13">
        <f ca="1">IF(Prices!B362&gt;OFFSET(Prices!B362,-$N$3,0),1,-1)</f>
        <v>-1</v>
      </c>
      <c r="O363" s="4">
        <f ca="1">IF(N363=1,O$3*L362/Prices!B362,-O$3*M362)</f>
        <v>-7.3632991297401472E-4</v>
      </c>
      <c r="P363" s="22"/>
      <c r="Q363" s="13">
        <f ca="1">Q362-T363*Prices!B363</f>
        <v>0.90325095606435002</v>
      </c>
      <c r="R363" s="4">
        <f t="shared" ca="1" si="32"/>
        <v>5.0622109040422587E-3</v>
      </c>
      <c r="S363" s="13">
        <f ca="1">IF(Prices!B362&gt;OFFSET(Prices!B362,-S$3,0),1,-1)</f>
        <v>-1</v>
      </c>
      <c r="T363" s="4">
        <f ca="1">IF(S363=1,T$3*Q362/Prices!B362,-T$3*R362)</f>
        <v>-5.0065822127890478E-4</v>
      </c>
      <c r="V363" s="13"/>
      <c r="W363" s="4"/>
      <c r="X363" s="4"/>
      <c r="Y363" s="4"/>
      <c r="Z363" s="4"/>
      <c r="AA363" s="4"/>
      <c r="AB363" s="4"/>
      <c r="AC363" s="4"/>
      <c r="AD363" s="4"/>
      <c r="AE363" s="52"/>
    </row>
    <row r="364" spans="1:31" x14ac:dyDescent="0.2">
      <c r="A364" s="7">
        <v>43912</v>
      </c>
      <c r="B364" s="13">
        <f ca="1">Prices!B363*(1+J364/(50*(ABS(O364)+ABS(T364)+0.0001)))</f>
        <v>0</v>
      </c>
      <c r="C364" s="62">
        <f t="shared" ca="1" si="34"/>
        <v>0</v>
      </c>
      <c r="D364" s="13" t="e">
        <f ca="1">D363+C364*(Prices!B364-Prices!B363)/Prices!B363</f>
        <v>#DIV/0!</v>
      </c>
      <c r="E364" s="13" t="e">
        <f t="shared" ca="1" si="37"/>
        <v>#DIV/0!</v>
      </c>
      <c r="F364" s="13" t="e">
        <f t="shared" ca="1" si="35"/>
        <v>#DIV/0!</v>
      </c>
      <c r="G364" s="21">
        <f ca="1">IF((Prices!B364-Prices!B363)*C364&gt;0,1,0)</f>
        <v>0</v>
      </c>
      <c r="H364" s="13" t="e">
        <f>ABS(Prices!B364-Prices!B363)/Prices!B363</f>
        <v>#DIV/0!</v>
      </c>
      <c r="I364" s="21"/>
      <c r="J364" s="4">
        <f t="shared" ca="1" si="36"/>
        <v>-1.1182959030404164E-3</v>
      </c>
      <c r="K364" s="13"/>
      <c r="L364" s="13">
        <f ca="1">L363-O364*Prices!B364</f>
        <v>0.75951846501508558</v>
      </c>
      <c r="M364" s="4">
        <f t="shared" ca="1" si="33"/>
        <v>5.9642722950895184E-3</v>
      </c>
      <c r="N364" s="13">
        <f ca="1">IF(Prices!B363&gt;OFFSET(Prices!B363,-$N$3,0),1,-1)</f>
        <v>-1</v>
      </c>
      <c r="O364" s="4">
        <f ca="1">IF(N364=1,O$3*L363/Prices!B363,-O$3*M363)</f>
        <v>-6.6269692167661323E-4</v>
      </c>
      <c r="P364" s="22"/>
      <c r="Q364" s="13">
        <f ca="1">Q363-T364*Prices!B364</f>
        <v>0.90325095606435002</v>
      </c>
      <c r="R364" s="4">
        <f t="shared" ca="1" si="32"/>
        <v>4.6066119226784554E-3</v>
      </c>
      <c r="S364" s="13">
        <f ca="1">IF(Prices!B363&gt;OFFSET(Prices!B363,-S$3,0),1,-1)</f>
        <v>-1</v>
      </c>
      <c r="T364" s="4">
        <f ca="1">IF(S364=1,T$3*Q363/Prices!B363,-T$3*R363)</f>
        <v>-4.5559898136380325E-4</v>
      </c>
      <c r="V364" s="13"/>
      <c r="W364" s="4"/>
      <c r="X364" s="4"/>
      <c r="Y364" s="4"/>
      <c r="Z364" s="4"/>
      <c r="AA364" s="4"/>
      <c r="AB364" s="4"/>
      <c r="AC364" s="4"/>
      <c r="AD364" s="4"/>
      <c r="AE364" s="52"/>
    </row>
    <row r="365" spans="1:31" x14ac:dyDescent="0.2">
      <c r="A365" s="7">
        <v>43919</v>
      </c>
      <c r="B365" s="13">
        <f ca="1">Prices!B364*(1+J365/(50*(ABS(O365)+ABS(T365)+0.0001)))</f>
        <v>0</v>
      </c>
      <c r="C365" s="62">
        <f t="shared" ca="1" si="34"/>
        <v>0</v>
      </c>
      <c r="D365" s="13" t="e">
        <f ca="1">D364+C365*(Prices!B365-Prices!B364)/Prices!B364</f>
        <v>#DIV/0!</v>
      </c>
      <c r="E365" s="13" t="e">
        <f t="shared" ca="1" si="37"/>
        <v>#DIV/0!</v>
      </c>
      <c r="F365" s="13" t="e">
        <f t="shared" ca="1" si="35"/>
        <v>#DIV/0!</v>
      </c>
      <c r="G365" s="21">
        <f ca="1">IF((Prices!B365-Prices!B364)*C365&gt;0,1,0)</f>
        <v>0</v>
      </c>
      <c r="H365" s="13" t="e">
        <f>ABS(Prices!B365-Prices!B364)/Prices!B364</f>
        <v>#DIV/0!</v>
      </c>
      <c r="I365" s="21"/>
      <c r="J365" s="4">
        <f t="shared" ca="1" si="36"/>
        <v>-1.0110223025500127E-3</v>
      </c>
      <c r="K365" s="13"/>
      <c r="L365" s="13">
        <f ca="1">L364-O365*Prices!B365</f>
        <v>0.75951846501508558</v>
      </c>
      <c r="M365" s="4">
        <f t="shared" ca="1" si="33"/>
        <v>5.3678450655805666E-3</v>
      </c>
      <c r="N365" s="13">
        <f ca="1">IF(Prices!B364&gt;OFFSET(Prices!B364,-$N$3,0),1,-1)</f>
        <v>-1</v>
      </c>
      <c r="O365" s="4">
        <f ca="1">IF(N365=1,O$3*L364/Prices!B364,-O$3*M364)</f>
        <v>-5.9642722950895184E-4</v>
      </c>
      <c r="P365" s="22"/>
      <c r="Q365" s="13">
        <f ca="1">Q364-T365*Prices!B365</f>
        <v>0.90325095606435002</v>
      </c>
      <c r="R365" s="4">
        <f t="shared" ca="1" si="32"/>
        <v>4.1920168496373941E-3</v>
      </c>
      <c r="S365" s="13">
        <f ca="1">IF(Prices!B364&gt;OFFSET(Prices!B364,-S$3,0),1,-1)</f>
        <v>-1</v>
      </c>
      <c r="T365" s="4">
        <f ca="1">IF(S365=1,T$3*Q364/Prices!B364,-T$3*R364)</f>
        <v>-4.1459507304106096E-4</v>
      </c>
      <c r="V365" s="13"/>
      <c r="W365" s="4"/>
      <c r="X365" s="4"/>
      <c r="Y365" s="4"/>
      <c r="Z365" s="4"/>
      <c r="AA365" s="4"/>
      <c r="AB365" s="4"/>
      <c r="AC365" s="4"/>
      <c r="AD365" s="4"/>
      <c r="AE365" s="52"/>
    </row>
    <row r="366" spans="1:31" x14ac:dyDescent="0.2">
      <c r="A366" s="7">
        <v>43926</v>
      </c>
      <c r="B366" s="13">
        <f ca="1">Prices!B365*(1+J366/(50*(ABS(O366)+ABS(T366)+0.0001)))</f>
        <v>0</v>
      </c>
      <c r="C366" s="62">
        <f t="shared" ca="1" si="34"/>
        <v>0</v>
      </c>
      <c r="D366" s="13" t="e">
        <f ca="1">D365+C366*(Prices!B366-Prices!B365)/Prices!B365</f>
        <v>#DIV/0!</v>
      </c>
      <c r="E366" s="13" t="e">
        <f t="shared" ca="1" si="37"/>
        <v>#DIV/0!</v>
      </c>
      <c r="F366" s="13" t="e">
        <f t="shared" ca="1" si="35"/>
        <v>#DIV/0!</v>
      </c>
      <c r="G366" s="21">
        <f ca="1">IF((Prices!B366-Prices!B365)*C366&gt;0,1,0)</f>
        <v>0</v>
      </c>
      <c r="H366" s="13" t="e">
        <f>ABS(Prices!B366-Prices!B365)/Prices!B365</f>
        <v>#DIV/0!</v>
      </c>
      <c r="I366" s="21"/>
      <c r="J366" s="4">
        <f t="shared" ca="1" si="36"/>
        <v>-9.1406602302542212E-4</v>
      </c>
      <c r="K366" s="13"/>
      <c r="L366" s="13">
        <f ca="1">L365-O366*Prices!B366</f>
        <v>0.75951846501508558</v>
      </c>
      <c r="M366" s="4">
        <f t="shared" ca="1" si="33"/>
        <v>4.8310605590225096E-3</v>
      </c>
      <c r="N366" s="13">
        <f ca="1">IF(Prices!B365&gt;OFFSET(Prices!B365,-$N$3,0),1,-1)</f>
        <v>-1</v>
      </c>
      <c r="O366" s="4">
        <f ca="1">IF(N366=1,O$3*L365/Prices!B365,-O$3*M365)</f>
        <v>-5.3678450655805668E-4</v>
      </c>
      <c r="P366" s="22"/>
      <c r="Q366" s="13">
        <f ca="1">Q365-T366*Prices!B366</f>
        <v>0.90325095606435002</v>
      </c>
      <c r="R366" s="4">
        <f t="shared" ca="1" si="32"/>
        <v>3.8147353331700285E-3</v>
      </c>
      <c r="S366" s="13">
        <f ca="1">IF(Prices!B365&gt;OFFSET(Prices!B365,-S$3,0),1,-1)</f>
        <v>-1</v>
      </c>
      <c r="T366" s="4">
        <f ca="1">IF(S366=1,T$3*Q365/Prices!B365,-T$3*R365)</f>
        <v>-3.7728151646736544E-4</v>
      </c>
      <c r="V366" s="13"/>
      <c r="W366" s="4"/>
      <c r="X366" s="4"/>
      <c r="Y366" s="4"/>
      <c r="Z366" s="4"/>
      <c r="AA366" s="4"/>
      <c r="AB366" s="4"/>
      <c r="AC366" s="4"/>
      <c r="AD366" s="4"/>
      <c r="AE366" s="52"/>
    </row>
    <row r="367" spans="1:31" x14ac:dyDescent="0.2">
      <c r="A367" s="7">
        <v>43933</v>
      </c>
      <c r="B367" s="13">
        <f ca="1">Prices!B366*(1+J367/(50*(ABS(O367)+ABS(T367)+0.0001)))</f>
        <v>0</v>
      </c>
      <c r="C367" s="62">
        <f t="shared" ca="1" si="34"/>
        <v>0</v>
      </c>
      <c r="D367" s="13" t="e">
        <f ca="1">D366+C367*(Prices!B367-Prices!B366)/Prices!B366</f>
        <v>#DIV/0!</v>
      </c>
      <c r="E367" s="13" t="e">
        <f t="shared" ca="1" si="37"/>
        <v>#DIV/0!</v>
      </c>
      <c r="F367" s="13" t="e">
        <f t="shared" ca="1" si="35"/>
        <v>#DIV/0!</v>
      </c>
      <c r="G367" s="21">
        <f ca="1">IF((Prices!B367-Prices!B366)*C367&gt;0,1,0)</f>
        <v>0</v>
      </c>
      <c r="H367" s="13" t="e">
        <f>ABS(Prices!B367-Prices!B366)/Prices!B366</f>
        <v>#DIV/0!</v>
      </c>
      <c r="I367" s="21"/>
      <c r="J367" s="4">
        <f t="shared" ca="1" si="36"/>
        <v>-8.2643223588755362E-4</v>
      </c>
      <c r="K367" s="13"/>
      <c r="L367" s="13">
        <f ca="1">L366-O367*Prices!B367</f>
        <v>0.75951846501508558</v>
      </c>
      <c r="M367" s="4">
        <f t="shared" ca="1" si="33"/>
        <v>4.3479545031202584E-3</v>
      </c>
      <c r="N367" s="13">
        <f ca="1">IF(Prices!B366&gt;OFFSET(Prices!B366,-$N$3,0),1,-1)</f>
        <v>-1</v>
      </c>
      <c r="O367" s="4">
        <f ca="1">IF(N367=1,O$3*L366/Prices!B366,-O$3*M366)</f>
        <v>-4.83106055902251E-4</v>
      </c>
      <c r="P367" s="22"/>
      <c r="Q367" s="13">
        <f ca="1">Q366-T367*Prices!B367</f>
        <v>0.90325095606435002</v>
      </c>
      <c r="R367" s="4">
        <f t="shared" ca="1" si="32"/>
        <v>3.4714091531847261E-3</v>
      </c>
      <c r="S367" s="13">
        <f ca="1">IF(Prices!B366&gt;OFFSET(Prices!B366,-S$3,0),1,-1)</f>
        <v>-1</v>
      </c>
      <c r="T367" s="4">
        <f ca="1">IF(S367=1,T$3*Q366/Prices!B366,-T$3*R366)</f>
        <v>-3.4332617998530257E-4</v>
      </c>
      <c r="V367" s="13"/>
      <c r="W367" s="4"/>
      <c r="X367" s="4"/>
      <c r="Y367" s="4"/>
      <c r="Z367" s="4"/>
      <c r="AA367" s="4"/>
      <c r="AB367" s="4"/>
      <c r="AC367" s="4"/>
      <c r="AD367" s="4"/>
      <c r="AE367" s="52"/>
    </row>
    <row r="368" spans="1:31" x14ac:dyDescent="0.2">
      <c r="A368" s="7">
        <v>43940</v>
      </c>
      <c r="B368" s="13">
        <f ca="1">Prices!B367*(1+J368/(50*(ABS(O368)+ABS(T368)+0.0001)))</f>
        <v>0</v>
      </c>
      <c r="C368" s="62">
        <f t="shared" ca="1" si="34"/>
        <v>0</v>
      </c>
      <c r="D368" s="13" t="e">
        <f ca="1">D367+C368*(Prices!B368-Prices!B367)/Prices!B367</f>
        <v>#DIV/0!</v>
      </c>
      <c r="E368" s="13" t="e">
        <f t="shared" ca="1" si="37"/>
        <v>#DIV/0!</v>
      </c>
      <c r="F368" s="13" t="e">
        <f t="shared" ca="1" si="35"/>
        <v>#DIV/0!</v>
      </c>
      <c r="G368" s="21">
        <f ca="1">IF((Prices!B368-Prices!B367)*C368&gt;0,1,0)</f>
        <v>0</v>
      </c>
      <c r="H368" s="13" t="e">
        <f>ABS(Prices!B368-Prices!B367)/Prices!B367</f>
        <v>#DIV/0!</v>
      </c>
      <c r="I368" s="21"/>
      <c r="J368" s="4">
        <f t="shared" ca="1" si="36"/>
        <v>-7.4722227409865119E-4</v>
      </c>
      <c r="K368" s="13"/>
      <c r="L368" s="13">
        <f ca="1">L367-O368*Prices!B368</f>
        <v>0.75951846501508558</v>
      </c>
      <c r="M368" s="4">
        <f t="shared" ca="1" si="33"/>
        <v>3.9131590528082329E-3</v>
      </c>
      <c r="N368" s="13">
        <f ca="1">IF(Prices!B367&gt;OFFSET(Prices!B367,-$N$3,0),1,-1)</f>
        <v>-1</v>
      </c>
      <c r="O368" s="4">
        <f ca="1">IF(N368=1,O$3*L367/Prices!B367,-O$3*M367)</f>
        <v>-4.3479545031202587E-4</v>
      </c>
      <c r="P368" s="22"/>
      <c r="Q368" s="13">
        <f ca="1">Q367-T368*Prices!B368</f>
        <v>0.90325095606435002</v>
      </c>
      <c r="R368" s="4">
        <f t="shared" ca="1" si="32"/>
        <v>3.1589823293981007E-3</v>
      </c>
      <c r="S368" s="13">
        <f ca="1">IF(Prices!B367&gt;OFFSET(Prices!B367,-S$3,0),1,-1)</f>
        <v>-1</v>
      </c>
      <c r="T368" s="4">
        <f ca="1">IF(S368=1,T$3*Q367/Prices!B367,-T$3*R367)</f>
        <v>-3.1242682378662532E-4</v>
      </c>
      <c r="V368" s="13"/>
      <c r="W368" s="4"/>
      <c r="X368" s="4"/>
      <c r="Y368" s="4"/>
      <c r="Z368" s="4"/>
      <c r="AA368" s="4"/>
      <c r="AB368" s="4"/>
      <c r="AC368" s="4"/>
      <c r="AD368" s="4"/>
      <c r="AE368" s="52"/>
    </row>
    <row r="369" spans="1:31" x14ac:dyDescent="0.2">
      <c r="A369" s="7">
        <v>43947</v>
      </c>
      <c r="B369" s="13">
        <f ca="1">Prices!B368*(1+J369/(50*(ABS(O369)+ABS(T369)+0.0001)))</f>
        <v>0</v>
      </c>
      <c r="C369" s="62">
        <f t="shared" ca="1" si="34"/>
        <v>0</v>
      </c>
      <c r="D369" s="13" t="e">
        <f ca="1">D368+C369*(Prices!B369-Prices!B368)/Prices!B368</f>
        <v>#DIV/0!</v>
      </c>
      <c r="E369" s="13" t="e">
        <f t="shared" ca="1" si="37"/>
        <v>#DIV/0!</v>
      </c>
      <c r="F369" s="13" t="e">
        <f t="shared" ca="1" si="35"/>
        <v>#DIV/0!</v>
      </c>
      <c r="G369" s="21">
        <f ca="1">IF((Prices!B369-Prices!B368)*C369&gt;0,1,0)</f>
        <v>0</v>
      </c>
      <c r="H369" s="13" t="e">
        <f>ABS(Prices!B369-Prices!B368)/Prices!B368</f>
        <v>#DIV/0!</v>
      </c>
      <c r="I369" s="21"/>
      <c r="J369" s="4">
        <f t="shared" ca="1" si="36"/>
        <v>-6.7562431492665235E-4</v>
      </c>
      <c r="K369" s="13"/>
      <c r="L369" s="13">
        <f ca="1">L368-O369*Prices!B369</f>
        <v>0.75951846501508558</v>
      </c>
      <c r="M369" s="4">
        <f t="shared" ca="1" si="33"/>
        <v>3.5218431475274098E-3</v>
      </c>
      <c r="N369" s="13">
        <f ca="1">IF(Prices!B368&gt;OFFSET(Prices!B368,-$N$3,0),1,-1)</f>
        <v>-1</v>
      </c>
      <c r="O369" s="4">
        <f ca="1">IF(N369=1,O$3*L368/Prices!B368,-O$3*M368)</f>
        <v>-3.9131590528082333E-4</v>
      </c>
      <c r="P369" s="22"/>
      <c r="Q369" s="13">
        <f ca="1">Q368-T369*Prices!B369</f>
        <v>0.90325095606435002</v>
      </c>
      <c r="R369" s="4">
        <f t="shared" ca="1" si="32"/>
        <v>2.8746739197522716E-3</v>
      </c>
      <c r="S369" s="13">
        <f ca="1">IF(Prices!B368&gt;OFFSET(Prices!B368,-S$3,0),1,-1)</f>
        <v>-1</v>
      </c>
      <c r="T369" s="4">
        <f ca="1">IF(S369=1,T$3*Q368/Prices!B368,-T$3*R368)</f>
        <v>-2.8430840964582907E-4</v>
      </c>
      <c r="V369" s="13"/>
      <c r="W369" s="4"/>
      <c r="X369" s="4"/>
      <c r="Y369" s="4"/>
      <c r="Z369" s="4"/>
      <c r="AA369" s="4"/>
      <c r="AB369" s="4"/>
      <c r="AC369" s="4"/>
      <c r="AD369" s="4"/>
      <c r="AE369" s="52"/>
    </row>
    <row r="370" spans="1:31" x14ac:dyDescent="0.2">
      <c r="A370" s="7">
        <v>43954</v>
      </c>
      <c r="B370" s="13">
        <f ca="1">Prices!B369*(1+J370/(50*(ABS(O370)+ABS(T370)+0.0001)))</f>
        <v>0</v>
      </c>
      <c r="C370" s="62">
        <f t="shared" ca="1" si="34"/>
        <v>0</v>
      </c>
      <c r="D370" s="13" t="e">
        <f ca="1">D369+C370*(Prices!B370-Prices!B369)/Prices!B369</f>
        <v>#DIV/0!</v>
      </c>
      <c r="E370" s="13" t="e">
        <f t="shared" ca="1" si="37"/>
        <v>#DIV/0!</v>
      </c>
      <c r="F370" s="13" t="e">
        <f t="shared" ca="1" si="35"/>
        <v>#DIV/0!</v>
      </c>
      <c r="G370" s="21">
        <f ca="1">IF((Prices!B370-Prices!B369)*C370&gt;0,1,0)</f>
        <v>0</v>
      </c>
      <c r="H370" s="13" t="e">
        <f>ABS(Prices!B370-Prices!B369)/Prices!B369</f>
        <v>#DIV/0!</v>
      </c>
      <c r="I370" s="21"/>
      <c r="J370" s="4">
        <f t="shared" ca="1" si="36"/>
        <v>-6.1090496753044541E-4</v>
      </c>
      <c r="K370" s="13"/>
      <c r="L370" s="13">
        <f ca="1">L369-O370*Prices!B370</f>
        <v>0.75951846501508558</v>
      </c>
      <c r="M370" s="4">
        <f t="shared" ca="1" si="33"/>
        <v>3.1696588327746688E-3</v>
      </c>
      <c r="N370" s="13">
        <f ca="1">IF(Prices!B369&gt;OFFSET(Prices!B369,-$N$3,0),1,-1)</f>
        <v>-1</v>
      </c>
      <c r="O370" s="4">
        <f ca="1">IF(N370=1,O$3*L369/Prices!B369,-O$3*M369)</f>
        <v>-3.5218431475274098E-4</v>
      </c>
      <c r="P370" s="22"/>
      <c r="Q370" s="13">
        <f ca="1">Q369-T370*Prices!B370</f>
        <v>0.90325095606435002</v>
      </c>
      <c r="R370" s="4">
        <f t="shared" ca="1" si="32"/>
        <v>2.6159532669745673E-3</v>
      </c>
      <c r="S370" s="13">
        <f ca="1">IF(Prices!B369&gt;OFFSET(Prices!B369,-S$3,0),1,-1)</f>
        <v>-1</v>
      </c>
      <c r="T370" s="4">
        <f ca="1">IF(S370=1,T$3*Q369/Prices!B369,-T$3*R369)</f>
        <v>-2.5872065277770444E-4</v>
      </c>
      <c r="V370" s="13"/>
      <c r="W370" s="4"/>
      <c r="X370" s="4"/>
      <c r="Y370" s="4"/>
      <c r="Z370" s="4"/>
      <c r="AA370" s="4"/>
      <c r="AB370" s="4"/>
      <c r="AC370" s="4"/>
      <c r="AD370" s="4"/>
      <c r="AE370" s="52"/>
    </row>
    <row r="371" spans="1:31" x14ac:dyDescent="0.2">
      <c r="A371" s="7">
        <v>43961</v>
      </c>
      <c r="B371" s="13">
        <f ca="1">Prices!B370*(1+J371/(50*(ABS(O371)+ABS(T371)+0.0001)))</f>
        <v>0</v>
      </c>
      <c r="C371" s="62">
        <f t="shared" ca="1" si="34"/>
        <v>0</v>
      </c>
      <c r="D371" s="13" t="e">
        <f ca="1">D370+C371*(Prices!B371-Prices!B370)/Prices!B370</f>
        <v>#DIV/0!</v>
      </c>
      <c r="E371" s="13" t="e">
        <f t="shared" ca="1" si="37"/>
        <v>#DIV/0!</v>
      </c>
      <c r="F371" s="13" t="e">
        <f t="shared" ca="1" si="35"/>
        <v>#DIV/0!</v>
      </c>
      <c r="G371" s="21">
        <f ca="1">IF((Prices!B371-Prices!B370)*C371&gt;0,1,0)</f>
        <v>0</v>
      </c>
      <c r="H371" s="13" t="e">
        <f>ABS(Prices!B371-Prices!B370)/Prices!B370</f>
        <v>#DIV/0!</v>
      </c>
      <c r="I371" s="21"/>
      <c r="J371" s="4">
        <f t="shared" ca="1" si="36"/>
        <v>-5.5240167730517798E-4</v>
      </c>
      <c r="K371" s="13"/>
      <c r="L371" s="13">
        <f ca="1">L370-O371*Prices!B371</f>
        <v>0.75951846501508558</v>
      </c>
      <c r="M371" s="4">
        <f t="shared" ca="1" si="33"/>
        <v>2.8526929494972018E-3</v>
      </c>
      <c r="N371" s="13">
        <f ca="1">IF(Prices!B370&gt;OFFSET(Prices!B370,-$N$3,0),1,-1)</f>
        <v>-1</v>
      </c>
      <c r="O371" s="4">
        <f ca="1">IF(N371=1,O$3*L370/Prices!B370,-O$3*M370)</f>
        <v>-3.169658832774669E-4</v>
      </c>
      <c r="P371" s="22"/>
      <c r="Q371" s="13">
        <f ca="1">Q370-T371*Prices!B371</f>
        <v>0.90325095606435002</v>
      </c>
      <c r="R371" s="4">
        <f t="shared" ca="1" si="32"/>
        <v>2.3805174729468561E-3</v>
      </c>
      <c r="S371" s="13">
        <f ca="1">IF(Prices!B370&gt;OFFSET(Prices!B370,-S$3,0),1,-1)</f>
        <v>-1</v>
      </c>
      <c r="T371" s="4">
        <f ca="1">IF(S371=1,T$3*Q370/Prices!B370,-T$3*R370)</f>
        <v>-2.3543579402771105E-4</v>
      </c>
      <c r="V371" s="13"/>
      <c r="W371" s="4"/>
      <c r="X371" s="4"/>
      <c r="Y371" s="4"/>
      <c r="Z371" s="4"/>
      <c r="AA371" s="4"/>
      <c r="AB371" s="4"/>
      <c r="AC371" s="4"/>
      <c r="AD371" s="4"/>
      <c r="AE371" s="52"/>
    </row>
    <row r="372" spans="1:31" x14ac:dyDescent="0.2">
      <c r="A372" s="7">
        <v>43968</v>
      </c>
      <c r="B372" s="13">
        <f ca="1">Prices!B371*(1+J372/(50*(ABS(O372)+ABS(T372)+0.0001)))</f>
        <v>0</v>
      </c>
      <c r="C372" s="62">
        <f t="shared" ca="1" si="34"/>
        <v>0</v>
      </c>
      <c r="D372" s="13" t="e">
        <f ca="1">D371+C372*(Prices!B372-Prices!B371)/Prices!B371</f>
        <v>#DIV/0!</v>
      </c>
      <c r="E372" s="13" t="e">
        <f t="shared" ca="1" si="37"/>
        <v>#DIV/0!</v>
      </c>
      <c r="F372" s="13" t="e">
        <f t="shared" ca="1" si="35"/>
        <v>#DIV/0!</v>
      </c>
      <c r="G372" s="21">
        <f ca="1">IF((Prices!B372-Prices!B371)*C372&gt;0,1,0)</f>
        <v>0</v>
      </c>
      <c r="H372" s="13" t="e">
        <f>ABS(Prices!B372-Prices!B371)/Prices!B371</f>
        <v>#DIV/0!</v>
      </c>
      <c r="I372" s="21"/>
      <c r="J372" s="4">
        <f t="shared" ca="1" si="36"/>
        <v>-4.9951586751493724E-4</v>
      </c>
      <c r="K372" s="13"/>
      <c r="L372" s="13">
        <f ca="1">L371-O372*Prices!B372</f>
        <v>0.75951846501508558</v>
      </c>
      <c r="M372" s="4">
        <f t="shared" ca="1" si="33"/>
        <v>2.5674236545474814E-3</v>
      </c>
      <c r="N372" s="13">
        <f ca="1">IF(Prices!B371&gt;OFFSET(Prices!B371,-$N$3,0),1,-1)</f>
        <v>-1</v>
      </c>
      <c r="O372" s="4">
        <f ca="1">IF(N372=1,O$3*L371/Prices!B371,-O$3*M371)</f>
        <v>-2.8526929494972019E-4</v>
      </c>
      <c r="P372" s="22"/>
      <c r="Q372" s="13">
        <f ca="1">Q371-T372*Prices!B372</f>
        <v>0.90325095606435002</v>
      </c>
      <c r="R372" s="4">
        <f t="shared" ca="1" si="32"/>
        <v>2.1662709003816391E-3</v>
      </c>
      <c r="S372" s="13">
        <f ca="1">IF(Prices!B371&gt;OFFSET(Prices!B371,-S$3,0),1,-1)</f>
        <v>-1</v>
      </c>
      <c r="T372" s="4">
        <f ca="1">IF(S372=1,T$3*Q371/Prices!B371,-T$3*R371)</f>
        <v>-2.1424657256521705E-4</v>
      </c>
      <c r="V372" s="13"/>
      <c r="W372" s="4"/>
      <c r="X372" s="4"/>
      <c r="Y372" s="4"/>
      <c r="Z372" s="4"/>
      <c r="AA372" s="4"/>
      <c r="AB372" s="4"/>
      <c r="AC372" s="4"/>
      <c r="AD372" s="4"/>
      <c r="AE372" s="52"/>
    </row>
    <row r="373" spans="1:31" x14ac:dyDescent="0.2">
      <c r="A373" s="7">
        <v>43975</v>
      </c>
      <c r="B373" s="13">
        <f ca="1">Prices!B372*(1+J373/(50*(ABS(O373)+ABS(T373)+0.0001)))</f>
        <v>0</v>
      </c>
      <c r="C373" s="62">
        <f t="shared" ca="1" si="34"/>
        <v>0</v>
      </c>
      <c r="D373" s="13" t="e">
        <f ca="1">D372+C373*(Prices!B373-Prices!B372)/Prices!B372</f>
        <v>#DIV/0!</v>
      </c>
      <c r="E373" s="13" t="e">
        <f t="shared" ca="1" si="37"/>
        <v>#DIV/0!</v>
      </c>
      <c r="F373" s="13" t="e">
        <f t="shared" ca="1" si="35"/>
        <v>#DIV/0!</v>
      </c>
      <c r="G373" s="21">
        <f ca="1">IF((Prices!B373-Prices!B372)*C373&gt;0,1,0)</f>
        <v>0</v>
      </c>
      <c r="H373" s="13" t="e">
        <f>ABS(Prices!B373-Prices!B372)/Prices!B372</f>
        <v>#DIV/0!</v>
      </c>
      <c r="I373" s="21"/>
      <c r="J373" s="4">
        <f t="shared" ca="1" si="36"/>
        <v>-4.5170674648909565E-4</v>
      </c>
      <c r="K373" s="13"/>
      <c r="L373" s="13">
        <f ca="1">L372-O373*Prices!B373</f>
        <v>0.75951846501508558</v>
      </c>
      <c r="M373" s="4">
        <f t="shared" ca="1" si="33"/>
        <v>2.3106812890927335E-3</v>
      </c>
      <c r="N373" s="13">
        <f ca="1">IF(Prices!B372&gt;OFFSET(Prices!B372,-$N$3,0),1,-1)</f>
        <v>-1</v>
      </c>
      <c r="O373" s="4">
        <f ca="1">IF(N373=1,O$3*L372/Prices!B372,-O$3*M372)</f>
        <v>-2.5674236545474813E-4</v>
      </c>
      <c r="P373" s="22"/>
      <c r="Q373" s="13">
        <f ca="1">Q372-T373*Prices!B373</f>
        <v>0.90325095606435002</v>
      </c>
      <c r="R373" s="4">
        <f t="shared" ca="1" si="32"/>
        <v>1.9713065193472917E-3</v>
      </c>
      <c r="S373" s="13">
        <f ca="1">IF(Prices!B372&gt;OFFSET(Prices!B372,-S$3,0),1,-1)</f>
        <v>-1</v>
      </c>
      <c r="T373" s="4">
        <f ca="1">IF(S373=1,T$3*Q372/Prices!B372,-T$3*R372)</f>
        <v>-1.9496438103434752E-4</v>
      </c>
      <c r="V373" s="13"/>
      <c r="W373" s="4"/>
      <c r="X373" s="4"/>
      <c r="Y373" s="4"/>
      <c r="Z373" s="4"/>
      <c r="AA373" s="4"/>
      <c r="AB373" s="4"/>
      <c r="AC373" s="4"/>
      <c r="AD373" s="4"/>
      <c r="AE373" s="52"/>
    </row>
    <row r="374" spans="1:31" x14ac:dyDescent="0.2">
      <c r="A374" s="7">
        <v>43982</v>
      </c>
      <c r="B374" s="13">
        <f ca="1">Prices!B373*(1+J374/(50*(ABS(O374)+ABS(T374)+0.0001)))</f>
        <v>0</v>
      </c>
      <c r="C374" s="62">
        <f t="shared" ca="1" si="34"/>
        <v>0</v>
      </c>
      <c r="D374" s="13" t="e">
        <f ca="1">D373+C374*(Prices!B374-Prices!B373)/Prices!B373</f>
        <v>#DIV/0!</v>
      </c>
      <c r="E374" s="13" t="e">
        <f t="shared" ca="1" si="37"/>
        <v>#DIV/0!</v>
      </c>
      <c r="F374" s="13" t="e">
        <f t="shared" ca="1" si="35"/>
        <v>#DIV/0!</v>
      </c>
      <c r="G374" s="21">
        <f ca="1">IF((Prices!B374-Prices!B373)*C374&gt;0,1,0)</f>
        <v>0</v>
      </c>
      <c r="H374" s="13" t="e">
        <f>ABS(Prices!B374-Prices!B373)/Prices!B373</f>
        <v>#DIV/0!</v>
      </c>
      <c r="I374" s="21"/>
      <c r="J374" s="4">
        <f t="shared" ca="1" si="36"/>
        <v>-4.084857156505296E-4</v>
      </c>
      <c r="K374" s="13"/>
      <c r="L374" s="13">
        <f ca="1">L373-O374*Prices!B374</f>
        <v>0.75951846501508558</v>
      </c>
      <c r="M374" s="4">
        <f t="shared" ca="1" si="33"/>
        <v>2.0796131601834599E-3</v>
      </c>
      <c r="N374" s="13">
        <f ca="1">IF(Prices!B373&gt;OFFSET(Prices!B373,-$N$3,0),1,-1)</f>
        <v>-1</v>
      </c>
      <c r="O374" s="4">
        <f ca="1">IF(N374=1,O$3*L373/Prices!B373,-O$3*M373)</f>
        <v>-2.3106812890927336E-4</v>
      </c>
      <c r="P374" s="22"/>
      <c r="Q374" s="13">
        <f ca="1">Q373-T374*Prices!B374</f>
        <v>0.90325095606435002</v>
      </c>
      <c r="R374" s="4">
        <f t="shared" ca="1" si="32"/>
        <v>1.7938889326060354E-3</v>
      </c>
      <c r="S374" s="13">
        <f ca="1">IF(Prices!B373&gt;OFFSET(Prices!B373,-S$3,0),1,-1)</f>
        <v>-1</v>
      </c>
      <c r="T374" s="4">
        <f ca="1">IF(S374=1,T$3*Q373/Prices!B373,-T$3*R373)</f>
        <v>-1.7741758674125625E-4</v>
      </c>
      <c r="V374" s="13"/>
      <c r="W374" s="4"/>
      <c r="X374" s="4"/>
      <c r="Y374" s="4"/>
      <c r="Z374" s="4"/>
      <c r="AA374" s="4"/>
      <c r="AB374" s="4"/>
      <c r="AC374" s="4"/>
      <c r="AD374" s="4"/>
      <c r="AE374" s="52"/>
    </row>
    <row r="375" spans="1:31" x14ac:dyDescent="0.2">
      <c r="A375" s="7">
        <v>43989</v>
      </c>
      <c r="B375" s="13">
        <f ca="1">Prices!B374*(1+J375/(50*(ABS(O375)+ABS(T375)+0.0001)))</f>
        <v>0</v>
      </c>
      <c r="C375" s="62">
        <f t="shared" ca="1" si="34"/>
        <v>0</v>
      </c>
      <c r="D375" s="13" t="e">
        <f ca="1">D374+C375*(Prices!B375-Prices!B374)/Prices!B374</f>
        <v>#DIV/0!</v>
      </c>
      <c r="E375" s="13" t="e">
        <f t="shared" ca="1" si="37"/>
        <v>#DIV/0!</v>
      </c>
      <c r="F375" s="13" t="e">
        <f t="shared" ca="1" si="35"/>
        <v>#DIV/0!</v>
      </c>
      <c r="G375" s="21">
        <f ca="1">IF((Prices!B375-Prices!B374)*C375&gt;0,1,0)</f>
        <v>0</v>
      </c>
      <c r="H375" s="13" t="e">
        <f>ABS(Prices!B375-Prices!B374)/Prices!B374</f>
        <v>#DIV/0!</v>
      </c>
      <c r="I375" s="21"/>
      <c r="J375" s="4">
        <f t="shared" ca="1" si="36"/>
        <v>-3.6941131995288921E-4</v>
      </c>
      <c r="K375" s="13"/>
      <c r="L375" s="13">
        <f ca="1">L374-O375*Prices!B375</f>
        <v>0.75951846501508558</v>
      </c>
      <c r="M375" s="4">
        <f t="shared" ca="1" si="33"/>
        <v>1.8716518441651139E-3</v>
      </c>
      <c r="N375" s="13">
        <f ca="1">IF(Prices!B374&gt;OFFSET(Prices!B374,-$N$3,0),1,-1)</f>
        <v>-1</v>
      </c>
      <c r="O375" s="4">
        <f ca="1">IF(N375=1,O$3*L374/Prices!B374,-O$3*M374)</f>
        <v>-2.0796131601834601E-4</v>
      </c>
      <c r="P375" s="22"/>
      <c r="Q375" s="13">
        <f ca="1">Q374-T375*Prices!B375</f>
        <v>0.90325095606435002</v>
      </c>
      <c r="R375" s="4">
        <f t="shared" ca="1" si="32"/>
        <v>1.6324389286714921E-3</v>
      </c>
      <c r="S375" s="13">
        <f ca="1">IF(Prices!B374&gt;OFFSET(Prices!B374,-S$3,0),1,-1)</f>
        <v>-1</v>
      </c>
      <c r="T375" s="4">
        <f ca="1">IF(S375=1,T$3*Q374/Prices!B374,-T$3*R374)</f>
        <v>-1.6145000393454317E-4</v>
      </c>
      <c r="V375" s="13"/>
      <c r="W375" s="4"/>
      <c r="X375" s="4"/>
      <c r="Y375" s="4"/>
      <c r="Z375" s="4"/>
      <c r="AA375" s="4"/>
      <c r="AB375" s="4"/>
      <c r="AC375" s="4"/>
      <c r="AD375" s="4"/>
      <c r="AE375" s="52"/>
    </row>
    <row r="376" spans="1:31" x14ac:dyDescent="0.2">
      <c r="A376" s="7">
        <v>43996</v>
      </c>
      <c r="B376" s="13">
        <f ca="1">Prices!B375*(1+J376/(50*(ABS(O376)+ABS(T376)+0.0001)))</f>
        <v>0</v>
      </c>
      <c r="C376" s="62">
        <f t="shared" ca="1" si="34"/>
        <v>0</v>
      </c>
      <c r="D376" s="13" t="e">
        <f ca="1">D375+C376*(Prices!B376-Prices!B375)/Prices!B375</f>
        <v>#DIV/0!</v>
      </c>
      <c r="E376" s="13" t="e">
        <f t="shared" ca="1" si="37"/>
        <v>#DIV/0!</v>
      </c>
      <c r="F376" s="13" t="e">
        <f t="shared" ca="1" si="35"/>
        <v>#DIV/0!</v>
      </c>
      <c r="G376" s="21">
        <f ca="1">IF((Prices!B376-Prices!B375)*C376&gt;0,1,0)</f>
        <v>0</v>
      </c>
      <c r="H376" s="13" t="e">
        <f>ABS(Prices!B376-Prices!B375)/Prices!B375</f>
        <v>#DIV/0!</v>
      </c>
      <c r="I376" s="21"/>
      <c r="J376" s="4">
        <f t="shared" ca="1" si="36"/>
        <v>-3.3408468799694566E-4</v>
      </c>
      <c r="K376" s="13"/>
      <c r="L376" s="13">
        <f ca="1">L375-O376*Prices!B376</f>
        <v>0.75951846501508558</v>
      </c>
      <c r="M376" s="4">
        <f t="shared" ca="1" si="33"/>
        <v>1.6844866597486026E-3</v>
      </c>
      <c r="N376" s="13">
        <f ca="1">IF(Prices!B375&gt;OFFSET(Prices!B375,-$N$3,0),1,-1)</f>
        <v>-1</v>
      </c>
      <c r="O376" s="4">
        <f ca="1">IF(N376=1,O$3*L375/Prices!B375,-O$3*M375)</f>
        <v>-1.871651844165114E-4</v>
      </c>
      <c r="P376" s="22"/>
      <c r="Q376" s="13">
        <f ca="1">Q375-T376*Prices!B376</f>
        <v>0.90325095606435002</v>
      </c>
      <c r="R376" s="4">
        <f t="shared" ca="1" si="32"/>
        <v>1.4855194250910579E-3</v>
      </c>
      <c r="S376" s="13">
        <f ca="1">IF(Prices!B375&gt;OFFSET(Prices!B375,-S$3,0),1,-1)</f>
        <v>-1</v>
      </c>
      <c r="T376" s="4">
        <f ca="1">IF(S376=1,T$3*Q375/Prices!B375,-T$3*R375)</f>
        <v>-1.4691950358043429E-4</v>
      </c>
      <c r="V376" s="13"/>
      <c r="W376" s="4"/>
      <c r="X376" s="4"/>
      <c r="Y376" s="4"/>
      <c r="Z376" s="4"/>
      <c r="AA376" s="4"/>
      <c r="AB376" s="4"/>
      <c r="AC376" s="4"/>
      <c r="AD376" s="4"/>
      <c r="AE376" s="52"/>
    </row>
    <row r="377" spans="1:31" x14ac:dyDescent="0.2">
      <c r="A377" s="7">
        <v>44003</v>
      </c>
      <c r="B377" s="13">
        <f ca="1">Prices!B376*(1+J377/(50*(ABS(O377)+ABS(T377)+0.0001)))</f>
        <v>0</v>
      </c>
      <c r="C377" s="62">
        <f t="shared" ca="1" si="34"/>
        <v>0</v>
      </c>
      <c r="D377" s="13" t="e">
        <f ca="1">D376+C377*(Prices!B377-Prices!B376)/Prices!B376</f>
        <v>#DIV/0!</v>
      </c>
      <c r="E377" s="13" t="e">
        <f t="shared" ca="1" si="37"/>
        <v>#DIV/0!</v>
      </c>
      <c r="F377" s="13" t="e">
        <f t="shared" ca="1" si="35"/>
        <v>#DIV/0!</v>
      </c>
      <c r="G377" s="21">
        <f ca="1">IF((Prices!B377-Prices!B376)*C377&gt;0,1,0)</f>
        <v>0</v>
      </c>
      <c r="H377" s="13" t="e">
        <f>ABS(Prices!B377-Prices!B376)/Prices!B376</f>
        <v>#DIV/0!</v>
      </c>
      <c r="I377" s="21"/>
      <c r="J377" s="4">
        <f t="shared" ca="1" si="36"/>
        <v>-3.0214541423305549E-4</v>
      </c>
      <c r="K377" s="13"/>
      <c r="L377" s="13">
        <f ca="1">L376-O377*Prices!B377</f>
        <v>0.75951846501508558</v>
      </c>
      <c r="M377" s="4">
        <f t="shared" ca="1" si="33"/>
        <v>1.5160379937737424E-3</v>
      </c>
      <c r="N377" s="13">
        <f ca="1">IF(Prices!B376&gt;OFFSET(Prices!B376,-$N$3,0),1,-1)</f>
        <v>-1</v>
      </c>
      <c r="O377" s="4">
        <f ca="1">IF(N377=1,O$3*L376/Prices!B376,-O$3*M376)</f>
        <v>-1.6844866597486027E-4</v>
      </c>
      <c r="P377" s="22"/>
      <c r="Q377" s="13">
        <f ca="1">Q376-T377*Prices!B377</f>
        <v>0.90325095606435002</v>
      </c>
      <c r="R377" s="4">
        <f t="shared" ca="1" si="32"/>
        <v>1.3518226768328627E-3</v>
      </c>
      <c r="S377" s="13">
        <f ca="1">IF(Prices!B376&gt;OFFSET(Prices!B376,-S$3,0),1,-1)</f>
        <v>-1</v>
      </c>
      <c r="T377" s="4">
        <f ca="1">IF(S377=1,T$3*Q376/Prices!B376,-T$3*R376)</f>
        <v>-1.3369674825819519E-4</v>
      </c>
      <c r="V377" s="13"/>
      <c r="W377" s="4"/>
      <c r="X377" s="4"/>
      <c r="Y377" s="4"/>
      <c r="Z377" s="4"/>
      <c r="AA377" s="4"/>
      <c r="AB377" s="4"/>
      <c r="AC377" s="4"/>
      <c r="AD377" s="4"/>
      <c r="AE377" s="52"/>
    </row>
    <row r="378" spans="1:31" x14ac:dyDescent="0.2">
      <c r="A378" s="7">
        <v>44010</v>
      </c>
      <c r="B378" s="13">
        <f ca="1">Prices!B377*(1+J378/(50*(ABS(O378)+ABS(T378)+0.0001)))</f>
        <v>0</v>
      </c>
      <c r="C378" s="62">
        <f t="shared" ca="1" si="34"/>
        <v>0</v>
      </c>
      <c r="D378" s="13" t="e">
        <f ca="1">D377+C378*(Prices!B378-Prices!B377)/Prices!B377</f>
        <v>#DIV/0!</v>
      </c>
      <c r="E378" s="13" t="e">
        <f t="shared" ca="1" si="37"/>
        <v>#DIV/0!</v>
      </c>
      <c r="F378" s="13" t="e">
        <f t="shared" ca="1" si="35"/>
        <v>#DIV/0!</v>
      </c>
      <c r="G378" s="21">
        <f ca="1">IF((Prices!B378-Prices!B377)*C378&gt;0,1,0)</f>
        <v>0</v>
      </c>
      <c r="H378" s="13" t="e">
        <f>ABS(Prices!B378-Prices!B377)/Prices!B377</f>
        <v>#DIV/0!</v>
      </c>
      <c r="I378" s="21"/>
      <c r="J378" s="4">
        <f t="shared" ca="1" si="36"/>
        <v>-2.7326784029233186E-4</v>
      </c>
      <c r="K378" s="13"/>
      <c r="L378" s="13">
        <f ca="1">L377-O378*Prices!B378</f>
        <v>0.75951846501508558</v>
      </c>
      <c r="M378" s="4">
        <f t="shared" ca="1" si="33"/>
        <v>1.3644341943963682E-3</v>
      </c>
      <c r="N378" s="13">
        <f ca="1">IF(Prices!B377&gt;OFFSET(Prices!B377,-$N$3,0),1,-1)</f>
        <v>-1</v>
      </c>
      <c r="O378" s="4">
        <f ca="1">IF(N378=1,O$3*L377/Prices!B377,-O$3*M377)</f>
        <v>-1.5160379937737424E-4</v>
      </c>
      <c r="P378" s="22"/>
      <c r="Q378" s="13">
        <f ca="1">Q377-T378*Prices!B378</f>
        <v>0.90325095606435002</v>
      </c>
      <c r="R378" s="4">
        <f t="shared" ca="1" si="32"/>
        <v>1.230158635917905E-3</v>
      </c>
      <c r="S378" s="13">
        <f ca="1">IF(Prices!B377&gt;OFFSET(Prices!B377,-S$3,0),1,-1)</f>
        <v>-1</v>
      </c>
      <c r="T378" s="4">
        <f ca="1">IF(S378=1,T$3*Q377/Prices!B377,-T$3*R377)</f>
        <v>-1.2166404091495764E-4</v>
      </c>
      <c r="V378" s="13"/>
      <c r="W378" s="4"/>
      <c r="X378" s="4"/>
      <c r="Y378" s="4"/>
      <c r="Z378" s="4"/>
      <c r="AA378" s="4"/>
      <c r="AB378" s="4"/>
      <c r="AC378" s="4"/>
      <c r="AD378" s="4"/>
      <c r="AE378" s="52"/>
    </row>
    <row r="379" spans="1:31" x14ac:dyDescent="0.2">
      <c r="A379" s="7">
        <v>44017</v>
      </c>
      <c r="B379" s="13">
        <f ca="1">Prices!B378*(1+J379/(50*(ABS(O379)+ABS(T379)+0.0001)))</f>
        <v>0</v>
      </c>
      <c r="C379" s="62">
        <f t="shared" ca="1" si="34"/>
        <v>0</v>
      </c>
      <c r="D379" s="13" t="e">
        <f ca="1">D378+C379*(Prices!B379-Prices!B378)/Prices!B378</f>
        <v>#DIV/0!</v>
      </c>
      <c r="E379" s="13" t="e">
        <f t="shared" ca="1" si="37"/>
        <v>#DIV/0!</v>
      </c>
      <c r="F379" s="13" t="e">
        <f t="shared" ca="1" si="35"/>
        <v>#DIV/0!</v>
      </c>
      <c r="G379" s="21">
        <f ca="1">IF((Prices!B379-Prices!B378)*C379&gt;0,1,0)</f>
        <v>0</v>
      </c>
      <c r="H379" s="13" t="e">
        <f>ABS(Prices!B379-Prices!B378)/Prices!B378</f>
        <v>#DIV/0!</v>
      </c>
      <c r="I379" s="21"/>
      <c r="J379" s="4">
        <f t="shared" ca="1" si="36"/>
        <v>-2.4715769667224828E-4</v>
      </c>
      <c r="K379" s="13"/>
      <c r="L379" s="13">
        <f ca="1">L378-O379*Prices!B379</f>
        <v>0.75951846501508558</v>
      </c>
      <c r="M379" s="4">
        <f t="shared" ca="1" si="33"/>
        <v>1.2279907749567314E-3</v>
      </c>
      <c r="N379" s="13">
        <f ca="1">IF(Prices!B378&gt;OFFSET(Prices!B378,-$N$3,0),1,-1)</f>
        <v>-1</v>
      </c>
      <c r="O379" s="4">
        <f ca="1">IF(N379=1,O$3*L378/Prices!B378,-O$3*M378)</f>
        <v>-1.3644341943963684E-4</v>
      </c>
      <c r="P379" s="22"/>
      <c r="Q379" s="13">
        <f ca="1">Q378-T379*Prices!B379</f>
        <v>0.90325095606435002</v>
      </c>
      <c r="R379" s="4">
        <f t="shared" ca="1" si="32"/>
        <v>1.1194443586852935E-3</v>
      </c>
      <c r="S379" s="13">
        <f ca="1">IF(Prices!B378&gt;OFFSET(Prices!B378,-S$3,0),1,-1)</f>
        <v>-1</v>
      </c>
      <c r="T379" s="4">
        <f ca="1">IF(S379=1,T$3*Q378/Prices!B378,-T$3*R378)</f>
        <v>-1.1071427723261144E-4</v>
      </c>
      <c r="V379" s="13"/>
      <c r="W379" s="4"/>
      <c r="X379" s="4"/>
      <c r="Y379" s="4"/>
      <c r="Z379" s="4"/>
      <c r="AA379" s="4"/>
      <c r="AB379" s="4"/>
      <c r="AC379" s="4"/>
      <c r="AD379" s="4"/>
      <c r="AE379" s="52"/>
    </row>
    <row r="380" spans="1:31" x14ac:dyDescent="0.2">
      <c r="A380" s="7">
        <v>44024</v>
      </c>
      <c r="B380" s="13">
        <f ca="1">Prices!B379*(1+J380/(50*(ABS(O380)+ABS(T380)+0.0001)))</f>
        <v>0</v>
      </c>
      <c r="C380" s="62">
        <f t="shared" ca="1" si="34"/>
        <v>0</v>
      </c>
      <c r="D380" s="13" t="e">
        <f ca="1">D379+C380*(Prices!B380-Prices!B379)/Prices!B379</f>
        <v>#DIV/0!</v>
      </c>
      <c r="E380" s="13" t="e">
        <f t="shared" ca="1" si="37"/>
        <v>#DIV/0!</v>
      </c>
      <c r="F380" s="13" t="e">
        <f t="shared" ca="1" si="35"/>
        <v>#DIV/0!</v>
      </c>
      <c r="G380" s="21">
        <f ca="1">IF((Prices!B380-Prices!B379)*C380&gt;0,1,0)</f>
        <v>0</v>
      </c>
      <c r="H380" s="13" t="e">
        <f>ABS(Prices!B380-Prices!B379)/Prices!B379</f>
        <v>#DIV/0!</v>
      </c>
      <c r="I380" s="21"/>
      <c r="J380" s="4">
        <f t="shared" ca="1" si="36"/>
        <v>-2.2354906977734956E-4</v>
      </c>
      <c r="K380" s="13"/>
      <c r="L380" s="13">
        <f ca="1">L379-O380*Prices!B380</f>
        <v>0.75951846501508558</v>
      </c>
      <c r="M380" s="4">
        <f t="shared" ca="1" si="33"/>
        <v>1.1051916974610583E-3</v>
      </c>
      <c r="N380" s="13">
        <f ca="1">IF(Prices!B379&gt;OFFSET(Prices!B379,-$N$3,0),1,-1)</f>
        <v>-1</v>
      </c>
      <c r="O380" s="4">
        <f ca="1">IF(N380=1,O$3*L379/Prices!B379,-O$3*M379)</f>
        <v>-1.2279907749567314E-4</v>
      </c>
      <c r="P380" s="22"/>
      <c r="Q380" s="13">
        <f ca="1">Q379-T380*Prices!B380</f>
        <v>0.90325095606435002</v>
      </c>
      <c r="R380" s="4">
        <f t="shared" ca="1" si="32"/>
        <v>1.0186943664036172E-3</v>
      </c>
      <c r="S380" s="13">
        <f ca="1">IF(Prices!B379&gt;OFFSET(Prices!B379,-S$3,0),1,-1)</f>
        <v>-1</v>
      </c>
      <c r="T380" s="4">
        <f ca="1">IF(S380=1,T$3*Q379/Prices!B379,-T$3*R379)</f>
        <v>-1.0074999228167642E-4</v>
      </c>
      <c r="V380" s="13"/>
      <c r="W380" s="4"/>
      <c r="X380" s="4"/>
      <c r="Y380" s="4"/>
      <c r="Z380" s="4"/>
      <c r="AA380" s="4"/>
      <c r="AB380" s="4"/>
      <c r="AC380" s="4"/>
      <c r="AD380" s="4"/>
      <c r="AE380" s="52"/>
    </row>
    <row r="381" spans="1:31" x14ac:dyDescent="0.2">
      <c r="A381" s="7">
        <v>44031</v>
      </c>
      <c r="B381" s="13">
        <f ca="1">Prices!B380*(1+J381/(50*(ABS(O381)+ABS(T381)+0.0001)))</f>
        <v>0</v>
      </c>
      <c r="C381" s="62">
        <f t="shared" ca="1" si="34"/>
        <v>0</v>
      </c>
      <c r="D381" s="13" t="e">
        <f ca="1">D380+C381*(Prices!B381-Prices!B380)/Prices!B380</f>
        <v>#DIV/0!</v>
      </c>
      <c r="E381" s="13" t="e">
        <f t="shared" ca="1" si="37"/>
        <v>#DIV/0!</v>
      </c>
      <c r="F381" s="13" t="e">
        <f t="shared" ca="1" si="35"/>
        <v>#DIV/0!</v>
      </c>
      <c r="G381" s="21">
        <f ca="1">IF((Prices!B381-Prices!B380)*C381&gt;0,1,0)</f>
        <v>0</v>
      </c>
      <c r="H381" s="13" t="e">
        <f>ABS(Prices!B381-Prices!B380)/Prices!B380</f>
        <v>#DIV/0!</v>
      </c>
      <c r="I381" s="21"/>
      <c r="J381" s="4">
        <f t="shared" ca="1" si="36"/>
        <v>-2.0220166272243137E-4</v>
      </c>
      <c r="K381" s="13"/>
      <c r="L381" s="13">
        <f ca="1">L380-O381*Prices!B381</f>
        <v>0.75951846501508558</v>
      </c>
      <c r="M381" s="4">
        <f t="shared" ca="1" si="33"/>
        <v>9.9467252771495251E-4</v>
      </c>
      <c r="N381" s="13">
        <f ca="1">IF(Prices!B380&gt;OFFSET(Prices!B380,-$N$3,0),1,-1)</f>
        <v>-1</v>
      </c>
      <c r="O381" s="4">
        <f ca="1">IF(N381=1,O$3*L380/Prices!B380,-O$3*M380)</f>
        <v>-1.1051916974610583E-4</v>
      </c>
      <c r="P381" s="22"/>
      <c r="Q381" s="13">
        <f ca="1">Q380-T381*Prices!B381</f>
        <v>0.90325095606435002</v>
      </c>
      <c r="R381" s="4">
        <f t="shared" ca="1" si="32"/>
        <v>9.2701187342729169E-4</v>
      </c>
      <c r="S381" s="13">
        <f ca="1">IF(Prices!B380&gt;OFFSET(Prices!B380,-S$3,0),1,-1)</f>
        <v>-1</v>
      </c>
      <c r="T381" s="4">
        <f ca="1">IF(S381=1,T$3*Q380/Prices!B380,-T$3*R380)</f>
        <v>-9.168249297632554E-5</v>
      </c>
      <c r="V381" s="13"/>
      <c r="W381" s="4"/>
      <c r="X381" s="4"/>
      <c r="Y381" s="4"/>
      <c r="Z381" s="4"/>
      <c r="AA381" s="4"/>
      <c r="AB381" s="4"/>
      <c r="AC381" s="4"/>
      <c r="AD381" s="4"/>
      <c r="AE381" s="52"/>
    </row>
    <row r="382" spans="1:31" x14ac:dyDescent="0.2">
      <c r="A382" s="7">
        <v>44038</v>
      </c>
      <c r="B382" s="13">
        <f ca="1">Prices!B381*(1+J382/(50*(ABS(O382)+ABS(T382)+0.0001)))</f>
        <v>0</v>
      </c>
      <c r="C382" s="62">
        <f t="shared" ca="1" si="34"/>
        <v>0</v>
      </c>
      <c r="D382" s="13" t="e">
        <f ca="1">D381+C382*(Prices!B382-Prices!B381)/Prices!B381</f>
        <v>#DIV/0!</v>
      </c>
      <c r="E382" s="13" t="e">
        <f t="shared" ca="1" si="37"/>
        <v>#DIV/0!</v>
      </c>
      <c r="F382" s="13" t="e">
        <f t="shared" ca="1" si="35"/>
        <v>#DIV/0!</v>
      </c>
      <c r="G382" s="21">
        <f ca="1">IF((Prices!B382-Prices!B381)*C382&gt;0,1,0)</f>
        <v>0</v>
      </c>
      <c r="H382" s="13" t="e">
        <f>ABS(Prices!B382-Prices!B381)/Prices!B381</f>
        <v>#DIV/0!</v>
      </c>
      <c r="I382" s="21"/>
      <c r="J382" s="4">
        <f t="shared" ca="1" si="36"/>
        <v>-1.8289832137995148E-4</v>
      </c>
      <c r="K382" s="13"/>
      <c r="L382" s="13">
        <f ca="1">L381-O382*Prices!B382</f>
        <v>0.75951846501508558</v>
      </c>
      <c r="M382" s="4">
        <f t="shared" ca="1" si="33"/>
        <v>8.9520527494345726E-4</v>
      </c>
      <c r="N382" s="13">
        <f ca="1">IF(Prices!B381&gt;OFFSET(Prices!B381,-$N$3,0),1,-1)</f>
        <v>-1</v>
      </c>
      <c r="O382" s="4">
        <f ca="1">IF(N382=1,O$3*L381/Prices!B381,-O$3*M381)</f>
        <v>-9.9467252771495251E-5</v>
      </c>
      <c r="P382" s="22"/>
      <c r="Q382" s="13">
        <f ca="1">Q381-T382*Prices!B382</f>
        <v>0.90325095606435002</v>
      </c>
      <c r="R382" s="4">
        <f t="shared" ca="1" si="32"/>
        <v>8.4358080481883541E-4</v>
      </c>
      <c r="S382" s="13">
        <f ca="1">IF(Prices!B381&gt;OFFSET(Prices!B381,-S$3,0),1,-1)</f>
        <v>-1</v>
      </c>
      <c r="T382" s="4">
        <f ca="1">IF(S382=1,T$3*Q381/Prices!B381,-T$3*R381)</f>
        <v>-8.3431068608456245E-5</v>
      </c>
      <c r="V382" s="13"/>
      <c r="W382" s="4"/>
      <c r="X382" s="4"/>
      <c r="Y382" s="4"/>
      <c r="Z382" s="4"/>
      <c r="AA382" s="4"/>
      <c r="AB382" s="4"/>
      <c r="AC382" s="4"/>
      <c r="AD382" s="4"/>
      <c r="AE382" s="52"/>
    </row>
    <row r="383" spans="1:31" x14ac:dyDescent="0.2">
      <c r="A383" s="7">
        <v>44045</v>
      </c>
      <c r="B383" s="13">
        <f ca="1">Prices!B382*(1+J383/(50*(ABS(O383)+ABS(T383)+0.0001)))</f>
        <v>0</v>
      </c>
      <c r="C383" s="62">
        <f t="shared" ca="1" si="34"/>
        <v>0</v>
      </c>
      <c r="D383" s="13" t="e">
        <f ca="1">D382+C383*(Prices!B383-Prices!B382)/Prices!B382</f>
        <v>#DIV/0!</v>
      </c>
      <c r="E383" s="13" t="e">
        <f t="shared" ca="1" si="37"/>
        <v>#DIV/0!</v>
      </c>
      <c r="F383" s="13" t="e">
        <f t="shared" ca="1" si="35"/>
        <v>#DIV/0!</v>
      </c>
      <c r="G383" s="21">
        <f ca="1">IF((Prices!B383-Prices!B382)*C383&gt;0,1,0)</f>
        <v>0</v>
      </c>
      <c r="H383" s="13" t="e">
        <f>ABS(Prices!B383-Prices!B382)/Prices!B382</f>
        <v>#DIV/0!</v>
      </c>
      <c r="I383" s="21"/>
      <c r="J383" s="4">
        <f t="shared" ca="1" si="36"/>
        <v>-1.6544279992804093E-4</v>
      </c>
      <c r="K383" s="13"/>
      <c r="L383" s="13">
        <f ca="1">L382-O383*Prices!B383</f>
        <v>0.75951846501508558</v>
      </c>
      <c r="M383" s="4">
        <f t="shared" ca="1" si="33"/>
        <v>8.0568474744911159E-4</v>
      </c>
      <c r="N383" s="13">
        <f ca="1">IF(Prices!B382&gt;OFFSET(Prices!B382,-$N$3,0),1,-1)</f>
        <v>-1</v>
      </c>
      <c r="O383" s="4">
        <f ca="1">IF(N383=1,O$3*L382/Prices!B382,-O$3*M382)</f>
        <v>-8.9520527494345726E-5</v>
      </c>
      <c r="P383" s="22"/>
      <c r="Q383" s="13">
        <f ca="1">Q382-T383*Prices!B383</f>
        <v>0.90325095606435002</v>
      </c>
      <c r="R383" s="4">
        <f t="shared" ca="1" si="32"/>
        <v>7.6765853238514026E-4</v>
      </c>
      <c r="S383" s="13">
        <f ca="1">IF(Prices!B382&gt;OFFSET(Prices!B382,-S$3,0),1,-1)</f>
        <v>-1</v>
      </c>
      <c r="T383" s="4">
        <f ca="1">IF(S383=1,T$3*Q382/Prices!B382,-T$3*R382)</f>
        <v>-7.5922272433695187E-5</v>
      </c>
      <c r="V383" s="13"/>
      <c r="W383" s="4"/>
      <c r="X383" s="4"/>
      <c r="Y383" s="4"/>
      <c r="Z383" s="4"/>
      <c r="AA383" s="4"/>
      <c r="AB383" s="4"/>
      <c r="AC383" s="4"/>
      <c r="AD383" s="4"/>
      <c r="AE383" s="52"/>
    </row>
    <row r="384" spans="1:31" x14ac:dyDescent="0.2">
      <c r="A384" s="7">
        <v>44052</v>
      </c>
      <c r="B384" s="13">
        <f ca="1">Prices!B383*(1+J384/(50*(ABS(O384)+ABS(T384)+0.0001)))</f>
        <v>0</v>
      </c>
      <c r="C384" s="62">
        <f t="shared" ca="1" si="34"/>
        <v>0</v>
      </c>
      <c r="D384" s="13" t="e">
        <f ca="1">D383+C384*(Prices!B384-Prices!B383)/Prices!B383</f>
        <v>#DIV/0!</v>
      </c>
      <c r="E384" s="13" t="e">
        <f t="shared" ca="1" si="37"/>
        <v>#DIV/0!</v>
      </c>
      <c r="F384" s="13" t="e">
        <f t="shared" ca="1" si="35"/>
        <v>#DIV/0!</v>
      </c>
      <c r="G384" s="21">
        <f ca="1">IF((Prices!B384-Prices!B383)*C384&gt;0,1,0)</f>
        <v>0</v>
      </c>
      <c r="H384" s="13" t="e">
        <f>ABS(Prices!B384-Prices!B383)/Prices!B383</f>
        <v>#DIV/0!</v>
      </c>
      <c r="I384" s="21"/>
      <c r="J384" s="4">
        <f t="shared" ca="1" si="36"/>
        <v>-1.4965774265957379E-4</v>
      </c>
      <c r="K384" s="13"/>
      <c r="L384" s="13">
        <f ca="1">L383-O384*Prices!B384</f>
        <v>0.75951846501508558</v>
      </c>
      <c r="M384" s="4">
        <f t="shared" ca="1" si="33"/>
        <v>7.2511627270420041E-4</v>
      </c>
      <c r="N384" s="13">
        <f ca="1">IF(Prices!B383&gt;OFFSET(Prices!B383,-$N$3,0),1,-1)</f>
        <v>-1</v>
      </c>
      <c r="O384" s="4">
        <f ca="1">IF(N384=1,O$3*L383/Prices!B383,-O$3*M383)</f>
        <v>-8.0568474744911167E-5</v>
      </c>
      <c r="P384" s="22"/>
      <c r="Q384" s="13">
        <f ca="1">Q383-T384*Prices!B384</f>
        <v>0.90325095606435002</v>
      </c>
      <c r="R384" s="4">
        <f t="shared" ca="1" si="32"/>
        <v>6.9856926447047765E-4</v>
      </c>
      <c r="S384" s="13">
        <f ca="1">IF(Prices!B383&gt;OFFSET(Prices!B383,-S$3,0),1,-1)</f>
        <v>-1</v>
      </c>
      <c r="T384" s="4">
        <f ca="1">IF(S384=1,T$3*Q383/Prices!B383,-T$3*R383)</f>
        <v>-6.9089267914662625E-5</v>
      </c>
      <c r="V384" s="13"/>
      <c r="W384" s="4"/>
      <c r="X384" s="4"/>
      <c r="Y384" s="4"/>
      <c r="Z384" s="4"/>
      <c r="AA384" s="4"/>
      <c r="AB384" s="4"/>
      <c r="AC384" s="4"/>
      <c r="AD384" s="4"/>
      <c r="AE384" s="52"/>
    </row>
    <row r="385" spans="1:31" x14ac:dyDescent="0.2">
      <c r="A385" s="7">
        <v>44059</v>
      </c>
      <c r="B385" s="13">
        <f ca="1">Prices!B384*(1+J385/(50*(ABS(O385)+ABS(T385)+0.0001)))</f>
        <v>0</v>
      </c>
      <c r="C385" s="62">
        <f t="shared" ca="1" si="34"/>
        <v>0</v>
      </c>
      <c r="D385" s="13" t="e">
        <f ca="1">D384+C385*(Prices!B385-Prices!B384)/Prices!B384</f>
        <v>#DIV/0!</v>
      </c>
      <c r="E385" s="13" t="e">
        <f t="shared" ca="1" si="37"/>
        <v>#DIV/0!</v>
      </c>
      <c r="F385" s="13" t="e">
        <f t="shared" ca="1" si="35"/>
        <v>#DIV/0!</v>
      </c>
      <c r="G385" s="21">
        <f ca="1">IF((Prices!B385-Prices!B384)*C385&gt;0,1,0)</f>
        <v>0</v>
      </c>
      <c r="H385" s="13" t="e">
        <f>ABS(Prices!B385-Prices!B384)/Prices!B384</f>
        <v>#DIV/0!</v>
      </c>
      <c r="I385" s="21"/>
      <c r="J385" s="4">
        <f t="shared" ca="1" si="36"/>
        <v>-1.3538286107276303E-4</v>
      </c>
      <c r="K385" s="13"/>
      <c r="L385" s="13">
        <f ca="1">L384-O385*Prices!B385</f>
        <v>0.75951846501508558</v>
      </c>
      <c r="M385" s="4">
        <f t="shared" ca="1" si="33"/>
        <v>6.5260464543378041E-4</v>
      </c>
      <c r="N385" s="13">
        <f ca="1">IF(Prices!B384&gt;OFFSET(Prices!B384,-$N$3,0),1,-1)</f>
        <v>-1</v>
      </c>
      <c r="O385" s="4">
        <f ca="1">IF(N385=1,O$3*L384/Prices!B384,-O$3*M384)</f>
        <v>-7.2511627270420038E-5</v>
      </c>
      <c r="P385" s="22"/>
      <c r="Q385" s="13">
        <f ca="1">Q384-T385*Prices!B385</f>
        <v>0.90325095606435002</v>
      </c>
      <c r="R385" s="4">
        <f t="shared" ca="1" si="32"/>
        <v>6.3569803066813467E-4</v>
      </c>
      <c r="S385" s="13">
        <f ca="1">IF(Prices!B384&gt;OFFSET(Prices!B384,-S$3,0),1,-1)</f>
        <v>-1</v>
      </c>
      <c r="T385" s="4">
        <f ca="1">IF(S385=1,T$3*Q384/Prices!B384,-T$3*R384)</f>
        <v>-6.287123380234298E-5</v>
      </c>
      <c r="V385" s="13"/>
      <c r="W385" s="4"/>
      <c r="X385" s="4"/>
      <c r="Y385" s="4"/>
      <c r="Z385" s="4"/>
      <c r="AA385" s="4"/>
      <c r="AB385" s="4"/>
      <c r="AC385" s="4"/>
      <c r="AD385" s="4"/>
      <c r="AE385" s="52"/>
    </row>
    <row r="386" spans="1:31" x14ac:dyDescent="0.2">
      <c r="A386" s="7">
        <v>44066</v>
      </c>
      <c r="B386" s="13">
        <f ca="1">Prices!B385*(1+J386/(50*(ABS(O386)+ABS(T386)+0.0001)))</f>
        <v>0</v>
      </c>
      <c r="C386" s="62">
        <f t="shared" ca="1" si="34"/>
        <v>0</v>
      </c>
      <c r="D386" s="13" t="e">
        <f ca="1">D385+C386*(Prices!B386-Prices!B385)/Prices!B385</f>
        <v>#DIV/0!</v>
      </c>
      <c r="E386" s="13" t="e">
        <f t="shared" ca="1" si="37"/>
        <v>#DIV/0!</v>
      </c>
      <c r="F386" s="13" t="e">
        <f t="shared" ca="1" si="35"/>
        <v>#DIV/0!</v>
      </c>
      <c r="G386" s="21">
        <f ca="1">IF((Prices!B386-Prices!B385)*C386&gt;0,1,0)</f>
        <v>0</v>
      </c>
      <c r="H386" s="13" t="e">
        <f>ABS(Prices!B386-Prices!B385)/Prices!B385</f>
        <v>#DIV/0!</v>
      </c>
      <c r="I386" s="21"/>
      <c r="J386" s="4">
        <f t="shared" ca="1" si="36"/>
        <v>-1.2247328730351017E-4</v>
      </c>
      <c r="K386" s="13"/>
      <c r="L386" s="13">
        <f ca="1">L385-O386*Prices!B386</f>
        <v>0.75951846501508558</v>
      </c>
      <c r="M386" s="4">
        <f t="shared" ca="1" si="33"/>
        <v>5.8734418089040233E-4</v>
      </c>
      <c r="N386" s="13">
        <f ca="1">IF(Prices!B385&gt;OFFSET(Prices!B385,-$N$3,0),1,-1)</f>
        <v>-1</v>
      </c>
      <c r="O386" s="4">
        <f ca="1">IF(N386=1,O$3*L385/Prices!B385,-O$3*M385)</f>
        <v>-6.5260464543378044E-5</v>
      </c>
      <c r="P386" s="22"/>
      <c r="Q386" s="13">
        <f ca="1">Q385-T386*Prices!B386</f>
        <v>0.90325095606435002</v>
      </c>
      <c r="R386" s="4">
        <f t="shared" ca="1" si="32"/>
        <v>5.7848520790800256E-4</v>
      </c>
      <c r="S386" s="13">
        <f ca="1">IF(Prices!B385&gt;OFFSET(Prices!B385,-S$3,0),1,-1)</f>
        <v>-1</v>
      </c>
      <c r="T386" s="4">
        <f ca="1">IF(S386=1,T$3*Q385/Prices!B385,-T$3*R385)</f>
        <v>-5.7212822760132119E-5</v>
      </c>
      <c r="V386" s="13"/>
      <c r="W386" s="4"/>
      <c r="X386" s="4"/>
      <c r="Y386" s="4"/>
      <c r="Z386" s="4"/>
      <c r="AA386" s="4"/>
      <c r="AB386" s="4"/>
      <c r="AC386" s="4"/>
      <c r="AD386" s="4"/>
      <c r="AE386" s="52"/>
    </row>
    <row r="387" spans="1:31" x14ac:dyDescent="0.2">
      <c r="A387" s="7">
        <v>44073</v>
      </c>
      <c r="B387" s="13">
        <f ca="1">Prices!B386*(1+J387/(50*(ABS(O387)+ABS(T387)+0.0001)))</f>
        <v>0</v>
      </c>
      <c r="C387" s="62">
        <f t="shared" ca="1" si="34"/>
        <v>0</v>
      </c>
      <c r="D387" s="13" t="e">
        <f ca="1">D386+C387*(Prices!B387-Prices!B386)/Prices!B386</f>
        <v>#DIV/0!</v>
      </c>
      <c r="E387" s="13" t="e">
        <f t="shared" ca="1" si="37"/>
        <v>#DIV/0!</v>
      </c>
      <c r="F387" s="13" t="e">
        <f t="shared" ca="1" si="35"/>
        <v>#DIV/0!</v>
      </c>
      <c r="G387" s="21">
        <f ca="1">IF((Prices!B387-Prices!B386)*C387&gt;0,1,0)</f>
        <v>0</v>
      </c>
      <c r="H387" s="13" t="e">
        <f>ABS(Prices!B387-Prices!B386)/Prices!B386</f>
        <v>#DIV/0!</v>
      </c>
      <c r="I387" s="21"/>
      <c r="J387" s="4">
        <f t="shared" ca="1" si="36"/>
        <v>-1.1079808680076046E-4</v>
      </c>
      <c r="K387" s="13"/>
      <c r="L387" s="13">
        <f ca="1">L386-O387*Prices!B387</f>
        <v>0.75951846501508558</v>
      </c>
      <c r="M387" s="4">
        <f t="shared" ca="1" si="33"/>
        <v>5.2860976280136209E-4</v>
      </c>
      <c r="N387" s="13">
        <f ca="1">IF(Prices!B386&gt;OFFSET(Prices!B386,-$N$3,0),1,-1)</f>
        <v>-1</v>
      </c>
      <c r="O387" s="4">
        <f ca="1">IF(N387=1,O$3*L386/Prices!B386,-O$3*M386)</f>
        <v>-5.8734418089040233E-5</v>
      </c>
      <c r="P387" s="22"/>
      <c r="Q387" s="13">
        <f ca="1">Q386-T387*Prices!B387</f>
        <v>0.90325095606435002</v>
      </c>
      <c r="R387" s="4">
        <f t="shared" ca="1" si="32"/>
        <v>5.2642153919628236E-4</v>
      </c>
      <c r="S387" s="13">
        <f ca="1">IF(Prices!B386&gt;OFFSET(Prices!B386,-S$3,0),1,-1)</f>
        <v>-1</v>
      </c>
      <c r="T387" s="4">
        <f ca="1">IF(S387=1,T$3*Q386/Prices!B386,-T$3*R386)</f>
        <v>-5.2063668711720227E-5</v>
      </c>
      <c r="V387" s="13"/>
      <c r="W387" s="4"/>
      <c r="X387" s="4"/>
      <c r="Y387" s="4"/>
      <c r="Z387" s="4"/>
      <c r="AA387" s="4"/>
      <c r="AB387" s="4"/>
      <c r="AC387" s="4"/>
      <c r="AD387" s="4"/>
      <c r="AE387" s="52"/>
    </row>
    <row r="388" spans="1:31" x14ac:dyDescent="0.2">
      <c r="A388" s="58">
        <v>44080</v>
      </c>
      <c r="B388" s="13">
        <f ca="1">Prices!B387*(1+J388/(50*(ABS(O388)+ABS(T388)+0.0001)))</f>
        <v>0</v>
      </c>
      <c r="C388" s="62">
        <f t="shared" ca="1" si="34"/>
        <v>0</v>
      </c>
      <c r="D388" s="13" t="e">
        <f ca="1">D387+C388*(Prices!B388-Prices!B387)/Prices!B387</f>
        <v>#DIV/0!</v>
      </c>
      <c r="E388" s="13" t="e">
        <f t="shared" ca="1" si="37"/>
        <v>#DIV/0!</v>
      </c>
      <c r="F388" s="13" t="e">
        <f t="shared" ca="1" si="35"/>
        <v>#DIV/0!</v>
      </c>
      <c r="G388" s="21">
        <f ca="1">IF((Prices!B388-Prices!B387)*C388&gt;0,1,0)</f>
        <v>0</v>
      </c>
      <c r="H388" s="13" t="e">
        <f>ABS(Prices!B388-Prices!B387)/Prices!B387</f>
        <v>#DIV/0!</v>
      </c>
      <c r="I388" s="21"/>
      <c r="J388" s="4">
        <f t="shared" ca="1" si="36"/>
        <v>-1.0023891480780163E-4</v>
      </c>
      <c r="K388" s="13"/>
      <c r="L388" s="13">
        <f ca="1">L387-O388*Prices!B388</f>
        <v>0.75951846501508558</v>
      </c>
      <c r="M388" s="4">
        <f t="shared" ca="1" si="33"/>
        <v>4.7574878652122587E-4</v>
      </c>
      <c r="N388" s="13">
        <f ca="1">IF(Prices!B387&gt;OFFSET(Prices!B387,-$N$3,0),1,-1)</f>
        <v>-1</v>
      </c>
      <c r="O388" s="4">
        <f ca="1">IF(N388=1,O$3*L387/Prices!B387,-O$3*M387)</f>
        <v>-5.2860976280136213E-5</v>
      </c>
      <c r="P388" s="22"/>
      <c r="Q388" s="13">
        <f ca="1">Q387-T388*Prices!B388</f>
        <v>0.90325095606435002</v>
      </c>
      <c r="R388" s="4">
        <f t="shared" ca="1" si="32"/>
        <v>4.7904360066861697E-4</v>
      </c>
      <c r="S388" s="13">
        <f ca="1">IF(Prices!B387&gt;OFFSET(Prices!B387,-S$3,0),1,-1)</f>
        <v>-1</v>
      </c>
      <c r="T388" s="4">
        <f ca="1">IF(S388=1,T$3*Q387/Prices!B387,-T$3*R387)</f>
        <v>-4.7377938527665412E-5</v>
      </c>
      <c r="V388" s="13"/>
      <c r="W388" s="4"/>
      <c r="X388" s="4"/>
      <c r="Y388" s="4"/>
      <c r="Z388" s="4"/>
      <c r="AA388" s="4"/>
      <c r="AB388" s="4"/>
      <c r="AC388" s="4"/>
      <c r="AD388" s="4"/>
      <c r="AE388" s="52"/>
    </row>
    <row r="389" spans="1:31" x14ac:dyDescent="0.2">
      <c r="A389" s="7">
        <v>44087</v>
      </c>
      <c r="B389" s="13">
        <f ca="1">Prices!B388*(1+J389/(50*(ABS(O389)+ABS(T389)+0.0001)))</f>
        <v>0</v>
      </c>
      <c r="C389" s="62">
        <f t="shared" ca="1" si="34"/>
        <v>0</v>
      </c>
      <c r="D389" s="13" t="e">
        <f ca="1">D388+C389*(Prices!B389-Prices!B388)/Prices!B388</f>
        <v>#DIV/0!</v>
      </c>
      <c r="E389" s="13" t="e">
        <f t="shared" ca="1" si="37"/>
        <v>#DIV/0!</v>
      </c>
      <c r="F389" s="13" t="e">
        <f t="shared" ca="1" si="35"/>
        <v>#DIV/0!</v>
      </c>
      <c r="G389" s="21">
        <f ca="1">IF((Prices!B389-Prices!B388)*C389&gt;0,1,0)</f>
        <v>0</v>
      </c>
      <c r="H389" s="13" t="e">
        <f>ABS(Prices!B389-Prices!B388)/Prices!B388</f>
        <v>#DIV/0!</v>
      </c>
      <c r="I389" s="21"/>
      <c r="J389" s="4">
        <f t="shared" ca="1" si="36"/>
        <v>-9.0688802712298117E-5</v>
      </c>
      <c r="K389" s="13"/>
      <c r="L389" s="13">
        <f ca="1">L388-O389*Prices!B389</f>
        <v>0.75951846501508558</v>
      </c>
      <c r="M389" s="4">
        <f t="shared" ca="1" si="33"/>
        <v>4.2817390786910325E-4</v>
      </c>
      <c r="N389" s="13">
        <f ca="1">IF(Prices!B388&gt;OFFSET(Prices!B388,-$N$3,0),1,-1)</f>
        <v>-1</v>
      </c>
      <c r="O389" s="4">
        <f ca="1">IF(N389=1,O$3*L388/Prices!B388,-O$3*M388)</f>
        <v>-4.7574878652122593E-5</v>
      </c>
      <c r="P389" s="22"/>
      <c r="Q389" s="13">
        <f ca="1">Q388-T389*Prices!B389</f>
        <v>0.90325095606435002</v>
      </c>
      <c r="R389" s="4">
        <f t="shared" ref="R389:R424" ca="1" si="38">R388+T389</f>
        <v>4.3592967660844141E-4</v>
      </c>
      <c r="S389" s="13">
        <f ca="1">IF(Prices!B388&gt;OFFSET(Prices!B388,-S$3,0),1,-1)</f>
        <v>-1</v>
      </c>
      <c r="T389" s="4">
        <f ca="1">IF(S389=1,T$3*Q388/Prices!B388,-T$3*R388)</f>
        <v>-4.3113924060175524E-5</v>
      </c>
      <c r="V389" s="13"/>
      <c r="W389" s="4"/>
      <c r="X389" s="4"/>
      <c r="Y389" s="4"/>
      <c r="Z389" s="4"/>
      <c r="AA389" s="4"/>
      <c r="AB389" s="4"/>
      <c r="AC389" s="4"/>
      <c r="AD389" s="4"/>
      <c r="AE389" s="52"/>
    </row>
    <row r="390" spans="1:31" x14ac:dyDescent="0.2">
      <c r="A390" s="7">
        <v>44094</v>
      </c>
      <c r="B390" s="13">
        <f ca="1">Prices!B389*(1+J390/(50*(ABS(O390)+ABS(T390)+0.0001)))</f>
        <v>0</v>
      </c>
      <c r="C390" s="62">
        <f t="shared" ca="1" si="34"/>
        <v>0</v>
      </c>
      <c r="D390" s="13" t="e">
        <f ca="1">D389+C390*(Prices!B390-Prices!B389)/Prices!B389</f>
        <v>#DIV/0!</v>
      </c>
      <c r="E390" s="13" t="e">
        <f t="shared" ca="1" si="37"/>
        <v>#DIV/0!</v>
      </c>
      <c r="F390" s="13" t="e">
        <f t="shared" ca="1" si="35"/>
        <v>#DIV/0!</v>
      </c>
      <c r="G390" s="21">
        <f ca="1">IF((Prices!B390-Prices!B389)*C390&gt;0,1,0)</f>
        <v>0</v>
      </c>
      <c r="H390" s="13" t="e">
        <f>ABS(Prices!B390-Prices!B389)/Prices!B389</f>
        <v>#DIV/0!</v>
      </c>
      <c r="I390" s="21"/>
      <c r="J390" s="4">
        <f t="shared" ca="1" si="36"/>
        <v>-8.2051061681670057E-5</v>
      </c>
      <c r="K390" s="13"/>
      <c r="L390" s="13">
        <f ca="1">L389-O390*Prices!B390</f>
        <v>0.75951846501508558</v>
      </c>
      <c r="M390" s="4">
        <f t="shared" ca="1" si="33"/>
        <v>3.8535651708219293E-4</v>
      </c>
      <c r="N390" s="13">
        <f ca="1">IF(Prices!B389&gt;OFFSET(Prices!B389,-$N$3,0),1,-1)</f>
        <v>-1</v>
      </c>
      <c r="O390" s="4">
        <f ca="1">IF(N390=1,O$3*L389/Prices!B389,-O$3*M389)</f>
        <v>-4.2817390786910325E-5</v>
      </c>
      <c r="P390" s="22"/>
      <c r="Q390" s="13">
        <f ca="1">Q389-T390*Prices!B390</f>
        <v>0.90325095606435002</v>
      </c>
      <c r="R390" s="4">
        <f t="shared" ca="1" si="38"/>
        <v>3.9669600571368168E-4</v>
      </c>
      <c r="S390" s="13">
        <f ca="1">IF(Prices!B389&gt;OFFSET(Prices!B389,-S$3,0),1,-1)</f>
        <v>-1</v>
      </c>
      <c r="T390" s="4">
        <f ca="1">IF(S390=1,T$3*Q389/Prices!B389,-T$3*R389)</f>
        <v>-3.9233670894759725E-5</v>
      </c>
      <c r="V390" s="13"/>
      <c r="W390" s="4"/>
      <c r="X390" s="4"/>
      <c r="Y390" s="4"/>
      <c r="Z390" s="4"/>
      <c r="AA390" s="4"/>
      <c r="AB390" s="4"/>
      <c r="AC390" s="4"/>
      <c r="AD390" s="4"/>
      <c r="AE390" s="52"/>
    </row>
    <row r="391" spans="1:31" x14ac:dyDescent="0.2">
      <c r="A391" s="58">
        <v>44101</v>
      </c>
      <c r="B391" s="13">
        <f ca="1">Prices!B390*(1+J391/(50*(ABS(O391)+ABS(T391)+0.0001)))</f>
        <v>0</v>
      </c>
      <c r="C391" s="62">
        <f t="shared" ca="1" si="34"/>
        <v>0</v>
      </c>
      <c r="D391" s="13" t="e">
        <f ca="1">D390+C391*(Prices!B391-Prices!B390)/Prices!B390</f>
        <v>#DIV/0!</v>
      </c>
      <c r="E391" s="13" t="e">
        <f t="shared" ca="1" si="37"/>
        <v>#DIV/0!</v>
      </c>
      <c r="F391" s="13" t="e">
        <f t="shared" ca="1" si="35"/>
        <v>#DIV/0!</v>
      </c>
      <c r="G391" s="21">
        <f ca="1">IF((Prices!B391-Prices!B390)*C391&gt;0,1,0)</f>
        <v>0</v>
      </c>
      <c r="H391" s="13" t="e">
        <f>ABS(Prices!B391-Prices!B390)/Prices!B390</f>
        <v>#DIV/0!</v>
      </c>
      <c r="I391" s="21"/>
      <c r="J391" s="4">
        <f t="shared" ca="1" si="36"/>
        <v>-7.4238292222450654E-5</v>
      </c>
      <c r="K391" s="13"/>
      <c r="L391" s="13">
        <f ca="1">L390-O391*Prices!B391</f>
        <v>0.75951846501508558</v>
      </c>
      <c r="M391" s="4">
        <f t="shared" ca="1" si="33"/>
        <v>3.4682086537397361E-4</v>
      </c>
      <c r="N391" s="13">
        <f ca="1">IF(Prices!B390&gt;OFFSET(Prices!B390,-$N$3,0),1,-1)</f>
        <v>-1</v>
      </c>
      <c r="O391" s="4">
        <f ca="1">IF(N391=1,O$3*L390/Prices!B390,-O$3*M390)</f>
        <v>-3.8535651708219294E-5</v>
      </c>
      <c r="P391" s="22"/>
      <c r="Q391" s="13">
        <f ca="1">Q390-T391*Prices!B391</f>
        <v>0.90325095606435002</v>
      </c>
      <c r="R391" s="4">
        <f t="shared" ca="1" si="38"/>
        <v>3.6099336519945032E-4</v>
      </c>
      <c r="S391" s="13">
        <f ca="1">IF(Prices!B390&gt;OFFSET(Prices!B390,-S$3,0),1,-1)</f>
        <v>-1</v>
      </c>
      <c r="T391" s="4">
        <f ca="1">IF(S391=1,T$3*Q390/Prices!B390,-T$3*R390)</f>
        <v>-3.5702640514231353E-5</v>
      </c>
      <c r="V391" s="13"/>
      <c r="W391" s="4"/>
      <c r="X391" s="4"/>
      <c r="Y391" s="4"/>
      <c r="Z391" s="4"/>
      <c r="AA391" s="4"/>
      <c r="AB391" s="4"/>
      <c r="AC391" s="4"/>
      <c r="AD391" s="4"/>
      <c r="AE391" s="52"/>
    </row>
    <row r="392" spans="1:31" x14ac:dyDescent="0.2">
      <c r="A392" s="7">
        <v>44108</v>
      </c>
      <c r="B392" s="13">
        <f ca="1">Prices!B391*(1+J392/(50*(ABS(O392)+ABS(T392)+0.0001)))</f>
        <v>0</v>
      </c>
      <c r="C392" s="62">
        <f t="shared" ca="1" si="34"/>
        <v>0</v>
      </c>
      <c r="D392" s="13" t="e">
        <f ca="1">D391+C392*(Prices!B392-Prices!B391)/Prices!B391</f>
        <v>#DIV/0!</v>
      </c>
      <c r="E392" s="13" t="e">
        <f t="shared" ca="1" si="37"/>
        <v>#DIV/0!</v>
      </c>
      <c r="F392" s="13" t="e">
        <f t="shared" ca="1" si="35"/>
        <v>#DIV/0!</v>
      </c>
      <c r="G392" s="21">
        <f ca="1">IF((Prices!B392-Prices!B391)*C392&gt;0,1,0)</f>
        <v>0</v>
      </c>
      <c r="H392" s="13" t="e">
        <f>ABS(Prices!B392-Prices!B391)/Prices!B391</f>
        <v>#DIV/0!</v>
      </c>
      <c r="I392" s="21"/>
      <c r="J392" s="4">
        <f t="shared" ca="1" si="36"/>
        <v>-6.7171489405347883E-5</v>
      </c>
      <c r="K392" s="13"/>
      <c r="L392" s="13">
        <f ca="1">L391-O392*Prices!B392</f>
        <v>0.75951846501508558</v>
      </c>
      <c r="M392" s="4">
        <f t="shared" ca="1" si="33"/>
        <v>3.1213877883657623E-4</v>
      </c>
      <c r="N392" s="13">
        <f ca="1">IF(Prices!B391&gt;OFFSET(Prices!B391,-$N$3,0),1,-1)</f>
        <v>-1</v>
      </c>
      <c r="O392" s="4">
        <f ca="1">IF(N392=1,O$3*L391/Prices!B391,-O$3*M391)</f>
        <v>-3.4682086537397363E-5</v>
      </c>
      <c r="P392" s="22"/>
      <c r="Q392" s="13">
        <f ca="1">Q391-T392*Prices!B392</f>
        <v>0.90325095606435002</v>
      </c>
      <c r="R392" s="4">
        <f t="shared" ca="1" si="38"/>
        <v>3.2850396233149982E-4</v>
      </c>
      <c r="S392" s="13">
        <f ca="1">IF(Prices!B391&gt;OFFSET(Prices!B391,-S$3,0),1,-1)</f>
        <v>-1</v>
      </c>
      <c r="T392" s="4">
        <f ca="1">IF(S392=1,T$3*Q391/Prices!B391,-T$3*R391)</f>
        <v>-3.2489402867950527E-5</v>
      </c>
      <c r="V392" s="13"/>
      <c r="W392" s="4"/>
      <c r="X392" s="4"/>
      <c r="Y392" s="4"/>
      <c r="Z392" s="4"/>
      <c r="AA392" s="4"/>
      <c r="AB392" s="4"/>
      <c r="AC392" s="4"/>
      <c r="AD392" s="4"/>
      <c r="AE392" s="52"/>
    </row>
    <row r="393" spans="1:31" x14ac:dyDescent="0.2">
      <c r="A393" s="7">
        <v>44115</v>
      </c>
      <c r="B393" s="13">
        <f ca="1">Prices!B392*(1+J393/(50*(ABS(O393)+ABS(T393)+0.0001)))</f>
        <v>0</v>
      </c>
      <c r="C393" s="62">
        <f t="shared" ca="1" si="34"/>
        <v>0</v>
      </c>
      <c r="D393" s="13" t="e">
        <f ca="1">D392+C393*(Prices!B393-Prices!B392)/Prices!B392</f>
        <v>#DIV/0!</v>
      </c>
      <c r="E393" s="13" t="e">
        <f t="shared" ca="1" si="37"/>
        <v>#DIV/0!</v>
      </c>
      <c r="F393" s="13" t="e">
        <f t="shared" ca="1" si="35"/>
        <v>#DIV/0!</v>
      </c>
      <c r="G393" s="21">
        <f ca="1">IF((Prices!B393-Prices!B392)*C393&gt;0,1,0)</f>
        <v>0</v>
      </c>
      <c r="H393" s="13" t="e">
        <f>ABS(Prices!B393-Prices!B392)/Prices!B392</f>
        <v>#DIV/0!</v>
      </c>
      <c r="I393" s="21"/>
      <c r="J393" s="4">
        <f t="shared" ca="1" si="36"/>
        <v>-6.0779234493492605E-5</v>
      </c>
      <c r="K393" s="13"/>
      <c r="L393" s="13">
        <f ca="1">L392-O393*Prices!B393</f>
        <v>0.75951846501508558</v>
      </c>
      <c r="M393" s="4">
        <f t="shared" ref="M393:M424" ca="1" si="39">M392+O393</f>
        <v>2.809249009529186E-4</v>
      </c>
      <c r="N393" s="13">
        <f ca="1">IF(Prices!B392&gt;OFFSET(Prices!B392,-$N$3,0),1,-1)</f>
        <v>-1</v>
      </c>
      <c r="O393" s="4">
        <f ca="1">IF(N393=1,O$3*L392/Prices!B392,-O$3*M392)</f>
        <v>-3.1213877883657622E-5</v>
      </c>
      <c r="P393" s="22"/>
      <c r="Q393" s="13">
        <f ca="1">Q392-T393*Prices!B393</f>
        <v>0.90325095606435002</v>
      </c>
      <c r="R393" s="4">
        <f t="shared" ca="1" si="38"/>
        <v>2.9893860572166483E-4</v>
      </c>
      <c r="S393" s="13">
        <f ca="1">IF(Prices!B392&gt;OFFSET(Prices!B392,-S$3,0),1,-1)</f>
        <v>-1</v>
      </c>
      <c r="T393" s="4">
        <f ca="1">IF(S393=1,T$3*Q392/Prices!B392,-T$3*R392)</f>
        <v>-2.9565356609834983E-5</v>
      </c>
      <c r="V393" s="13"/>
      <c r="W393" s="4"/>
      <c r="X393" s="4"/>
      <c r="Y393" s="4"/>
      <c r="Z393" s="4"/>
      <c r="AA393" s="4"/>
      <c r="AB393" s="4"/>
      <c r="AC393" s="4"/>
      <c r="AD393" s="4"/>
      <c r="AE393" s="52"/>
    </row>
    <row r="394" spans="1:31" x14ac:dyDescent="0.2">
      <c r="A394" s="7">
        <v>44122</v>
      </c>
      <c r="B394" s="13">
        <f ca="1">Prices!B393*(1+J394/(50*(ABS(O394)+ABS(T394)+0.0001)))</f>
        <v>0</v>
      </c>
      <c r="C394" s="62">
        <f t="shared" ca="1" si="34"/>
        <v>0</v>
      </c>
      <c r="D394" s="13" t="e">
        <f ca="1">D393+C394*(Prices!B394-Prices!B393)/Prices!B393</f>
        <v>#DIV/0!</v>
      </c>
      <c r="E394" s="13" t="e">
        <f t="shared" ca="1" si="37"/>
        <v>#DIV/0!</v>
      </c>
      <c r="F394" s="13" t="e">
        <f t="shared" ca="1" si="35"/>
        <v>#DIV/0!</v>
      </c>
      <c r="G394" s="21">
        <f ca="1">IF((Prices!B394-Prices!B393)*C394&gt;0,1,0)</f>
        <v>0</v>
      </c>
      <c r="H394" s="13" t="e">
        <f>ABS(Prices!B394-Prices!B393)/Prices!B393</f>
        <v>#DIV/0!</v>
      </c>
      <c r="I394" s="21"/>
      <c r="J394" s="4">
        <f t="shared" ca="1" si="36"/>
        <v>-5.4996964610241699E-5</v>
      </c>
      <c r="K394" s="13"/>
      <c r="L394" s="13">
        <f ca="1">L393-O394*Prices!B394</f>
        <v>0.75951846501508558</v>
      </c>
      <c r="M394" s="4">
        <f t="shared" ca="1" si="39"/>
        <v>2.5283241085762676E-4</v>
      </c>
      <c r="N394" s="13">
        <f ca="1">IF(Prices!B393&gt;OFFSET(Prices!B393,-$N$3,0),1,-1)</f>
        <v>-1</v>
      </c>
      <c r="O394" s="4">
        <f ca="1">IF(N394=1,O$3*L393/Prices!B393,-O$3*M393)</f>
        <v>-2.8092490095291862E-5</v>
      </c>
      <c r="P394" s="22"/>
      <c r="Q394" s="13">
        <f ca="1">Q393-T394*Prices!B394</f>
        <v>0.90325095606435002</v>
      </c>
      <c r="R394" s="4">
        <f t="shared" ca="1" si="38"/>
        <v>2.7203413120671497E-4</v>
      </c>
      <c r="S394" s="13">
        <f ca="1">IF(Prices!B393&gt;OFFSET(Prices!B393,-S$3,0),1,-1)</f>
        <v>-1</v>
      </c>
      <c r="T394" s="4">
        <f ca="1">IF(S394=1,T$3*Q393/Prices!B393,-T$3*R393)</f>
        <v>-2.6904474514949833E-5</v>
      </c>
      <c r="V394" s="13"/>
      <c r="W394" s="4"/>
      <c r="X394" s="4"/>
      <c r="Y394" s="4"/>
      <c r="Z394" s="4"/>
      <c r="AA394" s="4"/>
      <c r="AB394" s="4"/>
      <c r="AC394" s="4"/>
      <c r="AD394" s="4"/>
      <c r="AE394" s="52"/>
    </row>
    <row r="395" spans="1:31" x14ac:dyDescent="0.2">
      <c r="A395" s="7">
        <v>44129</v>
      </c>
      <c r="B395" s="13">
        <f ca="1">Prices!B394*(1+J395/(50*(ABS(O395)+ABS(T395)+0.0001)))</f>
        <v>0</v>
      </c>
      <c r="C395" s="62">
        <f t="shared" ca="1" si="34"/>
        <v>0</v>
      </c>
      <c r="D395" s="13" t="e">
        <f ca="1">D394+C395*(Prices!B395-Prices!B394)/Prices!B394</f>
        <v>#DIV/0!</v>
      </c>
      <c r="E395" s="13" t="e">
        <f t="shared" ca="1" si="37"/>
        <v>#DIV/0!</v>
      </c>
      <c r="F395" s="13" t="e">
        <f t="shared" ca="1" si="35"/>
        <v>#DIV/0!</v>
      </c>
      <c r="G395" s="21">
        <f ca="1">IF((Prices!B395-Prices!B394)*C395&gt;0,1,0)</f>
        <v>0</v>
      </c>
      <c r="H395" s="13" t="e">
        <f>ABS(Prices!B395-Prices!B394)/Prices!B394</f>
        <v>#DIV/0!</v>
      </c>
      <c r="I395" s="21"/>
      <c r="J395" s="4">
        <f t="shared" ca="1" si="36"/>
        <v>-4.9766312894367023E-5</v>
      </c>
      <c r="K395" s="13"/>
      <c r="L395" s="13">
        <f ca="1">L394-O395*Prices!B395</f>
        <v>0.75951846501508558</v>
      </c>
      <c r="M395" s="4">
        <f t="shared" ca="1" si="39"/>
        <v>2.2754916977186409E-4</v>
      </c>
      <c r="N395" s="13">
        <f ca="1">IF(Prices!B394&gt;OFFSET(Prices!B394,-$N$3,0),1,-1)</f>
        <v>-1</v>
      </c>
      <c r="O395" s="4">
        <f ca="1">IF(N395=1,O$3*L394/Prices!B394,-O$3*M394)</f>
        <v>-2.5283241085762676E-5</v>
      </c>
      <c r="P395" s="22"/>
      <c r="Q395" s="13">
        <f ca="1">Q394-T395*Prices!B395</f>
        <v>0.90325095606435002</v>
      </c>
      <c r="R395" s="4">
        <f t="shared" ca="1" si="38"/>
        <v>2.475510593981106E-4</v>
      </c>
      <c r="S395" s="13">
        <f ca="1">IF(Prices!B394&gt;OFFSET(Prices!B394,-S$3,0),1,-1)</f>
        <v>-1</v>
      </c>
      <c r="T395" s="4">
        <f ca="1">IF(S395=1,T$3*Q394/Prices!B394,-T$3*R394)</f>
        <v>-2.4483071808604347E-5</v>
      </c>
      <c r="V395" s="13"/>
      <c r="W395" s="4"/>
      <c r="X395" s="4"/>
      <c r="Y395" s="4"/>
      <c r="Z395" s="4"/>
      <c r="AA395" s="4"/>
      <c r="AB395" s="4"/>
      <c r="AC395" s="4"/>
      <c r="AD395" s="4"/>
      <c r="AE395" s="52"/>
    </row>
    <row r="396" spans="1:31" x14ac:dyDescent="0.2">
      <c r="A396" s="7">
        <v>44136</v>
      </c>
      <c r="B396" s="13">
        <f ca="1">Prices!B395*(1+J396/(50*(ABS(O396)+ABS(T396)+0.0001)))</f>
        <v>0</v>
      </c>
      <c r="C396" s="62">
        <f t="shared" ca="1" si="34"/>
        <v>0</v>
      </c>
      <c r="D396" s="13" t="e">
        <f ca="1">D395+C396*(Prices!B396-Prices!B395)/Prices!B395</f>
        <v>#DIV/0!</v>
      </c>
      <c r="E396" s="13" t="e">
        <f t="shared" ca="1" si="37"/>
        <v>#DIV/0!</v>
      </c>
      <c r="F396" s="13" t="e">
        <f t="shared" ca="1" si="35"/>
        <v>#DIV/0!</v>
      </c>
      <c r="G396" s="21">
        <f ca="1">IF((Prices!B396-Prices!B395)*C396&gt;0,1,0)</f>
        <v>0</v>
      </c>
      <c r="H396" s="13" t="e">
        <f>ABS(Prices!B396-Prices!B395)/Prices!B395</f>
        <v>#DIV/0!</v>
      </c>
      <c r="I396" s="21"/>
      <c r="J396" s="4">
        <f t="shared" ca="1" si="36"/>
        <v>-4.5034512323016363E-5</v>
      </c>
      <c r="K396" s="13"/>
      <c r="L396" s="13">
        <f ca="1">L395-O396*Prices!B396</f>
        <v>0.75951846501508558</v>
      </c>
      <c r="M396" s="4">
        <f t="shared" ca="1" si="39"/>
        <v>2.0479425279467767E-4</v>
      </c>
      <c r="N396" s="13">
        <f ca="1">IF(Prices!B395&gt;OFFSET(Prices!B395,-$N$3,0),1,-1)</f>
        <v>-1</v>
      </c>
      <c r="O396" s="4">
        <f ca="1">IF(N396=1,O$3*L395/Prices!B395,-O$3*M395)</f>
        <v>-2.2754916977186409E-5</v>
      </c>
      <c r="P396" s="22"/>
      <c r="Q396" s="13">
        <f ca="1">Q395-T396*Prices!B396</f>
        <v>0.90325095606435002</v>
      </c>
      <c r="R396" s="4">
        <f t="shared" ca="1" si="38"/>
        <v>2.2527146405228066E-4</v>
      </c>
      <c r="S396" s="13">
        <f ca="1">IF(Prices!B395&gt;OFFSET(Prices!B395,-S$3,0),1,-1)</f>
        <v>-1</v>
      </c>
      <c r="T396" s="4">
        <f ca="1">IF(S396=1,T$3*Q395/Prices!B395,-T$3*R395)</f>
        <v>-2.2279595345829955E-5</v>
      </c>
      <c r="V396" s="13"/>
      <c r="W396" s="4"/>
      <c r="X396" s="4"/>
      <c r="Y396" s="4"/>
      <c r="Z396" s="4"/>
      <c r="AA396" s="4"/>
      <c r="AB396" s="4"/>
      <c r="AC396" s="4"/>
      <c r="AD396" s="4"/>
      <c r="AE396" s="52"/>
    </row>
    <row r="397" spans="1:31" x14ac:dyDescent="0.2">
      <c r="A397" s="7">
        <v>44143</v>
      </c>
      <c r="B397" s="13">
        <f ca="1">Prices!B396*(1+J397/(50*(ABS(O397)+ABS(T397)+0.0001)))</f>
        <v>0</v>
      </c>
      <c r="C397" s="62">
        <f t="shared" ca="1" si="34"/>
        <v>0</v>
      </c>
      <c r="D397" s="13" t="e">
        <f ca="1">D396+C397*(Prices!B397-Prices!B396)/Prices!B396</f>
        <v>#DIV/0!</v>
      </c>
      <c r="E397" s="13" t="e">
        <f t="shared" ca="1" si="37"/>
        <v>#DIV/0!</v>
      </c>
      <c r="F397" s="13" t="e">
        <f t="shared" ca="1" si="35"/>
        <v>#DIV/0!</v>
      </c>
      <c r="G397" s="21">
        <f ca="1">IF((Prices!B397-Prices!B396)*C397&gt;0,1,0)</f>
        <v>0</v>
      </c>
      <c r="H397" s="13" t="e">
        <f>ABS(Prices!B397-Prices!B396)/Prices!B396</f>
        <v>#DIV/0!</v>
      </c>
      <c r="I397" s="21"/>
      <c r="J397" s="4">
        <f t="shared" ca="1" si="36"/>
        <v>-4.0753857044173024E-5</v>
      </c>
      <c r="K397" s="13"/>
      <c r="L397" s="13">
        <f ca="1">L396-O397*Prices!B397</f>
        <v>0.75951846501508558</v>
      </c>
      <c r="M397" s="4">
        <f t="shared" ca="1" si="39"/>
        <v>1.843148275152099E-4</v>
      </c>
      <c r="N397" s="13">
        <f ca="1">IF(Prices!B396&gt;OFFSET(Prices!B396,-$N$3,0),1,-1)</f>
        <v>-1</v>
      </c>
      <c r="O397" s="4">
        <f ca="1">IF(N397=1,O$3*L396/Prices!B396,-O$3*M396)</f>
        <v>-2.0479425279467768E-5</v>
      </c>
      <c r="P397" s="22"/>
      <c r="Q397" s="13">
        <f ca="1">Q396-T397*Prices!B397</f>
        <v>0.90325095606435002</v>
      </c>
      <c r="R397" s="4">
        <f t="shared" ca="1" si="38"/>
        <v>2.0499703228757539E-4</v>
      </c>
      <c r="S397" s="13">
        <f ca="1">IF(Prices!B396&gt;OFFSET(Prices!B396,-S$3,0),1,-1)</f>
        <v>-1</v>
      </c>
      <c r="T397" s="4">
        <f ca="1">IF(S397=1,T$3*Q396/Prices!B396,-T$3*R396)</f>
        <v>-2.027443176470526E-5</v>
      </c>
      <c r="V397" s="13"/>
      <c r="W397" s="4"/>
      <c r="X397" s="4"/>
      <c r="Y397" s="4"/>
      <c r="Z397" s="4"/>
      <c r="AA397" s="4"/>
      <c r="AB397" s="4"/>
      <c r="AC397" s="4"/>
      <c r="AD397" s="4"/>
      <c r="AE397" s="52"/>
    </row>
    <row r="398" spans="1:31" x14ac:dyDescent="0.2">
      <c r="A398" s="58">
        <v>44150</v>
      </c>
      <c r="B398" s="13">
        <f ca="1">Prices!B397*(1+J398/(50*(ABS(O398)+ABS(T398)+0.0001)))</f>
        <v>0</v>
      </c>
      <c r="C398" s="62">
        <f t="shared" ca="1" si="34"/>
        <v>0</v>
      </c>
      <c r="D398" s="13" t="e">
        <f ca="1">D397+C398*(Prices!B398-Prices!B397)/Prices!B397</f>
        <v>#DIV/0!</v>
      </c>
      <c r="E398" s="13" t="e">
        <f t="shared" ca="1" si="37"/>
        <v>#DIV/0!</v>
      </c>
      <c r="F398" s="13" t="e">
        <f t="shared" ca="1" si="35"/>
        <v>#DIV/0!</v>
      </c>
      <c r="G398" s="21">
        <f ca="1">IF((Prices!B398-Prices!B397)*C398&gt;0,1,0)</f>
        <v>0</v>
      </c>
      <c r="H398" s="13" t="e">
        <f>ABS(Prices!B398-Prices!B397)/Prices!B397</f>
        <v>#DIV/0!</v>
      </c>
      <c r="I398" s="21"/>
      <c r="J398" s="4">
        <f t="shared" ca="1" si="36"/>
        <v>-3.6881215657402778E-5</v>
      </c>
      <c r="K398" s="13"/>
      <c r="L398" s="13">
        <f ca="1">L397-O398*Prices!B398</f>
        <v>0.75951846501508558</v>
      </c>
      <c r="M398" s="4">
        <f t="shared" ca="1" si="39"/>
        <v>1.6588334476368892E-4</v>
      </c>
      <c r="N398" s="13">
        <f ca="1">IF(Prices!B397&gt;OFFSET(Prices!B397,-$N$3,0),1,-1)</f>
        <v>-1</v>
      </c>
      <c r="O398" s="4">
        <f ca="1">IF(N398=1,O$3*L397/Prices!B397,-O$3*M397)</f>
        <v>-1.8431482751520992E-5</v>
      </c>
      <c r="P398" s="22"/>
      <c r="Q398" s="13">
        <f ca="1">Q397-T398*Prices!B398</f>
        <v>0.90325095606435002</v>
      </c>
      <c r="R398" s="4">
        <f t="shared" ca="1" si="38"/>
        <v>1.865472993816936E-4</v>
      </c>
      <c r="S398" s="13">
        <f ca="1">IF(Prices!B397&gt;OFFSET(Prices!B397,-S$3,0),1,-1)</f>
        <v>-1</v>
      </c>
      <c r="T398" s="4">
        <f ca="1">IF(S398=1,T$3*Q397/Prices!B397,-T$3*R397)</f>
        <v>-1.8449732905881786E-5</v>
      </c>
      <c r="V398" s="13"/>
      <c r="W398" s="4"/>
      <c r="X398" s="4"/>
      <c r="Y398" s="4"/>
      <c r="Z398" s="4"/>
      <c r="AA398" s="4"/>
      <c r="AB398" s="4"/>
      <c r="AC398" s="4"/>
      <c r="AD398" s="4"/>
      <c r="AE398" s="52"/>
    </row>
    <row r="399" spans="1:31" x14ac:dyDescent="0.2">
      <c r="A399" s="7">
        <v>44157</v>
      </c>
      <c r="B399" s="13">
        <f ca="1">Prices!B398*(1+J399/(50*(ABS(O399)+ABS(T399)+0.0001)))</f>
        <v>0</v>
      </c>
      <c r="C399" s="62">
        <f t="shared" ca="1" si="34"/>
        <v>0</v>
      </c>
      <c r="D399" s="13" t="e">
        <f ca="1">D398+C399*(Prices!B399-Prices!B398)/Prices!B398</f>
        <v>#DIV/0!</v>
      </c>
      <c r="E399" s="13" t="e">
        <f t="shared" ca="1" si="37"/>
        <v>#DIV/0!</v>
      </c>
      <c r="F399" s="13" t="e">
        <f t="shared" ca="1" si="35"/>
        <v>#DIV/0!</v>
      </c>
      <c r="G399" s="21">
        <f ca="1">IF((Prices!B399-Prices!B398)*C399&gt;0,1,0)</f>
        <v>0</v>
      </c>
      <c r="H399" s="13" t="e">
        <f>ABS(Prices!B399-Prices!B398)/Prices!B398</f>
        <v>#DIV/0!</v>
      </c>
      <c r="I399" s="21"/>
      <c r="J399" s="4">
        <f t="shared" ca="1" si="36"/>
        <v>-3.3377591420721318E-5</v>
      </c>
      <c r="K399" s="13"/>
      <c r="L399" s="13">
        <f ca="1">L398-O399*Prices!B399</f>
        <v>0.75951846501508558</v>
      </c>
      <c r="M399" s="4">
        <f t="shared" ca="1" si="39"/>
        <v>1.4929501028732004E-4</v>
      </c>
      <c r="N399" s="13">
        <f ca="1">IF(Prices!B398&gt;OFFSET(Prices!B398,-$N$3,0),1,-1)</f>
        <v>-1</v>
      </c>
      <c r="O399" s="4">
        <f ca="1">IF(N399=1,O$3*L398/Prices!B398,-O$3*M398)</f>
        <v>-1.6588334476368892E-5</v>
      </c>
      <c r="P399" s="22"/>
      <c r="Q399" s="13">
        <f ca="1">Q398-T399*Prices!B399</f>
        <v>0.90325095606435002</v>
      </c>
      <c r="R399" s="4">
        <f t="shared" ca="1" si="38"/>
        <v>1.6975804243734118E-4</v>
      </c>
      <c r="S399" s="13">
        <f ca="1">IF(Prices!B398&gt;OFFSET(Prices!B398,-S$3,0),1,-1)</f>
        <v>-1</v>
      </c>
      <c r="T399" s="4">
        <f ca="1">IF(S399=1,T$3*Q398/Prices!B398,-T$3*R398)</f>
        <v>-1.6789256944352423E-5</v>
      </c>
      <c r="V399" s="13"/>
      <c r="W399" s="4"/>
      <c r="X399" s="4"/>
      <c r="Y399" s="4"/>
      <c r="Z399" s="4"/>
      <c r="AA399" s="4"/>
      <c r="AB399" s="4"/>
      <c r="AC399" s="4"/>
      <c r="AD399" s="4"/>
      <c r="AE399" s="52"/>
    </row>
    <row r="400" spans="1:31" x14ac:dyDescent="0.2">
      <c r="A400" s="7">
        <v>44164</v>
      </c>
      <c r="B400" s="13">
        <f ca="1">Prices!B399*(1+J400/(50*(ABS(O400)+ABS(T400)+0.0001)))</f>
        <v>0</v>
      </c>
      <c r="C400" s="62">
        <f t="shared" ca="1" si="34"/>
        <v>0</v>
      </c>
      <c r="D400" s="13" t="e">
        <f ca="1">D399+C400*(Prices!B400-Prices!B399)/Prices!B399</f>
        <v>#DIV/0!</v>
      </c>
      <c r="E400" s="13" t="e">
        <f t="shared" ca="1" si="37"/>
        <v>#DIV/0!</v>
      </c>
      <c r="F400" s="13" t="e">
        <f t="shared" ca="1" si="35"/>
        <v>#DIV/0!</v>
      </c>
      <c r="G400" s="21">
        <f ca="1">IF((Prices!B400-Prices!B399)*C400&gt;0,1,0)</f>
        <v>0</v>
      </c>
      <c r="H400" s="13" t="e">
        <f>ABS(Prices!B400-Prices!B399)/Prices!B399</f>
        <v>#DIV/0!</v>
      </c>
      <c r="I400" s="21"/>
      <c r="J400" s="4">
        <f t="shared" ca="1" si="36"/>
        <v>-3.0207724848092709E-5</v>
      </c>
      <c r="K400" s="13"/>
      <c r="L400" s="13">
        <f ca="1">L399-O400*Prices!B400</f>
        <v>0.75951846501508558</v>
      </c>
      <c r="M400" s="4">
        <f t="shared" ca="1" si="39"/>
        <v>1.3436550925858805E-4</v>
      </c>
      <c r="N400" s="13">
        <f ca="1">IF(Prices!B399&gt;OFFSET(Prices!B399,-$N$3,0),1,-1)</f>
        <v>-1</v>
      </c>
      <c r="O400" s="4">
        <f ca="1">IF(N400=1,O$3*L399/Prices!B399,-O$3*M399)</f>
        <v>-1.4929501028732004E-5</v>
      </c>
      <c r="P400" s="22"/>
      <c r="Q400" s="13">
        <f ca="1">Q399-T400*Prices!B400</f>
        <v>0.90325095606435002</v>
      </c>
      <c r="R400" s="4">
        <f t="shared" ca="1" si="38"/>
        <v>1.5447981861798049E-4</v>
      </c>
      <c r="S400" s="13">
        <f ca="1">IF(Prices!B399&gt;OFFSET(Prices!B399,-S$3,0),1,-1)</f>
        <v>-1</v>
      </c>
      <c r="T400" s="4">
        <f ca="1">IF(S400=1,T$3*Q399/Prices!B399,-T$3*R399)</f>
        <v>-1.5278223819360705E-5</v>
      </c>
      <c r="V400" s="13"/>
      <c r="W400" s="4"/>
      <c r="X400" s="4"/>
      <c r="Y400" s="4"/>
      <c r="Z400" s="4"/>
      <c r="AA400" s="4"/>
      <c r="AB400" s="4"/>
      <c r="AC400" s="4"/>
      <c r="AD400" s="4"/>
      <c r="AE400" s="52"/>
    </row>
    <row r="401" spans="1:31" x14ac:dyDescent="0.2">
      <c r="A401" s="7">
        <v>44171</v>
      </c>
      <c r="B401" s="13">
        <f ca="1">Prices!B400*(1+J401/(50*(ABS(O401)+ABS(T401)+0.0001)))</f>
        <v>0</v>
      </c>
      <c r="C401" s="62">
        <f t="shared" ref="C401:C423" ca="1" si="40">IF(J401&gt;0,1,IF(J401&lt;0,0,0))</f>
        <v>0</v>
      </c>
      <c r="D401" s="13" t="e">
        <f ca="1">D400+C401*(Prices!B401-Prices!B400)/Prices!B400</f>
        <v>#DIV/0!</v>
      </c>
      <c r="E401" s="13" t="e">
        <f t="shared" ca="1" si="37"/>
        <v>#DIV/0!</v>
      </c>
      <c r="F401" s="13" t="e">
        <f t="shared" ref="F401:F423" ca="1" si="41">MAX(F400,D401)</f>
        <v>#DIV/0!</v>
      </c>
      <c r="G401" s="21">
        <f ca="1">IF((Prices!B401-Prices!B400)*C401&gt;0,1,0)</f>
        <v>0</v>
      </c>
      <c r="H401" s="13" t="e">
        <f>ABS(Prices!B401-Prices!B400)/Prices!B400</f>
        <v>#DIV/0!</v>
      </c>
      <c r="I401" s="21"/>
      <c r="J401" s="4">
        <f t="shared" ref="J401:J424" ca="1" si="42">O401+T401</f>
        <v>-2.733973460147705E-5</v>
      </c>
      <c r="K401" s="13"/>
      <c r="L401" s="13">
        <f ca="1">L400-O401*Prices!B401</f>
        <v>0.75951846501508558</v>
      </c>
      <c r="M401" s="4">
        <f t="shared" ca="1" si="39"/>
        <v>1.2092895833272925E-4</v>
      </c>
      <c r="N401" s="13">
        <f ca="1">IF(Prices!B400&gt;OFFSET(Prices!B400,-$N$3,0),1,-1)</f>
        <v>-1</v>
      </c>
      <c r="O401" s="4">
        <f ca="1">IF(N401=1,O$3*L400/Prices!B400,-O$3*M400)</f>
        <v>-1.3436550925858805E-5</v>
      </c>
      <c r="P401" s="22"/>
      <c r="Q401" s="13">
        <f ca="1">Q400-T401*Prices!B401</f>
        <v>0.90325095606435002</v>
      </c>
      <c r="R401" s="4">
        <f t="shared" ca="1" si="38"/>
        <v>1.4057663494236225E-4</v>
      </c>
      <c r="S401" s="13">
        <f ca="1">IF(Prices!B400&gt;OFFSET(Prices!B400,-S$3,0),1,-1)</f>
        <v>-1</v>
      </c>
      <c r="T401" s="4">
        <f ca="1">IF(S401=1,T$3*Q400/Prices!B400,-T$3*R400)</f>
        <v>-1.3903183675618244E-5</v>
      </c>
      <c r="V401" s="13"/>
      <c r="W401" s="4"/>
      <c r="X401" s="4"/>
      <c r="Y401" s="4"/>
      <c r="Z401" s="4"/>
      <c r="AA401" s="4"/>
      <c r="AB401" s="4"/>
      <c r="AC401" s="4"/>
      <c r="AD401" s="4"/>
      <c r="AE401" s="52"/>
    </row>
    <row r="402" spans="1:31" x14ac:dyDescent="0.2">
      <c r="A402" s="7">
        <v>44178</v>
      </c>
      <c r="B402" s="13">
        <f ca="1">Prices!B401*(1+J402/(50*(ABS(O402)+ABS(T402)+0.0001)))</f>
        <v>0</v>
      </c>
      <c r="C402" s="62">
        <f t="shared" ca="1" si="40"/>
        <v>0</v>
      </c>
      <c r="D402" s="13" t="e">
        <f ca="1">D401+C402*(Prices!B402-Prices!B401)/Prices!B401</f>
        <v>#DIV/0!</v>
      </c>
      <c r="E402" s="13" t="e">
        <f t="shared" ca="1" si="37"/>
        <v>#DIV/0!</v>
      </c>
      <c r="F402" s="13" t="e">
        <f t="shared" ca="1" si="41"/>
        <v>#DIV/0!</v>
      </c>
      <c r="G402" s="21">
        <f ca="1">IF((Prices!B402-Prices!B401)*C402&gt;0,1,0)</f>
        <v>0</v>
      </c>
      <c r="H402" s="13" t="e">
        <f>ABS(Prices!B402-Prices!B401)/Prices!B401</f>
        <v>#DIV/0!</v>
      </c>
      <c r="I402" s="21"/>
      <c r="J402" s="4">
        <f t="shared" ca="1" si="42"/>
        <v>-2.4744792978085524E-5</v>
      </c>
      <c r="K402" s="13"/>
      <c r="L402" s="13">
        <f ca="1">L401-O402*Prices!B402</f>
        <v>0.75951846501508558</v>
      </c>
      <c r="M402" s="4">
        <f t="shared" ca="1" si="39"/>
        <v>1.0883606249945632E-4</v>
      </c>
      <c r="N402" s="13">
        <f ca="1">IF(Prices!B401&gt;OFFSET(Prices!B401,-$N$3,0),1,-1)</f>
        <v>-1</v>
      </c>
      <c r="O402" s="4">
        <f ca="1">IF(N402=1,O$3*L401/Prices!B401,-O$3*M401)</f>
        <v>-1.2092895833272925E-5</v>
      </c>
      <c r="P402" s="22"/>
      <c r="Q402" s="13">
        <f ca="1">Q401-T402*Prices!B402</f>
        <v>0.90325095606435002</v>
      </c>
      <c r="R402" s="4">
        <f t="shared" ca="1" si="38"/>
        <v>1.2792473779754966E-4</v>
      </c>
      <c r="S402" s="13">
        <f ca="1">IF(Prices!B401&gt;OFFSET(Prices!B401,-S$3,0),1,-1)</f>
        <v>-1</v>
      </c>
      <c r="T402" s="4">
        <f ca="1">IF(S402=1,T$3*Q401/Prices!B401,-T$3*R401)</f>
        <v>-1.2651897144812602E-5</v>
      </c>
      <c r="V402" s="13"/>
      <c r="W402" s="4"/>
      <c r="X402" s="4"/>
      <c r="Y402" s="4"/>
      <c r="Z402" s="4"/>
      <c r="AA402" s="4"/>
      <c r="AB402" s="4"/>
      <c r="AC402" s="4"/>
      <c r="AD402" s="4"/>
      <c r="AE402" s="52"/>
    </row>
    <row r="403" spans="1:31" x14ac:dyDescent="0.2">
      <c r="A403" s="7">
        <v>44185</v>
      </c>
      <c r="B403" s="13">
        <f ca="1">Prices!B402*(1+J403/(50*(ABS(O403)+ABS(T403)+0.0001)))</f>
        <v>0</v>
      </c>
      <c r="C403" s="62">
        <f t="shared" ca="1" si="40"/>
        <v>0</v>
      </c>
      <c r="D403" s="13" t="e">
        <f ca="1">D402+C403*(Prices!B403-Prices!B402)/Prices!B402</f>
        <v>#DIV/0!</v>
      </c>
      <c r="E403" s="13" t="e">
        <f t="shared" ca="1" si="37"/>
        <v>#DIV/0!</v>
      </c>
      <c r="F403" s="13" t="e">
        <f t="shared" ca="1" si="41"/>
        <v>#DIV/0!</v>
      </c>
      <c r="G403" s="21">
        <f ca="1">IF((Prices!B403-Prices!B402)*C403&gt;0,1,0)</f>
        <v>0</v>
      </c>
      <c r="H403" s="13" t="e">
        <f>ABS(Prices!B403-Prices!B402)/Prices!B402</f>
        <v>#DIV/0!</v>
      </c>
      <c r="I403" s="21"/>
      <c r="J403" s="4">
        <f t="shared" ca="1" si="42"/>
        <v>-2.2396832651725103E-5</v>
      </c>
      <c r="K403" s="13"/>
      <c r="L403" s="13">
        <f ca="1">L402-O403*Prices!B403</f>
        <v>0.75951846501508558</v>
      </c>
      <c r="M403" s="4">
        <f t="shared" ca="1" si="39"/>
        <v>9.7952456249510693E-5</v>
      </c>
      <c r="N403" s="13">
        <f ca="1">IF(Prices!B402&gt;OFFSET(Prices!B402,-$N$3,0),1,-1)</f>
        <v>-1</v>
      </c>
      <c r="O403" s="4">
        <f ca="1">IF(N403=1,O$3*L402/Prices!B402,-O$3*M402)</f>
        <v>-1.0883606249945633E-5</v>
      </c>
      <c r="P403" s="22"/>
      <c r="Q403" s="13">
        <f ca="1">Q402-T403*Prices!B403</f>
        <v>0.90325095606435002</v>
      </c>
      <c r="R403" s="4">
        <f t="shared" ca="1" si="38"/>
        <v>1.1641151139577019E-4</v>
      </c>
      <c r="S403" s="13">
        <f ca="1">IF(Prices!B402&gt;OFFSET(Prices!B402,-S$3,0),1,-1)</f>
        <v>-1</v>
      </c>
      <c r="T403" s="4">
        <f ca="1">IF(S403=1,T$3*Q402/Prices!B402,-T$3*R402)</f>
        <v>-1.151322640177947E-5</v>
      </c>
      <c r="V403" s="13"/>
      <c r="W403" s="4"/>
      <c r="X403" s="4"/>
      <c r="Y403" s="4"/>
      <c r="Z403" s="4"/>
      <c r="AA403" s="4"/>
      <c r="AB403" s="4"/>
      <c r="AC403" s="4"/>
      <c r="AD403" s="4"/>
      <c r="AE403" s="52"/>
    </row>
    <row r="404" spans="1:31" x14ac:dyDescent="0.2">
      <c r="A404" s="7">
        <v>44192</v>
      </c>
      <c r="B404" s="13">
        <f ca="1">Prices!B403*(1+J404/(50*(ABS(O404)+ABS(T404)+0.0001)))</f>
        <v>0</v>
      </c>
      <c r="C404" s="62">
        <f t="shared" ca="1" si="40"/>
        <v>0</v>
      </c>
      <c r="D404" s="13" t="e">
        <f ca="1">D403+C404*(Prices!B404-Prices!B403)/Prices!B403</f>
        <v>#DIV/0!</v>
      </c>
      <c r="E404" s="13" t="e">
        <f t="shared" ref="E404:E423" ca="1" si="43">F404-D404</f>
        <v>#DIV/0!</v>
      </c>
      <c r="F404" s="13" t="e">
        <f t="shared" ca="1" si="41"/>
        <v>#DIV/0!</v>
      </c>
      <c r="G404" s="21">
        <f ca="1">IF((Prices!B404-Prices!B403)*C404&gt;0,1,0)</f>
        <v>0</v>
      </c>
      <c r="H404" s="13" t="e">
        <f>ABS(Prices!B404-Prices!B403)/Prices!B403</f>
        <v>#DIV/0!</v>
      </c>
      <c r="I404" s="21"/>
      <c r="J404" s="4">
        <f t="shared" ca="1" si="42"/>
        <v>-2.0272281650570388E-5</v>
      </c>
      <c r="K404" s="13"/>
      <c r="L404" s="13">
        <f ca="1">L403-O404*Prices!B404</f>
        <v>0.75951846501508558</v>
      </c>
      <c r="M404" s="4">
        <f t="shared" ca="1" si="39"/>
        <v>8.8157210624559626E-5</v>
      </c>
      <c r="N404" s="13">
        <f ca="1">IF(Prices!B403&gt;OFFSET(Prices!B403,-$N$3,0),1,-1)</f>
        <v>-1</v>
      </c>
      <c r="O404" s="4">
        <f ca="1">IF(N404=1,O$3*L403/Prices!B403,-O$3*M403)</f>
        <v>-9.7952456249510699E-6</v>
      </c>
      <c r="P404" s="22"/>
      <c r="Q404" s="13">
        <f ca="1">Q403-T404*Prices!B404</f>
        <v>0.90325095606435002</v>
      </c>
      <c r="R404" s="4">
        <f t="shared" ca="1" si="38"/>
        <v>1.0593447537015087E-4</v>
      </c>
      <c r="S404" s="13">
        <f ca="1">IF(Prices!B403&gt;OFFSET(Prices!B403,-S$3,0),1,-1)</f>
        <v>-1</v>
      </c>
      <c r="T404" s="4">
        <f ca="1">IF(S404=1,T$3*Q403/Prices!B403,-T$3*R403)</f>
        <v>-1.0477036025619318E-5</v>
      </c>
      <c r="V404" s="13"/>
      <c r="W404" s="4"/>
      <c r="X404" s="4"/>
      <c r="Y404" s="4"/>
      <c r="Z404" s="4"/>
      <c r="AA404" s="4"/>
      <c r="AB404" s="4"/>
      <c r="AC404" s="4"/>
      <c r="AD404" s="4"/>
      <c r="AE404" s="52"/>
    </row>
    <row r="405" spans="1:31" x14ac:dyDescent="0.2">
      <c r="A405" s="7">
        <v>44199</v>
      </c>
      <c r="B405" s="13">
        <f ca="1">Prices!B404*(1+J405/(50*(ABS(O405)+ABS(T405)+0.0001)))</f>
        <v>0</v>
      </c>
      <c r="C405" s="62">
        <f t="shared" ca="1" si="40"/>
        <v>0</v>
      </c>
      <c r="D405" s="13" t="e">
        <f ca="1">D404+C405*(Prices!B405-Prices!B404)/Prices!B404</f>
        <v>#DIV/0!</v>
      </c>
      <c r="E405" s="13" t="e">
        <f t="shared" ca="1" si="43"/>
        <v>#DIV/0!</v>
      </c>
      <c r="F405" s="13" t="e">
        <f t="shared" ca="1" si="41"/>
        <v>#DIV/0!</v>
      </c>
      <c r="G405" s="21">
        <f ca="1">IF((Prices!B405-Prices!B404)*C405&gt;0,1,0)</f>
        <v>0</v>
      </c>
      <c r="H405" s="13" t="e">
        <f>ABS(Prices!B405-Prices!B404)/Prices!B404</f>
        <v>#DIV/0!</v>
      </c>
      <c r="I405" s="21"/>
      <c r="J405" s="4">
        <f t="shared" ca="1" si="42"/>
        <v>-1.8349823845769541E-5</v>
      </c>
      <c r="K405" s="13"/>
      <c r="L405" s="13">
        <f ca="1">L404-O405*Prices!B405</f>
        <v>0.75951846501508558</v>
      </c>
      <c r="M405" s="4">
        <f t="shared" ca="1" si="39"/>
        <v>7.9341489562103663E-5</v>
      </c>
      <c r="N405" s="13">
        <f ca="1">IF(Prices!B404&gt;OFFSET(Prices!B404,-$N$3,0),1,-1)</f>
        <v>-1</v>
      </c>
      <c r="O405" s="4">
        <f ca="1">IF(N405=1,O$3*L404/Prices!B404,-O$3*M404)</f>
        <v>-8.8157210624559626E-6</v>
      </c>
      <c r="P405" s="22"/>
      <c r="Q405" s="13">
        <f ca="1">Q404-T405*Prices!B405</f>
        <v>0.90325095606435002</v>
      </c>
      <c r="R405" s="4">
        <f t="shared" ca="1" si="38"/>
        <v>9.640037258683729E-5</v>
      </c>
      <c r="S405" s="13">
        <f ca="1">IF(Prices!B404&gt;OFFSET(Prices!B404,-S$3,0),1,-1)</f>
        <v>-1</v>
      </c>
      <c r="T405" s="4">
        <f ca="1">IF(S405=1,T$3*Q404/Prices!B404,-T$3*R404)</f>
        <v>-9.534102783313577E-6</v>
      </c>
      <c r="V405" s="13"/>
      <c r="W405" s="4"/>
      <c r="X405" s="4"/>
      <c r="Y405" s="4"/>
      <c r="Z405" s="4"/>
      <c r="AA405" s="4"/>
      <c r="AB405" s="4"/>
      <c r="AC405" s="4"/>
      <c r="AD405" s="4"/>
      <c r="AE405" s="52"/>
    </row>
    <row r="406" spans="1:31" x14ac:dyDescent="0.2">
      <c r="A406" s="7">
        <v>44206</v>
      </c>
      <c r="B406" s="13">
        <f ca="1">Prices!B405*(1+J406/(50*(ABS(O406)+ABS(T406)+0.0001)))</f>
        <v>0</v>
      </c>
      <c r="C406" s="62">
        <f t="shared" ca="1" si="40"/>
        <v>0</v>
      </c>
      <c r="D406" s="13" t="e">
        <f ca="1">D405+C406*(Prices!B406-Prices!B405)/Prices!B405</f>
        <v>#DIV/0!</v>
      </c>
      <c r="E406" s="13" t="e">
        <f t="shared" ca="1" si="43"/>
        <v>#DIV/0!</v>
      </c>
      <c r="F406" s="13" t="e">
        <f t="shared" ca="1" si="41"/>
        <v>#DIV/0!</v>
      </c>
      <c r="G406" s="21">
        <f ca="1">IF((Prices!B406-Prices!B405)*C406&gt;0,1,0)</f>
        <v>0</v>
      </c>
      <c r="H406" s="13" t="e">
        <f>ABS(Prices!B406-Prices!B405)/Prices!B405</f>
        <v>#DIV/0!</v>
      </c>
      <c r="I406" s="21"/>
      <c r="J406" s="4">
        <f t="shared" ca="1" si="42"/>
        <v>-1.661018248902572E-5</v>
      </c>
      <c r="K406" s="13"/>
      <c r="L406" s="13">
        <f ca="1">L405-O406*Prices!B406</f>
        <v>0.75951846501508558</v>
      </c>
      <c r="M406" s="4">
        <f t="shared" ca="1" si="39"/>
        <v>7.1407340605893292E-5</v>
      </c>
      <c r="N406" s="13">
        <f ca="1">IF(Prices!B405&gt;OFFSET(Prices!B405,-$N$3,0),1,-1)</f>
        <v>-1</v>
      </c>
      <c r="O406" s="4">
        <f ca="1">IF(N406=1,O$3*L405/Prices!B405,-O$3*M405)</f>
        <v>-7.9341489562103667E-6</v>
      </c>
      <c r="P406" s="22"/>
      <c r="Q406" s="13">
        <f ca="1">Q405-T406*Prices!B406</f>
        <v>0.90325095606435002</v>
      </c>
      <c r="R406" s="4">
        <f t="shared" ca="1" si="38"/>
        <v>8.7724339054021935E-5</v>
      </c>
      <c r="S406" s="13">
        <f ca="1">IF(Prices!B405&gt;OFFSET(Prices!B405,-S$3,0),1,-1)</f>
        <v>-1</v>
      </c>
      <c r="T406" s="4">
        <f ca="1">IF(S406=1,T$3*Q405/Prices!B405,-T$3*R405)</f>
        <v>-8.6760335328153553E-6</v>
      </c>
      <c r="V406" s="13"/>
      <c r="W406" s="4"/>
      <c r="X406" s="4"/>
      <c r="Y406" s="4"/>
      <c r="Z406" s="4"/>
      <c r="AA406" s="4"/>
      <c r="AB406" s="4"/>
      <c r="AC406" s="4"/>
      <c r="AD406" s="4"/>
      <c r="AE406" s="52"/>
    </row>
    <row r="407" spans="1:31" x14ac:dyDescent="0.2">
      <c r="A407" s="58">
        <v>44213</v>
      </c>
      <c r="B407" s="13">
        <f ca="1">Prices!B406*(1+J407/(50*(ABS(O407)+ABS(T407)+0.0001)))</f>
        <v>0</v>
      </c>
      <c r="C407" s="62">
        <f t="shared" ca="1" si="40"/>
        <v>0</v>
      </c>
      <c r="D407" s="13" t="e">
        <f ca="1">D406+C407*(Prices!B407-Prices!B406)/Prices!B406</f>
        <v>#DIV/0!</v>
      </c>
      <c r="E407" s="13" t="e">
        <f t="shared" ca="1" si="43"/>
        <v>#DIV/0!</v>
      </c>
      <c r="F407" s="13" t="e">
        <f t="shared" ca="1" si="41"/>
        <v>#DIV/0!</v>
      </c>
      <c r="G407" s="21">
        <f ca="1">IF((Prices!B407-Prices!B406)*C407&gt;0,1,0)</f>
        <v>0</v>
      </c>
      <c r="H407" s="13" t="e">
        <f>ABS(Prices!B407-Prices!B406)/Prices!B406</f>
        <v>#DIV/0!</v>
      </c>
      <c r="I407" s="21"/>
      <c r="J407" s="4">
        <f t="shared" ca="1" si="42"/>
        <v>-1.5035924575451303E-5</v>
      </c>
      <c r="K407" s="13"/>
      <c r="L407" s="13">
        <f ca="1">L406-O407*Prices!B407</f>
        <v>0.75951846501508558</v>
      </c>
      <c r="M407" s="4">
        <f t="shared" ca="1" si="39"/>
        <v>6.4266606545303957E-5</v>
      </c>
      <c r="N407" s="13">
        <f ca="1">IF(Prices!B406&gt;OFFSET(Prices!B406,-$N$3,0),1,-1)</f>
        <v>-1</v>
      </c>
      <c r="O407" s="4">
        <f ca="1">IF(N407=1,O$3*L406/Prices!B406,-O$3*M406)</f>
        <v>-7.1407340605893295E-6</v>
      </c>
      <c r="P407" s="22"/>
      <c r="Q407" s="13">
        <f ca="1">Q406-T407*Prices!B407</f>
        <v>0.90325095606435002</v>
      </c>
      <c r="R407" s="4">
        <f t="shared" ca="1" si="38"/>
        <v>7.982914853915996E-5</v>
      </c>
      <c r="S407" s="13">
        <f ca="1">IF(Prices!B406&gt;OFFSET(Prices!B406,-S$3,0),1,-1)</f>
        <v>-1</v>
      </c>
      <c r="T407" s="4">
        <f ca="1">IF(S407=1,T$3*Q406/Prices!B406,-T$3*R406)</f>
        <v>-7.8951905148619733E-6</v>
      </c>
      <c r="V407" s="13"/>
      <c r="W407" s="4"/>
      <c r="X407" s="4"/>
      <c r="Y407" s="4"/>
      <c r="Z407" s="4"/>
      <c r="AA407" s="4"/>
      <c r="AB407" s="4"/>
      <c r="AC407" s="4"/>
      <c r="AD407" s="4"/>
      <c r="AE407" s="52"/>
    </row>
    <row r="408" spans="1:31" x14ac:dyDescent="0.2">
      <c r="A408" s="7">
        <v>44220</v>
      </c>
      <c r="B408" s="13">
        <f ca="1">Prices!B407*(1+J408/(50*(ABS(O408)+ABS(T408)+0.0001)))</f>
        <v>0</v>
      </c>
      <c r="C408" s="62">
        <f t="shared" ca="1" si="40"/>
        <v>0</v>
      </c>
      <c r="D408" s="13" t="e">
        <f ca="1">D407+C408*(Prices!B408-Prices!B407)/Prices!B407</f>
        <v>#DIV/0!</v>
      </c>
      <c r="E408" s="13" t="e">
        <f t="shared" ca="1" si="43"/>
        <v>#DIV/0!</v>
      </c>
      <c r="F408" s="13" t="e">
        <f t="shared" ca="1" si="41"/>
        <v>#DIV/0!</v>
      </c>
      <c r="G408" s="21">
        <f ca="1">IF((Prices!B408-Prices!B407)*C408&gt;0,1,0)</f>
        <v>0</v>
      </c>
      <c r="H408" s="13" t="e">
        <f>ABS(Prices!B408-Prices!B407)/Prices!B407</f>
        <v>#DIV/0!</v>
      </c>
      <c r="I408" s="21"/>
      <c r="J408" s="4">
        <f t="shared" ca="1" si="42"/>
        <v>-1.3611284023054793E-5</v>
      </c>
      <c r="K408" s="13"/>
      <c r="L408" s="13">
        <f ca="1">L407-O408*Prices!B408</f>
        <v>0.75951846501508558</v>
      </c>
      <c r="M408" s="4">
        <f t="shared" ca="1" si="39"/>
        <v>5.7839945890773557E-5</v>
      </c>
      <c r="N408" s="13">
        <f ca="1">IF(Prices!B407&gt;OFFSET(Prices!B407,-$N$3,0),1,-1)</f>
        <v>-1</v>
      </c>
      <c r="O408" s="4">
        <f ca="1">IF(N408=1,O$3*L407/Prices!B407,-O$3*M407)</f>
        <v>-6.4266606545303964E-6</v>
      </c>
      <c r="P408" s="22"/>
      <c r="Q408" s="13">
        <f ca="1">Q407-T408*Prices!B408</f>
        <v>0.90325095606435002</v>
      </c>
      <c r="R408" s="4">
        <f t="shared" ca="1" si="38"/>
        <v>7.2644525170635567E-5</v>
      </c>
      <c r="S408" s="13">
        <f ca="1">IF(Prices!B407&gt;OFFSET(Prices!B407,-S$3,0),1,-1)</f>
        <v>-1</v>
      </c>
      <c r="T408" s="4">
        <f ca="1">IF(S408=1,T$3*Q407/Prices!B407,-T$3*R407)</f>
        <v>-7.1846233685243963E-6</v>
      </c>
      <c r="V408" s="13"/>
      <c r="W408" s="4"/>
      <c r="X408" s="4"/>
      <c r="Y408" s="4"/>
      <c r="Z408" s="4"/>
      <c r="AA408" s="4"/>
      <c r="AB408" s="4"/>
      <c r="AC408" s="4"/>
      <c r="AD408" s="4"/>
      <c r="AE408" s="52"/>
    </row>
    <row r="409" spans="1:31" x14ac:dyDescent="0.2">
      <c r="A409" s="58">
        <v>44227</v>
      </c>
      <c r="B409" s="13">
        <f ca="1">Prices!B408*(1+J409/(50*(ABS(O409)+ABS(T409)+0.0001)))</f>
        <v>0</v>
      </c>
      <c r="C409" s="62">
        <f t="shared" ca="1" si="40"/>
        <v>0</v>
      </c>
      <c r="D409" s="13" t="e">
        <f ca="1">D408+C409*(Prices!B409-Prices!B408)/Prices!B408</f>
        <v>#DIV/0!</v>
      </c>
      <c r="E409" s="13" t="e">
        <f t="shared" ca="1" si="43"/>
        <v>#DIV/0!</v>
      </c>
      <c r="F409" s="13" t="e">
        <f t="shared" ca="1" si="41"/>
        <v>#DIV/0!</v>
      </c>
      <c r="G409" s="21">
        <f ca="1">IF((Prices!B409-Prices!B408)*C409&gt;0,1,0)</f>
        <v>0</v>
      </c>
      <c r="H409" s="13" t="e">
        <f>ABS(Prices!B409-Prices!B408)/Prices!B408</f>
        <v>#DIV/0!</v>
      </c>
      <c r="I409" s="21"/>
      <c r="J409" s="4">
        <f t="shared" ca="1" si="42"/>
        <v>-1.2322001854434556E-5</v>
      </c>
      <c r="K409" s="13"/>
      <c r="L409" s="13">
        <f ca="1">L408-O409*Prices!B409</f>
        <v>0.75951846501508558</v>
      </c>
      <c r="M409" s="4">
        <f t="shared" ca="1" si="39"/>
        <v>5.2055951301696199E-5</v>
      </c>
      <c r="N409" s="13">
        <f ca="1">IF(Prices!B408&gt;OFFSET(Prices!B408,-$N$3,0),1,-1)</f>
        <v>-1</v>
      </c>
      <c r="O409" s="4">
        <f ca="1">IF(N409=1,O$3*L408/Prices!B408,-O$3*M408)</f>
        <v>-5.7839945890773559E-6</v>
      </c>
      <c r="P409" s="22"/>
      <c r="Q409" s="13">
        <f ca="1">Q408-T409*Prices!B409</f>
        <v>0.90325095606435002</v>
      </c>
      <c r="R409" s="4">
        <f t="shared" ca="1" si="38"/>
        <v>6.6106517905278363E-5</v>
      </c>
      <c r="S409" s="13">
        <f ca="1">IF(Prices!B408&gt;OFFSET(Prices!B408,-S$3,0),1,-1)</f>
        <v>-1</v>
      </c>
      <c r="T409" s="4">
        <f ca="1">IF(S409=1,T$3*Q408/Prices!B408,-T$3*R408)</f>
        <v>-6.5380072653572009E-6</v>
      </c>
      <c r="V409" s="13"/>
      <c r="W409" s="4"/>
      <c r="X409" s="4"/>
      <c r="Y409" s="4"/>
      <c r="Z409" s="4"/>
      <c r="AA409" s="4"/>
      <c r="AB409" s="4"/>
      <c r="AC409" s="4"/>
      <c r="AD409" s="4"/>
      <c r="AE409" s="52"/>
    </row>
    <row r="410" spans="1:31" x14ac:dyDescent="0.2">
      <c r="A410" s="7">
        <v>44234</v>
      </c>
      <c r="B410" s="13">
        <f ca="1">Prices!B409*(1+J410/(50*(ABS(O410)+ABS(T410)+0.0001)))</f>
        <v>0</v>
      </c>
      <c r="C410" s="62">
        <f t="shared" ca="1" si="40"/>
        <v>0</v>
      </c>
      <c r="D410" s="13" t="e">
        <f ca="1">D409+C410*(Prices!B410-Prices!B409)/Prices!B409</f>
        <v>#DIV/0!</v>
      </c>
      <c r="E410" s="13" t="e">
        <f t="shared" ca="1" si="43"/>
        <v>#DIV/0!</v>
      </c>
      <c r="F410" s="13" t="e">
        <f t="shared" ca="1" si="41"/>
        <v>#DIV/0!</v>
      </c>
      <c r="G410" s="21">
        <f ca="1">IF((Prices!B410-Prices!B409)*C410&gt;0,1,0)</f>
        <v>0</v>
      </c>
      <c r="H410" s="13" t="e">
        <f>ABS(Prices!B410-Prices!B409)/Prices!B409</f>
        <v>#DIV/0!</v>
      </c>
      <c r="I410" s="21"/>
      <c r="J410" s="4">
        <f t="shared" ca="1" si="42"/>
        <v>-1.1155181741644673E-5</v>
      </c>
      <c r="K410" s="13"/>
      <c r="L410" s="13">
        <f ca="1">L409-O410*Prices!B410</f>
        <v>0.75951846501508558</v>
      </c>
      <c r="M410" s="4">
        <f t="shared" ca="1" si="39"/>
        <v>4.6850356171526578E-5</v>
      </c>
      <c r="N410" s="13">
        <f ca="1">IF(Prices!B409&gt;OFFSET(Prices!B409,-$N$3,0),1,-1)</f>
        <v>-1</v>
      </c>
      <c r="O410" s="4">
        <f ca="1">IF(N410=1,O$3*L409/Prices!B409,-O$3*M409)</f>
        <v>-5.2055951301696206E-6</v>
      </c>
      <c r="P410" s="22"/>
      <c r="Q410" s="13">
        <f ca="1">Q409-T410*Prices!B410</f>
        <v>0.90325095606435002</v>
      </c>
      <c r="R410" s="4">
        <f t="shared" ca="1" si="38"/>
        <v>6.015693129380331E-5</v>
      </c>
      <c r="S410" s="13">
        <f ca="1">IF(Prices!B409&gt;OFFSET(Prices!B409,-S$3,0),1,-1)</f>
        <v>-1</v>
      </c>
      <c r="T410" s="4">
        <f ca="1">IF(S410=1,T$3*Q409/Prices!B409,-T$3*R409)</f>
        <v>-5.9495866114750521E-6</v>
      </c>
      <c r="V410" s="13"/>
      <c r="W410" s="4"/>
      <c r="X410" s="4"/>
      <c r="Y410" s="4"/>
      <c r="Z410" s="4"/>
      <c r="AA410" s="4"/>
      <c r="AB410" s="4"/>
      <c r="AC410" s="4"/>
      <c r="AD410" s="4"/>
      <c r="AE410" s="52"/>
    </row>
    <row r="411" spans="1:31" x14ac:dyDescent="0.2">
      <c r="A411" s="7">
        <v>44241</v>
      </c>
      <c r="B411" s="13">
        <f ca="1">Prices!B410*(1+J411/(50*(ABS(O411)+ABS(T411)+0.0001)))</f>
        <v>0</v>
      </c>
      <c r="C411" s="62">
        <f t="shared" ca="1" si="40"/>
        <v>0</v>
      </c>
      <c r="D411" s="13" t="e">
        <f ca="1">D410+C411*(Prices!B411-Prices!B410)/Prices!B410</f>
        <v>#DIV/0!</v>
      </c>
      <c r="E411" s="13" t="e">
        <f t="shared" ca="1" si="43"/>
        <v>#DIV/0!</v>
      </c>
      <c r="F411" s="13" t="e">
        <f t="shared" ca="1" si="41"/>
        <v>#DIV/0!</v>
      </c>
      <c r="G411" s="21">
        <f ca="1">IF((Prices!B411-Prices!B410)*C411&gt;0,1,0)</f>
        <v>0</v>
      </c>
      <c r="H411" s="13" t="e">
        <f>ABS(Prices!B411-Prices!B410)/Prices!B410</f>
        <v>#DIV/0!</v>
      </c>
      <c r="I411" s="21"/>
      <c r="J411" s="4">
        <f t="shared" ca="1" si="42"/>
        <v>-1.0099159433594955E-5</v>
      </c>
      <c r="K411" s="13"/>
      <c r="L411" s="13">
        <f ca="1">L410-O411*Prices!B411</f>
        <v>0.75951846501508558</v>
      </c>
      <c r="M411" s="4">
        <f t="shared" ca="1" si="39"/>
        <v>4.2165320554373918E-5</v>
      </c>
      <c r="N411" s="13">
        <f ca="1">IF(Prices!B410&gt;OFFSET(Prices!B410,-$N$3,0),1,-1)</f>
        <v>-1</v>
      </c>
      <c r="O411" s="4">
        <f ca="1">IF(N411=1,O$3*L410/Prices!B410,-O$3*M410)</f>
        <v>-4.6850356171526582E-6</v>
      </c>
      <c r="P411" s="22"/>
      <c r="Q411" s="13">
        <f ca="1">Q410-T411*Prices!B411</f>
        <v>0.90325095606435002</v>
      </c>
      <c r="R411" s="4">
        <f t="shared" ca="1" si="38"/>
        <v>5.4742807477361016E-5</v>
      </c>
      <c r="S411" s="13">
        <f ca="1">IF(Prices!B410&gt;OFFSET(Prices!B410,-S$3,0),1,-1)</f>
        <v>-1</v>
      </c>
      <c r="T411" s="4">
        <f ca="1">IF(S411=1,T$3*Q410/Prices!B410,-T$3*R410)</f>
        <v>-5.4141238164422973E-6</v>
      </c>
      <c r="V411" s="13"/>
      <c r="W411" s="4"/>
      <c r="X411" s="4"/>
      <c r="Y411" s="4"/>
      <c r="Z411" s="4"/>
      <c r="AA411" s="4"/>
      <c r="AB411" s="4"/>
      <c r="AC411" s="4"/>
      <c r="AD411" s="4"/>
      <c r="AE411" s="52"/>
    </row>
    <row r="412" spans="1:31" x14ac:dyDescent="0.2">
      <c r="A412" s="7">
        <v>44248</v>
      </c>
      <c r="B412" s="13">
        <f ca="1">Prices!B411*(1+J412/(50*(ABS(O412)+ABS(T412)+0.0001)))</f>
        <v>0</v>
      </c>
      <c r="C412" s="62">
        <f t="shared" ca="1" si="40"/>
        <v>0</v>
      </c>
      <c r="D412" s="13" t="e">
        <f ca="1">D411+C412*(Prices!B412-Prices!B411)/Prices!B411</f>
        <v>#DIV/0!</v>
      </c>
      <c r="E412" s="13" t="e">
        <f t="shared" ca="1" si="43"/>
        <v>#DIV/0!</v>
      </c>
      <c r="F412" s="13" t="e">
        <f t="shared" ca="1" si="41"/>
        <v>#DIV/0!</v>
      </c>
      <c r="G412" s="21">
        <f ca="1">IF((Prices!B412-Prices!B411)*C412&gt;0,1,0)</f>
        <v>0</v>
      </c>
      <c r="H412" s="13" t="e">
        <f>ABS(Prices!B412-Prices!B411)/Prices!B411</f>
        <v>#DIV/0!</v>
      </c>
      <c r="I412" s="21"/>
      <c r="J412" s="4">
        <f t="shared" ca="1" si="42"/>
        <v>-9.1433847283998835E-6</v>
      </c>
      <c r="K412" s="13"/>
      <c r="L412" s="13">
        <f ca="1">L411-O412*Prices!B412</f>
        <v>0.75951846501508558</v>
      </c>
      <c r="M412" s="4">
        <f t="shared" ca="1" si="39"/>
        <v>3.7948788498936523E-5</v>
      </c>
      <c r="N412" s="13">
        <f ca="1">IF(Prices!B411&gt;OFFSET(Prices!B411,-$N$3,0),1,-1)</f>
        <v>-1</v>
      </c>
      <c r="O412" s="4">
        <f ca="1">IF(N412=1,O$3*L411/Prices!B411,-O$3*M411)</f>
        <v>-4.2165320554373918E-6</v>
      </c>
      <c r="P412" s="22"/>
      <c r="Q412" s="13">
        <f ca="1">Q411-T412*Prices!B412</f>
        <v>0.90325095606435002</v>
      </c>
      <c r="R412" s="4">
        <f t="shared" ca="1" si="38"/>
        <v>4.9815954804398526E-5</v>
      </c>
      <c r="S412" s="13">
        <f ca="1">IF(Prices!B411&gt;OFFSET(Prices!B411,-S$3,0),1,-1)</f>
        <v>-1</v>
      </c>
      <c r="T412" s="4">
        <f ca="1">IF(S412=1,T$3*Q411/Prices!B411,-T$3*R411)</f>
        <v>-4.9268526729624916E-6</v>
      </c>
      <c r="V412" s="13"/>
      <c r="W412" s="4"/>
      <c r="X412" s="4"/>
      <c r="Y412" s="4"/>
      <c r="Z412" s="4"/>
      <c r="AA412" s="4"/>
      <c r="AB412" s="4"/>
      <c r="AC412" s="4"/>
      <c r="AD412" s="4"/>
      <c r="AE412" s="52"/>
    </row>
    <row r="413" spans="1:31" x14ac:dyDescent="0.2">
      <c r="A413" s="7">
        <v>44255</v>
      </c>
      <c r="B413" s="13">
        <f ca="1">Prices!B412*(1+J413/(50*(ABS(O413)+ABS(T413)+0.0001)))</f>
        <v>0</v>
      </c>
      <c r="C413" s="62">
        <f t="shared" ca="1" si="40"/>
        <v>0</v>
      </c>
      <c r="D413" s="13" t="e">
        <f ca="1">D412+C413*(Prices!B413-Prices!B412)/Prices!B412</f>
        <v>#DIV/0!</v>
      </c>
      <c r="E413" s="13" t="e">
        <f t="shared" ca="1" si="43"/>
        <v>#DIV/0!</v>
      </c>
      <c r="F413" s="13" t="e">
        <f t="shared" ca="1" si="41"/>
        <v>#DIV/0!</v>
      </c>
      <c r="G413" s="21">
        <f ca="1">IF((Prices!B413-Prices!B412)*C413&gt;0,1,0)</f>
        <v>0</v>
      </c>
      <c r="H413" s="13" t="e">
        <f>ABS(Prices!B413-Prices!B412)/Prices!B412</f>
        <v>#DIV/0!</v>
      </c>
      <c r="I413" s="21"/>
      <c r="J413" s="4">
        <f t="shared" ca="1" si="42"/>
        <v>-8.2783147822895197E-6</v>
      </c>
      <c r="K413" s="13"/>
      <c r="L413" s="13">
        <f ca="1">L412-O413*Prices!B413</f>
        <v>0.75951846501508558</v>
      </c>
      <c r="M413" s="4">
        <f t="shared" ca="1" si="39"/>
        <v>3.4153909649042868E-5</v>
      </c>
      <c r="N413" s="13">
        <f ca="1">IF(Prices!B412&gt;OFFSET(Prices!B412,-$N$3,0),1,-1)</f>
        <v>-1</v>
      </c>
      <c r="O413" s="4">
        <f ca="1">IF(N413=1,O$3*L412/Prices!B412,-O$3*M412)</f>
        <v>-3.7948788498936525E-6</v>
      </c>
      <c r="P413" s="22"/>
      <c r="Q413" s="13">
        <f ca="1">Q412-T413*Prices!B413</f>
        <v>0.90325095606435002</v>
      </c>
      <c r="R413" s="4">
        <f t="shared" ca="1" si="38"/>
        <v>4.5332518872002661E-5</v>
      </c>
      <c r="S413" s="13">
        <f ca="1">IF(Prices!B412&gt;OFFSET(Prices!B412,-S$3,0),1,-1)</f>
        <v>-1</v>
      </c>
      <c r="T413" s="4">
        <f ca="1">IF(S413=1,T$3*Q412/Prices!B412,-T$3*R412)</f>
        <v>-4.4834359323958672E-6</v>
      </c>
      <c r="V413" s="13"/>
      <c r="W413" s="4"/>
      <c r="X413" s="4"/>
      <c r="Y413" s="4"/>
      <c r="Z413" s="4"/>
      <c r="AA413" s="4"/>
      <c r="AB413" s="4"/>
      <c r="AC413" s="4"/>
      <c r="AD413" s="4"/>
      <c r="AE413" s="52"/>
    </row>
    <row r="414" spans="1:31" x14ac:dyDescent="0.2">
      <c r="A414" s="58">
        <v>44262</v>
      </c>
      <c r="B414" s="13">
        <f ca="1">Prices!B413*(1+J414/(50*(ABS(O414)+ABS(T414)+0.0001)))</f>
        <v>0</v>
      </c>
      <c r="C414" s="62">
        <f t="shared" ca="1" si="40"/>
        <v>0</v>
      </c>
      <c r="D414" s="13" t="e">
        <f ca="1">D413+C414*(Prices!B414-Prices!B413)/Prices!B413</f>
        <v>#DIV/0!</v>
      </c>
      <c r="E414" s="13" t="e">
        <f t="shared" ca="1" si="43"/>
        <v>#DIV/0!</v>
      </c>
      <c r="F414" s="13" t="e">
        <f t="shared" ca="1" si="41"/>
        <v>#DIV/0!</v>
      </c>
      <c r="G414" s="21">
        <f ca="1">IF((Prices!B414-Prices!B413)*C414&gt;0,1,0)</f>
        <v>0</v>
      </c>
      <c r="H414" s="13" t="e">
        <f>ABS(Prices!B414-Prices!B413)/Prices!B413</f>
        <v>#DIV/0!</v>
      </c>
      <c r="I414" s="21"/>
      <c r="J414" s="4">
        <f t="shared" ca="1" si="42"/>
        <v>-7.4953176633845261E-6</v>
      </c>
      <c r="K414" s="13"/>
      <c r="L414" s="13">
        <f ca="1">L413-O414*Prices!B414</f>
        <v>0.75951846501508558</v>
      </c>
      <c r="M414" s="4">
        <f t="shared" ca="1" si="39"/>
        <v>3.0738518684138584E-5</v>
      </c>
      <c r="N414" s="13">
        <f ca="1">IF(Prices!B413&gt;OFFSET(Prices!B413,-$N$3,0),1,-1)</f>
        <v>-1</v>
      </c>
      <c r="O414" s="4">
        <f ca="1">IF(N414=1,O$3*L413/Prices!B413,-O$3*M413)</f>
        <v>-3.4153909649042871E-6</v>
      </c>
      <c r="P414" s="22"/>
      <c r="Q414" s="13">
        <f ca="1">Q413-T414*Prices!B414</f>
        <v>0.90325095606435002</v>
      </c>
      <c r="R414" s="4">
        <f t="shared" ca="1" si="38"/>
        <v>4.1252592173522421E-5</v>
      </c>
      <c r="S414" s="13">
        <f ca="1">IF(Prices!B413&gt;OFFSET(Prices!B413,-S$3,0),1,-1)</f>
        <v>-1</v>
      </c>
      <c r="T414" s="4">
        <f ca="1">IF(S414=1,T$3*Q413/Prices!B413,-T$3*R413)</f>
        <v>-4.0799266984802395E-6</v>
      </c>
      <c r="V414" s="13"/>
      <c r="W414" s="4"/>
      <c r="X414" s="4"/>
      <c r="Y414" s="4"/>
      <c r="Z414" s="4"/>
      <c r="AA414" s="4"/>
      <c r="AB414" s="4"/>
      <c r="AC414" s="4"/>
      <c r="AD414" s="4"/>
      <c r="AE414" s="52"/>
    </row>
    <row r="415" spans="1:31" x14ac:dyDescent="0.2">
      <c r="A415" s="7">
        <v>44269</v>
      </c>
      <c r="B415" s="13">
        <f ca="1">Prices!B414*(1+J415/(50*(ABS(O415)+ABS(T415)+0.0001)))</f>
        <v>0</v>
      </c>
      <c r="C415" s="62">
        <f t="shared" ca="1" si="40"/>
        <v>0</v>
      </c>
      <c r="D415" s="13" t="e">
        <f ca="1">D414+C415*(Prices!B415-Prices!B414)/Prices!B414</f>
        <v>#DIV/0!</v>
      </c>
      <c r="E415" s="13" t="e">
        <f t="shared" ca="1" si="43"/>
        <v>#DIV/0!</v>
      </c>
      <c r="F415" s="13" t="e">
        <f t="shared" ca="1" si="41"/>
        <v>#DIV/0!</v>
      </c>
      <c r="G415" s="21">
        <f ca="1">IF((Prices!B415-Prices!B414)*C415&gt;0,1,0)</f>
        <v>0</v>
      </c>
      <c r="H415" s="13" t="e">
        <f>ABS(Prices!B415-Prices!B414)/Prices!B414</f>
        <v>#DIV/0!</v>
      </c>
      <c r="I415" s="21"/>
      <c r="J415" s="4">
        <f t="shared" ca="1" si="42"/>
        <v>-6.7865851640308755E-6</v>
      </c>
      <c r="K415" s="13"/>
      <c r="L415" s="13">
        <f ca="1">L414-O415*Prices!B415</f>
        <v>0.75951846501508558</v>
      </c>
      <c r="M415" s="4">
        <f t="shared" ca="1" si="39"/>
        <v>2.7664666815724726E-5</v>
      </c>
      <c r="N415" s="13">
        <f ca="1">IF(Prices!B414&gt;OFFSET(Prices!B414,-$N$3,0),1,-1)</f>
        <v>-1</v>
      </c>
      <c r="O415" s="4">
        <f ca="1">IF(N415=1,O$3*L414/Prices!B414,-O$3*M414)</f>
        <v>-3.0738518684138584E-6</v>
      </c>
      <c r="P415" s="22"/>
      <c r="Q415" s="13">
        <f ca="1">Q414-T415*Prices!B415</f>
        <v>0.90325095606435002</v>
      </c>
      <c r="R415" s="4">
        <f t="shared" ca="1" si="38"/>
        <v>3.7539858877905402E-5</v>
      </c>
      <c r="S415" s="13">
        <f ca="1">IF(Prices!B414&gt;OFFSET(Prices!B414,-S$3,0),1,-1)</f>
        <v>-1</v>
      </c>
      <c r="T415" s="4">
        <f ca="1">IF(S415=1,T$3*Q414/Prices!B414,-T$3*R414)</f>
        <v>-3.7127332956170176E-6</v>
      </c>
      <c r="V415" s="13"/>
      <c r="W415" s="4"/>
      <c r="X415" s="4"/>
      <c r="Y415" s="4"/>
      <c r="Z415" s="4"/>
      <c r="AA415" s="4"/>
      <c r="AB415" s="4"/>
      <c r="AC415" s="4"/>
      <c r="AD415" s="4"/>
      <c r="AE415" s="52"/>
    </row>
    <row r="416" spans="1:31" x14ac:dyDescent="0.2">
      <c r="A416" s="58">
        <v>44276</v>
      </c>
      <c r="B416" s="13">
        <f ca="1">Prices!B415*(1+J416/(50*(ABS(O416)+ABS(T416)+0.0001)))</f>
        <v>0</v>
      </c>
      <c r="C416" s="62">
        <f t="shared" ca="1" si="40"/>
        <v>0</v>
      </c>
      <c r="D416" s="13" t="e">
        <f ca="1">D415+C416*(Prices!B416-Prices!B415)/Prices!B415</f>
        <v>#DIV/0!</v>
      </c>
      <c r="E416" s="13" t="e">
        <f t="shared" ca="1" si="43"/>
        <v>#DIV/0!</v>
      </c>
      <c r="F416" s="13" t="e">
        <f t="shared" ca="1" si="41"/>
        <v>#DIV/0!</v>
      </c>
      <c r="G416" s="21">
        <f ca="1">IF((Prices!B416-Prices!B415)*C416&gt;0,1,0)</f>
        <v>0</v>
      </c>
      <c r="H416" s="13" t="e">
        <f>ABS(Prices!B416-Prices!B415)/Prices!B415</f>
        <v>#DIV/0!</v>
      </c>
      <c r="I416" s="21"/>
      <c r="J416" s="4">
        <f t="shared" ca="1" si="42"/>
        <v>-6.1450539805839591E-6</v>
      </c>
      <c r="K416" s="13"/>
      <c r="L416" s="13">
        <f ca="1">L415-O416*Prices!B416</f>
        <v>0.75951846501508558</v>
      </c>
      <c r="M416" s="4">
        <f t="shared" ca="1" si="39"/>
        <v>2.4898200134152253E-5</v>
      </c>
      <c r="N416" s="13">
        <f ca="1">IF(Prices!B415&gt;OFFSET(Prices!B415,-$N$3,0),1,-1)</f>
        <v>-1</v>
      </c>
      <c r="O416" s="4">
        <f ca="1">IF(N416=1,O$3*L415/Prices!B415,-O$3*M415)</f>
        <v>-2.7664666815724726E-6</v>
      </c>
      <c r="P416" s="22"/>
      <c r="Q416" s="13">
        <f ca="1">Q415-T416*Prices!B416</f>
        <v>0.90325095606435002</v>
      </c>
      <c r="R416" s="4">
        <f t="shared" ca="1" si="38"/>
        <v>3.4161271578893916E-5</v>
      </c>
      <c r="S416" s="13">
        <f ca="1">IF(Prices!B415&gt;OFFSET(Prices!B415,-S$3,0),1,-1)</f>
        <v>-1</v>
      </c>
      <c r="T416" s="4">
        <f ca="1">IF(S416=1,T$3*Q415/Prices!B415,-T$3*R415)</f>
        <v>-3.3785872990114861E-6</v>
      </c>
      <c r="W416" s="4"/>
      <c r="X416" s="4"/>
      <c r="Y416" s="4"/>
      <c r="Z416" s="4"/>
      <c r="AA416" s="4"/>
      <c r="AB416" s="4"/>
      <c r="AC416" s="4"/>
      <c r="AD416" s="4"/>
      <c r="AE416" s="52"/>
    </row>
    <row r="417" spans="1:31" x14ac:dyDescent="0.2">
      <c r="A417" s="7">
        <v>44283</v>
      </c>
      <c r="B417" s="13">
        <f ca="1">Prices!B416*(1+J417/(50*(ABS(O417)+ABS(T417)+0.0001)))</f>
        <v>0</v>
      </c>
      <c r="C417" s="62">
        <f t="shared" ca="1" si="40"/>
        <v>0</v>
      </c>
      <c r="D417" s="13" t="e">
        <f ca="1">D416+C417*(Prices!B417-Prices!B416)/Prices!B416</f>
        <v>#DIV/0!</v>
      </c>
      <c r="E417" s="13" t="e">
        <f t="shared" ca="1" si="43"/>
        <v>#DIV/0!</v>
      </c>
      <c r="F417" s="13" t="e">
        <f t="shared" ca="1" si="41"/>
        <v>#DIV/0!</v>
      </c>
      <c r="G417" s="21">
        <f ca="1">IF((Prices!B417-Prices!B416)*C417&gt;0,1,0)</f>
        <v>0</v>
      </c>
      <c r="H417" s="13" t="e">
        <f>ABS(Prices!B417-Prices!B416)/Prices!B416</f>
        <v>#DIV/0!</v>
      </c>
      <c r="I417" s="21"/>
      <c r="J417" s="4">
        <f t="shared" ca="1" si="42"/>
        <v>-5.5643344555156774E-6</v>
      </c>
      <c r="K417" s="13"/>
      <c r="L417" s="13">
        <f ca="1">L416-O417*Prices!B417</f>
        <v>0.75951846501508558</v>
      </c>
      <c r="M417" s="4">
        <f t="shared" ca="1" si="39"/>
        <v>2.2408380120737027E-5</v>
      </c>
      <c r="N417" s="13">
        <f ca="1">IF(Prices!B416&gt;OFFSET(Prices!B416,-$N$3,0),1,-1)</f>
        <v>-1</v>
      </c>
      <c r="O417" s="4">
        <f ca="1">IF(N417=1,O$3*L416/Prices!B416,-O$3*M416)</f>
        <v>-2.4898200134152256E-6</v>
      </c>
      <c r="P417" s="22"/>
      <c r="Q417" s="13">
        <f ca="1">Q416-T417*Prices!B417</f>
        <v>0.90325095606435002</v>
      </c>
      <c r="R417" s="4">
        <f t="shared" ca="1" si="38"/>
        <v>3.108675713679346E-5</v>
      </c>
      <c r="S417" s="13">
        <f ca="1">IF(Prices!B416&gt;OFFSET(Prices!B416,-S$3,0),1,-1)</f>
        <v>-1</v>
      </c>
      <c r="T417" s="4">
        <f ca="1">IF(S417=1,T$3*Q416/Prices!B416,-T$3*R416)</f>
        <v>-3.0745144421004522E-6</v>
      </c>
      <c r="W417" s="4"/>
      <c r="X417" s="4"/>
      <c r="Y417" s="4"/>
      <c r="Z417" s="4"/>
      <c r="AA417" s="4"/>
      <c r="AB417" s="4"/>
      <c r="AC417" s="4"/>
      <c r="AD417" s="4"/>
      <c r="AE417" s="52"/>
    </row>
    <row r="418" spans="1:31" x14ac:dyDescent="0.2">
      <c r="A418" s="7">
        <v>44290</v>
      </c>
      <c r="B418" s="13">
        <f ca="1">Prices!B417*(1+J418/(50*(ABS(O418)+ABS(T418)+0.0001)))</f>
        <v>0</v>
      </c>
      <c r="C418" s="62">
        <f t="shared" ca="1" si="40"/>
        <v>0</v>
      </c>
      <c r="D418" s="13" t="e">
        <f ca="1">D417+C418*(Prices!B418-Prices!B417)/Prices!B417</f>
        <v>#DIV/0!</v>
      </c>
      <c r="E418" s="13" t="e">
        <f t="shared" ca="1" si="43"/>
        <v>#DIV/0!</v>
      </c>
      <c r="F418" s="13" t="e">
        <f t="shared" ca="1" si="41"/>
        <v>#DIV/0!</v>
      </c>
      <c r="G418" s="21">
        <f ca="1">IF((Prices!B418-Prices!B417)*C418&gt;0,1,0)</f>
        <v>0</v>
      </c>
      <c r="H418" s="13" t="e">
        <f>ABS(Prices!B418-Prices!B417)/Prices!B417</f>
        <v>#DIV/0!</v>
      </c>
      <c r="I418" s="21"/>
      <c r="J418" s="4">
        <f t="shared" ca="1" si="42"/>
        <v>-5.0386461543851144E-6</v>
      </c>
      <c r="K418" s="13"/>
      <c r="L418" s="13">
        <f ca="1">L417-O418*Prices!B418</f>
        <v>0.75951846501508558</v>
      </c>
      <c r="M418" s="4">
        <f t="shared" ca="1" si="39"/>
        <v>2.0167542108663324E-5</v>
      </c>
      <c r="N418" s="13">
        <f ca="1">IF(Prices!B417&gt;OFFSET(Prices!B417,-$N$3,0),1,-1)</f>
        <v>-1</v>
      </c>
      <c r="O418" s="4">
        <f ca="1">IF(N418=1,O$3*L417/Prices!B417,-O$3*M417)</f>
        <v>-2.2408380120737029E-6</v>
      </c>
      <c r="P418" s="22"/>
      <c r="Q418" s="13">
        <f ca="1">Q417-T418*Prices!B418</f>
        <v>0.90325095606435002</v>
      </c>
      <c r="R418" s="4">
        <f t="shared" ca="1" si="38"/>
        <v>2.8288948994482048E-5</v>
      </c>
      <c r="S418" s="13">
        <f ca="1">IF(Prices!B417&gt;OFFSET(Prices!B417,-S$3,0),1,-1)</f>
        <v>-1</v>
      </c>
      <c r="T418" s="4">
        <f ca="1">IF(S418=1,T$3*Q417/Prices!B417,-T$3*R417)</f>
        <v>-2.7978081423114115E-6</v>
      </c>
      <c r="W418" s="4"/>
      <c r="X418" s="4"/>
      <c r="Y418" s="4"/>
      <c r="Z418" s="4"/>
      <c r="AA418" s="4"/>
      <c r="AB418" s="4"/>
      <c r="AC418" s="4"/>
      <c r="AD418" s="4"/>
      <c r="AE418" s="52"/>
    </row>
    <row r="419" spans="1:31" x14ac:dyDescent="0.2">
      <c r="A419" s="7">
        <v>44297</v>
      </c>
      <c r="B419" s="13">
        <f ca="1">Prices!B418*(1+J419/(50*(ABS(O419)+ABS(T419)+0.0001)))</f>
        <v>0</v>
      </c>
      <c r="C419" s="62">
        <f t="shared" ca="1" si="40"/>
        <v>0</v>
      </c>
      <c r="D419" s="13" t="e">
        <f ca="1">D418+C419*(Prices!B419-Prices!B418)/Prices!B418</f>
        <v>#DIV/0!</v>
      </c>
      <c r="E419" s="13" t="e">
        <f t="shared" ca="1" si="43"/>
        <v>#DIV/0!</v>
      </c>
      <c r="F419" s="13" t="e">
        <f t="shared" ca="1" si="41"/>
        <v>#DIV/0!</v>
      </c>
      <c r="G419" s="21">
        <f ca="1">IF((Prices!B419-Prices!B418)*C419&gt;0,1,0)</f>
        <v>0</v>
      </c>
      <c r="H419" s="13" t="e">
        <f>ABS(Prices!B419-Prices!B418)/Prices!B418</f>
        <v>#DIV/0!</v>
      </c>
      <c r="I419" s="21"/>
      <c r="J419" s="4">
        <f t="shared" ca="1" si="42"/>
        <v>-4.5627596203697166E-6</v>
      </c>
      <c r="K419" s="13"/>
      <c r="L419" s="13">
        <f ca="1">L418-O419*Prices!B419</f>
        <v>0.75951846501508558</v>
      </c>
      <c r="M419" s="4">
        <f t="shared" ca="1" si="39"/>
        <v>1.8150787897796991E-5</v>
      </c>
      <c r="N419" s="13">
        <f ca="1">IF(Prices!B418&gt;OFFSET(Prices!B418,-$N$3,0),1,-1)</f>
        <v>-1</v>
      </c>
      <c r="O419" s="4">
        <f ca="1">IF(N419=1,O$3*L418/Prices!B418,-O$3*M418)</f>
        <v>-2.0167542108663326E-6</v>
      </c>
      <c r="P419" s="22"/>
      <c r="Q419" s="13">
        <f ca="1">Q418-T419*Prices!B419</f>
        <v>0.90325095606435002</v>
      </c>
      <c r="R419" s="4">
        <f t="shared" ca="1" si="38"/>
        <v>2.5742943584978665E-5</v>
      </c>
      <c r="S419" s="13">
        <f ca="1">IF(Prices!B418&gt;OFFSET(Prices!B418,-S$3,0),1,-1)</f>
        <v>-1</v>
      </c>
      <c r="T419" s="4">
        <f ca="1">IF(S419=1,T$3*Q418/Prices!B418,-T$3*R418)</f>
        <v>-2.5460054095033844E-6</v>
      </c>
      <c r="W419" s="4"/>
      <c r="X419" s="4"/>
      <c r="Y419" s="4"/>
      <c r="Z419" s="4"/>
      <c r="AA419" s="4"/>
      <c r="AB419" s="4"/>
      <c r="AC419" s="4"/>
      <c r="AD419" s="4"/>
      <c r="AE419" s="52"/>
    </row>
    <row r="420" spans="1:31" x14ac:dyDescent="0.2">
      <c r="A420" s="7">
        <v>44304</v>
      </c>
      <c r="B420" s="13">
        <f ca="1">Prices!B419*(1+J420/(50*(ABS(O420)+ABS(T420)+0.0001)))</f>
        <v>0</v>
      </c>
      <c r="C420" s="62">
        <f t="shared" ca="1" si="40"/>
        <v>0</v>
      </c>
      <c r="D420" s="13" t="e">
        <f ca="1">D419+C420*(Prices!B420-Prices!B419)/Prices!B419</f>
        <v>#DIV/0!</v>
      </c>
      <c r="E420" s="13" t="e">
        <f t="shared" ca="1" si="43"/>
        <v>#DIV/0!</v>
      </c>
      <c r="F420" s="13" t="e">
        <f t="shared" ca="1" si="41"/>
        <v>#DIV/0!</v>
      </c>
      <c r="G420" s="21">
        <f ca="1">IF((Prices!B420-Prices!B419)*C420&gt;0,1,0)</f>
        <v>0</v>
      </c>
      <c r="H420" s="13" t="e">
        <f>ABS(Prices!B420-Prices!B419)/Prices!B419</f>
        <v>#DIV/0!</v>
      </c>
      <c r="I420" s="21"/>
      <c r="J420" s="4">
        <f t="shared" ca="1" si="42"/>
        <v>-4.1319437124277783E-6</v>
      </c>
      <c r="K420" s="13"/>
      <c r="L420" s="13">
        <f ca="1">L419-O420*Prices!B420</f>
        <v>0.75951846501508558</v>
      </c>
      <c r="M420" s="4">
        <f t="shared" ca="1" si="39"/>
        <v>1.6335709108017292E-5</v>
      </c>
      <c r="N420" s="13">
        <f ca="1">IF(Prices!B419&gt;OFFSET(Prices!B419,-$N$3,0),1,-1)</f>
        <v>-1</v>
      </c>
      <c r="O420" s="4">
        <f ca="1">IF(N420=1,O$3*L419/Prices!B419,-O$3*M419)</f>
        <v>-1.8150787897796991E-6</v>
      </c>
      <c r="P420" s="22"/>
      <c r="Q420" s="13">
        <f ca="1">Q419-T420*Prices!B420</f>
        <v>0.90325095606435002</v>
      </c>
      <c r="R420" s="4">
        <f t="shared" ca="1" si="38"/>
        <v>2.3426078662330585E-5</v>
      </c>
      <c r="S420" s="13">
        <f ca="1">IF(Prices!B419&gt;OFFSET(Prices!B419,-S$3,0),1,-1)</f>
        <v>-1</v>
      </c>
      <c r="T420" s="4">
        <f ca="1">IF(S420=1,T$3*Q419/Prices!B419,-T$3*R419)</f>
        <v>-2.3168649226480795E-6</v>
      </c>
      <c r="W420" s="4"/>
      <c r="X420" s="4"/>
      <c r="Y420" s="4"/>
      <c r="Z420" s="4"/>
      <c r="AA420" s="4"/>
      <c r="AB420" s="4"/>
      <c r="AC420" s="4"/>
      <c r="AD420" s="4"/>
      <c r="AE420" s="52"/>
    </row>
    <row r="421" spans="1:31" x14ac:dyDescent="0.2">
      <c r="A421" s="7">
        <v>44311</v>
      </c>
      <c r="B421" s="13">
        <f ca="1">Prices!B420*(1+J421/(50*(ABS(O421)+ABS(T421)+0.0001)))</f>
        <v>0</v>
      </c>
      <c r="C421" s="62">
        <f t="shared" ca="1" si="40"/>
        <v>0</v>
      </c>
      <c r="D421" s="13" t="e">
        <f ca="1">D420+C421*(Prices!B421-Prices!B420)/Prices!B420</f>
        <v>#DIV/0!</v>
      </c>
      <c r="E421" s="13" t="e">
        <f t="shared" ca="1" si="43"/>
        <v>#DIV/0!</v>
      </c>
      <c r="F421" s="13" t="e">
        <f t="shared" ca="1" si="41"/>
        <v>#DIV/0!</v>
      </c>
      <c r="G421" s="21">
        <f ca="1">IF((Prices!B421-Prices!B420)*C421&gt;0,1,0)</f>
        <v>0</v>
      </c>
      <c r="H421" s="13" t="e">
        <f>ABS(Prices!B421-Prices!B420)/Prices!B420</f>
        <v>#DIV/0!</v>
      </c>
      <c r="I421" s="21"/>
      <c r="J421" s="4">
        <f t="shared" ca="1" si="42"/>
        <v>-3.7419179904114818E-6</v>
      </c>
      <c r="K421" s="13"/>
      <c r="L421" s="13">
        <f ca="1">L420-O421*Prices!B421</f>
        <v>0.75951846501508558</v>
      </c>
      <c r="M421" s="4">
        <f t="shared" ca="1" si="39"/>
        <v>1.4702138197215562E-5</v>
      </c>
      <c r="N421" s="13">
        <f ca="1">IF(Prices!B420&gt;OFFSET(Prices!B420,-$N$3,0),1,-1)</f>
        <v>-1</v>
      </c>
      <c r="O421" s="4">
        <f ca="1">IF(N421=1,O$3*L420/Prices!B420,-O$3*M420)</f>
        <v>-1.6335709108017292E-6</v>
      </c>
      <c r="P421" s="22"/>
      <c r="Q421" s="13">
        <f ca="1">Q420-T421*Prices!B421</f>
        <v>0.90325095606435002</v>
      </c>
      <c r="R421" s="4">
        <f t="shared" ca="1" si="38"/>
        <v>2.1317731582720831E-5</v>
      </c>
      <c r="S421" s="13">
        <f ca="1">IF(Prices!B420&gt;OFFSET(Prices!B420,-S$3,0),1,-1)</f>
        <v>-1</v>
      </c>
      <c r="T421" s="4">
        <f ca="1">IF(S421=1,T$3*Q420/Prices!B420,-T$3*R420)</f>
        <v>-2.1083470796097528E-6</v>
      </c>
      <c r="W421" s="4"/>
      <c r="X421" s="4"/>
      <c r="Y421" s="4"/>
      <c r="Z421" s="4"/>
      <c r="AA421" s="4"/>
      <c r="AB421" s="4"/>
      <c r="AC421" s="4"/>
      <c r="AD421" s="4"/>
      <c r="AE421" s="52"/>
    </row>
    <row r="422" spans="1:31" x14ac:dyDescent="0.2">
      <c r="A422" s="7">
        <v>44318</v>
      </c>
      <c r="B422" s="13">
        <f ca="1">Prices!B421*(1+J422/(50*(ABS(O422)+ABS(T422)+0.0001)))</f>
        <v>0</v>
      </c>
      <c r="C422" s="62">
        <f t="shared" ca="1" si="40"/>
        <v>0</v>
      </c>
      <c r="D422" s="13" t="e">
        <f ca="1">D421+C422*(Prices!B422-Prices!B421)/Prices!B421</f>
        <v>#DIV/0!</v>
      </c>
      <c r="E422" s="13" t="e">
        <f t="shared" ca="1" si="43"/>
        <v>#DIV/0!</v>
      </c>
      <c r="F422" s="13" t="e">
        <f t="shared" ca="1" si="41"/>
        <v>#DIV/0!</v>
      </c>
      <c r="G422" s="21">
        <f ca="1">IF((Prices!B422-Prices!B421)*C422&gt;0,1,0)</f>
        <v>0</v>
      </c>
      <c r="H422" s="13" t="e">
        <f>ABS(Prices!B422-Prices!B421)/Prices!B421</f>
        <v>#DIV/0!</v>
      </c>
      <c r="I422" s="21"/>
      <c r="J422" s="4">
        <f t="shared" ca="1" si="42"/>
        <v>-3.3888096621664311E-6</v>
      </c>
      <c r="K422" s="13"/>
      <c r="L422" s="13">
        <f ca="1">L421-O422*Prices!B422</f>
        <v>0.75951846501508558</v>
      </c>
      <c r="M422" s="4">
        <f t="shared" ca="1" si="39"/>
        <v>1.3231924377494006E-5</v>
      </c>
      <c r="N422" s="13">
        <f ca="1">IF(Prices!B421&gt;OFFSET(Prices!B421,-$N$3,0),1,-1)</f>
        <v>-1</v>
      </c>
      <c r="O422" s="4">
        <f ca="1">IF(N422=1,O$3*L421/Prices!B421,-O$3*M421)</f>
        <v>-1.4702138197215562E-6</v>
      </c>
      <c r="P422" s="22"/>
      <c r="Q422" s="13">
        <f ca="1">Q421-T422*Prices!B422</f>
        <v>0.90325095606435002</v>
      </c>
      <c r="R422" s="4">
        <f t="shared" ca="1" si="38"/>
        <v>1.9399135740275955E-5</v>
      </c>
      <c r="S422" s="13">
        <f ca="1">IF(Prices!B421&gt;OFFSET(Prices!B421,-S$3,0),1,-1)</f>
        <v>-1</v>
      </c>
      <c r="T422" s="4">
        <f ca="1">IF(S422=1,T$3*Q421/Prices!B421,-T$3*R421)</f>
        <v>-1.9185958424448749E-6</v>
      </c>
      <c r="W422" s="4"/>
      <c r="X422" s="4"/>
      <c r="Y422" s="4"/>
      <c r="Z422" s="4"/>
      <c r="AA422" s="4"/>
      <c r="AB422" s="4"/>
      <c r="AC422" s="4"/>
      <c r="AD422" s="4"/>
      <c r="AE422" s="52"/>
    </row>
    <row r="423" spans="1:31" x14ac:dyDescent="0.2">
      <c r="A423" s="7">
        <v>44325</v>
      </c>
      <c r="B423" s="13">
        <f ca="1">Prices!B422*(1+J423/(50*(ABS(O423)+ABS(T423)+0.0001)))</f>
        <v>0</v>
      </c>
      <c r="C423" s="62">
        <f t="shared" ca="1" si="40"/>
        <v>0</v>
      </c>
      <c r="D423" s="13" t="e">
        <f ca="1">D422+C423*(Prices!B423-Prices!B422)/Prices!B422</f>
        <v>#DIV/0!</v>
      </c>
      <c r="E423" s="13" t="e">
        <f t="shared" ca="1" si="43"/>
        <v>#DIV/0!</v>
      </c>
      <c r="F423" s="13" t="e">
        <f t="shared" ca="1" si="41"/>
        <v>#DIV/0!</v>
      </c>
      <c r="G423" s="21">
        <f ca="1">IF((Prices!B423-Prices!B422)*C423&gt;0,1,0)</f>
        <v>0</v>
      </c>
      <c r="H423" s="13" t="e">
        <f>ABS(Prices!B423-Prices!B422)/Prices!B422</f>
        <v>#DIV/0!</v>
      </c>
      <c r="I423" s="21"/>
      <c r="J423" s="4">
        <f t="shared" ca="1" si="42"/>
        <v>-3.0691146543742365E-6</v>
      </c>
      <c r="K423" s="13"/>
      <c r="L423" s="13">
        <f ca="1">L422-O423*Prices!B423</f>
        <v>0.75951846501508558</v>
      </c>
      <c r="M423" s="4">
        <f t="shared" ca="1" si="39"/>
        <v>1.1908731939744605E-5</v>
      </c>
      <c r="N423" s="13">
        <f ca="1">IF(Prices!B422&gt;OFFSET(Prices!B422,-$N$3,0),1,-1)</f>
        <v>-1</v>
      </c>
      <c r="O423" s="4">
        <f ca="1">IF(N423=1,O$3*L422/Prices!B422,-O$3*M422)</f>
        <v>-1.3231924377494006E-6</v>
      </c>
      <c r="P423" s="22"/>
      <c r="Q423" s="13">
        <f ca="1">Q422-T423*Prices!B423</f>
        <v>0.90325095606435002</v>
      </c>
      <c r="R423" s="4">
        <f t="shared" ca="1" si="38"/>
        <v>1.7653213523651117E-5</v>
      </c>
      <c r="S423" s="13">
        <f ca="1">IF(Prices!B422&gt;OFFSET(Prices!B422,-S$3,0),1,-1)</f>
        <v>-1</v>
      </c>
      <c r="T423" s="4">
        <f ca="1">IF(S423=1,T$3*Q422/Prices!B422,-T$3*R422)</f>
        <v>-1.7459222166248359E-6</v>
      </c>
      <c r="W423" s="4"/>
      <c r="X423" s="4"/>
      <c r="Y423" s="4"/>
      <c r="Z423" s="4"/>
      <c r="AA423" s="4"/>
      <c r="AB423" s="4"/>
      <c r="AC423" s="4"/>
      <c r="AD423" s="4"/>
      <c r="AE423" s="52"/>
    </row>
    <row r="424" spans="1:31" x14ac:dyDescent="0.2">
      <c r="A424" s="7">
        <v>44332</v>
      </c>
      <c r="B424" s="13">
        <f ca="1">Prices!B423*(1+J424/(50*(ABS(O424)+ABS(T424)+0.0001)))</f>
        <v>0</v>
      </c>
      <c r="C424" s="62">
        <f t="shared" ref="C424:C429" ca="1" si="44">IF(J424&gt;0,1,IF(J424&lt;0,0,0))</f>
        <v>0</v>
      </c>
      <c r="D424" s="13" t="e">
        <f ca="1">D423+C424*(Prices!B424-Prices!B423)/Prices!B423</f>
        <v>#DIV/0!</v>
      </c>
      <c r="E424" s="13" t="e">
        <f t="shared" ref="E424" ca="1" si="45">F424-D424</f>
        <v>#DIV/0!</v>
      </c>
      <c r="F424" s="13" t="e">
        <f t="shared" ref="F424" ca="1" si="46">MAX(F423,D424)</f>
        <v>#DIV/0!</v>
      </c>
      <c r="G424" s="21">
        <f ca="1">IF((Prices!B424-Prices!B423)*C424&gt;0,1,0)</f>
        <v>0</v>
      </c>
      <c r="H424" s="13" t="e">
        <f>ABS(Prices!B424-Prices!B423)/Prices!B423</f>
        <v>#DIV/0!</v>
      </c>
      <c r="I424" s="21"/>
      <c r="J424" s="4">
        <f t="shared" ca="1" si="42"/>
        <v>-2.779662411103061E-6</v>
      </c>
      <c r="K424" s="13"/>
      <c r="L424" s="13">
        <f ca="1">L423-O424*Prices!B424</f>
        <v>0.75951846501508558</v>
      </c>
      <c r="M424" s="4">
        <f t="shared" ca="1" si="39"/>
        <v>1.0717858745770144E-5</v>
      </c>
      <c r="N424" s="13">
        <f ca="1">IF(Prices!B423&gt;OFFSET(Prices!B423,-$N$3,0),1,-1)</f>
        <v>-1</v>
      </c>
      <c r="O424" s="4">
        <f ca="1">IF(N424=1,O$3*L423/Prices!B423,-O$3*M423)</f>
        <v>-1.1908731939744605E-6</v>
      </c>
      <c r="P424" s="22"/>
      <c r="Q424" s="13">
        <f ca="1">Q423-T424*Prices!B424</f>
        <v>0.90325095606435002</v>
      </c>
      <c r="R424" s="4">
        <f t="shared" ca="1" si="38"/>
        <v>1.6064424306522518E-5</v>
      </c>
      <c r="S424" s="13">
        <f ca="1">IF(Prices!B423&gt;OFFSET(Prices!B423,-S$3,0),1,-1)</f>
        <v>-1</v>
      </c>
      <c r="T424" s="4">
        <f ca="1">IF(S424=1,T$3*Q423/Prices!B423,-T$3*R423)</f>
        <v>-1.5887892171286005E-6</v>
      </c>
      <c r="W424" s="4"/>
      <c r="X424" s="4"/>
      <c r="Y424" s="4"/>
      <c r="Z424" s="4"/>
      <c r="AA424" s="4"/>
      <c r="AB424" s="4"/>
      <c r="AC424" s="4"/>
      <c r="AD424" s="4"/>
      <c r="AE424" s="52"/>
    </row>
    <row r="425" spans="1:31" x14ac:dyDescent="0.2">
      <c r="A425" s="7">
        <v>44339</v>
      </c>
      <c r="B425" s="13">
        <f ca="1">Prices!B424*(1+J425/(50*(ABS(O425)+ABS(T425)+0.0001)))</f>
        <v>0</v>
      </c>
      <c r="C425" s="62">
        <f t="shared" ca="1" si="44"/>
        <v>0</v>
      </c>
      <c r="D425" s="13" t="e">
        <f ca="1">D424+C425*(Prices!B425-Prices!B424)/Prices!B424</f>
        <v>#DIV/0!</v>
      </c>
      <c r="E425" s="13" t="e">
        <f t="shared" ref="E425" ca="1" si="47">F425-D425</f>
        <v>#DIV/0!</v>
      </c>
      <c r="F425" s="13" t="e">
        <f t="shared" ref="F425" ca="1" si="48">MAX(F424,D425)</f>
        <v>#DIV/0!</v>
      </c>
      <c r="G425" s="21">
        <f ca="1">IF((Prices!B425-Prices!B424)*C425&gt;0,1,0)</f>
        <v>0</v>
      </c>
      <c r="H425" s="13" t="e">
        <f>ABS(Prices!B425-Prices!B424)/Prices!B424</f>
        <v>#DIV/0!</v>
      </c>
      <c r="I425" s="21"/>
      <c r="J425" s="4">
        <f t="shared" ref="J425" ca="1" si="49">O425+T425</f>
        <v>-2.5175840621640409E-6</v>
      </c>
      <c r="K425" s="13"/>
      <c r="L425" s="13">
        <f ca="1">L424-O425*Prices!B425</f>
        <v>0.75951846501508558</v>
      </c>
      <c r="M425" s="4">
        <f t="shared" ref="M425" ca="1" si="50">M424+O425</f>
        <v>9.6460728711931297E-6</v>
      </c>
      <c r="N425" s="13">
        <f ca="1">IF(Prices!B424&gt;OFFSET(Prices!B424,-$N$3,0),1,-1)</f>
        <v>-1</v>
      </c>
      <c r="O425" s="4">
        <f ca="1">IF(N425=1,O$3*L424/Prices!B424,-O$3*M424)</f>
        <v>-1.0717858745770146E-6</v>
      </c>
      <c r="P425" s="22"/>
      <c r="Q425" s="13">
        <f ca="1">Q424-T425*Prices!B425</f>
        <v>0.90325095606435002</v>
      </c>
      <c r="R425" s="4">
        <f t="shared" ref="R425" ca="1" si="51">R424+T425</f>
        <v>1.4618626118935491E-5</v>
      </c>
      <c r="S425" s="13">
        <f ca="1">IF(Prices!B424&gt;OFFSET(Prices!B424,-S$3,0),1,-1)</f>
        <v>-1</v>
      </c>
      <c r="T425" s="4">
        <f ca="1">IF(S425=1,T$3*Q424/Prices!B424,-T$3*R424)</f>
        <v>-1.4457981875870265E-6</v>
      </c>
      <c r="W425" s="4"/>
      <c r="X425" s="4"/>
      <c r="Y425" s="4"/>
      <c r="Z425" s="4"/>
      <c r="AA425" s="4"/>
      <c r="AB425" s="4"/>
      <c r="AC425" s="4"/>
      <c r="AD425" s="4"/>
      <c r="AE425" s="52"/>
    </row>
    <row r="426" spans="1:31" x14ac:dyDescent="0.2">
      <c r="A426" s="7">
        <v>44346</v>
      </c>
      <c r="B426" s="13">
        <f ca="1">Prices!B425*(1+J426/(50*(ABS(O426)+ABS(T426)+0.0001)))</f>
        <v>0</v>
      </c>
      <c r="C426" s="62">
        <f t="shared" ca="1" si="44"/>
        <v>0</v>
      </c>
      <c r="D426" s="13" t="e">
        <f ca="1">D425+C426*(Prices!B426-Prices!B425)/Prices!B425</f>
        <v>#DIV/0!</v>
      </c>
      <c r="E426" s="13" t="e">
        <f t="shared" ref="E426" ca="1" si="52">F426-D426</f>
        <v>#DIV/0!</v>
      </c>
      <c r="F426" s="13" t="e">
        <f t="shared" ref="F426" ca="1" si="53">MAX(F425,D426)</f>
        <v>#DIV/0!</v>
      </c>
      <c r="G426" s="21">
        <f ca="1">IF((Prices!B426-Prices!B425)*C426&gt;0,1,0)</f>
        <v>0</v>
      </c>
      <c r="H426" s="13" t="e">
        <f>ABS(Prices!B426-Prices!B425)/Prices!B425</f>
        <v>#DIV/0!</v>
      </c>
      <c r="I426" s="21"/>
      <c r="J426" s="4">
        <f t="shared" ref="J426" ca="1" si="54">O426+T426</f>
        <v>-2.2802836378235073E-6</v>
      </c>
      <c r="K426" s="13"/>
      <c r="L426" s="13">
        <f ca="1">L425-O426*Prices!B426</f>
        <v>0.75951846501508558</v>
      </c>
      <c r="M426" s="4">
        <f t="shared" ref="M426" ca="1" si="55">M425+O426</f>
        <v>8.6814655840738175E-6</v>
      </c>
      <c r="N426" s="13">
        <f ca="1">IF(Prices!B425&gt;OFFSET(Prices!B425,-$N$3,0),1,-1)</f>
        <v>-1</v>
      </c>
      <c r="O426" s="4">
        <f ca="1">IF(N426=1,O$3*L425/Prices!B425,-O$3*M425)</f>
        <v>-9.6460728711931297E-7</v>
      </c>
      <c r="P426" s="22"/>
      <c r="Q426" s="13">
        <f ca="1">Q425-T426*Prices!B426</f>
        <v>0.90325095606435002</v>
      </c>
      <c r="R426" s="4">
        <f t="shared" ref="R426" ca="1" si="56">R425+T426</f>
        <v>1.3302949768231297E-5</v>
      </c>
      <c r="S426" s="13">
        <f ca="1">IF(Prices!B425&gt;OFFSET(Prices!B425,-S$3,0),1,-1)</f>
        <v>-1</v>
      </c>
      <c r="T426" s="4">
        <f ca="1">IF(S426=1,T$3*Q425/Prices!B425,-T$3*R425)</f>
        <v>-1.3156763507041941E-6</v>
      </c>
      <c r="W426" s="4"/>
      <c r="X426" s="4"/>
      <c r="Y426" s="4"/>
      <c r="Z426" s="4"/>
      <c r="AA426" s="4"/>
      <c r="AB426" s="4"/>
      <c r="AC426" s="4"/>
      <c r="AD426" s="4"/>
      <c r="AE426" s="52"/>
    </row>
    <row r="427" spans="1:31" x14ac:dyDescent="0.2">
      <c r="A427" s="7">
        <v>44353</v>
      </c>
      <c r="B427" s="13">
        <f ca="1">Prices!B426*(1+J427/(50*(ABS(O427)+ABS(T427)+0.0001)))</f>
        <v>0</v>
      </c>
      <c r="C427" s="62">
        <f t="shared" ca="1" si="44"/>
        <v>0</v>
      </c>
      <c r="D427" s="13" t="e">
        <f ca="1">D426+C427*(Prices!B427-Prices!B426)/Prices!B426</f>
        <v>#DIV/0!</v>
      </c>
      <c r="E427" s="13" t="e">
        <f t="shared" ref="E427" ca="1" si="57">F427-D427</f>
        <v>#DIV/0!</v>
      </c>
      <c r="F427" s="13" t="e">
        <f t="shared" ref="F427" ca="1" si="58">MAX(F426,D427)</f>
        <v>#DIV/0!</v>
      </c>
      <c r="G427" s="21">
        <f ca="1">IF((Prices!B427-Prices!B426)*C427&gt;0,1,0)</f>
        <v>0</v>
      </c>
      <c r="H427" s="13" t="e">
        <f>ABS(Prices!B427-Prices!B426)/Prices!B426</f>
        <v>#DIV/0!</v>
      </c>
      <c r="I427" s="21"/>
      <c r="J427" s="4">
        <f t="shared" ref="J427" ca="1" si="59">O427+T427</f>
        <v>-2.0654120375481986E-6</v>
      </c>
      <c r="K427" s="13"/>
      <c r="L427" s="13">
        <f ca="1">L426-O427*Prices!B427</f>
        <v>0.75951846501508558</v>
      </c>
      <c r="M427" s="4">
        <f t="shared" ref="M427" ca="1" si="60">M426+O427</f>
        <v>7.8133190256664355E-6</v>
      </c>
      <c r="N427" s="13">
        <f ca="1">IF(Prices!B426&gt;OFFSET(Prices!B426,-$N$3,0),1,-1)</f>
        <v>-1</v>
      </c>
      <c r="O427" s="4">
        <f ca="1">IF(N427=1,O$3*L426/Prices!B426,-O$3*M426)</f>
        <v>-8.6814655840738178E-7</v>
      </c>
      <c r="P427" s="22"/>
      <c r="Q427" s="13">
        <f ca="1">Q426-T427*Prices!B427</f>
        <v>0.90325095606435002</v>
      </c>
      <c r="R427" s="4">
        <f t="shared" ref="R427" ca="1" si="61">R426+T427</f>
        <v>1.2105684289090481E-5</v>
      </c>
      <c r="S427" s="13">
        <f ca="1">IF(Prices!B426&gt;OFFSET(Prices!B426,-S$3,0),1,-1)</f>
        <v>-1</v>
      </c>
      <c r="T427" s="4">
        <f ca="1">IF(S427=1,T$3*Q426/Prices!B426,-T$3*R426)</f>
        <v>-1.1972654791408167E-6</v>
      </c>
      <c r="W427" s="4"/>
      <c r="X427" s="4"/>
      <c r="Y427" s="4"/>
      <c r="Z427" s="4"/>
      <c r="AA427" s="4"/>
      <c r="AB427" s="4"/>
      <c r="AC427" s="4"/>
      <c r="AD427" s="4"/>
      <c r="AE427" s="52"/>
    </row>
    <row r="428" spans="1:31" x14ac:dyDescent="0.2">
      <c r="A428" s="7">
        <v>44360</v>
      </c>
      <c r="B428" s="13">
        <f ca="1">Prices!B427*(1+J428/(50*(ABS(O428)+ABS(T428)+0.0001)))</f>
        <v>0</v>
      </c>
      <c r="C428" s="62">
        <f t="shared" ca="1" si="44"/>
        <v>0</v>
      </c>
      <c r="D428" s="13" t="e">
        <f ca="1">D427+C428*(Prices!B428-Prices!B427)/Prices!B427</f>
        <v>#DIV/0!</v>
      </c>
      <c r="E428" s="13" t="e">
        <f t="shared" ref="E428" ca="1" si="62">F428-D428</f>
        <v>#DIV/0!</v>
      </c>
      <c r="F428" s="13" t="e">
        <f t="shared" ref="F428" ca="1" si="63">MAX(F427,D428)</f>
        <v>#DIV/0!</v>
      </c>
      <c r="G428" s="21">
        <f ca="1">IF((Prices!B428-Prices!B427)*C428&gt;0,1,0)</f>
        <v>0</v>
      </c>
      <c r="H428" s="13" t="e">
        <f>ABS(Prices!B428-Prices!B427)/Prices!B427</f>
        <v>#DIV/0!</v>
      </c>
      <c r="I428" s="21"/>
      <c r="J428" s="4">
        <f t="shared" ref="J428" ca="1" si="64">O428+T428</f>
        <v>-1.8708434885847868E-6</v>
      </c>
      <c r="K428" s="13"/>
      <c r="L428" s="13">
        <f ca="1">L427-O428*Prices!B428</f>
        <v>0.75951846501508558</v>
      </c>
      <c r="M428" s="4">
        <f t="shared" ref="M428" ca="1" si="65">M427+O428</f>
        <v>7.0319871230997921E-6</v>
      </c>
      <c r="N428" s="13">
        <f ca="1">IF(Prices!B427&gt;OFFSET(Prices!B427,-$N$3,0),1,-1)</f>
        <v>-1</v>
      </c>
      <c r="O428" s="4">
        <f ca="1">IF(N428=1,O$3*L427/Prices!B427,-O$3*M427)</f>
        <v>-7.8133190256664359E-7</v>
      </c>
      <c r="P428" s="22"/>
      <c r="Q428" s="13">
        <f ca="1">Q427-T428*Prices!B428</f>
        <v>0.90325095606435002</v>
      </c>
      <c r="R428" s="4">
        <f t="shared" ref="R428" ca="1" si="66">R427+T428</f>
        <v>1.1016172703072337E-5</v>
      </c>
      <c r="S428" s="13">
        <f ca="1">IF(Prices!B427&gt;OFFSET(Prices!B427,-S$3,0),1,-1)</f>
        <v>-1</v>
      </c>
      <c r="T428" s="4">
        <f ca="1">IF(S428=1,T$3*Q427/Prices!B427,-T$3*R427)</f>
        <v>-1.0895115860181432E-6</v>
      </c>
      <c r="W428" s="13"/>
      <c r="X428" s="4"/>
      <c r="Y428" s="13"/>
      <c r="Z428" s="4"/>
      <c r="AA428" s="53"/>
      <c r="AB428" s="52"/>
      <c r="AC428" s="52"/>
      <c r="AD428" s="52"/>
      <c r="AE428" s="52"/>
    </row>
    <row r="429" spans="1:31" x14ac:dyDescent="0.2">
      <c r="A429" s="7">
        <v>44367</v>
      </c>
      <c r="B429" s="13">
        <f ca="1">Prices!B428*(1+J429/(50*(ABS(O429)+ABS(T429)+0.0001)))</f>
        <v>0</v>
      </c>
      <c r="C429" s="62">
        <f t="shared" ca="1" si="44"/>
        <v>0</v>
      </c>
      <c r="D429" s="13" t="e">
        <f ca="1">D428+C429*(Prices!B429-Prices!B428)/Prices!B428</f>
        <v>#DIV/0!</v>
      </c>
      <c r="E429" s="13" t="e">
        <f t="shared" ref="E429" ca="1" si="67">F429-D429</f>
        <v>#DIV/0!</v>
      </c>
      <c r="F429" s="13" t="e">
        <f t="shared" ref="F429" ca="1" si="68">MAX(F428,D429)</f>
        <v>#DIV/0!</v>
      </c>
      <c r="G429" s="21">
        <f ca="1">IF((Prices!B429-Prices!B428)*C429&gt;0,1,0)</f>
        <v>0</v>
      </c>
      <c r="H429" s="13" t="e">
        <f>ABS(Prices!B429-Prices!B428)/Prices!B428</f>
        <v>#DIV/0!</v>
      </c>
      <c r="I429" s="21"/>
      <c r="J429" s="4">
        <f t="shared" ref="J429" ca="1" si="69">O429+T429</f>
        <v>-1.6946542555864895E-6</v>
      </c>
      <c r="K429" s="13"/>
      <c r="L429" s="13">
        <f ca="1">L428-O429*Prices!B429</f>
        <v>0.75951846501508558</v>
      </c>
      <c r="M429" s="4">
        <f t="shared" ref="M429" ca="1" si="70">M428+O429</f>
        <v>6.3287884107898129E-6</v>
      </c>
      <c r="N429" s="13">
        <f ca="1">IF(Prices!B428&gt;OFFSET(Prices!B428,-$N$3,0),1,-1)</f>
        <v>-1</v>
      </c>
      <c r="O429" s="4">
        <f ca="1">IF(N429=1,O$3*L428/Prices!B428,-O$3*M428)</f>
        <v>-7.0319871230997921E-7</v>
      </c>
      <c r="P429" s="22"/>
      <c r="Q429" s="13">
        <f ca="1">Q428-T429*Prices!B429</f>
        <v>0.90325095606435002</v>
      </c>
      <c r="R429" s="4">
        <f t="shared" ref="R429" ca="1" si="71">R428+T429</f>
        <v>1.0024717159795827E-5</v>
      </c>
      <c r="S429" s="13">
        <f ca="1">IF(Prices!B428&gt;OFFSET(Prices!B428,-S$3,0),1,-1)</f>
        <v>-1</v>
      </c>
      <c r="T429" s="4">
        <f ca="1">IF(S429=1,T$3*Q428/Prices!B428,-T$3*R428)</f>
        <v>-9.9145554327651024E-7</v>
      </c>
      <c r="W429" s="13"/>
      <c r="X429" s="4"/>
      <c r="Y429" s="13"/>
      <c r="Z429" s="4"/>
      <c r="AA429" s="4"/>
      <c r="AB429" s="4"/>
      <c r="AC429" s="4"/>
    </row>
    <row r="430" spans="1:31" x14ac:dyDescent="0.2">
      <c r="A430" s="7">
        <v>44374</v>
      </c>
      <c r="B430" s="13">
        <f ca="1">Prices!B429*(1+J430/(50*(ABS(O430)+ABS(T430)+0.0001)))</f>
        <v>0</v>
      </c>
      <c r="C430" s="62">
        <f t="shared" ref="C430" ca="1" si="72">IF(J430&gt;0,1,IF(J430&lt;0,0,0))</f>
        <v>0</v>
      </c>
      <c r="D430" s="13" t="e">
        <f ca="1">D429+C430*(Prices!B430-Prices!B429)/Prices!B429</f>
        <v>#DIV/0!</v>
      </c>
      <c r="E430" s="13" t="e">
        <f t="shared" ref="E430" ca="1" si="73">F430-D430</f>
        <v>#DIV/0!</v>
      </c>
      <c r="F430" s="13" t="e">
        <f t="shared" ref="F430" ca="1" si="74">MAX(F429,D430)</f>
        <v>#DIV/0!</v>
      </c>
      <c r="G430" s="21">
        <f ca="1">IF((Prices!B430-Prices!B429)*C430&gt;0,1,0)</f>
        <v>0</v>
      </c>
      <c r="H430" s="13" t="e">
        <f>ABS(Prices!B430-Prices!B429)/Prices!B429</f>
        <v>#DIV/0!</v>
      </c>
      <c r="I430" s="21"/>
      <c r="J430" s="4">
        <f t="shared" ref="J430" ca="1" si="75">O430+T430</f>
        <v>-1.5351033854606057E-6</v>
      </c>
      <c r="K430" s="13"/>
      <c r="L430" s="13">
        <f ca="1">L429-O430*Prices!B430</f>
        <v>0.75951846501508558</v>
      </c>
      <c r="M430" s="4">
        <f t="shared" ref="M430" ca="1" si="76">M429+O430</f>
        <v>5.695909569710832E-6</v>
      </c>
      <c r="N430" s="13">
        <f ca="1">IF(Prices!B429&gt;OFFSET(Prices!B429,-$N$3,0),1,-1)</f>
        <v>-1</v>
      </c>
      <c r="O430" s="4">
        <f ca="1">IF(N430=1,O$3*L429/Prices!B429,-O$3*M429)</f>
        <v>-6.3287884107898129E-7</v>
      </c>
      <c r="P430" s="22"/>
      <c r="Q430" s="13">
        <f ca="1">Q429-T430*Prices!B430</f>
        <v>0.90325095606435002</v>
      </c>
      <c r="R430" s="4">
        <f t="shared" ref="R430" ca="1" si="77">R429+T430</f>
        <v>9.1224926154142028E-6</v>
      </c>
      <c r="S430" s="13">
        <f ca="1">IF(Prices!B429&gt;OFFSET(Prices!B429,-S$3,0),1,-1)</f>
        <v>-1</v>
      </c>
      <c r="T430" s="4">
        <f ca="1">IF(S430=1,T$3*Q429/Prices!B429,-T$3*R429)</f>
        <v>-9.0222454438162446E-7</v>
      </c>
    </row>
    <row r="431" spans="1:31" x14ac:dyDescent="0.2">
      <c r="A431" s="7">
        <v>44381</v>
      </c>
      <c r="B431" s="13">
        <f ca="1">Prices!B430*(1+J431/(50*(ABS(O431)+ABS(T431)+0.0001)))</f>
        <v>0</v>
      </c>
      <c r="C431" s="62">
        <f t="shared" ref="C431" ca="1" si="78">IF(J431&gt;0,1,IF(J431&lt;0,0,0))</f>
        <v>0</v>
      </c>
      <c r="D431" s="13" t="e">
        <f ca="1">D430+C431*(Prices!B431-Prices!B430)/Prices!B430</f>
        <v>#DIV/0!</v>
      </c>
      <c r="E431" s="13" t="e">
        <f t="shared" ref="E431" ca="1" si="79">F431-D431</f>
        <v>#DIV/0!</v>
      </c>
      <c r="F431" s="13" t="e">
        <f t="shared" ref="F431" ca="1" si="80">MAX(F430,D431)</f>
        <v>#DIV/0!</v>
      </c>
      <c r="G431" s="21">
        <f ca="1">IF((Prices!B431-Prices!B430)*C431&gt;0,1,0)</f>
        <v>0</v>
      </c>
      <c r="H431" s="13" t="e">
        <f>ABS(Prices!B431-Prices!B430)/Prices!B430</f>
        <v>#DIV/0!</v>
      </c>
      <c r="I431" s="21"/>
      <c r="J431" s="4">
        <f t="shared" ref="J431" ca="1" si="81">O431+T431</f>
        <v>-1.3906152923583613E-6</v>
      </c>
      <c r="K431" s="13"/>
      <c r="L431" s="13">
        <f ca="1">L430-O431*Prices!B431</f>
        <v>0.75951846501508558</v>
      </c>
      <c r="M431" s="4">
        <f t="shared" ref="M431" ca="1" si="82">M430+O431</f>
        <v>5.1263186127397491E-6</v>
      </c>
      <c r="N431" s="13">
        <f ca="1">IF(Prices!B430&gt;OFFSET(Prices!B430,-$N$3,0),1,-1)</f>
        <v>-1</v>
      </c>
      <c r="O431" s="4">
        <f ca="1">IF(N431=1,O$3*L430/Prices!B430,-O$3*M430)</f>
        <v>-5.6959095697108318E-7</v>
      </c>
      <c r="P431" s="22"/>
      <c r="Q431" s="13">
        <f ca="1">Q430-T431*Prices!B431</f>
        <v>0.90325095606435002</v>
      </c>
      <c r="R431" s="4">
        <f t="shared" ref="R431" ca="1" si="83">R430+T431</f>
        <v>8.3014682800269248E-6</v>
      </c>
      <c r="S431" s="13">
        <f ca="1">IF(Prices!B430&gt;OFFSET(Prices!B430,-S$3,0),1,-1)</f>
        <v>-1</v>
      </c>
      <c r="T431" s="4">
        <f ca="1">IF(S431=1,T$3*Q430/Prices!B430,-T$3*R430)</f>
        <v>-8.2102433538727821E-7</v>
      </c>
    </row>
    <row r="432" spans="1:31" x14ac:dyDescent="0.2">
      <c r="A432" s="7">
        <v>44388</v>
      </c>
      <c r="B432" s="13">
        <f ca="1">Prices!B431*(1+J432/(50*(ABS(O432)+ABS(T432)+0.0001)))</f>
        <v>0</v>
      </c>
      <c r="C432" s="62">
        <f t="shared" ref="C432" ca="1" si="84">IF(J432&gt;0,1,IF(J432&lt;0,0,0))</f>
        <v>0</v>
      </c>
      <c r="D432" s="13" t="e">
        <f ca="1">D431+C432*(Prices!B432-Prices!B431)/Prices!B431</f>
        <v>#DIV/0!</v>
      </c>
      <c r="E432" s="13" t="e">
        <f t="shared" ref="E432" ca="1" si="85">F432-D432</f>
        <v>#DIV/0!</v>
      </c>
      <c r="F432" s="13" t="e">
        <f t="shared" ref="F432" ca="1" si="86">MAX(F431,D432)</f>
        <v>#DIV/0!</v>
      </c>
      <c r="G432" s="21">
        <f ca="1">IF((Prices!B432-Prices!B431)*C432&gt;0,1,0)</f>
        <v>0</v>
      </c>
      <c r="H432" s="13" t="e">
        <f>ABS(Prices!B432-Prices!B431)/Prices!B431</f>
        <v>#DIV/0!</v>
      </c>
      <c r="I432" s="21"/>
      <c r="J432" s="4">
        <f t="shared" ref="J432" ca="1" si="87">O432+T432</f>
        <v>-1.2597640064763983E-6</v>
      </c>
      <c r="K432" s="13"/>
      <c r="L432" s="13">
        <f ca="1">L431-O432*Prices!B432</f>
        <v>0.75951846501508558</v>
      </c>
      <c r="M432" s="4">
        <f t="shared" ref="M432" ca="1" si="88">M431+O432</f>
        <v>4.6136867514657744E-6</v>
      </c>
      <c r="N432" s="13">
        <f ca="1">IF(Prices!B431&gt;OFFSET(Prices!B431,-$N$3,0),1,-1)</f>
        <v>-1</v>
      </c>
      <c r="O432" s="4">
        <f ca="1">IF(N432=1,O$3*L431/Prices!B431,-O$3*M431)</f>
        <v>-5.1263186127397496E-7</v>
      </c>
      <c r="P432" s="22"/>
      <c r="Q432" s="13">
        <f ca="1">Q431-T432*Prices!B432</f>
        <v>0.90325095606435002</v>
      </c>
      <c r="R432" s="4">
        <f t="shared" ref="R432" ca="1" si="89">R431+T432</f>
        <v>7.5543361348245017E-6</v>
      </c>
      <c r="S432" s="13">
        <f ca="1">IF(Prices!B431&gt;OFFSET(Prices!B431,-S$3,0),1,-1)</f>
        <v>-1</v>
      </c>
      <c r="T432" s="4">
        <f ca="1">IF(S432=1,T$3*Q431/Prices!B431,-T$3*R431)</f>
        <v>-7.4713214520242324E-7</v>
      </c>
      <c r="Y432" s="13"/>
      <c r="Z432" s="13"/>
    </row>
    <row r="433" spans="1:20" x14ac:dyDescent="0.2">
      <c r="A433" s="7">
        <v>44395</v>
      </c>
      <c r="B433" s="13">
        <f ca="1">Prices!B432*(1+J433/(50*(ABS(O433)+ABS(T433)+0.0001)))</f>
        <v>0</v>
      </c>
      <c r="C433" s="62">
        <f t="shared" ref="C433" ca="1" si="90">IF(J433&gt;0,1,IF(J433&lt;0,0,0))</f>
        <v>0</v>
      </c>
      <c r="D433" s="13" t="e">
        <f ca="1">D432+C433*(Prices!B433-Prices!B432)/Prices!B432</f>
        <v>#DIV/0!</v>
      </c>
      <c r="E433" s="13" t="e">
        <f t="shared" ref="E433" ca="1" si="91">F433-D433</f>
        <v>#DIV/0!</v>
      </c>
      <c r="F433" s="13" t="e">
        <f t="shared" ref="F433" ca="1" si="92">MAX(F432,D433)</f>
        <v>#DIV/0!</v>
      </c>
      <c r="G433" s="21">
        <f ca="1">IF((Prices!B433-Prices!B432)*C433&gt;0,1,0)</f>
        <v>0</v>
      </c>
      <c r="H433" s="13" t="e">
        <f>ABS(Prices!B433-Prices!B432)/Prices!B432</f>
        <v>#DIV/0!</v>
      </c>
      <c r="I433" s="21"/>
      <c r="J433" s="4">
        <f t="shared" ref="J433" ca="1" si="93">O433+T433</f>
        <v>-1.1412589272807827E-6</v>
      </c>
      <c r="K433" s="13"/>
      <c r="L433" s="13">
        <f ca="1">L432-O433*Prices!B433</f>
        <v>0.75951846501508558</v>
      </c>
      <c r="M433" s="4">
        <f t="shared" ref="M433" ca="1" si="94">M432+O433</f>
        <v>4.1523180763191967E-6</v>
      </c>
      <c r="N433" s="13">
        <f ca="1">IF(Prices!B432&gt;OFFSET(Prices!B432,-$N$3,0),1,-1)</f>
        <v>-1</v>
      </c>
      <c r="O433" s="4">
        <f ca="1">IF(N433=1,O$3*L432/Prices!B432,-O$3*M432)</f>
        <v>-4.6136867514657748E-7</v>
      </c>
      <c r="P433" s="22"/>
      <c r="Q433" s="13">
        <f ca="1">Q432-T433*Prices!B433</f>
        <v>0.90325095606435002</v>
      </c>
      <c r="R433" s="4">
        <f t="shared" ref="R433" ca="1" si="95">R432+T433</f>
        <v>6.8744458826902963E-6</v>
      </c>
      <c r="S433" s="13">
        <f ca="1">IF(Prices!B432&gt;OFFSET(Prices!B432,-S$3,0),1,-1)</f>
        <v>-1</v>
      </c>
      <c r="T433" s="4">
        <f ca="1">IF(S433=1,T$3*Q432/Prices!B432,-T$3*R432)</f>
        <v>-6.7989025213420511E-7</v>
      </c>
    </row>
    <row r="434" spans="1:20" x14ac:dyDescent="0.2">
      <c r="A434" s="7">
        <v>44402</v>
      </c>
      <c r="B434" s="13">
        <f ca="1">Prices!B433*(1+J434/(50*(ABS(O434)+ABS(T434)+0.0001)))</f>
        <v>0</v>
      </c>
      <c r="C434" s="62">
        <f t="shared" ref="C434" ca="1" si="96">IF(J434&gt;0,1,IF(J434&lt;0,0,0))</f>
        <v>0</v>
      </c>
      <c r="D434" s="13" t="e">
        <f ca="1">D433+C434*(Prices!B434-Prices!B433)/Prices!B433</f>
        <v>#DIV/0!</v>
      </c>
      <c r="E434" s="13" t="e">
        <f t="shared" ref="E434" ca="1" si="97">F434-D434</f>
        <v>#DIV/0!</v>
      </c>
      <c r="F434" s="13" t="e">
        <f t="shared" ref="F434" ca="1" si="98">MAX(F433,D434)</f>
        <v>#DIV/0!</v>
      </c>
      <c r="G434" s="21">
        <f ca="1">IF((Prices!B434-Prices!B433)*C434&gt;0,1,0)</f>
        <v>0</v>
      </c>
      <c r="H434" s="13" t="e">
        <f>ABS(Prices!B434-Prices!B433)/Prices!B433</f>
        <v>#DIV/0!</v>
      </c>
      <c r="I434" s="21"/>
      <c r="J434" s="4">
        <f t="shared" ref="J434" ca="1" si="99">O434+T434</f>
        <v>-1.0339319370740464E-6</v>
      </c>
      <c r="K434" s="13"/>
      <c r="L434" s="13">
        <f ca="1">L433-O434*Prices!B434</f>
        <v>0.75951846501508558</v>
      </c>
      <c r="M434" s="4">
        <f t="shared" ref="M434" ca="1" si="100">M433+O434</f>
        <v>3.737086268687277E-6</v>
      </c>
      <c r="N434" s="13">
        <f ca="1">IF(Prices!B433&gt;OFFSET(Prices!B433,-$N$3,0),1,-1)</f>
        <v>-1</v>
      </c>
      <c r="O434" s="4">
        <f ca="1">IF(N434=1,O$3*L433/Prices!B433,-O$3*M433)</f>
        <v>-4.152318076319197E-7</v>
      </c>
      <c r="P434" s="22"/>
      <c r="Q434" s="13">
        <f ca="1">Q433-T434*Prices!B434</f>
        <v>0.90325095606435002</v>
      </c>
      <c r="R434" s="4">
        <f t="shared" ref="R434" ca="1" si="101">R433+T434</f>
        <v>6.25574575324817E-6</v>
      </c>
      <c r="S434" s="13">
        <f ca="1">IF(Prices!B433&gt;OFFSET(Prices!B433,-S$3,0),1,-1)</f>
        <v>-1</v>
      </c>
      <c r="T434" s="4">
        <f ca="1">IF(S434=1,T$3*Q433/Prices!B433,-T$3*R433)</f>
        <v>-6.1870012944212668E-7</v>
      </c>
    </row>
    <row r="435" spans="1:20" x14ac:dyDescent="0.2">
      <c r="A435" s="7">
        <v>44409</v>
      </c>
      <c r="B435" s="13">
        <f ca="1">Prices!B434*(1+J435/(50*(ABS(O435)+ABS(T435)+0.0001)))</f>
        <v>0</v>
      </c>
      <c r="C435" s="62">
        <f t="shared" ref="C435" ca="1" si="102">IF(J435&gt;0,1,IF(J435&lt;0,0,0))</f>
        <v>0</v>
      </c>
      <c r="D435" s="13" t="e">
        <f ca="1">D434+C435*(Prices!B435-Prices!B434)/Prices!B434</f>
        <v>#DIV/0!</v>
      </c>
      <c r="E435" s="13" t="e">
        <f t="shared" ref="E435" ca="1" si="103">F435-D435</f>
        <v>#DIV/0!</v>
      </c>
      <c r="F435" s="13" t="e">
        <f t="shared" ref="F435" ca="1" si="104">MAX(F434,D435)</f>
        <v>#DIV/0!</v>
      </c>
      <c r="G435" s="21">
        <f ca="1">IF((Prices!B435-Prices!B434)*C435&gt;0,1,0)</f>
        <v>0</v>
      </c>
      <c r="H435" s="13" t="e">
        <f>ABS(Prices!B435-Prices!B434)/Prices!B434</f>
        <v>#DIV/0!</v>
      </c>
      <c r="I435" s="21"/>
      <c r="J435" s="4">
        <f t="shared" ref="J435" ca="1" si="105">O435+T435</f>
        <v>-9.3672574466106291E-7</v>
      </c>
      <c r="K435" s="13"/>
      <c r="L435" s="13">
        <f ca="1">L434-O435*Prices!B435</f>
        <v>0.75951846501508558</v>
      </c>
      <c r="M435" s="4">
        <f t="shared" ref="M435" ca="1" si="106">M434+O435</f>
        <v>3.3633776418185493E-6</v>
      </c>
      <c r="N435" s="13">
        <f ca="1">IF(Prices!B434&gt;OFFSET(Prices!B434,-$N$3,0),1,-1)</f>
        <v>-1</v>
      </c>
      <c r="O435" s="4">
        <f ca="1">IF(N435=1,O$3*L434/Prices!B434,-O$3*M434)</f>
        <v>-3.7370862686872771E-7</v>
      </c>
      <c r="P435" s="22"/>
      <c r="Q435" s="13">
        <f ca="1">Q434-T435*Prices!B435</f>
        <v>0.90325095606435002</v>
      </c>
      <c r="R435" s="4">
        <f t="shared" ref="R435" ca="1" si="107">R434+T435</f>
        <v>5.6927286354558345E-6</v>
      </c>
      <c r="S435" s="13">
        <f ca="1">IF(Prices!B434&gt;OFFSET(Prices!B434,-S$3,0),1,-1)</f>
        <v>-1</v>
      </c>
      <c r="T435" s="4">
        <f ca="1">IF(S435=1,T$3*Q434/Prices!B434,-T$3*R434)</f>
        <v>-5.6301711779233526E-7</v>
      </c>
    </row>
    <row r="436" spans="1:20" x14ac:dyDescent="0.2">
      <c r="A436" s="7">
        <v>44416</v>
      </c>
      <c r="B436" s="13">
        <f ca="1">Prices!B435*(1+J436/(50*(ABS(O436)+ABS(T436)+0.0001)))</f>
        <v>0</v>
      </c>
      <c r="C436" s="62">
        <f t="shared" ref="C436" ca="1" si="108">IF(J436&gt;0,1,IF(J436&lt;0,0,0))</f>
        <v>0</v>
      </c>
      <c r="D436" s="13" t="e">
        <f ca="1">D435+C436*(Prices!B436-Prices!B435)/Prices!B435</f>
        <v>#DIV/0!</v>
      </c>
      <c r="E436" s="13" t="e">
        <f t="shared" ref="E436" ca="1" si="109">F436-D436</f>
        <v>#DIV/0!</v>
      </c>
      <c r="F436" s="13" t="e">
        <f t="shared" ref="F436" ca="1" si="110">MAX(F435,D436)</f>
        <v>#DIV/0!</v>
      </c>
      <c r="G436" s="21">
        <f ca="1">IF((Prices!B436-Prices!B435)*C436&gt;0,1,0)</f>
        <v>0</v>
      </c>
      <c r="H436" s="13" t="e">
        <f>ABS(Prices!B436-Prices!B435)/Prices!B435</f>
        <v>#DIV/0!</v>
      </c>
      <c r="I436" s="21"/>
      <c r="J436" s="4">
        <f t="shared" ref="J436" ca="1" si="111">O436+T436</f>
        <v>-8.4868334137288005E-7</v>
      </c>
      <c r="K436" s="13"/>
      <c r="L436" s="13">
        <f ca="1">L435-O436*Prices!B436</f>
        <v>0.75951846501508558</v>
      </c>
      <c r="M436" s="4">
        <f t="shared" ref="M436" ca="1" si="112">M435+O436</f>
        <v>3.0270398776366945E-6</v>
      </c>
      <c r="N436" s="13">
        <f ca="1">IF(Prices!B435&gt;OFFSET(Prices!B435,-$N$3,0),1,-1)</f>
        <v>-1</v>
      </c>
      <c r="O436" s="4">
        <f ca="1">IF(N436=1,O$3*L435/Prices!B435,-O$3*M435)</f>
        <v>-3.3633776418185495E-7</v>
      </c>
      <c r="P436" s="22"/>
      <c r="Q436" s="13">
        <f ca="1">Q435-T436*Prices!B436</f>
        <v>0.90325095606435002</v>
      </c>
      <c r="R436" s="4">
        <f t="shared" ref="R436" ca="1" si="113">R435+T436</f>
        <v>5.1803830582648093E-6</v>
      </c>
      <c r="S436" s="13">
        <f ca="1">IF(Prices!B435&gt;OFFSET(Prices!B435,-S$3,0),1,-1)</f>
        <v>-1</v>
      </c>
      <c r="T436" s="4">
        <f ca="1">IF(S436=1,T$3*Q435/Prices!B435,-T$3*R435)</f>
        <v>-5.123455771910251E-7</v>
      </c>
    </row>
    <row r="437" spans="1:20" x14ac:dyDescent="0.2">
      <c r="A437" s="7">
        <v>44423</v>
      </c>
      <c r="B437" s="13">
        <f ca="1">Prices!B436*(1+J437/(50*(ABS(O437)+ABS(T437)+0.0001)))</f>
        <v>0</v>
      </c>
      <c r="C437" s="62">
        <f t="shared" ref="C437" ca="1" si="114">IF(J437&gt;0,1,IF(J437&lt;0,0,0))</f>
        <v>0</v>
      </c>
      <c r="D437" s="13" t="e">
        <f ca="1">D436+C437*(Prices!B437-Prices!B436)/Prices!B436</f>
        <v>#DIV/0!</v>
      </c>
      <c r="E437" s="13" t="e">
        <f t="shared" ref="E437" ca="1" si="115">F437-D437</f>
        <v>#DIV/0!</v>
      </c>
      <c r="F437" s="13" t="e">
        <f t="shared" ref="F437" ca="1" si="116">MAX(F436,D437)</f>
        <v>#DIV/0!</v>
      </c>
      <c r="G437" s="21">
        <f ca="1">IF((Prices!B437-Prices!B436)*C437&gt;0,1,0)</f>
        <v>0</v>
      </c>
      <c r="H437" s="13" t="e">
        <f>ABS(Prices!B437-Prices!B436)/Prices!B436</f>
        <v>#DIV/0!</v>
      </c>
      <c r="I437" s="21"/>
      <c r="J437" s="4">
        <f t="shared" ref="J437" ca="1" si="117">O437+T437</f>
        <v>-7.6893846300750231E-7</v>
      </c>
      <c r="K437" s="13"/>
      <c r="L437" s="13">
        <f ca="1">L436-O437*Prices!B437</f>
        <v>0.75951846501508558</v>
      </c>
      <c r="M437" s="4">
        <f t="shared" ref="M437" ca="1" si="118">M436+O437</f>
        <v>2.724335889873025E-6</v>
      </c>
      <c r="N437" s="13">
        <f ca="1">IF(Prices!B436&gt;OFFSET(Prices!B436,-$N$3,0),1,-1)</f>
        <v>-1</v>
      </c>
      <c r="O437" s="4">
        <f ca="1">IF(N437=1,O$3*L436/Prices!B436,-O$3*M436)</f>
        <v>-3.0270398776366949E-7</v>
      </c>
      <c r="P437" s="22"/>
      <c r="Q437" s="13">
        <f ca="1">Q436-T437*Prices!B437</f>
        <v>0.90325095606435002</v>
      </c>
      <c r="R437" s="4">
        <f t="shared" ref="R437" ca="1" si="119">R436+T437</f>
        <v>4.7141485830209768E-6</v>
      </c>
      <c r="S437" s="13">
        <f ca="1">IF(Prices!B436&gt;OFFSET(Prices!B436,-S$3,0),1,-1)</f>
        <v>-1</v>
      </c>
      <c r="T437" s="4">
        <f ca="1">IF(S437=1,T$3*Q436/Prices!B436,-T$3*R436)</f>
        <v>-4.6623447524383283E-7</v>
      </c>
    </row>
    <row r="438" spans="1:20" x14ac:dyDescent="0.2">
      <c r="A438" s="7">
        <v>44430</v>
      </c>
      <c r="B438" s="13">
        <f ca="1">Prices!B437*(1+J438/(50*(ABS(O438)+ABS(T438)+0.0001)))</f>
        <v>0</v>
      </c>
      <c r="C438" s="62">
        <f t="shared" ref="C438" ca="1" si="120">IF(J438&gt;0,1,IF(J438&lt;0,0,0))</f>
        <v>0</v>
      </c>
      <c r="D438" s="13" t="e">
        <f ca="1">D437+C438*(Prices!B438-Prices!B437)/Prices!B437</f>
        <v>#DIV/0!</v>
      </c>
      <c r="E438" s="13" t="e">
        <f t="shared" ref="E438" ca="1" si="121">F438-D438</f>
        <v>#DIV/0!</v>
      </c>
      <c r="F438" s="13" t="e">
        <f t="shared" ref="F438" ca="1" si="122">MAX(F437,D438)</f>
        <v>#DIV/0!</v>
      </c>
      <c r="G438" s="21">
        <f ca="1">IF((Prices!B438-Prices!B437)*C438&gt;0,1,0)</f>
        <v>0</v>
      </c>
      <c r="H438" s="13" t="e">
        <f>ABS(Prices!B438-Prices!B437)/Prices!B437</f>
        <v>#DIV/0!</v>
      </c>
      <c r="I438" s="21"/>
      <c r="J438" s="4">
        <f t="shared" ref="J438" ca="1" si="123">O438+T438</f>
        <v>-6.9670696145919041E-7</v>
      </c>
      <c r="K438" s="13"/>
      <c r="L438" s="13">
        <f ca="1">L437-O438*Prices!B438</f>
        <v>0.75951846501508558</v>
      </c>
      <c r="M438" s="4">
        <f t="shared" ref="M438" ca="1" si="124">M437+O438</f>
        <v>2.4519023008857225E-6</v>
      </c>
      <c r="N438" s="13">
        <f ca="1">IF(Prices!B437&gt;OFFSET(Prices!B437,-$N$3,0),1,-1)</f>
        <v>-1</v>
      </c>
      <c r="O438" s="4">
        <f ca="1">IF(N438=1,O$3*L437/Prices!B437,-O$3*M437)</f>
        <v>-2.7243358898730251E-7</v>
      </c>
      <c r="P438" s="22"/>
      <c r="Q438" s="13">
        <f ca="1">Q437-T438*Prices!B438</f>
        <v>0.90325095606435002</v>
      </c>
      <c r="R438" s="4">
        <f t="shared" ref="R438" ca="1" si="125">R437+T438</f>
        <v>4.289875210549089E-6</v>
      </c>
      <c r="S438" s="13">
        <f ca="1">IF(Prices!B437&gt;OFFSET(Prices!B437,-S$3,0),1,-1)</f>
        <v>-1</v>
      </c>
      <c r="T438" s="4">
        <f ca="1">IF(S438=1,T$3*Q437/Prices!B437,-T$3*R437)</f>
        <v>-4.2427337247188791E-7</v>
      </c>
    </row>
    <row r="439" spans="1:20" x14ac:dyDescent="0.2">
      <c r="A439" s="7">
        <v>44437</v>
      </c>
      <c r="B439" s="13">
        <f ca="1">Prices!B438*(1+J439/(50*(ABS(O439)+ABS(T439)+0.0001)))</f>
        <v>0</v>
      </c>
      <c r="C439" s="62">
        <f t="shared" ref="C439:C441" ca="1" si="126">IF(J439&gt;0,1,IF(J439&lt;0,0,0))</f>
        <v>0</v>
      </c>
      <c r="D439" s="13" t="e">
        <f ca="1">D438+C439*(Prices!B439-Prices!B438)/Prices!B438</f>
        <v>#DIV/0!</v>
      </c>
      <c r="E439" s="13" t="e">
        <f t="shared" ref="E439:E441" ca="1" si="127">F439-D439</f>
        <v>#DIV/0!</v>
      </c>
      <c r="F439" s="13" t="e">
        <f t="shared" ref="F439:F441" ca="1" si="128">MAX(F438,D439)</f>
        <v>#DIV/0!</v>
      </c>
      <c r="G439" s="21">
        <f ca="1">IF((Prices!B439-Prices!B438)*C439&gt;0,1,0)</f>
        <v>0</v>
      </c>
      <c r="H439" s="13" t="e">
        <f>ABS(Prices!B439-Prices!B438)/Prices!B438</f>
        <v>#DIV/0!</v>
      </c>
      <c r="I439" s="21"/>
      <c r="J439" s="4">
        <f t="shared" ref="J439:J441" ca="1" si="129">O439+T439</f>
        <v>-6.3127899903799022E-7</v>
      </c>
      <c r="K439" s="13"/>
      <c r="L439" s="13">
        <f ca="1">L438-O439*Prices!B439</f>
        <v>0.75951846501508558</v>
      </c>
      <c r="M439" s="4">
        <f t="shared" ref="M439:M441" ca="1" si="130">M438+O439</f>
        <v>2.2067120707971503E-6</v>
      </c>
      <c r="N439" s="13">
        <f ca="1">IF(Prices!B438&gt;OFFSET(Prices!B438,-$N$3,0),1,-1)</f>
        <v>-1</v>
      </c>
      <c r="O439" s="4">
        <f ca="1">IF(N439=1,O$3*L438/Prices!B438,-O$3*M438)</f>
        <v>-2.4519023008857225E-7</v>
      </c>
      <c r="P439" s="22"/>
      <c r="Q439" s="13">
        <f ca="1">Q438-T439*Prices!B439</f>
        <v>0.90325095606435002</v>
      </c>
      <c r="R439" s="4">
        <f t="shared" ref="R439:R441" ca="1" si="131">R438+T439</f>
        <v>3.9037864415996706E-6</v>
      </c>
      <c r="S439" s="13">
        <f ca="1">IF(Prices!B438&gt;OFFSET(Prices!B438,-S$3,0),1,-1)</f>
        <v>-1</v>
      </c>
      <c r="T439" s="4">
        <f ca="1">IF(S439=1,T$3*Q438/Prices!B438,-T$3*R438)</f>
        <v>-3.8608876894941802E-7</v>
      </c>
    </row>
    <row r="440" spans="1:20" x14ac:dyDescent="0.2">
      <c r="A440" s="7">
        <v>44444</v>
      </c>
      <c r="B440" s="13">
        <f ca="1">Prices!B439*(1+J440/(50*(ABS(O440)+ABS(T440)+0.0001)))</f>
        <v>0</v>
      </c>
      <c r="C440" s="62">
        <f t="shared" ca="1" si="126"/>
        <v>0</v>
      </c>
      <c r="D440" s="13" t="e">
        <f ca="1">D439+C440*(Prices!B440-Prices!B439)/Prices!B439</f>
        <v>#DIV/0!</v>
      </c>
      <c r="E440" s="13" t="e">
        <f t="shared" ca="1" si="127"/>
        <v>#DIV/0!</v>
      </c>
      <c r="F440" s="13" t="e">
        <f t="shared" ca="1" si="128"/>
        <v>#DIV/0!</v>
      </c>
      <c r="G440" s="21">
        <f ca="1">IF((Prices!B440-Prices!B439)*C440&gt;0,1,0)</f>
        <v>0</v>
      </c>
      <c r="H440" s="13" t="e">
        <f>ABS(Prices!B440-Prices!B439)/Prices!B439</f>
        <v>#DIV/0!</v>
      </c>
      <c r="I440" s="21"/>
      <c r="J440" s="4">
        <f t="shared" ca="1" si="129"/>
        <v>-5.7201198682368539E-7</v>
      </c>
      <c r="K440" s="13"/>
      <c r="L440" s="13">
        <f ca="1">L439-O440*Prices!B440</f>
        <v>0.75951846501508558</v>
      </c>
      <c r="M440" s="4">
        <f t="shared" ca="1" si="130"/>
        <v>1.986040863717435E-6</v>
      </c>
      <c r="N440" s="13">
        <f ca="1">IF(Prices!B439&gt;OFFSET(Prices!B439,-$N$3,0),1,-1)</f>
        <v>-1</v>
      </c>
      <c r="O440" s="4">
        <f ca="1">IF(N440=1,O$3*L439/Prices!B439,-O$3*M439)</f>
        <v>-2.2067120707971503E-7</v>
      </c>
      <c r="P440" s="22"/>
      <c r="Q440" s="13">
        <f ca="1">Q439-T440*Prices!B440</f>
        <v>0.90325095606435002</v>
      </c>
      <c r="R440" s="4">
        <f t="shared" ca="1" si="131"/>
        <v>3.5524456618557002E-6</v>
      </c>
      <c r="S440" s="13">
        <f ca="1">IF(Prices!B439&gt;OFFSET(Prices!B439,-S$3,0),1,-1)</f>
        <v>-1</v>
      </c>
      <c r="T440" s="4">
        <f ca="1">IF(S440=1,T$3*Q439/Prices!B439,-T$3*R439)</f>
        <v>-3.5134077974397036E-7</v>
      </c>
    </row>
    <row r="441" spans="1:20" x14ac:dyDescent="0.2">
      <c r="A441" s="7">
        <v>44451</v>
      </c>
      <c r="B441" s="13">
        <f ca="1">Prices!B440*(1+J441/(50*(ABS(O441)+ABS(T441)+0.0001)))</f>
        <v>0</v>
      </c>
      <c r="C441" s="62">
        <f t="shared" ca="1" si="126"/>
        <v>0</v>
      </c>
      <c r="D441" s="13" t="e">
        <f ca="1">D440+C441*(Prices!B441-Prices!B440)/Prices!B440</f>
        <v>#DIV/0!</v>
      </c>
      <c r="E441" s="13" t="e">
        <f t="shared" ca="1" si="127"/>
        <v>#DIV/0!</v>
      </c>
      <c r="F441" s="13" t="e">
        <f t="shared" ca="1" si="128"/>
        <v>#DIV/0!</v>
      </c>
      <c r="G441" s="21">
        <f ca="1">IF((Prices!B441-Prices!B440)*C441&gt;0,1,0)</f>
        <v>0</v>
      </c>
      <c r="H441" s="13" t="e">
        <f>ABS(Prices!B441-Prices!B440)/Prices!B440</f>
        <v>#DIV/0!</v>
      </c>
      <c r="I441" s="21"/>
      <c r="J441" s="4">
        <f t="shared" ca="1" si="129"/>
        <v>-5.1832419593875653E-7</v>
      </c>
      <c r="K441" s="13"/>
      <c r="L441" s="13">
        <f ca="1">L440-O441*Prices!B441</f>
        <v>0.75951846501508558</v>
      </c>
      <c r="M441" s="4">
        <f t="shared" ca="1" si="130"/>
        <v>1.7874367773456914E-6</v>
      </c>
      <c r="N441" s="13">
        <f ca="1">IF(Prices!B440&gt;OFFSET(Prices!B440,-$N$3,0),1,-1)</f>
        <v>-1</v>
      </c>
      <c r="O441" s="4">
        <f ca="1">IF(N441=1,O$3*L440/Prices!B440,-O$3*M440)</f>
        <v>-1.9860408637174351E-7</v>
      </c>
      <c r="P441" s="22"/>
      <c r="Q441" s="13">
        <f ca="1">Q440-T441*Prices!B441</f>
        <v>0.90325095606435002</v>
      </c>
      <c r="R441" s="4">
        <f t="shared" ca="1" si="131"/>
        <v>3.2327255522886874E-6</v>
      </c>
      <c r="S441" s="13">
        <f ca="1">IF(Prices!B440&gt;OFFSET(Prices!B440,-S$3,0),1,-1)</f>
        <v>-1</v>
      </c>
      <c r="T441" s="4">
        <f ca="1">IF(S441=1,T$3*Q440/Prices!B440,-T$3*R440)</f>
        <v>-3.1972010956701299E-7</v>
      </c>
    </row>
    <row r="442" spans="1:20" x14ac:dyDescent="0.2">
      <c r="A442" s="7">
        <v>44458</v>
      </c>
      <c r="B442" s="13">
        <f ca="1">Prices!B441*(1+J442/(50*(ABS(O442)+ABS(T442)+0.0001)))</f>
        <v>0</v>
      </c>
      <c r="C442" s="62">
        <f t="shared" ref="C442" ca="1" si="132">IF(J442&gt;0,1,IF(J442&lt;0,0,0))</f>
        <v>0</v>
      </c>
      <c r="D442" s="13" t="e">
        <f ca="1">D441+C442*(Prices!B442-Prices!B441)/Prices!B441</f>
        <v>#DIV/0!</v>
      </c>
      <c r="E442" s="13" t="e">
        <f t="shared" ref="E442" ca="1" si="133">F442-D442</f>
        <v>#DIV/0!</v>
      </c>
      <c r="F442" s="13" t="e">
        <f t="shared" ref="F442" ca="1" si="134">MAX(F441,D442)</f>
        <v>#DIV/0!</v>
      </c>
      <c r="G442" s="21">
        <f ca="1">IF((Prices!B442-Prices!B441)*C442&gt;0,1,0)</f>
        <v>0</v>
      </c>
      <c r="H442" s="13" t="e">
        <f>ABS(Prices!B442-Prices!B441)/Prices!B441</f>
        <v>#DIV/0!</v>
      </c>
      <c r="I442" s="21"/>
      <c r="J442" s="4">
        <f t="shared" ref="J442" ca="1" si="135">O442+T442</f>
        <v>-4.6968897744055101E-7</v>
      </c>
      <c r="K442" s="13"/>
      <c r="L442" s="13">
        <f ca="1">L441-O442*Prices!B442</f>
        <v>0.75951846501508558</v>
      </c>
      <c r="M442" s="4">
        <f t="shared" ref="M442" ca="1" si="136">M441+O442</f>
        <v>1.6086930996111222E-6</v>
      </c>
      <c r="N442" s="13">
        <f ca="1">IF(Prices!B441&gt;OFFSET(Prices!B441,-$N$3,0),1,-1)</f>
        <v>-1</v>
      </c>
      <c r="O442" s="4">
        <f ca="1">IF(N442=1,O$3*L441/Prices!B441,-O$3*M441)</f>
        <v>-1.7874367773456915E-7</v>
      </c>
      <c r="P442" s="22"/>
      <c r="Q442" s="13">
        <f ca="1">Q441-T442*Prices!B442</f>
        <v>0.90325095606435002</v>
      </c>
      <c r="R442" s="4">
        <f t="shared" ref="R442" ca="1" si="137">R441+T442</f>
        <v>2.9417802525827056E-6</v>
      </c>
      <c r="S442" s="13">
        <f ca="1">IF(Prices!B441&gt;OFFSET(Prices!B441,-S$3,0),1,-1)</f>
        <v>-1</v>
      </c>
      <c r="T442" s="4">
        <f ca="1">IF(S442=1,T$3*Q441/Prices!B441,-T$3*R441)</f>
        <v>-2.9094529970598183E-7</v>
      </c>
    </row>
    <row r="443" spans="1:20" x14ac:dyDescent="0.2">
      <c r="A443" s="7">
        <v>44465</v>
      </c>
      <c r="B443" s="13">
        <f ca="1">Prices!B442*(1+J443/(50*(ABS(O443)+ABS(T443)+0.0001)))</f>
        <v>0</v>
      </c>
      <c r="C443" s="62">
        <f t="shared" ref="C443" ca="1" si="138">IF(J443&gt;0,1,IF(J443&lt;0,0,0))</f>
        <v>0</v>
      </c>
      <c r="D443" s="13" t="e">
        <f ca="1">D442+C443*(Prices!B443-Prices!B442)/Prices!B442</f>
        <v>#DIV/0!</v>
      </c>
      <c r="E443" s="13" t="e">
        <f t="shared" ref="E443" ca="1" si="139">F443-D443</f>
        <v>#DIV/0!</v>
      </c>
      <c r="F443" s="13" t="e">
        <f t="shared" ref="F443" ca="1" si="140">MAX(F442,D443)</f>
        <v>#DIV/0!</v>
      </c>
      <c r="G443" s="21">
        <f ca="1">IF((Prices!B443-Prices!B442)*C443&gt;0,1,0)</f>
        <v>0</v>
      </c>
      <c r="H443" s="13" t="e">
        <f>ABS(Prices!B443-Prices!B442)/Prices!B442</f>
        <v>#DIV/0!</v>
      </c>
      <c r="I443" s="21"/>
      <c r="J443" s="4">
        <f t="shared" ref="J443" ca="1" si="141">O443+T443</f>
        <v>-4.2562953269355574E-7</v>
      </c>
      <c r="K443" s="13"/>
      <c r="L443" s="13">
        <f ca="1">L442-O443*Prices!B443</f>
        <v>0.75951846501508558</v>
      </c>
      <c r="M443" s="4">
        <f t="shared" ref="M443" ca="1" si="142">M442+O443</f>
        <v>1.44782378965001E-6</v>
      </c>
      <c r="N443" s="13">
        <f ca="1">IF(Prices!B442&gt;OFFSET(Prices!B442,-$N$3,0),1,-1)</f>
        <v>-1</v>
      </c>
      <c r="O443" s="4">
        <f ca="1">IF(N443=1,O$3*L442/Prices!B442,-O$3*M442)</f>
        <v>-1.6086930996111224E-7</v>
      </c>
      <c r="P443" s="22"/>
      <c r="Q443" s="13">
        <f ca="1">Q442-T443*Prices!B443</f>
        <v>0.90325095606435002</v>
      </c>
      <c r="R443" s="4">
        <f t="shared" ref="R443" ca="1" si="143">R442+T443</f>
        <v>2.6770200298502623E-6</v>
      </c>
      <c r="S443" s="13">
        <f ca="1">IF(Prices!B442&gt;OFFSET(Prices!B442,-S$3,0),1,-1)</f>
        <v>-1</v>
      </c>
      <c r="T443" s="4">
        <f ca="1">IF(S443=1,T$3*Q442/Prices!B442,-T$3*R442)</f>
        <v>-2.6476022273244348E-7</v>
      </c>
    </row>
    <row r="444" spans="1:20" x14ac:dyDescent="0.2">
      <c r="A444" s="7">
        <v>44472</v>
      </c>
      <c r="B444" s="13">
        <f ca="1">Prices!B443*(1+J444/(50*(ABS(O444)+ABS(T444)+0.0001)))</f>
        <v>0</v>
      </c>
      <c r="C444" s="62">
        <f t="shared" ref="C444" ca="1" si="144">IF(J444&gt;0,1,IF(J444&lt;0,0,0))</f>
        <v>0</v>
      </c>
      <c r="D444" s="13" t="e">
        <f ca="1">D443+C444*(Prices!B444-Prices!B443)/Prices!B443</f>
        <v>#DIV/0!</v>
      </c>
      <c r="E444" s="13" t="e">
        <f t="shared" ref="E444" ca="1" si="145">F444-D444</f>
        <v>#DIV/0!</v>
      </c>
      <c r="F444" s="13" t="e">
        <f t="shared" ref="F444" ca="1" si="146">MAX(F443,D444)</f>
        <v>#DIV/0!</v>
      </c>
      <c r="G444" s="21">
        <f ca="1">IF((Prices!B444-Prices!B443)*C444&gt;0,1,0)</f>
        <v>0</v>
      </c>
      <c r="H444" s="13" t="e">
        <f>ABS(Prices!B444-Prices!B443)/Prices!B443</f>
        <v>#DIV/0!</v>
      </c>
      <c r="I444" s="21"/>
      <c r="J444" s="4">
        <f t="shared" ref="J444" ca="1" si="147">O444+T444</f>
        <v>-3.8571418165152462E-7</v>
      </c>
      <c r="K444" s="13"/>
      <c r="L444" s="13">
        <f ca="1">L443-O444*Prices!B444</f>
        <v>0.75951846501508558</v>
      </c>
      <c r="M444" s="4">
        <f t="shared" ref="M444" ca="1" si="148">M443+O444</f>
        <v>1.303041410685009E-6</v>
      </c>
      <c r="N444" s="13">
        <f ca="1">IF(Prices!B443&gt;OFFSET(Prices!B443,-$N$3,0),1,-1)</f>
        <v>-1</v>
      </c>
      <c r="O444" s="4">
        <f ca="1">IF(N444=1,O$3*L443/Prices!B443,-O$3*M443)</f>
        <v>-1.4478237896500103E-7</v>
      </c>
      <c r="P444" s="22"/>
      <c r="Q444" s="13">
        <f ca="1">Q443-T444*Prices!B444</f>
        <v>0.90325095606435002</v>
      </c>
      <c r="R444" s="4">
        <f t="shared" ref="R444" ca="1" si="149">R443+T444</f>
        <v>2.4360882271637387E-6</v>
      </c>
      <c r="S444" s="13">
        <f ca="1">IF(Prices!B443&gt;OFFSET(Prices!B443,-S$3,0),1,-1)</f>
        <v>-1</v>
      </c>
      <c r="T444" s="4">
        <f ca="1">IF(S444=1,T$3*Q443/Prices!B443,-T$3*R443)</f>
        <v>-2.4093180268652359E-7</v>
      </c>
    </row>
    <row r="445" spans="1:20" x14ac:dyDescent="0.2">
      <c r="A445" s="7">
        <v>44479</v>
      </c>
      <c r="B445" s="13">
        <f ca="1">Prices!B444*(1+J445/(50*(ABS(O445)+ABS(T445)+0.0001)))</f>
        <v>0</v>
      </c>
      <c r="C445" s="62">
        <f t="shared" ref="C445" ca="1" si="150">IF(J445&gt;0,1,IF(J445&lt;0,0,0))</f>
        <v>0</v>
      </c>
      <c r="D445" s="13" t="e">
        <f ca="1">D444+C445*(Prices!B445-Prices!B444)/Prices!B444</f>
        <v>#DIV/0!</v>
      </c>
      <c r="E445" s="13" t="e">
        <f t="shared" ref="E445" ca="1" si="151">F445-D445</f>
        <v>#DIV/0!</v>
      </c>
      <c r="F445" s="13" t="e">
        <f t="shared" ref="F445" ca="1" si="152">MAX(F444,D445)</f>
        <v>#DIV/0!</v>
      </c>
      <c r="G445" s="21">
        <f ca="1">IF((Prices!B445-Prices!B444)*C445&gt;0,1,0)</f>
        <v>0</v>
      </c>
      <c r="H445" s="13" t="e">
        <f>ABS(Prices!B445-Prices!B444)/Prices!B444</f>
        <v>#DIV/0!</v>
      </c>
      <c r="I445" s="21"/>
      <c r="J445" s="4">
        <f t="shared" ref="J445" ca="1" si="153">O445+T445</f>
        <v>-3.4955208151323741E-7</v>
      </c>
      <c r="K445" s="13"/>
      <c r="L445" s="13">
        <f ca="1">L444-O445*Prices!B445</f>
        <v>0.75951846501508558</v>
      </c>
      <c r="M445" s="4">
        <f t="shared" ref="M445" ca="1" si="154">M444+O445</f>
        <v>1.1727372696165081E-6</v>
      </c>
      <c r="N445" s="13">
        <f ca="1">IF(Prices!B444&gt;OFFSET(Prices!B444,-$N$3,0),1,-1)</f>
        <v>-1</v>
      </c>
      <c r="O445" s="4">
        <f ca="1">IF(N445=1,O$3*L444/Prices!B444,-O$3*M444)</f>
        <v>-1.3030414106850091E-7</v>
      </c>
      <c r="P445" s="22"/>
      <c r="Q445" s="13">
        <f ca="1">Q444-T445*Prices!B445</f>
        <v>0.90325095606435002</v>
      </c>
      <c r="R445" s="4">
        <f t="shared" ref="R445" ca="1" si="155">R444+T445</f>
        <v>2.2168402867190021E-6</v>
      </c>
      <c r="S445" s="13">
        <f ca="1">IF(Prices!B444&gt;OFFSET(Prices!B444,-S$3,0),1,-1)</f>
        <v>-1</v>
      </c>
      <c r="T445" s="4">
        <f ca="1">IF(S445=1,T$3*Q444/Prices!B444,-T$3*R444)</f>
        <v>-2.1924794044473648E-7</v>
      </c>
    </row>
    <row r="446" spans="1:20" x14ac:dyDescent="0.2">
      <c r="A446" s="7">
        <v>44486</v>
      </c>
      <c r="B446" s="13">
        <f ca="1">Prices!B445*(1+J446/(50*(ABS(O446)+ABS(T446)+0.0001)))</f>
        <v>0</v>
      </c>
      <c r="C446" s="62">
        <f t="shared" ref="C446" ca="1" si="156">IF(J446&gt;0,1,IF(J446&lt;0,0,0))</f>
        <v>0</v>
      </c>
      <c r="D446" s="13" t="e">
        <f ca="1">D445+C446*(Prices!B446-Prices!B445)/Prices!B445</f>
        <v>#DIV/0!</v>
      </c>
      <c r="E446" s="13" t="e">
        <f t="shared" ref="E446" ca="1" si="157">F446-D446</f>
        <v>#DIV/0!</v>
      </c>
      <c r="F446" s="13" t="e">
        <f t="shared" ref="F446" ca="1" si="158">MAX(F445,D446)</f>
        <v>#DIV/0!</v>
      </c>
      <c r="G446" s="21">
        <f ca="1">IF((Prices!B446-Prices!B445)*C446&gt;0,1,0)</f>
        <v>0</v>
      </c>
      <c r="H446" s="13" t="e">
        <f>ABS(Prices!B446-Prices!B445)/Prices!B445</f>
        <v>#DIV/0!</v>
      </c>
      <c r="I446" s="21"/>
      <c r="J446" s="4">
        <f t="shared" ref="J446" ca="1" si="159">O446+T446</f>
        <v>-3.16789352766361E-7</v>
      </c>
      <c r="K446" s="13"/>
      <c r="L446" s="13">
        <f ca="1">L445-O446*Prices!B446</f>
        <v>0.75951846501508558</v>
      </c>
      <c r="M446" s="4">
        <f t="shared" ref="M446" ca="1" si="160">M445+O446</f>
        <v>1.0554635426548573E-6</v>
      </c>
      <c r="N446" s="13">
        <f ca="1">IF(Prices!B445&gt;OFFSET(Prices!B445,-$N$3,0),1,-1)</f>
        <v>-1</v>
      </c>
      <c r="O446" s="4">
        <f ca="1">IF(N446=1,O$3*L445/Prices!B445,-O$3*M445)</f>
        <v>-1.1727372696165081E-7</v>
      </c>
      <c r="P446" s="22"/>
      <c r="Q446" s="13">
        <f ca="1">Q445-T446*Prices!B446</f>
        <v>0.90325095606435002</v>
      </c>
      <c r="R446" s="4">
        <f t="shared" ref="R446" ca="1" si="161">R445+T446</f>
        <v>2.0173246609142918E-6</v>
      </c>
      <c r="S446" s="13">
        <f ca="1">IF(Prices!B445&gt;OFFSET(Prices!B445,-S$3,0),1,-1)</f>
        <v>-1</v>
      </c>
      <c r="T446" s="4">
        <f ca="1">IF(S446=1,T$3*Q445/Prices!B445,-T$3*R445)</f>
        <v>-1.9951562580471019E-7</v>
      </c>
    </row>
    <row r="447" spans="1:20" x14ac:dyDescent="0.2">
      <c r="A447" s="7">
        <v>44493</v>
      </c>
      <c r="B447" s="13">
        <f ca="1">Prices!B446*(1+J447/(50*(ABS(O447)+ABS(T447)+0.0001)))</f>
        <v>0</v>
      </c>
      <c r="C447" s="62">
        <f t="shared" ref="C447" ca="1" si="162">IF(J447&gt;0,1,IF(J447&lt;0,0,0))</f>
        <v>0</v>
      </c>
      <c r="D447" s="13" t="e">
        <f ca="1">D446+C447*(Prices!B447-Prices!B446)/Prices!B446</f>
        <v>#DIV/0!</v>
      </c>
      <c r="E447" s="13" t="e">
        <f t="shared" ref="E447" ca="1" si="163">F447-D447</f>
        <v>#DIV/0!</v>
      </c>
      <c r="F447" s="13" t="e">
        <f t="shared" ref="F447" ca="1" si="164">MAX(F446,D447)</f>
        <v>#DIV/0!</v>
      </c>
      <c r="G447" s="21">
        <f ca="1">IF((Prices!B447-Prices!B446)*C447&gt;0,1,0)</f>
        <v>0</v>
      </c>
      <c r="H447" s="13" t="e">
        <f>ABS(Prices!B447-Prices!B446)/Prices!B446</f>
        <v>#DIV/0!</v>
      </c>
      <c r="I447" s="21"/>
      <c r="J447" s="4">
        <f t="shared" ref="J447" ca="1" si="165">O447+T447</f>
        <v>-2.8710557374777198E-7</v>
      </c>
      <c r="K447" s="13"/>
      <c r="L447" s="13">
        <f ca="1">L446-O447*Prices!B447</f>
        <v>0.75951846501508558</v>
      </c>
      <c r="M447" s="4">
        <f t="shared" ref="M447" ca="1" si="166">M446+O447</f>
        <v>9.4991718838937151E-7</v>
      </c>
      <c r="N447" s="13">
        <f ca="1">IF(Prices!B446&gt;OFFSET(Prices!B446,-$N$3,0),1,-1)</f>
        <v>-1</v>
      </c>
      <c r="O447" s="4">
        <f ca="1">IF(N447=1,O$3*L446/Prices!B446,-O$3*M446)</f>
        <v>-1.0554635426548573E-7</v>
      </c>
      <c r="P447" s="22"/>
      <c r="Q447" s="13">
        <f ca="1">Q446-T447*Prices!B447</f>
        <v>0.90325095606435002</v>
      </c>
      <c r="R447" s="4">
        <f t="shared" ref="R447" ca="1" si="167">R446+T447</f>
        <v>1.8357654414320056E-6</v>
      </c>
      <c r="S447" s="13">
        <f ca="1">IF(Prices!B446&gt;OFFSET(Prices!B446,-S$3,0),1,-1)</f>
        <v>-1</v>
      </c>
      <c r="T447" s="4">
        <f ca="1">IF(S447=1,T$3*Q446/Prices!B446,-T$3*R446)</f>
        <v>-1.8155921948228626E-7</v>
      </c>
    </row>
    <row r="448" spans="1:20" x14ac:dyDescent="0.2">
      <c r="A448" s="7">
        <v>44500</v>
      </c>
      <c r="B448" s="13">
        <f ca="1">Prices!B447*(1+J448/(50*(ABS(O448)+ABS(T448)+0.0001)))</f>
        <v>0</v>
      </c>
      <c r="C448" s="62">
        <f t="shared" ref="C448" ca="1" si="168">IF(J448&gt;0,1,IF(J448&lt;0,0,0))</f>
        <v>0</v>
      </c>
      <c r="D448" s="13" t="e">
        <f ca="1">D447+C448*(Prices!B448-Prices!B447)/Prices!B447</f>
        <v>#DIV/0!</v>
      </c>
      <c r="E448" s="13" t="e">
        <f t="shared" ref="E448" ca="1" si="169">F448-D448</f>
        <v>#DIV/0!</v>
      </c>
      <c r="F448" s="13" t="e">
        <f t="shared" ref="F448" ca="1" si="170">MAX(F447,D448)</f>
        <v>#DIV/0!</v>
      </c>
      <c r="G448" s="21">
        <f ca="1">IF((Prices!B448-Prices!B447)*C448&gt;0,1,0)</f>
        <v>0</v>
      </c>
      <c r="H448" s="13" t="e">
        <f>ABS(Prices!B448-Prices!B447)/Prices!B447</f>
        <v>#DIV/0!</v>
      </c>
      <c r="I448" s="21"/>
      <c r="J448" s="4">
        <f t="shared" ref="J448" ca="1" si="171">O448+T448</f>
        <v>-2.6021060856781765E-7</v>
      </c>
      <c r="K448" s="13"/>
      <c r="L448" s="13">
        <f ca="1">L447-O448*Prices!B448</f>
        <v>0.75951846501508558</v>
      </c>
      <c r="M448" s="4">
        <f t="shared" ref="M448" ca="1" si="172">M447+O448</f>
        <v>8.5492546955043432E-7</v>
      </c>
      <c r="N448" s="13">
        <f ca="1">IF(Prices!B447&gt;OFFSET(Prices!B447,-$N$3,0),1,-1)</f>
        <v>-1</v>
      </c>
      <c r="O448" s="4">
        <f ca="1">IF(N448=1,O$3*L447/Prices!B447,-O$3*M447)</f>
        <v>-9.4991718838937156E-8</v>
      </c>
      <c r="P448" s="22"/>
      <c r="Q448" s="13">
        <f ca="1">Q447-T448*Prices!B448</f>
        <v>0.90325095606435002</v>
      </c>
      <c r="R448" s="4">
        <f t="shared" ref="R448" ca="1" si="173">R447+T448</f>
        <v>1.6705465517031251E-6</v>
      </c>
      <c r="S448" s="13">
        <f ca="1">IF(Prices!B447&gt;OFFSET(Prices!B447,-S$3,0),1,-1)</f>
        <v>-1</v>
      </c>
      <c r="T448" s="4">
        <f ca="1">IF(S448=1,T$3*Q447/Prices!B447,-T$3*R447)</f>
        <v>-1.6521888972888049E-7</v>
      </c>
    </row>
    <row r="449" spans="1:20" x14ac:dyDescent="0.2">
      <c r="A449" s="7">
        <v>44507</v>
      </c>
      <c r="B449" s="13">
        <f ca="1">Prices!B448*(1+J449/(50*(ABS(O449)+ABS(T449)+0.0001)))</f>
        <v>0</v>
      </c>
      <c r="C449" s="62">
        <f t="shared" ref="C449" ca="1" si="174">IF(J449&gt;0,1,IF(J449&lt;0,0,0))</f>
        <v>0</v>
      </c>
      <c r="D449" s="13" t="e">
        <f ca="1">D448+C449*(Prices!B449-Prices!B448)/Prices!B448</f>
        <v>#DIV/0!</v>
      </c>
      <c r="E449" s="13" t="e">
        <f t="shared" ref="E449" ca="1" si="175">F449-D449</f>
        <v>#DIV/0!</v>
      </c>
      <c r="F449" s="13" t="e">
        <f t="shared" ref="F449" ca="1" si="176">MAX(F448,D449)</f>
        <v>#DIV/0!</v>
      </c>
      <c r="G449" s="21">
        <f ca="1">IF((Prices!B449-Prices!B448)*C449&gt;0,1,0)</f>
        <v>0</v>
      </c>
      <c r="H449" s="13" t="e">
        <f>ABS(Prices!B449-Prices!B448)/Prices!B448</f>
        <v>#DIV/0!</v>
      </c>
      <c r="I449" s="21"/>
      <c r="J449" s="4">
        <f t="shared" ref="J449" ca="1" si="177">O449+T449</f>
        <v>-2.3584173660832471E-7</v>
      </c>
      <c r="K449" s="13"/>
      <c r="L449" s="13">
        <f ca="1">L448-O449*Prices!B449</f>
        <v>0.75951846501508558</v>
      </c>
      <c r="M449" s="4">
        <f t="shared" ref="M449" ca="1" si="178">M448+O449</f>
        <v>7.6943292259539088E-7</v>
      </c>
      <c r="N449" s="13">
        <f ca="1">IF(Prices!B448&gt;OFFSET(Prices!B448,-$N$3,0),1,-1)</f>
        <v>-1</v>
      </c>
      <c r="O449" s="4">
        <f ca="1">IF(N449=1,O$3*L448/Prices!B448,-O$3*M448)</f>
        <v>-8.5492546955043443E-8</v>
      </c>
      <c r="P449" s="22"/>
      <c r="Q449" s="13">
        <f ca="1">Q448-T449*Prices!B449</f>
        <v>0.90325095606435002</v>
      </c>
      <c r="R449" s="4">
        <f t="shared" ref="R449" ca="1" si="179">R448+T449</f>
        <v>1.5201973620498439E-6</v>
      </c>
      <c r="S449" s="13">
        <f ca="1">IF(Prices!B448&gt;OFFSET(Prices!B448,-S$3,0),1,-1)</f>
        <v>-1</v>
      </c>
      <c r="T449" s="4">
        <f ca="1">IF(S449=1,T$3*Q448/Prices!B448,-T$3*R448)</f>
        <v>-1.5034918965328127E-7</v>
      </c>
    </row>
    <row r="450" spans="1:20" x14ac:dyDescent="0.2">
      <c r="A450" s="7">
        <v>44514</v>
      </c>
      <c r="B450" s="13">
        <f ca="1">Prices!B449*(1+J450/(50*(ABS(O450)+ABS(T450)+0.0001)))</f>
        <v>0</v>
      </c>
      <c r="C450" s="62">
        <f t="shared" ref="C450:C451" ca="1" si="180">IF(J450&gt;0,1,IF(J450&lt;0,0,0))</f>
        <v>0</v>
      </c>
      <c r="D450" s="13" t="e">
        <f ca="1">D449+C450*(Prices!B450-Prices!B449)/Prices!B449</f>
        <v>#DIV/0!</v>
      </c>
      <c r="E450" s="13" t="e">
        <f t="shared" ref="E450" ca="1" si="181">F450-D450</f>
        <v>#DIV/0!</v>
      </c>
      <c r="F450" s="13" t="e">
        <f t="shared" ref="F450" ca="1" si="182">MAX(F449,D450)</f>
        <v>#DIV/0!</v>
      </c>
      <c r="G450" s="21">
        <f ca="1">IF((Prices!B450-Prices!B449)*C450&gt;0,1,0)</f>
        <v>0</v>
      </c>
      <c r="H450" s="13" t="e">
        <f>ABS(Prices!B450-Prices!B449)/Prices!B449</f>
        <v>#DIV/0!</v>
      </c>
      <c r="I450" s="21"/>
      <c r="J450" s="4">
        <f t="shared" ref="J450:J451" ca="1" si="183">O450+T450</f>
        <v>-2.1376105484402502E-7</v>
      </c>
      <c r="K450" s="13"/>
      <c r="L450" s="13">
        <f ca="1">L449-O450*Prices!B450</f>
        <v>0.75951846501508558</v>
      </c>
      <c r="M450" s="4">
        <f t="shared" ref="M450:M451" ca="1" si="184">M449+O450</f>
        <v>6.9248963033585175E-7</v>
      </c>
      <c r="N450" s="13">
        <f ca="1">IF(Prices!B449&gt;OFFSET(Prices!B449,-$N$3,0),1,-1)</f>
        <v>-1</v>
      </c>
      <c r="O450" s="4">
        <f ca="1">IF(N450=1,O$3*L449/Prices!B449,-O$3*M449)</f>
        <v>-7.6943292259539091E-8</v>
      </c>
      <c r="P450" s="22"/>
      <c r="Q450" s="13">
        <f ca="1">Q449-T450*Prices!B450</f>
        <v>0.90325095606435002</v>
      </c>
      <c r="R450" s="4">
        <f t="shared" ref="R450:R451" ca="1" si="185">R449+T450</f>
        <v>1.383379599465358E-6</v>
      </c>
      <c r="S450" s="13">
        <f ca="1">IF(Prices!B449&gt;OFFSET(Prices!B449,-S$3,0),1,-1)</f>
        <v>-1</v>
      </c>
      <c r="T450" s="4">
        <f ca="1">IF(S450=1,T$3*Q449/Prices!B449,-T$3*R449)</f>
        <v>-1.3681776258448594E-7</v>
      </c>
    </row>
    <row r="451" spans="1:20" x14ac:dyDescent="0.2">
      <c r="B451" s="13">
        <f ca="1">Prices!B450*(1+J451/(50*(ABS(O451)+ABS(T451)+0.0001)))</f>
        <v>0</v>
      </c>
      <c r="C451" s="62">
        <f t="shared" ca="1" si="180"/>
        <v>0</v>
      </c>
      <c r="D451" s="13"/>
      <c r="E451" s="13"/>
      <c r="F451" s="13"/>
      <c r="G451" s="21"/>
      <c r="H451" s="13"/>
      <c r="I451" s="21"/>
      <c r="J451" s="4">
        <f t="shared" ca="1" si="183"/>
        <v>-1.9375312698546736E-7</v>
      </c>
      <c r="K451" s="13"/>
      <c r="L451" s="13">
        <f ca="1">L450-O451*Prices!B451</f>
        <v>0.75951846501508558</v>
      </c>
      <c r="M451" s="4">
        <f t="shared" ca="1" si="184"/>
        <v>6.2324066730226662E-7</v>
      </c>
      <c r="N451" s="13">
        <f ca="1">IF(Prices!B450&gt;OFFSET(Prices!B450,-$N$3,0),1,-1)</f>
        <v>-1</v>
      </c>
      <c r="O451" s="4">
        <f ca="1">IF(N451=1,O$3*L450/Prices!B450,-O$3*M450)</f>
        <v>-6.9248963033585172E-8</v>
      </c>
      <c r="P451" s="22"/>
      <c r="Q451" s="13">
        <f ca="1">Q450-T451*Prices!B451</f>
        <v>0.90325095606435002</v>
      </c>
      <c r="R451" s="4">
        <f t="shared" ca="1" si="185"/>
        <v>1.2588754355134757E-6</v>
      </c>
      <c r="S451" s="13">
        <f ca="1">IF(Prices!B450&gt;OFFSET(Prices!B450,-S$3,0),1,-1)</f>
        <v>-1</v>
      </c>
      <c r="T451" s="4">
        <f ca="1">IF(S451=1,T$3*Q450/Prices!B450,-T$3*R450)</f>
        <v>-1.245041639518822E-7</v>
      </c>
    </row>
  </sheetData>
  <mergeCells count="3">
    <mergeCell ref="L1:O1"/>
    <mergeCell ref="Q1:T1"/>
    <mergeCell ref="W1:Z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3D003-DC61-45EA-AFAE-CC7C7E685091}">
  <dimension ref="A1:AE451"/>
  <sheetViews>
    <sheetView zoomScaleNormal="100" workbookViewId="0">
      <pane ySplit="1320" topLeftCell="A423" activePane="bottomLeft"/>
      <selection activeCell="G2" sqref="G2"/>
      <selection pane="bottomLeft" activeCell="D451" sqref="D451:H451"/>
    </sheetView>
  </sheetViews>
  <sheetFormatPr defaultColWidth="8.85546875" defaultRowHeight="12.75" x14ac:dyDescent="0.2"/>
  <cols>
    <col min="1" max="1" width="9.7109375" style="7" customWidth="1"/>
    <col min="2" max="3" width="9.140625" style="15" customWidth="1"/>
    <col min="4" max="5" width="10.5703125" style="15" customWidth="1"/>
    <col min="6" max="6" width="1.7109375" style="15" customWidth="1"/>
    <col min="7" max="12" width="9.140625" style="15" customWidth="1"/>
    <col min="13" max="16" width="8.85546875" style="19"/>
    <col min="17" max="17" width="9.140625" style="15" customWidth="1"/>
    <col min="18" max="22" width="8.85546875" style="19"/>
    <col min="23" max="23" width="9.140625" style="15" customWidth="1"/>
    <col min="24" max="26" width="8.85546875" style="19"/>
    <col min="27" max="27" width="17" style="19" bestFit="1" customWidth="1"/>
    <col min="28" max="28" width="10.5703125" style="19" bestFit="1" customWidth="1"/>
    <col min="29" max="29" width="9.28515625" style="19" customWidth="1"/>
    <col min="30" max="30" width="10.5703125" style="19" bestFit="1" customWidth="1"/>
    <col min="31" max="256" width="8.85546875" style="19"/>
    <col min="257" max="257" width="9.7109375" style="19" customWidth="1"/>
    <col min="258" max="259" width="9.140625" style="19" customWidth="1"/>
    <col min="260" max="261" width="10.5703125" style="19" customWidth="1"/>
    <col min="262" max="262" width="1.7109375" style="19" customWidth="1"/>
    <col min="263" max="268" width="9.140625" style="19" customWidth="1"/>
    <col min="269" max="272" width="8.85546875" style="19"/>
    <col min="273" max="273" width="9.140625" style="19" customWidth="1"/>
    <col min="274" max="512" width="8.85546875" style="19"/>
    <col min="513" max="513" width="9.7109375" style="19" customWidth="1"/>
    <col min="514" max="515" width="9.140625" style="19" customWidth="1"/>
    <col min="516" max="517" width="10.5703125" style="19" customWidth="1"/>
    <col min="518" max="518" width="1.7109375" style="19" customWidth="1"/>
    <col min="519" max="524" width="9.140625" style="19" customWidth="1"/>
    <col min="525" max="528" width="8.85546875" style="19"/>
    <col min="529" max="529" width="9.140625" style="19" customWidth="1"/>
    <col min="530" max="768" width="8.85546875" style="19"/>
    <col min="769" max="769" width="9.7109375" style="19" customWidth="1"/>
    <col min="770" max="771" width="9.140625" style="19" customWidth="1"/>
    <col min="772" max="773" width="10.5703125" style="19" customWidth="1"/>
    <col min="774" max="774" width="1.7109375" style="19" customWidth="1"/>
    <col min="775" max="780" width="9.140625" style="19" customWidth="1"/>
    <col min="781" max="784" width="8.85546875" style="19"/>
    <col min="785" max="785" width="9.140625" style="19" customWidth="1"/>
    <col min="786" max="1024" width="8.85546875" style="19"/>
    <col min="1025" max="1025" width="9.7109375" style="19" customWidth="1"/>
    <col min="1026" max="1027" width="9.140625" style="19" customWidth="1"/>
    <col min="1028" max="1029" width="10.5703125" style="19" customWidth="1"/>
    <col min="1030" max="1030" width="1.7109375" style="19" customWidth="1"/>
    <col min="1031" max="1036" width="9.140625" style="19" customWidth="1"/>
    <col min="1037" max="1040" width="8.85546875" style="19"/>
    <col min="1041" max="1041" width="9.140625" style="19" customWidth="1"/>
    <col min="1042" max="1280" width="8.85546875" style="19"/>
    <col min="1281" max="1281" width="9.7109375" style="19" customWidth="1"/>
    <col min="1282" max="1283" width="9.140625" style="19" customWidth="1"/>
    <col min="1284" max="1285" width="10.5703125" style="19" customWidth="1"/>
    <col min="1286" max="1286" width="1.7109375" style="19" customWidth="1"/>
    <col min="1287" max="1292" width="9.140625" style="19" customWidth="1"/>
    <col min="1293" max="1296" width="8.85546875" style="19"/>
    <col min="1297" max="1297" width="9.140625" style="19" customWidth="1"/>
    <col min="1298" max="1536" width="8.85546875" style="19"/>
    <col min="1537" max="1537" width="9.7109375" style="19" customWidth="1"/>
    <col min="1538" max="1539" width="9.140625" style="19" customWidth="1"/>
    <col min="1540" max="1541" width="10.5703125" style="19" customWidth="1"/>
    <col min="1542" max="1542" width="1.7109375" style="19" customWidth="1"/>
    <col min="1543" max="1548" width="9.140625" style="19" customWidth="1"/>
    <col min="1549" max="1552" width="8.85546875" style="19"/>
    <col min="1553" max="1553" width="9.140625" style="19" customWidth="1"/>
    <col min="1554" max="1792" width="8.85546875" style="19"/>
    <col min="1793" max="1793" width="9.7109375" style="19" customWidth="1"/>
    <col min="1794" max="1795" width="9.140625" style="19" customWidth="1"/>
    <col min="1796" max="1797" width="10.5703125" style="19" customWidth="1"/>
    <col min="1798" max="1798" width="1.7109375" style="19" customWidth="1"/>
    <col min="1799" max="1804" width="9.140625" style="19" customWidth="1"/>
    <col min="1805" max="1808" width="8.85546875" style="19"/>
    <col min="1809" max="1809" width="9.140625" style="19" customWidth="1"/>
    <col min="1810" max="2048" width="8.85546875" style="19"/>
    <col min="2049" max="2049" width="9.7109375" style="19" customWidth="1"/>
    <col min="2050" max="2051" width="9.140625" style="19" customWidth="1"/>
    <col min="2052" max="2053" width="10.5703125" style="19" customWidth="1"/>
    <col min="2054" max="2054" width="1.7109375" style="19" customWidth="1"/>
    <col min="2055" max="2060" width="9.140625" style="19" customWidth="1"/>
    <col min="2061" max="2064" width="8.85546875" style="19"/>
    <col min="2065" max="2065" width="9.140625" style="19" customWidth="1"/>
    <col min="2066" max="2304" width="8.85546875" style="19"/>
    <col min="2305" max="2305" width="9.7109375" style="19" customWidth="1"/>
    <col min="2306" max="2307" width="9.140625" style="19" customWidth="1"/>
    <col min="2308" max="2309" width="10.5703125" style="19" customWidth="1"/>
    <col min="2310" max="2310" width="1.7109375" style="19" customWidth="1"/>
    <col min="2311" max="2316" width="9.140625" style="19" customWidth="1"/>
    <col min="2317" max="2320" width="8.85546875" style="19"/>
    <col min="2321" max="2321" width="9.140625" style="19" customWidth="1"/>
    <col min="2322" max="2560" width="8.85546875" style="19"/>
    <col min="2561" max="2561" width="9.7109375" style="19" customWidth="1"/>
    <col min="2562" max="2563" width="9.140625" style="19" customWidth="1"/>
    <col min="2564" max="2565" width="10.5703125" style="19" customWidth="1"/>
    <col min="2566" max="2566" width="1.7109375" style="19" customWidth="1"/>
    <col min="2567" max="2572" width="9.140625" style="19" customWidth="1"/>
    <col min="2573" max="2576" width="8.85546875" style="19"/>
    <col min="2577" max="2577" width="9.140625" style="19" customWidth="1"/>
    <col min="2578" max="2816" width="8.85546875" style="19"/>
    <col min="2817" max="2817" width="9.7109375" style="19" customWidth="1"/>
    <col min="2818" max="2819" width="9.140625" style="19" customWidth="1"/>
    <col min="2820" max="2821" width="10.5703125" style="19" customWidth="1"/>
    <col min="2822" max="2822" width="1.7109375" style="19" customWidth="1"/>
    <col min="2823" max="2828" width="9.140625" style="19" customWidth="1"/>
    <col min="2829" max="2832" width="8.85546875" style="19"/>
    <col min="2833" max="2833" width="9.140625" style="19" customWidth="1"/>
    <col min="2834" max="3072" width="8.85546875" style="19"/>
    <col min="3073" max="3073" width="9.7109375" style="19" customWidth="1"/>
    <col min="3074" max="3075" width="9.140625" style="19" customWidth="1"/>
    <col min="3076" max="3077" width="10.5703125" style="19" customWidth="1"/>
    <col min="3078" max="3078" width="1.7109375" style="19" customWidth="1"/>
    <col min="3079" max="3084" width="9.140625" style="19" customWidth="1"/>
    <col min="3085" max="3088" width="8.85546875" style="19"/>
    <col min="3089" max="3089" width="9.140625" style="19" customWidth="1"/>
    <col min="3090" max="3328" width="8.85546875" style="19"/>
    <col min="3329" max="3329" width="9.7109375" style="19" customWidth="1"/>
    <col min="3330" max="3331" width="9.140625" style="19" customWidth="1"/>
    <col min="3332" max="3333" width="10.5703125" style="19" customWidth="1"/>
    <col min="3334" max="3334" width="1.7109375" style="19" customWidth="1"/>
    <col min="3335" max="3340" width="9.140625" style="19" customWidth="1"/>
    <col min="3341" max="3344" width="8.85546875" style="19"/>
    <col min="3345" max="3345" width="9.140625" style="19" customWidth="1"/>
    <col min="3346" max="3584" width="8.85546875" style="19"/>
    <col min="3585" max="3585" width="9.7109375" style="19" customWidth="1"/>
    <col min="3586" max="3587" width="9.140625" style="19" customWidth="1"/>
    <col min="3588" max="3589" width="10.5703125" style="19" customWidth="1"/>
    <col min="3590" max="3590" width="1.7109375" style="19" customWidth="1"/>
    <col min="3591" max="3596" width="9.140625" style="19" customWidth="1"/>
    <col min="3597" max="3600" width="8.85546875" style="19"/>
    <col min="3601" max="3601" width="9.140625" style="19" customWidth="1"/>
    <col min="3602" max="3840" width="8.85546875" style="19"/>
    <col min="3841" max="3841" width="9.7109375" style="19" customWidth="1"/>
    <col min="3842" max="3843" width="9.140625" style="19" customWidth="1"/>
    <col min="3844" max="3845" width="10.5703125" style="19" customWidth="1"/>
    <col min="3846" max="3846" width="1.7109375" style="19" customWidth="1"/>
    <col min="3847" max="3852" width="9.140625" style="19" customWidth="1"/>
    <col min="3853" max="3856" width="8.85546875" style="19"/>
    <col min="3857" max="3857" width="9.140625" style="19" customWidth="1"/>
    <col min="3858" max="4096" width="8.85546875" style="19"/>
    <col min="4097" max="4097" width="9.7109375" style="19" customWidth="1"/>
    <col min="4098" max="4099" width="9.140625" style="19" customWidth="1"/>
    <col min="4100" max="4101" width="10.5703125" style="19" customWidth="1"/>
    <col min="4102" max="4102" width="1.7109375" style="19" customWidth="1"/>
    <col min="4103" max="4108" width="9.140625" style="19" customWidth="1"/>
    <col min="4109" max="4112" width="8.85546875" style="19"/>
    <col min="4113" max="4113" width="9.140625" style="19" customWidth="1"/>
    <col min="4114" max="4352" width="8.85546875" style="19"/>
    <col min="4353" max="4353" width="9.7109375" style="19" customWidth="1"/>
    <col min="4354" max="4355" width="9.140625" style="19" customWidth="1"/>
    <col min="4356" max="4357" width="10.5703125" style="19" customWidth="1"/>
    <col min="4358" max="4358" width="1.7109375" style="19" customWidth="1"/>
    <col min="4359" max="4364" width="9.140625" style="19" customWidth="1"/>
    <col min="4365" max="4368" width="8.85546875" style="19"/>
    <col min="4369" max="4369" width="9.140625" style="19" customWidth="1"/>
    <col min="4370" max="4608" width="8.85546875" style="19"/>
    <col min="4609" max="4609" width="9.7109375" style="19" customWidth="1"/>
    <col min="4610" max="4611" width="9.140625" style="19" customWidth="1"/>
    <col min="4612" max="4613" width="10.5703125" style="19" customWidth="1"/>
    <col min="4614" max="4614" width="1.7109375" style="19" customWidth="1"/>
    <col min="4615" max="4620" width="9.140625" style="19" customWidth="1"/>
    <col min="4621" max="4624" width="8.85546875" style="19"/>
    <col min="4625" max="4625" width="9.140625" style="19" customWidth="1"/>
    <col min="4626" max="4864" width="8.85546875" style="19"/>
    <col min="4865" max="4865" width="9.7109375" style="19" customWidth="1"/>
    <col min="4866" max="4867" width="9.140625" style="19" customWidth="1"/>
    <col min="4868" max="4869" width="10.5703125" style="19" customWidth="1"/>
    <col min="4870" max="4870" width="1.7109375" style="19" customWidth="1"/>
    <col min="4871" max="4876" width="9.140625" style="19" customWidth="1"/>
    <col min="4877" max="4880" width="8.85546875" style="19"/>
    <col min="4881" max="4881" width="9.140625" style="19" customWidth="1"/>
    <col min="4882" max="5120" width="8.85546875" style="19"/>
    <col min="5121" max="5121" width="9.7109375" style="19" customWidth="1"/>
    <col min="5122" max="5123" width="9.140625" style="19" customWidth="1"/>
    <col min="5124" max="5125" width="10.5703125" style="19" customWidth="1"/>
    <col min="5126" max="5126" width="1.7109375" style="19" customWidth="1"/>
    <col min="5127" max="5132" width="9.140625" style="19" customWidth="1"/>
    <col min="5133" max="5136" width="8.85546875" style="19"/>
    <col min="5137" max="5137" width="9.140625" style="19" customWidth="1"/>
    <col min="5138" max="5376" width="8.85546875" style="19"/>
    <col min="5377" max="5377" width="9.7109375" style="19" customWidth="1"/>
    <col min="5378" max="5379" width="9.140625" style="19" customWidth="1"/>
    <col min="5380" max="5381" width="10.5703125" style="19" customWidth="1"/>
    <col min="5382" max="5382" width="1.7109375" style="19" customWidth="1"/>
    <col min="5383" max="5388" width="9.140625" style="19" customWidth="1"/>
    <col min="5389" max="5392" width="8.85546875" style="19"/>
    <col min="5393" max="5393" width="9.140625" style="19" customWidth="1"/>
    <col min="5394" max="5632" width="8.85546875" style="19"/>
    <col min="5633" max="5633" width="9.7109375" style="19" customWidth="1"/>
    <col min="5634" max="5635" width="9.140625" style="19" customWidth="1"/>
    <col min="5636" max="5637" width="10.5703125" style="19" customWidth="1"/>
    <col min="5638" max="5638" width="1.7109375" style="19" customWidth="1"/>
    <col min="5639" max="5644" width="9.140625" style="19" customWidth="1"/>
    <col min="5645" max="5648" width="8.85546875" style="19"/>
    <col min="5649" max="5649" width="9.140625" style="19" customWidth="1"/>
    <col min="5650" max="5888" width="8.85546875" style="19"/>
    <col min="5889" max="5889" width="9.7109375" style="19" customWidth="1"/>
    <col min="5890" max="5891" width="9.140625" style="19" customWidth="1"/>
    <col min="5892" max="5893" width="10.5703125" style="19" customWidth="1"/>
    <col min="5894" max="5894" width="1.7109375" style="19" customWidth="1"/>
    <col min="5895" max="5900" width="9.140625" style="19" customWidth="1"/>
    <col min="5901" max="5904" width="8.85546875" style="19"/>
    <col min="5905" max="5905" width="9.140625" style="19" customWidth="1"/>
    <col min="5906" max="6144" width="8.85546875" style="19"/>
    <col min="6145" max="6145" width="9.7109375" style="19" customWidth="1"/>
    <col min="6146" max="6147" width="9.140625" style="19" customWidth="1"/>
    <col min="6148" max="6149" width="10.5703125" style="19" customWidth="1"/>
    <col min="6150" max="6150" width="1.7109375" style="19" customWidth="1"/>
    <col min="6151" max="6156" width="9.140625" style="19" customWidth="1"/>
    <col min="6157" max="6160" width="8.85546875" style="19"/>
    <col min="6161" max="6161" width="9.140625" style="19" customWidth="1"/>
    <col min="6162" max="6400" width="8.85546875" style="19"/>
    <col min="6401" max="6401" width="9.7109375" style="19" customWidth="1"/>
    <col min="6402" max="6403" width="9.140625" style="19" customWidth="1"/>
    <col min="6404" max="6405" width="10.5703125" style="19" customWidth="1"/>
    <col min="6406" max="6406" width="1.7109375" style="19" customWidth="1"/>
    <col min="6407" max="6412" width="9.140625" style="19" customWidth="1"/>
    <col min="6413" max="6416" width="8.85546875" style="19"/>
    <col min="6417" max="6417" width="9.140625" style="19" customWidth="1"/>
    <col min="6418" max="6656" width="8.85546875" style="19"/>
    <col min="6657" max="6657" width="9.7109375" style="19" customWidth="1"/>
    <col min="6658" max="6659" width="9.140625" style="19" customWidth="1"/>
    <col min="6660" max="6661" width="10.5703125" style="19" customWidth="1"/>
    <col min="6662" max="6662" width="1.7109375" style="19" customWidth="1"/>
    <col min="6663" max="6668" width="9.140625" style="19" customWidth="1"/>
    <col min="6669" max="6672" width="8.85546875" style="19"/>
    <col min="6673" max="6673" width="9.140625" style="19" customWidth="1"/>
    <col min="6674" max="6912" width="8.85546875" style="19"/>
    <col min="6913" max="6913" width="9.7109375" style="19" customWidth="1"/>
    <col min="6914" max="6915" width="9.140625" style="19" customWidth="1"/>
    <col min="6916" max="6917" width="10.5703125" style="19" customWidth="1"/>
    <col min="6918" max="6918" width="1.7109375" style="19" customWidth="1"/>
    <col min="6919" max="6924" width="9.140625" style="19" customWidth="1"/>
    <col min="6925" max="6928" width="8.85546875" style="19"/>
    <col min="6929" max="6929" width="9.140625" style="19" customWidth="1"/>
    <col min="6930" max="7168" width="8.85546875" style="19"/>
    <col min="7169" max="7169" width="9.7109375" style="19" customWidth="1"/>
    <col min="7170" max="7171" width="9.140625" style="19" customWidth="1"/>
    <col min="7172" max="7173" width="10.5703125" style="19" customWidth="1"/>
    <col min="7174" max="7174" width="1.7109375" style="19" customWidth="1"/>
    <col min="7175" max="7180" width="9.140625" style="19" customWidth="1"/>
    <col min="7181" max="7184" width="8.85546875" style="19"/>
    <col min="7185" max="7185" width="9.140625" style="19" customWidth="1"/>
    <col min="7186" max="7424" width="8.85546875" style="19"/>
    <col min="7425" max="7425" width="9.7109375" style="19" customWidth="1"/>
    <col min="7426" max="7427" width="9.140625" style="19" customWidth="1"/>
    <col min="7428" max="7429" width="10.5703125" style="19" customWidth="1"/>
    <col min="7430" max="7430" width="1.7109375" style="19" customWidth="1"/>
    <col min="7431" max="7436" width="9.140625" style="19" customWidth="1"/>
    <col min="7437" max="7440" width="8.85546875" style="19"/>
    <col min="7441" max="7441" width="9.140625" style="19" customWidth="1"/>
    <col min="7442" max="7680" width="8.85546875" style="19"/>
    <col min="7681" max="7681" width="9.7109375" style="19" customWidth="1"/>
    <col min="7682" max="7683" width="9.140625" style="19" customWidth="1"/>
    <col min="7684" max="7685" width="10.5703125" style="19" customWidth="1"/>
    <col min="7686" max="7686" width="1.7109375" style="19" customWidth="1"/>
    <col min="7687" max="7692" width="9.140625" style="19" customWidth="1"/>
    <col min="7693" max="7696" width="8.85546875" style="19"/>
    <col min="7697" max="7697" width="9.140625" style="19" customWidth="1"/>
    <col min="7698" max="7936" width="8.85546875" style="19"/>
    <col min="7937" max="7937" width="9.7109375" style="19" customWidth="1"/>
    <col min="7938" max="7939" width="9.140625" style="19" customWidth="1"/>
    <col min="7940" max="7941" width="10.5703125" style="19" customWidth="1"/>
    <col min="7942" max="7942" width="1.7109375" style="19" customWidth="1"/>
    <col min="7943" max="7948" width="9.140625" style="19" customWidth="1"/>
    <col min="7949" max="7952" width="8.85546875" style="19"/>
    <col min="7953" max="7953" width="9.140625" style="19" customWidth="1"/>
    <col min="7954" max="8192" width="8.85546875" style="19"/>
    <col min="8193" max="8193" width="9.7109375" style="19" customWidth="1"/>
    <col min="8194" max="8195" width="9.140625" style="19" customWidth="1"/>
    <col min="8196" max="8197" width="10.5703125" style="19" customWidth="1"/>
    <col min="8198" max="8198" width="1.7109375" style="19" customWidth="1"/>
    <col min="8199" max="8204" width="9.140625" style="19" customWidth="1"/>
    <col min="8205" max="8208" width="8.85546875" style="19"/>
    <col min="8209" max="8209" width="9.140625" style="19" customWidth="1"/>
    <col min="8210" max="8448" width="8.85546875" style="19"/>
    <col min="8449" max="8449" width="9.7109375" style="19" customWidth="1"/>
    <col min="8450" max="8451" width="9.140625" style="19" customWidth="1"/>
    <col min="8452" max="8453" width="10.5703125" style="19" customWidth="1"/>
    <col min="8454" max="8454" width="1.7109375" style="19" customWidth="1"/>
    <col min="8455" max="8460" width="9.140625" style="19" customWidth="1"/>
    <col min="8461" max="8464" width="8.85546875" style="19"/>
    <col min="8465" max="8465" width="9.140625" style="19" customWidth="1"/>
    <col min="8466" max="8704" width="8.85546875" style="19"/>
    <col min="8705" max="8705" width="9.7109375" style="19" customWidth="1"/>
    <col min="8706" max="8707" width="9.140625" style="19" customWidth="1"/>
    <col min="8708" max="8709" width="10.5703125" style="19" customWidth="1"/>
    <col min="8710" max="8710" width="1.7109375" style="19" customWidth="1"/>
    <col min="8711" max="8716" width="9.140625" style="19" customWidth="1"/>
    <col min="8717" max="8720" width="8.85546875" style="19"/>
    <col min="8721" max="8721" width="9.140625" style="19" customWidth="1"/>
    <col min="8722" max="8960" width="8.85546875" style="19"/>
    <col min="8961" max="8961" width="9.7109375" style="19" customWidth="1"/>
    <col min="8962" max="8963" width="9.140625" style="19" customWidth="1"/>
    <col min="8964" max="8965" width="10.5703125" style="19" customWidth="1"/>
    <col min="8966" max="8966" width="1.7109375" style="19" customWidth="1"/>
    <col min="8967" max="8972" width="9.140625" style="19" customWidth="1"/>
    <col min="8973" max="8976" width="8.85546875" style="19"/>
    <col min="8977" max="8977" width="9.140625" style="19" customWidth="1"/>
    <col min="8978" max="9216" width="8.85546875" style="19"/>
    <col min="9217" max="9217" width="9.7109375" style="19" customWidth="1"/>
    <col min="9218" max="9219" width="9.140625" style="19" customWidth="1"/>
    <col min="9220" max="9221" width="10.5703125" style="19" customWidth="1"/>
    <col min="9222" max="9222" width="1.7109375" style="19" customWidth="1"/>
    <col min="9223" max="9228" width="9.140625" style="19" customWidth="1"/>
    <col min="9229" max="9232" width="8.85546875" style="19"/>
    <col min="9233" max="9233" width="9.140625" style="19" customWidth="1"/>
    <col min="9234" max="9472" width="8.85546875" style="19"/>
    <col min="9473" max="9473" width="9.7109375" style="19" customWidth="1"/>
    <col min="9474" max="9475" width="9.140625" style="19" customWidth="1"/>
    <col min="9476" max="9477" width="10.5703125" style="19" customWidth="1"/>
    <col min="9478" max="9478" width="1.7109375" style="19" customWidth="1"/>
    <col min="9479" max="9484" width="9.140625" style="19" customWidth="1"/>
    <col min="9485" max="9488" width="8.85546875" style="19"/>
    <col min="9489" max="9489" width="9.140625" style="19" customWidth="1"/>
    <col min="9490" max="9728" width="8.85546875" style="19"/>
    <col min="9729" max="9729" width="9.7109375" style="19" customWidth="1"/>
    <col min="9730" max="9731" width="9.140625" style="19" customWidth="1"/>
    <col min="9732" max="9733" width="10.5703125" style="19" customWidth="1"/>
    <col min="9734" max="9734" width="1.7109375" style="19" customWidth="1"/>
    <col min="9735" max="9740" width="9.140625" style="19" customWidth="1"/>
    <col min="9741" max="9744" width="8.85546875" style="19"/>
    <col min="9745" max="9745" width="9.140625" style="19" customWidth="1"/>
    <col min="9746" max="9984" width="8.85546875" style="19"/>
    <col min="9985" max="9985" width="9.7109375" style="19" customWidth="1"/>
    <col min="9986" max="9987" width="9.140625" style="19" customWidth="1"/>
    <col min="9988" max="9989" width="10.5703125" style="19" customWidth="1"/>
    <col min="9990" max="9990" width="1.7109375" style="19" customWidth="1"/>
    <col min="9991" max="9996" width="9.140625" style="19" customWidth="1"/>
    <col min="9997" max="10000" width="8.85546875" style="19"/>
    <col min="10001" max="10001" width="9.140625" style="19" customWidth="1"/>
    <col min="10002" max="10240" width="8.85546875" style="19"/>
    <col min="10241" max="10241" width="9.7109375" style="19" customWidth="1"/>
    <col min="10242" max="10243" width="9.140625" style="19" customWidth="1"/>
    <col min="10244" max="10245" width="10.5703125" style="19" customWidth="1"/>
    <col min="10246" max="10246" width="1.7109375" style="19" customWidth="1"/>
    <col min="10247" max="10252" width="9.140625" style="19" customWidth="1"/>
    <col min="10253" max="10256" width="8.85546875" style="19"/>
    <col min="10257" max="10257" width="9.140625" style="19" customWidth="1"/>
    <col min="10258" max="10496" width="8.85546875" style="19"/>
    <col min="10497" max="10497" width="9.7109375" style="19" customWidth="1"/>
    <col min="10498" max="10499" width="9.140625" style="19" customWidth="1"/>
    <col min="10500" max="10501" width="10.5703125" style="19" customWidth="1"/>
    <col min="10502" max="10502" width="1.7109375" style="19" customWidth="1"/>
    <col min="10503" max="10508" width="9.140625" style="19" customWidth="1"/>
    <col min="10509" max="10512" width="8.85546875" style="19"/>
    <col min="10513" max="10513" width="9.140625" style="19" customWidth="1"/>
    <col min="10514" max="10752" width="8.85546875" style="19"/>
    <col min="10753" max="10753" width="9.7109375" style="19" customWidth="1"/>
    <col min="10754" max="10755" width="9.140625" style="19" customWidth="1"/>
    <col min="10756" max="10757" width="10.5703125" style="19" customWidth="1"/>
    <col min="10758" max="10758" width="1.7109375" style="19" customWidth="1"/>
    <col min="10759" max="10764" width="9.140625" style="19" customWidth="1"/>
    <col min="10765" max="10768" width="8.85546875" style="19"/>
    <col min="10769" max="10769" width="9.140625" style="19" customWidth="1"/>
    <col min="10770" max="11008" width="8.85546875" style="19"/>
    <col min="11009" max="11009" width="9.7109375" style="19" customWidth="1"/>
    <col min="11010" max="11011" width="9.140625" style="19" customWidth="1"/>
    <col min="11012" max="11013" width="10.5703125" style="19" customWidth="1"/>
    <col min="11014" max="11014" width="1.7109375" style="19" customWidth="1"/>
    <col min="11015" max="11020" width="9.140625" style="19" customWidth="1"/>
    <col min="11021" max="11024" width="8.85546875" style="19"/>
    <col min="11025" max="11025" width="9.140625" style="19" customWidth="1"/>
    <col min="11026" max="11264" width="8.85546875" style="19"/>
    <col min="11265" max="11265" width="9.7109375" style="19" customWidth="1"/>
    <col min="11266" max="11267" width="9.140625" style="19" customWidth="1"/>
    <col min="11268" max="11269" width="10.5703125" style="19" customWidth="1"/>
    <col min="11270" max="11270" width="1.7109375" style="19" customWidth="1"/>
    <col min="11271" max="11276" width="9.140625" style="19" customWidth="1"/>
    <col min="11277" max="11280" width="8.85546875" style="19"/>
    <col min="11281" max="11281" width="9.140625" style="19" customWidth="1"/>
    <col min="11282" max="11520" width="8.85546875" style="19"/>
    <col min="11521" max="11521" width="9.7109375" style="19" customWidth="1"/>
    <col min="11522" max="11523" width="9.140625" style="19" customWidth="1"/>
    <col min="11524" max="11525" width="10.5703125" style="19" customWidth="1"/>
    <col min="11526" max="11526" width="1.7109375" style="19" customWidth="1"/>
    <col min="11527" max="11532" width="9.140625" style="19" customWidth="1"/>
    <col min="11533" max="11536" width="8.85546875" style="19"/>
    <col min="11537" max="11537" width="9.140625" style="19" customWidth="1"/>
    <col min="11538" max="11776" width="8.85546875" style="19"/>
    <col min="11777" max="11777" width="9.7109375" style="19" customWidth="1"/>
    <col min="11778" max="11779" width="9.140625" style="19" customWidth="1"/>
    <col min="11780" max="11781" width="10.5703125" style="19" customWidth="1"/>
    <col min="11782" max="11782" width="1.7109375" style="19" customWidth="1"/>
    <col min="11783" max="11788" width="9.140625" style="19" customWidth="1"/>
    <col min="11789" max="11792" width="8.85546875" style="19"/>
    <col min="11793" max="11793" width="9.140625" style="19" customWidth="1"/>
    <col min="11794" max="12032" width="8.85546875" style="19"/>
    <col min="12033" max="12033" width="9.7109375" style="19" customWidth="1"/>
    <col min="12034" max="12035" width="9.140625" style="19" customWidth="1"/>
    <col min="12036" max="12037" width="10.5703125" style="19" customWidth="1"/>
    <col min="12038" max="12038" width="1.7109375" style="19" customWidth="1"/>
    <col min="12039" max="12044" width="9.140625" style="19" customWidth="1"/>
    <col min="12045" max="12048" width="8.85546875" style="19"/>
    <col min="12049" max="12049" width="9.140625" style="19" customWidth="1"/>
    <col min="12050" max="12288" width="8.85546875" style="19"/>
    <col min="12289" max="12289" width="9.7109375" style="19" customWidth="1"/>
    <col min="12290" max="12291" width="9.140625" style="19" customWidth="1"/>
    <col min="12292" max="12293" width="10.5703125" style="19" customWidth="1"/>
    <col min="12294" max="12294" width="1.7109375" style="19" customWidth="1"/>
    <col min="12295" max="12300" width="9.140625" style="19" customWidth="1"/>
    <col min="12301" max="12304" width="8.85546875" style="19"/>
    <col min="12305" max="12305" width="9.140625" style="19" customWidth="1"/>
    <col min="12306" max="12544" width="8.85546875" style="19"/>
    <col min="12545" max="12545" width="9.7109375" style="19" customWidth="1"/>
    <col min="12546" max="12547" width="9.140625" style="19" customWidth="1"/>
    <col min="12548" max="12549" width="10.5703125" style="19" customWidth="1"/>
    <col min="12550" max="12550" width="1.7109375" style="19" customWidth="1"/>
    <col min="12551" max="12556" width="9.140625" style="19" customWidth="1"/>
    <col min="12557" max="12560" width="8.85546875" style="19"/>
    <col min="12561" max="12561" width="9.140625" style="19" customWidth="1"/>
    <col min="12562" max="12800" width="8.85546875" style="19"/>
    <col min="12801" max="12801" width="9.7109375" style="19" customWidth="1"/>
    <col min="12802" max="12803" width="9.140625" style="19" customWidth="1"/>
    <col min="12804" max="12805" width="10.5703125" style="19" customWidth="1"/>
    <col min="12806" max="12806" width="1.7109375" style="19" customWidth="1"/>
    <col min="12807" max="12812" width="9.140625" style="19" customWidth="1"/>
    <col min="12813" max="12816" width="8.85546875" style="19"/>
    <col min="12817" max="12817" width="9.140625" style="19" customWidth="1"/>
    <col min="12818" max="13056" width="8.85546875" style="19"/>
    <col min="13057" max="13057" width="9.7109375" style="19" customWidth="1"/>
    <col min="13058" max="13059" width="9.140625" style="19" customWidth="1"/>
    <col min="13060" max="13061" width="10.5703125" style="19" customWidth="1"/>
    <col min="13062" max="13062" width="1.7109375" style="19" customWidth="1"/>
    <col min="13063" max="13068" width="9.140625" style="19" customWidth="1"/>
    <col min="13069" max="13072" width="8.85546875" style="19"/>
    <col min="13073" max="13073" width="9.140625" style="19" customWidth="1"/>
    <col min="13074" max="13312" width="8.85546875" style="19"/>
    <col min="13313" max="13313" width="9.7109375" style="19" customWidth="1"/>
    <col min="13314" max="13315" width="9.140625" style="19" customWidth="1"/>
    <col min="13316" max="13317" width="10.5703125" style="19" customWidth="1"/>
    <col min="13318" max="13318" width="1.7109375" style="19" customWidth="1"/>
    <col min="13319" max="13324" width="9.140625" style="19" customWidth="1"/>
    <col min="13325" max="13328" width="8.85546875" style="19"/>
    <col min="13329" max="13329" width="9.140625" style="19" customWidth="1"/>
    <col min="13330" max="13568" width="8.85546875" style="19"/>
    <col min="13569" max="13569" width="9.7109375" style="19" customWidth="1"/>
    <col min="13570" max="13571" width="9.140625" style="19" customWidth="1"/>
    <col min="13572" max="13573" width="10.5703125" style="19" customWidth="1"/>
    <col min="13574" max="13574" width="1.7109375" style="19" customWidth="1"/>
    <col min="13575" max="13580" width="9.140625" style="19" customWidth="1"/>
    <col min="13581" max="13584" width="8.85546875" style="19"/>
    <col min="13585" max="13585" width="9.140625" style="19" customWidth="1"/>
    <col min="13586" max="13824" width="8.85546875" style="19"/>
    <col min="13825" max="13825" width="9.7109375" style="19" customWidth="1"/>
    <col min="13826" max="13827" width="9.140625" style="19" customWidth="1"/>
    <col min="13828" max="13829" width="10.5703125" style="19" customWidth="1"/>
    <col min="13830" max="13830" width="1.7109375" style="19" customWidth="1"/>
    <col min="13831" max="13836" width="9.140625" style="19" customWidth="1"/>
    <col min="13837" max="13840" width="8.85546875" style="19"/>
    <col min="13841" max="13841" width="9.140625" style="19" customWidth="1"/>
    <col min="13842" max="14080" width="8.85546875" style="19"/>
    <col min="14081" max="14081" width="9.7109375" style="19" customWidth="1"/>
    <col min="14082" max="14083" width="9.140625" style="19" customWidth="1"/>
    <col min="14084" max="14085" width="10.5703125" style="19" customWidth="1"/>
    <col min="14086" max="14086" width="1.7109375" style="19" customWidth="1"/>
    <col min="14087" max="14092" width="9.140625" style="19" customWidth="1"/>
    <col min="14093" max="14096" width="8.85546875" style="19"/>
    <col min="14097" max="14097" width="9.140625" style="19" customWidth="1"/>
    <col min="14098" max="14336" width="8.85546875" style="19"/>
    <col min="14337" max="14337" width="9.7109375" style="19" customWidth="1"/>
    <col min="14338" max="14339" width="9.140625" style="19" customWidth="1"/>
    <col min="14340" max="14341" width="10.5703125" style="19" customWidth="1"/>
    <col min="14342" max="14342" width="1.7109375" style="19" customWidth="1"/>
    <col min="14343" max="14348" width="9.140625" style="19" customWidth="1"/>
    <col min="14349" max="14352" width="8.85546875" style="19"/>
    <col min="14353" max="14353" width="9.140625" style="19" customWidth="1"/>
    <col min="14354" max="14592" width="8.85546875" style="19"/>
    <col min="14593" max="14593" width="9.7109375" style="19" customWidth="1"/>
    <col min="14594" max="14595" width="9.140625" style="19" customWidth="1"/>
    <col min="14596" max="14597" width="10.5703125" style="19" customWidth="1"/>
    <col min="14598" max="14598" width="1.7109375" style="19" customWidth="1"/>
    <col min="14599" max="14604" width="9.140625" style="19" customWidth="1"/>
    <col min="14605" max="14608" width="8.85546875" style="19"/>
    <col min="14609" max="14609" width="9.140625" style="19" customWidth="1"/>
    <col min="14610" max="14848" width="8.85546875" style="19"/>
    <col min="14849" max="14849" width="9.7109375" style="19" customWidth="1"/>
    <col min="14850" max="14851" width="9.140625" style="19" customWidth="1"/>
    <col min="14852" max="14853" width="10.5703125" style="19" customWidth="1"/>
    <col min="14854" max="14854" width="1.7109375" style="19" customWidth="1"/>
    <col min="14855" max="14860" width="9.140625" style="19" customWidth="1"/>
    <col min="14861" max="14864" width="8.85546875" style="19"/>
    <col min="14865" max="14865" width="9.140625" style="19" customWidth="1"/>
    <col min="14866" max="15104" width="8.85546875" style="19"/>
    <col min="15105" max="15105" width="9.7109375" style="19" customWidth="1"/>
    <col min="15106" max="15107" width="9.140625" style="19" customWidth="1"/>
    <col min="15108" max="15109" width="10.5703125" style="19" customWidth="1"/>
    <col min="15110" max="15110" width="1.7109375" style="19" customWidth="1"/>
    <col min="15111" max="15116" width="9.140625" style="19" customWidth="1"/>
    <col min="15117" max="15120" width="8.85546875" style="19"/>
    <col min="15121" max="15121" width="9.140625" style="19" customWidth="1"/>
    <col min="15122" max="15360" width="8.85546875" style="19"/>
    <col min="15361" max="15361" width="9.7109375" style="19" customWidth="1"/>
    <col min="15362" max="15363" width="9.140625" style="19" customWidth="1"/>
    <col min="15364" max="15365" width="10.5703125" style="19" customWidth="1"/>
    <col min="15366" max="15366" width="1.7109375" style="19" customWidth="1"/>
    <col min="15367" max="15372" width="9.140625" style="19" customWidth="1"/>
    <col min="15373" max="15376" width="8.85546875" style="19"/>
    <col min="15377" max="15377" width="9.140625" style="19" customWidth="1"/>
    <col min="15378" max="15616" width="8.85546875" style="19"/>
    <col min="15617" max="15617" width="9.7109375" style="19" customWidth="1"/>
    <col min="15618" max="15619" width="9.140625" style="19" customWidth="1"/>
    <col min="15620" max="15621" width="10.5703125" style="19" customWidth="1"/>
    <col min="15622" max="15622" width="1.7109375" style="19" customWidth="1"/>
    <col min="15623" max="15628" width="9.140625" style="19" customWidth="1"/>
    <col min="15629" max="15632" width="8.85546875" style="19"/>
    <col min="15633" max="15633" width="9.140625" style="19" customWidth="1"/>
    <col min="15634" max="15872" width="8.85546875" style="19"/>
    <col min="15873" max="15873" width="9.7109375" style="19" customWidth="1"/>
    <col min="15874" max="15875" width="9.140625" style="19" customWidth="1"/>
    <col min="15876" max="15877" width="10.5703125" style="19" customWidth="1"/>
    <col min="15878" max="15878" width="1.7109375" style="19" customWidth="1"/>
    <col min="15879" max="15884" width="9.140625" style="19" customWidth="1"/>
    <col min="15885" max="15888" width="8.85546875" style="19"/>
    <col min="15889" max="15889" width="9.140625" style="19" customWidth="1"/>
    <col min="15890" max="16128" width="8.85546875" style="19"/>
    <col min="16129" max="16129" width="9.7109375" style="19" customWidth="1"/>
    <col min="16130" max="16131" width="9.140625" style="19" customWidth="1"/>
    <col min="16132" max="16133" width="10.5703125" style="19" customWidth="1"/>
    <col min="16134" max="16134" width="1.7109375" style="19" customWidth="1"/>
    <col min="16135" max="16140" width="9.140625" style="19" customWidth="1"/>
    <col min="16141" max="16144" width="8.85546875" style="19"/>
    <col min="16145" max="16145" width="9.140625" style="19" customWidth="1"/>
    <col min="16146" max="16384" width="8.85546875" style="19"/>
  </cols>
  <sheetData>
    <row r="1" spans="1:31" x14ac:dyDescent="0.2">
      <c r="A1" s="5" t="s">
        <v>0</v>
      </c>
      <c r="B1" s="65" t="s">
        <v>1</v>
      </c>
      <c r="C1" s="65" t="s">
        <v>2</v>
      </c>
      <c r="D1" s="65" t="s">
        <v>3</v>
      </c>
      <c r="E1" s="65" t="s">
        <v>4</v>
      </c>
      <c r="F1" s="65"/>
      <c r="G1" s="65" t="s">
        <v>5</v>
      </c>
      <c r="H1" s="65" t="s">
        <v>6</v>
      </c>
      <c r="I1" s="65"/>
      <c r="J1" s="65" t="s">
        <v>7</v>
      </c>
      <c r="K1" s="65"/>
      <c r="L1" s="75" t="s">
        <v>8</v>
      </c>
      <c r="M1" s="75"/>
      <c r="N1" s="75"/>
      <c r="O1" s="75"/>
      <c r="Q1" s="75" t="s">
        <v>8</v>
      </c>
      <c r="R1" s="75"/>
      <c r="S1" s="75"/>
      <c r="T1" s="75"/>
      <c r="W1" s="75"/>
      <c r="X1" s="75"/>
      <c r="Y1" s="75"/>
      <c r="Z1" s="75"/>
    </row>
    <row r="2" spans="1:31" x14ac:dyDescent="0.2">
      <c r="B2" s="6"/>
      <c r="C2" s="6"/>
      <c r="D2" s="6" t="s">
        <v>65</v>
      </c>
      <c r="E2" s="20" t="e">
        <f ca="1">MAX(E4:E2000)</f>
        <v>#DIV/0!</v>
      </c>
      <c r="F2" s="6"/>
      <c r="G2" s="20">
        <f ca="1">SUM(G4:G2000)/COUNT(G4:G2000)</f>
        <v>0.17972350230414746</v>
      </c>
      <c r="H2" s="20" t="e">
        <f ca="1">D409/SUM(H4:H2000)</f>
        <v>#DIV/0!</v>
      </c>
      <c r="I2" s="6"/>
      <c r="J2" s="6"/>
      <c r="K2" s="6"/>
      <c r="L2" s="10" t="s">
        <v>9</v>
      </c>
      <c r="M2" s="10" t="s">
        <v>10</v>
      </c>
      <c r="N2" s="10" t="s">
        <v>11</v>
      </c>
      <c r="O2" s="10" t="s">
        <v>12</v>
      </c>
      <c r="Q2" s="10" t="s">
        <v>9</v>
      </c>
      <c r="R2" s="10" t="s">
        <v>10</v>
      </c>
      <c r="S2" s="10" t="s">
        <v>11</v>
      </c>
      <c r="T2" s="10" t="s">
        <v>12</v>
      </c>
      <c r="W2" s="10"/>
      <c r="X2" s="10"/>
      <c r="Y2" s="10"/>
      <c r="Z2" s="10"/>
    </row>
    <row r="3" spans="1:31" x14ac:dyDescent="0.2">
      <c r="B3" s="11"/>
      <c r="C3" s="11"/>
      <c r="D3" s="61" t="s">
        <v>64</v>
      </c>
      <c r="E3" s="20" t="e">
        <f ca="1">MAX(E4:E352)</f>
        <v>#DIV/0!</v>
      </c>
      <c r="F3" s="61"/>
      <c r="G3" s="20">
        <f ca="1">SUM(G4:G352)/COUNT(G4:G352)</f>
        <v>0.23214285714285715</v>
      </c>
      <c r="H3" s="20" t="e">
        <f ca="1">D352/SUM(H4:H352)</f>
        <v>#DIV/0!</v>
      </c>
      <c r="I3" s="11"/>
      <c r="J3" s="11"/>
      <c r="K3" s="11"/>
      <c r="L3" s="13"/>
      <c r="M3" s="13"/>
      <c r="N3" s="13">
        <v>6</v>
      </c>
      <c r="O3" s="13">
        <v>0.04</v>
      </c>
      <c r="P3" s="13"/>
      <c r="Q3" s="13"/>
      <c r="R3" s="13"/>
      <c r="S3" s="13">
        <v>11</v>
      </c>
      <c r="T3" s="13">
        <v>0.03</v>
      </c>
      <c r="W3" s="13"/>
      <c r="X3" s="13"/>
      <c r="Y3" s="13"/>
      <c r="Z3" s="4"/>
    </row>
    <row r="4" spans="1:31" x14ac:dyDescent="0.2">
      <c r="A4" s="7">
        <v>41392</v>
      </c>
      <c r="B4" s="13"/>
      <c r="C4" s="13"/>
      <c r="D4" s="13"/>
      <c r="E4" s="13"/>
      <c r="F4" s="13"/>
      <c r="G4" s="13"/>
      <c r="H4" s="13"/>
      <c r="I4" s="21"/>
      <c r="J4" s="13"/>
      <c r="K4" s="13"/>
      <c r="L4" s="13">
        <v>1</v>
      </c>
      <c r="M4" s="4">
        <v>0.01</v>
      </c>
      <c r="N4" s="13"/>
      <c r="O4" s="13"/>
      <c r="P4" s="13"/>
      <c r="Q4" s="13">
        <v>1</v>
      </c>
      <c r="R4" s="4">
        <v>0.01</v>
      </c>
      <c r="S4" s="13"/>
      <c r="T4" s="13"/>
      <c r="W4" s="13"/>
      <c r="X4" s="4"/>
      <c r="Y4" s="13"/>
      <c r="Z4" s="13"/>
    </row>
    <row r="5" spans="1:31" x14ac:dyDescent="0.2">
      <c r="A5" s="7">
        <v>41399</v>
      </c>
      <c r="B5" s="13"/>
      <c r="C5" s="13"/>
      <c r="D5" s="13"/>
      <c r="E5" s="13"/>
      <c r="F5" s="13"/>
      <c r="G5" s="13"/>
      <c r="H5" s="13"/>
      <c r="I5" s="21"/>
      <c r="J5" s="13"/>
      <c r="K5" s="13"/>
      <c r="L5" s="13">
        <f>L4-O5*Prices!B5</f>
        <v>1</v>
      </c>
      <c r="M5" s="4">
        <f>M4+O5</f>
        <v>0.01</v>
      </c>
      <c r="N5" s="21"/>
      <c r="O5" s="13"/>
      <c r="P5" s="13"/>
      <c r="Q5" s="13">
        <f>Q4-T5*Prices!B5</f>
        <v>1</v>
      </c>
      <c r="R5" s="4">
        <f t="shared" ref="R5:R68" si="0">R4+T5</f>
        <v>0.01</v>
      </c>
      <c r="S5" s="13"/>
      <c r="T5" s="13"/>
      <c r="W5" s="13"/>
      <c r="X5" s="4"/>
      <c r="Y5" s="21"/>
      <c r="Z5" s="13"/>
    </row>
    <row r="6" spans="1:31" x14ac:dyDescent="0.2">
      <c r="A6" s="7">
        <v>41406</v>
      </c>
      <c r="B6" s="13"/>
      <c r="C6" s="13"/>
      <c r="D6" s="13"/>
      <c r="E6" s="13"/>
      <c r="F6" s="13"/>
      <c r="G6" s="13"/>
      <c r="H6" s="13"/>
      <c r="I6" s="21"/>
      <c r="J6" s="13"/>
      <c r="K6" s="13"/>
      <c r="L6" s="13">
        <f>L5-O6*Prices!B6</f>
        <v>1</v>
      </c>
      <c r="M6" s="4">
        <f>M5+O6</f>
        <v>0.01</v>
      </c>
      <c r="N6" s="21"/>
      <c r="O6" s="13"/>
      <c r="P6" s="13"/>
      <c r="Q6" s="13">
        <f>Q5-T6*Prices!B6</f>
        <v>1</v>
      </c>
      <c r="R6" s="4">
        <f t="shared" si="0"/>
        <v>0.01</v>
      </c>
      <c r="S6" s="13"/>
      <c r="T6" s="13"/>
      <c r="W6" s="13"/>
      <c r="X6" s="4"/>
      <c r="Y6" s="21"/>
      <c r="Z6" s="13"/>
    </row>
    <row r="7" spans="1:31" x14ac:dyDescent="0.2">
      <c r="A7" s="7">
        <v>41413</v>
      </c>
      <c r="B7" s="13"/>
      <c r="C7" s="13"/>
      <c r="D7" s="13"/>
      <c r="E7" s="13"/>
      <c r="F7" s="13"/>
      <c r="G7" s="13"/>
      <c r="H7" s="13"/>
      <c r="I7" s="21"/>
      <c r="J7" s="13"/>
      <c r="K7" s="13"/>
      <c r="L7" s="13">
        <f>L6-O7*Prices!B7</f>
        <v>1</v>
      </c>
      <c r="M7" s="4">
        <f>M6+O7</f>
        <v>0.01</v>
      </c>
      <c r="N7" s="13"/>
      <c r="O7" s="13"/>
      <c r="P7" s="22"/>
      <c r="Q7" s="13">
        <f>Q6-T7*Prices!B7</f>
        <v>1</v>
      </c>
      <c r="R7" s="4">
        <f t="shared" si="0"/>
        <v>0.01</v>
      </c>
      <c r="S7" s="13"/>
      <c r="T7" s="13"/>
      <c r="U7" s="23"/>
      <c r="W7" s="13"/>
      <c r="X7" s="4"/>
      <c r="Y7" s="13"/>
      <c r="Z7" s="13"/>
    </row>
    <row r="8" spans="1:31" x14ac:dyDescent="0.2">
      <c r="A8" s="7">
        <v>41420</v>
      </c>
      <c r="B8" s="13"/>
      <c r="C8" s="13"/>
      <c r="D8" s="13"/>
      <c r="E8" s="13"/>
      <c r="F8" s="13"/>
      <c r="G8" s="21"/>
      <c r="H8" s="13"/>
      <c r="I8" s="21"/>
      <c r="J8" s="4"/>
      <c r="K8" s="13"/>
      <c r="L8" s="13">
        <f>L7-O8*Prices!B8</f>
        <v>1</v>
      </c>
      <c r="M8" s="4">
        <f>M7+O8</f>
        <v>0.01</v>
      </c>
      <c r="N8" s="13"/>
      <c r="O8" s="4"/>
      <c r="P8" s="22"/>
      <c r="Q8" s="13">
        <f>Q7-T8*Prices!B8</f>
        <v>1</v>
      </c>
      <c r="R8" s="4">
        <f t="shared" si="0"/>
        <v>0.01</v>
      </c>
      <c r="S8" s="13"/>
      <c r="T8" s="4"/>
      <c r="U8" s="23"/>
      <c r="V8" s="13"/>
      <c r="W8" s="13"/>
      <c r="X8" s="4"/>
      <c r="Y8" s="13"/>
      <c r="Z8" s="4"/>
    </row>
    <row r="9" spans="1:31" x14ac:dyDescent="0.2">
      <c r="A9" s="7">
        <v>41427</v>
      </c>
      <c r="B9" s="13"/>
      <c r="C9" s="13"/>
      <c r="D9" s="13"/>
      <c r="E9" s="13"/>
      <c r="F9" s="13"/>
      <c r="G9" s="21"/>
      <c r="H9" s="13"/>
      <c r="I9" s="21"/>
      <c r="J9" s="4"/>
      <c r="K9" s="13"/>
      <c r="L9" s="13">
        <f>L8-O9*Prices!B9</f>
        <v>1</v>
      </c>
      <c r="M9" s="4">
        <f t="shared" ref="M9:M72" si="1">M8+O9</f>
        <v>0.01</v>
      </c>
      <c r="N9" s="13"/>
      <c r="O9" s="4"/>
      <c r="P9" s="22"/>
      <c r="Q9" s="13">
        <f>Q8-T9*Prices!B9</f>
        <v>1</v>
      </c>
      <c r="R9" s="4">
        <f t="shared" si="0"/>
        <v>0.01</v>
      </c>
      <c r="S9" s="13"/>
      <c r="T9" s="4"/>
      <c r="V9" s="13"/>
      <c r="W9" s="13"/>
      <c r="X9" s="4"/>
      <c r="Y9" s="13"/>
      <c r="Z9" s="4"/>
    </row>
    <row r="10" spans="1:31" x14ac:dyDescent="0.2">
      <c r="A10" s="7">
        <v>41434</v>
      </c>
      <c r="B10" s="13"/>
      <c r="C10" s="13"/>
      <c r="D10" s="13"/>
      <c r="E10" s="13"/>
      <c r="F10" s="13"/>
      <c r="G10" s="21"/>
      <c r="H10" s="13"/>
      <c r="I10" s="21"/>
      <c r="J10" s="4"/>
      <c r="K10" s="13"/>
      <c r="L10" s="13">
        <f>L9-O10*Prices!B10</f>
        <v>1</v>
      </c>
      <c r="M10" s="4">
        <f t="shared" si="1"/>
        <v>0.01</v>
      </c>
      <c r="N10" s="13"/>
      <c r="O10" s="4"/>
      <c r="P10" s="22"/>
      <c r="Q10" s="13">
        <f>Q9-T10*Prices!B10</f>
        <v>1</v>
      </c>
      <c r="R10" s="4">
        <f t="shared" si="0"/>
        <v>0.01</v>
      </c>
      <c r="S10" s="13"/>
      <c r="T10" s="4"/>
      <c r="V10" s="13"/>
      <c r="W10" s="13"/>
      <c r="X10" s="4"/>
      <c r="Y10" s="13"/>
      <c r="Z10" s="4"/>
    </row>
    <row r="11" spans="1:31" x14ac:dyDescent="0.2">
      <c r="A11" s="7">
        <v>41441</v>
      </c>
      <c r="B11" s="13"/>
      <c r="C11" s="13"/>
      <c r="D11" s="13"/>
      <c r="E11" s="13"/>
      <c r="F11" s="13"/>
      <c r="G11" s="21"/>
      <c r="H11" s="13"/>
      <c r="I11" s="21"/>
      <c r="J11" s="4"/>
      <c r="K11" s="13"/>
      <c r="L11" s="13">
        <f>L10-O11*Prices!B11</f>
        <v>1</v>
      </c>
      <c r="M11" s="4">
        <f t="shared" si="1"/>
        <v>0.01</v>
      </c>
      <c r="N11" s="13"/>
      <c r="O11" s="4"/>
      <c r="P11" s="22"/>
      <c r="Q11" s="13">
        <f>Q10-T11*Prices!B11</f>
        <v>1</v>
      </c>
      <c r="R11" s="4">
        <f t="shared" si="0"/>
        <v>0.01</v>
      </c>
      <c r="S11" s="13"/>
      <c r="T11" s="4"/>
      <c r="V11" s="13"/>
      <c r="W11" s="13"/>
      <c r="X11" s="4"/>
      <c r="Y11" s="13"/>
      <c r="Z11" s="4"/>
    </row>
    <row r="12" spans="1:31" x14ac:dyDescent="0.2">
      <c r="A12" s="7">
        <v>41448</v>
      </c>
      <c r="B12" s="13"/>
      <c r="C12" s="13"/>
      <c r="D12" s="13"/>
      <c r="E12" s="13"/>
      <c r="F12" s="13"/>
      <c r="G12" s="21"/>
      <c r="H12" s="13"/>
      <c r="I12" s="21"/>
      <c r="J12" s="4"/>
      <c r="K12" s="13"/>
      <c r="L12" s="13">
        <f>L11-O12*Prices!B12</f>
        <v>1</v>
      </c>
      <c r="M12" s="4">
        <f t="shared" si="1"/>
        <v>0.01</v>
      </c>
      <c r="N12" s="13"/>
      <c r="O12" s="4"/>
      <c r="P12" s="22"/>
      <c r="Q12" s="13">
        <f>Q11-T12*Prices!B12</f>
        <v>1</v>
      </c>
      <c r="R12" s="4">
        <f t="shared" si="0"/>
        <v>0.01</v>
      </c>
      <c r="S12" s="13"/>
      <c r="T12" s="4"/>
      <c r="V12" s="13"/>
      <c r="W12" s="13"/>
      <c r="X12" s="4"/>
      <c r="Y12" s="13"/>
      <c r="Z12" s="4"/>
    </row>
    <row r="13" spans="1:31" x14ac:dyDescent="0.2">
      <c r="A13" s="7">
        <v>41455</v>
      </c>
      <c r="B13" s="13"/>
      <c r="C13" s="13"/>
      <c r="D13" s="13"/>
      <c r="E13" s="13"/>
      <c r="F13" s="13"/>
      <c r="G13" s="21"/>
      <c r="H13" s="13"/>
      <c r="I13" s="21"/>
      <c r="J13" s="4"/>
      <c r="K13" s="13"/>
      <c r="L13" s="13">
        <f>L12-O13*Prices!B13</f>
        <v>1</v>
      </c>
      <c r="M13" s="4">
        <f t="shared" si="1"/>
        <v>0.01</v>
      </c>
      <c r="N13" s="13"/>
      <c r="O13" s="4"/>
      <c r="P13" s="22"/>
      <c r="Q13" s="13">
        <f>Q12-T13*Prices!B13</f>
        <v>1</v>
      </c>
      <c r="R13" s="4">
        <f t="shared" si="0"/>
        <v>0.01</v>
      </c>
      <c r="S13" s="13"/>
      <c r="T13" s="4"/>
      <c r="V13" s="13"/>
      <c r="W13" s="13"/>
      <c r="X13" s="4"/>
      <c r="Y13" s="13"/>
      <c r="Z13" s="4"/>
    </row>
    <row r="14" spans="1:31" x14ac:dyDescent="0.2">
      <c r="A14" s="7">
        <v>41462</v>
      </c>
      <c r="B14" s="13"/>
      <c r="C14" s="13"/>
      <c r="D14" s="13"/>
      <c r="E14" s="13"/>
      <c r="F14" s="13"/>
      <c r="G14" s="21"/>
      <c r="H14" s="13"/>
      <c r="I14" s="21"/>
      <c r="J14" s="4"/>
      <c r="K14" s="13"/>
      <c r="L14" s="13">
        <f>L13-O14*Prices!B14</f>
        <v>1</v>
      </c>
      <c r="M14" s="4">
        <f t="shared" si="1"/>
        <v>0.01</v>
      </c>
      <c r="N14" s="13"/>
      <c r="O14" s="4"/>
      <c r="P14" s="22"/>
      <c r="Q14" s="13">
        <f>Q13-T14*Prices!B14</f>
        <v>1</v>
      </c>
      <c r="R14" s="4">
        <f t="shared" si="0"/>
        <v>0.01</v>
      </c>
      <c r="S14" s="13"/>
      <c r="T14" s="4"/>
      <c r="V14" s="13"/>
      <c r="W14" s="4"/>
      <c r="X14" s="4"/>
      <c r="Y14" s="4"/>
      <c r="Z14" s="4"/>
      <c r="AA14" s="13"/>
      <c r="AB14" s="4"/>
      <c r="AC14" s="4"/>
      <c r="AD14" s="4"/>
      <c r="AE14" s="52"/>
    </row>
    <row r="15" spans="1:31" x14ac:dyDescent="0.2">
      <c r="A15" s="7">
        <v>41469</v>
      </c>
      <c r="B15" s="13"/>
      <c r="C15" s="13"/>
      <c r="D15" s="13"/>
      <c r="E15" s="13"/>
      <c r="F15" s="13"/>
      <c r="G15" s="21"/>
      <c r="H15" s="13"/>
      <c r="I15" s="21"/>
      <c r="J15" s="4"/>
      <c r="K15" s="13"/>
      <c r="L15" s="13">
        <f>L14-O15*Prices!B15</f>
        <v>1</v>
      </c>
      <c r="M15" s="4">
        <f t="shared" si="1"/>
        <v>0.01</v>
      </c>
      <c r="N15" s="13"/>
      <c r="O15" s="4"/>
      <c r="P15" s="22"/>
      <c r="Q15" s="13">
        <f>Q14-T15*Prices!B15</f>
        <v>1</v>
      </c>
      <c r="R15" s="4">
        <f t="shared" si="0"/>
        <v>0.01</v>
      </c>
      <c r="S15" s="13"/>
      <c r="T15" s="4"/>
      <c r="V15" s="4"/>
      <c r="W15" s="4"/>
      <c r="X15" s="4"/>
      <c r="Y15" s="4"/>
      <c r="Z15" s="4"/>
      <c r="AA15" s="4"/>
      <c r="AB15" s="4"/>
      <c r="AC15" s="4"/>
      <c r="AD15" s="4"/>
      <c r="AE15" s="52"/>
    </row>
    <row r="16" spans="1:31" x14ac:dyDescent="0.2">
      <c r="A16" s="7">
        <v>41476</v>
      </c>
      <c r="B16" s="13"/>
      <c r="C16" s="13"/>
      <c r="D16" s="13"/>
      <c r="E16" s="13"/>
      <c r="F16" s="13">
        <f t="shared" ref="F16:F79" si="2">MAX(F15,D16)</f>
        <v>0</v>
      </c>
      <c r="G16" s="21"/>
      <c r="H16" s="13"/>
      <c r="I16" s="21"/>
      <c r="J16" s="4"/>
      <c r="K16" s="13"/>
      <c r="L16" s="13">
        <f>L15-O16*Prices!B16</f>
        <v>1</v>
      </c>
      <c r="M16" s="4">
        <f t="shared" si="1"/>
        <v>0.01</v>
      </c>
      <c r="N16" s="13"/>
      <c r="O16" s="4"/>
      <c r="P16" s="22"/>
      <c r="Q16" s="13">
        <f>Q15-T16*Prices!B16</f>
        <v>1</v>
      </c>
      <c r="R16" s="4">
        <f t="shared" si="0"/>
        <v>0.01</v>
      </c>
      <c r="S16" s="13"/>
      <c r="T16" s="4"/>
      <c r="V16" s="4"/>
      <c r="W16" s="4"/>
      <c r="X16" s="4"/>
      <c r="Y16" s="4"/>
      <c r="Z16" s="4"/>
      <c r="AA16" s="4"/>
      <c r="AB16" s="4"/>
      <c r="AC16" s="4"/>
      <c r="AD16" s="4"/>
      <c r="AE16" s="52"/>
    </row>
    <row r="17" spans="1:31" x14ac:dyDescent="0.2">
      <c r="A17" s="7">
        <v>41483</v>
      </c>
      <c r="B17" s="13">
        <f ca="1">Prices!B16*(1+J17/(50*(ABS(O17)+ABS(T17)+0.0001)))</f>
        <v>1.0813395000000001</v>
      </c>
      <c r="C17" s="62">
        <f t="shared" ref="C17:C80" ca="1" si="3">IF(J17&gt;0,1,IF(J17&lt;0,0,0))</f>
        <v>0</v>
      </c>
      <c r="D17" s="13">
        <f ca="1">D16+C17*(Prices!B17-Prices!B16)/Prices!B16</f>
        <v>0</v>
      </c>
      <c r="E17" s="13">
        <f t="shared" ref="E17:E80" ca="1" si="4">F17-D17</f>
        <v>0</v>
      </c>
      <c r="F17" s="13">
        <f t="shared" ca="1" si="2"/>
        <v>0</v>
      </c>
      <c r="G17" s="21">
        <f ca="1">IF((Prices!B17-Prices!B16)*C17&gt;0,1,0)</f>
        <v>0</v>
      </c>
      <c r="H17" s="13">
        <f>ABS(Prices!B17-Prices!B16)/Prices!B16</f>
        <v>2.4077775758677054E-2</v>
      </c>
      <c r="I17" s="21"/>
      <c r="J17" s="4">
        <f t="shared" ref="J17:J80" ca="1" si="5">O17+T17</f>
        <v>-6.9999999999999999E-4</v>
      </c>
      <c r="K17" s="13"/>
      <c r="L17" s="13">
        <f ca="1">L16-O17*Prices!B17</f>
        <v>1.0004296399999999</v>
      </c>
      <c r="M17" s="4">
        <f t="shared" ca="1" si="1"/>
        <v>9.6000000000000009E-3</v>
      </c>
      <c r="N17" s="13">
        <f ca="1">IF(Prices!B16&gt;OFFSET(Prices!B16,-$N$3,0),1,-1)</f>
        <v>-1</v>
      </c>
      <c r="O17" s="4">
        <f ca="1">IF(N17=1,O$3*L16/Prices!B16,-O$3*M16)</f>
        <v>-4.0000000000000002E-4</v>
      </c>
      <c r="P17" s="22"/>
      <c r="Q17" s="13">
        <f ca="1">Q16-T17*Prices!B17</f>
        <v>1.0003222300000001</v>
      </c>
      <c r="R17" s="4">
        <f t="shared" ca="1" si="0"/>
        <v>9.7000000000000003E-3</v>
      </c>
      <c r="S17" s="13">
        <f ca="1">IF(Prices!B16&gt;OFFSET(Prices!B16,-S$3,0),1,-1)</f>
        <v>-1</v>
      </c>
      <c r="T17" s="4">
        <f ca="1">IF(S17=1,T$3*Q16/Prices!B16,-T$3*R16)</f>
        <v>-2.9999999999999997E-4</v>
      </c>
      <c r="V17" s="4"/>
      <c r="W17" s="4"/>
      <c r="X17" s="4"/>
      <c r="Y17" s="4"/>
      <c r="Z17" s="4"/>
      <c r="AA17" s="4"/>
      <c r="AB17" s="4"/>
      <c r="AC17" s="4"/>
      <c r="AD17" s="4"/>
      <c r="AE17" s="52"/>
    </row>
    <row r="18" spans="1:31" x14ac:dyDescent="0.2">
      <c r="A18" s="7">
        <v>41490</v>
      </c>
      <c r="B18" s="13">
        <f ca="1">Prices!B17*(1+J18/(50*(ABS(O18)+ABS(T18)+0.0001)))</f>
        <v>1.0553898709677421</v>
      </c>
      <c r="C18" s="62">
        <f t="shared" ca="1" si="3"/>
        <v>0</v>
      </c>
      <c r="D18" s="13">
        <f ca="1">D17+C18*(Prices!B18-Prices!B17)/Prices!B17</f>
        <v>0</v>
      </c>
      <c r="E18" s="13">
        <f t="shared" ca="1" si="4"/>
        <v>0</v>
      </c>
      <c r="F18" s="13">
        <f t="shared" ca="1" si="2"/>
        <v>0</v>
      </c>
      <c r="G18" s="21">
        <f ca="1">IF((Prices!B18-Prices!B17)*C18&gt;0,1,0)</f>
        <v>0</v>
      </c>
      <c r="H18" s="13">
        <f>ABS(Prices!B18-Prices!B17)/Prices!B17</f>
        <v>2.9792384321756537E-3</v>
      </c>
      <c r="I18" s="21"/>
      <c r="J18" s="4">
        <f t="shared" ca="1" si="5"/>
        <v>-6.7500000000000004E-4</v>
      </c>
      <c r="K18" s="13"/>
      <c r="L18" s="13">
        <f ca="1">L17-O18*Prices!B18</f>
        <v>1.0008433231999998</v>
      </c>
      <c r="M18" s="4">
        <f t="shared" ca="1" si="1"/>
        <v>9.2160000000000002E-3</v>
      </c>
      <c r="N18" s="13">
        <f ca="1">IF(Prices!B17&gt;OFFSET(Prices!B17,-$N$3,0),1,-1)</f>
        <v>-1</v>
      </c>
      <c r="O18" s="4">
        <f ca="1">IF(N18=1,O$3*L17/Prices!B17,-O$3*M17)</f>
        <v>-3.8400000000000006E-4</v>
      </c>
      <c r="P18" s="22"/>
      <c r="Q18" s="13">
        <f ca="1">Q17-T18*Prices!B18</f>
        <v>1.0006357243000001</v>
      </c>
      <c r="R18" s="4">
        <f t="shared" ca="1" si="0"/>
        <v>9.4090000000000007E-3</v>
      </c>
      <c r="S18" s="13">
        <f ca="1">IF(Prices!B17&gt;OFFSET(Prices!B17,-S$3,0),1,-1)</f>
        <v>-1</v>
      </c>
      <c r="T18" s="4">
        <f ca="1">IF(S18=1,T$3*Q17/Prices!B17,-T$3*R17)</f>
        <v>-2.9099999999999997E-4</v>
      </c>
      <c r="V18" s="4"/>
      <c r="W18" s="4"/>
      <c r="X18" s="4"/>
      <c r="Y18" s="4"/>
      <c r="Z18" s="4"/>
      <c r="AA18" s="4"/>
      <c r="AB18" s="4"/>
      <c r="AC18" s="4"/>
      <c r="AD18" s="4"/>
      <c r="AE18" s="52"/>
    </row>
    <row r="19" spans="1:31" x14ac:dyDescent="0.2">
      <c r="A19" s="7">
        <v>41497</v>
      </c>
      <c r="B19" s="13">
        <f ca="1">Prices!B18*(1+J19/(50*(ABS(O19)+ABS(T19)+0.0001)))</f>
        <v>1.058623318560147</v>
      </c>
      <c r="C19" s="62">
        <f t="shared" ca="1" si="3"/>
        <v>0</v>
      </c>
      <c r="D19" s="13">
        <f ca="1">D18+C19*(Prices!B19-Prices!B18)/Prices!B18</f>
        <v>0</v>
      </c>
      <c r="E19" s="13">
        <f t="shared" ca="1" si="4"/>
        <v>0</v>
      </c>
      <c r="F19" s="13">
        <f t="shared" ca="1" si="2"/>
        <v>0</v>
      </c>
      <c r="G19" s="21">
        <f ca="1">IF((Prices!B19-Prices!B18)*C19&gt;0,1,0)</f>
        <v>0</v>
      </c>
      <c r="H19" s="13">
        <f>ABS(Prices!B19-Prices!B18)/Prices!B18</f>
        <v>1.178873108697664E-2</v>
      </c>
      <c r="I19" s="21"/>
      <c r="J19" s="4">
        <f t="shared" ca="1" si="5"/>
        <v>-6.5090999999999999E-4</v>
      </c>
      <c r="K19" s="13"/>
      <c r="L19" s="13">
        <f ca="1">L18-O19*Prices!B19</f>
        <v>1.0012357773439997</v>
      </c>
      <c r="M19" s="4">
        <f t="shared" ca="1" si="1"/>
        <v>8.8473600000000003E-3</v>
      </c>
      <c r="N19" s="13">
        <f ca="1">IF(Prices!B18&gt;OFFSET(Prices!B18,-$N$3,0),1,-1)</f>
        <v>-1</v>
      </c>
      <c r="O19" s="4">
        <f ca="1">IF(N19=1,O$3*L18/Prices!B18,-O$3*M18)</f>
        <v>-3.6863999999999999E-4</v>
      </c>
      <c r="P19" s="22"/>
      <c r="Q19" s="13">
        <f ca="1">Q18-T19*Prices!B19</f>
        <v>1.0009362289420001</v>
      </c>
      <c r="R19" s="4">
        <f t="shared" ca="1" si="0"/>
        <v>9.1267300000000013E-3</v>
      </c>
      <c r="S19" s="13">
        <f ca="1">IF(Prices!B18&gt;OFFSET(Prices!B18,-S$3,0),1,-1)</f>
        <v>-1</v>
      </c>
      <c r="T19" s="4">
        <f ca="1">IF(S19=1,T$3*Q18/Prices!B18,-T$3*R18)</f>
        <v>-2.8226999999999999E-4</v>
      </c>
      <c r="V19" s="4"/>
      <c r="W19" s="4"/>
      <c r="X19" s="4"/>
      <c r="Y19" s="4"/>
      <c r="Z19" s="4"/>
      <c r="AA19" s="4"/>
      <c r="AB19" s="4"/>
      <c r="AC19" s="4"/>
      <c r="AD19" s="4"/>
      <c r="AE19" s="52"/>
    </row>
    <row r="20" spans="1:31" x14ac:dyDescent="0.2">
      <c r="A20" s="7">
        <v>41504</v>
      </c>
      <c r="B20" s="13">
        <f ca="1">Prices!B19*(1+J20/(50*(ABS(O20)+ABS(T20)+0.0001)))</f>
        <v>1.0462339458925378</v>
      </c>
      <c r="C20" s="62">
        <f t="shared" ca="1" si="3"/>
        <v>0</v>
      </c>
      <c r="D20" s="13">
        <f ca="1">D19+C20*(Prices!B20-Prices!B19)/Prices!B19</f>
        <v>0</v>
      </c>
      <c r="E20" s="13">
        <f t="shared" ca="1" si="4"/>
        <v>0</v>
      </c>
      <c r="F20" s="13">
        <f t="shared" ca="1" si="2"/>
        <v>0</v>
      </c>
      <c r="G20" s="21">
        <f ca="1">IF((Prices!B20-Prices!B19)*C20&gt;0,1,0)</f>
        <v>0</v>
      </c>
      <c r="H20" s="13">
        <f>ABS(Prices!B20-Prices!B19)/Prices!B19</f>
        <v>4.9783956415555917E-3</v>
      </c>
      <c r="I20" s="21"/>
      <c r="J20" s="4">
        <f t="shared" ca="1" si="5"/>
        <v>-6.2769630000000006E-4</v>
      </c>
      <c r="K20" s="13"/>
      <c r="L20" s="13">
        <f ca="1">L19-O20*Prices!B20</f>
        <v>1.0016106576819197</v>
      </c>
      <c r="M20" s="4">
        <f t="shared" ca="1" si="1"/>
        <v>8.4934655999999997E-3</v>
      </c>
      <c r="N20" s="13">
        <f ca="1">IF(Prices!B19&gt;OFFSET(Prices!B19,-$N$3,0),1,-1)</f>
        <v>-1</v>
      </c>
      <c r="O20" s="4">
        <f ca="1">IF(N20=1,O$3*L19/Prices!B19,-O$3*M19)</f>
        <v>-3.5389440000000002E-4</v>
      </c>
      <c r="P20" s="22"/>
      <c r="Q20" s="13">
        <f ca="1">Q19-T20*Prices!B20</f>
        <v>1.0012262672946701</v>
      </c>
      <c r="R20" s="4">
        <f t="shared" ca="1" si="0"/>
        <v>8.8529281000000008E-3</v>
      </c>
      <c r="S20" s="13">
        <f ca="1">IF(Prices!B19&gt;OFFSET(Prices!B19,-S$3,0),1,-1)</f>
        <v>-1</v>
      </c>
      <c r="T20" s="4">
        <f ca="1">IF(S20=1,T$3*Q19/Prices!B19,-T$3*R19)</f>
        <v>-2.7380190000000004E-4</v>
      </c>
      <c r="V20" s="4"/>
      <c r="W20" s="4"/>
      <c r="X20" s="4"/>
      <c r="Y20" s="4"/>
      <c r="Z20" s="4"/>
      <c r="AA20" s="4"/>
      <c r="AB20" s="4"/>
      <c r="AC20" s="4"/>
      <c r="AD20" s="4"/>
      <c r="AE20" s="52"/>
    </row>
    <row r="21" spans="1:31" x14ac:dyDescent="0.2">
      <c r="A21" s="7">
        <v>41511</v>
      </c>
      <c r="B21" s="13">
        <f ca="1">Prices!B20*(1+J21/(50*(ABS(O21)+ABS(T21)+0.0001)))</f>
        <v>1.0411177154411788</v>
      </c>
      <c r="C21" s="62">
        <f t="shared" ca="1" si="3"/>
        <v>0</v>
      </c>
      <c r="D21" s="13">
        <f ca="1">D20+C21*(Prices!B21-Prices!B20)/Prices!B20</f>
        <v>0</v>
      </c>
      <c r="E21" s="13">
        <f t="shared" ca="1" si="4"/>
        <v>0</v>
      </c>
      <c r="F21" s="13">
        <f t="shared" ca="1" si="2"/>
        <v>0</v>
      </c>
      <c r="G21" s="21">
        <f ca="1">IF((Prices!B21-Prices!B20)*C21&gt;0,1,0)</f>
        <v>0</v>
      </c>
      <c r="H21" s="13">
        <f>ABS(Prices!B21-Prices!B20)/Prices!B20</f>
        <v>2.7187765505522668E-2</v>
      </c>
      <c r="I21" s="21"/>
      <c r="J21" s="4">
        <f t="shared" ca="1" si="5"/>
        <v>-6.0532646700000008E-4</v>
      </c>
      <c r="K21" s="13"/>
      <c r="L21" s="13">
        <f ca="1">L20-O21*Prices!B21</f>
        <v>1.001980327278694</v>
      </c>
      <c r="M21" s="4">
        <f t="shared" ca="1" si="1"/>
        <v>8.1537269759999996E-3</v>
      </c>
      <c r="N21" s="13">
        <f ca="1">IF(Prices!B20&gt;OFFSET(Prices!B20,-$N$3,0),1,-1)</f>
        <v>-1</v>
      </c>
      <c r="O21" s="4">
        <f ca="1">IF(N21=1,O$3*L20/Prices!B20,-O$3*M20)</f>
        <v>-3.3973862400000002E-4</v>
      </c>
      <c r="P21" s="22"/>
      <c r="Q21" s="13">
        <f ca="1">Q20-T21*Prices!B21</f>
        <v>1.0015152534266385</v>
      </c>
      <c r="R21" s="4">
        <f ca="1">R20+T21</f>
        <v>8.587340257E-3</v>
      </c>
      <c r="S21" s="13">
        <f ca="1">IF(Prices!B20&gt;OFFSET(Prices!B20,-S$3,0),1,-1)</f>
        <v>-1</v>
      </c>
      <c r="T21" s="4">
        <f ca="1">IF(S21=1,T$3*Q20/Prices!B20,-T$3*R20)</f>
        <v>-2.6558784300000001E-4</v>
      </c>
      <c r="V21" s="4"/>
      <c r="W21" s="4"/>
      <c r="X21" s="4"/>
      <c r="Y21" s="4"/>
      <c r="Z21" s="4"/>
      <c r="AA21" s="4"/>
      <c r="AB21" s="4"/>
      <c r="AC21" s="4"/>
      <c r="AD21" s="4"/>
      <c r="AE21" s="52"/>
    </row>
    <row r="22" spans="1:31" x14ac:dyDescent="0.2">
      <c r="A22" s="7">
        <v>41518</v>
      </c>
      <c r="B22" s="13">
        <f ca="1">Prices!B21*(1+J22/(50*(ABS(O22)+ABS(T22)+0.0001)))</f>
        <v>1.0695206524562746</v>
      </c>
      <c r="C22" s="62">
        <f t="shared" ca="1" si="3"/>
        <v>0</v>
      </c>
      <c r="D22" s="13">
        <f ca="1">D21+C22*(Prices!B22-Prices!B21)/Prices!B21</f>
        <v>0</v>
      </c>
      <c r="E22" s="13">
        <f t="shared" ca="1" si="4"/>
        <v>0</v>
      </c>
      <c r="F22" s="13">
        <f t="shared" ca="1" si="2"/>
        <v>0</v>
      </c>
      <c r="G22" s="21">
        <f ca="1">IF((Prices!B22-Prices!B21)*C22&gt;0,1,0)</f>
        <v>0</v>
      </c>
      <c r="H22" s="13">
        <f>ABS(Prices!B22-Prices!B21)/Prices!B21</f>
        <v>9.6498483595257364E-3</v>
      </c>
      <c r="I22" s="21"/>
      <c r="J22" s="4">
        <f t="shared" ca="1" si="5"/>
        <v>-5.8376928674999998E-4</v>
      </c>
      <c r="K22" s="13"/>
      <c r="L22" s="13">
        <f ca="1">L21-O22*Prices!B22</f>
        <v>1.0023386346569274</v>
      </c>
      <c r="M22" s="4">
        <f t="shared" ca="1" si="1"/>
        <v>7.8275778969599998E-3</v>
      </c>
      <c r="N22" s="13">
        <f ca="1">IF(Prices!B21&gt;OFFSET(Prices!B21,-$N$3,0),1,-1)</f>
        <v>-1</v>
      </c>
      <c r="O22" s="4">
        <f ca="1">IF(N22=1,O$3*L21/Prices!B21,-O$3*M21)</f>
        <v>-3.2614907903999999E-4</v>
      </c>
      <c r="P22" s="22"/>
      <c r="Q22" s="13">
        <f ca="1">Q21-T22*Prices!B22</f>
        <v>1.0017982749868286</v>
      </c>
      <c r="R22" s="4">
        <f t="shared" ca="1" si="0"/>
        <v>8.3297200492899997E-3</v>
      </c>
      <c r="S22" s="13">
        <f ca="1">IF(Prices!B21&gt;OFFSET(Prices!B21,-S$3,0),1,-1)</f>
        <v>-1</v>
      </c>
      <c r="T22" s="4">
        <f ca="1">IF(S22=1,T$3*Q21/Prices!B21,-T$3*R21)</f>
        <v>-2.5762020770999999E-4</v>
      </c>
      <c r="V22" s="4"/>
      <c r="W22" s="4"/>
      <c r="X22" s="4"/>
      <c r="Y22" s="4"/>
      <c r="Z22" s="4"/>
      <c r="AA22" s="4"/>
      <c r="AB22" s="4"/>
      <c r="AC22" s="4"/>
      <c r="AD22" s="4"/>
      <c r="AE22" s="52"/>
    </row>
    <row r="23" spans="1:31" x14ac:dyDescent="0.2">
      <c r="A23" s="7">
        <v>41525</v>
      </c>
      <c r="B23" s="13">
        <f ca="1">Prices!B22*(1+J23/(50*(ABS(O23)+ABS(T23)+0.0001)))</f>
        <v>1.0799420535549946</v>
      </c>
      <c r="C23" s="62">
        <f t="shared" ca="1" si="3"/>
        <v>0</v>
      </c>
      <c r="D23" s="13">
        <f ca="1">D22+C23*(Prices!B23-Prices!B22)/Prices!B22</f>
        <v>0</v>
      </c>
      <c r="E23" s="13">
        <f t="shared" ca="1" si="4"/>
        <v>0</v>
      </c>
      <c r="F23" s="13">
        <f t="shared" ca="1" si="2"/>
        <v>0</v>
      </c>
      <c r="G23" s="21">
        <f ca="1">IF((Prices!B23-Prices!B22)*C23&gt;0,1,0)</f>
        <v>0</v>
      </c>
      <c r="H23" s="13">
        <f>ABS(Prices!B23-Prices!B22)/Prices!B22</f>
        <v>1.0740943018387067E-2</v>
      </c>
      <c r="I23" s="21"/>
      <c r="J23" s="4">
        <f t="shared" ca="1" si="5"/>
        <v>-5.6299471735709998E-4</v>
      </c>
      <c r="K23" s="13"/>
      <c r="L23" s="13">
        <f ca="1">L22-O23*Prices!B23</f>
        <v>1.002678915123264</v>
      </c>
      <c r="M23" s="4">
        <f t="shared" ca="1" si="1"/>
        <v>7.5144747810815997E-3</v>
      </c>
      <c r="N23" s="13">
        <f ca="1">IF(Prices!B22&gt;OFFSET(Prices!B22,-$N$3,0),1,-1)</f>
        <v>-1</v>
      </c>
      <c r="O23" s="4">
        <f ca="1">IF(N23=1,O$3*L22/Prices!B22,-O$3*M22)</f>
        <v>-3.1310311587839999E-4</v>
      </c>
      <c r="P23" s="22"/>
      <c r="Q23" s="13">
        <f ca="1">Q22-T23*Prices!B23</f>
        <v>1.0020698571793156</v>
      </c>
      <c r="R23" s="4">
        <f t="shared" ca="1" si="0"/>
        <v>8.0798284478112992E-3</v>
      </c>
      <c r="S23" s="13">
        <f ca="1">IF(Prices!B22&gt;OFFSET(Prices!B22,-S$3,0),1,-1)</f>
        <v>-1</v>
      </c>
      <c r="T23" s="4">
        <f ca="1">IF(S23=1,T$3*Q22/Prices!B22,-T$3*R22)</f>
        <v>-2.4989160147869999E-4</v>
      </c>
      <c r="V23" s="4"/>
      <c r="W23" s="4"/>
      <c r="X23" s="4"/>
      <c r="Y23" s="4"/>
      <c r="Z23" s="4"/>
      <c r="AA23" s="4"/>
      <c r="AB23" s="4"/>
      <c r="AC23" s="4"/>
      <c r="AD23" s="4"/>
      <c r="AE23" s="52"/>
    </row>
    <row r="24" spans="1:31" x14ac:dyDescent="0.2">
      <c r="A24" s="7">
        <v>41532</v>
      </c>
      <c r="B24" s="13">
        <f ca="1">Prices!B23*(1+J24/(50*(ABS(O24)+ABS(T24)+0.0001)))</f>
        <v>1.1081947314330227</v>
      </c>
      <c r="C24" s="62">
        <f t="shared" ca="1" si="3"/>
        <v>1</v>
      </c>
      <c r="D24" s="13">
        <f ca="1">D23+C24*(Prices!B24-Prices!B23)/Prices!B23</f>
        <v>8.4652189915348699E-3</v>
      </c>
      <c r="E24" s="13">
        <f t="shared" ca="1" si="4"/>
        <v>0</v>
      </c>
      <c r="F24" s="13">
        <f t="shared" ca="1" si="2"/>
        <v>8.4652189915348699E-3</v>
      </c>
      <c r="G24" s="21">
        <f ca="1">IF((Prices!B24-Prices!B23)*C24&gt;0,1,0)</f>
        <v>1</v>
      </c>
      <c r="H24" s="13">
        <f>ABS(Prices!B24-Prices!B23)/Prices!B23</f>
        <v>8.4652189915348699E-3</v>
      </c>
      <c r="I24" s="21"/>
      <c r="J24" s="4">
        <f t="shared" ca="1" si="5"/>
        <v>3.6661503384448034E-2</v>
      </c>
      <c r="K24" s="13"/>
      <c r="L24" s="13">
        <f ca="1">L23-O24*Prices!B24</f>
        <v>0.96223224265454488</v>
      </c>
      <c r="M24" s="4">
        <f t="shared" ca="1" si="1"/>
        <v>4.4418373018963973E-2</v>
      </c>
      <c r="N24" s="13">
        <f ca="1">IF(Prices!B23&gt;OFFSET(Prices!B23,-$N$3,0),1,-1)</f>
        <v>1</v>
      </c>
      <c r="O24" s="4">
        <f ca="1">IF(N24=1,O$3*L23/Prices!B23,-O$3*M23)</f>
        <v>3.6903898237882371E-2</v>
      </c>
      <c r="P24" s="22"/>
      <c r="Q24" s="13">
        <f ca="1">Q23-T24*Prices!B24</f>
        <v>1.0023355219386796</v>
      </c>
      <c r="R24" s="4">
        <f t="shared" ca="1" si="0"/>
        <v>7.8374335943769604E-3</v>
      </c>
      <c r="S24" s="13">
        <f ca="1">IF(Prices!B23&gt;OFFSET(Prices!B23,-S$3,0),1,-1)</f>
        <v>-1</v>
      </c>
      <c r="T24" s="4">
        <f ca="1">IF(S24=1,T$3*Q23/Prices!B23,-T$3*R23)</f>
        <v>-2.4239485343433896E-4</v>
      </c>
      <c r="V24" s="4"/>
      <c r="W24" s="4"/>
      <c r="X24" s="4"/>
      <c r="Y24" s="4"/>
      <c r="Z24" s="4"/>
      <c r="AA24" s="4"/>
      <c r="AB24" s="4"/>
      <c r="AC24" s="4"/>
      <c r="AD24" s="4"/>
      <c r="AE24" s="52"/>
    </row>
    <row r="25" spans="1:31" x14ac:dyDescent="0.2">
      <c r="A25" s="7">
        <v>41539</v>
      </c>
      <c r="B25" s="13">
        <f ca="1">Prices!B24*(1+J25/(50*(ABS(O25)+ABS(T25)+0.0001)))</f>
        <v>1.1175674272526199</v>
      </c>
      <c r="C25" s="62">
        <f t="shared" ca="1" si="3"/>
        <v>1</v>
      </c>
      <c r="D25" s="13">
        <f ca="1">D24+C25*(Prices!B25-Prices!B24)/Prices!B24</f>
        <v>-1.0238321033558106E-3</v>
      </c>
      <c r="E25" s="13">
        <f t="shared" ca="1" si="4"/>
        <v>9.4890510948906805E-3</v>
      </c>
      <c r="F25" s="13">
        <f t="shared" ca="1" si="2"/>
        <v>8.4652189915348699E-3</v>
      </c>
      <c r="G25" s="21">
        <f ca="1">IF((Prices!B25-Prices!B24)*C25&gt;0,1,0)</f>
        <v>0</v>
      </c>
      <c r="H25" s="13">
        <f>ABS(Prices!B25-Prices!B24)/Prices!B24</f>
        <v>9.4890510948906805E-3</v>
      </c>
      <c r="I25" s="21"/>
      <c r="J25" s="4">
        <f t="shared" ca="1" si="5"/>
        <v>3.4882842052553542E-2</v>
      </c>
      <c r="K25" s="13"/>
      <c r="L25" s="13">
        <f ca="1">L24-O25*Prices!B25</f>
        <v>0.92410817978499105</v>
      </c>
      <c r="M25" s="4">
        <f t="shared" ca="1" si="1"/>
        <v>7.9536338079348817E-2</v>
      </c>
      <c r="N25" s="13">
        <f ca="1">IF(Prices!B24&gt;OFFSET(Prices!B24,-$N$3,0),1,-1)</f>
        <v>1</v>
      </c>
      <c r="O25" s="4">
        <f ca="1">IF(N25=1,O$3*L24/Prices!B24,-O$3*M24)</f>
        <v>3.5117965060384851E-2</v>
      </c>
      <c r="P25" s="22"/>
      <c r="Q25" s="13">
        <f ca="1">Q24-T25*Prices!B25</f>
        <v>1.0025907714759812</v>
      </c>
      <c r="R25" s="4">
        <f t="shared" ca="1" si="0"/>
        <v>7.6023105865456516E-3</v>
      </c>
      <c r="S25" s="13">
        <f ca="1">IF(Prices!B24&gt;OFFSET(Prices!B24,-S$3,0),1,-1)</f>
        <v>-1</v>
      </c>
      <c r="T25" s="4">
        <f ca="1">IF(S25=1,T$3*Q24/Prices!B24,-T$3*R24)</f>
        <v>-2.3512300783130879E-4</v>
      </c>
      <c r="V25" s="4"/>
      <c r="W25" s="4"/>
      <c r="X25" s="4"/>
      <c r="Y25" s="4"/>
      <c r="Z25" s="4"/>
      <c r="AA25" s="4"/>
      <c r="AB25" s="4"/>
      <c r="AC25" s="4"/>
      <c r="AD25" s="4"/>
      <c r="AE25" s="52"/>
    </row>
    <row r="26" spans="1:31" x14ac:dyDescent="0.2">
      <c r="A26" s="7">
        <v>41546</v>
      </c>
      <c r="B26" s="13">
        <f ca="1">Prices!B25*(1+J26/(50*(ABS(O26)+ABS(T26)+0.0001)))</f>
        <v>1.1069607587454235</v>
      </c>
      <c r="C26" s="62">
        <f t="shared" ca="1" si="3"/>
        <v>1</v>
      </c>
      <c r="D26" s="13">
        <f ca="1">D25+C26*(Prices!B26-Prices!B25)/Prices!B25</f>
        <v>5.0557552216259159E-3</v>
      </c>
      <c r="E26" s="13">
        <f t="shared" ca="1" si="4"/>
        <v>3.409463769908954E-3</v>
      </c>
      <c r="F26" s="13">
        <f t="shared" ca="1" si="2"/>
        <v>8.4652189915348699E-3</v>
      </c>
      <c r="G26" s="21">
        <f ca="1">IF((Prices!B26-Prices!B25)*C26&gt;0,1,0)</f>
        <v>1</v>
      </c>
      <c r="H26" s="13">
        <f>ABS(Prices!B26-Prices!B25)/Prices!B25</f>
        <v>6.0795873249817264E-3</v>
      </c>
      <c r="I26" s="21"/>
      <c r="J26" s="4">
        <f t="shared" ca="1" si="5"/>
        <v>3.3821605692904412E-2</v>
      </c>
      <c r="K26" s="13"/>
      <c r="L26" s="13">
        <f ca="1">L25-O26*Prices!B26</f>
        <v>0.88691912473852208</v>
      </c>
      <c r="M26" s="4">
        <f t="shared" ca="1" si="1"/>
        <v>0.1135860130898496</v>
      </c>
      <c r="N26" s="13">
        <f ca="1">IF(Prices!B25&gt;OFFSET(Prices!B25,-$N$3,0),1,-1)</f>
        <v>1</v>
      </c>
      <c r="O26" s="4">
        <f ca="1">IF(N26=1,O$3*L25/Prices!B25,-O$3*M25)</f>
        <v>3.4049675010500782E-2</v>
      </c>
      <c r="P26" s="22"/>
      <c r="Q26" s="13">
        <f ca="1">Q25-T26*Prices!B26</f>
        <v>1.00283986878466</v>
      </c>
      <c r="R26" s="4">
        <f t="shared" ca="1" si="0"/>
        <v>7.3742412689492822E-3</v>
      </c>
      <c r="S26" s="13">
        <f ca="1">IF(Prices!B25&gt;OFFSET(Prices!B25,-S$3,0),1,-1)</f>
        <v>-1</v>
      </c>
      <c r="T26" s="4">
        <f ca="1">IF(S26=1,T$3*Q25/Prices!B25,-T$3*R25)</f>
        <v>-2.2806931759636955E-4</v>
      </c>
      <c r="V26" s="4"/>
      <c r="W26" s="4"/>
      <c r="X26" s="4"/>
      <c r="Y26" s="4"/>
      <c r="Z26" s="4"/>
      <c r="AA26" s="4"/>
      <c r="AB26" s="4"/>
      <c r="AC26" s="4"/>
      <c r="AD26" s="4"/>
      <c r="AE26" s="52"/>
    </row>
    <row r="27" spans="1:31" x14ac:dyDescent="0.2">
      <c r="A27" s="7">
        <v>41553</v>
      </c>
      <c r="B27" s="13">
        <f ca="1">Prices!B26*(1+J27/(50*(ABS(O27)+ABS(T27)+0.0001)))</f>
        <v>1.1136827733307009</v>
      </c>
      <c r="C27" s="62">
        <f t="shared" ca="1" si="3"/>
        <v>1</v>
      </c>
      <c r="D27" s="13">
        <f ca="1">D26+C27*(Prices!B27-Prices!B26)/Prices!B26</f>
        <v>4.5064052857165986E-3</v>
      </c>
      <c r="E27" s="13">
        <f t="shared" ca="1" si="4"/>
        <v>3.9588137058182713E-3</v>
      </c>
      <c r="F27" s="13">
        <f t="shared" ca="1" si="2"/>
        <v>8.4652189915348699E-3</v>
      </c>
      <c r="G27" s="21">
        <f ca="1">IF((Prices!B27-Prices!B26)*C27&gt;0,1,0)</f>
        <v>0</v>
      </c>
      <c r="H27" s="13">
        <f>ABS(Prices!B27-Prices!B26)/Prices!B26</f>
        <v>5.4934993590931693E-4</v>
      </c>
      <c r="I27" s="21"/>
      <c r="J27" s="4">
        <f t="shared" ca="1" si="5"/>
        <v>3.2260703717380046E-2</v>
      </c>
      <c r="K27" s="13"/>
      <c r="L27" s="13">
        <f ca="1">L26-O27*Prices!B27</f>
        <v>0.8514618489075545</v>
      </c>
      <c r="M27" s="4">
        <f t="shared" ca="1" si="1"/>
        <v>0.14606794404529813</v>
      </c>
      <c r="N27" s="13">
        <f ca="1">IF(Prices!B26&gt;OFFSET(Prices!B26,-$N$3,0),1,-1)</f>
        <v>1</v>
      </c>
      <c r="O27" s="4">
        <f ca="1">IF(N27=1,O$3*L26/Prices!B26,-O$3*M26)</f>
        <v>3.2481930955448525E-2</v>
      </c>
      <c r="P27" s="22"/>
      <c r="Q27" s="13">
        <f ca="1">Q26-T27*Prices!B27</f>
        <v>1.0030813604377355</v>
      </c>
      <c r="R27" s="4">
        <f t="shared" ca="1" si="0"/>
        <v>7.1530140308808041E-3</v>
      </c>
      <c r="S27" s="13">
        <f ca="1">IF(Prices!B26&gt;OFFSET(Prices!B26,-S$3,0),1,-1)</f>
        <v>-1</v>
      </c>
      <c r="T27" s="4">
        <f ca="1">IF(S27=1,T$3*Q26/Prices!B26,-T$3*R26)</f>
        <v>-2.2122723806847845E-4</v>
      </c>
      <c r="V27" s="4"/>
      <c r="W27" s="4"/>
      <c r="X27" s="4"/>
      <c r="Y27" s="4"/>
      <c r="Z27" s="4"/>
      <c r="AA27" s="4"/>
      <c r="AB27" s="4"/>
      <c r="AC27" s="4"/>
      <c r="AD27" s="4"/>
      <c r="AE27" s="52"/>
    </row>
    <row r="28" spans="1:31" x14ac:dyDescent="0.2">
      <c r="A28" s="7">
        <v>41560</v>
      </c>
      <c r="B28" s="13">
        <f ca="1">Prices!B27*(1+J28/(50*(ABS(O28)+ABS(T28)+0.0001)))</f>
        <v>1.1130654113833747</v>
      </c>
      <c r="C28" s="62">
        <f t="shared" ca="1" si="3"/>
        <v>1</v>
      </c>
      <c r="D28" s="13">
        <f ca="1">D27+C28*(Prices!B28-Prices!B27)/Prices!B27</f>
        <v>-6.4866324570461249E-3</v>
      </c>
      <c r="E28" s="13">
        <f t="shared" ca="1" si="4"/>
        <v>1.4951851448580994E-2</v>
      </c>
      <c r="F28" s="13">
        <f t="shared" ca="1" si="2"/>
        <v>8.4652189915348699E-3</v>
      </c>
      <c r="G28" s="21">
        <f ca="1">IF((Prices!B28-Prices!B27)*C28&gt;0,1,0)</f>
        <v>0</v>
      </c>
      <c r="H28" s="13">
        <f>ABS(Prices!B28-Prices!B27)/Prices!B27</f>
        <v>1.0993037742762723E-2</v>
      </c>
      <c r="I28" s="21"/>
      <c r="J28" s="4">
        <f t="shared" ca="1" si="5"/>
        <v>3.0985917050951724E-2</v>
      </c>
      <c r="K28" s="13"/>
      <c r="L28" s="13">
        <f ca="1">L27-O28*Prices!B28</f>
        <v>0.81777778104091481</v>
      </c>
      <c r="M28" s="4">
        <f t="shared" ca="1" si="1"/>
        <v>0.17726845151717627</v>
      </c>
      <c r="N28" s="13">
        <f ca="1">IF(Prices!B27&gt;OFFSET(Prices!B27,-$N$3,0),1,-1)</f>
        <v>1</v>
      </c>
      <c r="O28" s="4">
        <f ca="1">IF(N28=1,O$3*L27/Prices!B27,-O$3*M27)</f>
        <v>3.1200507471878147E-2</v>
      </c>
      <c r="P28" s="22"/>
      <c r="Q28" s="13">
        <f ca="1">Q27-T28*Prices!B28</f>
        <v>1.0033130322561676</v>
      </c>
      <c r="R28" s="4">
        <f t="shared" ca="1" si="0"/>
        <v>6.9384236099543795E-3</v>
      </c>
      <c r="S28" s="13">
        <f ca="1">IF(Prices!B27&gt;OFFSET(Prices!B27,-S$3,0),1,-1)</f>
        <v>-1</v>
      </c>
      <c r="T28" s="4">
        <f ca="1">IF(S28=1,T$3*Q27/Prices!B27,-T$3*R27)</f>
        <v>-2.145904209264241E-4</v>
      </c>
      <c r="V28" s="4"/>
      <c r="W28" s="4"/>
      <c r="X28" s="4"/>
      <c r="Y28" s="4"/>
      <c r="Z28" s="4"/>
      <c r="AA28" s="4"/>
      <c r="AB28" s="4"/>
      <c r="AC28" s="4"/>
      <c r="AD28" s="4"/>
      <c r="AE28" s="52"/>
    </row>
    <row r="29" spans="1:31" x14ac:dyDescent="0.2">
      <c r="A29" s="7">
        <v>41567</v>
      </c>
      <c r="B29" s="13">
        <f ca="1">Prices!B28*(1+J29/(50*(ABS(O29)+ABS(T29)+0.0001)))</f>
        <v>1.0923993573273558</v>
      </c>
      <c r="C29" s="62">
        <f t="shared" ca="1" si="3"/>
        <v>1</v>
      </c>
      <c r="D29" s="13">
        <f ca="1">D28+C29*(Prices!B29-Prices!B28)/Prices!B28</f>
        <v>-3.2446909972463508E-3</v>
      </c>
      <c r="E29" s="13">
        <f t="shared" ca="1" si="4"/>
        <v>1.1709909988781221E-2</v>
      </c>
      <c r="F29" s="13">
        <f t="shared" ca="1" si="2"/>
        <v>8.4652189915348699E-3</v>
      </c>
      <c r="G29" s="21">
        <f ca="1">IF((Prices!B29-Prices!B28)*C29&gt;0,1,0)</f>
        <v>1</v>
      </c>
      <c r="H29" s="13">
        <f>ABS(Prices!B29-Prices!B28)/Prices!B28</f>
        <v>3.2419414597997741E-3</v>
      </c>
      <c r="I29" s="21"/>
      <c r="J29" s="4">
        <f t="shared" ca="1" si="5"/>
        <v>2.0789394365845947E-2</v>
      </c>
      <c r="K29" s="13"/>
      <c r="L29" s="13">
        <f ca="1">L28-O29*Prices!B29</f>
        <v>0.82545775943444499</v>
      </c>
      <c r="M29" s="4">
        <f t="shared" ca="1" si="1"/>
        <v>0.17017771345648922</v>
      </c>
      <c r="N29" s="13">
        <f ca="1">IF(Prices!B28&gt;OFFSET(Prices!B28,-$N$3,0),1,-1)</f>
        <v>-1</v>
      </c>
      <c r="O29" s="4">
        <f ca="1">IF(N29=1,O$3*L28/Prices!B28,-O$3*M28)</f>
        <v>-7.0907380606870509E-3</v>
      </c>
      <c r="P29" s="22"/>
      <c r="Q29" s="13">
        <f ca="1">Q28-T29*Prices!B29</f>
        <v>0.9731160608249898</v>
      </c>
      <c r="R29" s="4">
        <f t="shared" ca="1" si="0"/>
        <v>3.4818556036487376E-2</v>
      </c>
      <c r="S29" s="13">
        <f ca="1">IF(Prices!B28&gt;OFFSET(Prices!B28,-S$3,0),1,-1)</f>
        <v>1</v>
      </c>
      <c r="T29" s="4">
        <f ca="1">IF(S29=1,T$3*Q28/Prices!B28,-T$3*R28)</f>
        <v>2.7880132426532998E-2</v>
      </c>
      <c r="V29" s="4"/>
      <c r="W29" s="4"/>
      <c r="X29" s="4"/>
      <c r="Y29" s="4"/>
      <c r="Z29" s="4"/>
      <c r="AA29" s="4"/>
      <c r="AB29" s="4"/>
      <c r="AC29" s="4"/>
      <c r="AD29" s="4"/>
      <c r="AE29" s="52"/>
    </row>
    <row r="30" spans="1:31" x14ac:dyDescent="0.2">
      <c r="A30" s="7">
        <v>41574</v>
      </c>
      <c r="B30" s="13">
        <f ca="1">Prices!B29*(1+J30/(50*(ABS(O30)+ABS(T30)+0.0001)))</f>
        <v>1.0959884958992894</v>
      </c>
      <c r="C30" s="62">
        <f t="shared" ca="1" si="3"/>
        <v>1</v>
      </c>
      <c r="D30" s="13">
        <f ca="1">D29+C30*(Prices!B30-Prices!B29)/Prices!B29</f>
        <v>2.6946427089726187E-2</v>
      </c>
      <c r="E30" s="13">
        <f t="shared" ca="1" si="4"/>
        <v>0</v>
      </c>
      <c r="F30" s="13">
        <f t="shared" ca="1" si="2"/>
        <v>2.6946427089726187E-2</v>
      </c>
      <c r="G30" s="21">
        <f ca="1">IF((Prices!B30-Prices!B29)*C30&gt;0,1,0)</f>
        <v>1</v>
      </c>
      <c r="H30" s="13">
        <f>ABS(Prices!B30-Prices!B29)/Prices!B29</f>
        <v>3.0191118086972536E-2</v>
      </c>
      <c r="I30" s="21"/>
      <c r="J30" s="4">
        <f t="shared" ca="1" si="5"/>
        <v>2.0146526236691678E-2</v>
      </c>
      <c r="K30" s="13"/>
      <c r="L30" s="13">
        <f ca="1">L29-O30*Prices!B30</f>
        <v>0.83305313114143498</v>
      </c>
      <c r="M30" s="4">
        <f t="shared" ca="1" si="1"/>
        <v>0.16337060491822963</v>
      </c>
      <c r="N30" s="13">
        <f ca="1">IF(Prices!B29&gt;OFFSET(Prices!B29,-$N$3,0),1,-1)</f>
        <v>-1</v>
      </c>
      <c r="O30" s="4">
        <f ca="1">IF(N30=1,O$3*L29/Prices!B29,-O$3*M29)</f>
        <v>-6.8071085382595689E-3</v>
      </c>
      <c r="P30" s="22"/>
      <c r="Q30" s="13">
        <f ca="1">Q29-T30*Prices!B30</f>
        <v>0.94304119514309925</v>
      </c>
      <c r="R30" s="4">
        <f t="shared" ca="1" si="0"/>
        <v>6.1772190811438622E-2</v>
      </c>
      <c r="S30" s="13">
        <f ca="1">IF(Prices!B29&gt;OFFSET(Prices!B29,-S$3,0),1,-1)</f>
        <v>1</v>
      </c>
      <c r="T30" s="4">
        <f ca="1">IF(S30=1,T$3*Q29/Prices!B29,-T$3*R29)</f>
        <v>2.6953634774951246E-2</v>
      </c>
      <c r="V30" s="4"/>
      <c r="W30" s="4"/>
      <c r="X30" s="4"/>
      <c r="Y30" s="4"/>
      <c r="Z30" s="4"/>
      <c r="AA30" s="4"/>
      <c r="AB30" s="4"/>
      <c r="AC30" s="4"/>
      <c r="AD30" s="4"/>
      <c r="AE30" s="52"/>
    </row>
    <row r="31" spans="1:31" x14ac:dyDescent="0.2">
      <c r="A31" s="7">
        <v>41581</v>
      </c>
      <c r="B31" s="13">
        <f ca="1">Prices!B30*(1+J31/(50*(ABS(O31)+ABS(T31)+0.0001)))</f>
        <v>1.1380756594304404</v>
      </c>
      <c r="C31" s="62">
        <f t="shared" ca="1" si="3"/>
        <v>1</v>
      </c>
      <c r="D31" s="13">
        <f ca="1">D30+C31*(Prices!B31-Prices!B30)/Prices!B30</f>
        <v>3.5729363099763857E-2</v>
      </c>
      <c r="E31" s="13">
        <f t="shared" ca="1" si="4"/>
        <v>0</v>
      </c>
      <c r="F31" s="13">
        <f t="shared" ca="1" si="2"/>
        <v>3.5729363099763857E-2</v>
      </c>
      <c r="G31" s="21">
        <f ca="1">IF((Prices!B31-Prices!B30)*C31&gt;0,1,0)</f>
        <v>1</v>
      </c>
      <c r="H31" s="13">
        <f>ABS(Prices!B31-Prices!B30)/Prices!B30</f>
        <v>8.7829360100376702E-3</v>
      </c>
      <c r="I31" s="21"/>
      <c r="J31" s="4">
        <f t="shared" ca="1" si="5"/>
        <v>5.5219000806551691E-2</v>
      </c>
      <c r="K31" s="13"/>
      <c r="L31" s="13">
        <f ca="1">L30-O31*Prices!B31</f>
        <v>0.7994383398020265</v>
      </c>
      <c r="M31" s="4">
        <f t="shared" ca="1" si="1"/>
        <v>0.19323449203568563</v>
      </c>
      <c r="N31" s="13">
        <f ca="1">IF(Prices!B30&gt;OFFSET(Prices!B30,-$N$3,0),1,-1)</f>
        <v>1</v>
      </c>
      <c r="O31" s="4">
        <f ca="1">IF(N31=1,O$3*L30/Prices!B30,-O$3*M30)</f>
        <v>2.9863887117455995E-2</v>
      </c>
      <c r="P31" s="22"/>
      <c r="Q31" s="13">
        <f ca="1">Q30-T31*Prices!B31</f>
        <v>0.91450147917465319</v>
      </c>
      <c r="R31" s="4">
        <f t="shared" ca="1" si="0"/>
        <v>8.7127304500534325E-2</v>
      </c>
      <c r="S31" s="13">
        <f ca="1">IF(Prices!B30&gt;OFFSET(Prices!B30,-S$3,0),1,-1)</f>
        <v>1</v>
      </c>
      <c r="T31" s="4">
        <f ca="1">IF(S31=1,T$3*Q30/Prices!B30,-T$3*R30)</f>
        <v>2.5355113689095699E-2</v>
      </c>
      <c r="V31" s="4"/>
      <c r="W31" s="4"/>
      <c r="X31" s="4"/>
      <c r="Y31" s="4"/>
      <c r="Z31" s="4"/>
      <c r="AA31" s="4"/>
      <c r="AB31" s="4"/>
      <c r="AC31" s="4"/>
      <c r="AD31" s="4"/>
      <c r="AE31" s="52"/>
    </row>
    <row r="32" spans="1:31" x14ac:dyDescent="0.2">
      <c r="A32" s="7">
        <v>41588</v>
      </c>
      <c r="B32" s="13">
        <f ca="1">Prices!B31*(1+J32/(50*(ABS(O32)+ABS(T32)+0.0001)))</f>
        <v>1.1480694305779617</v>
      </c>
      <c r="C32" s="62">
        <f t="shared" ca="1" si="3"/>
        <v>1</v>
      </c>
      <c r="D32" s="13">
        <f ca="1">D31+C32*(Prices!B32-Prices!B31)/Prices!B31</f>
        <v>2.4535333249017639E-2</v>
      </c>
      <c r="E32" s="13">
        <f t="shared" ca="1" si="4"/>
        <v>1.1194029850746218E-2</v>
      </c>
      <c r="F32" s="13">
        <f t="shared" ca="1" si="2"/>
        <v>3.5729363099763857E-2</v>
      </c>
      <c r="G32" s="21">
        <f ca="1">IF((Prices!B32-Prices!B31)*C32&gt;0,1,0)</f>
        <v>0</v>
      </c>
      <c r="H32" s="13">
        <f>ABS(Prices!B32-Prices!B31)/Prices!B31</f>
        <v>1.1194029850746219E-2</v>
      </c>
      <c r="I32" s="21"/>
      <c r="J32" s="4">
        <f t="shared" ca="1" si="5"/>
        <v>5.2783029466347421E-2</v>
      </c>
      <c r="K32" s="13"/>
      <c r="L32" s="13">
        <f ca="1">L31-O32*Prices!B32</f>
        <v>0.76781876367552848</v>
      </c>
      <c r="M32" s="4">
        <f t="shared" ca="1" si="1"/>
        <v>0.22164381470100286</v>
      </c>
      <c r="N32" s="13">
        <f ca="1">IF(Prices!B31&gt;OFFSET(Prices!B31,-$N$3,0),1,-1)</f>
        <v>1</v>
      </c>
      <c r="O32" s="4">
        <f ca="1">IF(N32=1,O$3*L31/Prices!B31,-O$3*M31)</f>
        <v>2.8409322665317219E-2</v>
      </c>
      <c r="P32" s="22"/>
      <c r="Q32" s="13">
        <f ca="1">Q31-T32*Prices!B32</f>
        <v>0.88737354350510655</v>
      </c>
      <c r="R32" s="4">
        <f t="shared" ca="1" si="0"/>
        <v>0.11150101130156453</v>
      </c>
      <c r="S32" s="13">
        <f ca="1">IF(Prices!B31&gt;OFFSET(Prices!B31,-S$3,0),1,-1)</f>
        <v>1</v>
      </c>
      <c r="T32" s="4">
        <f ca="1">IF(S32=1,T$3*Q31/Prices!B31,-T$3*R31)</f>
        <v>2.4373706801030202E-2</v>
      </c>
      <c r="V32" s="4"/>
      <c r="W32" s="4"/>
      <c r="X32" s="4"/>
      <c r="Y32" s="4"/>
      <c r="Z32" s="4"/>
      <c r="AA32" s="4"/>
      <c r="AB32" s="4"/>
      <c r="AC32" s="4"/>
      <c r="AD32" s="4"/>
      <c r="AE32" s="52"/>
    </row>
    <row r="33" spans="1:31" x14ac:dyDescent="0.2">
      <c r="A33" s="7">
        <v>41595</v>
      </c>
      <c r="B33" s="13">
        <f ca="1">Prices!B32*(1+J33/(50*(ABS(O33)+ABS(T33)+0.0001)))</f>
        <v>1.1352168713217459</v>
      </c>
      <c r="C33" s="62">
        <f t="shared" ca="1" si="3"/>
        <v>1</v>
      </c>
      <c r="D33" s="13">
        <f ca="1">D32+C33*(Prices!B33-Prices!B32)/Prices!B32</f>
        <v>6.9252703559358232E-3</v>
      </c>
      <c r="E33" s="13">
        <f t="shared" ca="1" si="4"/>
        <v>2.8804092743828034E-2</v>
      </c>
      <c r="F33" s="13">
        <f t="shared" ca="1" si="2"/>
        <v>3.5729363099763857E-2</v>
      </c>
      <c r="G33" s="21">
        <f ca="1">IF((Prices!B33-Prices!B32)*C33&gt;0,1,0)</f>
        <v>0</v>
      </c>
      <c r="H33" s="13">
        <f>ABS(Prices!B33-Prices!B32)/Prices!B32</f>
        <v>1.7610062893081816E-2</v>
      </c>
      <c r="I33" s="21"/>
      <c r="J33" s="4">
        <f t="shared" ca="1" si="5"/>
        <v>5.1512989085511537E-2</v>
      </c>
      <c r="K33" s="13"/>
      <c r="L33" s="13">
        <f ca="1">L32-O33*Prices!B33</f>
        <v>0.73764686659725986</v>
      </c>
      <c r="M33" s="4">
        <f t="shared" ca="1" si="1"/>
        <v>0.24923837943327704</v>
      </c>
      <c r="N33" s="13">
        <f ca="1">IF(Prices!B32&gt;OFFSET(Prices!B32,-$N$3,0),1,-1)</f>
        <v>1</v>
      </c>
      <c r="O33" s="4">
        <f ca="1">IF(N33=1,O$3*L32/Prices!B32,-O$3*M32)</f>
        <v>2.759456473227416E-2</v>
      </c>
      <c r="P33" s="22"/>
      <c r="Q33" s="13">
        <f ca="1">Q32-T33*Prices!B33</f>
        <v>0.86122113831727676</v>
      </c>
      <c r="R33" s="4">
        <f t="shared" ca="1" si="0"/>
        <v>0.13541943565480191</v>
      </c>
      <c r="S33" s="13">
        <f ca="1">IF(Prices!B32&gt;OFFSET(Prices!B32,-S$3,0),1,-1)</f>
        <v>1</v>
      </c>
      <c r="T33" s="4">
        <f ca="1">IF(S33=1,T$3*Q32/Prices!B32,-T$3*R32)</f>
        <v>2.3918424353237374E-2</v>
      </c>
      <c r="V33" s="13"/>
      <c r="W33" s="4"/>
      <c r="X33" s="4"/>
      <c r="Y33" s="4"/>
      <c r="Z33" s="4"/>
      <c r="AA33" s="4"/>
      <c r="AB33" s="4"/>
      <c r="AC33" s="4"/>
      <c r="AD33" s="4"/>
      <c r="AE33" s="52"/>
    </row>
    <row r="34" spans="1:31" x14ac:dyDescent="0.2">
      <c r="A34" s="7">
        <v>41602</v>
      </c>
      <c r="B34" s="13">
        <f ca="1">Prices!B33*(1+J34/(50*(ABS(O34)+ABS(T34)+0.0001)))</f>
        <v>1.1094933811286638</v>
      </c>
      <c r="C34" s="62">
        <f t="shared" ca="1" si="3"/>
        <v>1</v>
      </c>
      <c r="D34" s="13">
        <f ca="1">D33+C34*(Prices!B34-Prices!B33)/Prices!B33</f>
        <v>1.3418776849442414E-2</v>
      </c>
      <c r="E34" s="13">
        <f t="shared" ca="1" si="4"/>
        <v>2.2310586250321444E-2</v>
      </c>
      <c r="F34" s="13">
        <f t="shared" ca="1" si="2"/>
        <v>3.5729363099763857E-2</v>
      </c>
      <c r="G34" s="21">
        <f ca="1">IF((Prices!B34-Prices!B33)*C34&gt;0,1,0)</f>
        <v>1</v>
      </c>
      <c r="H34" s="13">
        <f>ABS(Prices!B34-Prices!B33)/Prices!B33</f>
        <v>6.4935064935065911E-3</v>
      </c>
      <c r="I34" s="21"/>
      <c r="J34" s="4">
        <f t="shared" ca="1" si="5"/>
        <v>2.2922851962265949E-2</v>
      </c>
      <c r="K34" s="13"/>
      <c r="L34" s="13">
        <f ca="1">L33-O34*Prices!B34</f>
        <v>0.70794939534464285</v>
      </c>
      <c r="M34" s="4">
        <f t="shared" ca="1" si="1"/>
        <v>0.27622381446518707</v>
      </c>
      <c r="N34" s="13">
        <f ca="1">IF(Prices!B33&gt;OFFSET(Prices!B33,-$N$3,0),1,-1)</f>
        <v>1</v>
      </c>
      <c r="O34" s="4">
        <f ca="1">IF(N34=1,O$3*L33/Prices!B33,-O$3*M33)</f>
        <v>2.6985435031910004E-2</v>
      </c>
      <c r="P34" s="22"/>
      <c r="Q34" s="13">
        <f ca="1">Q33-T34*Prices!B34</f>
        <v>0.86569201098542004</v>
      </c>
      <c r="R34" s="4">
        <f t="shared" ca="1" si="0"/>
        <v>0.13135685258515786</v>
      </c>
      <c r="S34" s="13">
        <f ca="1">IF(Prices!B33&gt;OFFSET(Prices!B33,-S$3,0),1,-1)</f>
        <v>-1</v>
      </c>
      <c r="T34" s="4">
        <f ca="1">IF(S34=1,T$3*Q33/Prices!B33,-T$3*R33)</f>
        <v>-4.0625830696440568E-3</v>
      </c>
      <c r="V34" s="13"/>
      <c r="W34" s="4"/>
      <c r="X34" s="4"/>
      <c r="Y34" s="4"/>
      <c r="Z34" s="4"/>
      <c r="AA34" s="4"/>
      <c r="AB34" s="4"/>
      <c r="AC34" s="4"/>
      <c r="AD34" s="4"/>
      <c r="AE34" s="52"/>
    </row>
    <row r="35" spans="1:31" x14ac:dyDescent="0.2">
      <c r="A35" s="7">
        <v>41609</v>
      </c>
      <c r="B35" s="13">
        <f ca="1">Prices!B34*(1+J35/(50*(ABS(O35)+ABS(T35)+0.0001)))</f>
        <v>1.1224654732619654</v>
      </c>
      <c r="C35" s="62">
        <f t="shared" ca="1" si="3"/>
        <v>1</v>
      </c>
      <c r="D35" s="13">
        <f ca="1">D34+C35*(Prices!B35-Prices!B34)/Prices!B34</f>
        <v>2.7139812742218328E-2</v>
      </c>
      <c r="E35" s="13">
        <f t="shared" ca="1" si="4"/>
        <v>8.5895503575455293E-3</v>
      </c>
      <c r="F35" s="13">
        <f t="shared" ca="1" si="2"/>
        <v>3.5729363099763857E-2</v>
      </c>
      <c r="G35" s="21">
        <f ca="1">IF((Prices!B35-Prices!B34)*C35&gt;0,1,0)</f>
        <v>1</v>
      </c>
      <c r="H35" s="13">
        <f>ABS(Prices!B35-Prices!B34)/Prices!B34</f>
        <v>1.3721035892775912E-2</v>
      </c>
      <c r="I35" s="21"/>
      <c r="J35" s="4">
        <f t="shared" ca="1" si="5"/>
        <v>4.9330973324260161E-2</v>
      </c>
      <c r="K35" s="13"/>
      <c r="L35" s="13">
        <f ca="1">L34-O35*Prices!B35</f>
        <v>0.67924286756830543</v>
      </c>
      <c r="M35" s="4">
        <f t="shared" ca="1" si="1"/>
        <v>0.30195573251496965</v>
      </c>
      <c r="N35" s="13">
        <f ca="1">IF(Prices!B34&gt;OFFSET(Prices!B34,-$N$3,0),1,-1)</f>
        <v>1</v>
      </c>
      <c r="O35" s="4">
        <f ca="1">IF(N35=1,O$3*L34/Prices!B34,-O$3*M34)</f>
        <v>2.5731918049782566E-2</v>
      </c>
      <c r="P35" s="22"/>
      <c r="Q35" s="13">
        <f ca="1">Q34-T35*Prices!B35</f>
        <v>0.83936490492121285</v>
      </c>
      <c r="R35" s="4">
        <f t="shared" ca="1" si="0"/>
        <v>0.15495590785963545</v>
      </c>
      <c r="S35" s="13">
        <f ca="1">IF(Prices!B34&gt;OFFSET(Prices!B34,-S$3,0),1,-1)</f>
        <v>1</v>
      </c>
      <c r="T35" s="4">
        <f ca="1">IF(S35=1,T$3*Q34/Prices!B34,-T$3*R34)</f>
        <v>2.3599055274477598E-2</v>
      </c>
      <c r="V35" s="13"/>
      <c r="W35" s="4"/>
      <c r="X35" s="4"/>
      <c r="Y35" s="4"/>
      <c r="Z35" s="4"/>
      <c r="AA35" s="4"/>
      <c r="AB35" s="4"/>
      <c r="AC35" s="4"/>
      <c r="AD35" s="4"/>
      <c r="AE35" s="52"/>
    </row>
    <row r="36" spans="1:31" x14ac:dyDescent="0.2">
      <c r="A36" s="7">
        <v>41616</v>
      </c>
      <c r="B36" s="13">
        <f ca="1">Prices!B35*(1+J36/(50*(ABS(O36)+ABS(T36)+0.0001)))</f>
        <v>1.1378645539210464</v>
      </c>
      <c r="C36" s="62">
        <f t="shared" ca="1" si="3"/>
        <v>1</v>
      </c>
      <c r="D36" s="13">
        <f ca="1">D35+C36*(Prices!B36-Prices!B35)/Prices!B35</f>
        <v>3.7358529128019763E-2</v>
      </c>
      <c r="E36" s="13">
        <f t="shared" ca="1" si="4"/>
        <v>0</v>
      </c>
      <c r="F36" s="13">
        <f t="shared" ca="1" si="2"/>
        <v>3.7358529128019763E-2</v>
      </c>
      <c r="G36" s="21">
        <f ca="1">IF((Prices!B36-Prices!B35)*C36&gt;0,1,0)</f>
        <v>1</v>
      </c>
      <c r="H36" s="13">
        <f>ABS(Prices!B36-Prices!B35)/Prices!B35</f>
        <v>1.0218716385801432E-2</v>
      </c>
      <c r="I36" s="21"/>
      <c r="J36" s="4">
        <f t="shared" ca="1" si="5"/>
        <v>4.6926014566483154E-2</v>
      </c>
      <c r="K36" s="13"/>
      <c r="L36" s="13">
        <f ca="1">L35-O36*Prices!B36</f>
        <v>0.6517955132567429</v>
      </c>
      <c r="M36" s="4">
        <f t="shared" ca="1" si="1"/>
        <v>0.32631008416675544</v>
      </c>
      <c r="N36" s="13">
        <f ca="1">IF(Prices!B35&gt;OFFSET(Prices!B35,-$N$3,0),1,-1)</f>
        <v>1</v>
      </c>
      <c r="O36" s="4">
        <f ca="1">IF(N36=1,O$3*L35/Prices!B35,-O$3*M35)</f>
        <v>2.4354351651785781E-2</v>
      </c>
      <c r="P36" s="22"/>
      <c r="Q36" s="13">
        <f ca="1">Q35-T36*Prices!B36</f>
        <v>0.81392664081634891</v>
      </c>
      <c r="R36" s="4">
        <f t="shared" ca="1" si="0"/>
        <v>0.17752757077433282</v>
      </c>
      <c r="S36" s="13">
        <f ca="1">IF(Prices!B35&gt;OFFSET(Prices!B35,-S$3,0),1,-1)</f>
        <v>1</v>
      </c>
      <c r="T36" s="4">
        <f ca="1">IF(S36=1,T$3*Q35/Prices!B35,-T$3*R35)</f>
        <v>2.2571662914697369E-2</v>
      </c>
      <c r="V36" s="13"/>
      <c r="W36" s="4"/>
      <c r="X36" s="4"/>
      <c r="Y36" s="4"/>
      <c r="Z36" s="4"/>
      <c r="AA36" s="4"/>
      <c r="AB36" s="4"/>
      <c r="AC36" s="4"/>
      <c r="AD36" s="4"/>
      <c r="AE36" s="52"/>
    </row>
    <row r="37" spans="1:31" x14ac:dyDescent="0.2">
      <c r="A37" s="7">
        <v>41623</v>
      </c>
      <c r="B37" s="13">
        <f ca="1">Prices!B36*(1+J37/(50*(ABS(O37)+ABS(T37)+0.0001)))</f>
        <v>1.1494897995741635</v>
      </c>
      <c r="C37" s="62">
        <f t="shared" ca="1" si="3"/>
        <v>1</v>
      </c>
      <c r="D37" s="13">
        <f ca="1">D36+C37*(Prices!B37-Prices!B36)/Prices!B36</f>
        <v>2.8219221230947913E-2</v>
      </c>
      <c r="E37" s="13">
        <f t="shared" ca="1" si="4"/>
        <v>9.1393078970718501E-3</v>
      </c>
      <c r="F37" s="13">
        <f t="shared" ca="1" si="2"/>
        <v>3.7358529128019763E-2</v>
      </c>
      <c r="G37" s="21">
        <f ca="1">IF((Prices!B37-Prices!B36)*C37&gt;0,1,0)</f>
        <v>0</v>
      </c>
      <c r="H37" s="13">
        <f>ABS(Prices!B37-Prices!B36)/Prices!B36</f>
        <v>9.1393078970718501E-3</v>
      </c>
      <c r="I37" s="21"/>
      <c r="J37" s="4">
        <f t="shared" ca="1" si="5"/>
        <v>4.4800017528624822E-2</v>
      </c>
      <c r="K37" s="13"/>
      <c r="L37" s="13">
        <f ca="1">L36-O37*Prices!B37</f>
        <v>0.62596197112173657</v>
      </c>
      <c r="M37" s="4">
        <f t="shared" ca="1" si="1"/>
        <v>0.34944390894960348</v>
      </c>
      <c r="N37" s="13">
        <f ca="1">IF(Prices!B36&gt;OFFSET(Prices!B36,-$N$3,0),1,-1)</f>
        <v>1</v>
      </c>
      <c r="O37" s="4">
        <f ca="1">IF(N37=1,O$3*L36/Prices!B36,-O$3*M36)</f>
        <v>2.3133824782848016E-2</v>
      </c>
      <c r="P37" s="22"/>
      <c r="Q37" s="13">
        <f ca="1">Q36-T37*Prices!B37</f>
        <v>0.78973200337714</v>
      </c>
      <c r="R37" s="4">
        <f t="shared" ca="1" si="0"/>
        <v>0.19919376352010962</v>
      </c>
      <c r="S37" s="13">
        <f ca="1">IF(Prices!B36&gt;OFFSET(Prices!B36,-S$3,0),1,-1)</f>
        <v>1</v>
      </c>
      <c r="T37" s="4">
        <f ca="1">IF(S37=1,T$3*Q36/Prices!B36,-T$3*R36)</f>
        <v>2.1666192745776809E-2</v>
      </c>
      <c r="V37" s="13"/>
      <c r="W37" s="4"/>
      <c r="X37" s="4"/>
      <c r="Y37" s="4"/>
      <c r="Z37" s="4"/>
      <c r="AA37" s="4"/>
      <c r="AB37" s="4"/>
      <c r="AC37" s="4"/>
      <c r="AD37" s="4"/>
      <c r="AE37" s="52"/>
    </row>
    <row r="38" spans="1:31" x14ac:dyDescent="0.2">
      <c r="A38" s="7">
        <v>41630</v>
      </c>
      <c r="B38" s="13">
        <f ca="1">Prices!B37*(1+J38/(50*(ABS(O38)+ABS(T38)+0.0001)))</f>
        <v>1.1212804071660776</v>
      </c>
      <c r="C38" s="62">
        <f t="shared" ca="1" si="3"/>
        <v>1</v>
      </c>
      <c r="D38" s="13">
        <f ca="1">D37+C38*(Prices!B38-Prices!B37)/Prices!B37</f>
        <v>4.8278323944299734E-2</v>
      </c>
      <c r="E38" s="13">
        <f t="shared" ca="1" si="4"/>
        <v>0</v>
      </c>
      <c r="F38" s="13">
        <f t="shared" ca="1" si="2"/>
        <v>4.8278323944299734E-2</v>
      </c>
      <c r="G38" s="21">
        <f ca="1">IF((Prices!B38-Prices!B37)*C38&gt;0,1,0)</f>
        <v>1</v>
      </c>
      <c r="H38" s="13">
        <f>ABS(Prices!B38-Prices!B37)/Prices!B37</f>
        <v>2.0059102713351817E-2</v>
      </c>
      <c r="I38" s="21"/>
      <c r="J38" s="4">
        <f t="shared" ca="1" si="5"/>
        <v>7.2382910149129641E-3</v>
      </c>
      <c r="K38" s="13"/>
      <c r="L38" s="13">
        <f ca="1">L37-O38*Prices!B38</f>
        <v>0.64188403338911626</v>
      </c>
      <c r="M38" s="4">
        <f t="shared" ca="1" si="1"/>
        <v>0.33546615259161933</v>
      </c>
      <c r="N38" s="13">
        <f ca="1">IF(Prices!B37&gt;OFFSET(Prices!B37,-$N$3,0),1,-1)</f>
        <v>-1</v>
      </c>
      <c r="O38" s="4">
        <f ca="1">IF(N38=1,O$3*L37/Prices!B37,-O$3*M37)</f>
        <v>-1.397775635798414E-2</v>
      </c>
      <c r="P38" s="22"/>
      <c r="Q38" s="13">
        <f ca="1">Q37-T38*Prices!B38</f>
        <v>0.76556480381467296</v>
      </c>
      <c r="R38" s="4">
        <f t="shared" ca="1" si="0"/>
        <v>0.22040981089300671</v>
      </c>
      <c r="S38" s="13">
        <f ca="1">IF(Prices!B37&gt;OFFSET(Prices!B37,-S$3,0),1,-1)</f>
        <v>1</v>
      </c>
      <c r="T38" s="4">
        <f ca="1">IF(S38=1,T$3*Q37/Prices!B37,-T$3*R37)</f>
        <v>2.1216047372897104E-2</v>
      </c>
      <c r="V38" s="13"/>
      <c r="W38" s="4"/>
      <c r="X38" s="4"/>
      <c r="Y38" s="4"/>
      <c r="Z38" s="4"/>
      <c r="AA38" s="4"/>
      <c r="AB38" s="4"/>
      <c r="AC38" s="4"/>
      <c r="AD38" s="4"/>
      <c r="AE38" s="52"/>
    </row>
    <row r="39" spans="1:31" x14ac:dyDescent="0.2">
      <c r="A39" s="7">
        <v>41637</v>
      </c>
      <c r="B39" s="13">
        <f ca="1">Prices!B38*(1+J39/(50*(ABS(O39)+ABS(T39)+0.0001)))</f>
        <v>1.1618287740144297</v>
      </c>
      <c r="C39" s="62">
        <f t="shared" ca="1" si="3"/>
        <v>1</v>
      </c>
      <c r="D39" s="13">
        <f ca="1">D38+C39*(Prices!B39-Prices!B38)/Prices!B38</f>
        <v>4.8980632784612184E-2</v>
      </c>
      <c r="E39" s="13">
        <f t="shared" ca="1" si="4"/>
        <v>0</v>
      </c>
      <c r="F39" s="13">
        <f t="shared" ca="1" si="2"/>
        <v>4.8980632784612184E-2</v>
      </c>
      <c r="G39" s="21">
        <f ca="1">IF((Prices!B39-Prices!B38)*C39&gt;0,1,0)</f>
        <v>1</v>
      </c>
      <c r="H39" s="13">
        <f>ABS(Prices!B39-Prices!B38)/Prices!B38</f>
        <v>7.0230884031245006E-4</v>
      </c>
      <c r="I39" s="21"/>
      <c r="J39" s="4">
        <f t="shared" ca="1" si="5"/>
        <v>4.2702401413400787E-2</v>
      </c>
      <c r="K39" s="13"/>
      <c r="L39" s="13">
        <f ca="1">L38-O39*Prices!B39</f>
        <v>0.61619064002030743</v>
      </c>
      <c r="M39" s="4">
        <f t="shared" ca="1" si="1"/>
        <v>0.3580061941468512</v>
      </c>
      <c r="N39" s="13">
        <f ca="1">IF(Prices!B38&gt;OFFSET(Prices!B38,-$N$3,0),1,-1)</f>
        <v>1</v>
      </c>
      <c r="O39" s="4">
        <f ca="1">IF(N39=1,O$3*L38/Prices!B38,-O$3*M38)</f>
        <v>2.2540041555231892E-2</v>
      </c>
      <c r="P39" s="22"/>
      <c r="Q39" s="13">
        <f ca="1">Q38-T39*Prices!B39</f>
        <v>0.74258172981234627</v>
      </c>
      <c r="R39" s="4">
        <f t="shared" ca="1" si="0"/>
        <v>0.2405721707511756</v>
      </c>
      <c r="S39" s="13">
        <f ca="1">IF(Prices!B38&gt;OFFSET(Prices!B38,-S$3,0),1,-1)</f>
        <v>1</v>
      </c>
      <c r="T39" s="4">
        <f ca="1">IF(S39=1,T$3*Q38/Prices!B38,-T$3*R38)</f>
        <v>2.0162359858168895E-2</v>
      </c>
      <c r="V39" s="13"/>
      <c r="W39" s="4"/>
      <c r="X39" s="4"/>
      <c r="Y39" s="4"/>
      <c r="Z39" s="4"/>
      <c r="AA39" s="4"/>
      <c r="AB39" s="4"/>
      <c r="AC39" s="4"/>
      <c r="AD39" s="4"/>
      <c r="AE39" s="52"/>
    </row>
    <row r="40" spans="1:31" x14ac:dyDescent="0.2">
      <c r="A40" s="7">
        <v>41644</v>
      </c>
      <c r="B40" s="13">
        <f ca="1">Prices!B39*(1+J40/(50*(ABS(O40)+ABS(T40)+0.0001)))</f>
        <v>1.1626427534962238</v>
      </c>
      <c r="C40" s="62">
        <f t="shared" ca="1" si="3"/>
        <v>1</v>
      </c>
      <c r="D40" s="13">
        <f ca="1">D39+C40*(Prices!B40-Prices!B39)/Prices!B39</f>
        <v>3.8892028521080431E-2</v>
      </c>
      <c r="E40" s="13">
        <f t="shared" ca="1" si="4"/>
        <v>1.0088604263531753E-2</v>
      </c>
      <c r="F40" s="13">
        <f t="shared" ca="1" si="2"/>
        <v>4.8980632784612184E-2</v>
      </c>
      <c r="G40" s="21">
        <f ca="1">IF((Prices!B40-Prices!B39)*C40&gt;0,1,0)</f>
        <v>0</v>
      </c>
      <c r="H40" s="13">
        <f>ABS(Prices!B40-Prices!B39)/Prices!B39</f>
        <v>1.0088604263531753E-2</v>
      </c>
      <c r="I40" s="21"/>
      <c r="J40" s="4">
        <f t="shared" ca="1" si="5"/>
        <v>4.1165959729083858E-2</v>
      </c>
      <c r="K40" s="13"/>
      <c r="L40" s="13">
        <f ca="1">L39-O40*Prices!B40</f>
        <v>0.59179167456021742</v>
      </c>
      <c r="M40" s="4">
        <f t="shared" ca="1" si="1"/>
        <v>0.37962881507922447</v>
      </c>
      <c r="N40" s="13">
        <f ca="1">IF(Prices!B39&gt;OFFSET(Prices!B39,-$N$3,0),1,-1)</f>
        <v>1</v>
      </c>
      <c r="O40" s="4">
        <f ca="1">IF(N40=1,O$3*L39/Prices!B39,-O$3*M39)</f>
        <v>2.1622620932373278E-2</v>
      </c>
      <c r="P40" s="22"/>
      <c r="Q40" s="13">
        <f ca="1">Q39-T40*Prices!B40</f>
        <v>0.72052902631413807</v>
      </c>
      <c r="R40" s="4">
        <f t="shared" ca="1" si="0"/>
        <v>0.2601155095478862</v>
      </c>
      <c r="S40" s="13">
        <f ca="1">IF(Prices!B39&gt;OFFSET(Prices!B39,-S$3,0),1,-1)</f>
        <v>1</v>
      </c>
      <c r="T40" s="4">
        <f ca="1">IF(S40=1,T$3*Q39/Prices!B39,-T$3*R39)</f>
        <v>1.954333879671058E-2</v>
      </c>
      <c r="V40" s="13"/>
      <c r="W40" s="4"/>
      <c r="X40" s="4"/>
      <c r="Y40" s="4"/>
      <c r="Z40" s="4"/>
      <c r="AA40" s="4"/>
      <c r="AB40" s="4"/>
      <c r="AC40" s="4"/>
      <c r="AD40" s="4"/>
      <c r="AE40" s="52"/>
    </row>
    <row r="41" spans="1:31" x14ac:dyDescent="0.2">
      <c r="A41" s="7">
        <v>41651</v>
      </c>
      <c r="B41" s="13">
        <f ca="1">Prices!B40*(1+J41/(50*(ABS(O41)+ABS(T41)+0.0001)))</f>
        <v>1.1509119085477924</v>
      </c>
      <c r="C41" s="62">
        <f t="shared" ca="1" si="3"/>
        <v>1</v>
      </c>
      <c r="D41" s="13">
        <f ca="1">D40+C41*(Prices!B41-Prices!B40)/Prices!B40</f>
        <v>3.3397523026574949E-2</v>
      </c>
      <c r="E41" s="13">
        <f t="shared" ca="1" si="4"/>
        <v>1.5583109758037235E-2</v>
      </c>
      <c r="F41" s="13">
        <f t="shared" ca="1" si="2"/>
        <v>4.8980632784612184E-2</v>
      </c>
      <c r="G41" s="21">
        <f ca="1">IF((Prices!B41-Prices!B40)*C41&gt;0,1,0)</f>
        <v>0</v>
      </c>
      <c r="H41" s="13">
        <f>ABS(Prices!B41-Prices!B40)/Prices!B40</f>
        <v>5.4945054945054793E-3</v>
      </c>
      <c r="I41" s="21"/>
      <c r="J41" s="4">
        <f t="shared" ca="1" si="5"/>
        <v>4.0134294374187196E-2</v>
      </c>
      <c r="K41" s="13"/>
      <c r="L41" s="13">
        <f ca="1">L40-O41*Prices!B41</f>
        <v>0.56825007168210762</v>
      </c>
      <c r="M41" s="4">
        <f t="shared" ca="1" si="1"/>
        <v>0.40060689641776459</v>
      </c>
      <c r="N41" s="13">
        <f ca="1">IF(Prices!B40&gt;OFFSET(Prices!B40,-$N$3,0),1,-1)</f>
        <v>1</v>
      </c>
      <c r="O41" s="4">
        <f ca="1">IF(N41=1,O$3*L40/Prices!B40,-O$3*M40)</f>
        <v>2.0978081338540143E-2</v>
      </c>
      <c r="P41" s="22"/>
      <c r="Q41" s="13">
        <f ca="1">Q40-T41*Prices!B41</f>
        <v>0.69903192404553494</v>
      </c>
      <c r="R41" s="4">
        <f t="shared" ca="1" si="0"/>
        <v>0.27927172258353328</v>
      </c>
      <c r="S41" s="13">
        <f ca="1">IF(Prices!B40&gt;OFFSET(Prices!B40,-S$3,0),1,-1)</f>
        <v>1</v>
      </c>
      <c r="T41" s="4">
        <f ca="1">IF(S41=1,T$3*Q40/Prices!B40,-T$3*R40)</f>
        <v>1.9156213035647057E-2</v>
      </c>
      <c r="V41" s="13"/>
      <c r="W41" s="4"/>
      <c r="X41" s="4"/>
      <c r="Y41" s="4"/>
      <c r="Z41" s="4"/>
      <c r="AA41" s="4"/>
      <c r="AB41" s="4"/>
      <c r="AC41" s="4"/>
      <c r="AD41" s="4"/>
      <c r="AE41" s="52"/>
    </row>
    <row r="42" spans="1:31" x14ac:dyDescent="0.2">
      <c r="A42" s="7">
        <v>41658</v>
      </c>
      <c r="B42" s="13">
        <f ca="1">Prices!B41*(1+J42/(50*(ABS(O42)+ABS(T42)+0.0001)))</f>
        <v>1.1445865135165683</v>
      </c>
      <c r="C42" s="62">
        <f t="shared" ca="1" si="3"/>
        <v>1</v>
      </c>
      <c r="D42" s="13">
        <f ca="1">D41+C42*(Prices!B42-Prices!B41)/Prices!B41</f>
        <v>5.3803867706667549E-2</v>
      </c>
      <c r="E42" s="13">
        <f t="shared" ca="1" si="4"/>
        <v>0</v>
      </c>
      <c r="F42" s="13">
        <f t="shared" ca="1" si="2"/>
        <v>5.3803867706667549E-2</v>
      </c>
      <c r="G42" s="21">
        <f ca="1">IF((Prices!B42-Prices!B41)*C42&gt;0,1,0)</f>
        <v>1</v>
      </c>
      <c r="H42" s="13">
        <f>ABS(Prices!B42-Prices!B41)/Prices!B41</f>
        <v>2.0406344680092604E-2</v>
      </c>
      <c r="I42" s="21"/>
      <c r="J42" s="4">
        <f t="shared" ca="1" si="5"/>
        <v>3.8942221162582738E-2</v>
      </c>
      <c r="K42" s="13"/>
      <c r="L42" s="13">
        <f ca="1">L41-O42*Prices!B42</f>
        <v>0.54505623254173396</v>
      </c>
      <c r="M42" s="4">
        <f t="shared" ca="1" si="1"/>
        <v>0.42086175550463351</v>
      </c>
      <c r="N42" s="13">
        <f ca="1">IF(Prices!B41&gt;OFFSET(Prices!B41,-$N$3,0),1,-1)</f>
        <v>1</v>
      </c>
      <c r="O42" s="4">
        <f ca="1">IF(N42=1,O$3*L41/Prices!B41,-O$3*M41)</f>
        <v>2.0254859086868922E-2</v>
      </c>
      <c r="P42" s="22"/>
      <c r="Q42" s="13">
        <f ca="1">Q41-T42*Prices!B42</f>
        <v>0.67763302573263506</v>
      </c>
      <c r="R42" s="4">
        <f t="shared" ca="1" si="0"/>
        <v>0.29795908465924709</v>
      </c>
      <c r="S42" s="13">
        <f ca="1">IF(Prices!B41&gt;OFFSET(Prices!B41,-S$3,0),1,-1)</f>
        <v>1</v>
      </c>
      <c r="T42" s="4">
        <f ca="1">IF(S42=1,T$3*Q41/Prices!B41,-T$3*R41)</f>
        <v>1.868736207571382E-2</v>
      </c>
      <c r="V42" s="13"/>
      <c r="W42" s="4"/>
      <c r="X42" s="4"/>
      <c r="Y42" s="4"/>
      <c r="Z42" s="4"/>
      <c r="AA42" s="4"/>
      <c r="AB42" s="4"/>
      <c r="AC42" s="4"/>
      <c r="AD42" s="4"/>
      <c r="AE42" s="52"/>
    </row>
    <row r="43" spans="1:31" x14ac:dyDescent="0.2">
      <c r="A43" s="7">
        <v>41665</v>
      </c>
      <c r="B43" s="13">
        <f ca="1">Prices!B42*(1+J43/(50*(ABS(O43)+ABS(T43)+0.0001)))</f>
        <v>1.1679399225598925</v>
      </c>
      <c r="C43" s="62">
        <f t="shared" ca="1" si="3"/>
        <v>1</v>
      </c>
      <c r="D43" s="13">
        <f ca="1">D42+C43*(Prices!B43-Prices!B42)/Prices!B42</f>
        <v>4.9699422680032385E-2</v>
      </c>
      <c r="E43" s="13">
        <f t="shared" ca="1" si="4"/>
        <v>4.1044450266351645E-3</v>
      </c>
      <c r="F43" s="13">
        <f t="shared" ca="1" si="2"/>
        <v>5.3803867706667549E-2</v>
      </c>
      <c r="G43" s="21">
        <f ca="1">IF((Prices!B43-Prices!B42)*C43&gt;0,1,0)</f>
        <v>0</v>
      </c>
      <c r="H43" s="13">
        <f>ABS(Prices!B43-Prices!B42)/Prices!B42</f>
        <v>4.1044450266351645E-3</v>
      </c>
      <c r="I43" s="21"/>
      <c r="J43" s="4">
        <f t="shared" ca="1" si="5"/>
        <v>3.6792629528991712E-2</v>
      </c>
      <c r="K43" s="13"/>
      <c r="L43" s="13">
        <f ca="1">L42-O43*Prices!B43</f>
        <v>0.52334346937378029</v>
      </c>
      <c r="M43" s="4">
        <f t="shared" ca="1" si="1"/>
        <v>0.43990135842286715</v>
      </c>
      <c r="N43" s="13">
        <f ca="1">IF(Prices!B42&gt;OFFSET(Prices!B42,-$N$3,0),1,-1)</f>
        <v>1</v>
      </c>
      <c r="O43" s="4">
        <f ca="1">IF(N43=1,O$3*L42/Prices!B42,-O$3*M42)</f>
        <v>1.9039602918233655E-2</v>
      </c>
      <c r="P43" s="22"/>
      <c r="Q43" s="13">
        <f ca="1">Q42-T43*Prices!B43</f>
        <v>0.65738747418572663</v>
      </c>
      <c r="R43" s="4">
        <f t="shared" ca="1" si="0"/>
        <v>0.31571211127000515</v>
      </c>
      <c r="S43" s="13">
        <f ca="1">IF(Prices!B42&gt;OFFSET(Prices!B42,-S$3,0),1,-1)</f>
        <v>1</v>
      </c>
      <c r="T43" s="4">
        <f ca="1">IF(S43=1,T$3*Q42/Prices!B42,-T$3*R42)</f>
        <v>1.7753026610758057E-2</v>
      </c>
      <c r="V43" s="13"/>
      <c r="W43" s="4"/>
      <c r="X43" s="4"/>
      <c r="Y43" s="4"/>
      <c r="Z43" s="4"/>
      <c r="AA43" s="4"/>
      <c r="AB43" s="4"/>
      <c r="AC43" s="4"/>
      <c r="AD43" s="4"/>
      <c r="AE43" s="52"/>
    </row>
    <row r="44" spans="1:31" x14ac:dyDescent="0.2">
      <c r="A44" s="7">
        <v>41672</v>
      </c>
      <c r="B44" s="13">
        <f ca="1">Prices!B43*(1+J44/(50*(ABS(O44)+ABS(T44)+0.0001)))</f>
        <v>1.1631442015597835</v>
      </c>
      <c r="C44" s="62">
        <f t="shared" ca="1" si="3"/>
        <v>1</v>
      </c>
      <c r="D44" s="13">
        <f ca="1">D43+C44*(Prices!B44-Prices!B43)/Prices!B43</f>
        <v>4.1369012297710339E-2</v>
      </c>
      <c r="E44" s="13">
        <f t="shared" ca="1" si="4"/>
        <v>1.243485540895721E-2</v>
      </c>
      <c r="F44" s="13">
        <f t="shared" ca="1" si="2"/>
        <v>5.3803867706667549E-2</v>
      </c>
      <c r="G44" s="21">
        <f ca="1">IF((Prices!B44-Prices!B43)*C44&gt;0,1,0)</f>
        <v>0</v>
      </c>
      <c r="H44" s="13">
        <f>ABS(Prices!B44-Prices!B43)/Prices!B43</f>
        <v>8.3304103823220472E-3</v>
      </c>
      <c r="I44" s="21"/>
      <c r="J44" s="4">
        <f t="shared" ca="1" si="5"/>
        <v>3.5650090319644862E-2</v>
      </c>
      <c r="K44" s="13"/>
      <c r="L44" s="13">
        <f ca="1">L43-O44*Prices!B44</f>
        <v>0.5025841172336607</v>
      </c>
      <c r="M44" s="4">
        <f t="shared" ca="1" si="1"/>
        <v>0.45825784629988503</v>
      </c>
      <c r="N44" s="13">
        <f ca="1">IF(Prices!B43&gt;OFFSET(Prices!B43,-$N$3,0),1,-1)</f>
        <v>1</v>
      </c>
      <c r="O44" s="4">
        <f ca="1">IF(N44=1,O$3*L43/Prices!B43,-O$3*M43)</f>
        <v>1.8356487877017897E-2</v>
      </c>
      <c r="P44" s="22"/>
      <c r="Q44" s="13">
        <f ca="1">Q43-T44*Prices!B44</f>
        <v>0.63783013918335985</v>
      </c>
      <c r="R44" s="4">
        <f t="shared" ca="1" si="0"/>
        <v>0.3330057137126321</v>
      </c>
      <c r="S44" s="13">
        <f ca="1">IF(Prices!B43&gt;OFFSET(Prices!B43,-S$3,0),1,-1)</f>
        <v>1</v>
      </c>
      <c r="T44" s="4">
        <f ca="1">IF(S44=1,T$3*Q43/Prices!B43,-T$3*R43)</f>
        <v>1.7293602442626968E-2</v>
      </c>
      <c r="V44" s="13"/>
      <c r="W44" s="4"/>
      <c r="X44" s="4"/>
      <c r="Y44" s="4"/>
      <c r="Z44" s="4"/>
      <c r="AA44" s="4"/>
      <c r="AB44" s="4"/>
      <c r="AC44" s="4"/>
      <c r="AD44" s="4"/>
      <c r="AE44" s="52"/>
    </row>
    <row r="45" spans="1:31" x14ac:dyDescent="0.2">
      <c r="A45" s="7">
        <v>41679</v>
      </c>
      <c r="B45" s="13">
        <f ca="1">Prices!B44*(1+J45/(50*(ABS(O45)+ABS(T45)+0.0001)))</f>
        <v>1.1299976913373391</v>
      </c>
      <c r="C45" s="62">
        <f t="shared" ca="1" si="3"/>
        <v>0</v>
      </c>
      <c r="D45" s="13">
        <f ca="1">D44+C45*(Prices!B45-Prices!B44)/Prices!B44</f>
        <v>4.1369012297710339E-2</v>
      </c>
      <c r="E45" s="13">
        <f t="shared" ca="1" si="4"/>
        <v>1.243485540895721E-2</v>
      </c>
      <c r="F45" s="13">
        <f t="shared" ca="1" si="2"/>
        <v>5.3803867706667549E-2</v>
      </c>
      <c r="G45" s="21">
        <f ca="1">IF((Prices!B45-Prices!B44)*C45&gt;0,1,0)</f>
        <v>0</v>
      </c>
      <c r="H45" s="13">
        <f>ABS(Prices!B45-Prices!B44)/Prices!B44</f>
        <v>7.5161375895304201E-3</v>
      </c>
      <c r="I45" s="21"/>
      <c r="J45" s="4">
        <f t="shared" ca="1" si="5"/>
        <v>-1.4102464936959977E-3</v>
      </c>
      <c r="K45" s="13"/>
      <c r="L45" s="13">
        <f ca="1">L44-O45*Prices!B45</f>
        <v>0.5231580615011403</v>
      </c>
      <c r="M45" s="4">
        <f t="shared" ca="1" si="1"/>
        <v>0.43992753244788962</v>
      </c>
      <c r="N45" s="13">
        <f ca="1">IF(Prices!B44&gt;OFFSET(Prices!B44,-$N$3,0),1,-1)</f>
        <v>-1</v>
      </c>
      <c r="O45" s="4">
        <f ca="1">IF(N45=1,O$3*L44/Prices!B44,-O$3*M44)</f>
        <v>-1.8330313851995402E-2</v>
      </c>
      <c r="P45" s="22"/>
      <c r="Q45" s="13">
        <f ca="1">Q44-T45*Prices!B45</f>
        <v>0.61883905558040464</v>
      </c>
      <c r="R45" s="4">
        <f t="shared" ca="1" si="0"/>
        <v>0.34992578107093153</v>
      </c>
      <c r="S45" s="13">
        <f ca="1">IF(Prices!B44&gt;OFFSET(Prices!B44,-S$3,0),1,-1)</f>
        <v>1</v>
      </c>
      <c r="T45" s="4">
        <f ca="1">IF(S45=1,T$3*Q44/Prices!B44,-T$3*R44)</f>
        <v>1.6920067358299404E-2</v>
      </c>
      <c r="V45" s="13"/>
      <c r="W45" s="4"/>
      <c r="X45" s="4"/>
      <c r="Y45" s="4"/>
      <c r="Z45" s="4"/>
      <c r="AA45" s="4"/>
      <c r="AB45" s="4"/>
      <c r="AC45" s="4"/>
      <c r="AD45" s="4"/>
      <c r="AE45" s="52"/>
    </row>
    <row r="46" spans="1:31" x14ac:dyDescent="0.2">
      <c r="A46" s="7">
        <v>41686</v>
      </c>
      <c r="B46" s="13">
        <f ca="1">Prices!B45*(1+J46/(50*(ABS(O46)+ABS(T46)+0.0001)))</f>
        <v>1.1217073046871244</v>
      </c>
      <c r="C46" s="62">
        <f t="shared" ca="1" si="3"/>
        <v>0</v>
      </c>
      <c r="D46" s="13">
        <f ca="1">D45+C46*(Prices!B46-Prices!B45)/Prices!B45</f>
        <v>4.1369012297710339E-2</v>
      </c>
      <c r="E46" s="13">
        <f t="shared" ca="1" si="4"/>
        <v>1.243485540895721E-2</v>
      </c>
      <c r="F46" s="13">
        <f t="shared" ca="1" si="2"/>
        <v>5.3803867706667549E-2</v>
      </c>
      <c r="G46" s="21">
        <f ca="1">IF((Prices!B46-Prices!B45)*C46&gt;0,1,0)</f>
        <v>0</v>
      </c>
      <c r="H46" s="13">
        <f>ABS(Prices!B46-Prices!B45)/Prices!B45</f>
        <v>9.7113328581611997E-3</v>
      </c>
      <c r="I46" s="21"/>
      <c r="J46" s="4">
        <f t="shared" ca="1" si="5"/>
        <v>-1.0564993134072678E-3</v>
      </c>
      <c r="K46" s="13"/>
      <c r="L46" s="13">
        <f ca="1">L45-O46*Prices!B46</f>
        <v>0.54271723959377349</v>
      </c>
      <c r="M46" s="4">
        <f t="shared" ca="1" si="1"/>
        <v>0.42233043114997404</v>
      </c>
      <c r="N46" s="13">
        <f ca="1">IF(Prices!B45&gt;OFFSET(Prices!B45,-$N$3,0),1,-1)</f>
        <v>-1</v>
      </c>
      <c r="O46" s="4">
        <f ca="1">IF(N46=1,O$3*L45/Prices!B45,-O$3*M45)</f>
        <v>-1.7597101297915585E-2</v>
      </c>
      <c r="P46" s="22"/>
      <c r="Q46" s="13">
        <f ca="1">Q45-T46*Prices!B46</f>
        <v>0.60045417647462362</v>
      </c>
      <c r="R46" s="4">
        <f t="shared" ca="1" si="0"/>
        <v>0.36646638305543983</v>
      </c>
      <c r="S46" s="13">
        <f ca="1">IF(Prices!B45&gt;OFFSET(Prices!B45,-S$3,0),1,-1)</f>
        <v>1</v>
      </c>
      <c r="T46" s="4">
        <f ca="1">IF(S46=1,T$3*Q45/Prices!B45,-T$3*R45)</f>
        <v>1.6540601984508317E-2</v>
      </c>
      <c r="V46" s="13"/>
      <c r="W46" s="4"/>
      <c r="X46" s="4"/>
      <c r="Y46" s="4"/>
      <c r="Z46" s="4"/>
      <c r="AA46" s="4"/>
      <c r="AB46" s="4"/>
      <c r="AC46" s="4"/>
      <c r="AD46" s="4"/>
      <c r="AE46" s="52"/>
    </row>
    <row r="47" spans="1:31" x14ac:dyDescent="0.2">
      <c r="A47" s="7">
        <v>41693</v>
      </c>
      <c r="B47" s="13">
        <f ca="1">Prices!B46*(1+J47/(50*(ABS(O47)+ABS(T47)+0.0001)))</f>
        <v>1.0893494291428214</v>
      </c>
      <c r="C47" s="62">
        <f t="shared" ca="1" si="3"/>
        <v>0</v>
      </c>
      <c r="D47" s="13">
        <f ca="1">D46+C47*(Prices!B47-Prices!B46)/Prices!B46</f>
        <v>4.1369012297710339E-2</v>
      </c>
      <c r="E47" s="13">
        <f t="shared" ca="1" si="4"/>
        <v>1.243485540895721E-2</v>
      </c>
      <c r="F47" s="13">
        <f t="shared" ca="1" si="2"/>
        <v>5.3803867706667549E-2</v>
      </c>
      <c r="G47" s="21">
        <f ca="1">IF((Prices!B47-Prices!B46)*C47&gt;0,1,0)</f>
        <v>0</v>
      </c>
      <c r="H47" s="13">
        <f>ABS(Prices!B47-Prices!B46)/Prices!B46</f>
        <v>2.2672064777328037E-2</v>
      </c>
      <c r="I47" s="21"/>
      <c r="J47" s="4">
        <f t="shared" ca="1" si="5"/>
        <v>-2.7887208737662157E-2</v>
      </c>
      <c r="K47" s="13"/>
      <c r="L47" s="13">
        <f ca="1">L46-O47*Prices!B47</f>
        <v>0.56191975963730056</v>
      </c>
      <c r="M47" s="4">
        <f t="shared" ca="1" si="1"/>
        <v>0.40543721390397508</v>
      </c>
      <c r="N47" s="13">
        <f ca="1">IF(Prices!B46&gt;OFFSET(Prices!B46,-$N$3,0),1,-1)</f>
        <v>-1</v>
      </c>
      <c r="O47" s="4">
        <f ca="1">IF(N47=1,O$3*L46/Prices!B46,-O$3*M46)</f>
        <v>-1.6893217245998963E-2</v>
      </c>
      <c r="P47" s="22"/>
      <c r="Q47" s="13">
        <f ca="1">Q46-T47*Prices!B47</f>
        <v>0.61295104660319721</v>
      </c>
      <c r="R47" s="4">
        <f t="shared" ca="1" si="0"/>
        <v>0.35547239156377664</v>
      </c>
      <c r="S47" s="13">
        <f ca="1">IF(Prices!B46&gt;OFFSET(Prices!B46,-S$3,0),1,-1)</f>
        <v>-1</v>
      </c>
      <c r="T47" s="4">
        <f ca="1">IF(S47=1,T$3*Q46/Prices!B46,-T$3*R46)</f>
        <v>-1.0993991491663194E-2</v>
      </c>
      <c r="V47" s="13"/>
      <c r="W47" s="4"/>
      <c r="X47" s="4"/>
      <c r="Y47" s="4"/>
      <c r="Z47" s="4"/>
      <c r="AA47" s="4"/>
      <c r="AB47" s="4"/>
      <c r="AC47" s="4"/>
      <c r="AD47" s="4"/>
      <c r="AE47" s="52"/>
    </row>
    <row r="48" spans="1:31" x14ac:dyDescent="0.2">
      <c r="A48" s="7">
        <v>41700</v>
      </c>
      <c r="B48" s="13">
        <f ca="1">Prices!B47*(1+J48/(50*(ABS(O48)+ABS(T48)+0.0001)))</f>
        <v>1.1593709390590756</v>
      </c>
      <c r="C48" s="62">
        <f t="shared" ca="1" si="3"/>
        <v>1</v>
      </c>
      <c r="D48" s="13">
        <f ca="1">D47+C48*(Prices!B48-Prices!B47)/Prices!B47</f>
        <v>3.1164032971590823E-2</v>
      </c>
      <c r="E48" s="13">
        <f t="shared" ca="1" si="4"/>
        <v>2.2639834735076726E-2</v>
      </c>
      <c r="F48" s="13">
        <f t="shared" ca="1" si="2"/>
        <v>5.3803867706667549E-2</v>
      </c>
      <c r="G48" s="21">
        <f ca="1">IF((Prices!B48-Prices!B47)*C48&gt;0,1,0)</f>
        <v>0</v>
      </c>
      <c r="H48" s="13">
        <f>ABS(Prices!B48-Prices!B47)/Prices!B47</f>
        <v>1.0204979326119516E-2</v>
      </c>
      <c r="I48" s="21"/>
      <c r="J48" s="4">
        <f t="shared" ca="1" si="5"/>
        <v>3.5950841720408147E-2</v>
      </c>
      <c r="K48" s="13"/>
      <c r="L48" s="13">
        <f ca="1">L47-O48*Prices!B48</f>
        <v>0.53967234443301004</v>
      </c>
      <c r="M48" s="4">
        <f t="shared" ca="1" si="1"/>
        <v>0.42521093642134294</v>
      </c>
      <c r="N48" s="13">
        <f ca="1">IF(Prices!B47&gt;OFFSET(Prices!B47,-$N$3,0),1,-1)</f>
        <v>1</v>
      </c>
      <c r="O48" s="4">
        <f ca="1">IF(N48=1,O$3*L47/Prices!B47,-O$3*M47)</f>
        <v>1.977372251736784E-2</v>
      </c>
      <c r="P48" s="22"/>
      <c r="Q48" s="13">
        <f ca="1">Q47-T48*Prices!B48</f>
        <v>0.59475016978785655</v>
      </c>
      <c r="R48" s="4">
        <f t="shared" ca="1" si="0"/>
        <v>0.37164951076681696</v>
      </c>
      <c r="S48" s="13">
        <f ca="1">IF(Prices!B47&gt;OFFSET(Prices!B47,-S$3,0),1,-1)</f>
        <v>1</v>
      </c>
      <c r="T48" s="4">
        <f ca="1">IF(S48=1,T$3*Q47/Prices!B47,-T$3*R47)</f>
        <v>1.6177119203040307E-2</v>
      </c>
      <c r="V48" s="13"/>
      <c r="W48" s="4"/>
      <c r="X48" s="4"/>
      <c r="Y48" s="4"/>
      <c r="Z48" s="4"/>
      <c r="AA48" s="4"/>
      <c r="AB48" s="4"/>
      <c r="AC48" s="4"/>
      <c r="AD48" s="4"/>
      <c r="AE48" s="52"/>
    </row>
    <row r="49" spans="1:31" x14ac:dyDescent="0.2">
      <c r="A49" s="7">
        <v>41707</v>
      </c>
      <c r="B49" s="13">
        <f ca="1">Prices!B48*(1+J49/(50*(ABS(O49)+ABS(T49)+0.0001)))</f>
        <v>1.1243151626655044</v>
      </c>
      <c r="C49" s="62">
        <f t="shared" ca="1" si="3"/>
        <v>0</v>
      </c>
      <c r="D49" s="13">
        <f ca="1">D48+C49*(Prices!B49-Prices!B48)/Prices!B48</f>
        <v>3.1164032971590823E-2</v>
      </c>
      <c r="E49" s="13">
        <f t="shared" ca="1" si="4"/>
        <v>2.2639834735076726E-2</v>
      </c>
      <c r="F49" s="13">
        <f t="shared" ca="1" si="2"/>
        <v>5.3803867706667549E-2</v>
      </c>
      <c r="G49" s="21">
        <f ca="1">IF((Prices!B49-Prices!B48)*C49&gt;0,1,0)</f>
        <v>0</v>
      </c>
      <c r="H49" s="13">
        <f>ABS(Prices!B49-Prices!B48)/Prices!B48</f>
        <v>2.3109056972712965E-3</v>
      </c>
      <c r="I49" s="21"/>
      <c r="J49" s="4">
        <f t="shared" ca="1" si="5"/>
        <v>-1.1498425820553049E-3</v>
      </c>
      <c r="K49" s="13"/>
      <c r="L49" s="13">
        <f ca="1">L48-O49*Prices!B49</f>
        <v>0.55885275935310397</v>
      </c>
      <c r="M49" s="4">
        <f t="shared" ca="1" si="1"/>
        <v>0.40820249896448924</v>
      </c>
      <c r="N49" s="13">
        <f ca="1">IF(Prices!B48&gt;OFFSET(Prices!B48,-$N$3,0),1,-1)</f>
        <v>-1</v>
      </c>
      <c r="O49" s="4">
        <f ca="1">IF(N49=1,O$3*L48/Prices!B48,-O$3*M48)</f>
        <v>-1.7008437456853719E-2</v>
      </c>
      <c r="P49" s="22"/>
      <c r="Q49" s="13">
        <f ca="1">Q48-T49*Prices!B49</f>
        <v>0.57686643234754642</v>
      </c>
      <c r="R49" s="4">
        <f t="shared" ca="1" si="0"/>
        <v>0.38750810564161536</v>
      </c>
      <c r="S49" s="13">
        <f ca="1">IF(Prices!B48&gt;OFFSET(Prices!B48,-S$3,0),1,-1)</f>
        <v>1</v>
      </c>
      <c r="T49" s="4">
        <f ca="1">IF(S49=1,T$3*Q48/Prices!B48,-T$3*R48)</f>
        <v>1.5858594874798414E-2</v>
      </c>
      <c r="V49" s="13"/>
      <c r="W49" s="4"/>
      <c r="X49" s="4"/>
      <c r="Y49" s="4"/>
      <c r="Z49" s="4"/>
      <c r="AA49" s="4"/>
      <c r="AB49" s="4"/>
      <c r="AC49" s="4"/>
      <c r="AD49" s="4"/>
      <c r="AE49" s="52"/>
    </row>
    <row r="50" spans="1:31" x14ac:dyDescent="0.2">
      <c r="A50" s="7">
        <v>41714</v>
      </c>
      <c r="B50" s="13">
        <f ca="1">Prices!B49*(1+J50/(50*(ABS(O50)+ABS(T50)+0.0001)))</f>
        <v>1.1052263968350482</v>
      </c>
      <c r="C50" s="62">
        <f t="shared" ca="1" si="3"/>
        <v>0</v>
      </c>
      <c r="D50" s="13">
        <f ca="1">D49+C50*(Prices!B50-Prices!B49)/Prices!B49</f>
        <v>3.1164032971590823E-2</v>
      </c>
      <c r="E50" s="13">
        <f t="shared" ca="1" si="4"/>
        <v>2.2639834735076726E-2</v>
      </c>
      <c r="F50" s="13">
        <f t="shared" ca="1" si="2"/>
        <v>5.3803867706667549E-2</v>
      </c>
      <c r="G50" s="21">
        <f ca="1">IF((Prices!B50-Prices!B49)*C50&gt;0,1,0)</f>
        <v>0</v>
      </c>
      <c r="H50" s="13">
        <f>ABS(Prices!B50-Prices!B49)/Prices!B49</f>
        <v>1.4188170612751632E-2</v>
      </c>
      <c r="I50" s="21"/>
      <c r="J50" s="4">
        <f t="shared" ca="1" si="5"/>
        <v>-2.7953343127828031E-2</v>
      </c>
      <c r="K50" s="13"/>
      <c r="L50" s="13">
        <f ca="1">L49-O50*Prices!B50</f>
        <v>0.57700470807705684</v>
      </c>
      <c r="M50" s="4">
        <f t="shared" ca="1" si="1"/>
        <v>0.39187439900590965</v>
      </c>
      <c r="N50" s="13">
        <f ca="1">IF(Prices!B49&gt;OFFSET(Prices!B49,-$N$3,0),1,-1)</f>
        <v>-1</v>
      </c>
      <c r="O50" s="4">
        <f ca="1">IF(N50=1,O$3*L49/Prices!B49,-O$3*M49)</f>
        <v>-1.6328099958579569E-2</v>
      </c>
      <c r="P50" s="22"/>
      <c r="Q50" s="13">
        <f ca="1">Q49-T50*Prices!B50</f>
        <v>0.58979021517879993</v>
      </c>
      <c r="R50" s="4">
        <f t="shared" ca="1" si="0"/>
        <v>0.37588286247236691</v>
      </c>
      <c r="S50" s="13">
        <f ca="1">IF(Prices!B49&gt;OFFSET(Prices!B49,-S$3,0),1,-1)</f>
        <v>-1</v>
      </c>
      <c r="T50" s="4">
        <f ca="1">IF(S50=1,T$3*Q49/Prices!B49,-T$3*R49)</f>
        <v>-1.1625243169248461E-2</v>
      </c>
      <c r="V50" s="13"/>
      <c r="W50" s="4"/>
      <c r="X50" s="4"/>
      <c r="Y50" s="4"/>
      <c r="Z50" s="4"/>
      <c r="AA50" s="4"/>
      <c r="AB50" s="4"/>
      <c r="AC50" s="4"/>
      <c r="AD50" s="4"/>
      <c r="AE50" s="52"/>
    </row>
    <row r="51" spans="1:31" x14ac:dyDescent="0.2">
      <c r="A51" s="7">
        <v>41721</v>
      </c>
      <c r="B51" s="13">
        <f ca="1">Prices!B50*(1+J51/(50*(ABS(O51)+ABS(T51)+0.0001)))</f>
        <v>1.0895481914916689</v>
      </c>
      <c r="C51" s="62">
        <f t="shared" ca="1" si="3"/>
        <v>0</v>
      </c>
      <c r="D51" s="13">
        <f ca="1">D50+C51*(Prices!B51-Prices!B50)/Prices!B50</f>
        <v>3.1164032971590823E-2</v>
      </c>
      <c r="E51" s="13">
        <f t="shared" ca="1" si="4"/>
        <v>2.2639834735076726E-2</v>
      </c>
      <c r="F51" s="13">
        <f t="shared" ca="1" si="2"/>
        <v>5.3803867706667549E-2</v>
      </c>
      <c r="G51" s="21">
        <f ca="1">IF((Prices!B51-Prices!B50)*C51&gt;0,1,0)</f>
        <v>0</v>
      </c>
      <c r="H51" s="13">
        <f>ABS(Prices!B51-Prices!B50)/Prices!B50</f>
        <v>1.7090941800845668E-3</v>
      </c>
      <c r="I51" s="21"/>
      <c r="J51" s="4">
        <f t="shared" ca="1" si="5"/>
        <v>-2.6951461834407393E-2</v>
      </c>
      <c r="K51" s="13"/>
      <c r="L51" s="13">
        <f ca="1">L50-O51*Prices!B51</f>
        <v>0.59446036130637603</v>
      </c>
      <c r="M51" s="4">
        <f t="shared" ca="1" si="1"/>
        <v>0.37619942304567328</v>
      </c>
      <c r="N51" s="13">
        <f ca="1">IF(Prices!B50&gt;OFFSET(Prices!B50,-$N$3,0),1,-1)</f>
        <v>-1</v>
      </c>
      <c r="O51" s="4">
        <f ca="1">IF(N51=1,O$3*L50/Prices!B50,-O$3*M50)</f>
        <v>-1.5674975960236388E-2</v>
      </c>
      <c r="P51" s="22"/>
      <c r="Q51" s="13">
        <f ca="1">Q50-T51*Prices!B51</f>
        <v>0.60234770984827679</v>
      </c>
      <c r="R51" s="4">
        <f t="shared" ca="1" si="0"/>
        <v>0.36460637659819589</v>
      </c>
      <c r="S51" s="13">
        <f ca="1">IF(Prices!B50&gt;OFFSET(Prices!B50,-S$3,0),1,-1)</f>
        <v>-1</v>
      </c>
      <c r="T51" s="4">
        <f ca="1">IF(S51=1,T$3*Q50/Prices!B50,-T$3*R50)</f>
        <v>-1.1276485874171007E-2</v>
      </c>
      <c r="V51" s="13"/>
      <c r="W51" s="4"/>
      <c r="X51" s="4"/>
      <c r="Y51" s="4"/>
      <c r="Z51" s="4"/>
      <c r="AA51" s="4"/>
      <c r="AB51" s="4"/>
      <c r="AC51" s="4"/>
      <c r="AD51" s="4"/>
      <c r="AE51" s="52"/>
    </row>
    <row r="52" spans="1:31" x14ac:dyDescent="0.2">
      <c r="A52" s="7">
        <v>41728</v>
      </c>
      <c r="B52" s="13">
        <f ca="1">Prices!B51*(1+J52/(50*(ABS(O52)+ABS(T52)+0.0001)))</f>
        <v>1.0914133785799904</v>
      </c>
      <c r="C52" s="62">
        <f t="shared" ca="1" si="3"/>
        <v>0</v>
      </c>
      <c r="D52" s="13">
        <f ca="1">D51+C52*(Prices!B52-Prices!B51)/Prices!B51</f>
        <v>3.1164032971590823E-2</v>
      </c>
      <c r="E52" s="13">
        <f t="shared" ca="1" si="4"/>
        <v>2.2639834735076726E-2</v>
      </c>
      <c r="F52" s="13">
        <f t="shared" ca="1" si="2"/>
        <v>5.3803867706667549E-2</v>
      </c>
      <c r="G52" s="21">
        <f ca="1">IF((Prices!B52-Prices!B51)*C52&gt;0,1,0)</f>
        <v>0</v>
      </c>
      <c r="H52" s="13">
        <f>ABS(Prices!B52-Prices!B51)/Prices!B51</f>
        <v>7.6329022988505324E-3</v>
      </c>
      <c r="I52" s="21"/>
      <c r="J52" s="4">
        <f t="shared" ca="1" si="5"/>
        <v>-2.5986168219772808E-2</v>
      </c>
      <c r="K52" s="13"/>
      <c r="L52" s="13">
        <f ca="1">L51-O52*Prices!B52</f>
        <v>0.61108988060268699</v>
      </c>
      <c r="M52" s="4">
        <f t="shared" ca="1" si="1"/>
        <v>0.36115144612384636</v>
      </c>
      <c r="N52" s="13">
        <f ca="1">IF(Prices!B51&gt;OFFSET(Prices!B51,-$N$3,0),1,-1)</f>
        <v>-1</v>
      </c>
      <c r="O52" s="4">
        <f ca="1">IF(N52=1,O$3*L51/Prices!B51,-O$3*M51)</f>
        <v>-1.5047976921826932E-2</v>
      </c>
      <c r="P52" s="22"/>
      <c r="Q52" s="13">
        <f ca="1">Q51-T52*Prices!B52</f>
        <v>0.6144355050516368</v>
      </c>
      <c r="R52" s="4">
        <f t="shared" ca="1" si="0"/>
        <v>0.35366818530025002</v>
      </c>
      <c r="S52" s="13">
        <f ca="1">IF(Prices!B51&gt;OFFSET(Prices!B51,-S$3,0),1,-1)</f>
        <v>-1</v>
      </c>
      <c r="T52" s="4">
        <f ca="1">IF(S52=1,T$3*Q51/Prices!B51,-T$3*R51)</f>
        <v>-1.0938191297945876E-2</v>
      </c>
      <c r="V52" s="13"/>
      <c r="W52" s="4"/>
      <c r="X52" s="4"/>
      <c r="Y52" s="4"/>
      <c r="Z52" s="4"/>
      <c r="AA52" s="4"/>
      <c r="AB52" s="4"/>
      <c r="AC52" s="4"/>
      <c r="AD52" s="4"/>
      <c r="AE52" s="52"/>
    </row>
    <row r="53" spans="1:31" x14ac:dyDescent="0.2">
      <c r="A53" s="7">
        <v>41735</v>
      </c>
      <c r="B53" s="13">
        <f ca="1">Prices!B52*(1+J53/(50*(ABS(O53)+ABS(T53)+0.0001)))</f>
        <v>1.0830858593939812</v>
      </c>
      <c r="C53" s="62">
        <f t="shared" ca="1" si="3"/>
        <v>0</v>
      </c>
      <c r="D53" s="13">
        <f ca="1">D52+C53*(Prices!B53-Prices!B52)/Prices!B52</f>
        <v>3.1164032971590823E-2</v>
      </c>
      <c r="E53" s="13">
        <f t="shared" ca="1" si="4"/>
        <v>2.2639834735076726E-2</v>
      </c>
      <c r="F53" s="13">
        <f t="shared" ca="1" si="2"/>
        <v>5.3803867706667549E-2</v>
      </c>
      <c r="G53" s="21">
        <f ca="1">IF((Prices!B53-Prices!B52)*C53&gt;0,1,0)</f>
        <v>0</v>
      </c>
      <c r="H53" s="13">
        <f>ABS(Prices!B53-Prices!B52)/Prices!B52</f>
        <v>1.4478327753144928E-3</v>
      </c>
      <c r="I53" s="21"/>
      <c r="J53" s="4">
        <f t="shared" ca="1" si="5"/>
        <v>-2.5056103403961354E-2</v>
      </c>
      <c r="K53" s="13"/>
      <c r="L53" s="13">
        <f ca="1">L52-O53*Prices!B53</f>
        <v>0.62703110543459362</v>
      </c>
      <c r="M53" s="4">
        <f t="shared" ca="1" si="1"/>
        <v>0.34670538827889252</v>
      </c>
      <c r="N53" s="13">
        <f ca="1">IF(Prices!B52&gt;OFFSET(Prices!B52,-$N$3,0),1,-1)</f>
        <v>-1</v>
      </c>
      <c r="O53" s="4">
        <f ca="1">IF(N53=1,O$3*L52/Prices!B52,-O$3*M52)</f>
        <v>-1.4446057844953855E-2</v>
      </c>
      <c r="P53" s="22"/>
      <c r="Q53" s="13">
        <f ca="1">Q52-T53*Prices!B53</f>
        <v>0.62614369032600159</v>
      </c>
      <c r="R53" s="4">
        <f t="shared" ca="1" si="0"/>
        <v>0.3430581397412425</v>
      </c>
      <c r="S53" s="13">
        <f ca="1">IF(Prices!B52&gt;OFFSET(Prices!B52,-S$3,0),1,-1)</f>
        <v>-1</v>
      </c>
      <c r="T53" s="4">
        <f ca="1">IF(S53=1,T$3*Q52/Prices!B52,-T$3*R52)</f>
        <v>-1.06100455590075E-2</v>
      </c>
      <c r="V53" s="13"/>
      <c r="W53" s="4"/>
      <c r="X53" s="4"/>
      <c r="Y53" s="4"/>
      <c r="Z53" s="4"/>
      <c r="AA53" s="4"/>
      <c r="AB53" s="4"/>
      <c r="AC53" s="4"/>
      <c r="AD53" s="4"/>
      <c r="AE53" s="52"/>
    </row>
    <row r="54" spans="1:31" x14ac:dyDescent="0.2">
      <c r="A54" s="7">
        <v>41742</v>
      </c>
      <c r="B54" s="13">
        <f ca="1">Prices!B53*(1+J54/(50*(ABS(O54)+ABS(T54)+0.0001)))</f>
        <v>1.0815209729457576</v>
      </c>
      <c r="C54" s="62">
        <f t="shared" ca="1" si="3"/>
        <v>0</v>
      </c>
      <c r="D54" s="13">
        <f ca="1">D53+C54*(Prices!B54-Prices!B53)/Prices!B53</f>
        <v>3.1164032971590823E-2</v>
      </c>
      <c r="E54" s="13">
        <f t="shared" ca="1" si="4"/>
        <v>2.2639834735076726E-2</v>
      </c>
      <c r="F54" s="13">
        <f t="shared" ca="1" si="2"/>
        <v>5.3803867706667549E-2</v>
      </c>
      <c r="G54" s="21">
        <f ca="1">IF((Prices!B54-Prices!B53)*C54&gt;0,1,0)</f>
        <v>0</v>
      </c>
      <c r="H54" s="13">
        <f>ABS(Prices!B54-Prices!B53)/Prices!B53</f>
        <v>5.2560036248301108E-3</v>
      </c>
      <c r="I54" s="21"/>
      <c r="J54" s="4">
        <f t="shared" ca="1" si="5"/>
        <v>-2.4159959723392976E-2</v>
      </c>
      <c r="K54" s="13"/>
      <c r="L54" s="13">
        <f ca="1">L53-O54*Prices!B54</f>
        <v>0.64225424562314326</v>
      </c>
      <c r="M54" s="4">
        <f t="shared" ca="1" si="1"/>
        <v>0.33283717274773683</v>
      </c>
      <c r="N54" s="13">
        <f ca="1">IF(Prices!B53&gt;OFFSET(Prices!B53,-$N$3,0),1,-1)</f>
        <v>-1</v>
      </c>
      <c r="O54" s="4">
        <f ca="1">IF(N54=1,O$3*L53/Prices!B53,-O$3*M53)</f>
        <v>-1.3868215531155701E-2</v>
      </c>
      <c r="P54" s="22"/>
      <c r="Q54" s="13">
        <f ca="1">Q53-T54*Prices!B54</f>
        <v>0.63744093792582046</v>
      </c>
      <c r="R54" s="4">
        <f t="shared" ca="1" si="0"/>
        <v>0.33276639554900522</v>
      </c>
      <c r="S54" s="13">
        <f ca="1">IF(Prices!B53&gt;OFFSET(Prices!B53,-S$3,0),1,-1)</f>
        <v>-1</v>
      </c>
      <c r="T54" s="4">
        <f ca="1">IF(S54=1,T$3*Q53/Prices!B53,-T$3*R53)</f>
        <v>-1.0291744192237275E-2</v>
      </c>
      <c r="V54" s="13"/>
      <c r="W54" s="4"/>
      <c r="X54" s="4"/>
      <c r="Y54" s="4"/>
      <c r="Z54" s="4"/>
      <c r="AA54" s="4"/>
      <c r="AB54" s="4"/>
      <c r="AC54" s="4"/>
      <c r="AD54" s="4"/>
      <c r="AE54" s="52"/>
    </row>
    <row r="55" spans="1:31" x14ac:dyDescent="0.2">
      <c r="A55" s="7">
        <v>41749</v>
      </c>
      <c r="B55" s="13">
        <f ca="1">Prices!B54*(1+J55/(50*(ABS(O55)+ABS(T55)+0.0001)))</f>
        <v>1.0758398346330225</v>
      </c>
      <c r="C55" s="62">
        <f t="shared" ca="1" si="3"/>
        <v>0</v>
      </c>
      <c r="D55" s="13">
        <f ca="1">D54+C55*(Prices!B55-Prices!B54)/Prices!B54</f>
        <v>3.1164032971590823E-2</v>
      </c>
      <c r="E55" s="13">
        <f t="shared" ca="1" si="4"/>
        <v>2.2639834735076726E-2</v>
      </c>
      <c r="F55" s="13">
        <f t="shared" ca="1" si="2"/>
        <v>5.3803867706667549E-2</v>
      </c>
      <c r="G55" s="21">
        <f ca="1">IF((Prices!B55-Prices!B54)*C55&gt;0,1,0)</f>
        <v>0</v>
      </c>
      <c r="H55" s="13">
        <f>ABS(Prices!B55-Prices!B54)/Prices!B54</f>
        <v>1.7946615650906488E-2</v>
      </c>
      <c r="I55" s="21"/>
      <c r="J55" s="4">
        <f t="shared" ca="1" si="5"/>
        <v>-2.329647877637963E-2</v>
      </c>
      <c r="K55" s="13"/>
      <c r="L55" s="13">
        <f ca="1">L54-O55*Prices!B55</f>
        <v>0.65713073589627613</v>
      </c>
      <c r="M55" s="4">
        <f t="shared" ca="1" si="1"/>
        <v>0.31952368583782736</v>
      </c>
      <c r="N55" s="13">
        <f ca="1">IF(Prices!B54&gt;OFFSET(Prices!B54,-$N$3,0),1,-1)</f>
        <v>-1</v>
      </c>
      <c r="O55" s="4">
        <f ca="1">IF(N55=1,O$3*L54/Prices!B54,-O$3*M54)</f>
        <v>-1.3313486909909474E-2</v>
      </c>
      <c r="P55" s="22"/>
      <c r="Q55" s="13">
        <f ca="1">Q54-T55*Prices!B55</f>
        <v>0.64859593303741425</v>
      </c>
      <c r="R55" s="4">
        <f t="shared" ca="1" si="0"/>
        <v>0.32278340368253505</v>
      </c>
      <c r="S55" s="13">
        <f ca="1">IF(Prices!B54&gt;OFFSET(Prices!B54,-S$3,0),1,-1)</f>
        <v>-1</v>
      </c>
      <c r="T55" s="4">
        <f ca="1">IF(S55=1,T$3*Q54/Prices!B54,-T$3*R54)</f>
        <v>-9.9829918664701561E-3</v>
      </c>
      <c r="V55" s="13"/>
      <c r="W55" s="4"/>
      <c r="X55" s="4"/>
      <c r="Y55" s="4"/>
      <c r="Z55" s="4"/>
      <c r="AA55" s="4"/>
      <c r="AB55" s="4"/>
      <c r="AC55" s="4"/>
      <c r="AD55" s="4"/>
      <c r="AE55" s="52"/>
    </row>
    <row r="56" spans="1:31" x14ac:dyDescent="0.2">
      <c r="A56" s="7">
        <v>41756</v>
      </c>
      <c r="B56" s="13">
        <f ca="1">Prices!B55*(1+J56/(50*(ABS(O56)+ABS(T56)+0.0001)))</f>
        <v>1.0951510407497262</v>
      </c>
      <c r="C56" s="62">
        <f t="shared" ca="1" si="3"/>
        <v>0</v>
      </c>
      <c r="D56" s="13">
        <f ca="1">D55+C56*(Prices!B56-Prices!B55)/Prices!B55</f>
        <v>3.1164032971590823E-2</v>
      </c>
      <c r="E56" s="13">
        <f t="shared" ca="1" si="4"/>
        <v>2.2639834735076726E-2</v>
      </c>
      <c r="F56" s="13">
        <f t="shared" ca="1" si="2"/>
        <v>5.3803867706667549E-2</v>
      </c>
      <c r="G56" s="21">
        <f ca="1">IF((Prices!B56-Prices!B55)*C56&gt;0,1,0)</f>
        <v>0</v>
      </c>
      <c r="H56" s="13">
        <f>ABS(Prices!B56-Prices!B55)/Prices!B55</f>
        <v>7.8754250939680678E-3</v>
      </c>
      <c r="I56" s="21"/>
      <c r="J56" s="4">
        <f t="shared" ca="1" si="5"/>
        <v>-2.2464449543989146E-2</v>
      </c>
      <c r="K56" s="13"/>
      <c r="L56" s="13">
        <f ca="1">L55-O56*Prices!B56</f>
        <v>0.67129969422106872</v>
      </c>
      <c r="M56" s="4">
        <f t="shared" ca="1" si="1"/>
        <v>0.30674273840431426</v>
      </c>
      <c r="N56" s="13">
        <f ca="1">IF(Prices!B55&gt;OFFSET(Prices!B55,-$N$3,0),1,-1)</f>
        <v>-1</v>
      </c>
      <c r="O56" s="4">
        <f ca="1">IF(N56=1,O$3*L55/Prices!B55,-O$3*M55)</f>
        <v>-1.2780947433513094E-2</v>
      </c>
      <c r="P56" s="22"/>
      <c r="Q56" s="13">
        <f ca="1">Q55-T56*Prices!B56</f>
        <v>0.65933106347708803</v>
      </c>
      <c r="R56" s="4">
        <f t="shared" ca="1" si="0"/>
        <v>0.31309990157205903</v>
      </c>
      <c r="S56" s="13">
        <f ca="1">IF(Prices!B55&gt;OFFSET(Prices!B55,-S$3,0),1,-1)</f>
        <v>-1</v>
      </c>
      <c r="T56" s="4">
        <f ca="1">IF(S56=1,T$3*Q55/Prices!B55,-T$3*R55)</f>
        <v>-9.683502110476052E-3</v>
      </c>
      <c r="V56" s="13"/>
      <c r="W56" s="4"/>
      <c r="X56" s="4"/>
      <c r="Y56" s="4"/>
      <c r="Z56" s="4"/>
      <c r="AA56" s="4"/>
      <c r="AB56" s="4"/>
      <c r="AC56" s="4"/>
      <c r="AD56" s="4"/>
      <c r="AE56" s="52"/>
    </row>
    <row r="57" spans="1:31" x14ac:dyDescent="0.2">
      <c r="A57" s="7">
        <v>41763</v>
      </c>
      <c r="B57" s="13">
        <f ca="1">Prices!B56*(1+J57/(50*(ABS(O57)+ABS(T57)+0.0001)))</f>
        <v>1.0865298807100812</v>
      </c>
      <c r="C57" s="62">
        <f t="shared" ca="1" si="3"/>
        <v>0</v>
      </c>
      <c r="D57" s="13">
        <f ca="1">D56+C57*(Prices!B57-Prices!B56)/Prices!B56</f>
        <v>3.1164032971590823E-2</v>
      </c>
      <c r="E57" s="13">
        <f t="shared" ca="1" si="4"/>
        <v>2.2639834735076726E-2</v>
      </c>
      <c r="F57" s="13">
        <f t="shared" ca="1" si="2"/>
        <v>5.3803867706667549E-2</v>
      </c>
      <c r="G57" s="21">
        <f ca="1">IF((Prices!B57-Prices!B56)*C57&gt;0,1,0)</f>
        <v>0</v>
      </c>
      <c r="H57" s="13">
        <f>ABS(Prices!B57-Prices!B56)/Prices!B56</f>
        <v>6.8554934151182131E-3</v>
      </c>
      <c r="I57" s="21"/>
      <c r="J57" s="4">
        <f t="shared" ca="1" si="5"/>
        <v>-2.1662706583334343E-2</v>
      </c>
      <c r="K57" s="13"/>
      <c r="L57" s="13">
        <f ca="1">L56-O57*Prices!B57</f>
        <v>0.68499514400534456</v>
      </c>
      <c r="M57" s="4">
        <f t="shared" ca="1" si="1"/>
        <v>0.2944730288681417</v>
      </c>
      <c r="N57" s="13">
        <f ca="1">IF(Prices!B56&gt;OFFSET(Prices!B56,-$N$3,0),1,-1)</f>
        <v>-1</v>
      </c>
      <c r="O57" s="4">
        <f ca="1">IF(N57=1,O$3*L56/Prices!B56,-O$3*M56)</f>
        <v>-1.226970953617257E-2</v>
      </c>
      <c r="P57" s="22"/>
      <c r="Q57" s="13">
        <f ca="1">Q56-T57*Prices!B57</f>
        <v>0.66981552678112999</v>
      </c>
      <c r="R57" s="4">
        <f t="shared" ca="1" si="0"/>
        <v>0.30370690452489724</v>
      </c>
      <c r="S57" s="13">
        <f ca="1">IF(Prices!B56&gt;OFFSET(Prices!B56,-S$3,0),1,-1)</f>
        <v>-1</v>
      </c>
      <c r="T57" s="4">
        <f ca="1">IF(S57=1,T$3*Q56/Prices!B56,-T$3*R56)</f>
        <v>-9.3929970471617712E-3</v>
      </c>
      <c r="V57" s="13"/>
      <c r="W57" s="4"/>
      <c r="X57" s="4"/>
      <c r="Y57" s="4"/>
      <c r="Z57" s="4"/>
      <c r="AA57" s="4"/>
      <c r="AB57" s="4"/>
      <c r="AC57" s="4"/>
      <c r="AD57" s="4"/>
      <c r="AE57" s="52"/>
    </row>
    <row r="58" spans="1:31" x14ac:dyDescent="0.2">
      <c r="A58" s="7">
        <v>41770</v>
      </c>
      <c r="B58" s="13">
        <f ca="1">Prices!B57*(1+J58/(50*(ABS(O58)+ABS(T58)+0.0001)))</f>
        <v>1.1384716576365204</v>
      </c>
      <c r="C58" s="62">
        <f t="shared" ca="1" si="3"/>
        <v>1</v>
      </c>
      <c r="D58" s="13">
        <f ca="1">D57+C58*(Prices!B58-Prices!B57)/Prices!B57</f>
        <v>4.5767150692429363E-2</v>
      </c>
      <c r="E58" s="13">
        <f t="shared" ca="1" si="4"/>
        <v>8.0367170142381858E-3</v>
      </c>
      <c r="F58" s="13">
        <f t="shared" ca="1" si="2"/>
        <v>5.3803867706667549E-2</v>
      </c>
      <c r="G58" s="21">
        <f ca="1">IF((Prices!B58-Prices!B57)*C58&gt;0,1,0)</f>
        <v>1</v>
      </c>
      <c r="H58" s="13">
        <f>ABS(Prices!B58-Prices!B57)/Prices!B57</f>
        <v>1.4603117720838542E-2</v>
      </c>
      <c r="I58" s="21"/>
      <c r="J58" s="4">
        <f t="shared" ca="1" si="5"/>
        <v>4.2549965564995233E-2</v>
      </c>
      <c r="K58" s="13"/>
      <c r="L58" s="13">
        <f ca="1">L57-O58*Prices!B58</f>
        <v>0.6571952156560863</v>
      </c>
      <c r="M58" s="4">
        <f t="shared" ca="1" si="1"/>
        <v>0.31902042696903204</v>
      </c>
      <c r="N58" s="13">
        <f ca="1">IF(Prices!B57&gt;OFFSET(Prices!B57,-$N$3,0),1,-1)</f>
        <v>1</v>
      </c>
      <c r="O58" s="4">
        <f ca="1">IF(N58=1,O$3*L57/Prices!B57,-O$3*M57)</f>
        <v>2.4547398100890325E-2</v>
      </c>
      <c r="P58" s="22"/>
      <c r="Q58" s="13">
        <f ca="1">Q57-T58*Prices!B58</f>
        <v>0.64942761912803115</v>
      </c>
      <c r="R58" s="4">
        <f t="shared" ca="1" si="0"/>
        <v>0.32170947198900213</v>
      </c>
      <c r="S58" s="13">
        <f ca="1">IF(Prices!B57&gt;OFFSET(Prices!B57,-S$3,0),1,-1)</f>
        <v>1</v>
      </c>
      <c r="T58" s="4">
        <f ca="1">IF(S58=1,T$3*Q57/Prices!B57,-T$3*R57)</f>
        <v>1.8002567464104908E-2</v>
      </c>
      <c r="V58" s="13"/>
      <c r="W58" s="4"/>
      <c r="X58" s="4"/>
      <c r="Y58" s="4"/>
      <c r="Z58" s="4"/>
      <c r="AA58" s="4"/>
      <c r="AB58" s="4"/>
      <c r="AC58" s="4"/>
      <c r="AD58" s="4"/>
      <c r="AE58" s="52"/>
    </row>
    <row r="59" spans="1:31" x14ac:dyDescent="0.2">
      <c r="A59" s="7">
        <v>41777</v>
      </c>
      <c r="B59" s="13">
        <f ca="1">Prices!B58*(1+J59/(50*(ABS(O59)+ABS(T59)+0.0001)))</f>
        <v>1.1418180274756313</v>
      </c>
      <c r="C59" s="62">
        <f t="shared" ca="1" si="3"/>
        <v>1</v>
      </c>
      <c r="D59" s="13">
        <f ca="1">D58+C59*(Prices!B59-Prices!B58)/Prices!B58</f>
        <v>3.4553022657109141E-2</v>
      </c>
      <c r="E59" s="13">
        <f t="shared" ca="1" si="4"/>
        <v>1.9250845049558409E-2</v>
      </c>
      <c r="F59" s="13">
        <f t="shared" ca="1" si="2"/>
        <v>5.3803867706667549E-2</v>
      </c>
      <c r="G59" s="21">
        <f ca="1">IF((Prices!B59-Prices!B58)*C59&gt;0,1,0)</f>
        <v>0</v>
      </c>
      <c r="H59" s="13">
        <f>ABS(Prices!B59-Prices!B58)/Prices!B58</f>
        <v>1.1214128035320224E-2</v>
      </c>
      <c r="I59" s="21"/>
      <c r="J59" s="4">
        <f t="shared" ca="1" si="5"/>
        <v>1.3560908887785524E-2</v>
      </c>
      <c r="K59" s="13"/>
      <c r="L59" s="13">
        <f ca="1">L58-O59*Prices!B59</f>
        <v>0.63120220188154552</v>
      </c>
      <c r="M59" s="4">
        <f t="shared" ca="1" si="1"/>
        <v>0.34223262001648763</v>
      </c>
      <c r="N59" s="13">
        <f ca="1">IF(Prices!B58&gt;OFFSET(Prices!B58,-$N$3,0),1,-1)</f>
        <v>1</v>
      </c>
      <c r="O59" s="4">
        <f ca="1">IF(N59=1,O$3*L58/Prices!B58,-O$3*M58)</f>
        <v>2.3212193047455587E-2</v>
      </c>
      <c r="P59" s="22"/>
      <c r="Q59" s="13">
        <f ca="1">Q58-T59*Prices!B59</f>
        <v>0.66023512713002974</v>
      </c>
      <c r="R59" s="4">
        <f t="shared" ca="1" si="0"/>
        <v>0.31205818782933209</v>
      </c>
      <c r="S59" s="13">
        <f ca="1">IF(Prices!B58&gt;OFFSET(Prices!B58,-S$3,0),1,-1)</f>
        <v>-1</v>
      </c>
      <c r="T59" s="4">
        <f ca="1">IF(S59=1,T$3*Q58/Prices!B58,-T$3*R58)</f>
        <v>-9.6512841596700632E-3</v>
      </c>
      <c r="V59" s="13"/>
      <c r="W59" s="4"/>
      <c r="X59" s="4"/>
      <c r="Y59" s="4"/>
      <c r="Z59" s="4"/>
      <c r="AA59" s="4"/>
      <c r="AB59" s="4"/>
      <c r="AC59" s="4"/>
      <c r="AD59" s="4"/>
      <c r="AE59" s="52"/>
    </row>
    <row r="60" spans="1:31" x14ac:dyDescent="0.2">
      <c r="A60" s="7">
        <v>41784</v>
      </c>
      <c r="B60" s="13">
        <f ca="1">Prices!B59*(1+J60/(50*(ABS(O60)+ABS(T60)+0.0001)))</f>
        <v>1.1290254929317043</v>
      </c>
      <c r="C60" s="62">
        <f t="shared" ca="1" si="3"/>
        <v>1</v>
      </c>
      <c r="D60" s="13">
        <f ca="1">D59+C60*(Prices!B60-Prices!B59)/Prices!B59</f>
        <v>3.0802352894651573E-2</v>
      </c>
      <c r="E60" s="13">
        <f t="shared" ca="1" si="4"/>
        <v>2.3001514812015976E-2</v>
      </c>
      <c r="F60" s="13">
        <f t="shared" ca="1" si="2"/>
        <v>5.3803867706667549E-2</v>
      </c>
      <c r="G60" s="21">
        <f ca="1">IF((Prices!B60-Prices!B59)*C60&gt;0,1,0)</f>
        <v>0</v>
      </c>
      <c r="H60" s="13">
        <f>ABS(Prices!B60-Prices!B59)/Prices!B59</f>
        <v>3.7506697624575657E-3</v>
      </c>
      <c r="I60" s="21"/>
      <c r="J60" s="4">
        <f t="shared" ca="1" si="5"/>
        <v>1.3185216389822507E-2</v>
      </c>
      <c r="K60" s="13"/>
      <c r="L60" s="13">
        <f ca="1">L59-O60*Prices!B60</f>
        <v>0.60604881104678743</v>
      </c>
      <c r="M60" s="4">
        <f t="shared" ca="1" si="1"/>
        <v>0.3647795820411901</v>
      </c>
      <c r="N60" s="13">
        <f ca="1">IF(Prices!B59&gt;OFFSET(Prices!B59,-$N$3,0),1,-1)</f>
        <v>1</v>
      </c>
      <c r="O60" s="4">
        <f ca="1">IF(N60=1,O$3*L59/Prices!B59,-O$3*M59)</f>
        <v>2.2546962024702469E-2</v>
      </c>
      <c r="P60" s="22"/>
      <c r="Q60" s="13">
        <f ca="1">Q59-T60*Prices!B60</f>
        <v>0.67067909056030184</v>
      </c>
      <c r="R60" s="4">
        <f t="shared" ca="1" si="0"/>
        <v>0.30269644219445213</v>
      </c>
      <c r="S60" s="13">
        <f ca="1">IF(Prices!B59&gt;OFFSET(Prices!B59,-S$3,0),1,-1)</f>
        <v>-1</v>
      </c>
      <c r="T60" s="4">
        <f ca="1">IF(S60=1,T$3*Q59/Prices!B59,-T$3*R59)</f>
        <v>-9.3617456348799623E-3</v>
      </c>
      <c r="V60" s="13"/>
      <c r="W60" s="4"/>
      <c r="X60" s="4"/>
      <c r="Y60" s="4"/>
      <c r="Z60" s="4"/>
      <c r="AA60" s="4"/>
      <c r="AB60" s="4"/>
      <c r="AC60" s="4"/>
      <c r="AD60" s="4"/>
      <c r="AE60" s="52"/>
    </row>
    <row r="61" spans="1:31" x14ac:dyDescent="0.2">
      <c r="A61" s="7">
        <v>41791</v>
      </c>
      <c r="B61" s="13">
        <f ca="1">Prices!B60*(1+J61/(50*(ABS(O61)+ABS(T61)+0.0001)))</f>
        <v>1.1247303233096109</v>
      </c>
      <c r="C61" s="62">
        <f t="shared" ca="1" si="3"/>
        <v>1</v>
      </c>
      <c r="D61" s="13">
        <f ca="1">D60+C61*(Prices!B61-Prices!B60)/Prices!B60</f>
        <v>3.7704468348219194E-2</v>
      </c>
      <c r="E61" s="13">
        <f t="shared" ca="1" si="4"/>
        <v>1.6099399358448355E-2</v>
      </c>
      <c r="F61" s="13">
        <f t="shared" ca="1" si="2"/>
        <v>5.3803867706667549E-2</v>
      </c>
      <c r="G61" s="21">
        <f ca="1">IF((Prices!B61-Prices!B60)*C61&gt;0,1,0)</f>
        <v>1</v>
      </c>
      <c r="H61" s="13">
        <f>ABS(Prices!B61-Prices!B60)/Prices!B60</f>
        <v>6.902115453567623E-3</v>
      </c>
      <c r="I61" s="21"/>
      <c r="J61" s="4">
        <f t="shared" ca="1" si="5"/>
        <v>1.2649074860619915E-2</v>
      </c>
      <c r="K61" s="13"/>
      <c r="L61" s="13">
        <f ca="1">L60-O61*Prices!B61</f>
        <v>0.58163953785034228</v>
      </c>
      <c r="M61" s="4">
        <f t="shared" ca="1" si="1"/>
        <v>0.3865095501676436</v>
      </c>
      <c r="N61" s="13">
        <f ca="1">IF(Prices!B60&gt;OFFSET(Prices!B60,-$N$3,0),1,-1)</f>
        <v>1</v>
      </c>
      <c r="O61" s="4">
        <f ca="1">IF(N61=1,O$3*L60/Prices!B60,-O$3*M60)</f>
        <v>2.1729968126453478E-2</v>
      </c>
      <c r="P61" s="22"/>
      <c r="Q61" s="13">
        <f ca="1">Q60-T61*Prices!B61</f>
        <v>0.68087965796581273</v>
      </c>
      <c r="R61" s="4">
        <f t="shared" ca="1" si="0"/>
        <v>0.29361554892861857</v>
      </c>
      <c r="S61" s="13">
        <f ca="1">IF(Prices!B60&gt;OFFSET(Prices!B60,-S$3,0),1,-1)</f>
        <v>-1</v>
      </c>
      <c r="T61" s="4">
        <f ca="1">IF(S61=1,T$3*Q60/Prices!B60,-T$3*R60)</f>
        <v>-9.0808932658335631E-3</v>
      </c>
      <c r="V61" s="13"/>
      <c r="W61" s="4"/>
      <c r="X61" s="4"/>
      <c r="Y61" s="4"/>
      <c r="Z61" s="4"/>
      <c r="AA61" s="4"/>
      <c r="AB61" s="4"/>
      <c r="AC61" s="4"/>
      <c r="AD61" s="4"/>
      <c r="AE61" s="52"/>
    </row>
    <row r="62" spans="1:31" x14ac:dyDescent="0.2">
      <c r="A62" s="7">
        <v>41798</v>
      </c>
      <c r="B62" s="13">
        <f ca="1">Prices!B61*(1+J62/(50*(ABS(O62)+ABS(T62)+0.0001)))</f>
        <v>1.1457083890871944</v>
      </c>
      <c r="C62" s="62">
        <f t="shared" ca="1" si="3"/>
        <v>1</v>
      </c>
      <c r="D62" s="13">
        <f ca="1">D61+C62*(Prices!B62-Prices!B61)/Prices!B61</f>
        <v>3.0760642121921651E-2</v>
      </c>
      <c r="E62" s="13">
        <f t="shared" ca="1" si="4"/>
        <v>2.3043225584745898E-2</v>
      </c>
      <c r="F62" s="13">
        <f t="shared" ca="1" si="2"/>
        <v>5.3803867706667549E-2</v>
      </c>
      <c r="G62" s="21">
        <f ca="1">IF((Prices!B62-Prices!B61)*C62&gt;0,1,0)</f>
        <v>0</v>
      </c>
      <c r="H62" s="13">
        <f>ABS(Prices!B62-Prices!B61)/Prices!B61</f>
        <v>6.9438262262975425E-3</v>
      </c>
      <c r="I62" s="21"/>
      <c r="J62" s="4">
        <f t="shared" ca="1" si="5"/>
        <v>3.8896084085273813E-2</v>
      </c>
      <c r="K62" s="13"/>
      <c r="L62" s="13">
        <f ca="1">L61-O62*Prices!B62</f>
        <v>0.55853550849141564</v>
      </c>
      <c r="M62" s="4">
        <f t="shared" ca="1" si="1"/>
        <v>0.4072213649223963</v>
      </c>
      <c r="N62" s="13">
        <f ca="1">IF(Prices!B61&gt;OFFSET(Prices!B61,-$N$3,0),1,-1)</f>
        <v>1</v>
      </c>
      <c r="O62" s="4">
        <f ca="1">IF(N62=1,O$3*L61/Prices!B61,-O$3*M61)</f>
        <v>2.0711814754752686E-2</v>
      </c>
      <c r="P62" s="22"/>
      <c r="Q62" s="13">
        <f ca="1">Q61-T62*Prices!B62</f>
        <v>0.66059510552761647</v>
      </c>
      <c r="R62" s="4">
        <f t="shared" ca="1" si="0"/>
        <v>0.31179981825913972</v>
      </c>
      <c r="S62" s="13">
        <f ca="1">IF(Prices!B61&gt;OFFSET(Prices!B61,-S$3,0),1,-1)</f>
        <v>1</v>
      </c>
      <c r="T62" s="4">
        <f ca="1">IF(S62=1,T$3*Q61/Prices!B61,-T$3*R61)</f>
        <v>1.8184269330521127E-2</v>
      </c>
      <c r="V62" s="13"/>
      <c r="W62" s="4"/>
      <c r="X62" s="4"/>
      <c r="Y62" s="4"/>
      <c r="Z62" s="4"/>
      <c r="AA62" s="4"/>
      <c r="AB62" s="4"/>
      <c r="AC62" s="4"/>
      <c r="AD62" s="4"/>
      <c r="AE62" s="52"/>
    </row>
    <row r="63" spans="1:31" x14ac:dyDescent="0.2">
      <c r="A63" s="7">
        <v>41805</v>
      </c>
      <c r="B63" s="13">
        <f ca="1">Prices!B62*(1+J63/(50*(ABS(O63)+ABS(T63)+0.0001)))</f>
        <v>1.1377511253367305</v>
      </c>
      <c r="C63" s="62">
        <f t="shared" ca="1" si="3"/>
        <v>1</v>
      </c>
      <c r="D63" s="13">
        <f ca="1">D62+C63*(Prices!B63-Prices!B62)/Prices!B62</f>
        <v>3.7125500929631294E-2</v>
      </c>
      <c r="E63" s="13">
        <f t="shared" ca="1" si="4"/>
        <v>1.6678366777036255E-2</v>
      </c>
      <c r="F63" s="13">
        <f t="shared" ca="1" si="2"/>
        <v>5.3803867706667549E-2</v>
      </c>
      <c r="G63" s="21">
        <f ca="1">IF((Prices!B63-Prices!B62)*C63&gt;0,1,0)</f>
        <v>1</v>
      </c>
      <c r="H63" s="13">
        <f>ABS(Prices!B63-Prices!B62)/Prices!B62</f>
        <v>6.3648588077096432E-3</v>
      </c>
      <c r="I63" s="21"/>
      <c r="J63" s="4">
        <f t="shared" ca="1" si="5"/>
        <v>3.7794059619439824E-2</v>
      </c>
      <c r="K63" s="13"/>
      <c r="L63" s="13">
        <f ca="1">L62-O63*Prices!B63</f>
        <v>0.53605188816573346</v>
      </c>
      <c r="M63" s="4">
        <f t="shared" ca="1" si="1"/>
        <v>0.4272495319682561</v>
      </c>
      <c r="N63" s="13">
        <f ca="1">IF(Prices!B62&gt;OFFSET(Prices!B62,-$N$3,0),1,-1)</f>
        <v>1</v>
      </c>
      <c r="O63" s="4">
        <f ca="1">IF(N63=1,O$3*L62/Prices!B62,-O$3*M62)</f>
        <v>2.0028167045859819E-2</v>
      </c>
      <c r="P63" s="22"/>
      <c r="Q63" s="13">
        <f ca="1">Q62-T63*Prices!B63</f>
        <v>0.64065111452451551</v>
      </c>
      <c r="R63" s="4">
        <f t="shared" ca="1" si="0"/>
        <v>0.32956571083271974</v>
      </c>
      <c r="S63" s="13">
        <f ca="1">IF(Prices!B62&gt;OFFSET(Prices!B62,-S$3,0),1,-1)</f>
        <v>1</v>
      </c>
      <c r="T63" s="4">
        <f ca="1">IF(S63=1,T$3*Q62/Prices!B62,-T$3*R62)</f>
        <v>1.7765892573580005E-2</v>
      </c>
      <c r="V63" s="13"/>
      <c r="W63" s="4"/>
      <c r="X63" s="4"/>
      <c r="Y63" s="4"/>
      <c r="Z63" s="4"/>
      <c r="AA63" s="4"/>
      <c r="AB63" s="4"/>
      <c r="AC63" s="4"/>
      <c r="AD63" s="4"/>
      <c r="AE63" s="52"/>
    </row>
    <row r="64" spans="1:31" x14ac:dyDescent="0.2">
      <c r="A64" s="7">
        <v>41812</v>
      </c>
      <c r="B64" s="13">
        <f ca="1">Prices!B63*(1+J64/(50*(ABS(O64)+ABS(T64)+0.0001)))</f>
        <v>1.1449901843915198</v>
      </c>
      <c r="C64" s="62">
        <f t="shared" ca="1" si="3"/>
        <v>1</v>
      </c>
      <c r="D64" s="13">
        <f ca="1">D63+C64*(Prices!B64-Prices!B63)/Prices!B63</f>
        <v>3.7927211244970595E-2</v>
      </c>
      <c r="E64" s="13">
        <f t="shared" ca="1" si="4"/>
        <v>1.5876656461696954E-2</v>
      </c>
      <c r="F64" s="13">
        <f t="shared" ca="1" si="2"/>
        <v>5.3803867706667549E-2</v>
      </c>
      <c r="G64" s="21">
        <f ca="1">IF((Prices!B64-Prices!B63)*C64&gt;0,1,0)</f>
        <v>1</v>
      </c>
      <c r="H64" s="13">
        <f>ABS(Prices!B64-Prices!B63)/Prices!B63</f>
        <v>8.0171031533930238E-4</v>
      </c>
      <c r="I64" s="21"/>
      <c r="J64" s="4">
        <f t="shared" ca="1" si="5"/>
        <v>3.6220923714916087E-2</v>
      </c>
      <c r="K64" s="13"/>
      <c r="L64" s="13">
        <f ca="1">L63-O64*Prices!B64</f>
        <v>0.51459262230597214</v>
      </c>
      <c r="M64" s="4">
        <f t="shared" ca="1" si="1"/>
        <v>0.44634990211490616</v>
      </c>
      <c r="N64" s="13">
        <f ca="1">IF(Prices!B63&gt;OFFSET(Prices!B63,-$N$3,0),1,-1)</f>
        <v>1</v>
      </c>
      <c r="O64" s="4">
        <f ca="1">IF(N64=1,O$3*L63/Prices!B63,-O$3*M63)</f>
        <v>1.9100370146650041E-2</v>
      </c>
      <c r="P64" s="22"/>
      <c r="Q64" s="13">
        <f ca="1">Q63-T64*Prices!B64</f>
        <v>0.62141617259056858</v>
      </c>
      <c r="R64" s="4">
        <f t="shared" ca="1" si="0"/>
        <v>0.34668626440098577</v>
      </c>
      <c r="S64" s="13">
        <f ca="1">IF(Prices!B63&gt;OFFSET(Prices!B63,-S$3,0),1,-1)</f>
        <v>1</v>
      </c>
      <c r="T64" s="4">
        <f ca="1">IF(S64=1,T$3*Q63/Prices!B63,-T$3*R63)</f>
        <v>1.7120553568266049E-2</v>
      </c>
      <c r="V64" s="13"/>
      <c r="W64" s="4"/>
      <c r="X64" s="4"/>
      <c r="Y64" s="4"/>
      <c r="Z64" s="4"/>
      <c r="AA64" s="4"/>
      <c r="AB64" s="4"/>
      <c r="AC64" s="4"/>
      <c r="AD64" s="4"/>
      <c r="AE64" s="52"/>
    </row>
    <row r="65" spans="1:31" x14ac:dyDescent="0.2">
      <c r="A65" s="7">
        <v>41819</v>
      </c>
      <c r="B65" s="13">
        <f ca="1">Prices!B64*(1+J65/(50*(ABS(O65)+ABS(T65)+0.0001)))</f>
        <v>1.1226799748330858</v>
      </c>
      <c r="C65" s="62">
        <f t="shared" ca="1" si="3"/>
        <v>0</v>
      </c>
      <c r="D65" s="13">
        <f ca="1">D64+C65*(Prices!B65-Prices!B64)/Prices!B64</f>
        <v>3.7927211244970595E-2</v>
      </c>
      <c r="E65" s="13">
        <f t="shared" ca="1" si="4"/>
        <v>1.5876656461696954E-2</v>
      </c>
      <c r="F65" s="13">
        <f t="shared" ca="1" si="2"/>
        <v>5.3803867706667549E-2</v>
      </c>
      <c r="G65" s="21">
        <f ca="1">IF((Prices!B65-Prices!B64)*C65&gt;0,1,0)</f>
        <v>0</v>
      </c>
      <c r="H65" s="13">
        <f>ABS(Prices!B65-Prices!B64)/Prices!B64</f>
        <v>3.0262572318645732E-3</v>
      </c>
      <c r="I65" s="21"/>
      <c r="J65" s="4">
        <f t="shared" ca="1" si="5"/>
        <v>-1.2607738525383418E-3</v>
      </c>
      <c r="K65" s="13"/>
      <c r="L65" s="13">
        <f ca="1">L64-O65*Prices!B65</f>
        <v>0.53459088332032845</v>
      </c>
      <c r="M65" s="4">
        <f t="shared" ca="1" si="1"/>
        <v>0.4284959060303099</v>
      </c>
      <c r="N65" s="13">
        <f ca="1">IF(Prices!B64&gt;OFFSET(Prices!B64,-$N$3,0),1,-1)</f>
        <v>-1</v>
      </c>
      <c r="O65" s="4">
        <f ca="1">IF(N65=1,O$3*L64/Prices!B64,-O$3*M64)</f>
        <v>-1.7853996084596247E-2</v>
      </c>
      <c r="P65" s="22"/>
      <c r="Q65" s="13">
        <f ca="1">Q64-T65*Prices!B65</f>
        <v>0.60283010436844053</v>
      </c>
      <c r="R65" s="4">
        <f t="shared" ca="1" si="0"/>
        <v>0.36327948663304366</v>
      </c>
      <c r="S65" s="13">
        <f ca="1">IF(Prices!B64&gt;OFFSET(Prices!B64,-S$3,0),1,-1)</f>
        <v>1</v>
      </c>
      <c r="T65" s="4">
        <f ca="1">IF(S65=1,T$3*Q64/Prices!B64,-T$3*R64)</f>
        <v>1.6593222232057905E-2</v>
      </c>
      <c r="V65" s="13"/>
      <c r="W65" s="4"/>
      <c r="X65" s="4"/>
      <c r="Y65" s="4"/>
      <c r="Z65" s="4"/>
      <c r="AA65" s="4"/>
      <c r="AB65" s="4"/>
      <c r="AC65" s="4"/>
      <c r="AD65" s="4"/>
      <c r="AE65" s="52"/>
    </row>
    <row r="66" spans="1:31" x14ac:dyDescent="0.2">
      <c r="A66" s="7">
        <v>41826</v>
      </c>
      <c r="B66" s="13">
        <f ca="1">Prices!B65*(1+J66/(50*(ABS(O66)+ABS(T66)+0.0001)))</f>
        <v>1.1424386040108745</v>
      </c>
      <c r="C66" s="62">
        <f t="shared" ca="1" si="3"/>
        <v>1</v>
      </c>
      <c r="D66" s="13">
        <f ca="1">D65+C66*(Prices!B66-Prices!B65)/Prices!B65</f>
        <v>1.7482608084538366E-2</v>
      </c>
      <c r="E66" s="13">
        <f t="shared" ca="1" si="4"/>
        <v>3.6321259622129183E-2</v>
      </c>
      <c r="F66" s="13">
        <f t="shared" ca="1" si="2"/>
        <v>5.3803867706667549E-2</v>
      </c>
      <c r="G66" s="21">
        <f ca="1">IF((Prices!B66-Prices!B65)*C66&gt;0,1,0)</f>
        <v>0</v>
      </c>
      <c r="H66" s="13">
        <f>ABS(Prices!B66-Prices!B65)/Prices!B65</f>
        <v>2.0444603160432229E-2</v>
      </c>
      <c r="I66" s="21"/>
      <c r="J66" s="4">
        <f t="shared" ca="1" si="5"/>
        <v>3.5236620358777213E-2</v>
      </c>
      <c r="K66" s="13"/>
      <c r="L66" s="13">
        <f ca="1">L65-O66*Prices!B66</f>
        <v>0.51364442792602205</v>
      </c>
      <c r="M66" s="4">
        <f t="shared" ca="1" si="1"/>
        <v>0.44758673303933871</v>
      </c>
      <c r="N66" s="13">
        <f ca="1">IF(Prices!B65&gt;OFFSET(Prices!B65,-$N$3,0),1,-1)</f>
        <v>1</v>
      </c>
      <c r="O66" s="4">
        <f ca="1">IF(N66=1,O$3*L65/Prices!B65,-O$3*M65)</f>
        <v>1.9090827009028782E-2</v>
      </c>
      <c r="P66" s="22"/>
      <c r="Q66" s="13">
        <f ca="1">Q65-T66*Prices!B66</f>
        <v>0.58511493990509655</v>
      </c>
      <c r="R66" s="4">
        <f t="shared" ca="1" si="0"/>
        <v>0.37942527998279207</v>
      </c>
      <c r="S66" s="13">
        <f ca="1">IF(Prices!B65&gt;OFFSET(Prices!B65,-S$3,0),1,-1)</f>
        <v>1</v>
      </c>
      <c r="T66" s="4">
        <f ca="1">IF(S66=1,T$3*Q65/Prices!B65,-T$3*R65)</f>
        <v>1.614579334974843E-2</v>
      </c>
      <c r="V66" s="13"/>
      <c r="W66" s="4"/>
      <c r="X66" s="4"/>
      <c r="Y66" s="4"/>
      <c r="Z66" s="4"/>
      <c r="AA66" s="4"/>
      <c r="AB66" s="4"/>
      <c r="AC66" s="4"/>
      <c r="AD66" s="4"/>
      <c r="AE66" s="52"/>
    </row>
    <row r="67" spans="1:31" x14ac:dyDescent="0.2">
      <c r="A67" s="7">
        <v>41833</v>
      </c>
      <c r="B67" s="13">
        <f ca="1">Prices!B66*(1+J67/(50*(ABS(O67)+ABS(T67)+0.0001)))</f>
        <v>1.0753306744366384</v>
      </c>
      <c r="C67" s="62">
        <f t="shared" ca="1" si="3"/>
        <v>0</v>
      </c>
      <c r="D67" s="13">
        <f ca="1">D66+C67*(Prices!B67-Prices!B66)/Prices!B66</f>
        <v>1.7482608084538366E-2</v>
      </c>
      <c r="E67" s="13">
        <f t="shared" ca="1" si="4"/>
        <v>3.6321259622129183E-2</v>
      </c>
      <c r="F67" s="13">
        <f t="shared" ca="1" si="2"/>
        <v>5.3803867706667549E-2</v>
      </c>
      <c r="G67" s="21">
        <f ca="1">IF((Prices!B67-Prices!B66)*C67&gt;0,1,0)</f>
        <v>0</v>
      </c>
      <c r="H67" s="13">
        <f>ABS(Prices!B67-Prices!B66)/Prices!B66</f>
        <v>8.0204156033539184E-3</v>
      </c>
      <c r="I67" s="21"/>
      <c r="J67" s="4">
        <f t="shared" ca="1" si="5"/>
        <v>-2.9286227721057309E-2</v>
      </c>
      <c r="K67" s="13"/>
      <c r="L67" s="13">
        <f ca="1">L66-O67*Prices!B67</f>
        <v>0.53313056393562275</v>
      </c>
      <c r="M67" s="4">
        <f t="shared" ca="1" si="1"/>
        <v>0.42968326371776516</v>
      </c>
      <c r="N67" s="13">
        <f ca="1">IF(Prices!B66&gt;OFFSET(Prices!B66,-$N$3,0),1,-1)</f>
        <v>-1</v>
      </c>
      <c r="O67" s="4">
        <f ca="1">IF(N67=1,O$3*L66/Prices!B66,-O$3*M66)</f>
        <v>-1.7903469321573547E-2</v>
      </c>
      <c r="P67" s="22"/>
      <c r="Q67" s="13">
        <f ca="1">Q66-T67*Prices!B67</f>
        <v>0.59750393414709468</v>
      </c>
      <c r="R67" s="4">
        <f t="shared" ca="1" si="0"/>
        <v>0.3680425215833083</v>
      </c>
      <c r="S67" s="13">
        <f ca="1">IF(Prices!B66&gt;OFFSET(Prices!B66,-S$3,0),1,-1)</f>
        <v>-1</v>
      </c>
      <c r="T67" s="4">
        <f ca="1">IF(S67=1,T$3*Q66/Prices!B66,-T$3*R66)</f>
        <v>-1.1382758399483762E-2</v>
      </c>
      <c r="V67" s="13"/>
      <c r="W67" s="4"/>
      <c r="X67" s="4"/>
      <c r="Y67" s="4"/>
      <c r="Z67" s="4"/>
      <c r="AA67" s="4"/>
      <c r="AB67" s="4"/>
      <c r="AC67" s="4"/>
      <c r="AD67" s="4"/>
      <c r="AE67" s="52"/>
    </row>
    <row r="68" spans="1:31" x14ac:dyDescent="0.2">
      <c r="A68" s="7">
        <v>41840</v>
      </c>
      <c r="B68" s="13">
        <f ca="1">Prices!B67*(1+J68/(50*(ABS(O68)+ABS(T68)+0.0001)))</f>
        <v>1.0667088410554662</v>
      </c>
      <c r="C68" s="62">
        <f t="shared" ca="1" si="3"/>
        <v>0</v>
      </c>
      <c r="D68" s="13">
        <f ca="1">D67+C68*(Prices!B68-Prices!B67)/Prices!B67</f>
        <v>1.7482608084538366E-2</v>
      </c>
      <c r="E68" s="13">
        <f t="shared" ca="1" si="4"/>
        <v>3.6321259622129183E-2</v>
      </c>
      <c r="F68" s="13">
        <f t="shared" ca="1" si="2"/>
        <v>5.3803867706667549E-2</v>
      </c>
      <c r="G68" s="21">
        <f ca="1">IF((Prices!B68-Prices!B67)*C68&gt;0,1,0)</f>
        <v>0</v>
      </c>
      <c r="H68" s="13">
        <f>ABS(Prices!B68-Prices!B67)/Prices!B67</f>
        <v>9.279676589489156E-3</v>
      </c>
      <c r="I68" s="21"/>
      <c r="J68" s="4">
        <f t="shared" ca="1" si="5"/>
        <v>-2.8228606196209854E-2</v>
      </c>
      <c r="K68" s="13"/>
      <c r="L68" s="13">
        <f ca="1">L67-O68*Prices!B68</f>
        <v>0.55201084654338139</v>
      </c>
      <c r="M68" s="4">
        <f t="shared" ca="1" si="1"/>
        <v>0.41249593316905453</v>
      </c>
      <c r="N68" s="13">
        <f ca="1">IF(Prices!B67&gt;OFFSET(Prices!B67,-$N$3,0),1,-1)</f>
        <v>-1</v>
      </c>
      <c r="O68" s="4">
        <f ca="1">IF(N68=1,O$3*L67/Prices!B67,-O$3*M67)</f>
        <v>-1.7187330548710605E-2</v>
      </c>
      <c r="P68" s="22"/>
      <c r="Q68" s="13">
        <f ca="1">Q67-T68*Prices!B68</f>
        <v>0.60963277544587258</v>
      </c>
      <c r="R68" s="4">
        <f t="shared" ca="1" si="0"/>
        <v>0.35700124593580906</v>
      </c>
      <c r="S68" s="13">
        <f ca="1">IF(Prices!B67&gt;OFFSET(Prices!B67,-S$3,0),1,-1)</f>
        <v>-1</v>
      </c>
      <c r="T68" s="4">
        <f ca="1">IF(S68=1,T$3*Q67/Prices!B67,-T$3*R67)</f>
        <v>-1.1041275647499248E-2</v>
      </c>
      <c r="V68" s="13"/>
      <c r="W68" s="4"/>
      <c r="X68" s="4"/>
      <c r="Y68" s="4"/>
      <c r="Z68" s="4"/>
      <c r="AA68" s="4"/>
      <c r="AB68" s="4"/>
      <c r="AC68" s="4"/>
      <c r="AD68" s="4"/>
      <c r="AE68" s="52"/>
    </row>
    <row r="69" spans="1:31" x14ac:dyDescent="0.2">
      <c r="A69" s="7">
        <v>41847</v>
      </c>
      <c r="B69" s="13">
        <f ca="1">Prices!B68*(1+J69/(50*(ABS(O69)+ABS(T69)+0.0001)))</f>
        <v>1.0766104470918942</v>
      </c>
      <c r="C69" s="62">
        <f t="shared" ca="1" si="3"/>
        <v>0</v>
      </c>
      <c r="D69" s="13">
        <f ca="1">D68+C69*(Prices!B69-Prices!B68)/Prices!B68</f>
        <v>1.7482608084538366E-2</v>
      </c>
      <c r="E69" s="13">
        <f t="shared" ca="1" si="4"/>
        <v>3.6321259622129183E-2</v>
      </c>
      <c r="F69" s="13">
        <f t="shared" ca="1" si="2"/>
        <v>5.3803867706667549E-2</v>
      </c>
      <c r="G69" s="21">
        <f ca="1">IF((Prices!B69-Prices!B68)*C69&gt;0,1,0)</f>
        <v>0</v>
      </c>
      <c r="H69" s="13">
        <f>ABS(Prices!B69-Prices!B68)/Prices!B68</f>
        <v>1.4201183431952716E-2</v>
      </c>
      <c r="I69" s="21"/>
      <c r="J69" s="4">
        <f t="shared" ca="1" si="5"/>
        <v>-2.7209874704836455E-2</v>
      </c>
      <c r="K69" s="13"/>
      <c r="L69" s="13">
        <f ca="1">L68-O69*Prices!B69</f>
        <v>0.57039331530912718</v>
      </c>
      <c r="M69" s="4">
        <f t="shared" ca="1" si="1"/>
        <v>0.39599609584229234</v>
      </c>
      <c r="N69" s="13">
        <f ca="1">IF(Prices!B68&gt;OFFSET(Prices!B68,-$N$3,0),1,-1)</f>
        <v>-1</v>
      </c>
      <c r="O69" s="4">
        <f ca="1">IF(N69=1,O$3*L68/Prices!B68,-O$3*M68)</f>
        <v>-1.6499837326762183E-2</v>
      </c>
      <c r="P69" s="22"/>
      <c r="Q69" s="13">
        <f ca="1">Q68-T69*Prices!B69</f>
        <v>0.6215648280887851</v>
      </c>
      <c r="R69" s="4">
        <f t="shared" ref="R69:R132" ca="1" si="6">R68+T69</f>
        <v>0.34629120855773476</v>
      </c>
      <c r="S69" s="13">
        <f ca="1">IF(Prices!B68&gt;OFFSET(Prices!B68,-S$3,0),1,-1)</f>
        <v>-1</v>
      </c>
      <c r="T69" s="4">
        <f ca="1">IF(S69=1,T$3*Q68/Prices!B68,-T$3*R68)</f>
        <v>-1.0710037378074272E-2</v>
      </c>
      <c r="V69" s="13"/>
      <c r="W69" s="4"/>
      <c r="X69" s="4"/>
      <c r="Y69" s="4"/>
      <c r="Z69" s="4"/>
      <c r="AA69" s="4"/>
      <c r="AB69" s="4"/>
      <c r="AC69" s="4"/>
      <c r="AD69" s="4"/>
      <c r="AE69" s="52"/>
    </row>
    <row r="70" spans="1:31" x14ac:dyDescent="0.2">
      <c r="A70" s="7">
        <v>41854</v>
      </c>
      <c r="B70" s="13">
        <f ca="1">Prices!B69*(1+J70/(50*(ABS(O70)+ABS(T70)+0.0001)))</f>
        <v>1.0919026304659176</v>
      </c>
      <c r="C70" s="62">
        <f t="shared" ca="1" si="3"/>
        <v>0</v>
      </c>
      <c r="D70" s="13">
        <f ca="1">D69+C70*(Prices!B70-Prices!B69)/Prices!B69</f>
        <v>1.7482608084538366E-2</v>
      </c>
      <c r="E70" s="13">
        <f t="shared" ca="1" si="4"/>
        <v>3.6321259622129183E-2</v>
      </c>
      <c r="F70" s="13">
        <f t="shared" ca="1" si="2"/>
        <v>5.3803867706667549E-2</v>
      </c>
      <c r="G70" s="21">
        <f ca="1">IF((Prices!B70-Prices!B69)*C70&gt;0,1,0)</f>
        <v>0</v>
      </c>
      <c r="H70" s="13">
        <f>ABS(Prices!B70-Prices!B69)/Prices!B69</f>
        <v>2.5670945157526416E-2</v>
      </c>
      <c r="I70" s="21"/>
      <c r="J70" s="4">
        <f t="shared" ca="1" si="5"/>
        <v>-2.6228580090423739E-2</v>
      </c>
      <c r="K70" s="13"/>
      <c r="L70" s="13">
        <f ca="1">L69-O70*Prices!B70</f>
        <v>0.58758746579059951</v>
      </c>
      <c r="M70" s="4">
        <f t="shared" ca="1" si="1"/>
        <v>0.38015625200860065</v>
      </c>
      <c r="N70" s="13">
        <f ca="1">IF(Prices!B69&gt;OFFSET(Prices!B69,-$N$3,0),1,-1)</f>
        <v>-1</v>
      </c>
      <c r="O70" s="4">
        <f ca="1">IF(N70=1,O$3*L69/Prices!B69,-O$3*M69)</f>
        <v>-1.5839843833691695E-2</v>
      </c>
      <c r="P70" s="22"/>
      <c r="Q70" s="13">
        <f ca="1">Q69-T70*Prices!B70</f>
        <v>0.63284180129546774</v>
      </c>
      <c r="R70" s="4">
        <f t="shared" ca="1" si="6"/>
        <v>0.33590247230100273</v>
      </c>
      <c r="S70" s="13">
        <f ca="1">IF(Prices!B69&gt;OFFSET(Prices!B69,-S$3,0),1,-1)</f>
        <v>-1</v>
      </c>
      <c r="T70" s="4">
        <f ca="1">IF(S70=1,T$3*Q69/Prices!B69,-T$3*R69)</f>
        <v>-1.0388736256732043E-2</v>
      </c>
      <c r="V70" s="13"/>
      <c r="W70" s="4"/>
      <c r="X70" s="4"/>
      <c r="Y70" s="4"/>
      <c r="Z70" s="4"/>
      <c r="AA70" s="4"/>
      <c r="AB70" s="4"/>
      <c r="AC70" s="4"/>
      <c r="AD70" s="4"/>
      <c r="AE70" s="52"/>
    </row>
    <row r="71" spans="1:31" x14ac:dyDescent="0.2">
      <c r="A71" s="7">
        <v>41861</v>
      </c>
      <c r="B71" s="13">
        <f ca="1">Prices!B70*(1+J71/(50*(ABS(O71)+ABS(T71)+0.0001)))</f>
        <v>1.0638755285926567</v>
      </c>
      <c r="C71" s="62">
        <f t="shared" ca="1" si="3"/>
        <v>0</v>
      </c>
      <c r="D71" s="13">
        <f ca="1">D70+C71*(Prices!B71-Prices!B70)/Prices!B70</f>
        <v>1.7482608084538366E-2</v>
      </c>
      <c r="E71" s="13">
        <f t="shared" ca="1" si="4"/>
        <v>3.6321259622129183E-2</v>
      </c>
      <c r="F71" s="13">
        <f t="shared" ca="1" si="2"/>
        <v>5.3803867706667549E-2</v>
      </c>
      <c r="G71" s="21">
        <f ca="1">IF((Prices!B71-Prices!B70)*C71&gt;0,1,0)</f>
        <v>0</v>
      </c>
      <c r="H71" s="13">
        <f>ABS(Prices!B71-Prices!B70)/Prices!B70</f>
        <v>2.4596959926301197E-2</v>
      </c>
      <c r="I71" s="21"/>
      <c r="J71" s="4">
        <f t="shared" ca="1" si="5"/>
        <v>-2.5283324249374108E-2</v>
      </c>
      <c r="K71" s="13"/>
      <c r="L71" s="13">
        <f ca="1">L70-O71*Prices!B71</f>
        <v>0.60368784337566772</v>
      </c>
      <c r="M71" s="4">
        <f t="shared" ca="1" si="1"/>
        <v>0.36495000192825661</v>
      </c>
      <c r="N71" s="13">
        <f ca="1">IF(Prices!B70&gt;OFFSET(Prices!B70,-$N$3,0),1,-1)</f>
        <v>-1</v>
      </c>
      <c r="O71" s="4">
        <f ca="1">IF(N71=1,O$3*L70/Prices!B70,-O$3*M70)</f>
        <v>-1.5206250080344026E-2</v>
      </c>
      <c r="P71" s="22"/>
      <c r="Q71" s="13">
        <f ca="1">Q70-T71*Prices!B71</f>
        <v>0.64351140742563684</v>
      </c>
      <c r="R71" s="4">
        <f t="shared" ca="1" si="6"/>
        <v>0.32582539813197264</v>
      </c>
      <c r="S71" s="13">
        <f ca="1">IF(Prices!B70&gt;OFFSET(Prices!B70,-S$3,0),1,-1)</f>
        <v>-1</v>
      </c>
      <c r="T71" s="4">
        <f ca="1">IF(S71=1,T$3*Q70/Prices!B70,-T$3*R70)</f>
        <v>-1.0077074169030082E-2</v>
      </c>
      <c r="V71" s="13"/>
      <c r="W71" s="4"/>
      <c r="X71" s="4"/>
      <c r="Y71" s="4"/>
      <c r="Z71" s="4"/>
      <c r="AA71" s="4"/>
      <c r="AB71" s="4"/>
      <c r="AC71" s="4"/>
      <c r="AD71" s="4"/>
      <c r="AE71" s="52"/>
    </row>
    <row r="72" spans="1:31" x14ac:dyDescent="0.2">
      <c r="A72" s="7">
        <v>41868</v>
      </c>
      <c r="B72" s="13">
        <f ca="1">Prices!B71*(1+J72/(50*(ABS(O72)+ABS(T72)+0.0001)))</f>
        <v>1.0377105288518793</v>
      </c>
      <c r="C72" s="62">
        <f t="shared" ca="1" si="3"/>
        <v>0</v>
      </c>
      <c r="D72" s="13">
        <f ca="1">D71+C72*(Prices!B72-Prices!B71)/Prices!B71</f>
        <v>1.7482608084538366E-2</v>
      </c>
      <c r="E72" s="13">
        <f t="shared" ca="1" si="4"/>
        <v>3.6321259622129183E-2</v>
      </c>
      <c r="F72" s="13">
        <f t="shared" ca="1" si="2"/>
        <v>5.3803867706667549E-2</v>
      </c>
      <c r="G72" s="21">
        <f ca="1">IF((Prices!B72-Prices!B71)*C72&gt;0,1,0)</f>
        <v>0</v>
      </c>
      <c r="H72" s="13">
        <f>ABS(Prices!B72-Prices!B71)/Prices!B71</f>
        <v>9.4446543256506414E-5</v>
      </c>
      <c r="I72" s="21"/>
      <c r="J72" s="4">
        <f t="shared" ca="1" si="5"/>
        <v>-2.4372762021089442E-2</v>
      </c>
      <c r="K72" s="13"/>
      <c r="L72" s="13">
        <f ca="1">L71-O72*Prices!B72</f>
        <v>0.61914566565734097</v>
      </c>
      <c r="M72" s="4">
        <f t="shared" ca="1" si="1"/>
        <v>0.35035200185112636</v>
      </c>
      <c r="N72" s="13">
        <f ca="1">IF(Prices!B71&gt;OFFSET(Prices!B71,-$N$3,0),1,-1)</f>
        <v>-1</v>
      </c>
      <c r="O72" s="4">
        <f ca="1">IF(N72=1,O$3*L71/Prices!B71,-O$3*M71)</f>
        <v>-1.4598000077130264E-2</v>
      </c>
      <c r="P72" s="22"/>
      <c r="Q72" s="13">
        <f ca="1">Q71-T72*Prices!B72</f>
        <v>0.6538619028480952</v>
      </c>
      <c r="R72" s="4">
        <f t="shared" ca="1" si="6"/>
        <v>0.31605063618801349</v>
      </c>
      <c r="S72" s="13">
        <f ca="1">IF(Prices!B71&gt;OFFSET(Prices!B71,-S$3,0),1,-1)</f>
        <v>-1</v>
      </c>
      <c r="T72" s="4">
        <f ca="1">IF(S72=1,T$3*Q71/Prices!B71,-T$3*R71)</f>
        <v>-9.7747619439591798E-3</v>
      </c>
      <c r="V72" s="13"/>
      <c r="W72" s="4"/>
      <c r="X72" s="4"/>
      <c r="Y72" s="4"/>
      <c r="Z72" s="4"/>
      <c r="AA72" s="4"/>
      <c r="AB72" s="4"/>
      <c r="AC72" s="4"/>
      <c r="AD72" s="4"/>
      <c r="AE72" s="52"/>
    </row>
    <row r="73" spans="1:31" x14ac:dyDescent="0.2">
      <c r="A73" s="7">
        <v>41875</v>
      </c>
      <c r="B73" s="13">
        <f ca="1">Prices!B72*(1+J73/(50*(ABS(O73)+ABS(T73)+0.0001)))</f>
        <v>1.0378117540251326</v>
      </c>
      <c r="C73" s="62">
        <f t="shared" ca="1" si="3"/>
        <v>0</v>
      </c>
      <c r="D73" s="13">
        <f ca="1">D72+C73*(Prices!B73-Prices!B72)/Prices!B72</f>
        <v>1.7482608084538366E-2</v>
      </c>
      <c r="E73" s="13">
        <f t="shared" ca="1" si="4"/>
        <v>3.6321259622129183E-2</v>
      </c>
      <c r="F73" s="13">
        <f t="shared" ca="1" si="2"/>
        <v>5.3803867706667549E-2</v>
      </c>
      <c r="G73" s="21">
        <f ca="1">IF((Prices!B73-Prices!B72)*C73&gt;0,1,0)</f>
        <v>0</v>
      </c>
      <c r="H73" s="13">
        <f>ABS(Prices!B73-Prices!B72)/Prices!B72</f>
        <v>7.0828217962036668E-3</v>
      </c>
      <c r="I73" s="21"/>
      <c r="J73" s="4">
        <f t="shared" ca="1" si="5"/>
        <v>-2.3495599159685458E-2</v>
      </c>
      <c r="K73" s="13"/>
      <c r="L73" s="13">
        <f ca="1">L72-O73*Prices!B73</f>
        <v>0.63409028064830264</v>
      </c>
      <c r="M73" s="4">
        <f t="shared" ref="M73:M136" ca="1" si="7">M72+O73</f>
        <v>0.33633792177708133</v>
      </c>
      <c r="N73" s="13">
        <f ca="1">IF(Prices!B72&gt;OFFSET(Prices!B72,-$N$3,0),1,-1)</f>
        <v>-1</v>
      </c>
      <c r="O73" s="4">
        <f ca="1">IF(N73=1,O$3*L72/Prices!B72,-O$3*M72)</f>
        <v>-1.4014080074045055E-2</v>
      </c>
      <c r="P73" s="22"/>
      <c r="Q73" s="13">
        <f ca="1">Q72-T73*Prices!B73</f>
        <v>0.66397299480102212</v>
      </c>
      <c r="R73" s="4">
        <f t="shared" ca="1" si="6"/>
        <v>0.30656911710237311</v>
      </c>
      <c r="S73" s="13">
        <f ca="1">IF(Prices!B72&gt;OFFSET(Prices!B72,-S$3,0),1,-1)</f>
        <v>-1</v>
      </c>
      <c r="T73" s="4">
        <f ca="1">IF(S73=1,T$3*Q72/Prices!B72,-T$3*R72)</f>
        <v>-9.4815190856404035E-3</v>
      </c>
      <c r="V73" s="13"/>
      <c r="W73" s="4"/>
      <c r="X73" s="4"/>
      <c r="Y73" s="4"/>
      <c r="Z73" s="4"/>
      <c r="AA73" s="4"/>
      <c r="AB73" s="4"/>
      <c r="AC73" s="4"/>
      <c r="AD73" s="4"/>
      <c r="AE73" s="52"/>
    </row>
    <row r="74" spans="1:31" x14ac:dyDescent="0.2">
      <c r="A74" s="7">
        <v>41882</v>
      </c>
      <c r="B74" s="13">
        <f ca="1">Prices!B73*(1+J74/(50*(ABS(O74)+ABS(T74)+0.0001)))</f>
        <v>1.0451657470177251</v>
      </c>
      <c r="C74" s="62">
        <f t="shared" ca="1" si="3"/>
        <v>0</v>
      </c>
      <c r="D74" s="13">
        <f ca="1">D73+C74*(Prices!B74-Prices!B73)/Prices!B73</f>
        <v>1.7482608084538366E-2</v>
      </c>
      <c r="E74" s="13">
        <f t="shared" ca="1" si="4"/>
        <v>3.6321259622129183E-2</v>
      </c>
      <c r="F74" s="13">
        <f t="shared" ca="1" si="2"/>
        <v>5.3803867706667549E-2</v>
      </c>
      <c r="G74" s="21">
        <f ca="1">IF((Prices!B74-Prices!B73)*C74&gt;0,1,0)</f>
        <v>0</v>
      </c>
      <c r="H74" s="13">
        <f>ABS(Prices!B74-Prices!B73)/Prices!B73</f>
        <v>9.6586646661665186E-3</v>
      </c>
      <c r="I74" s="21"/>
      <c r="J74" s="4">
        <f t="shared" ca="1" si="5"/>
        <v>-2.2650590384154446E-2</v>
      </c>
      <c r="K74" s="13"/>
      <c r="L74" s="13">
        <f ca="1">L73-O74*Prices!B74</f>
        <v>0.64829853981585361</v>
      </c>
      <c r="M74" s="4">
        <f t="shared" ca="1" si="7"/>
        <v>0.32288440490599807</v>
      </c>
      <c r="N74" s="13">
        <f ca="1">IF(Prices!B73&gt;OFFSET(Prices!B73,-$N$3,0),1,-1)</f>
        <v>-1</v>
      </c>
      <c r="O74" s="4">
        <f ca="1">IF(N74=1,O$3*L73/Prices!B73,-O$3*M73)</f>
        <v>-1.3453516871083253E-2</v>
      </c>
      <c r="P74" s="22"/>
      <c r="Q74" s="13">
        <f ca="1">Q73-T74*Prices!B74</f>
        <v>0.67368602413817658</v>
      </c>
      <c r="R74" s="4">
        <f t="shared" ca="1" si="6"/>
        <v>0.29737204358930192</v>
      </c>
      <c r="S74" s="13">
        <f ca="1">IF(Prices!B73&gt;OFFSET(Prices!B73,-S$3,0),1,-1)</f>
        <v>-1</v>
      </c>
      <c r="T74" s="4">
        <f ca="1">IF(S74=1,T$3*Q73/Prices!B73,-T$3*R73)</f>
        <v>-9.1970735130711932E-3</v>
      </c>
      <c r="V74" s="13"/>
      <c r="W74" s="4"/>
      <c r="X74" s="4"/>
      <c r="Y74" s="4"/>
      <c r="Z74" s="4"/>
      <c r="AA74" s="4"/>
      <c r="AB74" s="4"/>
      <c r="AC74" s="4"/>
      <c r="AD74" s="4"/>
      <c r="AE74" s="52"/>
    </row>
    <row r="75" spans="1:31" x14ac:dyDescent="0.2">
      <c r="A75" s="7">
        <v>41889</v>
      </c>
      <c r="B75" s="13">
        <f ca="1">Prices!B74*(1+J75/(50*(ABS(O75)+ABS(T75)+0.0001)))</f>
        <v>1.0350742868456164</v>
      </c>
      <c r="C75" s="62">
        <f t="shared" ca="1" si="3"/>
        <v>0</v>
      </c>
      <c r="D75" s="13">
        <f ca="1">D74+C75*(Prices!B75-Prices!B74)/Prices!B74</f>
        <v>1.7482608084538366E-2</v>
      </c>
      <c r="E75" s="13">
        <f t="shared" ca="1" si="4"/>
        <v>3.6321259622129183E-2</v>
      </c>
      <c r="F75" s="13">
        <f t="shared" ca="1" si="2"/>
        <v>5.3803867706667549E-2</v>
      </c>
      <c r="G75" s="21">
        <f ca="1">IF((Prices!B75-Prices!B74)*C75&gt;0,1,0)</f>
        <v>0</v>
      </c>
      <c r="H75" s="13">
        <f>ABS(Prices!B75-Prices!B74)/Prices!B74</f>
        <v>1.0415680333301884E-2</v>
      </c>
      <c r="I75" s="21"/>
      <c r="J75" s="4">
        <f t="shared" ca="1" si="5"/>
        <v>-2.1836537503918979E-2</v>
      </c>
      <c r="K75" s="13"/>
      <c r="L75" s="13">
        <f ca="1">L74-O75*Prices!B75</f>
        <v>0.66179639947854396</v>
      </c>
      <c r="M75" s="4">
        <f t="shared" ca="1" si="7"/>
        <v>0.30996902870975812</v>
      </c>
      <c r="N75" s="13">
        <f ca="1">IF(Prices!B74&gt;OFFSET(Prices!B74,-$N$3,0),1,-1)</f>
        <v>-1</v>
      </c>
      <c r="O75" s="4">
        <f ca="1">IF(N75=1,O$3*L74/Prices!B74,-O$3*M74)</f>
        <v>-1.2915376196239923E-2</v>
      </c>
      <c r="P75" s="22"/>
      <c r="Q75" s="13">
        <f ca="1">Q74-T75*Prices!B75</f>
        <v>0.68300952982083196</v>
      </c>
      <c r="R75" s="4">
        <f t="shared" ca="1" si="6"/>
        <v>0.28845088228162286</v>
      </c>
      <c r="S75" s="13">
        <f ca="1">IF(Prices!B74&gt;OFFSET(Prices!B74,-S$3,0),1,-1)</f>
        <v>-1</v>
      </c>
      <c r="T75" s="4">
        <f ca="1">IF(S75=1,T$3*Q74/Prices!B74,-T$3*R74)</f>
        <v>-8.9211613076790579E-3</v>
      </c>
      <c r="V75" s="13"/>
      <c r="W75" s="4"/>
      <c r="X75" s="4"/>
      <c r="Y75" s="4"/>
      <c r="Z75" s="4"/>
      <c r="AA75" s="4"/>
      <c r="AB75" s="4"/>
      <c r="AC75" s="4"/>
      <c r="AD75" s="4"/>
      <c r="AE75" s="52"/>
    </row>
    <row r="76" spans="1:31" x14ac:dyDescent="0.2">
      <c r="A76" s="7">
        <v>41896</v>
      </c>
      <c r="B76" s="13">
        <f ca="1">Prices!B75*(1+J76/(50*(ABS(O76)+ABS(T76)+0.0001)))</f>
        <v>1.0242968167349962</v>
      </c>
      <c r="C76" s="62">
        <f t="shared" ca="1" si="3"/>
        <v>0</v>
      </c>
      <c r="D76" s="13">
        <f ca="1">D75+C76*(Prices!B76-Prices!B75)/Prices!B75</f>
        <v>1.7482608084538366E-2</v>
      </c>
      <c r="E76" s="13">
        <f t="shared" ca="1" si="4"/>
        <v>3.6321259622129183E-2</v>
      </c>
      <c r="F76" s="13">
        <f t="shared" ca="1" si="2"/>
        <v>5.3803867706667549E-2</v>
      </c>
      <c r="G76" s="21">
        <f ca="1">IF((Prices!B76-Prices!B75)*C76&gt;0,1,0)</f>
        <v>0</v>
      </c>
      <c r="H76" s="13">
        <f>ABS(Prices!B76-Prices!B75)/Prices!B75</f>
        <v>4.7842311740519284E-4</v>
      </c>
      <c r="I76" s="21"/>
      <c r="J76" s="4">
        <f t="shared" ca="1" si="5"/>
        <v>-2.1052287616839013E-2</v>
      </c>
      <c r="K76" s="13"/>
      <c r="L76" s="13">
        <f ca="1">L75-O76*Prices!B76</f>
        <v>0.67476054413530084</v>
      </c>
      <c r="M76" s="4">
        <f t="shared" ca="1" si="7"/>
        <v>0.29757026756136779</v>
      </c>
      <c r="N76" s="13">
        <f ca="1">IF(Prices!B75&gt;OFFSET(Prices!B75,-$N$3,0),1,-1)</f>
        <v>-1</v>
      </c>
      <c r="O76" s="4">
        <f ca="1">IF(N76=1,O$3*L75/Prices!B75,-O$3*M75)</f>
        <v>-1.2398761148390326E-2</v>
      </c>
      <c r="P76" s="22"/>
      <c r="Q76" s="13">
        <f ca="1">Q75-T76*Prices!B76</f>
        <v>0.6920576570962419</v>
      </c>
      <c r="R76" s="4">
        <f t="shared" ca="1" si="6"/>
        <v>0.27979735581317416</v>
      </c>
      <c r="S76" s="13">
        <f ca="1">IF(Prices!B75&gt;OFFSET(Prices!B75,-S$3,0),1,-1)</f>
        <v>-1</v>
      </c>
      <c r="T76" s="4">
        <f ca="1">IF(S76=1,T$3*Q75/Prices!B75,-T$3*R75)</f>
        <v>-8.653526468448686E-3</v>
      </c>
      <c r="V76" s="13"/>
      <c r="W76" s="4"/>
      <c r="X76" s="4"/>
      <c r="Y76" s="4"/>
      <c r="Z76" s="4"/>
      <c r="AA76" s="4"/>
      <c r="AB76" s="4"/>
      <c r="AC76" s="4"/>
      <c r="AD76" s="4"/>
      <c r="AE76" s="52"/>
    </row>
    <row r="77" spans="1:31" x14ac:dyDescent="0.2">
      <c r="A77" s="7">
        <v>41903</v>
      </c>
      <c r="B77" s="13">
        <f ca="1">Prices!B76*(1+J77/(50*(ABS(O77)+ABS(T77)+0.0001)))</f>
        <v>1.0247905262313537</v>
      </c>
      <c r="C77" s="62">
        <f t="shared" ca="1" si="3"/>
        <v>0</v>
      </c>
      <c r="D77" s="13">
        <f ca="1">D76+C77*(Prices!B77-Prices!B76)/Prices!B76</f>
        <v>1.7482608084538366E-2</v>
      </c>
      <c r="E77" s="13">
        <f t="shared" ca="1" si="4"/>
        <v>3.6321259622129183E-2</v>
      </c>
      <c r="F77" s="13">
        <f t="shared" ca="1" si="2"/>
        <v>5.3803867706667549E-2</v>
      </c>
      <c r="G77" s="21">
        <f ca="1">IF((Prices!B77-Prices!B76)*C77&gt;0,1,0)</f>
        <v>0</v>
      </c>
      <c r="H77" s="13">
        <f>ABS(Prices!B77-Prices!B76)/Prices!B76</f>
        <v>5.8339709257842331E-3</v>
      </c>
      <c r="I77" s="21"/>
      <c r="J77" s="4">
        <f t="shared" ca="1" si="5"/>
        <v>-2.0296731376849939E-2</v>
      </c>
      <c r="K77" s="13"/>
      <c r="L77" s="13">
        <f ca="1">L76-O77*Prices!B77</f>
        <v>0.68727873015107244</v>
      </c>
      <c r="M77" s="4">
        <f t="shared" ca="1" si="7"/>
        <v>0.28566745685891309</v>
      </c>
      <c r="N77" s="13">
        <f ca="1">IF(Prices!B76&gt;OFFSET(Prices!B76,-$N$3,0),1,-1)</f>
        <v>-1</v>
      </c>
      <c r="O77" s="4">
        <f ca="1">IF(N77=1,O$3*L76/Prices!B76,-O$3*M76)</f>
        <v>-1.1902810702454712E-2</v>
      </c>
      <c r="P77" s="22"/>
      <c r="Q77" s="13">
        <f ca="1">Q76-T77*Prices!B77</f>
        <v>0.70088554346950338</v>
      </c>
      <c r="R77" s="4">
        <f t="shared" ca="1" si="6"/>
        <v>0.27140343513877896</v>
      </c>
      <c r="S77" s="13">
        <f ca="1">IF(Prices!B76&gt;OFFSET(Prices!B76,-S$3,0),1,-1)</f>
        <v>-1</v>
      </c>
      <c r="T77" s="4">
        <f ca="1">IF(S77=1,T$3*Q76/Prices!B76,-T$3*R76)</f>
        <v>-8.3939206743952246E-3</v>
      </c>
      <c r="V77" s="13"/>
      <c r="W77" s="4"/>
      <c r="X77" s="4"/>
      <c r="Y77" s="4"/>
      <c r="Z77" s="4"/>
      <c r="AA77" s="4"/>
      <c r="AB77" s="4"/>
      <c r="AC77" s="4"/>
      <c r="AD77" s="4"/>
      <c r="AE77" s="52"/>
    </row>
    <row r="78" spans="1:31" x14ac:dyDescent="0.2">
      <c r="A78" s="7">
        <v>41910</v>
      </c>
      <c r="B78" s="13">
        <f ca="1">Prices!B77*(1+J78/(50*(ABS(O78)+ABS(T78)+0.0001)))</f>
        <v>1.0307729409347763</v>
      </c>
      <c r="C78" s="62">
        <f t="shared" ca="1" si="3"/>
        <v>0</v>
      </c>
      <c r="D78" s="13">
        <f ca="1">D77+C78*(Prices!B78-Prices!B77)/Prices!B77</f>
        <v>1.7482608084538366E-2</v>
      </c>
      <c r="E78" s="13">
        <f t="shared" ca="1" si="4"/>
        <v>3.6321259622129183E-2</v>
      </c>
      <c r="F78" s="13">
        <f t="shared" ca="1" si="2"/>
        <v>5.3803867706667549E-2</v>
      </c>
      <c r="G78" s="21">
        <f ca="1">IF((Prices!B78-Prices!B77)*C78&gt;0,1,0)</f>
        <v>0</v>
      </c>
      <c r="H78" s="13">
        <f>ABS(Prices!B78-Prices!B77)/Prices!B77</f>
        <v>1.4262622420840873E-3</v>
      </c>
      <c r="I78" s="21"/>
      <c r="J78" s="4">
        <f t="shared" ca="1" si="5"/>
        <v>-1.9568801328519892E-2</v>
      </c>
      <c r="K78" s="13"/>
      <c r="L78" s="13">
        <f ca="1">L77-O78*Prices!B78</f>
        <v>0.69931332877362473</v>
      </c>
      <c r="M78" s="4">
        <f t="shared" ca="1" si="7"/>
        <v>0.27424075858455654</v>
      </c>
      <c r="N78" s="13">
        <f ca="1">IF(Prices!B77&gt;OFFSET(Prices!B77,-$N$3,0),1,-1)</f>
        <v>-1</v>
      </c>
      <c r="O78" s="4">
        <f ca="1">IF(N78=1,O$3*L77/Prices!B77,-O$3*M77)</f>
        <v>-1.1426698274356524E-2</v>
      </c>
      <c r="P78" s="22"/>
      <c r="Q78" s="13">
        <f ca="1">Q77-T78*Prices!B78</f>
        <v>0.70946080640614828</v>
      </c>
      <c r="R78" s="4">
        <f t="shared" ca="1" si="6"/>
        <v>0.26326133208461561</v>
      </c>
      <c r="S78" s="13">
        <f ca="1">IF(Prices!B77&gt;OFFSET(Prices!B77,-S$3,0),1,-1)</f>
        <v>-1</v>
      </c>
      <c r="T78" s="4">
        <f ca="1">IF(S78=1,T$3*Q77/Prices!B77,-T$3*R77)</f>
        <v>-8.1421030541633677E-3</v>
      </c>
      <c r="V78" s="13"/>
      <c r="W78" s="4"/>
      <c r="X78" s="4"/>
      <c r="Y78" s="4"/>
      <c r="Z78" s="4"/>
      <c r="AA78" s="4"/>
      <c r="AB78" s="4"/>
      <c r="AC78" s="4"/>
      <c r="AD78" s="4"/>
      <c r="AE78" s="52"/>
    </row>
    <row r="79" spans="1:31" x14ac:dyDescent="0.2">
      <c r="A79" s="7">
        <v>41917</v>
      </c>
      <c r="B79" s="13">
        <f ca="1">Prices!B78*(1+J79/(50*(ABS(O79)+ABS(T79)+0.0001)))</f>
        <v>1.0322470532910306</v>
      </c>
      <c r="C79" s="62">
        <f t="shared" ca="1" si="3"/>
        <v>0</v>
      </c>
      <c r="D79" s="13">
        <f ca="1">D78+C79*(Prices!B79-Prices!B78)/Prices!B78</f>
        <v>1.7482608084538366E-2</v>
      </c>
      <c r="E79" s="13">
        <f t="shared" ca="1" si="4"/>
        <v>3.6321259622129183E-2</v>
      </c>
      <c r="F79" s="13">
        <f t="shared" ca="1" si="2"/>
        <v>5.3803867706667549E-2</v>
      </c>
      <c r="G79" s="21">
        <f ca="1">IF((Prices!B79-Prices!B78)*C79&gt;0,1,0)</f>
        <v>0</v>
      </c>
      <c r="H79" s="13">
        <f>ABS(Prices!B79-Prices!B78)/Prices!B78</f>
        <v>1.0539308773262543E-2</v>
      </c>
      <c r="I79" s="21"/>
      <c r="J79" s="4">
        <f t="shared" ca="1" si="5"/>
        <v>-1.886747030592073E-2</v>
      </c>
      <c r="K79" s="13"/>
      <c r="L79" s="13">
        <f ca="1">L78-O79*Prices!B79</f>
        <v>0.71098830634808652</v>
      </c>
      <c r="M79" s="4">
        <f t="shared" ca="1" si="7"/>
        <v>0.26327112824117427</v>
      </c>
      <c r="N79" s="13">
        <f ca="1">IF(Prices!B78&gt;OFFSET(Prices!B78,-$N$3,0),1,-1)</f>
        <v>-1</v>
      </c>
      <c r="O79" s="4">
        <f ca="1">IF(N79=1,O$3*L78/Prices!B78,-O$3*M78)</f>
        <v>-1.0969630343382261E-2</v>
      </c>
      <c r="P79" s="22"/>
      <c r="Q79" s="13">
        <f ca="1">Q78-T79*Prices!B79</f>
        <v>0.71786647747827792</v>
      </c>
      <c r="R79" s="4">
        <f t="shared" ca="1" si="6"/>
        <v>0.25536349212207715</v>
      </c>
      <c r="S79" s="13">
        <f ca="1">IF(Prices!B78&gt;OFFSET(Prices!B78,-S$3,0),1,-1)</f>
        <v>-1</v>
      </c>
      <c r="T79" s="4">
        <f ca="1">IF(S79=1,T$3*Q78/Prices!B78,-T$3*R78)</f>
        <v>-7.8978399625384676E-3</v>
      </c>
      <c r="V79" s="13"/>
      <c r="W79" s="4"/>
      <c r="X79" s="4"/>
      <c r="Y79" s="4"/>
      <c r="Z79" s="4"/>
      <c r="AA79" s="4"/>
      <c r="AB79" s="4"/>
      <c r="AC79" s="4"/>
      <c r="AD79" s="4"/>
      <c r="AE79" s="52"/>
    </row>
    <row r="80" spans="1:31" x14ac:dyDescent="0.2">
      <c r="A80" s="7">
        <v>41924</v>
      </c>
      <c r="B80" s="13">
        <f ca="1">Prices!B79*(1+J80/(50*(ABS(O80)+ABS(T80)+0.0001)))</f>
        <v>1.043130369402185</v>
      </c>
      <c r="C80" s="62">
        <f t="shared" ca="1" si="3"/>
        <v>0</v>
      </c>
      <c r="D80" s="13">
        <f ca="1">D79+C80*(Prices!B80-Prices!B79)/Prices!B79</f>
        <v>1.7482608084538366E-2</v>
      </c>
      <c r="E80" s="13">
        <f t="shared" ca="1" si="4"/>
        <v>3.6321259622129183E-2</v>
      </c>
      <c r="F80" s="13">
        <f t="shared" ref="F80:F143" ca="1" si="8">MAX(F79,D80)</f>
        <v>5.3803867706667549E-2</v>
      </c>
      <c r="G80" s="21">
        <f ca="1">IF((Prices!B80-Prices!B79)*C80&gt;0,1,0)</f>
        <v>0</v>
      </c>
      <c r="H80" s="13">
        <f>ABS(Prices!B80-Prices!B79)/Prices!B79</f>
        <v>5.6375082213661609E-3</v>
      </c>
      <c r="I80" s="21"/>
      <c r="J80" s="4">
        <f t="shared" ca="1" si="5"/>
        <v>-1.8191749893309284E-2</v>
      </c>
      <c r="K80" s="13"/>
      <c r="L80" s="13">
        <f ca="1">L79-O80*Prices!B80</f>
        <v>0.72225946989034773</v>
      </c>
      <c r="M80" s="4">
        <f t="shared" ca="1" si="7"/>
        <v>0.2527402831115273</v>
      </c>
      <c r="N80" s="13">
        <f ca="1">IF(Prices!B79&gt;OFFSET(Prices!B79,-$N$3,0),1,-1)</f>
        <v>-1</v>
      </c>
      <c r="O80" s="4">
        <f ca="1">IF(N80=1,O$3*L79/Prices!B79,-O$3*M79)</f>
        <v>-1.0530845129646971E-2</v>
      </c>
      <c r="P80" s="22"/>
      <c r="Q80" s="13">
        <f ca="1">Q79-T80*Prices!B80</f>
        <v>0.72606594384682566</v>
      </c>
      <c r="R80" s="4">
        <f t="shared" ca="1" si="6"/>
        <v>0.24770258735841483</v>
      </c>
      <c r="S80" s="13">
        <f ca="1">IF(Prices!B79&gt;OFFSET(Prices!B79,-S$3,0),1,-1)</f>
        <v>-1</v>
      </c>
      <c r="T80" s="4">
        <f ca="1">IF(S80=1,T$3*Q79/Prices!B79,-T$3*R79)</f>
        <v>-7.6609047636623144E-3</v>
      </c>
      <c r="V80" s="13"/>
      <c r="W80" s="4"/>
      <c r="X80" s="4"/>
      <c r="Y80" s="4"/>
      <c r="Z80" s="4"/>
      <c r="AA80" s="4"/>
      <c r="AB80" s="4"/>
      <c r="AC80" s="4"/>
      <c r="AD80" s="4"/>
      <c r="AE80" s="52"/>
    </row>
    <row r="81" spans="1:31" x14ac:dyDescent="0.2">
      <c r="A81" s="7">
        <v>41931</v>
      </c>
      <c r="B81" s="13">
        <f ca="1">Prices!B80*(1+J81/(50*(ABS(O81)+ABS(T81)+0.0001)))</f>
        <v>1.082428941697962</v>
      </c>
      <c r="C81" s="62">
        <f t="shared" ref="C81:C144" ca="1" si="9">IF(J81&gt;0,1,IF(J81&lt;0,0,0))</f>
        <v>1</v>
      </c>
      <c r="D81" s="13">
        <f ca="1">D80+C81*(Prices!B81-Prices!B80)/Prices!B80</f>
        <v>1.7108881092106377E-2</v>
      </c>
      <c r="E81" s="13">
        <f t="shared" ref="E81:E144" ca="1" si="10">F81-D81</f>
        <v>3.6694986614561172E-2</v>
      </c>
      <c r="F81" s="13">
        <f t="shared" ca="1" si="8"/>
        <v>5.3803867706667549E-2</v>
      </c>
      <c r="G81" s="21">
        <f ca="1">IF((Prices!B81-Prices!B80)*C81&gt;0,1,0)</f>
        <v>0</v>
      </c>
      <c r="H81" s="13">
        <f>ABS(Prices!B81-Prices!B80)/Prices!B80</f>
        <v>3.7372699243198724E-4</v>
      </c>
      <c r="I81" s="21"/>
      <c r="J81" s="4">
        <f t="shared" ref="J81:J144" ca="1" si="11">O81+T81</f>
        <v>1.956170832301464E-2</v>
      </c>
      <c r="K81" s="13"/>
      <c r="L81" s="13">
        <f ca="1">L80-O81*Prices!B81</f>
        <v>0.69337988820911134</v>
      </c>
      <c r="M81" s="4">
        <f t="shared" ca="1" si="7"/>
        <v>0.27973306905529438</v>
      </c>
      <c r="N81" s="13">
        <f ca="1">IF(Prices!B80&gt;OFFSET(Prices!B80,-$N$3,0),1,-1)</f>
        <v>1</v>
      </c>
      <c r="O81" s="4">
        <f ca="1">IF(N81=1,O$3*L80/Prices!B80,-O$3*M80)</f>
        <v>2.6992785943767084E-2</v>
      </c>
      <c r="P81" s="22"/>
      <c r="Q81" s="13">
        <f ca="1">Q80-T81*Prices!B81</f>
        <v>0.73401645379326874</v>
      </c>
      <c r="R81" s="4">
        <f t="shared" ca="1" si="6"/>
        <v>0.24027150973766237</v>
      </c>
      <c r="S81" s="13">
        <f ca="1">IF(Prices!B80&gt;OFFSET(Prices!B80,-S$3,0),1,-1)</f>
        <v>-1</v>
      </c>
      <c r="T81" s="4">
        <f ca="1">IF(S81=1,T$3*Q80/Prices!B80,-T$3*R80)</f>
        <v>-7.4310776207524446E-3</v>
      </c>
      <c r="V81" s="13"/>
      <c r="W81" s="4"/>
      <c r="X81" s="4"/>
      <c r="Y81" s="4"/>
      <c r="Z81" s="4"/>
      <c r="AA81" s="4"/>
      <c r="AB81" s="4"/>
      <c r="AC81" s="4"/>
      <c r="AD81" s="4"/>
      <c r="AE81" s="52"/>
    </row>
    <row r="82" spans="1:31" x14ac:dyDescent="0.2">
      <c r="A82" s="7">
        <v>41938</v>
      </c>
      <c r="B82" s="13">
        <f ca="1">Prices!B81*(1+J82/(50*(ABS(O82)+ABS(T82)+0.0001)))</f>
        <v>1.0819508038804733</v>
      </c>
      <c r="C82" s="62">
        <f t="shared" ca="1" si="9"/>
        <v>1</v>
      </c>
      <c r="D82" s="13">
        <f ca="1">D81+C82*(Prices!B82-Prices!B81)/Prices!B81</f>
        <v>2.4960082138933151E-2</v>
      </c>
      <c r="E82" s="13">
        <f t="shared" ca="1" si="10"/>
        <v>2.8843785567734398E-2</v>
      </c>
      <c r="F82" s="13">
        <f t="shared" ca="1" si="8"/>
        <v>5.3803867706667549E-2</v>
      </c>
      <c r="G82" s="21">
        <f ca="1">IF((Prices!B82-Prices!B81)*C82&gt;0,1,0)</f>
        <v>1</v>
      </c>
      <c r="H82" s="13">
        <f>ABS(Prices!B82-Prices!B81)/Prices!B81</f>
        <v>7.851201046826772E-3</v>
      </c>
      <c r="I82" s="21"/>
      <c r="J82" s="4">
        <f t="shared" ca="1" si="11"/>
        <v>1.871502091813693E-2</v>
      </c>
      <c r="K82" s="13"/>
      <c r="L82" s="13">
        <f ca="1">L81-O82*Prices!B82</f>
        <v>0.66542693808458064</v>
      </c>
      <c r="M82" s="4">
        <f t="shared" ca="1" si="7"/>
        <v>0.30565623526556118</v>
      </c>
      <c r="N82" s="13">
        <f ca="1">IF(Prices!B81&gt;OFFSET(Prices!B81,-$N$3,0),1,-1)</f>
        <v>1</v>
      </c>
      <c r="O82" s="4">
        <f ca="1">IF(N82=1,O$3*L81/Prices!B81,-O$3*M81)</f>
        <v>2.5923166210266801E-2</v>
      </c>
      <c r="P82" s="22"/>
      <c r="Q82" s="13">
        <f ca="1">Q81-T82*Prices!B82</f>
        <v>0.74178899686177235</v>
      </c>
      <c r="R82" s="4">
        <f t="shared" ca="1" si="6"/>
        <v>0.23306336444553249</v>
      </c>
      <c r="S82" s="13">
        <f ca="1">IF(Prices!B81&gt;OFFSET(Prices!B81,-S$3,0),1,-1)</f>
        <v>-1</v>
      </c>
      <c r="T82" s="4">
        <f ca="1">IF(S82=1,T$3*Q81/Prices!B81,-T$3*R81)</f>
        <v>-7.2081452921298706E-3</v>
      </c>
      <c r="V82" s="13"/>
      <c r="W82" s="4"/>
      <c r="X82" s="4"/>
      <c r="Y82" s="4"/>
      <c r="Z82" s="4"/>
      <c r="AA82" s="4"/>
      <c r="AB82" s="4"/>
      <c r="AC82" s="4"/>
      <c r="AD82" s="4"/>
      <c r="AE82" s="52"/>
    </row>
    <row r="83" spans="1:31" x14ac:dyDescent="0.2">
      <c r="A83" s="7">
        <v>41945</v>
      </c>
      <c r="B83" s="13">
        <f ca="1">Prices!B82*(1+J83/(50*(ABS(O83)+ABS(T83)+0.0001)))</f>
        <v>1.0998185208386595</v>
      </c>
      <c r="C83" s="62">
        <f t="shared" ca="1" si="9"/>
        <v>1</v>
      </c>
      <c r="D83" s="13">
        <f ca="1">D82+C83*(Prices!B83-Prices!B82)/Prices!B82</f>
        <v>1.1976682342957994E-2</v>
      </c>
      <c r="E83" s="13">
        <f t="shared" ca="1" si="10"/>
        <v>4.1827185363709551E-2</v>
      </c>
      <c r="F83" s="13">
        <f t="shared" ca="1" si="8"/>
        <v>5.3803867706667549E-2</v>
      </c>
      <c r="G83" s="21">
        <f ca="1">IF((Prices!B83-Prices!B82)*C83&gt;0,1,0)</f>
        <v>0</v>
      </c>
      <c r="H83" s="13">
        <f>ABS(Prices!B83-Prices!B82)/Prices!B82</f>
        <v>1.2983399795975157E-2</v>
      </c>
      <c r="I83" s="21"/>
      <c r="J83" s="4">
        <f t="shared" ca="1" si="11"/>
        <v>4.5322032300135762E-2</v>
      </c>
      <c r="K83" s="13"/>
      <c r="L83" s="13">
        <f ca="1">L82-O83*Prices!B83</f>
        <v>0.63915544072008401</v>
      </c>
      <c r="M83" s="4">
        <f t="shared" ca="1" si="7"/>
        <v>0.33034053232888605</v>
      </c>
      <c r="N83" s="13">
        <f ca="1">IF(Prices!B82&gt;OFFSET(Prices!B82,-$N$3,0),1,-1)</f>
        <v>1</v>
      </c>
      <c r="O83" s="4">
        <f ca="1">IF(N83=1,O$3*L82/Prices!B82,-O$3*M82)</f>
        <v>2.4684297063324884E-2</v>
      </c>
      <c r="P83" s="22"/>
      <c r="Q83" s="13">
        <f ca="1">Q82-T83*Prices!B83</f>
        <v>0.71982425524923455</v>
      </c>
      <c r="R83" s="4">
        <f t="shared" ca="1" si="6"/>
        <v>0.25370109968234339</v>
      </c>
      <c r="S83" s="13">
        <f ca="1">IF(Prices!B82&gt;OFFSET(Prices!B82,-S$3,0),1,-1)</f>
        <v>1</v>
      </c>
      <c r="T83" s="4">
        <f ca="1">IF(S83=1,T$3*Q82/Prices!B82,-T$3*R82)</f>
        <v>2.0637735236810877E-2</v>
      </c>
      <c r="V83" s="13"/>
      <c r="W83" s="4"/>
      <c r="X83" s="4"/>
      <c r="Y83" s="4"/>
      <c r="Z83" s="4"/>
      <c r="AA83" s="4"/>
      <c r="AB83" s="4"/>
      <c r="AC83" s="4"/>
      <c r="AD83" s="4"/>
      <c r="AE83" s="52"/>
    </row>
    <row r="84" spans="1:31" x14ac:dyDescent="0.2">
      <c r="A84" s="7">
        <v>41952</v>
      </c>
      <c r="B84" s="13">
        <f ca="1">Prices!B83*(1+J84/(50*(ABS(O84)+ABS(T84)+0.0001)))</f>
        <v>1.0855380711914659</v>
      </c>
      <c r="C84" s="62">
        <f t="shared" ca="1" si="9"/>
        <v>1</v>
      </c>
      <c r="D84" s="13">
        <f ca="1">D83+C84*(Prices!B84-Prices!B83)/Prices!B83</f>
        <v>9.4398036433432954E-3</v>
      </c>
      <c r="E84" s="13">
        <f t="shared" ca="1" si="10"/>
        <v>4.4364064063324257E-2</v>
      </c>
      <c r="F84" s="13">
        <f t="shared" ca="1" si="8"/>
        <v>5.3803867706667549E-2</v>
      </c>
      <c r="G84" s="21">
        <f ca="1">IF((Prices!B84-Prices!B83)*C84&gt;0,1,0)</f>
        <v>0</v>
      </c>
      <c r="H84" s="13">
        <f>ABS(Prices!B84-Prices!B83)/Prices!B83</f>
        <v>2.5368786996146993E-3</v>
      </c>
      <c r="I84" s="21"/>
      <c r="J84" s="4">
        <f t="shared" ca="1" si="11"/>
        <v>4.4311702796467532E-2</v>
      </c>
      <c r="K84" s="13"/>
      <c r="L84" s="13">
        <f ca="1">L83-O84*Prices!B84</f>
        <v>0.61365408148421285</v>
      </c>
      <c r="M84" s="4">
        <f t="shared" ca="1" si="7"/>
        <v>0.35436215934082194</v>
      </c>
      <c r="N84" s="13">
        <f ca="1">IF(Prices!B83&gt;OFFSET(Prices!B83,-$N$3,0),1,-1)</f>
        <v>1</v>
      </c>
      <c r="O84" s="4">
        <f ca="1">IF(N84=1,O$3*L83/Prices!B83,-O$3*M83)</f>
        <v>2.4021627011935883E-2</v>
      </c>
      <c r="P84" s="22"/>
      <c r="Q84" s="13">
        <f ca="1">Q83-T84*Prices!B84</f>
        <v>0.69828431079637576</v>
      </c>
      <c r="R84" s="4">
        <f t="shared" ca="1" si="6"/>
        <v>0.27399117546687501</v>
      </c>
      <c r="S84" s="13">
        <f ca="1">IF(Prices!B83&gt;OFFSET(Prices!B83,-S$3,0),1,-1)</f>
        <v>1</v>
      </c>
      <c r="T84" s="4">
        <f ca="1">IF(S84=1,T$3*Q83/Prices!B83,-T$3*R83)</f>
        <v>2.0290075784531649E-2</v>
      </c>
      <c r="V84" s="13"/>
      <c r="W84" s="4"/>
      <c r="X84" s="4"/>
      <c r="Y84" s="4"/>
      <c r="Z84" s="4"/>
      <c r="AA84" s="4"/>
      <c r="AB84" s="4"/>
      <c r="AC84" s="4"/>
      <c r="AD84" s="4"/>
      <c r="AE84" s="52"/>
    </row>
    <row r="85" spans="1:31" x14ac:dyDescent="0.2">
      <c r="A85" s="7">
        <v>41959</v>
      </c>
      <c r="B85" s="13">
        <f ca="1">Prices!B84*(1+J85/(50*(ABS(O85)+ABS(T85)+0.0001)))</f>
        <v>1.0716631623441626</v>
      </c>
      <c r="C85" s="62">
        <f t="shared" ca="1" si="9"/>
        <v>1</v>
      </c>
      <c r="D85" s="13">
        <f ca="1">D84+C85*(Prices!B85-Prices!B84)/Prices!B84</f>
        <v>4.4473394383695939E-3</v>
      </c>
      <c r="E85" s="13">
        <f t="shared" ca="1" si="10"/>
        <v>4.9356528268297957E-2</v>
      </c>
      <c r="F85" s="13">
        <f t="shared" ca="1" si="8"/>
        <v>5.3803867706667549E-2</v>
      </c>
      <c r="G85" s="21">
        <f ca="1">IF((Prices!B85-Prices!B84)*C85&gt;0,1,0)</f>
        <v>0</v>
      </c>
      <c r="H85" s="13">
        <f>ABS(Prices!B85-Prices!B84)/Prices!B84</f>
        <v>4.9924642049737015E-3</v>
      </c>
      <c r="I85" s="21"/>
      <c r="J85" s="4">
        <f t="shared" ca="1" si="11"/>
        <v>1.4902121611811866E-2</v>
      </c>
      <c r="K85" s="13"/>
      <c r="L85" s="13">
        <f ca="1">L84-O85*Prices!B85</f>
        <v>0.58923046406628621</v>
      </c>
      <c r="M85" s="4">
        <f t="shared" ca="1" si="7"/>
        <v>0.37748401621664007</v>
      </c>
      <c r="N85" s="13">
        <f ca="1">IF(Prices!B84&gt;OFFSET(Prices!B84,-$N$3,0),1,-1)</f>
        <v>1</v>
      </c>
      <c r="O85" s="4">
        <f ca="1">IF(N85=1,O$3*L84/Prices!B84,-O$3*M84)</f>
        <v>2.3121856875818116E-2</v>
      </c>
      <c r="P85" s="22"/>
      <c r="Q85" s="13">
        <f ca="1">Q84-T85*Prices!B85</f>
        <v>0.70696681715574561</v>
      </c>
      <c r="R85" s="4">
        <f t="shared" ca="1" si="6"/>
        <v>0.26577144020286875</v>
      </c>
      <c r="S85" s="13">
        <f ca="1">IF(Prices!B84&gt;OFFSET(Prices!B84,-S$3,0),1,-1)</f>
        <v>-1</v>
      </c>
      <c r="T85" s="4">
        <f ca="1">IF(S85=1,T$3*Q84/Prices!B84,-T$3*R84)</f>
        <v>-8.2197352640062497E-3</v>
      </c>
      <c r="V85" s="13"/>
      <c r="W85" s="4"/>
      <c r="X85" s="4"/>
      <c r="Y85" s="4"/>
      <c r="Z85" s="4"/>
      <c r="AA85" s="4"/>
      <c r="AB85" s="4"/>
      <c r="AC85" s="4"/>
      <c r="AD85" s="4"/>
      <c r="AE85" s="52"/>
    </row>
    <row r="86" spans="1:31" x14ac:dyDescent="0.2">
      <c r="A86" s="7">
        <v>41966</v>
      </c>
      <c r="B86" s="13">
        <f ca="1">Prices!B85*(1+J86/(50*(ABS(O86)+ABS(T86)+0.0001)))</f>
        <v>1.0592817782442838</v>
      </c>
      <c r="C86" s="62">
        <f t="shared" ca="1" si="9"/>
        <v>1</v>
      </c>
      <c r="D86" s="13">
        <f ca="1">D85+C86*(Prices!B86-Prices!B85)/Prices!B85</f>
        <v>1.0032873850941796E-2</v>
      </c>
      <c r="E86" s="13">
        <f t="shared" ca="1" si="10"/>
        <v>4.3770993855725755E-2</v>
      </c>
      <c r="F86" s="13">
        <f t="shared" ca="1" si="8"/>
        <v>5.3803867706667549E-2</v>
      </c>
      <c r="G86" s="21">
        <f ca="1">IF((Prices!B86-Prices!B85)*C86&gt;0,1,0)</f>
        <v>1</v>
      </c>
      <c r="H86" s="13">
        <f>ABS(Prices!B86-Prices!B85)/Prices!B85</f>
        <v>5.5855344125722017E-3</v>
      </c>
      <c r="I86" s="21"/>
      <c r="J86" s="4">
        <f t="shared" ca="1" si="11"/>
        <v>4.9792197874532727E-3</v>
      </c>
      <c r="K86" s="13"/>
      <c r="L86" s="13">
        <f ca="1">L85-O86*Prices!B86</f>
        <v>0.60526900494729885</v>
      </c>
      <c r="M86" s="4">
        <f t="shared" ca="1" si="7"/>
        <v>0.36238465556797445</v>
      </c>
      <c r="N86" s="13">
        <f ca="1">IF(Prices!B85&gt;OFFSET(Prices!B85,-$N$3,0),1,-1)</f>
        <v>-1</v>
      </c>
      <c r="O86" s="4">
        <f ca="1">IF(N86=1,O$3*L85/Prices!B85,-O$3*M85)</f>
        <v>-1.5099360648665603E-2</v>
      </c>
      <c r="P86" s="22"/>
      <c r="Q86" s="13">
        <f ca="1">Q85-T86*Prices!B86</f>
        <v>0.68563934901650014</v>
      </c>
      <c r="R86" s="4">
        <f t="shared" ca="1" si="6"/>
        <v>0.28585002063898762</v>
      </c>
      <c r="S86" s="13">
        <f ca="1">IF(Prices!B85&gt;OFFSET(Prices!B85,-S$3,0),1,-1)</f>
        <v>1</v>
      </c>
      <c r="T86" s="4">
        <f ca="1">IF(S86=1,T$3*Q85/Prices!B85,-T$3*R85)</f>
        <v>2.0078580436118876E-2</v>
      </c>
      <c r="V86" s="13"/>
      <c r="W86" s="4"/>
      <c r="X86" s="4"/>
      <c r="Y86" s="4"/>
      <c r="Z86" s="4"/>
      <c r="AA86" s="4"/>
      <c r="AB86" s="4"/>
      <c r="AC86" s="4"/>
      <c r="AD86" s="4"/>
      <c r="AE86" s="52"/>
    </row>
    <row r="87" spans="1:31" x14ac:dyDescent="0.2">
      <c r="A87" s="7">
        <v>41973</v>
      </c>
      <c r="B87" s="13">
        <f ca="1">Prices!B86*(1+J87/(50*(ABS(O87)+ABS(T87)+0.0001)))</f>
        <v>1.065246035717121</v>
      </c>
      <c r="C87" s="62">
        <f t="shared" ca="1" si="9"/>
        <v>1</v>
      </c>
      <c r="D87" s="13">
        <f ca="1">D86+C87*(Prices!B87-Prices!B86)/Prices!B86</f>
        <v>1.483422952783869E-2</v>
      </c>
      <c r="E87" s="13">
        <f t="shared" ca="1" si="10"/>
        <v>3.8969638178828855E-2</v>
      </c>
      <c r="F87" s="13">
        <f t="shared" ca="1" si="8"/>
        <v>5.3803867706667549E-2</v>
      </c>
      <c r="G87" s="21">
        <f ca="1">IF((Prices!B87-Prices!B86)*C87&gt;0,1,0)</f>
        <v>1</v>
      </c>
      <c r="H87" s="13">
        <f>ABS(Prices!B87-Prices!B86)/Prices!B86</f>
        <v>4.8013556768968955E-3</v>
      </c>
      <c r="I87" s="21"/>
      <c r="J87" s="4">
        <f t="shared" ca="1" si="11"/>
        <v>4.8693101343653782E-3</v>
      </c>
      <c r="K87" s="13"/>
      <c r="L87" s="13">
        <f ca="1">L86-O87*Prices!B87</f>
        <v>0.62073993066280686</v>
      </c>
      <c r="M87" s="4">
        <f t="shared" ca="1" si="7"/>
        <v>0.34788926934525549</v>
      </c>
      <c r="N87" s="13">
        <f ca="1">IF(Prices!B86&gt;OFFSET(Prices!B86,-$N$3,0),1,-1)</f>
        <v>-1</v>
      </c>
      <c r="O87" s="4">
        <f ca="1">IF(N87=1,O$3*L86/Prices!B86,-O$3*M86)</f>
        <v>-1.4495386222718978E-2</v>
      </c>
      <c r="P87" s="22"/>
      <c r="Q87" s="13">
        <f ca="1">Q86-T87*Prices!B87</f>
        <v>0.66497140859458403</v>
      </c>
      <c r="R87" s="4">
        <f t="shared" ca="1" si="6"/>
        <v>0.305214716996072</v>
      </c>
      <c r="S87" s="13">
        <f ca="1">IF(Prices!B86&gt;OFFSET(Prices!B86,-S$3,0),1,-1)</f>
        <v>1</v>
      </c>
      <c r="T87" s="4">
        <f ca="1">IF(S87=1,T$3*Q86/Prices!B86,-T$3*R86)</f>
        <v>1.9364696357084356E-2</v>
      </c>
      <c r="V87" s="13"/>
      <c r="W87" s="4"/>
      <c r="X87" s="4"/>
      <c r="Y87" s="4"/>
      <c r="Z87" s="4"/>
      <c r="AA87" s="4"/>
      <c r="AB87" s="4"/>
      <c r="AC87" s="4"/>
      <c r="AD87" s="4"/>
      <c r="AE87" s="52"/>
    </row>
    <row r="88" spans="1:31" x14ac:dyDescent="0.2">
      <c r="A88" s="7">
        <v>41980</v>
      </c>
      <c r="B88" s="13">
        <f ca="1">Prices!B87*(1+J88/(50*(ABS(O88)+ABS(T88)+0.0001)))</f>
        <v>1.0704168164103818</v>
      </c>
      <c r="C88" s="62">
        <f t="shared" ca="1" si="9"/>
        <v>1</v>
      </c>
      <c r="D88" s="13">
        <f ca="1">D87+C88*(Prices!B88-Prices!B87)/Prices!B87</f>
        <v>2.0924363510786477E-2</v>
      </c>
      <c r="E88" s="13">
        <f t="shared" ca="1" si="10"/>
        <v>3.2879504195881072E-2</v>
      </c>
      <c r="F88" s="13">
        <f t="shared" ca="1" si="8"/>
        <v>5.3803867706667549E-2</v>
      </c>
      <c r="G88" s="21">
        <f ca="1">IF((Prices!B88-Prices!B87)*C88&gt;0,1,0)</f>
        <v>1</v>
      </c>
      <c r="H88" s="13">
        <f>ABS(Prices!B88-Prices!B87)/Prices!B87</f>
        <v>6.0901339829477867E-3</v>
      </c>
      <c r="I88" s="21"/>
      <c r="J88" s="4">
        <f t="shared" ca="1" si="11"/>
        <v>4.7756521792840581E-3</v>
      </c>
      <c r="K88" s="13"/>
      <c r="L88" s="13">
        <f ca="1">L87-O88*Prices!B88</f>
        <v>0.63568247055972427</v>
      </c>
      <c r="M88" s="4">
        <f t="shared" ca="1" si="7"/>
        <v>0.33397369857144527</v>
      </c>
      <c r="N88" s="13">
        <f ca="1">IF(Prices!B87&gt;OFFSET(Prices!B87,-$N$3,0),1,-1)</f>
        <v>-1</v>
      </c>
      <c r="O88" s="4">
        <f ca="1">IF(N88=1,O$3*L87/Prices!B87,-O$3*M87)</f>
        <v>-1.3915570773810219E-2</v>
      </c>
      <c r="P88" s="22"/>
      <c r="Q88" s="13">
        <f ca="1">Q87-T88*Prices!B88</f>
        <v>0.64490077338755136</v>
      </c>
      <c r="R88" s="4">
        <f t="shared" ca="1" si="6"/>
        <v>0.32390593994916628</v>
      </c>
      <c r="S88" s="13">
        <f ca="1">IF(Prices!B87&gt;OFFSET(Prices!B87,-S$3,0),1,-1)</f>
        <v>1</v>
      </c>
      <c r="T88" s="4">
        <f ca="1">IF(S88=1,T$3*Q87/Prices!B87,-T$3*R87)</f>
        <v>1.8691222953094278E-2</v>
      </c>
      <c r="V88" s="13"/>
      <c r="W88" s="4"/>
      <c r="X88" s="4"/>
      <c r="Y88" s="4"/>
      <c r="Z88" s="4"/>
      <c r="AA88" s="4"/>
      <c r="AB88" s="4"/>
      <c r="AC88" s="4"/>
      <c r="AD88" s="4"/>
      <c r="AE88" s="52"/>
    </row>
    <row r="89" spans="1:31" x14ac:dyDescent="0.2">
      <c r="A89" s="7">
        <v>41987</v>
      </c>
      <c r="B89" s="13">
        <f ca="1">Prices!B88*(1+J89/(50*(ABS(O89)+ABS(T89)+0.0001)))</f>
        <v>1.0769783826544306</v>
      </c>
      <c r="C89" s="62">
        <f t="shared" ca="1" si="9"/>
        <v>1</v>
      </c>
      <c r="D89" s="13">
        <f ca="1">D88+C89*(Prices!B89-Prices!B88)/Prices!B88</f>
        <v>2.6511996217063256E-2</v>
      </c>
      <c r="E89" s="13">
        <f t="shared" ca="1" si="10"/>
        <v>2.7291871489604293E-2</v>
      </c>
      <c r="F89" s="13">
        <f t="shared" ca="1" si="8"/>
        <v>5.3803867706667549E-2</v>
      </c>
      <c r="G89" s="21">
        <f ca="1">IF((Prices!B89-Prices!B88)*C89&gt;0,1,0)</f>
        <v>1</v>
      </c>
      <c r="H89" s="13">
        <f>ABS(Prices!B89-Prices!B88)/Prices!B88</f>
        <v>5.5876327062767787E-3</v>
      </c>
      <c r="I89" s="21"/>
      <c r="J89" s="4">
        <f t="shared" ca="1" si="11"/>
        <v>4.6583953255595282E-3</v>
      </c>
      <c r="K89" s="13"/>
      <c r="L89" s="13">
        <f ca="1">L88-O89*Prices!B89</f>
        <v>0.65010746254842211</v>
      </c>
      <c r="M89" s="4">
        <f t="shared" ca="1" si="7"/>
        <v>0.32061475062858746</v>
      </c>
      <c r="N89" s="13">
        <f ca="1">IF(Prices!B88&gt;OFFSET(Prices!B88,-$N$3,0),1,-1)</f>
        <v>-1</v>
      </c>
      <c r="O89" s="4">
        <f ca="1">IF(N89=1,O$3*L88/Prices!B88,-O$3*M88)</f>
        <v>-1.335894794285781E-2</v>
      </c>
      <c r="P89" s="22"/>
      <c r="Q89" s="13">
        <f ca="1">Q88-T89*Prices!B89</f>
        <v>0.62544564612631437</v>
      </c>
      <c r="R89" s="4">
        <f t="shared" ca="1" si="6"/>
        <v>0.34192328321758364</v>
      </c>
      <c r="S89" s="13">
        <f ca="1">IF(Prices!B88&gt;OFFSET(Prices!B88,-S$3,0),1,-1)</f>
        <v>1</v>
      </c>
      <c r="T89" s="4">
        <f ca="1">IF(S89=1,T$3*Q88/Prices!B88,-T$3*R88)</f>
        <v>1.8017343268417339E-2</v>
      </c>
      <c r="V89" s="13"/>
      <c r="W89" s="4"/>
      <c r="X89" s="4"/>
      <c r="Y89" s="4"/>
      <c r="Z89" s="4"/>
      <c r="AA89" s="4"/>
      <c r="AB89" s="4"/>
      <c r="AC89" s="4"/>
      <c r="AD89" s="4"/>
      <c r="AE89" s="52"/>
    </row>
    <row r="90" spans="1:31" x14ac:dyDescent="0.2">
      <c r="A90" s="7">
        <v>41994</v>
      </c>
      <c r="B90" s="13">
        <f ca="1">Prices!B89*(1+J90/(50*(ABS(O90)+ABS(T90)+0.0001)))</f>
        <v>1.1013440356008246</v>
      </c>
      <c r="C90" s="62">
        <f t="shared" ca="1" si="9"/>
        <v>1</v>
      </c>
      <c r="D90" s="13">
        <f ca="1">D89+C90*(Prices!B90-Prices!B89)/Prices!B89</f>
        <v>1.2990973805505405E-2</v>
      </c>
      <c r="E90" s="13">
        <f t="shared" ca="1" si="10"/>
        <v>4.0812893901162148E-2</v>
      </c>
      <c r="F90" s="13">
        <f t="shared" ca="1" si="8"/>
        <v>5.3803867706667549E-2</v>
      </c>
      <c r="G90" s="21">
        <f ca="1">IF((Prices!B90-Prices!B89)*C90&gt;0,1,0)</f>
        <v>0</v>
      </c>
      <c r="H90" s="13">
        <f>ABS(Prices!B90-Prices!B89)/Prices!B89</f>
        <v>1.3521022411557851E-2</v>
      </c>
      <c r="I90" s="21"/>
      <c r="J90" s="4">
        <f t="shared" ca="1" si="11"/>
        <v>4.1459221972334051E-2</v>
      </c>
      <c r="K90" s="13"/>
      <c r="L90" s="13">
        <f ca="1">L89-O90*Prices!B90</f>
        <v>0.62445476874932671</v>
      </c>
      <c r="M90" s="4">
        <f t="shared" ca="1" si="7"/>
        <v>0.34469726452184257</v>
      </c>
      <c r="N90" s="13">
        <f ca="1">IF(Prices!B89&gt;OFFSET(Prices!B89,-$N$3,0),1,-1)</f>
        <v>1</v>
      </c>
      <c r="O90" s="4">
        <f ca="1">IF(N90=1,O$3*L89/Prices!B89,-O$3*M89)</f>
        <v>2.4082513893255126E-2</v>
      </c>
      <c r="P90" s="22"/>
      <c r="Q90" s="13">
        <f ca="1">Q89-T90*Prices!B90</f>
        <v>0.60693597668047949</v>
      </c>
      <c r="R90" s="4">
        <f t="shared" ca="1" si="6"/>
        <v>0.35929999129666257</v>
      </c>
      <c r="S90" s="13">
        <f ca="1">IF(Prices!B89&gt;OFFSET(Prices!B89,-S$3,0),1,-1)</f>
        <v>1</v>
      </c>
      <c r="T90" s="4">
        <f ca="1">IF(S90=1,T$3*Q89/Prices!B89,-T$3*R89)</f>
        <v>1.7376708079078929E-2</v>
      </c>
      <c r="V90" s="13"/>
      <c r="W90" s="4"/>
      <c r="X90" s="4"/>
      <c r="Y90" s="4"/>
      <c r="Z90" s="4"/>
      <c r="AA90" s="4"/>
      <c r="AB90" s="4"/>
      <c r="AC90" s="4"/>
      <c r="AD90" s="4"/>
      <c r="AE90" s="52"/>
    </row>
    <row r="91" spans="1:31" x14ac:dyDescent="0.2">
      <c r="A91" s="7">
        <v>42001</v>
      </c>
      <c r="B91" s="13">
        <f ca="1">Prices!B90*(1+J91/(50*(ABS(O91)+ABS(T91)+0.0001)))</f>
        <v>1.0864515824478542</v>
      </c>
      <c r="C91" s="62">
        <f t="shared" ca="1" si="9"/>
        <v>1</v>
      </c>
      <c r="D91" s="13">
        <f ca="1">D90+C91*(Prices!B91-Prices!B90)/Prices!B90</f>
        <v>7.2643496973567052E-3</v>
      </c>
      <c r="E91" s="13">
        <f t="shared" ca="1" si="10"/>
        <v>4.6539518009310846E-2</v>
      </c>
      <c r="F91" s="13">
        <f t="shared" ca="1" si="8"/>
        <v>5.3803867706667549E-2</v>
      </c>
      <c r="G91" s="21">
        <f ca="1">IF((Prices!B91-Prices!B90)*C91&gt;0,1,0)</f>
        <v>0</v>
      </c>
      <c r="H91" s="13">
        <f>ABS(Prices!B91-Prices!B90)/Prices!B90</f>
        <v>5.7266241081486997E-3</v>
      </c>
      <c r="I91" s="21"/>
      <c r="J91" s="4">
        <f t="shared" ca="1" si="11"/>
        <v>4.0542874624847403E-2</v>
      </c>
      <c r="K91" s="13"/>
      <c r="L91" s="13">
        <f ca="1">L90-O91*Prices!B91</f>
        <v>0.59961961870868041</v>
      </c>
      <c r="M91" s="4">
        <f t="shared" ca="1" si="7"/>
        <v>0.36814656113278238</v>
      </c>
      <c r="N91" s="13">
        <f ca="1">IF(Prices!B90&gt;OFFSET(Prices!B90,-$N$3,0),1,-1)</f>
        <v>1</v>
      </c>
      <c r="O91" s="4">
        <f ca="1">IF(N91=1,O$3*L90/Prices!B90,-O$3*M90)</f>
        <v>2.3449296610939793E-2</v>
      </c>
      <c r="P91" s="22"/>
      <c r="Q91" s="13">
        <f ca="1">Q90-T91*Prices!B91</f>
        <v>0.58883216820594997</v>
      </c>
      <c r="R91" s="4">
        <f t="shared" ca="1" si="6"/>
        <v>0.37639356931057016</v>
      </c>
      <c r="S91" s="13">
        <f ca="1">IF(Prices!B90&gt;OFFSET(Prices!B90,-S$3,0),1,-1)</f>
        <v>1</v>
      </c>
      <c r="T91" s="4">
        <f ca="1">IF(S91=1,T$3*Q90/Prices!B90,-T$3*R90)</f>
        <v>1.7093578013907609E-2</v>
      </c>
      <c r="V91" s="13"/>
      <c r="W91" s="4"/>
      <c r="X91" s="4"/>
      <c r="Y91" s="4"/>
      <c r="Z91" s="4"/>
      <c r="AA91" s="4"/>
      <c r="AB91" s="4"/>
      <c r="AC91" s="4"/>
      <c r="AD91" s="4"/>
      <c r="AE91" s="52"/>
    </row>
    <row r="92" spans="1:31" x14ac:dyDescent="0.2">
      <c r="A92" s="7">
        <v>42008</v>
      </c>
      <c r="B92" s="13">
        <f ca="1">Prices!B91*(1+J92/(50*(ABS(O92)+ABS(T92)+0.0001)))</f>
        <v>1.0661659642427965</v>
      </c>
      <c r="C92" s="62">
        <f t="shared" ca="1" si="9"/>
        <v>1</v>
      </c>
      <c r="D92" s="13">
        <f ca="1">D91+C92*(Prices!B92-Prices!B91)/Prices!B91</f>
        <v>9.8136840378346083E-3</v>
      </c>
      <c r="E92" s="13">
        <f t="shared" ca="1" si="10"/>
        <v>4.3990183668832943E-2</v>
      </c>
      <c r="F92" s="13">
        <f t="shared" ca="1" si="8"/>
        <v>5.3803867706667549E-2</v>
      </c>
      <c r="G92" s="21">
        <f ca="1">IF((Prices!B92-Prices!B91)*C92&gt;0,1,0)</f>
        <v>1</v>
      </c>
      <c r="H92" s="13">
        <f>ABS(Prices!B92-Prices!B91)/Prices!B91</f>
        <v>2.5493343404779027E-3</v>
      </c>
      <c r="I92" s="21"/>
      <c r="J92" s="4">
        <f t="shared" ca="1" si="11"/>
        <v>1.1354576405101005E-2</v>
      </c>
      <c r="K92" s="13"/>
      <c r="L92" s="13">
        <f ca="1">L91-O92*Prices!B92</f>
        <v>0.57557368872492531</v>
      </c>
      <c r="M92" s="4">
        <f t="shared" ca="1" si="7"/>
        <v>0.39079294461720049</v>
      </c>
      <c r="N92" s="13">
        <f ca="1">IF(Prices!B91&gt;OFFSET(Prices!B91,-$N$3,0),1,-1)</f>
        <v>1</v>
      </c>
      <c r="O92" s="4">
        <f ca="1">IF(N92=1,O$3*L91/Prices!B91,-O$3*M91)</f>
        <v>2.2646383484418109E-2</v>
      </c>
      <c r="P92" s="22"/>
      <c r="Q92" s="13">
        <f ca="1">Q91-T92*Prices!B92</f>
        <v>0.60082180896276882</v>
      </c>
      <c r="R92" s="4">
        <f t="shared" ca="1" si="6"/>
        <v>0.36510176223125307</v>
      </c>
      <c r="S92" s="13">
        <f ca="1">IF(Prices!B91&gt;OFFSET(Prices!B91,-S$3,0),1,-1)</f>
        <v>-1</v>
      </c>
      <c r="T92" s="4">
        <f ca="1">IF(S92=1,T$3*Q91/Prices!B91,-T$3*R91)</f>
        <v>-1.1291807079317104E-2</v>
      </c>
      <c r="V92" s="13"/>
      <c r="W92" s="4"/>
      <c r="X92" s="4"/>
      <c r="Y92" s="4"/>
      <c r="Z92" s="4"/>
      <c r="AA92" s="4"/>
      <c r="AB92" s="4"/>
      <c r="AC92" s="4"/>
      <c r="AD92" s="4"/>
      <c r="AE92" s="52"/>
    </row>
    <row r="93" spans="1:31" x14ac:dyDescent="0.2">
      <c r="A93" s="7">
        <v>42015</v>
      </c>
      <c r="B93" s="13">
        <f ca="1">Prices!B92*(1+J93/(50*(ABS(O93)+ABS(T93)+0.0001)))</f>
        <v>1.0406435809725227</v>
      </c>
      <c r="C93" s="62">
        <f t="shared" ca="1" si="9"/>
        <v>0</v>
      </c>
      <c r="D93" s="13">
        <f ca="1">D92+C93*(Prices!B93-Prices!B92)/Prices!B92</f>
        <v>9.8136840378346083E-3</v>
      </c>
      <c r="E93" s="13">
        <f t="shared" ca="1" si="10"/>
        <v>4.3990183668832943E-2</v>
      </c>
      <c r="F93" s="13">
        <f t="shared" ca="1" si="8"/>
        <v>5.3803867706667549E-2</v>
      </c>
      <c r="G93" s="21">
        <f ca="1">IF((Prices!B93-Prices!B92)*C93&gt;0,1,0)</f>
        <v>0</v>
      </c>
      <c r="H93" s="13">
        <f>ABS(Prices!B93-Prices!B92)/Prices!B92</f>
        <v>1.0359766434356656E-2</v>
      </c>
      <c r="I93" s="21"/>
      <c r="J93" s="4">
        <f t="shared" ca="1" si="11"/>
        <v>-2.6584770651625612E-2</v>
      </c>
      <c r="K93" s="13"/>
      <c r="L93" s="13">
        <f ca="1">L92-O93*Prices!B93</f>
        <v>0.59234339556433857</v>
      </c>
      <c r="M93" s="4">
        <f t="shared" ca="1" si="7"/>
        <v>0.37516122683251246</v>
      </c>
      <c r="N93" s="13">
        <f ca="1">IF(Prices!B92&gt;OFFSET(Prices!B92,-$N$3,0),1,-1)</f>
        <v>-1</v>
      </c>
      <c r="O93" s="4">
        <f ca="1">IF(N93=1,O$3*L92/Prices!B92,-O$3*M92)</f>
        <v>-1.5631717784688019E-2</v>
      </c>
      <c r="P93" s="22"/>
      <c r="Q93" s="13">
        <f ca="1">Q92-T93*Prices!B93</f>
        <v>0.61257224407841948</v>
      </c>
      <c r="R93" s="4">
        <f t="shared" ca="1" si="6"/>
        <v>0.35414870936431547</v>
      </c>
      <c r="S93" s="13">
        <f ca="1">IF(Prices!B92&gt;OFFSET(Prices!B92,-S$3,0),1,-1)</f>
        <v>-1</v>
      </c>
      <c r="T93" s="4">
        <f ca="1">IF(S93=1,T$3*Q92/Prices!B92,-T$3*R92)</f>
        <v>-1.0953052866937592E-2</v>
      </c>
      <c r="V93" s="13"/>
      <c r="W93" s="4"/>
      <c r="X93" s="4"/>
      <c r="Y93" s="4"/>
      <c r="Z93" s="4"/>
      <c r="AA93" s="4"/>
      <c r="AB93" s="4"/>
      <c r="AC93" s="4"/>
      <c r="AD93" s="4"/>
      <c r="AE93" s="52"/>
    </row>
    <row r="94" spans="1:31" x14ac:dyDescent="0.2">
      <c r="A94" s="7">
        <v>42022</v>
      </c>
      <c r="B94" s="13">
        <f ca="1">Prices!B93*(1+J94/(50*(ABS(O94)+ABS(T94)+0.0001)))</f>
        <v>1.0802950835422009</v>
      </c>
      <c r="C94" s="62">
        <f t="shared" ca="1" si="9"/>
        <v>1</v>
      </c>
      <c r="D94" s="13">
        <f ca="1">D93+C94*(Prices!B94-Prices!B93)/Prices!B93</f>
        <v>2.5380425275716725E-2</v>
      </c>
      <c r="E94" s="13">
        <f t="shared" ca="1" si="10"/>
        <v>2.8423442430950824E-2</v>
      </c>
      <c r="F94" s="13">
        <f t="shared" ca="1" si="8"/>
        <v>5.3803867706667549E-2</v>
      </c>
      <c r="G94" s="21">
        <f ca="1">IF((Prices!B94-Prices!B93)*C94&gt;0,1,0)</f>
        <v>1</v>
      </c>
      <c r="H94" s="13">
        <f>ABS(Prices!B94-Prices!B93)/Prices!B93</f>
        <v>1.5566741237882119E-2</v>
      </c>
      <c r="I94" s="21"/>
      <c r="J94" s="4">
        <f t="shared" ca="1" si="11"/>
        <v>1.1461422222588008E-2</v>
      </c>
      <c r="K94" s="13"/>
      <c r="L94" s="13">
        <f ca="1">L93-O94*Prices!B94</f>
        <v>0.56828082548725634</v>
      </c>
      <c r="M94" s="4">
        <f t="shared" ca="1" si="7"/>
        <v>0.39724711033602994</v>
      </c>
      <c r="N94" s="13">
        <f ca="1">IF(Prices!B93&gt;OFFSET(Prices!B93,-$N$3,0),1,-1)</f>
        <v>1</v>
      </c>
      <c r="O94" s="4">
        <f ca="1">IF(N94=1,O$3*L93/Prices!B93,-O$3*M93)</f>
        <v>2.2085883503517471E-2</v>
      </c>
      <c r="P94" s="22"/>
      <c r="Q94" s="13">
        <f ca="1">Q93-T94*Prices!B94</f>
        <v>0.62414759464399217</v>
      </c>
      <c r="R94" s="4">
        <f t="shared" ca="1" si="6"/>
        <v>0.343524248083386</v>
      </c>
      <c r="S94" s="13">
        <f ca="1">IF(Prices!B93&gt;OFFSET(Prices!B93,-S$3,0),1,-1)</f>
        <v>-1</v>
      </c>
      <c r="T94" s="4">
        <f ca="1">IF(S94=1,T$3*Q93/Prices!B93,-T$3*R93)</f>
        <v>-1.0624461280929464E-2</v>
      </c>
      <c r="V94" s="13"/>
      <c r="W94" s="4"/>
      <c r="X94" s="4"/>
      <c r="Y94" s="4"/>
      <c r="Z94" s="4"/>
      <c r="AA94" s="4"/>
      <c r="AB94" s="4"/>
      <c r="AC94" s="4"/>
      <c r="AD94" s="4"/>
      <c r="AE94" s="52"/>
    </row>
    <row r="95" spans="1:31" x14ac:dyDescent="0.2">
      <c r="A95" s="7">
        <v>42029</v>
      </c>
      <c r="B95" s="13">
        <f ca="1">Prices!B94*(1+J95/(50*(ABS(O95)+ABS(T95)+0.0001)))</f>
        <v>1.1112328836105776</v>
      </c>
      <c r="C95" s="62">
        <f t="shared" ca="1" si="9"/>
        <v>1</v>
      </c>
      <c r="D95" s="13">
        <f ca="1">D94+C95*(Prices!B95-Prices!B94)/Prices!B94</f>
        <v>3.4834303201370875E-2</v>
      </c>
      <c r="E95" s="13">
        <f t="shared" ca="1" si="10"/>
        <v>1.8969564505296674E-2</v>
      </c>
      <c r="F95" s="13">
        <f t="shared" ca="1" si="8"/>
        <v>5.3803867706667549E-2</v>
      </c>
      <c r="G95" s="21">
        <f ca="1">IF((Prices!B95-Prices!B94)*C95&gt;0,1,0)</f>
        <v>1</v>
      </c>
      <c r="H95" s="13">
        <f>ABS(Prices!B95-Prices!B94)/Prices!B94</f>
        <v>9.4538779256541517E-3</v>
      </c>
      <c r="I95" s="21"/>
      <c r="J95" s="4">
        <f t="shared" ca="1" si="11"/>
        <v>3.8050170590922458E-2</v>
      </c>
      <c r="K95" s="13"/>
      <c r="L95" s="13">
        <f ca="1">L94-O95*Prices!B95</f>
        <v>0.54533469416570024</v>
      </c>
      <c r="M95" s="4">
        <f t="shared" ca="1" si="7"/>
        <v>0.41811102315795767</v>
      </c>
      <c r="N95" s="13">
        <f ca="1">IF(Prices!B94&gt;OFFSET(Prices!B94,-$N$3,0),1,-1)</f>
        <v>1</v>
      </c>
      <c r="O95" s="4">
        <f ca="1">IF(N95=1,O$3*L94/Prices!B94,-O$3*M94)</f>
        <v>2.0863912821927722E-2</v>
      </c>
      <c r="P95" s="22"/>
      <c r="Q95" s="13">
        <f ca="1">Q94-T95*Prices!B95</f>
        <v>0.60524614834965174</v>
      </c>
      <c r="R95" s="4">
        <f t="shared" ca="1" si="6"/>
        <v>0.36071050585238074</v>
      </c>
      <c r="S95" s="13">
        <f ca="1">IF(Prices!B94&gt;OFFSET(Prices!B94,-S$3,0),1,-1)</f>
        <v>1</v>
      </c>
      <c r="T95" s="4">
        <f ca="1">IF(S95=1,T$3*Q94/Prices!B94,-T$3*R94)</f>
        <v>1.7186257768994736E-2</v>
      </c>
      <c r="V95" s="13"/>
      <c r="W95" s="4"/>
      <c r="X95" s="4"/>
      <c r="Y95" s="4"/>
      <c r="Z95" s="4"/>
      <c r="AA95" s="4"/>
      <c r="AB95" s="4"/>
      <c r="AC95" s="4"/>
      <c r="AD95" s="4"/>
      <c r="AE95" s="52"/>
    </row>
    <row r="96" spans="1:31" x14ac:dyDescent="0.2">
      <c r="A96" s="7">
        <v>42036</v>
      </c>
      <c r="B96" s="13">
        <f ca="1">Prices!B95*(1+J96/(50*(ABS(O96)+ABS(T96)+0.0001)))</f>
        <v>1.1217356438453328</v>
      </c>
      <c r="C96" s="62">
        <f t="shared" ca="1" si="9"/>
        <v>1</v>
      </c>
      <c r="D96" s="13">
        <f ca="1">D95+C96*(Prices!B96-Prices!B95)/Prices!B95</f>
        <v>2.8742286471056137E-2</v>
      </c>
      <c r="E96" s="13">
        <f t="shared" ca="1" si="10"/>
        <v>2.5061581235611412E-2</v>
      </c>
      <c r="F96" s="13">
        <f t="shared" ca="1" si="8"/>
        <v>5.3803867706667549E-2</v>
      </c>
      <c r="G96" s="21">
        <f ca="1">IF((Prices!B96-Prices!B95)*C96&gt;0,1,0)</f>
        <v>0</v>
      </c>
      <c r="H96" s="13">
        <f>ABS(Prices!B96-Prices!B95)/Prices!B95</f>
        <v>6.0920167303147388E-3</v>
      </c>
      <c r="I96" s="21"/>
      <c r="J96" s="4">
        <f t="shared" ca="1" si="11"/>
        <v>3.634367359257825E-2</v>
      </c>
      <c r="K96" s="13"/>
      <c r="L96" s="13">
        <f ca="1">L95-O96*Prices!B96</f>
        <v>0.5236541939222914</v>
      </c>
      <c r="M96" s="4">
        <f t="shared" ca="1" si="7"/>
        <v>0.43794498184738123</v>
      </c>
      <c r="N96" s="13">
        <f ca="1">IF(Prices!B95&gt;OFFSET(Prices!B95,-$N$3,0),1,-1)</f>
        <v>1</v>
      </c>
      <c r="O96" s="4">
        <f ca="1">IF(N96=1,O$3*L95/Prices!B95,-O$3*M95)</f>
        <v>1.9833958689423541E-2</v>
      </c>
      <c r="P96" s="22"/>
      <c r="Q96" s="13">
        <f ca="1">Q95-T96*Prices!B96</f>
        <v>0.58719937898901331</v>
      </c>
      <c r="R96" s="4">
        <f t="shared" ca="1" si="6"/>
        <v>0.37722022075553546</v>
      </c>
      <c r="S96" s="13">
        <f ca="1">IF(Prices!B95&gt;OFFSET(Prices!B95,-S$3,0),1,-1)</f>
        <v>1</v>
      </c>
      <c r="T96" s="4">
        <f ca="1">IF(S96=1,T$3*Q95/Prices!B95,-T$3*R95)</f>
        <v>1.6509714903154709E-2</v>
      </c>
      <c r="V96" s="13"/>
      <c r="W96" s="4"/>
      <c r="X96" s="4"/>
      <c r="Y96" s="4"/>
      <c r="Z96" s="4"/>
      <c r="AA96" s="4"/>
      <c r="AB96" s="4"/>
      <c r="AC96" s="4"/>
      <c r="AD96" s="4"/>
      <c r="AE96" s="52"/>
    </row>
    <row r="97" spans="1:31" x14ac:dyDescent="0.2">
      <c r="A97" s="7">
        <v>42043</v>
      </c>
      <c r="B97" s="13">
        <f ca="1">Prices!B96*(1+J97/(50*(ABS(O97)+ABS(T97)+0.0001)))</f>
        <v>1.1149002041620881</v>
      </c>
      <c r="C97" s="62">
        <f t="shared" ca="1" si="9"/>
        <v>1</v>
      </c>
      <c r="D97" s="13">
        <f ca="1">D96+C97*(Prices!B97-Prices!B96)/Prices!B96</f>
        <v>5.3900094539851381E-2</v>
      </c>
      <c r="E97" s="13">
        <f t="shared" ca="1" si="10"/>
        <v>0</v>
      </c>
      <c r="F97" s="13">
        <f t="shared" ca="1" si="8"/>
        <v>5.3900094539851381E-2</v>
      </c>
      <c r="G97" s="21">
        <f ca="1">IF((Prices!B97-Prices!B96)*C97&gt;0,1,0)</f>
        <v>1</v>
      </c>
      <c r="H97" s="13">
        <f>ABS(Prices!B97-Prices!B96)/Prices!B96</f>
        <v>2.5157808068795244E-2</v>
      </c>
      <c r="I97" s="21"/>
      <c r="J97" s="4">
        <f t="shared" ca="1" si="11"/>
        <v>3.5277787143502021E-2</v>
      </c>
      <c r="K97" s="13"/>
      <c r="L97" s="13">
        <f ca="1">L96-O97*Prices!B97</f>
        <v>0.50218106649719507</v>
      </c>
      <c r="M97" s="4">
        <f t="shared" ca="1" si="7"/>
        <v>0.45710715160027821</v>
      </c>
      <c r="N97" s="13">
        <f ca="1">IF(Prices!B96&gt;OFFSET(Prices!B96,-$N$3,0),1,-1)</f>
        <v>1</v>
      </c>
      <c r="O97" s="4">
        <f ca="1">IF(N97=1,O$3*L96/Prices!B96,-O$3*M96)</f>
        <v>1.9162169752896949E-2</v>
      </c>
      <c r="P97" s="22"/>
      <c r="Q97" s="13">
        <f ca="1">Q96-T97*Prices!B97</f>
        <v>0.56914021814110127</v>
      </c>
      <c r="R97" s="4">
        <f t="shared" ca="1" si="6"/>
        <v>0.39333583814614054</v>
      </c>
      <c r="S97" s="13">
        <f ca="1">IF(Prices!B96&gt;OFFSET(Prices!B96,-S$3,0),1,-1)</f>
        <v>1</v>
      </c>
      <c r="T97" s="4">
        <f ca="1">IF(S97=1,T$3*Q96/Prices!B96,-T$3*R96)</f>
        <v>1.6115617390605068E-2</v>
      </c>
      <c r="V97" s="13"/>
      <c r="W97" s="4"/>
      <c r="X97" s="4"/>
      <c r="Y97" s="4"/>
      <c r="Z97" s="4"/>
      <c r="AA97" s="4"/>
      <c r="AB97" s="4"/>
      <c r="AC97" s="4"/>
      <c r="AD97" s="4"/>
      <c r="AE97" s="52"/>
    </row>
    <row r="98" spans="1:31" x14ac:dyDescent="0.2">
      <c r="A98" s="7">
        <v>42050</v>
      </c>
      <c r="B98" s="13">
        <f ca="1">Prices!B97*(1+J98/(50*(ABS(O98)+ABS(T98)+0.0001)))</f>
        <v>1.1429446200088582</v>
      </c>
      <c r="C98" s="62">
        <f t="shared" ca="1" si="9"/>
        <v>1</v>
      </c>
      <c r="D98" s="13">
        <f ca="1">D97+C98*(Prices!B98-Prices!B97)/Prices!B97</f>
        <v>5.1847622649792514E-2</v>
      </c>
      <c r="E98" s="13">
        <f t="shared" ca="1" si="10"/>
        <v>2.052471890058867E-3</v>
      </c>
      <c r="F98" s="13">
        <f t="shared" ca="1" si="8"/>
        <v>5.3900094539851381E-2</v>
      </c>
      <c r="G98" s="21">
        <f ca="1">IF((Prices!B98-Prices!B97)*C98&gt;0,1,0)</f>
        <v>0</v>
      </c>
      <c r="H98" s="13">
        <f>ABS(Prices!B98-Prices!B97)/Prices!B97</f>
        <v>2.0524718900588692E-3</v>
      </c>
      <c r="I98" s="21"/>
      <c r="J98" s="4">
        <f t="shared" ca="1" si="11"/>
        <v>3.3162099950134603E-2</v>
      </c>
      <c r="K98" s="13"/>
      <c r="L98" s="13">
        <f ca="1">L97-O98*Prices!B98</f>
        <v>0.48213505233821546</v>
      </c>
      <c r="M98" s="4">
        <f t="shared" ca="1" si="7"/>
        <v>0.4750325867777615</v>
      </c>
      <c r="N98" s="13">
        <f ca="1">IF(Prices!B97&gt;OFFSET(Prices!B97,-$N$3,0),1,-1)</f>
        <v>1</v>
      </c>
      <c r="O98" s="4">
        <f ca="1">IF(N98=1,O$3*L97/Prices!B97,-O$3*M97)</f>
        <v>1.7925435177483313E-2</v>
      </c>
      <c r="P98" s="22"/>
      <c r="Q98" s="13">
        <f ca="1">Q97-T98*Prices!B98</f>
        <v>0.55210105592584535</v>
      </c>
      <c r="R98" s="4">
        <f t="shared" ca="1" si="6"/>
        <v>0.40857250291879182</v>
      </c>
      <c r="S98" s="13">
        <f ca="1">IF(Prices!B97&gt;OFFSET(Prices!B97,-S$3,0),1,-1)</f>
        <v>1</v>
      </c>
      <c r="T98" s="4">
        <f ca="1">IF(S98=1,T$3*Q97/Prices!B97,-T$3*R97)</f>
        <v>1.5236664772651292E-2</v>
      </c>
      <c r="V98" s="13"/>
      <c r="W98" s="4"/>
      <c r="X98" s="4"/>
      <c r="Y98" s="4"/>
      <c r="Z98" s="4"/>
      <c r="AA98" s="4"/>
      <c r="AB98" s="4"/>
      <c r="AC98" s="4"/>
      <c r="AD98" s="4"/>
      <c r="AE98" s="52"/>
    </row>
    <row r="99" spans="1:31" x14ac:dyDescent="0.2">
      <c r="A99" s="7">
        <v>42057</v>
      </c>
      <c r="B99" s="13">
        <f ca="1">Prices!B98*(1+J99/(50*(ABS(O99)+ABS(T99)+0.0001)))</f>
        <v>1.1405964457332152</v>
      </c>
      <c r="C99" s="62">
        <f t="shared" ca="1" si="9"/>
        <v>1</v>
      </c>
      <c r="D99" s="13">
        <f ca="1">D98+C99*(Prices!B99-Prices!B98)/Prices!B98</f>
        <v>6.043208120295341E-2</v>
      </c>
      <c r="E99" s="13">
        <f t="shared" ca="1" si="10"/>
        <v>0</v>
      </c>
      <c r="F99" s="13">
        <f t="shared" ca="1" si="8"/>
        <v>6.043208120295341E-2</v>
      </c>
      <c r="G99" s="21">
        <f ca="1">IF((Prices!B99-Prices!B98)*C99&gt;0,1,0)</f>
        <v>1</v>
      </c>
      <c r="H99" s="13">
        <f>ABS(Prices!B99-Prices!B98)/Prices!B98</f>
        <v>8.584458553160897E-3</v>
      </c>
      <c r="I99" s="21"/>
      <c r="J99" s="4">
        <f t="shared" ca="1" si="11"/>
        <v>3.2056186865156017E-2</v>
      </c>
      <c r="K99" s="13"/>
      <c r="L99" s="13">
        <f ca="1">L98-O99*Prices!B99</f>
        <v>0.46268409550973388</v>
      </c>
      <c r="M99" s="4">
        <f t="shared" ca="1" si="7"/>
        <v>0.49227787166869291</v>
      </c>
      <c r="N99" s="13">
        <f ca="1">IF(Prices!B98&gt;OFFSET(Prices!B98,-$N$3,0),1,-1)</f>
        <v>1</v>
      </c>
      <c r="O99" s="4">
        <f ca="1">IF(N99=1,O$3*L98/Prices!B98,-O$3*M98)</f>
        <v>1.7245284890931429E-2</v>
      </c>
      <c r="P99" s="22"/>
      <c r="Q99" s="13">
        <f ca="1">Q98-T99*Prices!B99</f>
        <v>0.53539583958911741</v>
      </c>
      <c r="R99" s="4">
        <f t="shared" ca="1" si="6"/>
        <v>0.4233834048930164</v>
      </c>
      <c r="S99" s="13">
        <f ca="1">IF(Prices!B98&gt;OFFSET(Prices!B98,-S$3,0),1,-1)</f>
        <v>1</v>
      </c>
      <c r="T99" s="4">
        <f ca="1">IF(S99=1,T$3*Q98/Prices!B98,-T$3*R98)</f>
        <v>1.4810901974224589E-2</v>
      </c>
      <c r="V99" s="13"/>
      <c r="W99" s="4"/>
      <c r="X99" s="4"/>
      <c r="Y99" s="4"/>
      <c r="Z99" s="4"/>
      <c r="AA99" s="4"/>
      <c r="AB99" s="4"/>
      <c r="AC99" s="4"/>
      <c r="AD99" s="4"/>
      <c r="AE99" s="52"/>
    </row>
    <row r="100" spans="1:31" x14ac:dyDescent="0.2">
      <c r="A100" s="7">
        <v>42064</v>
      </c>
      <c r="B100" s="13">
        <f ca="1">Prices!B99*(1+J100/(50*(ABS(O100)+ABS(T100)+0.0001)))</f>
        <v>1.1503846387552064</v>
      </c>
      <c r="C100" s="62">
        <f t="shared" ca="1" si="9"/>
        <v>1</v>
      </c>
      <c r="D100" s="13">
        <f ca="1">D99+C100*(Prices!B100-Prices!B99)/Prices!B99</f>
        <v>5.2984612455724077E-2</v>
      </c>
      <c r="E100" s="13">
        <f t="shared" ca="1" si="10"/>
        <v>7.4474687472293327E-3</v>
      </c>
      <c r="F100" s="13">
        <f t="shared" ca="1" si="8"/>
        <v>6.043208120295341E-2</v>
      </c>
      <c r="G100" s="21">
        <f ca="1">IF((Prices!B100-Prices!B99)*C100&gt;0,1,0)</f>
        <v>0</v>
      </c>
      <c r="H100" s="13">
        <f>ABS(Prices!B100-Prices!B99)/Prices!B99</f>
        <v>7.4474687472293319E-3</v>
      </c>
      <c r="I100" s="21"/>
      <c r="J100" s="4">
        <f t="shared" ca="1" si="11"/>
        <v>3.0649205610482209E-2</v>
      </c>
      <c r="K100" s="13"/>
      <c r="L100" s="13">
        <f ca="1">L99-O100*Prices!B100</f>
        <v>0.44431456470299047</v>
      </c>
      <c r="M100" s="4">
        <f t="shared" ca="1" si="7"/>
        <v>0.50868656376940158</v>
      </c>
      <c r="N100" s="13">
        <f ca="1">IF(Prices!B99&gt;OFFSET(Prices!B99,-$N$3,0),1,-1)</f>
        <v>1</v>
      </c>
      <c r="O100" s="4">
        <f ca="1">IF(N100=1,O$3*L99/Prices!B99,-O$3*M99)</f>
        <v>1.6408692100708715E-2</v>
      </c>
      <c r="P100" s="22"/>
      <c r="Q100" s="13">
        <f ca="1">Q99-T100*Prices!B100</f>
        <v>0.51945358471492598</v>
      </c>
      <c r="R100" s="4">
        <f t="shared" ca="1" si="6"/>
        <v>0.43762391840278991</v>
      </c>
      <c r="S100" s="13">
        <f ca="1">IF(Prices!B99&gt;OFFSET(Prices!B99,-S$3,0),1,-1)</f>
        <v>1</v>
      </c>
      <c r="T100" s="4">
        <f ca="1">IF(S100=1,T$3*Q99/Prices!B99,-T$3*R99)</f>
        <v>1.4240513509773494E-2</v>
      </c>
      <c r="V100" s="13"/>
      <c r="W100" s="4"/>
      <c r="X100" s="4"/>
      <c r="Y100" s="4"/>
      <c r="Z100" s="4"/>
      <c r="AA100" s="4"/>
      <c r="AB100" s="4"/>
      <c r="AC100" s="4"/>
      <c r="AD100" s="4"/>
      <c r="AE100" s="52"/>
    </row>
    <row r="101" spans="1:31" x14ac:dyDescent="0.2">
      <c r="A101" s="7">
        <v>42071</v>
      </c>
      <c r="B101" s="13">
        <f ca="1">Prices!B100*(1+J101/(50*(ABS(O101)+ABS(T101)+0.0001)))</f>
        <v>1.1418151060713173</v>
      </c>
      <c r="C101" s="62">
        <f t="shared" ca="1" si="9"/>
        <v>1</v>
      </c>
      <c r="D101" s="13">
        <f ca="1">D100+C101*(Prices!B101-Prices!B100)/Prices!B100</f>
        <v>5.3252589231070187E-2</v>
      </c>
      <c r="E101" s="13">
        <f t="shared" ca="1" si="10"/>
        <v>7.1794919718832229E-3</v>
      </c>
      <c r="F101" s="13">
        <f t="shared" ca="1" si="8"/>
        <v>6.043208120295341E-2</v>
      </c>
      <c r="G101" s="21">
        <f ca="1">IF((Prices!B101-Prices!B100)*C101&gt;0,1,0)</f>
        <v>1</v>
      </c>
      <c r="H101" s="13">
        <f>ABS(Prices!B101-Prices!B100)/Prices!B100</f>
        <v>2.6797677534610715E-4</v>
      </c>
      <c r="I101" s="21"/>
      <c r="J101" s="4">
        <f t="shared" ca="1" si="11"/>
        <v>2.9795614229180346E-2</v>
      </c>
      <c r="K101" s="13"/>
      <c r="L101" s="13">
        <f ca="1">L100-O101*Prices!B101</f>
        <v>0.42653721947549933</v>
      </c>
      <c r="M101" s="4">
        <f t="shared" ca="1" si="7"/>
        <v>0.52456202834119225</v>
      </c>
      <c r="N101" s="13">
        <f ca="1">IF(Prices!B100&gt;OFFSET(Prices!B100,-$N$3,0),1,-1)</f>
        <v>1</v>
      </c>
      <c r="O101" s="4">
        <f ca="1">IF(N101=1,O$3*L100/Prices!B100,-O$3*M100)</f>
        <v>1.5875464571790638E-2</v>
      </c>
      <c r="P101" s="22"/>
      <c r="Q101" s="13">
        <f ca="1">Q100-T101*Prices!B101</f>
        <v>0.50386580112858104</v>
      </c>
      <c r="R101" s="4">
        <f t="shared" ca="1" si="6"/>
        <v>0.4515440680601796</v>
      </c>
      <c r="S101" s="13">
        <f ca="1">IF(Prices!B100&gt;OFFSET(Prices!B100,-S$3,0),1,-1)</f>
        <v>1</v>
      </c>
      <c r="T101" s="4">
        <f ca="1">IF(S101=1,T$3*Q100/Prices!B100,-T$3*R100)</f>
        <v>1.3920149657389708E-2</v>
      </c>
      <c r="V101" s="13"/>
      <c r="W101" s="4"/>
      <c r="X101" s="4"/>
      <c r="Y101" s="4"/>
      <c r="Z101" s="4"/>
      <c r="AA101" s="4"/>
      <c r="AB101" s="4"/>
      <c r="AC101" s="4"/>
      <c r="AD101" s="4"/>
      <c r="AE101" s="52"/>
    </row>
    <row r="102" spans="1:31" x14ac:dyDescent="0.2">
      <c r="A102" s="7">
        <v>42078</v>
      </c>
      <c r="B102" s="13">
        <f ca="1">Prices!B101*(1+J102/(50*(ABS(O102)+ABS(T102)+0.0001)))</f>
        <v>1.1421183305247311</v>
      </c>
      <c r="C102" s="62">
        <f t="shared" ca="1" si="9"/>
        <v>1</v>
      </c>
      <c r="D102" s="13">
        <f ca="1">D101+C102*(Prices!B102-Prices!B101)/Prices!B101</f>
        <v>5.2895382587026647E-2</v>
      </c>
      <c r="E102" s="13">
        <f t="shared" ca="1" si="10"/>
        <v>7.5366986159267624E-3</v>
      </c>
      <c r="F102" s="13">
        <f t="shared" ca="1" si="8"/>
        <v>6.043208120295341E-2</v>
      </c>
      <c r="G102" s="21">
        <f ca="1">IF((Prices!B102-Prices!B101)*C102&gt;0,1,0)</f>
        <v>0</v>
      </c>
      <c r="H102" s="13">
        <f>ABS(Prices!B102-Prices!B101)/Prices!B101</f>
        <v>3.572066440435399E-4</v>
      </c>
      <c r="I102" s="21"/>
      <c r="J102" s="4">
        <f t="shared" ca="1" si="11"/>
        <v>2.8735008763062515E-2</v>
      </c>
      <c r="K102" s="13"/>
      <c r="L102" s="13">
        <f ca="1">L101-O102*Prices!B102</f>
        <v>0.40948182517362852</v>
      </c>
      <c r="M102" s="4">
        <f t="shared" ca="1" si="7"/>
        <v>0.53979822121404453</v>
      </c>
      <c r="N102" s="13">
        <f ca="1">IF(Prices!B101&gt;OFFSET(Prices!B101,-$N$3,0),1,-1)</f>
        <v>1</v>
      </c>
      <c r="O102" s="4">
        <f ca="1">IF(N102=1,O$3*L101/Prices!B101,-O$3*M101)</f>
        <v>1.5236192872852272E-2</v>
      </c>
      <c r="P102" s="22"/>
      <c r="Q102" s="13">
        <f ca="1">Q101-T102*Prices!B102</f>
        <v>0.48875522662107967</v>
      </c>
      <c r="R102" s="4">
        <f t="shared" ca="1" si="6"/>
        <v>0.46504288395038984</v>
      </c>
      <c r="S102" s="13">
        <f ca="1">IF(Prices!B101&gt;OFFSET(Prices!B101,-S$3,0),1,-1)</f>
        <v>1</v>
      </c>
      <c r="T102" s="4">
        <f ca="1">IF(S102=1,T$3*Q101/Prices!B101,-T$3*R101)</f>
        <v>1.3498815890210243E-2</v>
      </c>
      <c r="V102" s="13"/>
      <c r="W102" s="4"/>
      <c r="X102" s="4"/>
      <c r="Y102" s="4"/>
      <c r="Z102" s="4"/>
      <c r="AA102" s="4"/>
      <c r="AB102" s="4"/>
      <c r="AC102" s="4"/>
      <c r="AD102" s="4"/>
      <c r="AE102" s="52"/>
    </row>
    <row r="103" spans="1:31" x14ac:dyDescent="0.2">
      <c r="A103" s="7">
        <v>42085</v>
      </c>
      <c r="B103" s="13">
        <f ca="1">Prices!B102*(1+J103/(50*(ABS(O103)+ABS(T103)+0.0001)))</f>
        <v>1.1417075569367259</v>
      </c>
      <c r="C103" s="62">
        <f t="shared" ca="1" si="9"/>
        <v>1</v>
      </c>
      <c r="D103" s="13">
        <f ca="1">D102+C103*(Prices!B103-Prices!B102)/Prices!B102</f>
        <v>7.3620771188063011E-2</v>
      </c>
      <c r="E103" s="13">
        <f t="shared" ca="1" si="10"/>
        <v>0</v>
      </c>
      <c r="F103" s="13">
        <f t="shared" ca="1" si="8"/>
        <v>7.3620771188063011E-2</v>
      </c>
      <c r="G103" s="21">
        <f ca="1">IF((Prices!B103-Prices!B102)*C103&gt;0,1,0)</f>
        <v>1</v>
      </c>
      <c r="H103" s="13">
        <f>ABS(Prices!B103-Prices!B102)/Prices!B102</f>
        <v>2.0725388601036367E-2</v>
      </c>
      <c r="I103" s="21"/>
      <c r="J103" s="4">
        <f t="shared" ca="1" si="11"/>
        <v>2.7730864575288131E-2</v>
      </c>
      <c r="K103" s="13"/>
      <c r="L103" s="13">
        <f ca="1">L102-O103*Prices!B103</f>
        <v>0.39276308536861199</v>
      </c>
      <c r="M103" s="4">
        <f t="shared" ca="1" si="7"/>
        <v>0.55443041078608768</v>
      </c>
      <c r="N103" s="13">
        <f ca="1">IF(Prices!B102&gt;OFFSET(Prices!B102,-$N$3,0),1,-1)</f>
        <v>1</v>
      </c>
      <c r="O103" s="4">
        <f ca="1">IF(N103=1,O$3*L102/Prices!B102,-O$3*M102)</f>
        <v>1.4632189572043186E-2</v>
      </c>
      <c r="P103" s="22"/>
      <c r="Q103" s="13">
        <f ca="1">Q102-T103*Prices!B103</f>
        <v>0.473788680562372</v>
      </c>
      <c r="R103" s="4">
        <f t="shared" ca="1" si="6"/>
        <v>0.4781415589536348</v>
      </c>
      <c r="S103" s="13">
        <f ca="1">IF(Prices!B102&gt;OFFSET(Prices!B102,-S$3,0),1,-1)</f>
        <v>1</v>
      </c>
      <c r="T103" s="4">
        <f ca="1">IF(S103=1,T$3*Q102/Prices!B102,-T$3*R102)</f>
        <v>1.3098675003244943E-2</v>
      </c>
      <c r="V103" s="13"/>
      <c r="W103" s="4"/>
      <c r="X103" s="4"/>
      <c r="Y103" s="4"/>
      <c r="Z103" s="4"/>
      <c r="AA103" s="4"/>
      <c r="AB103" s="4"/>
      <c r="AC103" s="4"/>
      <c r="AD103" s="4"/>
      <c r="AE103" s="52"/>
    </row>
    <row r="104" spans="1:31" x14ac:dyDescent="0.2">
      <c r="A104" s="7">
        <v>42092</v>
      </c>
      <c r="B104" s="13">
        <f ca="1">Prices!B103*(1+J104/(50*(ABS(O104)+ABS(T104)+0.0001)))</f>
        <v>1.1653650757393881</v>
      </c>
      <c r="C104" s="62">
        <f t="shared" ca="1" si="9"/>
        <v>1</v>
      </c>
      <c r="D104" s="13">
        <f ca="1">D103+C104*(Prices!B104-Prices!B103)/Prices!B103</f>
        <v>7.1432778889795753E-2</v>
      </c>
      <c r="E104" s="13">
        <f t="shared" ca="1" si="10"/>
        <v>2.1879922982672578E-3</v>
      </c>
      <c r="F104" s="13">
        <f t="shared" ca="1" si="8"/>
        <v>7.3620771188063011E-2</v>
      </c>
      <c r="G104" s="21">
        <f ca="1">IF((Prices!B104-Prices!B103)*C104&gt;0,1,0)</f>
        <v>0</v>
      </c>
      <c r="H104" s="13">
        <f>ABS(Prices!B104-Prices!B103)/Prices!B103</f>
        <v>2.1879922982672578E-3</v>
      </c>
      <c r="I104" s="21"/>
      <c r="J104" s="4">
        <f t="shared" ca="1" si="11"/>
        <v>2.6189553502201677E-2</v>
      </c>
      <c r="K104" s="13"/>
      <c r="L104" s="13">
        <f ca="1">L103-O104*Prices!B104</f>
        <v>0.37708693645810071</v>
      </c>
      <c r="M104" s="4">
        <f t="shared" ca="1" si="7"/>
        <v>0.56818021247937012</v>
      </c>
      <c r="N104" s="13">
        <f ca="1">IF(Prices!B103&gt;OFFSET(Prices!B103,-$N$3,0),1,-1)</f>
        <v>1</v>
      </c>
      <c r="O104" s="4">
        <f ca="1">IF(N104=1,O$3*L103/Prices!B103,-O$3*M103)</f>
        <v>1.3749801693282406E-2</v>
      </c>
      <c r="P104" s="22"/>
      <c r="Q104" s="13">
        <f ca="1">Q103-T104*Prices!B104</f>
        <v>0.45960611952502312</v>
      </c>
      <c r="R104" s="4">
        <f t="shared" ca="1" si="6"/>
        <v>0.49058131076255407</v>
      </c>
      <c r="S104" s="13">
        <f ca="1">IF(Prices!B103&gt;OFFSET(Prices!B103,-S$3,0),1,-1)</f>
        <v>1</v>
      </c>
      <c r="T104" s="4">
        <f ca="1">IF(S104=1,T$3*Q103/Prices!B103,-T$3*R103)</f>
        <v>1.2439751808919271E-2</v>
      </c>
      <c r="V104" s="13"/>
      <c r="W104" s="4"/>
      <c r="X104" s="4"/>
      <c r="Y104" s="4"/>
      <c r="Z104" s="4"/>
      <c r="AA104" s="4"/>
      <c r="AB104" s="4"/>
      <c r="AC104" s="4"/>
      <c r="AD104" s="4"/>
      <c r="AE104" s="52"/>
    </row>
    <row r="105" spans="1:31" x14ac:dyDescent="0.2">
      <c r="A105" s="7">
        <v>42099</v>
      </c>
      <c r="B105" s="13">
        <f ca="1">Prices!B104*(1+J105/(50*(ABS(O105)+ABS(T105)+0.0001)))</f>
        <v>1.1628123123741365</v>
      </c>
      <c r="C105" s="62">
        <f t="shared" ca="1" si="9"/>
        <v>1</v>
      </c>
      <c r="D105" s="13">
        <f ca="1">D104+C105*(Prices!B105-Prices!B104)/Prices!B104</f>
        <v>7.7484879582717534E-2</v>
      </c>
      <c r="E105" s="13">
        <f t="shared" ca="1" si="10"/>
        <v>0</v>
      </c>
      <c r="F105" s="13">
        <f t="shared" ca="1" si="8"/>
        <v>7.7484879582717534E-2</v>
      </c>
      <c r="G105" s="21">
        <f ca="1">IF((Prices!B105-Prices!B104)*C105&gt;0,1,0)</f>
        <v>1</v>
      </c>
      <c r="H105" s="13">
        <f>ABS(Prices!B105-Prices!B104)/Prices!B104</f>
        <v>6.0521006929217863E-3</v>
      </c>
      <c r="I105" s="21"/>
      <c r="J105" s="4">
        <f t="shared" ca="1" si="11"/>
        <v>2.5323797074006425E-2</v>
      </c>
      <c r="K105" s="13"/>
      <c r="L105" s="13">
        <f ca="1">L104-O105*Prices!B105</f>
        <v>0.36191217227539951</v>
      </c>
      <c r="M105" s="4">
        <f t="shared" ca="1" si="7"/>
        <v>0.58141017253403549</v>
      </c>
      <c r="N105" s="13">
        <f ca="1">IF(Prices!B104&gt;OFFSET(Prices!B104,-$N$3,0),1,-1)</f>
        <v>1</v>
      </c>
      <c r="O105" s="4">
        <f ca="1">IF(N105=1,O$3*L104/Prices!B104,-O$3*M104)</f>
        <v>1.3229960054665407E-2</v>
      </c>
      <c r="P105" s="22"/>
      <c r="Q105" s="13">
        <f ca="1">Q104-T105*Prices!B105</f>
        <v>0.44573448846383895</v>
      </c>
      <c r="R105" s="4">
        <f t="shared" ca="1" si="6"/>
        <v>0.50267514778189504</v>
      </c>
      <c r="S105" s="13">
        <f ca="1">IF(Prices!B104&gt;OFFSET(Prices!B104,-S$3,0),1,-1)</f>
        <v>1</v>
      </c>
      <c r="T105" s="4">
        <f ca="1">IF(S105=1,T$3*Q104/Prices!B104,-T$3*R104)</f>
        <v>1.2093837019341018E-2</v>
      </c>
      <c r="V105" s="13"/>
      <c r="W105" s="4"/>
      <c r="X105" s="4"/>
      <c r="Y105" s="4"/>
      <c r="Z105" s="4"/>
      <c r="AA105" s="4"/>
      <c r="AB105" s="4"/>
      <c r="AC105" s="4"/>
      <c r="AD105" s="4"/>
      <c r="AE105" s="52"/>
    </row>
    <row r="106" spans="1:31" x14ac:dyDescent="0.2">
      <c r="A106" s="7">
        <v>42106</v>
      </c>
      <c r="B106" s="13">
        <f ca="1">Prices!B105*(1+J106/(50*(ABS(O106)+ABS(T106)+0.0001)))</f>
        <v>1.1698459043323828</v>
      </c>
      <c r="C106" s="62">
        <f t="shared" ca="1" si="9"/>
        <v>1</v>
      </c>
      <c r="D106" s="13">
        <f ca="1">D105+C106*(Prices!B106-Prices!B105)/Prices!B105</f>
        <v>9.431138350599573E-2</v>
      </c>
      <c r="E106" s="13">
        <f t="shared" ca="1" si="10"/>
        <v>0</v>
      </c>
      <c r="F106" s="13">
        <f t="shared" ca="1" si="8"/>
        <v>9.431138350599573E-2</v>
      </c>
      <c r="G106" s="21">
        <f ca="1">IF((Prices!B106-Prices!B105)*C106&gt;0,1,0)</f>
        <v>1</v>
      </c>
      <c r="H106" s="13">
        <f>ABS(Prices!B106-Prices!B105)/Prices!B105</f>
        <v>1.68265039232782E-2</v>
      </c>
      <c r="I106" s="21"/>
      <c r="J106" s="4">
        <f t="shared" ca="1" si="11"/>
        <v>2.4279443369599953E-2</v>
      </c>
      <c r="K106" s="13"/>
      <c r="L106" s="13">
        <f ca="1">L105-O106*Prices!B106</f>
        <v>0.34719209672091655</v>
      </c>
      <c r="M106" s="4">
        <f t="shared" ca="1" si="7"/>
        <v>0.59403134680693526</v>
      </c>
      <c r="N106" s="13">
        <f ca="1">IF(Prices!B105&gt;OFFSET(Prices!B105,-$N$3,0),1,-1)</f>
        <v>1</v>
      </c>
      <c r="O106" s="4">
        <f ca="1">IF(N106=1,O$3*L105/Prices!B105,-O$3*M105)</f>
        <v>1.2621174272899721E-2</v>
      </c>
      <c r="P106" s="22"/>
      <c r="Q106" s="13">
        <f ca="1">Q105-T106*Prices!B106</f>
        <v>0.43213744921635749</v>
      </c>
      <c r="R106" s="4">
        <f t="shared" ca="1" si="6"/>
        <v>0.51433341687859524</v>
      </c>
      <c r="S106" s="13">
        <f ca="1">IF(Prices!B105&gt;OFFSET(Prices!B105,-S$3,0),1,-1)</f>
        <v>1</v>
      </c>
      <c r="T106" s="4">
        <f ca="1">IF(S106=1,T$3*Q105/Prices!B105,-T$3*R105)</f>
        <v>1.1658269096700234E-2</v>
      </c>
      <c r="V106" s="13"/>
      <c r="W106" s="4"/>
      <c r="X106" s="4"/>
      <c r="Y106" s="4"/>
      <c r="Z106" s="4"/>
      <c r="AA106" s="4"/>
      <c r="AB106" s="4"/>
      <c r="AC106" s="4"/>
      <c r="AD106" s="4"/>
      <c r="AE106" s="52"/>
    </row>
    <row r="107" spans="1:31" x14ac:dyDescent="0.2">
      <c r="A107" s="7">
        <v>42113</v>
      </c>
      <c r="B107" s="13">
        <f ca="1">Prices!B106*(1+J107/(50*(ABS(O107)+ABS(T107)+0.0001)))</f>
        <v>1.1895251223946288</v>
      </c>
      <c r="C107" s="62">
        <f t="shared" ca="1" si="9"/>
        <v>1</v>
      </c>
      <c r="D107" s="13">
        <f ca="1">D106+C107*(Prices!B107-Prices!B106)/Prices!B106</f>
        <v>0.10185661200638149</v>
      </c>
      <c r="E107" s="13">
        <f t="shared" ca="1" si="10"/>
        <v>0</v>
      </c>
      <c r="F107" s="13">
        <f t="shared" ca="1" si="8"/>
        <v>0.10185661200638149</v>
      </c>
      <c r="G107" s="21">
        <f ca="1">IF((Prices!B107-Prices!B106)*C107&gt;0,1,0)</f>
        <v>1</v>
      </c>
      <c r="H107" s="13">
        <f>ABS(Prices!B107-Prices!B106)/Prices!B106</f>
        <v>7.5452285003857651E-3</v>
      </c>
      <c r="I107" s="21"/>
      <c r="J107" s="4">
        <f t="shared" ca="1" si="11"/>
        <v>2.3023070689640216E-2</v>
      </c>
      <c r="K107" s="13"/>
      <c r="L107" s="13">
        <f ca="1">L106-O107*Prices!B107</f>
        <v>0.3331996271039484</v>
      </c>
      <c r="M107" s="4">
        <f t="shared" ca="1" si="7"/>
        <v>0.60593881818551421</v>
      </c>
      <c r="N107" s="13">
        <f ca="1">IF(Prices!B106&gt;OFFSET(Prices!B106,-$N$3,0),1,-1)</f>
        <v>1</v>
      </c>
      <c r="O107" s="4">
        <f ca="1">IF(N107=1,O$3*L106/Prices!B106,-O$3*M106)</f>
        <v>1.1907471378578977E-2</v>
      </c>
      <c r="P107" s="22"/>
      <c r="Q107" s="13">
        <f ca="1">Q106-T107*Prices!B107</f>
        <v>0.41907550846592945</v>
      </c>
      <c r="R107" s="4">
        <f t="shared" ca="1" si="6"/>
        <v>0.52544901618965645</v>
      </c>
      <c r="S107" s="13">
        <f ca="1">IF(Prices!B106&gt;OFFSET(Prices!B106,-S$3,0),1,-1)</f>
        <v>1</v>
      </c>
      <c r="T107" s="4">
        <f ca="1">IF(S107=1,T$3*Q106/Prices!B106,-T$3*R106)</f>
        <v>1.111559931106124E-2</v>
      </c>
      <c r="V107" s="13"/>
      <c r="W107" s="4"/>
      <c r="X107" s="4"/>
      <c r="Y107" s="4"/>
      <c r="Z107" s="4"/>
      <c r="AA107" s="4"/>
      <c r="AB107" s="4"/>
      <c r="AC107" s="4"/>
      <c r="AD107" s="4"/>
      <c r="AE107" s="52"/>
    </row>
    <row r="108" spans="1:31" x14ac:dyDescent="0.2">
      <c r="A108" s="7">
        <v>42120</v>
      </c>
      <c r="B108" s="13">
        <f ca="1">Prices!B107*(1+J108/(50*(ABS(O108)+ABS(T108)+0.0001)))</f>
        <v>1.1984958525075138</v>
      </c>
      <c r="C108" s="62">
        <f t="shared" ca="1" si="9"/>
        <v>1</v>
      </c>
      <c r="D108" s="13">
        <f ca="1">D107+C108*(Prices!B108-Prices!B107)/Prices!B107</f>
        <v>0.10372879309735246</v>
      </c>
      <c r="E108" s="13">
        <f t="shared" ca="1" si="10"/>
        <v>0</v>
      </c>
      <c r="F108" s="13">
        <f t="shared" ca="1" si="8"/>
        <v>0.10372879309735246</v>
      </c>
      <c r="G108" s="21">
        <f ca="1">IF((Prices!B108-Prices!B107)*C108&gt;0,1,0)</f>
        <v>1</v>
      </c>
      <c r="H108" s="13">
        <f>ABS(Prices!B108-Prices!B107)/Prices!B107</f>
        <v>1.8721810909709639E-3</v>
      </c>
      <c r="I108" s="21"/>
      <c r="J108" s="4">
        <f t="shared" ca="1" si="11"/>
        <v>2.204089042476029E-2</v>
      </c>
      <c r="K108" s="13"/>
      <c r="L108" s="13">
        <f ca="1">L107-O108*Prices!B108</f>
        <v>0.31984668961813517</v>
      </c>
      <c r="M108" s="4">
        <f t="shared" ca="1" si="7"/>
        <v>0.61728081893792497</v>
      </c>
      <c r="N108" s="13">
        <f ca="1">IF(Prices!B107&gt;OFFSET(Prices!B107,-$N$3,0),1,-1)</f>
        <v>1</v>
      </c>
      <c r="O108" s="4">
        <f ca="1">IF(N108=1,O$3*L107/Prices!B107,-O$3*M107)</f>
        <v>1.1342000752410803E-2</v>
      </c>
      <c r="P108" s="22"/>
      <c r="Q108" s="13">
        <f ca="1">Q107-T108*Prices!B108</f>
        <v>0.4064797056546724</v>
      </c>
      <c r="R108" s="4">
        <f t="shared" ca="1" si="6"/>
        <v>0.53614790586200589</v>
      </c>
      <c r="S108" s="13">
        <f ca="1">IF(Prices!B107&gt;OFFSET(Prices!B107,-S$3,0),1,-1)</f>
        <v>1</v>
      </c>
      <c r="T108" s="4">
        <f ca="1">IF(S108=1,T$3*Q107/Prices!B107,-T$3*R107)</f>
        <v>1.0698889672349488E-2</v>
      </c>
      <c r="V108" s="13"/>
      <c r="W108" s="4"/>
      <c r="X108" s="4"/>
      <c r="Y108" s="4"/>
      <c r="Z108" s="4"/>
      <c r="AA108" s="4"/>
      <c r="AB108" s="4"/>
      <c r="AC108" s="4"/>
      <c r="AD108" s="4"/>
      <c r="AE108" s="52"/>
    </row>
    <row r="109" spans="1:31" x14ac:dyDescent="0.2">
      <c r="A109" s="7">
        <v>42127</v>
      </c>
      <c r="B109" s="13">
        <f ca="1">Prices!B108*(1+J109/(50*(ABS(O109)+ABS(T109)+0.0001)))</f>
        <v>1.2007355852855219</v>
      </c>
      <c r="C109" s="62">
        <f t="shared" ca="1" si="9"/>
        <v>1</v>
      </c>
      <c r="D109" s="13">
        <f ca="1">D108+C109*(Prices!B109-Prices!B108)/Prices!B108</f>
        <v>0.10780591872378575</v>
      </c>
      <c r="E109" s="13">
        <f t="shared" ca="1" si="10"/>
        <v>0</v>
      </c>
      <c r="F109" s="13">
        <f t="shared" ca="1" si="8"/>
        <v>0.10780591872378575</v>
      </c>
      <c r="G109" s="21">
        <f ca="1">IF((Prices!B109-Prices!B108)*C109&gt;0,1,0)</f>
        <v>1</v>
      </c>
      <c r="H109" s="13">
        <f>ABS(Prices!B109-Prices!B108)/Prices!B108</f>
        <v>4.0771256264332924E-3</v>
      </c>
      <c r="I109" s="21"/>
      <c r="J109" s="4">
        <f t="shared" ca="1" si="11"/>
        <v>2.1225056276535786E-2</v>
      </c>
      <c r="K109" s="13"/>
      <c r="L109" s="13">
        <f ca="1">L108-O109*Prices!B109</f>
        <v>0.30700065982801888</v>
      </c>
      <c r="M109" s="4">
        <f t="shared" ca="1" si="7"/>
        <v>0.62814794506102478</v>
      </c>
      <c r="N109" s="13">
        <f ca="1">IF(Prices!B108&gt;OFFSET(Prices!B108,-$N$3,0),1,-1)</f>
        <v>1</v>
      </c>
      <c r="O109" s="4">
        <f ca="1">IF(N109=1,O$3*L108/Prices!B108,-O$3*M108)</f>
        <v>1.0867126123099811E-2</v>
      </c>
      <c r="P109" s="22"/>
      <c r="Q109" s="13">
        <f ca="1">Q108-T109*Prices!B109</f>
        <v>0.39423559642029571</v>
      </c>
      <c r="R109" s="4">
        <f t="shared" ca="1" si="6"/>
        <v>0.54650583601544189</v>
      </c>
      <c r="S109" s="13">
        <f ca="1">IF(Prices!B108&gt;OFFSET(Prices!B108,-S$3,0),1,-1)</f>
        <v>1</v>
      </c>
      <c r="T109" s="4">
        <f ca="1">IF(S109=1,T$3*Q108/Prices!B108,-T$3*R108)</f>
        <v>1.0357930153435974E-2</v>
      </c>
      <c r="V109" s="13"/>
      <c r="W109" s="4"/>
      <c r="X109" s="4"/>
      <c r="Y109" s="4"/>
      <c r="Z109" s="4"/>
      <c r="AA109" s="4"/>
      <c r="AB109" s="4"/>
      <c r="AC109" s="4"/>
      <c r="AD109" s="4"/>
      <c r="AE109" s="52"/>
    </row>
    <row r="110" spans="1:31" x14ac:dyDescent="0.2">
      <c r="A110" s="7">
        <v>42134</v>
      </c>
      <c r="B110" s="13">
        <f ca="1">Prices!B109*(1+J110/(50*(ABS(O110)+ABS(T110)+0.0001)))</f>
        <v>1.2056266362965335</v>
      </c>
      <c r="C110" s="62">
        <f t="shared" ca="1" si="9"/>
        <v>1</v>
      </c>
      <c r="D110" s="13">
        <f ca="1">D109+C110*(Prices!B110-Prices!B109)/Prices!B109</f>
        <v>0.1027302060091254</v>
      </c>
      <c r="E110" s="13">
        <f t="shared" ca="1" si="10"/>
        <v>5.0757127146603548E-3</v>
      </c>
      <c r="F110" s="13">
        <f t="shared" ca="1" si="8"/>
        <v>0.10780591872378575</v>
      </c>
      <c r="G110" s="21">
        <f ca="1">IF((Prices!B110-Prices!B109)*C110&gt;0,1,0)</f>
        <v>0</v>
      </c>
      <c r="H110" s="13">
        <f>ABS(Prices!B110-Prices!B109)/Prices!B109</f>
        <v>5.0757127146603548E-3</v>
      </c>
      <c r="I110" s="21"/>
      <c r="J110" s="4">
        <f t="shared" ca="1" si="11"/>
        <v>2.0393447496598958E-2</v>
      </c>
      <c r="K110" s="13"/>
      <c r="L110" s="13">
        <f ca="1">L109-O110*Prices!B110</f>
        <v>0.29478296332099807</v>
      </c>
      <c r="M110" s="4">
        <f t="shared" ca="1" si="7"/>
        <v>0.63853625941101277</v>
      </c>
      <c r="N110" s="13">
        <f ca="1">IF(Prices!B109&gt;OFFSET(Prices!B109,-$N$3,0),1,-1)</f>
        <v>1</v>
      </c>
      <c r="O110" s="4">
        <f ca="1">IF(N110=1,O$3*L109/Prices!B109,-O$3*M109)</f>
        <v>1.0388314349987951E-2</v>
      </c>
      <c r="P110" s="22"/>
      <c r="Q110" s="13">
        <f ca="1">Q109-T110*Prices!B110</f>
        <v>0.38246855932656648</v>
      </c>
      <c r="R110" s="4">
        <f t="shared" ca="1" si="6"/>
        <v>0.55651096916205289</v>
      </c>
      <c r="S110" s="13">
        <f ca="1">IF(Prices!B109&gt;OFFSET(Prices!B109,-S$3,0),1,-1)</f>
        <v>1</v>
      </c>
      <c r="T110" s="4">
        <f ca="1">IF(S110=1,T$3*Q109/Prices!B109,-T$3*R109)</f>
        <v>1.0005133146611007E-2</v>
      </c>
      <c r="V110" s="13"/>
      <c r="W110" s="4"/>
      <c r="X110" s="4"/>
      <c r="Y110" s="4"/>
      <c r="Z110" s="4"/>
      <c r="AA110" s="4"/>
      <c r="AB110" s="4"/>
      <c r="AC110" s="4"/>
      <c r="AD110" s="4"/>
      <c r="AE110" s="52"/>
    </row>
    <row r="111" spans="1:31" x14ac:dyDescent="0.2">
      <c r="A111" s="7">
        <v>42141</v>
      </c>
      <c r="B111" s="13">
        <f ca="1">Prices!B110*(1+J111/(50*(ABS(O111)+ABS(T111)+0.0001)))</f>
        <v>1.1995036907942671</v>
      </c>
      <c r="C111" s="62">
        <f t="shared" ca="1" si="9"/>
        <v>1</v>
      </c>
      <c r="D111" s="13">
        <f ca="1">D110+C111*(Prices!B111-Prices!B110)/Prices!B110</f>
        <v>0.11658957170932094</v>
      </c>
      <c r="E111" s="13">
        <f t="shared" ca="1" si="10"/>
        <v>0</v>
      </c>
      <c r="F111" s="13">
        <f t="shared" ca="1" si="8"/>
        <v>0.11658957170932094</v>
      </c>
      <c r="G111" s="21">
        <f ca="1">IF((Prices!B111-Prices!B110)*C111&gt;0,1,0)</f>
        <v>1</v>
      </c>
      <c r="H111" s="13">
        <f>ABS(Prices!B111-Prices!B110)/Prices!B110</f>
        <v>1.3859365700195546E-2</v>
      </c>
      <c r="I111" s="21"/>
      <c r="J111" s="4">
        <f t="shared" ca="1" si="11"/>
        <v>1.9781800282830473E-2</v>
      </c>
      <c r="K111" s="13"/>
      <c r="L111" s="13">
        <f ca="1">L110-O111*Prices!B111</f>
        <v>0.28282822459252405</v>
      </c>
      <c r="M111" s="4">
        <f t="shared" ca="1" si="7"/>
        <v>0.64856203828427184</v>
      </c>
      <c r="N111" s="13">
        <f ca="1">IF(Prices!B110&gt;OFFSET(Prices!B110,-$N$3,0),1,-1)</f>
        <v>1</v>
      </c>
      <c r="O111" s="4">
        <f ca="1">IF(N111=1,O$3*L110/Prices!B110,-O$3*M110)</f>
        <v>1.0025778873259013E-2</v>
      </c>
      <c r="P111" s="22"/>
      <c r="Q111" s="13">
        <f ca="1">Q110-T111*Prices!B111</f>
        <v>0.37083547939779349</v>
      </c>
      <c r="R111" s="4">
        <f t="shared" ca="1" si="6"/>
        <v>0.56626699057162433</v>
      </c>
      <c r="S111" s="13">
        <f ca="1">IF(Prices!B110&gt;OFFSET(Prices!B110,-S$3,0),1,-1)</f>
        <v>1</v>
      </c>
      <c r="T111" s="4">
        <f ca="1">IF(S111=1,T$3*Q110/Prices!B110,-T$3*R110)</f>
        <v>9.7560214095714602E-3</v>
      </c>
      <c r="V111" s="13"/>
      <c r="W111" s="4"/>
      <c r="X111" s="4"/>
      <c r="Y111" s="4"/>
      <c r="Z111" s="4"/>
      <c r="AA111" s="4"/>
      <c r="AB111" s="4"/>
      <c r="AC111" s="4"/>
      <c r="AD111" s="4"/>
      <c r="AE111" s="52"/>
    </row>
    <row r="112" spans="1:31" x14ac:dyDescent="0.2">
      <c r="A112" s="7">
        <v>42148</v>
      </c>
      <c r="B112" s="13">
        <f ca="1">Prices!B111*(1+J112/(50*(ABS(O112)+ABS(T112)+0.0001)))</f>
        <v>1.2161219379842596</v>
      </c>
      <c r="C112" s="62">
        <f t="shared" ca="1" si="9"/>
        <v>1</v>
      </c>
      <c r="D112" s="13">
        <f ca="1">D111+C112*(Prices!B112-Prices!B111)/Prices!B111</f>
        <v>0.11122224530878423</v>
      </c>
      <c r="E112" s="13">
        <f t="shared" ca="1" si="10"/>
        <v>5.3673264005367066E-3</v>
      </c>
      <c r="F112" s="13">
        <f t="shared" ca="1" si="8"/>
        <v>0.11658957170932094</v>
      </c>
      <c r="G112" s="21">
        <f ca="1">IF((Prices!B112-Prices!B111)*C112&gt;0,1,0)</f>
        <v>0</v>
      </c>
      <c r="H112" s="13">
        <f>ABS(Prices!B112-Prices!B111)/Prices!B111</f>
        <v>5.3673264005367005E-3</v>
      </c>
      <c r="I112" s="21"/>
      <c r="J112" s="4">
        <f t="shared" ca="1" si="11"/>
        <v>1.8817673067456197E-2</v>
      </c>
      <c r="K112" s="13"/>
      <c r="L112" s="13">
        <f ca="1">L111-O112*Prices!B112</f>
        <v>0.27157581686468996</v>
      </c>
      <c r="M112" s="4">
        <f t="shared" ca="1" si="7"/>
        <v>0.65804973451347426</v>
      </c>
      <c r="N112" s="13">
        <f ca="1">IF(Prices!B111&gt;OFFSET(Prices!B111,-$N$3,0),1,-1)</f>
        <v>1</v>
      </c>
      <c r="O112" s="4">
        <f ca="1">IF(N112=1,O$3*L111/Prices!B111,-O$3*M111)</f>
        <v>9.4876962292024178E-3</v>
      </c>
      <c r="P112" s="22"/>
      <c r="Q112" s="13">
        <f ca="1">Q111-T112*Prices!B112</f>
        <v>0.3597701268676245</v>
      </c>
      <c r="R112" s="4">
        <f t="shared" ca="1" si="6"/>
        <v>0.57559696740987809</v>
      </c>
      <c r="S112" s="13">
        <f ca="1">IF(Prices!B111&gt;OFFSET(Prices!B111,-S$3,0),1,-1)</f>
        <v>1</v>
      </c>
      <c r="T112" s="4">
        <f ca="1">IF(S112=1,T$3*Q111/Prices!B111,-T$3*R111)</f>
        <v>9.3299768382537791E-3</v>
      </c>
      <c r="V112" s="13"/>
      <c r="W112" s="4"/>
      <c r="X112" s="4"/>
      <c r="Y112" s="4"/>
      <c r="Z112" s="4"/>
      <c r="AA112" s="4"/>
      <c r="AB112" s="4"/>
      <c r="AC112" s="4"/>
      <c r="AD112" s="4"/>
      <c r="AE112" s="52"/>
    </row>
    <row r="113" spans="1:31" x14ac:dyDescent="0.2">
      <c r="A113" s="7">
        <v>42155</v>
      </c>
      <c r="B113" s="13">
        <f ca="1">Prices!B112*(1+J113/(50*(ABS(O113)+ABS(T113)+0.0001)))</f>
        <v>1.2095908047740322</v>
      </c>
      <c r="C113" s="62">
        <f t="shared" ca="1" si="9"/>
        <v>1</v>
      </c>
      <c r="D113" s="13">
        <f ca="1">D112+C113*(Prices!B113-Prices!B112)/Prices!B112</f>
        <v>0.12606204294790738</v>
      </c>
      <c r="E113" s="13">
        <f t="shared" ca="1" si="10"/>
        <v>0</v>
      </c>
      <c r="F113" s="13">
        <f t="shared" ca="1" si="8"/>
        <v>0.12606204294790738</v>
      </c>
      <c r="G113" s="21">
        <f ca="1">IF((Prices!B113-Prices!B112)*C113&gt;0,1,0)</f>
        <v>1</v>
      </c>
      <c r="H113" s="13">
        <f>ABS(Prices!B113-Prices!B112)/Prices!B112</f>
        <v>1.4839797639123154E-2</v>
      </c>
      <c r="I113" s="21"/>
      <c r="J113" s="4">
        <f t="shared" ca="1" si="11"/>
        <v>1.8259811535089661E-2</v>
      </c>
      <c r="K113" s="13"/>
      <c r="L113" s="13">
        <f ca="1">L112-O113*Prices!B113</f>
        <v>0.26055157898346432</v>
      </c>
      <c r="M113" s="4">
        <f t="shared" ca="1" si="7"/>
        <v>0.66720912125427323</v>
      </c>
      <c r="N113" s="13">
        <f ca="1">IF(Prices!B112&gt;OFFSET(Prices!B112,-$N$3,0),1,-1)</f>
        <v>1</v>
      </c>
      <c r="O113" s="4">
        <f ca="1">IF(N113=1,O$3*L112/Prices!B112,-O$3*M112)</f>
        <v>9.1593867407989884E-3</v>
      </c>
      <c r="P113" s="22"/>
      <c r="Q113" s="13">
        <f ca="1">Q112-T113*Prices!B113</f>
        <v>0.34881685558521625</v>
      </c>
      <c r="R113" s="4">
        <f t="shared" ca="1" si="6"/>
        <v>0.58469739220416872</v>
      </c>
      <c r="S113" s="13">
        <f ca="1">IF(Prices!B112&gt;OFFSET(Prices!B112,-S$3,0),1,-1)</f>
        <v>1</v>
      </c>
      <c r="T113" s="4">
        <f ca="1">IF(S113=1,T$3*Q112/Prices!B112,-T$3*R112)</f>
        <v>9.1004247942906707E-3</v>
      </c>
      <c r="V113" s="13"/>
      <c r="W113" s="4"/>
      <c r="X113" s="4"/>
      <c r="Y113" s="4"/>
      <c r="Z113" s="4"/>
      <c r="AA113" s="4"/>
      <c r="AB113" s="4"/>
      <c r="AC113" s="4"/>
      <c r="AD113" s="4"/>
      <c r="AE113" s="52"/>
    </row>
    <row r="114" spans="1:31" x14ac:dyDescent="0.2">
      <c r="A114" s="7">
        <v>42162</v>
      </c>
      <c r="B114" s="13">
        <f ca="1">Prices!B113*(1+J114/(50*(ABS(O114)+ABS(T114)+0.0001)))</f>
        <v>1.2275340785577999</v>
      </c>
      <c r="C114" s="62">
        <f t="shared" ca="1" si="9"/>
        <v>1</v>
      </c>
      <c r="D114" s="13">
        <f ca="1">D113+C114*(Prices!B114-Prices!B113)/Prices!B113</f>
        <v>0.11850139156871173</v>
      </c>
      <c r="E114" s="13">
        <f t="shared" ca="1" si="10"/>
        <v>7.5606513791956487E-3</v>
      </c>
      <c r="F114" s="13">
        <f t="shared" ca="1" si="8"/>
        <v>0.12606204294790738</v>
      </c>
      <c r="G114" s="21">
        <f ca="1">IF((Prices!B114-Prices!B113)*C114&gt;0,1,0)</f>
        <v>0</v>
      </c>
      <c r="H114" s="13">
        <f>ABS(Prices!B114-Prices!B113)/Prices!B113</f>
        <v>7.5606513791956513E-3</v>
      </c>
      <c r="I114" s="21"/>
      <c r="J114" s="4">
        <f t="shared" ca="1" si="11"/>
        <v>1.7353413781069339E-2</v>
      </c>
      <c r="K114" s="13"/>
      <c r="L114" s="13">
        <f ca="1">L113-O114*Prices!B114</f>
        <v>0.25020831341032546</v>
      </c>
      <c r="M114" s="4">
        <f t="shared" ca="1" si="7"/>
        <v>0.67586819666083564</v>
      </c>
      <c r="N114" s="13">
        <f ca="1">IF(Prices!B113&gt;OFFSET(Prices!B113,-$N$3,0),1,-1)</f>
        <v>1</v>
      </c>
      <c r="O114" s="4">
        <f ca="1">IF(N114=1,O$3*L113/Prices!B113,-O$3*M113)</f>
        <v>8.659075406562456E-3</v>
      </c>
      <c r="P114" s="22"/>
      <c r="Q114" s="13">
        <f ca="1">Q113-T114*Prices!B114</f>
        <v>0.33843146839686777</v>
      </c>
      <c r="R114" s="4">
        <f t="shared" ca="1" si="6"/>
        <v>0.59339173057867556</v>
      </c>
      <c r="S114" s="13">
        <f ca="1">IF(Prices!B113&gt;OFFSET(Prices!B113,-S$3,0),1,-1)</f>
        <v>1</v>
      </c>
      <c r="T114" s="4">
        <f ca="1">IF(S114=1,T$3*Q113/Prices!B113,-T$3*R113)</f>
        <v>8.6943383745068849E-3</v>
      </c>
      <c r="V114" s="13"/>
      <c r="W114" s="4"/>
      <c r="X114" s="4"/>
      <c r="Y114" s="4"/>
      <c r="Z114" s="4"/>
      <c r="AA114" s="4"/>
      <c r="AB114" s="4"/>
      <c r="AC114" s="4"/>
      <c r="AD114" s="4"/>
      <c r="AE114" s="52"/>
    </row>
    <row r="115" spans="1:31" x14ac:dyDescent="0.2">
      <c r="A115" s="7">
        <v>42169</v>
      </c>
      <c r="B115" s="13">
        <f ca="1">Prices!B114*(1+J115/(50*(ABS(O115)+ABS(T115)+0.0001)))</f>
        <v>1.2182492919988557</v>
      </c>
      <c r="C115" s="62">
        <f t="shared" ca="1" si="9"/>
        <v>1</v>
      </c>
      <c r="D115" s="13">
        <f ca="1">D114+C115*(Prices!B115-Prices!B114)/Prices!B114</f>
        <v>0.11900369378721314</v>
      </c>
      <c r="E115" s="13">
        <f t="shared" ca="1" si="10"/>
        <v>7.0583491606942411E-3</v>
      </c>
      <c r="F115" s="13">
        <f t="shared" ca="1" si="8"/>
        <v>0.12606204294790738</v>
      </c>
      <c r="G115" s="21">
        <f ca="1">IF((Prices!B115-Prices!B114)*C115&gt;0,1,0)</f>
        <v>1</v>
      </c>
      <c r="H115" s="13">
        <f>ABS(Prices!B115-Prices!B114)/Prices!B114</f>
        <v>5.0230221850140972E-4</v>
      </c>
      <c r="I115" s="21"/>
      <c r="J115" s="4">
        <f t="shared" ca="1" si="11"/>
        <v>1.687842326355718E-2</v>
      </c>
      <c r="K115" s="13"/>
      <c r="L115" s="13">
        <f ca="1">L114-O115*Prices!B115</f>
        <v>0.24019495366627588</v>
      </c>
      <c r="M115" s="4">
        <f t="shared" ca="1" si="7"/>
        <v>0.68424687605507006</v>
      </c>
      <c r="N115" s="13">
        <f ca="1">IF(Prices!B114&gt;OFFSET(Prices!B114,-$N$3,0),1,-1)</f>
        <v>1</v>
      </c>
      <c r="O115" s="4">
        <f ca="1">IF(N115=1,O$3*L114/Prices!B114,-O$3*M114)</f>
        <v>8.3786793942344229E-3</v>
      </c>
      <c r="P115" s="22"/>
      <c r="Q115" s="13">
        <f ca="1">Q114-T115*Prices!B115</f>
        <v>0.32827342449864017</v>
      </c>
      <c r="R115" s="4">
        <f t="shared" ca="1" si="6"/>
        <v>0.60189147444799829</v>
      </c>
      <c r="S115" s="13">
        <f ca="1">IF(Prices!B114&gt;OFFSET(Prices!B114,-S$3,0),1,-1)</f>
        <v>1</v>
      </c>
      <c r="T115" s="4">
        <f ca="1">IF(S115=1,T$3*Q114/Prices!B114,-T$3*R114)</f>
        <v>8.499743869322755E-3</v>
      </c>
      <c r="V115" s="13"/>
      <c r="W115" s="4"/>
      <c r="X115" s="4"/>
      <c r="Y115" s="4"/>
      <c r="Z115" s="4"/>
      <c r="AA115" s="4"/>
      <c r="AB115" s="4"/>
      <c r="AC115" s="4"/>
      <c r="AD115" s="4"/>
      <c r="AE115" s="52"/>
    </row>
    <row r="116" spans="1:31" x14ac:dyDescent="0.2">
      <c r="A116" s="7">
        <v>42176</v>
      </c>
      <c r="B116" s="13">
        <f ca="1">Prices!B115*(1+J116/(50*(ABS(O116)+ABS(T116)+0.0001)))</f>
        <v>1.2188560764510681</v>
      </c>
      <c r="C116" s="62">
        <f t="shared" ca="1" si="9"/>
        <v>1</v>
      </c>
      <c r="D116" s="13">
        <f ca="1">D115+C116*(Prices!B116-Prices!B115)/Prices!B115</f>
        <v>0.10754021792745241</v>
      </c>
      <c r="E116" s="13">
        <f t="shared" ca="1" si="10"/>
        <v>1.8521825020454963E-2</v>
      </c>
      <c r="F116" s="13">
        <f t="shared" ca="1" si="8"/>
        <v>0.12606204294790738</v>
      </c>
      <c r="G116" s="21">
        <f ca="1">IF((Prices!B116-Prices!B115)*C116&gt;0,1,0)</f>
        <v>0</v>
      </c>
      <c r="H116" s="13">
        <f>ABS(Prices!B116-Prices!B115)/Prices!B115</f>
        <v>1.1463475859760727E-2</v>
      </c>
      <c r="I116" s="21"/>
      <c r="J116" s="4">
        <f t="shared" ca="1" si="11"/>
        <v>1.6279809958673112E-2</v>
      </c>
      <c r="K116" s="13"/>
      <c r="L116" s="13">
        <f ca="1">L115-O116*Prices!B116</f>
        <v>0.23069729428174443</v>
      </c>
      <c r="M116" s="4">
        <f t="shared" ca="1" si="7"/>
        <v>0.69228620175722977</v>
      </c>
      <c r="N116" s="13">
        <f ca="1">IF(Prices!B115&gt;OFFSET(Prices!B115,-$N$3,0),1,-1)</f>
        <v>1</v>
      </c>
      <c r="O116" s="4">
        <f ca="1">IF(N116=1,O$3*L115/Prices!B115,-O$3*M115)</f>
        <v>8.039325702159681E-3</v>
      </c>
      <c r="P116" s="22"/>
      <c r="Q116" s="13">
        <f ca="1">Q115-T116*Prices!B116</f>
        <v>0.31853811639799517</v>
      </c>
      <c r="R116" s="4">
        <f t="shared" ca="1" si="6"/>
        <v>0.61013195870451176</v>
      </c>
      <c r="S116" s="13">
        <f ca="1">IF(Prices!B115&gt;OFFSET(Prices!B115,-S$3,0),1,-1)</f>
        <v>1</v>
      </c>
      <c r="T116" s="4">
        <f ca="1">IF(S116=1,T$3*Q115/Prices!B115,-T$3*R115)</f>
        <v>8.2404842565134331E-3</v>
      </c>
      <c r="V116" s="13"/>
      <c r="W116" s="4"/>
      <c r="X116" s="4"/>
      <c r="Y116" s="4"/>
      <c r="Z116" s="4"/>
      <c r="AA116" s="4"/>
      <c r="AB116" s="4"/>
      <c r="AC116" s="4"/>
      <c r="AD116" s="4"/>
      <c r="AE116" s="52"/>
    </row>
    <row r="117" spans="1:31" x14ac:dyDescent="0.2">
      <c r="A117" s="7">
        <v>42183</v>
      </c>
      <c r="B117" s="13">
        <f ca="1">Prices!B116*(1+J117/(50*(ABS(O117)+ABS(T117)+0.0001)))</f>
        <v>1.2048803232442231</v>
      </c>
      <c r="C117" s="62">
        <f t="shared" ca="1" si="9"/>
        <v>1</v>
      </c>
      <c r="D117" s="13">
        <f ca="1">D116+C117*(Prices!B117-Prices!B116)/Prices!B116</f>
        <v>0.10043000969992578</v>
      </c>
      <c r="E117" s="13">
        <f t="shared" ca="1" si="10"/>
        <v>2.5632033247981592E-2</v>
      </c>
      <c r="F117" s="13">
        <f t="shared" ca="1" si="8"/>
        <v>0.12606204294790738</v>
      </c>
      <c r="G117" s="21">
        <f ca="1">IF((Prices!B117-Prices!B116)*C117&gt;0,1,0)</f>
        <v>0</v>
      </c>
      <c r="H117" s="13">
        <f>ABS(Prices!B117-Prices!B116)/Prices!B116</f>
        <v>7.1102082275266319E-3</v>
      </c>
      <c r="I117" s="21"/>
      <c r="J117" s="4">
        <f t="shared" ca="1" si="11"/>
        <v>1.5899809770788583E-2</v>
      </c>
      <c r="K117" s="13"/>
      <c r="L117" s="13">
        <f ca="1">L116-O117*Prices!B117</f>
        <v>0.22153501474246945</v>
      </c>
      <c r="M117" s="4">
        <f t="shared" ca="1" si="7"/>
        <v>0.70009718175661162</v>
      </c>
      <c r="N117" s="13">
        <f ca="1">IF(Prices!B116&gt;OFFSET(Prices!B116,-$N$3,0),1,-1)</f>
        <v>1</v>
      </c>
      <c r="O117" s="4">
        <f ca="1">IF(N117=1,O$3*L116/Prices!B116,-O$3*M116)</f>
        <v>7.810979999381901E-3</v>
      </c>
      <c r="P117" s="22"/>
      <c r="Q117" s="13">
        <f ca="1">Q116-T117*Prices!B117</f>
        <v>0.30904991907613516</v>
      </c>
      <c r="R117" s="4">
        <f t="shared" ca="1" si="6"/>
        <v>0.61822078847591844</v>
      </c>
      <c r="S117" s="13">
        <f ca="1">IF(Prices!B116&gt;OFFSET(Prices!B116,-S$3,0),1,-1)</f>
        <v>1</v>
      </c>
      <c r="T117" s="4">
        <f ca="1">IF(S117=1,T$3*Q116/Prices!B116,-T$3*R116)</f>
        <v>8.0888297714066821E-3</v>
      </c>
      <c r="V117" s="13"/>
      <c r="W117" s="4"/>
      <c r="X117" s="4"/>
      <c r="Y117" s="4"/>
      <c r="Z117" s="4"/>
      <c r="AA117" s="4"/>
      <c r="AB117" s="4"/>
      <c r="AC117" s="4"/>
      <c r="AD117" s="4"/>
      <c r="AE117" s="52"/>
    </row>
    <row r="118" spans="1:31" x14ac:dyDescent="0.2">
      <c r="A118" s="7">
        <v>42190</v>
      </c>
      <c r="B118" s="13">
        <f ca="1">Prices!B117*(1+J118/(50*(ABS(O118)+ABS(T118)+0.0001)))</f>
        <v>1.1599045339495195</v>
      </c>
      <c r="C118" s="62">
        <f t="shared" ca="1" si="9"/>
        <v>0</v>
      </c>
      <c r="D118" s="13">
        <f ca="1">D117+C118*(Prices!B118-Prices!B117)/Prices!B117</f>
        <v>0.10043000969992578</v>
      </c>
      <c r="E118" s="13">
        <f t="shared" ca="1" si="10"/>
        <v>2.5632033247981592E-2</v>
      </c>
      <c r="F118" s="13">
        <f t="shared" ca="1" si="8"/>
        <v>0.12606204294790738</v>
      </c>
      <c r="G118" s="21">
        <f ca="1">IF((Prices!B118-Prices!B117)*C118&gt;0,1,0)</f>
        <v>0</v>
      </c>
      <c r="H118" s="13">
        <f>ABS(Prices!B118-Prices!B117)/Prices!B117</f>
        <v>7.672634271099656E-3</v>
      </c>
      <c r="I118" s="21"/>
      <c r="J118" s="4">
        <f t="shared" ca="1" si="11"/>
        <v>-2.0099797268317274E-2</v>
      </c>
      <c r="K118" s="13"/>
      <c r="L118" s="13">
        <f ca="1">L117-O118*Prices!B118</f>
        <v>0.25463560949592207</v>
      </c>
      <c r="M118" s="4">
        <f t="shared" ca="1" si="7"/>
        <v>0.67209329448634714</v>
      </c>
      <c r="N118" s="13">
        <f ca="1">IF(Prices!B117&gt;OFFSET(Prices!B117,-$N$3,0),1,-1)</f>
        <v>-1</v>
      </c>
      <c r="O118" s="4">
        <f ca="1">IF(N118=1,O$3*L117/Prices!B117,-O$3*M117)</f>
        <v>-2.8003887270264465E-2</v>
      </c>
      <c r="P118" s="22"/>
      <c r="Q118" s="13">
        <f ca="1">Q117-T118*Prices!B118</f>
        <v>0.29970728469383356</v>
      </c>
      <c r="R118" s="4">
        <f t="shared" ca="1" si="6"/>
        <v>0.62612487847786558</v>
      </c>
      <c r="S118" s="13">
        <f ca="1">IF(Prices!B117&gt;OFFSET(Prices!B117,-S$3,0),1,-1)</f>
        <v>1</v>
      </c>
      <c r="T118" s="4">
        <f ca="1">IF(S118=1,T$3*Q117/Prices!B117,-T$3*R117)</f>
        <v>7.9040900019471914E-3</v>
      </c>
      <c r="V118" s="13"/>
      <c r="W118" s="4"/>
      <c r="X118" s="4"/>
      <c r="Y118" s="4"/>
      <c r="Z118" s="4"/>
      <c r="AA118" s="4"/>
      <c r="AB118" s="4"/>
      <c r="AC118" s="4"/>
      <c r="AD118" s="4"/>
      <c r="AE118" s="52"/>
    </row>
    <row r="119" spans="1:31" x14ac:dyDescent="0.2">
      <c r="A119" s="7">
        <v>42197</v>
      </c>
      <c r="B119" s="13">
        <f ca="1">Prices!B118*(1+J119/(50*(ABS(O119)+ABS(T119)+0.0001)))</f>
        <v>1.1688256647863815</v>
      </c>
      <c r="C119" s="62">
        <f t="shared" ca="1" si="9"/>
        <v>0</v>
      </c>
      <c r="D119" s="13">
        <f ca="1">D118+C119*(Prices!B119-Prices!B118)/Prices!B118</f>
        <v>0.10043000969992578</v>
      </c>
      <c r="E119" s="13">
        <f t="shared" ca="1" si="10"/>
        <v>2.5632033247981592E-2</v>
      </c>
      <c r="F119" s="13">
        <f t="shared" ca="1" si="8"/>
        <v>0.12606204294790738</v>
      </c>
      <c r="G119" s="21">
        <f ca="1">IF((Prices!B119-Prices!B118)*C119&gt;0,1,0)</f>
        <v>0</v>
      </c>
      <c r="H119" s="13">
        <f>ABS(Prices!B119-Prices!B118)/Prices!B118</f>
        <v>3.0456852791878575E-3</v>
      </c>
      <c r="I119" s="21"/>
      <c r="J119" s="4">
        <f t="shared" ca="1" si="11"/>
        <v>-1.9276947903975876E-2</v>
      </c>
      <c r="K119" s="13"/>
      <c r="L119" s="13">
        <f ca="1">L118-O119*Prices!B119</f>
        <v>0.2863153990248305</v>
      </c>
      <c r="M119" s="4">
        <f t="shared" ca="1" si="7"/>
        <v>0.64520956270689322</v>
      </c>
      <c r="N119" s="13">
        <f ca="1">IF(Prices!B118&gt;OFFSET(Prices!B118,-$N$3,0),1,-1)</f>
        <v>-1</v>
      </c>
      <c r="O119" s="4">
        <f ca="1">IF(N119=1,O$3*L118/Prices!B118,-O$3*M118)</f>
        <v>-2.6883731779453884E-2</v>
      </c>
      <c r="P119" s="22"/>
      <c r="Q119" s="13">
        <f ca="1">Q118-T119*Prices!B119</f>
        <v>0.29074345057497025</v>
      </c>
      <c r="R119" s="4">
        <f t="shared" ca="1" si="6"/>
        <v>0.63373166235334355</v>
      </c>
      <c r="S119" s="13">
        <f ca="1">IF(Prices!B118&gt;OFFSET(Prices!B118,-S$3,0),1,-1)</f>
        <v>1</v>
      </c>
      <c r="T119" s="4">
        <f ca="1">IF(S119=1,T$3*Q118/Prices!B118,-T$3*R118)</f>
        <v>7.6067838754780093E-3</v>
      </c>
      <c r="V119" s="13"/>
      <c r="W119" s="4"/>
      <c r="X119" s="4"/>
      <c r="Y119" s="4"/>
      <c r="Z119" s="4"/>
      <c r="AA119" s="4"/>
      <c r="AB119" s="4"/>
      <c r="AC119" s="4"/>
      <c r="AD119" s="4"/>
      <c r="AE119" s="52"/>
    </row>
    <row r="120" spans="1:31" x14ac:dyDescent="0.2">
      <c r="A120" s="7">
        <v>42204</v>
      </c>
      <c r="B120" s="13">
        <f ca="1">Prices!B119*(1+J120/(50*(ABS(O120)+ABS(T120)+0.0001)))</f>
        <v>1.1653767858228732</v>
      </c>
      <c r="C120" s="62">
        <f t="shared" ca="1" si="9"/>
        <v>0</v>
      </c>
      <c r="D120" s="13">
        <f ca="1">D119+C120*(Prices!B120-Prices!B119)/Prices!B119</f>
        <v>0.10043000969992578</v>
      </c>
      <c r="E120" s="13">
        <f t="shared" ca="1" si="10"/>
        <v>2.5632033247981592E-2</v>
      </c>
      <c r="F120" s="13">
        <f t="shared" ca="1" si="8"/>
        <v>0.12606204294790738</v>
      </c>
      <c r="G120" s="21">
        <f ca="1">IF((Prices!B120-Prices!B119)*C120&gt;0,1,0)</f>
        <v>0</v>
      </c>
      <c r="H120" s="13">
        <f>ABS(Prices!B120-Prices!B119)/Prices!B119</f>
        <v>1.4935505770536185E-2</v>
      </c>
      <c r="I120" s="21"/>
      <c r="J120" s="4">
        <f t="shared" ca="1" si="11"/>
        <v>-1.8406563501784632E-2</v>
      </c>
      <c r="K120" s="13"/>
      <c r="L120" s="13">
        <f ca="1">L119-O120*Prices!B120</f>
        <v>0.31627376944043695</v>
      </c>
      <c r="M120" s="4">
        <f t="shared" ca="1" si="7"/>
        <v>0.61940118019861745</v>
      </c>
      <c r="N120" s="13">
        <f ca="1">IF(Prices!B119&gt;OFFSET(Prices!B119,-$N$3,0),1,-1)</f>
        <v>-1</v>
      </c>
      <c r="O120" s="4">
        <f ca="1">IF(N120=1,O$3*L119/Prices!B119,-O$3*M119)</f>
        <v>-2.5808382508275728E-2</v>
      </c>
      <c r="P120" s="22"/>
      <c r="Q120" s="13">
        <f ca="1">Q119-T120*Prices!B120</f>
        <v>0.2821514190722354</v>
      </c>
      <c r="R120" s="4">
        <f t="shared" ca="1" si="6"/>
        <v>0.64113348135983461</v>
      </c>
      <c r="S120" s="13">
        <f ca="1">IF(Prices!B119&gt;OFFSET(Prices!B119,-S$3,0),1,-1)</f>
        <v>1</v>
      </c>
      <c r="T120" s="4">
        <f ca="1">IF(S120=1,T$3*Q119/Prices!B119,-T$3*R119)</f>
        <v>7.4018190064910963E-3</v>
      </c>
      <c r="V120" s="13"/>
      <c r="W120" s="4"/>
      <c r="X120" s="4"/>
      <c r="Y120" s="4"/>
      <c r="Z120" s="4"/>
      <c r="AA120" s="4"/>
      <c r="AB120" s="4"/>
      <c r="AC120" s="4"/>
      <c r="AD120" s="4"/>
      <c r="AE120" s="52"/>
    </row>
    <row r="121" spans="1:31" x14ac:dyDescent="0.2">
      <c r="A121" s="7">
        <v>42211</v>
      </c>
      <c r="B121" s="13">
        <f ca="1">Prices!B120*(1+J121/(50*(ABS(O121)+ABS(T121)+0.0001)))</f>
        <v>1.1376366319945959</v>
      </c>
      <c r="C121" s="62">
        <f t="shared" ca="1" si="9"/>
        <v>0</v>
      </c>
      <c r="D121" s="13">
        <f ca="1">D120+C121*(Prices!B121-Prices!B120)/Prices!B120</f>
        <v>0.10043000969992578</v>
      </c>
      <c r="E121" s="13">
        <f t="shared" ca="1" si="10"/>
        <v>2.5632033247981592E-2</v>
      </c>
      <c r="F121" s="13">
        <f t="shared" ca="1" si="8"/>
        <v>0.12606204294790738</v>
      </c>
      <c r="G121" s="21">
        <f ca="1">IF((Prices!B121-Prices!B120)*C121&gt;0,1,0)</f>
        <v>0</v>
      </c>
      <c r="H121" s="13">
        <f>ABS(Prices!B121-Prices!B120)/Prices!B120</f>
        <v>0</v>
      </c>
      <c r="I121" s="21"/>
      <c r="J121" s="4">
        <f t="shared" ca="1" si="11"/>
        <v>-4.4010051648739737E-2</v>
      </c>
      <c r="K121" s="13"/>
      <c r="L121" s="13">
        <f ca="1">L120-O121*Prices!B121</f>
        <v>0.34503380503941916</v>
      </c>
      <c r="M121" s="4">
        <f t="shared" ca="1" si="7"/>
        <v>0.59462513299067277</v>
      </c>
      <c r="N121" s="13">
        <f ca="1">IF(Prices!B120&gt;OFFSET(Prices!B120,-$N$3,0),1,-1)</f>
        <v>-1</v>
      </c>
      <c r="O121" s="4">
        <f ca="1">IF(N121=1,O$3*L120/Prices!B120,-O$3*M120)</f>
        <v>-2.4776047207944699E-2</v>
      </c>
      <c r="P121" s="22"/>
      <c r="Q121" s="13">
        <f ca="1">Q120-T121*Prices!B121</f>
        <v>0.30447825142711027</v>
      </c>
      <c r="R121" s="4">
        <f t="shared" ca="1" si="6"/>
        <v>0.62189947691903957</v>
      </c>
      <c r="S121" s="13">
        <f ca="1">IF(Prices!B120&gt;OFFSET(Prices!B120,-S$3,0),1,-1)</f>
        <v>-1</v>
      </c>
      <c r="T121" s="4">
        <f ca="1">IF(S121=1,T$3*Q120/Prices!B120,-T$3*R120)</f>
        <v>-1.9234004440795038E-2</v>
      </c>
      <c r="V121" s="13"/>
      <c r="W121" s="4"/>
      <c r="X121" s="4"/>
      <c r="Y121" s="4"/>
      <c r="Z121" s="4"/>
      <c r="AA121" s="4"/>
      <c r="AB121" s="4"/>
      <c r="AC121" s="4"/>
      <c r="AD121" s="4"/>
      <c r="AE121" s="52"/>
    </row>
    <row r="122" spans="1:31" x14ac:dyDescent="0.2">
      <c r="A122" s="7">
        <v>42218</v>
      </c>
      <c r="B122" s="13">
        <f ca="1">Prices!B121*(1+J122/(50*(ABS(O122)+ABS(T122)+0.0001)))</f>
        <v>1.1376385719657296</v>
      </c>
      <c r="C122" s="62">
        <f t="shared" ca="1" si="9"/>
        <v>0</v>
      </c>
      <c r="D122" s="13">
        <f ca="1">D121+C122*(Prices!B122-Prices!B121)/Prices!B121</f>
        <v>0.10043000969992578</v>
      </c>
      <c r="E122" s="13">
        <f t="shared" ca="1" si="10"/>
        <v>2.5632033247981592E-2</v>
      </c>
      <c r="F122" s="13">
        <f t="shared" ca="1" si="8"/>
        <v>0.12606204294790738</v>
      </c>
      <c r="G122" s="21">
        <f ca="1">IF((Prices!B122-Prices!B121)*C122&gt;0,1,0)</f>
        <v>0</v>
      </c>
      <c r="H122" s="13">
        <f>ABS(Prices!B122-Prices!B121)/Prices!B121</f>
        <v>4.9104066161268422E-3</v>
      </c>
      <c r="I122" s="21"/>
      <c r="J122" s="4">
        <f t="shared" ca="1" si="11"/>
        <v>-4.2441989627198098E-2</v>
      </c>
      <c r="K122" s="13"/>
      <c r="L122" s="13">
        <f ca="1">L121-O122*Prices!B122</f>
        <v>0.37277901374476397</v>
      </c>
      <c r="M122" s="4">
        <f t="shared" ca="1" si="7"/>
        <v>0.57084012767104586</v>
      </c>
      <c r="N122" s="13">
        <f ca="1">IF(Prices!B121&gt;OFFSET(Prices!B121,-$N$3,0),1,-1)</f>
        <v>-1</v>
      </c>
      <c r="O122" s="4">
        <f ca="1">IF(N122=1,O$3*L121/Prices!B121,-O$3*M121)</f>
        <v>-2.378500531962691E-2</v>
      </c>
      <c r="P122" s="22"/>
      <c r="Q122" s="13">
        <f ca="1">Q121-T122*Prices!B122</f>
        <v>0.32624162362189207</v>
      </c>
      <c r="R122" s="4">
        <f t="shared" ca="1" si="6"/>
        <v>0.60324249261146834</v>
      </c>
      <c r="S122" s="13">
        <f ca="1">IF(Prices!B121&gt;OFFSET(Prices!B121,-S$3,0),1,-1)</f>
        <v>-1</v>
      </c>
      <c r="T122" s="4">
        <f ca="1">IF(S122=1,T$3*Q121/Prices!B121,-T$3*R121)</f>
        <v>-1.8656984307571185E-2</v>
      </c>
      <c r="V122" s="13"/>
      <c r="W122" s="4"/>
      <c r="X122" s="4"/>
      <c r="Y122" s="4"/>
      <c r="Z122" s="4"/>
      <c r="AA122" s="4"/>
      <c r="AB122" s="4"/>
      <c r="AC122" s="4"/>
      <c r="AD122" s="4"/>
      <c r="AE122" s="52"/>
    </row>
    <row r="123" spans="1:31" x14ac:dyDescent="0.2">
      <c r="A123" s="7">
        <v>42225</v>
      </c>
      <c r="B123" s="13">
        <f ca="1">Prices!B122*(1+J123/(50*(ABS(O123)+ABS(T123)+0.0001)))</f>
        <v>1.1432268596141866</v>
      </c>
      <c r="C123" s="62">
        <f t="shared" ca="1" si="9"/>
        <v>0</v>
      </c>
      <c r="D123" s="13">
        <f ca="1">D122+C123*(Prices!B123-Prices!B122)/Prices!B122</f>
        <v>0.10043000969992578</v>
      </c>
      <c r="E123" s="13">
        <f t="shared" ca="1" si="10"/>
        <v>2.5632033247981592E-2</v>
      </c>
      <c r="F123" s="13">
        <f t="shared" ca="1" si="8"/>
        <v>0.12606204294790738</v>
      </c>
      <c r="G123" s="21">
        <f ca="1">IF((Prices!B123-Prices!B122)*C123&gt;0,1,0)</f>
        <v>0</v>
      </c>
      <c r="H123" s="13">
        <f>ABS(Prices!B123-Prices!B122)/Prices!B122</f>
        <v>1.0715816545220707E-2</v>
      </c>
      <c r="I123" s="21"/>
      <c r="J123" s="4">
        <f t="shared" ca="1" si="11"/>
        <v>-4.0930879885185886E-2</v>
      </c>
      <c r="K123" s="13"/>
      <c r="L123" s="13">
        <f ca="1">L122-O123*Prices!B123</f>
        <v>0.39969983416573052</v>
      </c>
      <c r="M123" s="4">
        <f t="shared" ca="1" si="7"/>
        <v>0.54800652256420401</v>
      </c>
      <c r="N123" s="13">
        <f ca="1">IF(Prices!B122&gt;OFFSET(Prices!B122,-$N$3,0),1,-1)</f>
        <v>-1</v>
      </c>
      <c r="O123" s="4">
        <f ca="1">IF(N123=1,O$3*L122/Prices!B122,-O$3*M122)</f>
        <v>-2.2833605106841834E-2</v>
      </c>
      <c r="P123" s="22"/>
      <c r="Q123" s="13">
        <f ca="1">Q122-T123*Prices!B123</f>
        <v>0.34757831058555971</v>
      </c>
      <c r="R123" s="4">
        <f t="shared" ca="1" si="6"/>
        <v>0.58514521783312434</v>
      </c>
      <c r="S123" s="13">
        <f ca="1">IF(Prices!B122&gt;OFFSET(Prices!B122,-S$3,0),1,-1)</f>
        <v>-1</v>
      </c>
      <c r="T123" s="4">
        <f ca="1">IF(S123=1,T$3*Q122/Prices!B122,-T$3*R122)</f>
        <v>-1.8097274778344049E-2</v>
      </c>
      <c r="V123" s="13"/>
      <c r="W123" s="4"/>
      <c r="X123" s="4"/>
      <c r="Y123" s="4"/>
      <c r="Z123" s="4"/>
      <c r="AA123" s="4"/>
      <c r="AB123" s="4"/>
      <c r="AC123" s="4"/>
      <c r="AD123" s="4"/>
      <c r="AE123" s="52"/>
    </row>
    <row r="124" spans="1:31" x14ac:dyDescent="0.2">
      <c r="A124" s="7">
        <v>42232</v>
      </c>
      <c r="B124" s="13">
        <f ca="1">Prices!B123*(1+J124/(50*(ABS(O124)+ABS(T124)+0.0001)))</f>
        <v>1.1759831211510581</v>
      </c>
      <c r="C124" s="62">
        <f t="shared" ca="1" si="9"/>
        <v>0</v>
      </c>
      <c r="D124" s="13">
        <f ca="1">D123+C124*(Prices!B124-Prices!B123)/Prices!B123</f>
        <v>0.10043000969992578</v>
      </c>
      <c r="E124" s="13">
        <f t="shared" ca="1" si="10"/>
        <v>2.5632033247981592E-2</v>
      </c>
      <c r="F124" s="13">
        <f t="shared" ca="1" si="8"/>
        <v>0.12606204294790738</v>
      </c>
      <c r="G124" s="21">
        <f ca="1">IF((Prices!B124-Prices!B123)*C124&gt;0,1,0)</f>
        <v>0</v>
      </c>
      <c r="H124" s="13">
        <f>ABS(Prices!B124-Prices!B123)/Prices!B123</f>
        <v>1.2128922815945698E-2</v>
      </c>
      <c r="I124" s="21"/>
      <c r="J124" s="4">
        <f t="shared" ca="1" si="11"/>
        <v>-3.9937175471826854E-3</v>
      </c>
      <c r="K124" s="13"/>
      <c r="L124" s="13">
        <f ca="1">L123-O124*Prices!B124</f>
        <v>0.38351792366157561</v>
      </c>
      <c r="M124" s="4">
        <f t="shared" ca="1" si="7"/>
        <v>0.56156716155201503</v>
      </c>
      <c r="N124" s="13">
        <f ca="1">IF(Prices!B123&gt;OFFSET(Prices!B123,-$N$3,0),1,-1)</f>
        <v>1</v>
      </c>
      <c r="O124" s="4">
        <f ca="1">IF(N124=1,O$3*L123/Prices!B123,-O$3*M123)</f>
        <v>1.3560638987811045E-2</v>
      </c>
      <c r="P124" s="22"/>
      <c r="Q124" s="13">
        <f ca="1">Q123-T124*Prices!B124</f>
        <v>0.36852592423876773</v>
      </c>
      <c r="R124" s="4">
        <f t="shared" ca="1" si="6"/>
        <v>0.56759086129813063</v>
      </c>
      <c r="S124" s="13">
        <f ca="1">IF(Prices!B123&gt;OFFSET(Prices!B123,-S$3,0),1,-1)</f>
        <v>-1</v>
      </c>
      <c r="T124" s="4">
        <f ca="1">IF(S124=1,T$3*Q123/Prices!B123,-T$3*R123)</f>
        <v>-1.755435653499373E-2</v>
      </c>
      <c r="V124" s="13"/>
      <c r="W124" s="4"/>
      <c r="X124" s="4"/>
      <c r="Y124" s="4"/>
      <c r="Z124" s="4"/>
      <c r="AA124" s="4"/>
      <c r="AB124" s="4"/>
      <c r="AC124" s="4"/>
      <c r="AD124" s="4"/>
      <c r="AE124" s="52"/>
    </row>
    <row r="125" spans="1:31" x14ac:dyDescent="0.2">
      <c r="A125" s="7">
        <v>42239</v>
      </c>
      <c r="B125" s="13">
        <f ca="1">Prices!B124*(1+J125/(50*(ABS(O125)+ABS(T125)+0.0001)))</f>
        <v>1.1899791874194352</v>
      </c>
      <c r="C125" s="62">
        <f t="shared" ca="1" si="9"/>
        <v>0</v>
      </c>
      <c r="D125" s="13">
        <f ca="1">D124+C125*(Prices!B125-Prices!B124)/Prices!B124</f>
        <v>0.10043000969992578</v>
      </c>
      <c r="E125" s="13">
        <f t="shared" ca="1" si="10"/>
        <v>2.5632033247981592E-2</v>
      </c>
      <c r="F125" s="13">
        <f t="shared" ca="1" si="8"/>
        <v>0.12606204294790738</v>
      </c>
      <c r="G125" s="21">
        <f ca="1">IF((Prices!B125-Prices!B124)*C125&gt;0,1,0)</f>
        <v>0</v>
      </c>
      <c r="H125" s="13">
        <f>ABS(Prices!B125-Prices!B124)/Prices!B124</f>
        <v>3.1006452694209642E-3</v>
      </c>
      <c r="I125" s="21"/>
      <c r="J125" s="4">
        <f t="shared" ca="1" si="11"/>
        <v>-4.1720173444638846E-3</v>
      </c>
      <c r="K125" s="13"/>
      <c r="L125" s="13">
        <f ca="1">L124-O125*Prices!B125</f>
        <v>0.36822477283654215</v>
      </c>
      <c r="M125" s="4">
        <f t="shared" ca="1" si="7"/>
        <v>0.57442287004649506</v>
      </c>
      <c r="N125" s="13">
        <f ca="1">IF(Prices!B124&gt;OFFSET(Prices!B124,-$N$3,0),1,-1)</f>
        <v>1</v>
      </c>
      <c r="O125" s="4">
        <f ca="1">IF(N125=1,O$3*L124/Prices!B124,-O$3*M124)</f>
        <v>1.2855708494480034E-2</v>
      </c>
      <c r="P125" s="22"/>
      <c r="Q125" s="13">
        <f ca="1">Q124-T125*Prices!B125</f>
        <v>0.38878210689677539</v>
      </c>
      <c r="R125" s="4">
        <f t="shared" ca="1" si="6"/>
        <v>0.55056313545918667</v>
      </c>
      <c r="S125" s="13">
        <f ca="1">IF(Prices!B124&gt;OFFSET(Prices!B124,-S$3,0),1,-1)</f>
        <v>-1</v>
      </c>
      <c r="T125" s="4">
        <f ca="1">IF(S125=1,T$3*Q124/Prices!B124,-T$3*R124)</f>
        <v>-1.7027725838943918E-2</v>
      </c>
      <c r="V125" s="13"/>
      <c r="W125" s="4"/>
      <c r="X125" s="4"/>
      <c r="Y125" s="4"/>
      <c r="Z125" s="4"/>
      <c r="AA125" s="4"/>
      <c r="AB125" s="4"/>
      <c r="AC125" s="4"/>
      <c r="AD125" s="4"/>
      <c r="AE125" s="52"/>
    </row>
    <row r="126" spans="1:31" x14ac:dyDescent="0.2">
      <c r="A126" s="7">
        <v>42246</v>
      </c>
      <c r="B126" s="13">
        <f ca="1">Prices!B125*(1+J126/(50*(ABS(O126)+ABS(T126)+0.0001)))</f>
        <v>1.1862070450864672</v>
      </c>
      <c r="C126" s="62">
        <f t="shared" ca="1" si="9"/>
        <v>0</v>
      </c>
      <c r="D126" s="13">
        <f ca="1">D125+C126*(Prices!B126-Prices!B125)/Prices!B125</f>
        <v>0.10043000969992578</v>
      </c>
      <c r="E126" s="13">
        <f t="shared" ca="1" si="10"/>
        <v>2.5632033247981592E-2</v>
      </c>
      <c r="F126" s="13">
        <f t="shared" ca="1" si="8"/>
        <v>0.12606204294790738</v>
      </c>
      <c r="G126" s="21">
        <f ca="1">IF((Prices!B126-Prices!B125)*C126&gt;0,1,0)</f>
        <v>0</v>
      </c>
      <c r="H126" s="13">
        <f>ABS(Prices!B126-Prices!B125)/Prices!B125</f>
        <v>1.0339609952925334E-2</v>
      </c>
      <c r="I126" s="21"/>
      <c r="J126" s="4">
        <f t="shared" ca="1" si="11"/>
        <v>-4.1354289381353125E-3</v>
      </c>
      <c r="K126" s="13"/>
      <c r="L126" s="13">
        <f ca="1">L125-O126*Prices!B126</f>
        <v>0.35364807394412584</v>
      </c>
      <c r="M126" s="4">
        <f t="shared" ca="1" si="7"/>
        <v>0.58680433517213537</v>
      </c>
      <c r="N126" s="13">
        <f ca="1">IF(Prices!B125&gt;OFFSET(Prices!B125,-$N$3,0),1,-1)</f>
        <v>1</v>
      </c>
      <c r="O126" s="4">
        <f ca="1">IF(N126=1,O$3*L125/Prices!B125,-O$3*M125)</f>
        <v>1.2381465125640288E-2</v>
      </c>
      <c r="P126" s="22"/>
      <c r="Q126" s="13">
        <f ca="1">Q125-T126*Prices!B126</f>
        <v>0.4082274462780584</v>
      </c>
      <c r="R126" s="4">
        <f t="shared" ca="1" si="6"/>
        <v>0.53404624139541101</v>
      </c>
      <c r="S126" s="13">
        <f ca="1">IF(Prices!B125&gt;OFFSET(Prices!B125,-S$3,0),1,-1)</f>
        <v>-1</v>
      </c>
      <c r="T126" s="4">
        <f ca="1">IF(S126=1,T$3*Q125/Prices!B125,-T$3*R125)</f>
        <v>-1.65168940637756E-2</v>
      </c>
      <c r="V126" s="13"/>
      <c r="W126" s="4"/>
      <c r="X126" s="4"/>
      <c r="Y126" s="4"/>
      <c r="Z126" s="4"/>
      <c r="AA126" s="4"/>
      <c r="AB126" s="4"/>
      <c r="AC126" s="4"/>
      <c r="AD126" s="4"/>
      <c r="AE126" s="52"/>
    </row>
    <row r="127" spans="1:31" x14ac:dyDescent="0.2">
      <c r="A127" s="7">
        <v>42253</v>
      </c>
      <c r="B127" s="13">
        <f ca="1">Prices!B126*(1+J127/(50*(ABS(O127)+ABS(T127)+0.0001)))</f>
        <v>1.1739477844181911</v>
      </c>
      <c r="C127" s="62">
        <f t="shared" ca="1" si="9"/>
        <v>0</v>
      </c>
      <c r="D127" s="13">
        <f ca="1">D126+C127*(Prices!B127-Prices!B126)/Prices!B126</f>
        <v>0.10043000969992578</v>
      </c>
      <c r="E127" s="13">
        <f t="shared" ca="1" si="10"/>
        <v>2.5632033247981592E-2</v>
      </c>
      <c r="F127" s="13">
        <f t="shared" ca="1" si="8"/>
        <v>0.12606204294790738</v>
      </c>
      <c r="G127" s="21">
        <f ca="1">IF((Prices!B127-Prices!B126)*C127&gt;0,1,0)</f>
        <v>0</v>
      </c>
      <c r="H127" s="13">
        <f>ABS(Prices!B127-Prices!B126)/Prices!B126</f>
        <v>2.0385628132166462E-3</v>
      </c>
      <c r="I127" s="21"/>
      <c r="J127" s="4">
        <f t="shared" ca="1" si="11"/>
        <v>-4.0058237000590233E-3</v>
      </c>
      <c r="K127" s="13"/>
      <c r="L127" s="13">
        <f ca="1">L126-O127*Prices!B127</f>
        <v>0.33953098833886114</v>
      </c>
      <c r="M127" s="4">
        <f t="shared" ca="1" si="7"/>
        <v>0.5988198987139387</v>
      </c>
      <c r="N127" s="13">
        <f ca="1">IF(Prices!B126&gt;OFFSET(Prices!B126,-$N$3,0),1,-1)</f>
        <v>1</v>
      </c>
      <c r="O127" s="4">
        <f ca="1">IF(N127=1,O$3*L126/Prices!B126,-O$3*M126)</f>
        <v>1.2015563541803307E-2</v>
      </c>
      <c r="P127" s="22"/>
      <c r="Q127" s="13">
        <f ca="1">Q126-T127*Prices!B127</f>
        <v>0.42705097414852244</v>
      </c>
      <c r="R127" s="4">
        <f t="shared" ca="1" si="6"/>
        <v>0.51802485415354871</v>
      </c>
      <c r="S127" s="13">
        <f ca="1">IF(Prices!B126&gt;OFFSET(Prices!B126,-S$3,0),1,-1)</f>
        <v>-1</v>
      </c>
      <c r="T127" s="4">
        <f ca="1">IF(S127=1,T$3*Q126/Prices!B126,-T$3*R126)</f>
        <v>-1.602138724186233E-2</v>
      </c>
      <c r="V127" s="13"/>
      <c r="W127" s="4"/>
      <c r="X127" s="4"/>
      <c r="Y127" s="4"/>
      <c r="Z127" s="4"/>
      <c r="AA127" s="4"/>
      <c r="AB127" s="4"/>
      <c r="AC127" s="4"/>
      <c r="AD127" s="4"/>
      <c r="AE127" s="52"/>
    </row>
    <row r="128" spans="1:31" x14ac:dyDescent="0.2">
      <c r="A128" s="7">
        <v>42260</v>
      </c>
      <c r="B128" s="13">
        <f ca="1">Prices!B127*(1+J128/(50*(ABS(O128)+ABS(T128)+0.0001)))</f>
        <v>1.1714606303295749</v>
      </c>
      <c r="C128" s="62">
        <f t="shared" ca="1" si="9"/>
        <v>0</v>
      </c>
      <c r="D128" s="13">
        <f ca="1">D127+C128*(Prices!B128-Prices!B127)/Prices!B127</f>
        <v>0.10043000969992578</v>
      </c>
      <c r="E128" s="13">
        <f t="shared" ca="1" si="10"/>
        <v>2.5632033247981592E-2</v>
      </c>
      <c r="F128" s="13">
        <f t="shared" ca="1" si="8"/>
        <v>0.12606204294790738</v>
      </c>
      <c r="G128" s="21">
        <f ca="1">IF((Prices!B128-Prices!B127)*C128&gt;0,1,0)</f>
        <v>0</v>
      </c>
      <c r="H128" s="13">
        <f>ABS(Prices!B128-Prices!B127)/Prices!B127</f>
        <v>9.6178398161544509E-3</v>
      </c>
      <c r="I128" s="21"/>
      <c r="J128" s="4">
        <f t="shared" ca="1" si="11"/>
        <v>-3.9812601079204056E-3</v>
      </c>
      <c r="K128" s="13"/>
      <c r="L128" s="13">
        <f ca="1">L127-O128*Prices!B128</f>
        <v>0.32581912661896817</v>
      </c>
      <c r="M128" s="4">
        <f t="shared" ca="1" si="7"/>
        <v>0.61037938423062477</v>
      </c>
      <c r="N128" s="13">
        <f ca="1">IF(Prices!B127&gt;OFFSET(Prices!B127,-$N$3,0),1,-1)</f>
        <v>1</v>
      </c>
      <c r="O128" s="4">
        <f ca="1">IF(N128=1,O$3*L127/Prices!B127,-O$3*M127)</f>
        <v>1.1559485516686055E-2</v>
      </c>
      <c r="P128" s="22"/>
      <c r="Q128" s="13">
        <f ca="1">Q127-T128*Prices!B128</f>
        <v>0.44548540660843061</v>
      </c>
      <c r="R128" s="4">
        <f t="shared" ca="1" si="6"/>
        <v>0.50248410852894221</v>
      </c>
      <c r="S128" s="13">
        <f ca="1">IF(Prices!B127&gt;OFFSET(Prices!B127,-S$3,0),1,-1)</f>
        <v>-1</v>
      </c>
      <c r="T128" s="4">
        <f ca="1">IF(S128=1,T$3*Q127/Prices!B127,-T$3*R127)</f>
        <v>-1.554074562460646E-2</v>
      </c>
      <c r="V128" s="13"/>
      <c r="W128" s="4"/>
      <c r="X128" s="4"/>
      <c r="Y128" s="4"/>
      <c r="Z128" s="4"/>
      <c r="AA128" s="4"/>
      <c r="AB128" s="4"/>
      <c r="AC128" s="4"/>
      <c r="AD128" s="4"/>
      <c r="AE128" s="52"/>
    </row>
    <row r="129" spans="1:31" x14ac:dyDescent="0.2">
      <c r="A129" s="7">
        <v>42267</v>
      </c>
      <c r="B129" s="13">
        <f ca="1">Prices!B128*(1+J129/(50*(ABS(O129)+ABS(T129)+0.0001)))</f>
        <v>1.2098178698718891</v>
      </c>
      <c r="C129" s="62">
        <f t="shared" ca="1" si="9"/>
        <v>1</v>
      </c>
      <c r="D129" s="13">
        <f ca="1">D128+C129*(Prices!B129-Prices!B128)/Prices!B128</f>
        <v>0.11248531234703418</v>
      </c>
      <c r="E129" s="13">
        <f t="shared" ca="1" si="10"/>
        <v>1.3576730600873194E-2</v>
      </c>
      <c r="F129" s="13">
        <f t="shared" ca="1" si="8"/>
        <v>0.12606204294790738</v>
      </c>
      <c r="G129" s="21">
        <f ca="1">IF((Prices!B129-Prices!B128)*C129&gt;0,1,0)</f>
        <v>1</v>
      </c>
      <c r="H129" s="13">
        <f>ABS(Prices!B129-Prices!B128)/Prices!B128</f>
        <v>1.2055302647108397E-2</v>
      </c>
      <c r="I129" s="21"/>
      <c r="J129" s="4">
        <f t="shared" ca="1" si="11"/>
        <v>2.2253690155970028E-2</v>
      </c>
      <c r="K129" s="13"/>
      <c r="L129" s="13">
        <f ca="1">L128-O129*Prices!B129</f>
        <v>0.3126292476270251</v>
      </c>
      <c r="M129" s="4">
        <f t="shared" ca="1" si="7"/>
        <v>0.62136637214561274</v>
      </c>
      <c r="N129" s="13">
        <f ca="1">IF(Prices!B128&gt;OFFSET(Prices!B128,-$N$3,0),1,-1)</f>
        <v>1</v>
      </c>
      <c r="O129" s="4">
        <f ca="1">IF(N129=1,O$3*L128/Prices!B128,-O$3*M128)</f>
        <v>1.0986987914987969E-2</v>
      </c>
      <c r="P129" s="22"/>
      <c r="Q129" s="13">
        <f ca="1">Q128-T129*Prices!B129</f>
        <v>0.43195973056813164</v>
      </c>
      <c r="R129" s="4">
        <f t="shared" ca="1" si="6"/>
        <v>0.51375081076992424</v>
      </c>
      <c r="S129" s="13">
        <f ca="1">IF(Prices!B128&gt;OFFSET(Prices!B128,-S$3,0),1,-1)</f>
        <v>1</v>
      </c>
      <c r="T129" s="4">
        <f ca="1">IF(S129=1,T$3*Q128/Prices!B128,-T$3*R128)</f>
        <v>1.1266702240982059E-2</v>
      </c>
      <c r="V129" s="13"/>
      <c r="W129" s="4"/>
      <c r="X129" s="4"/>
      <c r="Y129" s="4"/>
      <c r="Z129" s="4"/>
      <c r="AA129" s="4"/>
      <c r="AB129" s="4"/>
      <c r="AC129" s="4"/>
      <c r="AD129" s="4"/>
      <c r="AE129" s="52"/>
    </row>
    <row r="130" spans="1:31" x14ac:dyDescent="0.2">
      <c r="A130" s="7">
        <v>42274</v>
      </c>
      <c r="B130" s="13">
        <f ca="1">Prices!B129*(1+J130/(50*(ABS(O130)+ABS(T130)+0.0001)))</f>
        <v>1.2243973358674143</v>
      </c>
      <c r="C130" s="62">
        <f t="shared" ca="1" si="9"/>
        <v>1</v>
      </c>
      <c r="D130" s="13">
        <f ca="1">D129+C130*(Prices!B130-Prices!B129)/Prices!B129</f>
        <v>0.1144844793607786</v>
      </c>
      <c r="E130" s="13">
        <f t="shared" ca="1" si="10"/>
        <v>1.1577563587128775E-2</v>
      </c>
      <c r="F130" s="13">
        <f t="shared" ca="1" si="8"/>
        <v>0.12606204294790738</v>
      </c>
      <c r="G130" s="21">
        <f ca="1">IF((Prices!B130-Prices!B129)*C130&gt;0,1,0)</f>
        <v>1</v>
      </c>
      <c r="H130" s="13">
        <f>ABS(Prices!B130-Prices!B129)/Prices!B129</f>
        <v>1.9991670137444232E-3</v>
      </c>
      <c r="I130" s="21"/>
      <c r="J130" s="4">
        <f t="shared" ca="1" si="11"/>
        <v>2.1211130214181553E-2</v>
      </c>
      <c r="K130" s="13"/>
      <c r="L130" s="13">
        <f ca="1">L129-O130*Prices!B130</f>
        <v>0.3000990777987686</v>
      </c>
      <c r="M130" s="4">
        <f t="shared" ca="1" si="7"/>
        <v>0.63178300680207344</v>
      </c>
      <c r="N130" s="13">
        <f ca="1">IF(Prices!B129&gt;OFFSET(Prices!B129,-$N$3,0),1,-1)</f>
        <v>1</v>
      </c>
      <c r="O130" s="4">
        <f ca="1">IF(N130=1,O$3*L129/Prices!B129,-O$3*M129)</f>
        <v>1.0416634656460646E-2</v>
      </c>
      <c r="P130" s="22"/>
      <c r="Q130" s="13">
        <f ca="1">Q129-T130*Prices!B130</f>
        <v>0.41897503186174917</v>
      </c>
      <c r="R130" s="4">
        <f t="shared" ca="1" si="6"/>
        <v>0.52454530632764518</v>
      </c>
      <c r="S130" s="13">
        <f ca="1">IF(Prices!B129&gt;OFFSET(Prices!B129,-S$3,0),1,-1)</f>
        <v>1</v>
      </c>
      <c r="T130" s="4">
        <f ca="1">IF(S130=1,T$3*Q129/Prices!B129,-T$3*R129)</f>
        <v>1.0794495557720907E-2</v>
      </c>
      <c r="V130" s="13"/>
      <c r="W130" s="4"/>
      <c r="X130" s="4"/>
      <c r="Y130" s="4"/>
      <c r="Z130" s="4"/>
      <c r="AA130" s="4"/>
      <c r="AB130" s="4"/>
      <c r="AC130" s="4"/>
      <c r="AD130" s="4"/>
      <c r="AE130" s="52"/>
    </row>
    <row r="131" spans="1:31" x14ac:dyDescent="0.2">
      <c r="A131" s="7">
        <v>42281</v>
      </c>
      <c r="B131" s="13">
        <f ca="1">Prices!B130*(1+J131/(50*(ABS(O131)+ABS(T131)+0.0001)))</f>
        <v>1.2268408057446989</v>
      </c>
      <c r="C131" s="62">
        <f t="shared" ca="1" si="9"/>
        <v>1</v>
      </c>
      <c r="D131" s="13">
        <f ca="1">D130+C131*(Prices!B131-Prices!B130)/Prices!B130</f>
        <v>0.12886638974401898</v>
      </c>
      <c r="E131" s="13">
        <f t="shared" ca="1" si="10"/>
        <v>0</v>
      </c>
      <c r="F131" s="13">
        <f t="shared" ca="1" si="8"/>
        <v>0.12886638974401898</v>
      </c>
      <c r="G131" s="21">
        <f ca="1">IF((Prices!B131-Prices!B130)*C131&gt;0,1,0)</f>
        <v>1</v>
      </c>
      <c r="H131" s="13">
        <f>ABS(Prices!B131-Prices!B130)/Prices!B130</f>
        <v>1.4381910383240394E-2</v>
      </c>
      <c r="I131" s="21"/>
      <c r="J131" s="4">
        <f t="shared" ca="1" si="11"/>
        <v>2.0428309974065355E-2</v>
      </c>
      <c r="K131" s="13"/>
      <c r="L131" s="13">
        <f ca="1">L130-O131*Prices!B131</f>
        <v>0.28792247476509808</v>
      </c>
      <c r="M131" s="4">
        <f t="shared" ca="1" si="7"/>
        <v>0.64176219302865145</v>
      </c>
      <c r="N131" s="13">
        <f ca="1">IF(Prices!B130&gt;OFFSET(Prices!B130,-$N$3,0),1,-1)</f>
        <v>1</v>
      </c>
      <c r="O131" s="4">
        <f ca="1">IF(N131=1,O$3*L130/Prices!B130,-O$3*M130)</f>
        <v>9.9791862265780559E-3</v>
      </c>
      <c r="P131" s="22"/>
      <c r="Q131" s="13">
        <f ca="1">Q130-T131*Prices!B131</f>
        <v>0.40622501106506514</v>
      </c>
      <c r="R131" s="4">
        <f t="shared" ca="1" si="6"/>
        <v>0.53499443007513248</v>
      </c>
      <c r="S131" s="13">
        <f ca="1">IF(Prices!B130&gt;OFFSET(Prices!B130,-S$3,0),1,-1)</f>
        <v>1</v>
      </c>
      <c r="T131" s="4">
        <f ca="1">IF(S131=1,T$3*Q130/Prices!B130,-T$3*R130)</f>
        <v>1.0449123747487301E-2</v>
      </c>
      <c r="V131" s="13"/>
      <c r="W131" s="4"/>
      <c r="X131" s="4"/>
      <c r="Y131" s="4"/>
      <c r="Z131" s="4"/>
      <c r="AA131" s="4"/>
      <c r="AB131" s="4"/>
      <c r="AC131" s="4"/>
      <c r="AD131" s="4"/>
      <c r="AE131" s="52"/>
    </row>
    <row r="132" spans="1:31" x14ac:dyDescent="0.2">
      <c r="A132" s="7">
        <v>42288</v>
      </c>
      <c r="B132" s="13">
        <f ca="1">Prices!B131*(1+J132/(50*(ABS(O132)+ABS(T132)+0.0001)))</f>
        <v>1.2444790181562715</v>
      </c>
      <c r="C132" s="62">
        <f t="shared" ca="1" si="9"/>
        <v>1</v>
      </c>
      <c r="D132" s="13">
        <f ca="1">D131+C132*(Prices!B132-Prices!B131)/Prices!B131</f>
        <v>0.13050546530540236</v>
      </c>
      <c r="E132" s="13">
        <f t="shared" ca="1" si="10"/>
        <v>0</v>
      </c>
      <c r="F132" s="13">
        <f t="shared" ca="1" si="8"/>
        <v>0.13050546530540236</v>
      </c>
      <c r="G132" s="21">
        <f ca="1">IF((Prices!B132-Prices!B131)*C132&gt;0,1,0)</f>
        <v>1</v>
      </c>
      <c r="H132" s="13">
        <f>ABS(Prices!B132-Prices!B131)/Prices!B131</f>
        <v>1.6390755613833812E-3</v>
      </c>
      <c r="I132" s="21"/>
      <c r="J132" s="4">
        <f t="shared" ca="1" si="11"/>
        <v>1.9426036160101523E-2</v>
      </c>
      <c r="K132" s="13"/>
      <c r="L132" s="13">
        <f ca="1">L131-O132*Prices!B132</f>
        <v>0.27638669870681576</v>
      </c>
      <c r="M132" s="4">
        <f t="shared" ca="1" si="7"/>
        <v>0.65120072686786135</v>
      </c>
      <c r="N132" s="13">
        <f ca="1">IF(Prices!B131&gt;OFFSET(Prices!B131,-$N$3,0),1,-1)</f>
        <v>1</v>
      </c>
      <c r="O132" s="4">
        <f ca="1">IF(N132=1,O$3*L131/Prices!B131,-O$3*M131)</f>
        <v>9.4385338392099036E-3</v>
      </c>
      <c r="P132" s="22"/>
      <c r="Q132" s="13">
        <f ca="1">Q131-T132*Prices!B132</f>
        <v>0.39401828572847142</v>
      </c>
      <c r="R132" s="4">
        <f t="shared" ca="1" si="6"/>
        <v>0.5449819323960241</v>
      </c>
      <c r="S132" s="13">
        <f ca="1">IF(Prices!B131&gt;OFFSET(Prices!B131,-S$3,0),1,-1)</f>
        <v>1</v>
      </c>
      <c r="T132" s="4">
        <f ca="1">IF(S132=1,T$3*Q131/Prices!B131,-T$3*R131)</f>
        <v>9.9875023208916194E-3</v>
      </c>
      <c r="V132" s="13"/>
      <c r="W132" s="4"/>
      <c r="X132" s="4"/>
      <c r="Y132" s="4"/>
      <c r="Z132" s="4"/>
      <c r="AA132" s="4"/>
      <c r="AB132" s="4"/>
      <c r="AC132" s="4"/>
      <c r="AD132" s="4"/>
      <c r="AE132" s="52"/>
    </row>
    <row r="133" spans="1:31" x14ac:dyDescent="0.2">
      <c r="A133" s="7">
        <v>42295</v>
      </c>
      <c r="B133" s="13">
        <f ca="1">Prices!B132*(1+J133/(50*(ABS(O133)+ABS(T133)+0.0001)))</f>
        <v>1.2465140967494883</v>
      </c>
      <c r="C133" s="62">
        <f t="shared" ca="1" si="9"/>
        <v>1</v>
      </c>
      <c r="D133" s="13">
        <f ca="1">D132+C133*(Prices!B133-Prices!B132)/Prices!B132</f>
        <v>0.14727849754235209</v>
      </c>
      <c r="E133" s="13">
        <f t="shared" ca="1" si="10"/>
        <v>0</v>
      </c>
      <c r="F133" s="13">
        <f t="shared" ca="1" si="8"/>
        <v>0.14727849754235209</v>
      </c>
      <c r="G133" s="21">
        <f ca="1">IF((Prices!B133-Prices!B132)*C133&gt;0,1,0)</f>
        <v>1</v>
      </c>
      <c r="H133" s="13">
        <f>ABS(Prices!B133-Prices!B132)/Prices!B132</f>
        <v>1.6773032236949734E-2</v>
      </c>
      <c r="I133" s="21"/>
      <c r="J133" s="4">
        <f t="shared" ca="1" si="11"/>
        <v>1.8717081099760086E-2</v>
      </c>
      <c r="K133" s="13"/>
      <c r="L133" s="13">
        <f ca="1">L132-O133*Prices!B133</f>
        <v>0.2651457970382522</v>
      </c>
      <c r="M133" s="4">
        <f t="shared" ca="1" si="7"/>
        <v>0.66024627419912685</v>
      </c>
      <c r="N133" s="13">
        <f ca="1">IF(Prices!B132&gt;OFFSET(Prices!B132,-$N$3,0),1,-1)</f>
        <v>1</v>
      </c>
      <c r="O133" s="4">
        <f ca="1">IF(N133=1,O$3*L132/Prices!B132,-O$3*M132)</f>
        <v>9.0455473312654484E-3</v>
      </c>
      <c r="P133" s="22"/>
      <c r="Q133" s="13">
        <f ca="1">Q132-T133*Prices!B133</f>
        <v>0.38199947071436313</v>
      </c>
      <c r="R133" s="4">
        <f t="shared" ref="R133:R196" ca="1" si="12">R132+T133</f>
        <v>0.55465346616451872</v>
      </c>
      <c r="S133" s="13">
        <f ca="1">IF(Prices!B132&gt;OFFSET(Prices!B132,-S$3,0),1,-1)</f>
        <v>1</v>
      </c>
      <c r="T133" s="4">
        <f ca="1">IF(S133=1,T$3*Q132/Prices!B132,-T$3*R132)</f>
        <v>9.6715337684946355E-3</v>
      </c>
      <c r="V133" s="13"/>
      <c r="W133" s="4"/>
      <c r="X133" s="4"/>
      <c r="Y133" s="4"/>
      <c r="Z133" s="4"/>
      <c r="AA133" s="4"/>
      <c r="AB133" s="4"/>
      <c r="AC133" s="4"/>
      <c r="AD133" s="4"/>
      <c r="AE133" s="52"/>
    </row>
    <row r="134" spans="1:31" x14ac:dyDescent="0.2">
      <c r="A134" s="7">
        <v>42302</v>
      </c>
      <c r="B134" s="13">
        <f ca="1">Prices!B133*(1+J134/(50*(ABS(O134)+ABS(T134)+0.0001)))</f>
        <v>1.2674148114191359</v>
      </c>
      <c r="C134" s="62">
        <f t="shared" ca="1" si="9"/>
        <v>1</v>
      </c>
      <c r="D134" s="13">
        <f ca="1">D133+C134*(Prices!B134-Prices!B133)/Prices!B133</f>
        <v>0.15017541554347871</v>
      </c>
      <c r="E134" s="13">
        <f t="shared" ca="1" si="10"/>
        <v>0</v>
      </c>
      <c r="F134" s="13">
        <f t="shared" ca="1" si="8"/>
        <v>0.15017541554347871</v>
      </c>
      <c r="G134" s="21">
        <f ca="1">IF((Prices!B134-Prices!B133)*C134&gt;0,1,0)</f>
        <v>1</v>
      </c>
      <c r="H134" s="13">
        <f>ABS(Prices!B134-Prices!B133)/Prices!B133</f>
        <v>2.8969180011266175E-3</v>
      </c>
      <c r="I134" s="21"/>
      <c r="J134" s="4">
        <f t="shared" ca="1" si="11"/>
        <v>1.7756349885701281E-2</v>
      </c>
      <c r="K134" s="13"/>
      <c r="L134" s="13">
        <f ca="1">L133-O134*Prices!B134</f>
        <v>0.25450924093142757</v>
      </c>
      <c r="M134" s="4">
        <f t="shared" ca="1" si="7"/>
        <v>0.66878078122538431</v>
      </c>
      <c r="N134" s="13">
        <f ca="1">IF(Prices!B133&gt;OFFSET(Prices!B133,-$N$3,0),1,-1)</f>
        <v>1</v>
      </c>
      <c r="O134" s="4">
        <f ca="1">IF(N134=1,O$3*L133/Prices!B133,-O$3*M133)</f>
        <v>8.5345070262574148E-3</v>
      </c>
      <c r="P134" s="22"/>
      <c r="Q134" s="13">
        <f ca="1">Q133-T134*Prices!B134</f>
        <v>0.37050628795863821</v>
      </c>
      <c r="R134" s="4">
        <f t="shared" ca="1" si="12"/>
        <v>0.56387530902396255</v>
      </c>
      <c r="S134" s="13">
        <f ca="1">IF(Prices!B133&gt;OFFSET(Prices!B133,-S$3,0),1,-1)</f>
        <v>1</v>
      </c>
      <c r="T134" s="4">
        <f ca="1">IF(S134=1,T$3*Q133/Prices!B133,-T$3*R133)</f>
        <v>9.2218428594438677E-3</v>
      </c>
      <c r="V134" s="13"/>
      <c r="W134" s="4"/>
      <c r="X134" s="4"/>
      <c r="Y134" s="4"/>
      <c r="Z134" s="4"/>
      <c r="AA134" s="4"/>
      <c r="AB134" s="4"/>
      <c r="AC134" s="4"/>
      <c r="AD134" s="4"/>
      <c r="AE134" s="52"/>
    </row>
    <row r="135" spans="1:31" x14ac:dyDescent="0.2">
      <c r="A135" s="7">
        <v>42309</v>
      </c>
      <c r="B135" s="13">
        <f ca="1">Prices!B134*(1+J135/(50*(ABS(O135)+ABS(T135)+0.0001)))</f>
        <v>1.271080971985308</v>
      </c>
      <c r="C135" s="62">
        <f t="shared" ca="1" si="9"/>
        <v>1</v>
      </c>
      <c r="D135" s="13">
        <f ca="1">D134+C135*(Prices!B135-Prices!B134)/Prices!B134</f>
        <v>0.13324530240859955</v>
      </c>
      <c r="E135" s="13">
        <f t="shared" ca="1" si="10"/>
        <v>1.693011313487916E-2</v>
      </c>
      <c r="F135" s="13">
        <f t="shared" ca="1" si="8"/>
        <v>0.15017541554347871</v>
      </c>
      <c r="G135" s="21">
        <f ca="1">IF((Prices!B135-Prices!B134)*C135&gt;0,1,0)</f>
        <v>0</v>
      </c>
      <c r="H135" s="13">
        <f>ABS(Prices!B135-Prices!B134)/Prices!B134</f>
        <v>1.693011313487916E-2</v>
      </c>
      <c r="I135" s="21"/>
      <c r="J135" s="4">
        <f t="shared" ca="1" si="11"/>
        <v>1.7087024212481948E-2</v>
      </c>
      <c r="K135" s="13"/>
      <c r="L135" s="13">
        <f ca="1">L134-O135*Prices!B135</f>
        <v>0.24450122610388411</v>
      </c>
      <c r="M135" s="4">
        <f t="shared" ca="1" si="7"/>
        <v>0.67694925561939623</v>
      </c>
      <c r="N135" s="13">
        <f ca="1">IF(Prices!B134&gt;OFFSET(Prices!B134,-$N$3,0),1,-1)</f>
        <v>1</v>
      </c>
      <c r="O135" s="4">
        <f ca="1">IF(N135=1,O$3*L134/Prices!B134,-O$3*M134)</f>
        <v>8.1684743940119587E-3</v>
      </c>
      <c r="P135" s="22"/>
      <c r="Q135" s="13">
        <f ca="1">Q134-T135*Prices!B135</f>
        <v>0.35957928072104878</v>
      </c>
      <c r="R135" s="4">
        <f t="shared" ca="1" si="12"/>
        <v>0.5727938588424325</v>
      </c>
      <c r="S135" s="13">
        <f ca="1">IF(Prices!B134&gt;OFFSET(Prices!B134,-S$3,0),1,-1)</f>
        <v>1</v>
      </c>
      <c r="T135" s="4">
        <f ca="1">IF(S135=1,T$3*Q134/Prices!B134,-T$3*R134)</f>
        <v>8.9185498184699875E-3</v>
      </c>
      <c r="V135" s="13"/>
      <c r="W135" s="4"/>
      <c r="X135" s="4"/>
      <c r="Y135" s="4"/>
      <c r="Z135" s="4"/>
      <c r="AA135" s="4"/>
      <c r="AB135" s="4"/>
      <c r="AC135" s="4"/>
      <c r="AD135" s="4"/>
      <c r="AE135" s="52"/>
    </row>
    <row r="136" spans="1:31" x14ac:dyDescent="0.2">
      <c r="A136" s="7">
        <v>42316</v>
      </c>
      <c r="B136" s="13">
        <f ca="1">Prices!B135*(1+J136/(50*(ABS(O136)+ABS(T136)+0.0001)))</f>
        <v>1.2495588942627833</v>
      </c>
      <c r="C136" s="62">
        <f t="shared" ca="1" si="9"/>
        <v>1</v>
      </c>
      <c r="D136" s="13">
        <f ca="1">D135+C136*(Prices!B136-Prices!B135)/Prices!B135</f>
        <v>0.14581467883693766</v>
      </c>
      <c r="E136" s="13">
        <f t="shared" ca="1" si="10"/>
        <v>4.3607367065410518E-3</v>
      </c>
      <c r="F136" s="13">
        <f t="shared" ca="1" si="8"/>
        <v>0.15017541554347871</v>
      </c>
      <c r="G136" s="21">
        <f ca="1">IF((Prices!B136-Prices!B135)*C136&gt;0,1,0)</f>
        <v>1</v>
      </c>
      <c r="H136" s="13">
        <f>ABS(Prices!B136-Prices!B135)/Prices!B135</f>
        <v>1.2569376428338113E-2</v>
      </c>
      <c r="I136" s="21"/>
      <c r="J136" s="4">
        <f t="shared" ca="1" si="11"/>
        <v>1.678699597272839E-2</v>
      </c>
      <c r="K136" s="13"/>
      <c r="L136" s="13">
        <f ca="1">L135-O136*Prices!B136</f>
        <v>0.23459824794180514</v>
      </c>
      <c r="M136" s="4">
        <f t="shared" ca="1" si="7"/>
        <v>0.68493166587417531</v>
      </c>
      <c r="N136" s="13">
        <f ca="1">IF(Prices!B135&gt;OFFSET(Prices!B135,-$N$3,0),1,-1)</f>
        <v>1</v>
      </c>
      <c r="O136" s="4">
        <f ca="1">IF(N136=1,O$3*L135/Prices!B135,-O$3*M135)</f>
        <v>7.9824102547791081E-3</v>
      </c>
      <c r="P136" s="22"/>
      <c r="Q136" s="13">
        <f ca="1">Q135-T136*Prices!B136</f>
        <v>0.3486563116793609</v>
      </c>
      <c r="R136" s="4">
        <f t="shared" ca="1" si="12"/>
        <v>0.58159844456038179</v>
      </c>
      <c r="S136" s="13">
        <f ca="1">IF(Prices!B135&gt;OFFSET(Prices!B135,-S$3,0),1,-1)</f>
        <v>1</v>
      </c>
      <c r="T136" s="4">
        <f ca="1">IF(S136=1,T$3*Q135/Prices!B135,-T$3*R135)</f>
        <v>8.8045857179492835E-3</v>
      </c>
      <c r="V136" s="13"/>
      <c r="W136" s="4"/>
      <c r="X136" s="4"/>
      <c r="Y136" s="4"/>
      <c r="Z136" s="4"/>
      <c r="AA136" s="4"/>
      <c r="AB136" s="4"/>
      <c r="AC136" s="4"/>
      <c r="AD136" s="4"/>
      <c r="AE136" s="52"/>
    </row>
    <row r="137" spans="1:31" x14ac:dyDescent="0.2">
      <c r="A137" s="7">
        <v>42323</v>
      </c>
      <c r="B137" s="13">
        <f ca="1">Prices!B136*(1+J137/(50*(ABS(O137)+ABS(T137)+0.0001)))</f>
        <v>1.2652578420390932</v>
      </c>
      <c r="C137" s="62">
        <f t="shared" ca="1" si="9"/>
        <v>1</v>
      </c>
      <c r="D137" s="13">
        <f ca="1">D136+C137*(Prices!B137-Prices!B136)/Prices!B136</f>
        <v>0.13686739526447281</v>
      </c>
      <c r="E137" s="13">
        <f t="shared" ca="1" si="10"/>
        <v>1.3308020279005905E-2</v>
      </c>
      <c r="F137" s="13">
        <f t="shared" ca="1" si="8"/>
        <v>0.15017541554347871</v>
      </c>
      <c r="G137" s="21">
        <f ca="1">IF((Prices!B137-Prices!B136)*C137&gt;0,1,0)</f>
        <v>0</v>
      </c>
      <c r="H137" s="13">
        <f>ABS(Prices!B137-Prices!B136)/Prices!B136</f>
        <v>8.9472835724648467E-3</v>
      </c>
      <c r="I137" s="21"/>
      <c r="J137" s="4">
        <f t="shared" ca="1" si="11"/>
        <v>1.5995179161738701E-2</v>
      </c>
      <c r="K137" s="13"/>
      <c r="L137" s="13">
        <f ca="1">L136-O137*Prices!B137</f>
        <v>0.22529827870613048</v>
      </c>
      <c r="M137" s="4">
        <f t="shared" ref="M137:M200" ca="1" si="13">M136+O137</f>
        <v>0.69249569127936006</v>
      </c>
      <c r="N137" s="13">
        <f ca="1">IF(Prices!B136&gt;OFFSET(Prices!B136,-$N$3,0),1,-1)</f>
        <v>1</v>
      </c>
      <c r="O137" s="4">
        <f ca="1">IF(N137=1,O$3*L136/Prices!B136,-O$3*M136)</f>
        <v>7.5640254051847549E-3</v>
      </c>
      <c r="P137" s="22"/>
      <c r="Q137" s="13">
        <f ca="1">Q136-T137*Prices!B137</f>
        <v>0.33829020813567784</v>
      </c>
      <c r="R137" s="4">
        <f t="shared" ca="1" si="12"/>
        <v>0.59002959831693569</v>
      </c>
      <c r="S137" s="13">
        <f ca="1">IF(Prices!B136&gt;OFFSET(Prices!B136,-S$3,0),1,-1)</f>
        <v>1</v>
      </c>
      <c r="T137" s="4">
        <f ca="1">IF(S137=1,T$3*Q136/Prices!B136,-T$3*R136)</f>
        <v>8.4311537565539465E-3</v>
      </c>
      <c r="V137" s="13"/>
      <c r="W137" s="4"/>
      <c r="X137" s="4"/>
      <c r="Y137" s="4"/>
      <c r="Z137" s="4"/>
      <c r="AA137" s="4"/>
      <c r="AB137" s="4"/>
      <c r="AC137" s="4"/>
      <c r="AD137" s="4"/>
      <c r="AE137" s="52"/>
    </row>
    <row r="138" spans="1:31" x14ac:dyDescent="0.2">
      <c r="A138" s="7">
        <v>42330</v>
      </c>
      <c r="B138" s="13">
        <f ca="1">Prices!B137*(1+J138/(50*(ABS(O138)+ABS(T138)+0.0001)))</f>
        <v>1.2539332169057298</v>
      </c>
      <c r="C138" s="62">
        <f t="shared" ca="1" si="9"/>
        <v>1</v>
      </c>
      <c r="D138" s="13">
        <f ca="1">D137+C138*(Prices!B138-Prices!B137)/Prices!B137</f>
        <v>0.13865674052677454</v>
      </c>
      <c r="E138" s="13">
        <f t="shared" ca="1" si="10"/>
        <v>1.1518675016704172E-2</v>
      </c>
      <c r="F138" s="13">
        <f t="shared" ca="1" si="8"/>
        <v>0.15017541554347871</v>
      </c>
      <c r="G138" s="21">
        <f ca="1">IF((Prices!B138-Prices!B137)*C138&gt;0,1,0)</f>
        <v>1</v>
      </c>
      <c r="H138" s="13">
        <f>ABS(Prices!B138-Prices!B137)/Prices!B137</f>
        <v>1.7893452623017321E-3</v>
      </c>
      <c r="I138" s="21"/>
      <c r="J138" s="4">
        <f t="shared" ca="1" si="11"/>
        <v>1.5584088973009804E-2</v>
      </c>
      <c r="K138" s="13"/>
      <c r="L138" s="13">
        <f ca="1">L137-O138*Prices!B138</f>
        <v>0.21627022210158095</v>
      </c>
      <c r="M138" s="4">
        <f t="shared" ca="1" si="13"/>
        <v>0.69982544414495196</v>
      </c>
      <c r="N138" s="13">
        <f ca="1">IF(Prices!B137&gt;OFFSET(Prices!B137,-$N$3,0),1,-1)</f>
        <v>1</v>
      </c>
      <c r="O138" s="4">
        <f ca="1">IF(N138=1,O$3*L137/Prices!B137,-O$3*M137)</f>
        <v>7.3297528655918822E-3</v>
      </c>
      <c r="P138" s="22"/>
      <c r="Q138" s="13">
        <f ca="1">Q137-T138*Prices!B138</f>
        <v>0.32812334235217117</v>
      </c>
      <c r="R138" s="4">
        <f t="shared" ca="1" si="12"/>
        <v>0.59828393442435357</v>
      </c>
      <c r="S138" s="13">
        <f ca="1">IF(Prices!B137&gt;OFFSET(Prices!B137,-S$3,0),1,-1)</f>
        <v>1</v>
      </c>
      <c r="T138" s="4">
        <f ca="1">IF(S138=1,T$3*Q137/Prices!B137,-T$3*R137)</f>
        <v>8.2543361074179228E-3</v>
      </c>
      <c r="V138" s="13"/>
      <c r="W138" s="4"/>
      <c r="X138" s="4"/>
      <c r="Y138" s="4"/>
      <c r="Z138" s="4"/>
      <c r="AA138" s="4"/>
      <c r="AB138" s="4"/>
      <c r="AC138" s="4"/>
      <c r="AD138" s="4"/>
      <c r="AE138" s="52"/>
    </row>
    <row r="139" spans="1:31" x14ac:dyDescent="0.2">
      <c r="A139" s="7">
        <v>42337</v>
      </c>
      <c r="B139" s="13">
        <f ca="1">Prices!B138*(1+J139/(50*(ABS(O139)+ABS(T139)+0.0001)))</f>
        <v>1.2561710274965641</v>
      </c>
      <c r="C139" s="62">
        <f t="shared" ca="1" si="9"/>
        <v>1</v>
      </c>
      <c r="D139" s="13">
        <f ca="1">D138+C139*(Prices!B139-Prices!B138)/Prices!B138</f>
        <v>0.13784485451557044</v>
      </c>
      <c r="E139" s="13">
        <f t="shared" ca="1" si="10"/>
        <v>1.2330561027908277E-2</v>
      </c>
      <c r="F139" s="13">
        <f t="shared" ca="1" si="8"/>
        <v>0.15017541554347871</v>
      </c>
      <c r="G139" s="21">
        <f ca="1">IF((Prices!B139-Prices!B138)*C139&gt;0,1,0)</f>
        <v>0</v>
      </c>
      <c r="H139" s="13">
        <f>ABS(Prices!B139-Prices!B138)/Prices!B138</f>
        <v>8.1188601120411776E-4</v>
      </c>
      <c r="I139" s="21"/>
      <c r="J139" s="4">
        <f t="shared" ca="1" si="11"/>
        <v>1.501543326672759E-2</v>
      </c>
      <c r="K139" s="13"/>
      <c r="L139" s="13">
        <f ca="1">L138-O139*Prices!B139</f>
        <v>0.20762643668823627</v>
      </c>
      <c r="M139" s="4">
        <f t="shared" ca="1" si="13"/>
        <v>0.70684891486352242</v>
      </c>
      <c r="N139" s="13">
        <f ca="1">IF(Prices!B138&gt;OFFSET(Prices!B138,-$N$3,0),1,-1)</f>
        <v>1</v>
      </c>
      <c r="O139" s="4">
        <f ca="1">IF(N139=1,O$3*L138/Prices!B138,-O$3*M138)</f>
        <v>7.0234707185704622E-3</v>
      </c>
      <c r="P139" s="22"/>
      <c r="Q139" s="13">
        <f ca="1">Q138-T139*Prices!B139</f>
        <v>0.31828763404415417</v>
      </c>
      <c r="R139" s="4">
        <f t="shared" ca="1" si="12"/>
        <v>0.60627589697251072</v>
      </c>
      <c r="S139" s="13">
        <f ca="1">IF(Prices!B138&gt;OFFSET(Prices!B138,-S$3,0),1,-1)</f>
        <v>1</v>
      </c>
      <c r="T139" s="4">
        <f ca="1">IF(S139=1,T$3*Q138/Prices!B138,-T$3*R138)</f>
        <v>7.9919625481571274E-3</v>
      </c>
      <c r="V139" s="13"/>
      <c r="W139" s="4"/>
      <c r="X139" s="4"/>
      <c r="Y139" s="4"/>
      <c r="Z139" s="4"/>
      <c r="AA139" s="4"/>
      <c r="AB139" s="4"/>
      <c r="AC139" s="4"/>
      <c r="AD139" s="4"/>
      <c r="AE139" s="52"/>
    </row>
    <row r="140" spans="1:31" x14ac:dyDescent="0.2">
      <c r="A140" s="7">
        <v>42344</v>
      </c>
      <c r="B140" s="13">
        <f ca="1">Prices!B139*(1+J140/(50*(ABS(O140)+ABS(T140)+0.0001)))</f>
        <v>1.2167247579439191</v>
      </c>
      <c r="C140" s="62">
        <f t="shared" ca="1" si="9"/>
        <v>0</v>
      </c>
      <c r="D140" s="13">
        <f ca="1">D139+C140*(Prices!B140-Prices!B139)/Prices!B139</f>
        <v>0.13784485451557044</v>
      </c>
      <c r="E140" s="13">
        <f t="shared" ca="1" si="10"/>
        <v>1.2330561027908277E-2</v>
      </c>
      <c r="F140" s="13">
        <f t="shared" ca="1" si="8"/>
        <v>0.15017541554347871</v>
      </c>
      <c r="G140" s="21">
        <f ca="1">IF((Prices!B140-Prices!B139)*C140&gt;0,1,0)</f>
        <v>0</v>
      </c>
      <c r="H140" s="13">
        <f>ABS(Prices!B140-Prices!B139)/Prices!B139</f>
        <v>1.3813276996829551E-3</v>
      </c>
      <c r="I140" s="21"/>
      <c r="J140" s="4">
        <f t="shared" ca="1" si="11"/>
        <v>-2.0515259087979895E-2</v>
      </c>
      <c r="K140" s="13"/>
      <c r="L140" s="13">
        <f ca="1">L139-O140*Prices!B140</f>
        <v>0.24237512934292704</v>
      </c>
      <c r="M140" s="4">
        <f t="shared" ca="1" si="13"/>
        <v>0.67857495826898151</v>
      </c>
      <c r="N140" s="13">
        <f ca="1">IF(Prices!B139&gt;OFFSET(Prices!B139,-$N$3,0),1,-1)</f>
        <v>-1</v>
      </c>
      <c r="O140" s="4">
        <f ca="1">IF(N140=1,O$3*L139/Prices!B139,-O$3*M139)</f>
        <v>-2.8273956594540899E-2</v>
      </c>
      <c r="P140" s="22"/>
      <c r="Q140" s="13">
        <f ca="1">Q139-T140*Prices!B140</f>
        <v>0.30875219480859067</v>
      </c>
      <c r="R140" s="4">
        <f t="shared" ca="1" si="12"/>
        <v>0.61403459447907172</v>
      </c>
      <c r="S140" s="13">
        <f ca="1">IF(Prices!B139&gt;OFFSET(Prices!B139,-S$3,0),1,-1)</f>
        <v>1</v>
      </c>
      <c r="T140" s="4">
        <f ca="1">IF(S140=1,T$3*Q139/Prices!B139,-T$3*R139)</f>
        <v>7.7586975065610016E-3</v>
      </c>
      <c r="V140" s="13"/>
      <c r="W140" s="4"/>
      <c r="X140" s="4"/>
      <c r="Y140" s="4"/>
      <c r="Z140" s="4"/>
      <c r="AA140" s="4"/>
      <c r="AB140" s="4"/>
      <c r="AC140" s="4"/>
      <c r="AD140" s="4"/>
      <c r="AE140" s="52"/>
    </row>
    <row r="141" spans="1:31" x14ac:dyDescent="0.2">
      <c r="A141" s="7">
        <v>42351</v>
      </c>
      <c r="B141" s="13">
        <f ca="1">Prices!B140*(1+J141/(50*(ABS(O141)+ABS(T141)+0.0001)))</f>
        <v>1.2151435251371479</v>
      </c>
      <c r="C141" s="62">
        <f t="shared" ca="1" si="9"/>
        <v>0</v>
      </c>
      <c r="D141" s="13">
        <f ca="1">D140+C141*(Prices!B141-Prices!B140)/Prices!B140</f>
        <v>0.13784485451557044</v>
      </c>
      <c r="E141" s="13">
        <f t="shared" ca="1" si="10"/>
        <v>1.2330561027908277E-2</v>
      </c>
      <c r="F141" s="13">
        <f t="shared" ca="1" si="8"/>
        <v>0.15017541554347871</v>
      </c>
      <c r="G141" s="21">
        <f ca="1">IF((Prices!B141-Prices!B140)*C141&gt;0,1,0)</f>
        <v>0</v>
      </c>
      <c r="H141" s="13">
        <f>ABS(Prices!B141-Prices!B140)/Prices!B140</f>
        <v>5.126118795768895E-3</v>
      </c>
      <c r="I141" s="21"/>
      <c r="J141" s="4">
        <f t="shared" ca="1" si="11"/>
        <v>-1.9606329621029629E-2</v>
      </c>
      <c r="K141" s="13"/>
      <c r="L141" s="13">
        <f ca="1">L140-O141*Prices!B141</f>
        <v>0.27590487518091394</v>
      </c>
      <c r="M141" s="4">
        <f t="shared" ca="1" si="13"/>
        <v>0.65143195993822223</v>
      </c>
      <c r="N141" s="13">
        <f ca="1">IF(Prices!B140&gt;OFFSET(Prices!B140,-$N$3,0),1,-1)</f>
        <v>-1</v>
      </c>
      <c r="O141" s="4">
        <f ca="1">IF(N141=1,O$3*L140/Prices!B140,-O$3*M140)</f>
        <v>-2.7142998330759262E-2</v>
      </c>
      <c r="P141" s="22"/>
      <c r="Q141" s="13">
        <f ca="1">Q140-T141*Prices!B141</f>
        <v>0.29944214795146168</v>
      </c>
      <c r="R141" s="4">
        <f t="shared" ca="1" si="12"/>
        <v>0.6215712631888014</v>
      </c>
      <c r="S141" s="13">
        <f ca="1">IF(Prices!B140&gt;OFFSET(Prices!B140,-S$3,0),1,-1)</f>
        <v>1</v>
      </c>
      <c r="T141" s="4">
        <f ca="1">IF(S141=1,T$3*Q140/Prices!B140,-T$3*R140)</f>
        <v>7.5366687097296334E-3</v>
      </c>
      <c r="V141" s="13"/>
      <c r="W141" s="4"/>
      <c r="X141" s="4"/>
      <c r="Y141" s="4"/>
      <c r="Z141" s="4"/>
      <c r="AA141" s="4"/>
      <c r="AB141" s="4"/>
      <c r="AC141" s="4"/>
      <c r="AD141" s="4"/>
      <c r="AE141" s="52"/>
    </row>
    <row r="142" spans="1:31" x14ac:dyDescent="0.2">
      <c r="A142" s="7">
        <v>42358</v>
      </c>
      <c r="B142" s="13">
        <f ca="1">Prices!B141*(1+J142/(50*(ABS(O142)+ABS(T142)+0.0001)))</f>
        <v>1.2598544866316286</v>
      </c>
      <c r="C142" s="62">
        <f t="shared" ca="1" si="9"/>
        <v>1</v>
      </c>
      <c r="D142" s="13">
        <f ca="1">D141+C142*(Prices!B142-Prices!B141)/Prices!B141</f>
        <v>0.13549724664703638</v>
      </c>
      <c r="E142" s="13">
        <f t="shared" ca="1" si="10"/>
        <v>1.4678168896442328E-2</v>
      </c>
      <c r="F142" s="13">
        <f t="shared" ca="1" si="8"/>
        <v>0.15017541554347871</v>
      </c>
      <c r="G142" s="21">
        <f ca="1">IF((Prices!B142-Prices!B141)*C142&gt;0,1,0)</f>
        <v>0</v>
      </c>
      <c r="H142" s="13">
        <f>ABS(Prices!B142-Prices!B141)/Prices!B141</f>
        <v>2.34760786853406E-3</v>
      </c>
      <c r="I142" s="21"/>
      <c r="J142" s="4">
        <f t="shared" ca="1" si="11"/>
        <v>1.6206151903003646E-2</v>
      </c>
      <c r="K142" s="13"/>
      <c r="L142" s="13">
        <f ca="1">L141-O142*Prices!B142</f>
        <v>0.26489458883191508</v>
      </c>
      <c r="M142" s="4">
        <f t="shared" ca="1" si="13"/>
        <v>0.66036598002017521</v>
      </c>
      <c r="N142" s="13">
        <f ca="1">IF(Prices!B141&gt;OFFSET(Prices!B141,-$N$3,0),1,-1)</f>
        <v>1</v>
      </c>
      <c r="O142" s="4">
        <f ca="1">IF(N142=1,O$3*L141/Prices!B141,-O$3*M141)</f>
        <v>8.9340200819530129E-3</v>
      </c>
      <c r="P142" s="22"/>
      <c r="Q142" s="13">
        <f ca="1">Q141-T142*Prices!B142</f>
        <v>0.29047997269519887</v>
      </c>
      <c r="R142" s="4">
        <f t="shared" ca="1" si="12"/>
        <v>0.62884339500985209</v>
      </c>
      <c r="S142" s="13">
        <f ca="1">IF(Prices!B141&gt;OFFSET(Prices!B141,-S$3,0),1,-1)</f>
        <v>1</v>
      </c>
      <c r="T142" s="4">
        <f ca="1">IF(S142=1,T$3*Q141/Prices!B141,-T$3*R141)</f>
        <v>7.2721318210506349E-3</v>
      </c>
      <c r="V142" s="13"/>
      <c r="W142" s="4"/>
      <c r="X142" s="4"/>
      <c r="Y142" s="4"/>
      <c r="Z142" s="4"/>
      <c r="AA142" s="4"/>
      <c r="AB142" s="4"/>
      <c r="AC142" s="4"/>
      <c r="AD142" s="4"/>
      <c r="AE142" s="52"/>
    </row>
    <row r="143" spans="1:31" x14ac:dyDescent="0.2">
      <c r="A143" s="7">
        <v>42365</v>
      </c>
      <c r="B143" s="13">
        <f ca="1">Prices!B142*(1+J143/(50*(ABS(O143)+ABS(T143)+0.0001)))</f>
        <v>1.2182040842187027</v>
      </c>
      <c r="C143" s="62">
        <f t="shared" ca="1" si="9"/>
        <v>0</v>
      </c>
      <c r="D143" s="13">
        <f ca="1">D142+C143*(Prices!B143-Prices!B142)/Prices!B142</f>
        <v>0.13549724664703638</v>
      </c>
      <c r="E143" s="13">
        <f t="shared" ca="1" si="10"/>
        <v>1.4678168896442328E-2</v>
      </c>
      <c r="F143" s="13">
        <f t="shared" ca="1" si="8"/>
        <v>0.15017541554347871</v>
      </c>
      <c r="G143" s="21">
        <f ca="1">IF((Prices!B143-Prices!B142)*C143&gt;0,1,0)</f>
        <v>0</v>
      </c>
      <c r="H143" s="13">
        <f>ABS(Prices!B143-Prices!B142)/Prices!B142</f>
        <v>3.4891269068484019E-3</v>
      </c>
      <c r="I143" s="21"/>
      <c r="J143" s="4">
        <f t="shared" ca="1" si="11"/>
        <v>-1.9343559047564584E-2</v>
      </c>
      <c r="K143" s="13"/>
      <c r="L143" s="13">
        <f ca="1">L142-O143*Prices!B143</f>
        <v>0.29733440723442617</v>
      </c>
      <c r="M143" s="4">
        <f t="shared" ca="1" si="13"/>
        <v>0.63395134081936821</v>
      </c>
      <c r="N143" s="13">
        <f ca="1">IF(Prices!B142&gt;OFFSET(Prices!B142,-$N$3,0),1,-1)</f>
        <v>-1</v>
      </c>
      <c r="O143" s="4">
        <f ca="1">IF(N143=1,O$3*L142/Prices!B142,-O$3*M142)</f>
        <v>-2.641463920080701E-2</v>
      </c>
      <c r="P143" s="22"/>
      <c r="Q143" s="13">
        <f ca="1">Q142-T143*Prices!B143</f>
        <v>0.28179597915900184</v>
      </c>
      <c r="R143" s="4">
        <f t="shared" ca="1" si="12"/>
        <v>0.63591447516309452</v>
      </c>
      <c r="S143" s="13">
        <f ca="1">IF(Prices!B142&gt;OFFSET(Prices!B142,-S$3,0),1,-1)</f>
        <v>1</v>
      </c>
      <c r="T143" s="4">
        <f ca="1">IF(S143=1,T$3*Q142/Prices!B142,-T$3*R142)</f>
        <v>7.0710801532424261E-3</v>
      </c>
      <c r="V143" s="13"/>
      <c r="W143" s="4"/>
      <c r="X143" s="4"/>
      <c r="Y143" s="4"/>
      <c r="Z143" s="4"/>
      <c r="AA143" s="4"/>
      <c r="AB143" s="4"/>
      <c r="AC143" s="4"/>
      <c r="AD143" s="4"/>
      <c r="AE143" s="52"/>
    </row>
    <row r="144" spans="1:31" x14ac:dyDescent="0.2">
      <c r="A144" s="7">
        <v>42372</v>
      </c>
      <c r="B144" s="13">
        <f ca="1">Prices!B143*(1+J144/(50*(ABS(O144)+ABS(T144)+0.0001)))</f>
        <v>1.21406962779478</v>
      </c>
      <c r="C144" s="62">
        <f t="shared" ca="1" si="9"/>
        <v>0</v>
      </c>
      <c r="D144" s="13">
        <f ca="1">D143+C144*(Prices!B144-Prices!B143)/Prices!B143</f>
        <v>0.13549724664703638</v>
      </c>
      <c r="E144" s="13">
        <f t="shared" ca="1" si="10"/>
        <v>1.4678168896442328E-2</v>
      </c>
      <c r="F144" s="13">
        <f t="shared" ref="F144:F207" ca="1" si="14">MAX(F143,D144)</f>
        <v>0.15017541554347871</v>
      </c>
      <c r="G144" s="21">
        <f ca="1">IF((Prices!B144-Prices!B143)*C144&gt;0,1,0)</f>
        <v>0</v>
      </c>
      <c r="H144" s="13">
        <f>ABS(Prices!B144-Prices!B143)/Prices!B143</f>
        <v>4.0713296962788985E-3</v>
      </c>
      <c r="I144" s="21"/>
      <c r="J144" s="4">
        <f t="shared" ca="1" si="11"/>
        <v>-1.8474347603322686E-2</v>
      </c>
      <c r="K144" s="13"/>
      <c r="L144" s="13">
        <f ca="1">L143-O144*Prices!B144</f>
        <v>0.32860342316900071</v>
      </c>
      <c r="M144" s="4">
        <f t="shared" ca="1" si="13"/>
        <v>0.60859328718659345</v>
      </c>
      <c r="N144" s="13">
        <f ca="1">IF(Prices!B143&gt;OFFSET(Prices!B143,-$N$3,0),1,-1)</f>
        <v>-1</v>
      </c>
      <c r="O144" s="4">
        <f ca="1">IF(N144=1,O$3*L143/Prices!B143,-O$3*M143)</f>
        <v>-2.535805363277473E-2</v>
      </c>
      <c r="P144" s="22"/>
      <c r="Q144" s="13">
        <f ca="1">Q143-T144*Prices!B144</f>
        <v>0.2733076812540845</v>
      </c>
      <c r="R144" s="4">
        <f t="shared" ca="1" si="12"/>
        <v>0.64279818119254661</v>
      </c>
      <c r="S144" s="13">
        <f ca="1">IF(Prices!B143&gt;OFFSET(Prices!B143,-S$3,0),1,-1)</f>
        <v>1</v>
      </c>
      <c r="T144" s="4">
        <f ca="1">IF(S144=1,T$3*Q143/Prices!B143,-T$3*R143)</f>
        <v>6.883706029452044E-3</v>
      </c>
      <c r="V144" s="13"/>
      <c r="W144" s="4"/>
      <c r="X144" s="4"/>
      <c r="Y144" s="4"/>
      <c r="Z144" s="4"/>
      <c r="AA144" s="4"/>
      <c r="AB144" s="4"/>
      <c r="AC144" s="4"/>
      <c r="AD144" s="4"/>
      <c r="AE144" s="52"/>
    </row>
    <row r="145" spans="1:31" x14ac:dyDescent="0.2">
      <c r="A145" s="7">
        <v>42379</v>
      </c>
      <c r="B145" s="13">
        <f ca="1">Prices!B144*(1+J145/(50*(ABS(O145)+ABS(T145)+0.0001)))</f>
        <v>1.2260203041818991</v>
      </c>
      <c r="C145" s="62">
        <f t="shared" ref="C145:C208" ca="1" si="15">IF(J145&gt;0,1,IF(J145&lt;0,0,0))</f>
        <v>0</v>
      </c>
      <c r="D145" s="13">
        <f ca="1">D144+C145*(Prices!B145-Prices!B144)/Prices!B144</f>
        <v>0.13549724664703638</v>
      </c>
      <c r="E145" s="13">
        <f t="shared" ref="E145:E208" ca="1" si="16">F145-D145</f>
        <v>1.4678168896442328E-2</v>
      </c>
      <c r="F145" s="13">
        <f t="shared" ca="1" si="14"/>
        <v>0.15017541554347871</v>
      </c>
      <c r="G145" s="21">
        <f ca="1">IF((Prices!B145-Prices!B144)*C145&gt;0,1,0)</f>
        <v>0</v>
      </c>
      <c r="H145" s="13">
        <f>ABS(Prices!B145-Prices!B144)/Prices!B144</f>
        <v>3.4871462168518125E-3</v>
      </c>
      <c r="I145" s="21"/>
      <c r="J145" s="4">
        <f t="shared" ref="J145:J208" ca="1" si="17">O145+T145</f>
        <v>-8.6245204688150581E-3</v>
      </c>
      <c r="K145" s="13"/>
      <c r="L145" s="13">
        <f ca="1">L144-O145*Prices!B145</f>
        <v>0.31550512176959861</v>
      </c>
      <c r="M145" s="4">
        <f t="shared" ca="1" si="13"/>
        <v>0.61925271215355482</v>
      </c>
      <c r="N145" s="13">
        <f ca="1">IF(Prices!B144&gt;OFFSET(Prices!B144,-$N$3,0),1,-1)</f>
        <v>1</v>
      </c>
      <c r="O145" s="4">
        <f ca="1">IF(N145=1,O$3*L144/Prices!B144,-O$3*M144)</f>
        <v>1.065942496696134E-2</v>
      </c>
      <c r="P145" s="22"/>
      <c r="Q145" s="13">
        <f ca="1">Q144-T145*Prices!B145</f>
        <v>0.29700379340556654</v>
      </c>
      <c r="R145" s="4">
        <f t="shared" ca="1" si="12"/>
        <v>0.62351423575677023</v>
      </c>
      <c r="S145" s="13">
        <f ca="1">IF(Prices!B144&gt;OFFSET(Prices!B144,-S$3,0),1,-1)</f>
        <v>-1</v>
      </c>
      <c r="T145" s="4">
        <f ca="1">IF(S145=1,T$3*Q144/Prices!B144,-T$3*R144)</f>
        <v>-1.9283945435776398E-2</v>
      </c>
      <c r="V145" s="13"/>
      <c r="W145" s="4"/>
      <c r="X145" s="4"/>
      <c r="Y145" s="4"/>
      <c r="Z145" s="4"/>
      <c r="AA145" s="4"/>
      <c r="AB145" s="4"/>
      <c r="AC145" s="4"/>
      <c r="AD145" s="4"/>
      <c r="AE145" s="52"/>
    </row>
    <row r="146" spans="1:31" x14ac:dyDescent="0.2">
      <c r="A146" s="7">
        <v>42386</v>
      </c>
      <c r="B146" s="13">
        <f ca="1">Prices!B145*(1+J146/(50*(ABS(O146)+ABS(T146)+0.0001)))</f>
        <v>1.2042803986183643</v>
      </c>
      <c r="C146" s="62">
        <f t="shared" ca="1" si="15"/>
        <v>0</v>
      </c>
      <c r="D146" s="13">
        <f ca="1">D145+C146*(Prices!B146-Prices!B145)/Prices!B145</f>
        <v>0.13549724664703638</v>
      </c>
      <c r="E146" s="13">
        <f t="shared" ca="1" si="16"/>
        <v>1.4678168896442328E-2</v>
      </c>
      <c r="F146" s="13">
        <f t="shared" ca="1" si="14"/>
        <v>0.15017541554347871</v>
      </c>
      <c r="G146" s="21">
        <f ca="1">IF((Prices!B146-Prices!B145)*C146&gt;0,1,0)</f>
        <v>0</v>
      </c>
      <c r="H146" s="13">
        <f>ABS(Prices!B146-Prices!B145)/Prices!B145</f>
        <v>1.2858072916666696E-2</v>
      </c>
      <c r="I146" s="21"/>
      <c r="J146" s="4">
        <f t="shared" ca="1" si="17"/>
        <v>-4.3475535558845299E-2</v>
      </c>
      <c r="K146" s="13"/>
      <c r="L146" s="13">
        <f ca="1">L145-O146*Prices!B146</f>
        <v>0.34555126336328912</v>
      </c>
      <c r="M146" s="4">
        <f t="shared" ca="1" si="13"/>
        <v>0.59448260366741268</v>
      </c>
      <c r="N146" s="13">
        <f ca="1">IF(Prices!B145&gt;OFFSET(Prices!B145,-$N$3,0),1,-1)</f>
        <v>-1</v>
      </c>
      <c r="O146" s="4">
        <f ca="1">IF(N146=1,O$3*L145/Prices!B145,-O$3*M145)</f>
        <v>-2.4770108486142195E-2</v>
      </c>
      <c r="P146" s="22"/>
      <c r="Q146" s="13">
        <f ca="1">Q145-T146*Prices!B146</f>
        <v>0.31969347644475543</v>
      </c>
      <c r="R146" s="4">
        <f t="shared" ca="1" si="12"/>
        <v>0.60480880868406717</v>
      </c>
      <c r="S146" s="13">
        <f ca="1">IF(Prices!B145&gt;OFFSET(Prices!B145,-S$3,0),1,-1)</f>
        <v>-1</v>
      </c>
      <c r="T146" s="4">
        <f ca="1">IF(S146=1,T$3*Q145/Prices!B145,-T$3*R145)</f>
        <v>-1.8705427072703108E-2</v>
      </c>
      <c r="V146" s="13"/>
      <c r="W146" s="4"/>
      <c r="X146" s="4"/>
      <c r="Y146" s="4"/>
      <c r="Z146" s="4"/>
      <c r="AA146" s="4"/>
      <c r="AB146" s="4"/>
      <c r="AC146" s="4"/>
      <c r="AD146" s="4"/>
      <c r="AE146" s="52"/>
    </row>
    <row r="147" spans="1:31" x14ac:dyDescent="0.2">
      <c r="A147" s="7">
        <v>42393</v>
      </c>
      <c r="B147" s="13">
        <f ca="1">Prices!B146*(1+J147/(50*(ABS(O147)+ABS(T147)+0.0001)))</f>
        <v>1.1887977295097001</v>
      </c>
      <c r="C147" s="62">
        <f t="shared" ca="1" si="15"/>
        <v>0</v>
      </c>
      <c r="D147" s="13">
        <f ca="1">D146+C147*(Prices!B147-Prices!B146)/Prices!B146</f>
        <v>0.13549724664703638</v>
      </c>
      <c r="E147" s="13">
        <f t="shared" ca="1" si="16"/>
        <v>1.4678168896442328E-2</v>
      </c>
      <c r="F147" s="13">
        <f t="shared" ca="1" si="14"/>
        <v>0.15017541554347871</v>
      </c>
      <c r="G147" s="21">
        <f ca="1">IF((Prices!B147-Prices!B146)*C147&gt;0,1,0)</f>
        <v>0</v>
      </c>
      <c r="H147" s="13">
        <f>ABS(Prices!B147-Prices!B146)/Prices!B146</f>
        <v>1.4014839241549979E-2</v>
      </c>
      <c r="I147" s="21"/>
      <c r="J147" s="4">
        <f t="shared" ca="1" si="17"/>
        <v>-4.1923568407218517E-2</v>
      </c>
      <c r="K147" s="13"/>
      <c r="L147" s="13">
        <f ca="1">L146-O147*Prices!B147</f>
        <v>0.37399131112273815</v>
      </c>
      <c r="M147" s="4">
        <f t="shared" ca="1" si="13"/>
        <v>0.57070329952071619</v>
      </c>
      <c r="N147" s="13">
        <f ca="1">IF(Prices!B146&gt;OFFSET(Prices!B146,-$N$3,0),1,-1)</f>
        <v>-1</v>
      </c>
      <c r="O147" s="4">
        <f ca="1">IF(N147=1,O$3*L146/Prices!B146,-O$3*M146)</f>
        <v>-2.3779304146696507E-2</v>
      </c>
      <c r="P147" s="22"/>
      <c r="Q147" s="13">
        <f ca="1">Q146-T147*Prices!B147</f>
        <v>0.34139401650033974</v>
      </c>
      <c r="R147" s="4">
        <f t="shared" ca="1" si="12"/>
        <v>0.58666454442354521</v>
      </c>
      <c r="S147" s="13">
        <f ca="1">IF(Prices!B146&gt;OFFSET(Prices!B146,-S$3,0),1,-1)</f>
        <v>-1</v>
      </c>
      <c r="T147" s="4">
        <f ca="1">IF(S147=1,T$3*Q146/Prices!B146,-T$3*R146)</f>
        <v>-1.8144264260522014E-2</v>
      </c>
      <c r="V147" s="13"/>
      <c r="W147" s="4"/>
      <c r="X147" s="4"/>
      <c r="Y147" s="4"/>
      <c r="Z147" s="4"/>
      <c r="AA147" s="4"/>
      <c r="AB147" s="4"/>
      <c r="AC147" s="4"/>
      <c r="AD147" s="4"/>
      <c r="AE147" s="52"/>
    </row>
    <row r="148" spans="1:31" x14ac:dyDescent="0.2">
      <c r="A148" s="7">
        <v>42400</v>
      </c>
      <c r="B148" s="13">
        <f ca="1">Prices!B147*(1+J148/(50*(ABS(O148)+ABS(T148)+0.0001)))</f>
        <v>1.172139020824321</v>
      </c>
      <c r="C148" s="62">
        <f t="shared" ca="1" si="15"/>
        <v>0</v>
      </c>
      <c r="D148" s="13">
        <f ca="1">D147+C148*(Prices!B148-Prices!B147)/Prices!B147</f>
        <v>0.13549724664703638</v>
      </c>
      <c r="E148" s="13">
        <f t="shared" ca="1" si="16"/>
        <v>1.4678168896442328E-2</v>
      </c>
      <c r="F148" s="13">
        <f t="shared" ca="1" si="14"/>
        <v>0.15017541554347871</v>
      </c>
      <c r="G148" s="21">
        <f ca="1">IF((Prices!B148-Prices!B147)*C148&gt;0,1,0)</f>
        <v>0</v>
      </c>
      <c r="H148" s="13">
        <f>ABS(Prices!B148-Prices!B147)/Prices!B147</f>
        <v>1.4214046822742766E-3</v>
      </c>
      <c r="I148" s="21"/>
      <c r="J148" s="4">
        <f t="shared" ca="1" si="17"/>
        <v>-4.0428068313535001E-2</v>
      </c>
      <c r="K148" s="13"/>
      <c r="L148" s="13">
        <f ca="1">L147-O148*Prices!B148</f>
        <v>0.40125494914744181</v>
      </c>
      <c r="M148" s="4">
        <f t="shared" ca="1" si="13"/>
        <v>0.54787516753988752</v>
      </c>
      <c r="N148" s="13">
        <f ca="1">IF(Prices!B147&gt;OFFSET(Prices!B147,-$N$3,0),1,-1)</f>
        <v>-1</v>
      </c>
      <c r="O148" s="4">
        <f ca="1">IF(N148=1,O$3*L147/Prices!B147,-O$3*M147)</f>
        <v>-2.2828131980828649E-2</v>
      </c>
      <c r="P148" s="22"/>
      <c r="Q148" s="13">
        <f ca="1">Q147-T148*Prices!B148</f>
        <v>0.36241362046249093</v>
      </c>
      <c r="R148" s="4">
        <f t="shared" ca="1" si="12"/>
        <v>0.56906460809083881</v>
      </c>
      <c r="S148" s="13">
        <f ca="1">IF(Prices!B147&gt;OFFSET(Prices!B147,-S$3,0),1,-1)</f>
        <v>-1</v>
      </c>
      <c r="T148" s="4">
        <f ca="1">IF(S148=1,T$3*Q147/Prices!B147,-T$3*R147)</f>
        <v>-1.7599936332706356E-2</v>
      </c>
      <c r="V148" s="13"/>
      <c r="W148" s="4"/>
      <c r="X148" s="4"/>
      <c r="Y148" s="4"/>
      <c r="Z148" s="4"/>
      <c r="AA148" s="4"/>
      <c r="AB148" s="4"/>
      <c r="AC148" s="4"/>
      <c r="AD148" s="4"/>
      <c r="AE148" s="52"/>
    </row>
    <row r="149" spans="1:31" x14ac:dyDescent="0.2">
      <c r="A149" s="7">
        <v>42407</v>
      </c>
      <c r="B149" s="13">
        <f ca="1">Prices!B148*(1+J149/(50*(ABS(O149)+ABS(T149)+0.0001)))</f>
        <v>1.1704751099179893</v>
      </c>
      <c r="C149" s="62">
        <f t="shared" ca="1" si="15"/>
        <v>0</v>
      </c>
      <c r="D149" s="13">
        <f ca="1">D148+C149*(Prices!B149-Prices!B148)/Prices!B148</f>
        <v>0.13549724664703638</v>
      </c>
      <c r="E149" s="13">
        <f t="shared" ca="1" si="16"/>
        <v>1.4678168896442328E-2</v>
      </c>
      <c r="F149" s="13">
        <f t="shared" ca="1" si="14"/>
        <v>0.15017541554347871</v>
      </c>
      <c r="G149" s="21">
        <f ca="1">IF((Prices!B149-Prices!B148)*C149&gt;0,1,0)</f>
        <v>0</v>
      </c>
      <c r="H149" s="13">
        <f>ABS(Prices!B149-Prices!B148)/Prices!B148</f>
        <v>1.4318010550112949E-2</v>
      </c>
      <c r="I149" s="21"/>
      <c r="J149" s="4">
        <f t="shared" ca="1" si="17"/>
        <v>-3.8986944944320666E-2</v>
      </c>
      <c r="K149" s="13"/>
      <c r="L149" s="13">
        <f ca="1">L148-O149*Prices!B149</f>
        <v>0.42705329503656003</v>
      </c>
      <c r="M149" s="4">
        <f t="shared" ca="1" si="13"/>
        <v>0.525960160838292</v>
      </c>
      <c r="N149" s="13">
        <f ca="1">IF(Prices!B148&gt;OFFSET(Prices!B148,-$N$3,0),1,-1)</f>
        <v>-1</v>
      </c>
      <c r="O149" s="4">
        <f ca="1">IF(N149=1,O$3*L148/Prices!B148,-O$3*M148)</f>
        <v>-2.1915006701595501E-2</v>
      </c>
      <c r="P149" s="22"/>
      <c r="Q149" s="13">
        <f ca="1">Q148-T149*Prices!B149</f>
        <v>0.38251070616182697</v>
      </c>
      <c r="R149" s="4">
        <f t="shared" ca="1" si="12"/>
        <v>0.55199266984811368</v>
      </c>
      <c r="S149" s="13">
        <f ca="1">IF(Prices!B148&gt;OFFSET(Prices!B148,-S$3,0),1,-1)</f>
        <v>-1</v>
      </c>
      <c r="T149" s="4">
        <f ca="1">IF(S149=1,T$3*Q148/Prices!B148,-T$3*R148)</f>
        <v>-1.7071938242725165E-2</v>
      </c>
      <c r="V149" s="13"/>
      <c r="W149" s="4"/>
      <c r="X149" s="4"/>
      <c r="Y149" s="4"/>
      <c r="Z149" s="4"/>
      <c r="AA149" s="4"/>
      <c r="AB149" s="4"/>
      <c r="AC149" s="4"/>
      <c r="AD149" s="4"/>
      <c r="AE149" s="52"/>
    </row>
    <row r="150" spans="1:31" x14ac:dyDescent="0.2">
      <c r="A150" s="7">
        <v>42414</v>
      </c>
      <c r="B150" s="13">
        <f ca="1">Prices!B149*(1+J150/(50*(ABS(O150)+ABS(T150)+0.0001)))</f>
        <v>1.1537184539325835</v>
      </c>
      <c r="C150" s="62">
        <f t="shared" ca="1" si="15"/>
        <v>0</v>
      </c>
      <c r="D150" s="13">
        <f ca="1">D149+C150*(Prices!B150-Prices!B149)/Prices!B149</f>
        <v>0.13549724664703638</v>
      </c>
      <c r="E150" s="13">
        <f t="shared" ca="1" si="16"/>
        <v>1.4678168896442328E-2</v>
      </c>
      <c r="F150" s="13">
        <f t="shared" ca="1" si="14"/>
        <v>0.15017541554347871</v>
      </c>
      <c r="G150" s="21">
        <f ca="1">IF((Prices!B150-Prices!B149)*C150&gt;0,1,0)</f>
        <v>0</v>
      </c>
      <c r="H150" s="13">
        <f>ABS(Prices!B150-Prices!B149)/Prices!B149</f>
        <v>1.0278627251104315E-2</v>
      </c>
      <c r="I150" s="21"/>
      <c r="J150" s="4">
        <f t="shared" ca="1" si="17"/>
        <v>-3.7598186528975092E-2</v>
      </c>
      <c r="K150" s="13"/>
      <c r="L150" s="13">
        <f ca="1">L149-O150*Prices!B150</f>
        <v>0.4515651423722678</v>
      </c>
      <c r="M150" s="4">
        <f t="shared" ca="1" si="13"/>
        <v>0.50492175440476028</v>
      </c>
      <c r="N150" s="13">
        <f ca="1">IF(Prices!B149&gt;OFFSET(Prices!B149,-$N$3,0),1,-1)</f>
        <v>-1</v>
      </c>
      <c r="O150" s="4">
        <f ca="1">IF(N150=1,O$3*L149/Prices!B149,-O$3*M149)</f>
        <v>-2.1038406433531682E-2</v>
      </c>
      <c r="P150" s="22"/>
      <c r="Q150" s="13">
        <f ca="1">Q149-T150*Prices!B150</f>
        <v>0.40180450595102807</v>
      </c>
      <c r="R150" s="4">
        <f t="shared" ca="1" si="12"/>
        <v>0.53543288975267023</v>
      </c>
      <c r="S150" s="13">
        <f ca="1">IF(Prices!B149&gt;OFFSET(Prices!B149,-S$3,0),1,-1)</f>
        <v>-1</v>
      </c>
      <c r="T150" s="4">
        <f ca="1">IF(S150=1,T$3*Q149/Prices!B149,-T$3*R149)</f>
        <v>-1.655978009544341E-2</v>
      </c>
      <c r="V150" s="13"/>
      <c r="W150" s="4"/>
      <c r="X150" s="4"/>
      <c r="Y150" s="4"/>
      <c r="Z150" s="4"/>
      <c r="AA150" s="4"/>
      <c r="AB150" s="4"/>
      <c r="AC150" s="4"/>
      <c r="AD150" s="4"/>
      <c r="AE150" s="52"/>
    </row>
    <row r="151" spans="1:31" x14ac:dyDescent="0.2">
      <c r="A151" s="7">
        <v>42421</v>
      </c>
      <c r="B151" s="13">
        <f ca="1">Prices!B150*(1+J151/(50*(ABS(O151)+ABS(T151)+0.0001)))</f>
        <v>1.1418620871609702</v>
      </c>
      <c r="C151" s="62">
        <f t="shared" ca="1" si="15"/>
        <v>0</v>
      </c>
      <c r="D151" s="13">
        <f ca="1">D150+C151*(Prices!B151-Prices!B150)/Prices!B150</f>
        <v>0.13549724664703638</v>
      </c>
      <c r="E151" s="13">
        <f t="shared" ca="1" si="16"/>
        <v>1.4678168896442328E-2</v>
      </c>
      <c r="F151" s="13">
        <f t="shared" ca="1" si="14"/>
        <v>0.15017541554347871</v>
      </c>
      <c r="G151" s="21">
        <f ca="1">IF((Prices!B151-Prices!B150)*C151&gt;0,1,0)</f>
        <v>0</v>
      </c>
      <c r="H151" s="13">
        <f>ABS(Prices!B151-Prices!B150)/Prices!B150</f>
        <v>6.8663634022823091E-4</v>
      </c>
      <c r="I151" s="21"/>
      <c r="J151" s="4">
        <f t="shared" ca="1" si="17"/>
        <v>-3.6259856868770521E-2</v>
      </c>
      <c r="K151" s="13"/>
      <c r="L151" s="13">
        <f ca="1">L150-O151*Prices!B151</f>
        <v>0.47511267331068818</v>
      </c>
      <c r="M151" s="4">
        <f t="shared" ca="1" si="13"/>
        <v>0.48472488422856985</v>
      </c>
      <c r="N151" s="13">
        <f ca="1">IF(Prices!B150&gt;OFFSET(Prices!B150,-$N$3,0),1,-1)</f>
        <v>-1</v>
      </c>
      <c r="O151" s="4">
        <f ca="1">IF(N151=1,O$3*L150/Prices!B150,-O$3*M150)</f>
        <v>-2.0196870176190412E-2</v>
      </c>
      <c r="P151" s="22"/>
      <c r="Q151" s="13">
        <f ca="1">Q150-T151*Prices!B151</f>
        <v>0.42053234213590723</v>
      </c>
      <c r="R151" s="4">
        <f t="shared" ca="1" si="12"/>
        <v>0.51936990306009012</v>
      </c>
      <c r="S151" s="13">
        <f ca="1">IF(Prices!B150&gt;OFFSET(Prices!B150,-S$3,0),1,-1)</f>
        <v>-1</v>
      </c>
      <c r="T151" s="4">
        <f ca="1">IF(S151=1,T$3*Q150/Prices!B150,-T$3*R150)</f>
        <v>-1.6062986692580106E-2</v>
      </c>
      <c r="V151" s="13"/>
      <c r="W151" s="4"/>
      <c r="X151" s="4"/>
      <c r="Y151" s="4"/>
      <c r="Z151" s="4"/>
      <c r="AA151" s="4"/>
      <c r="AB151" s="4"/>
      <c r="AC151" s="4"/>
      <c r="AD151" s="4"/>
      <c r="AE151" s="52"/>
    </row>
    <row r="152" spans="1:31" x14ac:dyDescent="0.2">
      <c r="A152" s="7">
        <v>42428</v>
      </c>
      <c r="B152" s="13">
        <f ca="1">Prices!B151*(1+J152/(50*(ABS(O152)+ABS(T152)+0.0001)))</f>
        <v>1.1426484897020901</v>
      </c>
      <c r="C152" s="62">
        <f t="shared" ca="1" si="15"/>
        <v>0</v>
      </c>
      <c r="D152" s="13">
        <f ca="1">D151+C152*(Prices!B152-Prices!B151)/Prices!B151</f>
        <v>0.13549724664703638</v>
      </c>
      <c r="E152" s="13">
        <f t="shared" ca="1" si="16"/>
        <v>1.4678168896442328E-2</v>
      </c>
      <c r="F152" s="13">
        <f t="shared" ca="1" si="14"/>
        <v>0.15017541554347871</v>
      </c>
      <c r="G152" s="21">
        <f ca="1">IF((Prices!B152-Prices!B151)*C152&gt;0,1,0)</f>
        <v>0</v>
      </c>
      <c r="H152" s="13">
        <f>ABS(Prices!B152-Prices!B151)/Prices!B151</f>
        <v>9.434771421219762E-3</v>
      </c>
      <c r="I152" s="21"/>
      <c r="J152" s="4">
        <f t="shared" ca="1" si="17"/>
        <v>-3.4970092460945498E-2</v>
      </c>
      <c r="K152" s="13"/>
      <c r="L152" s="13">
        <f ca="1">L151-O152*Prices!B152</f>
        <v>0.49793158196063236</v>
      </c>
      <c r="M152" s="4">
        <f t="shared" ca="1" si="13"/>
        <v>0.46533588885942706</v>
      </c>
      <c r="N152" s="13">
        <f ca="1">IF(Prices!B151&gt;OFFSET(Prices!B151,-$N$3,0),1,-1)</f>
        <v>-1</v>
      </c>
      <c r="O152" s="4">
        <f ca="1">IF(N152=1,O$3*L151/Prices!B151,-O$3*M151)</f>
        <v>-1.9388995369142795E-2</v>
      </c>
      <c r="P152" s="22"/>
      <c r="Q152" s="13">
        <f ca="1">Q151-T152*Prices!B152</f>
        <v>0.43886973530324985</v>
      </c>
      <c r="R152" s="4">
        <f t="shared" ca="1" si="12"/>
        <v>0.50378880596828746</v>
      </c>
      <c r="S152" s="13">
        <f ca="1">IF(Prices!B151&gt;OFFSET(Prices!B151,-S$3,0),1,-1)</f>
        <v>-1</v>
      </c>
      <c r="T152" s="4">
        <f ca="1">IF(S152=1,T$3*Q151/Prices!B151,-T$3*R151)</f>
        <v>-1.5581097091802703E-2</v>
      </c>
      <c r="V152" s="13"/>
      <c r="W152" s="4"/>
      <c r="X152" s="4"/>
      <c r="Y152" s="4"/>
      <c r="Z152" s="4"/>
      <c r="AA152" s="4"/>
      <c r="AB152" s="4"/>
      <c r="AC152" s="4"/>
      <c r="AD152" s="4"/>
      <c r="AE152" s="52"/>
    </row>
    <row r="153" spans="1:31" x14ac:dyDescent="0.2">
      <c r="A153" s="7">
        <v>42435</v>
      </c>
      <c r="B153" s="13">
        <f ca="1">Prices!B152*(1+J153/(50*(ABS(O153)+ABS(T153)+0.0001)))</f>
        <v>1.1534315832636719</v>
      </c>
      <c r="C153" s="62">
        <f t="shared" ca="1" si="15"/>
        <v>0</v>
      </c>
      <c r="D153" s="13">
        <f ca="1">D152+C153*(Prices!B153-Prices!B152)/Prices!B152</f>
        <v>0.13549724664703638</v>
      </c>
      <c r="E153" s="13">
        <f t="shared" ca="1" si="16"/>
        <v>1.4678168896442328E-2</v>
      </c>
      <c r="F153" s="13">
        <f t="shared" ca="1" si="14"/>
        <v>0.15017541554347871</v>
      </c>
      <c r="G153" s="21">
        <f ca="1">IF((Prices!B153-Prices!B152)*C153&gt;0,1,0)</f>
        <v>0</v>
      </c>
      <c r="H153" s="13">
        <f>ABS(Prices!B153-Prices!B152)/Prices!B152</f>
        <v>1.351006882487894E-2</v>
      </c>
      <c r="I153" s="21"/>
      <c r="J153" s="4">
        <f t="shared" ca="1" si="17"/>
        <v>-3.3727099733425706E-2</v>
      </c>
      <c r="K153" s="13"/>
      <c r="L153" s="13">
        <f ca="1">L152-O153*Prices!B153</f>
        <v>0.51954178063926415</v>
      </c>
      <c r="M153" s="4">
        <f t="shared" ca="1" si="13"/>
        <v>0.44672245330505</v>
      </c>
      <c r="N153" s="13">
        <f ca="1">IF(Prices!B152&gt;OFFSET(Prices!B152,-$N$3,0),1,-1)</f>
        <v>-1</v>
      </c>
      <c r="O153" s="4">
        <f ca="1">IF(N153=1,O$3*L152/Prices!B152,-O$3*M152)</f>
        <v>-1.8613435554377084E-2</v>
      </c>
      <c r="P153" s="22"/>
      <c r="Q153" s="13">
        <f ca="1">Q152-T153*Prices!B153</f>
        <v>0.4564166994151253</v>
      </c>
      <c r="R153" s="4">
        <f t="shared" ca="1" si="12"/>
        <v>0.48867514178923882</v>
      </c>
      <c r="S153" s="13">
        <f ca="1">IF(Prices!B152&gt;OFFSET(Prices!B152,-S$3,0),1,-1)</f>
        <v>-1</v>
      </c>
      <c r="T153" s="4">
        <f ca="1">IF(S153=1,T$3*Q152/Prices!B152,-T$3*R152)</f>
        <v>-1.5113664179048624E-2</v>
      </c>
      <c r="V153" s="13"/>
      <c r="W153" s="4"/>
      <c r="X153" s="4"/>
      <c r="Y153" s="4"/>
      <c r="Z153" s="4"/>
      <c r="AA153" s="4"/>
      <c r="AB153" s="4"/>
      <c r="AC153" s="4"/>
      <c r="AD153" s="4"/>
      <c r="AE153" s="52"/>
    </row>
    <row r="154" spans="1:31" x14ac:dyDescent="0.2">
      <c r="A154" s="7">
        <v>42442</v>
      </c>
      <c r="B154" s="13">
        <f ca="1">Prices!B153*(1+J154/(50*(ABS(O154)+ABS(T154)+0.0001)))</f>
        <v>1.1378511633563919</v>
      </c>
      <c r="C154" s="62">
        <f t="shared" ca="1" si="15"/>
        <v>0</v>
      </c>
      <c r="D154" s="13">
        <f ca="1">D153+C154*(Prices!B154-Prices!B153)/Prices!B153</f>
        <v>0.13549724664703638</v>
      </c>
      <c r="E154" s="13">
        <f t="shared" ca="1" si="16"/>
        <v>1.4678168896442328E-2</v>
      </c>
      <c r="F154" s="13">
        <f t="shared" ca="1" si="14"/>
        <v>0.15017541554347871</v>
      </c>
      <c r="G154" s="21">
        <f ca="1">IF((Prices!B154-Prices!B153)*C154&gt;0,1,0)</f>
        <v>0</v>
      </c>
      <c r="H154" s="13">
        <f>ABS(Prices!B154-Prices!B153)/Prices!B153</f>
        <v>3.5314384151593388E-3</v>
      </c>
      <c r="I154" s="21"/>
      <c r="J154" s="4">
        <f t="shared" ca="1" si="17"/>
        <v>-3.2529152385879168E-2</v>
      </c>
      <c r="K154" s="13"/>
      <c r="L154" s="13">
        <f ca="1">L153-O154*Prices!B154</f>
        <v>0.54036083385309275</v>
      </c>
      <c r="M154" s="4">
        <f t="shared" ca="1" si="13"/>
        <v>0.42885355517284801</v>
      </c>
      <c r="N154" s="13">
        <f ca="1">IF(Prices!B153&gt;OFFSET(Prices!B153,-$N$3,0),1,-1)</f>
        <v>-1</v>
      </c>
      <c r="O154" s="4">
        <f ca="1">IF(N154=1,O$3*L153/Prices!B153,-O$3*M153)</f>
        <v>-1.7868898132202E-2</v>
      </c>
      <c r="P154" s="22"/>
      <c r="Q154" s="13">
        <f ca="1">Q153-T154*Prices!B154</f>
        <v>0.47349736164608458</v>
      </c>
      <c r="R154" s="4">
        <f t="shared" ca="1" si="12"/>
        <v>0.47401488753556165</v>
      </c>
      <c r="S154" s="13">
        <f ca="1">IF(Prices!B153&gt;OFFSET(Prices!B153,-S$3,0),1,-1)</f>
        <v>-1</v>
      </c>
      <c r="T154" s="4">
        <f ca="1">IF(S154=1,T$3*Q153/Prices!B153,-T$3*R153)</f>
        <v>-1.4660254253677164E-2</v>
      </c>
      <c r="V154" s="13"/>
      <c r="W154" s="4"/>
      <c r="X154" s="4"/>
      <c r="Y154" s="4"/>
      <c r="Z154" s="4"/>
      <c r="AA154" s="4"/>
      <c r="AB154" s="4"/>
      <c r="AC154" s="4"/>
      <c r="AD154" s="4"/>
      <c r="AE154" s="52"/>
    </row>
    <row r="155" spans="1:31" x14ac:dyDescent="0.2">
      <c r="A155" s="7">
        <v>42449</v>
      </c>
      <c r="B155" s="13">
        <f ca="1">Prices!B154*(1+J155/(50*(ABS(O155)+ABS(T155)+0.0001)))</f>
        <v>1.1418720343269413</v>
      </c>
      <c r="C155" s="62">
        <f t="shared" ca="1" si="15"/>
        <v>0</v>
      </c>
      <c r="D155" s="13">
        <f ca="1">D154+C155*(Prices!B155-Prices!B154)/Prices!B154</f>
        <v>0.13549724664703638</v>
      </c>
      <c r="E155" s="13">
        <f t="shared" ca="1" si="16"/>
        <v>1.4678168896442328E-2</v>
      </c>
      <c r="F155" s="13">
        <f t="shared" ca="1" si="14"/>
        <v>0.15017541554347871</v>
      </c>
      <c r="G155" s="21">
        <f ca="1">IF((Prices!B155-Prices!B154)*C155&gt;0,1,0)</f>
        <v>0</v>
      </c>
      <c r="H155" s="13">
        <f>ABS(Prices!B155-Prices!B154)/Prices!B154</f>
        <v>2.8323749034418338E-3</v>
      </c>
      <c r="I155" s="21"/>
      <c r="J155" s="4">
        <f t="shared" ca="1" si="17"/>
        <v>-3.137458883298077E-2</v>
      </c>
      <c r="K155" s="13"/>
      <c r="L155" s="13">
        <f ca="1">L154-O155*Prices!B155</f>
        <v>0.56040373360765094</v>
      </c>
      <c r="M155" s="4">
        <f t="shared" ca="1" si="13"/>
        <v>0.4116994129659341</v>
      </c>
      <c r="N155" s="13">
        <f ca="1">IF(Prices!B154&gt;OFFSET(Prices!B154,-$N$3,0),1,-1)</f>
        <v>-1</v>
      </c>
      <c r="O155" s="4">
        <f ca="1">IF(N155=1,O$3*L154/Prices!B154,-O$3*M154)</f>
        <v>-1.7154142206913921E-2</v>
      </c>
      <c r="P155" s="22"/>
      <c r="Q155" s="13">
        <f ca="1">Q154-T155*Prices!B155</f>
        <v>0.4901125314839811</v>
      </c>
      <c r="R155" s="4">
        <f t="shared" ca="1" si="12"/>
        <v>0.45979444090949478</v>
      </c>
      <c r="S155" s="13">
        <f ca="1">IF(Prices!B154&gt;OFFSET(Prices!B154,-S$3,0),1,-1)</f>
        <v>-1</v>
      </c>
      <c r="T155" s="4">
        <f ca="1">IF(S155=1,T$3*Q154/Prices!B154,-T$3*R154)</f>
        <v>-1.4220446626066849E-2</v>
      </c>
      <c r="V155" s="13"/>
      <c r="W155" s="4"/>
      <c r="X155" s="4"/>
      <c r="Y155" s="4"/>
      <c r="Z155" s="4"/>
      <c r="AA155" s="4"/>
      <c r="AB155" s="4"/>
      <c r="AC155" s="4"/>
      <c r="AD155" s="4"/>
      <c r="AE155" s="52"/>
    </row>
    <row r="156" spans="1:31" x14ac:dyDescent="0.2">
      <c r="A156" s="7">
        <v>42456</v>
      </c>
      <c r="B156" s="13">
        <f ca="1">Prices!B155*(1+J156/(50*(ABS(O156)+ABS(T156)+0.0001)))</f>
        <v>1.1451089651091144</v>
      </c>
      <c r="C156" s="62">
        <f t="shared" ca="1" si="15"/>
        <v>0</v>
      </c>
      <c r="D156" s="13">
        <f ca="1">D155+C156*(Prices!B156-Prices!B155)/Prices!B155</f>
        <v>0.13549724664703638</v>
      </c>
      <c r="E156" s="13">
        <f t="shared" ca="1" si="16"/>
        <v>1.4678168896442328E-2</v>
      </c>
      <c r="F156" s="13">
        <f t="shared" ca="1" si="14"/>
        <v>0.15017541554347871</v>
      </c>
      <c r="G156" s="21">
        <f ca="1">IF((Prices!B156-Prices!B155)*C156&gt;0,1,0)</f>
        <v>0</v>
      </c>
      <c r="H156" s="13">
        <f>ABS(Prices!B156-Prices!B155)/Prices!B155</f>
        <v>5.3064019171516459E-3</v>
      </c>
      <c r="I156" s="21"/>
      <c r="J156" s="4">
        <f t="shared" ca="1" si="17"/>
        <v>-3.0261809745922207E-2</v>
      </c>
      <c r="K156" s="13"/>
      <c r="L156" s="13">
        <f ca="1">L155-O156*Prices!B156</f>
        <v>0.57974701882644242</v>
      </c>
      <c r="M156" s="4">
        <f t="shared" ca="1" si="13"/>
        <v>0.39523143644729675</v>
      </c>
      <c r="N156" s="13">
        <f ca="1">IF(Prices!B155&gt;OFFSET(Prices!B155,-$N$3,0),1,-1)</f>
        <v>-1</v>
      </c>
      <c r="O156" s="4">
        <f ca="1">IF(N156=1,O$3*L155/Prices!B155,-O$3*M155)</f>
        <v>-1.6467976518637364E-2</v>
      </c>
      <c r="P156" s="22"/>
      <c r="Q156" s="13">
        <f ca="1">Q155-T156*Prices!B156</f>
        <v>0.50631476799274988</v>
      </c>
      <c r="R156" s="4">
        <f t="shared" ca="1" si="12"/>
        <v>0.44600060768220995</v>
      </c>
      <c r="S156" s="13">
        <f ca="1">IF(Prices!B155&gt;OFFSET(Prices!B155,-S$3,0),1,-1)</f>
        <v>-1</v>
      </c>
      <c r="T156" s="4">
        <f ca="1">IF(S156=1,T$3*Q155/Prices!B155,-T$3*R155)</f>
        <v>-1.3793833227284844E-2</v>
      </c>
      <c r="V156" s="13"/>
      <c r="W156" s="4"/>
      <c r="X156" s="4"/>
      <c r="Y156" s="4"/>
      <c r="Z156" s="4"/>
      <c r="AA156" s="4"/>
      <c r="AB156" s="4"/>
      <c r="AC156" s="4"/>
      <c r="AD156" s="4"/>
      <c r="AE156" s="52"/>
    </row>
    <row r="157" spans="1:31" x14ac:dyDescent="0.2">
      <c r="A157" s="7">
        <v>42463</v>
      </c>
      <c r="B157" s="13">
        <f ca="1">Prices!B156*(1+J157/(50*(ABS(O157)+ABS(T157)+0.0001)))</f>
        <v>1.1790991449010959</v>
      </c>
      <c r="C157" s="62">
        <f t="shared" ca="1" si="15"/>
        <v>1</v>
      </c>
      <c r="D157" s="13">
        <f ca="1">D156+C157*(Prices!B157-Prices!B156)/Prices!B156</f>
        <v>0.13030398936796267</v>
      </c>
      <c r="E157" s="13">
        <f t="shared" ca="1" si="16"/>
        <v>1.9871426175516044E-2</v>
      </c>
      <c r="F157" s="13">
        <f t="shared" ca="1" si="14"/>
        <v>0.15017541554347871</v>
      </c>
      <c r="G157" s="21">
        <f ca="1">IF((Prices!B157-Prices!B156)*C157&gt;0,1,0)</f>
        <v>0</v>
      </c>
      <c r="H157" s="13">
        <f>ABS(Prices!B157-Prices!B156)/Prices!B156</f>
        <v>5.1932572790737222E-3</v>
      </c>
      <c r="I157" s="21"/>
      <c r="J157" s="4">
        <f t="shared" ca="1" si="17"/>
        <v>6.3627714452170799E-3</v>
      </c>
      <c r="K157" s="13"/>
      <c r="L157" s="13">
        <f ca="1">L156-O157*Prices!B157</f>
        <v>0.55667756909040644</v>
      </c>
      <c r="M157" s="4">
        <f t="shared" ca="1" si="13"/>
        <v>0.41497422612298013</v>
      </c>
      <c r="N157" s="13">
        <f ca="1">IF(Prices!B156&gt;OFFSET(Prices!B156,-$N$3,0),1,-1)</f>
        <v>1</v>
      </c>
      <c r="O157" s="4">
        <f ca="1">IF(N157=1,O$3*L156/Prices!B156,-O$3*M156)</f>
        <v>1.9742789675683377E-2</v>
      </c>
      <c r="P157" s="22"/>
      <c r="Q157" s="13">
        <f ca="1">Q156-T157*Prices!B157</f>
        <v>0.52194931929504973</v>
      </c>
      <c r="R157" s="4">
        <f t="shared" ca="1" si="12"/>
        <v>0.43262058945174364</v>
      </c>
      <c r="S157" s="13">
        <f ca="1">IF(Prices!B156&gt;OFFSET(Prices!B156,-S$3,0),1,-1)</f>
        <v>-1</v>
      </c>
      <c r="T157" s="4">
        <f ca="1">IF(S157=1,T$3*Q156/Prices!B156,-T$3*R156)</f>
        <v>-1.3380018230466298E-2</v>
      </c>
      <c r="V157" s="13"/>
      <c r="W157" s="4"/>
      <c r="X157" s="4"/>
      <c r="Y157" s="4"/>
      <c r="Z157" s="4"/>
      <c r="AA157" s="4"/>
      <c r="AB157" s="4"/>
      <c r="AC157" s="4"/>
      <c r="AD157" s="4"/>
      <c r="AE157" s="52"/>
    </row>
    <row r="158" spans="1:31" x14ac:dyDescent="0.2">
      <c r="A158" s="7">
        <v>42470</v>
      </c>
      <c r="B158" s="13">
        <f ca="1">Prices!B157*(1+J158/(50*(ABS(O158)+ABS(T158)+0.0001)))</f>
        <v>1.1729198792286561</v>
      </c>
      <c r="C158" s="62">
        <f t="shared" ca="1" si="15"/>
        <v>1</v>
      </c>
      <c r="D158" s="13">
        <f ca="1">D157+C158*(Prices!B158-Prices!B157)/Prices!B157</f>
        <v>0.13364160169145434</v>
      </c>
      <c r="E158" s="13">
        <f t="shared" ca="1" si="16"/>
        <v>1.6533813852024376E-2</v>
      </c>
      <c r="F158" s="13">
        <f t="shared" ca="1" si="14"/>
        <v>0.15017541554347871</v>
      </c>
      <c r="G158" s="21">
        <f ca="1">IF((Prices!B158-Prices!B157)*C158&gt;0,1,0)</f>
        <v>1</v>
      </c>
      <c r="H158" s="13">
        <f>ABS(Prices!B158-Prices!B157)/Prices!B157</f>
        <v>3.3376123234916681E-3</v>
      </c>
      <c r="I158" s="21"/>
      <c r="J158" s="4">
        <f t="shared" ca="1" si="17"/>
        <v>6.0775250324222371E-3</v>
      </c>
      <c r="K158" s="13"/>
      <c r="L158" s="13">
        <f ca="1">L157-O158*Prices!B158</f>
        <v>0.53433614737019786</v>
      </c>
      <c r="M158" s="4">
        <f t="shared" ca="1" si="13"/>
        <v>0.43403036883895468</v>
      </c>
      <c r="N158" s="13">
        <f ca="1">IF(Prices!B157&gt;OFFSET(Prices!B157,-$N$3,0),1,-1)</f>
        <v>1</v>
      </c>
      <c r="O158" s="4">
        <f ca="1">IF(N158=1,O$3*L157/Prices!B157,-O$3*M157)</f>
        <v>1.9056142715974545E-2</v>
      </c>
      <c r="P158" s="22"/>
      <c r="Q158" s="13">
        <f ca="1">Q157-T158*Prices!B158</f>
        <v>0.53716545066724641</v>
      </c>
      <c r="R158" s="4">
        <f t="shared" ca="1" si="12"/>
        <v>0.41964197176819135</v>
      </c>
      <c r="S158" s="13">
        <f ca="1">IF(Prices!B157&gt;OFFSET(Prices!B157,-S$3,0),1,-1)</f>
        <v>-1</v>
      </c>
      <c r="T158" s="4">
        <f ca="1">IF(S158=1,T$3*Q157/Prices!B157,-T$3*R157)</f>
        <v>-1.2978617683552308E-2</v>
      </c>
      <c r="V158" s="13"/>
      <c r="W158" s="4"/>
      <c r="X158" s="4"/>
      <c r="Y158" s="4"/>
      <c r="Z158" s="4"/>
      <c r="AA158" s="4"/>
      <c r="AB158" s="4"/>
      <c r="AC158" s="4"/>
      <c r="AD158" s="4"/>
      <c r="AE158" s="52"/>
    </row>
    <row r="159" spans="1:31" x14ac:dyDescent="0.2">
      <c r="A159" s="7">
        <v>42477</v>
      </c>
      <c r="B159" s="13">
        <f ca="1">Prices!B158*(1+J159/(50*(ABS(O159)+ABS(T159)+0.0001)))</f>
        <v>1.1490300287195234</v>
      </c>
      <c r="C159" s="62">
        <f t="shared" ca="1" si="15"/>
        <v>0</v>
      </c>
      <c r="D159" s="13">
        <f ca="1">D158+C159*(Prices!B159-Prices!B158)/Prices!B158</f>
        <v>0.13364160169145434</v>
      </c>
      <c r="E159" s="13">
        <f t="shared" ca="1" si="16"/>
        <v>1.6533813852024376E-2</v>
      </c>
      <c r="F159" s="13">
        <f t="shared" ca="1" si="14"/>
        <v>0.15017541554347871</v>
      </c>
      <c r="G159" s="21">
        <f ca="1">IF((Prices!B159-Prices!B158)*C159&gt;0,1,0)</f>
        <v>0</v>
      </c>
      <c r="H159" s="13">
        <f>ABS(Prices!B159-Prices!B158)/Prices!B158</f>
        <v>5.714773114977951E-3</v>
      </c>
      <c r="I159" s="21"/>
      <c r="J159" s="4">
        <f t="shared" ca="1" si="17"/>
        <v>-2.9950473906603929E-2</v>
      </c>
      <c r="K159" s="13"/>
      <c r="L159" s="13">
        <f ca="1">L158-O159*Prices!B159</f>
        <v>0.55457411540842061</v>
      </c>
      <c r="M159" s="4">
        <f t="shared" ca="1" si="13"/>
        <v>0.41666915408539651</v>
      </c>
      <c r="N159" s="13">
        <f ca="1">IF(Prices!B158&gt;OFFSET(Prices!B158,-$N$3,0),1,-1)</f>
        <v>-1</v>
      </c>
      <c r="O159" s="4">
        <f ca="1">IF(N159=1,O$3*L158/Prices!B158,-O$3*M158)</f>
        <v>-1.7361214753558188E-2</v>
      </c>
      <c r="P159" s="22"/>
      <c r="Q159" s="13">
        <f ca="1">Q158-T159*Prices!B159</f>
        <v>0.55184075006195188</v>
      </c>
      <c r="R159" s="4">
        <f t="shared" ca="1" si="12"/>
        <v>0.40705271261514558</v>
      </c>
      <c r="S159" s="13">
        <f ca="1">IF(Prices!B158&gt;OFFSET(Prices!B158,-S$3,0),1,-1)</f>
        <v>-1</v>
      </c>
      <c r="T159" s="4">
        <f ca="1">IF(S159=1,T$3*Q158/Prices!B158,-T$3*R158)</f>
        <v>-1.2589259153045739E-2</v>
      </c>
      <c r="V159" s="13"/>
      <c r="W159" s="4"/>
      <c r="X159" s="4"/>
      <c r="Y159" s="4"/>
      <c r="Z159" s="4"/>
      <c r="AA159" s="4"/>
      <c r="AB159" s="4"/>
      <c r="AC159" s="4"/>
      <c r="AD159" s="4"/>
      <c r="AE159" s="52"/>
    </row>
    <row r="160" spans="1:31" x14ac:dyDescent="0.2">
      <c r="A160" s="7">
        <v>42484</v>
      </c>
      <c r="B160" s="13">
        <f ca="1">Prices!B159*(1+J160/(50*(ABS(O160)+ABS(T160)+0.0001)))</f>
        <v>1.1707718505616023</v>
      </c>
      <c r="C160" s="62">
        <f t="shared" ca="1" si="15"/>
        <v>1</v>
      </c>
      <c r="D160" s="13">
        <f ca="1">D159+C160*(Prices!B160-Prices!B159)/Prices!B159</f>
        <v>0.1260067042049656</v>
      </c>
      <c r="E160" s="13">
        <f t="shared" ca="1" si="16"/>
        <v>2.4168711338513116E-2</v>
      </c>
      <c r="F160" s="13">
        <f t="shared" ca="1" si="14"/>
        <v>0.15017541554347871</v>
      </c>
      <c r="G160" s="21">
        <f ca="1">IF((Prices!B160-Prices!B159)*C160&gt;0,1,0)</f>
        <v>0</v>
      </c>
      <c r="H160" s="13">
        <f>ABS(Prices!B160-Prices!B159)/Prices!B159</f>
        <v>7.6348974864887268E-3</v>
      </c>
      <c r="I160" s="21"/>
      <c r="J160" s="4">
        <f t="shared" ca="1" si="17"/>
        <v>6.8181557892018282E-3</v>
      </c>
      <c r="K160" s="13"/>
      <c r="L160" s="13">
        <f ca="1">L159-O160*Prices!B160</f>
        <v>0.53256051545287597</v>
      </c>
      <c r="M160" s="4">
        <f t="shared" ca="1" si="13"/>
        <v>0.43569889125305272</v>
      </c>
      <c r="N160" s="13">
        <f ca="1">IF(Prices!B159&gt;OFFSET(Prices!B159,-$N$3,0),1,-1)</f>
        <v>1</v>
      </c>
      <c r="O160" s="4">
        <f ca="1">IF(N160=1,O$3*L159/Prices!B159,-O$3*M159)</f>
        <v>1.9029737167656196E-2</v>
      </c>
      <c r="P160" s="22"/>
      <c r="Q160" s="13">
        <f ca="1">Q159-T160*Prices!B160</f>
        <v>0.5659671074005479</v>
      </c>
      <c r="R160" s="4">
        <f t="shared" ca="1" si="12"/>
        <v>0.39484113123669123</v>
      </c>
      <c r="S160" s="13">
        <f ca="1">IF(Prices!B159&gt;OFFSET(Prices!B159,-S$3,0),1,-1)</f>
        <v>-1</v>
      </c>
      <c r="T160" s="4">
        <f ca="1">IF(S160=1,T$3*Q159/Prices!B159,-T$3*R159)</f>
        <v>-1.2211581378454368E-2</v>
      </c>
      <c r="V160" s="13"/>
      <c r="W160" s="4"/>
      <c r="X160" s="4"/>
      <c r="Y160" s="4"/>
      <c r="Z160" s="4"/>
      <c r="AA160" s="4"/>
      <c r="AB160" s="4"/>
      <c r="AC160" s="4"/>
      <c r="AD160" s="4"/>
      <c r="AE160" s="52"/>
    </row>
    <row r="161" spans="1:31" x14ac:dyDescent="0.2">
      <c r="A161" s="7">
        <v>42491</v>
      </c>
      <c r="B161" s="13">
        <f ca="1">Prices!B160*(1+J161/(50*(ABS(O161)+ABS(T161)+0.0001)))</f>
        <v>1.1337427657054788</v>
      </c>
      <c r="C161" s="62">
        <f t="shared" ca="1" si="15"/>
        <v>0</v>
      </c>
      <c r="D161" s="13">
        <f ca="1">D160+C161*(Prices!B161-Prices!B160)/Prices!B160</f>
        <v>0.1260067042049656</v>
      </c>
      <c r="E161" s="13">
        <f t="shared" ca="1" si="16"/>
        <v>2.4168711338513116E-2</v>
      </c>
      <c r="F161" s="13">
        <f t="shared" ca="1" si="14"/>
        <v>0.15017541554347871</v>
      </c>
      <c r="G161" s="21">
        <f ca="1">IF((Prices!B161-Prices!B160)*C161&gt;0,1,0)</f>
        <v>0</v>
      </c>
      <c r="H161" s="13">
        <f>ABS(Prices!B161-Prices!B160)/Prices!B160</f>
        <v>1.3399031811894942E-2</v>
      </c>
      <c r="I161" s="21"/>
      <c r="J161" s="4">
        <f t="shared" ca="1" si="17"/>
        <v>-2.9273189587222848E-2</v>
      </c>
      <c r="K161" s="13"/>
      <c r="L161" s="13">
        <f ca="1">L160-O161*Prices!B161</f>
        <v>0.55245104123636035</v>
      </c>
      <c r="M161" s="4">
        <f t="shared" ca="1" si="13"/>
        <v>0.4182709356029306</v>
      </c>
      <c r="N161" s="13">
        <f ca="1">IF(Prices!B160&gt;OFFSET(Prices!B160,-$N$3,0),1,-1)</f>
        <v>-1</v>
      </c>
      <c r="O161" s="4">
        <f ca="1">IF(N161=1,O$3*L160/Prices!B160,-O$3*M160)</f>
        <v>-1.7427955650122111E-2</v>
      </c>
      <c r="P161" s="22"/>
      <c r="Q161" s="13">
        <f ca="1">Q160-T161*Prices!B161</f>
        <v>0.57948607289296095</v>
      </c>
      <c r="R161" s="4">
        <f t="shared" ca="1" si="12"/>
        <v>0.38299589729959049</v>
      </c>
      <c r="S161" s="13">
        <f ca="1">IF(Prices!B160&gt;OFFSET(Prices!B160,-S$3,0),1,-1)</f>
        <v>-1</v>
      </c>
      <c r="T161" s="4">
        <f ca="1">IF(S161=1,T$3*Q160/Prices!B160,-T$3*R160)</f>
        <v>-1.1845233937100737E-2</v>
      </c>
      <c r="V161" s="13"/>
      <c r="W161" s="4"/>
      <c r="X161" s="4"/>
      <c r="Y161" s="4"/>
      <c r="Z161" s="4"/>
      <c r="AA161" s="4"/>
      <c r="AB161" s="4"/>
      <c r="AC161" s="4"/>
      <c r="AD161" s="4"/>
      <c r="AE161" s="52"/>
    </row>
    <row r="162" spans="1:31" x14ac:dyDescent="0.2">
      <c r="A162" s="7">
        <v>42498</v>
      </c>
      <c r="B162" s="13">
        <f ca="1">Prices!B161*(1+J162/(50*(ABS(O162)+ABS(T162)+0.0001)))</f>
        <v>1.1185545982494773</v>
      </c>
      <c r="C162" s="62">
        <f t="shared" ca="1" si="15"/>
        <v>0</v>
      </c>
      <c r="D162" s="13">
        <f ca="1">D161+C162*(Prices!B162-Prices!B161)/Prices!B161</f>
        <v>0.1260067042049656</v>
      </c>
      <c r="E162" s="13">
        <f t="shared" ca="1" si="16"/>
        <v>2.4168711338513116E-2</v>
      </c>
      <c r="F162" s="13">
        <f t="shared" ca="1" si="14"/>
        <v>0.15017541554347871</v>
      </c>
      <c r="G162" s="21">
        <f ca="1">IF((Prices!B162-Prices!B161)*C162&gt;0,1,0)</f>
        <v>0</v>
      </c>
      <c r="H162" s="13">
        <f>ABS(Prices!B162-Prices!B161)/Prices!B161</f>
        <v>2.1904845351791349E-3</v>
      </c>
      <c r="I162" s="21"/>
      <c r="J162" s="4">
        <f t="shared" ca="1" si="17"/>
        <v>-2.8220714343104941E-2</v>
      </c>
      <c r="K162" s="13"/>
      <c r="L162" s="13">
        <f ca="1">L161-O162*Prices!B162</f>
        <v>0.57158777308206565</v>
      </c>
      <c r="M162" s="4">
        <f t="shared" ca="1" si="13"/>
        <v>0.40154009817881336</v>
      </c>
      <c r="N162" s="13">
        <f ca="1">IF(Prices!B161&gt;OFFSET(Prices!B161,-$N$3,0),1,-1)</f>
        <v>-1</v>
      </c>
      <c r="O162" s="4">
        <f ca="1">IF(N162=1,O$3*L161/Prices!B161,-O$3*M161)</f>
        <v>-1.6730837424117226E-2</v>
      </c>
      <c r="P162" s="22"/>
      <c r="Q162" s="13">
        <f ca="1">Q161-T162*Prices!B162</f>
        <v>0.59262819411289913</v>
      </c>
      <c r="R162" s="4">
        <f t="shared" ca="1" si="12"/>
        <v>0.37150602038060276</v>
      </c>
      <c r="S162" s="13">
        <f ca="1">IF(Prices!B161&gt;OFFSET(Prices!B161,-S$3,0),1,-1)</f>
        <v>-1</v>
      </c>
      <c r="T162" s="4">
        <f ca="1">IF(S162=1,T$3*Q161/Prices!B161,-T$3*R161)</f>
        <v>-1.1489876918987714E-2</v>
      </c>
      <c r="V162" s="13"/>
      <c r="W162" s="4"/>
      <c r="X162" s="4"/>
      <c r="Y162" s="4"/>
      <c r="Z162" s="4"/>
      <c r="AA162" s="4"/>
      <c r="AB162" s="4"/>
      <c r="AC162" s="4"/>
      <c r="AD162" s="4"/>
      <c r="AE162" s="52"/>
    </row>
    <row r="163" spans="1:31" x14ac:dyDescent="0.2">
      <c r="A163" s="7">
        <v>42505</v>
      </c>
      <c r="B163" s="13">
        <f ca="1">Prices!B162*(1+J163/(50*(ABS(O163)+ABS(T163)+0.0001)))</f>
        <v>1.1210077740524436</v>
      </c>
      <c r="C163" s="62">
        <f t="shared" ca="1" si="15"/>
        <v>0</v>
      </c>
      <c r="D163" s="13">
        <f ca="1">D162+C163*(Prices!B163-Prices!B162)/Prices!B162</f>
        <v>0.1260067042049656</v>
      </c>
      <c r="E163" s="13">
        <f t="shared" ca="1" si="16"/>
        <v>2.4168711338513116E-2</v>
      </c>
      <c r="F163" s="13">
        <f t="shared" ca="1" si="14"/>
        <v>0.15017541554347871</v>
      </c>
      <c r="G163" s="21">
        <f ca="1">IF((Prices!B163-Prices!B162)*C163&gt;0,1,0)</f>
        <v>0</v>
      </c>
      <c r="H163" s="13">
        <f>ABS(Prices!B163-Prices!B162)/Prices!B162</f>
        <v>1.6086728449029527E-2</v>
      </c>
      <c r="I163" s="21"/>
      <c r="J163" s="4">
        <f t="shared" ca="1" si="17"/>
        <v>-2.7206784538570616E-2</v>
      </c>
      <c r="K163" s="13"/>
      <c r="L163" s="13">
        <f ca="1">L162-O163*Prices!B163</f>
        <v>0.59025456916620234</v>
      </c>
      <c r="M163" s="4">
        <f t="shared" ca="1" si="13"/>
        <v>0.38547849425166081</v>
      </c>
      <c r="N163" s="13">
        <f ca="1">IF(Prices!B162&gt;OFFSET(Prices!B162,-$N$3,0),1,-1)</f>
        <v>-1</v>
      </c>
      <c r="O163" s="4">
        <f ca="1">IF(N163=1,O$3*L162/Prices!B162,-O$3*M162)</f>
        <v>-1.6061603927152536E-2</v>
      </c>
      <c r="P163" s="22"/>
      <c r="Q163" s="13">
        <f ca="1">Q162-T163*Prices!B163</f>
        <v>0.60558112301948919</v>
      </c>
      <c r="R163" s="4">
        <f t="shared" ca="1" si="12"/>
        <v>0.3603608397691847</v>
      </c>
      <c r="S163" s="13">
        <f ca="1">IF(Prices!B162&gt;OFFSET(Prices!B162,-S$3,0),1,-1)</f>
        <v>-1</v>
      </c>
      <c r="T163" s="4">
        <f ca="1">IF(S163=1,T$3*Q162/Prices!B162,-T$3*R162)</f>
        <v>-1.1145180611418082E-2</v>
      </c>
      <c r="V163" s="13"/>
      <c r="W163" s="4"/>
      <c r="X163" s="4"/>
      <c r="Y163" s="4"/>
      <c r="Z163" s="4"/>
      <c r="AA163" s="4"/>
      <c r="AB163" s="4"/>
      <c r="AC163" s="4"/>
      <c r="AD163" s="4"/>
      <c r="AE163" s="52"/>
    </row>
    <row r="164" spans="1:31" x14ac:dyDescent="0.2">
      <c r="A164" s="7">
        <v>42512</v>
      </c>
      <c r="B164" s="13">
        <f ca="1">Prices!B163*(1+J164/(50*(ABS(O164)+ABS(T164)+0.0001)))</f>
        <v>1.1390442796465263</v>
      </c>
      <c r="C164" s="62">
        <f t="shared" ca="1" si="15"/>
        <v>0</v>
      </c>
      <c r="D164" s="13">
        <f ca="1">D163+C164*(Prices!B164-Prices!B163)/Prices!B163</f>
        <v>0.1260067042049656</v>
      </c>
      <c r="E164" s="13">
        <f t="shared" ca="1" si="16"/>
        <v>2.4168711338513116E-2</v>
      </c>
      <c r="F164" s="13">
        <f t="shared" ca="1" si="14"/>
        <v>0.15017541554347871</v>
      </c>
      <c r="G164" s="21">
        <f ca="1">IF((Prices!B164-Prices!B163)*C164&gt;0,1,0)</f>
        <v>0</v>
      </c>
      <c r="H164" s="13">
        <f>ABS(Prices!B164-Prices!B163)/Prices!B163</f>
        <v>1.7208742040954912E-3</v>
      </c>
      <c r="I164" s="21"/>
      <c r="J164" s="4">
        <f t="shared" ca="1" si="17"/>
        <v>-2.6229964963141974E-2</v>
      </c>
      <c r="K164" s="13"/>
      <c r="L164" s="13">
        <f ca="1">L163-O164*Prices!B164</f>
        <v>0.60814385512743341</v>
      </c>
      <c r="M164" s="4">
        <f t="shared" ca="1" si="13"/>
        <v>0.37005935448159438</v>
      </c>
      <c r="N164" s="13">
        <f ca="1">IF(Prices!B163&gt;OFFSET(Prices!B163,-$N$3,0),1,-1)</f>
        <v>-1</v>
      </c>
      <c r="O164" s="4">
        <f ca="1">IF(N164=1,O$3*L163/Prices!B163,-O$3*M163)</f>
        <v>-1.5419139770066433E-2</v>
      </c>
      <c r="P164" s="22"/>
      <c r="Q164" s="13">
        <f ca="1">Q163-T164*Prices!B164</f>
        <v>0.61812384240849538</v>
      </c>
      <c r="R164" s="4">
        <f t="shared" ca="1" si="12"/>
        <v>0.34955001457610918</v>
      </c>
      <c r="S164" s="13">
        <f ca="1">IF(Prices!B163&gt;OFFSET(Prices!B163,-S$3,0),1,-1)</f>
        <v>-1</v>
      </c>
      <c r="T164" s="4">
        <f ca="1">IF(S164=1,T$3*Q163/Prices!B163,-T$3*R163)</f>
        <v>-1.0810825193075541E-2</v>
      </c>
      <c r="V164" s="13"/>
      <c r="W164" s="4"/>
      <c r="X164" s="4"/>
      <c r="Y164" s="4"/>
      <c r="Z164" s="4"/>
      <c r="AA164" s="4"/>
      <c r="AB164" s="4"/>
      <c r="AC164" s="4"/>
      <c r="AD164" s="4"/>
      <c r="AE164" s="52"/>
    </row>
    <row r="165" spans="1:31" x14ac:dyDescent="0.2">
      <c r="A165" s="7">
        <v>42519</v>
      </c>
      <c r="B165" s="13">
        <f ca="1">Prices!B164*(1+J165/(50*(ABS(O165)+ABS(T165)+0.0001)))</f>
        <v>1.1370873943620996</v>
      </c>
      <c r="C165" s="62">
        <f t="shared" ca="1" si="15"/>
        <v>0</v>
      </c>
      <c r="D165" s="13">
        <f ca="1">D164+C165*(Prices!B165-Prices!B164)/Prices!B164</f>
        <v>0.1260067042049656</v>
      </c>
      <c r="E165" s="13">
        <f t="shared" ca="1" si="16"/>
        <v>2.4168711338513116E-2</v>
      </c>
      <c r="F165" s="13">
        <f t="shared" ca="1" si="14"/>
        <v>0.15017541554347871</v>
      </c>
      <c r="G165" s="21">
        <f ca="1">IF((Prices!B165-Prices!B164)*C165&gt;0,1,0)</f>
        <v>0</v>
      </c>
      <c r="H165" s="13">
        <f>ABS(Prices!B165-Prices!B164)/Prices!B164</f>
        <v>4.2234097569385674E-3</v>
      </c>
      <c r="I165" s="21"/>
      <c r="J165" s="4">
        <f t="shared" ca="1" si="17"/>
        <v>-2.5288874616547052E-2</v>
      </c>
      <c r="K165" s="13"/>
      <c r="L165" s="13">
        <f ca="1">L164-O165*Prices!B165</f>
        <v>0.62524503801673681</v>
      </c>
      <c r="M165" s="4">
        <f t="shared" ca="1" si="13"/>
        <v>0.3552569803023306</v>
      </c>
      <c r="N165" s="13">
        <f ca="1">IF(Prices!B164&gt;OFFSET(Prices!B164,-$N$3,0),1,-1)</f>
        <v>-1</v>
      </c>
      <c r="O165" s="4">
        <f ca="1">IF(N165=1,O$3*L164/Prices!B164,-O$3*M164)</f>
        <v>-1.4802374179263776E-2</v>
      </c>
      <c r="P165" s="22"/>
      <c r="Q165" s="13">
        <f ca="1">Q164-T165*Prices!B165</f>
        <v>0.63023889636368879</v>
      </c>
      <c r="R165" s="4">
        <f t="shared" ca="1" si="12"/>
        <v>0.33906351413882591</v>
      </c>
      <c r="S165" s="13">
        <f ca="1">IF(Prices!B164&gt;OFFSET(Prices!B164,-S$3,0),1,-1)</f>
        <v>-1</v>
      </c>
      <c r="T165" s="4">
        <f ca="1">IF(S165=1,T$3*Q164/Prices!B164,-T$3*R164)</f>
        <v>-1.0486500437283275E-2</v>
      </c>
      <c r="V165" s="13"/>
      <c r="W165" s="4"/>
      <c r="X165" s="4"/>
      <c r="Y165" s="4"/>
      <c r="Z165" s="4"/>
      <c r="AA165" s="4"/>
      <c r="AB165" s="4"/>
      <c r="AC165" s="4"/>
      <c r="AD165" s="4"/>
      <c r="AE165" s="52"/>
    </row>
    <row r="166" spans="1:31" x14ac:dyDescent="0.2">
      <c r="A166" s="7">
        <v>42526</v>
      </c>
      <c r="B166" s="13">
        <f ca="1">Prices!B165*(1+J166/(50*(ABS(O166)+ABS(T166)+0.0001)))</f>
        <v>1.1322883788323765</v>
      </c>
      <c r="C166" s="62">
        <f t="shared" ca="1" si="15"/>
        <v>0</v>
      </c>
      <c r="D166" s="13">
        <f ca="1">D165+C166*(Prices!B166-Prices!B165)/Prices!B165</f>
        <v>0.1260067042049656</v>
      </c>
      <c r="E166" s="13">
        <f t="shared" ca="1" si="16"/>
        <v>2.4168711338513116E-2</v>
      </c>
      <c r="F166" s="13">
        <f t="shared" ca="1" si="14"/>
        <v>0.15017541554347871</v>
      </c>
      <c r="G166" s="21">
        <f ca="1">IF((Prices!B166-Prices!B165)*C166&gt;0,1,0)</f>
        <v>0</v>
      </c>
      <c r="H166" s="13">
        <f>ABS(Prices!B166-Prices!B165)/Prices!B165</f>
        <v>6.2321474941574445E-3</v>
      </c>
      <c r="I166" s="21"/>
      <c r="J166" s="4">
        <f t="shared" ca="1" si="17"/>
        <v>-2.4382184636257999E-2</v>
      </c>
      <c r="K166" s="13"/>
      <c r="L166" s="13">
        <f ca="1">L165-O166*Prices!B166</f>
        <v>0.64176448760079519</v>
      </c>
      <c r="M166" s="4">
        <f t="shared" ca="1" si="13"/>
        <v>0.34104670109023738</v>
      </c>
      <c r="N166" s="13">
        <f ca="1">IF(Prices!B165&gt;OFFSET(Prices!B165,-$N$3,0),1,-1)</f>
        <v>-1</v>
      </c>
      <c r="O166" s="4">
        <f ca="1">IF(N166=1,O$3*L165/Prices!B165,-O$3*M165)</f>
        <v>-1.4210279212093224E-2</v>
      </c>
      <c r="P166" s="22"/>
      <c r="Q166" s="13">
        <f ca="1">Q165-T166*Prices!B166</f>
        <v>0.64206373641928038</v>
      </c>
      <c r="R166" s="4">
        <f t="shared" ca="1" si="12"/>
        <v>0.32889160871466111</v>
      </c>
      <c r="S166" s="13">
        <f ca="1">IF(Prices!B165&gt;OFFSET(Prices!B165,-S$3,0),1,-1)</f>
        <v>-1</v>
      </c>
      <c r="T166" s="4">
        <f ca="1">IF(S166=1,T$3*Q165/Prices!B165,-T$3*R165)</f>
        <v>-1.0171905424164776E-2</v>
      </c>
      <c r="V166" s="13"/>
      <c r="W166" s="4"/>
      <c r="X166" s="4"/>
      <c r="Y166" s="4"/>
      <c r="Z166" s="4"/>
      <c r="AA166" s="4"/>
      <c r="AB166" s="4"/>
      <c r="AC166" s="4"/>
      <c r="AD166" s="4"/>
      <c r="AE166" s="52"/>
    </row>
    <row r="167" spans="1:31" x14ac:dyDescent="0.2">
      <c r="A167" s="7">
        <v>42533</v>
      </c>
      <c r="B167" s="13">
        <f ca="1">Prices!B166*(1+J167/(50*(ABS(O167)+ABS(T167)+0.0001)))</f>
        <v>1.1713617424493472</v>
      </c>
      <c r="C167" s="62">
        <f t="shared" ca="1" si="15"/>
        <v>1</v>
      </c>
      <c r="D167" s="13">
        <f ca="1">D166+C167*(Prices!B167-Prices!B166)/Prices!B166</f>
        <v>0.13667337087163223</v>
      </c>
      <c r="E167" s="13">
        <f t="shared" ca="1" si="16"/>
        <v>1.3502044671846486E-2</v>
      </c>
      <c r="F167" s="13">
        <f t="shared" ca="1" si="14"/>
        <v>0.15017541554347871</v>
      </c>
      <c r="G167" s="21">
        <f ca="1">IF((Prices!B167-Prices!B166)*C167&gt;0,1,0)</f>
        <v>1</v>
      </c>
      <c r="H167" s="13">
        <f>ABS(Prices!B167-Prices!B166)/Prices!B166</f>
        <v>1.0666666666666637E-2</v>
      </c>
      <c r="I167" s="21"/>
      <c r="J167" s="4">
        <f t="shared" ca="1" si="17"/>
        <v>1.221547066675957E-2</v>
      </c>
      <c r="K167" s="13"/>
      <c r="L167" s="13">
        <f ca="1">L166-O167*Prices!B167</f>
        <v>0.61582008858205373</v>
      </c>
      <c r="M167" s="4">
        <f t="shared" ca="1" si="13"/>
        <v>0.36312892001843677</v>
      </c>
      <c r="N167" s="13">
        <f ca="1">IF(Prices!B166&gt;OFFSET(Prices!B166,-$N$3,0),1,-1)</f>
        <v>1</v>
      </c>
      <c r="O167" s="4">
        <f ca="1">IF(N167=1,O$3*L166/Prices!B166,-O$3*M166)</f>
        <v>2.2082218928199403E-2</v>
      </c>
      <c r="P167" s="22"/>
      <c r="Q167" s="13">
        <f ca="1">Q166-T167*Prices!B167</f>
        <v>0.65365617895164607</v>
      </c>
      <c r="R167" s="4">
        <f t="shared" ca="1" si="12"/>
        <v>0.31902486045322126</v>
      </c>
      <c r="S167" s="13">
        <f ca="1">IF(Prices!B166&gt;OFFSET(Prices!B166,-S$3,0),1,-1)</f>
        <v>-1</v>
      </c>
      <c r="T167" s="4">
        <f ca="1">IF(S167=1,T$3*Q166/Prices!B166,-T$3*R166)</f>
        <v>-9.8667482614398332E-3</v>
      </c>
      <c r="V167" s="13"/>
      <c r="W167" s="4"/>
      <c r="X167" s="4"/>
      <c r="Y167" s="4"/>
      <c r="Z167" s="4"/>
      <c r="AA167" s="4"/>
      <c r="AB167" s="4"/>
      <c r="AC167" s="4"/>
      <c r="AD167" s="4"/>
      <c r="AE167" s="52"/>
    </row>
    <row r="168" spans="1:31" x14ac:dyDescent="0.2">
      <c r="A168" s="7">
        <v>42540</v>
      </c>
      <c r="B168" s="13">
        <f ca="1">Prices!B167*(1+J168/(50*(ABS(O168)+ABS(T168)+0.0001)))</f>
        <v>1.198335764171947</v>
      </c>
      <c r="C168" s="62">
        <f t="shared" ca="1" si="15"/>
        <v>1</v>
      </c>
      <c r="D168" s="13">
        <f ca="1">D167+C168*(Prices!B168-Prices!B167)/Prices!B167</f>
        <v>0.12433189500134544</v>
      </c>
      <c r="E168" s="13">
        <f t="shared" ca="1" si="16"/>
        <v>2.5843520542133278E-2</v>
      </c>
      <c r="F168" s="13">
        <f t="shared" ca="1" si="14"/>
        <v>0.15017541554347871</v>
      </c>
      <c r="G168" s="21">
        <f ca="1">IF((Prices!B168-Prices!B167)*C168&gt;0,1,0)</f>
        <v>0</v>
      </c>
      <c r="H168" s="13">
        <f>ABS(Prices!B168-Prices!B167)/Prices!B167</f>
        <v>1.2341475870286797E-2</v>
      </c>
      <c r="I168" s="21"/>
      <c r="J168" s="4">
        <f t="shared" ca="1" si="17"/>
        <v>3.7656386851503555E-2</v>
      </c>
      <c r="K168" s="13"/>
      <c r="L168" s="13">
        <f ca="1">L167-O168*Prices!B168</f>
        <v>0.59149129018931856</v>
      </c>
      <c r="M168" s="4">
        <f t="shared" ca="1" si="13"/>
        <v>0.38409479246994938</v>
      </c>
      <c r="N168" s="13">
        <f ca="1">IF(Prices!B167&gt;OFFSET(Prices!B167,-$N$3,0),1,-1)</f>
        <v>1</v>
      </c>
      <c r="O168" s="4">
        <f ca="1">IF(N168=1,O$3*L167/Prices!B167,-O$3*M167)</f>
        <v>2.0965872451512595E-2</v>
      </c>
      <c r="P168" s="22"/>
      <c r="Q168" s="13">
        <f ca="1">Q167-T168*Prices!B168</f>
        <v>0.63428850604189657</v>
      </c>
      <c r="R168" s="4">
        <f t="shared" ca="1" si="12"/>
        <v>0.33571537485321223</v>
      </c>
      <c r="S168" s="13">
        <f ca="1">IF(Prices!B167&gt;OFFSET(Prices!B167,-S$3,0),1,-1)</f>
        <v>1</v>
      </c>
      <c r="T168" s="4">
        <f ca="1">IF(S168=1,T$3*Q167/Prices!B167,-T$3*R167)</f>
        <v>1.6690514399990961E-2</v>
      </c>
      <c r="V168" s="13"/>
      <c r="W168" s="4"/>
      <c r="X168" s="4"/>
      <c r="Y168" s="4"/>
      <c r="Z168" s="4"/>
      <c r="AA168" s="4"/>
      <c r="AB168" s="4"/>
      <c r="AC168" s="4"/>
      <c r="AD168" s="4"/>
      <c r="AE168" s="52"/>
    </row>
    <row r="169" spans="1:31" x14ac:dyDescent="0.2">
      <c r="A169" s="7">
        <v>42547</v>
      </c>
      <c r="B169" s="13">
        <f ca="1">Prices!B168*(1+J169/(50*(ABS(O169)+ABS(T169)+0.0001)))</f>
        <v>1.168235380133726</v>
      </c>
      <c r="C169" s="62">
        <f t="shared" ca="1" si="15"/>
        <v>1</v>
      </c>
      <c r="D169" s="13">
        <f ca="1">D168+C169*(Prices!B169-Prices!B168)/Prices!B168</f>
        <v>0.11743772057873254</v>
      </c>
      <c r="E169" s="13">
        <f t="shared" ca="1" si="16"/>
        <v>3.273769496474617E-2</v>
      </c>
      <c r="F169" s="13">
        <f t="shared" ca="1" si="14"/>
        <v>0.15017541554347871</v>
      </c>
      <c r="G169" s="21">
        <f ca="1">IF((Prices!B169-Prices!B168)*C169&gt;0,1,0)</f>
        <v>0</v>
      </c>
      <c r="H169" s="13">
        <f>ABS(Prices!B169-Prices!B168)/Prices!B168</f>
        <v>6.8941744226128972E-3</v>
      </c>
      <c r="I169" s="21"/>
      <c r="J169" s="4">
        <f t="shared" ca="1" si="17"/>
        <v>1.031775937451113E-2</v>
      </c>
      <c r="K169" s="13"/>
      <c r="L169" s="13">
        <f ca="1">L168-O169*Prices!B169</f>
        <v>0.56799475234670671</v>
      </c>
      <c r="M169" s="4">
        <f t="shared" ca="1" si="13"/>
        <v>0.40448401309005688</v>
      </c>
      <c r="N169" s="13">
        <f ca="1">IF(Prices!B168&gt;OFFSET(Prices!B168,-$N$3,0),1,-1)</f>
        <v>1</v>
      </c>
      <c r="O169" s="4">
        <f ca="1">IF(N169=1,O$3*L168/Prices!B168,-O$3*M168)</f>
        <v>2.0389220620107496E-2</v>
      </c>
      <c r="P169" s="22"/>
      <c r="Q169" s="13">
        <f ca="1">Q168-T169*Prices!B169</f>
        <v>0.64589485798132185</v>
      </c>
      <c r="R169" s="4">
        <f t="shared" ca="1" si="12"/>
        <v>0.32564391360761585</v>
      </c>
      <c r="S169" s="13">
        <f ca="1">IF(Prices!B168&gt;OFFSET(Prices!B168,-S$3,0),1,-1)</f>
        <v>-1</v>
      </c>
      <c r="T169" s="4">
        <f ca="1">IF(S169=1,T$3*Q168/Prices!B168,-T$3*R168)</f>
        <v>-1.0071461245596366E-2</v>
      </c>
      <c r="V169" s="13"/>
      <c r="W169" s="4"/>
      <c r="X169" s="4"/>
      <c r="Y169" s="4"/>
      <c r="Z169" s="4"/>
      <c r="AA169" s="4"/>
      <c r="AB169" s="4"/>
      <c r="AC169" s="4"/>
      <c r="AD169" s="4"/>
      <c r="AE169" s="52"/>
    </row>
    <row r="170" spans="1:31" x14ac:dyDescent="0.2">
      <c r="A170" s="7">
        <v>42554</v>
      </c>
      <c r="B170" s="13">
        <f ca="1">Prices!B169*(1+J170/(50*(ABS(O170)+ABS(T170)+0.0001)))</f>
        <v>1.129440480498167</v>
      </c>
      <c r="C170" s="62">
        <f t="shared" ca="1" si="15"/>
        <v>0</v>
      </c>
      <c r="D170" s="13">
        <f ca="1">D169+C170*(Prices!B170-Prices!B169)/Prices!B169</f>
        <v>0.11743772057873254</v>
      </c>
      <c r="E170" s="13">
        <f t="shared" ca="1" si="16"/>
        <v>3.273769496474617E-2</v>
      </c>
      <c r="F170" s="13">
        <f t="shared" ca="1" si="14"/>
        <v>0.15017541554347871</v>
      </c>
      <c r="G170" s="21">
        <f ca="1">IF((Prices!B170-Prices!B169)*C170&gt;0,1,0)</f>
        <v>0</v>
      </c>
      <c r="H170" s="13">
        <f>ABS(Prices!B170-Prices!B169)/Prices!B169</f>
        <v>3.1239153071848536E-3</v>
      </c>
      <c r="I170" s="21"/>
      <c r="J170" s="4">
        <f t="shared" ca="1" si="17"/>
        <v>-2.5948677931830751E-2</v>
      </c>
      <c r="K170" s="13"/>
      <c r="L170" s="13">
        <f ca="1">L169-O170*Prices!B170</f>
        <v>0.58669809311199095</v>
      </c>
      <c r="M170" s="4">
        <f t="shared" ca="1" si="13"/>
        <v>0.38830465256645463</v>
      </c>
      <c r="N170" s="13">
        <f ca="1">IF(Prices!B169&gt;OFFSET(Prices!B169,-$N$3,0),1,-1)</f>
        <v>-1</v>
      </c>
      <c r="O170" s="4">
        <f ca="1">IF(N170=1,O$3*L169/Prices!B169,-O$3*M169)</f>
        <v>-1.6179360523602276E-2</v>
      </c>
      <c r="P170" s="22"/>
      <c r="Q170" s="13">
        <f ca="1">Q169-T170*Prices!B170</f>
        <v>0.65718818890523401</v>
      </c>
      <c r="R170" s="4">
        <f t="shared" ca="1" si="12"/>
        <v>0.3158745961993874</v>
      </c>
      <c r="S170" s="13">
        <f ca="1">IF(Prices!B169&gt;OFFSET(Prices!B169,-S$3,0),1,-1)</f>
        <v>-1</v>
      </c>
      <c r="T170" s="4">
        <f ca="1">IF(S170=1,T$3*Q169/Prices!B169,-T$3*R169)</f>
        <v>-9.7693174082284749E-3</v>
      </c>
      <c r="V170" s="13"/>
      <c r="W170" s="4"/>
      <c r="X170" s="4"/>
      <c r="Y170" s="4"/>
      <c r="Z170" s="4"/>
      <c r="AA170" s="4"/>
      <c r="AB170" s="4"/>
      <c r="AC170" s="4"/>
      <c r="AD170" s="4"/>
      <c r="AE170" s="52"/>
    </row>
    <row r="171" spans="1:31" x14ac:dyDescent="0.2">
      <c r="A171" s="7">
        <v>42561</v>
      </c>
      <c r="B171" s="13">
        <f ca="1">Prices!B170*(1+J171/(50*(ABS(O171)+ABS(T171)+0.0001)))</f>
        <v>1.1329720806499461</v>
      </c>
      <c r="C171" s="62">
        <f t="shared" ca="1" si="15"/>
        <v>0</v>
      </c>
      <c r="D171" s="13">
        <f ca="1">D170+C171*(Prices!B171-Prices!B170)/Prices!B170</f>
        <v>0.11743772057873254</v>
      </c>
      <c r="E171" s="13">
        <f t="shared" ca="1" si="16"/>
        <v>3.273769496474617E-2</v>
      </c>
      <c r="F171" s="13">
        <f t="shared" ca="1" si="14"/>
        <v>0.15017541554347871</v>
      </c>
      <c r="G171" s="21">
        <f ca="1">IF((Prices!B171-Prices!B170)*C171&gt;0,1,0)</f>
        <v>0</v>
      </c>
      <c r="H171" s="13">
        <f>ABS(Prices!B171-Prices!B170)/Prices!B170</f>
        <v>3.979238754325206E-3</v>
      </c>
      <c r="I171" s="21"/>
      <c r="J171" s="4">
        <f t="shared" ca="1" si="17"/>
        <v>-2.5008423988639807E-2</v>
      </c>
      <c r="K171" s="13"/>
      <c r="L171" s="13">
        <f ca="1">L170-O171*Prices!B171</f>
        <v>0.60458185219059157</v>
      </c>
      <c r="M171" s="4">
        <f t="shared" ca="1" si="13"/>
        <v>0.37277246646379647</v>
      </c>
      <c r="N171" s="13">
        <f ca="1">IF(Prices!B170&gt;OFFSET(Prices!B170,-$N$3,0),1,-1)</f>
        <v>-1</v>
      </c>
      <c r="O171" s="4">
        <f ca="1">IF(N171=1,O$3*L170/Prices!B170,-O$3*M170)</f>
        <v>-1.5532186102658186E-2</v>
      </c>
      <c r="P171" s="22"/>
      <c r="Q171" s="13">
        <f ca="1">Q170-T171*Prices!B171</f>
        <v>0.6680991292071532</v>
      </c>
      <c r="R171" s="4">
        <f t="shared" ca="1" si="12"/>
        <v>0.30639835831340578</v>
      </c>
      <c r="S171" s="13">
        <f ca="1">IF(Prices!B170&gt;OFFSET(Prices!B170,-S$3,0),1,-1)</f>
        <v>-1</v>
      </c>
      <c r="T171" s="4">
        <f ca="1">IF(S171=1,T$3*Q170/Prices!B170,-T$3*R170)</f>
        <v>-9.4762378859816216E-3</v>
      </c>
      <c r="V171" s="13"/>
      <c r="W171" s="4"/>
      <c r="X171" s="4"/>
      <c r="Y171" s="4"/>
      <c r="Z171" s="4"/>
      <c r="AA171" s="4"/>
      <c r="AB171" s="4"/>
      <c r="AC171" s="4"/>
      <c r="AD171" s="4"/>
      <c r="AE171" s="52"/>
    </row>
    <row r="172" spans="1:31" x14ac:dyDescent="0.2">
      <c r="A172" s="7">
        <v>42568</v>
      </c>
      <c r="B172" s="13">
        <f ca="1">Prices!B171*(1+J172/(50*(ABS(O172)+ABS(T172)+0.0001)))</f>
        <v>1.1284671458219313</v>
      </c>
      <c r="C172" s="62">
        <f t="shared" ca="1" si="15"/>
        <v>0</v>
      </c>
      <c r="D172" s="13">
        <f ca="1">D171+C172*(Prices!B172-Prices!B171)/Prices!B171</f>
        <v>0.11743772057873254</v>
      </c>
      <c r="E172" s="13">
        <f t="shared" ca="1" si="16"/>
        <v>3.273769496474617E-2</v>
      </c>
      <c r="F172" s="13">
        <f t="shared" ca="1" si="14"/>
        <v>0.15017541554347871</v>
      </c>
      <c r="G172" s="21">
        <f ca="1">IF((Prices!B172-Prices!B171)*C172&gt;0,1,0)</f>
        <v>0</v>
      </c>
      <c r="H172" s="13">
        <f>ABS(Prices!B172-Prices!B171)/Prices!B171</f>
        <v>9.6404377279832275E-3</v>
      </c>
      <c r="I172" s="21"/>
      <c r="J172" s="4">
        <f t="shared" ca="1" si="17"/>
        <v>-2.4102849407954034E-2</v>
      </c>
      <c r="K172" s="13"/>
      <c r="L172" s="13">
        <f ca="1">L171-O172*Prices!B172</f>
        <v>0.62158474993093826</v>
      </c>
      <c r="M172" s="4">
        <f t="shared" ca="1" si="13"/>
        <v>0.35786156780524458</v>
      </c>
      <c r="N172" s="13">
        <f ca="1">IF(Prices!B171&gt;OFFSET(Prices!B171,-$N$3,0),1,-1)</f>
        <v>-1</v>
      </c>
      <c r="O172" s="4">
        <f ca="1">IF(N172=1,O$3*L171/Prices!B171,-O$3*M171)</f>
        <v>-1.4910898658551859E-2</v>
      </c>
      <c r="P172" s="22"/>
      <c r="Q172" s="13">
        <f ca="1">Q171-T172*Prices!B172</f>
        <v>0.67858071064669645</v>
      </c>
      <c r="R172" s="4">
        <f t="shared" ca="1" si="12"/>
        <v>0.29720640756400363</v>
      </c>
      <c r="S172" s="13">
        <f ca="1">IF(Prices!B171&gt;OFFSET(Prices!B171,-S$3,0),1,-1)</f>
        <v>-1</v>
      </c>
      <c r="T172" s="4">
        <f ca="1">IF(S172=1,T$3*Q171/Prices!B171,-T$3*R171)</f>
        <v>-9.1919507494021731E-3</v>
      </c>
      <c r="V172" s="13"/>
      <c r="W172" s="4"/>
      <c r="X172" s="4"/>
      <c r="Y172" s="4"/>
      <c r="Z172" s="4"/>
      <c r="AA172" s="4"/>
      <c r="AB172" s="4"/>
      <c r="AC172" s="4"/>
      <c r="AD172" s="4"/>
      <c r="AE172" s="52"/>
    </row>
    <row r="173" spans="1:31" x14ac:dyDescent="0.2">
      <c r="A173" s="7">
        <v>42575</v>
      </c>
      <c r="B173" s="13">
        <f ca="1">Prices!B172*(1+J173/(50*(ABS(O173)+ABS(T173)+0.0001)))</f>
        <v>1.1175917512206988</v>
      </c>
      <c r="C173" s="62">
        <f t="shared" ca="1" si="15"/>
        <v>0</v>
      </c>
      <c r="D173" s="13">
        <f ca="1">D172+C173*(Prices!B173-Prices!B172)/Prices!B172</f>
        <v>0.11743772057873254</v>
      </c>
      <c r="E173" s="13">
        <f t="shared" ca="1" si="16"/>
        <v>3.273769496474617E-2</v>
      </c>
      <c r="F173" s="13">
        <f t="shared" ca="1" si="14"/>
        <v>0.15017541554347871</v>
      </c>
      <c r="G173" s="21">
        <f ca="1">IF((Prices!B173-Prices!B172)*C173&gt;0,1,0)</f>
        <v>0</v>
      </c>
      <c r="H173" s="13">
        <f>ABS(Prices!B173-Prices!B172)/Prices!B172</f>
        <v>1.3154433043936304E-3</v>
      </c>
      <c r="I173" s="21"/>
      <c r="J173" s="4">
        <f t="shared" ca="1" si="17"/>
        <v>-2.3230654939129895E-2</v>
      </c>
      <c r="K173" s="13"/>
      <c r="L173" s="13">
        <f ca="1">L172-O173*Prices!B173</f>
        <v>0.63788606006760273</v>
      </c>
      <c r="M173" s="4">
        <f t="shared" ca="1" si="13"/>
        <v>0.34354710509303482</v>
      </c>
      <c r="N173" s="13">
        <f ca="1">IF(Prices!B172&gt;OFFSET(Prices!B172,-$N$3,0),1,-1)</f>
        <v>-1</v>
      </c>
      <c r="O173" s="4">
        <f ca="1">IF(N173=1,O$3*L172/Prices!B172,-O$3*M172)</f>
        <v>-1.4314462712209784E-2</v>
      </c>
      <c r="P173" s="22"/>
      <c r="Q173" s="13">
        <f ca="1">Q172-T173*Prices!B173</f>
        <v>0.68873447035471302</v>
      </c>
      <c r="R173" s="4">
        <f t="shared" ca="1" si="12"/>
        <v>0.28829021533708354</v>
      </c>
      <c r="S173" s="13">
        <f ca="1">IF(Prices!B172&gt;OFFSET(Prices!B172,-S$3,0),1,-1)</f>
        <v>-1</v>
      </c>
      <c r="T173" s="4">
        <f ca="1">IF(S173=1,T$3*Q172/Prices!B172,-T$3*R172)</f>
        <v>-8.9161922269201093E-3</v>
      </c>
      <c r="V173" s="13"/>
      <c r="W173" s="4"/>
      <c r="X173" s="4"/>
      <c r="Y173" s="4"/>
      <c r="Z173" s="4"/>
      <c r="AA173" s="4"/>
      <c r="AB173" s="4"/>
      <c r="AC173" s="4"/>
      <c r="AD173" s="4"/>
      <c r="AE173" s="52"/>
    </row>
    <row r="174" spans="1:31" x14ac:dyDescent="0.2">
      <c r="A174" s="7">
        <v>42582</v>
      </c>
      <c r="B174" s="13">
        <f ca="1">Prices!B173*(1+J174/(50*(ABS(O174)+ABS(T174)+0.0001)))</f>
        <v>1.1161252690166321</v>
      </c>
      <c r="C174" s="62">
        <f t="shared" ca="1" si="15"/>
        <v>0</v>
      </c>
      <c r="D174" s="13">
        <f ca="1">D173+C174*(Prices!B174-Prices!B173)/Prices!B173</f>
        <v>0.11743772057873254</v>
      </c>
      <c r="E174" s="13">
        <f t="shared" ca="1" si="16"/>
        <v>3.273769496474617E-2</v>
      </c>
      <c r="F174" s="13">
        <f t="shared" ca="1" si="14"/>
        <v>0.15017541554347871</v>
      </c>
      <c r="G174" s="21">
        <f ca="1">IF((Prices!B174-Prices!B173)*C174&gt;0,1,0)</f>
        <v>0</v>
      </c>
      <c r="H174" s="13">
        <f>ABS(Prices!B174-Prices!B173)/Prices!B173</f>
        <v>4.5662100456621826E-3</v>
      </c>
      <c r="I174" s="21"/>
      <c r="J174" s="4">
        <f t="shared" ca="1" si="17"/>
        <v>-2.2390590663833899E-2</v>
      </c>
      <c r="K174" s="13"/>
      <c r="L174" s="13">
        <f ca="1">L173-O174*Prices!B174</f>
        <v>0.65346386000094125</v>
      </c>
      <c r="M174" s="4">
        <f t="shared" ca="1" si="13"/>
        <v>0.32980522088931341</v>
      </c>
      <c r="N174" s="13">
        <f ca="1">IF(Prices!B173&gt;OFFSET(Prices!B173,-$N$3,0),1,-1)</f>
        <v>-1</v>
      </c>
      <c r="O174" s="4">
        <f ca="1">IF(N174=1,O$3*L173/Prices!B173,-O$3*M173)</f>
        <v>-1.3741884203721393E-2</v>
      </c>
      <c r="P174" s="22"/>
      <c r="Q174" s="13">
        <f ca="1">Q173-T174*Prices!B174</f>
        <v>0.69853864399789656</v>
      </c>
      <c r="R174" s="4">
        <f t="shared" ca="1" si="12"/>
        <v>0.27964150887697103</v>
      </c>
      <c r="S174" s="13">
        <f ca="1">IF(Prices!B173&gt;OFFSET(Prices!B173,-S$3,0),1,-1)</f>
        <v>-1</v>
      </c>
      <c r="T174" s="4">
        <f ca="1">IF(S174=1,T$3*Q173/Prices!B173,-T$3*R173)</f>
        <v>-8.6487064601125062E-3</v>
      </c>
      <c r="V174" s="13"/>
      <c r="W174" s="4"/>
      <c r="X174" s="4"/>
      <c r="Y174" s="4"/>
      <c r="Z174" s="4"/>
      <c r="AA174" s="4"/>
      <c r="AB174" s="4"/>
      <c r="AC174" s="4"/>
      <c r="AD174" s="4"/>
      <c r="AE174" s="52"/>
    </row>
    <row r="175" spans="1:31" x14ac:dyDescent="0.2">
      <c r="A175" s="7">
        <v>42589</v>
      </c>
      <c r="B175" s="13">
        <f ca="1">Prices!B174*(1+J175/(50*(ABS(O175)+ABS(T175)+0.0001)))</f>
        <v>1.1110325686322211</v>
      </c>
      <c r="C175" s="62">
        <f t="shared" ca="1" si="15"/>
        <v>0</v>
      </c>
      <c r="D175" s="13">
        <f ca="1">D174+C175*(Prices!B175-Prices!B174)/Prices!B174</f>
        <v>0.11743772057873254</v>
      </c>
      <c r="E175" s="13">
        <f t="shared" ca="1" si="16"/>
        <v>3.273769496474617E-2</v>
      </c>
      <c r="F175" s="13">
        <f t="shared" ca="1" si="14"/>
        <v>0.15017541554347871</v>
      </c>
      <c r="G175" s="21">
        <f ca="1">IF((Prices!B175-Prices!B174)*C175&gt;0,1,0)</f>
        <v>0</v>
      </c>
      <c r="H175" s="13">
        <f>ABS(Prices!B175-Prices!B174)/Prices!B174</f>
        <v>6.9689484827099666E-3</v>
      </c>
      <c r="I175" s="21"/>
      <c r="J175" s="4">
        <f t="shared" ca="1" si="17"/>
        <v>-2.158145410188167E-2</v>
      </c>
      <c r="K175" s="13"/>
      <c r="L175" s="13">
        <f ca="1">L174-O175*Prices!B175</f>
        <v>0.66852276638674735</v>
      </c>
      <c r="M175" s="4">
        <f t="shared" ca="1" si="13"/>
        <v>0.31661301205374087</v>
      </c>
      <c r="N175" s="13">
        <f ca="1">IF(Prices!B174&gt;OFFSET(Prices!B174,-$N$3,0),1,-1)</f>
        <v>-1</v>
      </c>
      <c r="O175" s="4">
        <f ca="1">IF(N175=1,O$3*L174/Prices!B174,-O$3*M174)</f>
        <v>-1.3192208835572537E-2</v>
      </c>
      <c r="P175" s="22"/>
      <c r="Q175" s="13">
        <f ca="1">Q174-T175*Prices!B175</f>
        <v>0.7081149674693884</v>
      </c>
      <c r="R175" s="4">
        <f t="shared" ca="1" si="12"/>
        <v>0.2712522636106619</v>
      </c>
      <c r="S175" s="13">
        <f ca="1">IF(Prices!B174&gt;OFFSET(Prices!B174,-S$3,0),1,-1)</f>
        <v>-1</v>
      </c>
      <c r="T175" s="4">
        <f ca="1">IF(S175=1,T$3*Q174/Prices!B174,-T$3*R174)</f>
        <v>-8.389245266309131E-3</v>
      </c>
      <c r="V175" s="13"/>
      <c r="W175" s="4"/>
      <c r="X175" s="4"/>
      <c r="Y175" s="4"/>
      <c r="Z175" s="4"/>
      <c r="AA175" s="4"/>
      <c r="AB175" s="4"/>
      <c r="AC175" s="4"/>
      <c r="AD175" s="4"/>
      <c r="AE175" s="52"/>
    </row>
    <row r="176" spans="1:31" x14ac:dyDescent="0.2">
      <c r="A176" s="7">
        <v>42596</v>
      </c>
      <c r="B176" s="13">
        <f ca="1">Prices!B175*(1+J176/(50*(ABS(O176)+ABS(T176)+0.0001)))</f>
        <v>1.1187792235358185</v>
      </c>
      <c r="C176" s="62">
        <f t="shared" ca="1" si="15"/>
        <v>0</v>
      </c>
      <c r="D176" s="13">
        <f ca="1">D175+C176*(Prices!B176-Prices!B175)/Prices!B175</f>
        <v>0.11743772057873254</v>
      </c>
      <c r="E176" s="13">
        <f t="shared" ca="1" si="16"/>
        <v>3.273769496474617E-2</v>
      </c>
      <c r="F176" s="13">
        <f t="shared" ca="1" si="14"/>
        <v>0.15017541554347871</v>
      </c>
      <c r="G176" s="21">
        <f ca="1">IF((Prices!B176-Prices!B175)*C176&gt;0,1,0)</f>
        <v>0</v>
      </c>
      <c r="H176" s="13">
        <f>ABS(Prices!B176-Prices!B175)/Prices!B175</f>
        <v>6.8331143232588957E-3</v>
      </c>
      <c r="I176" s="21"/>
      <c r="J176" s="4">
        <f t="shared" ca="1" si="17"/>
        <v>-2.0802088390469493E-2</v>
      </c>
      <c r="K176" s="13"/>
      <c r="L176" s="13">
        <f ca="1">L175-O176*Prices!B176</f>
        <v>0.68288053325736042</v>
      </c>
      <c r="M176" s="4">
        <f t="shared" ca="1" si="13"/>
        <v>0.30394849157159126</v>
      </c>
      <c r="N176" s="13">
        <f ca="1">IF(Prices!B175&gt;OFFSET(Prices!B175,-$N$3,0),1,-1)</f>
        <v>-1</v>
      </c>
      <c r="O176" s="4">
        <f ca="1">IF(N176=1,O$3*L175/Prices!B175,-O$3*M175)</f>
        <v>-1.2664520482149635E-2</v>
      </c>
      <c r="P176" s="22"/>
      <c r="Q176" s="13">
        <f ca="1">Q175-T176*Prices!B176</f>
        <v>0.71734052820705063</v>
      </c>
      <c r="R176" s="4">
        <f t="shared" ca="1" si="12"/>
        <v>0.26311469570234203</v>
      </c>
      <c r="S176" s="13">
        <f ca="1">IF(Prices!B175&gt;OFFSET(Prices!B175,-S$3,0),1,-1)</f>
        <v>-1</v>
      </c>
      <c r="T176" s="4">
        <f ca="1">IF(S176=1,T$3*Q175/Prices!B175,-T$3*R175)</f>
        <v>-8.1375679083198569E-3</v>
      </c>
      <c r="V176" s="13"/>
      <c r="W176" s="4"/>
      <c r="X176" s="4"/>
      <c r="Y176" s="4"/>
      <c r="Z176" s="4"/>
      <c r="AA176" s="4"/>
      <c r="AB176" s="4"/>
      <c r="AC176" s="4"/>
      <c r="AD176" s="4"/>
      <c r="AE176" s="52"/>
    </row>
    <row r="177" spans="1:31" x14ac:dyDescent="0.2">
      <c r="A177" s="7">
        <v>42603</v>
      </c>
      <c r="B177" s="13">
        <f ca="1">Prices!B176*(1+J177/(50*(ABS(O177)+ABS(T177)+0.0001)))</f>
        <v>1.1111385183456379</v>
      </c>
      <c r="C177" s="62">
        <f t="shared" ca="1" si="15"/>
        <v>0</v>
      </c>
      <c r="D177" s="13">
        <f ca="1">D176+C177*(Prices!B177-Prices!B176)/Prices!B176</f>
        <v>0.11743772057873254</v>
      </c>
      <c r="E177" s="13">
        <f t="shared" ca="1" si="16"/>
        <v>3.273769496474617E-2</v>
      </c>
      <c r="F177" s="13">
        <f t="shared" ca="1" si="14"/>
        <v>0.15017541554347871</v>
      </c>
      <c r="G177" s="21">
        <f ca="1">IF((Prices!B177-Prices!B176)*C177&gt;0,1,0)</f>
        <v>0</v>
      </c>
      <c r="H177" s="13">
        <f>ABS(Prices!B177-Prices!B176)/Prices!B176</f>
        <v>1.7641351327511703E-3</v>
      </c>
      <c r="I177" s="21"/>
      <c r="J177" s="4">
        <f t="shared" ca="1" si="17"/>
        <v>-2.0051380533933912E-2</v>
      </c>
      <c r="K177" s="13"/>
      <c r="L177" s="13">
        <f ca="1">L176-O177*Prices!B177</f>
        <v>0.69663967357382317</v>
      </c>
      <c r="M177" s="4">
        <f t="shared" ca="1" si="13"/>
        <v>0.2917905519087276</v>
      </c>
      <c r="N177" s="13">
        <f ca="1">IF(Prices!B176&gt;OFFSET(Prices!B176,-$N$3,0),1,-1)</f>
        <v>-1</v>
      </c>
      <c r="O177" s="4">
        <f ca="1">IF(N177=1,O$3*L176/Prices!B176,-O$3*M176)</f>
        <v>-1.2157939662863651E-2</v>
      </c>
      <c r="P177" s="22"/>
      <c r="Q177" s="13">
        <f ca="1">Q176-T177*Prices!B177</f>
        <v>0.72627353524084082</v>
      </c>
      <c r="R177" s="4">
        <f t="shared" ca="1" si="12"/>
        <v>0.25522125483127178</v>
      </c>
      <c r="S177" s="13">
        <f ca="1">IF(Prices!B176&gt;OFFSET(Prices!B176,-S$3,0),1,-1)</f>
        <v>-1</v>
      </c>
      <c r="T177" s="4">
        <f ca="1">IF(S177=1,T$3*Q176/Prices!B176,-T$3*R176)</f>
        <v>-7.8934408710702609E-3</v>
      </c>
      <c r="V177" s="13"/>
      <c r="W177" s="4"/>
      <c r="X177" s="4"/>
      <c r="Y177" s="4"/>
      <c r="Z177" s="4"/>
      <c r="AA177" s="4"/>
      <c r="AB177" s="4"/>
      <c r="AC177" s="4"/>
      <c r="AD177" s="4"/>
      <c r="AE177" s="52"/>
    </row>
    <row r="178" spans="1:31" x14ac:dyDescent="0.2">
      <c r="A178" s="7">
        <v>42610</v>
      </c>
      <c r="B178" s="13">
        <f ca="1">Prices!B177*(1+J178/(50*(ABS(O178)+ABS(T178)+0.0001)))</f>
        <v>1.1091825003985158</v>
      </c>
      <c r="C178" s="62">
        <f t="shared" ca="1" si="15"/>
        <v>0</v>
      </c>
      <c r="D178" s="13">
        <f ca="1">D177+C178*(Prices!B178-Prices!B177)/Prices!B177</f>
        <v>0.11743772057873254</v>
      </c>
      <c r="E178" s="13">
        <f t="shared" ca="1" si="16"/>
        <v>3.273769496474617E-2</v>
      </c>
      <c r="F178" s="13">
        <f t="shared" ca="1" si="14"/>
        <v>0.15017541554347871</v>
      </c>
      <c r="G178" s="21">
        <f ca="1">IF((Prices!B178-Prices!B177)*C178&gt;0,1,0)</f>
        <v>0</v>
      </c>
      <c r="H178" s="13">
        <f>ABS(Prices!B178-Prices!B177)/Prices!B177</f>
        <v>5.4784836970928549E-3</v>
      </c>
      <c r="I178" s="21"/>
      <c r="J178" s="4">
        <f t="shared" ca="1" si="17"/>
        <v>-1.9328259721287256E-2</v>
      </c>
      <c r="K178" s="13"/>
      <c r="L178" s="13">
        <f ca="1">L177-O178*Prices!B178</f>
        <v>0.70992081233450077</v>
      </c>
      <c r="M178" s="4">
        <f t="shared" ca="1" si="13"/>
        <v>0.28011892983237852</v>
      </c>
      <c r="N178" s="13">
        <f ca="1">IF(Prices!B177&gt;OFFSET(Prices!B177,-$N$3,0),1,-1)</f>
        <v>-1</v>
      </c>
      <c r="O178" s="4">
        <f ca="1">IF(N178=1,O$3*L177/Prices!B177,-O$3*M177)</f>
        <v>-1.1671622076349104E-2</v>
      </c>
      <c r="P178" s="22"/>
      <c r="Q178" s="13">
        <f ca="1">Q177-T178*Prices!B178</f>
        <v>0.73498602321701589</v>
      </c>
      <c r="R178" s="4">
        <f t="shared" ca="1" si="12"/>
        <v>0.24756461718633363</v>
      </c>
      <c r="S178" s="13">
        <f ca="1">IF(Prices!B177&gt;OFFSET(Prices!B177,-S$3,0),1,-1)</f>
        <v>-1</v>
      </c>
      <c r="T178" s="4">
        <f ca="1">IF(S178=1,T$3*Q177/Prices!B177,-T$3*R177)</f>
        <v>-7.6566376449381532E-3</v>
      </c>
      <c r="V178" s="13"/>
      <c r="W178" s="4"/>
      <c r="X178" s="4"/>
      <c r="Y178" s="4"/>
      <c r="Z178" s="4"/>
      <c r="AA178" s="4"/>
      <c r="AB178" s="4"/>
      <c r="AC178" s="4"/>
      <c r="AD178" s="4"/>
      <c r="AE178" s="52"/>
    </row>
    <row r="179" spans="1:31" x14ac:dyDescent="0.2">
      <c r="A179" s="7">
        <v>42617</v>
      </c>
      <c r="B179" s="13">
        <f ca="1">Prices!B178*(1+J179/(50*(ABS(O179)+ABS(T179)+0.0001)))</f>
        <v>1.1152634946065412</v>
      </c>
      <c r="C179" s="62">
        <f t="shared" ca="1" si="15"/>
        <v>0</v>
      </c>
      <c r="D179" s="13">
        <f ca="1">D178+C179*(Prices!B179-Prices!B178)/Prices!B178</f>
        <v>0.11743772057873254</v>
      </c>
      <c r="E179" s="13">
        <f t="shared" ca="1" si="16"/>
        <v>3.273769496474617E-2</v>
      </c>
      <c r="F179" s="13">
        <f t="shared" ca="1" si="14"/>
        <v>0.15017541554347871</v>
      </c>
      <c r="G179" s="21">
        <f ca="1">IF((Prices!B179-Prices!B178)*C179&gt;0,1,0)</f>
        <v>0</v>
      </c>
      <c r="H179" s="13">
        <f>ABS(Prices!B179-Prices!B178)/Prices!B178</f>
        <v>6.4153264786008107E-3</v>
      </c>
      <c r="I179" s="21"/>
      <c r="J179" s="4">
        <f t="shared" ca="1" si="17"/>
        <v>-1.8631695708885149E-2</v>
      </c>
      <c r="K179" s="13"/>
      <c r="L179" s="13">
        <f ca="1">L178-O179*Prices!B179</f>
        <v>0.7225889108172403</v>
      </c>
      <c r="M179" s="4">
        <f t="shared" ca="1" si="13"/>
        <v>0.26891417263908335</v>
      </c>
      <c r="N179" s="13">
        <f ca="1">IF(Prices!B178&gt;OFFSET(Prices!B178,-$N$3,0),1,-1)</f>
        <v>-1</v>
      </c>
      <c r="O179" s="4">
        <f ca="1">IF(N179=1,O$3*L178/Prices!B178,-O$3*M178)</f>
        <v>-1.1204757193295141E-2</v>
      </c>
      <c r="P179" s="22"/>
      <c r="Q179" s="13">
        <f ca="1">Q178-T179*Prices!B179</f>
        <v>0.74338291990274197</v>
      </c>
      <c r="R179" s="4">
        <f t="shared" ca="1" si="12"/>
        <v>0.24013767867074362</v>
      </c>
      <c r="S179" s="13">
        <f ca="1">IF(Prices!B178&gt;OFFSET(Prices!B178,-S$3,0),1,-1)</f>
        <v>-1</v>
      </c>
      <c r="T179" s="4">
        <f ca="1">IF(S179=1,T$3*Q178/Prices!B178,-T$3*R178)</f>
        <v>-7.4269385155900083E-3</v>
      </c>
      <c r="V179" s="13"/>
      <c r="W179" s="4"/>
      <c r="X179" s="4"/>
      <c r="Y179" s="4"/>
      <c r="Z179" s="4"/>
      <c r="AA179" s="4"/>
      <c r="AB179" s="4"/>
      <c r="AC179" s="4"/>
      <c r="AD179" s="4"/>
      <c r="AE179" s="52"/>
    </row>
    <row r="180" spans="1:31" x14ac:dyDescent="0.2">
      <c r="A180" s="7">
        <v>42624</v>
      </c>
      <c r="B180" s="13">
        <f ca="1">Prices!B179*(1+J180/(50*(ABS(O180)+ABS(T180)+0.0001)))</f>
        <v>1.1081132000388876</v>
      </c>
      <c r="C180" s="62">
        <f t="shared" ca="1" si="15"/>
        <v>0</v>
      </c>
      <c r="D180" s="13">
        <f ca="1">D179+C180*(Prices!B180-Prices!B179)/Prices!B179</f>
        <v>0.11743772057873254</v>
      </c>
      <c r="E180" s="13">
        <f t="shared" ca="1" si="16"/>
        <v>3.273769496474617E-2</v>
      </c>
      <c r="F180" s="13">
        <f t="shared" ca="1" si="14"/>
        <v>0.15017541554347871</v>
      </c>
      <c r="G180" s="21">
        <f ca="1">IF((Prices!B180-Prices!B179)*C180&gt;0,1,0)</f>
        <v>0</v>
      </c>
      <c r="H180" s="13">
        <f>ABS(Prices!B180-Prices!B179)/Prices!B179</f>
        <v>5.8376083495488579E-3</v>
      </c>
      <c r="I180" s="21"/>
      <c r="J180" s="4">
        <f t="shared" ca="1" si="17"/>
        <v>-1.7960697265685645E-2</v>
      </c>
      <c r="K180" s="13"/>
      <c r="L180" s="13">
        <f ca="1">L179-O180*Prices!B180</f>
        <v>0.73482127870224689</v>
      </c>
      <c r="M180" s="4">
        <f t="shared" ca="1" si="13"/>
        <v>0.25815760573352003</v>
      </c>
      <c r="N180" s="13">
        <f ca="1">IF(Prices!B179&gt;OFFSET(Prices!B179,-$N$3,0),1,-1)</f>
        <v>-1</v>
      </c>
      <c r="O180" s="4">
        <f ca="1">IF(N180=1,O$3*L179/Prices!B179,-O$3*M179)</f>
        <v>-1.0756566905563335E-2</v>
      </c>
      <c r="P180" s="22"/>
      <c r="Q180" s="13">
        <f ca="1">Q179-T180*Prices!B180</f>
        <v>0.7515754569482731</v>
      </c>
      <c r="R180" s="4">
        <f t="shared" ca="1" si="12"/>
        <v>0.23293354831062132</v>
      </c>
      <c r="S180" s="13">
        <f ca="1">IF(Prices!B179&gt;OFFSET(Prices!B179,-S$3,0),1,-1)</f>
        <v>-1</v>
      </c>
      <c r="T180" s="4">
        <f ca="1">IF(S180=1,T$3*Q179/Prices!B179,-T$3*R179)</f>
        <v>-7.2041303601223083E-3</v>
      </c>
      <c r="V180" s="13"/>
      <c r="W180" s="4"/>
      <c r="X180" s="4"/>
      <c r="Y180" s="4"/>
      <c r="Z180" s="4"/>
      <c r="AA180" s="4"/>
      <c r="AB180" s="4"/>
      <c r="AC180" s="4"/>
      <c r="AD180" s="4"/>
      <c r="AE180" s="52"/>
    </row>
    <row r="181" spans="1:31" x14ac:dyDescent="0.2">
      <c r="A181" s="7">
        <v>42631</v>
      </c>
      <c r="B181" s="13">
        <f ca="1">Prices!B180*(1+J181/(50*(ABS(O181)+ABS(T181)+0.0001)))</f>
        <v>1.150223404025956</v>
      </c>
      <c r="C181" s="62">
        <f t="shared" ca="1" si="15"/>
        <v>1</v>
      </c>
      <c r="D181" s="13">
        <f ca="1">D180+C181*(Prices!B181-Prices!B180)/Prices!B180</f>
        <v>0.12376906071239425</v>
      </c>
      <c r="E181" s="13">
        <f t="shared" ca="1" si="16"/>
        <v>2.6406354831084458E-2</v>
      </c>
      <c r="F181" s="13">
        <f t="shared" ca="1" si="14"/>
        <v>0.15017541554347871</v>
      </c>
      <c r="G181" s="21">
        <f ca="1">IF((Prices!B181-Prices!B180)*C181&gt;0,1,0)</f>
        <v>1</v>
      </c>
      <c r="H181" s="13">
        <f>ABS(Prices!B181-Prices!B180)/Prices!B180</f>
        <v>6.3313401336617088E-3</v>
      </c>
      <c r="I181" s="21"/>
      <c r="J181" s="4">
        <f t="shared" ca="1" si="17"/>
        <v>1.8858679400215194E-2</v>
      </c>
      <c r="K181" s="13"/>
      <c r="L181" s="13">
        <f ca="1">L180-O181*Prices!B181</f>
        <v>0.70524233141604042</v>
      </c>
      <c r="M181" s="4">
        <f t="shared" ca="1" si="13"/>
        <v>0.28400429158305385</v>
      </c>
      <c r="N181" s="13">
        <f ca="1">IF(Prices!B180&gt;OFFSET(Prices!B180,-$N$3,0),1,-1)</f>
        <v>1</v>
      </c>
      <c r="O181" s="4">
        <f ca="1">IF(N181=1,O$3*L180/Prices!B180,-O$3*M180)</f>
        <v>2.5846685849533833E-2</v>
      </c>
      <c r="P181" s="22"/>
      <c r="Q181" s="13">
        <f ca="1">Q180-T181*Prices!B181</f>
        <v>0.75957253152887338</v>
      </c>
      <c r="R181" s="4">
        <f t="shared" ca="1" si="12"/>
        <v>0.2259455418613027</v>
      </c>
      <c r="S181" s="13">
        <f ca="1">IF(Prices!B180&gt;OFFSET(Prices!B180,-S$3,0),1,-1)</f>
        <v>-1</v>
      </c>
      <c r="T181" s="4">
        <f ca="1">IF(S181=1,T$3*Q180/Prices!B180,-T$3*R180)</f>
        <v>-6.9880064493186393E-3</v>
      </c>
      <c r="V181" s="13"/>
      <c r="W181" s="4"/>
      <c r="X181" s="4"/>
      <c r="Y181" s="4"/>
      <c r="Z181" s="4"/>
      <c r="AA181" s="4"/>
      <c r="AB181" s="4"/>
      <c r="AC181" s="4"/>
      <c r="AD181" s="4"/>
      <c r="AE181" s="52"/>
    </row>
    <row r="182" spans="1:31" x14ac:dyDescent="0.2">
      <c r="A182" s="7">
        <v>42638</v>
      </c>
      <c r="B182" s="13">
        <f ca="1">Prices!B181*(1+J182/(50*(ABS(O182)+ABS(T182)+0.0001)))</f>
        <v>1.1573739666984006</v>
      </c>
      <c r="C182" s="62">
        <f t="shared" ca="1" si="15"/>
        <v>1</v>
      </c>
      <c r="D182" s="13">
        <f ca="1">D181+C182*(Prices!B182-Prices!B181)/Prices!B181</f>
        <v>0.11948734103396003</v>
      </c>
      <c r="E182" s="13">
        <f t="shared" ca="1" si="16"/>
        <v>3.0688074509518687E-2</v>
      </c>
      <c r="F182" s="13">
        <f t="shared" ca="1" si="14"/>
        <v>0.15017541554347871</v>
      </c>
      <c r="G182" s="21">
        <f ca="1">IF((Prices!B182-Prices!B181)*C182&gt;0,1,0)</f>
        <v>0</v>
      </c>
      <c r="H182" s="13">
        <f>ABS(Prices!B182-Prices!B181)/Prices!B181</f>
        <v>4.2817196784342244E-3</v>
      </c>
      <c r="I182" s="21"/>
      <c r="J182" s="4">
        <f t="shared" ca="1" si="17"/>
        <v>1.7871837568559396E-2</v>
      </c>
      <c r="K182" s="13"/>
      <c r="L182" s="13">
        <f ca="1">L181-O182*Prices!B182</f>
        <v>0.6771534241581384</v>
      </c>
      <c r="M182" s="4">
        <f t="shared" ca="1" si="13"/>
        <v>0.30865449540745232</v>
      </c>
      <c r="N182" s="13">
        <f ca="1">IF(Prices!B181&gt;OFFSET(Prices!B181,-$N$3,0),1,-1)</f>
        <v>1</v>
      </c>
      <c r="O182" s="4">
        <f ca="1">IF(N182=1,O$3*L181/Prices!B181,-O$3*M181)</f>
        <v>2.4650203824398476E-2</v>
      </c>
      <c r="P182" s="22"/>
      <c r="Q182" s="13">
        <f ca="1">Q181-T182*Prices!B182</f>
        <v>0.76729647987740202</v>
      </c>
      <c r="R182" s="4">
        <f t="shared" ca="1" si="12"/>
        <v>0.21916717560546362</v>
      </c>
      <c r="S182" s="13">
        <f ca="1">IF(Prices!B181&gt;OFFSET(Prices!B181,-S$3,0),1,-1)</f>
        <v>-1</v>
      </c>
      <c r="T182" s="4">
        <f ca="1">IF(S182=1,T$3*Q181/Prices!B181,-T$3*R181)</f>
        <v>-6.7783662558390809E-3</v>
      </c>
      <c r="V182" s="13"/>
      <c r="W182" s="4"/>
      <c r="X182" s="4"/>
      <c r="Y182" s="4"/>
      <c r="Z182" s="4"/>
      <c r="AA182" s="4"/>
      <c r="AB182" s="4"/>
      <c r="AC182" s="4"/>
      <c r="AD182" s="4"/>
      <c r="AE182" s="52"/>
    </row>
    <row r="183" spans="1:31" x14ac:dyDescent="0.2">
      <c r="A183" s="7">
        <v>42645</v>
      </c>
      <c r="B183" s="13">
        <f ca="1">Prices!B182*(1+J183/(50*(ABS(O183)+ABS(T183)+0.0001)))</f>
        <v>1.1523715860584027</v>
      </c>
      <c r="C183" s="62">
        <f t="shared" ca="1" si="15"/>
        <v>1</v>
      </c>
      <c r="D183" s="13">
        <f ca="1">D182+C183*(Prices!B183-Prices!B182)/Prices!B182</f>
        <v>0.12598141738323609</v>
      </c>
      <c r="E183" s="13">
        <f t="shared" ca="1" si="16"/>
        <v>2.4193998160242619E-2</v>
      </c>
      <c r="F183" s="13">
        <f t="shared" ca="1" si="14"/>
        <v>0.15017541554347871</v>
      </c>
      <c r="G183" s="21">
        <f ca="1">IF((Prices!B183-Prices!B182)*C183&gt;0,1,0)</f>
        <v>1</v>
      </c>
      <c r="H183" s="13">
        <f>ABS(Prices!B183-Prices!B182)/Prices!B182</f>
        <v>6.4940763492760626E-3</v>
      </c>
      <c r="I183" s="21"/>
      <c r="J183" s="4">
        <f t="shared" ca="1" si="17"/>
        <v>1.7195179524574607E-2</v>
      </c>
      <c r="K183" s="13"/>
      <c r="L183" s="13">
        <f ca="1">L182-O183*Prices!B183</f>
        <v>0.64989138775034661</v>
      </c>
      <c r="M183" s="4">
        <f t="shared" ca="1" si="13"/>
        <v>0.33242469020019083</v>
      </c>
      <c r="N183" s="13">
        <f ca="1">IF(Prices!B182&gt;OFFSET(Prices!B182,-$N$3,0),1,-1)</f>
        <v>1</v>
      </c>
      <c r="O183" s="4">
        <f ca="1">IF(N183=1,O$3*L182/Prices!B182,-O$3*M182)</f>
        <v>2.3770194792738515E-2</v>
      </c>
      <c r="P183" s="22"/>
      <c r="Q183" s="13">
        <f ca="1">Q182-T183*Prices!B183</f>
        <v>0.77483736488845922</v>
      </c>
      <c r="R183" s="4">
        <f t="shared" ca="1" si="12"/>
        <v>0.21259216033729972</v>
      </c>
      <c r="S183" s="13">
        <f ca="1">IF(Prices!B182&gt;OFFSET(Prices!B182,-S$3,0),1,-1)</f>
        <v>-1</v>
      </c>
      <c r="T183" s="4">
        <f ca="1">IF(S183=1,T$3*Q182/Prices!B182,-T$3*R182)</f>
        <v>-6.5750152681639086E-3</v>
      </c>
      <c r="V183" s="13"/>
      <c r="W183" s="4"/>
      <c r="X183" s="4"/>
      <c r="Y183" s="4"/>
      <c r="Z183" s="4"/>
      <c r="AA183" s="4"/>
      <c r="AB183" s="4"/>
      <c r="AC183" s="4"/>
      <c r="AD183" s="4"/>
      <c r="AE183" s="52"/>
    </row>
    <row r="184" spans="1:31" x14ac:dyDescent="0.2">
      <c r="A184" s="7">
        <v>42652</v>
      </c>
      <c r="B184" s="13">
        <f ca="1">Prices!B183*(1+J184/(50*(ABS(O184)+ABS(T184)+0.0001)))</f>
        <v>1.1697846977133666</v>
      </c>
      <c r="C184" s="62">
        <f t="shared" ca="1" si="15"/>
        <v>1</v>
      </c>
      <c r="D184" s="13">
        <f ca="1">D183+C184*(Prices!B184-Prices!B183)/Prices!B183</f>
        <v>0.11673911203839353</v>
      </c>
      <c r="E184" s="13">
        <f t="shared" ca="1" si="16"/>
        <v>3.3436303505085183E-2</v>
      </c>
      <c r="F184" s="13">
        <f t="shared" ca="1" si="14"/>
        <v>0.15017541554347871</v>
      </c>
      <c r="G184" s="21">
        <f ca="1">IF((Prices!B184-Prices!B183)*C184&gt;0,1,0)</f>
        <v>0</v>
      </c>
      <c r="H184" s="13">
        <f>ABS(Prices!B184-Prices!B183)/Prices!B183</f>
        <v>9.2423053448425687E-3</v>
      </c>
      <c r="I184" s="21"/>
      <c r="J184" s="4">
        <f t="shared" ca="1" si="17"/>
        <v>4.2933801078269801E-2</v>
      </c>
      <c r="K184" s="13"/>
      <c r="L184" s="13">
        <f ca="1">L183-O184*Prices!B184</f>
        <v>0.62413599202619563</v>
      </c>
      <c r="M184" s="4">
        <f t="shared" ca="1" si="13"/>
        <v>0.35509070773442558</v>
      </c>
      <c r="N184" s="13">
        <f ca="1">IF(Prices!B183&gt;OFFSET(Prices!B183,-$N$3,0),1,-1)</f>
        <v>1</v>
      </c>
      <c r="O184" s="4">
        <f ca="1">IF(N184=1,O$3*L183/Prices!B183,-O$3*M183)</f>
        <v>2.2666017534234775E-2</v>
      </c>
      <c r="P184" s="22"/>
      <c r="Q184" s="13">
        <f ca="1">Q183-T184*Prices!B184</f>
        <v>0.75180708244737227</v>
      </c>
      <c r="R184" s="4">
        <f t="shared" ca="1" si="12"/>
        <v>0.23285994388133474</v>
      </c>
      <c r="S184" s="13">
        <f ca="1">IF(Prices!B183&gt;OFFSET(Prices!B183,-S$3,0),1,-1)</f>
        <v>1</v>
      </c>
      <c r="T184" s="4">
        <f ca="1">IF(S184=1,T$3*Q183/Prices!B183,-T$3*R183)</f>
        <v>2.026778354403503E-2</v>
      </c>
      <c r="V184" s="13"/>
      <c r="W184" s="4"/>
      <c r="X184" s="4"/>
      <c r="Y184" s="4"/>
      <c r="Z184" s="4"/>
      <c r="AA184" s="4"/>
      <c r="AB184" s="4"/>
      <c r="AC184" s="4"/>
      <c r="AD184" s="4"/>
      <c r="AE184" s="52"/>
    </row>
    <row r="185" spans="1:31" x14ac:dyDescent="0.2">
      <c r="A185" s="7">
        <v>42659</v>
      </c>
      <c r="B185" s="13">
        <f ca="1">Prices!B184*(1+J185/(50*(ABS(O185)+ABS(T185)+0.0001)))</f>
        <v>1.113680747825573</v>
      </c>
      <c r="C185" s="62">
        <f t="shared" ca="1" si="15"/>
        <v>0</v>
      </c>
      <c r="D185" s="13">
        <f ca="1">D184+C185*(Prices!B185-Prices!B184)/Prices!B184</f>
        <v>0.11673911203839353</v>
      </c>
      <c r="E185" s="13">
        <f t="shared" ca="1" si="16"/>
        <v>3.3436303505085183E-2</v>
      </c>
      <c r="F185" s="13">
        <f t="shared" ca="1" si="14"/>
        <v>0.15017541554347871</v>
      </c>
      <c r="G185" s="21">
        <f ca="1">IF((Prices!B185-Prices!B184)*C185&gt;0,1,0)</f>
        <v>0</v>
      </c>
      <c r="H185" s="13">
        <f>ABS(Prices!B185-Prices!B184)/Prices!B184</f>
        <v>3.7842119158672622E-3</v>
      </c>
      <c r="I185" s="21"/>
      <c r="J185" s="4">
        <f t="shared" ca="1" si="17"/>
        <v>-2.1189426625817066E-2</v>
      </c>
      <c r="K185" s="13"/>
      <c r="L185" s="13">
        <f ca="1">L184-O185*Prices!B185</f>
        <v>0.64033665047587107</v>
      </c>
      <c r="M185" s="4">
        <f t="shared" ca="1" si="13"/>
        <v>0.34088707942504853</v>
      </c>
      <c r="N185" s="13">
        <f ca="1">IF(Prices!B184&gt;OFFSET(Prices!B184,-$N$3,0),1,-1)</f>
        <v>-1</v>
      </c>
      <c r="O185" s="4">
        <f ca="1">IF(N185=1,O$3*L184/Prices!B184,-O$3*M184)</f>
        <v>-1.4203628309377023E-2</v>
      </c>
      <c r="P185" s="22"/>
      <c r="Q185" s="13">
        <f ca="1">Q184-T185*Prices!B185</f>
        <v>0.75977508400710381</v>
      </c>
      <c r="R185" s="4">
        <f t="shared" ca="1" si="12"/>
        <v>0.22587414556489471</v>
      </c>
      <c r="S185" s="13">
        <f ca="1">IF(Prices!B184&gt;OFFSET(Prices!B184,-S$3,0),1,-1)</f>
        <v>-1</v>
      </c>
      <c r="T185" s="4">
        <f ca="1">IF(S185=1,T$3*Q184/Prices!B184,-T$3*R184)</f>
        <v>-6.9857983164400422E-3</v>
      </c>
      <c r="V185" s="13"/>
      <c r="W185" s="4"/>
      <c r="X185" s="4"/>
      <c r="Y185" s="4"/>
      <c r="Z185" s="4"/>
      <c r="AA185" s="4"/>
      <c r="AB185" s="4"/>
      <c r="AC185" s="4"/>
      <c r="AD185" s="4"/>
      <c r="AE185" s="52"/>
    </row>
    <row r="186" spans="1:31" x14ac:dyDescent="0.2">
      <c r="A186" s="7">
        <v>42666</v>
      </c>
      <c r="B186" s="13">
        <f ca="1">Prices!B185*(1+J186/(50*(ABS(O186)+ABS(T186)+0.0001)))</f>
        <v>1.163358374794504</v>
      </c>
      <c r="C186" s="62">
        <f t="shared" ca="1" si="15"/>
        <v>1</v>
      </c>
      <c r="D186" s="13">
        <f ca="1">D185+C186*(Prices!B186-Prices!B185)/Prices!B185</f>
        <v>0.12112276976239834</v>
      </c>
      <c r="E186" s="13">
        <f t="shared" ca="1" si="16"/>
        <v>2.9052645781080369E-2</v>
      </c>
      <c r="F186" s="13">
        <f t="shared" ca="1" si="14"/>
        <v>0.15017541554347871</v>
      </c>
      <c r="G186" s="21">
        <f ca="1">IF((Prices!B186-Prices!B185)*C186&gt;0,1,0)</f>
        <v>1</v>
      </c>
      <c r="H186" s="13">
        <f>ABS(Prices!B186-Prices!B185)/Prices!B185</f>
        <v>4.3836577240048162E-3</v>
      </c>
      <c r="I186" s="21"/>
      <c r="J186" s="4">
        <f t="shared" ca="1" si="17"/>
        <v>4.2439697123661191E-2</v>
      </c>
      <c r="K186" s="13"/>
      <c r="L186" s="13">
        <f ca="1">L185-O186*Prices!B186</f>
        <v>0.61461090378868333</v>
      </c>
      <c r="M186" s="4">
        <f t="shared" ca="1" si="13"/>
        <v>0.36334321305562439</v>
      </c>
      <c r="N186" s="13">
        <f ca="1">IF(Prices!B185&gt;OFFSET(Prices!B185,-$N$3,0),1,-1)</f>
        <v>1</v>
      </c>
      <c r="O186" s="4">
        <f ca="1">IF(N186=1,O$3*L185/Prices!B185,-O$3*M185)</f>
        <v>2.2456133630575876E-2</v>
      </c>
      <c r="P186" s="22"/>
      <c r="Q186" s="13">
        <f ca="1">Q185-T186*Prices!B186</f>
        <v>0.73688191366942524</v>
      </c>
      <c r="R186" s="4">
        <f t="shared" ca="1" si="12"/>
        <v>0.24585770905798002</v>
      </c>
      <c r="S186" s="13">
        <f ca="1">IF(Prices!B185&gt;OFFSET(Prices!B185,-S$3,0),1,-1)</f>
        <v>1</v>
      </c>
      <c r="T186" s="4">
        <f ca="1">IF(S186=1,T$3*Q185/Prices!B185,-T$3*R185)</f>
        <v>1.9983563493085315E-2</v>
      </c>
      <c r="V186" s="13"/>
      <c r="W186" s="4"/>
      <c r="X186" s="4"/>
      <c r="Y186" s="4"/>
      <c r="Z186" s="4"/>
      <c r="AA186" s="4"/>
      <c r="AB186" s="4"/>
      <c r="AC186" s="4"/>
      <c r="AD186" s="4"/>
      <c r="AE186" s="52"/>
    </row>
    <row r="187" spans="1:31" x14ac:dyDescent="0.2">
      <c r="A187" s="7">
        <v>42673</v>
      </c>
      <c r="B187" s="13">
        <f ca="1">Prices!B186*(1+J187/(50*(ABS(O187)+ABS(T187)+0.0001)))</f>
        <v>1.1684559210920893</v>
      </c>
      <c r="C187" s="62">
        <f t="shared" ca="1" si="15"/>
        <v>1</v>
      </c>
      <c r="D187" s="13">
        <f ca="1">D186+C187*(Prices!B187-Prices!B186)/Prices!B186</f>
        <v>0.10951313289089008</v>
      </c>
      <c r="E187" s="13">
        <f t="shared" ca="1" si="16"/>
        <v>4.066228265258863E-2</v>
      </c>
      <c r="F187" s="13">
        <f t="shared" ca="1" si="14"/>
        <v>0.15017541554347871</v>
      </c>
      <c r="G187" s="21">
        <f ca="1">IF((Prices!B187-Prices!B186)*C187&gt;0,1,0)</f>
        <v>0</v>
      </c>
      <c r="H187" s="13">
        <f>ABS(Prices!B187-Prices!B186)/Prices!B186</f>
        <v>1.1609636871508264E-2</v>
      </c>
      <c r="I187" s="21"/>
      <c r="J187" s="4">
        <f t="shared" ca="1" si="17"/>
        <v>4.0756715748629622E-2</v>
      </c>
      <c r="K187" s="13"/>
      <c r="L187" s="13">
        <f ca="1">L186-O187*Prices!B187</f>
        <v>0.59031188401354628</v>
      </c>
      <c r="M187" s="4">
        <f t="shared" ca="1" si="13"/>
        <v>0.38480309098120691</v>
      </c>
      <c r="N187" s="13">
        <f ca="1">IF(Prices!B186&gt;OFFSET(Prices!B186,-$N$3,0),1,-1)</f>
        <v>1</v>
      </c>
      <c r="O187" s="4">
        <f ca="1">IF(N187=1,O$3*L186/Prices!B186,-O$3*M186)</f>
        <v>2.1459877925582523E-2</v>
      </c>
      <c r="P187" s="22"/>
      <c r="Q187" s="13">
        <f ca="1">Q186-T187*Prices!B187</f>
        <v>0.71503210420238905</v>
      </c>
      <c r="R187" s="4">
        <f t="shared" ca="1" si="12"/>
        <v>0.26515454688102713</v>
      </c>
      <c r="S187" s="13">
        <f ca="1">IF(Prices!B186&gt;OFFSET(Prices!B186,-S$3,0),1,-1)</f>
        <v>1</v>
      </c>
      <c r="T187" s="4">
        <f ca="1">IF(S187=1,T$3*Q186/Prices!B186,-T$3*R186)</f>
        <v>1.92968378230471E-2</v>
      </c>
      <c r="V187" s="13"/>
      <c r="W187" s="4"/>
      <c r="X187" s="4"/>
      <c r="Y187" s="4"/>
      <c r="Z187" s="4"/>
      <c r="AA187" s="4"/>
      <c r="AB187" s="4"/>
      <c r="AC187" s="4"/>
      <c r="AD187" s="4"/>
      <c r="AE187" s="52"/>
    </row>
    <row r="188" spans="1:31" x14ac:dyDescent="0.2">
      <c r="A188" s="7">
        <v>42680</v>
      </c>
      <c r="B188" s="13">
        <f ca="1">Prices!B187*(1+J188/(50*(ABS(O188)+ABS(T188)+0.0001)))</f>
        <v>1.1097505847731453</v>
      </c>
      <c r="C188" s="62">
        <f t="shared" ca="1" si="15"/>
        <v>0</v>
      </c>
      <c r="D188" s="13">
        <f ca="1">D187+C188*(Prices!B188-Prices!B187)/Prices!B187</f>
        <v>0.10951313289089008</v>
      </c>
      <c r="E188" s="13">
        <f t="shared" ca="1" si="16"/>
        <v>4.066228265258863E-2</v>
      </c>
      <c r="F188" s="13">
        <f t="shared" ca="1" si="14"/>
        <v>0.15017541554347871</v>
      </c>
      <c r="G188" s="21">
        <f ca="1">IF((Prices!B188-Prices!B187)*C188&gt;0,1,0)</f>
        <v>0</v>
      </c>
      <c r="H188" s="13">
        <f>ABS(Prices!B188-Prices!B187)/Prices!B187</f>
        <v>2.3845270687981512E-3</v>
      </c>
      <c r="I188" s="21"/>
      <c r="J188" s="4">
        <f t="shared" ca="1" si="17"/>
        <v>-2.334676004567909E-2</v>
      </c>
      <c r="K188" s="13"/>
      <c r="L188" s="13">
        <f ca="1">L187-O188*Prices!B188</f>
        <v>0.60769882687644117</v>
      </c>
      <c r="M188" s="4">
        <f t="shared" ca="1" si="13"/>
        <v>0.36941096734195861</v>
      </c>
      <c r="N188" s="13">
        <f ca="1">IF(Prices!B187&gt;OFFSET(Prices!B187,-$N$3,0),1,-1)</f>
        <v>-1</v>
      </c>
      <c r="O188" s="4">
        <f ca="1">IF(N188=1,O$3*L187/Prices!B187,-O$3*M187)</f>
        <v>-1.5392123639248276E-2</v>
      </c>
      <c r="P188" s="22"/>
      <c r="Q188" s="13">
        <f ca="1">Q187-T188*Prices!B188</f>
        <v>0.72401766148709334</v>
      </c>
      <c r="R188" s="4">
        <f t="shared" ca="1" si="12"/>
        <v>0.25719991047459634</v>
      </c>
      <c r="S188" s="13">
        <f ca="1">IF(Prices!B187&gt;OFFSET(Prices!B187,-S$3,0),1,-1)</f>
        <v>-1</v>
      </c>
      <c r="T188" s="4">
        <f ca="1">IF(S188=1,T$3*Q187/Prices!B187,-T$3*R187)</f>
        <v>-7.9546364064308137E-3</v>
      </c>
      <c r="V188" s="13"/>
      <c r="W188" s="4"/>
      <c r="X188" s="4"/>
      <c r="Y188" s="4"/>
      <c r="Z188" s="4"/>
      <c r="AA188" s="4"/>
      <c r="AB188" s="4"/>
      <c r="AC188" s="4"/>
      <c r="AD188" s="4"/>
      <c r="AE188" s="52"/>
    </row>
    <row r="189" spans="1:31" x14ac:dyDescent="0.2">
      <c r="A189" s="7">
        <v>42687</v>
      </c>
      <c r="B189" s="13">
        <f ca="1">Prices!B188*(1+J189/(50*(ABS(O189)+ABS(T189)+0.0001)))</f>
        <v>1.1071079980701155</v>
      </c>
      <c r="C189" s="62">
        <f t="shared" ca="1" si="15"/>
        <v>0</v>
      </c>
      <c r="D189" s="13">
        <f ca="1">D188+C189*(Prices!B189-Prices!B188)/Prices!B188</f>
        <v>0.10951313289089008</v>
      </c>
      <c r="E189" s="13">
        <f t="shared" ca="1" si="16"/>
        <v>4.066228265258863E-2</v>
      </c>
      <c r="F189" s="13">
        <f t="shared" ca="1" si="14"/>
        <v>0.15017541554347871</v>
      </c>
      <c r="G189" s="21">
        <f ca="1">IF((Prices!B189-Prices!B188)*C189&gt;0,1,0)</f>
        <v>0</v>
      </c>
      <c r="H189" s="13">
        <f>ABS(Prices!B189-Prices!B188)/Prices!B188</f>
        <v>3.4525495750708348E-3</v>
      </c>
      <c r="I189" s="21"/>
      <c r="J189" s="4">
        <f t="shared" ca="1" si="17"/>
        <v>-2.2492436007916235E-2</v>
      </c>
      <c r="K189" s="13"/>
      <c r="L189" s="13">
        <f ca="1">L188-O189*Prices!B189</f>
        <v>0.62444792013572559</v>
      </c>
      <c r="M189" s="4">
        <f t="shared" ca="1" si="13"/>
        <v>0.35463452864828027</v>
      </c>
      <c r="N189" s="13">
        <f ca="1">IF(Prices!B188&gt;OFFSET(Prices!B188,-$N$3,0),1,-1)</f>
        <v>-1</v>
      </c>
      <c r="O189" s="4">
        <f ca="1">IF(N189=1,O$3*L188/Prices!B188,-O$3*M188)</f>
        <v>-1.4776438693678345E-2</v>
      </c>
      <c r="P189" s="22"/>
      <c r="Q189" s="13">
        <f ca="1">Q188-T189*Prices!B189</f>
        <v>0.73276374444278203</v>
      </c>
      <c r="R189" s="4">
        <f t="shared" ca="1" si="12"/>
        <v>0.24948391316035845</v>
      </c>
      <c r="S189" s="13">
        <f ca="1">IF(Prices!B188&gt;OFFSET(Prices!B188,-S$3,0),1,-1)</f>
        <v>-1</v>
      </c>
      <c r="T189" s="4">
        <f ca="1">IF(S189=1,T$3*Q188/Prices!B188,-T$3*R188)</f>
        <v>-7.7159973142378897E-3</v>
      </c>
      <c r="V189" s="13"/>
      <c r="W189" s="4"/>
      <c r="X189" s="4"/>
      <c r="Y189" s="4"/>
      <c r="Z189" s="4"/>
      <c r="AA189" s="4"/>
      <c r="AB189" s="4"/>
      <c r="AC189" s="4"/>
      <c r="AD189" s="4"/>
      <c r="AE189" s="52"/>
    </row>
    <row r="190" spans="1:31" x14ac:dyDescent="0.2">
      <c r="A190" s="7">
        <v>42694</v>
      </c>
      <c r="B190" s="13">
        <f ca="1">Prices!B189*(1+J190/(50*(ABS(O190)+ABS(T190)+0.0001)))</f>
        <v>1.1109341346148562</v>
      </c>
      <c r="C190" s="62">
        <f t="shared" ca="1" si="15"/>
        <v>0</v>
      </c>
      <c r="D190" s="13">
        <f ca="1">D189+C190*(Prices!B190-Prices!B189)/Prices!B189</f>
        <v>0.10951313289089008</v>
      </c>
      <c r="E190" s="13">
        <f t="shared" ca="1" si="16"/>
        <v>4.066228265258863E-2</v>
      </c>
      <c r="F190" s="13">
        <f t="shared" ca="1" si="14"/>
        <v>0.15017541554347871</v>
      </c>
      <c r="G190" s="21">
        <f ca="1">IF((Prices!B190-Prices!B189)*C190&gt;0,1,0)</f>
        <v>0</v>
      </c>
      <c r="H190" s="13">
        <f>ABS(Prices!B190-Prices!B189)/Prices!B189</f>
        <v>2.6466696074107753E-3</v>
      </c>
      <c r="I190" s="21"/>
      <c r="J190" s="4">
        <f t="shared" ca="1" si="17"/>
        <v>-2.1669898540741965E-2</v>
      </c>
      <c r="K190" s="13"/>
      <c r="L190" s="13">
        <f ca="1">L189-O190*Prices!B190</f>
        <v>0.64056960580807643</v>
      </c>
      <c r="M190" s="4">
        <f t="shared" ca="1" si="13"/>
        <v>0.34044914750234906</v>
      </c>
      <c r="N190" s="13">
        <f ca="1">IF(Prices!B189&gt;OFFSET(Prices!B189,-$N$3,0),1,-1)</f>
        <v>-1</v>
      </c>
      <c r="O190" s="4">
        <f ca="1">IF(N190=1,O$3*L189/Prices!B189,-O$3*M189)</f>
        <v>-1.418538114593121E-2</v>
      </c>
      <c r="P190" s="22"/>
      <c r="Q190" s="13">
        <f ca="1">Q189-T190*Prices!B190</f>
        <v>0.74126989846198443</v>
      </c>
      <c r="R190" s="4">
        <f t="shared" ca="1" si="12"/>
        <v>0.24199939576554769</v>
      </c>
      <c r="S190" s="13">
        <f ca="1">IF(Prices!B189&gt;OFFSET(Prices!B189,-S$3,0),1,-1)</f>
        <v>-1</v>
      </c>
      <c r="T190" s="4">
        <f ca="1">IF(S190=1,T$3*Q189/Prices!B189,-T$3*R189)</f>
        <v>-7.4845173948107531E-3</v>
      </c>
      <c r="V190" s="13"/>
      <c r="W190" s="4"/>
      <c r="X190" s="4"/>
      <c r="Y190" s="4"/>
      <c r="Z190" s="4"/>
      <c r="AA190" s="4"/>
      <c r="AB190" s="4"/>
      <c r="AC190" s="4"/>
      <c r="AD190" s="4"/>
      <c r="AE190" s="52"/>
    </row>
    <row r="191" spans="1:31" x14ac:dyDescent="0.2">
      <c r="A191" s="7">
        <v>42701</v>
      </c>
      <c r="B191" s="13">
        <f ca="1">Prices!B190*(1+J191/(50*(ABS(O191)+ABS(T191)+0.0001)))</f>
        <v>1.1591761534185718</v>
      </c>
      <c r="C191" s="62">
        <f t="shared" ca="1" si="15"/>
        <v>1</v>
      </c>
      <c r="D191" s="13">
        <f ca="1">D190+C191*(Prices!B191-Prices!B190)/Prices!B190</f>
        <v>9.8074505526173736E-2</v>
      </c>
      <c r="E191" s="13">
        <f t="shared" ca="1" si="16"/>
        <v>5.2100910017304977E-2</v>
      </c>
      <c r="F191" s="13">
        <f t="shared" ca="1" si="14"/>
        <v>0.15017541554347871</v>
      </c>
      <c r="G191" s="21">
        <f ca="1">IF((Prices!B191-Prices!B190)*C191&gt;0,1,0)</f>
        <v>0</v>
      </c>
      <c r="H191" s="13">
        <f>ABS(Prices!B191-Prices!B190)/Prices!B190</f>
        <v>1.1438627364716342E-2</v>
      </c>
      <c r="I191" s="21"/>
      <c r="J191" s="4">
        <f t="shared" ca="1" si="17"/>
        <v>4.2112521941207737E-2</v>
      </c>
      <c r="K191" s="13"/>
      <c r="L191" s="13">
        <f ca="1">L190-O191*Prices!B191</f>
        <v>0.61523991105663345</v>
      </c>
      <c r="M191" s="4">
        <f t="shared" ca="1" si="13"/>
        <v>0.36299449218543139</v>
      </c>
      <c r="N191" s="13">
        <f ca="1">IF(Prices!B190&gt;OFFSET(Prices!B190,-$N$3,0),1,-1)</f>
        <v>1</v>
      </c>
      <c r="O191" s="4">
        <f ca="1">IF(N191=1,O$3*L190/Prices!B190,-O$3*M190)</f>
        <v>2.2545344683082322E-2</v>
      </c>
      <c r="P191" s="22"/>
      <c r="Q191" s="13">
        <f ca="1">Q190-T191*Prices!B191</f>
        <v>0.71928617481248058</v>
      </c>
      <c r="R191" s="4">
        <f t="shared" ca="1" si="12"/>
        <v>0.26156657302367309</v>
      </c>
      <c r="S191" s="13">
        <f ca="1">IF(Prices!B190&gt;OFFSET(Prices!B190,-S$3,0),1,-1)</f>
        <v>1</v>
      </c>
      <c r="T191" s="4">
        <f ca="1">IF(S191=1,T$3*Q190/Prices!B190,-T$3*R190)</f>
        <v>1.9567177258125412E-2</v>
      </c>
      <c r="V191" s="13"/>
      <c r="W191" s="4"/>
      <c r="X191" s="4"/>
      <c r="Y191" s="4"/>
      <c r="Z191" s="4"/>
      <c r="AA191" s="4"/>
      <c r="AB191" s="4"/>
      <c r="AC191" s="4"/>
      <c r="AD191" s="4"/>
      <c r="AE191" s="52"/>
    </row>
    <row r="192" spans="1:31" x14ac:dyDescent="0.2">
      <c r="A192" s="7">
        <v>42708</v>
      </c>
      <c r="B192" s="13">
        <f ca="1">Prices!B191*(1+J192/(50*(ABS(O192)+ABS(T192)+0.0001)))</f>
        <v>1.1011300143461693</v>
      </c>
      <c r="C192" s="62">
        <f t="shared" ca="1" si="15"/>
        <v>0</v>
      </c>
      <c r="D192" s="13">
        <f ca="1">D191+C192*(Prices!B192-Prices!B191)/Prices!B191</f>
        <v>9.8074505526173736E-2</v>
      </c>
      <c r="E192" s="13">
        <f t="shared" ca="1" si="16"/>
        <v>5.2100910017304977E-2</v>
      </c>
      <c r="F192" s="13">
        <f t="shared" ca="1" si="14"/>
        <v>0.15017541554347871</v>
      </c>
      <c r="G192" s="21">
        <f ca="1">IF((Prices!B192-Prices!B191)*C192&gt;0,1,0)</f>
        <v>0</v>
      </c>
      <c r="H192" s="13">
        <f>ABS(Prices!B192-Prices!B191)/Prices!B191</f>
        <v>8.0996884735203452E-3</v>
      </c>
      <c r="I192" s="21"/>
      <c r="J192" s="4">
        <f t="shared" ca="1" si="17"/>
        <v>-2.2366776878127451E-2</v>
      </c>
      <c r="K192" s="13"/>
      <c r="L192" s="13">
        <f ca="1">L191-O192*Prices!B192</f>
        <v>0.63168501353060225</v>
      </c>
      <c r="M192" s="4">
        <f t="shared" ca="1" si="13"/>
        <v>0.34847471249801415</v>
      </c>
      <c r="N192" s="13">
        <f ca="1">IF(Prices!B191&gt;OFFSET(Prices!B191,-$N$3,0),1,-1)</f>
        <v>-1</v>
      </c>
      <c r="O192" s="4">
        <f ca="1">IF(N192=1,O$3*L191/Prices!B191,-O$3*M191)</f>
        <v>-1.4519779687417257E-2</v>
      </c>
      <c r="P192" s="22"/>
      <c r="Q192" s="13">
        <f ca="1">Q191-T192*Prices!B192</f>
        <v>0.72817368383067893</v>
      </c>
      <c r="R192" s="4">
        <f t="shared" ca="1" si="12"/>
        <v>0.2537195758329629</v>
      </c>
      <c r="S192" s="13">
        <f ca="1">IF(Prices!B191&gt;OFFSET(Prices!B191,-S$3,0),1,-1)</f>
        <v>-1</v>
      </c>
      <c r="T192" s="4">
        <f ca="1">IF(S192=1,T$3*Q191/Prices!B191,-T$3*R191)</f>
        <v>-7.8469971907101921E-3</v>
      </c>
      <c r="V192" s="13"/>
      <c r="W192" s="4"/>
      <c r="X192" s="4"/>
      <c r="Y192" s="4"/>
      <c r="Z192" s="4"/>
      <c r="AA192" s="4"/>
      <c r="AB192" s="4"/>
      <c r="AC192" s="4"/>
      <c r="AD192" s="4"/>
      <c r="AE192" s="52"/>
    </row>
    <row r="193" spans="1:31" x14ac:dyDescent="0.2">
      <c r="A193" s="7">
        <v>42715</v>
      </c>
      <c r="B193" s="13">
        <f ca="1">Prices!B192*(1+J193/(50*(ABS(O193)+ABS(T193)+0.0001)))</f>
        <v>1.1100526253930403</v>
      </c>
      <c r="C193" s="62">
        <f t="shared" ca="1" si="15"/>
        <v>0</v>
      </c>
      <c r="D193" s="13">
        <f ca="1">D192+C193*(Prices!B193-Prices!B192)/Prices!B192</f>
        <v>9.8074505526173736E-2</v>
      </c>
      <c r="E193" s="13">
        <f t="shared" ca="1" si="16"/>
        <v>5.2100910017304977E-2</v>
      </c>
      <c r="F193" s="13">
        <f t="shared" ca="1" si="14"/>
        <v>0.15017541554347871</v>
      </c>
      <c r="G193" s="21">
        <f ca="1">IF((Prices!B193-Prices!B192)*C193&gt;0,1,0)</f>
        <v>0</v>
      </c>
      <c r="H193" s="13">
        <f>ABS(Prices!B193-Prices!B192)/Prices!B192</f>
        <v>2.1190181882394118E-3</v>
      </c>
      <c r="I193" s="21"/>
      <c r="J193" s="4">
        <f t="shared" ca="1" si="17"/>
        <v>-2.1550575774909451E-2</v>
      </c>
      <c r="K193" s="13"/>
      <c r="L193" s="13">
        <f ca="1">L192-O193*Prices!B193</f>
        <v>0.64743885833321246</v>
      </c>
      <c r="M193" s="4">
        <f t="shared" ca="1" si="13"/>
        <v>0.33453572399809356</v>
      </c>
      <c r="N193" s="13">
        <f ca="1">IF(Prices!B192&gt;OFFSET(Prices!B192,-$N$3,0),1,-1)</f>
        <v>-1</v>
      </c>
      <c r="O193" s="4">
        <f ca="1">IF(N193=1,O$3*L192/Prices!B192,-O$3*M192)</f>
        <v>-1.3938988499920566E-2</v>
      </c>
      <c r="P193" s="22"/>
      <c r="Q193" s="13">
        <f ca="1">Q192-T193*Prices!B193</f>
        <v>0.73677629976887138</v>
      </c>
      <c r="R193" s="4">
        <f t="shared" ca="1" si="12"/>
        <v>0.246107988557974</v>
      </c>
      <c r="S193" s="13">
        <f ca="1">IF(Prices!B192&gt;OFFSET(Prices!B192,-S$3,0),1,-1)</f>
        <v>-1</v>
      </c>
      <c r="T193" s="4">
        <f ca="1">IF(S193=1,T$3*Q192/Prices!B192,-T$3*R192)</f>
        <v>-7.6115872749888862E-3</v>
      </c>
      <c r="V193" s="13"/>
      <c r="W193" s="4"/>
      <c r="X193" s="4"/>
      <c r="Y193" s="4"/>
      <c r="Z193" s="4"/>
      <c r="AA193" s="4"/>
      <c r="AB193" s="4"/>
      <c r="AC193" s="4"/>
      <c r="AD193" s="4"/>
      <c r="AE193" s="52"/>
    </row>
    <row r="194" spans="1:31" x14ac:dyDescent="0.2">
      <c r="A194" s="7">
        <v>42722</v>
      </c>
      <c r="B194" s="13">
        <f ca="1">Prices!B193*(1+J194/(50*(ABS(O194)+ABS(T194)+0.0001)))</f>
        <v>1.1077043362521366</v>
      </c>
      <c r="C194" s="62">
        <f t="shared" ca="1" si="15"/>
        <v>0</v>
      </c>
      <c r="D194" s="13">
        <f ca="1">D193+C194*(Prices!B194-Prices!B193)/Prices!B193</f>
        <v>9.8074505526173736E-2</v>
      </c>
      <c r="E194" s="13">
        <f t="shared" ca="1" si="16"/>
        <v>5.2100910017304977E-2</v>
      </c>
      <c r="F194" s="13">
        <f t="shared" ca="1" si="14"/>
        <v>0.15017541554347871</v>
      </c>
      <c r="G194" s="21">
        <f ca="1">IF((Prices!B194-Prices!B193)*C194&gt;0,1,0)</f>
        <v>0</v>
      </c>
      <c r="H194" s="13">
        <f>ABS(Prices!B194-Prices!B193)/Prices!B193</f>
        <v>7.4323128649798125E-3</v>
      </c>
      <c r="I194" s="21"/>
      <c r="J194" s="4">
        <f t="shared" ca="1" si="17"/>
        <v>-2.0764668616662964E-2</v>
      </c>
      <c r="K194" s="13"/>
      <c r="L194" s="13">
        <f ca="1">L193-O194*Prices!B194</f>
        <v>0.66245014534045488</v>
      </c>
      <c r="M194" s="4">
        <f t="shared" ca="1" si="13"/>
        <v>0.32115429503816983</v>
      </c>
      <c r="N194" s="13">
        <f ca="1">IF(Prices!B193&gt;OFFSET(Prices!B193,-$N$3,0),1,-1)</f>
        <v>-1</v>
      </c>
      <c r="O194" s="4">
        <f ca="1">IF(N194=1,O$3*L193/Prices!B193,-O$3*M193)</f>
        <v>-1.3381428959923742E-2</v>
      </c>
      <c r="P194" s="22"/>
      <c r="Q194" s="13">
        <f ca="1">Q193-T194*Prices!B194</f>
        <v>0.74505881801580143</v>
      </c>
      <c r="R194" s="4">
        <f t="shared" ca="1" si="12"/>
        <v>0.23872474890123477</v>
      </c>
      <c r="S194" s="13">
        <f ca="1">IF(Prices!B193&gt;OFFSET(Prices!B193,-S$3,0),1,-1)</f>
        <v>-1</v>
      </c>
      <c r="T194" s="4">
        <f ca="1">IF(S194=1,T$3*Q193/Prices!B193,-T$3*R193)</f>
        <v>-7.3832396567392201E-3</v>
      </c>
      <c r="V194" s="13"/>
      <c r="W194" s="4"/>
      <c r="X194" s="4"/>
      <c r="Y194" s="4"/>
      <c r="Z194" s="4"/>
      <c r="AA194" s="4"/>
      <c r="AB194" s="4"/>
      <c r="AC194" s="4"/>
      <c r="AD194" s="4"/>
      <c r="AE194" s="52"/>
    </row>
    <row r="195" spans="1:31" x14ac:dyDescent="0.2">
      <c r="A195" s="7">
        <v>42729</v>
      </c>
      <c r="B195" s="13">
        <f ca="1">Prices!B194*(1+J195/(50*(ABS(O195)+ABS(T195)+0.0001)))</f>
        <v>1.0994755779573173</v>
      </c>
      <c r="C195" s="62">
        <f t="shared" ca="1" si="15"/>
        <v>0</v>
      </c>
      <c r="D195" s="13">
        <f ca="1">D194+C195*(Prices!B195-Prices!B194)/Prices!B194</f>
        <v>9.8074505526173736E-2</v>
      </c>
      <c r="E195" s="13">
        <f t="shared" ca="1" si="16"/>
        <v>5.2100910017304977E-2</v>
      </c>
      <c r="F195" s="13">
        <f t="shared" ca="1" si="14"/>
        <v>0.15017541554347871</v>
      </c>
      <c r="G195" s="21">
        <f ca="1">IF((Prices!B195-Prices!B194)*C195&gt;0,1,0)</f>
        <v>0</v>
      </c>
      <c r="H195" s="13">
        <f>ABS(Prices!B195-Prices!B194)/Prices!B194</f>
        <v>1.782848992690123E-4</v>
      </c>
      <c r="I195" s="21"/>
      <c r="J195" s="4">
        <f t="shared" ca="1" si="17"/>
        <v>-2.0007914268563836E-2</v>
      </c>
      <c r="K195" s="13"/>
      <c r="L195" s="13">
        <f ca="1">L194-O195*Prices!B195</f>
        <v>0.67685841163304727</v>
      </c>
      <c r="M195" s="4">
        <f t="shared" ca="1" si="13"/>
        <v>0.30830812323664303</v>
      </c>
      <c r="N195" s="13">
        <f ca="1">IF(Prices!B194&gt;OFFSET(Prices!B194,-$N$3,0),1,-1)</f>
        <v>-1</v>
      </c>
      <c r="O195" s="4">
        <f ca="1">IF(N195=1,O$3*L194/Prices!B194,-O$3*M194)</f>
        <v>-1.2846171801526793E-2</v>
      </c>
      <c r="P195" s="22"/>
      <c r="Q195" s="13">
        <f ca="1">Q194-T195*Prices!B195</f>
        <v>0.75309142836683018</v>
      </c>
      <c r="R195" s="4">
        <f t="shared" ca="1" si="12"/>
        <v>0.23156300643419772</v>
      </c>
      <c r="S195" s="13">
        <f ca="1">IF(Prices!B194&gt;OFFSET(Prices!B194,-S$3,0),1,-1)</f>
        <v>-1</v>
      </c>
      <c r="T195" s="4">
        <f ca="1">IF(S195=1,T$3*Q194/Prices!B194,-T$3*R194)</f>
        <v>-7.1617424670370432E-3</v>
      </c>
      <c r="V195" s="13"/>
      <c r="W195" s="4"/>
      <c r="X195" s="4"/>
      <c r="Y195" s="4"/>
      <c r="Z195" s="4"/>
      <c r="AA195" s="4"/>
      <c r="AB195" s="4"/>
      <c r="AC195" s="4"/>
      <c r="AD195" s="4"/>
      <c r="AE195" s="52"/>
    </row>
    <row r="196" spans="1:31" x14ac:dyDescent="0.2">
      <c r="A196" s="7">
        <v>42736</v>
      </c>
      <c r="B196" s="13">
        <f ca="1">Prices!B195*(1+J196/(50*(ABS(O196)+ABS(T196)+0.0001)))</f>
        <v>1.0992837528819315</v>
      </c>
      <c r="C196" s="62">
        <f t="shared" ca="1" si="15"/>
        <v>0</v>
      </c>
      <c r="D196" s="13">
        <f ca="1">D195+C196*(Prices!B196-Prices!B195)/Prices!B195</f>
        <v>9.8074505526173736E-2</v>
      </c>
      <c r="E196" s="13">
        <f t="shared" ca="1" si="16"/>
        <v>5.2100910017304977E-2</v>
      </c>
      <c r="F196" s="13">
        <f t="shared" ca="1" si="14"/>
        <v>0.15017541554347871</v>
      </c>
      <c r="G196" s="21">
        <f ca="1">IF((Prices!B196-Prices!B195)*C196&gt;0,1,0)</f>
        <v>0</v>
      </c>
      <c r="H196" s="13">
        <f>ABS(Prices!B196-Prices!B195)/Prices!B195</f>
        <v>7.4001426533523307E-3</v>
      </c>
      <c r="I196" s="21"/>
      <c r="J196" s="4">
        <f t="shared" ca="1" si="17"/>
        <v>-1.9279215122491651E-2</v>
      </c>
      <c r="K196" s="13"/>
      <c r="L196" s="13">
        <f ca="1">L195-O196*Prices!B196</f>
        <v>0.6907927055708506</v>
      </c>
      <c r="M196" s="4">
        <f t="shared" ca="1" si="13"/>
        <v>0.2959757983071773</v>
      </c>
      <c r="N196" s="13">
        <f ca="1">IF(Prices!B195&gt;OFFSET(Prices!B195,-$N$3,0),1,-1)</f>
        <v>-1</v>
      </c>
      <c r="O196" s="4">
        <f ca="1">IF(N196=1,O$3*L195/Prices!B195,-O$3*M195)</f>
        <v>-1.2332324929465722E-2</v>
      </c>
      <c r="P196" s="22"/>
      <c r="Q196" s="13">
        <f ca="1">Q195-T196*Prices!B196</f>
        <v>0.76094071959593024</v>
      </c>
      <c r="R196" s="4">
        <f t="shared" ca="1" si="12"/>
        <v>0.22461611624117178</v>
      </c>
      <c r="S196" s="13">
        <f ca="1">IF(Prices!B195&gt;OFFSET(Prices!B195,-S$3,0),1,-1)</f>
        <v>-1</v>
      </c>
      <c r="T196" s="4">
        <f ca="1">IF(S196=1,T$3*Q195/Prices!B195,-T$3*R195)</f>
        <v>-6.946890193025931E-3</v>
      </c>
      <c r="V196" s="13"/>
      <c r="W196" s="4"/>
      <c r="X196" s="4"/>
      <c r="Y196" s="4"/>
      <c r="Z196" s="4"/>
      <c r="AA196" s="4"/>
      <c r="AB196" s="4"/>
      <c r="AC196" s="4"/>
      <c r="AD196" s="4"/>
      <c r="AE196" s="52"/>
    </row>
    <row r="197" spans="1:31" x14ac:dyDescent="0.2">
      <c r="A197" s="7">
        <v>42743</v>
      </c>
      <c r="B197" s="13">
        <f ca="1">Prices!B196*(1+J197/(50*(ABS(O197)+ABS(T197)+0.0001)))</f>
        <v>1.107422990396701</v>
      </c>
      <c r="C197" s="62">
        <f t="shared" ca="1" si="15"/>
        <v>0</v>
      </c>
      <c r="D197" s="13">
        <f ca="1">D196+C197*(Prices!B197-Prices!B196)/Prices!B196</f>
        <v>9.8074505526173736E-2</v>
      </c>
      <c r="E197" s="13">
        <f t="shared" ca="1" si="16"/>
        <v>5.2100910017304977E-2</v>
      </c>
      <c r="F197" s="13">
        <f t="shared" ca="1" si="14"/>
        <v>0.15017541554347871</v>
      </c>
      <c r="G197" s="21">
        <f ca="1">IF((Prices!B197-Prices!B196)*C197&gt;0,1,0)</f>
        <v>0</v>
      </c>
      <c r="H197" s="13">
        <f>ABS(Prices!B197-Prices!B196)/Prices!B196</f>
        <v>4.7791839985838122E-3</v>
      </c>
      <c r="I197" s="21"/>
      <c r="J197" s="4">
        <f t="shared" ca="1" si="17"/>
        <v>-1.8577515419522246E-2</v>
      </c>
      <c r="K197" s="13"/>
      <c r="L197" s="13">
        <f ca="1">L196-O197*Prices!B197</f>
        <v>0.7041056969787074</v>
      </c>
      <c r="M197" s="4">
        <f t="shared" ca="1" si="13"/>
        <v>0.28413676637489022</v>
      </c>
      <c r="N197" s="13">
        <f ca="1">IF(Prices!B196&gt;OFFSET(Prices!B196,-$N$3,0),1,-1)</f>
        <v>-1</v>
      </c>
      <c r="O197" s="4">
        <f ca="1">IF(N197=1,O$3*L196/Prices!B196,-O$3*M196)</f>
        <v>-1.1839031932287093E-2</v>
      </c>
      <c r="P197" s="22"/>
      <c r="Q197" s="13">
        <f ca="1">Q196-T197*Prices!B197</f>
        <v>0.76851814427732612</v>
      </c>
      <c r="R197" s="4">
        <f t="shared" ref="R197:R260" ca="1" si="18">R196+T197</f>
        <v>0.21787763275393662</v>
      </c>
      <c r="S197" s="13">
        <f ca="1">IF(Prices!B196&gt;OFFSET(Prices!B196,-S$3,0),1,-1)</f>
        <v>-1</v>
      </c>
      <c r="T197" s="4">
        <f ca="1">IF(S197=1,T$3*Q196/Prices!B196,-T$3*R196)</f>
        <v>-6.7384834872351532E-3</v>
      </c>
      <c r="V197" s="13"/>
      <c r="W197" s="4"/>
      <c r="X197" s="4"/>
      <c r="Y197" s="4"/>
      <c r="Z197" s="4"/>
      <c r="AA197" s="4"/>
      <c r="AB197" s="4"/>
      <c r="AC197" s="4"/>
      <c r="AD197" s="4"/>
      <c r="AE197" s="52"/>
    </row>
    <row r="198" spans="1:31" x14ac:dyDescent="0.2">
      <c r="A198" s="7">
        <v>42750</v>
      </c>
      <c r="B198" s="13">
        <f ca="1">Prices!B197*(1+J198/(50*(ABS(O198)+ABS(T198)+0.0001)))</f>
        <v>1.137639264752911</v>
      </c>
      <c r="C198" s="62">
        <f t="shared" ca="1" si="15"/>
        <v>1</v>
      </c>
      <c r="D198" s="13">
        <f ca="1">D197+C198*(Prices!B198-Prices!B197)/Prices!B197</f>
        <v>8.9715234739157212E-2</v>
      </c>
      <c r="E198" s="13">
        <f t="shared" ca="1" si="16"/>
        <v>6.0460180804321501E-2</v>
      </c>
      <c r="F198" s="13">
        <f t="shared" ca="1" si="14"/>
        <v>0.15017541554347871</v>
      </c>
      <c r="G198" s="21">
        <f ca="1">IF((Prices!B198-Prices!B197)*C198&gt;0,1,0)</f>
        <v>0</v>
      </c>
      <c r="H198" s="13">
        <f>ABS(Prices!B198-Prices!B197)/Prices!B197</f>
        <v>8.3592707870165182E-3</v>
      </c>
      <c r="I198" s="21"/>
      <c r="J198" s="4">
        <f t="shared" ca="1" si="17"/>
        <v>1.8509671799194525E-2</v>
      </c>
      <c r="K198" s="13"/>
      <c r="L198" s="13">
        <f ca="1">L197-O198*Prices!B198</f>
        <v>0.67617690150690812</v>
      </c>
      <c r="M198" s="4">
        <f t="shared" ca="1" si="13"/>
        <v>0.30918276715670284</v>
      </c>
      <c r="N198" s="13">
        <f ca="1">IF(Prices!B197&gt;OFFSET(Prices!B197,-$N$3,0),1,-1)</f>
        <v>1</v>
      </c>
      <c r="O198" s="4">
        <f ca="1">IF(N198=1,O$3*L197/Prices!B197,-O$3*M197)</f>
        <v>2.5046000781812624E-2</v>
      </c>
      <c r="P198" s="22"/>
      <c r="Q198" s="13">
        <f ca="1">Q197-T198*Prices!B198</f>
        <v>0.77580680472584351</v>
      </c>
      <c r="R198" s="4">
        <f t="shared" ca="1" si="18"/>
        <v>0.21134130377131852</v>
      </c>
      <c r="S198" s="13">
        <f ca="1">IF(Prices!B197&gt;OFFSET(Prices!B197,-S$3,0),1,-1)</f>
        <v>-1</v>
      </c>
      <c r="T198" s="4">
        <f ca="1">IF(S198=1,T$3*Q197/Prices!B197,-T$3*R197)</f>
        <v>-6.5363289826180981E-3</v>
      </c>
      <c r="V198" s="13"/>
      <c r="W198" s="4"/>
      <c r="X198" s="4"/>
      <c r="Y198" s="4"/>
      <c r="Z198" s="4"/>
      <c r="AA198" s="4"/>
      <c r="AB198" s="4"/>
      <c r="AC198" s="4"/>
      <c r="AD198" s="4"/>
      <c r="AE198" s="52"/>
    </row>
    <row r="199" spans="1:31" x14ac:dyDescent="0.2">
      <c r="A199" s="7">
        <v>42757</v>
      </c>
      <c r="B199" s="13">
        <f ca="1">Prices!B198*(1+J199/(50*(ABS(O199)+ABS(T199)+0.0001)))</f>
        <v>1.0929165800396003</v>
      </c>
      <c r="C199" s="62">
        <f t="shared" ca="1" si="15"/>
        <v>0</v>
      </c>
      <c r="D199" s="13">
        <f ca="1">D198+C199*(Prices!B199-Prices!B198)/Prices!B198</f>
        <v>8.9715234739157212E-2</v>
      </c>
      <c r="E199" s="13">
        <f t="shared" ca="1" si="16"/>
        <v>6.0460180804321501E-2</v>
      </c>
      <c r="F199" s="13">
        <f t="shared" ca="1" si="14"/>
        <v>0.15017541554347871</v>
      </c>
      <c r="G199" s="21">
        <f ca="1">IF((Prices!B199-Prices!B198)*C199&gt;0,1,0)</f>
        <v>0</v>
      </c>
      <c r="H199" s="13">
        <f>ABS(Prices!B199-Prices!B198)/Prices!B198</f>
        <v>4.2148686216482165E-3</v>
      </c>
      <c r="I199" s="21"/>
      <c r="J199" s="4">
        <f t="shared" ca="1" si="17"/>
        <v>-1.8707549799407669E-2</v>
      </c>
      <c r="K199" s="13"/>
      <c r="L199" s="13">
        <f ca="1">L198-O199*Prices!B199</f>
        <v>0.69002581601339119</v>
      </c>
      <c r="M199" s="4">
        <f t="shared" ca="1" si="13"/>
        <v>0.29681545647043472</v>
      </c>
      <c r="N199" s="13">
        <f ca="1">IF(Prices!B198&gt;OFFSET(Prices!B198,-$N$3,0),1,-1)</f>
        <v>-1</v>
      </c>
      <c r="O199" s="4">
        <f ca="1">IF(N199=1,O$3*L198/Prices!B198,-O$3*M198)</f>
        <v>-1.2367310686268115E-2</v>
      </c>
      <c r="P199" s="22"/>
      <c r="Q199" s="13">
        <f ca="1">Q198-T199*Prices!B199</f>
        <v>0.78290660448473715</v>
      </c>
      <c r="R199" s="4">
        <f t="shared" ca="1" si="18"/>
        <v>0.20500106465817897</v>
      </c>
      <c r="S199" s="13">
        <f ca="1">IF(Prices!B198&gt;OFFSET(Prices!B198,-S$3,0),1,-1)</f>
        <v>-1</v>
      </c>
      <c r="T199" s="4">
        <f ca="1">IF(S199=1,T$3*Q198/Prices!B198,-T$3*R198)</f>
        <v>-6.3402391131395551E-3</v>
      </c>
      <c r="V199" s="13"/>
      <c r="W199" s="4"/>
      <c r="X199" s="4"/>
      <c r="Y199" s="4"/>
      <c r="Z199" s="4"/>
      <c r="AA199" s="4"/>
      <c r="AB199" s="4"/>
      <c r="AC199" s="4"/>
      <c r="AD199" s="4"/>
      <c r="AE199" s="52"/>
    </row>
    <row r="200" spans="1:31" x14ac:dyDescent="0.2">
      <c r="A200" s="7">
        <v>42764</v>
      </c>
      <c r="B200" s="13">
        <f ca="1">Prices!B199*(1+J200/(50*(ABS(O200)+ABS(T200)+0.0001)))</f>
        <v>1.097527580159384</v>
      </c>
      <c r="C200" s="62">
        <f t="shared" ca="1" si="15"/>
        <v>0</v>
      </c>
      <c r="D200" s="13">
        <f ca="1">D199+C200*(Prices!B200-Prices!B199)/Prices!B199</f>
        <v>8.9715234739157212E-2</v>
      </c>
      <c r="E200" s="13">
        <f t="shared" ca="1" si="16"/>
        <v>6.0460180804321501E-2</v>
      </c>
      <c r="F200" s="13">
        <f t="shared" ca="1" si="14"/>
        <v>0.15017541554347871</v>
      </c>
      <c r="G200" s="21">
        <f ca="1">IF((Prices!B200-Prices!B199)*C200&gt;0,1,0)</f>
        <v>0</v>
      </c>
      <c r="H200" s="13">
        <f>ABS(Prices!B200-Prices!B199)/Prices!B199</f>
        <v>3.1255581353813707E-3</v>
      </c>
      <c r="I200" s="21"/>
      <c r="J200" s="4">
        <f t="shared" ca="1" si="17"/>
        <v>-1.8022650198562758E-2</v>
      </c>
      <c r="K200" s="13"/>
      <c r="L200" s="13">
        <f ca="1">L199-O200*Prices!B200</f>
        <v>0.70336232810352073</v>
      </c>
      <c r="M200" s="4">
        <f t="shared" ca="1" si="13"/>
        <v>0.28494283821161731</v>
      </c>
      <c r="N200" s="13">
        <f ca="1">IF(Prices!B199&gt;OFFSET(Prices!B199,-$N$3,0),1,-1)</f>
        <v>-1</v>
      </c>
      <c r="O200" s="4">
        <f ca="1">IF(N200=1,O$3*L199/Prices!B199,-O$3*M199)</f>
        <v>-1.1872618258817389E-2</v>
      </c>
      <c r="P200" s="22"/>
      <c r="Q200" s="13">
        <f ca="1">Q199-T200*Prices!B200</f>
        <v>0.78981493536265313</v>
      </c>
      <c r="R200" s="4">
        <f t="shared" ca="1" si="18"/>
        <v>0.1988510327184336</v>
      </c>
      <c r="S200" s="13">
        <f ca="1">IF(Prices!B199&gt;OFFSET(Prices!B199,-S$3,0),1,-1)</f>
        <v>-1</v>
      </c>
      <c r="T200" s="4">
        <f ca="1">IF(S200=1,T$3*Q199/Prices!B199,-T$3*R199)</f>
        <v>-6.1500319397453686E-3</v>
      </c>
      <c r="V200" s="13"/>
      <c r="W200" s="4"/>
      <c r="X200" s="4"/>
      <c r="Y200" s="4"/>
      <c r="Z200" s="4"/>
      <c r="AA200" s="4"/>
      <c r="AB200" s="4"/>
      <c r="AC200" s="4"/>
      <c r="AD200" s="4"/>
      <c r="AE200" s="52"/>
    </row>
    <row r="201" spans="1:31" x14ac:dyDescent="0.2">
      <c r="A201" s="7">
        <v>42771</v>
      </c>
      <c r="B201" s="13">
        <f ca="1">Prices!B200*(1+J201/(50*(ABS(O201)+ABS(T201)+0.0001)))</f>
        <v>1.1370783094753121</v>
      </c>
      <c r="C201" s="62">
        <f t="shared" ca="1" si="15"/>
        <v>1</v>
      </c>
      <c r="D201" s="13">
        <f ca="1">D200+C201*(Prices!B201-Prices!B200)/Prices!B200</f>
        <v>8.3038478752332626E-2</v>
      </c>
      <c r="E201" s="13">
        <f t="shared" ca="1" si="16"/>
        <v>6.7136936791146087E-2</v>
      </c>
      <c r="F201" s="13">
        <f t="shared" ca="1" si="14"/>
        <v>0.15017541554347871</v>
      </c>
      <c r="G201" s="21">
        <f ca="1">IF((Prices!B201-Prices!B200)*C201&gt;0,1,0)</f>
        <v>0</v>
      </c>
      <c r="H201" s="13">
        <f>ABS(Prices!B201-Prices!B200)/Prices!B200</f>
        <v>6.6767559868245903E-3</v>
      </c>
      <c r="I201" s="21"/>
      <c r="J201" s="4">
        <f t="shared" ca="1" si="17"/>
        <v>1.908075507216446E-2</v>
      </c>
      <c r="K201" s="13"/>
      <c r="L201" s="13">
        <f ca="1">L200-O201*Prices!B201</f>
        <v>0.67541568212478276</v>
      </c>
      <c r="M201" s="4">
        <f t="shared" ref="M201:M264" ca="1" si="19">M200+O201</f>
        <v>0.30998912426533476</v>
      </c>
      <c r="N201" s="13">
        <f ca="1">IF(Prices!B200&gt;OFFSET(Prices!B200,-$N$3,0),1,-1)</f>
        <v>1</v>
      </c>
      <c r="O201" s="4">
        <f ca="1">IF(N201=1,O$3*L200/Prices!B200,-O$3*M200)</f>
        <v>2.5046286053717465E-2</v>
      </c>
      <c r="P201" s="22"/>
      <c r="Q201" s="13">
        <f ca="1">Q200-T201*Prices!B201</f>
        <v>0.79647127483186997</v>
      </c>
      <c r="R201" s="4">
        <f t="shared" ca="1" si="18"/>
        <v>0.1928855017368806</v>
      </c>
      <c r="S201" s="13">
        <f ca="1">IF(Prices!B200&gt;OFFSET(Prices!B200,-S$3,0),1,-1)</f>
        <v>-1</v>
      </c>
      <c r="T201" s="4">
        <f ca="1">IF(S201=1,T$3*Q200/Prices!B200,-T$3*R200)</f>
        <v>-5.9655309815530074E-3</v>
      </c>
      <c r="V201" s="13"/>
      <c r="W201" s="4"/>
      <c r="X201" s="4"/>
      <c r="Y201" s="4"/>
      <c r="Z201" s="4"/>
      <c r="AA201" s="4"/>
      <c r="AB201" s="4"/>
      <c r="AC201" s="4"/>
      <c r="AD201" s="4"/>
      <c r="AE201" s="52"/>
    </row>
    <row r="202" spans="1:31" x14ac:dyDescent="0.2">
      <c r="A202" s="7">
        <v>42778</v>
      </c>
      <c r="B202" s="13">
        <f ca="1">Prices!B201*(1+J202/(50*(ABS(O202)+ABS(T202)+0.0001)))</f>
        <v>1.093606037850394</v>
      </c>
      <c r="C202" s="62">
        <f t="shared" ca="1" si="15"/>
        <v>0</v>
      </c>
      <c r="D202" s="13">
        <f ca="1">D201+C202*(Prices!B202-Prices!B201)/Prices!B201</f>
        <v>8.3038478752332626E-2</v>
      </c>
      <c r="E202" s="13">
        <f t="shared" ca="1" si="16"/>
        <v>6.7136936791146087E-2</v>
      </c>
      <c r="F202" s="13">
        <f t="shared" ca="1" si="14"/>
        <v>0.15017541554347871</v>
      </c>
      <c r="G202" s="21">
        <f ca="1">IF((Prices!B202-Prices!B201)*C202&gt;0,1,0)</f>
        <v>0</v>
      </c>
      <c r="H202" s="13">
        <f>ABS(Prices!B202-Prices!B201)/Prices!B201</f>
        <v>4.0329808209358048E-3</v>
      </c>
      <c r="I202" s="21"/>
      <c r="J202" s="4">
        <f t="shared" ca="1" si="17"/>
        <v>-1.8186130022719807E-2</v>
      </c>
      <c r="K202" s="13"/>
      <c r="L202" s="13">
        <f ca="1">L201-O202*Prices!B202</f>
        <v>0.68930691476136097</v>
      </c>
      <c r="M202" s="4">
        <f t="shared" ca="1" si="19"/>
        <v>0.29758955929472136</v>
      </c>
      <c r="N202" s="13">
        <f ca="1">IF(Prices!B201&gt;OFFSET(Prices!B201,-$N$3,0),1,-1)</f>
        <v>-1</v>
      </c>
      <c r="O202" s="4">
        <f ca="1">IF(N202=1,O$3*L201/Prices!B201,-O$3*M201)</f>
        <v>-1.239956497061339E-2</v>
      </c>
      <c r="P202" s="22"/>
      <c r="Q202" s="13">
        <f ca="1">Q201-T202*Prices!B202</f>
        <v>0.80295396365974481</v>
      </c>
      <c r="R202" s="4">
        <f t="shared" ca="1" si="18"/>
        <v>0.18709893668477418</v>
      </c>
      <c r="S202" s="13">
        <f ca="1">IF(Prices!B201&gt;OFFSET(Prices!B201,-S$3,0),1,-1)</f>
        <v>-1</v>
      </c>
      <c r="T202" s="4">
        <f ca="1">IF(S202=1,T$3*Q201/Prices!B201,-T$3*R201)</f>
        <v>-5.7865650521064177E-3</v>
      </c>
      <c r="V202" s="13"/>
      <c r="W202" s="4"/>
      <c r="X202" s="4"/>
      <c r="Y202" s="4"/>
      <c r="Z202" s="4"/>
      <c r="AA202" s="4"/>
      <c r="AB202" s="4"/>
      <c r="AC202" s="4"/>
      <c r="AD202" s="4"/>
      <c r="AE202" s="52"/>
    </row>
    <row r="203" spans="1:31" x14ac:dyDescent="0.2">
      <c r="A203" s="7">
        <v>42785</v>
      </c>
      <c r="B203" s="13">
        <f ca="1">Prices!B202*(1+J203/(50*(ABS(O203)+ABS(T203)+0.0001)))</f>
        <v>1.0980211872154269</v>
      </c>
      <c r="C203" s="62">
        <f t="shared" ca="1" si="15"/>
        <v>0</v>
      </c>
      <c r="D203" s="13">
        <f ca="1">D202+C203*(Prices!B203-Prices!B202)/Prices!B202</f>
        <v>8.3038478752332626E-2</v>
      </c>
      <c r="E203" s="13">
        <f t="shared" ca="1" si="16"/>
        <v>6.7136936791146087E-2</v>
      </c>
      <c r="F203" s="13">
        <f t="shared" ca="1" si="14"/>
        <v>0.15017541554347871</v>
      </c>
      <c r="G203" s="21">
        <f ca="1">IF((Prices!B203-Prices!B202)*C203&gt;0,1,0)</f>
        <v>0</v>
      </c>
      <c r="H203" s="13">
        <f>ABS(Prices!B203-Prices!B202)/Prices!B202</f>
        <v>3.0349013657056767E-3</v>
      </c>
      <c r="I203" s="21"/>
      <c r="J203" s="4">
        <f t="shared" ca="1" si="17"/>
        <v>-1.7516550472332078E-2</v>
      </c>
      <c r="K203" s="13"/>
      <c r="L203" s="13">
        <f ca="1">L202-O203*Prices!B203</f>
        <v>0.70260202591241194</v>
      </c>
      <c r="M203" s="4">
        <f t="shared" ca="1" si="19"/>
        <v>0.28568597692293252</v>
      </c>
      <c r="N203" s="13">
        <f ca="1">IF(Prices!B202&gt;OFFSET(Prices!B202,-$N$3,0),1,-1)</f>
        <v>-1</v>
      </c>
      <c r="O203" s="4">
        <f ca="1">IF(N203=1,O$3*L202/Prices!B202,-O$3*M202)</f>
        <v>-1.1903582371788854E-2</v>
      </c>
      <c r="P203" s="22"/>
      <c r="Q203" s="13">
        <f ca="1">Q202-T203*Prices!B203</f>
        <v>0.80922308773124152</v>
      </c>
      <c r="R203" s="4">
        <f t="shared" ca="1" si="18"/>
        <v>0.18148596858423094</v>
      </c>
      <c r="S203" s="13">
        <f ca="1">IF(Prices!B202&gt;OFFSET(Prices!B202,-S$3,0),1,-1)</f>
        <v>-1</v>
      </c>
      <c r="T203" s="4">
        <f ca="1">IF(S203=1,T$3*Q202/Prices!B202,-T$3*R202)</f>
        <v>-5.6129681005432251E-3</v>
      </c>
      <c r="V203" s="13"/>
      <c r="W203" s="4"/>
      <c r="X203" s="4"/>
      <c r="Y203" s="4"/>
      <c r="Z203" s="4"/>
      <c r="AA203" s="4"/>
      <c r="AB203" s="4"/>
      <c r="AC203" s="4"/>
      <c r="AD203" s="4"/>
      <c r="AE203" s="52"/>
    </row>
    <row r="204" spans="1:31" x14ac:dyDescent="0.2">
      <c r="A204" s="7">
        <v>42792</v>
      </c>
      <c r="B204" s="13">
        <f ca="1">Prices!B203*(1+J204/(50*(ABS(O204)+ABS(T204)+0.0001)))</f>
        <v>1.0946936166399484</v>
      </c>
      <c r="C204" s="62">
        <f t="shared" ca="1" si="15"/>
        <v>0</v>
      </c>
      <c r="D204" s="13">
        <f ca="1">D203+C204*(Prices!B204-Prices!B203)/Prices!B203</f>
        <v>8.3038478752332626E-2</v>
      </c>
      <c r="E204" s="13">
        <f t="shared" ca="1" si="16"/>
        <v>6.7136936791146087E-2</v>
      </c>
      <c r="F204" s="13">
        <f t="shared" ca="1" si="14"/>
        <v>0.15017541554347871</v>
      </c>
      <c r="G204" s="21">
        <f ca="1">IF((Prices!B204-Prices!B203)*C204&gt;0,1,0)</f>
        <v>0</v>
      </c>
      <c r="H204" s="13">
        <f>ABS(Prices!B204-Prices!B203)/Prices!B203</f>
        <v>1.4773032500671465E-2</v>
      </c>
      <c r="I204" s="21"/>
      <c r="J204" s="4">
        <f t="shared" ca="1" si="17"/>
        <v>-1.6872018134444229E-2</v>
      </c>
      <c r="K204" s="13"/>
      <c r="L204" s="13">
        <f ca="1">L203-O204*Prices!B204</f>
        <v>0.71555388536219</v>
      </c>
      <c r="M204" s="4">
        <f t="shared" ca="1" si="19"/>
        <v>0.27425853784601523</v>
      </c>
      <c r="N204" s="13">
        <f ca="1">IF(Prices!B203&gt;OFFSET(Prices!B203,-$N$3,0),1,-1)</f>
        <v>-1</v>
      </c>
      <c r="O204" s="4">
        <f ca="1">IF(N204=1,O$3*L203/Prices!B203,-O$3*M203)</f>
        <v>-1.1427439076917302E-2</v>
      </c>
      <c r="P204" s="22"/>
      <c r="Q204" s="13">
        <f ca="1">Q203-T204*Prices!B204</f>
        <v>0.81539397363504251</v>
      </c>
      <c r="R204" s="4">
        <f t="shared" ca="1" si="18"/>
        <v>0.17604138952670401</v>
      </c>
      <c r="S204" s="13">
        <f ca="1">IF(Prices!B203&gt;OFFSET(Prices!B203,-S$3,0),1,-1)</f>
        <v>-1</v>
      </c>
      <c r="T204" s="4">
        <f ca="1">IF(S204=1,T$3*Q203/Prices!B203,-T$3*R203)</f>
        <v>-5.4445790575269283E-3</v>
      </c>
      <c r="V204" s="13"/>
      <c r="W204" s="4"/>
      <c r="X204" s="4"/>
      <c r="Y204" s="4"/>
      <c r="Z204" s="4"/>
      <c r="AA204" s="4"/>
      <c r="AB204" s="4"/>
      <c r="AC204" s="4"/>
      <c r="AD204" s="4"/>
      <c r="AE204" s="52"/>
    </row>
    <row r="205" spans="1:31" x14ac:dyDescent="0.2">
      <c r="A205" s="7">
        <v>42799</v>
      </c>
      <c r="B205" s="13">
        <f ca="1">Prices!B204*(1+J205/(50*(ABS(O205)+ABS(T205)+0.0001)))</f>
        <v>1.1560197044960223</v>
      </c>
      <c r="C205" s="62">
        <f t="shared" ca="1" si="15"/>
        <v>1</v>
      </c>
      <c r="D205" s="13">
        <f ca="1">D204+C205*(Prices!B205-Prices!B204)/Prices!B204</f>
        <v>7.1921485634280802E-2</v>
      </c>
      <c r="E205" s="13">
        <f t="shared" ca="1" si="16"/>
        <v>7.8253929909197911E-2</v>
      </c>
      <c r="F205" s="13">
        <f t="shared" ca="1" si="14"/>
        <v>0.15017541554347871</v>
      </c>
      <c r="G205" s="21">
        <f ca="1">IF((Prices!B205-Prices!B204)*C205&gt;0,1,0)</f>
        <v>0</v>
      </c>
      <c r="H205" s="13">
        <f>ABS(Prices!B205-Prices!B204)/Prices!B204</f>
        <v>1.1116993118051831E-2</v>
      </c>
      <c r="I205" s="21"/>
      <c r="J205" s="4">
        <f t="shared" ca="1" si="17"/>
        <v>4.6836046076882722E-2</v>
      </c>
      <c r="K205" s="13"/>
      <c r="L205" s="13">
        <f ca="1">L204-O205*Prices!B205</f>
        <v>0.68724992225246906</v>
      </c>
      <c r="M205" s="4">
        <f t="shared" ca="1" si="19"/>
        <v>0.29951189536717954</v>
      </c>
      <c r="N205" s="13">
        <f ca="1">IF(Prices!B204&gt;OFFSET(Prices!B204,-$N$3,0),1,-1)</f>
        <v>1</v>
      </c>
      <c r="O205" s="4">
        <f ca="1">IF(N205=1,O$3*L204/Prices!B204,-O$3*M204)</f>
        <v>2.5253357521164286E-2</v>
      </c>
      <c r="P205" s="22"/>
      <c r="Q205" s="13">
        <f ca="1">Q204-T205*Prices!B205</f>
        <v>0.79120409630179334</v>
      </c>
      <c r="R205" s="4">
        <f t="shared" ca="1" si="18"/>
        <v>0.19762407808242244</v>
      </c>
      <c r="S205" s="13">
        <f ca="1">IF(Prices!B204&gt;OFFSET(Prices!B204,-S$3,0),1,-1)</f>
        <v>1</v>
      </c>
      <c r="T205" s="4">
        <f ca="1">IF(S205=1,T$3*Q204/Prices!B204,-T$3*R204)</f>
        <v>2.1582688555718436E-2</v>
      </c>
      <c r="V205" s="13"/>
      <c r="W205" s="4"/>
      <c r="X205" s="4"/>
      <c r="Y205" s="4"/>
      <c r="Z205" s="4"/>
      <c r="AA205" s="4"/>
      <c r="AB205" s="4"/>
      <c r="AC205" s="4"/>
      <c r="AD205" s="4"/>
      <c r="AE205" s="52"/>
    </row>
    <row r="206" spans="1:31" x14ac:dyDescent="0.2">
      <c r="A206" s="7">
        <v>42806</v>
      </c>
      <c r="B206" s="13">
        <f ca="1">Prices!B205*(1+J206/(50*(ABS(O206)+ABS(T206)+0.0001)))</f>
        <v>1.134443927188574</v>
      </c>
      <c r="C206" s="62">
        <f t="shared" ca="1" si="15"/>
        <v>1</v>
      </c>
      <c r="D206" s="13">
        <f ca="1">D205+C206*(Prices!B206-Prices!B205)/Prices!B205</f>
        <v>8.6286225106086661E-2</v>
      </c>
      <c r="E206" s="13">
        <f t="shared" ca="1" si="16"/>
        <v>6.3889190437392052E-2</v>
      </c>
      <c r="F206" s="13">
        <f t="shared" ca="1" si="14"/>
        <v>0.15017541554347871</v>
      </c>
      <c r="G206" s="21">
        <f ca="1">IF((Prices!B206-Prices!B205)*C206&gt;0,1,0)</f>
        <v>1</v>
      </c>
      <c r="H206" s="13">
        <f>ABS(Prices!B206-Prices!B205)/Prices!B205</f>
        <v>1.4364739471805856E-2</v>
      </c>
      <c r="I206" s="21"/>
      <c r="J206" s="4">
        <f t="shared" ca="1" si="17"/>
        <v>1.8598398366038001E-2</v>
      </c>
      <c r="K206" s="13"/>
      <c r="L206" s="13">
        <f ca="1">L205-O206*Prices!B206</f>
        <v>0.65936503871896324</v>
      </c>
      <c r="M206" s="4">
        <f t="shared" ca="1" si="19"/>
        <v>0.32403901607569019</v>
      </c>
      <c r="N206" s="13">
        <f ca="1">IF(Prices!B205&gt;OFFSET(Prices!B205,-$N$3,0),1,-1)</f>
        <v>1</v>
      </c>
      <c r="O206" s="4">
        <f ca="1">IF(N206=1,O$3*L205/Prices!B205,-O$3*M205)</f>
        <v>2.4527120708510673E-2</v>
      </c>
      <c r="P206" s="22"/>
      <c r="Q206" s="13">
        <f ca="1">Q205-T206*Prices!B206</f>
        <v>0.79794446073295056</v>
      </c>
      <c r="R206" s="4">
        <f t="shared" ca="1" si="18"/>
        <v>0.19169535573994978</v>
      </c>
      <c r="S206" s="13">
        <f ca="1">IF(Prices!B205&gt;OFFSET(Prices!B205,-S$3,0),1,-1)</f>
        <v>-1</v>
      </c>
      <c r="T206" s="4">
        <f ca="1">IF(S206=1,T$3*Q205/Prices!B205,-T$3*R205)</f>
        <v>-5.9287223424726726E-3</v>
      </c>
      <c r="V206" s="13"/>
      <c r="W206" s="4"/>
      <c r="X206" s="4"/>
      <c r="Y206" s="4"/>
      <c r="Z206" s="4"/>
      <c r="AA206" s="4"/>
      <c r="AB206" s="4"/>
      <c r="AC206" s="4"/>
      <c r="AD206" s="4"/>
      <c r="AE206" s="52"/>
    </row>
    <row r="207" spans="1:31" x14ac:dyDescent="0.2">
      <c r="A207" s="7">
        <v>42813</v>
      </c>
      <c r="B207" s="13">
        <f ca="1">Prices!B206*(1+J207/(50*(ABS(O207)+ABS(T207)+0.0001)))</f>
        <v>1.1595867357482084</v>
      </c>
      <c r="C207" s="62">
        <f t="shared" ca="1" si="15"/>
        <v>1</v>
      </c>
      <c r="D207" s="13">
        <f ca="1">D206+C207*(Prices!B207-Prices!B206)/Prices!B206</f>
        <v>8.6638059040469589E-2</v>
      </c>
      <c r="E207" s="13">
        <f t="shared" ca="1" si="16"/>
        <v>6.3537356503009124E-2</v>
      </c>
      <c r="F207" s="13">
        <f t="shared" ca="1" si="14"/>
        <v>0.15017541554347871</v>
      </c>
      <c r="G207" s="21">
        <f ca="1">IF((Prices!B207-Prices!B206)*C207&gt;0,1,0)</f>
        <v>1</v>
      </c>
      <c r="H207" s="13">
        <f>ABS(Prices!B207-Prices!B206)/Prices!B206</f>
        <v>3.5183393438293248E-4</v>
      </c>
      <c r="I207" s="21"/>
      <c r="J207" s="4">
        <f t="shared" ca="1" si="17"/>
        <v>4.4254495004615216E-2</v>
      </c>
      <c r="K207" s="13"/>
      <c r="L207" s="13">
        <f ca="1">L206-O207*Prices!B207</f>
        <v>0.632981157690374</v>
      </c>
      <c r="M207" s="4">
        <f t="shared" ca="1" si="19"/>
        <v>0.34723771565239747</v>
      </c>
      <c r="N207" s="13">
        <f ca="1">IF(Prices!B206&gt;OFFSET(Prices!B206,-$N$3,0),1,-1)</f>
        <v>1</v>
      </c>
      <c r="O207" s="4">
        <f ca="1">IF(N207=1,O$3*L206/Prices!B206,-O$3*M206)</f>
        <v>2.31986995767073E-2</v>
      </c>
      <c r="P207" s="22"/>
      <c r="Q207" s="13">
        <f ca="1">Q206-T207*Prices!B207</f>
        <v>0.77399770459279083</v>
      </c>
      <c r="R207" s="4">
        <f t="shared" ca="1" si="18"/>
        <v>0.2127511511678577</v>
      </c>
      <c r="S207" s="13">
        <f ca="1">IF(Prices!B206&gt;OFFSET(Prices!B206,-S$3,0),1,-1)</f>
        <v>1</v>
      </c>
      <c r="T207" s="4">
        <f ca="1">IF(S207=1,T$3*Q206/Prices!B206,-T$3*R206)</f>
        <v>2.105579542790792E-2</v>
      </c>
      <c r="V207" s="13"/>
      <c r="W207" s="4"/>
      <c r="X207" s="4"/>
      <c r="Y207" s="4"/>
      <c r="Z207" s="4"/>
      <c r="AA207" s="4"/>
      <c r="AB207" s="4"/>
      <c r="AC207" s="4"/>
      <c r="AD207" s="4"/>
      <c r="AE207" s="52"/>
    </row>
    <row r="208" spans="1:31" x14ac:dyDescent="0.2">
      <c r="A208" s="7">
        <v>42820</v>
      </c>
      <c r="B208" s="13">
        <f ca="1">Prices!B207*(1+J208/(50*(ABS(O208)+ABS(T208)+0.0001)))</f>
        <v>1.159992829434954</v>
      </c>
      <c r="C208" s="62">
        <f t="shared" ca="1" si="15"/>
        <v>1</v>
      </c>
      <c r="D208" s="13">
        <f ca="1">D207+C208*(Prices!B208-Prices!B207)/Prices!B207</f>
        <v>7.3624781980766857E-2</v>
      </c>
      <c r="E208" s="13">
        <f t="shared" ca="1" si="16"/>
        <v>7.6550633562711856E-2</v>
      </c>
      <c r="F208" s="13">
        <f t="shared" ref="F208:F271" ca="1" si="20">MAX(F207,D208)</f>
        <v>0.15017541554347871</v>
      </c>
      <c r="G208" s="21">
        <f ca="1">IF((Prices!B208-Prices!B207)*C208&gt;0,1,0)</f>
        <v>0</v>
      </c>
      <c r="H208" s="13">
        <f>ABS(Prices!B208-Prices!B207)/Prices!B207</f>
        <v>1.3013277059702739E-2</v>
      </c>
      <c r="I208" s="21"/>
      <c r="J208" s="4">
        <f t="shared" ca="1" si="17"/>
        <v>4.2679308401827737E-2</v>
      </c>
      <c r="K208" s="13"/>
      <c r="L208" s="13">
        <f ca="1">L207-O208*Prices!B208</f>
        <v>0.60799139774990285</v>
      </c>
      <c r="M208" s="4">
        <f t="shared" ca="1" si="19"/>
        <v>0.36950030802698197</v>
      </c>
      <c r="N208" s="13">
        <f ca="1">IF(Prices!B207&gt;OFFSET(Prices!B207,-$N$3,0),1,-1)</f>
        <v>1</v>
      </c>
      <c r="O208" s="4">
        <f ca="1">IF(N208=1,O$3*L207/Prices!B207,-O$3*M207)</f>
        <v>2.226259237458451E-2</v>
      </c>
      <c r="P208" s="22"/>
      <c r="Q208" s="13">
        <f ca="1">Q207-T208*Prices!B208</f>
        <v>0.7510799408522103</v>
      </c>
      <c r="R208" s="4">
        <f t="shared" ca="1" si="18"/>
        <v>0.23316786719510094</v>
      </c>
      <c r="S208" s="13">
        <f ca="1">IF(Prices!B207&gt;OFFSET(Prices!B207,-S$3,0),1,-1)</f>
        <v>1</v>
      </c>
      <c r="T208" s="4">
        <f ca="1">IF(S208=1,T$3*Q207/Prices!B207,-T$3*R207)</f>
        <v>2.041671602724323E-2</v>
      </c>
      <c r="V208" s="13"/>
      <c r="W208" s="4"/>
      <c r="X208" s="4"/>
      <c r="Y208" s="4"/>
      <c r="Z208" s="4"/>
      <c r="AA208" s="4"/>
      <c r="AB208" s="4"/>
      <c r="AC208" s="4"/>
      <c r="AD208" s="4"/>
      <c r="AE208" s="52"/>
    </row>
    <row r="209" spans="1:31" x14ac:dyDescent="0.2">
      <c r="A209" s="7">
        <v>42827</v>
      </c>
      <c r="B209" s="13">
        <f ca="1">Prices!B208*(1+J209/(50*(ABS(O209)+ABS(T209)+0.0001)))</f>
        <v>1.1339515672165197</v>
      </c>
      <c r="C209" s="62">
        <f t="shared" ref="C209:C272" ca="1" si="21">IF(J209&gt;0,1,IF(J209&lt;0,0,0))</f>
        <v>1</v>
      </c>
      <c r="D209" s="13">
        <f ca="1">D208+C209*(Prices!B209-Prices!B208)/Prices!B208</f>
        <v>7.763369066673563E-2</v>
      </c>
      <c r="E209" s="13">
        <f t="shared" ref="E209:E271" ca="1" si="22">F209-D209</f>
        <v>7.2541724876743083E-2</v>
      </c>
      <c r="F209" s="13">
        <f t="shared" ca="1" si="20"/>
        <v>0.15017541554347871</v>
      </c>
      <c r="G209" s="21">
        <f ca="1">IF((Prices!B209-Prices!B208)*C209&gt;0,1,0)</f>
        <v>1</v>
      </c>
      <c r="H209" s="13">
        <f>ABS(Prices!B209-Prices!B208)/Prices!B208</f>
        <v>4.0089086859687734E-3</v>
      </c>
      <c r="I209" s="21"/>
      <c r="J209" s="4">
        <f t="shared" ref="J209:J272" ca="1" si="23">O209+T209</f>
        <v>1.4670581721337277E-2</v>
      </c>
      <c r="K209" s="13"/>
      <c r="L209" s="13">
        <f ca="1">L208-O209*Prices!B209</f>
        <v>0.58357424656008938</v>
      </c>
      <c r="M209" s="4">
        <f t="shared" ca="1" si="19"/>
        <v>0.39116592576417225</v>
      </c>
      <c r="N209" s="13">
        <f ca="1">IF(Prices!B208&gt;OFFSET(Prices!B208,-$N$3,0),1,-1)</f>
        <v>1</v>
      </c>
      <c r="O209" s="4">
        <f ca="1">IF(N209=1,O$3*L208/Prices!B208,-O$3*M208)</f>
        <v>2.1665617737190303E-2</v>
      </c>
      <c r="P209" s="22"/>
      <c r="Q209" s="13">
        <f ca="1">Q208-T209*Prices!B209</f>
        <v>0.75896334644207664</v>
      </c>
      <c r="R209" s="4">
        <f t="shared" ca="1" si="18"/>
        <v>0.22617283117924791</v>
      </c>
      <c r="S209" s="13">
        <f ca="1">IF(Prices!B208&gt;OFFSET(Prices!B208,-S$3,0),1,-1)</f>
        <v>-1</v>
      </c>
      <c r="T209" s="4">
        <f ca="1">IF(S209=1,T$3*Q208/Prices!B208,-T$3*R208)</f>
        <v>-6.9950360158530277E-3</v>
      </c>
      <c r="V209" s="13"/>
      <c r="W209" s="4"/>
      <c r="X209" s="4"/>
      <c r="Y209" s="4"/>
      <c r="Z209" s="4"/>
      <c r="AA209" s="4"/>
      <c r="AB209" s="4"/>
      <c r="AC209" s="4"/>
      <c r="AD209" s="4"/>
      <c r="AE209" s="52"/>
    </row>
    <row r="210" spans="1:31" x14ac:dyDescent="0.2">
      <c r="A210" s="7">
        <v>42834</v>
      </c>
      <c r="B210" s="13">
        <f ca="1">Prices!B209*(1+J210/(50*(ABS(O210)+ABS(T210)+0.0001)))</f>
        <v>1.1494850452868259</v>
      </c>
      <c r="C210" s="62">
        <f t="shared" ca="1" si="21"/>
        <v>1</v>
      </c>
      <c r="D210" s="13">
        <f ca="1">D209+C210*(Prices!B210-Prices!B209)/Prices!B209</f>
        <v>7.3285864579779189E-2</v>
      </c>
      <c r="E210" s="13">
        <f t="shared" ca="1" si="22"/>
        <v>7.6889550963699524E-2</v>
      </c>
      <c r="F210" s="13">
        <f t="shared" ca="1" si="20"/>
        <v>0.15017541554347871</v>
      </c>
      <c r="G210" s="21">
        <f ca="1">IF((Prices!B210-Prices!B209)*C210&gt;0,1,0)</f>
        <v>0</v>
      </c>
      <c r="H210" s="13">
        <f>ABS(Prices!B210-Prices!B209)/Prices!B209</f>
        <v>4.3478260869564368E-3</v>
      </c>
      <c r="I210" s="21"/>
      <c r="J210" s="4">
        <f t="shared" ca="1" si="23"/>
        <v>4.091559028896706E-2</v>
      </c>
      <c r="K210" s="13"/>
      <c r="L210" s="13">
        <f ca="1">L209-O210*Prices!B210</f>
        <v>0.56033276787100061</v>
      </c>
      <c r="M210" s="4">
        <f t="shared" ca="1" si="19"/>
        <v>0.41187841011413107</v>
      </c>
      <c r="N210" s="13">
        <f ca="1">IF(Prices!B209&gt;OFFSET(Prices!B209,-$N$3,0),1,-1)</f>
        <v>1</v>
      </c>
      <c r="O210" s="4">
        <f ca="1">IF(N210=1,O$3*L209/Prices!B209,-O$3*M209)</f>
        <v>2.0712484349958808E-2</v>
      </c>
      <c r="P210" s="22"/>
      <c r="Q210" s="13">
        <f ca="1">Q209-T210*Prices!B210</f>
        <v>0.73629344126791552</v>
      </c>
      <c r="R210" s="4">
        <f t="shared" ca="1" si="18"/>
        <v>0.24637593711825617</v>
      </c>
      <c r="S210" s="13">
        <f ca="1">IF(Prices!B209&gt;OFFSET(Prices!B209,-S$3,0),1,-1)</f>
        <v>1</v>
      </c>
      <c r="T210" s="4">
        <f ca="1">IF(S210=1,T$3*Q209/Prices!B209,-T$3*R209)</f>
        <v>2.0203105939008252E-2</v>
      </c>
      <c r="V210" s="13"/>
      <c r="W210" s="4"/>
      <c r="X210" s="4"/>
      <c r="Y210" s="4"/>
      <c r="Z210" s="4"/>
      <c r="AA210" s="4"/>
      <c r="AB210" s="4"/>
      <c r="AC210" s="4"/>
      <c r="AD210" s="4"/>
      <c r="AE210" s="52"/>
    </row>
    <row r="211" spans="1:31" x14ac:dyDescent="0.2">
      <c r="A211" s="7">
        <v>42841</v>
      </c>
      <c r="B211" s="13">
        <f ca="1">Prices!B210*(1+J211/(50*(ABS(O211)+ABS(T211)+0.0001)))</f>
        <v>1.1240867709273101</v>
      </c>
      <c r="C211" s="62">
        <f t="shared" ca="1" si="21"/>
        <v>1</v>
      </c>
      <c r="D211" s="13">
        <f ca="1">D210+C211*(Prices!B211-Prices!B210)/Prices!B210</f>
        <v>6.4997833210025974E-2</v>
      </c>
      <c r="E211" s="13">
        <f t="shared" ca="1" si="22"/>
        <v>8.5177582333452739E-2</v>
      </c>
      <c r="F211" s="13">
        <f t="shared" ca="1" si="20"/>
        <v>0.15017541554347871</v>
      </c>
      <c r="G211" s="21">
        <f ca="1">IF((Prices!B211-Prices!B210)*C211&gt;0,1,0)</f>
        <v>0</v>
      </c>
      <c r="H211" s="13">
        <f>ABS(Prices!B211-Prices!B210)/Prices!B210</f>
        <v>8.2880313697532172E-3</v>
      </c>
      <c r="I211" s="21"/>
      <c r="J211" s="4">
        <f t="shared" ca="1" si="23"/>
        <v>3.2100995263120956E-3</v>
      </c>
      <c r="K211" s="13"/>
      <c r="L211" s="13">
        <f ca="1">L210-O211*Prices!B211</f>
        <v>0.57866629966200078</v>
      </c>
      <c r="M211" s="4">
        <f t="shared" ca="1" si="19"/>
        <v>0.39540327370956585</v>
      </c>
      <c r="N211" s="13">
        <f ca="1">IF(Prices!B210&gt;OFFSET(Prices!B210,-$N$3,0),1,-1)</f>
        <v>-1</v>
      </c>
      <c r="O211" s="4">
        <f ca="1">IF(N211=1,O$3*L210/Prices!B210,-O$3*M210)</f>
        <v>-1.6475136404565244E-2</v>
      </c>
      <c r="P211" s="22"/>
      <c r="Q211" s="13">
        <f ca="1">Q210-T211*Prices!B211</f>
        <v>0.71438771072403517</v>
      </c>
      <c r="R211" s="4">
        <f t="shared" ca="1" si="18"/>
        <v>0.26606117304913351</v>
      </c>
      <c r="S211" s="13">
        <f ca="1">IF(Prices!B210&gt;OFFSET(Prices!B210,-S$3,0),1,-1)</f>
        <v>1</v>
      </c>
      <c r="T211" s="4">
        <f ca="1">IF(S211=1,T$3*Q210/Prices!B210,-T$3*R210)</f>
        <v>1.9685235930877339E-2</v>
      </c>
      <c r="V211" s="13"/>
      <c r="W211" s="4"/>
      <c r="X211" s="4"/>
      <c r="Y211" s="4"/>
      <c r="Z211" s="4"/>
      <c r="AA211" s="4"/>
      <c r="AB211" s="4"/>
      <c r="AC211" s="4"/>
      <c r="AD211" s="4"/>
      <c r="AE211" s="52"/>
    </row>
    <row r="212" spans="1:31" x14ac:dyDescent="0.2">
      <c r="A212" s="7">
        <v>42848</v>
      </c>
      <c r="B212" s="13">
        <f ca="1">Prices!B211*(1+J212/(50*(ABS(O212)+ABS(T212)+0.0001)))</f>
        <v>1.0906371292640962</v>
      </c>
      <c r="C212" s="62">
        <f t="shared" ca="1" si="21"/>
        <v>0</v>
      </c>
      <c r="D212" s="13">
        <f ca="1">D211+C212*(Prices!B212-Prices!B211)/Prices!B211</f>
        <v>6.4997833210025974E-2</v>
      </c>
      <c r="E212" s="13">
        <f t="shared" ca="1" si="22"/>
        <v>8.5177582333452739E-2</v>
      </c>
      <c r="F212" s="13">
        <f t="shared" ca="1" si="20"/>
        <v>0.15017541554347871</v>
      </c>
      <c r="G212" s="21">
        <f ca="1">IF((Prices!B212-Prices!B211)*C212&gt;0,1,0)</f>
        <v>0</v>
      </c>
      <c r="H212" s="13">
        <f>ABS(Prices!B212-Prices!B211)/Prices!B211</f>
        <v>1.7972681524083408E-3</v>
      </c>
      <c r="I212" s="21"/>
      <c r="J212" s="4">
        <f t="shared" ca="1" si="23"/>
        <v>-2.3797966139856637E-2</v>
      </c>
      <c r="K212" s="13"/>
      <c r="L212" s="13">
        <f ca="1">L211-O212*Prices!B212</f>
        <v>0.59623485791946418</v>
      </c>
      <c r="M212" s="4">
        <f t="shared" ca="1" si="19"/>
        <v>0.37958714276118322</v>
      </c>
      <c r="N212" s="13">
        <f ca="1">IF(Prices!B211&gt;OFFSET(Prices!B211,-$N$3,0),1,-1)</f>
        <v>-1</v>
      </c>
      <c r="O212" s="4">
        <f ca="1">IF(N212=1,O$3*L211/Prices!B211,-O$3*M211)</f>
        <v>-1.5816130948382634E-2</v>
      </c>
      <c r="P212" s="22"/>
      <c r="Q212" s="13">
        <f ca="1">Q211-T212*Prices!B212</f>
        <v>0.72325393325472453</v>
      </c>
      <c r="R212" s="4">
        <f t="shared" ca="1" si="18"/>
        <v>0.25807933785765952</v>
      </c>
      <c r="S212" s="13">
        <f ca="1">IF(Prices!B211&gt;OFFSET(Prices!B211,-S$3,0),1,-1)</f>
        <v>-1</v>
      </c>
      <c r="T212" s="4">
        <f ca="1">IF(S212=1,T$3*Q211/Prices!B211,-T$3*R211)</f>
        <v>-7.9818351914740047E-3</v>
      </c>
      <c r="V212" s="13"/>
      <c r="W212" s="4"/>
      <c r="X212" s="4"/>
      <c r="Y212" s="4"/>
      <c r="Z212" s="4"/>
      <c r="AA212" s="4"/>
      <c r="AB212" s="4"/>
      <c r="AC212" s="4"/>
      <c r="AD212" s="4"/>
      <c r="AE212" s="52"/>
    </row>
    <row r="213" spans="1:31" x14ac:dyDescent="0.2">
      <c r="A213" s="7">
        <v>42855</v>
      </c>
      <c r="B213" s="13">
        <f ca="1">Prices!B212*(1+J213/(50*(ABS(O213)+ABS(T213)+0.0001)))</f>
        <v>1.0886804827995977</v>
      </c>
      <c r="C213" s="62">
        <f t="shared" ca="1" si="21"/>
        <v>0</v>
      </c>
      <c r="D213" s="13">
        <f ca="1">D212+C213*(Prices!B213-Prices!B212)/Prices!B212</f>
        <v>6.4997833210025974E-2</v>
      </c>
      <c r="E213" s="13">
        <f t="shared" ca="1" si="22"/>
        <v>8.5177582333452739E-2</v>
      </c>
      <c r="F213" s="13">
        <f t="shared" ca="1" si="20"/>
        <v>0.15017541554347871</v>
      </c>
      <c r="G213" s="21">
        <f ca="1">IF((Prices!B213-Prices!B212)*C213&gt;0,1,0)</f>
        <v>0</v>
      </c>
      <c r="H213" s="13">
        <f>ABS(Prices!B213-Prices!B212)/Prices!B212</f>
        <v>8.2823190493339013E-3</v>
      </c>
      <c r="I213" s="21"/>
      <c r="J213" s="4">
        <f t="shared" ca="1" si="23"/>
        <v>-2.2925865846177115E-2</v>
      </c>
      <c r="K213" s="13"/>
      <c r="L213" s="13">
        <f ca="1">L212-O213*Prices!B213</f>
        <v>0.61324036191516518</v>
      </c>
      <c r="M213" s="4">
        <f t="shared" ca="1" si="19"/>
        <v>0.36440365705073591</v>
      </c>
      <c r="N213" s="13">
        <f ca="1">IF(Prices!B212&gt;OFFSET(Prices!B212,-$N$3,0),1,-1)</f>
        <v>-1</v>
      </c>
      <c r="O213" s="4">
        <f ca="1">IF(N213=1,O$3*L212/Prices!B212,-O$3*M212)</f>
        <v>-1.5183485710447329E-2</v>
      </c>
      <c r="P213" s="22"/>
      <c r="Q213" s="13">
        <f ca="1">Q212-T213*Prices!B213</f>
        <v>0.73192539900674192</v>
      </c>
      <c r="R213" s="4">
        <f t="shared" ca="1" si="18"/>
        <v>0.25033695772192971</v>
      </c>
      <c r="S213" s="13">
        <f ca="1">IF(Prices!B212&gt;OFFSET(Prices!B212,-S$3,0),1,-1)</f>
        <v>-1</v>
      </c>
      <c r="T213" s="4">
        <f ca="1">IF(S213=1,T$3*Q212/Prices!B212,-T$3*R212)</f>
        <v>-7.7423801357297851E-3</v>
      </c>
      <c r="V213" s="13"/>
      <c r="W213" s="4"/>
      <c r="X213" s="4"/>
      <c r="Y213" s="4"/>
      <c r="Z213" s="4"/>
      <c r="AA213" s="4"/>
      <c r="AB213" s="4"/>
      <c r="AC213" s="4"/>
      <c r="AD213" s="4"/>
      <c r="AE213" s="52"/>
    </row>
    <row r="214" spans="1:31" x14ac:dyDescent="0.2">
      <c r="A214" s="7">
        <v>42862</v>
      </c>
      <c r="B214" s="13">
        <f ca="1">Prices!B213*(1+J214/(50*(ABS(O214)+ABS(T214)+0.0001)))</f>
        <v>1.0977009634117438</v>
      </c>
      <c r="C214" s="62">
        <f t="shared" ca="1" si="21"/>
        <v>0</v>
      </c>
      <c r="D214" s="13">
        <f ca="1">D213+C214*(Prices!B214-Prices!B213)/Prices!B213</f>
        <v>6.4997833210025974E-2</v>
      </c>
      <c r="E214" s="13">
        <f t="shared" ca="1" si="22"/>
        <v>8.5177582333452739E-2</v>
      </c>
      <c r="F214" s="13">
        <f t="shared" ca="1" si="20"/>
        <v>0.15017541554347871</v>
      </c>
      <c r="G214" s="21">
        <f ca="1">IF((Prices!B214-Prices!B213)*C214&gt;0,1,0)</f>
        <v>0</v>
      </c>
      <c r="H214" s="13">
        <f>ABS(Prices!B214-Prices!B213)/Prices!B213</f>
        <v>9.8214285714286788E-3</v>
      </c>
      <c r="I214" s="21"/>
      <c r="J214" s="4">
        <f t="shared" ca="1" si="23"/>
        <v>-2.2086255013687328E-2</v>
      </c>
      <c r="K214" s="13"/>
      <c r="L214" s="13">
        <f ca="1">L213-O214*Prices!B214</f>
        <v>0.62940530814193585</v>
      </c>
      <c r="M214" s="4">
        <f t="shared" ca="1" si="19"/>
        <v>0.3498275107687065</v>
      </c>
      <c r="N214" s="13">
        <f ca="1">IF(Prices!B213&gt;OFFSET(Prices!B213,-$N$3,0),1,-1)</f>
        <v>-1</v>
      </c>
      <c r="O214" s="4">
        <f ca="1">IF(N214=1,O$3*L213/Prices!B213,-O$3*M213)</f>
        <v>-1.4576146282029436E-2</v>
      </c>
      <c r="P214" s="22"/>
      <c r="Q214" s="13">
        <f ca="1">Q213-T214*Prices!B214</f>
        <v>0.74025410959015048</v>
      </c>
      <c r="R214" s="4">
        <f t="shared" ca="1" si="18"/>
        <v>0.24282684899027182</v>
      </c>
      <c r="S214" s="13">
        <f ca="1">IF(Prices!B213&gt;OFFSET(Prices!B213,-S$3,0),1,-1)</f>
        <v>-1</v>
      </c>
      <c r="T214" s="4">
        <f ca="1">IF(S214=1,T$3*Q213/Prices!B213,-T$3*R213)</f>
        <v>-7.5101087316578911E-3</v>
      </c>
      <c r="V214" s="13"/>
      <c r="W214" s="4"/>
      <c r="X214" s="4"/>
      <c r="Y214" s="4"/>
      <c r="Z214" s="4"/>
      <c r="AA214" s="4"/>
      <c r="AB214" s="4"/>
      <c r="AC214" s="4"/>
      <c r="AD214" s="4"/>
      <c r="AE214" s="52"/>
    </row>
    <row r="215" spans="1:31" x14ac:dyDescent="0.2">
      <c r="A215" s="7">
        <v>42869</v>
      </c>
      <c r="B215" s="13">
        <f ca="1">Prices!B214*(1+J215/(50*(ABS(O215)+ABS(T215)+0.0001)))</f>
        <v>1.0869237519769397</v>
      </c>
      <c r="C215" s="62">
        <f t="shared" ca="1" si="21"/>
        <v>0</v>
      </c>
      <c r="D215" s="13">
        <f ca="1">D214+C215*(Prices!B215-Prices!B214)/Prices!B214</f>
        <v>6.4997833210025974E-2</v>
      </c>
      <c r="E215" s="13">
        <f t="shared" ca="1" si="22"/>
        <v>8.5177582333452739E-2</v>
      </c>
      <c r="F215" s="13">
        <f t="shared" ca="1" si="20"/>
        <v>0.15017541554347871</v>
      </c>
      <c r="G215" s="21">
        <f ca="1">IF((Prices!B215-Prices!B214)*C215&gt;0,1,0)</f>
        <v>0</v>
      </c>
      <c r="H215" s="13">
        <f>ABS(Prices!B215-Prices!B214)/Prices!B214</f>
        <v>4.869251577998261E-3</v>
      </c>
      <c r="I215" s="21"/>
      <c r="J215" s="4">
        <f t="shared" ca="1" si="23"/>
        <v>-2.1277905900456414E-2</v>
      </c>
      <c r="K215" s="13"/>
      <c r="L215" s="13">
        <f ca="1">L214-O215*Prices!B215</f>
        <v>0.64499921926196169</v>
      </c>
      <c r="M215" s="4">
        <f t="shared" ca="1" si="19"/>
        <v>0.33583441033795824</v>
      </c>
      <c r="N215" s="13">
        <f ca="1">IF(Prices!B214&gt;OFFSET(Prices!B214,-$N$3,0),1,-1)</f>
        <v>-1</v>
      </c>
      <c r="O215" s="4">
        <f ca="1">IF(N215=1,O$3*L214/Prices!B214,-O$3*M214)</f>
        <v>-1.399310043074826E-2</v>
      </c>
      <c r="P215" s="22"/>
      <c r="Q215" s="13">
        <f ca="1">Q214-T215*Prices!B215</f>
        <v>0.74837229680559325</v>
      </c>
      <c r="R215" s="4">
        <f t="shared" ca="1" si="18"/>
        <v>0.23554204352056365</v>
      </c>
      <c r="S215" s="13">
        <f ca="1">IF(Prices!B214&gt;OFFSET(Prices!B214,-S$3,0),1,-1)</f>
        <v>-1</v>
      </c>
      <c r="T215" s="4">
        <f ca="1">IF(S215=1,T$3*Q214/Prices!B214,-T$3*R214)</f>
        <v>-7.2848054697081544E-3</v>
      </c>
      <c r="V215" s="13"/>
      <c r="W215" s="4"/>
      <c r="X215" s="4"/>
      <c r="Y215" s="4"/>
      <c r="Z215" s="4"/>
      <c r="AA215" s="4"/>
      <c r="AB215" s="4"/>
      <c r="AC215" s="4"/>
      <c r="AD215" s="4"/>
      <c r="AE215" s="52"/>
    </row>
    <row r="216" spans="1:31" x14ac:dyDescent="0.2">
      <c r="A216" s="7">
        <v>42876</v>
      </c>
      <c r="B216" s="13">
        <f ca="1">Prices!B215*(1+J216/(50*(ABS(O216)+ABS(T216)+0.0001)))</f>
        <v>1.0922201960775422</v>
      </c>
      <c r="C216" s="62">
        <f t="shared" ca="1" si="21"/>
        <v>0</v>
      </c>
      <c r="D216" s="13">
        <f ca="1">D215+C216*(Prices!B216-Prices!B215)/Prices!B215</f>
        <v>6.4997833210025974E-2</v>
      </c>
      <c r="E216" s="13">
        <f t="shared" ca="1" si="22"/>
        <v>8.5177582333452739E-2</v>
      </c>
      <c r="F216" s="13">
        <f t="shared" ca="1" si="20"/>
        <v>0.15017541554347871</v>
      </c>
      <c r="G216" s="21">
        <f ca="1">IF((Prices!B216-Prices!B215)*C216&gt;0,1,0)</f>
        <v>0</v>
      </c>
      <c r="H216" s="13">
        <f>ABS(Prices!B216-Prices!B215)/Prices!B215</f>
        <v>1.4536970567121313E-2</v>
      </c>
      <c r="I216" s="21"/>
      <c r="J216" s="4">
        <f t="shared" ca="1" si="23"/>
        <v>-2.0499637719135239E-2</v>
      </c>
      <c r="K216" s="13"/>
      <c r="L216" s="13">
        <f ca="1">L215-O216*Prices!B216</f>
        <v>0.65975175323928748</v>
      </c>
      <c r="M216" s="4">
        <f t="shared" ca="1" si="19"/>
        <v>0.32240103392443992</v>
      </c>
      <c r="N216" s="13">
        <f ca="1">IF(Prices!B215&gt;OFFSET(Prices!B215,-$N$3,0),1,-1)</f>
        <v>-1</v>
      </c>
      <c r="O216" s="4">
        <f ca="1">IF(N216=1,O$3*L215/Prices!B215,-O$3*M215)</f>
        <v>-1.3433376413518329E-2</v>
      </c>
      <c r="P216" s="22"/>
      <c r="Q216" s="13">
        <f ca="1">Q215-T216*Prices!B216</f>
        <v>0.75613246497142172</v>
      </c>
      <c r="R216" s="4">
        <f t="shared" ca="1" si="18"/>
        <v>0.22847578221494674</v>
      </c>
      <c r="S216" s="13">
        <f ca="1">IF(Prices!B215&gt;OFFSET(Prices!B215,-S$3,0),1,-1)</f>
        <v>-1</v>
      </c>
      <c r="T216" s="4">
        <f ca="1">IF(S216=1,T$3*Q215/Prices!B215,-T$3*R215)</f>
        <v>-7.0662613056169093E-3</v>
      </c>
      <c r="V216" s="13"/>
      <c r="W216" s="4"/>
      <c r="X216" s="4"/>
      <c r="Y216" s="4"/>
      <c r="Z216" s="4"/>
      <c r="AA216" s="4"/>
      <c r="AB216" s="4"/>
      <c r="AC216" s="4"/>
      <c r="AD216" s="4"/>
      <c r="AE216" s="52"/>
    </row>
    <row r="217" spans="1:31" x14ac:dyDescent="0.2">
      <c r="A217" s="7">
        <v>42883</v>
      </c>
      <c r="B217" s="13">
        <f ca="1">Prices!B216*(1+J217/(50*(ABS(O217)+ABS(T217)+0.0001)))</f>
        <v>1.0763466481191628</v>
      </c>
      <c r="C217" s="62">
        <f t="shared" ca="1" si="21"/>
        <v>0</v>
      </c>
      <c r="D217" s="13">
        <f ca="1">D216+C217*(Prices!B217-Prices!B216)/Prices!B216</f>
        <v>6.4997833210025974E-2</v>
      </c>
      <c r="E217" s="13">
        <f t="shared" ca="1" si="22"/>
        <v>8.5177582333452739E-2</v>
      </c>
      <c r="F217" s="13">
        <f t="shared" ca="1" si="20"/>
        <v>0.15017541554347871</v>
      </c>
      <c r="G217" s="21">
        <f ca="1">IF((Prices!B217-Prices!B216)*C217&gt;0,1,0)</f>
        <v>0</v>
      </c>
      <c r="H217" s="13">
        <f>ABS(Prices!B217-Prices!B216)/Prices!B216</f>
        <v>4.2797304680385418E-3</v>
      </c>
      <c r="I217" s="21"/>
      <c r="J217" s="4">
        <f t="shared" ca="1" si="23"/>
        <v>-1.9750314823425999E-2</v>
      </c>
      <c r="K217" s="13"/>
      <c r="L217" s="13">
        <f ca="1">L216-O217*Prices!B217</f>
        <v>0.67397479725189802</v>
      </c>
      <c r="M217" s="4">
        <f t="shared" ca="1" si="19"/>
        <v>0.30950499256746233</v>
      </c>
      <c r="N217" s="13">
        <f ca="1">IF(Prices!B216&gt;OFFSET(Prices!B216,-$N$3,0),1,-1)</f>
        <v>-1</v>
      </c>
      <c r="O217" s="4">
        <f ca="1">IF(N217=1,O$3*L216/Prices!B216,-O$3*M216)</f>
        <v>-1.2896041356977597E-2</v>
      </c>
      <c r="P217" s="22"/>
      <c r="Q217" s="13">
        <f ca="1">Q216-T217*Prices!B217</f>
        <v>0.76369204317756767</v>
      </c>
      <c r="R217" s="4">
        <f t="shared" ca="1" si="18"/>
        <v>0.22162150874849834</v>
      </c>
      <c r="S217" s="13">
        <f ca="1">IF(Prices!B216&gt;OFFSET(Prices!B216,-S$3,0),1,-1)</f>
        <v>-1</v>
      </c>
      <c r="T217" s="4">
        <f ca="1">IF(S217=1,T$3*Q216/Prices!B216,-T$3*R216)</f>
        <v>-6.8542734664484017E-3</v>
      </c>
      <c r="V217" s="13"/>
      <c r="W217" s="4"/>
      <c r="X217" s="4"/>
      <c r="Y217" s="4"/>
      <c r="Z217" s="4"/>
      <c r="AA217" s="4"/>
      <c r="AB217" s="4"/>
      <c r="AC217" s="4"/>
      <c r="AD217" s="4"/>
      <c r="AE217" s="52"/>
    </row>
    <row r="218" spans="1:31" x14ac:dyDescent="0.2">
      <c r="A218" s="7">
        <v>42890</v>
      </c>
      <c r="B218" s="13">
        <f ca="1">Prices!B217*(1+J218/(50*(ABS(O218)+ABS(T218)+0.0001)))</f>
        <v>1.0809573127647809</v>
      </c>
      <c r="C218" s="62">
        <f t="shared" ca="1" si="21"/>
        <v>0</v>
      </c>
      <c r="D218" s="13">
        <f ca="1">D217+C218*(Prices!B218-Prices!B217)/Prices!B217</f>
        <v>6.4997833210025974E-2</v>
      </c>
      <c r="E218" s="13">
        <f t="shared" ca="1" si="22"/>
        <v>8.5177582333452739E-2</v>
      </c>
      <c r="F218" s="13">
        <f t="shared" ca="1" si="20"/>
        <v>0.15017541554347871</v>
      </c>
      <c r="G218" s="21">
        <f ca="1">IF((Prices!B218-Prices!B217)*C218&gt;0,1,0)</f>
        <v>0</v>
      </c>
      <c r="H218" s="13">
        <f>ABS(Prices!B218-Prices!B217)/Prices!B217</f>
        <v>3.9894822740048595E-3</v>
      </c>
      <c r="I218" s="21"/>
      <c r="J218" s="4">
        <f t="shared" ca="1" si="23"/>
        <v>-1.9028844965153443E-2</v>
      </c>
      <c r="K218" s="13"/>
      <c r="L218" s="13">
        <f ca="1">L217-O218*Prices!B218</f>
        <v>0.68768339238269605</v>
      </c>
      <c r="M218" s="4">
        <f t="shared" ca="1" si="19"/>
        <v>0.29712479286476384</v>
      </c>
      <c r="N218" s="13">
        <f ca="1">IF(Prices!B217&gt;OFFSET(Prices!B217,-$N$3,0),1,-1)</f>
        <v>-1</v>
      </c>
      <c r="O218" s="4">
        <f ca="1">IF(N218=1,O$3*L217/Prices!B217,-O$3*M217)</f>
        <v>-1.2380199702698493E-2</v>
      </c>
      <c r="P218" s="22"/>
      <c r="Q218" s="13">
        <f ca="1">Q217-T218*Prices!B218</f>
        <v>0.77105408807668407</v>
      </c>
      <c r="R218" s="4">
        <f t="shared" ca="1" si="18"/>
        <v>0.21497286348604339</v>
      </c>
      <c r="S218" s="13">
        <f ca="1">IF(Prices!B217&gt;OFFSET(Prices!B217,-S$3,0),1,-1)</f>
        <v>-1</v>
      </c>
      <c r="T218" s="4">
        <f ca="1">IF(S218=1,T$3*Q217/Prices!B217,-T$3*R217)</f>
        <v>-6.64864526245495E-3</v>
      </c>
      <c r="V218" s="13"/>
      <c r="W218" s="4"/>
      <c r="X218" s="4"/>
      <c r="Y218" s="4"/>
      <c r="Z218" s="4"/>
      <c r="AA218" s="4"/>
      <c r="AB218" s="4"/>
      <c r="AC218" s="4"/>
      <c r="AD218" s="4"/>
      <c r="AE218" s="52"/>
    </row>
    <row r="219" spans="1:31" x14ac:dyDescent="0.2">
      <c r="A219" s="7">
        <v>42897</v>
      </c>
      <c r="B219" s="13">
        <f ca="1">Prices!B218*(1+J219/(50*(ABS(O219)+ABS(T219)+0.0001)))</f>
        <v>1.0852741355463613</v>
      </c>
      <c r="C219" s="62">
        <f t="shared" ca="1" si="21"/>
        <v>0</v>
      </c>
      <c r="D219" s="13">
        <f ca="1">D218+C219*(Prices!B219-Prices!B218)/Prices!B218</f>
        <v>6.4997833210025974E-2</v>
      </c>
      <c r="E219" s="13">
        <f t="shared" ca="1" si="22"/>
        <v>8.5177582333452739E-2</v>
      </c>
      <c r="F219" s="13">
        <f t="shared" ca="1" si="20"/>
        <v>0.15017541554347871</v>
      </c>
      <c r="G219" s="21">
        <f ca="1">IF((Prices!B219-Prices!B218)*C219&gt;0,1,0)</f>
        <v>0</v>
      </c>
      <c r="H219" s="13">
        <f>ABS(Prices!B219-Prices!B218)/Prices!B218</f>
        <v>5.0573466991782256E-3</v>
      </c>
      <c r="I219" s="21"/>
      <c r="J219" s="4">
        <f t="shared" ca="1" si="23"/>
        <v>-1.8334177619171856E-2</v>
      </c>
      <c r="K219" s="13"/>
      <c r="L219" s="13">
        <f ca="1">L218-O219*Prices!B219</f>
        <v>0.70077708775466041</v>
      </c>
      <c r="M219" s="4">
        <f t="shared" ca="1" si="19"/>
        <v>0.28523980115017328</v>
      </c>
      <c r="N219" s="13">
        <f ca="1">IF(Prices!B218&gt;OFFSET(Prices!B218,-$N$3,0),1,-1)</f>
        <v>-1</v>
      </c>
      <c r="O219" s="4">
        <f ca="1">IF(N219=1,O$3*L218/Prices!B218,-O$3*M218)</f>
        <v>-1.1884991714590554E-2</v>
      </c>
      <c r="P219" s="22"/>
      <c r="Q219" s="13">
        <f ca="1">Q218-T219*Prices!B219</f>
        <v>0.77815915618776133</v>
      </c>
      <c r="R219" s="4">
        <f t="shared" ca="1" si="18"/>
        <v>0.20852367758146209</v>
      </c>
      <c r="S219" s="13">
        <f ca="1">IF(Prices!B218&gt;OFFSET(Prices!B218,-S$3,0),1,-1)</f>
        <v>-1</v>
      </c>
      <c r="T219" s="4">
        <f ca="1">IF(S219=1,T$3*Q218/Prices!B218,-T$3*R218)</f>
        <v>-6.449185904581301E-3</v>
      </c>
      <c r="V219" s="13"/>
      <c r="W219" s="4"/>
      <c r="X219" s="4"/>
      <c r="Y219" s="4"/>
      <c r="Z219" s="4"/>
      <c r="AA219" s="4"/>
      <c r="AB219" s="4"/>
      <c r="AC219" s="4"/>
      <c r="AD219" s="4"/>
      <c r="AE219" s="52"/>
    </row>
    <row r="220" spans="1:31" x14ac:dyDescent="0.2">
      <c r="A220" s="7">
        <v>42904</v>
      </c>
      <c r="B220" s="13">
        <f ca="1">Prices!B219*(1+J220/(50*(ABS(O220)+ABS(T220)+0.0001)))</f>
        <v>1.0797900282857944</v>
      </c>
      <c r="C220" s="62">
        <f t="shared" ca="1" si="21"/>
        <v>0</v>
      </c>
      <c r="D220" s="13">
        <f ca="1">D219+C220*(Prices!B220-Prices!B219)/Prices!B219</f>
        <v>6.4997833210025974E-2</v>
      </c>
      <c r="E220" s="13">
        <f t="shared" ca="1" si="22"/>
        <v>8.5177582333452739E-2</v>
      </c>
      <c r="F220" s="13">
        <f t="shared" ca="1" si="20"/>
        <v>0.15017541554347871</v>
      </c>
      <c r="G220" s="21">
        <f ca="1">IF((Prices!B220-Prices!B219)*C220&gt;0,1,0)</f>
        <v>0</v>
      </c>
      <c r="H220" s="13">
        <f>ABS(Prices!B220-Prices!B219)/Prices!B219</f>
        <v>6.9891985113913211E-3</v>
      </c>
      <c r="I220" s="21"/>
      <c r="J220" s="4">
        <f t="shared" ca="1" si="23"/>
        <v>-1.7665302373450792E-2</v>
      </c>
      <c r="K220" s="13"/>
      <c r="L220" s="13">
        <f ca="1">L219-O220*Prices!B220</f>
        <v>0.71325918145299194</v>
      </c>
      <c r="M220" s="4">
        <f t="shared" ca="1" si="19"/>
        <v>0.27383020910416633</v>
      </c>
      <c r="N220" s="13">
        <f ca="1">IF(Prices!B219&gt;OFFSET(Prices!B219,-$N$3,0),1,-1)</f>
        <v>-1</v>
      </c>
      <c r="O220" s="4">
        <f ca="1">IF(N220=1,O$3*L219/Prices!B219,-O$3*M219)</f>
        <v>-1.1409592046006931E-2</v>
      </c>
      <c r="P220" s="22"/>
      <c r="Q220" s="13">
        <f ca="1">Q219-T220*Prices!B220</f>
        <v>0.78500290328598488</v>
      </c>
      <c r="R220" s="4">
        <f t="shared" ca="1" si="18"/>
        <v>0.20226796725401822</v>
      </c>
      <c r="S220" s="13">
        <f ca="1">IF(Prices!B219&gt;OFFSET(Prices!B219,-S$3,0),1,-1)</f>
        <v>-1</v>
      </c>
      <c r="T220" s="4">
        <f ca="1">IF(S220=1,T$3*Q219/Prices!B219,-T$3*R219)</f>
        <v>-6.2557103274438622E-3</v>
      </c>
      <c r="V220" s="13"/>
      <c r="W220" s="4"/>
      <c r="X220" s="4"/>
      <c r="Y220" s="4"/>
      <c r="Z220" s="4"/>
      <c r="AA220" s="4"/>
      <c r="AB220" s="4"/>
      <c r="AC220" s="4"/>
      <c r="AD220" s="4"/>
      <c r="AE220" s="52"/>
    </row>
    <row r="221" spans="1:31" x14ac:dyDescent="0.2">
      <c r="A221" s="7">
        <v>42911</v>
      </c>
      <c r="B221" s="13">
        <f ca="1">Prices!B220*(1+J221/(50*(ABS(O221)+ABS(T221)+0.0001)))</f>
        <v>1.0722477944270772</v>
      </c>
      <c r="C221" s="62">
        <f t="shared" ca="1" si="21"/>
        <v>0</v>
      </c>
      <c r="D221" s="13">
        <f ca="1">D220+C221*(Prices!B221-Prices!B220)/Prices!B220</f>
        <v>6.4997833210025974E-2</v>
      </c>
      <c r="E221" s="13">
        <f t="shared" ca="1" si="22"/>
        <v>8.5177582333452739E-2</v>
      </c>
      <c r="F221" s="13">
        <f t="shared" ca="1" si="20"/>
        <v>0.15017541554347871</v>
      </c>
      <c r="G221" s="21">
        <f ca="1">IF((Prices!B221-Prices!B220)*C221&gt;0,1,0)</f>
        <v>0</v>
      </c>
      <c r="H221" s="13">
        <f>ABS(Prices!B221-Prices!B220)/Prices!B220</f>
        <v>3.5648994515539434E-3</v>
      </c>
      <c r="I221" s="21"/>
      <c r="J221" s="4">
        <f t="shared" ca="1" si="23"/>
        <v>-1.7021247381787202E-2</v>
      </c>
      <c r="K221" s="13"/>
      <c r="L221" s="13">
        <f ca="1">L220-O221*Prices!B221</f>
        <v>0.72528470891601049</v>
      </c>
      <c r="M221" s="4">
        <f t="shared" ca="1" si="19"/>
        <v>0.2628770007399997</v>
      </c>
      <c r="N221" s="13">
        <f ca="1">IF(Prices!B220&gt;OFFSET(Prices!B220,-$N$3,0),1,-1)</f>
        <v>-1</v>
      </c>
      <c r="O221" s="4">
        <f ca="1">IF(N221=1,O$3*L220/Prices!B220,-O$3*M220)</f>
        <v>-1.0953208364166654E-2</v>
      </c>
      <c r="P221" s="22"/>
      <c r="Q221" s="13">
        <f ca="1">Q220-T221*Prices!B221</f>
        <v>0.79166500332343048</v>
      </c>
      <c r="R221" s="4">
        <f t="shared" ca="1" si="18"/>
        <v>0.19619992823639767</v>
      </c>
      <c r="S221" s="13">
        <f ca="1">IF(Prices!B220&gt;OFFSET(Prices!B220,-S$3,0),1,-1)</f>
        <v>-1</v>
      </c>
      <c r="T221" s="4">
        <f ca="1">IF(S221=1,T$3*Q220/Prices!B220,-T$3*R220)</f>
        <v>-6.0680390176205464E-3</v>
      </c>
      <c r="V221" s="13"/>
      <c r="W221" s="4"/>
      <c r="X221" s="4"/>
      <c r="Y221" s="4"/>
      <c r="Z221" s="4"/>
      <c r="AA221" s="4"/>
      <c r="AB221" s="4"/>
      <c r="AC221" s="4"/>
      <c r="AD221" s="4"/>
      <c r="AE221" s="52"/>
    </row>
    <row r="222" spans="1:31" x14ac:dyDescent="0.2">
      <c r="A222" s="7">
        <v>42918</v>
      </c>
      <c r="B222" s="13">
        <f ca="1">Prices!B221*(1+J222/(50*(ABS(O222)+ABS(T222)+0.0001)))</f>
        <v>1.0760750700949604</v>
      </c>
      <c r="C222" s="62">
        <f t="shared" ca="1" si="21"/>
        <v>0</v>
      </c>
      <c r="D222" s="13">
        <f ca="1">D221+C222*(Prices!B222-Prices!B221)/Prices!B221</f>
        <v>6.4997833210025974E-2</v>
      </c>
      <c r="E222" s="13">
        <f t="shared" ca="1" si="22"/>
        <v>8.5177582333452739E-2</v>
      </c>
      <c r="F222" s="13">
        <f t="shared" ca="1" si="20"/>
        <v>0.15017541554347871</v>
      </c>
      <c r="G222" s="21">
        <f ca="1">IF((Prices!B222-Prices!B221)*C222&gt;0,1,0)</f>
        <v>0</v>
      </c>
      <c r="H222" s="13">
        <f>ABS(Prices!B222-Prices!B221)/Prices!B221</f>
        <v>5.7382275252755004E-3</v>
      </c>
      <c r="I222" s="21"/>
      <c r="J222" s="4">
        <f t="shared" ca="1" si="23"/>
        <v>-1.640107787669192E-2</v>
      </c>
      <c r="K222" s="13"/>
      <c r="L222" s="13">
        <f ca="1">L221-O222*Prices!B222</f>
        <v>0.73689546028469477</v>
      </c>
      <c r="M222" s="4">
        <f t="shared" ca="1" si="19"/>
        <v>0.2523619207103997</v>
      </c>
      <c r="N222" s="13">
        <f ca="1">IF(Prices!B221&gt;OFFSET(Prices!B221,-$N$3,0),1,-1)</f>
        <v>-1</v>
      </c>
      <c r="O222" s="4">
        <f ca="1">IF(N222=1,O$3*L221/Prices!B221,-O$3*M221)</f>
        <v>-1.0515080029599989E-2</v>
      </c>
      <c r="P222" s="22"/>
      <c r="Q222" s="13">
        <f ca="1">Q221-T222*Prices!B222</f>
        <v>0.79816432214618938</v>
      </c>
      <c r="R222" s="4">
        <f t="shared" ca="1" si="18"/>
        <v>0.19031393038930575</v>
      </c>
      <c r="S222" s="13">
        <f ca="1">IF(Prices!B221&gt;OFFSET(Prices!B221,-S$3,0),1,-1)</f>
        <v>-1</v>
      </c>
      <c r="T222" s="4">
        <f ca="1">IF(S222=1,T$3*Q221/Prices!B221,-T$3*R221)</f>
        <v>-5.88599784709193E-3</v>
      </c>
      <c r="V222" s="13"/>
      <c r="W222" s="4"/>
      <c r="X222" s="4"/>
      <c r="Y222" s="4"/>
      <c r="Z222" s="4"/>
      <c r="AA222" s="4"/>
      <c r="AB222" s="4"/>
      <c r="AC222" s="4"/>
      <c r="AD222" s="4"/>
      <c r="AE222" s="52"/>
    </row>
    <row r="223" spans="1:31" x14ac:dyDescent="0.2">
      <c r="A223" s="7">
        <v>42925</v>
      </c>
      <c r="B223" s="13">
        <f ca="1">Prices!B222*(1+J223/(50*(ABS(O223)+ABS(T223)+0.0001)))</f>
        <v>1.1184577517234311</v>
      </c>
      <c r="C223" s="62">
        <f t="shared" ca="1" si="21"/>
        <v>1</v>
      </c>
      <c r="D223" s="13">
        <f ca="1">D222+C223*(Prices!B223-Prices!B222)/Prices!B222</f>
        <v>7.6318246178691027E-2</v>
      </c>
      <c r="E223" s="13">
        <f t="shared" ca="1" si="22"/>
        <v>7.3857169364787686E-2</v>
      </c>
      <c r="F223" s="13">
        <f t="shared" ca="1" si="20"/>
        <v>0.15017541554347871</v>
      </c>
      <c r="G223" s="21">
        <f ca="1">IF((Prices!B223-Prices!B222)*C223&gt;0,1,0)</f>
        <v>1</v>
      </c>
      <c r="H223" s="13">
        <f>ABS(Prices!B223-Prices!B222)/Prices!B222</f>
        <v>1.1320412968665056E-2</v>
      </c>
      <c r="I223" s="21"/>
      <c r="J223" s="4">
        <f t="shared" ca="1" si="23"/>
        <v>2.0984857048824173E-2</v>
      </c>
      <c r="K223" s="13"/>
      <c r="L223" s="13">
        <f ca="1">L222-O223*Prices!B223</f>
        <v>0.7070859634363007</v>
      </c>
      <c r="M223" s="4">
        <f t="shared" ca="1" si="19"/>
        <v>0.27905619567090306</v>
      </c>
      <c r="N223" s="13">
        <f ca="1">IF(Prices!B222&gt;OFFSET(Prices!B222,-$N$3,0),1,-1)</f>
        <v>1</v>
      </c>
      <c r="O223" s="4">
        <f ca="1">IF(N223=1,O$3*L222/Prices!B222,-O$3*M222)</f>
        <v>2.6694274960503344E-2</v>
      </c>
      <c r="P223" s="22"/>
      <c r="Q223" s="13">
        <f ca="1">Q222-T223*Prices!B223</f>
        <v>0.80454002912816147</v>
      </c>
      <c r="R223" s="4">
        <f t="shared" ca="1" si="18"/>
        <v>0.18460451247762658</v>
      </c>
      <c r="S223" s="13">
        <f ca="1">IF(Prices!B222&gt;OFFSET(Prices!B222,-S$3,0),1,-1)</f>
        <v>-1</v>
      </c>
      <c r="T223" s="4">
        <f ca="1">IF(S223=1,T$3*Q222/Prices!B222,-T$3*R222)</f>
        <v>-5.7094179116791719E-3</v>
      </c>
      <c r="V223" s="13"/>
      <c r="W223" s="4"/>
      <c r="X223" s="4"/>
      <c r="Y223" s="4"/>
      <c r="Z223" s="4"/>
      <c r="AA223" s="4"/>
      <c r="AB223" s="4"/>
      <c r="AC223" s="4"/>
      <c r="AD223" s="4"/>
      <c r="AE223" s="52"/>
    </row>
    <row r="224" spans="1:31" x14ac:dyDescent="0.2">
      <c r="A224" s="7">
        <v>42932</v>
      </c>
      <c r="B224" s="13">
        <f ca="1">Prices!B223*(1+J224/(50*(ABS(O224)+ABS(T224)+0.0001)))</f>
        <v>1.1389865228324221</v>
      </c>
      <c r="C224" s="62">
        <f t="shared" ca="1" si="21"/>
        <v>1</v>
      </c>
      <c r="D224" s="13">
        <f ca="1">D223+C224*(Prices!B224-Prices!B223)/Prices!B223</f>
        <v>6.852743396413033E-2</v>
      </c>
      <c r="E224" s="13">
        <f t="shared" ca="1" si="22"/>
        <v>8.1647981579348383E-2</v>
      </c>
      <c r="F224" s="13">
        <f t="shared" ca="1" si="20"/>
        <v>0.15017541554347871</v>
      </c>
      <c r="G224" s="21">
        <f ca="1">IF((Prices!B224-Prices!B223)*C224&gt;0,1,0)</f>
        <v>0</v>
      </c>
      <c r="H224" s="13">
        <f>ABS(Prices!B224-Prices!B223)/Prices!B223</f>
        <v>7.7908122145606967E-3</v>
      </c>
      <c r="I224" s="21"/>
      <c r="J224" s="4">
        <f t="shared" ca="1" si="23"/>
        <v>4.6941559426253131E-2</v>
      </c>
      <c r="K224" s="13"/>
      <c r="L224" s="13">
        <f ca="1">L223-O224*Prices!B224</f>
        <v>0.67902287585727605</v>
      </c>
      <c r="M224" s="4">
        <f t="shared" ca="1" si="19"/>
        <v>0.30438389204186395</v>
      </c>
      <c r="N224" s="13">
        <f ca="1">IF(Prices!B223&gt;OFFSET(Prices!B223,-$N$3,0),1,-1)</f>
        <v>1</v>
      </c>
      <c r="O224" s="4">
        <f ca="1">IF(N224=1,O$3*L223/Prices!B223,-O$3*M223)</f>
        <v>2.5327696370960891E-2</v>
      </c>
      <c r="P224" s="22"/>
      <c r="Q224" s="13">
        <f ca="1">Q223-T224*Prices!B224</f>
        <v>0.78059186886289766</v>
      </c>
      <c r="R224" s="4">
        <f t="shared" ca="1" si="18"/>
        <v>0.20621837553291883</v>
      </c>
      <c r="S224" s="13">
        <f ca="1">IF(Prices!B223&gt;OFFSET(Prices!B223,-S$3,0),1,-1)</f>
        <v>1</v>
      </c>
      <c r="T224" s="4">
        <f ca="1">IF(S224=1,T$3*Q223/Prices!B223,-T$3*R223)</f>
        <v>2.161386305529224E-2</v>
      </c>
      <c r="V224" s="13"/>
      <c r="W224" s="4"/>
      <c r="X224" s="4"/>
      <c r="Y224" s="4"/>
      <c r="Z224" s="4"/>
      <c r="AA224" s="4"/>
      <c r="AB224" s="4"/>
      <c r="AC224" s="4"/>
      <c r="AD224" s="4"/>
      <c r="AE224" s="52"/>
    </row>
    <row r="225" spans="1:31" x14ac:dyDescent="0.2">
      <c r="A225" s="7">
        <v>42939</v>
      </c>
      <c r="B225" s="13">
        <f ca="1">Prices!B224*(1+J225/(50*(ABS(O225)+ABS(T225)+0.0001)))</f>
        <v>1.1211858493494502</v>
      </c>
      <c r="C225" s="62">
        <f t="shared" ca="1" si="21"/>
        <v>1</v>
      </c>
      <c r="D225" s="13">
        <f ca="1">D224+C225*(Prices!B225-Prices!B224)/Prices!B224</f>
        <v>7.6289166816115833E-2</v>
      </c>
      <c r="E225" s="13">
        <f t="shared" ca="1" si="22"/>
        <v>7.388624872736288E-2</v>
      </c>
      <c r="F225" s="13">
        <f t="shared" ca="1" si="20"/>
        <v>0.15017541554347871</v>
      </c>
      <c r="G225" s="21">
        <f ca="1">IF((Prices!B225-Prices!B224)*C225&gt;0,1,0)</f>
        <v>1</v>
      </c>
      <c r="H225" s="13">
        <f>ABS(Prices!B225-Prices!B224)/Prices!B224</f>
        <v>7.7617328519855059E-3</v>
      </c>
      <c r="I225" s="21"/>
      <c r="J225" s="4">
        <f t="shared" ca="1" si="23"/>
        <v>1.832690995629677E-2</v>
      </c>
      <c r="K225" s="13"/>
      <c r="L225" s="13">
        <f ca="1">L224-O225*Prices!B225</f>
        <v>0.65165114505647337</v>
      </c>
      <c r="M225" s="4">
        <f t="shared" ca="1" si="19"/>
        <v>0.32889735326414826</v>
      </c>
      <c r="N225" s="13">
        <f ca="1">IF(Prices!B224&gt;OFFSET(Prices!B224,-$N$3,0),1,-1)</f>
        <v>1</v>
      </c>
      <c r="O225" s="4">
        <f ca="1">IF(N225=1,O$3*L224/Prices!B224,-O$3*M224)</f>
        <v>2.4513461222284334E-2</v>
      </c>
      <c r="P225" s="22"/>
      <c r="Q225" s="13">
        <f ca="1">Q224-T225*Prices!B225</f>
        <v>0.78749977200649934</v>
      </c>
      <c r="R225" s="4">
        <f t="shared" ca="1" si="18"/>
        <v>0.20003182426693125</v>
      </c>
      <c r="S225" s="13">
        <f ca="1">IF(Prices!B224&gt;OFFSET(Prices!B224,-S$3,0),1,-1)</f>
        <v>-1</v>
      </c>
      <c r="T225" s="4">
        <f ca="1">IF(S225=1,T$3*Q224/Prices!B224,-T$3*R224)</f>
        <v>-6.1865512659875646E-3</v>
      </c>
      <c r="V225" s="13"/>
      <c r="W225" s="4"/>
      <c r="X225" s="4"/>
      <c r="Y225" s="4"/>
      <c r="Z225" s="4"/>
      <c r="AA225" s="4"/>
      <c r="AB225" s="4"/>
      <c r="AC225" s="4"/>
      <c r="AD225" s="4"/>
      <c r="AE225" s="52"/>
    </row>
    <row r="226" spans="1:31" x14ac:dyDescent="0.2">
      <c r="A226" s="7">
        <v>42946</v>
      </c>
      <c r="B226" s="13">
        <f ca="1">Prices!B225*(1+J226/(50*(ABS(O226)+ABS(T226)+0.0001)))</f>
        <v>1.1388819306027194</v>
      </c>
      <c r="C226" s="62">
        <f t="shared" ca="1" si="21"/>
        <v>1</v>
      </c>
      <c r="D226" s="13">
        <f ca="1">D225+C226*(Prices!B226-Prices!B225)/Prices!B225</f>
        <v>6.3034644158046563E-2</v>
      </c>
      <c r="E226" s="13">
        <f t="shared" ca="1" si="22"/>
        <v>8.714077138543215E-2</v>
      </c>
      <c r="F226" s="13">
        <f t="shared" ca="1" si="20"/>
        <v>0.15017541554347871</v>
      </c>
      <c r="G226" s="21">
        <f ca="1">IF((Prices!B226-Prices!B225)*C226&gt;0,1,0)</f>
        <v>0</v>
      </c>
      <c r="H226" s="13">
        <f>ABS(Prices!B226-Prices!B225)/Prices!B225</f>
        <v>1.3254522658069269E-2</v>
      </c>
      <c r="I226" s="21"/>
      <c r="J226" s="4">
        <f t="shared" ca="1" si="23"/>
        <v>4.450209471830012E-2</v>
      </c>
      <c r="K226" s="13"/>
      <c r="L226" s="13">
        <f ca="1">L225-O226*Prices!B226</f>
        <v>0.62593059224890679</v>
      </c>
      <c r="M226" s="4">
        <f t="shared" ca="1" si="19"/>
        <v>0.35224147452714211</v>
      </c>
      <c r="N226" s="13">
        <f ca="1">IF(Prices!B225&gt;OFFSET(Prices!B225,-$N$3,0),1,-1)</f>
        <v>1</v>
      </c>
      <c r="O226" s="4">
        <f ca="1">IF(N226=1,O$3*L225/Prices!B225,-O$3*M225)</f>
        <v>2.3344121262993851E-2</v>
      </c>
      <c r="P226" s="22"/>
      <c r="Q226" s="13">
        <f ca="1">Q225-T226*Prices!B226</f>
        <v>0.76418791685344289</v>
      </c>
      <c r="R226" s="4">
        <f t="shared" ca="1" si="18"/>
        <v>0.22118979772223751</v>
      </c>
      <c r="S226" s="13">
        <f ca="1">IF(Prices!B225&gt;OFFSET(Prices!B225,-S$3,0),1,-1)</f>
        <v>1</v>
      </c>
      <c r="T226" s="4">
        <f ca="1">IF(S226=1,T$3*Q225/Prices!B225,-T$3*R225)</f>
        <v>2.1157973455306268E-2</v>
      </c>
      <c r="V226" s="13"/>
      <c r="W226" s="4"/>
      <c r="X226" s="4"/>
      <c r="Y226" s="4"/>
      <c r="Z226" s="4"/>
      <c r="AA226" s="4"/>
      <c r="AB226" s="4"/>
      <c r="AC226" s="4"/>
      <c r="AD226" s="4"/>
      <c r="AE226" s="52"/>
    </row>
    <row r="227" spans="1:31" x14ac:dyDescent="0.2">
      <c r="A227" s="7">
        <v>42953</v>
      </c>
      <c r="B227" s="13">
        <f ca="1">Prices!B226*(1+J227/(50*(ABS(O227)+ABS(T227)+0.0001)))</f>
        <v>1.1138341097762245</v>
      </c>
      <c r="C227" s="62">
        <f t="shared" ca="1" si="21"/>
        <v>1</v>
      </c>
      <c r="D227" s="13">
        <f ca="1">D226+C227*(Prices!B227-Prices!B226)/Prices!B226</f>
        <v>6.6029743087071865E-2</v>
      </c>
      <c r="E227" s="13">
        <f t="shared" ca="1" si="22"/>
        <v>8.4145672456406848E-2</v>
      </c>
      <c r="F227" s="13">
        <f t="shared" ca="1" si="20"/>
        <v>0.15017541554347871</v>
      </c>
      <c r="G227" s="21">
        <f ca="1">IF((Prices!B227-Prices!B226)*C227&gt;0,1,0)</f>
        <v>1</v>
      </c>
      <c r="H227" s="13">
        <f>ABS(Prices!B227-Prices!B226)/Prices!B226</f>
        <v>2.9950989290253049E-3</v>
      </c>
      <c r="I227" s="21"/>
      <c r="J227" s="4">
        <f t="shared" ca="1" si="23"/>
        <v>1.6088233904561114E-2</v>
      </c>
      <c r="K227" s="13"/>
      <c r="L227" s="13">
        <f ca="1">L226-O227*Prices!B227</f>
        <v>0.60081837959709095</v>
      </c>
      <c r="M227" s="4">
        <f t="shared" ca="1" si="19"/>
        <v>0.37496540236337034</v>
      </c>
      <c r="N227" s="13">
        <f ca="1">IF(Prices!B226&gt;OFFSET(Prices!B226,-$N$3,0),1,-1)</f>
        <v>1</v>
      </c>
      <c r="O227" s="4">
        <f ca="1">IF(N227=1,O$3*L226/Prices!B226,-O$3*M226)</f>
        <v>2.2723927836228241E-2</v>
      </c>
      <c r="P227" s="22"/>
      <c r="Q227" s="13">
        <f ca="1">Q226-T227*Prices!B227</f>
        <v>0.77152102221732821</v>
      </c>
      <c r="R227" s="4">
        <f t="shared" ca="1" si="18"/>
        <v>0.21455410379057038</v>
      </c>
      <c r="S227" s="13">
        <f ca="1">IF(Prices!B226&gt;OFFSET(Prices!B226,-S$3,0),1,-1)</f>
        <v>-1</v>
      </c>
      <c r="T227" s="4">
        <f ca="1">IF(S227=1,T$3*Q226/Prices!B226,-T$3*R226)</f>
        <v>-6.6356939316671252E-3</v>
      </c>
      <c r="V227" s="13"/>
      <c r="W227" s="4"/>
      <c r="X227" s="4"/>
      <c r="Y227" s="4"/>
      <c r="Z227" s="4"/>
      <c r="AA227" s="4"/>
      <c r="AB227" s="4"/>
      <c r="AC227" s="4"/>
      <c r="AD227" s="4"/>
      <c r="AE227" s="52"/>
    </row>
    <row r="228" spans="1:31" x14ac:dyDescent="0.2">
      <c r="A228" s="7">
        <v>42960</v>
      </c>
      <c r="B228" s="13">
        <f ca="1">Prices!B227*(1+J228/(50*(ABS(O228)+ABS(T228)+0.0001)))</f>
        <v>1.1271503495436066</v>
      </c>
      <c r="C228" s="62">
        <f t="shared" ca="1" si="21"/>
        <v>1</v>
      </c>
      <c r="D228" s="13">
        <f ca="1">D227+C228*(Prices!B228-Prices!B227)/Prices!B227</f>
        <v>6.3315056633357361E-2</v>
      </c>
      <c r="E228" s="13">
        <f t="shared" ca="1" si="22"/>
        <v>8.6860358910121352E-2</v>
      </c>
      <c r="F228" s="13">
        <f t="shared" ca="1" si="20"/>
        <v>0.15017541554347871</v>
      </c>
      <c r="G228" s="21">
        <f ca="1">IF((Prices!B228-Prices!B227)*C228&gt;0,1,0)</f>
        <v>0</v>
      </c>
      <c r="H228" s="13">
        <f>ABS(Prices!B228-Prices!B227)/Prices!B227</f>
        <v>2.7146864537144978E-3</v>
      </c>
      <c r="I228" s="21"/>
      <c r="J228" s="4">
        <f t="shared" ca="1" si="23"/>
        <v>4.2691490227493883E-2</v>
      </c>
      <c r="K228" s="13"/>
      <c r="L228" s="13">
        <f ca="1">L227-O228*Prices!B228</f>
        <v>0.57685088575385668</v>
      </c>
      <c r="M228" s="4">
        <f t="shared" ca="1" si="19"/>
        <v>0.39671251591317003</v>
      </c>
      <c r="N228" s="13">
        <f ca="1">IF(Prices!B227&gt;OFFSET(Prices!B227,-$N$3,0),1,-1)</f>
        <v>1</v>
      </c>
      <c r="O228" s="4">
        <f ca="1">IF(N228=1,O$3*L227/Prices!B227,-O$3*M227)</f>
        <v>2.174711354979969E-2</v>
      </c>
      <c r="P228" s="22"/>
      <c r="Q228" s="13">
        <f ca="1">Q227-T228*Prices!B228</f>
        <v>0.74843822468084142</v>
      </c>
      <c r="R228" s="4">
        <f t="shared" ca="1" si="18"/>
        <v>0.23549848046826458</v>
      </c>
      <c r="S228" s="13">
        <f ca="1">IF(Prices!B227&gt;OFFSET(Prices!B227,-S$3,0),1,-1)</f>
        <v>1</v>
      </c>
      <c r="T228" s="4">
        <f ca="1">IF(S228=1,T$3*Q227/Prices!B227,-T$3*R227)</f>
        <v>2.094437667769419E-2</v>
      </c>
      <c r="V228" s="13"/>
      <c r="W228" s="4"/>
      <c r="X228" s="4"/>
      <c r="Y228" s="4"/>
      <c r="Z228" s="4"/>
      <c r="AA228" s="4"/>
      <c r="AB228" s="4"/>
      <c r="AC228" s="4"/>
      <c r="AD228" s="4"/>
      <c r="AE228" s="52"/>
    </row>
    <row r="229" spans="1:31" x14ac:dyDescent="0.2">
      <c r="A229" s="7">
        <v>42967</v>
      </c>
      <c r="B229" s="13">
        <f ca="1">Prices!B228*(1+J229/(50*(ABS(O229)+ABS(T229)+0.0001)))</f>
        <v>1.0801536955869262</v>
      </c>
      <c r="C229" s="62">
        <f t="shared" ca="1" si="21"/>
        <v>0</v>
      </c>
      <c r="D229" s="13">
        <f ca="1">D228+C229*(Prices!B229-Prices!B228)/Prices!B228</f>
        <v>6.3315056633357361E-2</v>
      </c>
      <c r="E229" s="13">
        <f t="shared" ca="1" si="22"/>
        <v>8.6860358910121352E-2</v>
      </c>
      <c r="F229" s="13">
        <f t="shared" ca="1" si="20"/>
        <v>0.15017541554347871</v>
      </c>
      <c r="G229" s="21">
        <f ca="1">IF((Prices!B229-Prices!B228)*C229&gt;0,1,0)</f>
        <v>0</v>
      </c>
      <c r="H229" s="13">
        <f>ABS(Prices!B229-Prices!B228)/Prices!B228</f>
        <v>2.7220760366590053E-4</v>
      </c>
      <c r="I229" s="21"/>
      <c r="J229" s="4">
        <f t="shared" ca="1" si="23"/>
        <v>-2.2933455050574737E-2</v>
      </c>
      <c r="K229" s="13"/>
      <c r="L229" s="13">
        <f ca="1">L228-O229*Prices!B229</f>
        <v>0.59433479975518189</v>
      </c>
      <c r="M229" s="4">
        <f t="shared" ca="1" si="19"/>
        <v>0.38084401527664324</v>
      </c>
      <c r="N229" s="13">
        <f ca="1">IF(Prices!B228&gt;OFFSET(Prices!B228,-$N$3,0),1,-1)</f>
        <v>-1</v>
      </c>
      <c r="O229" s="4">
        <f ca="1">IF(N229=1,O$3*L228/Prices!B228,-O$3*M228)</f>
        <v>-1.5868500636526801E-2</v>
      </c>
      <c r="P229" s="22"/>
      <c r="Q229" s="13">
        <f ca="1">Q228-T229*Prices!B229</f>
        <v>0.75622239145423942</v>
      </c>
      <c r="R229" s="4">
        <f t="shared" ca="1" si="18"/>
        <v>0.22843352605421663</v>
      </c>
      <c r="S229" s="13">
        <f ca="1">IF(Prices!B228&gt;OFFSET(Prices!B228,-S$3,0),1,-1)</f>
        <v>-1</v>
      </c>
      <c r="T229" s="4">
        <f ca="1">IF(S229=1,T$3*Q228/Prices!B228,-T$3*R228)</f>
        <v>-7.0649544140479366E-3</v>
      </c>
      <c r="V229" s="13"/>
      <c r="W229" s="4"/>
      <c r="X229" s="4"/>
      <c r="Y229" s="4"/>
      <c r="Z229" s="4"/>
      <c r="AA229" s="4"/>
      <c r="AB229" s="4"/>
      <c r="AC229" s="4"/>
      <c r="AD229" s="4"/>
      <c r="AE229" s="52"/>
    </row>
    <row r="230" spans="1:31" x14ac:dyDescent="0.2">
      <c r="A230" s="7">
        <v>42974</v>
      </c>
      <c r="B230" s="13">
        <f ca="1">Prices!B229*(1+J230/(50*(ABS(O230)+ABS(T230)+0.0001)))</f>
        <v>1.0798633204670296</v>
      </c>
      <c r="C230" s="62">
        <f t="shared" ca="1" si="21"/>
        <v>0</v>
      </c>
      <c r="D230" s="13">
        <f ca="1">D229+C230*(Prices!B230-Prices!B229)/Prices!B229</f>
        <v>6.3315056633357361E-2</v>
      </c>
      <c r="E230" s="13">
        <f t="shared" ca="1" si="22"/>
        <v>8.6860358910121352E-2</v>
      </c>
      <c r="F230" s="13">
        <f t="shared" ca="1" si="20"/>
        <v>0.15017541554347871</v>
      </c>
      <c r="G230" s="21">
        <f ca="1">IF((Prices!B230-Prices!B229)*C230&gt;0,1,0)</f>
        <v>0</v>
      </c>
      <c r="H230" s="13">
        <f>ABS(Prices!B230-Prices!B229)/Prices!B229</f>
        <v>3.8119440914868435E-3</v>
      </c>
      <c r="I230" s="21"/>
      <c r="J230" s="4">
        <f t="shared" ca="1" si="23"/>
        <v>-2.2086766392692227E-2</v>
      </c>
      <c r="K230" s="13"/>
      <c r="L230" s="13">
        <f ca="1">L229-O230*Prices!B230</f>
        <v>0.61118333899102062</v>
      </c>
      <c r="M230" s="4">
        <f t="shared" ca="1" si="19"/>
        <v>0.36561025466557751</v>
      </c>
      <c r="N230" s="13">
        <f ca="1">IF(Prices!B229&gt;OFFSET(Prices!B229,-$N$3,0),1,-1)</f>
        <v>-1</v>
      </c>
      <c r="O230" s="4">
        <f ca="1">IF(N230=1,O$3*L229/Prices!B229,-O$3*M229)</f>
        <v>-1.523376061106573E-2</v>
      </c>
      <c r="P230" s="22"/>
      <c r="Q230" s="13">
        <f ca="1">Q229-T230*Prices!B230</f>
        <v>0.76380181584871831</v>
      </c>
      <c r="R230" s="4">
        <f t="shared" ca="1" si="18"/>
        <v>0.22158052027259012</v>
      </c>
      <c r="S230" s="13">
        <f ca="1">IF(Prices!B229&gt;OFFSET(Prices!B229,-S$3,0),1,-1)</f>
        <v>-1</v>
      </c>
      <c r="T230" s="4">
        <f ca="1">IF(S230=1,T$3*Q229/Prices!B229,-T$3*R229)</f>
        <v>-6.8530057816264985E-3</v>
      </c>
      <c r="V230" s="13"/>
      <c r="W230" s="4"/>
      <c r="X230" s="4"/>
      <c r="Y230" s="4"/>
      <c r="Z230" s="4"/>
      <c r="AA230" s="4"/>
      <c r="AB230" s="4"/>
      <c r="AC230" s="4"/>
      <c r="AD230" s="4"/>
      <c r="AE230" s="52"/>
    </row>
    <row r="231" spans="1:31" x14ac:dyDescent="0.2">
      <c r="A231" s="7">
        <v>42981</v>
      </c>
      <c r="B231" s="13">
        <f ca="1">Prices!B230*(1+J231/(50*(ABS(O231)+ABS(T231)+0.0001)))</f>
        <v>1.1098030517540691</v>
      </c>
      <c r="C231" s="62">
        <f t="shared" ca="1" si="21"/>
        <v>1</v>
      </c>
      <c r="D231" s="13">
        <f ca="1">D230+C231*(Prices!B231-Prices!B230)/Prices!B230</f>
        <v>6.883042733860148E-2</v>
      </c>
      <c r="E231" s="13">
        <f t="shared" ca="1" si="22"/>
        <v>8.1344988204877233E-2</v>
      </c>
      <c r="F231" s="13">
        <f t="shared" ca="1" si="20"/>
        <v>0.15017541554347871</v>
      </c>
      <c r="G231" s="21">
        <f ca="1">IF((Prices!B231-Prices!B230)*C231&gt;0,1,0)</f>
        <v>1</v>
      </c>
      <c r="H231" s="13">
        <f>ABS(Prices!B231-Prices!B230)/Prices!B230</f>
        <v>5.5153707052441178E-3</v>
      </c>
      <c r="I231" s="21"/>
      <c r="J231" s="4">
        <f t="shared" ca="1" si="23"/>
        <v>6.0935414186766707E-3</v>
      </c>
      <c r="K231" s="13"/>
      <c r="L231" s="13">
        <f ca="1">L230-O231*Prices!B231</f>
        <v>0.62744714555956416</v>
      </c>
      <c r="M231" s="4">
        <f t="shared" ca="1" si="19"/>
        <v>0.35098584447895442</v>
      </c>
      <c r="N231" s="13">
        <f ca="1">IF(Prices!B230&gt;OFFSET(Prices!B230,-$N$3,0),1,-1)</f>
        <v>-1</v>
      </c>
      <c r="O231" s="4">
        <f ca="1">IF(N231=1,O$3*L230/Prices!B230,-O$3*M230)</f>
        <v>-1.46244101866231E-2</v>
      </c>
      <c r="P231" s="22"/>
      <c r="Q231" s="13">
        <f ca="1">Q230-T231*Prices!B231</f>
        <v>0.74076138186846441</v>
      </c>
      <c r="R231" s="4">
        <f t="shared" ca="1" si="18"/>
        <v>0.24229847187788989</v>
      </c>
      <c r="S231" s="13">
        <f ca="1">IF(Prices!B230&gt;OFFSET(Prices!B230,-S$3,0),1,-1)</f>
        <v>1</v>
      </c>
      <c r="T231" s="4">
        <f ca="1">IF(S231=1,T$3*Q230/Prices!B230,-T$3*R230)</f>
        <v>2.071795160529977E-2</v>
      </c>
      <c r="V231" s="13"/>
      <c r="W231" s="4"/>
      <c r="X231" s="4"/>
      <c r="Y231" s="4"/>
      <c r="Z231" s="4"/>
      <c r="AA231" s="4"/>
      <c r="AB231" s="4"/>
      <c r="AC231" s="4"/>
      <c r="AD231" s="4"/>
      <c r="AE231" s="52"/>
    </row>
    <row r="232" spans="1:31" x14ac:dyDescent="0.2">
      <c r="A232" s="7">
        <v>42988</v>
      </c>
      <c r="B232" s="13">
        <f ca="1">Prices!B231*(1+J232/(50*(ABS(O232)+ABS(T232)+0.0001)))</f>
        <v>1.1159740678539471</v>
      </c>
      <c r="C232" s="62">
        <f t="shared" ca="1" si="21"/>
        <v>1</v>
      </c>
      <c r="D232" s="13">
        <f ca="1">D231+C232*(Prices!B232-Prices!B231)/Prices!B231</f>
        <v>6.5053788547125707E-2</v>
      </c>
      <c r="E232" s="13">
        <f t="shared" ca="1" si="22"/>
        <v>8.5121626996353006E-2</v>
      </c>
      <c r="F232" s="13">
        <f t="shared" ca="1" si="20"/>
        <v>0.15017541554347871</v>
      </c>
      <c r="G232" s="21">
        <f ca="1">IF((Prices!B232-Prices!B231)*C232&gt;0,1,0)</f>
        <v>0</v>
      </c>
      <c r="H232" s="13">
        <f>ABS(Prices!B232-Prices!B231)/Prices!B231</f>
        <v>3.7766387914757696E-3</v>
      </c>
      <c r="I232" s="21"/>
      <c r="J232" s="4">
        <f t="shared" ca="1" si="23"/>
        <v>5.9433388636382697E-3</v>
      </c>
      <c r="K232" s="13"/>
      <c r="L232" s="13">
        <f ca="1">L231-O232*Prices!B232</f>
        <v>0.64300143424349354</v>
      </c>
      <c r="M232" s="4">
        <f t="shared" ca="1" si="19"/>
        <v>0.33694641069979625</v>
      </c>
      <c r="N232" s="13">
        <f ca="1">IF(Prices!B231&gt;OFFSET(Prices!B231,-$N$3,0),1,-1)</f>
        <v>-1</v>
      </c>
      <c r="O232" s="4">
        <f ca="1">IF(N232=1,O$3*L231/Prices!B231,-O$3*M231)</f>
        <v>-1.4039433779158178E-2</v>
      </c>
      <c r="P232" s="22"/>
      <c r="Q232" s="13">
        <f ca="1">Q231-T232*Prices!B232</f>
        <v>0.71862246805751018</v>
      </c>
      <c r="R232" s="4">
        <f t="shared" ca="1" si="18"/>
        <v>0.26228124452068635</v>
      </c>
      <c r="S232" s="13">
        <f ca="1">IF(Prices!B231&gt;OFFSET(Prices!B231,-S$3,0),1,-1)</f>
        <v>1</v>
      </c>
      <c r="T232" s="4">
        <f ca="1">IF(S232=1,T$3*Q231/Prices!B231,-T$3*R231)</f>
        <v>1.9982772642796447E-2</v>
      </c>
      <c r="V232" s="13"/>
      <c r="W232" s="4"/>
      <c r="X232" s="4"/>
      <c r="Y232" s="4"/>
      <c r="Z232" s="4"/>
      <c r="AA232" s="4"/>
      <c r="AB232" s="4"/>
      <c r="AC232" s="4"/>
      <c r="AD232" s="4"/>
      <c r="AE232" s="52"/>
    </row>
    <row r="233" spans="1:31" x14ac:dyDescent="0.2">
      <c r="A233" s="7">
        <v>42995</v>
      </c>
      <c r="B233" s="13">
        <f ca="1">Prices!B232*(1+J233/(50*(ABS(O233)+ABS(T233)+0.0001)))</f>
        <v>1.1300061977292259</v>
      </c>
      <c r="C233" s="62">
        <f t="shared" ca="1" si="21"/>
        <v>1</v>
      </c>
      <c r="D233" s="13">
        <f ca="1">D232+C233*(Prices!B233-Prices!B232)/Prices!B232</f>
        <v>7.3899352226158135E-2</v>
      </c>
      <c r="E233" s="13">
        <f t="shared" ca="1" si="22"/>
        <v>7.6276063317320578E-2</v>
      </c>
      <c r="F233" s="13">
        <f t="shared" ca="1" si="20"/>
        <v>0.15017541554347871</v>
      </c>
      <c r="G233" s="21">
        <f ca="1">IF((Prices!B233-Prices!B232)*C233&gt;0,1,0)</f>
        <v>1</v>
      </c>
      <c r="H233" s="13">
        <f>ABS(Prices!B233-Prices!B232)/Prices!B232</f>
        <v>8.8455636790324317E-3</v>
      </c>
      <c r="I233" s="21"/>
      <c r="J233" s="4">
        <f t="shared" ca="1" si="23"/>
        <v>4.2674186669794251E-2</v>
      </c>
      <c r="K233" s="13"/>
      <c r="L233" s="13">
        <f ca="1">L232-O233*Prices!B233</f>
        <v>0.61705386846846144</v>
      </c>
      <c r="M233" s="4">
        <f t="shared" ca="1" si="19"/>
        <v>0.36016155409697986</v>
      </c>
      <c r="N233" s="13">
        <f ca="1">IF(Prices!B232&gt;OFFSET(Prices!B232,-$N$3,0),1,-1)</f>
        <v>1</v>
      </c>
      <c r="O233" s="4">
        <f ca="1">IF(N233=1,O$3*L232/Prices!B232,-O$3*M232)</f>
        <v>2.3215143397183634E-2</v>
      </c>
      <c r="P233" s="22"/>
      <c r="Q233" s="13">
        <f ca="1">Q232-T233*Prices!B233</f>
        <v>0.69687309539171327</v>
      </c>
      <c r="R233" s="4">
        <f t="shared" ca="1" si="18"/>
        <v>0.28174028779329696</v>
      </c>
      <c r="S233" s="13">
        <f ca="1">IF(Prices!B232&gt;OFFSET(Prices!B232,-S$3,0),1,-1)</f>
        <v>1</v>
      </c>
      <c r="T233" s="4">
        <f ca="1">IF(S233=1,T$3*Q232/Prices!B232,-T$3*R232)</f>
        <v>1.945904327261062E-2</v>
      </c>
      <c r="V233" s="13"/>
      <c r="W233" s="4"/>
      <c r="X233" s="4"/>
      <c r="Y233" s="4"/>
      <c r="Z233" s="4"/>
      <c r="AA233" s="4"/>
      <c r="AB233" s="4"/>
      <c r="AC233" s="4"/>
      <c r="AD233" s="4"/>
      <c r="AE233" s="52"/>
    </row>
    <row r="234" spans="1:31" x14ac:dyDescent="0.2">
      <c r="A234" s="7">
        <v>43002</v>
      </c>
      <c r="B234" s="13">
        <f ca="1">Prices!B233*(1+J234/(50*(ABS(O234)+ABS(T234)+0.0001)))</f>
        <v>1.1399993282242764</v>
      </c>
      <c r="C234" s="62">
        <f t="shared" ca="1" si="21"/>
        <v>1</v>
      </c>
      <c r="D234" s="13">
        <f ca="1">D233+C234*(Prices!B234-Prices!B233)/Prices!B233</f>
        <v>7.2467841087212242E-2</v>
      </c>
      <c r="E234" s="13">
        <f t="shared" ca="1" si="22"/>
        <v>7.7707574456266471E-2</v>
      </c>
      <c r="F234" s="13">
        <f t="shared" ca="1" si="20"/>
        <v>0.15017541554347871</v>
      </c>
      <c r="G234" s="21">
        <f ca="1">IF((Prices!B234-Prices!B233)*C234&gt;0,1,0)</f>
        <v>0</v>
      </c>
      <c r="H234" s="13">
        <f>ABS(Prices!B234-Prices!B233)/Prices!B233</f>
        <v>1.4315111389458924E-3</v>
      </c>
      <c r="I234" s="21"/>
      <c r="J234" s="4">
        <f t="shared" ca="1" si="23"/>
        <v>4.0787642122653539E-2</v>
      </c>
      <c r="K234" s="13"/>
      <c r="L234" s="13">
        <f ca="1">L233-O234*Prices!B234</f>
        <v>0.59240704650916465</v>
      </c>
      <c r="M234" s="4">
        <f t="shared" ca="1" si="19"/>
        <v>0.38224454124803869</v>
      </c>
      <c r="N234" s="13">
        <f ca="1">IF(Prices!B233&gt;OFFSET(Prices!B233,-$N$3,0),1,-1)</f>
        <v>1</v>
      </c>
      <c r="O234" s="4">
        <f ca="1">IF(N234=1,O$3*L233/Prices!B233,-O$3*M233)</f>
        <v>2.2082987151058834E-2</v>
      </c>
      <c r="P234" s="22"/>
      <c r="Q234" s="13">
        <f ca="1">Q233-T234*Prices!B234</f>
        <v>0.67599682997791644</v>
      </c>
      <c r="R234" s="4">
        <f t="shared" ca="1" si="18"/>
        <v>0.30044494276489164</v>
      </c>
      <c r="S234" s="13">
        <f ca="1">IF(Prices!B233&gt;OFFSET(Prices!B233,-S$3,0),1,-1)</f>
        <v>1</v>
      </c>
      <c r="T234" s="4">
        <f ca="1">IF(S234=1,T$3*Q233/Prices!B233,-T$3*R233)</f>
        <v>1.8704654971594702E-2</v>
      </c>
      <c r="V234" s="13"/>
      <c r="W234" s="4"/>
      <c r="X234" s="4"/>
      <c r="Y234" s="4"/>
      <c r="Z234" s="4"/>
      <c r="AA234" s="4"/>
      <c r="AB234" s="4"/>
      <c r="AC234" s="4"/>
      <c r="AD234" s="4"/>
      <c r="AE234" s="52"/>
    </row>
    <row r="235" spans="1:31" x14ac:dyDescent="0.2">
      <c r="A235" s="7">
        <v>43009</v>
      </c>
      <c r="B235" s="13">
        <f ca="1">Prices!B234*(1+J235/(50*(ABS(O235)+ABS(T235)+0.0001)))</f>
        <v>1.1250877282272229</v>
      </c>
      <c r="C235" s="62">
        <f t="shared" ca="1" si="21"/>
        <v>1</v>
      </c>
      <c r="D235" s="13">
        <f ca="1">D234+C235*(Prices!B235-Prices!B234)/Prices!B234</f>
        <v>6.8883932835263492E-2</v>
      </c>
      <c r="E235" s="13">
        <f t="shared" ca="1" si="22"/>
        <v>8.1291482708215221E-2</v>
      </c>
      <c r="F235" s="13">
        <f t="shared" ca="1" si="20"/>
        <v>0.15017541554347871</v>
      </c>
      <c r="G235" s="21">
        <f ca="1">IF((Prices!B235-Prices!B234)*C235&gt;0,1,0)</f>
        <v>0</v>
      </c>
      <c r="H235" s="13">
        <f>ABS(Prices!B235-Prices!B234)/Prices!B234</f>
        <v>3.5839082519487529E-3</v>
      </c>
      <c r="I235" s="21"/>
      <c r="J235" s="4">
        <f t="shared" ca="1" si="23"/>
        <v>1.2217976742021073E-2</v>
      </c>
      <c r="K235" s="13"/>
      <c r="L235" s="13">
        <f ca="1">L234-O235*Prices!B235</f>
        <v>0.56879568994889795</v>
      </c>
      <c r="M235" s="4">
        <f t="shared" ca="1" si="19"/>
        <v>0.40347586627300652</v>
      </c>
      <c r="N235" s="13">
        <f ca="1">IF(Prices!B234&gt;OFFSET(Prices!B234,-$N$3,0),1,-1)</f>
        <v>1</v>
      </c>
      <c r="O235" s="4">
        <f ca="1">IF(N235=1,O$3*L234/Prices!B234,-O$3*M234)</f>
        <v>2.1231325024967822E-2</v>
      </c>
      <c r="P235" s="22"/>
      <c r="Q235" s="13">
        <f ca="1">Q234-T235*Prices!B235</f>
        <v>0.68602057460338151</v>
      </c>
      <c r="R235" s="4">
        <f t="shared" ca="1" si="18"/>
        <v>0.29143159448194489</v>
      </c>
      <c r="S235" s="13">
        <f ca="1">IF(Prices!B234&gt;OFFSET(Prices!B234,-S$3,0),1,-1)</f>
        <v>-1</v>
      </c>
      <c r="T235" s="4">
        <f ca="1">IF(S235=1,T$3*Q234/Prices!B234,-T$3*R234)</f>
        <v>-9.0133482829467485E-3</v>
      </c>
      <c r="V235" s="13"/>
      <c r="W235" s="4"/>
      <c r="X235" s="4"/>
      <c r="Y235" s="4"/>
      <c r="Z235" s="4"/>
      <c r="AA235" s="4"/>
      <c r="AB235" s="4"/>
      <c r="AC235" s="4"/>
      <c r="AD235" s="4"/>
      <c r="AE235" s="52"/>
    </row>
    <row r="236" spans="1:31" x14ac:dyDescent="0.2">
      <c r="A236" s="7">
        <v>43016</v>
      </c>
      <c r="B236" s="13">
        <f ca="1">Prices!B235*(1+J236/(50*(ABS(O236)+ABS(T236)+0.0001)))</f>
        <v>1.1342850634271144</v>
      </c>
      <c r="C236" s="62">
        <f t="shared" ca="1" si="21"/>
        <v>1</v>
      </c>
      <c r="D236" s="13">
        <f ca="1">D235+C236*(Prices!B236-Prices!B235)/Prices!B235</f>
        <v>6.6276253669720717E-2</v>
      </c>
      <c r="E236" s="13">
        <f t="shared" ca="1" si="22"/>
        <v>8.3899161873757996E-2</v>
      </c>
      <c r="F236" s="13">
        <f t="shared" ca="1" si="20"/>
        <v>0.15017541554347871</v>
      </c>
      <c r="G236" s="21">
        <f ca="1">IF((Prices!B236-Prices!B235)*C236&gt;0,1,0)</f>
        <v>0</v>
      </c>
      <c r="H236" s="13">
        <f>ABS(Prices!B236-Prices!B235)/Prices!B235</f>
        <v>2.607679165542779E-3</v>
      </c>
      <c r="I236" s="21"/>
      <c r="J236" s="4">
        <f t="shared" ca="1" si="23"/>
        <v>3.8964521927935758E-2</v>
      </c>
      <c r="K236" s="13"/>
      <c r="L236" s="13">
        <f ca="1">L235-O236*Prices!B236</f>
        <v>0.54610319181774725</v>
      </c>
      <c r="M236" s="4">
        <f t="shared" ca="1" si="19"/>
        <v>0.42393430310238872</v>
      </c>
      <c r="N236" s="13">
        <f ca="1">IF(Prices!B235&gt;OFFSET(Prices!B235,-$N$3,0),1,-1)</f>
        <v>1</v>
      </c>
      <c r="O236" s="4">
        <f ca="1">IF(N236=1,O$3*L235/Prices!B235,-O$3*M235)</f>
        <v>2.0458436829382178E-2</v>
      </c>
      <c r="P236" s="22"/>
      <c r="Q236" s="13">
        <f ca="1">Q235-T236*Prices!B236</f>
        <v>0.66549362501206588</v>
      </c>
      <c r="R236" s="4">
        <f t="shared" ca="1" si="18"/>
        <v>0.30993767958049845</v>
      </c>
      <c r="S236" s="13">
        <f ca="1">IF(Prices!B235&gt;OFFSET(Prices!B235,-S$3,0),1,-1)</f>
        <v>1</v>
      </c>
      <c r="T236" s="4">
        <f ca="1">IF(S236=1,T$3*Q235/Prices!B235,-T$3*R235)</f>
        <v>1.8506085098553584E-2</v>
      </c>
      <c r="V236" s="13"/>
      <c r="W236" s="4"/>
      <c r="X236" s="4"/>
      <c r="Y236" s="4"/>
      <c r="Z236" s="4"/>
      <c r="AA236" s="4"/>
      <c r="AB236" s="4"/>
      <c r="AC236" s="4"/>
      <c r="AD236" s="4"/>
      <c r="AE236" s="52"/>
    </row>
    <row r="237" spans="1:31" x14ac:dyDescent="0.2">
      <c r="A237" s="7">
        <v>43023</v>
      </c>
      <c r="B237" s="13">
        <f ca="1">Prices!B236*(1+J237/(50*(ABS(O237)+ABS(T237)+0.0001)))</f>
        <v>1.1171270955000672</v>
      </c>
      <c r="C237" s="62">
        <f t="shared" ca="1" si="21"/>
        <v>1</v>
      </c>
      <c r="D237" s="13">
        <f ca="1">D236+C237*(Prices!B237-Prices!B236)/Prices!B236</f>
        <v>6.0235864199832574E-2</v>
      </c>
      <c r="E237" s="13">
        <f t="shared" ca="1" si="22"/>
        <v>8.9939551343646146E-2</v>
      </c>
      <c r="F237" s="13">
        <f t="shared" ca="1" si="20"/>
        <v>0.15017541554347871</v>
      </c>
      <c r="G237" s="21">
        <f ca="1">IF((Prices!B237-Prices!B236)*C237&gt;0,1,0)</f>
        <v>0</v>
      </c>
      <c r="H237" s="13">
        <f>ABS(Prices!B237-Prices!B236)/Prices!B236</f>
        <v>6.0403894698881433E-3</v>
      </c>
      <c r="I237" s="21"/>
      <c r="J237" s="4">
        <f t="shared" ca="1" si="23"/>
        <v>1.0395457489171676E-2</v>
      </c>
      <c r="K237" s="13"/>
      <c r="L237" s="13">
        <f ca="1">L236-O237*Prices!B237</f>
        <v>0.52439101118381048</v>
      </c>
      <c r="M237" s="4">
        <f t="shared" ca="1" si="19"/>
        <v>0.44362789097897537</v>
      </c>
      <c r="N237" s="13">
        <f ca="1">IF(Prices!B236&gt;OFFSET(Prices!B236,-$N$3,0),1,-1)</f>
        <v>1</v>
      </c>
      <c r="O237" s="4">
        <f ca="1">IF(N237=1,O$3*L236/Prices!B236,-O$3*M236)</f>
        <v>1.9693587876586628E-2</v>
      </c>
      <c r="P237" s="22"/>
      <c r="Q237" s="13">
        <f ca="1">Q236-T237*Prices!B237</f>
        <v>0.67574481376419082</v>
      </c>
      <c r="R237" s="4">
        <f t="shared" ca="1" si="18"/>
        <v>0.3006395491930835</v>
      </c>
      <c r="S237" s="13">
        <f ca="1">IF(Prices!B236&gt;OFFSET(Prices!B236,-S$3,0),1,-1)</f>
        <v>-1</v>
      </c>
      <c r="T237" s="4">
        <f ca="1">IF(S237=1,T$3*Q236/Prices!B236,-T$3*R236)</f>
        <v>-9.2981303874149525E-3</v>
      </c>
      <c r="V237" s="13"/>
      <c r="W237" s="4"/>
      <c r="X237" s="4"/>
      <c r="Y237" s="4"/>
      <c r="Z237" s="4"/>
      <c r="AA237" s="4"/>
      <c r="AB237" s="4"/>
      <c r="AC237" s="4"/>
      <c r="AD237" s="4"/>
      <c r="AE237" s="52"/>
    </row>
    <row r="238" spans="1:31" x14ac:dyDescent="0.2">
      <c r="A238" s="7">
        <v>43030</v>
      </c>
      <c r="B238" s="13">
        <f ca="1">Prices!B237*(1+J238/(50*(ABS(O238)+ABS(T238)+0.0001)))</f>
        <v>1.102891002515239</v>
      </c>
      <c r="C238" s="62">
        <f t="shared" ca="1" si="21"/>
        <v>1</v>
      </c>
      <c r="D238" s="13">
        <f ca="1">D237+C238*(Prices!B238-Prices!B237)/Prices!B237</f>
        <v>6.6403664653347239E-2</v>
      </c>
      <c r="E238" s="13">
        <f t="shared" ca="1" si="22"/>
        <v>8.3771750890131474E-2</v>
      </c>
      <c r="F238" s="13">
        <f t="shared" ca="1" si="20"/>
        <v>0.15017541554347871</v>
      </c>
      <c r="G238" s="21">
        <f ca="1">IF((Prices!B238-Prices!B237)*C238&gt;0,1,0)</f>
        <v>1</v>
      </c>
      <c r="H238" s="13">
        <f>ABS(Prices!B238-Prices!B237)/Prices!B237</f>
        <v>6.1678004535146635E-3</v>
      </c>
      <c r="I238" s="21"/>
      <c r="J238" s="4">
        <f t="shared" ca="1" si="23"/>
        <v>6.4249834081896162E-4</v>
      </c>
      <c r="K238" s="13"/>
      <c r="L238" s="13">
        <f ca="1">L237-O238*Prices!B238</f>
        <v>0.54407566796232953</v>
      </c>
      <c r="M238" s="4">
        <f t="shared" ca="1" si="19"/>
        <v>0.42588277533981633</v>
      </c>
      <c r="N238" s="13">
        <f ca="1">IF(Prices!B237&gt;OFFSET(Prices!B237,-$N$3,0),1,-1)</f>
        <v>-1</v>
      </c>
      <c r="O238" s="4">
        <f ca="1">IF(N238=1,O$3*L237/Prices!B237,-O$3*M237)</f>
        <v>-1.7745115639159016E-2</v>
      </c>
      <c r="P238" s="22"/>
      <c r="Q238" s="13">
        <f ca="1">Q237-T238*Prices!B238</f>
        <v>0.65534743357620129</v>
      </c>
      <c r="R238" s="4">
        <f t="shared" ca="1" si="18"/>
        <v>0.31902716317306146</v>
      </c>
      <c r="S238" s="13">
        <f ca="1">IF(Prices!B237&gt;OFFSET(Prices!B237,-S$3,0),1,-1)</f>
        <v>1</v>
      </c>
      <c r="T238" s="4">
        <f ca="1">IF(S238=1,T$3*Q237/Prices!B237,-T$3*R237)</f>
        <v>1.8387613979977978E-2</v>
      </c>
      <c r="V238" s="13"/>
      <c r="W238" s="4"/>
      <c r="X238" s="4"/>
      <c r="Y238" s="4"/>
      <c r="Z238" s="4"/>
      <c r="AA238" s="4"/>
      <c r="AB238" s="4"/>
      <c r="AC238" s="4"/>
      <c r="AD238" s="4"/>
      <c r="AE238" s="52"/>
    </row>
    <row r="239" spans="1:31" x14ac:dyDescent="0.2">
      <c r="A239" s="7">
        <v>43037</v>
      </c>
      <c r="B239" s="13">
        <f ca="1">Prices!B238*(1+J239/(50*(ABS(O239)+ABS(T239)+0.0001)))</f>
        <v>1.1314267456426157</v>
      </c>
      <c r="C239" s="62">
        <f t="shared" ca="1" si="21"/>
        <v>1</v>
      </c>
      <c r="D239" s="13">
        <f ca="1">D238+C239*(Prices!B239-Prices!B238)/Prices!B238</f>
        <v>5.315206454517097E-2</v>
      </c>
      <c r="E239" s="13">
        <f t="shared" ca="1" si="22"/>
        <v>9.702335099830775E-2</v>
      </c>
      <c r="F239" s="13">
        <f t="shared" ca="1" si="20"/>
        <v>0.15017541554347871</v>
      </c>
      <c r="G239" s="21">
        <f ca="1">IF((Prices!B239-Prices!B238)*C239&gt;0,1,0)</f>
        <v>0</v>
      </c>
      <c r="H239" s="13">
        <f>ABS(Prices!B239-Prices!B238)/Prices!B238</f>
        <v>1.3251600108176271E-2</v>
      </c>
      <c r="I239" s="21"/>
      <c r="J239" s="4">
        <f t="shared" ca="1" si="23"/>
        <v>3.7341972167834872E-2</v>
      </c>
      <c r="K239" s="13"/>
      <c r="L239" s="13">
        <f ca="1">L238-O239*Prices!B239</f>
        <v>0.52260103617105336</v>
      </c>
      <c r="M239" s="4">
        <f t="shared" ca="1" si="19"/>
        <v>0.445501477871587</v>
      </c>
      <c r="N239" s="13">
        <f ca="1">IF(Prices!B238&gt;OFFSET(Prices!B238,-$N$3,0),1,-1)</f>
        <v>1</v>
      </c>
      <c r="O239" s="4">
        <f ca="1">IF(N239=1,O$3*L238/Prices!B238,-O$3*M238)</f>
        <v>1.961870253177065E-2</v>
      </c>
      <c r="P239" s="22"/>
      <c r="Q239" s="13">
        <f ca="1">Q238-T239*Prices!B239</f>
        <v>0.63594754263256537</v>
      </c>
      <c r="R239" s="4">
        <f t="shared" ca="1" si="18"/>
        <v>0.3367504328091257</v>
      </c>
      <c r="S239" s="13">
        <f ca="1">IF(Prices!B238&gt;OFFSET(Prices!B238,-S$3,0),1,-1)</f>
        <v>1</v>
      </c>
      <c r="T239" s="4">
        <f ca="1">IF(S239=1,T$3*Q238/Prices!B238,-T$3*R238)</f>
        <v>1.7723269636064222E-2</v>
      </c>
      <c r="V239" s="13"/>
      <c r="W239" s="4"/>
      <c r="X239" s="4"/>
      <c r="Y239" s="4"/>
      <c r="Z239" s="4"/>
      <c r="AA239" s="4"/>
      <c r="AB239" s="4"/>
      <c r="AC239" s="4"/>
      <c r="AD239" s="4"/>
      <c r="AE239" s="52"/>
    </row>
    <row r="240" spans="1:31" x14ac:dyDescent="0.2">
      <c r="A240" s="7">
        <v>43044</v>
      </c>
      <c r="B240" s="13">
        <f ca="1">Prices!B239*(1+J240/(50*(ABS(O240)+ABS(T240)+0.0001)))</f>
        <v>1.0727861227359234</v>
      </c>
      <c r="C240" s="62">
        <f t="shared" ca="1" si="21"/>
        <v>0</v>
      </c>
      <c r="D240" s="13">
        <f ca="1">D239+C240*(Prices!B240-Prices!B239)/Prices!B239</f>
        <v>5.315206454517097E-2</v>
      </c>
      <c r="E240" s="13">
        <f t="shared" ca="1" si="22"/>
        <v>9.702335099830775E-2</v>
      </c>
      <c r="F240" s="13">
        <f t="shared" ca="1" si="20"/>
        <v>0.15017541554347871</v>
      </c>
      <c r="G240" s="21">
        <f ca="1">IF((Prices!B240-Prices!B239)*C240&gt;0,1,0)</f>
        <v>0</v>
      </c>
      <c r="H240" s="13">
        <f>ABS(Prices!B240-Prices!B239)/Prices!B239</f>
        <v>1.050612095742743E-2</v>
      </c>
      <c r="I240" s="21"/>
      <c r="J240" s="4">
        <f t="shared" ca="1" si="23"/>
        <v>-2.792257209913725E-2</v>
      </c>
      <c r="K240" s="13"/>
      <c r="L240" s="13">
        <f ca="1">L239-O240*Prices!B240</f>
        <v>0.54190194219836196</v>
      </c>
      <c r="M240" s="4">
        <f t="shared" ca="1" si="19"/>
        <v>0.4276814187567235</v>
      </c>
      <c r="N240" s="13">
        <f ca="1">IF(Prices!B239&gt;OFFSET(Prices!B239,-$N$3,0),1,-1)</f>
        <v>-1</v>
      </c>
      <c r="O240" s="4">
        <f ca="1">IF(N240=1,O$3*L239/Prices!B239,-O$3*M239)</f>
        <v>-1.7820059114863479E-2</v>
      </c>
      <c r="P240" s="22"/>
      <c r="Q240" s="13">
        <f ca="1">Q239-T240*Prices!B240</f>
        <v>0.64688957444583228</v>
      </c>
      <c r="R240" s="4">
        <f t="shared" ca="1" si="18"/>
        <v>0.32664791982485192</v>
      </c>
      <c r="S240" s="13">
        <f ca="1">IF(Prices!B239&gt;OFFSET(Prices!B239,-S$3,0),1,-1)</f>
        <v>-1</v>
      </c>
      <c r="T240" s="4">
        <f ca="1">IF(S240=1,T$3*Q239/Prices!B239,-T$3*R239)</f>
        <v>-1.0102512984273771E-2</v>
      </c>
      <c r="V240" s="13"/>
      <c r="W240" s="4"/>
      <c r="X240" s="4"/>
      <c r="Y240" s="4"/>
      <c r="Z240" s="4"/>
      <c r="AA240" s="4"/>
      <c r="AB240" s="4"/>
      <c r="AC240" s="4"/>
      <c r="AD240" s="4"/>
      <c r="AE240" s="52"/>
    </row>
    <row r="241" spans="1:31" x14ac:dyDescent="0.2">
      <c r="A241" s="7">
        <v>43051</v>
      </c>
      <c r="B241" s="13">
        <f ca="1">Prices!B240*(1+J241/(50*(ABS(O241)+ABS(T241)+0.0001)))</f>
        <v>1.06151820974253</v>
      </c>
      <c r="C241" s="62">
        <f t="shared" ca="1" si="21"/>
        <v>0</v>
      </c>
      <c r="D241" s="13">
        <f ca="1">D240+C241*(Prices!B241-Prices!B240)/Prices!B240</f>
        <v>5.315206454517097E-2</v>
      </c>
      <c r="E241" s="13">
        <f t="shared" ca="1" si="22"/>
        <v>9.702335099830775E-2</v>
      </c>
      <c r="F241" s="13">
        <f t="shared" ca="1" si="20"/>
        <v>0.15017541554347871</v>
      </c>
      <c r="G241" s="21">
        <f ca="1">IF((Prices!B241-Prices!B240)*C241&gt;0,1,0)</f>
        <v>0</v>
      </c>
      <c r="H241" s="13">
        <f>ABS(Prices!B241-Prices!B240)/Prices!B240</f>
        <v>1.4772412519620034E-3</v>
      </c>
      <c r="I241" s="21"/>
      <c r="J241" s="4">
        <f t="shared" ca="1" si="23"/>
        <v>-2.6906694345014498E-2</v>
      </c>
      <c r="K241" s="13"/>
      <c r="L241" s="13">
        <f ca="1">L240-O241*Prices!B241</f>
        <v>0.56045818359537869</v>
      </c>
      <c r="M241" s="4">
        <f t="shared" ca="1" si="19"/>
        <v>0.41057416200645458</v>
      </c>
      <c r="N241" s="13">
        <f ca="1">IF(Prices!B240&gt;OFFSET(Prices!B240,-$N$3,0),1,-1)</f>
        <v>-1</v>
      </c>
      <c r="O241" s="4">
        <f ca="1">IF(N241=1,O$3*L240/Prices!B240,-O$3*M240)</f>
        <v>-1.7107256750268942E-2</v>
      </c>
      <c r="P241" s="22"/>
      <c r="Q241" s="13">
        <f ca="1">Q240-T241*Prices!B241</f>
        <v>0.65751902440485277</v>
      </c>
      <c r="R241" s="4">
        <f t="shared" ca="1" si="18"/>
        <v>0.31684848223010637</v>
      </c>
      <c r="S241" s="13">
        <f ca="1">IF(Prices!B240&gt;OFFSET(Prices!B240,-S$3,0),1,-1)</f>
        <v>-1</v>
      </c>
      <c r="T241" s="4">
        <f ca="1">IF(S241=1,T$3*Q240/Prices!B240,-T$3*R240)</f>
        <v>-9.7994375947455577E-3</v>
      </c>
      <c r="V241" s="13"/>
      <c r="W241" s="4"/>
      <c r="X241" s="4"/>
      <c r="Y241" s="4"/>
      <c r="Z241" s="4"/>
      <c r="AA241" s="4"/>
      <c r="AB241" s="4"/>
      <c r="AC241" s="4"/>
      <c r="AD241" s="4"/>
      <c r="AE241" s="52"/>
    </row>
    <row r="242" spans="1:31" x14ac:dyDescent="0.2">
      <c r="A242" s="7">
        <v>43058</v>
      </c>
      <c r="B242" s="13">
        <f ca="1">Prices!B241*(1+J242/(50*(ABS(O242)+ABS(T242)+0.0001)))</f>
        <v>1.0630893473534335</v>
      </c>
      <c r="C242" s="62">
        <f t="shared" ca="1" si="21"/>
        <v>0</v>
      </c>
      <c r="D242" s="13">
        <f ca="1">D241+C242*(Prices!B242-Prices!B241)/Prices!B241</f>
        <v>5.315206454517097E-2</v>
      </c>
      <c r="E242" s="13">
        <f t="shared" ca="1" si="22"/>
        <v>9.702335099830775E-2</v>
      </c>
      <c r="F242" s="13">
        <f t="shared" ca="1" si="20"/>
        <v>0.15017541554347871</v>
      </c>
      <c r="G242" s="21">
        <f ca="1">IF((Prices!B242-Prices!B241)*C242&gt;0,1,0)</f>
        <v>0</v>
      </c>
      <c r="H242" s="13">
        <f>ABS(Prices!B242-Prices!B241)/Prices!B241</f>
        <v>1.6502258689038467E-2</v>
      </c>
      <c r="I242" s="21"/>
      <c r="J242" s="4">
        <f t="shared" ca="1" si="23"/>
        <v>-2.5928420947161378E-2</v>
      </c>
      <c r="K242" s="13"/>
      <c r="L242" s="13">
        <f ca="1">L241-O242*Prices!B242</f>
        <v>0.57856614643651139</v>
      </c>
      <c r="M242" s="4">
        <f t="shared" ca="1" si="19"/>
        <v>0.39415119552619637</v>
      </c>
      <c r="N242" s="13">
        <f ca="1">IF(Prices!B241&gt;OFFSET(Prices!B241,-$N$3,0),1,-1)</f>
        <v>-1</v>
      </c>
      <c r="O242" s="4">
        <f ca="1">IF(N242=1,O$3*L241/Prices!B241,-O$3*M241)</f>
        <v>-1.6422966480258185E-2</v>
      </c>
      <c r="P242" s="22"/>
      <c r="Q242" s="13">
        <f ca="1">Q241-T242*Prices!B242</f>
        <v>0.66799973850006023</v>
      </c>
      <c r="R242" s="4">
        <f t="shared" ca="1" si="18"/>
        <v>0.30734302776320316</v>
      </c>
      <c r="S242" s="13">
        <f ca="1">IF(Prices!B241&gt;OFFSET(Prices!B241,-S$3,0),1,-1)</f>
        <v>-1</v>
      </c>
      <c r="T242" s="4">
        <f ca="1">IF(S242=1,T$3*Q241/Prices!B241,-T$3*R241)</f>
        <v>-9.5054544669031914E-3</v>
      </c>
      <c r="V242" s="13"/>
      <c r="W242" s="4"/>
      <c r="X242" s="4"/>
      <c r="Y242" s="4"/>
      <c r="Z242" s="4"/>
      <c r="AA242" s="4"/>
      <c r="AB242" s="4"/>
      <c r="AC242" s="4"/>
      <c r="AD242" s="4"/>
      <c r="AE242" s="52"/>
    </row>
    <row r="243" spans="1:31" x14ac:dyDescent="0.2">
      <c r="A243" s="7">
        <v>43065</v>
      </c>
      <c r="B243" s="13">
        <f ca="1">Prices!B242*(1+J243/(50*(ABS(O243)+ABS(T243)+0.0001)))</f>
        <v>1.0806359044180349</v>
      </c>
      <c r="C243" s="62">
        <f t="shared" ca="1" si="21"/>
        <v>0</v>
      </c>
      <c r="D243" s="13">
        <f ca="1">D242+C243*(Prices!B243-Prices!B242)/Prices!B242</f>
        <v>5.315206454517097E-2</v>
      </c>
      <c r="E243" s="13">
        <f t="shared" ca="1" si="22"/>
        <v>9.702335099830775E-2</v>
      </c>
      <c r="F243" s="13">
        <f t="shared" ca="1" si="20"/>
        <v>0.15017541554347871</v>
      </c>
      <c r="G243" s="21">
        <f ca="1">IF((Prices!B243-Prices!B242)*C243&gt;0,1,0)</f>
        <v>0</v>
      </c>
      <c r="H243" s="13">
        <f>ABS(Prices!B243-Prices!B242)/Prices!B242</f>
        <v>2.3399238164338875E-2</v>
      </c>
      <c r="I243" s="21"/>
      <c r="J243" s="4">
        <f t="shared" ca="1" si="23"/>
        <v>-2.4986338653943951E-2</v>
      </c>
      <c r="K243" s="13"/>
      <c r="L243" s="13">
        <f ca="1">L242-O243*Prices!B243</f>
        <v>0.59635655479778182</v>
      </c>
      <c r="M243" s="4">
        <f t="shared" ca="1" si="19"/>
        <v>0.37838514770514853</v>
      </c>
      <c r="N243" s="13">
        <f ca="1">IF(Prices!B242&gt;OFFSET(Prices!B242,-$N$3,0),1,-1)</f>
        <v>-1</v>
      </c>
      <c r="O243" s="4">
        <f ca="1">IF(N243=1,O$3*L242/Prices!B242,-O$3*M242)</f>
        <v>-1.5766047821047856E-2</v>
      </c>
      <c r="P243" s="22"/>
      <c r="Q243" s="13">
        <f ca="1">Q242-T243*Prices!B243</f>
        <v>0.67840391467590022</v>
      </c>
      <c r="R243" s="4">
        <f t="shared" ca="1" si="18"/>
        <v>0.29812273693030705</v>
      </c>
      <c r="S243" s="13">
        <f ca="1">IF(Prices!B242&gt;OFFSET(Prices!B242,-S$3,0),1,-1)</f>
        <v>-1</v>
      </c>
      <c r="T243" s="4">
        <f ca="1">IF(S243=1,T$3*Q242/Prices!B242,-T$3*R242)</f>
        <v>-9.2202908328960949E-3</v>
      </c>
      <c r="V243" s="13"/>
      <c r="W243" s="4"/>
      <c r="X243" s="4"/>
      <c r="Y243" s="4"/>
      <c r="Z243" s="4"/>
      <c r="AA243" s="4"/>
      <c r="AB243" s="4"/>
      <c r="AC243" s="4"/>
      <c r="AD243" s="4"/>
      <c r="AE243" s="52"/>
    </row>
    <row r="244" spans="1:31" x14ac:dyDescent="0.2">
      <c r="A244" s="7">
        <v>43072</v>
      </c>
      <c r="B244" s="13">
        <f ca="1">Prices!B243*(1+J244/(50*(ABS(O244)+ABS(T244)+0.0001)))</f>
        <v>1.1509105402084892</v>
      </c>
      <c r="C244" s="62">
        <f t="shared" ca="1" si="21"/>
        <v>1</v>
      </c>
      <c r="D244" s="13">
        <f ca="1">D243+C244*(Prices!B244-Prices!B243)/Prices!B243</f>
        <v>3.7466137568921372E-2</v>
      </c>
      <c r="E244" s="13">
        <f t="shared" ca="1" si="22"/>
        <v>0.11270927797455735</v>
      </c>
      <c r="F244" s="13">
        <f t="shared" ca="1" si="20"/>
        <v>0.15017541554347871</v>
      </c>
      <c r="G244" s="21">
        <f ca="1">IF((Prices!B244-Prices!B243)*C244&gt;0,1,0)</f>
        <v>0</v>
      </c>
      <c r="H244" s="13">
        <f>ABS(Prices!B244-Prices!B243)/Prices!B243</f>
        <v>1.5685926976249598E-2</v>
      </c>
      <c r="I244" s="21"/>
      <c r="J244" s="4">
        <f t="shared" ca="1" si="23"/>
        <v>3.9176160609879718E-2</v>
      </c>
      <c r="K244" s="13"/>
      <c r="L244" s="13">
        <f ca="1">L243-O244*Prices!B244</f>
        <v>0.57287646882068521</v>
      </c>
      <c r="M244" s="4">
        <f t="shared" ca="1" si="19"/>
        <v>0.39952504684721807</v>
      </c>
      <c r="N244" s="13">
        <f ca="1">IF(Prices!B243&gt;OFFSET(Prices!B243,-$N$3,0),1,-1)</f>
        <v>1</v>
      </c>
      <c r="O244" s="4">
        <f ca="1">IF(N244=1,O$3*L243/Prices!B243,-O$3*M243)</f>
        <v>2.113989914206954E-2</v>
      </c>
      <c r="P244" s="22"/>
      <c r="Q244" s="13">
        <f ca="1">Q243-T244*Prices!B244</f>
        <v>0.6583710390636035</v>
      </c>
      <c r="R244" s="4">
        <f t="shared" ca="1" si="18"/>
        <v>0.31615899839811723</v>
      </c>
      <c r="S244" s="13">
        <f ca="1">IF(Prices!B243&gt;OFFSET(Prices!B243,-S$3,0),1,-1)</f>
        <v>1</v>
      </c>
      <c r="T244" s="4">
        <f ca="1">IF(S244=1,T$3*Q243/Prices!B243,-T$3*R243)</f>
        <v>1.8036261467810177E-2</v>
      </c>
      <c r="V244" s="13"/>
      <c r="W244" s="4"/>
      <c r="X244" s="4"/>
      <c r="Y244" s="4"/>
      <c r="Z244" s="4"/>
      <c r="AA244" s="4"/>
      <c r="AB244" s="4"/>
      <c r="AC244" s="4"/>
      <c r="AD244" s="4"/>
      <c r="AE244" s="52"/>
    </row>
    <row r="245" spans="1:31" x14ac:dyDescent="0.2">
      <c r="A245" s="7">
        <v>43079</v>
      </c>
      <c r="B245" s="13">
        <f ca="1">Prices!B244*(1+J245/(50*(ABS(O245)+ABS(T245)+0.0001)))</f>
        <v>1.1188945609241916</v>
      </c>
      <c r="C245" s="62">
        <f t="shared" ca="1" si="21"/>
        <v>1</v>
      </c>
      <c r="D245" s="13">
        <f ca="1">D244+C245*(Prices!B245-Prices!B244)/Prices!B244</f>
        <v>-2.5782029548850061E-4</v>
      </c>
      <c r="E245" s="13">
        <f t="shared" ca="1" si="22"/>
        <v>0.15043323583896723</v>
      </c>
      <c r="F245" s="13">
        <f t="shared" ca="1" si="20"/>
        <v>0.15017541554347871</v>
      </c>
      <c r="G245" s="21">
        <f ca="1">IF((Prices!B245-Prices!B244)*C245&gt;0,1,0)</f>
        <v>0</v>
      </c>
      <c r="H245" s="13">
        <f>ABS(Prices!B245-Prices!B244)/Prices!B244</f>
        <v>3.7723957864409872E-2</v>
      </c>
      <c r="I245" s="21"/>
      <c r="J245" s="4">
        <f t="shared" ca="1" si="23"/>
        <v>1.1146416464575265E-2</v>
      </c>
      <c r="K245" s="13"/>
      <c r="L245" s="13">
        <f ca="1">L244-O245*Prices!B245</f>
        <v>0.55082585677870999</v>
      </c>
      <c r="M245" s="4">
        <f t="shared" ca="1" si="19"/>
        <v>0.42015623326373686</v>
      </c>
      <c r="N245" s="13">
        <f ca="1">IF(Prices!B244&gt;OFFSET(Prices!B244,-$N$3,0),1,-1)</f>
        <v>1</v>
      </c>
      <c r="O245" s="4">
        <f ca="1">IF(N245=1,O$3*L244/Prices!B244,-O$3*M244)</f>
        <v>2.0631186416518781E-2</v>
      </c>
      <c r="P245" s="22"/>
      <c r="Q245" s="13">
        <f ca="1">Q244-T245*Prices!B245</f>
        <v>0.66850836118824075</v>
      </c>
      <c r="R245" s="4">
        <f t="shared" ca="1" si="18"/>
        <v>0.3066742284461737</v>
      </c>
      <c r="S245" s="13">
        <f ca="1">IF(Prices!B244&gt;OFFSET(Prices!B244,-S$3,0),1,-1)</f>
        <v>-1</v>
      </c>
      <c r="T245" s="4">
        <f ca="1">IF(S245=1,T$3*Q244/Prices!B244,-T$3*R244)</f>
        <v>-9.4847699519435159E-3</v>
      </c>
      <c r="V245" s="13"/>
      <c r="W245" s="4"/>
      <c r="X245" s="4"/>
      <c r="Y245" s="4"/>
      <c r="Z245" s="4"/>
      <c r="AA245" s="4"/>
      <c r="AB245" s="4"/>
      <c r="AC245" s="4"/>
      <c r="AD245" s="4"/>
      <c r="AE245" s="52"/>
    </row>
    <row r="246" spans="1:31" x14ac:dyDescent="0.2">
      <c r="A246" s="7">
        <v>43086</v>
      </c>
      <c r="B246" s="13">
        <f ca="1">Prices!B245*(1+J246/(50*(ABS(O246)+ABS(T246)+0.0001)))</f>
        <v>1.0475058800662693</v>
      </c>
      <c r="C246" s="62">
        <f t="shared" ca="1" si="21"/>
        <v>0</v>
      </c>
      <c r="D246" s="13">
        <f ca="1">D245+C246*(Prices!B246-Prices!B245)/Prices!B245</f>
        <v>-2.5782029548850061E-4</v>
      </c>
      <c r="E246" s="13">
        <f t="shared" ca="1" si="22"/>
        <v>0.15043323583896723</v>
      </c>
      <c r="F246" s="13">
        <f t="shared" ca="1" si="20"/>
        <v>0.15017541554347871</v>
      </c>
      <c r="G246" s="21">
        <f ca="1">IF((Prices!B246-Prices!B245)*C246&gt;0,1,0)</f>
        <v>0</v>
      </c>
      <c r="H246" s="13">
        <f>ABS(Prices!B246-Prices!B245)/Prices!B245</f>
        <v>4.2383982035928254E-2</v>
      </c>
      <c r="I246" s="21"/>
      <c r="J246" s="4">
        <f t="shared" ca="1" si="23"/>
        <v>-2.6006476183934688E-2</v>
      </c>
      <c r="K246" s="13"/>
      <c r="L246" s="13">
        <f ca="1">L245-O246*Prices!B246</f>
        <v>0.56954969915787512</v>
      </c>
      <c r="M246" s="4">
        <f t="shared" ca="1" si="19"/>
        <v>0.40334998393318738</v>
      </c>
      <c r="N246" s="13">
        <f ca="1">IF(Prices!B245&gt;OFFSET(Prices!B245,-$N$3,0),1,-1)</f>
        <v>-1</v>
      </c>
      <c r="O246" s="4">
        <f ca="1">IF(N246=1,O$3*L245/Prices!B245,-O$3*M245)</f>
        <v>-1.6806249330549475E-2</v>
      </c>
      <c r="P246" s="22"/>
      <c r="Q246" s="13">
        <f ca="1">Q245-T246*Prices!B246</f>
        <v>0.67875833392559726</v>
      </c>
      <c r="R246" s="4">
        <f t="shared" ca="1" si="18"/>
        <v>0.29747400159278847</v>
      </c>
      <c r="S246" s="13">
        <f ca="1">IF(Prices!B245&gt;OFFSET(Prices!B245,-S$3,0),1,-1)</f>
        <v>-1</v>
      </c>
      <c r="T246" s="4">
        <f ca="1">IF(S246=1,T$3*Q245/Prices!B245,-T$3*R245)</f>
        <v>-9.2002268533852103E-3</v>
      </c>
      <c r="V246" s="13"/>
      <c r="W246" s="4"/>
      <c r="X246" s="4"/>
      <c r="Y246" s="4"/>
      <c r="Z246" s="4"/>
      <c r="AA246" s="4"/>
      <c r="AB246" s="4"/>
      <c r="AC246" s="4"/>
      <c r="AD246" s="4"/>
      <c r="AE246" s="52"/>
    </row>
    <row r="247" spans="1:31" x14ac:dyDescent="0.2">
      <c r="A247" s="7">
        <v>43093</v>
      </c>
      <c r="B247" s="13">
        <f ca="1">Prices!B246*(1+J247/(50*(ABS(O247)+ABS(T247)+0.0001)))</f>
        <v>1.1363246107562581</v>
      </c>
      <c r="C247" s="62">
        <f t="shared" ca="1" si="21"/>
        <v>1</v>
      </c>
      <c r="D247" s="13">
        <f ca="1">D246+C247*(Prices!B247-Prices!B246)/Prices!B246</f>
        <v>-3.0775727126114143E-2</v>
      </c>
      <c r="E247" s="13">
        <f t="shared" ca="1" si="22"/>
        <v>0.18095114266959286</v>
      </c>
      <c r="F247" s="13">
        <f t="shared" ca="1" si="20"/>
        <v>0.15017541554347871</v>
      </c>
      <c r="G247" s="21">
        <f ca="1">IF((Prices!B247-Prices!B246)*C247&gt;0,1,0)</f>
        <v>0</v>
      </c>
      <c r="H247" s="13">
        <f>ABS(Prices!B247-Prices!B246)/Prices!B246</f>
        <v>3.0517906830625642E-2</v>
      </c>
      <c r="I247" s="21"/>
      <c r="J247" s="4">
        <f t="shared" ca="1" si="23"/>
        <v>3.8726091000882257E-2</v>
      </c>
      <c r="K247" s="13"/>
      <c r="L247" s="13">
        <f ca="1">L246-O247*Prices!B247</f>
        <v>0.54746296977773257</v>
      </c>
      <c r="M247" s="4">
        <f t="shared" ca="1" si="19"/>
        <v>0.42379876587943549</v>
      </c>
      <c r="N247" s="13">
        <f ca="1">IF(Prices!B246&gt;OFFSET(Prices!B246,-$N$3,0),1,-1)</f>
        <v>1</v>
      </c>
      <c r="O247" s="4">
        <f ca="1">IF(N247=1,O$3*L246/Prices!B246,-O$3*M246)</f>
        <v>2.0448781946248093E-2</v>
      </c>
      <c r="P247" s="22"/>
      <c r="Q247" s="13">
        <f ca="1">Q246-T247*Prices!B247</f>
        <v>0.65901701241568689</v>
      </c>
      <c r="R247" s="4">
        <f t="shared" ca="1" si="18"/>
        <v>0.31575131064742262</v>
      </c>
      <c r="S247" s="13">
        <f ca="1">IF(Prices!B246&gt;OFFSET(Prices!B246,-S$3,0),1,-1)</f>
        <v>1</v>
      </c>
      <c r="T247" s="4">
        <f ca="1">IF(S247=1,T$3*Q246/Prices!B246,-T$3*R246)</f>
        <v>1.827730905463416E-2</v>
      </c>
      <c r="V247" s="13"/>
      <c r="W247" s="4"/>
      <c r="X247" s="4"/>
      <c r="Y247" s="4"/>
      <c r="Z247" s="4"/>
      <c r="AA247" s="4"/>
      <c r="AB247" s="4"/>
      <c r="AC247" s="4"/>
      <c r="AD247" s="4"/>
      <c r="AE247" s="52"/>
    </row>
    <row r="248" spans="1:31" x14ac:dyDescent="0.2">
      <c r="A248" s="7">
        <v>43100</v>
      </c>
      <c r="B248" s="13">
        <f ca="1">Prices!B247*(1+J248/(50*(ABS(O248)+ABS(T248)+0.0001)))</f>
        <v>1.0585794417168322</v>
      </c>
      <c r="C248" s="62">
        <f t="shared" ca="1" si="21"/>
        <v>0</v>
      </c>
      <c r="D248" s="13">
        <f ca="1">D247+C248*(Prices!B248-Prices!B247)/Prices!B247</f>
        <v>-3.0775727126114143E-2</v>
      </c>
      <c r="E248" s="13">
        <f t="shared" ca="1" si="22"/>
        <v>0.18095114266959286</v>
      </c>
      <c r="F248" s="13">
        <f t="shared" ca="1" si="20"/>
        <v>0.15017541554347871</v>
      </c>
      <c r="G248" s="21">
        <f ca="1">IF((Prices!B248-Prices!B247)*C248&gt;0,1,0)</f>
        <v>0</v>
      </c>
      <c r="H248" s="13">
        <f>ABS(Prices!B248-Prices!B247)/Prices!B247</f>
        <v>1.2591426719748224E-2</v>
      </c>
      <c r="I248" s="21"/>
      <c r="J248" s="4">
        <f t="shared" ca="1" si="23"/>
        <v>-2.6424489954600099E-2</v>
      </c>
      <c r="K248" s="13"/>
      <c r="L248" s="13">
        <f ca="1">L247-O248*Prices!B248</f>
        <v>0.56600331818742611</v>
      </c>
      <c r="M248" s="4">
        <f t="shared" ca="1" si="19"/>
        <v>0.40684681524425809</v>
      </c>
      <c r="N248" s="13">
        <f ca="1">IF(Prices!B247&gt;OFFSET(Prices!B247,-$N$3,0),1,-1)</f>
        <v>-1</v>
      </c>
      <c r="O248" s="4">
        <f ca="1">IF(N248=1,O$3*L247/Prices!B247,-O$3*M247)</f>
        <v>-1.6951950635177421E-2</v>
      </c>
      <c r="P248" s="22"/>
      <c r="Q248" s="13">
        <f ca="1">Q247-T248*Prices!B248</f>
        <v>0.66937712866933952</v>
      </c>
      <c r="R248" s="4">
        <f t="shared" ca="1" si="18"/>
        <v>0.30627877132799997</v>
      </c>
      <c r="S248" s="13">
        <f ca="1">IF(Prices!B247&gt;OFFSET(Prices!B247,-S$3,0),1,-1)</f>
        <v>-1</v>
      </c>
      <c r="T248" s="4">
        <f ca="1">IF(S248=1,T$3*Q247/Prices!B247,-T$3*R247)</f>
        <v>-9.4725393194226779E-3</v>
      </c>
      <c r="V248" s="13"/>
      <c r="W248" s="4"/>
      <c r="X248" s="4"/>
      <c r="Y248" s="4"/>
      <c r="Z248" s="4"/>
      <c r="AA248" s="4"/>
      <c r="AB248" s="4"/>
      <c r="AC248" s="4"/>
      <c r="AD248" s="4"/>
      <c r="AE248" s="52"/>
    </row>
    <row r="249" spans="1:31" x14ac:dyDescent="0.2">
      <c r="A249" s="7">
        <v>43107</v>
      </c>
      <c r="B249" s="13">
        <f ca="1">Prices!B248*(1+J249/(50*(ABS(O249)+ABS(T249)+0.0001)))</f>
        <v>1.071911571544736</v>
      </c>
      <c r="C249" s="62">
        <f t="shared" ca="1" si="21"/>
        <v>0</v>
      </c>
      <c r="D249" s="13">
        <f ca="1">D248+C249*(Prices!B249-Prices!B248)/Prices!B248</f>
        <v>-3.0775727126114143E-2</v>
      </c>
      <c r="E249" s="13">
        <f t="shared" ca="1" si="22"/>
        <v>0.18095114266959286</v>
      </c>
      <c r="F249" s="13">
        <f t="shared" ca="1" si="20"/>
        <v>0.15017541554347871</v>
      </c>
      <c r="G249" s="21">
        <f ca="1">IF((Prices!B249-Prices!B248)*C249&gt;0,1,0)</f>
        <v>0</v>
      </c>
      <c r="H249" s="13">
        <f>ABS(Prices!B249-Prices!B248)/Prices!B248</f>
        <v>5.6688305751121919E-3</v>
      </c>
      <c r="I249" s="21"/>
      <c r="J249" s="4">
        <f t="shared" ca="1" si="23"/>
        <v>-2.5462235749610321E-2</v>
      </c>
      <c r="K249" s="13"/>
      <c r="L249" s="13">
        <f ca="1">L248-O249*Prices!B249</f>
        <v>0.58370115465055128</v>
      </c>
      <c r="M249" s="4">
        <f t="shared" ca="1" si="19"/>
        <v>0.39057294263448777</v>
      </c>
      <c r="N249" s="13">
        <f ca="1">IF(Prices!B248&gt;OFFSET(Prices!B248,-$N$3,0),1,-1)</f>
        <v>-1</v>
      </c>
      <c r="O249" s="4">
        <f ca="1">IF(N249=1,O$3*L248/Prices!B248,-O$3*M248)</f>
        <v>-1.6273872609770323E-2</v>
      </c>
      <c r="P249" s="22"/>
      <c r="Q249" s="13">
        <f ca="1">Q248-T249*Prices!B249</f>
        <v>0.67936947358391553</v>
      </c>
      <c r="R249" s="4">
        <f t="shared" ca="1" si="18"/>
        <v>0.29709040818815996</v>
      </c>
      <c r="S249" s="13">
        <f ca="1">IF(Prices!B248&gt;OFFSET(Prices!B248,-S$3,0),1,-1)</f>
        <v>-1</v>
      </c>
      <c r="T249" s="4">
        <f ca="1">IF(S249=1,T$3*Q248/Prices!B248,-T$3*R248)</f>
        <v>-9.1883631398399987E-3</v>
      </c>
      <c r="V249" s="13"/>
      <c r="W249" s="4"/>
      <c r="X249" s="4"/>
      <c r="Y249" s="4"/>
      <c r="Z249" s="4"/>
      <c r="AA249" s="4"/>
      <c r="AB249" s="4"/>
      <c r="AC249" s="4"/>
      <c r="AD249" s="4"/>
      <c r="AE249" s="52"/>
    </row>
    <row r="250" spans="1:31" x14ac:dyDescent="0.2">
      <c r="A250" s="7">
        <v>43114</v>
      </c>
      <c r="B250" s="13">
        <f ca="1">Prices!B249*(1+J250/(50*(ABS(O250)+ABS(T250)+0.0001)))</f>
        <v>1.0658382867620728</v>
      </c>
      <c r="C250" s="62">
        <f t="shared" ca="1" si="21"/>
        <v>0</v>
      </c>
      <c r="D250" s="13">
        <f ca="1">D249+C250*(Prices!B250-Prices!B249)/Prices!B249</f>
        <v>-3.0775727126114143E-2</v>
      </c>
      <c r="E250" s="13">
        <f t="shared" ca="1" si="22"/>
        <v>0.18095114266959286</v>
      </c>
      <c r="F250" s="13">
        <f t="shared" ca="1" si="20"/>
        <v>0.15017541554347871</v>
      </c>
      <c r="G250" s="21">
        <f ca="1">IF((Prices!B250-Prices!B249)*C250&gt;0,1,0)</f>
        <v>0</v>
      </c>
      <c r="H250" s="13">
        <f>ABS(Prices!B250-Prices!B249)/Prices!B249</f>
        <v>4.7816091954021806E-3</v>
      </c>
      <c r="I250" s="21"/>
      <c r="J250" s="4">
        <f t="shared" ca="1" si="23"/>
        <v>-2.4535629951024311E-2</v>
      </c>
      <c r="K250" s="13"/>
      <c r="L250" s="13">
        <f ca="1">L249-O250*Prices!B250</f>
        <v>0.60060983848308358</v>
      </c>
      <c r="M250" s="4">
        <f t="shared" ca="1" si="19"/>
        <v>0.37495002492910828</v>
      </c>
      <c r="N250" s="13">
        <f ca="1">IF(Prices!B249&gt;OFFSET(Prices!B249,-$N$3,0),1,-1)</f>
        <v>-1</v>
      </c>
      <c r="O250" s="4">
        <f ca="1">IF(N250=1,O$3*L249/Prices!B249,-O$3*M249)</f>
        <v>-1.5622917705379512E-2</v>
      </c>
      <c r="P250" s="22"/>
      <c r="Q250" s="13">
        <f ca="1">Q249-T250*Prices!B250</f>
        <v>0.68901570204737694</v>
      </c>
      <c r="R250" s="4">
        <f t="shared" ca="1" si="18"/>
        <v>0.28817769594251519</v>
      </c>
      <c r="S250" s="13">
        <f ca="1">IF(Prices!B249&gt;OFFSET(Prices!B249,-S$3,0),1,-1)</f>
        <v>-1</v>
      </c>
      <c r="T250" s="4">
        <f ca="1">IF(S250=1,T$3*Q249/Prices!B249,-T$3*R249)</f>
        <v>-8.9127122456447976E-3</v>
      </c>
      <c r="V250" s="13"/>
      <c r="W250" s="4"/>
      <c r="X250" s="4"/>
      <c r="Y250" s="4"/>
      <c r="Z250" s="4"/>
      <c r="AA250" s="4"/>
      <c r="AB250" s="4"/>
      <c r="AC250" s="4"/>
      <c r="AD250" s="4"/>
      <c r="AE250" s="52"/>
    </row>
    <row r="251" spans="1:31" x14ac:dyDescent="0.2">
      <c r="A251" s="7">
        <v>43121</v>
      </c>
      <c r="B251" s="13">
        <f ca="1">Prices!B250*(1+J251/(50*(ABS(O251)+ABS(T251)+0.0001)))</f>
        <v>1.0607451666488661</v>
      </c>
      <c r="C251" s="62">
        <f t="shared" ca="1" si="21"/>
        <v>0</v>
      </c>
      <c r="D251" s="13">
        <f ca="1">D250+C251*(Prices!B251-Prices!B250)/Prices!B250</f>
        <v>-3.0775727126114143E-2</v>
      </c>
      <c r="E251" s="13">
        <f t="shared" ca="1" si="22"/>
        <v>0.18095114266959286</v>
      </c>
      <c r="F251" s="13">
        <f t="shared" ca="1" si="20"/>
        <v>0.15017541554347871</v>
      </c>
      <c r="G251" s="21">
        <f ca="1">IF((Prices!B251-Prices!B250)*C251&gt;0,1,0)</f>
        <v>0</v>
      </c>
      <c r="H251" s="13">
        <f>ABS(Prices!B251-Prices!B250)/Prices!B250</f>
        <v>1.4598540145985434E-2</v>
      </c>
      <c r="I251" s="21"/>
      <c r="J251" s="4">
        <f t="shared" ca="1" si="23"/>
        <v>-2.3643331875439787E-2</v>
      </c>
      <c r="K251" s="13"/>
      <c r="L251" s="13">
        <f ca="1">L250-O251*Prices!B251</f>
        <v>0.61707914337806968</v>
      </c>
      <c r="M251" s="4">
        <f t="shared" ca="1" si="19"/>
        <v>0.35995202393194398</v>
      </c>
      <c r="N251" s="13">
        <f ca="1">IF(Prices!B250&gt;OFFSET(Prices!B250,-$N$3,0),1,-1)</f>
        <v>-1</v>
      </c>
      <c r="O251" s="4">
        <f ca="1">IF(N251=1,O$3*L250/Prices!B250,-O$3*M250)</f>
        <v>-1.4998000997164331E-2</v>
      </c>
      <c r="P251" s="22"/>
      <c r="Q251" s="13">
        <f ca="1">Q250-T251*Prices!B251</f>
        <v>0.69850913988481123</v>
      </c>
      <c r="R251" s="4">
        <f t="shared" ca="1" si="18"/>
        <v>0.27953236506423973</v>
      </c>
      <c r="S251" s="13">
        <f ca="1">IF(Prices!B250&gt;OFFSET(Prices!B250,-S$3,0),1,-1)</f>
        <v>-1</v>
      </c>
      <c r="T251" s="4">
        <f ca="1">IF(S251=1,T$3*Q250/Prices!B250,-T$3*R250)</f>
        <v>-8.6453308782754555E-3</v>
      </c>
      <c r="V251" s="13"/>
      <c r="W251" s="4"/>
      <c r="X251" s="4"/>
      <c r="Y251" s="4"/>
      <c r="Z251" s="4"/>
      <c r="AA251" s="4"/>
      <c r="AB251" s="4"/>
      <c r="AC251" s="4"/>
      <c r="AD251" s="4"/>
      <c r="AE251" s="52"/>
    </row>
    <row r="252" spans="1:31" x14ac:dyDescent="0.2">
      <c r="A252" s="7">
        <v>43128</v>
      </c>
      <c r="B252" s="13">
        <f ca="1">Prices!B251*(1+J252/(50*(ABS(O252)+ABS(T252)+0.0001)))</f>
        <v>1.1200092843830398</v>
      </c>
      <c r="C252" s="62">
        <f t="shared" ca="1" si="21"/>
        <v>1</v>
      </c>
      <c r="D252" s="13">
        <f ca="1">D251+C252*(Prices!B252-Prices!B251)/Prices!B251</f>
        <v>-4.3707154136404636E-2</v>
      </c>
      <c r="E252" s="13">
        <f t="shared" ca="1" si="22"/>
        <v>0.19388256967988335</v>
      </c>
      <c r="F252" s="13">
        <f t="shared" ca="1" si="20"/>
        <v>0.15017541554347871</v>
      </c>
      <c r="G252" s="21">
        <f ca="1">IF((Prices!B252-Prices!B251)*C252&gt;0,1,0)</f>
        <v>0</v>
      </c>
      <c r="H252" s="13">
        <f>ABS(Prices!B252-Prices!B251)/Prices!B251</f>
        <v>1.2931427010290493E-2</v>
      </c>
      <c r="I252" s="21"/>
      <c r="J252" s="4">
        <f t="shared" ca="1" si="23"/>
        <v>4.1561278509850766E-2</v>
      </c>
      <c r="K252" s="13"/>
      <c r="L252" s="13">
        <f ca="1">L251-O252*Prices!B252</f>
        <v>0.59271516619903353</v>
      </c>
      <c r="M252" s="4">
        <f t="shared" ca="1" si="19"/>
        <v>0.38243009126198929</v>
      </c>
      <c r="N252" s="13">
        <f ca="1">IF(Prices!B251&gt;OFFSET(Prices!B251,-$N$3,0),1,-1)</f>
        <v>1</v>
      </c>
      <c r="O252" s="4">
        <f ca="1">IF(N252=1,O$3*L251/Prices!B251,-O$3*M251)</f>
        <v>2.2478067330045339E-2</v>
      </c>
      <c r="P252" s="22"/>
      <c r="Q252" s="13">
        <f ca="1">Q251-T252*Prices!B252</f>
        <v>0.67782484728702008</v>
      </c>
      <c r="R252" s="4">
        <f t="shared" ca="1" si="18"/>
        <v>0.29861557624404517</v>
      </c>
      <c r="S252" s="13">
        <f ca="1">IF(Prices!B251&gt;OFFSET(Prices!B251,-S$3,0),1,-1)</f>
        <v>1</v>
      </c>
      <c r="T252" s="4">
        <f ca="1">IF(S252=1,T$3*Q251/Prices!B251,-T$3*R251)</f>
        <v>1.9083211179805423E-2</v>
      </c>
      <c r="V252" s="13"/>
      <c r="W252" s="4"/>
      <c r="X252" s="4"/>
      <c r="Y252" s="4"/>
      <c r="Z252" s="4"/>
      <c r="AA252" s="4"/>
      <c r="AB252" s="4"/>
      <c r="AC252" s="4"/>
      <c r="AD252" s="4"/>
      <c r="AE252" s="52"/>
    </row>
    <row r="253" spans="1:31" x14ac:dyDescent="0.2">
      <c r="A253" s="7">
        <v>43135</v>
      </c>
      <c r="B253" s="13">
        <f ca="1">Prices!B252*(1+J253/(50*(ABS(O253)+ABS(T253)+0.0001)))</f>
        <v>1.0623110059652037</v>
      </c>
      <c r="C253" s="62">
        <f t="shared" ca="1" si="21"/>
        <v>0</v>
      </c>
      <c r="D253" s="13">
        <f ca="1">D252+C253*(Prices!B253-Prices!B252)/Prices!B252</f>
        <v>-4.3707154136404636E-2</v>
      </c>
      <c r="E253" s="13">
        <f t="shared" ca="1" si="22"/>
        <v>0.19388256967988335</v>
      </c>
      <c r="F253" s="13">
        <f t="shared" ca="1" si="20"/>
        <v>0.15017541554347871</v>
      </c>
      <c r="G253" s="21">
        <f ca="1">IF((Prices!B253-Prices!B252)*C253&gt;0,1,0)</f>
        <v>0</v>
      </c>
      <c r="H253" s="13">
        <f>ABS(Prices!B253-Prices!B252)/Prices!B252</f>
        <v>1.7529292370144964E-3</v>
      </c>
      <c r="I253" s="21"/>
      <c r="J253" s="4">
        <f t="shared" ca="1" si="23"/>
        <v>-2.4255670937800927E-2</v>
      </c>
      <c r="K253" s="13"/>
      <c r="L253" s="13">
        <f ca="1">L252-O253*Prices!B253</f>
        <v>0.60926674054885244</v>
      </c>
      <c r="M253" s="4">
        <f t="shared" ca="1" si="19"/>
        <v>0.3671328876115097</v>
      </c>
      <c r="N253" s="13">
        <f ca="1">IF(Prices!B252&gt;OFFSET(Prices!B252,-$N$3,0),1,-1)</f>
        <v>-1</v>
      </c>
      <c r="O253" s="4">
        <f ca="1">IF(N253=1,O$3*L252/Prices!B252,-O$3*M252)</f>
        <v>-1.5297203650479572E-2</v>
      </c>
      <c r="P253" s="22"/>
      <c r="Q253" s="13">
        <f ca="1">Q252-T253*Prices!B253</f>
        <v>0.68751790889190179</v>
      </c>
      <c r="R253" s="4">
        <f t="shared" ca="1" si="18"/>
        <v>0.28965710895672381</v>
      </c>
      <c r="S253" s="13">
        <f ca="1">IF(Prices!B252&gt;OFFSET(Prices!B252,-S$3,0),1,-1)</f>
        <v>-1</v>
      </c>
      <c r="T253" s="4">
        <f ca="1">IF(S253=1,T$3*Q252/Prices!B252,-T$3*R252)</f>
        <v>-8.9584672873213554E-3</v>
      </c>
      <c r="V253" s="13"/>
      <c r="W253" s="4"/>
      <c r="X253" s="4"/>
      <c r="Y253" s="4"/>
      <c r="Z253" s="4"/>
      <c r="AA253" s="4"/>
      <c r="AB253" s="4"/>
      <c r="AC253" s="4"/>
      <c r="AD253" s="4"/>
      <c r="AE253" s="52"/>
    </row>
    <row r="254" spans="1:31" x14ac:dyDescent="0.2">
      <c r="A254" s="7">
        <v>43142</v>
      </c>
      <c r="B254" s="13">
        <f ca="1">Prices!B253*(1+J254/(50*(ABS(O254)+ABS(T254)+0.0001)))</f>
        <v>1.0915603683649162</v>
      </c>
      <c r="C254" s="62">
        <f t="shared" ca="1" si="21"/>
        <v>1</v>
      </c>
      <c r="D254" s="13">
        <f ca="1">D253+C254*(Prices!B254-Prices!B253)/Prices!B253</f>
        <v>-3.6221017352670817E-2</v>
      </c>
      <c r="E254" s="13">
        <f t="shared" ca="1" si="22"/>
        <v>0.18639643289614954</v>
      </c>
      <c r="F254" s="13">
        <f t="shared" ca="1" si="20"/>
        <v>0.15017541554347871</v>
      </c>
      <c r="G254" s="21">
        <f ca="1">IF((Prices!B254-Prices!B253)*C254&gt;0,1,0)</f>
        <v>1</v>
      </c>
      <c r="H254" s="13">
        <f>ABS(Prices!B254-Prices!B253)/Prices!B253</f>
        <v>7.4861367837338218E-3</v>
      </c>
      <c r="I254" s="21"/>
      <c r="J254" s="4">
        <f t="shared" ca="1" si="23"/>
        <v>1.3834010966006323E-2</v>
      </c>
      <c r="K254" s="13"/>
      <c r="L254" s="13">
        <f ca="1">L253-O254*Prices!B254</f>
        <v>0.58471362876059718</v>
      </c>
      <c r="M254" s="4">
        <f t="shared" ca="1" si="19"/>
        <v>0.38965661184621775</v>
      </c>
      <c r="N254" s="13">
        <f ca="1">IF(Prices!B253&gt;OFFSET(Prices!B253,-$N$3,0),1,-1)</f>
        <v>1</v>
      </c>
      <c r="O254" s="4">
        <f ca="1">IF(N254=1,O$3*L253/Prices!B253,-O$3*M253)</f>
        <v>2.2523724234708036E-2</v>
      </c>
      <c r="P254" s="22"/>
      <c r="Q254" s="13">
        <f ca="1">Q253-T254*Prices!B254</f>
        <v>0.69699056532611348</v>
      </c>
      <c r="R254" s="4">
        <f t="shared" ca="1" si="18"/>
        <v>0.28096739568802209</v>
      </c>
      <c r="S254" s="13">
        <f ca="1">IF(Prices!B253&gt;OFFSET(Prices!B253,-S$3,0),1,-1)</f>
        <v>-1</v>
      </c>
      <c r="T254" s="4">
        <f ca="1">IF(S254=1,T$3*Q253/Prices!B253,-T$3*R253)</f>
        <v>-8.6897132687017136E-3</v>
      </c>
      <c r="V254" s="13"/>
      <c r="W254" s="4"/>
      <c r="X254" s="4"/>
      <c r="Y254" s="4"/>
      <c r="Z254" s="4"/>
      <c r="AA254" s="4"/>
      <c r="AB254" s="4"/>
      <c r="AC254" s="4"/>
      <c r="AD254" s="4"/>
      <c r="AE254" s="52"/>
    </row>
    <row r="255" spans="1:31" x14ac:dyDescent="0.2">
      <c r="A255" s="7">
        <v>43149</v>
      </c>
      <c r="B255" s="13">
        <f ca="1">Prices!B254*(1+J255/(50*(ABS(O255)+ABS(T255)+0.0001)))</f>
        <v>1.0683884073859566</v>
      </c>
      <c r="C255" s="62">
        <f t="shared" ca="1" si="21"/>
        <v>0</v>
      </c>
      <c r="D255" s="13">
        <f ca="1">D254+C255*(Prices!B255-Prices!B254)/Prices!B254</f>
        <v>-3.6221017352670817E-2</v>
      </c>
      <c r="E255" s="13">
        <f t="shared" ca="1" si="22"/>
        <v>0.18639643289614954</v>
      </c>
      <c r="F255" s="13">
        <f t="shared" ca="1" si="20"/>
        <v>0.15017541554347871</v>
      </c>
      <c r="G255" s="21">
        <f ca="1">IF((Prices!B255-Prices!B254)*C255&gt;0,1,0)</f>
        <v>0</v>
      </c>
      <c r="H255" s="13">
        <f>ABS(Prices!B255-Prices!B254)/Prices!B254</f>
        <v>1.8346940647647018E-2</v>
      </c>
      <c r="I255" s="21"/>
      <c r="J255" s="4">
        <f t="shared" ca="1" si="23"/>
        <v>-2.4015286344489371E-2</v>
      </c>
      <c r="K255" s="13"/>
      <c r="L255" s="13">
        <f ca="1">L254-O255*Prices!B255</f>
        <v>0.60201594095301658</v>
      </c>
      <c r="M255" s="4">
        <f t="shared" ca="1" si="19"/>
        <v>0.37407034737236905</v>
      </c>
      <c r="N255" s="13">
        <f ca="1">IF(Prices!B254&gt;OFFSET(Prices!B254,-$N$3,0),1,-1)</f>
        <v>-1</v>
      </c>
      <c r="O255" s="4">
        <f ca="1">IF(N255=1,O$3*L254/Prices!B254,-O$3*M254)</f>
        <v>-1.5586264473848711E-2</v>
      </c>
      <c r="P255" s="22"/>
      <c r="Q255" s="13">
        <f ca="1">Q254-T255*Prices!B255</f>
        <v>0.70634762250471173</v>
      </c>
      <c r="R255" s="4">
        <f t="shared" ca="1" si="18"/>
        <v>0.27253837381738144</v>
      </c>
      <c r="S255" s="13">
        <f ca="1">IF(Prices!B254&gt;OFFSET(Prices!B254,-S$3,0),1,-1)</f>
        <v>-1</v>
      </c>
      <c r="T255" s="4">
        <f ca="1">IF(S255=1,T$3*Q254/Prices!B254,-T$3*R254)</f>
        <v>-8.4290218706406621E-3</v>
      </c>
      <c r="V255" s="13"/>
      <c r="W255" s="4"/>
      <c r="X255" s="4"/>
      <c r="Y255" s="4"/>
      <c r="Z255" s="4"/>
      <c r="AA255" s="4"/>
      <c r="AB255" s="4"/>
      <c r="AC255" s="4"/>
      <c r="AD255" s="4"/>
      <c r="AE255" s="52"/>
    </row>
    <row r="256" spans="1:31" x14ac:dyDescent="0.2">
      <c r="A256" s="7">
        <v>43156</v>
      </c>
      <c r="B256" s="13">
        <f ca="1">Prices!B255*(1+J256/(50*(ABS(O256)+ABS(T256)+0.0001)))</f>
        <v>1.1201133871571913</v>
      </c>
      <c r="C256" s="62">
        <f t="shared" ca="1" si="21"/>
        <v>1</v>
      </c>
      <c r="D256" s="13">
        <f ca="1">D255+C256*(Prices!B256-Prices!B255)/Prices!B255</f>
        <v>-1.901536020466623E-2</v>
      </c>
      <c r="E256" s="13">
        <f t="shared" ca="1" si="22"/>
        <v>0.16919077574814495</v>
      </c>
      <c r="F256" s="13">
        <f t="shared" ca="1" si="20"/>
        <v>0.15017541554347871</v>
      </c>
      <c r="G256" s="21">
        <f ca="1">IF((Prices!B256-Prices!B255)*C256&gt;0,1,0)</f>
        <v>1</v>
      </c>
      <c r="H256" s="13">
        <f>ABS(Prices!B256-Prices!B255)/Prices!B255</f>
        <v>1.7205657148004587E-2</v>
      </c>
      <c r="I256" s="21"/>
      <c r="J256" s="4">
        <f t="shared" ca="1" si="23"/>
        <v>1.3516162665417894E-2</v>
      </c>
      <c r="K256" s="13"/>
      <c r="L256" s="13">
        <f ca="1">L255-O256*Prices!B256</f>
        <v>0.57752098011978903</v>
      </c>
      <c r="M256" s="4">
        <f t="shared" ca="1" si="19"/>
        <v>0.39576266125230841</v>
      </c>
      <c r="N256" s="13">
        <f ca="1">IF(Prices!B255&gt;OFFSET(Prices!B255,-$N$3,0),1,-1)</f>
        <v>1</v>
      </c>
      <c r="O256" s="4">
        <f ca="1">IF(N256=1,O$3*L255/Prices!B255,-O$3*M255)</f>
        <v>2.1692313879939338E-2</v>
      </c>
      <c r="P256" s="22"/>
      <c r="Q256" s="13">
        <f ca="1">Q255-T256*Prices!B256</f>
        <v>0.71558013245614938</v>
      </c>
      <c r="R256" s="4">
        <f t="shared" ca="1" si="18"/>
        <v>0.26436222260286002</v>
      </c>
      <c r="S256" s="13">
        <f ca="1">IF(Prices!B255&gt;OFFSET(Prices!B255,-S$3,0),1,-1)</f>
        <v>-1</v>
      </c>
      <c r="T256" s="4">
        <f ca="1">IF(S256=1,T$3*Q255/Prices!B255,-T$3*R255)</f>
        <v>-8.1761512145214436E-3</v>
      </c>
      <c r="V256" s="13"/>
      <c r="W256" s="4"/>
      <c r="X256" s="4"/>
      <c r="Y256" s="4"/>
      <c r="Z256" s="4"/>
      <c r="AA256" s="4"/>
      <c r="AB256" s="4"/>
      <c r="AC256" s="4"/>
      <c r="AD256" s="4"/>
      <c r="AE256" s="52"/>
    </row>
    <row r="257" spans="1:31" x14ac:dyDescent="0.2">
      <c r="A257" s="7">
        <v>43163</v>
      </c>
      <c r="B257" s="13">
        <f ca="1">Prices!B256*(1+J257/(50*(ABS(O257)+ABS(T257)+0.0001)))</f>
        <v>1.1517269248233799</v>
      </c>
      <c r="C257" s="62">
        <f t="shared" ca="1" si="21"/>
        <v>1</v>
      </c>
      <c r="D257" s="13">
        <f ca="1">D256+C257*(Prices!B257-Prices!B256)/Prices!B256</f>
        <v>-2.2203457972997834E-2</v>
      </c>
      <c r="E257" s="13">
        <f t="shared" ca="1" si="22"/>
        <v>0.17237887351647654</v>
      </c>
      <c r="F257" s="13">
        <f t="shared" ca="1" si="20"/>
        <v>0.15017541554347871</v>
      </c>
      <c r="G257" s="21">
        <f ca="1">IF((Prices!B257-Prices!B256)*C257&gt;0,1,0)</f>
        <v>0</v>
      </c>
      <c r="H257" s="13">
        <f>ABS(Prices!B257-Prices!B256)/Prices!B256</f>
        <v>3.1880977683316045E-3</v>
      </c>
      <c r="I257" s="21"/>
      <c r="J257" s="4">
        <f t="shared" ca="1" si="23"/>
        <v>3.9468865726599398E-2</v>
      </c>
      <c r="K257" s="13"/>
      <c r="L257" s="13">
        <f ca="1">L256-O257*Prices!B257</f>
        <v>0.55449378864891286</v>
      </c>
      <c r="M257" s="4">
        <f t="shared" ca="1" si="19"/>
        <v>0.41622036511769234</v>
      </c>
      <c r="N257" s="13">
        <f ca="1">IF(Prices!B256&gt;OFFSET(Prices!B256,-$N$3,0),1,-1)</f>
        <v>1</v>
      </c>
      <c r="O257" s="4">
        <f ca="1">IF(N257=1,O$3*L256/Prices!B256,-O$3*M256)</f>
        <v>2.0457703865383953E-2</v>
      </c>
      <c r="P257" s="22"/>
      <c r="Q257" s="13">
        <f ca="1">Q256-T257*Prices!B257</f>
        <v>0.69418116866516533</v>
      </c>
      <c r="R257" s="4">
        <f t="shared" ca="1" si="18"/>
        <v>0.28337338446407545</v>
      </c>
      <c r="S257" s="13">
        <f ca="1">IF(Prices!B256&gt;OFFSET(Prices!B256,-S$3,0),1,-1)</f>
        <v>1</v>
      </c>
      <c r="T257" s="4">
        <f ca="1">IF(S257=1,T$3*Q256/Prices!B256,-T$3*R256)</f>
        <v>1.9011161861215445E-2</v>
      </c>
      <c r="V257" s="13"/>
      <c r="W257" s="4"/>
      <c r="X257" s="4"/>
      <c r="Y257" s="4"/>
      <c r="Z257" s="4"/>
      <c r="AA257" s="4"/>
      <c r="AB257" s="4"/>
      <c r="AC257" s="4"/>
      <c r="AD257" s="4"/>
      <c r="AE257" s="52"/>
    </row>
    <row r="258" spans="1:31" x14ac:dyDescent="0.2">
      <c r="A258" s="7">
        <v>43170</v>
      </c>
      <c r="B258" s="13">
        <f ca="1">Prices!B257*(1+J258/(50*(ABS(O258)+ABS(T258)+0.0001)))</f>
        <v>1.1480532318379446</v>
      </c>
      <c r="C258" s="62">
        <f t="shared" ca="1" si="21"/>
        <v>1</v>
      </c>
      <c r="D258" s="13">
        <f ca="1">D257+C258*(Prices!B258-Prices!B257)/Prices!B257</f>
        <v>-2.9133095499650312E-2</v>
      </c>
      <c r="E258" s="13">
        <f t="shared" ca="1" si="22"/>
        <v>0.17930851104312903</v>
      </c>
      <c r="F258" s="13">
        <f t="shared" ca="1" si="20"/>
        <v>0.15017541554347871</v>
      </c>
      <c r="G258" s="21">
        <f ca="1">IF((Prices!B258-Prices!B257)*C258&gt;0,1,0)</f>
        <v>0</v>
      </c>
      <c r="H258" s="13">
        <f>ABS(Prices!B258-Prices!B257)/Prices!B257</f>
        <v>6.9296375266524783E-3</v>
      </c>
      <c r="I258" s="21"/>
      <c r="J258" s="4">
        <f t="shared" ca="1" si="23"/>
        <v>3.8206455762181478E-2</v>
      </c>
      <c r="K258" s="13"/>
      <c r="L258" s="13">
        <f ca="1">L257-O258*Prices!B258</f>
        <v>0.53246773474160103</v>
      </c>
      <c r="M258" s="4">
        <f t="shared" ca="1" si="19"/>
        <v>0.43592519058496004</v>
      </c>
      <c r="N258" s="13">
        <f ca="1">IF(Prices!B257&gt;OFFSET(Prices!B257,-$N$3,0),1,-1)</f>
        <v>1</v>
      </c>
      <c r="O258" s="4">
        <f ca="1">IF(N258=1,O$3*L257/Prices!B257,-O$3*M257)</f>
        <v>1.9704825467267692E-2</v>
      </c>
      <c r="P258" s="22"/>
      <c r="Q258" s="13">
        <f ca="1">Q257-T258*Prices!B258</f>
        <v>0.67350004632151073</v>
      </c>
      <c r="R258" s="4">
        <f t="shared" ca="1" si="18"/>
        <v>0.30187501475898926</v>
      </c>
      <c r="S258" s="13">
        <f ca="1">IF(Prices!B257&gt;OFFSET(Prices!B257,-S$3,0),1,-1)</f>
        <v>1</v>
      </c>
      <c r="T258" s="4">
        <f ca="1">IF(S258=1,T$3*Q257/Prices!B257,-T$3*R257)</f>
        <v>1.8501630294913786E-2</v>
      </c>
      <c r="V258" s="13"/>
      <c r="W258" s="4"/>
      <c r="X258" s="4"/>
      <c r="Y258" s="4"/>
      <c r="Z258" s="4"/>
      <c r="AA258" s="4"/>
      <c r="AB258" s="4"/>
      <c r="AC258" s="4"/>
      <c r="AD258" s="4"/>
      <c r="AE258" s="52"/>
    </row>
    <row r="259" spans="1:31" x14ac:dyDescent="0.2">
      <c r="A259" s="7">
        <v>43177</v>
      </c>
      <c r="B259" s="13">
        <f ca="1">Prices!B258*(1+J259/(50*(ABS(O259)+ABS(T259)+0.0001)))</f>
        <v>1.1400959513586599</v>
      </c>
      <c r="C259" s="62">
        <f t="shared" ca="1" si="21"/>
        <v>1</v>
      </c>
      <c r="D259" s="13">
        <f ca="1">D258+C259*(Prices!B259-Prices!B258)/Prices!B258</f>
        <v>-2.5465176372793993E-2</v>
      </c>
      <c r="E259" s="13">
        <f t="shared" ca="1" si="22"/>
        <v>0.17564059191627271</v>
      </c>
      <c r="F259" s="13">
        <f t="shared" ca="1" si="20"/>
        <v>0.15017541554347871</v>
      </c>
      <c r="G259" s="21">
        <f ca="1">IF((Prices!B259-Prices!B258)*C259&gt;0,1,0)</f>
        <v>1</v>
      </c>
      <c r="H259" s="13">
        <f>ABS(Prices!B259-Prices!B258)/Prices!B258</f>
        <v>3.6679191268563184E-3</v>
      </c>
      <c r="I259" s="21"/>
      <c r="J259" s="4">
        <f t="shared" ca="1" si="23"/>
        <v>3.7129818195839479E-2</v>
      </c>
      <c r="K259" s="13"/>
      <c r="L259" s="13">
        <f ca="1">L258-O259*Prices!B259</f>
        <v>0.51109090340838925</v>
      </c>
      <c r="M259" s="4">
        <f t="shared" ca="1" si="19"/>
        <v>0.45497932315757056</v>
      </c>
      <c r="N259" s="13">
        <f ca="1">IF(Prices!B258&gt;OFFSET(Prices!B258,-$N$3,0),1,-1)</f>
        <v>1</v>
      </c>
      <c r="O259" s="4">
        <f ca="1">IF(N259=1,O$3*L258/Prices!B258,-O$3*M258)</f>
        <v>1.9054132572610526E-2</v>
      </c>
      <c r="P259" s="22"/>
      <c r="Q259" s="13">
        <f ca="1">Q258-T259*Prices!B259</f>
        <v>0.65322093462081021</v>
      </c>
      <c r="R259" s="4">
        <f t="shared" ca="1" si="18"/>
        <v>0.31995070038221823</v>
      </c>
      <c r="S259" s="13">
        <f ca="1">IF(Prices!B258&gt;OFFSET(Prices!B258,-S$3,0),1,-1)</f>
        <v>1</v>
      </c>
      <c r="T259" s="4">
        <f ca="1">IF(S259=1,T$3*Q258/Prices!B258,-T$3*R258)</f>
        <v>1.8075685623228952E-2</v>
      </c>
      <c r="V259" s="13"/>
      <c r="W259" s="4"/>
      <c r="X259" s="4"/>
      <c r="Y259" s="4"/>
      <c r="Z259" s="4"/>
      <c r="AA259" s="4"/>
      <c r="AB259" s="4"/>
      <c r="AC259" s="4"/>
      <c r="AD259" s="4"/>
      <c r="AE259" s="52"/>
    </row>
    <row r="260" spans="1:31" x14ac:dyDescent="0.2">
      <c r="A260" s="7">
        <v>43184</v>
      </c>
      <c r="B260" s="13">
        <f ca="1">Prices!B259*(1+J260/(50*(ABS(O260)+ABS(T260)+0.0001)))</f>
        <v>1.1442753059686706</v>
      </c>
      <c r="C260" s="62">
        <f t="shared" ca="1" si="21"/>
        <v>1</v>
      </c>
      <c r="D260" s="13">
        <f ca="1">D259+C260*(Prices!B260-Prices!B259)/Prices!B259</f>
        <v>-2.2880275757765803E-2</v>
      </c>
      <c r="E260" s="13">
        <f t="shared" ca="1" si="22"/>
        <v>0.17305569130124451</v>
      </c>
      <c r="F260" s="13">
        <f t="shared" ca="1" si="20"/>
        <v>0.15017541554347871</v>
      </c>
      <c r="G260" s="21">
        <f ca="1">IF((Prices!B260-Prices!B259)*C260&gt;0,1,0)</f>
        <v>1</v>
      </c>
      <c r="H260" s="13">
        <f>ABS(Prices!B260-Prices!B259)/Prices!B259</f>
        <v>2.5849006150281888E-3</v>
      </c>
      <c r="I260" s="21"/>
      <c r="J260" s="4">
        <f t="shared" ca="1" si="23"/>
        <v>3.5689690859220857E-2</v>
      </c>
      <c r="K260" s="13"/>
      <c r="L260" s="13">
        <f ca="1">L259-O260*Prices!B260</f>
        <v>0.49059442250443147</v>
      </c>
      <c r="M260" s="4">
        <f t="shared" ca="1" si="19"/>
        <v>0.47320165682040644</v>
      </c>
      <c r="N260" s="13">
        <f ca="1">IF(Prices!B259&gt;OFFSET(Prices!B259,-$N$3,0),1,-1)</f>
        <v>1</v>
      </c>
      <c r="O260" s="4">
        <f ca="1">IF(N260=1,O$3*L259/Prices!B259,-O$3*M259)</f>
        <v>1.8222333662835877E-2</v>
      </c>
      <c r="P260" s="22"/>
      <c r="Q260" s="13">
        <f ca="1">Q259-T260*Prices!B260</f>
        <v>0.63357365124631637</v>
      </c>
      <c r="R260" s="4">
        <f t="shared" ca="1" si="18"/>
        <v>0.33741805757860321</v>
      </c>
      <c r="S260" s="13">
        <f ca="1">IF(Prices!B259&gt;OFFSET(Prices!B259,-S$3,0),1,-1)</f>
        <v>1</v>
      </c>
      <c r="T260" s="4">
        <f ca="1">IF(S260=1,T$3*Q259/Prices!B259,-T$3*R259)</f>
        <v>1.7467357196384981E-2</v>
      </c>
      <c r="V260" s="13"/>
      <c r="W260" s="4"/>
      <c r="X260" s="4"/>
      <c r="Y260" s="4"/>
      <c r="Z260" s="4"/>
      <c r="AA260" s="4"/>
      <c r="AB260" s="4"/>
      <c r="AC260" s="4"/>
      <c r="AD260" s="4"/>
      <c r="AE260" s="52"/>
    </row>
    <row r="261" spans="1:31" x14ac:dyDescent="0.2">
      <c r="A261" s="7">
        <v>43191</v>
      </c>
      <c r="B261" s="13">
        <f ca="1">Prices!B260*(1+J261/(50*(ABS(O261)+ABS(T261)+0.0001)))</f>
        <v>1.1472306896312419</v>
      </c>
      <c r="C261" s="62">
        <f t="shared" ca="1" si="21"/>
        <v>1</v>
      </c>
      <c r="D261" s="13">
        <f ca="1">D260+C261*(Prices!B261-Prices!B260)/Prices!B260</f>
        <v>-1.8257231661037612E-2</v>
      </c>
      <c r="E261" s="13">
        <f t="shared" ca="1" si="22"/>
        <v>0.16843264720451634</v>
      </c>
      <c r="F261" s="13">
        <f t="shared" ca="1" si="20"/>
        <v>0.15017541554347871</v>
      </c>
      <c r="G261" s="21">
        <f ca="1">IF((Prices!B261-Prices!B260)*C261&gt;0,1,0)</f>
        <v>1</v>
      </c>
      <c r="H261" s="13">
        <f>ABS(Prices!B261-Prices!B260)/Prices!B260</f>
        <v>4.6230440967281929E-3</v>
      </c>
      <c r="I261" s="21"/>
      <c r="J261" s="4">
        <f t="shared" ca="1" si="23"/>
        <v>3.4344760346343123E-2</v>
      </c>
      <c r="K261" s="13"/>
      <c r="L261" s="13">
        <f ca="1">L260-O261*Prices!B261</f>
        <v>0.47087992401830031</v>
      </c>
      <c r="M261" s="4">
        <f t="shared" ca="1" si="19"/>
        <v>0.49064811565769062</v>
      </c>
      <c r="N261" s="13">
        <f ca="1">IF(Prices!B260&gt;OFFSET(Prices!B260,-$N$3,0),1,-1)</f>
        <v>1</v>
      </c>
      <c r="O261" s="4">
        <f ca="1">IF(N261=1,O$3*L260/Prices!B260,-O$3*M260)</f>
        <v>1.7446458837284191E-2</v>
      </c>
      <c r="P261" s="22"/>
      <c r="Q261" s="13">
        <f ca="1">Q260-T261*Prices!B261</f>
        <v>0.61447857054107979</v>
      </c>
      <c r="R261" s="4">
        <f t="shared" ref="R261:R324" ca="1" si="24">R260+T261</f>
        <v>0.35431635908766212</v>
      </c>
      <c r="S261" s="13">
        <f ca="1">IF(Prices!B260&gt;OFFSET(Prices!B260,-S$3,0),1,-1)</f>
        <v>1</v>
      </c>
      <c r="T261" s="4">
        <f ca="1">IF(S261=1,T$3*Q260/Prices!B260,-T$3*R260)</f>
        <v>1.6898301509058935E-2</v>
      </c>
      <c r="V261" s="13"/>
      <c r="W261" s="4"/>
      <c r="X261" s="4"/>
      <c r="Y261" s="4"/>
      <c r="Z261" s="4"/>
      <c r="AA261" s="4"/>
      <c r="AB261" s="4"/>
      <c r="AC261" s="4"/>
      <c r="AD261" s="4"/>
      <c r="AE261" s="52"/>
    </row>
    <row r="262" spans="1:31" x14ac:dyDescent="0.2">
      <c r="A262" s="7">
        <v>43198</v>
      </c>
      <c r="B262" s="13">
        <f ca="1">Prices!B261*(1+J262/(50*(ABS(O262)+ABS(T262)+0.0001)))</f>
        <v>1.1525316847106075</v>
      </c>
      <c r="C262" s="62">
        <f t="shared" ca="1" si="21"/>
        <v>1</v>
      </c>
      <c r="D262" s="13">
        <f ca="1">D261+C262*(Prices!B262-Prices!B261)/Prices!B261</f>
        <v>-6.9297980327188997E-3</v>
      </c>
      <c r="E262" s="13">
        <f t="shared" ca="1" si="22"/>
        <v>0.15710521357619761</v>
      </c>
      <c r="F262" s="13">
        <f t="shared" ca="1" si="20"/>
        <v>0.15017541554347871</v>
      </c>
      <c r="G262" s="21">
        <f ca="1">IF((Prices!B262-Prices!B261)*C262&gt;0,1,0)</f>
        <v>1</v>
      </c>
      <c r="H262" s="13">
        <f>ABS(Prices!B262-Prices!B261)/Prices!B261</f>
        <v>1.1327433628318713E-2</v>
      </c>
      <c r="I262" s="21"/>
      <c r="J262" s="4">
        <f t="shared" ca="1" si="23"/>
        <v>3.2981906262800363E-2</v>
      </c>
      <c r="K262" s="13"/>
      <c r="L262" s="13">
        <f ca="1">L261-O262*Prices!B262</f>
        <v>0.45183137261411932</v>
      </c>
      <c r="M262" s="4">
        <f t="shared" ca="1" si="19"/>
        <v>0.50731643155214368</v>
      </c>
      <c r="N262" s="13">
        <f ca="1">IF(Prices!B261&gt;OFFSET(Prices!B261,-$N$3,0),1,-1)</f>
        <v>1</v>
      </c>
      <c r="O262" s="4">
        <f ca="1">IF(N262=1,O$3*L261/Prices!B261,-O$3*M261)</f>
        <v>1.6668315894453112E-2</v>
      </c>
      <c r="P262" s="22"/>
      <c r="Q262" s="13">
        <f ca="1">Q261-T262*Prices!B262</f>
        <v>0.59583539946813258</v>
      </c>
      <c r="R262" s="4">
        <f t="shared" ca="1" si="24"/>
        <v>0.37062994945600936</v>
      </c>
      <c r="S262" s="13">
        <f ca="1">IF(Prices!B261&gt;OFFSET(Prices!B261,-S$3,0),1,-1)</f>
        <v>1</v>
      </c>
      <c r="T262" s="4">
        <f ca="1">IF(S262=1,T$3*Q261/Prices!B261,-T$3*R261)</f>
        <v>1.6313590368347251E-2</v>
      </c>
      <c r="V262" s="13"/>
      <c r="W262" s="4"/>
      <c r="X262" s="4"/>
      <c r="Y262" s="4"/>
      <c r="Z262" s="4"/>
      <c r="AA262" s="4"/>
      <c r="AB262" s="4"/>
      <c r="AC262" s="4"/>
      <c r="AD262" s="4"/>
      <c r="AE262" s="52"/>
    </row>
    <row r="263" spans="1:31" x14ac:dyDescent="0.2">
      <c r="A263" s="7">
        <v>43205</v>
      </c>
      <c r="B263" s="13">
        <f ca="1">Prices!B262*(1+J263/(50*(ABS(O263)+ABS(T263)+0.0001)))</f>
        <v>1.1655835708377833</v>
      </c>
      <c r="C263" s="62">
        <f t="shared" ca="1" si="21"/>
        <v>1</v>
      </c>
      <c r="D263" s="13">
        <f ca="1">D262+C263*(Prices!B263-Prices!B262)/Prices!B262</f>
        <v>1.3021199517158534E-2</v>
      </c>
      <c r="E263" s="13">
        <f t="shared" ca="1" si="22"/>
        <v>0.13715421602632019</v>
      </c>
      <c r="F263" s="13">
        <f t="shared" ca="1" si="20"/>
        <v>0.15017541554347871</v>
      </c>
      <c r="G263" s="21">
        <f ca="1">IF((Prices!B263-Prices!B262)*C263&gt;0,1,0)</f>
        <v>1</v>
      </c>
      <c r="H263" s="13">
        <f>ABS(Prices!B263-Prices!B262)/Prices!B262</f>
        <v>1.9950997549877433E-2</v>
      </c>
      <c r="I263" s="21"/>
      <c r="J263" s="4">
        <f t="shared" ca="1" si="23"/>
        <v>3.1456350095037403E-2</v>
      </c>
      <c r="K263" s="13"/>
      <c r="L263" s="13">
        <f ca="1">L262-O263*Prices!B263</f>
        <v>0.43339753824523525</v>
      </c>
      <c r="M263" s="4">
        <f t="shared" ca="1" si="19"/>
        <v>0.52313132033807719</v>
      </c>
      <c r="N263" s="13">
        <f ca="1">IF(Prices!B262&gt;OFFSET(Prices!B262,-$N$3,0),1,-1)</f>
        <v>1</v>
      </c>
      <c r="O263" s="4">
        <f ca="1">IF(N263=1,O$3*L262/Prices!B262,-O$3*M262)</f>
        <v>1.5814888785933474E-2</v>
      </c>
      <c r="P263" s="22"/>
      <c r="Q263" s="13">
        <f ca="1">Q262-T263*Prices!B263</f>
        <v>0.57760371216624107</v>
      </c>
      <c r="R263" s="4">
        <f t="shared" ca="1" si="24"/>
        <v>0.38627141076511329</v>
      </c>
      <c r="S263" s="13">
        <f ca="1">IF(Prices!B262&gt;OFFSET(Prices!B262,-S$3,0),1,-1)</f>
        <v>1</v>
      </c>
      <c r="T263" s="4">
        <f ca="1">IF(S263=1,T$3*Q262/Prices!B262,-T$3*R262)</f>
        <v>1.5641461309103932E-2</v>
      </c>
      <c r="V263" s="13"/>
      <c r="W263" s="4"/>
      <c r="X263" s="4"/>
      <c r="Y263" s="4"/>
      <c r="Z263" s="4"/>
      <c r="AA263" s="4"/>
      <c r="AB263" s="4"/>
      <c r="AC263" s="4"/>
      <c r="AD263" s="4"/>
      <c r="AE263" s="52"/>
    </row>
    <row r="264" spans="1:31" x14ac:dyDescent="0.2">
      <c r="A264" s="7">
        <v>43212</v>
      </c>
      <c r="B264" s="13">
        <f ca="1">Prices!B263*(1+J264/(50*(ABS(O264)+ABS(T264)+0.0001)))</f>
        <v>1.188833874584176</v>
      </c>
      <c r="C264" s="62">
        <f t="shared" ca="1" si="21"/>
        <v>1</v>
      </c>
      <c r="D264" s="13">
        <f ca="1">D263+C264*(Prices!B264-Prices!B263)/Prices!B263</f>
        <v>2.3487911939945073E-2</v>
      </c>
      <c r="E264" s="13">
        <f t="shared" ca="1" si="22"/>
        <v>0.12668750360353365</v>
      </c>
      <c r="F264" s="13">
        <f t="shared" ca="1" si="20"/>
        <v>0.15017541554347871</v>
      </c>
      <c r="G264" s="21">
        <f ca="1">IF((Prices!B264-Prices!B263)*C264&gt;0,1,0)</f>
        <v>1</v>
      </c>
      <c r="H264" s="13">
        <f>ABS(Prices!B264-Prices!B263)/Prices!B263</f>
        <v>1.0466712422786538E-2</v>
      </c>
      <c r="I264" s="21"/>
      <c r="J264" s="4">
        <f t="shared" ca="1" si="23"/>
        <v>2.9739201179475497E-2</v>
      </c>
      <c r="K264" s="13"/>
      <c r="L264" s="13">
        <f ca="1">L263-O264*Prices!B264</f>
        <v>0.4158801868195236</v>
      </c>
      <c r="M264" s="4">
        <f t="shared" ca="1" si="19"/>
        <v>0.53800426262514767</v>
      </c>
      <c r="N264" s="13">
        <f ca="1">IF(Prices!B263&gt;OFFSET(Prices!B263,-$N$3,0),1,-1)</f>
        <v>1</v>
      </c>
      <c r="O264" s="4">
        <f ca="1">IF(N264=1,O$3*L263/Prices!B263,-O$3*M263)</f>
        <v>1.4872942287070529E-2</v>
      </c>
      <c r="P264" s="22"/>
      <c r="Q264" s="13">
        <f ca="1">Q263-T264*Prices!B264</f>
        <v>0.56009423244276646</v>
      </c>
      <c r="R264" s="4">
        <f t="shared" ca="1" si="24"/>
        <v>0.40113766965751824</v>
      </c>
      <c r="S264" s="13">
        <f ca="1">IF(Prices!B263&gt;OFFSET(Prices!B263,-S$3,0),1,-1)</f>
        <v>1</v>
      </c>
      <c r="T264" s="4">
        <f ca="1">IF(S264=1,T$3*Q263/Prices!B263,-T$3*R263)</f>
        <v>1.486625889240497E-2</v>
      </c>
      <c r="V264" s="13"/>
      <c r="W264" s="4"/>
      <c r="X264" s="4"/>
      <c r="Y264" s="4"/>
      <c r="Z264" s="4"/>
      <c r="AA264" s="4"/>
      <c r="AB264" s="4"/>
      <c r="AC264" s="4"/>
      <c r="AD264" s="4"/>
      <c r="AE264" s="52"/>
    </row>
    <row r="265" spans="1:31" x14ac:dyDescent="0.2">
      <c r="A265" s="7">
        <v>43219</v>
      </c>
      <c r="B265" s="13">
        <f ca="1">Prices!B264*(1+J265/(50*(ABS(O265)+ABS(T265)+0.0001)))</f>
        <v>1.2012733190779064</v>
      </c>
      <c r="C265" s="62">
        <f t="shared" ca="1" si="21"/>
        <v>1</v>
      </c>
      <c r="D265" s="13">
        <f ca="1">D264+C265*(Prices!B265-Prices!B264)/Prices!B264</f>
        <v>2.4252048465671108E-2</v>
      </c>
      <c r="E265" s="13">
        <f t="shared" ca="1" si="22"/>
        <v>0.1259233670778076</v>
      </c>
      <c r="F265" s="13">
        <f t="shared" ca="1" si="20"/>
        <v>0.15017541554347871</v>
      </c>
      <c r="G265" s="21">
        <f ca="1">IF((Prices!B265-Prices!B264)*C265&gt;0,1,0)</f>
        <v>1</v>
      </c>
      <c r="H265" s="13">
        <f>ABS(Prices!B265-Prices!B264)/Prices!B264</f>
        <v>7.6413652572603411E-4</v>
      </c>
      <c r="I265" s="21"/>
      <c r="J265" s="4">
        <f t="shared" ca="1" si="23"/>
        <v>2.8390248298576955E-2</v>
      </c>
      <c r="K265" s="13"/>
      <c r="L265" s="13">
        <f ca="1">L264-O265*Prices!B265</f>
        <v>0.39923226777709969</v>
      </c>
      <c r="M265" s="4">
        <f t="shared" ref="M265:M328" ca="1" si="25">M264+O265</f>
        <v>0.55212822889512636</v>
      </c>
      <c r="N265" s="13">
        <f ca="1">IF(Prices!B264&gt;OFFSET(Prices!B264,-$N$3,0),1,-1)</f>
        <v>1</v>
      </c>
      <c r="O265" s="4">
        <f ca="1">IF(N265=1,O$3*L264/Prices!B264,-O$3*M264)</f>
        <v>1.4123966269978729E-2</v>
      </c>
      <c r="P265" s="22"/>
      <c r="Q265" s="13">
        <f ca="1">Q264-T265*Prices!B265</f>
        <v>0.5432785658156577</v>
      </c>
      <c r="R265" s="4">
        <f t="shared" ca="1" si="24"/>
        <v>0.41540395168611649</v>
      </c>
      <c r="S265" s="13">
        <f ca="1">IF(Prices!B264&gt;OFFSET(Prices!B264,-S$3,0),1,-1)</f>
        <v>1</v>
      </c>
      <c r="T265" s="4">
        <f ca="1">IF(S265=1,T$3*Q264/Prices!B264,-T$3*R264)</f>
        <v>1.4266282028598228E-2</v>
      </c>
      <c r="V265" s="13"/>
      <c r="W265" s="4"/>
      <c r="X265" s="4"/>
      <c r="Y265" s="4"/>
      <c r="Z265" s="4"/>
      <c r="AA265" s="4"/>
      <c r="AB265" s="4"/>
      <c r="AC265" s="4"/>
      <c r="AD265" s="4"/>
      <c r="AE265" s="52"/>
    </row>
    <row r="266" spans="1:31" x14ac:dyDescent="0.2">
      <c r="A266" s="7">
        <v>43226</v>
      </c>
      <c r="B266" s="13">
        <f ca="1">Prices!B265*(1+J266/(50*(ABS(O266)+ABS(T266)+0.0001)))</f>
        <v>1.2021882003099356</v>
      </c>
      <c r="C266" s="62">
        <f t="shared" ca="1" si="21"/>
        <v>1</v>
      </c>
      <c r="D266" s="13">
        <f ca="1">D265+C266*(Prices!B266-Prices!B265)/Prices!B265</f>
        <v>2.8918206096959678E-2</v>
      </c>
      <c r="E266" s="13">
        <f t="shared" ca="1" si="22"/>
        <v>0.12125720944651903</v>
      </c>
      <c r="F266" s="13">
        <f t="shared" ca="1" si="20"/>
        <v>0.15017541554347871</v>
      </c>
      <c r="G266" s="21">
        <f ca="1">IF((Prices!B266-Prices!B265)*C266&gt;0,1,0)</f>
        <v>1</v>
      </c>
      <c r="H266" s="13">
        <f>ABS(Prices!B266-Prices!B265)/Prices!B265</f>
        <v>4.6661576312885707E-3</v>
      </c>
      <c r="I266" s="21"/>
      <c r="J266" s="4">
        <f t="shared" ca="1" si="23"/>
        <v>2.7375623725760342E-2</v>
      </c>
      <c r="K266" s="13"/>
      <c r="L266" s="13">
        <f ca="1">L265-O266*Prices!B266</f>
        <v>0.38318846183829791</v>
      </c>
      <c r="M266" s="4">
        <f t="shared" ca="1" si="25"/>
        <v>0.56567645211654316</v>
      </c>
      <c r="N266" s="13">
        <f ca="1">IF(Prices!B265&gt;OFFSET(Prices!B265,-$N$3,0),1,-1)</f>
        <v>1</v>
      </c>
      <c r="O266" s="4">
        <f ca="1">IF(N266=1,O$3*L265/Prices!B265,-O$3*M265)</f>
        <v>1.3548223221416803E-2</v>
      </c>
      <c r="P266" s="22"/>
      <c r="Q266" s="13">
        <f ca="1">Q265-T266*Prices!B266</f>
        <v>0.52690415813841407</v>
      </c>
      <c r="R266" s="4">
        <f t="shared" ca="1" si="24"/>
        <v>0.42923135219046005</v>
      </c>
      <c r="S266" s="13">
        <f ca="1">IF(Prices!B265&gt;OFFSET(Prices!B265,-S$3,0),1,-1)</f>
        <v>1</v>
      </c>
      <c r="T266" s="4">
        <f ca="1">IF(S266=1,T$3*Q265/Prices!B265,-T$3*R265)</f>
        <v>1.3827400504343539E-2</v>
      </c>
      <c r="V266" s="13"/>
      <c r="W266" s="4"/>
      <c r="X266" s="4"/>
      <c r="Y266" s="4"/>
      <c r="Z266" s="4"/>
      <c r="AA266" s="4"/>
      <c r="AB266" s="4"/>
      <c r="AC266" s="4"/>
      <c r="AD266" s="4"/>
      <c r="AE266" s="52"/>
    </row>
    <row r="267" spans="1:31" x14ac:dyDescent="0.2">
      <c r="A267" s="7">
        <v>43233</v>
      </c>
      <c r="B267" s="13">
        <f ca="1">Prices!B266*(1+J267/(50*(ABS(O267)+ABS(T267)+0.0001)))</f>
        <v>1.2077942597570783</v>
      </c>
      <c r="C267" s="62">
        <f t="shared" ca="1" si="21"/>
        <v>1</v>
      </c>
      <c r="D267" s="13">
        <f ca="1">D266+C267*(Prices!B267-Prices!B266)/Prices!B266</f>
        <v>2.5118172318881693E-2</v>
      </c>
      <c r="E267" s="13">
        <f t="shared" ca="1" si="22"/>
        <v>0.12505724322459702</v>
      </c>
      <c r="F267" s="13">
        <f t="shared" ca="1" si="20"/>
        <v>0.15017541554347871</v>
      </c>
      <c r="G267" s="21">
        <f ca="1">IF((Prices!B267-Prices!B266)*C267&gt;0,1,0)</f>
        <v>0</v>
      </c>
      <c r="H267" s="13">
        <f>ABS(Prices!B267-Prices!B266)/Prices!B266</f>
        <v>3.800033778077984E-3</v>
      </c>
      <c r="I267" s="21"/>
      <c r="J267" s="4">
        <f t="shared" ca="1" si="23"/>
        <v>2.6291727088063113E-2</v>
      </c>
      <c r="K267" s="13"/>
      <c r="L267" s="13">
        <f ca="1">L266-O267*Prices!B267</f>
        <v>0.36791916852870021</v>
      </c>
      <c r="M267" s="4">
        <f t="shared" ca="1" si="25"/>
        <v>0.57861982187970129</v>
      </c>
      <c r="N267" s="13">
        <f ca="1">IF(Prices!B266&gt;OFFSET(Prices!B266,-$N$3,0),1,-1)</f>
        <v>1</v>
      </c>
      <c r="O267" s="4">
        <f ca="1">IF(N267=1,O$3*L266/Prices!B266,-O$3*M266)</f>
        <v>1.294336976315818E-2</v>
      </c>
      <c r="P267" s="22"/>
      <c r="Q267" s="13">
        <f ca="1">Q266-T267*Prices!B267</f>
        <v>0.51115710100222367</v>
      </c>
      <c r="R267" s="4">
        <f t="shared" ca="1" si="24"/>
        <v>0.44257970951536496</v>
      </c>
      <c r="S267" s="13">
        <f ca="1">IF(Prices!B266&gt;OFFSET(Prices!B266,-S$3,0),1,-1)</f>
        <v>1</v>
      </c>
      <c r="T267" s="4">
        <f ca="1">IF(S267=1,T$3*Q266/Prices!B266,-T$3*R266)</f>
        <v>1.3348357324904934E-2</v>
      </c>
      <c r="V267" s="13"/>
      <c r="W267" s="4"/>
      <c r="X267" s="4"/>
      <c r="Y267" s="4"/>
      <c r="Z267" s="4"/>
      <c r="AA267" s="4"/>
      <c r="AB267" s="4"/>
      <c r="AC267" s="4"/>
      <c r="AD267" s="4"/>
      <c r="AE267" s="52"/>
    </row>
    <row r="268" spans="1:31" x14ac:dyDescent="0.2">
      <c r="A268" s="7">
        <v>43240</v>
      </c>
      <c r="B268" s="13">
        <f ca="1">Prices!B267*(1+J268/(50*(ABS(O268)+ABS(T268)+0.0001)))</f>
        <v>1.2032017416326413</v>
      </c>
      <c r="C268" s="62">
        <f t="shared" ca="1" si="21"/>
        <v>1</v>
      </c>
      <c r="D268" s="13">
        <f ca="1">D267+C268*(Prices!B268-Prices!B267)/Prices!B267</f>
        <v>3.4103507573607424E-2</v>
      </c>
      <c r="E268" s="13">
        <f t="shared" ca="1" si="22"/>
        <v>0.1160719079698713</v>
      </c>
      <c r="F268" s="13">
        <f t="shared" ca="1" si="20"/>
        <v>0.15017541554347871</v>
      </c>
      <c r="G268" s="21">
        <f ca="1">IF((Prices!B268-Prices!B267)*C268&gt;0,1,0)</f>
        <v>1</v>
      </c>
      <c r="H268" s="13">
        <f>ABS(Prices!B268-Prices!B267)/Prices!B267</f>
        <v>8.9853352547257289E-3</v>
      </c>
      <c r="I268" s="21"/>
      <c r="J268" s="4">
        <f t="shared" ca="1" si="23"/>
        <v>2.5473832136318316E-2</v>
      </c>
      <c r="K268" s="13"/>
      <c r="L268" s="13">
        <f ca="1">L267-O268*Prices!B268</f>
        <v>0.35307016670451741</v>
      </c>
      <c r="M268" s="4">
        <f t="shared" ca="1" si="25"/>
        <v>0.59109482971317417</v>
      </c>
      <c r="N268" s="13">
        <f ca="1">IF(Prices!B267&gt;OFFSET(Prices!B267,-$N$3,0),1,-1)</f>
        <v>1</v>
      </c>
      <c r="O268" s="4">
        <f ca="1">IF(N268=1,O$3*L267/Prices!B267,-O$3*M267)</f>
        <v>1.2475007833472924E-2</v>
      </c>
      <c r="P268" s="22"/>
      <c r="Q268" s="13">
        <f ca="1">Q267-T268*Prices!B268</f>
        <v>0.49568460043454682</v>
      </c>
      <c r="R268" s="4">
        <f t="shared" ca="1" si="24"/>
        <v>0.45557853381821034</v>
      </c>
      <c r="S268" s="13">
        <f ca="1">IF(Prices!B267&gt;OFFSET(Prices!B267,-S$3,0),1,-1)</f>
        <v>1</v>
      </c>
      <c r="T268" s="4">
        <f ca="1">IF(S268=1,T$3*Q267/Prices!B267,-T$3*R267)</f>
        <v>1.2998824302845392E-2</v>
      </c>
      <c r="V268" s="13"/>
      <c r="W268" s="4"/>
      <c r="X268" s="4"/>
      <c r="Y268" s="4"/>
      <c r="Z268" s="4"/>
      <c r="AA268" s="4"/>
      <c r="AB268" s="4"/>
      <c r="AC268" s="4"/>
      <c r="AD268" s="4"/>
      <c r="AE268" s="52"/>
    </row>
    <row r="269" spans="1:31" x14ac:dyDescent="0.2">
      <c r="A269" s="7">
        <v>43247</v>
      </c>
      <c r="B269" s="13">
        <f ca="1">Prices!B268*(1+J269/(50*(ABS(O269)+ABS(T269)+0.0001)))</f>
        <v>1.2140086658522011</v>
      </c>
      <c r="C269" s="62">
        <f t="shared" ca="1" si="21"/>
        <v>1</v>
      </c>
      <c r="D269" s="13">
        <f ca="1">D268+C269*(Prices!B269-Prices!B268)/Prices!B268</f>
        <v>2.8642699373993923E-2</v>
      </c>
      <c r="E269" s="13">
        <f t="shared" ca="1" si="22"/>
        <v>0.12153271616948479</v>
      </c>
      <c r="F269" s="13">
        <f t="shared" ca="1" si="20"/>
        <v>0.15017541554347871</v>
      </c>
      <c r="G269" s="21">
        <f ca="1">IF((Prices!B269-Prices!B268)*C269&gt;0,1,0)</f>
        <v>0</v>
      </c>
      <c r="H269" s="13">
        <f>ABS(Prices!B269-Prices!B268)/Prices!B268</f>
        <v>5.4608081996135012E-3</v>
      </c>
      <c r="I269" s="21"/>
      <c r="J269" s="4">
        <f t="shared" ca="1" si="23"/>
        <v>2.4358014518371086E-2</v>
      </c>
      <c r="K269" s="13"/>
      <c r="L269" s="13">
        <f ca="1">L268-O269*Prices!B269</f>
        <v>0.33902448197479185</v>
      </c>
      <c r="M269" s="4">
        <f t="shared" ca="1" si="25"/>
        <v>0.60295974332166002</v>
      </c>
      <c r="N269" s="13">
        <f ca="1">IF(Prices!B268&gt;OFFSET(Prices!B268,-$N$3,0),1,-1)</f>
        <v>1</v>
      </c>
      <c r="O269" s="4">
        <f ca="1">IF(N269=1,O$3*L268/Prices!B268,-O$3*M268)</f>
        <v>1.1864913608485841E-2</v>
      </c>
      <c r="P269" s="22"/>
      <c r="Q269" s="13">
        <f ca="1">Q268-T269*Prices!B269</f>
        <v>0.48089526757742468</v>
      </c>
      <c r="R269" s="4">
        <f t="shared" ca="1" si="24"/>
        <v>0.4680716347280956</v>
      </c>
      <c r="S269" s="13">
        <f ca="1">IF(Prices!B268&gt;OFFSET(Prices!B268,-S$3,0),1,-1)</f>
        <v>1</v>
      </c>
      <c r="T269" s="4">
        <f ca="1">IF(S269=1,T$3*Q268/Prices!B268,-T$3*R268)</f>
        <v>1.2493100909885244E-2</v>
      </c>
      <c r="V269" s="13"/>
      <c r="W269" s="4"/>
      <c r="X269" s="4"/>
      <c r="Y269" s="4"/>
      <c r="Z269" s="4"/>
      <c r="AA269" s="4"/>
      <c r="AB269" s="4"/>
      <c r="AC269" s="4"/>
      <c r="AD269" s="4"/>
      <c r="AE269" s="52"/>
    </row>
    <row r="270" spans="1:31" x14ac:dyDescent="0.2">
      <c r="A270" s="7">
        <v>43254</v>
      </c>
      <c r="B270" s="13">
        <f ca="1">Prices!B269*(1+J270/(50*(ABS(O270)+ABS(T270)+0.0001)))</f>
        <v>1.2073762795413749</v>
      </c>
      <c r="C270" s="62">
        <f t="shared" ca="1" si="21"/>
        <v>1</v>
      </c>
      <c r="D270" s="13">
        <f ca="1">D269+C270*(Prices!B270-Prices!B269)/Prices!B269</f>
        <v>2.9318489203357105E-2</v>
      </c>
      <c r="E270" s="13">
        <f t="shared" ca="1" si="22"/>
        <v>0.1208569263401216</v>
      </c>
      <c r="F270" s="13">
        <f t="shared" ca="1" si="20"/>
        <v>0.15017541554347871</v>
      </c>
      <c r="G270" s="21">
        <f ca="1">IF((Prices!B270-Prices!B269)*C270&gt;0,1,0)</f>
        <v>1</v>
      </c>
      <c r="H270" s="13">
        <f>ABS(Prices!B270-Prices!B269)/Prices!B269</f>
        <v>6.757898293631812E-4</v>
      </c>
      <c r="I270" s="21"/>
      <c r="J270" s="4">
        <f t="shared" ca="1" si="23"/>
        <v>2.3642369746844409E-2</v>
      </c>
      <c r="K270" s="13"/>
      <c r="L270" s="13">
        <f ca="1">L269-O270*Prices!B270</f>
        <v>0.32545433832392723</v>
      </c>
      <c r="M270" s="4">
        <f t="shared" ca="1" si="25"/>
        <v>0.61441520816284234</v>
      </c>
      <c r="N270" s="13">
        <f ca="1">IF(Prices!B269&gt;OFFSET(Prices!B269,-$N$3,0),1,-1)</f>
        <v>1</v>
      </c>
      <c r="O270" s="4">
        <f ca="1">IF(N270=1,O$3*L269/Prices!B269,-O$3*M269)</f>
        <v>1.1455464841182357E-2</v>
      </c>
      <c r="P270" s="22"/>
      <c r="Q270" s="13">
        <f ca="1">Q269-T270*Prices!B270</f>
        <v>0.46645866002617742</v>
      </c>
      <c r="R270" s="4">
        <f t="shared" ca="1" si="24"/>
        <v>0.48025853963375764</v>
      </c>
      <c r="S270" s="13">
        <f ca="1">IF(Prices!B269&gt;OFFSET(Prices!B269,-S$3,0),1,-1)</f>
        <v>1</v>
      </c>
      <c r="T270" s="4">
        <f ca="1">IF(S270=1,T$3*Q269/Prices!B269,-T$3*R269)</f>
        <v>1.2186904905662054E-2</v>
      </c>
      <c r="V270" s="13"/>
      <c r="W270" s="4"/>
      <c r="X270" s="4"/>
      <c r="Y270" s="4"/>
      <c r="Z270" s="4"/>
      <c r="AA270" s="4"/>
      <c r="AB270" s="4"/>
      <c r="AC270" s="4"/>
      <c r="AD270" s="4"/>
      <c r="AE270" s="52"/>
    </row>
    <row r="271" spans="1:31" x14ac:dyDescent="0.2">
      <c r="A271" s="7">
        <v>43261</v>
      </c>
      <c r="B271" s="13">
        <f ca="1">Prices!B270*(1+J271/(50*(ABS(O271)+ABS(T271)+0.0001)))</f>
        <v>1.2081885531282399</v>
      </c>
      <c r="C271" s="62">
        <f t="shared" ca="1" si="21"/>
        <v>1</v>
      </c>
      <c r="D271" s="13">
        <f ca="1">D270+C271*(Prices!B271-Prices!B270)/Prices!B270</f>
        <v>2.8811989118940291E-2</v>
      </c>
      <c r="E271" s="13">
        <f t="shared" ca="1" si="22"/>
        <v>0.12136342642453843</v>
      </c>
      <c r="F271" s="13">
        <f t="shared" ca="1" si="20"/>
        <v>0.15017541554347871</v>
      </c>
      <c r="G271" s="21">
        <f ca="1">IF((Prices!B271-Prices!B270)*C271&gt;0,1,0)</f>
        <v>0</v>
      </c>
      <c r="H271" s="13">
        <f>ABS(Prices!B271-Prices!B270)/Prices!B270</f>
        <v>5.065000844168123E-4</v>
      </c>
      <c r="I271" s="21"/>
      <c r="J271" s="4">
        <f t="shared" ca="1" si="23"/>
        <v>2.2802577522997136E-2</v>
      </c>
      <c r="K271" s="13"/>
      <c r="L271" s="13">
        <f ca="1">L270-O271*Prices!B271</f>
        <v>0.31244275849696351</v>
      </c>
      <c r="M271" s="4">
        <f t="shared" ca="1" si="25"/>
        <v>0.62540471815183196</v>
      </c>
      <c r="N271" s="13">
        <f ca="1">IF(Prices!B270&gt;OFFSET(Prices!B270,-$N$3,0),1,-1)</f>
        <v>1</v>
      </c>
      <c r="O271" s="4">
        <f ca="1">IF(N271=1,O$3*L270/Prices!B270,-O$3*M270)</f>
        <v>1.0989509988989607E-2</v>
      </c>
      <c r="P271" s="22"/>
      <c r="Q271" s="13">
        <f ca="1">Q270-T271*Prices!B271</f>
        <v>0.45247198806591249</v>
      </c>
      <c r="R271" s="4">
        <f t="shared" ca="1" si="24"/>
        <v>0.49207160716776516</v>
      </c>
      <c r="S271" s="13">
        <f ca="1">IF(Prices!B270&gt;OFFSET(Prices!B270,-S$3,0),1,-1)</f>
        <v>1</v>
      </c>
      <c r="T271" s="4">
        <f ca="1">IF(S271=1,T$3*Q270/Prices!B270,-T$3*R270)</f>
        <v>1.1813067534007531E-2</v>
      </c>
      <c r="V271" s="13"/>
      <c r="W271" s="4"/>
      <c r="X271" s="4"/>
      <c r="Y271" s="4"/>
      <c r="Z271" s="4"/>
      <c r="AA271" s="4"/>
      <c r="AB271" s="4"/>
      <c r="AC271" s="4"/>
      <c r="AD271" s="4"/>
      <c r="AE271" s="52"/>
    </row>
    <row r="272" spans="1:31" x14ac:dyDescent="0.2">
      <c r="A272" s="7">
        <v>43268</v>
      </c>
      <c r="B272" s="13">
        <f ca="1">Prices!B271*(1+J272/(50*(ABS(O272)+ABS(T272)+0.0001)))</f>
        <v>1.207572948335319</v>
      </c>
      <c r="C272" s="62">
        <f t="shared" ca="1" si="21"/>
        <v>1</v>
      </c>
      <c r="D272" s="13">
        <f ca="1">D271+C272*(Prices!B272-Prices!B271)/Prices!B271</f>
        <v>1.1159962091913334E-2</v>
      </c>
      <c r="E272" s="13">
        <f ca="1">F272-D272</f>
        <v>0.13901545345156538</v>
      </c>
      <c r="F272" s="13">
        <f ca="1">MAX(F271,D272)</f>
        <v>0.15017541554347871</v>
      </c>
      <c r="G272" s="21">
        <f ca="1">IF((Prices!B272-Prices!B271)*C272&gt;0,1,0)</f>
        <v>0</v>
      </c>
      <c r="H272" s="13">
        <f>ABS(Prices!B272-Prices!B271)/Prices!B271</f>
        <v>1.7652027027026958E-2</v>
      </c>
      <c r="I272" s="21"/>
      <c r="J272" s="4">
        <f t="shared" ca="1" si="23"/>
        <v>2.2020160457648579E-2</v>
      </c>
      <c r="K272" s="13"/>
      <c r="L272" s="13">
        <f ca="1">L271-O272*Prices!B272</f>
        <v>0.30016565807778045</v>
      </c>
      <c r="M272" s="4">
        <f t="shared" ca="1" si="25"/>
        <v>0.63596021674970238</v>
      </c>
      <c r="N272" s="13">
        <f ca="1">IF(Prices!B271&gt;OFFSET(Prices!B271,-$N$3,0),1,-1)</f>
        <v>1</v>
      </c>
      <c r="O272" s="4">
        <f ca="1">IF(N272=1,O$3*L271/Prices!B271,-O$3*M271)</f>
        <v>1.055549859787039E-2</v>
      </c>
      <c r="P272" s="22"/>
      <c r="Q272" s="13">
        <f ca="1">Q271-T272*Prices!B272</f>
        <v>0.43913743985680448</v>
      </c>
      <c r="R272" s="4">
        <f t="shared" ca="1" si="24"/>
        <v>0.50353626902754334</v>
      </c>
      <c r="S272" s="13">
        <f ca="1">IF(Prices!B271&gt;OFFSET(Prices!B271,-S$3,0),1,-1)</f>
        <v>1</v>
      </c>
      <c r="T272" s="4">
        <f ca="1">IF(S272=1,T$3*Q271/Prices!B271,-T$3*R271)</f>
        <v>1.1464661859778189E-2</v>
      </c>
      <c r="V272" s="13"/>
      <c r="W272" s="4"/>
      <c r="X272" s="4"/>
      <c r="Y272" s="4"/>
      <c r="Z272" s="4"/>
      <c r="AA272" s="4"/>
      <c r="AB272" s="4"/>
      <c r="AC272" s="4"/>
      <c r="AD272" s="4"/>
      <c r="AE272" s="52"/>
    </row>
    <row r="273" spans="1:31" x14ac:dyDescent="0.2">
      <c r="A273" s="7">
        <v>43275</v>
      </c>
      <c r="B273" s="13">
        <f ca="1">Prices!B272*(1+J273/(50*(ABS(O273)+ABS(T273)+0.0001)))</f>
        <v>1.1541954960875107</v>
      </c>
      <c r="C273" s="62">
        <f t="shared" ref="C273:C336" ca="1" si="26">IF(J273&gt;0,1,IF(J273&lt;0,0,0))</f>
        <v>0</v>
      </c>
      <c r="D273" s="13">
        <f ca="1">D272+C273*(Prices!B273-Prices!B272)/Prices!B272</f>
        <v>1.1159962091913334E-2</v>
      </c>
      <c r="E273" s="13">
        <f t="shared" ref="E273" ca="1" si="27">F273-D273</f>
        <v>0.13901545345156538</v>
      </c>
      <c r="F273" s="13">
        <f t="shared" ref="F273:F336" ca="1" si="28">MAX(F272,D273)</f>
        <v>0.15017541554347871</v>
      </c>
      <c r="G273" s="21">
        <f ca="1">IF((Prices!B273-Prices!B272)*C273&gt;0,1,0)</f>
        <v>0</v>
      </c>
      <c r="H273" s="13">
        <f>ABS(Prices!B273-Prices!B272)/Prices!B272</f>
        <v>7.3080560570887732E-3</v>
      </c>
      <c r="I273" s="21"/>
      <c r="J273" s="4">
        <f t="shared" ref="J273:J336" ca="1" si="29">O273+T273</f>
        <v>-1.4111675632670467E-2</v>
      </c>
      <c r="K273" s="13"/>
      <c r="L273" s="13">
        <f ca="1">L272-O273*Prices!B273</f>
        <v>0.32996929767553851</v>
      </c>
      <c r="M273" s="4">
        <f t="shared" ca="1" si="25"/>
        <v>0.61052180807971423</v>
      </c>
      <c r="N273" s="13">
        <f ca="1">IF(Prices!B272&gt;OFFSET(Prices!B272,-$N$3,0),1,-1)</f>
        <v>-1</v>
      </c>
      <c r="O273" s="4">
        <f ca="1">IF(N273=1,O$3*L272/Prices!B272,-O$3*M272)</f>
        <v>-2.5438408669988095E-2</v>
      </c>
      <c r="P273" s="22"/>
      <c r="Q273" s="13">
        <f ca="1">Q272-T273*Prices!B273</f>
        <v>0.42586703943028315</v>
      </c>
      <c r="R273" s="4">
        <f t="shared" ca="1" si="24"/>
        <v>0.51486300206486102</v>
      </c>
      <c r="S273" s="13">
        <f ca="1">IF(Prices!B272&gt;OFFSET(Prices!B272,-S$3,0),1,-1)</f>
        <v>1</v>
      </c>
      <c r="T273" s="4">
        <f ca="1">IF(S273=1,T$3*Q272/Prices!B272,-T$3*R272)</f>
        <v>1.1326733037317628E-2</v>
      </c>
      <c r="V273" s="13"/>
      <c r="W273" s="4"/>
      <c r="X273" s="4"/>
      <c r="Y273" s="4"/>
      <c r="Z273" s="4"/>
      <c r="AA273" s="4"/>
      <c r="AB273" s="4"/>
      <c r="AC273" s="4"/>
      <c r="AD273" s="4"/>
      <c r="AE273" s="52"/>
    </row>
    <row r="274" spans="1:31" x14ac:dyDescent="0.2">
      <c r="A274" s="7">
        <v>43282</v>
      </c>
      <c r="B274" s="13">
        <f ca="1">Prices!B273*(1+J274/(50*(ABS(O274)+ABS(T274)+0.0001)))</f>
        <v>1.1626598716569441</v>
      </c>
      <c r="C274" s="62">
        <f t="shared" ca="1" si="26"/>
        <v>0</v>
      </c>
      <c r="D274" s="13">
        <f ca="1">D273+C274*(Prices!B274-Prices!B273)/Prices!B273</f>
        <v>1.1159962091913334E-2</v>
      </c>
      <c r="E274" s="13">
        <f ca="1">F274-D274</f>
        <v>0.13901545345156538</v>
      </c>
      <c r="F274" s="13">
        <f t="shared" ca="1" si="28"/>
        <v>0.15017541554347871</v>
      </c>
      <c r="G274" s="21">
        <f ca="1">IF((Prices!B274-Prices!B273)*C274&gt;0,1,0)</f>
        <v>0</v>
      </c>
      <c r="H274" s="13">
        <f>ABS(Prices!B274-Prices!B273)/Prices!B273</f>
        <v>9.3888699214750102E-3</v>
      </c>
      <c r="I274" s="21"/>
      <c r="J274" s="4">
        <f t="shared" ca="1" si="29"/>
        <v>-1.3516117131221606E-2</v>
      </c>
      <c r="K274" s="13"/>
      <c r="L274" s="13">
        <f ca="1">L273-O274*Prices!B274</f>
        <v>0.35884942128494129</v>
      </c>
      <c r="M274" s="4">
        <f t="shared" ca="1" si="25"/>
        <v>0.58610093575652566</v>
      </c>
      <c r="N274" s="13">
        <f ca="1">IF(Prices!B273&gt;OFFSET(Prices!B273,-$N$3,0),1,-1)</f>
        <v>-1</v>
      </c>
      <c r="O274" s="4">
        <f ca="1">IF(N274=1,O$3*L273/Prices!B273,-O$3*M273)</f>
        <v>-2.4420872323188569E-2</v>
      </c>
      <c r="P274" s="22"/>
      <c r="Q274" s="13">
        <f ca="1">Q273-T274*Prices!B274</f>
        <v>0.412971075940263</v>
      </c>
      <c r="R274" s="4">
        <f t="shared" ca="1" si="24"/>
        <v>0.52576775725682801</v>
      </c>
      <c r="S274" s="13">
        <f ca="1">IF(Prices!B273&gt;OFFSET(Prices!B273,-S$3,0),1,-1)</f>
        <v>1</v>
      </c>
      <c r="T274" s="4">
        <f ca="1">IF(S274=1,T$3*Q273/Prices!B273,-T$3*R273)</f>
        <v>1.0904755191966964E-2</v>
      </c>
      <c r="V274" s="13"/>
      <c r="W274" s="4"/>
      <c r="X274" s="4"/>
      <c r="Y274" s="4"/>
      <c r="Z274" s="4"/>
      <c r="AA274" s="4"/>
      <c r="AB274" s="4"/>
      <c r="AC274" s="4"/>
      <c r="AD274" s="4"/>
      <c r="AE274" s="52"/>
    </row>
    <row r="275" spans="1:31" x14ac:dyDescent="0.2">
      <c r="A275" s="7">
        <v>43289</v>
      </c>
      <c r="B275" s="13">
        <f ca="1">Prices!B274*(1+J275/(50*(ABS(O275)+ABS(T275)+0.0001)))</f>
        <v>1.1735843105922299</v>
      </c>
      <c r="C275" s="62">
        <f t="shared" ca="1" si="26"/>
        <v>0</v>
      </c>
      <c r="D275" s="13">
        <f ca="1">D274+C275*(Prices!B275-Prices!B274)/Prices!B274</f>
        <v>1.1159962091913334E-2</v>
      </c>
      <c r="E275" s="13">
        <f ca="1">F275-D275</f>
        <v>0.13901545345156538</v>
      </c>
      <c r="F275" s="13">
        <f t="shared" ca="1" si="28"/>
        <v>0.15017541554347871</v>
      </c>
      <c r="G275" s="21">
        <f ca="1">IF((Prices!B275-Prices!B274)*C275&gt;0,1,0)</f>
        <v>0</v>
      </c>
      <c r="H275" s="13">
        <f>ABS(Prices!B275-Prices!B274)/Prices!B274</f>
        <v>9.1324200913243201E-3</v>
      </c>
      <c r="I275" s="21"/>
      <c r="J275" s="4">
        <f t="shared" ca="1" si="29"/>
        <v>-1.2967855899559276E-2</v>
      </c>
      <c r="K275" s="13"/>
      <c r="L275" s="13">
        <f ca="1">L274-O275*Prices!B275</f>
        <v>0.38632114434572118</v>
      </c>
      <c r="M275" s="4">
        <f t="shared" ca="1" si="25"/>
        <v>0.56265689832626464</v>
      </c>
      <c r="N275" s="13">
        <f ca="1">IF(Prices!B274&gt;OFFSET(Prices!B274,-$N$3,0),1,-1)</f>
        <v>-1</v>
      </c>
      <c r="O275" s="4">
        <f ca="1">IF(N275=1,O$3*L274/Prices!B274,-O$3*M274)</f>
        <v>-2.3444037430261026E-2</v>
      </c>
      <c r="P275" s="22"/>
      <c r="Q275" s="13">
        <f ca="1">Q274-T275*Prices!B275</f>
        <v>0.40069508642258667</v>
      </c>
      <c r="R275" s="4">
        <f t="shared" ca="1" si="24"/>
        <v>0.53624393878752974</v>
      </c>
      <c r="S275" s="13">
        <f ca="1">IF(Prices!B274&gt;OFFSET(Prices!B274,-S$3,0),1,-1)</f>
        <v>1</v>
      </c>
      <c r="T275" s="4">
        <f ca="1">IF(S275=1,T$3*Q274/Prices!B274,-T$3*R274)</f>
        <v>1.0476181530701749E-2</v>
      </c>
      <c r="V275" s="13"/>
      <c r="W275" s="4"/>
      <c r="X275" s="4"/>
      <c r="Y275" s="4"/>
      <c r="Z275" s="4"/>
      <c r="AA275" s="4"/>
      <c r="AB275" s="4"/>
      <c r="AC275" s="4"/>
      <c r="AD275" s="4"/>
      <c r="AE275" s="52"/>
    </row>
    <row r="276" spans="1:31" x14ac:dyDescent="0.2">
      <c r="A276" s="7">
        <v>43296</v>
      </c>
      <c r="B276" s="13">
        <f ca="1">Prices!B275*(1+J276/(50*(ABS(O276)+ABS(T276)+0.0001)))</f>
        <v>1.1484245681652148</v>
      </c>
      <c r="C276" s="62">
        <f t="shared" ca="1" si="26"/>
        <v>0</v>
      </c>
      <c r="D276" s="13">
        <f ca="1">D275+C276*(Prices!B276-Prices!B275)/Prices!B275</f>
        <v>1.1159962091913334E-2</v>
      </c>
      <c r="E276" s="13">
        <f t="shared" ref="E276:E339" ca="1" si="30">F276-D276</f>
        <v>0.13901545345156538</v>
      </c>
      <c r="F276" s="13">
        <f t="shared" ca="1" si="28"/>
        <v>0.15017541554347871</v>
      </c>
      <c r="G276" s="21">
        <f ca="1">IF((Prices!B276-Prices!B275)*C276&gt;0,1,0)</f>
        <v>0</v>
      </c>
      <c r="H276" s="13">
        <f>ABS(Prices!B276-Prices!B275)/Prices!B275</f>
        <v>1.2118108892302432E-2</v>
      </c>
      <c r="I276" s="21"/>
      <c r="J276" s="4">
        <f t="shared" ca="1" si="29"/>
        <v>-3.8593594096676481E-2</v>
      </c>
      <c r="K276" s="13"/>
      <c r="L276" s="13">
        <f ca="1">L275-O276*Prices!B276</f>
        <v>0.41301358760231915</v>
      </c>
      <c r="M276" s="4">
        <f t="shared" ca="1" si="25"/>
        <v>0.5401506223932141</v>
      </c>
      <c r="N276" s="13">
        <f ca="1">IF(Prices!B275&gt;OFFSET(Prices!B275,-$N$3,0),1,-1)</f>
        <v>-1</v>
      </c>
      <c r="O276" s="4">
        <f ca="1">IF(N276=1,O$3*L275/Prices!B275,-O$3*M275)</f>
        <v>-2.2506275933050587E-2</v>
      </c>
      <c r="P276" s="22"/>
      <c r="Q276" s="13">
        <f ca="1">Q275-T276*Prices!B276</f>
        <v>0.41977464576464696</v>
      </c>
      <c r="R276" s="4">
        <f t="shared" ca="1" si="24"/>
        <v>0.52015662062390389</v>
      </c>
      <c r="S276" s="13">
        <f ca="1">IF(Prices!B275&gt;OFFSET(Prices!B275,-S$3,0),1,-1)</f>
        <v>-1</v>
      </c>
      <c r="T276" s="4">
        <f ca="1">IF(S276=1,T$3*Q275/Prices!B275,-T$3*R275)</f>
        <v>-1.608731816362589E-2</v>
      </c>
      <c r="V276" s="13"/>
      <c r="W276" s="4"/>
      <c r="X276" s="4"/>
      <c r="Y276" s="4"/>
      <c r="Z276" s="4"/>
      <c r="AA276" s="4"/>
      <c r="AB276" s="4"/>
      <c r="AC276" s="4"/>
      <c r="AD276" s="4"/>
      <c r="AE276" s="52"/>
    </row>
    <row r="277" spans="1:31" x14ac:dyDescent="0.2">
      <c r="A277" s="7">
        <v>43303</v>
      </c>
      <c r="B277" s="13">
        <f ca="1">Prices!B276*(1+J277/(50*(ABS(O277)+ABS(T277)+0.0001)))</f>
        <v>1.2096237645336052</v>
      </c>
      <c r="C277" s="62">
        <f t="shared" ca="1" si="26"/>
        <v>1</v>
      </c>
      <c r="D277" s="13">
        <f ca="1">D276+C277*(Prices!B277-Prices!B276)/Prices!B276</f>
        <v>-6.799565732707135E-3</v>
      </c>
      <c r="E277" s="13">
        <f t="shared" ca="1" si="30"/>
        <v>0.15697498127618584</v>
      </c>
      <c r="F277" s="13">
        <f t="shared" ca="1" si="28"/>
        <v>0.15017541554347871</v>
      </c>
      <c r="G277" s="21">
        <f ca="1">IF((Prices!B277-Prices!B276)*C277&gt;0,1,0)</f>
        <v>0</v>
      </c>
      <c r="H277" s="13">
        <f>ABS(Prices!B277-Prices!B276)/Prices!B276</f>
        <v>1.7959527824620469E-2</v>
      </c>
      <c r="I277" s="21"/>
      <c r="J277" s="4">
        <f t="shared" ca="1" si="29"/>
        <v>2.4547877636620724E-2</v>
      </c>
      <c r="K277" s="13"/>
      <c r="L277" s="13">
        <f ca="1">L276-O277*Prices!B277</f>
        <v>0.39678974525896599</v>
      </c>
      <c r="M277" s="4">
        <f t="shared" ca="1" si="25"/>
        <v>0.55408025435282016</v>
      </c>
      <c r="N277" s="13">
        <f ca="1">IF(Prices!B276&gt;OFFSET(Prices!B276,-$N$3,0),1,-1)</f>
        <v>1</v>
      </c>
      <c r="O277" s="4">
        <f ca="1">IF(N277=1,O$3*L276/Prices!B276,-O$3*M276)</f>
        <v>1.3929631959606044E-2</v>
      </c>
      <c r="P277" s="22"/>
      <c r="Q277" s="13">
        <f ca="1">Q276-T277*Prices!B277</f>
        <v>0.40740757502462799</v>
      </c>
      <c r="R277" s="4">
        <f t="shared" ca="1" si="24"/>
        <v>0.53077486630091852</v>
      </c>
      <c r="S277" s="13">
        <f ca="1">IF(Prices!B276&gt;OFFSET(Prices!B276,-S$3,0),1,-1)</f>
        <v>1</v>
      </c>
      <c r="T277" s="4">
        <f ca="1">IF(S277=1,T$3*Q276/Prices!B276,-T$3*R276)</f>
        <v>1.0618245677014679E-2</v>
      </c>
      <c r="V277" s="13"/>
      <c r="W277" s="4"/>
      <c r="X277" s="4"/>
      <c r="Y277" s="4"/>
      <c r="Z277" s="4"/>
      <c r="AA277" s="4"/>
      <c r="AB277" s="4"/>
      <c r="AC277" s="4"/>
      <c r="AD277" s="4"/>
      <c r="AE277" s="52"/>
    </row>
    <row r="278" spans="1:31" x14ac:dyDescent="0.2">
      <c r="A278" s="7">
        <v>43310</v>
      </c>
      <c r="B278" s="13">
        <f ca="1">Prices!B277*(1+J278/(50*(ABS(O278)+ABS(T278)+0.0001)))</f>
        <v>1.1414670006854277</v>
      </c>
      <c r="C278" s="62">
        <f t="shared" ca="1" si="26"/>
        <v>0</v>
      </c>
      <c r="D278" s="13">
        <f ca="1">D277+C278*(Prices!B278-Prices!B277)/Prices!B277</f>
        <v>-6.799565732707135E-3</v>
      </c>
      <c r="E278" s="13">
        <f t="shared" ca="1" si="30"/>
        <v>0.15697498127618584</v>
      </c>
      <c r="F278" s="13">
        <f t="shared" ca="1" si="28"/>
        <v>0.15017541554347871</v>
      </c>
      <c r="G278" s="21">
        <f ca="1">IF((Prices!B278-Prices!B277)*C278&gt;0,1,0)</f>
        <v>0</v>
      </c>
      <c r="H278" s="13">
        <f>ABS(Prices!B278-Prices!B277)/Prices!B277</f>
        <v>1.9489997424229365E-2</v>
      </c>
      <c r="I278" s="21"/>
      <c r="J278" s="4">
        <f t="shared" ca="1" si="29"/>
        <v>-3.8086456163140367E-2</v>
      </c>
      <c r="K278" s="13"/>
      <c r="L278" s="13">
        <f ca="1">L277-O278*Prices!B278</f>
        <v>0.42310634101970751</v>
      </c>
      <c r="M278" s="4">
        <f t="shared" ca="1" si="25"/>
        <v>0.53191704417870733</v>
      </c>
      <c r="N278" s="13">
        <f ca="1">IF(Prices!B277&gt;OFFSET(Prices!B277,-$N$3,0),1,-1)</f>
        <v>-1</v>
      </c>
      <c r="O278" s="4">
        <f ca="1">IF(N278=1,O$3*L277/Prices!B277,-O$3*M277)</f>
        <v>-2.2163210174112807E-2</v>
      </c>
      <c r="P278" s="22"/>
      <c r="Q278" s="13">
        <f ca="1">Q277-T278*Prices!B278</f>
        <v>0.42631483731199932</v>
      </c>
      <c r="R278" s="4">
        <f t="shared" ca="1" si="24"/>
        <v>0.51485162031189091</v>
      </c>
      <c r="S278" s="13">
        <f ca="1">IF(Prices!B277&gt;OFFSET(Prices!B277,-S$3,0),1,-1)</f>
        <v>-1</v>
      </c>
      <c r="T278" s="4">
        <f ca="1">IF(S278=1,T$3*Q277/Prices!B277,-T$3*R277)</f>
        <v>-1.5923245989027557E-2</v>
      </c>
      <c r="V278" s="13"/>
      <c r="W278" s="4"/>
      <c r="X278" s="4"/>
      <c r="Y278" s="4"/>
      <c r="Z278" s="4"/>
      <c r="AA278" s="4"/>
      <c r="AB278" s="4"/>
      <c r="AC278" s="4"/>
      <c r="AD278" s="4"/>
      <c r="AE278" s="52"/>
    </row>
    <row r="279" spans="1:31" x14ac:dyDescent="0.2">
      <c r="A279" s="7">
        <v>43317</v>
      </c>
      <c r="B279" s="13">
        <f ca="1">Prices!B278*(1+J279/(50*(ABS(O279)+ABS(T279)+0.0001)))</f>
        <v>1.2110534774722685</v>
      </c>
      <c r="C279" s="62">
        <f t="shared" ca="1" si="26"/>
        <v>1</v>
      </c>
      <c r="D279" s="13">
        <f ca="1">D278+C279*(Prices!B279-Prices!B278)/Prices!B278</f>
        <v>-1.0168270465737287E-2</v>
      </c>
      <c r="E279" s="13">
        <f t="shared" ca="1" si="30"/>
        <v>0.160343686009216</v>
      </c>
      <c r="F279" s="13">
        <f t="shared" ca="1" si="28"/>
        <v>0.15017541554347871</v>
      </c>
      <c r="G279" s="21">
        <f ca="1">IF((Prices!B279-Prices!B278)*C279&gt;0,1,0)</f>
        <v>0</v>
      </c>
      <c r="H279" s="13">
        <f>ABS(Prices!B279-Prices!B278)/Prices!B278</f>
        <v>3.3687047330301528E-3</v>
      </c>
      <c r="I279" s="21"/>
      <c r="J279" s="4">
        <f t="shared" ca="1" si="29"/>
        <v>2.5024169412285899E-2</v>
      </c>
      <c r="K279" s="13"/>
      <c r="L279" s="13">
        <f ca="1">L278-O279*Prices!B279</f>
        <v>0.40623910019226195</v>
      </c>
      <c r="M279" s="4">
        <f t="shared" ca="1" si="25"/>
        <v>0.54617024751438892</v>
      </c>
      <c r="N279" s="13">
        <f ca="1">IF(Prices!B278&gt;OFFSET(Prices!B278,-$N$3,0),1,-1)</f>
        <v>1</v>
      </c>
      <c r="O279" s="4">
        <f ca="1">IF(N279=1,O$3*L278/Prices!B278,-O$3*M278)</f>
        <v>1.4253203335681574E-2</v>
      </c>
      <c r="P279" s="22"/>
      <c r="Q279" s="13">
        <f ca="1">Q278-T279*Prices!B279</f>
        <v>0.41356847605694574</v>
      </c>
      <c r="R279" s="4">
        <f t="shared" ca="1" si="24"/>
        <v>0.52562258638849524</v>
      </c>
      <c r="S279" s="13">
        <f ca="1">IF(Prices!B278&gt;OFFSET(Prices!B278,-S$3,0),1,-1)</f>
        <v>1</v>
      </c>
      <c r="T279" s="4">
        <f ca="1">IF(S279=1,T$3*Q278/Prices!B278,-T$3*R278)</f>
        <v>1.0770966076604327E-2</v>
      </c>
      <c r="V279" s="13"/>
      <c r="W279" s="4"/>
      <c r="X279" s="4"/>
      <c r="Y279" s="4"/>
      <c r="Z279" s="4"/>
      <c r="AA279" s="4"/>
      <c r="AB279" s="4"/>
      <c r="AC279" s="4"/>
      <c r="AD279" s="4"/>
      <c r="AE279" s="52"/>
    </row>
    <row r="280" spans="1:31" x14ac:dyDescent="0.2">
      <c r="A280" s="7">
        <v>43324</v>
      </c>
      <c r="B280" s="13">
        <f ca="1">Prices!B279*(1+J280/(50*(ABS(O280)+ABS(T280)+0.0001)))</f>
        <v>1.1817708819172004</v>
      </c>
      <c r="C280" s="62">
        <f t="shared" ca="1" si="26"/>
        <v>0</v>
      </c>
      <c r="D280" s="13">
        <f ca="1">D279+C280*(Prices!B280-Prices!B279)/Prices!B279</f>
        <v>-1.0168270465737287E-2</v>
      </c>
      <c r="E280" s="13">
        <f t="shared" ca="1" si="30"/>
        <v>0.160343686009216</v>
      </c>
      <c r="F280" s="13">
        <f t="shared" ca="1" si="28"/>
        <v>0.15017541554347871</v>
      </c>
      <c r="G280" s="21">
        <f ca="1">IF((Prices!B280-Prices!B279)*C280&gt;0,1,0)</f>
        <v>0</v>
      </c>
      <c r="H280" s="13">
        <f>ABS(Prices!B280-Prices!B279)/Prices!B279</f>
        <v>1.9435524759168234E-3</v>
      </c>
      <c r="I280" s="21"/>
      <c r="J280" s="4">
        <f t="shared" ca="1" si="29"/>
        <v>-2.037425261343484E-3</v>
      </c>
      <c r="K280" s="13"/>
      <c r="L280" s="13">
        <f ca="1">L279-O280*Prices!B280</f>
        <v>0.38995795430421176</v>
      </c>
      <c r="M280" s="4">
        <f t="shared" ca="1" si="25"/>
        <v>0.55990149984470028</v>
      </c>
      <c r="N280" s="13">
        <f ca="1">IF(Prices!B279&gt;OFFSET(Prices!B279,-$N$3,0),1,-1)</f>
        <v>1</v>
      </c>
      <c r="O280" s="4">
        <f ca="1">IF(N280=1,O$3*L279/Prices!B279,-O$3*M279)</f>
        <v>1.3731252330311371E-2</v>
      </c>
      <c r="P280" s="22"/>
      <c r="Q280" s="13">
        <f ca="1">Q279-T280*Prices!B280</f>
        <v>0.43226539707737088</v>
      </c>
      <c r="R280" s="4">
        <f t="shared" ca="1" si="24"/>
        <v>0.50985390879684034</v>
      </c>
      <c r="S280" s="13">
        <f ca="1">IF(Prices!B279&gt;OFFSET(Prices!B279,-S$3,0),1,-1)</f>
        <v>-1</v>
      </c>
      <c r="T280" s="4">
        <f ca="1">IF(S280=1,T$3*Q279/Prices!B279,-T$3*R279)</f>
        <v>-1.5768677591654855E-2</v>
      </c>
      <c r="V280" s="13"/>
      <c r="W280" s="4"/>
      <c r="X280" s="4"/>
      <c r="Y280" s="4"/>
      <c r="Z280" s="4"/>
      <c r="AA280" s="4"/>
      <c r="AB280" s="4"/>
      <c r="AC280" s="4"/>
      <c r="AD280" s="4"/>
      <c r="AE280" s="52"/>
    </row>
    <row r="281" spans="1:31" x14ac:dyDescent="0.2">
      <c r="A281" s="7">
        <v>43331</v>
      </c>
      <c r="B281" s="13">
        <f ca="1">Prices!B280*(1+J281/(50*(ABS(O281)+ABS(T281)+0.0001)))</f>
        <v>1.2093159772119526</v>
      </c>
      <c r="C281" s="62">
        <f t="shared" ca="1" si="26"/>
        <v>1</v>
      </c>
      <c r="D281" s="13">
        <f ca="1">D280+C281*(Prices!B281-Prices!B280)/Prices!B280</f>
        <v>-1.2284037203548603E-3</v>
      </c>
      <c r="E281" s="13">
        <f t="shared" ca="1" si="30"/>
        <v>0.15140381926383356</v>
      </c>
      <c r="F281" s="13">
        <f t="shared" ca="1" si="28"/>
        <v>0.15017541554347871</v>
      </c>
      <c r="G281" s="21">
        <f ca="1">IF((Prices!B281-Prices!B280)*C281&gt;0,1,0)</f>
        <v>1</v>
      </c>
      <c r="H281" s="13">
        <f>ABS(Prices!B281-Prices!B280)/Prices!B280</f>
        <v>8.9398667453824271E-3</v>
      </c>
      <c r="I281" s="21"/>
      <c r="J281" s="4">
        <f t="shared" ca="1" si="29"/>
        <v>2.4092333713831154E-2</v>
      </c>
      <c r="K281" s="13"/>
      <c r="L281" s="13">
        <f ca="1">L280-O281*Prices!B281</f>
        <v>0.37422018924613204</v>
      </c>
      <c r="M281" s="4">
        <f t="shared" ca="1" si="25"/>
        <v>0.57305686644010256</v>
      </c>
      <c r="N281" s="13">
        <f ca="1">IF(Prices!B280&gt;OFFSET(Prices!B280,-$N$3,0),1,-1)</f>
        <v>1</v>
      </c>
      <c r="O281" s="4">
        <f ca="1">IF(N281=1,O$3*L280/Prices!B280,-O$3*M280)</f>
        <v>1.3155366595402269E-2</v>
      </c>
      <c r="P281" s="22"/>
      <c r="Q281" s="13">
        <f ca="1">Q280-T281*Prices!B281</f>
        <v>0.41918150331359438</v>
      </c>
      <c r="R281" s="4">
        <f t="shared" ca="1" si="24"/>
        <v>0.52079087591526918</v>
      </c>
      <c r="S281" s="13">
        <f ca="1">IF(Prices!B280&gt;OFFSET(Prices!B280,-S$3,0),1,-1)</f>
        <v>1</v>
      </c>
      <c r="T281" s="4">
        <f ca="1">IF(S281=1,T$3*Q280/Prices!B280,-T$3*R280)</f>
        <v>1.0936967118428884E-2</v>
      </c>
      <c r="V281" s="13"/>
      <c r="W281" s="4"/>
      <c r="X281" s="4"/>
      <c r="Y281" s="4"/>
      <c r="Z281" s="4"/>
      <c r="AA281" s="4"/>
      <c r="AB281" s="4"/>
      <c r="AC281" s="4"/>
      <c r="AD281" s="4"/>
      <c r="AE281" s="52"/>
    </row>
    <row r="282" spans="1:31" x14ac:dyDescent="0.2">
      <c r="A282" s="7">
        <v>43338</v>
      </c>
      <c r="B282" s="13">
        <f ca="1">Prices!B281*(1+J282/(50*(ABS(O282)+ABS(T282)+0.0001)))</f>
        <v>1.2201225341411317</v>
      </c>
      <c r="C282" s="62">
        <f t="shared" ca="1" si="26"/>
        <v>1</v>
      </c>
      <c r="D282" s="13">
        <f ca="1">D281+C282*(Prices!B282-Prices!B281)/Prices!B281</f>
        <v>1.1978985730451825E-2</v>
      </c>
      <c r="E282" s="13">
        <f t="shared" ca="1" si="30"/>
        <v>0.13819642981302688</v>
      </c>
      <c r="F282" s="13">
        <f t="shared" ca="1" si="28"/>
        <v>0.15017541554347871</v>
      </c>
      <c r="G282" s="21">
        <f ca="1">IF((Prices!B282-Prices!B281)*C282&gt;0,1,0)</f>
        <v>1</v>
      </c>
      <c r="H282" s="13">
        <f>ABS(Prices!B282-Prices!B281)/Prices!B281</f>
        <v>1.3207389450806685E-2</v>
      </c>
      <c r="I282" s="21"/>
      <c r="J282" s="4">
        <f t="shared" ca="1" si="29"/>
        <v>2.3024536211028266E-2</v>
      </c>
      <c r="K282" s="13"/>
      <c r="L282" s="13">
        <f ca="1">L281-O282*Prices!B282</f>
        <v>0.35905368280509764</v>
      </c>
      <c r="M282" s="4">
        <f t="shared" ca="1" si="25"/>
        <v>0.58556945322422471</v>
      </c>
      <c r="N282" s="13">
        <f ca="1">IF(Prices!B281&gt;OFFSET(Prices!B281,-$N$3,0),1,-1)</f>
        <v>1</v>
      </c>
      <c r="O282" s="4">
        <f ca="1">IF(N282=1,O$3*L281/Prices!B281,-O$3*M281)</f>
        <v>1.2512586784122114E-2</v>
      </c>
      <c r="P282" s="22"/>
      <c r="Q282" s="13">
        <f ca="1">Q281-T282*Prices!B282</f>
        <v>0.40643996941324145</v>
      </c>
      <c r="R282" s="4">
        <f t="shared" ca="1" si="24"/>
        <v>0.53130282534217532</v>
      </c>
      <c r="S282" s="13">
        <f ca="1">IF(Prices!B281&gt;OFFSET(Prices!B281,-S$3,0),1,-1)</f>
        <v>1</v>
      </c>
      <c r="T282" s="4">
        <f ca="1">IF(S282=1,T$3*Q281/Prices!B281,-T$3*R281)</f>
        <v>1.0511949426906152E-2</v>
      </c>
      <c r="V282" s="13"/>
      <c r="W282" s="4"/>
      <c r="X282" s="4"/>
      <c r="Y282" s="4"/>
      <c r="Z282" s="4"/>
      <c r="AA282" s="4"/>
      <c r="AB282" s="4"/>
      <c r="AC282" s="4"/>
      <c r="AD282" s="4"/>
      <c r="AE282" s="52"/>
    </row>
    <row r="283" spans="1:31" x14ac:dyDescent="0.2">
      <c r="A283" s="7">
        <v>43345</v>
      </c>
      <c r="B283" s="13">
        <f ca="1">Prices!B282*(1+J283/(50*(ABS(O283)+ABS(T283)+0.0001)))</f>
        <v>1.2362318518693141</v>
      </c>
      <c r="C283" s="62">
        <f t="shared" ca="1" si="26"/>
        <v>1</v>
      </c>
      <c r="D283" s="13">
        <f ca="1">D282+C283*(Prices!B283-Prices!B282)/Prices!B282</f>
        <v>1.1236472736474512E-2</v>
      </c>
      <c r="E283" s="13">
        <f t="shared" ca="1" si="30"/>
        <v>0.1389389428070042</v>
      </c>
      <c r="F283" s="13">
        <f t="shared" ca="1" si="28"/>
        <v>0.15017541554347871</v>
      </c>
      <c r="G283" s="21">
        <f ca="1">IF((Prices!B283-Prices!B282)*C283&gt;0,1,0)</f>
        <v>0</v>
      </c>
      <c r="H283" s="13">
        <f>ABS(Prices!B283-Prices!B282)/Prices!B282</f>
        <v>7.4251299397731286E-4</v>
      </c>
      <c r="I283" s="21"/>
      <c r="J283" s="4">
        <f t="shared" ca="1" si="29"/>
        <v>2.190854417506901E-2</v>
      </c>
      <c r="K283" s="13"/>
      <c r="L283" s="13">
        <f ca="1">L282-O283*Prices!B283</f>
        <v>0.34470219957389447</v>
      </c>
      <c r="M283" s="4">
        <f t="shared" ca="1" si="25"/>
        <v>0.59741843211392354</v>
      </c>
      <c r="N283" s="13">
        <f ca="1">IF(Prices!B282&gt;OFFSET(Prices!B282,-$N$3,0),1,-1)</f>
        <v>1</v>
      </c>
      <c r="O283" s="4">
        <f ca="1">IF(N283=1,O$3*L282/Prices!B282,-O$3*M282)</f>
        <v>1.1848978889698792E-2</v>
      </c>
      <c r="P283" s="22"/>
      <c r="Q283" s="13">
        <f ca="1">Q282-T283*Prices!B283</f>
        <v>0.39425582393960107</v>
      </c>
      <c r="R283" s="4">
        <f t="shared" ca="1" si="24"/>
        <v>0.54136239062754554</v>
      </c>
      <c r="S283" s="13">
        <f ca="1">IF(Prices!B282&gt;OFFSET(Prices!B282,-S$3,0),1,-1)</f>
        <v>1</v>
      </c>
      <c r="T283" s="4">
        <f ca="1">IF(S283=1,T$3*Q282/Prices!B282,-T$3*R282)</f>
        <v>1.005956528537022E-2</v>
      </c>
      <c r="V283" s="13"/>
      <c r="W283" s="4"/>
      <c r="X283" s="4"/>
      <c r="Y283" s="4"/>
      <c r="Z283" s="4"/>
      <c r="AA283" s="4"/>
      <c r="AB283" s="4"/>
      <c r="AC283" s="4"/>
      <c r="AD283" s="4"/>
      <c r="AE283" s="52"/>
    </row>
    <row r="284" spans="1:31" x14ac:dyDescent="0.2">
      <c r="A284" s="7">
        <v>43352</v>
      </c>
      <c r="B284" s="13">
        <f ca="1">Prices!B283*(1+J284/(50*(ABS(O284)+ABS(T284)+0.0001)))</f>
        <v>1.2353099997570773</v>
      </c>
      <c r="C284" s="62">
        <f t="shared" ca="1" si="26"/>
        <v>1</v>
      </c>
      <c r="D284" s="13">
        <f ca="1">D283+C284*(Prices!B284-Prices!B283)/Prices!B283</f>
        <v>2.3208071151269723E-2</v>
      </c>
      <c r="E284" s="13">
        <f t="shared" ca="1" si="30"/>
        <v>0.126967344392209</v>
      </c>
      <c r="F284" s="13">
        <f t="shared" ca="1" si="28"/>
        <v>0.15017541554347871</v>
      </c>
      <c r="G284" s="21">
        <f ca="1">IF((Prices!B284-Prices!B283)*C284&gt;0,1,0)</f>
        <v>1</v>
      </c>
      <c r="H284" s="13">
        <f>ABS(Prices!B284-Prices!B283)/Prices!B283</f>
        <v>1.1971598414795209E-2</v>
      </c>
      <c r="I284" s="21"/>
      <c r="J284" s="4">
        <f t="shared" ca="1" si="29"/>
        <v>2.1149077527364439E-2</v>
      </c>
      <c r="K284" s="13"/>
      <c r="L284" s="13">
        <f ca="1">L283-O284*Prices!B284</f>
        <v>0.33074904613869888</v>
      </c>
      <c r="M284" s="4">
        <f t="shared" ca="1" si="25"/>
        <v>0.60880225640632424</v>
      </c>
      <c r="N284" s="13">
        <f ca="1">IF(Prices!B283&gt;OFFSET(Prices!B283,-$N$3,0),1,-1)</f>
        <v>1</v>
      </c>
      <c r="O284" s="4">
        <f ca="1">IF(N284=1,O$3*L283/Prices!B283,-O$3*M283)</f>
        <v>1.1383824292400741E-2</v>
      </c>
      <c r="P284" s="22"/>
      <c r="Q284" s="13">
        <f ca="1">Q283-T284*Prices!B284</f>
        <v>0.38228655304950604</v>
      </c>
      <c r="R284" s="4">
        <f t="shared" ca="1" si="24"/>
        <v>0.55112764386250923</v>
      </c>
      <c r="S284" s="13">
        <f ca="1">IF(Prices!B283&gt;OFFSET(Prices!B283,-S$3,0),1,-1)</f>
        <v>1</v>
      </c>
      <c r="T284" s="4">
        <f ca="1">IF(S284=1,T$3*Q283/Prices!B283,-T$3*R283)</f>
        <v>9.7652532349636976E-3</v>
      </c>
      <c r="V284" s="13"/>
      <c r="W284" s="4"/>
      <c r="X284" s="4"/>
      <c r="Y284" s="4"/>
      <c r="Z284" s="4"/>
      <c r="AA284" s="4"/>
      <c r="AB284" s="4"/>
      <c r="AC284" s="4"/>
      <c r="AD284" s="4"/>
      <c r="AE284" s="52"/>
    </row>
    <row r="285" spans="1:31" x14ac:dyDescent="0.2">
      <c r="A285" s="7">
        <v>43359</v>
      </c>
      <c r="B285" s="13">
        <f ca="1">Prices!B284*(1+J285/(50*(ABS(O285)+ABS(T285)+0.0001)))</f>
        <v>1.2500929466406565</v>
      </c>
      <c r="C285" s="62">
        <f t="shared" ca="1" si="26"/>
        <v>1</v>
      </c>
      <c r="D285" s="13">
        <f ca="1">D284+C285*(Prices!B285-Prices!B284)/Prices!B284</f>
        <v>1.7986565073110333E-2</v>
      </c>
      <c r="E285" s="13">
        <f t="shared" ca="1" si="30"/>
        <v>0.13218885047036838</v>
      </c>
      <c r="F285" s="13">
        <f t="shared" ca="1" si="28"/>
        <v>0.15017541554347871</v>
      </c>
      <c r="G285" s="21">
        <f ca="1">IF((Prices!B285-Prices!B284)*C285&gt;0,1,0)</f>
        <v>0</v>
      </c>
      <c r="H285" s="13">
        <f>ABS(Prices!B285-Prices!B284)/Prices!B284</f>
        <v>5.2215060781593877E-3</v>
      </c>
      <c r="I285" s="21"/>
      <c r="J285" s="4">
        <f t="shared" ca="1" si="29"/>
        <v>2.0150573906366272E-2</v>
      </c>
      <c r="K285" s="13"/>
      <c r="L285" s="13">
        <f ca="1">L284-O285*Prices!B285</f>
        <v>0.31758816461934125</v>
      </c>
      <c r="M285" s="4">
        <f t="shared" ca="1" si="25"/>
        <v>0.61959605737356582</v>
      </c>
      <c r="N285" s="13">
        <f ca="1">IF(Prices!B284&gt;OFFSET(Prices!B284,-$N$3,0),1,-1)</f>
        <v>1</v>
      </c>
      <c r="O285" s="4">
        <f ca="1">IF(N285=1,O$3*L284/Prices!B284,-O$3*M284)</f>
        <v>1.079380096724154E-2</v>
      </c>
      <c r="P285" s="22"/>
      <c r="Q285" s="13">
        <f ca="1">Q284-T285*Prices!B285</f>
        <v>0.37087783980483124</v>
      </c>
      <c r="R285" s="4">
        <f t="shared" ca="1" si="24"/>
        <v>0.56048441680163397</v>
      </c>
      <c r="S285" s="13">
        <f ca="1">IF(Prices!B284&gt;OFFSET(Prices!B284,-S$3,0),1,-1)</f>
        <v>1</v>
      </c>
      <c r="T285" s="4">
        <f ca="1">IF(S285=1,T$3*Q284/Prices!B284,-T$3*R284)</f>
        <v>9.3567729391247304E-3</v>
      </c>
      <c r="V285" s="13"/>
      <c r="W285" s="4"/>
      <c r="X285" s="4"/>
      <c r="Y285" s="4"/>
      <c r="Z285" s="4"/>
      <c r="AA285" s="4"/>
      <c r="AB285" s="4"/>
      <c r="AC285" s="4"/>
      <c r="AD285" s="4"/>
      <c r="AE285" s="52"/>
    </row>
    <row r="286" spans="1:31" x14ac:dyDescent="0.2">
      <c r="A286" s="7">
        <v>43366</v>
      </c>
      <c r="B286" s="13">
        <f ca="1">Prices!B285*(1+J286/(50*(ABS(O286)+ABS(T286)+0.0001)))</f>
        <v>1.2435618596013425</v>
      </c>
      <c r="C286" s="62">
        <f t="shared" ca="1" si="26"/>
        <v>1</v>
      </c>
      <c r="D286" s="13">
        <f ca="1">D285+C286*(Prices!B286-Prices!B285)/Prices!B285</f>
        <v>1.9790879023737724E-2</v>
      </c>
      <c r="E286" s="13">
        <f t="shared" ca="1" si="30"/>
        <v>0.130384536519741</v>
      </c>
      <c r="F286" s="13">
        <f t="shared" ca="1" si="28"/>
        <v>0.15017541554347871</v>
      </c>
      <c r="G286" s="21">
        <f ca="1">IF((Prices!B286-Prices!B285)*C286&gt;0,1,0)</f>
        <v>1</v>
      </c>
      <c r="H286" s="13">
        <f>ABS(Prices!B286-Prices!B285)/Prices!B285</f>
        <v>1.8043139506273924E-3</v>
      </c>
      <c r="I286" s="21"/>
      <c r="J286" s="4">
        <f t="shared" ca="1" si="29"/>
        <v>1.9543887295102591E-2</v>
      </c>
      <c r="K286" s="13"/>
      <c r="L286" s="13">
        <f ca="1">L285-O286*Prices!B286</f>
        <v>0.3048617168843285</v>
      </c>
      <c r="M286" s="4">
        <f t="shared" ca="1" si="25"/>
        <v>0.63001476202769002</v>
      </c>
      <c r="N286" s="13">
        <f ca="1">IF(Prices!B285&gt;OFFSET(Prices!B285,-$N$3,0),1,-1)</f>
        <v>1</v>
      </c>
      <c r="O286" s="4">
        <f ca="1">IF(N286=1,O$3*L285/Prices!B285,-O$3*M285)</f>
        <v>1.0418704654124211E-2</v>
      </c>
      <c r="P286" s="22"/>
      <c r="Q286" s="13">
        <f ca="1">Q285-T286*Prices!B286</f>
        <v>0.35973142920887613</v>
      </c>
      <c r="R286" s="4">
        <f t="shared" ca="1" si="24"/>
        <v>0.56960959944261236</v>
      </c>
      <c r="S286" s="13">
        <f ca="1">IF(Prices!B285&gt;OFFSET(Prices!B285,-S$3,0),1,-1)</f>
        <v>1</v>
      </c>
      <c r="T286" s="4">
        <f ca="1">IF(S286=1,T$3*Q285/Prices!B285,-T$3*R285)</f>
        <v>9.1251826409783788E-3</v>
      </c>
      <c r="V286" s="13"/>
      <c r="W286" s="4"/>
      <c r="X286" s="4"/>
      <c r="Y286" s="4"/>
      <c r="Z286" s="4"/>
      <c r="AA286" s="4"/>
      <c r="AB286" s="4"/>
      <c r="AC286" s="4"/>
      <c r="AD286" s="4"/>
      <c r="AE286" s="52"/>
    </row>
    <row r="287" spans="1:31" x14ac:dyDescent="0.2">
      <c r="A287" s="7">
        <v>43373</v>
      </c>
      <c r="B287" s="13">
        <f ca="1">Prices!B286*(1+J287/(50*(ABS(O287)+ABS(T287)+0.0001)))</f>
        <v>1.2458008649825161</v>
      </c>
      <c r="C287" s="62">
        <f t="shared" ca="1" si="26"/>
        <v>1</v>
      </c>
      <c r="D287" s="13">
        <f ca="1">D286+C287*(Prices!B287-Prices!B286)/Prices!B286</f>
        <v>2.0036478696271467E-2</v>
      </c>
      <c r="E287" s="13">
        <f t="shared" ca="1" si="30"/>
        <v>0.13013893684720723</v>
      </c>
      <c r="F287" s="13">
        <f t="shared" ca="1" si="28"/>
        <v>0.15017541554347871</v>
      </c>
      <c r="G287" s="21">
        <f ca="1">IF((Prices!B287-Prices!B286)*C287&gt;0,1,0)</f>
        <v>1</v>
      </c>
      <c r="H287" s="13">
        <f>ABS(Prices!B287-Prices!B286)/Prices!B286</f>
        <v>2.4559967253374288E-4</v>
      </c>
      <c r="I287" s="21"/>
      <c r="J287" s="4">
        <f t="shared" ca="1" si="29"/>
        <v>1.8818183832697032E-2</v>
      </c>
      <c r="K287" s="13"/>
      <c r="L287" s="13">
        <f ca="1">L286-O287*Prices!B287</f>
        <v>0.29266425325144196</v>
      </c>
      <c r="M287" s="4">
        <f t="shared" ca="1" si="25"/>
        <v>0.63999795373900659</v>
      </c>
      <c r="N287" s="13">
        <f ca="1">IF(Prices!B286&gt;OFFSET(Prices!B286,-$N$3,0),1,-1)</f>
        <v>1</v>
      </c>
      <c r="O287" s="4">
        <f ca="1">IF(N287=1,O$3*L286/Prices!B286,-O$3*M286)</f>
        <v>9.9831917113165289E-3</v>
      </c>
      <c r="P287" s="22"/>
      <c r="Q287" s="13">
        <f ca="1">Q286-T287*Prices!B287</f>
        <v>0.34893683583497342</v>
      </c>
      <c r="R287" s="4">
        <f t="shared" ca="1" si="24"/>
        <v>0.57844459156399286</v>
      </c>
      <c r="S287" s="13">
        <f ca="1">IF(Prices!B286&gt;OFFSET(Prices!B286,-S$3,0),1,-1)</f>
        <v>1</v>
      </c>
      <c r="T287" s="4">
        <f ca="1">IF(S287=1,T$3*Q286/Prices!B286,-T$3*R286)</f>
        <v>8.8349921213805027E-3</v>
      </c>
      <c r="V287" s="13"/>
      <c r="W287" s="4"/>
      <c r="X287" s="4"/>
      <c r="Y287" s="4"/>
      <c r="Z287" s="4"/>
      <c r="AA287" s="4"/>
      <c r="AB287" s="4"/>
      <c r="AC287" s="4"/>
      <c r="AD287" s="4"/>
      <c r="AE287" s="52"/>
    </row>
    <row r="288" spans="1:31" x14ac:dyDescent="0.2">
      <c r="A288" s="7">
        <v>43380</v>
      </c>
      <c r="B288" s="13">
        <f ca="1">Prices!B287*(1+J288/(50*(ABS(O288)+ABS(T288)+0.0001)))</f>
        <v>1.2461020981356996</v>
      </c>
      <c r="C288" s="62">
        <f t="shared" ca="1" si="26"/>
        <v>1</v>
      </c>
      <c r="D288" s="13">
        <f ca="1">D287+C288*(Prices!B288-Prices!B287)/Prices!B287</f>
        <v>8.9053606736817989E-3</v>
      </c>
      <c r="E288" s="13">
        <f t="shared" ca="1" si="30"/>
        <v>0.14127005486979691</v>
      </c>
      <c r="F288" s="13">
        <f t="shared" ca="1" si="28"/>
        <v>0.15017541554347871</v>
      </c>
      <c r="G288" s="21">
        <f ca="1">IF((Prices!B288-Prices!B287)*C288&gt;0,1,0)</f>
        <v>0</v>
      </c>
      <c r="H288" s="13">
        <f>ABS(Prices!B288-Prices!B287)/Prices!B287</f>
        <v>1.1131118022589669E-2</v>
      </c>
      <c r="I288" s="21"/>
      <c r="J288" s="4">
        <f t="shared" ca="1" si="29"/>
        <v>1.8149185795635032E-2</v>
      </c>
      <c r="K288" s="13"/>
      <c r="L288" s="13">
        <f ca="1">L287-O288*Prices!B288</f>
        <v>0.2810879903351417</v>
      </c>
      <c r="M288" s="4">
        <f t="shared" ca="1" si="25"/>
        <v>0.64957936651528558</v>
      </c>
      <c r="N288" s="13">
        <f ca="1">IF(Prices!B287&gt;OFFSET(Prices!B287,-$N$3,0),1,-1)</f>
        <v>1</v>
      </c>
      <c r="O288" s="4">
        <f ca="1">IF(N288=1,O$3*L287/Prices!B287,-O$3*M287)</f>
        <v>9.5814127762789969E-3</v>
      </c>
      <c r="P288" s="22"/>
      <c r="Q288" s="13">
        <f ca="1">Q287-T288*Prices!B288</f>
        <v>0.33858525247298749</v>
      </c>
      <c r="R288" s="4">
        <f t="shared" ca="1" si="24"/>
        <v>0.58701236458334893</v>
      </c>
      <c r="S288" s="13">
        <f ca="1">IF(Prices!B287&gt;OFFSET(Prices!B287,-S$3,0),1,-1)</f>
        <v>1</v>
      </c>
      <c r="T288" s="4">
        <f ca="1">IF(S288=1,T$3*Q287/Prices!B287,-T$3*R287)</f>
        <v>8.5677730193560349E-3</v>
      </c>
      <c r="V288" s="13"/>
      <c r="W288" s="4"/>
      <c r="X288" s="4"/>
      <c r="Y288" s="4"/>
      <c r="Z288" s="4"/>
      <c r="AA288" s="4"/>
      <c r="AB288" s="4"/>
      <c r="AC288" s="4"/>
      <c r="AD288" s="4"/>
      <c r="AE288" s="52"/>
    </row>
    <row r="289" spans="1:31" x14ac:dyDescent="0.2">
      <c r="A289" s="7">
        <v>43387</v>
      </c>
      <c r="B289" s="13">
        <f ca="1">Prices!B288*(1+J289/(50*(ABS(O289)+ABS(T289)+0.0001)))</f>
        <v>1.1958862311885485</v>
      </c>
      <c r="C289" s="62">
        <f t="shared" ca="1" si="26"/>
        <v>0</v>
      </c>
      <c r="D289" s="13">
        <f ca="1">D288+C289*(Prices!B289-Prices!B288)/Prices!B288</f>
        <v>8.9053606736817989E-3</v>
      </c>
      <c r="E289" s="13">
        <f t="shared" ca="1" si="30"/>
        <v>0.14127005486979691</v>
      </c>
      <c r="F289" s="13">
        <f t="shared" ca="1" si="28"/>
        <v>0.15017541554347871</v>
      </c>
      <c r="G289" s="21">
        <f ca="1">IF((Prices!B289-Prices!B288)*C289&gt;0,1,0)</f>
        <v>0</v>
      </c>
      <c r="H289" s="13">
        <f>ABS(Prices!B289-Prices!B288)/Prices!B288</f>
        <v>7.3663300778017962E-3</v>
      </c>
      <c r="I289" s="21"/>
      <c r="J289" s="4">
        <f t="shared" ca="1" si="29"/>
        <v>-1.7575992427380484E-2</v>
      </c>
      <c r="K289" s="13"/>
      <c r="L289" s="13">
        <f ca="1">L288-O289*Prices!B289</f>
        <v>0.31271211221457185</v>
      </c>
      <c r="M289" s="4">
        <f t="shared" ca="1" si="25"/>
        <v>0.62359619185467419</v>
      </c>
      <c r="N289" s="13">
        <f ca="1">IF(Prices!B288&gt;OFFSET(Prices!B288,-$N$3,0),1,-1)</f>
        <v>-1</v>
      </c>
      <c r="O289" s="4">
        <f ca="1">IF(N289=1,O$3*L288/Prices!B288,-O$3*M288)</f>
        <v>-2.5983174660611424E-2</v>
      </c>
      <c r="P289" s="22"/>
      <c r="Q289" s="13">
        <f ca="1">Q288-T289*Prices!B289</f>
        <v>0.32835287097692212</v>
      </c>
      <c r="R289" s="4">
        <f t="shared" ca="1" si="24"/>
        <v>0.59541954681657983</v>
      </c>
      <c r="S289" s="13">
        <f ca="1">IF(Prices!B288&gt;OFFSET(Prices!B288,-S$3,0),1,-1)</f>
        <v>1</v>
      </c>
      <c r="T289" s="4">
        <f ca="1">IF(S289=1,T$3*Q288/Prices!B288,-T$3*R288)</f>
        <v>8.4071822332309424E-3</v>
      </c>
      <c r="V289" s="13"/>
      <c r="W289" s="4"/>
      <c r="X289" s="4"/>
      <c r="Y289" s="4"/>
      <c r="Z289" s="4"/>
      <c r="AA289" s="4"/>
      <c r="AB289" s="4"/>
      <c r="AC289" s="4"/>
      <c r="AD289" s="4"/>
      <c r="AE289" s="52"/>
    </row>
    <row r="290" spans="1:31" x14ac:dyDescent="0.2">
      <c r="A290" s="7">
        <v>43394</v>
      </c>
      <c r="B290" s="13">
        <f ca="1">Prices!B289*(1+J290/(50*(ABS(O290)+ABS(T290)+0.0001)))</f>
        <v>1.2413102134366083</v>
      </c>
      <c r="C290" s="62">
        <f t="shared" ca="1" si="26"/>
        <v>1</v>
      </c>
      <c r="D290" s="13">
        <f ca="1">D289+C290*(Prices!B290-Prices!B289)/Prices!B289</f>
        <v>6.029672562598027E-3</v>
      </c>
      <c r="E290" s="13">
        <f t="shared" ca="1" si="30"/>
        <v>0.14414574298088068</v>
      </c>
      <c r="F290" s="13">
        <f t="shared" ca="1" si="28"/>
        <v>0.15017541554347871</v>
      </c>
      <c r="G290" s="21">
        <f ca="1">IF((Prices!B290-Prices!B289)*C290&gt;0,1,0)</f>
        <v>0</v>
      </c>
      <c r="H290" s="13">
        <f>ABS(Prices!B290-Prices!B289)/Prices!B289</f>
        <v>2.8756881110837715E-3</v>
      </c>
      <c r="I290" s="21"/>
      <c r="J290" s="4">
        <f t="shared" ca="1" si="29"/>
        <v>1.8370775300214061E-2</v>
      </c>
      <c r="K290" s="13"/>
      <c r="L290" s="13">
        <f ca="1">L289-O290*Prices!B290</f>
        <v>0.30023959822612045</v>
      </c>
      <c r="M290" s="4">
        <f t="shared" ca="1" si="25"/>
        <v>0.63387347760652935</v>
      </c>
      <c r="N290" s="13">
        <f ca="1">IF(Prices!B289&gt;OFFSET(Prices!B289,-$N$3,0),1,-1)</f>
        <v>1</v>
      </c>
      <c r="O290" s="4">
        <f ca="1">IF(N290=1,O$3*L289/Prices!B289,-O$3*M289)</f>
        <v>1.0277285751855126E-2</v>
      </c>
      <c r="P290" s="22"/>
      <c r="Q290" s="13">
        <f ca="1">Q289-T290*Prices!B290</f>
        <v>0.31853061206103372</v>
      </c>
      <c r="R290" s="4">
        <f t="shared" ca="1" si="24"/>
        <v>0.6035130363649388</v>
      </c>
      <c r="S290" s="13">
        <f ca="1">IF(Prices!B289&gt;OFFSET(Prices!B289,-S$3,0),1,-1)</f>
        <v>1</v>
      </c>
      <c r="T290" s="4">
        <f ca="1">IF(S290=1,T$3*Q289/Prices!B289,-T$3*R289)</f>
        <v>8.093489548358937E-3</v>
      </c>
      <c r="V290" s="13"/>
      <c r="W290" s="4"/>
      <c r="X290" s="4"/>
      <c r="Y290" s="4"/>
      <c r="Z290" s="4"/>
      <c r="AA290" s="4"/>
      <c r="AB290" s="4"/>
      <c r="AC290" s="4"/>
      <c r="AD290" s="4"/>
      <c r="AE290" s="52"/>
    </row>
    <row r="291" spans="1:31" x14ac:dyDescent="0.2">
      <c r="A291" s="7">
        <v>43401</v>
      </c>
      <c r="B291" s="13">
        <f ca="1">Prices!B290*(1+J291/(50*(ABS(O291)+ABS(T291)+0.0001)))</f>
        <v>1.2008694303860803</v>
      </c>
      <c r="C291" s="62">
        <f t="shared" ca="1" si="26"/>
        <v>0</v>
      </c>
      <c r="D291" s="13">
        <f ca="1">D290+C291*(Prices!B291-Prices!B290)/Prices!B290</f>
        <v>6.029672562598027E-3</v>
      </c>
      <c r="E291" s="13">
        <f t="shared" ca="1" si="30"/>
        <v>0.14414574298088068</v>
      </c>
      <c r="F291" s="13">
        <f t="shared" ca="1" si="28"/>
        <v>0.15017541554347871</v>
      </c>
      <c r="G291" s="21">
        <f ca="1">IF((Prices!B291-Prices!B290)*C291&gt;0,1,0)</f>
        <v>0</v>
      </c>
      <c r="H291" s="13">
        <f>ABS(Prices!B291-Prices!B290)/Prices!B290</f>
        <v>7.4159525379036721E-3</v>
      </c>
      <c r="I291" s="21"/>
      <c r="J291" s="4">
        <f t="shared" ca="1" si="29"/>
        <v>-1.7480912767880975E-2</v>
      </c>
      <c r="K291" s="13"/>
      <c r="L291" s="13">
        <f ca="1">L290-O291*Prices!B291</f>
        <v>0.33078215787111348</v>
      </c>
      <c r="M291" s="4">
        <f t="shared" ca="1" si="25"/>
        <v>0.60851853850226822</v>
      </c>
      <c r="N291" s="13">
        <f ca="1">IF(Prices!B290&gt;OFFSET(Prices!B290,-$N$3,0),1,-1)</f>
        <v>-1</v>
      </c>
      <c r="O291" s="4">
        <f ca="1">IF(N291=1,O$3*L290/Prices!B290,-O$3*M290)</f>
        <v>-2.5354939104261176E-2</v>
      </c>
      <c r="P291" s="22"/>
      <c r="Q291" s="13">
        <f ca="1">Q290-T291*Prices!B291</f>
        <v>0.30904555993623012</v>
      </c>
      <c r="R291" s="4">
        <f t="shared" ca="1" si="24"/>
        <v>0.61138706270131904</v>
      </c>
      <c r="S291" s="13">
        <f ca="1">IF(Prices!B290&gt;OFFSET(Prices!B290,-S$3,0),1,-1)</f>
        <v>1</v>
      </c>
      <c r="T291" s="4">
        <f ca="1">IF(S291=1,T$3*Q290/Prices!B290,-T$3*R290)</f>
        <v>7.8740263363802007E-3</v>
      </c>
      <c r="V291" s="13"/>
      <c r="W291" s="4"/>
      <c r="X291" s="4"/>
      <c r="Y291" s="4"/>
      <c r="Z291" s="4"/>
      <c r="AA291" s="4"/>
      <c r="AB291" s="4"/>
      <c r="AC291" s="4"/>
      <c r="AD291" s="4"/>
      <c r="AE291" s="52"/>
    </row>
    <row r="292" spans="1:31" x14ac:dyDescent="0.2">
      <c r="A292" s="7">
        <v>43408</v>
      </c>
      <c r="B292" s="13">
        <f ca="1">Prices!B291*(1+J292/(50*(ABS(O292)+ABS(T292)+0.0001)))</f>
        <v>1.1921226340939248</v>
      </c>
      <c r="C292" s="62">
        <f t="shared" ca="1" si="26"/>
        <v>0</v>
      </c>
      <c r="D292" s="13">
        <f ca="1">D291+C292*(Prices!B292-Prices!B291)/Prices!B291</f>
        <v>6.029672562598027E-3</v>
      </c>
      <c r="E292" s="13">
        <f t="shared" ca="1" si="30"/>
        <v>0.14414574298088068</v>
      </c>
      <c r="F292" s="13">
        <f t="shared" ca="1" si="28"/>
        <v>0.15017541554347871</v>
      </c>
      <c r="G292" s="21">
        <f ca="1">IF((Prices!B292-Prices!B291)*C292&gt;0,1,0)</f>
        <v>0</v>
      </c>
      <c r="H292" s="13">
        <f>ABS(Prices!B292-Prices!B291)/Prices!B291</f>
        <v>6.1431180474845184E-3</v>
      </c>
      <c r="I292" s="21"/>
      <c r="J292" s="4">
        <f t="shared" ca="1" si="29"/>
        <v>-1.6644106310066735E-2</v>
      </c>
      <c r="K292" s="13"/>
      <c r="L292" s="13">
        <f ca="1">L291-O292*Prices!B292</f>
        <v>0.36028313661770345</v>
      </c>
      <c r="M292" s="4">
        <f t="shared" ca="1" si="25"/>
        <v>0.58417779696217753</v>
      </c>
      <c r="N292" s="13">
        <f ca="1">IF(Prices!B291&gt;OFFSET(Prices!B291,-$N$3,0),1,-1)</f>
        <v>-1</v>
      </c>
      <c r="O292" s="4">
        <f ca="1">IF(N292=1,O$3*L291/Prices!B291,-O$3*M291)</f>
        <v>-2.4340741540090728E-2</v>
      </c>
      <c r="P292" s="22"/>
      <c r="Q292" s="13">
        <f ca="1">Q291-T292*Prices!B292</f>
        <v>0.29971723803744105</v>
      </c>
      <c r="R292" s="4">
        <f t="shared" ca="1" si="24"/>
        <v>0.61908369793134299</v>
      </c>
      <c r="S292" s="13">
        <f ca="1">IF(Prices!B291&gt;OFFSET(Prices!B291,-S$3,0),1,-1)</f>
        <v>1</v>
      </c>
      <c r="T292" s="4">
        <f ca="1">IF(S292=1,T$3*Q291/Prices!B291,-T$3*R291)</f>
        <v>7.6966352300239932E-3</v>
      </c>
      <c r="V292" s="13"/>
      <c r="W292" s="4"/>
      <c r="X292" s="4"/>
      <c r="Y292" s="4"/>
      <c r="Z292" s="4"/>
      <c r="AA292" s="4"/>
      <c r="AB292" s="4"/>
      <c r="AC292" s="4"/>
      <c r="AD292" s="4"/>
      <c r="AE292" s="52"/>
    </row>
    <row r="293" spans="1:31" x14ac:dyDescent="0.2">
      <c r="A293" s="7">
        <v>43415</v>
      </c>
      <c r="B293" s="13">
        <f ca="1">Prices!B292*(1+J293/(50*(ABS(O293)+ABS(T293)+0.0001)))</f>
        <v>1.1994833173898807</v>
      </c>
      <c r="C293" s="62">
        <f t="shared" ca="1" si="26"/>
        <v>0</v>
      </c>
      <c r="D293" s="13">
        <f ca="1">D292+C293*(Prices!B293-Prices!B292)/Prices!B292</f>
        <v>6.029672562598027E-3</v>
      </c>
      <c r="E293" s="13">
        <f t="shared" ca="1" si="30"/>
        <v>0.14414574298088068</v>
      </c>
      <c r="F293" s="13">
        <f t="shared" ca="1" si="28"/>
        <v>0.15017541554347871</v>
      </c>
      <c r="G293" s="21">
        <f ca="1">IF((Prices!B293-Prices!B292)*C293&gt;0,1,0)</f>
        <v>0</v>
      </c>
      <c r="H293" s="13">
        <f>ABS(Prices!B293-Prices!B292)/Prices!B292</f>
        <v>8.2508250825073429E-5</v>
      </c>
      <c r="I293" s="21"/>
      <c r="J293" s="4">
        <f t="shared" ca="1" si="29"/>
        <v>-1.594836836270886E-2</v>
      </c>
      <c r="K293" s="13"/>
      <c r="L293" s="13">
        <f ca="1">L292-O293*Prices!B293</f>
        <v>0.38860173950324195</v>
      </c>
      <c r="M293" s="4">
        <f t="shared" ca="1" si="25"/>
        <v>0.56081068508369047</v>
      </c>
      <c r="N293" s="13">
        <f ca="1">IF(Prices!B292&gt;OFFSET(Prices!B292,-$N$3,0),1,-1)</f>
        <v>-1</v>
      </c>
      <c r="O293" s="4">
        <f ca="1">IF(N293=1,O$3*L292/Prices!B292,-O$3*M292)</f>
        <v>-2.3367111878487102E-2</v>
      </c>
      <c r="P293" s="22"/>
      <c r="Q293" s="13">
        <f ca="1">Q292-T293*Prices!B293</f>
        <v>0.29072646277066938</v>
      </c>
      <c r="R293" s="4">
        <f t="shared" ca="1" si="24"/>
        <v>0.62650244144712119</v>
      </c>
      <c r="S293" s="13">
        <f ca="1">IF(Prices!B292&gt;OFFSET(Prices!B292,-S$3,0),1,-1)</f>
        <v>1</v>
      </c>
      <c r="T293" s="4">
        <f ca="1">IF(S293=1,T$3*Q292/Prices!B292,-T$3*R292)</f>
        <v>7.4187435157782432E-3</v>
      </c>
      <c r="V293" s="13"/>
      <c r="W293" s="4"/>
      <c r="X293" s="4"/>
      <c r="Y293" s="4"/>
      <c r="Z293" s="4"/>
      <c r="AA293" s="4"/>
      <c r="AB293" s="4"/>
      <c r="AC293" s="4"/>
      <c r="AD293" s="4"/>
      <c r="AE293" s="52"/>
    </row>
    <row r="294" spans="1:31" x14ac:dyDescent="0.2">
      <c r="A294" s="7">
        <v>43422</v>
      </c>
      <c r="B294" s="13">
        <f ca="1">Prices!B293*(1+J294/(50*(ABS(O294)+ABS(T294)+0.0001)))</f>
        <v>1.1877206485986829</v>
      </c>
      <c r="C294" s="62">
        <f t="shared" ca="1" si="26"/>
        <v>0</v>
      </c>
      <c r="D294" s="13">
        <f ca="1">D293+C294*(Prices!B294-Prices!B293)/Prices!B293</f>
        <v>6.029672562598027E-3</v>
      </c>
      <c r="E294" s="13">
        <f t="shared" ca="1" si="30"/>
        <v>0.14414574298088068</v>
      </c>
      <c r="F294" s="13">
        <f t="shared" ca="1" si="28"/>
        <v>0.15017541554347871</v>
      </c>
      <c r="G294" s="21">
        <f ca="1">IF((Prices!B294-Prices!B293)*C294&gt;0,1,0)</f>
        <v>0</v>
      </c>
      <c r="H294" s="13">
        <f>ABS(Prices!B294-Prices!B293)/Prices!B293</f>
        <v>3.6306625959237229E-3</v>
      </c>
      <c r="I294" s="21"/>
      <c r="J294" s="4">
        <f t="shared" ca="1" si="29"/>
        <v>-4.1227500646761256E-2</v>
      </c>
      <c r="K294" s="13"/>
      <c r="L294" s="13">
        <f ca="1">L293-O294*Prices!B294</f>
        <v>0.41568889559278421</v>
      </c>
      <c r="M294" s="4">
        <f t="shared" ca="1" si="25"/>
        <v>0.53837825768034286</v>
      </c>
      <c r="N294" s="13">
        <f ca="1">IF(Prices!B293&gt;OFFSET(Prices!B293,-$N$3,0),1,-1)</f>
        <v>-1</v>
      </c>
      <c r="O294" s="4">
        <f ca="1">IF(N294=1,O$3*L293/Prices!B293,-O$3*M293)</f>
        <v>-2.2432427403347621E-2</v>
      </c>
      <c r="P294" s="22"/>
      <c r="Q294" s="13">
        <f ca="1">Q293-T294*Prices!B294</f>
        <v>0.31342151371209137</v>
      </c>
      <c r="R294" s="4">
        <f t="shared" ca="1" si="24"/>
        <v>0.60770736820370752</v>
      </c>
      <c r="S294" s="13">
        <f ca="1">IF(Prices!B293&gt;OFFSET(Prices!B293,-S$3,0),1,-1)</f>
        <v>-1</v>
      </c>
      <c r="T294" s="4">
        <f ca="1">IF(S294=1,T$3*Q293/Prices!B293,-T$3*R293)</f>
        <v>-1.8795073243413635E-2</v>
      </c>
      <c r="V294" s="13"/>
      <c r="W294" s="4"/>
      <c r="X294" s="4"/>
      <c r="Y294" s="4"/>
      <c r="Z294" s="4"/>
      <c r="AA294" s="4"/>
      <c r="AB294" s="4"/>
      <c r="AC294" s="4"/>
      <c r="AD294" s="4"/>
      <c r="AE294" s="52"/>
    </row>
    <row r="295" spans="1:31" x14ac:dyDescent="0.2">
      <c r="A295" s="7">
        <v>43429</v>
      </c>
      <c r="B295" s="13">
        <f ca="1">Prices!B294*(1+J295/(50*(ABS(O295)+ABS(T295)+0.0001)))</f>
        <v>1.1834105774021957</v>
      </c>
      <c r="C295" s="62">
        <f t="shared" ca="1" si="26"/>
        <v>0</v>
      </c>
      <c r="D295" s="13">
        <f ca="1">D294+C295*(Prices!B295-Prices!B294)/Prices!B294</f>
        <v>6.029672562598027E-3</v>
      </c>
      <c r="E295" s="13">
        <f t="shared" ca="1" si="30"/>
        <v>0.14414574298088068</v>
      </c>
      <c r="F295" s="13">
        <f t="shared" ca="1" si="28"/>
        <v>0.15017541554347871</v>
      </c>
      <c r="G295" s="21">
        <f ca="1">IF((Prices!B295-Prices!B294)*C295&gt;0,1,0)</f>
        <v>0</v>
      </c>
      <c r="H295" s="13">
        <f>ABS(Prices!B295-Prices!B294)/Prices!B294</f>
        <v>1.3250517598343697E-2</v>
      </c>
      <c r="I295" s="21"/>
      <c r="J295" s="4">
        <f t="shared" ca="1" si="29"/>
        <v>-3.9766351353324944E-2</v>
      </c>
      <c r="K295" s="13"/>
      <c r="L295" s="13">
        <f ca="1">L294-O295*Prices!B295</f>
        <v>0.44134800335382934</v>
      </c>
      <c r="M295" s="4">
        <f t="shared" ca="1" si="25"/>
        <v>0.5168431273731291</v>
      </c>
      <c r="N295" s="13">
        <f ca="1">IF(Prices!B294&gt;OFFSET(Prices!B294,-$N$3,0),1,-1)</f>
        <v>-1</v>
      </c>
      <c r="O295" s="4">
        <f ca="1">IF(N295=1,O$3*L294/Prices!B294,-O$3*M294)</f>
        <v>-2.1535130307213716E-2</v>
      </c>
      <c r="P295" s="22"/>
      <c r="Q295" s="13">
        <f ca="1">Q294-T295*Prices!B295</f>
        <v>0.33514401358853291</v>
      </c>
      <c r="R295" s="4">
        <f t="shared" ca="1" si="24"/>
        <v>0.58947614715759633</v>
      </c>
      <c r="S295" s="13">
        <f ca="1">IF(Prices!B294&gt;OFFSET(Prices!B294,-S$3,0),1,-1)</f>
        <v>-1</v>
      </c>
      <c r="T295" s="4">
        <f ca="1">IF(S295=1,T$3*Q294/Prices!B294,-T$3*R294)</f>
        <v>-1.8231221046111225E-2</v>
      </c>
      <c r="V295" s="13"/>
      <c r="W295" s="4"/>
      <c r="X295" s="4"/>
      <c r="Y295" s="4"/>
      <c r="Z295" s="4"/>
      <c r="AA295" s="4"/>
      <c r="AB295" s="4"/>
      <c r="AC295" s="4"/>
      <c r="AD295" s="4"/>
      <c r="AE295" s="52"/>
    </row>
    <row r="296" spans="1:31" x14ac:dyDescent="0.2">
      <c r="A296" s="7">
        <v>43436</v>
      </c>
      <c r="B296" s="13">
        <f ca="1">Prices!B295*(1+J296/(50*(ABS(O296)+ABS(T296)+0.0001)))</f>
        <v>1.1677319636853385</v>
      </c>
      <c r="C296" s="62">
        <f t="shared" ca="1" si="26"/>
        <v>0</v>
      </c>
      <c r="D296" s="13">
        <f ca="1">D295+C296*(Prices!B296-Prices!B295)/Prices!B295</f>
        <v>6.029672562598027E-3</v>
      </c>
      <c r="E296" s="13">
        <f t="shared" ca="1" si="30"/>
        <v>0.14414574298088068</v>
      </c>
      <c r="F296" s="13">
        <f t="shared" ca="1" si="28"/>
        <v>0.15017541554347871</v>
      </c>
      <c r="G296" s="21">
        <f ca="1">IF((Prices!B296-Prices!B295)*C296&gt;0,1,0)</f>
        <v>0</v>
      </c>
      <c r="H296" s="13">
        <f>ABS(Prices!B296-Prices!B295)/Prices!B295</f>
        <v>3.1892572387746754E-3</v>
      </c>
      <c r="I296" s="21"/>
      <c r="J296" s="4">
        <f t="shared" ca="1" si="29"/>
        <v>-3.8358009509653054E-2</v>
      </c>
      <c r="K296" s="13"/>
      <c r="L296" s="13">
        <f ca="1">L295-O296*Prices!B296</f>
        <v>0.46605930695979342</v>
      </c>
      <c r="M296" s="4">
        <f t="shared" ca="1" si="25"/>
        <v>0.49616940227820394</v>
      </c>
      <c r="N296" s="13">
        <f ca="1">IF(Prices!B295&gt;OFFSET(Prices!B295,-$N$3,0),1,-1)</f>
        <v>-1</v>
      </c>
      <c r="O296" s="4">
        <f ca="1">IF(N296=1,O$3*L295/Prices!B295,-O$3*M295)</f>
        <v>-2.0673725094925165E-2</v>
      </c>
      <c r="P296" s="22"/>
      <c r="Q296" s="13">
        <f ca="1">Q295-T296*Prices!B296</f>
        <v>0.35628203874945713</v>
      </c>
      <c r="R296" s="4">
        <f t="shared" ca="1" si="24"/>
        <v>0.57179186274286842</v>
      </c>
      <c r="S296" s="13">
        <f ca="1">IF(Prices!B295&gt;OFFSET(Prices!B295,-S$3,0),1,-1)</f>
        <v>-1</v>
      </c>
      <c r="T296" s="4">
        <f ca="1">IF(S296=1,T$3*Q295/Prices!B295,-T$3*R295)</f>
        <v>-1.7684284414727889E-2</v>
      </c>
      <c r="V296" s="13"/>
      <c r="W296" s="4"/>
      <c r="X296" s="4"/>
      <c r="Y296" s="4"/>
      <c r="Z296" s="4"/>
      <c r="AA296" s="4"/>
      <c r="AB296" s="4"/>
      <c r="AC296" s="4"/>
      <c r="AD296" s="4"/>
      <c r="AE296" s="52"/>
    </row>
    <row r="297" spans="1:31" x14ac:dyDescent="0.2">
      <c r="A297" s="7">
        <v>43443</v>
      </c>
      <c r="B297" s="13">
        <f ca="1">Prices!B296*(1+J297/(50*(ABS(O297)+ABS(T297)+0.0001)))</f>
        <v>1.1714584357337441</v>
      </c>
      <c r="C297" s="62">
        <f t="shared" ca="1" si="26"/>
        <v>0</v>
      </c>
      <c r="D297" s="13">
        <f ca="1">D296+C297*(Prices!B297-Prices!B296)/Prices!B296</f>
        <v>6.029672562598027E-3</v>
      </c>
      <c r="E297" s="13">
        <f t="shared" ca="1" si="30"/>
        <v>0.14414574298088068</v>
      </c>
      <c r="F297" s="13">
        <f t="shared" ca="1" si="28"/>
        <v>0.15017541554347871</v>
      </c>
      <c r="G297" s="21">
        <f ca="1">IF((Prices!B297-Prices!B296)*C297&gt;0,1,0)</f>
        <v>0</v>
      </c>
      <c r="H297" s="13">
        <f>ABS(Prices!B297-Prices!B296)/Prices!B296</f>
        <v>4.099389274659187E-3</v>
      </c>
      <c r="I297" s="21"/>
      <c r="J297" s="4">
        <f t="shared" ca="1" si="29"/>
        <v>-3.7000531973414214E-2</v>
      </c>
      <c r="K297" s="13"/>
      <c r="L297" s="13">
        <f ca="1">L296-O297*Prices!B297</f>
        <v>0.48968490921867236</v>
      </c>
      <c r="M297" s="4">
        <f t="shared" ca="1" si="25"/>
        <v>0.47632262618707577</v>
      </c>
      <c r="N297" s="13">
        <f ca="1">IF(Prices!B296&gt;OFFSET(Prices!B296,-$N$3,0),1,-1)</f>
        <v>-1</v>
      </c>
      <c r="O297" s="4">
        <f ca="1">IF(N297=1,O$3*L296/Prices!B296,-O$3*M296)</f>
        <v>-1.9846776091128157E-2</v>
      </c>
      <c r="P297" s="22"/>
      <c r="Q297" s="13">
        <f ca="1">Q296-T297*Prices!B297</f>
        <v>0.37670186975173042</v>
      </c>
      <c r="R297" s="4">
        <f t="shared" ca="1" si="24"/>
        <v>0.55463810686058235</v>
      </c>
      <c r="S297" s="13">
        <f ca="1">IF(Prices!B296&gt;OFFSET(Prices!B296,-S$3,0),1,-1)</f>
        <v>-1</v>
      </c>
      <c r="T297" s="4">
        <f ca="1">IF(S297=1,T$3*Q296/Prices!B296,-T$3*R296)</f>
        <v>-1.7153755882286053E-2</v>
      </c>
      <c r="V297" s="13"/>
      <c r="W297" s="4"/>
      <c r="X297" s="4"/>
      <c r="Y297" s="4"/>
      <c r="Z297" s="4"/>
      <c r="AA297" s="4"/>
      <c r="AB297" s="4"/>
      <c r="AC297" s="4"/>
      <c r="AD297" s="4"/>
      <c r="AE297" s="52"/>
    </row>
    <row r="298" spans="1:31" x14ac:dyDescent="0.2">
      <c r="A298" s="7">
        <v>43450</v>
      </c>
      <c r="B298" s="13">
        <f ca="1">Prices!B297*(1+J298/(50*(ABS(O298)+ABS(T298)+0.0001)))</f>
        <v>1.1666585175679007</v>
      </c>
      <c r="C298" s="62">
        <f t="shared" ca="1" si="26"/>
        <v>0</v>
      </c>
      <c r="D298" s="13">
        <f ca="1">D297+C298*(Prices!B298-Prices!B297)/Prices!B297</f>
        <v>6.029672562598027E-3</v>
      </c>
      <c r="E298" s="13">
        <f t="shared" ca="1" si="30"/>
        <v>0.14414574298088068</v>
      </c>
      <c r="F298" s="13">
        <f t="shared" ca="1" si="28"/>
        <v>0.15017541554347871</v>
      </c>
      <c r="G298" s="21">
        <f ca="1">IF((Prices!B298-Prices!B297)*C298&gt;0,1,0)</f>
        <v>0</v>
      </c>
      <c r="H298" s="13">
        <f>ABS(Prices!B298-Prices!B297)/Prices!B297</f>
        <v>9.2405913978493778E-3</v>
      </c>
      <c r="I298" s="21"/>
      <c r="J298" s="4">
        <f t="shared" ca="1" si="29"/>
        <v>-3.5692048253300496E-2</v>
      </c>
      <c r="K298" s="13"/>
      <c r="L298" s="13">
        <f ca="1">L297-O298*Prices!B298</f>
        <v>0.51215590543167389</v>
      </c>
      <c r="M298" s="4">
        <f t="shared" ca="1" si="25"/>
        <v>0.45726972113959274</v>
      </c>
      <c r="N298" s="13">
        <f ca="1">IF(Prices!B297&gt;OFFSET(Prices!B297,-$N$3,0),1,-1)</f>
        <v>-1</v>
      </c>
      <c r="O298" s="4">
        <f ca="1">IF(N298=1,O$3*L297/Prices!B297,-O$3*M297)</f>
        <v>-1.905290504748303E-2</v>
      </c>
      <c r="P298" s="22"/>
      <c r="Q298" s="13">
        <f ca="1">Q297-T298*Prices!B298</f>
        <v>0.39632607524867153</v>
      </c>
      <c r="R298" s="4">
        <f t="shared" ca="1" si="24"/>
        <v>0.53799896365476485</v>
      </c>
      <c r="S298" s="13">
        <f ca="1">IF(Prices!B297&gt;OFFSET(Prices!B297,-S$3,0),1,-1)</f>
        <v>-1</v>
      </c>
      <c r="T298" s="4">
        <f ca="1">IF(S298=1,T$3*Q297/Prices!B297,-T$3*R297)</f>
        <v>-1.6639143205817469E-2</v>
      </c>
      <c r="V298" s="13"/>
      <c r="W298" s="4"/>
      <c r="X298" s="4"/>
      <c r="Y298" s="4"/>
      <c r="Z298" s="4"/>
      <c r="AA298" s="4"/>
      <c r="AB298" s="4"/>
      <c r="AC298" s="4"/>
      <c r="AD298" s="4"/>
      <c r="AE298" s="52"/>
    </row>
    <row r="299" spans="1:31" x14ac:dyDescent="0.2">
      <c r="A299" s="7">
        <v>43457</v>
      </c>
      <c r="B299" s="13">
        <f ca="1">Prices!B298*(1+J299/(50*(ABS(O299)+ABS(T299)+0.0001)))</f>
        <v>1.1558803101140358</v>
      </c>
      <c r="C299" s="62">
        <f t="shared" ca="1" si="26"/>
        <v>0</v>
      </c>
      <c r="D299" s="13">
        <f ca="1">D298+C299*(Prices!B299-Prices!B298)/Prices!B298</f>
        <v>6.029672562598027E-3</v>
      </c>
      <c r="E299" s="13">
        <f t="shared" ca="1" si="30"/>
        <v>0.14414574298088068</v>
      </c>
      <c r="F299" s="13">
        <f t="shared" ca="1" si="28"/>
        <v>0.15017541554347871</v>
      </c>
      <c r="G299" s="21">
        <f ca="1">IF((Prices!B299-Prices!B298)*C299&gt;0,1,0)</f>
        <v>0</v>
      </c>
      <c r="H299" s="13">
        <f>ABS(Prices!B299-Prices!B298)/Prices!B298</f>
        <v>2.9676106494828376E-3</v>
      </c>
      <c r="I299" s="21"/>
      <c r="J299" s="4">
        <f t="shared" ca="1" si="29"/>
        <v>-3.4430757755226651E-2</v>
      </c>
      <c r="K299" s="13"/>
      <c r="L299" s="13">
        <f ca="1">L298-O299*Prices!B299</f>
        <v>0.53366404403519574</v>
      </c>
      <c r="M299" s="4">
        <f t="shared" ca="1" si="25"/>
        <v>0.43897893229400903</v>
      </c>
      <c r="N299" s="13">
        <f ca="1">IF(Prices!B298&gt;OFFSET(Prices!B298,-$N$3,0),1,-1)</f>
        <v>-1</v>
      </c>
      <c r="O299" s="4">
        <f ca="1">IF(N299=1,O$3*L298/Prices!B298,-O$3*M298)</f>
        <v>-1.8290788845583709E-2</v>
      </c>
      <c r="P299" s="22"/>
      <c r="Q299" s="13">
        <f ca="1">Q298-T299*Prices!B299</f>
        <v>0.41530506468952066</v>
      </c>
      <c r="R299" s="4">
        <f t="shared" ca="1" si="24"/>
        <v>0.52185899474512187</v>
      </c>
      <c r="S299" s="13">
        <f ca="1">IF(Prices!B298&gt;OFFSET(Prices!B298,-S$3,0),1,-1)</f>
        <v>-1</v>
      </c>
      <c r="T299" s="4">
        <f ca="1">IF(S299=1,T$3*Q298/Prices!B298,-T$3*R298)</f>
        <v>-1.6139968909642945E-2</v>
      </c>
      <c r="V299" s="13"/>
      <c r="W299" s="4"/>
      <c r="X299" s="4"/>
      <c r="Y299" s="4"/>
      <c r="Z299" s="4"/>
      <c r="AA299" s="4"/>
      <c r="AB299" s="4"/>
      <c r="AC299" s="4"/>
      <c r="AD299" s="4"/>
      <c r="AE299" s="52"/>
    </row>
    <row r="300" spans="1:31" x14ac:dyDescent="0.2">
      <c r="A300" s="7">
        <v>43464</v>
      </c>
      <c r="B300" s="13">
        <f ca="1">Prices!B299*(1+J300/(50*(ABS(O300)+ABS(T300)+0.0001)))</f>
        <v>1.1524525929804537</v>
      </c>
      <c r="C300" s="62">
        <f t="shared" ca="1" si="26"/>
        <v>0</v>
      </c>
      <c r="D300" s="13">
        <f ca="1">D299+C300*(Prices!B300-Prices!B299)/Prices!B299</f>
        <v>6.029672562598027E-3</v>
      </c>
      <c r="E300" s="13">
        <f t="shared" ca="1" si="30"/>
        <v>0.14414574298088068</v>
      </c>
      <c r="F300" s="13">
        <f t="shared" ca="1" si="28"/>
        <v>0.15017541554347871</v>
      </c>
      <c r="G300" s="21">
        <f ca="1">IF((Prices!B300-Prices!B299)*C300&gt;0,1,0)</f>
        <v>0</v>
      </c>
      <c r="H300" s="13">
        <f>ABS(Prices!B300-Prices!B299)/Prices!B299</f>
        <v>1.1905774300535771E-2</v>
      </c>
      <c r="I300" s="21"/>
      <c r="J300" s="4">
        <f t="shared" ca="1" si="29"/>
        <v>-3.3214927134114017E-2</v>
      </c>
      <c r="K300" s="13"/>
      <c r="L300" s="13">
        <f ca="1">L299-O300*Prices!B300</f>
        <v>0.55455768529666138</v>
      </c>
      <c r="M300" s="4">
        <f t="shared" ca="1" si="25"/>
        <v>0.42141977500224864</v>
      </c>
      <c r="N300" s="13">
        <f ca="1">IF(Prices!B299&gt;OFFSET(Prices!B299,-$N$3,0),1,-1)</f>
        <v>-1</v>
      </c>
      <c r="O300" s="4">
        <f ca="1">IF(N300=1,O$3*L299/Prices!B299,-O$3*M299)</f>
        <v>-1.7559157291760361E-2</v>
      </c>
      <c r="P300" s="22"/>
      <c r="Q300" s="13">
        <f ca="1">Q299-T300*Prices!B300</f>
        <v>0.43393386522493727</v>
      </c>
      <c r="R300" s="4">
        <f t="shared" ca="1" si="24"/>
        <v>0.50620322490276826</v>
      </c>
      <c r="S300" s="13">
        <f ca="1">IF(Prices!B299&gt;OFFSET(Prices!B299,-S$3,0),1,-1)</f>
        <v>-1</v>
      </c>
      <c r="T300" s="4">
        <f ca="1">IF(S300=1,T$3*Q299/Prices!B299,-T$3*R299)</f>
        <v>-1.5655769842353656E-2</v>
      </c>
      <c r="V300" s="13"/>
      <c r="W300" s="4"/>
      <c r="X300" s="4"/>
      <c r="Y300" s="4"/>
      <c r="Z300" s="4"/>
      <c r="AA300" s="4"/>
      <c r="AB300" s="4"/>
      <c r="AC300" s="4"/>
      <c r="AD300" s="4"/>
      <c r="AE300" s="52"/>
    </row>
    <row r="301" spans="1:31" x14ac:dyDescent="0.2">
      <c r="A301" s="7">
        <v>43471</v>
      </c>
      <c r="B301" s="13">
        <f ca="1">Prices!B300*(1+J301/(50*(ABS(O301)+ABS(T301)+0.0001)))</f>
        <v>1.1661760381517279</v>
      </c>
      <c r="C301" s="62">
        <f t="shared" ca="1" si="26"/>
        <v>0</v>
      </c>
      <c r="D301" s="13">
        <f ca="1">D300+C301*(Prices!B301-Prices!B300)/Prices!B300</f>
        <v>6.029672562598027E-3</v>
      </c>
      <c r="E301" s="13">
        <f t="shared" ca="1" si="30"/>
        <v>0.14414574298088068</v>
      </c>
      <c r="F301" s="13">
        <f t="shared" ca="1" si="28"/>
        <v>0.15017541554347871</v>
      </c>
      <c r="G301" s="21">
        <f ca="1">IF((Prices!B301-Prices!B300)*C301&gt;0,1,0)</f>
        <v>0</v>
      </c>
      <c r="H301" s="13">
        <f>ABS(Prices!B301-Prices!B300)/Prices!B300</f>
        <v>7.0594167577107013E-3</v>
      </c>
      <c r="I301" s="21"/>
      <c r="J301" s="4">
        <f t="shared" ca="1" si="29"/>
        <v>-3.2042887747172996E-2</v>
      </c>
      <c r="K301" s="13"/>
      <c r="L301" s="13">
        <f ca="1">L300-O301*Prices!B301</f>
        <v>0.57475717795206915</v>
      </c>
      <c r="M301" s="4">
        <f t="shared" ca="1" si="25"/>
        <v>0.40456298400215868</v>
      </c>
      <c r="N301" s="13">
        <f ca="1">IF(Prices!B300&gt;OFFSET(Prices!B300,-$N$3,0),1,-1)</f>
        <v>-1</v>
      </c>
      <c r="O301" s="4">
        <f ca="1">IF(N301=1,O$3*L300/Prices!B300,-O$3*M300)</f>
        <v>-1.6856791000089945E-2</v>
      </c>
      <c r="P301" s="22"/>
      <c r="Q301" s="13">
        <f ca="1">Q300-T301*Prices!B301</f>
        <v>0.45213136495696687</v>
      </c>
      <c r="R301" s="4">
        <f t="shared" ca="1" si="24"/>
        <v>0.49101712815568521</v>
      </c>
      <c r="S301" s="13">
        <f ca="1">IF(Prices!B300&gt;OFFSET(Prices!B300,-S$3,0),1,-1)</f>
        <v>-1</v>
      </c>
      <c r="T301" s="4">
        <f ca="1">IF(S301=1,T$3*Q300/Prices!B300,-T$3*R300)</f>
        <v>-1.5186096747083048E-2</v>
      </c>
      <c r="V301" s="13"/>
      <c r="W301" s="4"/>
      <c r="X301" s="4"/>
      <c r="Y301" s="4"/>
      <c r="Z301" s="4"/>
      <c r="AA301" s="4"/>
      <c r="AB301" s="4"/>
      <c r="AC301" s="4"/>
      <c r="AD301" s="4"/>
      <c r="AE301" s="52"/>
    </row>
    <row r="302" spans="1:31" x14ac:dyDescent="0.2">
      <c r="A302" s="7">
        <v>43478</v>
      </c>
      <c r="B302" s="13">
        <f ca="1">Prices!B301*(1+J302/(50*(ABS(O302)+ABS(T302)+0.0001)))</f>
        <v>1.2014389173270024</v>
      </c>
      <c r="C302" s="62">
        <f t="shared" ca="1" si="26"/>
        <v>1</v>
      </c>
      <c r="D302" s="13">
        <f ca="1">D301+C302*(Prices!B302-Prices!B301)/Prices!B301</f>
        <v>1.5543149988952093E-2</v>
      </c>
      <c r="E302" s="13">
        <f t="shared" ca="1" si="30"/>
        <v>0.13463226555452662</v>
      </c>
      <c r="F302" s="13">
        <f t="shared" ca="1" si="28"/>
        <v>0.15017541554347871</v>
      </c>
      <c r="G302" s="21">
        <f ca="1">IF((Prices!B302-Prices!B301)*C302&gt;0,1,0)</f>
        <v>1</v>
      </c>
      <c r="H302" s="13">
        <f>ABS(Prices!B302-Prices!B301)/Prices!B301</f>
        <v>9.513477426354066E-3</v>
      </c>
      <c r="I302" s="21"/>
      <c r="J302" s="4">
        <f t="shared" ca="1" si="29"/>
        <v>4.4552385696520411E-3</v>
      </c>
      <c r="K302" s="13"/>
      <c r="L302" s="13">
        <f ca="1">L301-O302*Prices!B302</f>
        <v>0.5515481732564631</v>
      </c>
      <c r="M302" s="4">
        <f t="shared" ca="1" si="25"/>
        <v>0.42374873641648125</v>
      </c>
      <c r="N302" s="13">
        <f ca="1">IF(Prices!B301&gt;OFFSET(Prices!B301,-$N$3,0),1,-1)</f>
        <v>1</v>
      </c>
      <c r="O302" s="4">
        <f ca="1">IF(N302=1,O$3*L301/Prices!B301,-O$3*M301)</f>
        <v>1.9185752414322597E-2</v>
      </c>
      <c r="P302" s="22"/>
      <c r="Q302" s="13">
        <f ca="1">Q301-T302*Prices!B302</f>
        <v>0.46995086755486487</v>
      </c>
      <c r="R302" s="4">
        <f t="shared" ca="1" si="24"/>
        <v>0.47628661431101466</v>
      </c>
      <c r="S302" s="13">
        <f ca="1">IF(Prices!B301&gt;OFFSET(Prices!B301,-S$3,0),1,-1)</f>
        <v>-1</v>
      </c>
      <c r="T302" s="4">
        <f ca="1">IF(S302=1,T$3*Q301/Prices!B301,-T$3*R301)</f>
        <v>-1.4730513844670556E-2</v>
      </c>
      <c r="V302" s="13"/>
      <c r="W302" s="4"/>
      <c r="X302" s="4"/>
      <c r="Y302" s="4"/>
      <c r="Z302" s="4"/>
      <c r="AA302" s="4"/>
      <c r="AB302" s="4"/>
      <c r="AC302" s="4"/>
      <c r="AD302" s="4"/>
      <c r="AE302" s="52"/>
    </row>
    <row r="303" spans="1:31" x14ac:dyDescent="0.2">
      <c r="A303" s="7">
        <v>43485</v>
      </c>
      <c r="B303" s="13">
        <f ca="1">Prices!B302*(1+J303/(50*(ABS(O303)+ABS(T303)+0.0001)))</f>
        <v>1.2338133320453977</v>
      </c>
      <c r="C303" s="62">
        <f t="shared" ca="1" si="26"/>
        <v>1</v>
      </c>
      <c r="D303" s="13">
        <f ca="1">D302+C303*(Prices!B303-Prices!B302)/Prices!B302</f>
        <v>9.177935472956358E-3</v>
      </c>
      <c r="E303" s="13">
        <f t="shared" ca="1" si="30"/>
        <v>0.14099748007052235</v>
      </c>
      <c r="F303" s="13">
        <f t="shared" ca="1" si="28"/>
        <v>0.15017541554347871</v>
      </c>
      <c r="G303" s="21">
        <f ca="1">IF((Prices!B303-Prices!B302)*C303&gt;0,1,0)</f>
        <v>0</v>
      </c>
      <c r="H303" s="13">
        <f>ABS(Prices!B303-Prices!B302)/Prices!B302</f>
        <v>6.365214515995735E-3</v>
      </c>
      <c r="I303" s="21"/>
      <c r="J303" s="4">
        <f t="shared" ca="1" si="29"/>
        <v>2.9892083125489355E-2</v>
      </c>
      <c r="K303" s="13"/>
      <c r="L303" s="13">
        <f ca="1">L302-O303*Prices!B303</f>
        <v>0.52962667522375195</v>
      </c>
      <c r="M303" s="4">
        <f t="shared" ca="1" si="25"/>
        <v>0.4419862555784706</v>
      </c>
      <c r="N303" s="13">
        <f ca="1">IF(Prices!B302&gt;OFFSET(Prices!B302,-$N$3,0),1,-1)</f>
        <v>1</v>
      </c>
      <c r="O303" s="4">
        <f ca="1">IF(N303=1,O$3*L302/Prices!B302,-O$3*M302)</f>
        <v>1.8237519161989357E-2</v>
      </c>
      <c r="P303" s="22"/>
      <c r="Q303" s="13">
        <f ca="1">Q302-T303*Prices!B303</f>
        <v>0.45594208167073785</v>
      </c>
      <c r="R303" s="4">
        <f t="shared" ca="1" si="24"/>
        <v>0.48794117827451466</v>
      </c>
      <c r="S303" s="13">
        <f ca="1">IF(Prices!B302&gt;OFFSET(Prices!B302,-S$3,0),1,-1)</f>
        <v>1</v>
      </c>
      <c r="T303" s="4">
        <f ca="1">IF(S303=1,T$3*Q302/Prices!B302,-T$3*R302)</f>
        <v>1.1654563963499997E-2</v>
      </c>
      <c r="V303" s="13"/>
      <c r="W303" s="4"/>
      <c r="X303" s="4"/>
      <c r="Y303" s="4"/>
      <c r="Z303" s="4"/>
      <c r="AA303" s="4"/>
      <c r="AB303" s="4"/>
      <c r="AC303" s="4"/>
      <c r="AD303" s="4"/>
      <c r="AE303" s="52"/>
    </row>
    <row r="304" spans="1:31" x14ac:dyDescent="0.2">
      <c r="A304" s="7">
        <v>43492</v>
      </c>
      <c r="B304" s="13">
        <f ca="1">Prices!B303*(1+J304/(50*(ABS(O304)+ABS(T304)+0.0001)))</f>
        <v>1.2042185204717566</v>
      </c>
      <c r="C304" s="62">
        <f t="shared" ca="1" si="26"/>
        <v>1</v>
      </c>
      <c r="D304" s="13">
        <f ca="1">D303+C304*(Prices!B304-Prices!B303)/Prices!B303</f>
        <v>2.132435810190806E-2</v>
      </c>
      <c r="E304" s="13">
        <f t="shared" ca="1" si="30"/>
        <v>0.12885105744157066</v>
      </c>
      <c r="F304" s="13">
        <f t="shared" ca="1" si="28"/>
        <v>0.15017541554347871</v>
      </c>
      <c r="G304" s="21">
        <f ca="1">IF((Prices!B304-Prices!B303)*C304&gt;0,1,0)</f>
        <v>1</v>
      </c>
      <c r="H304" s="13">
        <f>ABS(Prices!B304-Prices!B303)/Prices!B303</f>
        <v>1.2146422628951704E-2</v>
      </c>
      <c r="I304" s="21"/>
      <c r="J304" s="4">
        <f t="shared" ca="1" si="29"/>
        <v>2.9866124129543092E-3</v>
      </c>
      <c r="K304" s="13"/>
      <c r="L304" s="13">
        <f ca="1">L303-O304*Prices!B304</f>
        <v>0.5081842854374885</v>
      </c>
      <c r="M304" s="4">
        <f t="shared" ca="1" si="25"/>
        <v>0.45961110333966038</v>
      </c>
      <c r="N304" s="13">
        <f ca="1">IF(Prices!B303&gt;OFFSET(Prices!B303,-$N$3,0),1,-1)</f>
        <v>1</v>
      </c>
      <c r="O304" s="4">
        <f ca="1">IF(N304=1,O$3*L303/Prices!B303,-O$3*M303)</f>
        <v>1.7624847761189749E-2</v>
      </c>
      <c r="P304" s="22"/>
      <c r="Q304" s="13">
        <f ca="1">Q303-T304*Prices!B304</f>
        <v>0.47375095879540108</v>
      </c>
      <c r="R304" s="4">
        <f t="shared" ca="1" si="24"/>
        <v>0.47330294292627922</v>
      </c>
      <c r="S304" s="13">
        <f ca="1">IF(Prices!B303&gt;OFFSET(Prices!B303,-S$3,0),1,-1)</f>
        <v>-1</v>
      </c>
      <c r="T304" s="4">
        <f ca="1">IF(S304=1,T$3*Q303/Prices!B303,-T$3*R303)</f>
        <v>-1.463823534823544E-2</v>
      </c>
      <c r="V304" s="13"/>
      <c r="W304" s="4"/>
      <c r="X304" s="4"/>
      <c r="Y304" s="4"/>
      <c r="Z304" s="4"/>
      <c r="AA304" s="4"/>
      <c r="AB304" s="4"/>
      <c r="AC304" s="4"/>
      <c r="AD304" s="4"/>
      <c r="AE304" s="52"/>
    </row>
    <row r="305" spans="1:31" x14ac:dyDescent="0.2">
      <c r="A305" s="7">
        <v>43499</v>
      </c>
      <c r="B305" s="13">
        <f ca="1">Prices!B304*(1+J305/(50*(ABS(O305)+ABS(T305)+0.0001)))</f>
        <v>1.2408465961374933</v>
      </c>
      <c r="C305" s="62">
        <f t="shared" ca="1" si="26"/>
        <v>1</v>
      </c>
      <c r="D305" s="13">
        <f ca="1">D304+C305*(Prices!B305-Prices!B304)/Prices!B304</f>
        <v>1.9269450983709847E-2</v>
      </c>
      <c r="E305" s="13">
        <f t="shared" ca="1" si="30"/>
        <v>0.13090596455976886</v>
      </c>
      <c r="F305" s="13">
        <f t="shared" ca="1" si="28"/>
        <v>0.15017541554347871</v>
      </c>
      <c r="G305" s="21">
        <f ca="1">IF((Prices!B305-Prices!B304)*C305&gt;0,1,0)</f>
        <v>0</v>
      </c>
      <c r="H305" s="13">
        <f>ABS(Prices!B305-Prices!B304)/Prices!B304</f>
        <v>2.0549071181982137E-3</v>
      </c>
      <c r="I305" s="21"/>
      <c r="J305" s="4">
        <f t="shared" ca="1" si="29"/>
        <v>2.8390514697814874E-2</v>
      </c>
      <c r="K305" s="13"/>
      <c r="L305" s="13">
        <f ca="1">L304-O305*Prices!B305</f>
        <v>0.48789868488020904</v>
      </c>
      <c r="M305" s="4">
        <f t="shared" ca="1" si="25"/>
        <v>0.47631944742769222</v>
      </c>
      <c r="N305" s="13">
        <f ca="1">IF(Prices!B304&gt;OFFSET(Prices!B304,-$N$3,0),1,-1)</f>
        <v>1</v>
      </c>
      <c r="O305" s="4">
        <f ca="1">IF(N305=1,O$3*L304/Prices!B304,-O$3*M304)</f>
        <v>1.6708344088031846E-2</v>
      </c>
      <c r="P305" s="22"/>
      <c r="Q305" s="13">
        <f ca="1">Q304-T305*Prices!B305</f>
        <v>0.45956763545806351</v>
      </c>
      <c r="R305" s="4">
        <f t="shared" ca="1" si="24"/>
        <v>0.48498511353606227</v>
      </c>
      <c r="S305" s="13">
        <f ca="1">IF(Prices!B304&gt;OFFSET(Prices!B304,-S$3,0),1,-1)</f>
        <v>1</v>
      </c>
      <c r="T305" s="4">
        <f ca="1">IF(S305=1,T$3*Q304/Prices!B304,-T$3*R304)</f>
        <v>1.1682170609783028E-2</v>
      </c>
      <c r="V305" s="13"/>
      <c r="W305" s="4"/>
      <c r="X305" s="4"/>
      <c r="Y305" s="4"/>
      <c r="Z305" s="4"/>
      <c r="AA305" s="4"/>
      <c r="AB305" s="4"/>
      <c r="AC305" s="4"/>
      <c r="AD305" s="4"/>
      <c r="AE305" s="52"/>
    </row>
    <row r="306" spans="1:31" x14ac:dyDescent="0.2">
      <c r="A306" s="7">
        <v>43506</v>
      </c>
      <c r="B306" s="13">
        <f ca="1">Prices!B305*(1+J306/(50*(ABS(O306)+ABS(T306)+0.0001)))</f>
        <v>1.2382937986017897</v>
      </c>
      <c r="C306" s="62">
        <f t="shared" ca="1" si="26"/>
        <v>1</v>
      </c>
      <c r="D306" s="13">
        <f ca="1">D305+C306*(Prices!B306-Prices!B305)/Prices!B305</f>
        <v>2.2646438052320333E-2</v>
      </c>
      <c r="E306" s="13">
        <f t="shared" ca="1" si="30"/>
        <v>0.12752897749115838</v>
      </c>
      <c r="F306" s="13">
        <f t="shared" ca="1" si="28"/>
        <v>0.15017541554347871</v>
      </c>
      <c r="G306" s="21">
        <f ca="1">IF((Prices!B306-Prices!B305)*C306&gt;0,1,0)</f>
        <v>1</v>
      </c>
      <c r="H306" s="13">
        <f>ABS(Prices!B306-Prices!B305)/Prices!B305</f>
        <v>3.3769870686104872E-3</v>
      </c>
      <c r="I306" s="21"/>
      <c r="J306" s="4">
        <f t="shared" ca="1" si="29"/>
        <v>2.7430175816613347E-2</v>
      </c>
      <c r="K306" s="13"/>
      <c r="L306" s="13">
        <f ca="1">L305-O306*Prices!B306</f>
        <v>0.46831683238301536</v>
      </c>
      <c r="M306" s="4">
        <f t="shared" ca="1" si="25"/>
        <v>0.49239386254605838</v>
      </c>
      <c r="N306" s="13">
        <f ca="1">IF(Prices!B305&gt;OFFSET(Prices!B305,-$N$3,0),1,-1)</f>
        <v>1</v>
      </c>
      <c r="O306" s="4">
        <f ca="1">IF(N306=1,O$3*L305/Prices!B305,-O$3*M305)</f>
        <v>1.6074415118366166E-2</v>
      </c>
      <c r="P306" s="22"/>
      <c r="Q306" s="13">
        <f ca="1">Q305-T306*Prices!B306</f>
        <v>0.44573404777545877</v>
      </c>
      <c r="R306" s="4">
        <f t="shared" ca="1" si="24"/>
        <v>0.49634087423430945</v>
      </c>
      <c r="S306" s="13">
        <f ca="1">IF(Prices!B305&gt;OFFSET(Prices!B305,-S$3,0),1,-1)</f>
        <v>1</v>
      </c>
      <c r="T306" s="4">
        <f ca="1">IF(S306=1,T$3*Q305/Prices!B305,-T$3*R305)</f>
        <v>1.1355760698247183E-2</v>
      </c>
      <c r="V306" s="13"/>
      <c r="W306" s="4"/>
      <c r="X306" s="4"/>
      <c r="Y306" s="4"/>
      <c r="Z306" s="4"/>
      <c r="AA306" s="4"/>
      <c r="AB306" s="4"/>
      <c r="AC306" s="4"/>
      <c r="AD306" s="4"/>
      <c r="AE306" s="52"/>
    </row>
    <row r="307" spans="1:31" x14ac:dyDescent="0.2">
      <c r="A307" s="7">
        <f>A306+7</f>
        <v>43513</v>
      </c>
      <c r="B307" s="13">
        <f ca="1">Prices!B306*(1+J307/(50*(ABS(O307)+ABS(T307)+0.0001)))</f>
        <v>1.2424719012265211</v>
      </c>
      <c r="C307" s="62">
        <f t="shared" ca="1" si="26"/>
        <v>1</v>
      </c>
      <c r="D307" s="13">
        <f ca="1">D306+C307*(Prices!B307-Prices!B306)/Prices!B306</f>
        <v>2.3467321322719375E-2</v>
      </c>
      <c r="E307" s="13">
        <f t="shared" ca="1" si="30"/>
        <v>0.12670809422075935</v>
      </c>
      <c r="F307" s="13">
        <f t="shared" ca="1" si="28"/>
        <v>0.15017541554347871</v>
      </c>
      <c r="G307" s="21">
        <f ca="1">IF((Prices!B307-Prices!B306)*C307&gt;0,1,0)</f>
        <v>1</v>
      </c>
      <c r="H307" s="13">
        <f>ABS(Prices!B307-Prices!B306)/Prices!B306</f>
        <v>8.2088327039904116E-4</v>
      </c>
      <c r="I307" s="21"/>
      <c r="J307" s="4">
        <f t="shared" ca="1" si="29"/>
        <v>2.6354206803960251E-2</v>
      </c>
      <c r="K307" s="13"/>
      <c r="L307" s="13">
        <f ca="1">L306-O307*Prices!B307</f>
        <v>0.44956878174957676</v>
      </c>
      <c r="M307" s="4">
        <f t="shared" ca="1" si="25"/>
        <v>0.50777120066403625</v>
      </c>
      <c r="N307" s="13">
        <f ca="1">IF(Prices!B306&gt;OFFSET(Prices!B306,-$N$3,0),1,-1)</f>
        <v>1</v>
      </c>
      <c r="O307" s="4">
        <f ca="1">IF(N307=1,O$3*L306/Prices!B306,-O$3*M306)</f>
        <v>1.5377338117977847E-2</v>
      </c>
      <c r="P307" s="22"/>
      <c r="Q307" s="13">
        <f ca="1">Q306-T307*Prices!B307</f>
        <v>0.43235104947350905</v>
      </c>
      <c r="R307" s="4">
        <f t="shared" ca="1" si="24"/>
        <v>0.50731774292029186</v>
      </c>
      <c r="S307" s="13">
        <f ca="1">IF(Prices!B306&gt;OFFSET(Prices!B306,-S$3,0),1,-1)</f>
        <v>1</v>
      </c>
      <c r="T307" s="4">
        <f ca="1">IF(S307=1,T$3*Q306/Prices!B306,-T$3*R306)</f>
        <v>1.0976868685982404E-2</v>
      </c>
      <c r="V307" s="13"/>
      <c r="W307" s="4"/>
      <c r="X307" s="4"/>
      <c r="Y307" s="4"/>
      <c r="Z307" s="4"/>
      <c r="AA307" s="4"/>
      <c r="AB307" s="4"/>
      <c r="AC307" s="4"/>
      <c r="AD307" s="4"/>
      <c r="AE307" s="52"/>
    </row>
    <row r="308" spans="1:31" x14ac:dyDescent="0.2">
      <c r="A308" s="7">
        <f t="shared" ref="A308:A313" si="31">A307+7</f>
        <v>43520</v>
      </c>
      <c r="B308" s="13">
        <f ca="1">Prices!B307*(1+J308/(50*(ABS(O308)+ABS(T308)+0.0001)))</f>
        <v>1.243488332167886</v>
      </c>
      <c r="C308" s="62">
        <f t="shared" ca="1" si="26"/>
        <v>1</v>
      </c>
      <c r="D308" s="13">
        <f ca="1">D307+C308*(Prices!B308-Prices!B307)/Prices!B307</f>
        <v>2.1416796388336035E-2</v>
      </c>
      <c r="E308" s="13">
        <f t="shared" ca="1" si="30"/>
        <v>0.12875861915514267</v>
      </c>
      <c r="F308" s="13">
        <f t="shared" ca="1" si="28"/>
        <v>0.15017541554347871</v>
      </c>
      <c r="G308" s="21">
        <f ca="1">IF((Prices!B308-Prices!B307)*C308&gt;0,1,0)</f>
        <v>0</v>
      </c>
      <c r="H308" s="13">
        <f>ABS(Prices!B308-Prices!B307)/Prices!B307</f>
        <v>2.0505249343833404E-3</v>
      </c>
      <c r="I308" s="21"/>
      <c r="J308" s="4">
        <f t="shared" ca="1" si="29"/>
        <v>2.5388191235390701E-2</v>
      </c>
      <c r="K308" s="13"/>
      <c r="L308" s="13">
        <f ca="1">L307-O308*Prices!B308</f>
        <v>0.43162290455946162</v>
      </c>
      <c r="M308" s="4">
        <f t="shared" ca="1" si="25"/>
        <v>0.52252083261120086</v>
      </c>
      <c r="N308" s="13">
        <f ca="1">IF(Prices!B307&gt;OFFSET(Prices!B307,-$N$3,0),1,-1)</f>
        <v>1</v>
      </c>
      <c r="O308" s="4">
        <f ca="1">IF(N308=1,O$3*L307/Prices!B307,-O$3*M307)</f>
        <v>1.4749631947164592E-2</v>
      </c>
      <c r="P308" s="22"/>
      <c r="Q308" s="13">
        <f ca="1">Q307-T308*Prices!B308</f>
        <v>0.41940711438752437</v>
      </c>
      <c r="R308" s="4">
        <f t="shared" ca="1" si="24"/>
        <v>0.51795630220851796</v>
      </c>
      <c r="S308" s="13">
        <f ca="1">IF(Prices!B307&gt;OFFSET(Prices!B307,-S$3,0),1,-1)</f>
        <v>1</v>
      </c>
      <c r="T308" s="4">
        <f ca="1">IF(S308=1,T$3*Q307/Prices!B307,-T$3*R307)</f>
        <v>1.0638559288226108E-2</v>
      </c>
      <c r="V308" s="13"/>
      <c r="W308" s="4"/>
      <c r="X308" s="4"/>
      <c r="Y308" s="4"/>
      <c r="Z308" s="4"/>
      <c r="AA308" s="4"/>
      <c r="AB308" s="4"/>
      <c r="AC308" s="4"/>
      <c r="AD308" s="4"/>
      <c r="AE308" s="52"/>
    </row>
    <row r="309" spans="1:31" x14ac:dyDescent="0.2">
      <c r="A309" s="7">
        <f t="shared" si="31"/>
        <v>43527</v>
      </c>
      <c r="B309" s="13">
        <f ca="1">Prices!B308*(1+J309/(50*(ABS(O309)+ABS(T309)+0.0001)))</f>
        <v>1.2409352066609893</v>
      </c>
      <c r="C309" s="62">
        <f t="shared" ca="1" si="26"/>
        <v>1</v>
      </c>
      <c r="D309" s="13">
        <f ca="1">D308+C309*(Prices!B309-Prices!B308)/Prices!B308</f>
        <v>1.6649803703204281E-2</v>
      </c>
      <c r="E309" s="13">
        <f t="shared" ca="1" si="30"/>
        <v>0.13352561184027442</v>
      </c>
      <c r="F309" s="13">
        <f t="shared" ca="1" si="28"/>
        <v>0.15017541554347871</v>
      </c>
      <c r="G309" s="21">
        <f ca="1">IF((Prices!B309-Prices!B308)*C309&gt;0,1,0)</f>
        <v>0</v>
      </c>
      <c r="H309" s="13">
        <f>ABS(Prices!B309-Prices!B308)/Prices!B308</f>
        <v>4.7669926851317546E-3</v>
      </c>
      <c r="I309" s="21"/>
      <c r="J309" s="4">
        <f t="shared" ca="1" si="29"/>
        <v>2.4531215265886575E-2</v>
      </c>
      <c r="K309" s="13"/>
      <c r="L309" s="13">
        <f ca="1">L308-O309*Prices!B309</f>
        <v>0.41444029010623396</v>
      </c>
      <c r="M309" s="4">
        <f t="shared" ca="1" si="25"/>
        <v>0.53671078591306531</v>
      </c>
      <c r="N309" s="13">
        <f ca="1">IF(Prices!B308&gt;OFFSET(Prices!B308,-$N$3,0),1,-1)</f>
        <v>1</v>
      </c>
      <c r="O309" s="4">
        <f ca="1">IF(N309=1,O$3*L308/Prices!B308,-O$3*M308)</f>
        <v>1.4189953301864441E-2</v>
      </c>
      <c r="P309" s="22"/>
      <c r="Q309" s="13">
        <f ca="1">Q308-T309*Prices!B309</f>
        <v>0.40688488027528996</v>
      </c>
      <c r="R309" s="4">
        <f t="shared" ca="1" si="24"/>
        <v>0.52829756417254015</v>
      </c>
      <c r="S309" s="13">
        <f ca="1">IF(Prices!B308&gt;OFFSET(Prices!B308,-S$3,0),1,-1)</f>
        <v>1</v>
      </c>
      <c r="T309" s="4">
        <f ca="1">IF(S309=1,T$3*Q308/Prices!B308,-T$3*R308)</f>
        <v>1.0341261964022134E-2</v>
      </c>
      <c r="V309" s="13"/>
      <c r="W309" s="4"/>
      <c r="X309" s="4"/>
      <c r="Y309" s="4"/>
      <c r="Z309" s="4"/>
      <c r="AA309" s="4"/>
      <c r="AB309" s="4"/>
      <c r="AC309" s="4"/>
      <c r="AD309" s="4"/>
      <c r="AE309" s="52"/>
    </row>
    <row r="310" spans="1:31" x14ac:dyDescent="0.2">
      <c r="A310" s="7">
        <f t="shared" si="31"/>
        <v>43534</v>
      </c>
      <c r="B310" s="13">
        <f ca="1">Prices!B309*(1+J310/(50*(ABS(O310)+ABS(T310)+0.0001)))</f>
        <v>1.2350165458412696</v>
      </c>
      <c r="C310" s="62">
        <f t="shared" ca="1" si="26"/>
        <v>1</v>
      </c>
      <c r="D310" s="13">
        <f ca="1">D309+C310*(Prices!B310-Prices!B309)/Prices!B309</f>
        <v>-3.5830809280618728E-3</v>
      </c>
      <c r="E310" s="13">
        <f t="shared" ca="1" si="30"/>
        <v>0.15375849647154058</v>
      </c>
      <c r="F310" s="13">
        <f t="shared" ca="1" si="28"/>
        <v>0.15017541554347871</v>
      </c>
      <c r="G310" s="21">
        <f ca="1">IF((Prices!B310-Prices!B309)*C310&gt;0,1,0)</f>
        <v>0</v>
      </c>
      <c r="H310" s="13">
        <f>ABS(Prices!B310-Prices!B309)/Prices!B309</f>
        <v>2.0232884631266154E-2</v>
      </c>
      <c r="I310" s="21"/>
      <c r="J310" s="4">
        <f t="shared" ca="1" si="29"/>
        <v>2.3770879521436993E-2</v>
      </c>
      <c r="K310" s="13"/>
      <c r="L310" s="13">
        <f ca="1">L309-O310*Prices!B310</f>
        <v>0.39819809140503531</v>
      </c>
      <c r="M310" s="4">
        <f t="shared" ca="1" si="25"/>
        <v>0.55040110848656387</v>
      </c>
      <c r="N310" s="13">
        <f ca="1">IF(Prices!B309&gt;OFFSET(Prices!B309,-$N$3,0),1,-1)</f>
        <v>1</v>
      </c>
      <c r="O310" s="4">
        <f ca="1">IF(N310=1,O$3*L309/Prices!B309,-O$3*M309)</f>
        <v>1.3690322573498519E-2</v>
      </c>
      <c r="P310" s="22"/>
      <c r="Q310" s="13">
        <f ca="1">Q309-T310*Prices!B310</f>
        <v>0.39492530751225574</v>
      </c>
      <c r="R310" s="4">
        <f t="shared" ca="1" si="24"/>
        <v>0.53837812112047867</v>
      </c>
      <c r="S310" s="13">
        <f ca="1">IF(Prices!B309&gt;OFFSET(Prices!B309,-S$3,0),1,-1)</f>
        <v>1</v>
      </c>
      <c r="T310" s="4">
        <f ca="1">IF(S310=1,T$3*Q309/Prices!B309,-T$3*R309)</f>
        <v>1.0080556947938473E-2</v>
      </c>
      <c r="V310" s="13"/>
      <c r="W310" s="4"/>
      <c r="X310" s="4"/>
      <c r="Y310" s="4"/>
      <c r="Z310" s="4"/>
      <c r="AA310" s="4"/>
      <c r="AB310" s="4"/>
      <c r="AC310" s="4"/>
      <c r="AD310" s="4"/>
      <c r="AE310" s="52"/>
    </row>
    <row r="311" spans="1:31" x14ac:dyDescent="0.2">
      <c r="A311" s="7">
        <f t="shared" si="31"/>
        <v>43541</v>
      </c>
      <c r="B311" s="13">
        <f ca="1">Prices!B310*(1+J311/(50*(ABS(O311)+ABS(T311)+0.0001)))</f>
        <v>1.1775083933360027</v>
      </c>
      <c r="C311" s="62">
        <f t="shared" ca="1" si="26"/>
        <v>0</v>
      </c>
      <c r="D311" s="13">
        <f ca="1">D310+C311*(Prices!B311-Prices!B310)/Prices!B310</f>
        <v>-3.5830809280618728E-3</v>
      </c>
      <c r="E311" s="13">
        <f t="shared" ca="1" si="30"/>
        <v>0.15375849647154058</v>
      </c>
      <c r="F311" s="13">
        <f t="shared" ca="1" si="28"/>
        <v>0.15017541554347871</v>
      </c>
      <c r="G311" s="21">
        <f ca="1">IF((Prices!B311-Prices!B310)*C311&gt;0,1,0)</f>
        <v>0</v>
      </c>
      <c r="H311" s="13">
        <f>ABS(Prices!B311-Prices!B310)/Prices!B310</f>
        <v>5.9844908968308382E-3</v>
      </c>
      <c r="I311" s="21"/>
      <c r="J311" s="4">
        <f t="shared" ca="1" si="29"/>
        <v>-1.2029733461708278E-2</v>
      </c>
      <c r="K311" s="13"/>
      <c r="L311" s="13">
        <f ca="1">L310-O311*Prices!B311</f>
        <v>0.42447424032418385</v>
      </c>
      <c r="M311" s="4">
        <f t="shared" ca="1" si="25"/>
        <v>0.52838506414710129</v>
      </c>
      <c r="N311" s="13">
        <f ca="1">IF(Prices!B310&gt;OFFSET(Prices!B310,-$N$3,0),1,-1)</f>
        <v>-1</v>
      </c>
      <c r="O311" s="4">
        <f ca="1">IF(N311=1,O$3*L310/Prices!B310,-O$3*M310)</f>
        <v>-2.2016044339462554E-2</v>
      </c>
      <c r="P311" s="22"/>
      <c r="Q311" s="13">
        <f ca="1">Q310-T311*Prices!B311</f>
        <v>0.38300664547965602</v>
      </c>
      <c r="R311" s="4">
        <f t="shared" ca="1" si="24"/>
        <v>0.54836443199823293</v>
      </c>
      <c r="S311" s="13">
        <f ca="1">IF(Prices!B310&gt;OFFSET(Prices!B310,-S$3,0),1,-1)</f>
        <v>1</v>
      </c>
      <c r="T311" s="4">
        <f ca="1">IF(S311=1,T$3*Q310/Prices!B310,-T$3*R310)</f>
        <v>9.9863108777542755E-3</v>
      </c>
      <c r="V311" s="13"/>
      <c r="W311" s="4"/>
      <c r="X311" s="4"/>
      <c r="Y311" s="4"/>
      <c r="Z311" s="4"/>
      <c r="AA311" s="4"/>
      <c r="AB311" s="4"/>
      <c r="AC311" s="4"/>
      <c r="AD311" s="4"/>
      <c r="AE311" s="52"/>
    </row>
    <row r="312" spans="1:31" x14ac:dyDescent="0.2">
      <c r="A312" s="7">
        <f t="shared" si="31"/>
        <v>43548</v>
      </c>
      <c r="B312" s="13">
        <f ca="1">Prices!B311*(1+J312/(50*(ABS(O312)+ABS(T312)+0.0001)))</f>
        <v>1.1845993554119745</v>
      </c>
      <c r="C312" s="62">
        <f t="shared" ca="1" si="26"/>
        <v>0</v>
      </c>
      <c r="D312" s="13">
        <f ca="1">D311+C312*(Prices!B312-Prices!B311)/Prices!B311</f>
        <v>-3.5830809280618728E-3</v>
      </c>
      <c r="E312" s="13">
        <f t="shared" ca="1" si="30"/>
        <v>0.15375849647154058</v>
      </c>
      <c r="F312" s="13">
        <f t="shared" ca="1" si="28"/>
        <v>0.15017541554347871</v>
      </c>
      <c r="G312" s="21">
        <f ca="1">IF((Prices!B312-Prices!B311)*C312&gt;0,1,0)</f>
        <v>0</v>
      </c>
      <c r="H312" s="13">
        <f>ABS(Prices!B312-Prices!B311)/Prices!B311</f>
        <v>5.8651026392961001E-3</v>
      </c>
      <c r="I312" s="21"/>
      <c r="J312" s="4">
        <f t="shared" ca="1" si="29"/>
        <v>-1.1508088477581011E-2</v>
      </c>
      <c r="K312" s="13"/>
      <c r="L312" s="13">
        <f ca="1">L311-O312*Prices!B312</f>
        <v>0.44955139546860529</v>
      </c>
      <c r="M312" s="4">
        <f t="shared" ca="1" si="25"/>
        <v>0.5072496615812172</v>
      </c>
      <c r="N312" s="13">
        <f ca="1">IF(Prices!B311&gt;OFFSET(Prices!B311,-$N$3,0),1,-1)</f>
        <v>-1</v>
      </c>
      <c r="O312" s="4">
        <f ca="1">IF(N312=1,O$3*L311/Prices!B311,-O$3*M311)</f>
        <v>-2.1135402565884052E-2</v>
      </c>
      <c r="P312" s="22"/>
      <c r="Q312" s="13">
        <f ca="1">Q311-T312*Prices!B312</f>
        <v>0.37158383731388445</v>
      </c>
      <c r="R312" s="4">
        <f t="shared" ca="1" si="24"/>
        <v>0.55799174608653601</v>
      </c>
      <c r="S312" s="13">
        <f ca="1">IF(Prices!B311&gt;OFFSET(Prices!B311,-S$3,0),1,-1)</f>
        <v>1</v>
      </c>
      <c r="T312" s="4">
        <f ca="1">IF(S312=1,T$3*Q311/Prices!B311,-T$3*R311)</f>
        <v>9.6273140883030416E-3</v>
      </c>
      <c r="V312" s="13"/>
      <c r="W312" s="4"/>
      <c r="X312" s="4"/>
      <c r="Y312" s="4"/>
      <c r="Z312" s="4"/>
      <c r="AA312" s="4"/>
      <c r="AB312" s="4"/>
      <c r="AC312" s="4"/>
      <c r="AD312" s="4"/>
      <c r="AE312" s="52"/>
    </row>
    <row r="313" spans="1:31" x14ac:dyDescent="0.2">
      <c r="A313" s="7">
        <f t="shared" si="31"/>
        <v>43555</v>
      </c>
      <c r="B313" s="13">
        <f ca="1">Prices!B312*(1+J313/(50*(ABS(O313)+ABS(T313)+0.0001)))</f>
        <v>1.1628339110339521</v>
      </c>
      <c r="C313" s="62">
        <f t="shared" ca="1" si="26"/>
        <v>0</v>
      </c>
      <c r="D313" s="13">
        <f ca="1">D312+C313*(Prices!B313-Prices!B312)/Prices!B312</f>
        <v>-3.5830809280618728E-3</v>
      </c>
      <c r="E313" s="13">
        <f t="shared" ca="1" si="30"/>
        <v>0.15375849647154058</v>
      </c>
      <c r="F313" s="13">
        <f t="shared" ca="1" si="28"/>
        <v>0.15017541554347871</v>
      </c>
      <c r="G313" s="21">
        <f ca="1">IF((Prices!B313-Prices!B312)*C313&gt;0,1,0)</f>
        <v>0</v>
      </c>
      <c r="H313" s="13">
        <f>ABS(Prices!B313-Prices!B312)/Prices!B312</f>
        <v>9.2709650231763906E-4</v>
      </c>
      <c r="I313" s="21"/>
      <c r="J313" s="4">
        <f t="shared" ca="1" si="29"/>
        <v>-3.7029738845844769E-2</v>
      </c>
      <c r="K313" s="13"/>
      <c r="L313" s="13">
        <f ca="1">L312-O313*Prices!B313</f>
        <v>0.47364778339235941</v>
      </c>
      <c r="M313" s="4">
        <f t="shared" ca="1" si="25"/>
        <v>0.4869596751179685</v>
      </c>
      <c r="N313" s="13">
        <f ca="1">IF(Prices!B312&gt;OFFSET(Prices!B312,-$N$3,0),1,-1)</f>
        <v>-1</v>
      </c>
      <c r="O313" s="4">
        <f ca="1">IF(N313=1,O$3*L312/Prices!B312,-O$3*M312)</f>
        <v>-2.0289986463248689E-2</v>
      </c>
      <c r="P313" s="22"/>
      <c r="Q313" s="13">
        <f ca="1">Q312-T313*Prices!B313</f>
        <v>0.39146396724345556</v>
      </c>
      <c r="R313" s="4">
        <f t="shared" ca="1" si="24"/>
        <v>0.54125199370393995</v>
      </c>
      <c r="S313" s="13">
        <f ca="1">IF(Prices!B312&gt;OFFSET(Prices!B312,-S$3,0),1,-1)</f>
        <v>-1</v>
      </c>
      <c r="T313" s="4">
        <f ca="1">IF(S313=1,T$3*Q312/Prices!B312,-T$3*R312)</f>
        <v>-1.673975238259608E-2</v>
      </c>
      <c r="V313" s="13"/>
      <c r="W313" s="4"/>
      <c r="X313" s="4"/>
      <c r="Y313" s="4"/>
      <c r="Z313" s="4"/>
      <c r="AA313" s="4"/>
      <c r="AB313" s="4"/>
      <c r="AC313" s="4"/>
      <c r="AD313" s="4"/>
      <c r="AE313" s="52"/>
    </row>
    <row r="314" spans="1:31" x14ac:dyDescent="0.2">
      <c r="A314" s="7">
        <v>43562</v>
      </c>
      <c r="B314" s="13">
        <f ca="1">Prices!B313*(1+J314/(50*(ABS(O314)+ABS(T314)+0.0001)))</f>
        <v>1.1639143168284287</v>
      </c>
      <c r="C314" s="62">
        <f t="shared" ca="1" si="26"/>
        <v>0</v>
      </c>
      <c r="D314" s="13">
        <f ca="1">D313+C314*(Prices!B314-Prices!B313)/Prices!B313</f>
        <v>-3.5830809280618728E-3</v>
      </c>
      <c r="E314" s="13">
        <f t="shared" ca="1" si="30"/>
        <v>0.15375849647154058</v>
      </c>
      <c r="F314" s="13">
        <f t="shared" ca="1" si="28"/>
        <v>0.15017541554347871</v>
      </c>
      <c r="G314" s="21">
        <f ca="1">IF((Prices!B314-Prices!B313)*C314&gt;0,1,0)</f>
        <v>0</v>
      </c>
      <c r="H314" s="13">
        <f>ABS(Prices!B314-Prices!B313)/Prices!B313</f>
        <v>5.8942404850117003E-3</v>
      </c>
      <c r="I314" s="21"/>
      <c r="J314" s="4">
        <f t="shared" ca="1" si="29"/>
        <v>-3.5715946815836938E-2</v>
      </c>
      <c r="K314" s="13"/>
      <c r="L314" s="13">
        <f ca="1">L313-O314*Prices!B314</f>
        <v>0.49664396709013037</v>
      </c>
      <c r="M314" s="4">
        <f t="shared" ca="1" si="25"/>
        <v>0.46748128811324974</v>
      </c>
      <c r="N314" s="13">
        <f ca="1">IF(Prices!B313&gt;OFFSET(Prices!B313,-$N$3,0),1,-1)</f>
        <v>-1</v>
      </c>
      <c r="O314" s="4">
        <f ca="1">IF(N314=1,O$3*L313/Prices!B313,-O$3*M313)</f>
        <v>-1.9478387004718739E-2</v>
      </c>
      <c r="P314" s="22"/>
      <c r="Q314" s="13">
        <f ca="1">Q313-T314*Prices!B314</f>
        <v>0.41063403035646173</v>
      </c>
      <c r="R314" s="4">
        <f t="shared" ca="1" si="24"/>
        <v>0.52501443389282176</v>
      </c>
      <c r="S314" s="13">
        <f ca="1">IF(Prices!B313&gt;OFFSET(Prices!B313,-S$3,0),1,-1)</f>
        <v>-1</v>
      </c>
      <c r="T314" s="4">
        <f ca="1">IF(S314=1,T$3*Q313/Prices!B313,-T$3*R313)</f>
        <v>-1.6237559811118199E-2</v>
      </c>
      <c r="V314" s="13"/>
      <c r="W314" s="4"/>
      <c r="X314" s="4"/>
      <c r="Y314" s="4"/>
      <c r="Z314" s="4"/>
      <c r="AA314" s="4"/>
      <c r="AB314" s="4"/>
      <c r="AC314" s="4"/>
      <c r="AD314" s="4"/>
      <c r="AE314" s="52"/>
    </row>
    <row r="315" spans="1:31" x14ac:dyDescent="0.2">
      <c r="A315" s="7">
        <v>43569</v>
      </c>
      <c r="B315" s="13">
        <f ca="1">Prices!B314*(1+J315/(50*(ABS(O315)+ABS(T315)+0.0001)))</f>
        <v>1.1570563421580067</v>
      </c>
      <c r="C315" s="62">
        <f t="shared" ca="1" si="26"/>
        <v>0</v>
      </c>
      <c r="D315" s="13">
        <f ca="1">D314+C315*(Prices!B315-Prices!B314)/Prices!B314</f>
        <v>-3.5830809280618728E-3</v>
      </c>
      <c r="E315" s="13">
        <f t="shared" ca="1" si="30"/>
        <v>0.15375849647154058</v>
      </c>
      <c r="F315" s="13">
        <f t="shared" ca="1" si="28"/>
        <v>0.15017541554347871</v>
      </c>
      <c r="G315" s="21">
        <f ca="1">IF((Prices!B315-Prices!B314)*C315&gt;0,1,0)</f>
        <v>0</v>
      </c>
      <c r="H315" s="13">
        <f>ABS(Prices!B315-Prices!B314)/Prices!B314</f>
        <v>2.9645942740979658E-3</v>
      </c>
      <c r="I315" s="21"/>
      <c r="J315" s="4">
        <f t="shared" ca="1" si="29"/>
        <v>-3.444968454131464E-2</v>
      </c>
      <c r="K315" s="13"/>
      <c r="L315" s="13">
        <f ca="1">L314-O315*Prices!B315</f>
        <v>0.51865485605965467</v>
      </c>
      <c r="M315" s="4">
        <f t="shared" ca="1" si="25"/>
        <v>0.44878203658871973</v>
      </c>
      <c r="N315" s="13">
        <f ca="1">IF(Prices!B314&gt;OFFSET(Prices!B314,-$N$3,0),1,-1)</f>
        <v>-1</v>
      </c>
      <c r="O315" s="4">
        <f ca="1">IF(N315=1,O$3*L314/Prices!B314,-O$3*M314)</f>
        <v>-1.8699251524529989E-2</v>
      </c>
      <c r="P315" s="22"/>
      <c r="Q315" s="13">
        <f ca="1">Q314-T315*Prices!B315</f>
        <v>0.42917386506051897</v>
      </c>
      <c r="R315" s="4">
        <f t="shared" ca="1" si="24"/>
        <v>0.50926400087603707</v>
      </c>
      <c r="S315" s="13">
        <f ca="1">IF(Prices!B314&gt;OFFSET(Prices!B314,-S$3,0),1,-1)</f>
        <v>-1</v>
      </c>
      <c r="T315" s="4">
        <f ca="1">IF(S315=1,T$3*Q314/Prices!B314,-T$3*R314)</f>
        <v>-1.5750433016784651E-2</v>
      </c>
      <c r="V315" s="13"/>
      <c r="W315" s="4"/>
      <c r="X315" s="4"/>
      <c r="Y315" s="4"/>
      <c r="Z315" s="4"/>
      <c r="AA315" s="4"/>
      <c r="AB315" s="4"/>
      <c r="AC315" s="4"/>
      <c r="AD315" s="4"/>
      <c r="AE315" s="52"/>
    </row>
    <row r="316" spans="1:31" x14ac:dyDescent="0.2">
      <c r="A316" s="7">
        <v>43576</v>
      </c>
      <c r="B316" s="13">
        <f ca="1">Prices!B315*(1+J316/(50*(ABS(O316)+ABS(T316)+0.0001)))</f>
        <v>1.1536286347555527</v>
      </c>
      <c r="C316" s="62">
        <f t="shared" ca="1" si="26"/>
        <v>0</v>
      </c>
      <c r="D316" s="13">
        <f ca="1">D315+C316*(Prices!B316-Prices!B315)/Prices!B315</f>
        <v>-3.5830809280618728E-3</v>
      </c>
      <c r="E316" s="13">
        <f t="shared" ca="1" si="30"/>
        <v>0.15375849647154058</v>
      </c>
      <c r="F316" s="13">
        <f t="shared" ca="1" si="28"/>
        <v>0.15017541554347871</v>
      </c>
      <c r="G316" s="21">
        <f ca="1">IF((Prices!B316-Prices!B315)*C316&gt;0,1,0)</f>
        <v>0</v>
      </c>
      <c r="H316" s="13">
        <f>ABS(Prices!B316-Prices!B315)/Prices!B315</f>
        <v>8.4105003822954882E-3</v>
      </c>
      <c r="I316" s="21"/>
      <c r="J316" s="4">
        <f t="shared" ca="1" si="29"/>
        <v>-3.3229201489829899E-2</v>
      </c>
      <c r="K316" s="13"/>
      <c r="L316" s="13">
        <f ca="1">L315-O316*Prices!B316</f>
        <v>0.53996302715688704</v>
      </c>
      <c r="M316" s="4">
        <f t="shared" ca="1" si="25"/>
        <v>0.43083075512517094</v>
      </c>
      <c r="N316" s="13">
        <f ca="1">IF(Prices!B315&gt;OFFSET(Prices!B315,-$N$3,0),1,-1)</f>
        <v>-1</v>
      </c>
      <c r="O316" s="4">
        <f ca="1">IF(N316=1,O$3*L315/Prices!B315,-O$3*M315)</f>
        <v>-1.7951281463548789E-2</v>
      </c>
      <c r="P316" s="22"/>
      <c r="Q316" s="13">
        <f ca="1">Q315-T316*Prices!B316</f>
        <v>0.44730875613171467</v>
      </c>
      <c r="R316" s="4">
        <f t="shared" ca="1" si="24"/>
        <v>0.49398608084975598</v>
      </c>
      <c r="S316" s="13">
        <f ca="1">IF(Prices!B315&gt;OFFSET(Prices!B315,-S$3,0),1,-1)</f>
        <v>-1</v>
      </c>
      <c r="T316" s="4">
        <f ca="1">IF(S316=1,T$3*Q315/Prices!B315,-T$3*R315)</f>
        <v>-1.5277920026281111E-2</v>
      </c>
      <c r="V316" s="13"/>
      <c r="W316" s="4"/>
      <c r="X316" s="4"/>
      <c r="Y316" s="4"/>
      <c r="Z316" s="4"/>
      <c r="AA316" s="4"/>
      <c r="AB316" s="4"/>
      <c r="AC316" s="4"/>
      <c r="AD316" s="4"/>
      <c r="AE316" s="52"/>
    </row>
    <row r="317" spans="1:31" x14ac:dyDescent="0.2">
      <c r="A317" s="7">
        <v>43583</v>
      </c>
      <c r="B317" s="13">
        <f ca="1">Prices!B316*(1+J317/(50*(ABS(O317)+ABS(T317)+0.0001)))</f>
        <v>1.1894204255526037</v>
      </c>
      <c r="C317" s="62">
        <f t="shared" ca="1" si="26"/>
        <v>1</v>
      </c>
      <c r="D317" s="13">
        <f ca="1">D316+C317*(Prices!B317-Prices!B316)/Prices!B316</f>
        <v>-1.2681648746090636E-2</v>
      </c>
      <c r="E317" s="13">
        <f t="shared" ca="1" si="30"/>
        <v>0.16285706428956934</v>
      </c>
      <c r="F317" s="13">
        <f t="shared" ca="1" si="28"/>
        <v>0.15017541554347871</v>
      </c>
      <c r="G317" s="21">
        <f ca="1">IF((Prices!B317-Prices!B316)*C317&gt;0,1,0)</f>
        <v>0</v>
      </c>
      <c r="H317" s="13">
        <f>ABS(Prices!B317-Prices!B316)/Prices!B316</f>
        <v>9.0985678180287629E-3</v>
      </c>
      <c r="I317" s="21"/>
      <c r="J317" s="4">
        <f t="shared" ca="1" si="29"/>
        <v>3.3763072849331676E-3</v>
      </c>
      <c r="K317" s="13"/>
      <c r="L317" s="13">
        <f ca="1">L316-O317*Prices!B317</f>
        <v>0.51856102167948415</v>
      </c>
      <c r="M317" s="4">
        <f t="shared" ca="1" si="25"/>
        <v>0.44902664483559679</v>
      </c>
      <c r="N317" s="13">
        <f ca="1">IF(Prices!B316&gt;OFFSET(Prices!B316,-$N$3,0),1,-1)</f>
        <v>1</v>
      </c>
      <c r="O317" s="4">
        <f ca="1">IF(N317=1,O$3*L316/Prices!B316,-O$3*M316)</f>
        <v>1.8195889710425846E-2</v>
      </c>
      <c r="P317" s="22"/>
      <c r="Q317" s="13">
        <f ca="1">Q316-T317*Prices!B317</f>
        <v>0.46473954898057918</v>
      </c>
      <c r="R317" s="4">
        <f t="shared" ca="1" si="24"/>
        <v>0.47916649842426329</v>
      </c>
      <c r="S317" s="13">
        <f ca="1">IF(Prices!B316&gt;OFFSET(Prices!B316,-S$3,0),1,-1)</f>
        <v>-1</v>
      </c>
      <c r="T317" s="4">
        <f ca="1">IF(S317=1,T$3*Q316/Prices!B316,-T$3*R316)</f>
        <v>-1.4819582425492679E-2</v>
      </c>
      <c r="V317" s="13"/>
      <c r="W317" s="4"/>
      <c r="X317" s="4"/>
      <c r="Y317" s="4"/>
      <c r="Z317" s="4"/>
      <c r="AA317" s="4"/>
      <c r="AB317" s="4"/>
      <c r="AC317" s="4"/>
      <c r="AD317" s="4"/>
      <c r="AE317" s="52"/>
    </row>
    <row r="318" spans="1:31" x14ac:dyDescent="0.2">
      <c r="A318" s="7">
        <v>43590</v>
      </c>
      <c r="B318" s="13">
        <f ca="1">Prices!B317*(1+J318/(50*(ABS(O318)+ABS(T318)+0.0001)))</f>
        <v>1.1527485242198308</v>
      </c>
      <c r="C318" s="62">
        <f t="shared" ca="1" si="26"/>
        <v>0</v>
      </c>
      <c r="D318" s="13">
        <f ca="1">D317+C318*(Prices!B318-Prices!B317)/Prices!B317</f>
        <v>-1.2681648746090636E-2</v>
      </c>
      <c r="E318" s="13">
        <f t="shared" ca="1" si="30"/>
        <v>0.16285706428956934</v>
      </c>
      <c r="F318" s="13">
        <f t="shared" ca="1" si="28"/>
        <v>0.15017541554347871</v>
      </c>
      <c r="G318" s="21">
        <f ca="1">IF((Prices!B318-Prices!B317)*C318&gt;0,1,0)</f>
        <v>0</v>
      </c>
      <c r="H318" s="13">
        <f>ABS(Prices!B318-Prices!B317)/Prices!B317</f>
        <v>2.9756844074137552E-3</v>
      </c>
      <c r="I318" s="21"/>
      <c r="J318" s="4">
        <f t="shared" ca="1" si="29"/>
        <v>-3.2336060746151772E-2</v>
      </c>
      <c r="K318" s="13"/>
      <c r="L318" s="13">
        <f ca="1">L317-O318*Prices!B318</f>
        <v>0.53974969099598624</v>
      </c>
      <c r="M318" s="4">
        <f t="shared" ca="1" si="25"/>
        <v>0.43106557904217291</v>
      </c>
      <c r="N318" s="13">
        <f ca="1">IF(Prices!B317&gt;OFFSET(Prices!B317,-$N$3,0),1,-1)</f>
        <v>-1</v>
      </c>
      <c r="O318" s="4">
        <f ca="1">IF(N318=1,O$3*L317/Prices!B317,-O$3*M317)</f>
        <v>-1.7961065793423873E-2</v>
      </c>
      <c r="P318" s="22"/>
      <c r="Q318" s="13">
        <f ca="1">Q317-T318*Prices!B318</f>
        <v>0.48169773052631226</v>
      </c>
      <c r="R318" s="4">
        <f t="shared" ca="1" si="24"/>
        <v>0.46479150347153542</v>
      </c>
      <c r="S318" s="13">
        <f ca="1">IF(Prices!B317&gt;OFFSET(Prices!B317,-S$3,0),1,-1)</f>
        <v>-1</v>
      </c>
      <c r="T318" s="4">
        <f ca="1">IF(S318=1,T$3*Q317/Prices!B317,-T$3*R317)</f>
        <v>-1.4374994952727899E-2</v>
      </c>
      <c r="V318" s="13"/>
      <c r="W318" s="4"/>
      <c r="X318" s="4"/>
      <c r="Y318" s="4"/>
      <c r="Z318" s="4"/>
      <c r="AA318" s="4"/>
      <c r="AB318" s="4"/>
      <c r="AC318" s="4"/>
      <c r="AD318" s="4"/>
      <c r="AE318" s="52"/>
    </row>
    <row r="319" spans="1:31" x14ac:dyDescent="0.2">
      <c r="A319" s="7">
        <v>43597</v>
      </c>
      <c r="B319" s="13">
        <f ca="1">Prices!B318*(1+J319/(50*(ABS(O319)+ABS(T319)+0.0001)))</f>
        <v>1.1561814130354777</v>
      </c>
      <c r="C319" s="62">
        <f t="shared" ca="1" si="26"/>
        <v>0</v>
      </c>
      <c r="D319" s="13">
        <f ca="1">D318+C319*(Prices!B319-Prices!B318)/Prices!B318</f>
        <v>-1.2681648746090636E-2</v>
      </c>
      <c r="E319" s="13">
        <f t="shared" ca="1" si="30"/>
        <v>0.16285706428956934</v>
      </c>
      <c r="F319" s="13">
        <f t="shared" ca="1" si="28"/>
        <v>0.15017541554347871</v>
      </c>
      <c r="G319" s="21">
        <f ca="1">IF((Prices!B319-Prices!B318)*C319&gt;0,1,0)</f>
        <v>0</v>
      </c>
      <c r="H319" s="13">
        <f>ABS(Prices!B319-Prices!B318)/Prices!B318</f>
        <v>8.3919640586589978E-3</v>
      </c>
      <c r="I319" s="21"/>
      <c r="J319" s="4">
        <f t="shared" ca="1" si="29"/>
        <v>-3.118636826583298E-2</v>
      </c>
      <c r="K319" s="13"/>
      <c r="L319" s="13">
        <f ca="1">L318-O319*Prices!B319</f>
        <v>0.55992011157052757</v>
      </c>
      <c r="M319" s="4">
        <f t="shared" ca="1" si="25"/>
        <v>0.41382295588048601</v>
      </c>
      <c r="N319" s="13">
        <f ca="1">IF(Prices!B318&gt;OFFSET(Prices!B318,-$N$3,0),1,-1)</f>
        <v>-1</v>
      </c>
      <c r="O319" s="4">
        <f ca="1">IF(N319=1,O$3*L318/Prices!B318,-O$3*M318)</f>
        <v>-1.7242623161686916E-2</v>
      </c>
      <c r="P319" s="22"/>
      <c r="Q319" s="13">
        <f ca="1">Q318-T319*Prices!B319</f>
        <v>0.49800912354914234</v>
      </c>
      <c r="R319" s="4">
        <f t="shared" ca="1" si="24"/>
        <v>0.45084775836738933</v>
      </c>
      <c r="S319" s="13">
        <f ca="1">IF(Prices!B318&gt;OFFSET(Prices!B318,-S$3,0),1,-1)</f>
        <v>-1</v>
      </c>
      <c r="T319" s="4">
        <f ca="1">IF(S319=1,T$3*Q318/Prices!B318,-T$3*R318)</f>
        <v>-1.3943745104146062E-2</v>
      </c>
      <c r="V319" s="13"/>
      <c r="W319" s="4"/>
      <c r="X319" s="4"/>
      <c r="Y319" s="4"/>
      <c r="Z319" s="4"/>
      <c r="AA319" s="4"/>
      <c r="AB319" s="4"/>
      <c r="AC319" s="4"/>
      <c r="AD319" s="4"/>
      <c r="AE319" s="52"/>
    </row>
    <row r="320" spans="1:31" x14ac:dyDescent="0.2">
      <c r="A320" s="7">
        <v>43604</v>
      </c>
      <c r="B320" s="13">
        <f ca="1">Prices!B319*(1+J320/(50*(ABS(O320)+ABS(T320)+0.0001)))</f>
        <v>1.1464815257733951</v>
      </c>
      <c r="C320" s="62">
        <f t="shared" ca="1" si="26"/>
        <v>0</v>
      </c>
      <c r="D320" s="13">
        <f ca="1">D319+C320*(Prices!B320-Prices!B319)/Prices!B319</f>
        <v>-1.2681648746090636E-2</v>
      </c>
      <c r="E320" s="13">
        <f t="shared" ca="1" si="30"/>
        <v>0.16285706428956934</v>
      </c>
      <c r="F320" s="13">
        <f t="shared" ca="1" si="28"/>
        <v>0.15017541554347871</v>
      </c>
      <c r="G320" s="21">
        <f ca="1">IF((Prices!B320-Prices!B319)*C320&gt;0,1,0)</f>
        <v>0</v>
      </c>
      <c r="H320" s="13">
        <f>ABS(Prices!B320-Prices!B319)/Prices!B319</f>
        <v>8.2920157291845129E-3</v>
      </c>
      <c r="I320" s="21"/>
      <c r="J320" s="4">
        <f t="shared" ca="1" si="29"/>
        <v>-3.007835098624112E-2</v>
      </c>
      <c r="K320" s="13"/>
      <c r="L320" s="13">
        <f ca="1">L319-O320*Prices!B320</f>
        <v>0.57944427862896886</v>
      </c>
      <c r="M320" s="4">
        <f t="shared" ca="1" si="25"/>
        <v>0.39727003764526658</v>
      </c>
      <c r="N320" s="13">
        <f ca="1">IF(Prices!B319&gt;OFFSET(Prices!B319,-$N$3,0),1,-1)</f>
        <v>-1</v>
      </c>
      <c r="O320" s="4">
        <f ca="1">IF(N320=1,O$3*L319/Prices!B319,-O$3*M319)</f>
        <v>-1.6552918235219441E-2</v>
      </c>
      <c r="P320" s="22"/>
      <c r="Q320" s="13">
        <f ca="1">Q319-T320*Prices!B320</f>
        <v>0.51396237147897239</v>
      </c>
      <c r="R320" s="4">
        <f t="shared" ca="1" si="24"/>
        <v>0.43732232561636764</v>
      </c>
      <c r="S320" s="13">
        <f ca="1">IF(Prices!B319&gt;OFFSET(Prices!B319,-S$3,0),1,-1)</f>
        <v>-1</v>
      </c>
      <c r="T320" s="4">
        <f ca="1">IF(S320=1,T$3*Q319/Prices!B319,-T$3*R319)</f>
        <v>-1.3525432751021679E-2</v>
      </c>
      <c r="V320" s="13"/>
      <c r="W320" s="4"/>
      <c r="X320" s="4"/>
      <c r="Y320" s="4"/>
      <c r="Z320" s="4"/>
      <c r="AA320" s="4"/>
      <c r="AB320" s="4"/>
      <c r="AC320" s="4"/>
      <c r="AD320" s="4"/>
      <c r="AE320" s="52"/>
    </row>
    <row r="321" spans="1:31" x14ac:dyDescent="0.2">
      <c r="A321" s="7">
        <v>43611</v>
      </c>
      <c r="B321" s="13">
        <f ca="1">Prices!B320*(1+J321/(50*(ABS(O321)+ABS(T321)+0.0001)))</f>
        <v>1.1559910361322485</v>
      </c>
      <c r="C321" s="62">
        <f t="shared" ca="1" si="26"/>
        <v>0</v>
      </c>
      <c r="D321" s="13">
        <f ca="1">D320+C321*(Prices!B321-Prices!B320)/Prices!B320</f>
        <v>-1.2681648746090636E-2</v>
      </c>
      <c r="E321" s="13">
        <f t="shared" ca="1" si="30"/>
        <v>0.16285706428956934</v>
      </c>
      <c r="F321" s="13">
        <f t="shared" ca="1" si="28"/>
        <v>0.15017541554347871</v>
      </c>
      <c r="G321" s="21">
        <f ca="1">IF((Prices!B321-Prices!B320)*C321&gt;0,1,0)</f>
        <v>0</v>
      </c>
      <c r="H321" s="13">
        <f>ABS(Prices!B321-Prices!B320)/Prices!B320</f>
        <v>7.2064434082237828E-3</v>
      </c>
      <c r="I321" s="21"/>
      <c r="J321" s="4">
        <f t="shared" ca="1" si="29"/>
        <v>-2.9010471274301692E-2</v>
      </c>
      <c r="K321" s="13"/>
      <c r="L321" s="13">
        <f ca="1">L320-O321*Prices!B321</f>
        <v>0.59832255081787189</v>
      </c>
      <c r="M321" s="4">
        <f t="shared" ca="1" si="25"/>
        <v>0.3813792361394559</v>
      </c>
      <c r="N321" s="13">
        <f ca="1">IF(Prices!B320&gt;OFFSET(Prices!B320,-$N$3,0),1,-1)</f>
        <v>-1</v>
      </c>
      <c r="O321" s="4">
        <f ca="1">IF(N321=1,O$3*L320/Prices!B320,-O$3*M320)</f>
        <v>-1.5890801505810664E-2</v>
      </c>
      <c r="P321" s="22"/>
      <c r="Q321" s="13">
        <f ca="1">Q320-T321*Prices!B321</f>
        <v>0.52954853916393974</v>
      </c>
      <c r="R321" s="4">
        <f t="shared" ca="1" si="24"/>
        <v>0.42420265584787659</v>
      </c>
      <c r="S321" s="13">
        <f ca="1">IF(Prices!B320&gt;OFFSET(Prices!B320,-S$3,0),1,-1)</f>
        <v>-1</v>
      </c>
      <c r="T321" s="4">
        <f ca="1">IF(S321=1,T$3*Q320/Prices!B320,-T$3*R320)</f>
        <v>-1.3119669768491028E-2</v>
      </c>
      <c r="V321" s="13"/>
      <c r="W321" s="4"/>
      <c r="X321" s="4"/>
      <c r="Y321" s="4"/>
      <c r="Z321" s="4"/>
      <c r="AA321" s="4"/>
      <c r="AB321" s="4"/>
      <c r="AC321" s="4"/>
      <c r="AD321" s="4"/>
      <c r="AE321" s="52"/>
    </row>
    <row r="322" spans="1:31" x14ac:dyDescent="0.2">
      <c r="A322" s="7">
        <v>43618</v>
      </c>
      <c r="B322" s="13">
        <f ca="1">Prices!B321*(1+J322/(50*(ABS(O322)+ABS(T322)+0.0001)))</f>
        <v>1.2116893235310118</v>
      </c>
      <c r="C322" s="62">
        <f t="shared" ca="1" si="26"/>
        <v>1</v>
      </c>
      <c r="D322" s="13">
        <f ca="1">D321+C322*(Prices!B322-Prices!B321)/Prices!B321</f>
        <v>-1.8237204301646139E-2</v>
      </c>
      <c r="E322" s="13">
        <f t="shared" ca="1" si="30"/>
        <v>0.16841261984512484</v>
      </c>
      <c r="F322" s="13">
        <f t="shared" ca="1" si="28"/>
        <v>0.15017541554347871</v>
      </c>
      <c r="G322" s="21">
        <f ca="1">IF((Prices!B322-Prices!B321)*C322&gt;0,1,0)</f>
        <v>0</v>
      </c>
      <c r="H322" s="13">
        <f>ABS(Prices!B322-Prices!B321)/Prices!B321</f>
        <v>5.5555555555555046E-3</v>
      </c>
      <c r="I322" s="21"/>
      <c r="J322" s="4">
        <f t="shared" ca="1" si="29"/>
        <v>3.3517978289253424E-2</v>
      </c>
      <c r="K322" s="13"/>
      <c r="L322" s="13">
        <f ca="1">L321-O322*Prices!B322</f>
        <v>0.57452260935200539</v>
      </c>
      <c r="M322" s="4">
        <f t="shared" ca="1" si="25"/>
        <v>0.40152477657103408</v>
      </c>
      <c r="N322" s="13">
        <f ca="1">IF(Prices!B321&gt;OFFSET(Prices!B321,-$N$3,0),1,-1)</f>
        <v>1</v>
      </c>
      <c r="O322" s="4">
        <f ca="1">IF(N322=1,O$3*L321/Prices!B321,-O$3*M321)</f>
        <v>2.0145540431578179E-2</v>
      </c>
      <c r="P322" s="22"/>
      <c r="Q322" s="13">
        <f ca="1">Q321-T322*Prices!B322</f>
        <v>0.51375034107888218</v>
      </c>
      <c r="R322" s="4">
        <f t="shared" ca="1" si="24"/>
        <v>0.43757509370555181</v>
      </c>
      <c r="S322" s="13">
        <f ca="1">IF(Prices!B321&gt;OFFSET(Prices!B321,-S$3,0),1,-1)</f>
        <v>1</v>
      </c>
      <c r="T322" s="4">
        <f ca="1">IF(S322=1,T$3*Q321/Prices!B321,-T$3*R321)</f>
        <v>1.3372437857675246E-2</v>
      </c>
      <c r="V322" s="13"/>
      <c r="W322" s="4"/>
      <c r="X322" s="4"/>
      <c r="Y322" s="4"/>
      <c r="Z322" s="4"/>
      <c r="AA322" s="4"/>
      <c r="AB322" s="4"/>
      <c r="AC322" s="4"/>
      <c r="AD322" s="4"/>
      <c r="AE322" s="52"/>
    </row>
    <row r="323" spans="1:31" x14ac:dyDescent="0.2">
      <c r="A323" s="7">
        <v>43625</v>
      </c>
      <c r="B323" s="13">
        <f ca="1">Prices!B322*(1+J323/(50*(ABS(O323)+ABS(T323)+0.0001)))</f>
        <v>1.1578526740072967</v>
      </c>
      <c r="C323" s="62">
        <f t="shared" ca="1" si="26"/>
        <v>0</v>
      </c>
      <c r="D323" s="13">
        <f ca="1">D322+C323*(Prices!B323-Prices!B322)/Prices!B322</f>
        <v>-1.8237204301646139E-2</v>
      </c>
      <c r="E323" s="13">
        <f t="shared" ca="1" si="30"/>
        <v>0.16841261984512484</v>
      </c>
      <c r="F323" s="13">
        <f t="shared" ca="1" si="28"/>
        <v>0.15017541554347871</v>
      </c>
      <c r="G323" s="21">
        <f ca="1">IF((Prices!B323-Prices!B322)*C323&gt;0,1,0)</f>
        <v>0</v>
      </c>
      <c r="H323" s="13">
        <f>ABS(Prices!B323-Prices!B322)/Prices!B322</f>
        <v>7.5334349077366934E-3</v>
      </c>
      <c r="I323" s="21"/>
      <c r="J323" s="4">
        <f t="shared" ca="1" si="29"/>
        <v>-2.9188243874007917E-2</v>
      </c>
      <c r="K323" s="13"/>
      <c r="L323" s="13">
        <f ca="1">L322-O323*Prices!B323</f>
        <v>0.59335412137318688</v>
      </c>
      <c r="M323" s="4">
        <f t="shared" ca="1" si="25"/>
        <v>0.38546378550819271</v>
      </c>
      <c r="N323" s="13">
        <f ca="1">IF(Prices!B322&gt;OFFSET(Prices!B322,-$N$3,0),1,-1)</f>
        <v>-1</v>
      </c>
      <c r="O323" s="4">
        <f ca="1">IF(N323=1,O$3*L322/Prices!B322,-O$3*M322)</f>
        <v>-1.6060991062841364E-2</v>
      </c>
      <c r="P323" s="22"/>
      <c r="Q323" s="13">
        <f ca="1">Q322-T323*Prices!B323</f>
        <v>0.52914204499997497</v>
      </c>
      <c r="R323" s="4">
        <f t="shared" ca="1" si="24"/>
        <v>0.42444784089438525</v>
      </c>
      <c r="S323" s="13">
        <f ca="1">IF(Prices!B322&gt;OFFSET(Prices!B322,-S$3,0),1,-1)</f>
        <v>-1</v>
      </c>
      <c r="T323" s="4">
        <f ca="1">IF(S323=1,T$3*Q322/Prices!B322,-T$3*R322)</f>
        <v>-1.3127252811166553E-2</v>
      </c>
      <c r="V323" s="13"/>
      <c r="W323" s="4"/>
      <c r="X323" s="4"/>
      <c r="Y323" s="4"/>
      <c r="Z323" s="4"/>
      <c r="AA323" s="4"/>
      <c r="AB323" s="4"/>
      <c r="AC323" s="4"/>
      <c r="AD323" s="4"/>
      <c r="AE323" s="52"/>
    </row>
    <row r="324" spans="1:31" x14ac:dyDescent="0.2">
      <c r="A324" s="7">
        <v>43632</v>
      </c>
      <c r="B324" s="13">
        <f ca="1">Prices!B323*(1+J324/(50*(ABS(O324)+ABS(T324)+0.0001)))</f>
        <v>1.1491330030124707</v>
      </c>
      <c r="C324" s="62">
        <f t="shared" ca="1" si="26"/>
        <v>0</v>
      </c>
      <c r="D324" s="13">
        <f ca="1">D323+C324*(Prices!B324-Prices!B323)/Prices!B323</f>
        <v>-1.8237204301646139E-2</v>
      </c>
      <c r="E324" s="13">
        <f t="shared" ca="1" si="30"/>
        <v>0.16841261984512484</v>
      </c>
      <c r="F324" s="13">
        <f t="shared" ca="1" si="28"/>
        <v>0.15017541554347871</v>
      </c>
      <c r="G324" s="21">
        <f ca="1">IF((Prices!B324-Prices!B323)*C324&gt;0,1,0)</f>
        <v>0</v>
      </c>
      <c r="H324" s="13">
        <f>ABS(Prices!B324-Prices!B323)/Prices!B323</f>
        <v>4.2643923240933475E-4</v>
      </c>
      <c r="I324" s="21"/>
      <c r="J324" s="4">
        <f t="shared" ca="1" si="29"/>
        <v>-2.8151986647159268E-2</v>
      </c>
      <c r="K324" s="13"/>
      <c r="L324" s="13">
        <f ca="1">L323-O324*Prices!B324</f>
        <v>0.61142466363781101</v>
      </c>
      <c r="M324" s="4">
        <f t="shared" ca="1" si="25"/>
        <v>0.37004523408786499</v>
      </c>
      <c r="N324" s="13">
        <f ca="1">IF(Prices!B323&gt;OFFSET(Prices!B323,-$N$3,0),1,-1)</f>
        <v>-1</v>
      </c>
      <c r="O324" s="4">
        <f ca="1">IF(N324=1,O$3*L323/Prices!B323,-O$3*M323)</f>
        <v>-1.5418551420327709E-2</v>
      </c>
      <c r="P324" s="22"/>
      <c r="Q324" s="13">
        <f ca="1">Q323-T324*Prices!B324</f>
        <v>0.54406563108582151</v>
      </c>
      <c r="R324" s="4">
        <f t="shared" ca="1" si="24"/>
        <v>0.41171440566755368</v>
      </c>
      <c r="S324" s="13">
        <f ca="1">IF(Prices!B323&gt;OFFSET(Prices!B323,-S$3,0),1,-1)</f>
        <v>-1</v>
      </c>
      <c r="T324" s="4">
        <f ca="1">IF(S324=1,T$3*Q323/Prices!B323,-T$3*R323)</f>
        <v>-1.2733435226831557E-2</v>
      </c>
      <c r="V324" s="13"/>
      <c r="W324" s="4"/>
      <c r="X324" s="4"/>
      <c r="Y324" s="4"/>
      <c r="Z324" s="4"/>
      <c r="AA324" s="4"/>
      <c r="AB324" s="4"/>
      <c r="AC324" s="4"/>
      <c r="AD324" s="4"/>
      <c r="AE324" s="52"/>
    </row>
    <row r="325" spans="1:31" x14ac:dyDescent="0.2">
      <c r="A325" s="7">
        <v>43639</v>
      </c>
      <c r="B325" s="13">
        <f ca="1">Prices!B324*(1+J325/(50*(ABS(O325)+ABS(T325)+0.0001)))</f>
        <v>1.1486460081174974</v>
      </c>
      <c r="C325" s="62">
        <f t="shared" ca="1" si="26"/>
        <v>0</v>
      </c>
      <c r="D325" s="13">
        <f ca="1">D324+C325*(Prices!B325-Prices!B324)/Prices!B324</f>
        <v>-1.8237204301646139E-2</v>
      </c>
      <c r="E325" s="13">
        <f t="shared" ca="1" si="30"/>
        <v>0.16841261984512484</v>
      </c>
      <c r="F325" s="13">
        <f t="shared" ca="1" si="28"/>
        <v>0.15017541554347871</v>
      </c>
      <c r="G325" s="21">
        <f ca="1">IF((Prices!B325-Prices!B324)*C325&gt;0,1,0)</f>
        <v>0</v>
      </c>
      <c r="H325" s="13">
        <f>ABS(Prices!B325-Prices!B324)/Prices!B324</f>
        <v>1.0580204778156969E-2</v>
      </c>
      <c r="I325" s="21"/>
      <c r="J325" s="4">
        <f t="shared" ca="1" si="29"/>
        <v>-2.7153241533541209E-2</v>
      </c>
      <c r="K325" s="13"/>
      <c r="L325" s="13">
        <f ca="1">L324-O325*Prices!B325</f>
        <v>0.62858884177574259</v>
      </c>
      <c r="M325" s="4">
        <f t="shared" ca="1" si="25"/>
        <v>0.35524342472435039</v>
      </c>
      <c r="N325" s="13">
        <f ca="1">IF(Prices!B324&gt;OFFSET(Prices!B324,-$N$3,0),1,-1)</f>
        <v>-1</v>
      </c>
      <c r="O325" s="4">
        <f ca="1">IF(N325=1,O$3*L324/Prices!B324,-O$3*M324)</f>
        <v>-1.4801809363514599E-2</v>
      </c>
      <c r="P325" s="22"/>
      <c r="Q325" s="13">
        <f ca="1">Q324-T325*Prices!B325</f>
        <v>0.55838835183018432</v>
      </c>
      <c r="R325" s="4">
        <f t="shared" ref="R325:R388" ca="1" si="32">R324+T325</f>
        <v>0.39936297349752709</v>
      </c>
      <c r="S325" s="13">
        <f ca="1">IF(Prices!B324&gt;OFFSET(Prices!B324,-S$3,0),1,-1)</f>
        <v>-1</v>
      </c>
      <c r="T325" s="4">
        <f ca="1">IF(S325=1,T$3*Q324/Prices!B324,-T$3*R324)</f>
        <v>-1.235143217002661E-2</v>
      </c>
      <c r="V325" s="13"/>
      <c r="W325" s="4"/>
      <c r="X325" s="4"/>
      <c r="Y325" s="4"/>
      <c r="Z325" s="4"/>
      <c r="AA325" s="4"/>
      <c r="AB325" s="4"/>
      <c r="AC325" s="4"/>
      <c r="AD325" s="4"/>
      <c r="AE325" s="52"/>
    </row>
    <row r="326" spans="1:31" x14ac:dyDescent="0.2">
      <c r="A326" s="7">
        <v>43646</v>
      </c>
      <c r="B326" s="13">
        <f ca="1">Prices!B325*(1+J326/(50*(ABS(O326)+ABS(T326)+0.0001)))</f>
        <v>1.1364962139505881</v>
      </c>
      <c r="C326" s="62">
        <f t="shared" ca="1" si="26"/>
        <v>0</v>
      </c>
      <c r="D326" s="13">
        <f ca="1">D325+C326*(Prices!B326-Prices!B325)/Prices!B325</f>
        <v>-1.8237204301646139E-2</v>
      </c>
      <c r="E326" s="13">
        <f t="shared" ca="1" si="30"/>
        <v>0.16841261984512484</v>
      </c>
      <c r="F326" s="13">
        <f t="shared" ca="1" si="28"/>
        <v>0.15017541554347871</v>
      </c>
      <c r="G326" s="21">
        <f ca="1">IF((Prices!B326-Prices!B325)*C326&gt;0,1,0)</f>
        <v>0</v>
      </c>
      <c r="H326" s="13">
        <f>ABS(Prices!B326-Prices!B325)/Prices!B325</f>
        <v>2.3283890996894834E-3</v>
      </c>
      <c r="I326" s="21"/>
      <c r="J326" s="4">
        <f t="shared" ca="1" si="29"/>
        <v>-2.6190626193899828E-2</v>
      </c>
      <c r="K326" s="13"/>
      <c r="L326" s="13">
        <f ca="1">L325-O326*Prices!B326</f>
        <v>0.64502808649828658</v>
      </c>
      <c r="M326" s="4">
        <f t="shared" ca="1" si="25"/>
        <v>0.34103368773537635</v>
      </c>
      <c r="N326" s="13">
        <f ca="1">IF(Prices!B325&gt;OFFSET(Prices!B325,-$N$3,0),1,-1)</f>
        <v>-1</v>
      </c>
      <c r="O326" s="4">
        <f ca="1">IF(N326=1,O$3*L325/Prices!B325,-O$3*M325)</f>
        <v>-1.4209736988974016E-2</v>
      </c>
      <c r="P326" s="22"/>
      <c r="Q326" s="13">
        <f ca="1">Q325-T326*Prices!B326</f>
        <v>0.572249042551363</v>
      </c>
      <c r="R326" s="4">
        <f t="shared" ca="1" si="32"/>
        <v>0.38738208429260129</v>
      </c>
      <c r="S326" s="13">
        <f ca="1">IF(Prices!B325&gt;OFFSET(Prices!B325,-S$3,0),1,-1)</f>
        <v>-1</v>
      </c>
      <c r="T326" s="4">
        <f ca="1">IF(S326=1,T$3*Q325/Prices!B325,-T$3*R325)</f>
        <v>-1.1980889204925812E-2</v>
      </c>
      <c r="V326" s="13"/>
      <c r="W326" s="4"/>
      <c r="X326" s="4"/>
      <c r="Y326" s="4"/>
      <c r="Z326" s="4"/>
      <c r="AA326" s="4"/>
      <c r="AB326" s="4"/>
      <c r="AC326" s="4"/>
      <c r="AD326" s="4"/>
      <c r="AE326" s="52"/>
    </row>
    <row r="327" spans="1:31" x14ac:dyDescent="0.2">
      <c r="A327" s="7">
        <v>43653</v>
      </c>
      <c r="B327" s="13">
        <f ca="1">Prices!B326*(1+J327/(50*(ABS(O327)+ABS(T327)+0.0001)))</f>
        <v>1.1338532280617375</v>
      </c>
      <c r="C327" s="62">
        <f t="shared" ca="1" si="26"/>
        <v>0</v>
      </c>
      <c r="D327" s="13">
        <f ca="1">D326+C327*(Prices!B327-Prices!B326)/Prices!B326</f>
        <v>-1.8237204301646139E-2</v>
      </c>
      <c r="E327" s="13">
        <f t="shared" ca="1" si="30"/>
        <v>0.16841261984512484</v>
      </c>
      <c r="F327" s="13">
        <f t="shared" ca="1" si="28"/>
        <v>0.15017541554347871</v>
      </c>
      <c r="G327" s="21">
        <f ca="1">IF((Prices!B327-Prices!B326)*C327&gt;0,1,0)</f>
        <v>0</v>
      </c>
      <c r="H327" s="13">
        <f>ABS(Prices!B327-Prices!B326)/Prices!B326</f>
        <v>2.7660126199324656E-3</v>
      </c>
      <c r="I327" s="21"/>
      <c r="J327" s="4">
        <f t="shared" ca="1" si="29"/>
        <v>-2.5262810038193091E-2</v>
      </c>
      <c r="K327" s="13"/>
      <c r="L327" s="13">
        <f ca="1">L326-O327*Prices!B327</f>
        <v>0.66085341374395901</v>
      </c>
      <c r="M327" s="4">
        <f t="shared" ca="1" si="25"/>
        <v>0.32739234022596131</v>
      </c>
      <c r="N327" s="13">
        <f ca="1">IF(Prices!B326&gt;OFFSET(Prices!B326,-$N$3,0),1,-1)</f>
        <v>-1</v>
      </c>
      <c r="O327" s="4">
        <f ca="1">IF(N327=1,O$3*L326/Prices!B326,-O$3*M326)</f>
        <v>-1.3641347509415053E-2</v>
      </c>
      <c r="P327" s="22"/>
      <c r="Q327" s="13">
        <f ca="1">Q326-T327*Prices!B327</f>
        <v>0.58573110123099836</v>
      </c>
      <c r="R327" s="4">
        <f t="shared" ca="1" si="32"/>
        <v>0.37576062176382324</v>
      </c>
      <c r="S327" s="13">
        <f ca="1">IF(Prices!B326&gt;OFFSET(Prices!B326,-S$3,0),1,-1)</f>
        <v>-1</v>
      </c>
      <c r="T327" s="4">
        <f ca="1">IF(S327=1,T$3*Q326/Prices!B326,-T$3*R326)</f>
        <v>-1.1621462528778038E-2</v>
      </c>
      <c r="V327" s="13"/>
      <c r="W327" s="4"/>
      <c r="X327" s="4"/>
      <c r="Y327" s="4"/>
      <c r="Z327" s="4"/>
      <c r="AA327" s="4"/>
      <c r="AB327" s="4"/>
      <c r="AC327" s="4"/>
      <c r="AD327" s="4"/>
      <c r="AE327" s="52"/>
    </row>
    <row r="328" spans="1:31" x14ac:dyDescent="0.2">
      <c r="A328" s="7">
        <v>43660</v>
      </c>
      <c r="B328" s="13">
        <f ca="1">Prices!B327*(1+J328/(50*(ABS(O328)+ABS(T328)+0.0001)))</f>
        <v>1.1369928239098135</v>
      </c>
      <c r="C328" s="62">
        <f t="shared" ca="1" si="26"/>
        <v>0</v>
      </c>
      <c r="D328" s="13">
        <f ca="1">D327+C328*(Prices!B328-Prices!B327)/Prices!B327</f>
        <v>-1.8237204301646139E-2</v>
      </c>
      <c r="E328" s="13">
        <f t="shared" ca="1" si="30"/>
        <v>0.16841261984512484</v>
      </c>
      <c r="F328" s="13">
        <f t="shared" ca="1" si="28"/>
        <v>0.15017541554347871</v>
      </c>
      <c r="G328" s="21">
        <f ca="1">IF((Prices!B328-Prices!B327)*C328&gt;0,1,0)</f>
        <v>0</v>
      </c>
      <c r="H328" s="13">
        <f>ABS(Prices!B328-Prices!B327)/Prices!B327</f>
        <v>3.6203775536591517E-3</v>
      </c>
      <c r="I328" s="21"/>
      <c r="J328" s="4">
        <f t="shared" ca="1" si="29"/>
        <v>-2.4368512261953149E-2</v>
      </c>
      <c r="K328" s="13"/>
      <c r="L328" s="13">
        <f ca="1">L327-O328*Prices!B328</f>
        <v>0.67610072981296243</v>
      </c>
      <c r="M328" s="4">
        <f t="shared" ca="1" si="25"/>
        <v>0.31429664661692286</v>
      </c>
      <c r="N328" s="13">
        <f ca="1">IF(Prices!B327&gt;OFFSET(Prices!B327,-$N$3,0),1,-1)</f>
        <v>-1</v>
      </c>
      <c r="O328" s="4">
        <f ca="1">IF(N328=1,O$3*L327/Prices!B327,-O$3*M327)</f>
        <v>-1.3095693609038452E-2</v>
      </c>
      <c r="P328" s="22"/>
      <c r="Q328" s="13">
        <f ca="1">Q327-T328*Prices!B328</f>
        <v>0.59885604398858694</v>
      </c>
      <c r="R328" s="4">
        <f t="shared" ca="1" si="32"/>
        <v>0.36448780311090856</v>
      </c>
      <c r="S328" s="13">
        <f ca="1">IF(Prices!B327&gt;OFFSET(Prices!B327,-S$3,0),1,-1)</f>
        <v>-1</v>
      </c>
      <c r="T328" s="4">
        <f ca="1">IF(S328=1,T$3*Q327/Prices!B327,-T$3*R327)</f>
        <v>-1.1272818652914697E-2</v>
      </c>
      <c r="V328" s="13"/>
      <c r="W328" s="4"/>
      <c r="X328" s="4"/>
      <c r="Y328" s="4"/>
      <c r="Z328" s="4"/>
      <c r="AA328" s="4"/>
      <c r="AB328" s="4"/>
      <c r="AC328" s="4"/>
      <c r="AD328" s="4"/>
      <c r="AE328" s="52"/>
    </row>
    <row r="329" spans="1:31" x14ac:dyDescent="0.2">
      <c r="A329" s="7">
        <v>43667</v>
      </c>
      <c r="B329" s="13">
        <f ca="1">Prices!B328*(1+J329/(50*(ABS(O329)+ABS(T329)+0.0001)))</f>
        <v>1.1411126423232643</v>
      </c>
      <c r="C329" s="62">
        <f t="shared" ca="1" si="26"/>
        <v>0</v>
      </c>
      <c r="D329" s="13">
        <f ca="1">D328+C329*(Prices!B329-Prices!B328)/Prices!B328</f>
        <v>-1.8237204301646139E-2</v>
      </c>
      <c r="E329" s="13">
        <f t="shared" ca="1" si="30"/>
        <v>0.16841261984512484</v>
      </c>
      <c r="F329" s="13">
        <f t="shared" ca="1" si="28"/>
        <v>0.15017541554347871</v>
      </c>
      <c r="G329" s="21">
        <f ca="1">IF((Prices!B329-Prices!B328)*C329&gt;0,1,0)</f>
        <v>0</v>
      </c>
      <c r="H329" s="13">
        <f>ABS(Prices!B329-Prices!B328)/Prices!B328</f>
        <v>7.3005239199518618E-3</v>
      </c>
      <c r="I329" s="21"/>
      <c r="J329" s="4">
        <f t="shared" ca="1" si="29"/>
        <v>-2.3506499958004169E-2</v>
      </c>
      <c r="K329" s="13"/>
      <c r="L329" s="13">
        <f ca="1">L328-O329*Prices!B329</f>
        <v>0.69063129237935605</v>
      </c>
      <c r="M329" s="4">
        <f t="shared" ref="M329:M392" ca="1" si="33">M328+O329</f>
        <v>0.30172478075224596</v>
      </c>
      <c r="N329" s="13">
        <f ca="1">IF(Prices!B328&gt;OFFSET(Prices!B328,-$N$3,0),1,-1)</f>
        <v>-1</v>
      </c>
      <c r="O329" s="4">
        <f ca="1">IF(N329=1,O$3*L328/Prices!B328,-O$3*M328)</f>
        <v>-1.2571865864676915E-2</v>
      </c>
      <c r="P329" s="22"/>
      <c r="Q329" s="13">
        <f ca="1">Q328-T329*Prices!B329</f>
        <v>0.61149429407365463</v>
      </c>
      <c r="R329" s="4">
        <f t="shared" ca="1" si="32"/>
        <v>0.35355316901758133</v>
      </c>
      <c r="S329" s="13">
        <f ca="1">IF(Prices!B328&gt;OFFSET(Prices!B328,-S$3,0),1,-1)</f>
        <v>-1</v>
      </c>
      <c r="T329" s="4">
        <f ca="1">IF(S329=1,T$3*Q328/Prices!B328,-T$3*R328)</f>
        <v>-1.0934634093327256E-2</v>
      </c>
      <c r="V329" s="13"/>
      <c r="W329" s="4"/>
      <c r="X329" s="4"/>
      <c r="Y329" s="4"/>
      <c r="Z329" s="4"/>
      <c r="AA329" s="4"/>
      <c r="AB329" s="4"/>
      <c r="AC329" s="4"/>
      <c r="AD329" s="4"/>
      <c r="AE329" s="52"/>
    </row>
    <row r="330" spans="1:31" x14ac:dyDescent="0.2">
      <c r="A330" s="7">
        <v>43674</v>
      </c>
      <c r="B330" s="13">
        <f ca="1">Prices!B329*(1+J330/(50*(ABS(O330)+ABS(T330)+0.0001)))</f>
        <v>1.1327854946429694</v>
      </c>
      <c r="C330" s="62">
        <f t="shared" ca="1" si="26"/>
        <v>0</v>
      </c>
      <c r="D330" s="13">
        <f ca="1">D329+C330*(Prices!B330-Prices!B329)/Prices!B329</f>
        <v>-1.8237204301646139E-2</v>
      </c>
      <c r="E330" s="13">
        <f t="shared" ca="1" si="30"/>
        <v>0.16841261984512484</v>
      </c>
      <c r="F330" s="13">
        <f t="shared" ca="1" si="28"/>
        <v>0.15017541554347871</v>
      </c>
      <c r="G330" s="21">
        <f ca="1">IF((Prices!B330-Prices!B329)*C330&gt;0,1,0)</f>
        <v>0</v>
      </c>
      <c r="H330" s="13">
        <f>ABS(Prices!B330-Prices!B329)/Prices!B329</f>
        <v>1</v>
      </c>
      <c r="I330" s="21"/>
      <c r="J330" s="4">
        <f t="shared" ca="1" si="29"/>
        <v>-2.2675586300617279E-2</v>
      </c>
      <c r="K330" s="13"/>
      <c r="L330" s="13">
        <f ca="1">L329-O330*Prices!B330</f>
        <v>0.69063129237935605</v>
      </c>
      <c r="M330" s="4">
        <f t="shared" ca="1" si="33"/>
        <v>0.28965578952215609</v>
      </c>
      <c r="N330" s="13">
        <f ca="1">IF(Prices!B329&gt;OFFSET(Prices!B329,-$N$3,0),1,-1)</f>
        <v>-1</v>
      </c>
      <c r="O330" s="4">
        <f ca="1">IF(N330=1,O$3*L329/Prices!B329,-O$3*M329)</f>
        <v>-1.2068991230089839E-2</v>
      </c>
      <c r="P330" s="22"/>
      <c r="Q330" s="13">
        <f ca="1">Q329-T330*Prices!B330</f>
        <v>0.61149429407365463</v>
      </c>
      <c r="R330" s="4">
        <f t="shared" ca="1" si="32"/>
        <v>0.34294657394705391</v>
      </c>
      <c r="S330" s="13">
        <f ca="1">IF(Prices!B329&gt;OFFSET(Prices!B329,-S$3,0),1,-1)</f>
        <v>-1</v>
      </c>
      <c r="T330" s="4">
        <f ca="1">IF(S330=1,T$3*Q329/Prices!B329,-T$3*R329)</f>
        <v>-1.060659507052744E-2</v>
      </c>
      <c r="V330" s="13"/>
      <c r="W330" s="4"/>
      <c r="X330" s="4"/>
      <c r="Y330" s="4"/>
      <c r="Z330" s="4"/>
      <c r="AA330" s="4"/>
      <c r="AB330" s="4"/>
      <c r="AC330" s="4"/>
      <c r="AD330" s="4"/>
      <c r="AE330" s="52"/>
    </row>
    <row r="331" spans="1:31" x14ac:dyDescent="0.2">
      <c r="A331" s="7">
        <v>43681</v>
      </c>
      <c r="B331" s="13">
        <f ca="1">Prices!B330*(1+J331/(50*(ABS(O331)+ABS(T331)+0.0001)))</f>
        <v>0</v>
      </c>
      <c r="C331" s="62">
        <f t="shared" ca="1" si="26"/>
        <v>0</v>
      </c>
      <c r="D331" s="13" t="e">
        <f ca="1">D330+C331*(Prices!B331-Prices!B330)/Prices!B330</f>
        <v>#DIV/0!</v>
      </c>
      <c r="E331" s="13" t="e">
        <f t="shared" ca="1" si="30"/>
        <v>#DIV/0!</v>
      </c>
      <c r="F331" s="13" t="e">
        <f t="shared" ca="1" si="28"/>
        <v>#DIV/0!</v>
      </c>
      <c r="G331" s="21">
        <f ca="1">IF((Prices!B331-Prices!B330)*C331&gt;0,1,0)</f>
        <v>0</v>
      </c>
      <c r="H331" s="13" t="e">
        <f>ABS(Prices!B331-Prices!B330)/Prices!B330</f>
        <v>#DIV/0!</v>
      </c>
      <c r="I331" s="21"/>
      <c r="J331" s="4">
        <f t="shared" ca="1" si="29"/>
        <v>-2.1874628799297861E-2</v>
      </c>
      <c r="K331" s="13"/>
      <c r="L331" s="13">
        <f ca="1">L330-O331*Prices!B331</f>
        <v>0.69063129237935605</v>
      </c>
      <c r="M331" s="4">
        <f t="shared" ca="1" si="33"/>
        <v>0.27806955794126986</v>
      </c>
      <c r="N331" s="13">
        <f ca="1">IF(Prices!B330&gt;OFFSET(Prices!B330,-$N$3,0),1,-1)</f>
        <v>-1</v>
      </c>
      <c r="O331" s="4">
        <f ca="1">IF(N331=1,O$3*L330/Prices!B330,-O$3*M330)</f>
        <v>-1.1586231580886244E-2</v>
      </c>
      <c r="P331" s="22"/>
      <c r="Q331" s="13">
        <f ca="1">Q330-T331*Prices!B331</f>
        <v>0.61149429407365463</v>
      </c>
      <c r="R331" s="4">
        <f t="shared" ca="1" si="32"/>
        <v>0.33265817672864229</v>
      </c>
      <c r="S331" s="13">
        <f ca="1">IF(Prices!B330&gt;OFFSET(Prices!B330,-S$3,0),1,-1)</f>
        <v>-1</v>
      </c>
      <c r="T331" s="4">
        <f ca="1">IF(S331=1,T$3*Q330/Prices!B330,-T$3*R330)</f>
        <v>-1.0288397218411616E-2</v>
      </c>
      <c r="V331" s="13"/>
      <c r="W331" s="4"/>
      <c r="X331" s="4"/>
      <c r="Y331" s="4"/>
      <c r="Z331" s="4"/>
      <c r="AA331" s="4"/>
      <c r="AB331" s="4"/>
      <c r="AC331" s="4"/>
      <c r="AD331" s="4"/>
      <c r="AE331" s="52"/>
    </row>
    <row r="332" spans="1:31" x14ac:dyDescent="0.2">
      <c r="A332" s="7">
        <v>43688</v>
      </c>
      <c r="B332" s="13">
        <f ca="1">Prices!B331*(1+J332/(50*(ABS(O332)+ABS(T332)+0.0001)))</f>
        <v>0</v>
      </c>
      <c r="C332" s="62">
        <f t="shared" ca="1" si="26"/>
        <v>0</v>
      </c>
      <c r="D332" s="13" t="e">
        <f ca="1">D331+C332*(Prices!B332-Prices!B331)/Prices!B331</f>
        <v>#DIV/0!</v>
      </c>
      <c r="E332" s="13" t="e">
        <f t="shared" ca="1" si="30"/>
        <v>#DIV/0!</v>
      </c>
      <c r="F332" s="13" t="e">
        <f t="shared" ca="1" si="28"/>
        <v>#DIV/0!</v>
      </c>
      <c r="G332" s="21">
        <f ca="1">IF((Prices!B332-Prices!B331)*C332&gt;0,1,0)</f>
        <v>0</v>
      </c>
      <c r="H332" s="13" t="e">
        <f>ABS(Prices!B332-Prices!B331)/Prices!B331</f>
        <v>#DIV/0!</v>
      </c>
      <c r="I332" s="21"/>
      <c r="J332" s="4">
        <f t="shared" ca="1" si="29"/>
        <v>-2.1102527619510064E-2</v>
      </c>
      <c r="K332" s="13"/>
      <c r="L332" s="13">
        <f ca="1">L331-O332*Prices!B332</f>
        <v>0.69063129237935605</v>
      </c>
      <c r="M332" s="4">
        <f t="shared" ca="1" si="33"/>
        <v>0.26694677562361907</v>
      </c>
      <c r="N332" s="13">
        <f ca="1">IF(Prices!B331&gt;OFFSET(Prices!B331,-$N$3,0),1,-1)</f>
        <v>-1</v>
      </c>
      <c r="O332" s="4">
        <f ca="1">IF(N332=1,O$3*L331/Prices!B331,-O$3*M331)</f>
        <v>-1.1122782317650794E-2</v>
      </c>
      <c r="P332" s="22"/>
      <c r="Q332" s="13">
        <f ca="1">Q331-T332*Prices!B332</f>
        <v>0.61149429407365463</v>
      </c>
      <c r="R332" s="4">
        <f t="shared" ca="1" si="32"/>
        <v>0.32267843142678304</v>
      </c>
      <c r="S332" s="13">
        <f ca="1">IF(Prices!B331&gt;OFFSET(Prices!B331,-S$3,0),1,-1)</f>
        <v>-1</v>
      </c>
      <c r="T332" s="4">
        <f ca="1">IF(S332=1,T$3*Q331/Prices!B331,-T$3*R331)</f>
        <v>-9.9797453018592684E-3</v>
      </c>
      <c r="V332" s="13"/>
      <c r="W332" s="4"/>
      <c r="X332" s="4"/>
      <c r="Y332" s="4"/>
      <c r="Z332" s="4"/>
      <c r="AA332" s="4"/>
      <c r="AB332" s="4"/>
      <c r="AC332" s="4"/>
      <c r="AD332" s="4"/>
      <c r="AE332" s="52"/>
    </row>
    <row r="333" spans="1:31" x14ac:dyDescent="0.2">
      <c r="A333" s="7">
        <v>43695</v>
      </c>
      <c r="B333" s="13">
        <f ca="1">Prices!B332*(1+J333/(50*(ABS(O333)+ABS(T333)+0.0001)))</f>
        <v>0</v>
      </c>
      <c r="C333" s="62">
        <f t="shared" ca="1" si="26"/>
        <v>0</v>
      </c>
      <c r="D333" s="13" t="e">
        <f ca="1">D332+C333*(Prices!B333-Prices!B332)/Prices!B332</f>
        <v>#DIV/0!</v>
      </c>
      <c r="E333" s="13" t="e">
        <f t="shared" ca="1" si="30"/>
        <v>#DIV/0!</v>
      </c>
      <c r="F333" s="13" t="e">
        <f t="shared" ca="1" si="28"/>
        <v>#DIV/0!</v>
      </c>
      <c r="G333" s="21">
        <f ca="1">IF((Prices!B333-Prices!B332)*C333&gt;0,1,0)</f>
        <v>0</v>
      </c>
      <c r="H333" s="13" t="e">
        <f>ABS(Prices!B333-Prices!B332)/Prices!B332</f>
        <v>#DIV/0!</v>
      </c>
      <c r="I333" s="21"/>
      <c r="J333" s="4">
        <f t="shared" ca="1" si="29"/>
        <v>-2.0358223967748255E-2</v>
      </c>
      <c r="K333" s="13"/>
      <c r="L333" s="13">
        <f ca="1">L332-O333*Prices!B333</f>
        <v>0.69063129237935605</v>
      </c>
      <c r="M333" s="4">
        <f t="shared" ca="1" si="33"/>
        <v>0.2562689045986743</v>
      </c>
      <c r="N333" s="13">
        <f ca="1">IF(Prices!B332&gt;OFFSET(Prices!B332,-$N$3,0),1,-1)</f>
        <v>-1</v>
      </c>
      <c r="O333" s="4">
        <f ca="1">IF(N333=1,O$3*L332/Prices!B332,-O$3*M332)</f>
        <v>-1.0677871024944764E-2</v>
      </c>
      <c r="P333" s="22"/>
      <c r="Q333" s="13">
        <f ca="1">Q332-T333*Prices!B333</f>
        <v>0.61149429407365463</v>
      </c>
      <c r="R333" s="4">
        <f t="shared" ca="1" si="32"/>
        <v>0.31299807848397954</v>
      </c>
      <c r="S333" s="13">
        <f ca="1">IF(Prices!B332&gt;OFFSET(Prices!B332,-S$3,0),1,-1)</f>
        <v>-1</v>
      </c>
      <c r="T333" s="4">
        <f ca="1">IF(S333=1,T$3*Q332/Prices!B332,-T$3*R332)</f>
        <v>-9.6803529428034912E-3</v>
      </c>
      <c r="V333" s="13"/>
      <c r="W333" s="4"/>
      <c r="X333" s="4"/>
      <c r="Y333" s="4"/>
      <c r="Z333" s="4"/>
      <c r="AA333" s="4"/>
      <c r="AB333" s="4"/>
      <c r="AC333" s="4"/>
      <c r="AD333" s="4"/>
      <c r="AE333" s="52"/>
    </row>
    <row r="334" spans="1:31" x14ac:dyDescent="0.2">
      <c r="A334" s="7">
        <v>43702</v>
      </c>
      <c r="B334" s="13">
        <f ca="1">Prices!B333*(1+J334/(50*(ABS(O334)+ABS(T334)+0.0001)))</f>
        <v>0</v>
      </c>
      <c r="C334" s="62">
        <f t="shared" ca="1" si="26"/>
        <v>0</v>
      </c>
      <c r="D334" s="13" t="e">
        <f ca="1">D333+C334*(Prices!B334-Prices!B333)/Prices!B333</f>
        <v>#DIV/0!</v>
      </c>
      <c r="E334" s="13" t="e">
        <f t="shared" ca="1" si="30"/>
        <v>#DIV/0!</v>
      </c>
      <c r="F334" s="13" t="e">
        <f t="shared" ca="1" si="28"/>
        <v>#DIV/0!</v>
      </c>
      <c r="G334" s="21">
        <f ca="1">IF((Prices!B334-Prices!B333)*C334&gt;0,1,0)</f>
        <v>0</v>
      </c>
      <c r="H334" s="13" t="e">
        <f>ABS(Prices!B334-Prices!B333)/Prices!B333</f>
        <v>#DIV/0!</v>
      </c>
      <c r="I334" s="21"/>
      <c r="J334" s="4">
        <f t="shared" ca="1" si="29"/>
        <v>-1.964069853846636E-2</v>
      </c>
      <c r="K334" s="13"/>
      <c r="L334" s="13">
        <f ca="1">L333-O334*Prices!B334</f>
        <v>0.69063129237935605</v>
      </c>
      <c r="M334" s="4">
        <f t="shared" ca="1" si="33"/>
        <v>0.24601814841472733</v>
      </c>
      <c r="N334" s="13">
        <f ca="1">IF(Prices!B333&gt;OFFSET(Prices!B333,-$N$3,0),1,-1)</f>
        <v>-1</v>
      </c>
      <c r="O334" s="4">
        <f ca="1">IF(N334=1,O$3*L333/Prices!B333,-O$3*M333)</f>
        <v>-1.0250756183946972E-2</v>
      </c>
      <c r="P334" s="22"/>
      <c r="Q334" s="13">
        <f ca="1">Q333-T334*Prices!B334</f>
        <v>0.61149429407365463</v>
      </c>
      <c r="R334" s="4">
        <f t="shared" ca="1" si="32"/>
        <v>0.30360813612946014</v>
      </c>
      <c r="S334" s="13">
        <f ca="1">IF(Prices!B333&gt;OFFSET(Prices!B333,-S$3,0),1,-1)</f>
        <v>-1</v>
      </c>
      <c r="T334" s="4">
        <f ca="1">IF(S334=1,T$3*Q333/Prices!B333,-T$3*R333)</f>
        <v>-9.3899423545193862E-3</v>
      </c>
      <c r="V334" s="13"/>
      <c r="W334" s="4"/>
      <c r="X334" s="4"/>
      <c r="Y334" s="4"/>
      <c r="Z334" s="4"/>
      <c r="AA334" s="4"/>
      <c r="AB334" s="4"/>
      <c r="AC334" s="4"/>
      <c r="AD334" s="4"/>
      <c r="AE334" s="52"/>
    </row>
    <row r="335" spans="1:31" x14ac:dyDescent="0.2">
      <c r="A335" s="7">
        <v>43709</v>
      </c>
      <c r="B335" s="13">
        <f ca="1">Prices!B334*(1+J335/(50*(ABS(O335)+ABS(T335)+0.0001)))</f>
        <v>0</v>
      </c>
      <c r="C335" s="62">
        <f t="shared" ca="1" si="26"/>
        <v>0</v>
      </c>
      <c r="D335" s="13" t="e">
        <f ca="1">D334+C335*(Prices!B335-Prices!B334)/Prices!B334</f>
        <v>#DIV/0!</v>
      </c>
      <c r="E335" s="13" t="e">
        <f t="shared" ca="1" si="30"/>
        <v>#DIV/0!</v>
      </c>
      <c r="F335" s="13" t="e">
        <f t="shared" ca="1" si="28"/>
        <v>#DIV/0!</v>
      </c>
      <c r="G335" s="21">
        <f ca="1">IF((Prices!B335-Prices!B334)*C335&gt;0,1,0)</f>
        <v>0</v>
      </c>
      <c r="H335" s="13" t="e">
        <f>ABS(Prices!B335-Prices!B334)/Prices!B334</f>
        <v>#DIV/0!</v>
      </c>
      <c r="I335" s="21"/>
      <c r="J335" s="4">
        <f t="shared" ca="1" si="29"/>
        <v>-1.8948970020472897E-2</v>
      </c>
      <c r="K335" s="13"/>
      <c r="L335" s="13">
        <f ca="1">L334-O335*Prices!B335</f>
        <v>0.69063129237935605</v>
      </c>
      <c r="M335" s="4">
        <f t="shared" ca="1" si="33"/>
        <v>0.23617742247813822</v>
      </c>
      <c r="N335" s="13">
        <f ca="1">IF(Prices!B334&gt;OFFSET(Prices!B334,-$N$3,0),1,-1)</f>
        <v>-1</v>
      </c>
      <c r="O335" s="4">
        <f ca="1">IF(N335=1,O$3*L334/Prices!B334,-O$3*M334)</f>
        <v>-9.8407259365890926E-3</v>
      </c>
      <c r="P335" s="22"/>
      <c r="Q335" s="13">
        <f ca="1">Q334-T335*Prices!B335</f>
        <v>0.61149429407365463</v>
      </c>
      <c r="R335" s="4">
        <f t="shared" ca="1" si="32"/>
        <v>0.29449989204557636</v>
      </c>
      <c r="S335" s="13">
        <f ca="1">IF(Prices!B334&gt;OFFSET(Prices!B334,-S$3,0),1,-1)</f>
        <v>-1</v>
      </c>
      <c r="T335" s="4">
        <f ca="1">IF(S335=1,T$3*Q334/Prices!B334,-T$3*R334)</f>
        <v>-9.1082440838838041E-3</v>
      </c>
      <c r="V335" s="13"/>
      <c r="W335" s="4"/>
      <c r="X335" s="4"/>
      <c r="Y335" s="4"/>
      <c r="Z335" s="4"/>
      <c r="AA335" s="4"/>
      <c r="AB335" s="4"/>
      <c r="AC335" s="4"/>
      <c r="AD335" s="4"/>
      <c r="AE335" s="52"/>
    </row>
    <row r="336" spans="1:31" x14ac:dyDescent="0.2">
      <c r="A336" s="7">
        <v>43716</v>
      </c>
      <c r="B336" s="13">
        <f ca="1">Prices!B335*(1+J336/(50*(ABS(O336)+ABS(T336)+0.0001)))</f>
        <v>0</v>
      </c>
      <c r="C336" s="62">
        <f t="shared" ca="1" si="26"/>
        <v>0</v>
      </c>
      <c r="D336" s="13" t="e">
        <f ca="1">D335+C336*(Prices!B336-Prices!B335)/Prices!B335</f>
        <v>#DIV/0!</v>
      </c>
      <c r="E336" s="13" t="e">
        <f t="shared" ca="1" si="30"/>
        <v>#DIV/0!</v>
      </c>
      <c r="F336" s="13" t="e">
        <f t="shared" ca="1" si="28"/>
        <v>#DIV/0!</v>
      </c>
      <c r="G336" s="21">
        <f ca="1">IF((Prices!B336-Prices!B335)*C336&gt;0,1,0)</f>
        <v>0</v>
      </c>
      <c r="H336" s="13" t="e">
        <f>ABS(Prices!B336-Prices!B335)/Prices!B335</f>
        <v>#DIV/0!</v>
      </c>
      <c r="I336" s="21"/>
      <c r="J336" s="4">
        <f t="shared" ca="1" si="29"/>
        <v>-1.8282093660492819E-2</v>
      </c>
      <c r="K336" s="13"/>
      <c r="L336" s="13">
        <f ca="1">L335-O336*Prices!B336</f>
        <v>0.69063129237935605</v>
      </c>
      <c r="M336" s="4">
        <f t="shared" ca="1" si="33"/>
        <v>0.22673032557901268</v>
      </c>
      <c r="N336" s="13">
        <f ca="1">IF(Prices!B335&gt;OFFSET(Prices!B335,-$N$3,0),1,-1)</f>
        <v>-1</v>
      </c>
      <c r="O336" s="4">
        <f ca="1">IF(N336=1,O$3*L335/Prices!B335,-O$3*M335)</f>
        <v>-9.4470968991255296E-3</v>
      </c>
      <c r="P336" s="22"/>
      <c r="Q336" s="13">
        <f ca="1">Q335-T336*Prices!B336</f>
        <v>0.61149429407365463</v>
      </c>
      <c r="R336" s="4">
        <f t="shared" ca="1" si="32"/>
        <v>0.28566489528420907</v>
      </c>
      <c r="S336" s="13">
        <f ca="1">IF(Prices!B335&gt;OFFSET(Prices!B335,-S$3,0),1,-1)</f>
        <v>-1</v>
      </c>
      <c r="T336" s="4">
        <f ca="1">IF(S336=1,T$3*Q335/Prices!B335,-T$3*R335)</f>
        <v>-8.8349967613672899E-3</v>
      </c>
      <c r="V336" s="13"/>
      <c r="W336" s="4"/>
      <c r="X336" s="4"/>
      <c r="Y336" s="4"/>
      <c r="Z336" s="4"/>
      <c r="AA336" s="4"/>
      <c r="AB336" s="4"/>
      <c r="AC336" s="4"/>
      <c r="AD336" s="4"/>
      <c r="AE336" s="52"/>
    </row>
    <row r="337" spans="1:31" x14ac:dyDescent="0.2">
      <c r="A337" s="7">
        <v>43723</v>
      </c>
      <c r="B337" s="13">
        <f ca="1">Prices!B336*(1+J337/(50*(ABS(O337)+ABS(T337)+0.0001)))</f>
        <v>0</v>
      </c>
      <c r="C337" s="62">
        <f t="shared" ref="C337:C400" ca="1" si="34">IF(J337&gt;0,1,IF(J337&lt;0,0,0))</f>
        <v>0</v>
      </c>
      <c r="D337" s="13" t="e">
        <f ca="1">D336+C337*(Prices!B337-Prices!B336)/Prices!B336</f>
        <v>#DIV/0!</v>
      </c>
      <c r="E337" s="13" t="e">
        <f t="shared" ca="1" si="30"/>
        <v>#DIV/0!</v>
      </c>
      <c r="F337" s="13" t="e">
        <f t="shared" ref="F337:F400" ca="1" si="35">MAX(F336,D337)</f>
        <v>#DIV/0!</v>
      </c>
      <c r="G337" s="21">
        <f ca="1">IF((Prices!B337-Prices!B336)*C337&gt;0,1,0)</f>
        <v>0</v>
      </c>
      <c r="H337" s="13" t="e">
        <f>ABS(Prices!B337-Prices!B336)/Prices!B336</f>
        <v>#DIV/0!</v>
      </c>
      <c r="I337" s="21"/>
      <c r="J337" s="4">
        <f t="shared" ref="J337:J400" ca="1" si="36">O337+T337</f>
        <v>-1.7639159881686781E-2</v>
      </c>
      <c r="K337" s="13"/>
      <c r="L337" s="13">
        <f ca="1">L336-O337*Prices!B337</f>
        <v>0.69063129237935605</v>
      </c>
      <c r="M337" s="4">
        <f t="shared" ca="1" si="33"/>
        <v>0.21766111255585219</v>
      </c>
      <c r="N337" s="13">
        <f ca="1">IF(Prices!B336&gt;OFFSET(Prices!B336,-$N$3,0),1,-1)</f>
        <v>-1</v>
      </c>
      <c r="O337" s="4">
        <f ca="1">IF(N337=1,O$3*L336/Prices!B336,-O$3*M336)</f>
        <v>-9.0692130231605078E-3</v>
      </c>
      <c r="P337" s="22"/>
      <c r="Q337" s="13">
        <f ca="1">Q336-T337*Prices!B337</f>
        <v>0.61149429407365463</v>
      </c>
      <c r="R337" s="4">
        <f t="shared" ca="1" si="32"/>
        <v>0.27709494842568283</v>
      </c>
      <c r="S337" s="13">
        <f ca="1">IF(Prices!B336&gt;OFFSET(Prices!B336,-S$3,0),1,-1)</f>
        <v>-1</v>
      </c>
      <c r="T337" s="4">
        <f ca="1">IF(S337=1,T$3*Q336/Prices!B336,-T$3*R336)</f>
        <v>-8.5699468585262711E-3</v>
      </c>
      <c r="V337" s="13"/>
      <c r="W337" s="4"/>
      <c r="X337" s="4"/>
      <c r="Y337" s="4"/>
      <c r="Z337" s="4"/>
      <c r="AA337" s="4"/>
      <c r="AB337" s="4"/>
      <c r="AC337" s="4"/>
      <c r="AD337" s="4"/>
      <c r="AE337" s="52"/>
    </row>
    <row r="338" spans="1:31" x14ac:dyDescent="0.2">
      <c r="A338" s="7">
        <v>43730</v>
      </c>
      <c r="B338" s="13">
        <f ca="1">Prices!B337*(1+J338/(50*(ABS(O338)+ABS(T338)+0.0001)))</f>
        <v>0</v>
      </c>
      <c r="C338" s="62">
        <f t="shared" ca="1" si="34"/>
        <v>0</v>
      </c>
      <c r="D338" s="13" t="e">
        <f ca="1">D337+C338*(Prices!B338-Prices!B337)/Prices!B337</f>
        <v>#DIV/0!</v>
      </c>
      <c r="E338" s="13" t="e">
        <f t="shared" ca="1" si="30"/>
        <v>#DIV/0!</v>
      </c>
      <c r="F338" s="13" t="e">
        <f t="shared" ca="1" si="35"/>
        <v>#DIV/0!</v>
      </c>
      <c r="G338" s="21">
        <f ca="1">IF((Prices!B338-Prices!B337)*C338&gt;0,1,0)</f>
        <v>0</v>
      </c>
      <c r="H338" s="13" t="e">
        <f>ABS(Prices!B338-Prices!B337)/Prices!B337</f>
        <v>#DIV/0!</v>
      </c>
      <c r="I338" s="21"/>
      <c r="J338" s="4">
        <f t="shared" ca="1" si="36"/>
        <v>-1.7019292955004574E-2</v>
      </c>
      <c r="K338" s="13"/>
      <c r="L338" s="13">
        <f ca="1">L337-O338*Prices!B338</f>
        <v>0.69063129237935605</v>
      </c>
      <c r="M338" s="4">
        <f t="shared" ca="1" si="33"/>
        <v>0.20895466805361809</v>
      </c>
      <c r="N338" s="13">
        <f ca="1">IF(Prices!B337&gt;OFFSET(Prices!B337,-$N$3,0),1,-1)</f>
        <v>-1</v>
      </c>
      <c r="O338" s="4">
        <f ca="1">IF(N338=1,O$3*L337/Prices!B337,-O$3*M337)</f>
        <v>-8.7064445022340883E-3</v>
      </c>
      <c r="P338" s="22"/>
      <c r="Q338" s="13">
        <f ca="1">Q337-T338*Prices!B338</f>
        <v>0.61149429407365463</v>
      </c>
      <c r="R338" s="4">
        <f t="shared" ca="1" si="32"/>
        <v>0.26878209997291236</v>
      </c>
      <c r="S338" s="13">
        <f ca="1">IF(Prices!B337&gt;OFFSET(Prices!B337,-S$3,0),1,-1)</f>
        <v>-1</v>
      </c>
      <c r="T338" s="4">
        <f ca="1">IF(S338=1,T$3*Q337/Prices!B337,-T$3*R337)</f>
        <v>-8.3128484527704855E-3</v>
      </c>
      <c r="V338" s="13"/>
      <c r="W338" s="4"/>
      <c r="X338" s="4"/>
      <c r="Y338" s="4"/>
      <c r="Z338" s="4"/>
      <c r="AA338" s="4"/>
      <c r="AB338" s="4"/>
      <c r="AC338" s="4"/>
      <c r="AD338" s="4"/>
      <c r="AE338" s="52"/>
    </row>
    <row r="339" spans="1:31" x14ac:dyDescent="0.2">
      <c r="A339" s="7">
        <v>43737</v>
      </c>
      <c r="B339" s="13">
        <f ca="1">Prices!B338*(1+J339/(50*(ABS(O339)+ABS(T339)+0.0001)))</f>
        <v>0</v>
      </c>
      <c r="C339" s="62">
        <f t="shared" ca="1" si="34"/>
        <v>0</v>
      </c>
      <c r="D339" s="13" t="e">
        <f ca="1">D338+C339*(Prices!B339-Prices!B338)/Prices!B338</f>
        <v>#DIV/0!</v>
      </c>
      <c r="E339" s="13" t="e">
        <f t="shared" ca="1" si="30"/>
        <v>#DIV/0!</v>
      </c>
      <c r="F339" s="13" t="e">
        <f t="shared" ca="1" si="35"/>
        <v>#DIV/0!</v>
      </c>
      <c r="G339" s="21">
        <f ca="1">IF((Prices!B339-Prices!B338)*C339&gt;0,1,0)</f>
        <v>0</v>
      </c>
      <c r="H339" s="13" t="e">
        <f>ABS(Prices!B339-Prices!B338)/Prices!B338</f>
        <v>#DIV/0!</v>
      </c>
      <c r="I339" s="21"/>
      <c r="J339" s="4">
        <f t="shared" ca="1" si="36"/>
        <v>-1.6421649721332095E-2</v>
      </c>
      <c r="K339" s="13"/>
      <c r="L339" s="13">
        <f ca="1">L338-O339*Prices!B339</f>
        <v>0.69063129237935605</v>
      </c>
      <c r="M339" s="4">
        <f t="shared" ca="1" si="33"/>
        <v>0.20059648133147337</v>
      </c>
      <c r="N339" s="13">
        <f ca="1">IF(Prices!B338&gt;OFFSET(Prices!B338,-$N$3,0),1,-1)</f>
        <v>-1</v>
      </c>
      <c r="O339" s="4">
        <f ca="1">IF(N339=1,O$3*L338/Prices!B338,-O$3*M338)</f>
        <v>-8.3581867221447243E-3</v>
      </c>
      <c r="P339" s="22"/>
      <c r="Q339" s="13">
        <f ca="1">Q338-T339*Prices!B339</f>
        <v>0.61149429407365463</v>
      </c>
      <c r="R339" s="4">
        <f t="shared" ca="1" si="32"/>
        <v>0.26071863697372499</v>
      </c>
      <c r="S339" s="13">
        <f ca="1">IF(Prices!B338&gt;OFFSET(Prices!B338,-S$3,0),1,-1)</f>
        <v>-1</v>
      </c>
      <c r="T339" s="4">
        <f ca="1">IF(S339=1,T$3*Q338/Prices!B338,-T$3*R338)</f>
        <v>-8.0634629991873704E-3</v>
      </c>
      <c r="V339" s="13"/>
      <c r="W339" s="4"/>
      <c r="X339" s="4"/>
      <c r="Y339" s="4"/>
      <c r="Z339" s="4"/>
      <c r="AA339" s="4"/>
      <c r="AB339" s="4"/>
      <c r="AC339" s="4"/>
      <c r="AD339" s="4"/>
      <c r="AE339" s="52"/>
    </row>
    <row r="340" spans="1:31" x14ac:dyDescent="0.2">
      <c r="A340" s="7">
        <v>43744</v>
      </c>
      <c r="B340" s="13">
        <f ca="1">Prices!B339*(1+J340/(50*(ABS(O340)+ABS(T340)+0.0001)))</f>
        <v>0</v>
      </c>
      <c r="C340" s="62">
        <f t="shared" ca="1" si="34"/>
        <v>0</v>
      </c>
      <c r="D340" s="13" t="e">
        <f ca="1">D339+C340*(Prices!B340-Prices!B339)/Prices!B339</f>
        <v>#DIV/0!</v>
      </c>
      <c r="E340" s="13" t="e">
        <f t="shared" ref="E340:E403" ca="1" si="37">F340-D340</f>
        <v>#DIV/0!</v>
      </c>
      <c r="F340" s="13" t="e">
        <f t="shared" ca="1" si="35"/>
        <v>#DIV/0!</v>
      </c>
      <c r="G340" s="21">
        <f ca="1">IF((Prices!B340-Prices!B339)*C340&gt;0,1,0)</f>
        <v>0</v>
      </c>
      <c r="H340" s="13" t="e">
        <f>ABS(Prices!B340-Prices!B339)/Prices!B339</f>
        <v>#DIV/0!</v>
      </c>
      <c r="I340" s="21"/>
      <c r="J340" s="4">
        <f t="shared" ca="1" si="36"/>
        <v>-1.5845418362470685E-2</v>
      </c>
      <c r="K340" s="13"/>
      <c r="L340" s="13">
        <f ca="1">L339-O340*Prices!B340</f>
        <v>0.69063129237935605</v>
      </c>
      <c r="M340" s="4">
        <f t="shared" ca="1" si="33"/>
        <v>0.19257262207821443</v>
      </c>
      <c r="N340" s="13">
        <f ca="1">IF(Prices!B339&gt;OFFSET(Prices!B339,-$N$3,0),1,-1)</f>
        <v>-1</v>
      </c>
      <c r="O340" s="4">
        <f ca="1">IF(N340=1,O$3*L339/Prices!B339,-O$3*M339)</f>
        <v>-8.0238592532589342E-3</v>
      </c>
      <c r="P340" s="22"/>
      <c r="Q340" s="13">
        <f ca="1">Q339-T340*Prices!B340</f>
        <v>0.61149429407365463</v>
      </c>
      <c r="R340" s="4">
        <f t="shared" ca="1" si="32"/>
        <v>0.25289707786451326</v>
      </c>
      <c r="S340" s="13">
        <f ca="1">IF(Prices!B339&gt;OFFSET(Prices!B339,-S$3,0),1,-1)</f>
        <v>-1</v>
      </c>
      <c r="T340" s="4">
        <f ca="1">IF(S340=1,T$3*Q339/Prices!B339,-T$3*R339)</f>
        <v>-7.8215591092117495E-3</v>
      </c>
      <c r="V340" s="13"/>
      <c r="W340" s="4"/>
      <c r="X340" s="4"/>
      <c r="Y340" s="4"/>
      <c r="Z340" s="4"/>
      <c r="AA340" s="4"/>
      <c r="AB340" s="4"/>
      <c r="AC340" s="4"/>
      <c r="AD340" s="4"/>
      <c r="AE340" s="52"/>
    </row>
    <row r="341" spans="1:31" x14ac:dyDescent="0.2">
      <c r="A341" s="7">
        <v>43751</v>
      </c>
      <c r="B341" s="13">
        <f ca="1">Prices!B340*(1+J341/(50*(ABS(O341)+ABS(T341)+0.0001)))</f>
        <v>0</v>
      </c>
      <c r="C341" s="62">
        <f t="shared" ca="1" si="34"/>
        <v>0</v>
      </c>
      <c r="D341" s="13" t="e">
        <f ca="1">D340+C341*(Prices!B341-Prices!B340)/Prices!B340</f>
        <v>#DIV/0!</v>
      </c>
      <c r="E341" s="13" t="e">
        <f t="shared" ca="1" si="37"/>
        <v>#DIV/0!</v>
      </c>
      <c r="F341" s="13" t="e">
        <f t="shared" ca="1" si="35"/>
        <v>#DIV/0!</v>
      </c>
      <c r="G341" s="21">
        <f ca="1">IF((Prices!B341-Prices!B340)*C341&gt;0,1,0)</f>
        <v>0</v>
      </c>
      <c r="H341" s="13" t="e">
        <f>ABS(Prices!B341-Prices!B340)/Prices!B340</f>
        <v>#DIV/0!</v>
      </c>
      <c r="I341" s="21"/>
      <c r="J341" s="4">
        <f t="shared" ca="1" si="36"/>
        <v>-1.5289817219063976E-2</v>
      </c>
      <c r="K341" s="13"/>
      <c r="L341" s="13">
        <f ca="1">L340-O341*Prices!B341</f>
        <v>0.69063129237935605</v>
      </c>
      <c r="M341" s="4">
        <f t="shared" ca="1" si="33"/>
        <v>0.18486971719508585</v>
      </c>
      <c r="N341" s="13">
        <f ca="1">IF(Prices!B340&gt;OFFSET(Prices!B340,-$N$3,0),1,-1)</f>
        <v>-1</v>
      </c>
      <c r="O341" s="4">
        <f ca="1">IF(N341=1,O$3*L340/Prices!B340,-O$3*M340)</f>
        <v>-7.7029048831285772E-3</v>
      </c>
      <c r="P341" s="22"/>
      <c r="Q341" s="13">
        <f ca="1">Q340-T341*Prices!B341</f>
        <v>0.61149429407365463</v>
      </c>
      <c r="R341" s="4">
        <f t="shared" ca="1" si="32"/>
        <v>0.24531016552857787</v>
      </c>
      <c r="S341" s="13">
        <f ca="1">IF(Prices!B340&gt;OFFSET(Prices!B340,-S$3,0),1,-1)</f>
        <v>-1</v>
      </c>
      <c r="T341" s="4">
        <f ca="1">IF(S341=1,T$3*Q340/Prices!B340,-T$3*R340)</f>
        <v>-7.5869123359353979E-3</v>
      </c>
      <c r="V341" s="13"/>
      <c r="W341" s="4"/>
      <c r="X341" s="4"/>
      <c r="Y341" s="4"/>
      <c r="Z341" s="4"/>
      <c r="AA341" s="4"/>
      <c r="AB341" s="4"/>
      <c r="AC341" s="4"/>
      <c r="AD341" s="4"/>
      <c r="AE341" s="52"/>
    </row>
    <row r="342" spans="1:31" x14ac:dyDescent="0.2">
      <c r="A342" s="7">
        <v>43758</v>
      </c>
      <c r="B342" s="13">
        <f ca="1">Prices!B341*(1+J342/(50*(ABS(O342)+ABS(T342)+0.0001)))</f>
        <v>0</v>
      </c>
      <c r="C342" s="62">
        <f t="shared" ca="1" si="34"/>
        <v>0</v>
      </c>
      <c r="D342" s="13" t="e">
        <f ca="1">D341+C342*(Prices!B342-Prices!B341)/Prices!B341</f>
        <v>#DIV/0!</v>
      </c>
      <c r="E342" s="13" t="e">
        <f t="shared" ca="1" si="37"/>
        <v>#DIV/0!</v>
      </c>
      <c r="F342" s="13" t="e">
        <f t="shared" ca="1" si="35"/>
        <v>#DIV/0!</v>
      </c>
      <c r="G342" s="21">
        <f ca="1">IF((Prices!B342-Prices!B341)*C342&gt;0,1,0)</f>
        <v>0</v>
      </c>
      <c r="H342" s="13" t="e">
        <f>ABS(Prices!B342-Prices!B341)/Prices!B341</f>
        <v>#DIV/0!</v>
      </c>
      <c r="I342" s="21"/>
      <c r="J342" s="4">
        <f t="shared" ca="1" si="36"/>
        <v>-1.4754093653660771E-2</v>
      </c>
      <c r="K342" s="13"/>
      <c r="L342" s="13">
        <f ca="1">L341-O342*Prices!B342</f>
        <v>0.69063129237935605</v>
      </c>
      <c r="M342" s="4">
        <f t="shared" ca="1" si="33"/>
        <v>0.17747492850728241</v>
      </c>
      <c r="N342" s="13">
        <f ca="1">IF(Prices!B341&gt;OFFSET(Prices!B341,-$N$3,0),1,-1)</f>
        <v>-1</v>
      </c>
      <c r="O342" s="4">
        <f ca="1">IF(N342=1,O$3*L341/Prices!B341,-O$3*M341)</f>
        <v>-7.3947886878034342E-3</v>
      </c>
      <c r="P342" s="22"/>
      <c r="Q342" s="13">
        <f ca="1">Q341-T342*Prices!B342</f>
        <v>0.61149429407365463</v>
      </c>
      <c r="R342" s="4">
        <f t="shared" ca="1" si="32"/>
        <v>0.23795086056272052</v>
      </c>
      <c r="S342" s="13">
        <f ca="1">IF(Prices!B341&gt;OFFSET(Prices!B341,-S$3,0),1,-1)</f>
        <v>-1</v>
      </c>
      <c r="T342" s="4">
        <f ca="1">IF(S342=1,T$3*Q341/Prices!B341,-T$3*R341)</f>
        <v>-7.3593049658573356E-3</v>
      </c>
      <c r="V342" s="13"/>
      <c r="W342" s="4"/>
      <c r="X342" s="4"/>
      <c r="Y342" s="4"/>
      <c r="Z342" s="4"/>
      <c r="AA342" s="4"/>
      <c r="AB342" s="4"/>
      <c r="AC342" s="4"/>
      <c r="AD342" s="4"/>
      <c r="AE342" s="52"/>
    </row>
    <row r="343" spans="1:31" x14ac:dyDescent="0.2">
      <c r="A343" s="7">
        <v>43765</v>
      </c>
      <c r="B343" s="13">
        <f ca="1">Prices!B342*(1+J343/(50*(ABS(O343)+ABS(T343)+0.0001)))</f>
        <v>0</v>
      </c>
      <c r="C343" s="62">
        <f t="shared" ca="1" si="34"/>
        <v>0</v>
      </c>
      <c r="D343" s="13" t="e">
        <f ca="1">D342+C343*(Prices!B343-Prices!B342)/Prices!B342</f>
        <v>#DIV/0!</v>
      </c>
      <c r="E343" s="13" t="e">
        <f t="shared" ca="1" si="37"/>
        <v>#DIV/0!</v>
      </c>
      <c r="F343" s="13" t="e">
        <f t="shared" ca="1" si="35"/>
        <v>#DIV/0!</v>
      </c>
      <c r="G343" s="21">
        <f ca="1">IF((Prices!B343-Prices!B342)*C343&gt;0,1,0)</f>
        <v>0</v>
      </c>
      <c r="H343" s="13" t="e">
        <f>ABS(Prices!B343-Prices!B342)/Prices!B342</f>
        <v>#DIV/0!</v>
      </c>
      <c r="I343" s="21"/>
      <c r="J343" s="4">
        <f t="shared" ca="1" si="36"/>
        <v>-1.4237522957172913E-2</v>
      </c>
      <c r="K343" s="13"/>
      <c r="L343" s="13">
        <f ca="1">L342-O343*Prices!B343</f>
        <v>0.69063129237935605</v>
      </c>
      <c r="M343" s="4">
        <f t="shared" ca="1" si="33"/>
        <v>0.17037593136699111</v>
      </c>
      <c r="N343" s="13">
        <f ca="1">IF(Prices!B342&gt;OFFSET(Prices!B342,-$N$3,0),1,-1)</f>
        <v>-1</v>
      </c>
      <c r="O343" s="4">
        <f ca="1">IF(N343=1,O$3*L342/Prices!B342,-O$3*M342)</f>
        <v>-7.0989971402912969E-3</v>
      </c>
      <c r="P343" s="22"/>
      <c r="Q343" s="13">
        <f ca="1">Q342-T343*Prices!B343</f>
        <v>0.61149429407365463</v>
      </c>
      <c r="R343" s="4">
        <f t="shared" ca="1" si="32"/>
        <v>0.2308123347458389</v>
      </c>
      <c r="S343" s="13">
        <f ca="1">IF(Prices!B342&gt;OFFSET(Prices!B342,-S$3,0),1,-1)</f>
        <v>-1</v>
      </c>
      <c r="T343" s="4">
        <f ca="1">IF(S343=1,T$3*Q342/Prices!B342,-T$3*R342)</f>
        <v>-7.138525816881615E-3</v>
      </c>
      <c r="V343" s="13"/>
      <c r="W343" s="4"/>
      <c r="X343" s="4"/>
      <c r="Y343" s="4"/>
      <c r="Z343" s="4"/>
      <c r="AA343" s="4"/>
      <c r="AB343" s="4"/>
      <c r="AC343" s="4"/>
      <c r="AD343" s="4"/>
      <c r="AE343" s="52"/>
    </row>
    <row r="344" spans="1:31" x14ac:dyDescent="0.2">
      <c r="A344" s="7">
        <v>43772</v>
      </c>
      <c r="B344" s="13">
        <f ca="1">Prices!B343*(1+J344/(50*(ABS(O344)+ABS(T344)+0.0001)))</f>
        <v>0</v>
      </c>
      <c r="C344" s="62">
        <f t="shared" ca="1" si="34"/>
        <v>0</v>
      </c>
      <c r="D344" s="13" t="e">
        <f ca="1">D343+C344*(Prices!B344-Prices!B343)/Prices!B343</f>
        <v>#DIV/0!</v>
      </c>
      <c r="E344" s="13" t="e">
        <f t="shared" ca="1" si="37"/>
        <v>#DIV/0!</v>
      </c>
      <c r="F344" s="13" t="e">
        <f t="shared" ca="1" si="35"/>
        <v>#DIV/0!</v>
      </c>
      <c r="G344" s="21">
        <f ca="1">IF((Prices!B344-Prices!B343)*C344&gt;0,1,0)</f>
        <v>0</v>
      </c>
      <c r="H344" s="13" t="e">
        <f>ABS(Prices!B344-Prices!B343)/Prices!B343</f>
        <v>#DIV/0!</v>
      </c>
      <c r="I344" s="21"/>
      <c r="J344" s="4">
        <f t="shared" ca="1" si="36"/>
        <v>-1.3739407297054812E-2</v>
      </c>
      <c r="K344" s="13"/>
      <c r="L344" s="13">
        <f ca="1">L343-O344*Prices!B344</f>
        <v>0.69063129237935605</v>
      </c>
      <c r="M344" s="4">
        <f t="shared" ca="1" si="33"/>
        <v>0.16356089411231148</v>
      </c>
      <c r="N344" s="13">
        <f ca="1">IF(Prices!B343&gt;OFFSET(Prices!B343,-$N$3,0),1,-1)</f>
        <v>-1</v>
      </c>
      <c r="O344" s="4">
        <f ca="1">IF(N344=1,O$3*L343/Prices!B343,-O$3*M343)</f>
        <v>-6.8150372546796449E-3</v>
      </c>
      <c r="P344" s="22"/>
      <c r="Q344" s="13">
        <f ca="1">Q343-T344*Prices!B344</f>
        <v>0.61149429407365463</v>
      </c>
      <c r="R344" s="4">
        <f t="shared" ca="1" si="32"/>
        <v>0.22388796470346373</v>
      </c>
      <c r="S344" s="13">
        <f ca="1">IF(Prices!B343&gt;OFFSET(Prices!B343,-S$3,0),1,-1)</f>
        <v>-1</v>
      </c>
      <c r="T344" s="4">
        <f ca="1">IF(S344=1,T$3*Q343/Prices!B343,-T$3*R343)</f>
        <v>-6.9243700423751667E-3</v>
      </c>
      <c r="V344" s="13"/>
      <c r="W344" s="4"/>
      <c r="X344" s="4"/>
      <c r="Y344" s="4"/>
      <c r="Z344" s="4"/>
      <c r="AA344" s="4"/>
      <c r="AB344" s="4"/>
      <c r="AC344" s="4"/>
      <c r="AD344" s="4"/>
      <c r="AE344" s="52"/>
    </row>
    <row r="345" spans="1:31" x14ac:dyDescent="0.2">
      <c r="A345" s="7">
        <v>43779</v>
      </c>
      <c r="B345" s="13">
        <f ca="1">Prices!B344*(1+J345/(50*(ABS(O345)+ABS(T345)+0.0001)))</f>
        <v>0</v>
      </c>
      <c r="C345" s="62">
        <f t="shared" ca="1" si="34"/>
        <v>0</v>
      </c>
      <c r="D345" s="13" t="e">
        <f ca="1">D344+C345*(Prices!B345-Prices!B344)/Prices!B344</f>
        <v>#DIV/0!</v>
      </c>
      <c r="E345" s="13" t="e">
        <f t="shared" ca="1" si="37"/>
        <v>#DIV/0!</v>
      </c>
      <c r="F345" s="13" t="e">
        <f t="shared" ca="1" si="35"/>
        <v>#DIV/0!</v>
      </c>
      <c r="G345" s="21">
        <f ca="1">IF((Prices!B345-Prices!B344)*C345&gt;0,1,0)</f>
        <v>0</v>
      </c>
      <c r="H345" s="13" t="e">
        <f>ABS(Prices!B345-Prices!B344)/Prices!B344</f>
        <v>#DIV/0!</v>
      </c>
      <c r="I345" s="21"/>
      <c r="J345" s="4">
        <f t="shared" ca="1" si="36"/>
        <v>-1.325907470559637E-2</v>
      </c>
      <c r="K345" s="13"/>
      <c r="L345" s="13">
        <f ca="1">L344-O345*Prices!B345</f>
        <v>0.69063129237935605</v>
      </c>
      <c r="M345" s="4">
        <f t="shared" ca="1" si="33"/>
        <v>0.15701845834781902</v>
      </c>
      <c r="N345" s="13">
        <f ca="1">IF(Prices!B344&gt;OFFSET(Prices!B344,-$N$3,0),1,-1)</f>
        <v>-1</v>
      </c>
      <c r="O345" s="4">
        <f ca="1">IF(N345=1,O$3*L344/Prices!B344,-O$3*M344)</f>
        <v>-6.542435764492459E-3</v>
      </c>
      <c r="P345" s="22"/>
      <c r="Q345" s="13">
        <f ca="1">Q344-T345*Prices!B345</f>
        <v>0.61149429407365463</v>
      </c>
      <c r="R345" s="4">
        <f t="shared" ca="1" si="32"/>
        <v>0.21717132576235981</v>
      </c>
      <c r="S345" s="13">
        <f ca="1">IF(Prices!B344&gt;OFFSET(Prices!B344,-S$3,0),1,-1)</f>
        <v>-1</v>
      </c>
      <c r="T345" s="4">
        <f ca="1">IF(S345=1,T$3*Q344/Prices!B344,-T$3*R344)</f>
        <v>-6.7166389411039114E-3</v>
      </c>
      <c r="V345" s="13"/>
      <c r="W345" s="4"/>
      <c r="X345" s="4"/>
      <c r="Y345" s="4"/>
      <c r="Z345" s="4"/>
      <c r="AA345" s="4"/>
      <c r="AB345" s="4"/>
      <c r="AC345" s="4"/>
      <c r="AD345" s="4"/>
      <c r="AE345" s="52"/>
    </row>
    <row r="346" spans="1:31" x14ac:dyDescent="0.2">
      <c r="A346" s="7">
        <v>43786</v>
      </c>
      <c r="B346" s="13">
        <f ca="1">Prices!B345*(1+J346/(50*(ABS(O346)+ABS(T346)+0.0001)))</f>
        <v>0</v>
      </c>
      <c r="C346" s="62">
        <f t="shared" ca="1" si="34"/>
        <v>0</v>
      </c>
      <c r="D346" s="13" t="e">
        <f ca="1">D345+C346*(Prices!B346-Prices!B345)/Prices!B345</f>
        <v>#DIV/0!</v>
      </c>
      <c r="E346" s="13" t="e">
        <f t="shared" ca="1" si="37"/>
        <v>#DIV/0!</v>
      </c>
      <c r="F346" s="13" t="e">
        <f t="shared" ca="1" si="35"/>
        <v>#DIV/0!</v>
      </c>
      <c r="G346" s="21">
        <f ca="1">IF((Prices!B346-Prices!B345)*C346&gt;0,1,0)</f>
        <v>0</v>
      </c>
      <c r="H346" s="13" t="e">
        <f>ABS(Prices!B346-Prices!B345)/Prices!B345</f>
        <v>#DIV/0!</v>
      </c>
      <c r="I346" s="21"/>
      <c r="J346" s="4">
        <f t="shared" ca="1" si="36"/>
        <v>-1.2795878106783554E-2</v>
      </c>
      <c r="K346" s="13"/>
      <c r="L346" s="13">
        <f ca="1">L345-O346*Prices!B346</f>
        <v>0.69063129237935605</v>
      </c>
      <c r="M346" s="4">
        <f t="shared" ca="1" si="33"/>
        <v>0.15073772001390626</v>
      </c>
      <c r="N346" s="13">
        <f ca="1">IF(Prices!B345&gt;OFFSET(Prices!B345,-$N$3,0),1,-1)</f>
        <v>-1</v>
      </c>
      <c r="O346" s="4">
        <f ca="1">IF(N346=1,O$3*L345/Prices!B345,-O$3*M345)</f>
        <v>-6.2807383339127613E-3</v>
      </c>
      <c r="P346" s="22"/>
      <c r="Q346" s="13">
        <f ca="1">Q345-T346*Prices!B346</f>
        <v>0.61149429407365463</v>
      </c>
      <c r="R346" s="4">
        <f t="shared" ca="1" si="32"/>
        <v>0.21065618598948901</v>
      </c>
      <c r="S346" s="13">
        <f ca="1">IF(Prices!B345&gt;OFFSET(Prices!B345,-S$3,0),1,-1)</f>
        <v>-1</v>
      </c>
      <c r="T346" s="4">
        <f ca="1">IF(S346=1,T$3*Q345/Prices!B345,-T$3*R345)</f>
        <v>-6.5151397728707939E-3</v>
      </c>
      <c r="V346" s="13"/>
      <c r="W346" s="4"/>
      <c r="X346" s="4"/>
      <c r="Y346" s="4"/>
      <c r="Z346" s="4"/>
      <c r="AA346" s="4"/>
      <c r="AB346" s="4"/>
      <c r="AC346" s="4"/>
      <c r="AD346" s="4"/>
      <c r="AE346" s="52"/>
    </row>
    <row r="347" spans="1:31" x14ac:dyDescent="0.2">
      <c r="A347" s="7">
        <v>43793</v>
      </c>
      <c r="B347" s="13">
        <f ca="1">Prices!B346*(1+J347/(50*(ABS(O347)+ABS(T347)+0.0001)))</f>
        <v>0</v>
      </c>
      <c r="C347" s="62">
        <f t="shared" ca="1" si="34"/>
        <v>0</v>
      </c>
      <c r="D347" s="13" t="e">
        <f ca="1">D346+C347*(Prices!B347-Prices!B346)/Prices!B346</f>
        <v>#DIV/0!</v>
      </c>
      <c r="E347" s="13" t="e">
        <f t="shared" ca="1" si="37"/>
        <v>#DIV/0!</v>
      </c>
      <c r="F347" s="13" t="e">
        <f t="shared" ca="1" si="35"/>
        <v>#DIV/0!</v>
      </c>
      <c r="G347" s="21">
        <f ca="1">IF((Prices!B347-Prices!B346)*C347&gt;0,1,0)</f>
        <v>0</v>
      </c>
      <c r="H347" s="13" t="e">
        <f>ABS(Prices!B347-Prices!B346)/Prices!B346</f>
        <v>#DIV/0!</v>
      </c>
      <c r="I347" s="21"/>
      <c r="J347" s="4">
        <f t="shared" ca="1" si="36"/>
        <v>-1.2349194380240919E-2</v>
      </c>
      <c r="K347" s="13"/>
      <c r="L347" s="13">
        <f ca="1">L346-O347*Prices!B347</f>
        <v>0.69063129237935605</v>
      </c>
      <c r="M347" s="4">
        <f t="shared" ca="1" si="33"/>
        <v>0.14470821121335001</v>
      </c>
      <c r="N347" s="13">
        <f ca="1">IF(Prices!B346&gt;OFFSET(Prices!B346,-$N$3,0),1,-1)</f>
        <v>-1</v>
      </c>
      <c r="O347" s="4">
        <f ca="1">IF(N347=1,O$3*L346/Prices!B346,-O$3*M346)</f>
        <v>-6.02950880055625E-3</v>
      </c>
      <c r="P347" s="22"/>
      <c r="Q347" s="13">
        <f ca="1">Q346-T347*Prices!B347</f>
        <v>0.61149429407365463</v>
      </c>
      <c r="R347" s="4">
        <f t="shared" ca="1" si="32"/>
        <v>0.20433650040980433</v>
      </c>
      <c r="S347" s="13">
        <f ca="1">IF(Prices!B346&gt;OFFSET(Prices!B346,-S$3,0),1,-1)</f>
        <v>-1</v>
      </c>
      <c r="T347" s="4">
        <f ca="1">IF(S347=1,T$3*Q346/Prices!B346,-T$3*R346)</f>
        <v>-6.3196855796846703E-3</v>
      </c>
      <c r="V347" s="13"/>
      <c r="W347" s="4"/>
      <c r="X347" s="4"/>
      <c r="Y347" s="4"/>
      <c r="Z347" s="4"/>
      <c r="AA347" s="4"/>
      <c r="AB347" s="4"/>
      <c r="AC347" s="4"/>
      <c r="AD347" s="4"/>
      <c r="AE347" s="52"/>
    </row>
    <row r="348" spans="1:31" x14ac:dyDescent="0.2">
      <c r="A348" s="7">
        <v>43800</v>
      </c>
      <c r="B348" s="13">
        <f ca="1">Prices!B347*(1+J348/(50*(ABS(O348)+ABS(T348)+0.0001)))</f>
        <v>0</v>
      </c>
      <c r="C348" s="62">
        <f t="shared" ca="1" si="34"/>
        <v>0</v>
      </c>
      <c r="D348" s="13" t="e">
        <f ca="1">D347+C348*(Prices!B348-Prices!B347)/Prices!B347</f>
        <v>#DIV/0!</v>
      </c>
      <c r="E348" s="13" t="e">
        <f t="shared" ca="1" si="37"/>
        <v>#DIV/0!</v>
      </c>
      <c r="F348" s="13" t="e">
        <f t="shared" ca="1" si="35"/>
        <v>#DIV/0!</v>
      </c>
      <c r="G348" s="21">
        <f ca="1">IF((Prices!B348-Prices!B347)*C348&gt;0,1,0)</f>
        <v>0</v>
      </c>
      <c r="H348" s="13" t="e">
        <f>ABS(Prices!B348-Prices!B347)/Prices!B347</f>
        <v>#DIV/0!</v>
      </c>
      <c r="I348" s="21"/>
      <c r="J348" s="4">
        <f t="shared" ca="1" si="36"/>
        <v>-1.191842346082813E-2</v>
      </c>
      <c r="K348" s="13"/>
      <c r="L348" s="13">
        <f ca="1">L347-O348*Prices!B348</f>
        <v>0.69063129237935605</v>
      </c>
      <c r="M348" s="4">
        <f t="shared" ca="1" si="33"/>
        <v>0.13891988276481601</v>
      </c>
      <c r="N348" s="13">
        <f ca="1">IF(Prices!B347&gt;OFFSET(Prices!B347,-$N$3,0),1,-1)</f>
        <v>-1</v>
      </c>
      <c r="O348" s="4">
        <f ca="1">IF(N348=1,O$3*L347/Prices!B347,-O$3*M347)</f>
        <v>-5.7883284485340004E-3</v>
      </c>
      <c r="P348" s="22"/>
      <c r="Q348" s="13">
        <f ca="1">Q347-T348*Prices!B348</f>
        <v>0.61149429407365463</v>
      </c>
      <c r="R348" s="4">
        <f t="shared" ca="1" si="32"/>
        <v>0.19820640539751019</v>
      </c>
      <c r="S348" s="13">
        <f ca="1">IF(Prices!B347&gt;OFFSET(Prices!B347,-S$3,0),1,-1)</f>
        <v>-1</v>
      </c>
      <c r="T348" s="4">
        <f ca="1">IF(S348=1,T$3*Q347/Prices!B347,-T$3*R347)</f>
        <v>-6.1300950122941296E-3</v>
      </c>
      <c r="V348" s="13"/>
      <c r="W348" s="4"/>
      <c r="X348" s="4"/>
      <c r="Y348" s="4"/>
      <c r="Z348" s="4"/>
      <c r="AA348" s="4"/>
      <c r="AB348" s="4"/>
      <c r="AC348" s="4"/>
      <c r="AD348" s="4"/>
      <c r="AE348" s="52"/>
    </row>
    <row r="349" spans="1:31" x14ac:dyDescent="0.2">
      <c r="A349" s="7">
        <v>43807</v>
      </c>
      <c r="B349" s="13">
        <f ca="1">Prices!B348*(1+J349/(50*(ABS(O349)+ABS(T349)+0.0001)))</f>
        <v>0</v>
      </c>
      <c r="C349" s="62">
        <f t="shared" ca="1" si="34"/>
        <v>0</v>
      </c>
      <c r="D349" s="13" t="e">
        <f ca="1">D348+C349*(Prices!B349-Prices!B348)/Prices!B348</f>
        <v>#DIV/0!</v>
      </c>
      <c r="E349" s="13" t="e">
        <f t="shared" ca="1" si="37"/>
        <v>#DIV/0!</v>
      </c>
      <c r="F349" s="13" t="e">
        <f t="shared" ca="1" si="35"/>
        <v>#DIV/0!</v>
      </c>
      <c r="G349" s="21">
        <f ca="1">IF((Prices!B349-Prices!B348)*C349&gt;0,1,0)</f>
        <v>0</v>
      </c>
      <c r="H349" s="13" t="e">
        <f>ABS(Prices!B349-Prices!B348)/Prices!B348</f>
        <v>#DIV/0!</v>
      </c>
      <c r="I349" s="21"/>
      <c r="J349" s="4">
        <f t="shared" ca="1" si="36"/>
        <v>-1.1502987472517948E-2</v>
      </c>
      <c r="K349" s="13"/>
      <c r="L349" s="13">
        <f ca="1">L348-O349*Prices!B349</f>
        <v>0.69063129237935605</v>
      </c>
      <c r="M349" s="4">
        <f t="shared" ca="1" si="33"/>
        <v>0.13336308745422337</v>
      </c>
      <c r="N349" s="13">
        <f ca="1">IF(Prices!B348&gt;OFFSET(Prices!B348,-$N$3,0),1,-1)</f>
        <v>-1</v>
      </c>
      <c r="O349" s="4">
        <f ca="1">IF(N349=1,O$3*L348/Prices!B348,-O$3*M348)</f>
        <v>-5.5567953105926408E-3</v>
      </c>
      <c r="P349" s="22"/>
      <c r="Q349" s="13">
        <f ca="1">Q348-T349*Prices!B349</f>
        <v>0.61149429407365463</v>
      </c>
      <c r="R349" s="4">
        <f t="shared" ca="1" si="32"/>
        <v>0.1922602132355849</v>
      </c>
      <c r="S349" s="13">
        <f ca="1">IF(Prices!B348&gt;OFFSET(Prices!B348,-S$3,0),1,-1)</f>
        <v>-1</v>
      </c>
      <c r="T349" s="4">
        <f ca="1">IF(S349=1,T$3*Q348/Prices!B348,-T$3*R348)</f>
        <v>-5.9461921619253059E-3</v>
      </c>
      <c r="V349" s="13"/>
      <c r="W349" s="4"/>
      <c r="X349" s="4"/>
      <c r="Y349" s="4"/>
      <c r="Z349" s="4"/>
      <c r="AA349" s="4"/>
      <c r="AB349" s="4"/>
      <c r="AC349" s="4"/>
      <c r="AD349" s="4"/>
      <c r="AE349" s="52"/>
    </row>
    <row r="350" spans="1:31" x14ac:dyDescent="0.2">
      <c r="A350" s="7">
        <v>43814</v>
      </c>
      <c r="B350" s="13">
        <f ca="1">Prices!B349*(1+J350/(50*(ABS(O350)+ABS(T350)+0.0001)))</f>
        <v>0</v>
      </c>
      <c r="C350" s="62">
        <f t="shared" ca="1" si="34"/>
        <v>0</v>
      </c>
      <c r="D350" s="13" t="e">
        <f ca="1">D349+C350*(Prices!B350-Prices!B349)/Prices!B349</f>
        <v>#DIV/0!</v>
      </c>
      <c r="E350" s="13" t="e">
        <f t="shared" ca="1" si="37"/>
        <v>#DIV/0!</v>
      </c>
      <c r="F350" s="13" t="e">
        <f t="shared" ca="1" si="35"/>
        <v>#DIV/0!</v>
      </c>
      <c r="G350" s="21">
        <f ca="1">IF((Prices!B350-Prices!B349)*C350&gt;0,1,0)</f>
        <v>0</v>
      </c>
      <c r="H350" s="13" t="e">
        <f>ABS(Prices!B350-Prices!B349)/Prices!B349</f>
        <v>#DIV/0!</v>
      </c>
      <c r="I350" s="21"/>
      <c r="J350" s="4">
        <f t="shared" ca="1" si="36"/>
        <v>-1.1102329895236481E-2</v>
      </c>
      <c r="K350" s="13"/>
      <c r="L350" s="13">
        <f ca="1">L349-O350*Prices!B350</f>
        <v>0.69063129237935605</v>
      </c>
      <c r="M350" s="4">
        <f t="shared" ca="1" si="33"/>
        <v>0.12802856395605444</v>
      </c>
      <c r="N350" s="13">
        <f ca="1">IF(Prices!B349&gt;OFFSET(Prices!B349,-$N$3,0),1,-1)</f>
        <v>-1</v>
      </c>
      <c r="O350" s="4">
        <f ca="1">IF(N350=1,O$3*L349/Prices!B349,-O$3*M349)</f>
        <v>-5.3345234981689348E-3</v>
      </c>
      <c r="P350" s="22"/>
      <c r="Q350" s="13">
        <f ca="1">Q349-T350*Prices!B350</f>
        <v>0.61149429407365463</v>
      </c>
      <c r="R350" s="4">
        <f t="shared" ca="1" si="32"/>
        <v>0.18649240683851734</v>
      </c>
      <c r="S350" s="13">
        <f ca="1">IF(Prices!B349&gt;OFFSET(Prices!B349,-S$3,0),1,-1)</f>
        <v>-1</v>
      </c>
      <c r="T350" s="4">
        <f ca="1">IF(S350=1,T$3*Q349/Prices!B349,-T$3*R349)</f>
        <v>-5.7678063970675467E-3</v>
      </c>
      <c r="V350" s="13"/>
      <c r="W350" s="4"/>
      <c r="X350" s="4"/>
      <c r="Y350" s="4"/>
      <c r="Z350" s="4"/>
      <c r="AA350" s="4"/>
      <c r="AB350" s="4"/>
      <c r="AC350" s="4"/>
      <c r="AD350" s="4"/>
      <c r="AE350" s="52"/>
    </row>
    <row r="351" spans="1:31" x14ac:dyDescent="0.2">
      <c r="A351" s="7">
        <v>43821</v>
      </c>
      <c r="B351" s="13">
        <f ca="1">Prices!B350*(1+J351/(50*(ABS(O351)+ABS(T351)+0.0001)))</f>
        <v>0</v>
      </c>
      <c r="C351" s="62">
        <f t="shared" ca="1" si="34"/>
        <v>0</v>
      </c>
      <c r="D351" s="13" t="e">
        <f ca="1">D350+C351*(Prices!B351-Prices!B350)/Prices!B350</f>
        <v>#DIV/0!</v>
      </c>
      <c r="E351" s="13" t="e">
        <f t="shared" ca="1" si="37"/>
        <v>#DIV/0!</v>
      </c>
      <c r="F351" s="13" t="e">
        <f t="shared" ca="1" si="35"/>
        <v>#DIV/0!</v>
      </c>
      <c r="G351" s="21">
        <f ca="1">IF((Prices!B351-Prices!B350)*C351&gt;0,1,0)</f>
        <v>0</v>
      </c>
      <c r="H351" s="13" t="e">
        <f>ABS(Prices!B351-Prices!B350)/Prices!B350</f>
        <v>#DIV/0!</v>
      </c>
      <c r="I351" s="21"/>
      <c r="J351" s="4">
        <f t="shared" ca="1" si="36"/>
        <v>-1.0715914763397697E-2</v>
      </c>
      <c r="K351" s="13"/>
      <c r="L351" s="13">
        <f ca="1">L350-O351*Prices!B351</f>
        <v>0.69063129237935605</v>
      </c>
      <c r="M351" s="4">
        <f t="shared" ca="1" si="33"/>
        <v>0.12290742139781226</v>
      </c>
      <c r="N351" s="13">
        <f ca="1">IF(Prices!B350&gt;OFFSET(Prices!B350,-$N$3,0),1,-1)</f>
        <v>-1</v>
      </c>
      <c r="O351" s="4">
        <f ca="1">IF(N351=1,O$3*L350/Prices!B350,-O$3*M350)</f>
        <v>-5.1211425582421777E-3</v>
      </c>
      <c r="P351" s="22"/>
      <c r="Q351" s="13">
        <f ca="1">Q350-T351*Prices!B351</f>
        <v>0.61149429407365463</v>
      </c>
      <c r="R351" s="4">
        <f t="shared" ca="1" si="32"/>
        <v>0.18089763463336181</v>
      </c>
      <c r="S351" s="13">
        <f ca="1">IF(Prices!B350&gt;OFFSET(Prices!B350,-S$3,0),1,-1)</f>
        <v>-1</v>
      </c>
      <c r="T351" s="4">
        <f ca="1">IF(S351=1,T$3*Q350/Prices!B350,-T$3*R350)</f>
        <v>-5.5947722051555198E-3</v>
      </c>
      <c r="V351" s="13"/>
      <c r="W351" s="4"/>
      <c r="X351" s="4"/>
      <c r="Y351" s="4"/>
      <c r="Z351" s="4"/>
      <c r="AA351" s="4"/>
      <c r="AB351" s="4"/>
      <c r="AC351" s="4"/>
      <c r="AD351" s="4"/>
      <c r="AE351" s="52"/>
    </row>
    <row r="352" spans="1:31" x14ac:dyDescent="0.2">
      <c r="A352" s="7">
        <v>43828</v>
      </c>
      <c r="B352" s="13">
        <f ca="1">Prices!B351*(1+J352/(50*(ABS(O352)+ABS(T352)+0.0001)))</f>
        <v>0</v>
      </c>
      <c r="C352" s="62">
        <f t="shared" ca="1" si="34"/>
        <v>0</v>
      </c>
      <c r="D352" s="13" t="e">
        <f ca="1">D351+C352*(Prices!B352-Prices!B351)/Prices!B351</f>
        <v>#DIV/0!</v>
      </c>
      <c r="E352" s="13" t="e">
        <f t="shared" ca="1" si="37"/>
        <v>#DIV/0!</v>
      </c>
      <c r="F352" s="13" t="e">
        <f t="shared" ca="1" si="35"/>
        <v>#DIV/0!</v>
      </c>
      <c r="G352" s="21">
        <f ca="1">IF((Prices!B352-Prices!B351)*C352&gt;0,1,0)</f>
        <v>0</v>
      </c>
      <c r="H352" s="13" t="e">
        <f>ABS(Prices!B352-Prices!B351)/Prices!B351</f>
        <v>#DIV/0!</v>
      </c>
      <c r="I352" s="21"/>
      <c r="J352" s="4">
        <f t="shared" ca="1" si="36"/>
        <v>-1.0343225894913346E-2</v>
      </c>
      <c r="K352" s="13"/>
      <c r="L352" s="13">
        <f ca="1">L351-O352*Prices!B352</f>
        <v>0.69063129237935605</v>
      </c>
      <c r="M352" s="4">
        <f t="shared" ca="1" si="33"/>
        <v>0.11799112454189976</v>
      </c>
      <c r="N352" s="13">
        <f ca="1">IF(Prices!B351&gt;OFFSET(Prices!B351,-$N$3,0),1,-1)</f>
        <v>-1</v>
      </c>
      <c r="O352" s="4">
        <f ca="1">IF(N352=1,O$3*L351/Prices!B351,-O$3*M351)</f>
        <v>-4.9162968559124907E-3</v>
      </c>
      <c r="P352" s="22"/>
      <c r="Q352" s="13">
        <f ca="1">Q351-T352*Prices!B352</f>
        <v>0.61149429407365463</v>
      </c>
      <c r="R352" s="4">
        <f t="shared" ca="1" si="32"/>
        <v>0.17547070559436095</v>
      </c>
      <c r="S352" s="13">
        <f ca="1">IF(Prices!B351&gt;OFFSET(Prices!B351,-S$3,0),1,-1)</f>
        <v>-1</v>
      </c>
      <c r="T352" s="4">
        <f ca="1">IF(S352=1,T$3*Q351/Prices!B351,-T$3*R351)</f>
        <v>-5.4269290390008542E-3</v>
      </c>
      <c r="V352" s="13"/>
      <c r="W352" s="4"/>
      <c r="X352" s="4"/>
      <c r="Y352" s="4"/>
      <c r="Z352" s="4"/>
      <c r="AA352" s="4"/>
      <c r="AB352" s="4"/>
      <c r="AC352" s="4"/>
      <c r="AD352" s="4"/>
      <c r="AE352" s="52"/>
    </row>
    <row r="353" spans="1:31" x14ac:dyDescent="0.2">
      <c r="A353" s="7">
        <v>43835</v>
      </c>
      <c r="B353" s="13">
        <f ca="1">Prices!B352*(1+J353/(50*(ABS(O353)+ABS(T353)+0.0001)))</f>
        <v>0</v>
      </c>
      <c r="C353" s="62">
        <f t="shared" ca="1" si="34"/>
        <v>0</v>
      </c>
      <c r="D353" s="13" t="e">
        <f ca="1">D352+C353*(Prices!B353-Prices!B352)/Prices!B352</f>
        <v>#DIV/0!</v>
      </c>
      <c r="E353" s="13" t="e">
        <f t="shared" ca="1" si="37"/>
        <v>#DIV/0!</v>
      </c>
      <c r="F353" s="13" t="e">
        <f t="shared" ca="1" si="35"/>
        <v>#DIV/0!</v>
      </c>
      <c r="G353" s="21">
        <f ca="1">IF((Prices!B353-Prices!B352)*C353&gt;0,1,0)</f>
        <v>0</v>
      </c>
      <c r="H353" s="13" t="e">
        <f>ABS(Prices!B353-Prices!B352)/Prices!B352</f>
        <v>#DIV/0!</v>
      </c>
      <c r="I353" s="21"/>
      <c r="J353" s="4">
        <f t="shared" ca="1" si="36"/>
        <v>-9.9837661495068182E-3</v>
      </c>
      <c r="K353" s="13"/>
      <c r="L353" s="13">
        <f ca="1">L352-O353*Prices!B353</f>
        <v>0.69063129237935605</v>
      </c>
      <c r="M353" s="4">
        <f t="shared" ca="1" si="33"/>
        <v>0.11327147956022378</v>
      </c>
      <c r="N353" s="13">
        <f ca="1">IF(Prices!B352&gt;OFFSET(Prices!B352,-$N$3,0),1,-1)</f>
        <v>-1</v>
      </c>
      <c r="O353" s="4">
        <f ca="1">IF(N353=1,O$3*L352/Prices!B352,-O$3*M352)</f>
        <v>-4.7196449816759908E-3</v>
      </c>
      <c r="P353" s="22"/>
      <c r="Q353" s="13">
        <f ca="1">Q352-T353*Prices!B353</f>
        <v>0.61149429407365463</v>
      </c>
      <c r="R353" s="4">
        <f t="shared" ca="1" si="32"/>
        <v>0.17020658442653014</v>
      </c>
      <c r="S353" s="13">
        <f ca="1">IF(Prices!B352&gt;OFFSET(Prices!B352,-S$3,0),1,-1)</f>
        <v>-1</v>
      </c>
      <c r="T353" s="4">
        <f ca="1">IF(S353=1,T$3*Q352/Prices!B352,-T$3*R352)</f>
        <v>-5.2641211678308283E-3</v>
      </c>
      <c r="V353" s="13"/>
      <c r="W353" s="4"/>
      <c r="X353" s="4"/>
      <c r="Y353" s="4"/>
      <c r="Z353" s="4"/>
      <c r="AA353" s="4"/>
      <c r="AB353" s="4"/>
      <c r="AC353" s="4"/>
      <c r="AD353" s="4"/>
      <c r="AE353" s="52"/>
    </row>
    <row r="354" spans="1:31" x14ac:dyDescent="0.2">
      <c r="A354" s="7">
        <v>43842</v>
      </c>
      <c r="B354" s="13">
        <f ca="1">Prices!B353*(1+J354/(50*(ABS(O354)+ABS(T354)+0.0001)))</f>
        <v>0</v>
      </c>
      <c r="C354" s="62">
        <f t="shared" ca="1" si="34"/>
        <v>0</v>
      </c>
      <c r="D354" s="13" t="e">
        <f ca="1">D353+C354*(Prices!B354-Prices!B353)/Prices!B353</f>
        <v>#DIV/0!</v>
      </c>
      <c r="E354" s="13" t="e">
        <f t="shared" ca="1" si="37"/>
        <v>#DIV/0!</v>
      </c>
      <c r="F354" s="13" t="e">
        <f t="shared" ca="1" si="35"/>
        <v>#DIV/0!</v>
      </c>
      <c r="G354" s="21">
        <f ca="1">IF((Prices!B354-Prices!B353)*C354&gt;0,1,0)</f>
        <v>0</v>
      </c>
      <c r="H354" s="13" t="e">
        <f>ABS(Prices!B354-Prices!B353)/Prices!B353</f>
        <v>#DIV/0!</v>
      </c>
      <c r="I354" s="21"/>
      <c r="J354" s="4">
        <f t="shared" ca="1" si="36"/>
        <v>-9.6370567152048552E-3</v>
      </c>
      <c r="K354" s="13"/>
      <c r="L354" s="13">
        <f ca="1">L353-O354*Prices!B354</f>
        <v>0.69063129237935605</v>
      </c>
      <c r="M354" s="4">
        <f t="shared" ca="1" si="33"/>
        <v>0.10874062037781483</v>
      </c>
      <c r="N354" s="13">
        <f ca="1">IF(Prices!B353&gt;OFFSET(Prices!B353,-$N$3,0),1,-1)</f>
        <v>-1</v>
      </c>
      <c r="O354" s="4">
        <f ca="1">IF(N354=1,O$3*L353/Prices!B353,-O$3*M353)</f>
        <v>-4.5308591824089516E-3</v>
      </c>
      <c r="P354" s="22"/>
      <c r="Q354" s="13">
        <f ca="1">Q353-T354*Prices!B354</f>
        <v>0.61149429407365463</v>
      </c>
      <c r="R354" s="4">
        <f t="shared" ca="1" si="32"/>
        <v>0.16510038689373424</v>
      </c>
      <c r="S354" s="13">
        <f ca="1">IF(Prices!B353&gt;OFFSET(Prices!B353,-S$3,0),1,-1)</f>
        <v>-1</v>
      </c>
      <c r="T354" s="4">
        <f ca="1">IF(S354=1,T$3*Q353/Prices!B353,-T$3*R353)</f>
        <v>-5.1061975327959036E-3</v>
      </c>
      <c r="V354" s="13"/>
      <c r="W354" s="4"/>
      <c r="X354" s="4"/>
      <c r="Y354" s="4"/>
      <c r="Z354" s="4"/>
      <c r="AA354" s="4"/>
      <c r="AB354" s="4"/>
      <c r="AC354" s="4"/>
      <c r="AD354" s="4"/>
      <c r="AE354" s="52"/>
    </row>
    <row r="355" spans="1:31" x14ac:dyDescent="0.2">
      <c r="A355" s="7">
        <v>43849</v>
      </c>
      <c r="B355" s="13">
        <f ca="1">Prices!B354*(1+J355/(50*(ABS(O355)+ABS(T355)+0.0001)))</f>
        <v>0</v>
      </c>
      <c r="C355" s="62">
        <f t="shared" ca="1" si="34"/>
        <v>0</v>
      </c>
      <c r="D355" s="13" t="e">
        <f ca="1">D354+C355*(Prices!B355-Prices!B354)/Prices!B354</f>
        <v>#DIV/0!</v>
      </c>
      <c r="E355" s="13" t="e">
        <f t="shared" ca="1" si="37"/>
        <v>#DIV/0!</v>
      </c>
      <c r="F355" s="13" t="e">
        <f t="shared" ca="1" si="35"/>
        <v>#DIV/0!</v>
      </c>
      <c r="G355" s="21">
        <f ca="1">IF((Prices!B355-Prices!B354)*C355&gt;0,1,0)</f>
        <v>0</v>
      </c>
      <c r="H355" s="13" t="e">
        <f>ABS(Prices!B355-Prices!B354)/Prices!B354</f>
        <v>#DIV/0!</v>
      </c>
      <c r="I355" s="21"/>
      <c r="J355" s="4">
        <f t="shared" ca="1" si="36"/>
        <v>-9.3026364219246198E-3</v>
      </c>
      <c r="K355" s="13"/>
      <c r="L355" s="13">
        <f ca="1">L354-O355*Prices!B355</f>
        <v>0.69063129237935605</v>
      </c>
      <c r="M355" s="4">
        <f t="shared" ca="1" si="33"/>
        <v>0.10439099556270223</v>
      </c>
      <c r="N355" s="13">
        <f ca="1">IF(Prices!B354&gt;OFFSET(Prices!B354,-$N$3,0),1,-1)</f>
        <v>-1</v>
      </c>
      <c r="O355" s="4">
        <f ca="1">IF(N355=1,O$3*L354/Prices!B354,-O$3*M354)</f>
        <v>-4.3496248151125936E-3</v>
      </c>
      <c r="P355" s="22"/>
      <c r="Q355" s="13">
        <f ca="1">Q354-T355*Prices!B355</f>
        <v>0.61149429407365463</v>
      </c>
      <c r="R355" s="4">
        <f t="shared" ca="1" si="32"/>
        <v>0.16014737528692222</v>
      </c>
      <c r="S355" s="13">
        <f ca="1">IF(Prices!B354&gt;OFFSET(Prices!B354,-S$3,0),1,-1)</f>
        <v>-1</v>
      </c>
      <c r="T355" s="4">
        <f ca="1">IF(S355=1,T$3*Q354/Prices!B354,-T$3*R354)</f>
        <v>-4.9530116068120271E-3</v>
      </c>
      <c r="V355" s="13"/>
      <c r="W355" s="4"/>
      <c r="X355" s="4"/>
      <c r="Y355" s="4"/>
      <c r="Z355" s="4"/>
      <c r="AA355" s="4"/>
      <c r="AB355" s="4"/>
      <c r="AC355" s="4"/>
      <c r="AD355" s="4"/>
      <c r="AE355" s="52"/>
    </row>
    <row r="356" spans="1:31" x14ac:dyDescent="0.2">
      <c r="A356" s="58">
        <v>43856</v>
      </c>
      <c r="B356" s="13">
        <f ca="1">Prices!B355*(1+J356/(50*(ABS(O356)+ABS(T356)+0.0001)))</f>
        <v>0</v>
      </c>
      <c r="C356" s="62">
        <f t="shared" ca="1" si="34"/>
        <v>0</v>
      </c>
      <c r="D356" s="13" t="e">
        <f ca="1">D355+C356*(Prices!B356-Prices!B355)/Prices!B355</f>
        <v>#DIV/0!</v>
      </c>
      <c r="E356" s="13" t="e">
        <f t="shared" ca="1" si="37"/>
        <v>#DIV/0!</v>
      </c>
      <c r="F356" s="13" t="e">
        <f t="shared" ca="1" si="35"/>
        <v>#DIV/0!</v>
      </c>
      <c r="G356" s="21">
        <f ca="1">IF((Prices!B356-Prices!B355)*C356&gt;0,1,0)</f>
        <v>0</v>
      </c>
      <c r="H356" s="13" t="e">
        <f>ABS(Prices!B356-Prices!B355)/Prices!B355</f>
        <v>#DIV/0!</v>
      </c>
      <c r="I356" s="21"/>
      <c r="J356" s="4">
        <f t="shared" ca="1" si="36"/>
        <v>-8.9800610811157557E-3</v>
      </c>
      <c r="K356" s="13"/>
      <c r="L356" s="13">
        <f ca="1">L355-O356*Prices!B356</f>
        <v>0.69063129237935605</v>
      </c>
      <c r="M356" s="4">
        <f t="shared" ca="1" si="33"/>
        <v>0.10021535574019415</v>
      </c>
      <c r="N356" s="13">
        <f ca="1">IF(Prices!B355&gt;OFFSET(Prices!B355,-$N$3,0),1,-1)</f>
        <v>-1</v>
      </c>
      <c r="O356" s="4">
        <f ca="1">IF(N356=1,O$3*L355/Prices!B355,-O$3*M355)</f>
        <v>-4.1756398225080895E-3</v>
      </c>
      <c r="P356" s="22"/>
      <c r="Q356" s="13">
        <f ca="1">Q355-T356*Prices!B356</f>
        <v>0.61149429407365463</v>
      </c>
      <c r="R356" s="4">
        <f t="shared" ca="1" si="32"/>
        <v>0.15534295402831455</v>
      </c>
      <c r="S356" s="13">
        <f ca="1">IF(Prices!B355&gt;OFFSET(Prices!B355,-S$3,0),1,-1)</f>
        <v>-1</v>
      </c>
      <c r="T356" s="4">
        <f ca="1">IF(S356=1,T$3*Q355/Prices!B355,-T$3*R355)</f>
        <v>-4.8044212586076662E-3</v>
      </c>
      <c r="V356" s="13"/>
      <c r="W356" s="4"/>
      <c r="X356" s="4"/>
      <c r="Y356" s="4"/>
      <c r="Z356" s="4"/>
      <c r="AA356" s="4"/>
      <c r="AB356" s="4"/>
      <c r="AC356" s="4"/>
      <c r="AD356" s="4"/>
      <c r="AE356" s="52"/>
    </row>
    <row r="357" spans="1:31" x14ac:dyDescent="0.2">
      <c r="A357" s="58">
        <v>43863</v>
      </c>
      <c r="B357" s="13">
        <f ca="1">Prices!B356*(1+J357/(50*(ABS(O357)+ABS(T357)+0.0001)))</f>
        <v>0</v>
      </c>
      <c r="C357" s="62">
        <f t="shared" ca="1" si="34"/>
        <v>0</v>
      </c>
      <c r="D357" s="13" t="e">
        <f ca="1">D356+C357*(Prices!B357-Prices!B356)/Prices!B356</f>
        <v>#DIV/0!</v>
      </c>
      <c r="E357" s="13" t="e">
        <f t="shared" ca="1" si="37"/>
        <v>#DIV/0!</v>
      </c>
      <c r="F357" s="13" t="e">
        <f t="shared" ca="1" si="35"/>
        <v>#DIV/0!</v>
      </c>
      <c r="G357" s="21">
        <f ca="1">IF((Prices!B357-Prices!B356)*C357&gt;0,1,0)</f>
        <v>0</v>
      </c>
      <c r="H357" s="13" t="e">
        <f>ABS(Prices!B357-Prices!B356)/Prices!B356</f>
        <v>#DIV/0!</v>
      </c>
      <c r="I357" s="21"/>
      <c r="J357" s="4">
        <f t="shared" ca="1" si="36"/>
        <v>-8.6689028504572021E-3</v>
      </c>
      <c r="K357" s="13"/>
      <c r="L357" s="13">
        <f ca="1">L356-O357*Prices!B357</f>
        <v>0.69063129237935605</v>
      </c>
      <c r="M357" s="4">
        <f t="shared" ca="1" si="33"/>
        <v>9.6206741510586377E-2</v>
      </c>
      <c r="N357" s="13">
        <f ca="1">IF(Prices!B356&gt;OFFSET(Prices!B356,-$N$3,0),1,-1)</f>
        <v>-1</v>
      </c>
      <c r="O357" s="4">
        <f ca="1">IF(N357=1,O$3*L356/Prices!B356,-O$3*M356)</f>
        <v>-4.0086142296077657E-3</v>
      </c>
      <c r="P357" s="22"/>
      <c r="Q357" s="13">
        <f ca="1">Q356-T357*Prices!B357</f>
        <v>0.61149429407365463</v>
      </c>
      <c r="R357" s="4">
        <f t="shared" ca="1" si="32"/>
        <v>0.15068266540746511</v>
      </c>
      <c r="S357" s="13">
        <f ca="1">IF(Prices!B356&gt;OFFSET(Prices!B356,-S$3,0),1,-1)</f>
        <v>-1</v>
      </c>
      <c r="T357" s="4">
        <f ca="1">IF(S357=1,T$3*Q356/Prices!B356,-T$3*R356)</f>
        <v>-4.6602886208494364E-3</v>
      </c>
      <c r="V357" s="13"/>
      <c r="W357" s="4"/>
      <c r="X357" s="4"/>
      <c r="Y357" s="4"/>
      <c r="Z357" s="4"/>
      <c r="AA357" s="4"/>
      <c r="AB357" s="4"/>
      <c r="AC357" s="4"/>
      <c r="AD357" s="4"/>
      <c r="AE357" s="52"/>
    </row>
    <row r="358" spans="1:31" x14ac:dyDescent="0.2">
      <c r="A358" s="7">
        <v>43870</v>
      </c>
      <c r="B358" s="13">
        <f ca="1">Prices!B357*(1+J358/(50*(ABS(O358)+ABS(T358)+0.0001)))</f>
        <v>0</v>
      </c>
      <c r="C358" s="62">
        <f t="shared" ca="1" si="34"/>
        <v>0</v>
      </c>
      <c r="D358" s="13" t="e">
        <f ca="1">D357+C358*(Prices!B358-Prices!B357)/Prices!B357</f>
        <v>#DIV/0!</v>
      </c>
      <c r="E358" s="13" t="e">
        <f t="shared" ca="1" si="37"/>
        <v>#DIV/0!</v>
      </c>
      <c r="F358" s="13" t="e">
        <f t="shared" ca="1" si="35"/>
        <v>#DIV/0!</v>
      </c>
      <c r="G358" s="21">
        <f ca="1">IF((Prices!B358-Prices!B357)*C358&gt;0,1,0)</f>
        <v>0</v>
      </c>
      <c r="H358" s="13" t="e">
        <f>ABS(Prices!B358-Prices!B357)/Prices!B357</f>
        <v>#DIV/0!</v>
      </c>
      <c r="I358" s="21"/>
      <c r="J358" s="4">
        <f t="shared" ca="1" si="36"/>
        <v>-8.3687496226474076E-3</v>
      </c>
      <c r="K358" s="13"/>
      <c r="L358" s="13">
        <f ca="1">L357-O358*Prices!B358</f>
        <v>0.69063129237935605</v>
      </c>
      <c r="M358" s="4">
        <f t="shared" ca="1" si="33"/>
        <v>9.2358471850162924E-2</v>
      </c>
      <c r="N358" s="13">
        <f ca="1">IF(Prices!B357&gt;OFFSET(Prices!B357,-$N$3,0),1,-1)</f>
        <v>-1</v>
      </c>
      <c r="O358" s="4">
        <f ca="1">IF(N358=1,O$3*L357/Prices!B357,-O$3*M357)</f>
        <v>-3.8482696604234552E-3</v>
      </c>
      <c r="P358" s="22"/>
      <c r="Q358" s="13">
        <f ca="1">Q357-T358*Prices!B358</f>
        <v>0.61149429407365463</v>
      </c>
      <c r="R358" s="4">
        <f t="shared" ca="1" si="32"/>
        <v>0.14616218544524115</v>
      </c>
      <c r="S358" s="13">
        <f ca="1">IF(Prices!B357&gt;OFFSET(Prices!B357,-S$3,0),1,-1)</f>
        <v>-1</v>
      </c>
      <c r="T358" s="4">
        <f ca="1">IF(S358=1,T$3*Q357/Prices!B357,-T$3*R357)</f>
        <v>-4.5204799622239533E-3</v>
      </c>
      <c r="V358" s="13"/>
      <c r="W358" s="4"/>
      <c r="X358" s="4"/>
      <c r="Y358" s="4"/>
      <c r="Z358" s="4"/>
      <c r="AA358" s="4"/>
      <c r="AB358" s="4"/>
      <c r="AC358" s="4"/>
      <c r="AD358" s="4"/>
      <c r="AE358" s="52"/>
    </row>
    <row r="359" spans="1:31" x14ac:dyDescent="0.2">
      <c r="A359" s="7">
        <v>43877</v>
      </c>
      <c r="B359" s="13">
        <f ca="1">Prices!B358*(1+J359/(50*(ABS(O359)+ABS(T359)+0.0001)))</f>
        <v>0</v>
      </c>
      <c r="C359" s="62">
        <f t="shared" ca="1" si="34"/>
        <v>0</v>
      </c>
      <c r="D359" s="13" t="e">
        <f ca="1">D358+C359*(Prices!B359-Prices!B358)/Prices!B358</f>
        <v>#DIV/0!</v>
      </c>
      <c r="E359" s="13" t="e">
        <f t="shared" ca="1" si="37"/>
        <v>#DIV/0!</v>
      </c>
      <c r="F359" s="13" t="e">
        <f t="shared" ca="1" si="35"/>
        <v>#DIV/0!</v>
      </c>
      <c r="G359" s="21">
        <f ca="1">IF((Prices!B359-Prices!B358)*C359&gt;0,1,0)</f>
        <v>0</v>
      </c>
      <c r="H359" s="13" t="e">
        <f>ABS(Prices!B359-Prices!B358)/Prices!B358</f>
        <v>#DIV/0!</v>
      </c>
      <c r="I359" s="21"/>
      <c r="J359" s="4">
        <f t="shared" ca="1" si="36"/>
        <v>-8.0792044373637507E-3</v>
      </c>
      <c r="K359" s="13"/>
      <c r="L359" s="13">
        <f ca="1">L358-O359*Prices!B359</f>
        <v>0.69063129237935605</v>
      </c>
      <c r="M359" s="4">
        <f t="shared" ca="1" si="33"/>
        <v>8.8664132976156412E-2</v>
      </c>
      <c r="N359" s="13">
        <f ca="1">IF(Prices!B358&gt;OFFSET(Prices!B358,-$N$3,0),1,-1)</f>
        <v>-1</v>
      </c>
      <c r="O359" s="4">
        <f ca="1">IF(N359=1,O$3*L358/Prices!B358,-O$3*M358)</f>
        <v>-3.694338874006517E-3</v>
      </c>
      <c r="P359" s="22"/>
      <c r="Q359" s="13">
        <f ca="1">Q358-T359*Prices!B359</f>
        <v>0.61149429407365463</v>
      </c>
      <c r="R359" s="4">
        <f t="shared" ca="1" si="32"/>
        <v>0.14177731988188391</v>
      </c>
      <c r="S359" s="13">
        <f ca="1">IF(Prices!B358&gt;OFFSET(Prices!B358,-S$3,0),1,-1)</f>
        <v>-1</v>
      </c>
      <c r="T359" s="4">
        <f ca="1">IF(S359=1,T$3*Q358/Prices!B358,-T$3*R358)</f>
        <v>-4.3848655633572341E-3</v>
      </c>
      <c r="V359" s="13"/>
      <c r="W359" s="4"/>
      <c r="X359" s="4"/>
      <c r="Y359" s="4"/>
      <c r="Z359" s="4"/>
      <c r="AA359" s="4"/>
      <c r="AB359" s="4"/>
      <c r="AC359" s="4"/>
      <c r="AD359" s="4"/>
      <c r="AE359" s="52"/>
    </row>
    <row r="360" spans="1:31" x14ac:dyDescent="0.2">
      <c r="A360" s="7">
        <v>43884</v>
      </c>
      <c r="B360" s="13">
        <f ca="1">Prices!B359*(1+J360/(50*(ABS(O360)+ABS(T360)+0.0001)))</f>
        <v>0</v>
      </c>
      <c r="C360" s="62">
        <f t="shared" ca="1" si="34"/>
        <v>0</v>
      </c>
      <c r="D360" s="13" t="e">
        <f ca="1">D359+C360*(Prices!B360-Prices!B359)/Prices!B359</f>
        <v>#DIV/0!</v>
      </c>
      <c r="E360" s="13" t="e">
        <f t="shared" ca="1" si="37"/>
        <v>#DIV/0!</v>
      </c>
      <c r="F360" s="13" t="e">
        <f t="shared" ca="1" si="35"/>
        <v>#DIV/0!</v>
      </c>
      <c r="G360" s="21">
        <f ca="1">IF((Prices!B360-Prices!B359)*C360&gt;0,1,0)</f>
        <v>0</v>
      </c>
      <c r="H360" s="13" t="e">
        <f>ABS(Prices!B360-Prices!B359)/Prices!B359</f>
        <v>#DIV/0!</v>
      </c>
      <c r="I360" s="21"/>
      <c r="J360" s="4">
        <f t="shared" ca="1" si="36"/>
        <v>-7.7998849155027743E-3</v>
      </c>
      <c r="K360" s="13"/>
      <c r="L360" s="13">
        <f ca="1">L359-O360*Prices!B360</f>
        <v>0.69063129237935605</v>
      </c>
      <c r="M360" s="4">
        <f t="shared" ca="1" si="33"/>
        <v>8.5117567657110149E-2</v>
      </c>
      <c r="N360" s="13">
        <f ca="1">IF(Prices!B359&gt;OFFSET(Prices!B359,-$N$3,0),1,-1)</f>
        <v>-1</v>
      </c>
      <c r="O360" s="4">
        <f ca="1">IF(N360=1,O$3*L359/Prices!B359,-O$3*M359)</f>
        <v>-3.5465653190462566E-3</v>
      </c>
      <c r="P360" s="22"/>
      <c r="Q360" s="13">
        <f ca="1">Q359-T360*Prices!B360</f>
        <v>0.61149429407365463</v>
      </c>
      <c r="R360" s="4">
        <f t="shared" ca="1" si="32"/>
        <v>0.13752400028542738</v>
      </c>
      <c r="S360" s="13">
        <f ca="1">IF(Prices!B359&gt;OFFSET(Prices!B359,-S$3,0),1,-1)</f>
        <v>-1</v>
      </c>
      <c r="T360" s="4">
        <f ca="1">IF(S360=1,T$3*Q359/Prices!B359,-T$3*R359)</f>
        <v>-4.2533195964565172E-3</v>
      </c>
      <c r="V360" s="13"/>
      <c r="W360" s="4"/>
      <c r="X360" s="4"/>
      <c r="Y360" s="4"/>
      <c r="Z360" s="4"/>
      <c r="AA360" s="4"/>
      <c r="AB360" s="4"/>
      <c r="AC360" s="4"/>
      <c r="AD360" s="4"/>
      <c r="AE360" s="52"/>
    </row>
    <row r="361" spans="1:31" x14ac:dyDescent="0.2">
      <c r="A361" s="7">
        <v>43891</v>
      </c>
      <c r="B361" s="13">
        <f ca="1">Prices!B360*(1+J361/(50*(ABS(O361)+ABS(T361)+0.0001)))</f>
        <v>0</v>
      </c>
      <c r="C361" s="62">
        <f t="shared" ca="1" si="34"/>
        <v>0</v>
      </c>
      <c r="D361" s="13" t="e">
        <f ca="1">D360+C361*(Prices!B361-Prices!B360)/Prices!B360</f>
        <v>#DIV/0!</v>
      </c>
      <c r="E361" s="13" t="e">
        <f t="shared" ca="1" si="37"/>
        <v>#DIV/0!</v>
      </c>
      <c r="F361" s="13" t="e">
        <f t="shared" ca="1" si="35"/>
        <v>#DIV/0!</v>
      </c>
      <c r="G361" s="21">
        <f ca="1">IF((Prices!B361-Prices!B360)*C361&gt;0,1,0)</f>
        <v>0</v>
      </c>
      <c r="H361" s="13" t="e">
        <f>ABS(Prices!B361-Prices!B360)/Prices!B360</f>
        <v>#DIV/0!</v>
      </c>
      <c r="I361" s="21"/>
      <c r="J361" s="4">
        <f t="shared" ca="1" si="36"/>
        <v>-7.5304227148472276E-3</v>
      </c>
      <c r="K361" s="13"/>
      <c r="L361" s="13">
        <f ca="1">L360-O361*Prices!B361</f>
        <v>0.69063129237935605</v>
      </c>
      <c r="M361" s="4">
        <f t="shared" ca="1" si="33"/>
        <v>8.1712864950825748E-2</v>
      </c>
      <c r="N361" s="13">
        <f ca="1">IF(Prices!B360&gt;OFFSET(Prices!B360,-$N$3,0),1,-1)</f>
        <v>-1</v>
      </c>
      <c r="O361" s="4">
        <f ca="1">IF(N361=1,O$3*L360/Prices!B360,-O$3*M360)</f>
        <v>-3.4047027062844059E-3</v>
      </c>
      <c r="P361" s="22"/>
      <c r="Q361" s="13">
        <f ca="1">Q360-T361*Prices!B361</f>
        <v>0.61149429407365463</v>
      </c>
      <c r="R361" s="4">
        <f t="shared" ca="1" si="32"/>
        <v>0.13339828027686457</v>
      </c>
      <c r="S361" s="13">
        <f ca="1">IF(Prices!B360&gt;OFFSET(Prices!B360,-S$3,0),1,-1)</f>
        <v>-1</v>
      </c>
      <c r="T361" s="4">
        <f ca="1">IF(S361=1,T$3*Q360/Prices!B360,-T$3*R360)</f>
        <v>-4.1257200085628217E-3</v>
      </c>
      <c r="V361" s="13"/>
      <c r="W361" s="4"/>
      <c r="X361" s="4"/>
      <c r="Y361" s="4"/>
      <c r="Z361" s="4"/>
      <c r="AA361" s="4"/>
      <c r="AB361" s="4"/>
      <c r="AC361" s="4"/>
      <c r="AD361" s="4"/>
      <c r="AE361" s="52"/>
    </row>
    <row r="362" spans="1:31" x14ac:dyDescent="0.2">
      <c r="A362" s="7">
        <v>43898</v>
      </c>
      <c r="B362" s="13">
        <f ca="1">Prices!B361*(1+J362/(50*(ABS(O362)+ABS(T362)+0.0001)))</f>
        <v>0</v>
      </c>
      <c r="C362" s="62">
        <f t="shared" ca="1" si="34"/>
        <v>0</v>
      </c>
      <c r="D362" s="13" t="e">
        <f ca="1">D361+C362*(Prices!B362-Prices!B361)/Prices!B361</f>
        <v>#DIV/0!</v>
      </c>
      <c r="E362" s="13" t="e">
        <f t="shared" ca="1" si="37"/>
        <v>#DIV/0!</v>
      </c>
      <c r="F362" s="13" t="e">
        <f t="shared" ca="1" si="35"/>
        <v>#DIV/0!</v>
      </c>
      <c r="G362" s="21">
        <f ca="1">IF((Prices!B362-Prices!B361)*C362&gt;0,1,0)</f>
        <v>0</v>
      </c>
      <c r="H362" s="13" t="e">
        <f>ABS(Prices!B362-Prices!B361)/Prices!B361</f>
        <v>#DIV/0!</v>
      </c>
      <c r="I362" s="21"/>
      <c r="J362" s="4">
        <f t="shared" ca="1" si="36"/>
        <v>-7.2704630063389671E-3</v>
      </c>
      <c r="K362" s="13"/>
      <c r="L362" s="13">
        <f ca="1">L361-O362*Prices!B362</f>
        <v>0.69063129237935605</v>
      </c>
      <c r="M362" s="4">
        <f t="shared" ca="1" si="33"/>
        <v>7.8444350352792722E-2</v>
      </c>
      <c r="N362" s="13">
        <f ca="1">IF(Prices!B361&gt;OFFSET(Prices!B361,-$N$3,0),1,-1)</f>
        <v>-1</v>
      </c>
      <c r="O362" s="4">
        <f ca="1">IF(N362=1,O$3*L361/Prices!B361,-O$3*M361)</f>
        <v>-3.2685145980330299E-3</v>
      </c>
      <c r="P362" s="22"/>
      <c r="Q362" s="13">
        <f ca="1">Q361-T362*Prices!B362</f>
        <v>0.61149429407365463</v>
      </c>
      <c r="R362" s="4">
        <f t="shared" ca="1" si="32"/>
        <v>0.12939633186855862</v>
      </c>
      <c r="S362" s="13">
        <f ca="1">IF(Prices!B361&gt;OFFSET(Prices!B361,-S$3,0),1,-1)</f>
        <v>-1</v>
      </c>
      <c r="T362" s="4">
        <f ca="1">IF(S362=1,T$3*Q361/Prices!B361,-T$3*R361)</f>
        <v>-4.0019484083059368E-3</v>
      </c>
      <c r="V362" s="13"/>
      <c r="W362" s="4"/>
      <c r="X362" s="4"/>
      <c r="Y362" s="4"/>
      <c r="Z362" s="4"/>
      <c r="AA362" s="4"/>
      <c r="AB362" s="4"/>
      <c r="AC362" s="4"/>
      <c r="AD362" s="4"/>
      <c r="AE362" s="52"/>
    </row>
    <row r="363" spans="1:31" x14ac:dyDescent="0.2">
      <c r="A363" s="7">
        <v>43905</v>
      </c>
      <c r="B363" s="13">
        <f ca="1">Prices!B362*(1+J363/(50*(ABS(O363)+ABS(T363)+0.0001)))</f>
        <v>0</v>
      </c>
      <c r="C363" s="62">
        <f t="shared" ca="1" si="34"/>
        <v>0</v>
      </c>
      <c r="D363" s="13" t="e">
        <f ca="1">D362+C363*(Prices!B363-Prices!B362)/Prices!B362</f>
        <v>#DIV/0!</v>
      </c>
      <c r="E363" s="13" t="e">
        <f t="shared" ca="1" si="37"/>
        <v>#DIV/0!</v>
      </c>
      <c r="F363" s="13" t="e">
        <f t="shared" ca="1" si="35"/>
        <v>#DIV/0!</v>
      </c>
      <c r="G363" s="21">
        <f ca="1">IF((Prices!B363-Prices!B362)*C363&gt;0,1,0)</f>
        <v>0</v>
      </c>
      <c r="H363" s="13" t="e">
        <f>ABS(Prices!B363-Prices!B362)/Prices!B362</f>
        <v>#DIV/0!</v>
      </c>
      <c r="I363" s="21"/>
      <c r="J363" s="4">
        <f t="shared" ca="1" si="36"/>
        <v>-7.019663970168467E-3</v>
      </c>
      <c r="K363" s="13"/>
      <c r="L363" s="13">
        <f ca="1">L362-O363*Prices!B363</f>
        <v>0.69063129237935605</v>
      </c>
      <c r="M363" s="4">
        <f t="shared" ca="1" si="33"/>
        <v>7.5306576338681014E-2</v>
      </c>
      <c r="N363" s="13">
        <f ca="1">IF(Prices!B362&gt;OFFSET(Prices!B362,-$N$3,0),1,-1)</f>
        <v>-1</v>
      </c>
      <c r="O363" s="4">
        <f ca="1">IF(N363=1,O$3*L362/Prices!B362,-O$3*M362)</f>
        <v>-3.1377740141117091E-3</v>
      </c>
      <c r="P363" s="22"/>
      <c r="Q363" s="13">
        <f ca="1">Q362-T363*Prices!B363</f>
        <v>0.61149429407365463</v>
      </c>
      <c r="R363" s="4">
        <f t="shared" ca="1" si="32"/>
        <v>0.12551444191250186</v>
      </c>
      <c r="S363" s="13">
        <f ca="1">IF(Prices!B362&gt;OFFSET(Prices!B362,-S$3,0),1,-1)</f>
        <v>-1</v>
      </c>
      <c r="T363" s="4">
        <f ca="1">IF(S363=1,T$3*Q362/Prices!B362,-T$3*R362)</f>
        <v>-3.8818899560567584E-3</v>
      </c>
      <c r="V363" s="13"/>
      <c r="W363" s="4"/>
      <c r="X363" s="4"/>
      <c r="Y363" s="4"/>
      <c r="Z363" s="4"/>
      <c r="AA363" s="4"/>
      <c r="AB363" s="4"/>
      <c r="AC363" s="4"/>
      <c r="AD363" s="4"/>
      <c r="AE363" s="52"/>
    </row>
    <row r="364" spans="1:31" x14ac:dyDescent="0.2">
      <c r="A364" s="7">
        <v>43912</v>
      </c>
      <c r="B364" s="13">
        <f ca="1">Prices!B363*(1+J364/(50*(ABS(O364)+ABS(T364)+0.0001)))</f>
        <v>0</v>
      </c>
      <c r="C364" s="62">
        <f t="shared" ca="1" si="34"/>
        <v>0</v>
      </c>
      <c r="D364" s="13" t="e">
        <f ca="1">D363+C364*(Prices!B364-Prices!B363)/Prices!B363</f>
        <v>#DIV/0!</v>
      </c>
      <c r="E364" s="13" t="e">
        <f t="shared" ca="1" si="37"/>
        <v>#DIV/0!</v>
      </c>
      <c r="F364" s="13" t="e">
        <f t="shared" ca="1" si="35"/>
        <v>#DIV/0!</v>
      </c>
      <c r="G364" s="21">
        <f ca="1">IF((Prices!B364-Prices!B363)*C364&gt;0,1,0)</f>
        <v>0</v>
      </c>
      <c r="H364" s="13" t="e">
        <f>ABS(Prices!B364-Prices!B363)/Prices!B363</f>
        <v>#DIV/0!</v>
      </c>
      <c r="I364" s="21"/>
      <c r="J364" s="4">
        <f t="shared" ca="1" si="36"/>
        <v>-6.7776963109222963E-3</v>
      </c>
      <c r="K364" s="13"/>
      <c r="L364" s="13">
        <f ca="1">L363-O364*Prices!B364</f>
        <v>0.69063129237935605</v>
      </c>
      <c r="M364" s="4">
        <f t="shared" ca="1" si="33"/>
        <v>7.2294313285133777E-2</v>
      </c>
      <c r="N364" s="13">
        <f ca="1">IF(Prices!B363&gt;OFFSET(Prices!B363,-$N$3,0),1,-1)</f>
        <v>-1</v>
      </c>
      <c r="O364" s="4">
        <f ca="1">IF(N364=1,O$3*L363/Prices!B363,-O$3*M363)</f>
        <v>-3.0122630535472407E-3</v>
      </c>
      <c r="P364" s="22"/>
      <c r="Q364" s="13">
        <f ca="1">Q363-T364*Prices!B364</f>
        <v>0.61149429407365463</v>
      </c>
      <c r="R364" s="4">
        <f t="shared" ca="1" si="32"/>
        <v>0.12174900865512681</v>
      </c>
      <c r="S364" s="13">
        <f ca="1">IF(Prices!B363&gt;OFFSET(Prices!B363,-S$3,0),1,-1)</f>
        <v>-1</v>
      </c>
      <c r="T364" s="4">
        <f ca="1">IF(S364=1,T$3*Q363/Prices!B363,-T$3*R363)</f>
        <v>-3.7654332573750556E-3</v>
      </c>
      <c r="V364" s="13"/>
      <c r="W364" s="4"/>
      <c r="X364" s="4"/>
      <c r="Y364" s="4"/>
      <c r="Z364" s="4"/>
      <c r="AA364" s="4"/>
      <c r="AB364" s="4"/>
      <c r="AC364" s="4"/>
      <c r="AD364" s="4"/>
      <c r="AE364" s="52"/>
    </row>
    <row r="365" spans="1:31" x14ac:dyDescent="0.2">
      <c r="A365" s="7">
        <v>43919</v>
      </c>
      <c r="B365" s="13">
        <f ca="1">Prices!B364*(1+J365/(50*(ABS(O365)+ABS(T365)+0.0001)))</f>
        <v>0</v>
      </c>
      <c r="C365" s="62">
        <f t="shared" ca="1" si="34"/>
        <v>0</v>
      </c>
      <c r="D365" s="13" t="e">
        <f ca="1">D364+C365*(Prices!B365-Prices!B364)/Prices!B364</f>
        <v>#DIV/0!</v>
      </c>
      <c r="E365" s="13" t="e">
        <f t="shared" ca="1" si="37"/>
        <v>#DIV/0!</v>
      </c>
      <c r="F365" s="13" t="e">
        <f t="shared" ca="1" si="35"/>
        <v>#DIV/0!</v>
      </c>
      <c r="G365" s="21">
        <f ca="1">IF((Prices!B365-Prices!B364)*C365&gt;0,1,0)</f>
        <v>0</v>
      </c>
      <c r="H365" s="13" t="e">
        <f>ABS(Prices!B365-Prices!B364)/Prices!B364</f>
        <v>#DIV/0!</v>
      </c>
      <c r="I365" s="21"/>
      <c r="J365" s="4">
        <f t="shared" ca="1" si="36"/>
        <v>-6.5442427910591553E-3</v>
      </c>
      <c r="K365" s="13"/>
      <c r="L365" s="13">
        <f ca="1">L364-O365*Prices!B365</f>
        <v>0.69063129237935605</v>
      </c>
      <c r="M365" s="4">
        <f t="shared" ca="1" si="33"/>
        <v>6.9402540753728426E-2</v>
      </c>
      <c r="N365" s="13">
        <f ca="1">IF(Prices!B364&gt;OFFSET(Prices!B364,-$N$3,0),1,-1)</f>
        <v>-1</v>
      </c>
      <c r="O365" s="4">
        <f ca="1">IF(N365=1,O$3*L364/Prices!B364,-O$3*M364)</f>
        <v>-2.8917725314053511E-3</v>
      </c>
      <c r="P365" s="22"/>
      <c r="Q365" s="13">
        <f ca="1">Q364-T365*Prices!B365</f>
        <v>0.61149429407365463</v>
      </c>
      <c r="R365" s="4">
        <f t="shared" ca="1" si="32"/>
        <v>0.118096538395473</v>
      </c>
      <c r="S365" s="13">
        <f ca="1">IF(Prices!B364&gt;OFFSET(Prices!B364,-S$3,0),1,-1)</f>
        <v>-1</v>
      </c>
      <c r="T365" s="4">
        <f ca="1">IF(S365=1,T$3*Q364/Prices!B364,-T$3*R364)</f>
        <v>-3.6524702596538042E-3</v>
      </c>
      <c r="V365" s="13"/>
      <c r="W365" s="4"/>
      <c r="X365" s="4"/>
      <c r="Y365" s="4"/>
      <c r="Z365" s="4"/>
      <c r="AA365" s="4"/>
      <c r="AB365" s="4"/>
      <c r="AC365" s="4"/>
      <c r="AD365" s="4"/>
      <c r="AE365" s="52"/>
    </row>
    <row r="366" spans="1:31" x14ac:dyDescent="0.2">
      <c r="A366" s="7">
        <v>43926</v>
      </c>
      <c r="B366" s="13">
        <f ca="1">Prices!B365*(1+J366/(50*(ABS(O366)+ABS(T366)+0.0001)))</f>
        <v>0</v>
      </c>
      <c r="C366" s="62">
        <f t="shared" ca="1" si="34"/>
        <v>0</v>
      </c>
      <c r="D366" s="13" t="e">
        <f ca="1">D365+C366*(Prices!B366-Prices!B365)/Prices!B365</f>
        <v>#DIV/0!</v>
      </c>
      <c r="E366" s="13" t="e">
        <f t="shared" ca="1" si="37"/>
        <v>#DIV/0!</v>
      </c>
      <c r="F366" s="13" t="e">
        <f t="shared" ca="1" si="35"/>
        <v>#DIV/0!</v>
      </c>
      <c r="G366" s="21">
        <f ca="1">IF((Prices!B366-Prices!B365)*C366&gt;0,1,0)</f>
        <v>0</v>
      </c>
      <c r="H366" s="13" t="e">
        <f>ABS(Prices!B366-Prices!B365)/Prices!B365</f>
        <v>#DIV/0!</v>
      </c>
      <c r="I366" s="21"/>
      <c r="J366" s="4">
        <f t="shared" ca="1" si="36"/>
        <v>-6.3189977820133272E-3</v>
      </c>
      <c r="K366" s="13"/>
      <c r="L366" s="13">
        <f ca="1">L365-O366*Prices!B366</f>
        <v>0.69063129237935605</v>
      </c>
      <c r="M366" s="4">
        <f t="shared" ca="1" si="33"/>
        <v>6.6626439123579295E-2</v>
      </c>
      <c r="N366" s="13">
        <f ca="1">IF(Prices!B365&gt;OFFSET(Prices!B365,-$N$3,0),1,-1)</f>
        <v>-1</v>
      </c>
      <c r="O366" s="4">
        <f ca="1">IF(N366=1,O$3*L365/Prices!B365,-O$3*M365)</f>
        <v>-2.7761016301491369E-3</v>
      </c>
      <c r="P366" s="22"/>
      <c r="Q366" s="13">
        <f ca="1">Q365-T366*Prices!B366</f>
        <v>0.61149429407365463</v>
      </c>
      <c r="R366" s="4">
        <f t="shared" ca="1" si="32"/>
        <v>0.11455364224360881</v>
      </c>
      <c r="S366" s="13">
        <f ca="1">IF(Prices!B365&gt;OFFSET(Prices!B365,-S$3,0),1,-1)</f>
        <v>-1</v>
      </c>
      <c r="T366" s="4">
        <f ca="1">IF(S366=1,T$3*Q365/Prices!B365,-T$3*R365)</f>
        <v>-3.5428961518641899E-3</v>
      </c>
      <c r="V366" s="13"/>
      <c r="W366" s="4"/>
      <c r="X366" s="4"/>
      <c r="Y366" s="4"/>
      <c r="Z366" s="4"/>
      <c r="AA366" s="4"/>
      <c r="AB366" s="4"/>
      <c r="AC366" s="4"/>
      <c r="AD366" s="4"/>
      <c r="AE366" s="52"/>
    </row>
    <row r="367" spans="1:31" x14ac:dyDescent="0.2">
      <c r="A367" s="7">
        <v>43933</v>
      </c>
      <c r="B367" s="13">
        <f ca="1">Prices!B366*(1+J367/(50*(ABS(O367)+ABS(T367)+0.0001)))</f>
        <v>0</v>
      </c>
      <c r="C367" s="62">
        <f t="shared" ca="1" si="34"/>
        <v>0</v>
      </c>
      <c r="D367" s="13" t="e">
        <f ca="1">D366+C367*(Prices!B367-Prices!B366)/Prices!B366</f>
        <v>#DIV/0!</v>
      </c>
      <c r="E367" s="13" t="e">
        <f t="shared" ca="1" si="37"/>
        <v>#DIV/0!</v>
      </c>
      <c r="F367" s="13" t="e">
        <f t="shared" ca="1" si="35"/>
        <v>#DIV/0!</v>
      </c>
      <c r="G367" s="21">
        <f ca="1">IF((Prices!B367-Prices!B366)*C367&gt;0,1,0)</f>
        <v>0</v>
      </c>
      <c r="H367" s="13" t="e">
        <f>ABS(Prices!B367-Prices!B366)/Prices!B366</f>
        <v>#DIV/0!</v>
      </c>
      <c r="I367" s="21"/>
      <c r="J367" s="4">
        <f t="shared" ca="1" si="36"/>
        <v>-6.1016668322514366E-3</v>
      </c>
      <c r="K367" s="13"/>
      <c r="L367" s="13">
        <f ca="1">L366-O367*Prices!B367</f>
        <v>0.69063129237935605</v>
      </c>
      <c r="M367" s="4">
        <f t="shared" ca="1" si="33"/>
        <v>6.3961381558636121E-2</v>
      </c>
      <c r="N367" s="13">
        <f ca="1">IF(Prices!B366&gt;OFFSET(Prices!B366,-$N$3,0),1,-1)</f>
        <v>-1</v>
      </c>
      <c r="O367" s="4">
        <f ca="1">IF(N367=1,O$3*L366/Prices!B366,-O$3*M366)</f>
        <v>-2.6650575649431719E-3</v>
      </c>
      <c r="P367" s="22"/>
      <c r="Q367" s="13">
        <f ca="1">Q366-T367*Prices!B367</f>
        <v>0.61149429407365463</v>
      </c>
      <c r="R367" s="4">
        <f t="shared" ca="1" si="32"/>
        <v>0.11111703297630054</v>
      </c>
      <c r="S367" s="13">
        <f ca="1">IF(Prices!B366&gt;OFFSET(Prices!B366,-S$3,0),1,-1)</f>
        <v>-1</v>
      </c>
      <c r="T367" s="4">
        <f ca="1">IF(S367=1,T$3*Q366/Prices!B366,-T$3*R366)</f>
        <v>-3.4366092673082643E-3</v>
      </c>
      <c r="V367" s="13"/>
      <c r="W367" s="4"/>
      <c r="X367" s="4"/>
      <c r="Y367" s="4"/>
      <c r="Z367" s="4"/>
      <c r="AA367" s="4"/>
      <c r="AB367" s="4"/>
      <c r="AC367" s="4"/>
      <c r="AD367" s="4"/>
      <c r="AE367" s="52"/>
    </row>
    <row r="368" spans="1:31" x14ac:dyDescent="0.2">
      <c r="A368" s="7">
        <v>43940</v>
      </c>
      <c r="B368" s="13">
        <f ca="1">Prices!B367*(1+J368/(50*(ABS(O368)+ABS(T368)+0.0001)))</f>
        <v>0</v>
      </c>
      <c r="C368" s="62">
        <f t="shared" ca="1" si="34"/>
        <v>0</v>
      </c>
      <c r="D368" s="13" t="e">
        <f ca="1">D367+C368*(Prices!B368-Prices!B367)/Prices!B367</f>
        <v>#DIV/0!</v>
      </c>
      <c r="E368" s="13" t="e">
        <f t="shared" ca="1" si="37"/>
        <v>#DIV/0!</v>
      </c>
      <c r="F368" s="13" t="e">
        <f t="shared" ca="1" si="35"/>
        <v>#DIV/0!</v>
      </c>
      <c r="G368" s="21">
        <f ca="1">IF((Prices!B368-Prices!B367)*C368&gt;0,1,0)</f>
        <v>0</v>
      </c>
      <c r="H368" s="13" t="e">
        <f>ABS(Prices!B368-Prices!B367)/Prices!B367</f>
        <v>#DIV/0!</v>
      </c>
      <c r="I368" s="21"/>
      <c r="J368" s="4">
        <f t="shared" ca="1" si="36"/>
        <v>-5.8919662516344609E-3</v>
      </c>
      <c r="K368" s="13"/>
      <c r="L368" s="13">
        <f ca="1">L367-O368*Prices!B368</f>
        <v>0.69063129237935605</v>
      </c>
      <c r="M368" s="4">
        <f t="shared" ca="1" si="33"/>
        <v>6.1402926296290676E-2</v>
      </c>
      <c r="N368" s="13">
        <f ca="1">IF(Prices!B367&gt;OFFSET(Prices!B367,-$N$3,0),1,-1)</f>
        <v>-1</v>
      </c>
      <c r="O368" s="4">
        <f ca="1">IF(N368=1,O$3*L367/Prices!B367,-O$3*M367)</f>
        <v>-2.5584552623454447E-3</v>
      </c>
      <c r="P368" s="22"/>
      <c r="Q368" s="13">
        <f ca="1">Q367-T368*Prices!B368</f>
        <v>0.61149429407365463</v>
      </c>
      <c r="R368" s="4">
        <f t="shared" ca="1" si="32"/>
        <v>0.10778352198701154</v>
      </c>
      <c r="S368" s="13">
        <f ca="1">IF(Prices!B367&gt;OFFSET(Prices!B367,-S$3,0),1,-1)</f>
        <v>-1</v>
      </c>
      <c r="T368" s="4">
        <f ca="1">IF(S368=1,T$3*Q367/Prices!B367,-T$3*R367)</f>
        <v>-3.3335109892890162E-3</v>
      </c>
      <c r="V368" s="13"/>
      <c r="W368" s="4"/>
      <c r="X368" s="4"/>
      <c r="Y368" s="4"/>
      <c r="Z368" s="4"/>
      <c r="AA368" s="4"/>
      <c r="AB368" s="4"/>
      <c r="AC368" s="4"/>
      <c r="AD368" s="4"/>
      <c r="AE368" s="52"/>
    </row>
    <row r="369" spans="1:31" x14ac:dyDescent="0.2">
      <c r="A369" s="7">
        <v>43947</v>
      </c>
      <c r="B369" s="13">
        <f ca="1">Prices!B368*(1+J369/(50*(ABS(O369)+ABS(T369)+0.0001)))</f>
        <v>0</v>
      </c>
      <c r="C369" s="62">
        <f t="shared" ca="1" si="34"/>
        <v>0</v>
      </c>
      <c r="D369" s="13" t="e">
        <f ca="1">D368+C369*(Prices!B369-Prices!B368)/Prices!B368</f>
        <v>#DIV/0!</v>
      </c>
      <c r="E369" s="13" t="e">
        <f t="shared" ca="1" si="37"/>
        <v>#DIV/0!</v>
      </c>
      <c r="F369" s="13" t="e">
        <f t="shared" ca="1" si="35"/>
        <v>#DIV/0!</v>
      </c>
      <c r="G369" s="21">
        <f ca="1">IF((Prices!B369-Prices!B368)*C369&gt;0,1,0)</f>
        <v>0</v>
      </c>
      <c r="H369" s="13" t="e">
        <f>ABS(Prices!B369-Prices!B368)/Prices!B368</f>
        <v>#DIV/0!</v>
      </c>
      <c r="I369" s="21"/>
      <c r="J369" s="4">
        <f t="shared" ca="1" si="36"/>
        <v>-5.6896227114619728E-3</v>
      </c>
      <c r="K369" s="13"/>
      <c r="L369" s="13">
        <f ca="1">L368-O369*Prices!B369</f>
        <v>0.69063129237935605</v>
      </c>
      <c r="M369" s="4">
        <f t="shared" ca="1" si="33"/>
        <v>5.8946809244439048E-2</v>
      </c>
      <c r="N369" s="13">
        <f ca="1">IF(Prices!B368&gt;OFFSET(Prices!B368,-$N$3,0),1,-1)</f>
        <v>-1</v>
      </c>
      <c r="O369" s="4">
        <f ca="1">IF(N369=1,O$3*L368/Prices!B368,-O$3*M368)</f>
        <v>-2.456117051851627E-3</v>
      </c>
      <c r="P369" s="22"/>
      <c r="Q369" s="13">
        <f ca="1">Q368-T369*Prices!B369</f>
        <v>0.61149429407365463</v>
      </c>
      <c r="R369" s="4">
        <f t="shared" ca="1" si="32"/>
        <v>0.10455001632740119</v>
      </c>
      <c r="S369" s="13">
        <f ca="1">IF(Prices!B368&gt;OFFSET(Prices!B368,-S$3,0),1,-1)</f>
        <v>-1</v>
      </c>
      <c r="T369" s="4">
        <f ca="1">IF(S369=1,T$3*Q368/Prices!B368,-T$3*R368)</f>
        <v>-3.2335056596103457E-3</v>
      </c>
      <c r="V369" s="13"/>
      <c r="W369" s="4"/>
      <c r="X369" s="4"/>
      <c r="Y369" s="4"/>
      <c r="Z369" s="4"/>
      <c r="AA369" s="4"/>
      <c r="AB369" s="4"/>
      <c r="AC369" s="4"/>
      <c r="AD369" s="4"/>
      <c r="AE369" s="52"/>
    </row>
    <row r="370" spans="1:31" x14ac:dyDescent="0.2">
      <c r="A370" s="7">
        <v>43954</v>
      </c>
      <c r="B370" s="13">
        <f ca="1">Prices!B369*(1+J370/(50*(ABS(O370)+ABS(T370)+0.0001)))</f>
        <v>0</v>
      </c>
      <c r="C370" s="62">
        <f t="shared" ca="1" si="34"/>
        <v>0</v>
      </c>
      <c r="D370" s="13" t="e">
        <f ca="1">D369+C370*(Prices!B370-Prices!B369)/Prices!B369</f>
        <v>#DIV/0!</v>
      </c>
      <c r="E370" s="13" t="e">
        <f t="shared" ca="1" si="37"/>
        <v>#DIV/0!</v>
      </c>
      <c r="F370" s="13" t="e">
        <f t="shared" ca="1" si="35"/>
        <v>#DIV/0!</v>
      </c>
      <c r="G370" s="21">
        <f ca="1">IF((Prices!B370-Prices!B369)*C370&gt;0,1,0)</f>
        <v>0</v>
      </c>
      <c r="H370" s="13" t="e">
        <f>ABS(Prices!B370-Prices!B369)/Prices!B369</f>
        <v>#DIV/0!</v>
      </c>
      <c r="I370" s="21"/>
      <c r="J370" s="4">
        <f t="shared" ca="1" si="36"/>
        <v>-5.4943728595995972E-3</v>
      </c>
      <c r="K370" s="13"/>
      <c r="L370" s="13">
        <f ca="1">L369-O370*Prices!B370</f>
        <v>0.69063129237935605</v>
      </c>
      <c r="M370" s="4">
        <f t="shared" ca="1" si="33"/>
        <v>5.6588936874661488E-2</v>
      </c>
      <c r="N370" s="13">
        <f ca="1">IF(Prices!B369&gt;OFFSET(Prices!B369,-$N$3,0),1,-1)</f>
        <v>-1</v>
      </c>
      <c r="O370" s="4">
        <f ca="1">IF(N370=1,O$3*L369/Prices!B369,-O$3*M369)</f>
        <v>-2.3578723697775619E-3</v>
      </c>
      <c r="P370" s="22"/>
      <c r="Q370" s="13">
        <f ca="1">Q369-T370*Prices!B370</f>
        <v>0.61149429407365463</v>
      </c>
      <c r="R370" s="4">
        <f t="shared" ca="1" si="32"/>
        <v>0.10141351583757915</v>
      </c>
      <c r="S370" s="13">
        <f ca="1">IF(Prices!B369&gt;OFFSET(Prices!B369,-S$3,0),1,-1)</f>
        <v>-1</v>
      </c>
      <c r="T370" s="4">
        <f ca="1">IF(S370=1,T$3*Q369/Prices!B369,-T$3*R369)</f>
        <v>-3.1365004898220353E-3</v>
      </c>
      <c r="V370" s="13"/>
      <c r="W370" s="4"/>
      <c r="X370" s="4"/>
      <c r="Y370" s="4"/>
      <c r="Z370" s="4"/>
      <c r="AA370" s="4"/>
      <c r="AB370" s="4"/>
      <c r="AC370" s="4"/>
      <c r="AD370" s="4"/>
      <c r="AE370" s="52"/>
    </row>
    <row r="371" spans="1:31" x14ac:dyDescent="0.2">
      <c r="A371" s="7">
        <v>43961</v>
      </c>
      <c r="B371" s="13">
        <f ca="1">Prices!B370*(1+J371/(50*(ABS(O371)+ABS(T371)+0.0001)))</f>
        <v>0</v>
      </c>
      <c r="C371" s="62">
        <f t="shared" ca="1" si="34"/>
        <v>0</v>
      </c>
      <c r="D371" s="13" t="e">
        <f ca="1">D370+C371*(Prices!B371-Prices!B370)/Prices!B370</f>
        <v>#DIV/0!</v>
      </c>
      <c r="E371" s="13" t="e">
        <f t="shared" ca="1" si="37"/>
        <v>#DIV/0!</v>
      </c>
      <c r="F371" s="13" t="e">
        <f t="shared" ca="1" si="35"/>
        <v>#DIV/0!</v>
      </c>
      <c r="G371" s="21">
        <f ca="1">IF((Prices!B371-Prices!B370)*C371&gt;0,1,0)</f>
        <v>0</v>
      </c>
      <c r="H371" s="13" t="e">
        <f>ABS(Prices!B371-Prices!B370)/Prices!B370</f>
        <v>#DIV/0!</v>
      </c>
      <c r="I371" s="21"/>
      <c r="J371" s="4">
        <f t="shared" ca="1" si="36"/>
        <v>-5.305962950113834E-3</v>
      </c>
      <c r="K371" s="13"/>
      <c r="L371" s="13">
        <f ca="1">L370-O371*Prices!B371</f>
        <v>0.69063129237935605</v>
      </c>
      <c r="M371" s="4">
        <f t="shared" ca="1" si="33"/>
        <v>5.4325379399675029E-2</v>
      </c>
      <c r="N371" s="13">
        <f ca="1">IF(Prices!B370&gt;OFFSET(Prices!B370,-$N$3,0),1,-1)</f>
        <v>-1</v>
      </c>
      <c r="O371" s="4">
        <f ca="1">IF(N371=1,O$3*L370/Prices!B370,-O$3*M370)</f>
        <v>-2.2635574749864597E-3</v>
      </c>
      <c r="P371" s="22"/>
      <c r="Q371" s="13">
        <f ca="1">Q370-T371*Prices!B371</f>
        <v>0.61149429407365463</v>
      </c>
      <c r="R371" s="4">
        <f t="shared" ca="1" si="32"/>
        <v>9.8371110362451775E-2</v>
      </c>
      <c r="S371" s="13">
        <f ca="1">IF(Prices!B370&gt;OFFSET(Prices!B370,-S$3,0),1,-1)</f>
        <v>-1</v>
      </c>
      <c r="T371" s="4">
        <f ca="1">IF(S371=1,T$3*Q370/Prices!B370,-T$3*R370)</f>
        <v>-3.0424054751273747E-3</v>
      </c>
      <c r="V371" s="13"/>
      <c r="W371" s="4"/>
      <c r="X371" s="4"/>
      <c r="Y371" s="4"/>
      <c r="Z371" s="4"/>
      <c r="AA371" s="4"/>
      <c r="AB371" s="4"/>
      <c r="AC371" s="4"/>
      <c r="AD371" s="4"/>
      <c r="AE371" s="52"/>
    </row>
    <row r="372" spans="1:31" x14ac:dyDescent="0.2">
      <c r="A372" s="7">
        <v>43968</v>
      </c>
      <c r="B372" s="13">
        <f ca="1">Prices!B371*(1+J372/(50*(ABS(O372)+ABS(T372)+0.0001)))</f>
        <v>0</v>
      </c>
      <c r="C372" s="62">
        <f t="shared" ca="1" si="34"/>
        <v>0</v>
      </c>
      <c r="D372" s="13" t="e">
        <f ca="1">D371+C372*(Prices!B372-Prices!B371)/Prices!B371</f>
        <v>#DIV/0!</v>
      </c>
      <c r="E372" s="13" t="e">
        <f t="shared" ca="1" si="37"/>
        <v>#DIV/0!</v>
      </c>
      <c r="F372" s="13" t="e">
        <f t="shared" ca="1" si="35"/>
        <v>#DIV/0!</v>
      </c>
      <c r="G372" s="21">
        <f ca="1">IF((Prices!B372-Prices!B371)*C372&gt;0,1,0)</f>
        <v>0</v>
      </c>
      <c r="H372" s="13" t="e">
        <f>ABS(Prices!B372-Prices!B371)/Prices!B371</f>
        <v>#DIV/0!</v>
      </c>
      <c r="I372" s="21"/>
      <c r="J372" s="4">
        <f t="shared" ca="1" si="36"/>
        <v>-5.1241484868605547E-3</v>
      </c>
      <c r="K372" s="13"/>
      <c r="L372" s="13">
        <f ca="1">L371-O372*Prices!B372</f>
        <v>0.69063129237935605</v>
      </c>
      <c r="M372" s="4">
        <f t="shared" ca="1" si="33"/>
        <v>5.2152364223688026E-2</v>
      </c>
      <c r="N372" s="13">
        <f ca="1">IF(Prices!B371&gt;OFFSET(Prices!B371,-$N$3,0),1,-1)</f>
        <v>-1</v>
      </c>
      <c r="O372" s="4">
        <f ca="1">IF(N372=1,O$3*L371/Prices!B371,-O$3*M371)</f>
        <v>-2.1730151759870014E-3</v>
      </c>
      <c r="P372" s="22"/>
      <c r="Q372" s="13">
        <f ca="1">Q371-T372*Prices!B372</f>
        <v>0.61149429407365463</v>
      </c>
      <c r="R372" s="4">
        <f t="shared" ca="1" si="32"/>
        <v>9.5419977051578217E-2</v>
      </c>
      <c r="S372" s="13">
        <f ca="1">IF(Prices!B371&gt;OFFSET(Prices!B371,-S$3,0),1,-1)</f>
        <v>-1</v>
      </c>
      <c r="T372" s="4">
        <f ca="1">IF(S372=1,T$3*Q371/Prices!B371,-T$3*R371)</f>
        <v>-2.9511333108735533E-3</v>
      </c>
      <c r="V372" s="13"/>
      <c r="W372" s="4"/>
      <c r="X372" s="4"/>
      <c r="Y372" s="4"/>
      <c r="Z372" s="4"/>
      <c r="AA372" s="4"/>
      <c r="AB372" s="4"/>
      <c r="AC372" s="4"/>
      <c r="AD372" s="4"/>
      <c r="AE372" s="52"/>
    </row>
    <row r="373" spans="1:31" x14ac:dyDescent="0.2">
      <c r="A373" s="7">
        <v>43975</v>
      </c>
      <c r="B373" s="13">
        <f ca="1">Prices!B372*(1+J373/(50*(ABS(O373)+ABS(T373)+0.0001)))</f>
        <v>0</v>
      </c>
      <c r="C373" s="62">
        <f t="shared" ca="1" si="34"/>
        <v>0</v>
      </c>
      <c r="D373" s="13" t="e">
        <f ca="1">D372+C373*(Prices!B373-Prices!B372)/Prices!B372</f>
        <v>#DIV/0!</v>
      </c>
      <c r="E373" s="13" t="e">
        <f t="shared" ca="1" si="37"/>
        <v>#DIV/0!</v>
      </c>
      <c r="F373" s="13" t="e">
        <f t="shared" ca="1" si="35"/>
        <v>#DIV/0!</v>
      </c>
      <c r="G373" s="21">
        <f ca="1">IF((Prices!B373-Prices!B372)*C373&gt;0,1,0)</f>
        <v>0</v>
      </c>
      <c r="H373" s="13" t="e">
        <f>ABS(Prices!B373-Prices!B372)/Prices!B372</f>
        <v>#DIV/0!</v>
      </c>
      <c r="I373" s="21"/>
      <c r="J373" s="4">
        <f t="shared" ca="1" si="36"/>
        <v>-4.9486938804948677E-3</v>
      </c>
      <c r="K373" s="13"/>
      <c r="L373" s="13">
        <f ca="1">L372-O373*Prices!B373</f>
        <v>0.69063129237935605</v>
      </c>
      <c r="M373" s="4">
        <f t="shared" ca="1" si="33"/>
        <v>5.0066269654740508E-2</v>
      </c>
      <c r="N373" s="13">
        <f ca="1">IF(Prices!B372&gt;OFFSET(Prices!B372,-$N$3,0),1,-1)</f>
        <v>-1</v>
      </c>
      <c r="O373" s="4">
        <f ca="1">IF(N373=1,O$3*L372/Prices!B372,-O$3*M372)</f>
        <v>-2.0860945689475212E-3</v>
      </c>
      <c r="P373" s="22"/>
      <c r="Q373" s="13">
        <f ca="1">Q372-T373*Prices!B373</f>
        <v>0.61149429407365463</v>
      </c>
      <c r="R373" s="4">
        <f t="shared" ca="1" si="32"/>
        <v>9.2557377740030866E-2</v>
      </c>
      <c r="S373" s="13">
        <f ca="1">IF(Prices!B372&gt;OFFSET(Prices!B372,-S$3,0),1,-1)</f>
        <v>-1</v>
      </c>
      <c r="T373" s="4">
        <f ca="1">IF(S373=1,T$3*Q372/Prices!B372,-T$3*R372)</f>
        <v>-2.8625993115473465E-3</v>
      </c>
      <c r="V373" s="13"/>
      <c r="W373" s="4"/>
      <c r="X373" s="4"/>
      <c r="Y373" s="4"/>
      <c r="Z373" s="4"/>
      <c r="AA373" s="4"/>
      <c r="AB373" s="4"/>
      <c r="AC373" s="4"/>
      <c r="AD373" s="4"/>
      <c r="AE373" s="52"/>
    </row>
    <row r="374" spans="1:31" x14ac:dyDescent="0.2">
      <c r="A374" s="7">
        <v>43982</v>
      </c>
      <c r="B374" s="13">
        <f ca="1">Prices!B373*(1+J374/(50*(ABS(O374)+ABS(T374)+0.0001)))</f>
        <v>0</v>
      </c>
      <c r="C374" s="62">
        <f t="shared" ca="1" si="34"/>
        <v>0</v>
      </c>
      <c r="D374" s="13" t="e">
        <f ca="1">D373+C374*(Prices!B374-Prices!B373)/Prices!B373</f>
        <v>#DIV/0!</v>
      </c>
      <c r="E374" s="13" t="e">
        <f t="shared" ca="1" si="37"/>
        <v>#DIV/0!</v>
      </c>
      <c r="F374" s="13" t="e">
        <f t="shared" ca="1" si="35"/>
        <v>#DIV/0!</v>
      </c>
      <c r="G374" s="21">
        <f ca="1">IF((Prices!B374-Prices!B373)*C374&gt;0,1,0)</f>
        <v>0</v>
      </c>
      <c r="H374" s="13" t="e">
        <f>ABS(Prices!B374-Prices!B373)/Prices!B373</f>
        <v>#DIV/0!</v>
      </c>
      <c r="I374" s="21"/>
      <c r="J374" s="4">
        <f t="shared" ca="1" si="36"/>
        <v>-4.7793721183905461E-3</v>
      </c>
      <c r="K374" s="13"/>
      <c r="L374" s="13">
        <f ca="1">L373-O374*Prices!B374</f>
        <v>0.69063129237935605</v>
      </c>
      <c r="M374" s="4">
        <f t="shared" ca="1" si="33"/>
        <v>4.8063618868550886E-2</v>
      </c>
      <c r="N374" s="13">
        <f ca="1">IF(Prices!B373&gt;OFFSET(Prices!B373,-$N$3,0),1,-1)</f>
        <v>-1</v>
      </c>
      <c r="O374" s="4">
        <f ca="1">IF(N374=1,O$3*L373/Prices!B373,-O$3*M373)</f>
        <v>-2.0026507861896203E-3</v>
      </c>
      <c r="P374" s="22"/>
      <c r="Q374" s="13">
        <f ca="1">Q373-T374*Prices!B374</f>
        <v>0.61149429407365463</v>
      </c>
      <c r="R374" s="4">
        <f t="shared" ca="1" si="32"/>
        <v>8.9780656407829937E-2</v>
      </c>
      <c r="S374" s="13">
        <f ca="1">IF(Prices!B373&gt;OFFSET(Prices!B373,-S$3,0),1,-1)</f>
        <v>-1</v>
      </c>
      <c r="T374" s="4">
        <f ca="1">IF(S374=1,T$3*Q373/Prices!B373,-T$3*R373)</f>
        <v>-2.7767213322009258E-3</v>
      </c>
      <c r="V374" s="13"/>
      <c r="W374" s="4"/>
      <c r="X374" s="4"/>
      <c r="Y374" s="4"/>
      <c r="Z374" s="4"/>
      <c r="AA374" s="4"/>
      <c r="AB374" s="4"/>
      <c r="AC374" s="4"/>
      <c r="AD374" s="4"/>
      <c r="AE374" s="52"/>
    </row>
    <row r="375" spans="1:31" x14ac:dyDescent="0.2">
      <c r="A375" s="7">
        <v>43989</v>
      </c>
      <c r="B375" s="13">
        <f ca="1">Prices!B374*(1+J375/(50*(ABS(O375)+ABS(T375)+0.0001)))</f>
        <v>0</v>
      </c>
      <c r="C375" s="62">
        <f t="shared" ca="1" si="34"/>
        <v>0</v>
      </c>
      <c r="D375" s="13" t="e">
        <f ca="1">D374+C375*(Prices!B375-Prices!B374)/Prices!B374</f>
        <v>#DIV/0!</v>
      </c>
      <c r="E375" s="13" t="e">
        <f t="shared" ca="1" si="37"/>
        <v>#DIV/0!</v>
      </c>
      <c r="F375" s="13" t="e">
        <f t="shared" ca="1" si="35"/>
        <v>#DIV/0!</v>
      </c>
      <c r="G375" s="21">
        <f ca="1">IF((Prices!B375-Prices!B374)*C375&gt;0,1,0)</f>
        <v>0</v>
      </c>
      <c r="H375" s="13" t="e">
        <f>ABS(Prices!B375-Prices!B374)/Prices!B374</f>
        <v>#DIV/0!</v>
      </c>
      <c r="I375" s="21"/>
      <c r="J375" s="4">
        <f t="shared" ca="1" si="36"/>
        <v>-4.6159644469769339E-3</v>
      </c>
      <c r="K375" s="13"/>
      <c r="L375" s="13">
        <f ca="1">L374-O375*Prices!B375</f>
        <v>0.69063129237935605</v>
      </c>
      <c r="M375" s="4">
        <f t="shared" ca="1" si="33"/>
        <v>4.6141074113808848E-2</v>
      </c>
      <c r="N375" s="13">
        <f ca="1">IF(Prices!B374&gt;OFFSET(Prices!B374,-$N$3,0),1,-1)</f>
        <v>-1</v>
      </c>
      <c r="O375" s="4">
        <f ca="1">IF(N375=1,O$3*L374/Prices!B374,-O$3*M374)</f>
        <v>-1.9225447547420356E-3</v>
      </c>
      <c r="P375" s="22"/>
      <c r="Q375" s="13">
        <f ca="1">Q374-T375*Prices!B375</f>
        <v>0.61149429407365463</v>
      </c>
      <c r="R375" s="4">
        <f t="shared" ca="1" si="32"/>
        <v>8.708723671559504E-2</v>
      </c>
      <c r="S375" s="13">
        <f ca="1">IF(Prices!B374&gt;OFFSET(Prices!B374,-S$3,0),1,-1)</f>
        <v>-1</v>
      </c>
      <c r="T375" s="4">
        <f ca="1">IF(S375=1,T$3*Q374/Prices!B374,-T$3*R374)</f>
        <v>-2.6934196922348982E-3</v>
      </c>
      <c r="V375" s="13"/>
      <c r="W375" s="4"/>
      <c r="X375" s="4"/>
      <c r="Y375" s="4"/>
      <c r="Z375" s="4"/>
      <c r="AA375" s="4"/>
      <c r="AB375" s="4"/>
      <c r="AC375" s="4"/>
      <c r="AD375" s="4"/>
      <c r="AE375" s="52"/>
    </row>
    <row r="376" spans="1:31" x14ac:dyDescent="0.2">
      <c r="A376" s="7">
        <v>43996</v>
      </c>
      <c r="B376" s="13">
        <f ca="1">Prices!B375*(1+J376/(50*(ABS(O376)+ABS(T376)+0.0001)))</f>
        <v>0</v>
      </c>
      <c r="C376" s="62">
        <f t="shared" ca="1" si="34"/>
        <v>0</v>
      </c>
      <c r="D376" s="13" t="e">
        <f ca="1">D375+C376*(Prices!B376-Prices!B375)/Prices!B375</f>
        <v>#DIV/0!</v>
      </c>
      <c r="E376" s="13" t="e">
        <f t="shared" ca="1" si="37"/>
        <v>#DIV/0!</v>
      </c>
      <c r="F376" s="13" t="e">
        <f t="shared" ca="1" si="35"/>
        <v>#DIV/0!</v>
      </c>
      <c r="G376" s="21">
        <f ca="1">IF((Prices!B376-Prices!B375)*C376&gt;0,1,0)</f>
        <v>0</v>
      </c>
      <c r="H376" s="13" t="e">
        <f>ABS(Prices!B376-Prices!B375)/Prices!B375</f>
        <v>#DIV/0!</v>
      </c>
      <c r="I376" s="21"/>
      <c r="J376" s="4">
        <f t="shared" ca="1" si="36"/>
        <v>-4.4582600660202053E-3</v>
      </c>
      <c r="K376" s="13"/>
      <c r="L376" s="13">
        <f ca="1">L375-O376*Prices!B376</f>
        <v>0.69063129237935605</v>
      </c>
      <c r="M376" s="4">
        <f t="shared" ca="1" si="33"/>
        <v>4.4295431149256492E-2</v>
      </c>
      <c r="N376" s="13">
        <f ca="1">IF(Prices!B375&gt;OFFSET(Prices!B375,-$N$3,0),1,-1)</f>
        <v>-1</v>
      </c>
      <c r="O376" s="4">
        <f ca="1">IF(N376=1,O$3*L375/Prices!B375,-O$3*M375)</f>
        <v>-1.845642964552354E-3</v>
      </c>
      <c r="P376" s="22"/>
      <c r="Q376" s="13">
        <f ca="1">Q375-T376*Prices!B376</f>
        <v>0.61149429407365463</v>
      </c>
      <c r="R376" s="4">
        <f t="shared" ca="1" si="32"/>
        <v>8.4474619614127194E-2</v>
      </c>
      <c r="S376" s="13">
        <f ca="1">IF(Prices!B375&gt;OFFSET(Prices!B375,-S$3,0),1,-1)</f>
        <v>-1</v>
      </c>
      <c r="T376" s="4">
        <f ca="1">IF(S376=1,T$3*Q375/Prices!B375,-T$3*R375)</f>
        <v>-2.6126171014678513E-3</v>
      </c>
      <c r="V376" s="13"/>
      <c r="W376" s="4"/>
      <c r="X376" s="4"/>
      <c r="Y376" s="4"/>
      <c r="Z376" s="4"/>
      <c r="AA376" s="4"/>
      <c r="AB376" s="4"/>
      <c r="AC376" s="4"/>
      <c r="AD376" s="4"/>
      <c r="AE376" s="52"/>
    </row>
    <row r="377" spans="1:31" x14ac:dyDescent="0.2">
      <c r="A377" s="7">
        <v>44003</v>
      </c>
      <c r="B377" s="13">
        <f ca="1">Prices!B376*(1+J377/(50*(ABS(O377)+ABS(T377)+0.0001)))</f>
        <v>0</v>
      </c>
      <c r="C377" s="62">
        <f t="shared" ca="1" si="34"/>
        <v>0</v>
      </c>
      <c r="D377" s="13" t="e">
        <f ca="1">D376+C377*(Prices!B377-Prices!B376)/Prices!B376</f>
        <v>#DIV/0!</v>
      </c>
      <c r="E377" s="13" t="e">
        <f t="shared" ca="1" si="37"/>
        <v>#DIV/0!</v>
      </c>
      <c r="F377" s="13" t="e">
        <f t="shared" ca="1" si="35"/>
        <v>#DIV/0!</v>
      </c>
      <c r="G377" s="21">
        <f ca="1">IF((Prices!B377-Prices!B376)*C377&gt;0,1,0)</f>
        <v>0</v>
      </c>
      <c r="H377" s="13" t="e">
        <f>ABS(Prices!B377-Prices!B376)/Prices!B376</f>
        <v>#DIV/0!</v>
      </c>
      <c r="I377" s="21"/>
      <c r="J377" s="4">
        <f t="shared" ca="1" si="36"/>
        <v>-4.3060558343940751E-3</v>
      </c>
      <c r="K377" s="13"/>
      <c r="L377" s="13">
        <f ca="1">L376-O377*Prices!B377</f>
        <v>0.69063129237935605</v>
      </c>
      <c r="M377" s="4">
        <f t="shared" ca="1" si="33"/>
        <v>4.2523613903286232E-2</v>
      </c>
      <c r="N377" s="13">
        <f ca="1">IF(Prices!B376&gt;OFFSET(Prices!B376,-$N$3,0),1,-1)</f>
        <v>-1</v>
      </c>
      <c r="O377" s="4">
        <f ca="1">IF(N377=1,O$3*L376/Prices!B376,-O$3*M376)</f>
        <v>-1.7718172459702598E-3</v>
      </c>
      <c r="P377" s="22"/>
      <c r="Q377" s="13">
        <f ca="1">Q376-T377*Prices!B377</f>
        <v>0.61149429407365463</v>
      </c>
      <c r="R377" s="4">
        <f t="shared" ca="1" si="32"/>
        <v>8.1940381025703377E-2</v>
      </c>
      <c r="S377" s="13">
        <f ca="1">IF(Prices!B376&gt;OFFSET(Prices!B376,-S$3,0),1,-1)</f>
        <v>-1</v>
      </c>
      <c r="T377" s="4">
        <f ca="1">IF(S377=1,T$3*Q376/Prices!B376,-T$3*R376)</f>
        <v>-2.5342385884238156E-3</v>
      </c>
      <c r="V377" s="13"/>
      <c r="W377" s="4"/>
      <c r="X377" s="4"/>
      <c r="Y377" s="4"/>
      <c r="Z377" s="4"/>
      <c r="AA377" s="4"/>
      <c r="AB377" s="4"/>
      <c r="AC377" s="4"/>
      <c r="AD377" s="4"/>
      <c r="AE377" s="52"/>
    </row>
    <row r="378" spans="1:31" x14ac:dyDescent="0.2">
      <c r="A378" s="7">
        <v>44010</v>
      </c>
      <c r="B378" s="13">
        <f ca="1">Prices!B377*(1+J378/(50*(ABS(O378)+ABS(T378)+0.0001)))</f>
        <v>0</v>
      </c>
      <c r="C378" s="62">
        <f t="shared" ca="1" si="34"/>
        <v>0</v>
      </c>
      <c r="D378" s="13" t="e">
        <f ca="1">D377+C378*(Prices!B378-Prices!B377)/Prices!B377</f>
        <v>#DIV/0!</v>
      </c>
      <c r="E378" s="13" t="e">
        <f t="shared" ca="1" si="37"/>
        <v>#DIV/0!</v>
      </c>
      <c r="F378" s="13" t="e">
        <f t="shared" ca="1" si="35"/>
        <v>#DIV/0!</v>
      </c>
      <c r="G378" s="21">
        <f ca="1">IF((Prices!B378-Prices!B377)*C378&gt;0,1,0)</f>
        <v>0</v>
      </c>
      <c r="H378" s="13" t="e">
        <f>ABS(Prices!B378-Prices!B377)/Prices!B377</f>
        <v>#DIV/0!</v>
      </c>
      <c r="I378" s="21"/>
      <c r="J378" s="4">
        <f t="shared" ca="1" si="36"/>
        <v>-4.1591559869025505E-3</v>
      </c>
      <c r="K378" s="13"/>
      <c r="L378" s="13">
        <f ca="1">L377-O378*Prices!B378</f>
        <v>0.69063129237935605</v>
      </c>
      <c r="M378" s="4">
        <f t="shared" ca="1" si="33"/>
        <v>4.0822669347154783E-2</v>
      </c>
      <c r="N378" s="13">
        <f ca="1">IF(Prices!B377&gt;OFFSET(Prices!B377,-$N$3,0),1,-1)</f>
        <v>-1</v>
      </c>
      <c r="O378" s="4">
        <f ca="1">IF(N378=1,O$3*L377/Prices!B377,-O$3*M377)</f>
        <v>-1.7009445561314493E-3</v>
      </c>
      <c r="P378" s="22"/>
      <c r="Q378" s="13">
        <f ca="1">Q377-T378*Prices!B378</f>
        <v>0.61149429407365463</v>
      </c>
      <c r="R378" s="4">
        <f t="shared" ca="1" si="32"/>
        <v>7.9482169594932275E-2</v>
      </c>
      <c r="S378" s="13">
        <f ca="1">IF(Prices!B377&gt;OFFSET(Prices!B377,-S$3,0),1,-1)</f>
        <v>-1</v>
      </c>
      <c r="T378" s="4">
        <f ca="1">IF(S378=1,T$3*Q377/Prices!B377,-T$3*R377)</f>
        <v>-2.4582114307711012E-3</v>
      </c>
      <c r="V378" s="13"/>
      <c r="W378" s="4"/>
      <c r="X378" s="4"/>
      <c r="Y378" s="4"/>
      <c r="Z378" s="4"/>
      <c r="AA378" s="4"/>
      <c r="AB378" s="4"/>
      <c r="AC378" s="4"/>
      <c r="AD378" s="4"/>
      <c r="AE378" s="52"/>
    </row>
    <row r="379" spans="1:31" x14ac:dyDescent="0.2">
      <c r="A379" s="7">
        <v>44017</v>
      </c>
      <c r="B379" s="13">
        <f ca="1">Prices!B378*(1+J379/(50*(ABS(O379)+ABS(T379)+0.0001)))</f>
        <v>0</v>
      </c>
      <c r="C379" s="62">
        <f t="shared" ca="1" si="34"/>
        <v>0</v>
      </c>
      <c r="D379" s="13" t="e">
        <f ca="1">D378+C379*(Prices!B379-Prices!B378)/Prices!B378</f>
        <v>#DIV/0!</v>
      </c>
      <c r="E379" s="13" t="e">
        <f t="shared" ca="1" si="37"/>
        <v>#DIV/0!</v>
      </c>
      <c r="F379" s="13" t="e">
        <f t="shared" ca="1" si="35"/>
        <v>#DIV/0!</v>
      </c>
      <c r="G379" s="21">
        <f ca="1">IF((Prices!B379-Prices!B378)*C379&gt;0,1,0)</f>
        <v>0</v>
      </c>
      <c r="H379" s="13" t="e">
        <f>ABS(Prices!B379-Prices!B378)/Prices!B378</f>
        <v>#DIV/0!</v>
      </c>
      <c r="I379" s="21"/>
      <c r="J379" s="4">
        <f t="shared" ca="1" si="36"/>
        <v>-4.0173718617341593E-3</v>
      </c>
      <c r="K379" s="13"/>
      <c r="L379" s="13">
        <f ca="1">L378-O379*Prices!B379</f>
        <v>0.69063129237935605</v>
      </c>
      <c r="M379" s="4">
        <f t="shared" ca="1" si="33"/>
        <v>3.9189762573268588E-2</v>
      </c>
      <c r="N379" s="13">
        <f ca="1">IF(Prices!B378&gt;OFFSET(Prices!B378,-$N$3,0),1,-1)</f>
        <v>-1</v>
      </c>
      <c r="O379" s="4">
        <f ca="1">IF(N379=1,O$3*L378/Prices!B378,-O$3*M378)</f>
        <v>-1.6329067738861914E-3</v>
      </c>
      <c r="P379" s="22"/>
      <c r="Q379" s="13">
        <f ca="1">Q378-T379*Prices!B379</f>
        <v>0.61149429407365463</v>
      </c>
      <c r="R379" s="4">
        <f t="shared" ca="1" si="32"/>
        <v>7.7097704507084308E-2</v>
      </c>
      <c r="S379" s="13">
        <f ca="1">IF(Prices!B378&gt;OFFSET(Prices!B378,-S$3,0),1,-1)</f>
        <v>-1</v>
      </c>
      <c r="T379" s="4">
        <f ca="1">IF(S379=1,T$3*Q378/Prices!B378,-T$3*R378)</f>
        <v>-2.3844650878479682E-3</v>
      </c>
      <c r="V379" s="13"/>
      <c r="W379" s="4"/>
      <c r="X379" s="4"/>
      <c r="Y379" s="4"/>
      <c r="Z379" s="4"/>
      <c r="AA379" s="4"/>
      <c r="AB379" s="4"/>
      <c r="AC379" s="4"/>
      <c r="AD379" s="4"/>
      <c r="AE379" s="52"/>
    </row>
    <row r="380" spans="1:31" x14ac:dyDescent="0.2">
      <c r="A380" s="7">
        <v>44024</v>
      </c>
      <c r="B380" s="13">
        <f ca="1">Prices!B379*(1+J380/(50*(ABS(O380)+ABS(T380)+0.0001)))</f>
        <v>0</v>
      </c>
      <c r="C380" s="62">
        <f t="shared" ca="1" si="34"/>
        <v>0</v>
      </c>
      <c r="D380" s="13" t="e">
        <f ca="1">D379+C380*(Prices!B380-Prices!B379)/Prices!B379</f>
        <v>#DIV/0!</v>
      </c>
      <c r="E380" s="13" t="e">
        <f t="shared" ca="1" si="37"/>
        <v>#DIV/0!</v>
      </c>
      <c r="F380" s="13" t="e">
        <f t="shared" ca="1" si="35"/>
        <v>#DIV/0!</v>
      </c>
      <c r="G380" s="21">
        <f ca="1">IF((Prices!B380-Prices!B379)*C380&gt;0,1,0)</f>
        <v>0</v>
      </c>
      <c r="H380" s="13" t="e">
        <f>ABS(Prices!B380-Prices!B379)/Prices!B379</f>
        <v>#DIV/0!</v>
      </c>
      <c r="I380" s="21"/>
      <c r="J380" s="4">
        <f t="shared" ca="1" si="36"/>
        <v>-3.8805216381432722E-3</v>
      </c>
      <c r="K380" s="13"/>
      <c r="L380" s="13">
        <f ca="1">L379-O380*Prices!B380</f>
        <v>0.69063129237935605</v>
      </c>
      <c r="M380" s="4">
        <f t="shared" ca="1" si="33"/>
        <v>3.7622172070337842E-2</v>
      </c>
      <c r="N380" s="13">
        <f ca="1">IF(Prices!B379&gt;OFFSET(Prices!B379,-$N$3,0),1,-1)</f>
        <v>-1</v>
      </c>
      <c r="O380" s="4">
        <f ca="1">IF(N380=1,O$3*L379/Prices!B379,-O$3*M379)</f>
        <v>-1.5675905029307435E-3</v>
      </c>
      <c r="P380" s="22"/>
      <c r="Q380" s="13">
        <f ca="1">Q379-T380*Prices!B380</f>
        <v>0.61149429407365463</v>
      </c>
      <c r="R380" s="4">
        <f t="shared" ca="1" si="32"/>
        <v>7.4784773371871782E-2</v>
      </c>
      <c r="S380" s="13">
        <f ca="1">IF(Prices!B379&gt;OFFSET(Prices!B379,-S$3,0),1,-1)</f>
        <v>-1</v>
      </c>
      <c r="T380" s="4">
        <f ca="1">IF(S380=1,T$3*Q379/Prices!B379,-T$3*R379)</f>
        <v>-2.3129311352125289E-3</v>
      </c>
      <c r="V380" s="13"/>
      <c r="W380" s="4"/>
      <c r="X380" s="4"/>
      <c r="Y380" s="4"/>
      <c r="Z380" s="4"/>
      <c r="AA380" s="4"/>
      <c r="AB380" s="4"/>
      <c r="AC380" s="4"/>
      <c r="AD380" s="4"/>
      <c r="AE380" s="52"/>
    </row>
    <row r="381" spans="1:31" x14ac:dyDescent="0.2">
      <c r="A381" s="7">
        <v>44031</v>
      </c>
      <c r="B381" s="13">
        <f ca="1">Prices!B380*(1+J381/(50*(ABS(O381)+ABS(T381)+0.0001)))</f>
        <v>0</v>
      </c>
      <c r="C381" s="62">
        <f t="shared" ca="1" si="34"/>
        <v>0</v>
      </c>
      <c r="D381" s="13" t="e">
        <f ca="1">D380+C381*(Prices!B381-Prices!B380)/Prices!B380</f>
        <v>#DIV/0!</v>
      </c>
      <c r="E381" s="13" t="e">
        <f t="shared" ca="1" si="37"/>
        <v>#DIV/0!</v>
      </c>
      <c r="F381" s="13" t="e">
        <f t="shared" ca="1" si="35"/>
        <v>#DIV/0!</v>
      </c>
      <c r="G381" s="21">
        <f ca="1">IF((Prices!B381-Prices!B380)*C381&gt;0,1,0)</f>
        <v>0</v>
      </c>
      <c r="H381" s="13" t="e">
        <f>ABS(Prices!B381-Prices!B380)/Prices!B380</f>
        <v>#DIV/0!</v>
      </c>
      <c r="I381" s="21"/>
      <c r="J381" s="4">
        <f t="shared" ca="1" si="36"/>
        <v>-3.7484300839696672E-3</v>
      </c>
      <c r="K381" s="13"/>
      <c r="L381" s="13">
        <f ca="1">L380-O381*Prices!B381</f>
        <v>0.69063129237935605</v>
      </c>
      <c r="M381" s="4">
        <f t="shared" ca="1" si="33"/>
        <v>3.6117285187524328E-2</v>
      </c>
      <c r="N381" s="13">
        <f ca="1">IF(Prices!B380&gt;OFFSET(Prices!B380,-$N$3,0),1,-1)</f>
        <v>-1</v>
      </c>
      <c r="O381" s="4">
        <f ca="1">IF(N381=1,O$3*L380/Prices!B380,-O$3*M380)</f>
        <v>-1.5048868828135137E-3</v>
      </c>
      <c r="P381" s="22"/>
      <c r="Q381" s="13">
        <f ca="1">Q380-T381*Prices!B381</f>
        <v>0.61149429407365463</v>
      </c>
      <c r="R381" s="4">
        <f t="shared" ca="1" si="32"/>
        <v>7.2541230170715634E-2</v>
      </c>
      <c r="S381" s="13">
        <f ca="1">IF(Prices!B380&gt;OFFSET(Prices!B380,-S$3,0),1,-1)</f>
        <v>-1</v>
      </c>
      <c r="T381" s="4">
        <f ca="1">IF(S381=1,T$3*Q380/Prices!B380,-T$3*R380)</f>
        <v>-2.2435432011561536E-3</v>
      </c>
      <c r="V381" s="13"/>
      <c r="W381" s="4"/>
      <c r="X381" s="4"/>
      <c r="Y381" s="4"/>
      <c r="Z381" s="4"/>
      <c r="AA381" s="4"/>
      <c r="AB381" s="4"/>
      <c r="AC381" s="4"/>
      <c r="AD381" s="4"/>
      <c r="AE381" s="52"/>
    </row>
    <row r="382" spans="1:31" x14ac:dyDescent="0.2">
      <c r="A382" s="7">
        <v>44038</v>
      </c>
      <c r="B382" s="13">
        <f ca="1">Prices!B381*(1+J382/(50*(ABS(O382)+ABS(T382)+0.0001)))</f>
        <v>0</v>
      </c>
      <c r="C382" s="62">
        <f t="shared" ca="1" si="34"/>
        <v>0</v>
      </c>
      <c r="D382" s="13" t="e">
        <f ca="1">D381+C382*(Prices!B382-Prices!B381)/Prices!B381</f>
        <v>#DIV/0!</v>
      </c>
      <c r="E382" s="13" t="e">
        <f t="shared" ca="1" si="37"/>
        <v>#DIV/0!</v>
      </c>
      <c r="F382" s="13" t="e">
        <f t="shared" ca="1" si="35"/>
        <v>#DIV/0!</v>
      </c>
      <c r="G382" s="21">
        <f ca="1">IF((Prices!B382-Prices!B381)*C382&gt;0,1,0)</f>
        <v>0</v>
      </c>
      <c r="H382" s="13" t="e">
        <f>ABS(Prices!B382-Prices!B381)/Prices!B381</f>
        <v>#DIV/0!</v>
      </c>
      <c r="I382" s="21"/>
      <c r="J382" s="4">
        <f t="shared" ca="1" si="36"/>
        <v>-3.6209283126224421E-3</v>
      </c>
      <c r="K382" s="13"/>
      <c r="L382" s="13">
        <f ca="1">L381-O382*Prices!B382</f>
        <v>0.69063129237935605</v>
      </c>
      <c r="M382" s="4">
        <f t="shared" ca="1" si="33"/>
        <v>3.4672593780023353E-2</v>
      </c>
      <c r="N382" s="13">
        <f ca="1">IF(Prices!B381&gt;OFFSET(Prices!B381,-$N$3,0),1,-1)</f>
        <v>-1</v>
      </c>
      <c r="O382" s="4">
        <f ca="1">IF(N382=1,O$3*L381/Prices!B381,-O$3*M381)</f>
        <v>-1.4446914075009732E-3</v>
      </c>
      <c r="P382" s="22"/>
      <c r="Q382" s="13">
        <f ca="1">Q381-T382*Prices!B382</f>
        <v>0.61149429407365463</v>
      </c>
      <c r="R382" s="4">
        <f t="shared" ca="1" si="32"/>
        <v>7.0364993265594172E-2</v>
      </c>
      <c r="S382" s="13">
        <f ca="1">IF(Prices!B381&gt;OFFSET(Prices!B381,-S$3,0),1,-1)</f>
        <v>-1</v>
      </c>
      <c r="T382" s="4">
        <f ca="1">IF(S382=1,T$3*Q381/Prices!B381,-T$3*R381)</f>
        <v>-2.1762369051214689E-3</v>
      </c>
      <c r="V382" s="13"/>
      <c r="W382" s="4"/>
      <c r="X382" s="4"/>
      <c r="Y382" s="4"/>
      <c r="Z382" s="4"/>
      <c r="AA382" s="4"/>
      <c r="AB382" s="4"/>
      <c r="AC382" s="4"/>
      <c r="AD382" s="4"/>
      <c r="AE382" s="52"/>
    </row>
    <row r="383" spans="1:31" x14ac:dyDescent="0.2">
      <c r="A383" s="7">
        <v>44045</v>
      </c>
      <c r="B383" s="13">
        <f ca="1">Prices!B382*(1+J383/(50*(ABS(O383)+ABS(T383)+0.0001)))</f>
        <v>0</v>
      </c>
      <c r="C383" s="62">
        <f t="shared" ca="1" si="34"/>
        <v>0</v>
      </c>
      <c r="D383" s="13" t="e">
        <f ca="1">D382+C383*(Prices!B383-Prices!B382)/Prices!B382</f>
        <v>#DIV/0!</v>
      </c>
      <c r="E383" s="13" t="e">
        <f t="shared" ca="1" si="37"/>
        <v>#DIV/0!</v>
      </c>
      <c r="F383" s="13" t="e">
        <f t="shared" ca="1" si="35"/>
        <v>#DIV/0!</v>
      </c>
      <c r="G383" s="21">
        <f ca="1">IF((Prices!B383-Prices!B382)*C383&gt;0,1,0)</f>
        <v>0</v>
      </c>
      <c r="H383" s="13" t="e">
        <f>ABS(Prices!B383-Prices!B382)/Prices!B382</f>
        <v>#DIV/0!</v>
      </c>
      <c r="I383" s="21"/>
      <c r="J383" s="4">
        <f t="shared" ca="1" si="36"/>
        <v>-3.4978535491687595E-3</v>
      </c>
      <c r="K383" s="13"/>
      <c r="L383" s="13">
        <f ca="1">L382-O383*Prices!B383</f>
        <v>0.69063129237935605</v>
      </c>
      <c r="M383" s="4">
        <f t="shared" ca="1" si="33"/>
        <v>3.3285690028822416E-2</v>
      </c>
      <c r="N383" s="13">
        <f ca="1">IF(Prices!B382&gt;OFFSET(Prices!B382,-$N$3,0),1,-1)</f>
        <v>-1</v>
      </c>
      <c r="O383" s="4">
        <f ca="1">IF(N383=1,O$3*L382/Prices!B382,-O$3*M382)</f>
        <v>-1.3869037512009342E-3</v>
      </c>
      <c r="P383" s="22"/>
      <c r="Q383" s="13">
        <f ca="1">Q382-T383*Prices!B383</f>
        <v>0.61149429407365463</v>
      </c>
      <c r="R383" s="4">
        <f t="shared" ca="1" si="32"/>
        <v>6.8254043467626341E-2</v>
      </c>
      <c r="S383" s="13">
        <f ca="1">IF(Prices!B382&gt;OFFSET(Prices!B382,-S$3,0),1,-1)</f>
        <v>-1</v>
      </c>
      <c r="T383" s="4">
        <f ca="1">IF(S383=1,T$3*Q382/Prices!B382,-T$3*R382)</f>
        <v>-2.110949797967825E-3</v>
      </c>
      <c r="V383" s="13"/>
      <c r="W383" s="4"/>
      <c r="X383" s="4"/>
      <c r="Y383" s="4"/>
      <c r="Z383" s="4"/>
      <c r="AA383" s="4"/>
      <c r="AB383" s="4"/>
      <c r="AC383" s="4"/>
      <c r="AD383" s="4"/>
      <c r="AE383" s="52"/>
    </row>
    <row r="384" spans="1:31" x14ac:dyDescent="0.2">
      <c r="A384" s="7">
        <v>44052</v>
      </c>
      <c r="B384" s="13">
        <f ca="1">Prices!B383*(1+J384/(50*(ABS(O384)+ABS(T384)+0.0001)))</f>
        <v>0</v>
      </c>
      <c r="C384" s="62">
        <f t="shared" ca="1" si="34"/>
        <v>0</v>
      </c>
      <c r="D384" s="13" t="e">
        <f ca="1">D383+C384*(Prices!B384-Prices!B383)/Prices!B383</f>
        <v>#DIV/0!</v>
      </c>
      <c r="E384" s="13" t="e">
        <f t="shared" ca="1" si="37"/>
        <v>#DIV/0!</v>
      </c>
      <c r="F384" s="13" t="e">
        <f t="shared" ca="1" si="35"/>
        <v>#DIV/0!</v>
      </c>
      <c r="G384" s="21">
        <f ca="1">IF((Prices!B384-Prices!B383)*C384&gt;0,1,0)</f>
        <v>0</v>
      </c>
      <c r="H384" s="13" t="e">
        <f>ABS(Prices!B384-Prices!B383)/Prices!B383</f>
        <v>#DIV/0!</v>
      </c>
      <c r="I384" s="21"/>
      <c r="J384" s="4">
        <f t="shared" ca="1" si="36"/>
        <v>-3.3790489051816869E-3</v>
      </c>
      <c r="K384" s="13"/>
      <c r="L384" s="13">
        <f ca="1">L383-O384*Prices!B384</f>
        <v>0.69063129237935605</v>
      </c>
      <c r="M384" s="4">
        <f t="shared" ca="1" si="33"/>
        <v>3.1954262427669522E-2</v>
      </c>
      <c r="N384" s="13">
        <f ca="1">IF(Prices!B383&gt;OFFSET(Prices!B383,-$N$3,0),1,-1)</f>
        <v>-1</v>
      </c>
      <c r="O384" s="4">
        <f ca="1">IF(N384=1,O$3*L383/Prices!B383,-O$3*M383)</f>
        <v>-1.3314276011528966E-3</v>
      </c>
      <c r="P384" s="22"/>
      <c r="Q384" s="13">
        <f ca="1">Q383-T384*Prices!B384</f>
        <v>0.61149429407365463</v>
      </c>
      <c r="R384" s="4">
        <f t="shared" ca="1" si="32"/>
        <v>6.6206422163597553E-2</v>
      </c>
      <c r="S384" s="13">
        <f ca="1">IF(Prices!B383&gt;OFFSET(Prices!B383,-S$3,0),1,-1)</f>
        <v>-1</v>
      </c>
      <c r="T384" s="4">
        <f ca="1">IF(S384=1,T$3*Q383/Prices!B383,-T$3*R383)</f>
        <v>-2.0476213040287903E-3</v>
      </c>
      <c r="V384" s="13"/>
      <c r="W384" s="4"/>
      <c r="X384" s="4"/>
      <c r="Y384" s="4"/>
      <c r="Z384" s="4"/>
      <c r="AA384" s="4"/>
      <c r="AB384" s="4"/>
      <c r="AC384" s="4"/>
      <c r="AD384" s="4"/>
      <c r="AE384" s="52"/>
    </row>
    <row r="385" spans="1:31" x14ac:dyDescent="0.2">
      <c r="A385" s="7">
        <v>44059</v>
      </c>
      <c r="B385" s="13">
        <f ca="1">Prices!B384*(1+J385/(50*(ABS(O385)+ABS(T385)+0.0001)))</f>
        <v>0</v>
      </c>
      <c r="C385" s="62">
        <f t="shared" ca="1" si="34"/>
        <v>0</v>
      </c>
      <c r="D385" s="13" t="e">
        <f ca="1">D384+C385*(Prices!B385-Prices!B384)/Prices!B384</f>
        <v>#DIV/0!</v>
      </c>
      <c r="E385" s="13" t="e">
        <f t="shared" ca="1" si="37"/>
        <v>#DIV/0!</v>
      </c>
      <c r="F385" s="13" t="e">
        <f t="shared" ca="1" si="35"/>
        <v>#DIV/0!</v>
      </c>
      <c r="G385" s="21">
        <f ca="1">IF((Prices!B385-Prices!B384)*C385&gt;0,1,0)</f>
        <v>0</v>
      </c>
      <c r="H385" s="13" t="e">
        <f>ABS(Prices!B385-Prices!B384)/Prices!B384</f>
        <v>#DIV/0!</v>
      </c>
      <c r="I385" s="21"/>
      <c r="J385" s="4">
        <f t="shared" ca="1" si="36"/>
        <v>-3.2643631620147074E-3</v>
      </c>
      <c r="K385" s="13"/>
      <c r="L385" s="13">
        <f ca="1">L384-O385*Prices!B385</f>
        <v>0.69063129237935605</v>
      </c>
      <c r="M385" s="4">
        <f t="shared" ca="1" si="33"/>
        <v>3.0676091930562741E-2</v>
      </c>
      <c r="N385" s="13">
        <f ca="1">IF(Prices!B384&gt;OFFSET(Prices!B384,-$N$3,0),1,-1)</f>
        <v>-1</v>
      </c>
      <c r="O385" s="4">
        <f ca="1">IF(N385=1,O$3*L384/Prices!B384,-O$3*M384)</f>
        <v>-1.278170497106781E-3</v>
      </c>
      <c r="P385" s="22"/>
      <c r="Q385" s="13">
        <f ca="1">Q384-T385*Prices!B385</f>
        <v>0.61149429407365463</v>
      </c>
      <c r="R385" s="4">
        <f t="shared" ca="1" si="32"/>
        <v>6.4220229498689621E-2</v>
      </c>
      <c r="S385" s="13">
        <f ca="1">IF(Prices!B384&gt;OFFSET(Prices!B384,-S$3,0),1,-1)</f>
        <v>-1</v>
      </c>
      <c r="T385" s="4">
        <f ca="1">IF(S385=1,T$3*Q384/Prices!B384,-T$3*R384)</f>
        <v>-1.9861926649079264E-3</v>
      </c>
      <c r="V385" s="13"/>
      <c r="W385" s="4"/>
      <c r="X385" s="4"/>
      <c r="Y385" s="4"/>
      <c r="Z385" s="4"/>
      <c r="AA385" s="4"/>
      <c r="AB385" s="4"/>
      <c r="AC385" s="4"/>
      <c r="AD385" s="4"/>
      <c r="AE385" s="52"/>
    </row>
    <row r="386" spans="1:31" x14ac:dyDescent="0.2">
      <c r="A386" s="7">
        <v>44066</v>
      </c>
      <c r="B386" s="13">
        <f ca="1">Prices!B385*(1+J386/(50*(ABS(O386)+ABS(T386)+0.0001)))</f>
        <v>0</v>
      </c>
      <c r="C386" s="62">
        <f t="shared" ca="1" si="34"/>
        <v>0</v>
      </c>
      <c r="D386" s="13" t="e">
        <f ca="1">D385+C386*(Prices!B386-Prices!B385)/Prices!B385</f>
        <v>#DIV/0!</v>
      </c>
      <c r="E386" s="13" t="e">
        <f t="shared" ca="1" si="37"/>
        <v>#DIV/0!</v>
      </c>
      <c r="F386" s="13" t="e">
        <f t="shared" ca="1" si="35"/>
        <v>#DIV/0!</v>
      </c>
      <c r="G386" s="21">
        <f ca="1">IF((Prices!B386-Prices!B385)*C386&gt;0,1,0)</f>
        <v>0</v>
      </c>
      <c r="H386" s="13" t="e">
        <f>ABS(Prices!B386-Prices!B385)/Prices!B385</f>
        <v>#DIV/0!</v>
      </c>
      <c r="I386" s="21"/>
      <c r="J386" s="4">
        <f t="shared" ca="1" si="36"/>
        <v>-3.153650562183198E-3</v>
      </c>
      <c r="K386" s="13"/>
      <c r="L386" s="13">
        <f ca="1">L385-O386*Prices!B386</f>
        <v>0.69063129237935605</v>
      </c>
      <c r="M386" s="4">
        <f t="shared" ca="1" si="33"/>
        <v>2.9449048253340229E-2</v>
      </c>
      <c r="N386" s="13">
        <f ca="1">IF(Prices!B385&gt;OFFSET(Prices!B385,-$N$3,0),1,-1)</f>
        <v>-1</v>
      </c>
      <c r="O386" s="4">
        <f ca="1">IF(N386=1,O$3*L385/Prices!B385,-O$3*M385)</f>
        <v>-1.2270436772225096E-3</v>
      </c>
      <c r="P386" s="22"/>
      <c r="Q386" s="13">
        <f ca="1">Q385-T386*Prices!B386</f>
        <v>0.61149429407365463</v>
      </c>
      <c r="R386" s="4">
        <f t="shared" ca="1" si="32"/>
        <v>6.2293622613728936E-2</v>
      </c>
      <c r="S386" s="13">
        <f ca="1">IF(Prices!B385&gt;OFFSET(Prices!B385,-S$3,0),1,-1)</f>
        <v>-1</v>
      </c>
      <c r="T386" s="4">
        <f ca="1">IF(S386=1,T$3*Q385/Prices!B385,-T$3*R385)</f>
        <v>-1.9266068849606885E-3</v>
      </c>
      <c r="V386" s="13"/>
      <c r="W386" s="4"/>
      <c r="X386" s="4"/>
      <c r="Y386" s="4"/>
      <c r="Z386" s="4"/>
      <c r="AA386" s="4"/>
      <c r="AB386" s="4"/>
      <c r="AC386" s="4"/>
      <c r="AD386" s="4"/>
      <c r="AE386" s="52"/>
    </row>
    <row r="387" spans="1:31" x14ac:dyDescent="0.2">
      <c r="A387" s="7">
        <v>44073</v>
      </c>
      <c r="B387" s="13">
        <f ca="1">Prices!B386*(1+J387/(50*(ABS(O387)+ABS(T387)+0.0001)))</f>
        <v>0</v>
      </c>
      <c r="C387" s="62">
        <f t="shared" ca="1" si="34"/>
        <v>0</v>
      </c>
      <c r="D387" s="13" t="e">
        <f ca="1">D386+C387*(Prices!B387-Prices!B386)/Prices!B386</f>
        <v>#DIV/0!</v>
      </c>
      <c r="E387" s="13" t="e">
        <f t="shared" ca="1" si="37"/>
        <v>#DIV/0!</v>
      </c>
      <c r="F387" s="13" t="e">
        <f t="shared" ca="1" si="35"/>
        <v>#DIV/0!</v>
      </c>
      <c r="G387" s="21">
        <f ca="1">IF((Prices!B387-Prices!B386)*C387&gt;0,1,0)</f>
        <v>0</v>
      </c>
      <c r="H387" s="13" t="e">
        <f>ABS(Prices!B387-Prices!B386)/Prices!B386</f>
        <v>#DIV/0!</v>
      </c>
      <c r="I387" s="21"/>
      <c r="J387" s="4">
        <f t="shared" ca="1" si="36"/>
        <v>-3.0467706085454769E-3</v>
      </c>
      <c r="K387" s="13"/>
      <c r="L387" s="13">
        <f ca="1">L386-O387*Prices!B387</f>
        <v>0.69063129237935605</v>
      </c>
      <c r="M387" s="4">
        <f t="shared" ca="1" si="33"/>
        <v>2.8271086323206619E-2</v>
      </c>
      <c r="N387" s="13">
        <f ca="1">IF(Prices!B386&gt;OFFSET(Prices!B386,-$N$3,0),1,-1)</f>
        <v>-1</v>
      </c>
      <c r="O387" s="4">
        <f ca="1">IF(N387=1,O$3*L386/Prices!B386,-O$3*M386)</f>
        <v>-1.1779619301336092E-3</v>
      </c>
      <c r="P387" s="22"/>
      <c r="Q387" s="13">
        <f ca="1">Q386-T387*Prices!B387</f>
        <v>0.61149429407365463</v>
      </c>
      <c r="R387" s="4">
        <f t="shared" ca="1" si="32"/>
        <v>6.0424813935317068E-2</v>
      </c>
      <c r="S387" s="13">
        <f ca="1">IF(Prices!B386&gt;OFFSET(Prices!B386,-S$3,0),1,-1)</f>
        <v>-1</v>
      </c>
      <c r="T387" s="4">
        <f ca="1">IF(S387=1,T$3*Q386/Prices!B386,-T$3*R386)</f>
        <v>-1.8688086784118679E-3</v>
      </c>
      <c r="V387" s="13"/>
      <c r="W387" s="4"/>
      <c r="X387" s="4"/>
      <c r="Y387" s="4"/>
      <c r="Z387" s="4"/>
      <c r="AA387" s="4"/>
      <c r="AB387" s="4"/>
      <c r="AC387" s="4"/>
      <c r="AD387" s="4"/>
      <c r="AE387" s="52"/>
    </row>
    <row r="388" spans="1:31" x14ac:dyDescent="0.2">
      <c r="A388" s="58">
        <v>44080</v>
      </c>
      <c r="B388" s="13">
        <f ca="1">Prices!B387*(1+J388/(50*(ABS(O388)+ABS(T388)+0.0001)))</f>
        <v>0</v>
      </c>
      <c r="C388" s="62">
        <f t="shared" ca="1" si="34"/>
        <v>0</v>
      </c>
      <c r="D388" s="13" t="e">
        <f ca="1">D387+C388*(Prices!B388-Prices!B387)/Prices!B387</f>
        <v>#DIV/0!</v>
      </c>
      <c r="E388" s="13" t="e">
        <f t="shared" ca="1" si="37"/>
        <v>#DIV/0!</v>
      </c>
      <c r="F388" s="13" t="e">
        <f t="shared" ca="1" si="35"/>
        <v>#DIV/0!</v>
      </c>
      <c r="G388" s="21">
        <f ca="1">IF((Prices!B388-Prices!B387)*C388&gt;0,1,0)</f>
        <v>0</v>
      </c>
      <c r="H388" s="13" t="e">
        <f>ABS(Prices!B388-Prices!B387)/Prices!B387</f>
        <v>#DIV/0!</v>
      </c>
      <c r="I388" s="21"/>
      <c r="J388" s="4">
        <f t="shared" ca="1" si="36"/>
        <v>-2.9435878709877768E-3</v>
      </c>
      <c r="K388" s="13"/>
      <c r="L388" s="13">
        <f ca="1">L387-O388*Prices!B388</f>
        <v>0.69063129237935605</v>
      </c>
      <c r="M388" s="4">
        <f t="shared" ca="1" si="33"/>
        <v>2.7140242870278355E-2</v>
      </c>
      <c r="N388" s="13">
        <f ca="1">IF(Prices!B387&gt;OFFSET(Prices!B387,-$N$3,0),1,-1)</f>
        <v>-1</v>
      </c>
      <c r="O388" s="4">
        <f ca="1">IF(N388=1,O$3*L387/Prices!B387,-O$3*M387)</f>
        <v>-1.1308434529282649E-3</v>
      </c>
      <c r="P388" s="22"/>
      <c r="Q388" s="13">
        <f ca="1">Q387-T388*Prices!B388</f>
        <v>0.61149429407365463</v>
      </c>
      <c r="R388" s="4">
        <f t="shared" ca="1" si="32"/>
        <v>5.8612069517257559E-2</v>
      </c>
      <c r="S388" s="13">
        <f ca="1">IF(Prices!B387&gt;OFFSET(Prices!B387,-S$3,0),1,-1)</f>
        <v>-1</v>
      </c>
      <c r="T388" s="4">
        <f ca="1">IF(S388=1,T$3*Q387/Prices!B387,-T$3*R387)</f>
        <v>-1.812744418059512E-3</v>
      </c>
      <c r="V388" s="13"/>
      <c r="W388" s="4"/>
      <c r="X388" s="4"/>
      <c r="Y388" s="4"/>
      <c r="Z388" s="4"/>
      <c r="AA388" s="4"/>
      <c r="AB388" s="4"/>
      <c r="AC388" s="4"/>
      <c r="AD388" s="4"/>
      <c r="AE388" s="52"/>
    </row>
    <row r="389" spans="1:31" x14ac:dyDescent="0.2">
      <c r="A389" s="7">
        <v>44087</v>
      </c>
      <c r="B389" s="13">
        <f ca="1">Prices!B388*(1+J389/(50*(ABS(O389)+ABS(T389)+0.0001)))</f>
        <v>0</v>
      </c>
      <c r="C389" s="62">
        <f t="shared" ca="1" si="34"/>
        <v>0</v>
      </c>
      <c r="D389" s="13" t="e">
        <f ca="1">D388+C389*(Prices!B389-Prices!B388)/Prices!B388</f>
        <v>#DIV/0!</v>
      </c>
      <c r="E389" s="13" t="e">
        <f t="shared" ca="1" si="37"/>
        <v>#DIV/0!</v>
      </c>
      <c r="F389" s="13" t="e">
        <f t="shared" ca="1" si="35"/>
        <v>#DIV/0!</v>
      </c>
      <c r="G389" s="21">
        <f ca="1">IF((Prices!B389-Prices!B388)*C389&gt;0,1,0)</f>
        <v>0</v>
      </c>
      <c r="H389" s="13" t="e">
        <f>ABS(Prices!B389-Prices!B388)/Prices!B388</f>
        <v>#DIV/0!</v>
      </c>
      <c r="I389" s="21"/>
      <c r="J389" s="4">
        <f t="shared" ca="1" si="36"/>
        <v>-2.8439718003288612E-3</v>
      </c>
      <c r="K389" s="13"/>
      <c r="L389" s="13">
        <f ca="1">L388-O389*Prices!B389</f>
        <v>0.69063129237935605</v>
      </c>
      <c r="M389" s="4">
        <f t="shared" ca="1" si="33"/>
        <v>2.605463315546722E-2</v>
      </c>
      <c r="N389" s="13">
        <f ca="1">IF(Prices!B388&gt;OFFSET(Prices!B388,-$N$3,0),1,-1)</f>
        <v>-1</v>
      </c>
      <c r="O389" s="4">
        <f ca="1">IF(N389=1,O$3*L388/Prices!B388,-O$3*M388)</f>
        <v>-1.0856097148111343E-3</v>
      </c>
      <c r="P389" s="22"/>
      <c r="Q389" s="13">
        <f ca="1">Q388-T389*Prices!B389</f>
        <v>0.61149429407365463</v>
      </c>
      <c r="R389" s="4">
        <f t="shared" ref="R389:R424" ca="1" si="38">R388+T389</f>
        <v>5.6853707431739835E-2</v>
      </c>
      <c r="S389" s="13">
        <f ca="1">IF(Prices!B388&gt;OFFSET(Prices!B388,-S$3,0),1,-1)</f>
        <v>-1</v>
      </c>
      <c r="T389" s="4">
        <f ca="1">IF(S389=1,T$3*Q388/Prices!B388,-T$3*R388)</f>
        <v>-1.7583620855177267E-3</v>
      </c>
      <c r="V389" s="13"/>
      <c r="W389" s="4"/>
      <c r="X389" s="4"/>
      <c r="Y389" s="4"/>
      <c r="Z389" s="4"/>
      <c r="AA389" s="4"/>
      <c r="AB389" s="4"/>
      <c r="AC389" s="4"/>
      <c r="AD389" s="4"/>
      <c r="AE389" s="52"/>
    </row>
    <row r="390" spans="1:31" x14ac:dyDescent="0.2">
      <c r="A390" s="7">
        <v>44094</v>
      </c>
      <c r="B390" s="13">
        <f ca="1">Prices!B389*(1+J390/(50*(ABS(O390)+ABS(T390)+0.0001)))</f>
        <v>0</v>
      </c>
      <c r="C390" s="62">
        <f t="shared" ca="1" si="34"/>
        <v>0</v>
      </c>
      <c r="D390" s="13" t="e">
        <f ca="1">D389+C390*(Prices!B390-Prices!B389)/Prices!B389</f>
        <v>#DIV/0!</v>
      </c>
      <c r="E390" s="13" t="e">
        <f t="shared" ca="1" si="37"/>
        <v>#DIV/0!</v>
      </c>
      <c r="F390" s="13" t="e">
        <f t="shared" ca="1" si="35"/>
        <v>#DIV/0!</v>
      </c>
      <c r="G390" s="21">
        <f ca="1">IF((Prices!B390-Prices!B389)*C390&gt;0,1,0)</f>
        <v>0</v>
      </c>
      <c r="H390" s="13" t="e">
        <f>ABS(Prices!B390-Prices!B389)/Prices!B389</f>
        <v>#DIV/0!</v>
      </c>
      <c r="I390" s="21"/>
      <c r="J390" s="4">
        <f t="shared" ca="1" si="36"/>
        <v>-2.7477965491708835E-3</v>
      </c>
      <c r="K390" s="13"/>
      <c r="L390" s="13">
        <f ca="1">L389-O390*Prices!B390</f>
        <v>0.69063129237935605</v>
      </c>
      <c r="M390" s="4">
        <f t="shared" ca="1" si="33"/>
        <v>2.5012447829248531E-2</v>
      </c>
      <c r="N390" s="13">
        <f ca="1">IF(Prices!B389&gt;OFFSET(Prices!B389,-$N$3,0),1,-1)</f>
        <v>-1</v>
      </c>
      <c r="O390" s="4">
        <f ca="1">IF(N390=1,O$3*L389/Prices!B389,-O$3*M389)</f>
        <v>-1.0421853262186887E-3</v>
      </c>
      <c r="P390" s="22"/>
      <c r="Q390" s="13">
        <f ca="1">Q389-T390*Prices!B390</f>
        <v>0.61149429407365463</v>
      </c>
      <c r="R390" s="4">
        <f t="shared" ca="1" si="38"/>
        <v>5.5148096208787641E-2</v>
      </c>
      <c r="S390" s="13">
        <f ca="1">IF(Prices!B389&gt;OFFSET(Prices!B389,-S$3,0),1,-1)</f>
        <v>-1</v>
      </c>
      <c r="T390" s="4">
        <f ca="1">IF(S390=1,T$3*Q389/Prices!B389,-T$3*R389)</f>
        <v>-1.705611222952195E-3</v>
      </c>
      <c r="V390" s="13"/>
      <c r="W390" s="4"/>
      <c r="X390" s="4"/>
      <c r="Y390" s="4"/>
      <c r="Z390" s="4"/>
      <c r="AA390" s="4"/>
      <c r="AB390" s="4"/>
      <c r="AC390" s="4"/>
      <c r="AD390" s="4"/>
      <c r="AE390" s="52"/>
    </row>
    <row r="391" spans="1:31" x14ac:dyDescent="0.2">
      <c r="A391" s="58">
        <v>44101</v>
      </c>
      <c r="B391" s="13">
        <f ca="1">Prices!B390*(1+J391/(50*(ABS(O391)+ABS(T391)+0.0001)))</f>
        <v>0</v>
      </c>
      <c r="C391" s="62">
        <f t="shared" ca="1" si="34"/>
        <v>0</v>
      </c>
      <c r="D391" s="13" t="e">
        <f ca="1">D390+C391*(Prices!B391-Prices!B390)/Prices!B390</f>
        <v>#DIV/0!</v>
      </c>
      <c r="E391" s="13" t="e">
        <f t="shared" ca="1" si="37"/>
        <v>#DIV/0!</v>
      </c>
      <c r="F391" s="13" t="e">
        <f t="shared" ca="1" si="35"/>
        <v>#DIV/0!</v>
      </c>
      <c r="G391" s="21">
        <f ca="1">IF((Prices!B391-Prices!B390)*C391&gt;0,1,0)</f>
        <v>0</v>
      </c>
      <c r="H391" s="13" t="e">
        <f>ABS(Prices!B391-Prices!B390)/Prices!B390</f>
        <v>#DIV/0!</v>
      </c>
      <c r="I391" s="21"/>
      <c r="J391" s="4">
        <f t="shared" ca="1" si="36"/>
        <v>-2.6549407994335703E-3</v>
      </c>
      <c r="K391" s="13"/>
      <c r="L391" s="13">
        <f ca="1">L390-O391*Prices!B391</f>
        <v>0.69063129237935605</v>
      </c>
      <c r="M391" s="4">
        <f t="shared" ca="1" si="33"/>
        <v>2.4011949916078589E-2</v>
      </c>
      <c r="N391" s="13">
        <f ca="1">IF(Prices!B390&gt;OFFSET(Prices!B390,-$N$3,0),1,-1)</f>
        <v>-1</v>
      </c>
      <c r="O391" s="4">
        <f ca="1">IF(N391=1,O$3*L390/Prices!B390,-O$3*M390)</f>
        <v>-1.0004979131699413E-3</v>
      </c>
      <c r="P391" s="22"/>
      <c r="Q391" s="13">
        <f ca="1">Q390-T391*Prices!B391</f>
        <v>0.61149429407365463</v>
      </c>
      <c r="R391" s="4">
        <f t="shared" ca="1" si="38"/>
        <v>5.349365332252401E-2</v>
      </c>
      <c r="S391" s="13">
        <f ca="1">IF(Prices!B390&gt;OFFSET(Prices!B390,-S$3,0),1,-1)</f>
        <v>-1</v>
      </c>
      <c r="T391" s="4">
        <f ca="1">IF(S391=1,T$3*Q390/Prices!B390,-T$3*R390)</f>
        <v>-1.6544428862636292E-3</v>
      </c>
      <c r="V391" s="13"/>
      <c r="W391" s="4"/>
      <c r="X391" s="4"/>
      <c r="Y391" s="4"/>
      <c r="Z391" s="4"/>
      <c r="AA391" s="4"/>
      <c r="AB391" s="4"/>
      <c r="AC391" s="4"/>
      <c r="AD391" s="4"/>
      <c r="AE391" s="52"/>
    </row>
    <row r="392" spans="1:31" x14ac:dyDescent="0.2">
      <c r="A392" s="7">
        <v>44108</v>
      </c>
      <c r="B392" s="13">
        <f ca="1">Prices!B391*(1+J392/(50*(ABS(O392)+ABS(T392)+0.0001)))</f>
        <v>0</v>
      </c>
      <c r="C392" s="62">
        <f t="shared" ca="1" si="34"/>
        <v>0</v>
      </c>
      <c r="D392" s="13" t="e">
        <f ca="1">D391+C392*(Prices!B392-Prices!B391)/Prices!B391</f>
        <v>#DIV/0!</v>
      </c>
      <c r="E392" s="13" t="e">
        <f t="shared" ca="1" si="37"/>
        <v>#DIV/0!</v>
      </c>
      <c r="F392" s="13" t="e">
        <f t="shared" ca="1" si="35"/>
        <v>#DIV/0!</v>
      </c>
      <c r="G392" s="21">
        <f ca="1">IF((Prices!B392-Prices!B391)*C392&gt;0,1,0)</f>
        <v>0</v>
      </c>
      <c r="H392" s="13" t="e">
        <f>ABS(Prices!B392-Prices!B391)/Prices!B391</f>
        <v>#DIV/0!</v>
      </c>
      <c r="I392" s="21"/>
      <c r="J392" s="4">
        <f t="shared" ca="1" si="36"/>
        <v>-2.5652875963188639E-3</v>
      </c>
      <c r="K392" s="13"/>
      <c r="L392" s="13">
        <f ca="1">L391-O392*Prices!B392</f>
        <v>0.69063129237935605</v>
      </c>
      <c r="M392" s="4">
        <f t="shared" ca="1" si="33"/>
        <v>2.3051471919435445E-2</v>
      </c>
      <c r="N392" s="13">
        <f ca="1">IF(Prices!B391&gt;OFFSET(Prices!B391,-$N$3,0),1,-1)</f>
        <v>-1</v>
      </c>
      <c r="O392" s="4">
        <f ca="1">IF(N392=1,O$3*L391/Prices!B391,-O$3*M391)</f>
        <v>-9.6047799664314361E-4</v>
      </c>
      <c r="P392" s="22"/>
      <c r="Q392" s="13">
        <f ca="1">Q391-T392*Prices!B392</f>
        <v>0.61149429407365463</v>
      </c>
      <c r="R392" s="4">
        <f t="shared" ca="1" si="38"/>
        <v>5.1888843722848292E-2</v>
      </c>
      <c r="S392" s="13">
        <f ca="1">IF(Prices!B391&gt;OFFSET(Prices!B391,-S$3,0),1,-1)</f>
        <v>-1</v>
      </c>
      <c r="T392" s="4">
        <f ca="1">IF(S392=1,T$3*Q391/Prices!B391,-T$3*R391)</f>
        <v>-1.6048095996757203E-3</v>
      </c>
      <c r="V392" s="13"/>
      <c r="W392" s="4"/>
      <c r="X392" s="4"/>
      <c r="Y392" s="4"/>
      <c r="Z392" s="4"/>
      <c r="AA392" s="4"/>
      <c r="AB392" s="4"/>
      <c r="AC392" s="4"/>
      <c r="AD392" s="4"/>
      <c r="AE392" s="52"/>
    </row>
    <row r="393" spans="1:31" x14ac:dyDescent="0.2">
      <c r="A393" s="7">
        <v>44115</v>
      </c>
      <c r="B393" s="13">
        <f ca="1">Prices!B392*(1+J393/(50*(ABS(O393)+ABS(T393)+0.0001)))</f>
        <v>0</v>
      </c>
      <c r="C393" s="62">
        <f t="shared" ca="1" si="34"/>
        <v>0</v>
      </c>
      <c r="D393" s="13" t="e">
        <f ca="1">D392+C393*(Prices!B393-Prices!B392)/Prices!B392</f>
        <v>#DIV/0!</v>
      </c>
      <c r="E393" s="13" t="e">
        <f t="shared" ca="1" si="37"/>
        <v>#DIV/0!</v>
      </c>
      <c r="F393" s="13" t="e">
        <f t="shared" ca="1" si="35"/>
        <v>#DIV/0!</v>
      </c>
      <c r="G393" s="21">
        <f ca="1">IF((Prices!B393-Prices!B392)*C393&gt;0,1,0)</f>
        <v>0</v>
      </c>
      <c r="H393" s="13" t="e">
        <f>ABS(Prices!B393-Prices!B392)/Prices!B392</f>
        <v>#DIV/0!</v>
      </c>
      <c r="I393" s="21"/>
      <c r="J393" s="4">
        <f t="shared" ca="1" si="36"/>
        <v>-2.4787241884628667E-3</v>
      </c>
      <c r="K393" s="13"/>
      <c r="L393" s="13">
        <f ca="1">L392-O393*Prices!B393</f>
        <v>0.69063129237935605</v>
      </c>
      <c r="M393" s="4">
        <f t="shared" ref="M393:M424" ca="1" si="39">M392+O393</f>
        <v>2.2129413042658027E-2</v>
      </c>
      <c r="N393" s="13">
        <f ca="1">IF(Prices!B392&gt;OFFSET(Prices!B392,-$N$3,0),1,-1)</f>
        <v>-1</v>
      </c>
      <c r="O393" s="4">
        <f ca="1">IF(N393=1,O$3*L392/Prices!B392,-O$3*M392)</f>
        <v>-9.2205887677741783E-4</v>
      </c>
      <c r="P393" s="22"/>
      <c r="Q393" s="13">
        <f ca="1">Q392-T393*Prices!B393</f>
        <v>0.61149429407365463</v>
      </c>
      <c r="R393" s="4">
        <f t="shared" ca="1" si="38"/>
        <v>5.0332178411162845E-2</v>
      </c>
      <c r="S393" s="13">
        <f ca="1">IF(Prices!B392&gt;OFFSET(Prices!B392,-S$3,0),1,-1)</f>
        <v>-1</v>
      </c>
      <c r="T393" s="4">
        <f ca="1">IF(S393=1,T$3*Q392/Prices!B392,-T$3*R392)</f>
        <v>-1.5566653116854488E-3</v>
      </c>
      <c r="V393" s="13"/>
      <c r="W393" s="4"/>
      <c r="X393" s="4"/>
      <c r="Y393" s="4"/>
      <c r="Z393" s="4"/>
      <c r="AA393" s="4"/>
      <c r="AB393" s="4"/>
      <c r="AC393" s="4"/>
      <c r="AD393" s="4"/>
      <c r="AE393" s="52"/>
    </row>
    <row r="394" spans="1:31" x14ac:dyDescent="0.2">
      <c r="A394" s="7">
        <v>44122</v>
      </c>
      <c r="B394" s="13">
        <f ca="1">Prices!B393*(1+J394/(50*(ABS(O394)+ABS(T394)+0.0001)))</f>
        <v>0</v>
      </c>
      <c r="C394" s="62">
        <f t="shared" ca="1" si="34"/>
        <v>0</v>
      </c>
      <c r="D394" s="13" t="e">
        <f ca="1">D393+C394*(Prices!B394-Prices!B393)/Prices!B393</f>
        <v>#DIV/0!</v>
      </c>
      <c r="E394" s="13" t="e">
        <f t="shared" ca="1" si="37"/>
        <v>#DIV/0!</v>
      </c>
      <c r="F394" s="13" t="e">
        <f t="shared" ca="1" si="35"/>
        <v>#DIV/0!</v>
      </c>
      <c r="G394" s="21">
        <f ca="1">IF((Prices!B394-Prices!B393)*C394&gt;0,1,0)</f>
        <v>0</v>
      </c>
      <c r="H394" s="13" t="e">
        <f>ABS(Prices!B394-Prices!B393)/Prices!B393</f>
        <v>#DIV/0!</v>
      </c>
      <c r="I394" s="21"/>
      <c r="J394" s="4">
        <f t="shared" ca="1" si="36"/>
        <v>-2.3951418740412065E-3</v>
      </c>
      <c r="K394" s="13"/>
      <c r="L394" s="13">
        <f ca="1">L393-O394*Prices!B394</f>
        <v>0.69063129237935605</v>
      </c>
      <c r="M394" s="4">
        <f t="shared" ca="1" si="39"/>
        <v>2.1244236520951705E-2</v>
      </c>
      <c r="N394" s="13">
        <f ca="1">IF(Prices!B393&gt;OFFSET(Prices!B393,-$N$3,0),1,-1)</f>
        <v>-1</v>
      </c>
      <c r="O394" s="4">
        <f ca="1">IF(N394=1,O$3*L393/Prices!B393,-O$3*M393)</f>
        <v>-8.8517652170632104E-4</v>
      </c>
      <c r="P394" s="22"/>
      <c r="Q394" s="13">
        <f ca="1">Q393-T394*Prices!B394</f>
        <v>0.61149429407365463</v>
      </c>
      <c r="R394" s="4">
        <f t="shared" ca="1" si="38"/>
        <v>4.882221305882796E-2</v>
      </c>
      <c r="S394" s="13">
        <f ca="1">IF(Prices!B393&gt;OFFSET(Prices!B393,-S$3,0),1,-1)</f>
        <v>-1</v>
      </c>
      <c r="T394" s="4">
        <f ca="1">IF(S394=1,T$3*Q393/Prices!B393,-T$3*R393)</f>
        <v>-1.5099653523348853E-3</v>
      </c>
      <c r="V394" s="13"/>
      <c r="W394" s="4"/>
      <c r="X394" s="4"/>
      <c r="Y394" s="4"/>
      <c r="Z394" s="4"/>
      <c r="AA394" s="4"/>
      <c r="AB394" s="4"/>
      <c r="AC394" s="4"/>
      <c r="AD394" s="4"/>
      <c r="AE394" s="52"/>
    </row>
    <row r="395" spans="1:31" x14ac:dyDescent="0.2">
      <c r="A395" s="7">
        <v>44129</v>
      </c>
      <c r="B395" s="13">
        <f ca="1">Prices!B394*(1+J395/(50*(ABS(O395)+ABS(T395)+0.0001)))</f>
        <v>0</v>
      </c>
      <c r="C395" s="62">
        <f t="shared" ca="1" si="34"/>
        <v>0</v>
      </c>
      <c r="D395" s="13" t="e">
        <f ca="1">D394+C395*(Prices!B395-Prices!B394)/Prices!B394</f>
        <v>#DIV/0!</v>
      </c>
      <c r="E395" s="13" t="e">
        <f t="shared" ca="1" si="37"/>
        <v>#DIV/0!</v>
      </c>
      <c r="F395" s="13" t="e">
        <f t="shared" ca="1" si="35"/>
        <v>#DIV/0!</v>
      </c>
      <c r="G395" s="21">
        <f ca="1">IF((Prices!B395-Prices!B394)*C395&gt;0,1,0)</f>
        <v>0</v>
      </c>
      <c r="H395" s="13" t="e">
        <f>ABS(Prices!B395-Prices!B394)/Prices!B394</f>
        <v>#DIV/0!</v>
      </c>
      <c r="I395" s="21"/>
      <c r="J395" s="4">
        <f t="shared" ca="1" si="36"/>
        <v>-2.3144358526029068E-3</v>
      </c>
      <c r="K395" s="13"/>
      <c r="L395" s="13">
        <f ca="1">L394-O395*Prices!B395</f>
        <v>0.69063129237935605</v>
      </c>
      <c r="M395" s="4">
        <f t="shared" ca="1" si="39"/>
        <v>2.0394467060113636E-2</v>
      </c>
      <c r="N395" s="13">
        <f ca="1">IF(Prices!B394&gt;OFFSET(Prices!B394,-$N$3,0),1,-1)</f>
        <v>-1</v>
      </c>
      <c r="O395" s="4">
        <f ca="1">IF(N395=1,O$3*L394/Prices!B394,-O$3*M394)</f>
        <v>-8.4976946083806823E-4</v>
      </c>
      <c r="P395" s="22"/>
      <c r="Q395" s="13">
        <f ca="1">Q394-T395*Prices!B395</f>
        <v>0.61149429407365463</v>
      </c>
      <c r="R395" s="4">
        <f t="shared" ca="1" si="38"/>
        <v>4.735754666706312E-2</v>
      </c>
      <c r="S395" s="13">
        <f ca="1">IF(Prices!B394&gt;OFFSET(Prices!B394,-S$3,0),1,-1)</f>
        <v>-1</v>
      </c>
      <c r="T395" s="4">
        <f ca="1">IF(S395=1,T$3*Q394/Prices!B394,-T$3*R394)</f>
        <v>-1.4646663917648388E-3</v>
      </c>
      <c r="V395" s="13"/>
      <c r="W395" s="4"/>
      <c r="X395" s="4"/>
      <c r="Y395" s="4"/>
      <c r="Z395" s="4"/>
      <c r="AA395" s="4"/>
      <c r="AB395" s="4"/>
      <c r="AC395" s="4"/>
      <c r="AD395" s="4"/>
      <c r="AE395" s="52"/>
    </row>
    <row r="396" spans="1:31" x14ac:dyDescent="0.2">
      <c r="A396" s="7">
        <v>44136</v>
      </c>
      <c r="B396" s="13">
        <f ca="1">Prices!B395*(1+J396/(50*(ABS(O396)+ABS(T396)+0.0001)))</f>
        <v>0</v>
      </c>
      <c r="C396" s="62">
        <f t="shared" ca="1" si="34"/>
        <v>0</v>
      </c>
      <c r="D396" s="13" t="e">
        <f ca="1">D395+C396*(Prices!B396-Prices!B395)/Prices!B395</f>
        <v>#DIV/0!</v>
      </c>
      <c r="E396" s="13" t="e">
        <f t="shared" ca="1" si="37"/>
        <v>#DIV/0!</v>
      </c>
      <c r="F396" s="13" t="e">
        <f t="shared" ca="1" si="35"/>
        <v>#DIV/0!</v>
      </c>
      <c r="G396" s="21">
        <f ca="1">IF((Prices!B396-Prices!B395)*C396&gt;0,1,0)</f>
        <v>0</v>
      </c>
      <c r="H396" s="13" t="e">
        <f>ABS(Prices!B396-Prices!B395)/Prices!B395</f>
        <v>#DIV/0!</v>
      </c>
      <c r="I396" s="21"/>
      <c r="J396" s="4">
        <f t="shared" ca="1" si="36"/>
        <v>-2.2365050824164389E-3</v>
      </c>
      <c r="K396" s="13"/>
      <c r="L396" s="13">
        <f ca="1">L395-O396*Prices!B396</f>
        <v>0.69063129237935605</v>
      </c>
      <c r="M396" s="4">
        <f t="shared" ca="1" si="39"/>
        <v>1.957868837770909E-2</v>
      </c>
      <c r="N396" s="13">
        <f ca="1">IF(Prices!B395&gt;OFFSET(Prices!B395,-$N$3,0),1,-1)</f>
        <v>-1</v>
      </c>
      <c r="O396" s="4">
        <f ca="1">IF(N396=1,O$3*L395/Prices!B395,-O$3*M395)</f>
        <v>-8.1577868240454549E-4</v>
      </c>
      <c r="P396" s="22"/>
      <c r="Q396" s="13">
        <f ca="1">Q395-T396*Prices!B396</f>
        <v>0.61149429407365463</v>
      </c>
      <c r="R396" s="4">
        <f t="shared" ca="1" si="38"/>
        <v>4.5936820267051225E-2</v>
      </c>
      <c r="S396" s="13">
        <f ca="1">IF(Prices!B395&gt;OFFSET(Prices!B395,-S$3,0),1,-1)</f>
        <v>-1</v>
      </c>
      <c r="T396" s="4">
        <f ca="1">IF(S396=1,T$3*Q395/Prices!B395,-T$3*R395)</f>
        <v>-1.4207264000118936E-3</v>
      </c>
      <c r="V396" s="13"/>
      <c r="W396" s="4"/>
      <c r="X396" s="4"/>
      <c r="Y396" s="4"/>
      <c r="Z396" s="4"/>
      <c r="AA396" s="4"/>
      <c r="AB396" s="4"/>
      <c r="AC396" s="4"/>
      <c r="AD396" s="4"/>
      <c r="AE396" s="52"/>
    </row>
    <row r="397" spans="1:31" x14ac:dyDescent="0.2">
      <c r="A397" s="7">
        <v>44143</v>
      </c>
      <c r="B397" s="13">
        <f ca="1">Prices!B396*(1+J397/(50*(ABS(O397)+ABS(T397)+0.0001)))</f>
        <v>0</v>
      </c>
      <c r="C397" s="62">
        <f t="shared" ca="1" si="34"/>
        <v>0</v>
      </c>
      <c r="D397" s="13" t="e">
        <f ca="1">D396+C397*(Prices!B397-Prices!B396)/Prices!B396</f>
        <v>#DIV/0!</v>
      </c>
      <c r="E397" s="13" t="e">
        <f t="shared" ca="1" si="37"/>
        <v>#DIV/0!</v>
      </c>
      <c r="F397" s="13" t="e">
        <f t="shared" ca="1" si="35"/>
        <v>#DIV/0!</v>
      </c>
      <c r="G397" s="21">
        <f ca="1">IF((Prices!B397-Prices!B396)*C397&gt;0,1,0)</f>
        <v>0</v>
      </c>
      <c r="H397" s="13" t="e">
        <f>ABS(Prices!B397-Prices!B396)/Prices!B396</f>
        <v>#DIV/0!</v>
      </c>
      <c r="I397" s="21"/>
      <c r="J397" s="4">
        <f t="shared" ca="1" si="36"/>
        <v>-2.1612521431199003E-3</v>
      </c>
      <c r="K397" s="13"/>
      <c r="L397" s="13">
        <f ca="1">L396-O397*Prices!B397</f>
        <v>0.69063129237935605</v>
      </c>
      <c r="M397" s="4">
        <f t="shared" ca="1" si="39"/>
        <v>1.8795540842600725E-2</v>
      </c>
      <c r="N397" s="13">
        <f ca="1">IF(Prices!B396&gt;OFFSET(Prices!B396,-$N$3,0),1,-1)</f>
        <v>-1</v>
      </c>
      <c r="O397" s="4">
        <f ca="1">IF(N397=1,O$3*L396/Prices!B396,-O$3*M396)</f>
        <v>-7.8314753510836364E-4</v>
      </c>
      <c r="P397" s="22"/>
      <c r="Q397" s="13">
        <f ca="1">Q396-T397*Prices!B397</f>
        <v>0.61149429407365463</v>
      </c>
      <c r="R397" s="4">
        <f t="shared" ca="1" si="38"/>
        <v>4.455871565903969E-2</v>
      </c>
      <c r="S397" s="13">
        <f ca="1">IF(Prices!B396&gt;OFFSET(Prices!B396,-S$3,0),1,-1)</f>
        <v>-1</v>
      </c>
      <c r="T397" s="4">
        <f ca="1">IF(S397=1,T$3*Q396/Prices!B396,-T$3*R396)</f>
        <v>-1.3781046080115367E-3</v>
      </c>
      <c r="V397" s="13"/>
      <c r="W397" s="4"/>
      <c r="X397" s="4"/>
      <c r="Y397" s="4"/>
      <c r="Z397" s="4"/>
      <c r="AA397" s="4"/>
      <c r="AB397" s="4"/>
      <c r="AC397" s="4"/>
      <c r="AD397" s="4"/>
      <c r="AE397" s="52"/>
    </row>
    <row r="398" spans="1:31" x14ac:dyDescent="0.2">
      <c r="A398" s="58">
        <v>44150</v>
      </c>
      <c r="B398" s="13">
        <f ca="1">Prices!B397*(1+J398/(50*(ABS(O398)+ABS(T398)+0.0001)))</f>
        <v>0</v>
      </c>
      <c r="C398" s="62">
        <f t="shared" ca="1" si="34"/>
        <v>0</v>
      </c>
      <c r="D398" s="13" t="e">
        <f ca="1">D397+C398*(Prices!B398-Prices!B397)/Prices!B397</f>
        <v>#DIV/0!</v>
      </c>
      <c r="E398" s="13" t="e">
        <f t="shared" ca="1" si="37"/>
        <v>#DIV/0!</v>
      </c>
      <c r="F398" s="13" t="e">
        <f t="shared" ca="1" si="35"/>
        <v>#DIV/0!</v>
      </c>
      <c r="G398" s="21">
        <f ca="1">IF((Prices!B398-Prices!B397)*C398&gt;0,1,0)</f>
        <v>0</v>
      </c>
      <c r="H398" s="13" t="e">
        <f>ABS(Prices!B398-Prices!B397)/Prices!B397</f>
        <v>#DIV/0!</v>
      </c>
      <c r="I398" s="21"/>
      <c r="J398" s="4">
        <f t="shared" ca="1" si="36"/>
        <v>-2.0885831034752195E-3</v>
      </c>
      <c r="K398" s="13"/>
      <c r="L398" s="13">
        <f ca="1">L397-O398*Prices!B398</f>
        <v>0.69063129237935605</v>
      </c>
      <c r="M398" s="4">
        <f t="shared" ca="1" si="39"/>
        <v>1.8043719208896695E-2</v>
      </c>
      <c r="N398" s="13">
        <f ca="1">IF(Prices!B397&gt;OFFSET(Prices!B397,-$N$3,0),1,-1)</f>
        <v>-1</v>
      </c>
      <c r="O398" s="4">
        <f ca="1">IF(N398=1,O$3*L397/Prices!B397,-O$3*M397)</f>
        <v>-7.5182163370402899E-4</v>
      </c>
      <c r="P398" s="22"/>
      <c r="Q398" s="13">
        <f ca="1">Q397-T398*Prices!B398</f>
        <v>0.61149429407365463</v>
      </c>
      <c r="R398" s="4">
        <f t="shared" ca="1" si="38"/>
        <v>4.3221954189268497E-2</v>
      </c>
      <c r="S398" s="13">
        <f ca="1">IF(Prices!B397&gt;OFFSET(Prices!B397,-S$3,0),1,-1)</f>
        <v>-1</v>
      </c>
      <c r="T398" s="4">
        <f ca="1">IF(S398=1,T$3*Q397/Prices!B397,-T$3*R397)</f>
        <v>-1.3367614697711906E-3</v>
      </c>
      <c r="V398" s="13"/>
      <c r="W398" s="4"/>
      <c r="X398" s="4"/>
      <c r="Y398" s="4"/>
      <c r="Z398" s="4"/>
      <c r="AA398" s="4"/>
      <c r="AB398" s="4"/>
      <c r="AC398" s="4"/>
      <c r="AD398" s="4"/>
      <c r="AE398" s="52"/>
    </row>
    <row r="399" spans="1:31" x14ac:dyDescent="0.2">
      <c r="A399" s="7">
        <v>44157</v>
      </c>
      <c r="B399" s="13">
        <f ca="1">Prices!B398*(1+J399/(50*(ABS(O399)+ABS(T399)+0.0001)))</f>
        <v>0</v>
      </c>
      <c r="C399" s="62">
        <f t="shared" ca="1" si="34"/>
        <v>0</v>
      </c>
      <c r="D399" s="13" t="e">
        <f ca="1">D398+C399*(Prices!B399-Prices!B398)/Prices!B398</f>
        <v>#DIV/0!</v>
      </c>
      <c r="E399" s="13" t="e">
        <f t="shared" ca="1" si="37"/>
        <v>#DIV/0!</v>
      </c>
      <c r="F399" s="13" t="e">
        <f t="shared" ca="1" si="35"/>
        <v>#DIV/0!</v>
      </c>
      <c r="G399" s="21">
        <f ca="1">IF((Prices!B399-Prices!B398)*C399&gt;0,1,0)</f>
        <v>0</v>
      </c>
      <c r="H399" s="13" t="e">
        <f>ABS(Prices!B399-Prices!B398)/Prices!B398</f>
        <v>#DIV/0!</v>
      </c>
      <c r="I399" s="21"/>
      <c r="J399" s="4">
        <f t="shared" ca="1" si="36"/>
        <v>-2.0184073940339225E-3</v>
      </c>
      <c r="K399" s="13"/>
      <c r="L399" s="13">
        <f ca="1">L398-O399*Prices!B399</f>
        <v>0.69063129237935605</v>
      </c>
      <c r="M399" s="4">
        <f t="shared" ca="1" si="39"/>
        <v>1.7321970440540829E-2</v>
      </c>
      <c r="N399" s="13">
        <f ca="1">IF(Prices!B398&gt;OFFSET(Prices!B398,-$N$3,0),1,-1)</f>
        <v>-1</v>
      </c>
      <c r="O399" s="4">
        <f ca="1">IF(N399=1,O$3*L398/Prices!B398,-O$3*M398)</f>
        <v>-7.2174876835586778E-4</v>
      </c>
      <c r="P399" s="22"/>
      <c r="Q399" s="13">
        <f ca="1">Q398-T399*Prices!B399</f>
        <v>0.61149429407365463</v>
      </c>
      <c r="R399" s="4">
        <f t="shared" ca="1" si="38"/>
        <v>4.192529556359044E-2</v>
      </c>
      <c r="S399" s="13">
        <f ca="1">IF(Prices!B398&gt;OFFSET(Prices!B398,-S$3,0),1,-1)</f>
        <v>-1</v>
      </c>
      <c r="T399" s="4">
        <f ca="1">IF(S399=1,T$3*Q398/Prices!B398,-T$3*R398)</f>
        <v>-1.296658625678055E-3</v>
      </c>
      <c r="V399" s="13"/>
      <c r="W399" s="4"/>
      <c r="X399" s="4"/>
      <c r="Y399" s="4"/>
      <c r="Z399" s="4"/>
      <c r="AA399" s="4"/>
      <c r="AB399" s="4"/>
      <c r="AC399" s="4"/>
      <c r="AD399" s="4"/>
      <c r="AE399" s="52"/>
    </row>
    <row r="400" spans="1:31" x14ac:dyDescent="0.2">
      <c r="A400" s="7">
        <v>44164</v>
      </c>
      <c r="B400" s="13">
        <f ca="1">Prices!B399*(1+J400/(50*(ABS(O400)+ABS(T400)+0.0001)))</f>
        <v>0</v>
      </c>
      <c r="C400" s="62">
        <f t="shared" ca="1" si="34"/>
        <v>0</v>
      </c>
      <c r="D400" s="13" t="e">
        <f ca="1">D399+C400*(Prices!B400-Prices!B399)/Prices!B399</f>
        <v>#DIV/0!</v>
      </c>
      <c r="E400" s="13" t="e">
        <f t="shared" ca="1" si="37"/>
        <v>#DIV/0!</v>
      </c>
      <c r="F400" s="13" t="e">
        <f t="shared" ca="1" si="35"/>
        <v>#DIV/0!</v>
      </c>
      <c r="G400" s="21">
        <f ca="1">IF((Prices!B400-Prices!B399)*C400&gt;0,1,0)</f>
        <v>0</v>
      </c>
      <c r="H400" s="13" t="e">
        <f>ABS(Prices!B400-Prices!B399)/Prices!B399</f>
        <v>#DIV/0!</v>
      </c>
      <c r="I400" s="21"/>
      <c r="J400" s="4">
        <f t="shared" ca="1" si="36"/>
        <v>-1.9506376845293463E-3</v>
      </c>
      <c r="K400" s="13"/>
      <c r="L400" s="13">
        <f ca="1">L399-O400*Prices!B400</f>
        <v>0.69063129237935605</v>
      </c>
      <c r="M400" s="4">
        <f t="shared" ca="1" si="39"/>
        <v>1.6629091622919194E-2</v>
      </c>
      <c r="N400" s="13">
        <f ca="1">IF(Prices!B399&gt;OFFSET(Prices!B399,-$N$3,0),1,-1)</f>
        <v>-1</v>
      </c>
      <c r="O400" s="4">
        <f ca="1">IF(N400=1,O$3*L399/Prices!B399,-O$3*M399)</f>
        <v>-6.9287881762163312E-4</v>
      </c>
      <c r="P400" s="22"/>
      <c r="Q400" s="13">
        <f ca="1">Q399-T400*Prices!B400</f>
        <v>0.61149429407365463</v>
      </c>
      <c r="R400" s="4">
        <f t="shared" ca="1" si="38"/>
        <v>4.066753669668273E-2</v>
      </c>
      <c r="S400" s="13">
        <f ca="1">IF(Prices!B399&gt;OFFSET(Prices!B399,-S$3,0),1,-1)</f>
        <v>-1</v>
      </c>
      <c r="T400" s="4">
        <f ca="1">IF(S400=1,T$3*Q399/Prices!B399,-T$3*R399)</f>
        <v>-1.2577588669077132E-3</v>
      </c>
      <c r="V400" s="13"/>
      <c r="W400" s="4"/>
      <c r="X400" s="4"/>
      <c r="Y400" s="4"/>
      <c r="Z400" s="4"/>
      <c r="AA400" s="4"/>
      <c r="AB400" s="4"/>
      <c r="AC400" s="4"/>
      <c r="AD400" s="4"/>
      <c r="AE400" s="52"/>
    </row>
    <row r="401" spans="1:31" x14ac:dyDescent="0.2">
      <c r="A401" s="7">
        <v>44171</v>
      </c>
      <c r="B401" s="13">
        <f ca="1">Prices!B400*(1+J401/(50*(ABS(O401)+ABS(T401)+0.0001)))</f>
        <v>0</v>
      </c>
      <c r="C401" s="62">
        <f t="shared" ref="C401:C423" ca="1" si="40">IF(J401&gt;0,1,IF(J401&lt;0,0,0))</f>
        <v>0</v>
      </c>
      <c r="D401" s="13" t="e">
        <f ca="1">D400+C401*(Prices!B401-Prices!B400)/Prices!B400</f>
        <v>#DIV/0!</v>
      </c>
      <c r="E401" s="13" t="e">
        <f t="shared" ca="1" si="37"/>
        <v>#DIV/0!</v>
      </c>
      <c r="F401" s="13" t="e">
        <f t="shared" ref="F401:F423" ca="1" si="41">MAX(F400,D401)</f>
        <v>#DIV/0!</v>
      </c>
      <c r="G401" s="21">
        <f ca="1">IF((Prices!B401-Prices!B400)*C401&gt;0,1,0)</f>
        <v>0</v>
      </c>
      <c r="H401" s="13" t="e">
        <f>ABS(Prices!B401-Prices!B400)/Prices!B400</f>
        <v>#DIV/0!</v>
      </c>
      <c r="I401" s="21"/>
      <c r="J401" s="4">
        <f t="shared" ref="J401:J424" ca="1" si="42">O401+T401</f>
        <v>-1.8851897658172497E-3</v>
      </c>
      <c r="K401" s="13"/>
      <c r="L401" s="13">
        <f ca="1">L400-O401*Prices!B401</f>
        <v>0.69063129237935605</v>
      </c>
      <c r="M401" s="4">
        <f t="shared" ca="1" si="39"/>
        <v>1.5963927958002427E-2</v>
      </c>
      <c r="N401" s="13">
        <f ca="1">IF(Prices!B400&gt;OFFSET(Prices!B400,-$N$3,0),1,-1)</f>
        <v>-1</v>
      </c>
      <c r="O401" s="4">
        <f ca="1">IF(N401=1,O$3*L400/Prices!B400,-O$3*M400)</f>
        <v>-6.6516366491676778E-4</v>
      </c>
      <c r="P401" s="22"/>
      <c r="Q401" s="13">
        <f ca="1">Q400-T401*Prices!B401</f>
        <v>0.61149429407365463</v>
      </c>
      <c r="R401" s="4">
        <f t="shared" ca="1" si="38"/>
        <v>3.9447510595782248E-2</v>
      </c>
      <c r="S401" s="13">
        <f ca="1">IF(Prices!B400&gt;OFFSET(Prices!B400,-S$3,0),1,-1)</f>
        <v>-1</v>
      </c>
      <c r="T401" s="4">
        <f ca="1">IF(S401=1,T$3*Q400/Prices!B400,-T$3*R400)</f>
        <v>-1.2200261009004819E-3</v>
      </c>
      <c r="V401" s="13"/>
      <c r="W401" s="4"/>
      <c r="X401" s="4"/>
      <c r="Y401" s="4"/>
      <c r="Z401" s="4"/>
      <c r="AA401" s="4"/>
      <c r="AB401" s="4"/>
      <c r="AC401" s="4"/>
      <c r="AD401" s="4"/>
      <c r="AE401" s="52"/>
    </row>
    <row r="402" spans="1:31" x14ac:dyDescent="0.2">
      <c r="A402" s="7">
        <v>44178</v>
      </c>
      <c r="B402" s="13">
        <f ca="1">Prices!B401*(1+J402/(50*(ABS(O402)+ABS(T402)+0.0001)))</f>
        <v>0</v>
      </c>
      <c r="C402" s="62">
        <f t="shared" ca="1" si="40"/>
        <v>0</v>
      </c>
      <c r="D402" s="13" t="e">
        <f ca="1">D401+C402*(Prices!B402-Prices!B401)/Prices!B401</f>
        <v>#DIV/0!</v>
      </c>
      <c r="E402" s="13" t="e">
        <f t="shared" ca="1" si="37"/>
        <v>#DIV/0!</v>
      </c>
      <c r="F402" s="13" t="e">
        <f t="shared" ca="1" si="41"/>
        <v>#DIV/0!</v>
      </c>
      <c r="G402" s="21">
        <f ca="1">IF((Prices!B402-Prices!B401)*C402&gt;0,1,0)</f>
        <v>0</v>
      </c>
      <c r="H402" s="13" t="e">
        <f>ABS(Prices!B402-Prices!B401)/Prices!B401</f>
        <v>#DIV/0!</v>
      </c>
      <c r="I402" s="21"/>
      <c r="J402" s="4">
        <f t="shared" ca="1" si="42"/>
        <v>-1.8219824361935645E-3</v>
      </c>
      <c r="K402" s="13"/>
      <c r="L402" s="13">
        <f ca="1">L401-O402*Prices!B402</f>
        <v>0.69063129237935605</v>
      </c>
      <c r="M402" s="4">
        <f t="shared" ca="1" si="39"/>
        <v>1.532537083968233E-2</v>
      </c>
      <c r="N402" s="13">
        <f ca="1">IF(Prices!B401&gt;OFFSET(Prices!B401,-$N$3,0),1,-1)</f>
        <v>-1</v>
      </c>
      <c r="O402" s="4">
        <f ca="1">IF(N402=1,O$3*L401/Prices!B401,-O$3*M401)</f>
        <v>-6.3855711832009709E-4</v>
      </c>
      <c r="P402" s="22"/>
      <c r="Q402" s="13">
        <f ca="1">Q401-T402*Prices!B402</f>
        <v>0.61149429407365463</v>
      </c>
      <c r="R402" s="4">
        <f t="shared" ca="1" si="38"/>
        <v>3.8264085277908783E-2</v>
      </c>
      <c r="S402" s="13">
        <f ca="1">IF(Prices!B401&gt;OFFSET(Prices!B401,-S$3,0),1,-1)</f>
        <v>-1</v>
      </c>
      <c r="T402" s="4">
        <f ca="1">IF(S402=1,T$3*Q401/Prices!B401,-T$3*R401)</f>
        <v>-1.1834253178734675E-3</v>
      </c>
      <c r="V402" s="13"/>
      <c r="W402" s="4"/>
      <c r="X402" s="4"/>
      <c r="Y402" s="4"/>
      <c r="Z402" s="4"/>
      <c r="AA402" s="4"/>
      <c r="AB402" s="4"/>
      <c r="AC402" s="4"/>
      <c r="AD402" s="4"/>
      <c r="AE402" s="52"/>
    </row>
    <row r="403" spans="1:31" x14ac:dyDescent="0.2">
      <c r="A403" s="7">
        <v>44185</v>
      </c>
      <c r="B403" s="13">
        <f ca="1">Prices!B402*(1+J403/(50*(ABS(O403)+ABS(T403)+0.0001)))</f>
        <v>0</v>
      </c>
      <c r="C403" s="62">
        <f t="shared" ca="1" si="40"/>
        <v>0</v>
      </c>
      <c r="D403" s="13" t="e">
        <f ca="1">D402+C403*(Prices!B403-Prices!B402)/Prices!B402</f>
        <v>#DIV/0!</v>
      </c>
      <c r="E403" s="13" t="e">
        <f t="shared" ca="1" si="37"/>
        <v>#DIV/0!</v>
      </c>
      <c r="F403" s="13" t="e">
        <f t="shared" ca="1" si="41"/>
        <v>#DIV/0!</v>
      </c>
      <c r="G403" s="21">
        <f ca="1">IF((Prices!B403-Prices!B402)*C403&gt;0,1,0)</f>
        <v>0</v>
      </c>
      <c r="H403" s="13" t="e">
        <f>ABS(Prices!B403-Prices!B402)/Prices!B402</f>
        <v>#DIV/0!</v>
      </c>
      <c r="I403" s="21"/>
      <c r="J403" s="4">
        <f t="shared" ca="1" si="42"/>
        <v>-1.7609373919245566E-3</v>
      </c>
      <c r="K403" s="13"/>
      <c r="L403" s="13">
        <f ca="1">L402-O403*Prices!B403</f>
        <v>0.69063129237935605</v>
      </c>
      <c r="M403" s="4">
        <f t="shared" ca="1" si="39"/>
        <v>1.4712356006095037E-2</v>
      </c>
      <c r="N403" s="13">
        <f ca="1">IF(Prices!B402&gt;OFFSET(Prices!B402,-$N$3,0),1,-1)</f>
        <v>-1</v>
      </c>
      <c r="O403" s="4">
        <f ca="1">IF(N403=1,O$3*L402/Prices!B402,-O$3*M402)</f>
        <v>-6.1301483358729321E-4</v>
      </c>
      <c r="P403" s="22"/>
      <c r="Q403" s="13">
        <f ca="1">Q402-T403*Prices!B403</f>
        <v>0.61149429407365463</v>
      </c>
      <c r="R403" s="4">
        <f t="shared" ca="1" si="38"/>
        <v>3.7116162719571522E-2</v>
      </c>
      <c r="S403" s="13">
        <f ca="1">IF(Prices!B402&gt;OFFSET(Prices!B402,-S$3,0),1,-1)</f>
        <v>-1</v>
      </c>
      <c r="T403" s="4">
        <f ca="1">IF(S403=1,T$3*Q402/Prices!B402,-T$3*R402)</f>
        <v>-1.1479225583372634E-3</v>
      </c>
      <c r="V403" s="13"/>
      <c r="W403" s="4"/>
      <c r="X403" s="4"/>
      <c r="Y403" s="4"/>
      <c r="Z403" s="4"/>
      <c r="AA403" s="4"/>
      <c r="AB403" s="4"/>
      <c r="AC403" s="4"/>
      <c r="AD403" s="4"/>
      <c r="AE403" s="52"/>
    </row>
    <row r="404" spans="1:31" x14ac:dyDescent="0.2">
      <c r="A404" s="7">
        <v>44192</v>
      </c>
      <c r="B404" s="13">
        <f ca="1">Prices!B403*(1+J404/(50*(ABS(O404)+ABS(T404)+0.0001)))</f>
        <v>0</v>
      </c>
      <c r="C404" s="62">
        <f t="shared" ca="1" si="40"/>
        <v>0</v>
      </c>
      <c r="D404" s="13" t="e">
        <f ca="1">D403+C404*(Prices!B404-Prices!B403)/Prices!B403</f>
        <v>#DIV/0!</v>
      </c>
      <c r="E404" s="13" t="e">
        <f t="shared" ref="E404:E423" ca="1" si="43">F404-D404</f>
        <v>#DIV/0!</v>
      </c>
      <c r="F404" s="13" t="e">
        <f t="shared" ca="1" si="41"/>
        <v>#DIV/0!</v>
      </c>
      <c r="G404" s="21">
        <f ca="1">IF((Prices!B404-Prices!B403)*C404&gt;0,1,0)</f>
        <v>0</v>
      </c>
      <c r="H404" s="13" t="e">
        <f>ABS(Prices!B404-Prices!B403)/Prices!B403</f>
        <v>#DIV/0!</v>
      </c>
      <c r="I404" s="21"/>
      <c r="J404" s="4">
        <f t="shared" ca="1" si="42"/>
        <v>-1.701979121830947E-3</v>
      </c>
      <c r="K404" s="13"/>
      <c r="L404" s="13">
        <f ca="1">L403-O404*Prices!B404</f>
        <v>0.69063129237935605</v>
      </c>
      <c r="M404" s="4">
        <f t="shared" ca="1" si="39"/>
        <v>1.4123861765851236E-2</v>
      </c>
      <c r="N404" s="13">
        <f ca="1">IF(Prices!B403&gt;OFFSET(Prices!B403,-$N$3,0),1,-1)</f>
        <v>-1</v>
      </c>
      <c r="O404" s="4">
        <f ca="1">IF(N404=1,O$3*L403/Prices!B403,-O$3*M403)</f>
        <v>-5.8849424024380148E-4</v>
      </c>
      <c r="P404" s="22"/>
      <c r="Q404" s="13">
        <f ca="1">Q403-T404*Prices!B404</f>
        <v>0.61149429407365463</v>
      </c>
      <c r="R404" s="4">
        <f t="shared" ca="1" si="38"/>
        <v>3.6002677837984373E-2</v>
      </c>
      <c r="S404" s="13">
        <f ca="1">IF(Prices!B403&gt;OFFSET(Prices!B403,-S$3,0),1,-1)</f>
        <v>-1</v>
      </c>
      <c r="T404" s="4">
        <f ca="1">IF(S404=1,T$3*Q403/Prices!B403,-T$3*R403)</f>
        <v>-1.1134848815871456E-3</v>
      </c>
      <c r="V404" s="13"/>
      <c r="W404" s="4"/>
      <c r="X404" s="4"/>
      <c r="Y404" s="4"/>
      <c r="Z404" s="4"/>
      <c r="AA404" s="4"/>
      <c r="AB404" s="4"/>
      <c r="AC404" s="4"/>
      <c r="AD404" s="4"/>
      <c r="AE404" s="52"/>
    </row>
    <row r="405" spans="1:31" x14ac:dyDescent="0.2">
      <c r="A405" s="7">
        <v>44199</v>
      </c>
      <c r="B405" s="13">
        <f ca="1">Prices!B404*(1+J405/(50*(ABS(O405)+ABS(T405)+0.0001)))</f>
        <v>0</v>
      </c>
      <c r="C405" s="62">
        <f t="shared" ca="1" si="40"/>
        <v>0</v>
      </c>
      <c r="D405" s="13" t="e">
        <f ca="1">D404+C405*(Prices!B405-Prices!B404)/Prices!B404</f>
        <v>#DIV/0!</v>
      </c>
      <c r="E405" s="13" t="e">
        <f t="shared" ca="1" si="43"/>
        <v>#DIV/0!</v>
      </c>
      <c r="F405" s="13" t="e">
        <f t="shared" ca="1" si="41"/>
        <v>#DIV/0!</v>
      </c>
      <c r="G405" s="21">
        <f ca="1">IF((Prices!B405-Prices!B404)*C405&gt;0,1,0)</f>
        <v>0</v>
      </c>
      <c r="H405" s="13" t="e">
        <f>ABS(Prices!B405-Prices!B404)/Prices!B404</f>
        <v>#DIV/0!</v>
      </c>
      <c r="I405" s="21"/>
      <c r="J405" s="4">
        <f t="shared" ca="1" si="42"/>
        <v>-1.6450348057735805E-3</v>
      </c>
      <c r="K405" s="13"/>
      <c r="L405" s="13">
        <f ca="1">L404-O405*Prices!B405</f>
        <v>0.69063129237935605</v>
      </c>
      <c r="M405" s="4">
        <f t="shared" ca="1" si="39"/>
        <v>1.3558907295217186E-2</v>
      </c>
      <c r="N405" s="13">
        <f ca="1">IF(Prices!B404&gt;OFFSET(Prices!B404,-$N$3,0),1,-1)</f>
        <v>-1</v>
      </c>
      <c r="O405" s="4">
        <f ca="1">IF(N405=1,O$3*L404/Prices!B404,-O$3*M404)</f>
        <v>-5.6495447063404942E-4</v>
      </c>
      <c r="P405" s="22"/>
      <c r="Q405" s="13">
        <f ca="1">Q404-T405*Prices!B405</f>
        <v>0.61149429407365463</v>
      </c>
      <c r="R405" s="4">
        <f t="shared" ca="1" si="38"/>
        <v>3.4922597502844842E-2</v>
      </c>
      <c r="S405" s="13">
        <f ca="1">IF(Prices!B404&gt;OFFSET(Prices!B404,-S$3,0),1,-1)</f>
        <v>-1</v>
      </c>
      <c r="T405" s="4">
        <f ca="1">IF(S405=1,T$3*Q404/Prices!B404,-T$3*R404)</f>
        <v>-1.0800803351395311E-3</v>
      </c>
      <c r="V405" s="13"/>
      <c r="W405" s="4"/>
      <c r="X405" s="4"/>
      <c r="Y405" s="4"/>
      <c r="Z405" s="4"/>
      <c r="AA405" s="4"/>
      <c r="AB405" s="4"/>
      <c r="AC405" s="4"/>
      <c r="AD405" s="4"/>
      <c r="AE405" s="52"/>
    </row>
    <row r="406" spans="1:31" x14ac:dyDescent="0.2">
      <c r="A406" s="7">
        <v>44206</v>
      </c>
      <c r="B406" s="13">
        <f ca="1">Prices!B405*(1+J406/(50*(ABS(O406)+ABS(T406)+0.0001)))</f>
        <v>0</v>
      </c>
      <c r="C406" s="62">
        <f t="shared" ca="1" si="40"/>
        <v>0</v>
      </c>
      <c r="D406" s="13" t="e">
        <f ca="1">D405+C406*(Prices!B406-Prices!B405)/Prices!B405</f>
        <v>#DIV/0!</v>
      </c>
      <c r="E406" s="13" t="e">
        <f t="shared" ca="1" si="43"/>
        <v>#DIV/0!</v>
      </c>
      <c r="F406" s="13" t="e">
        <f t="shared" ca="1" si="41"/>
        <v>#DIV/0!</v>
      </c>
      <c r="G406" s="21">
        <f ca="1">IF((Prices!B406-Prices!B405)*C406&gt;0,1,0)</f>
        <v>0</v>
      </c>
      <c r="H406" s="13" t="e">
        <f>ABS(Prices!B406-Prices!B405)/Prices!B405</f>
        <v>#DIV/0!</v>
      </c>
      <c r="I406" s="21"/>
      <c r="J406" s="4">
        <f t="shared" ca="1" si="42"/>
        <v>-1.5900342168940328E-3</v>
      </c>
      <c r="K406" s="13"/>
      <c r="L406" s="13">
        <f ca="1">L405-O406*Prices!B406</f>
        <v>0.69063129237935605</v>
      </c>
      <c r="M406" s="4">
        <f t="shared" ca="1" si="39"/>
        <v>1.3016551003408499E-2</v>
      </c>
      <c r="N406" s="13">
        <f ca="1">IF(Prices!B405&gt;OFFSET(Prices!B405,-$N$3,0),1,-1)</f>
        <v>-1</v>
      </c>
      <c r="O406" s="4">
        <f ca="1">IF(N406=1,O$3*L405/Prices!B405,-O$3*M405)</f>
        <v>-5.4235629180868748E-4</v>
      </c>
      <c r="P406" s="22"/>
      <c r="Q406" s="13">
        <f ca="1">Q405-T406*Prices!B406</f>
        <v>0.61149429407365463</v>
      </c>
      <c r="R406" s="4">
        <f t="shared" ca="1" si="38"/>
        <v>3.3874919577759496E-2</v>
      </c>
      <c r="S406" s="13">
        <f ca="1">IF(Prices!B405&gt;OFFSET(Prices!B405,-S$3,0),1,-1)</f>
        <v>-1</v>
      </c>
      <c r="T406" s="4">
        <f ca="1">IF(S406=1,T$3*Q405/Prices!B405,-T$3*R405)</f>
        <v>-1.0476779250853452E-3</v>
      </c>
      <c r="V406" s="13"/>
      <c r="W406" s="4"/>
      <c r="X406" s="4"/>
      <c r="Y406" s="4"/>
      <c r="Z406" s="4"/>
      <c r="AA406" s="4"/>
      <c r="AB406" s="4"/>
      <c r="AC406" s="4"/>
      <c r="AD406" s="4"/>
      <c r="AE406" s="52"/>
    </row>
    <row r="407" spans="1:31" x14ac:dyDescent="0.2">
      <c r="A407" s="58">
        <v>44213</v>
      </c>
      <c r="B407" s="13">
        <f ca="1">Prices!B406*(1+J407/(50*(ABS(O407)+ABS(T407)+0.0001)))</f>
        <v>0</v>
      </c>
      <c r="C407" s="62">
        <f t="shared" ca="1" si="40"/>
        <v>0</v>
      </c>
      <c r="D407" s="13" t="e">
        <f ca="1">D406+C407*(Prices!B407-Prices!B406)/Prices!B406</f>
        <v>#DIV/0!</v>
      </c>
      <c r="E407" s="13" t="e">
        <f t="shared" ca="1" si="43"/>
        <v>#DIV/0!</v>
      </c>
      <c r="F407" s="13" t="e">
        <f t="shared" ca="1" si="41"/>
        <v>#DIV/0!</v>
      </c>
      <c r="G407" s="21">
        <f ca="1">IF((Prices!B407-Prices!B406)*C407&gt;0,1,0)</f>
        <v>0</v>
      </c>
      <c r="H407" s="13" t="e">
        <f>ABS(Prices!B407-Prices!B406)/Prices!B406</f>
        <v>#DIV/0!</v>
      </c>
      <c r="I407" s="21"/>
      <c r="J407" s="4">
        <f t="shared" ca="1" si="42"/>
        <v>-1.5369096274691248E-3</v>
      </c>
      <c r="K407" s="13"/>
      <c r="L407" s="13">
        <f ca="1">L406-O407*Prices!B407</f>
        <v>0.69063129237935605</v>
      </c>
      <c r="M407" s="4">
        <f t="shared" ca="1" si="39"/>
        <v>1.2495888963272158E-2</v>
      </c>
      <c r="N407" s="13">
        <f ca="1">IF(Prices!B406&gt;OFFSET(Prices!B406,-$N$3,0),1,-1)</f>
        <v>-1</v>
      </c>
      <c r="O407" s="4">
        <f ca="1">IF(N407=1,O$3*L406/Prices!B406,-O$3*M406)</f>
        <v>-5.2066204013633997E-4</v>
      </c>
      <c r="P407" s="22"/>
      <c r="Q407" s="13">
        <f ca="1">Q406-T407*Prices!B407</f>
        <v>0.61149429407365463</v>
      </c>
      <c r="R407" s="4">
        <f t="shared" ca="1" si="38"/>
        <v>3.2858671990426712E-2</v>
      </c>
      <c r="S407" s="13">
        <f ca="1">IF(Prices!B406&gt;OFFSET(Prices!B406,-S$3,0),1,-1)</f>
        <v>-1</v>
      </c>
      <c r="T407" s="4">
        <f ca="1">IF(S407=1,T$3*Q406/Prices!B406,-T$3*R406)</f>
        <v>-1.0162475873327849E-3</v>
      </c>
      <c r="V407" s="13"/>
      <c r="W407" s="4"/>
      <c r="X407" s="4"/>
      <c r="Y407" s="4"/>
      <c r="Z407" s="4"/>
      <c r="AA407" s="4"/>
      <c r="AB407" s="4"/>
      <c r="AC407" s="4"/>
      <c r="AD407" s="4"/>
      <c r="AE407" s="52"/>
    </row>
    <row r="408" spans="1:31" x14ac:dyDescent="0.2">
      <c r="A408" s="7">
        <v>44220</v>
      </c>
      <c r="B408" s="13">
        <f ca="1">Prices!B407*(1+J408/(50*(ABS(O408)+ABS(T408)+0.0001)))</f>
        <v>0</v>
      </c>
      <c r="C408" s="62">
        <f t="shared" ca="1" si="40"/>
        <v>0</v>
      </c>
      <c r="D408" s="13" t="e">
        <f ca="1">D407+C408*(Prices!B408-Prices!B407)/Prices!B407</f>
        <v>#DIV/0!</v>
      </c>
      <c r="E408" s="13" t="e">
        <f t="shared" ca="1" si="43"/>
        <v>#DIV/0!</v>
      </c>
      <c r="F408" s="13" t="e">
        <f t="shared" ca="1" si="41"/>
        <v>#DIV/0!</v>
      </c>
      <c r="G408" s="21">
        <f ca="1">IF((Prices!B408-Prices!B407)*C408&gt;0,1,0)</f>
        <v>0</v>
      </c>
      <c r="H408" s="13" t="e">
        <f>ABS(Prices!B408-Prices!B407)/Prices!B407</f>
        <v>#DIV/0!</v>
      </c>
      <c r="I408" s="21"/>
      <c r="J408" s="4">
        <f t="shared" ca="1" si="42"/>
        <v>-1.4855957182436878E-3</v>
      </c>
      <c r="K408" s="13"/>
      <c r="L408" s="13">
        <f ca="1">L407-O408*Prices!B408</f>
        <v>0.69063129237935605</v>
      </c>
      <c r="M408" s="4">
        <f t="shared" ca="1" si="39"/>
        <v>1.1996053404741271E-2</v>
      </c>
      <c r="N408" s="13">
        <f ca="1">IF(Prices!B407&gt;OFFSET(Prices!B407,-$N$3,0),1,-1)</f>
        <v>-1</v>
      </c>
      <c r="O408" s="4">
        <f ca="1">IF(N408=1,O$3*L407/Prices!B407,-O$3*M407)</f>
        <v>-4.9983555853088638E-4</v>
      </c>
      <c r="P408" s="22"/>
      <c r="Q408" s="13">
        <f ca="1">Q407-T408*Prices!B408</f>
        <v>0.61149429407365463</v>
      </c>
      <c r="R408" s="4">
        <f t="shared" ca="1" si="38"/>
        <v>3.1872911830713911E-2</v>
      </c>
      <c r="S408" s="13">
        <f ca="1">IF(Prices!B407&gt;OFFSET(Prices!B407,-S$3,0),1,-1)</f>
        <v>-1</v>
      </c>
      <c r="T408" s="4">
        <f ca="1">IF(S408=1,T$3*Q407/Prices!B407,-T$3*R407)</f>
        <v>-9.8576015971280138E-4</v>
      </c>
      <c r="V408" s="13"/>
      <c r="W408" s="4"/>
      <c r="X408" s="4"/>
      <c r="Y408" s="4"/>
      <c r="Z408" s="4"/>
      <c r="AA408" s="4"/>
      <c r="AB408" s="4"/>
      <c r="AC408" s="4"/>
      <c r="AD408" s="4"/>
      <c r="AE408" s="52"/>
    </row>
    <row r="409" spans="1:31" x14ac:dyDescent="0.2">
      <c r="A409" s="58">
        <v>44227</v>
      </c>
      <c r="B409" s="13">
        <f ca="1">Prices!B408*(1+J409/(50*(ABS(O409)+ABS(T409)+0.0001)))</f>
        <v>0</v>
      </c>
      <c r="C409" s="62">
        <f t="shared" ca="1" si="40"/>
        <v>0</v>
      </c>
      <c r="D409" s="13" t="e">
        <f ca="1">D408+C409*(Prices!B409-Prices!B408)/Prices!B408</f>
        <v>#DIV/0!</v>
      </c>
      <c r="E409" s="13" t="e">
        <f t="shared" ca="1" si="43"/>
        <v>#DIV/0!</v>
      </c>
      <c r="F409" s="13" t="e">
        <f t="shared" ca="1" si="41"/>
        <v>#DIV/0!</v>
      </c>
      <c r="G409" s="21">
        <f ca="1">IF((Prices!B409-Prices!B408)*C409&gt;0,1,0)</f>
        <v>0</v>
      </c>
      <c r="H409" s="13" t="e">
        <f>ABS(Prices!B409-Prices!B408)/Prices!B408</f>
        <v>#DIV/0!</v>
      </c>
      <c r="I409" s="21"/>
      <c r="J409" s="4">
        <f t="shared" ca="1" si="42"/>
        <v>-1.4360294911110682E-3</v>
      </c>
      <c r="K409" s="13"/>
      <c r="L409" s="13">
        <f ca="1">L408-O409*Prices!B409</f>
        <v>0.69063129237935605</v>
      </c>
      <c r="M409" s="4">
        <f t="shared" ca="1" si="39"/>
        <v>1.151621126855162E-2</v>
      </c>
      <c r="N409" s="13">
        <f ca="1">IF(Prices!B408&gt;OFFSET(Prices!B408,-$N$3,0),1,-1)</f>
        <v>-1</v>
      </c>
      <c r="O409" s="4">
        <f ca="1">IF(N409=1,O$3*L408/Prices!B408,-O$3*M408)</f>
        <v>-4.7984213618965088E-4</v>
      </c>
      <c r="P409" s="22"/>
      <c r="Q409" s="13">
        <f ca="1">Q408-T409*Prices!B409</f>
        <v>0.61149429407365463</v>
      </c>
      <c r="R409" s="4">
        <f t="shared" ca="1" si="38"/>
        <v>3.0916724475792495E-2</v>
      </c>
      <c r="S409" s="13">
        <f ca="1">IF(Prices!B408&gt;OFFSET(Prices!B408,-S$3,0),1,-1)</f>
        <v>-1</v>
      </c>
      <c r="T409" s="4">
        <f ca="1">IF(S409=1,T$3*Q408/Prices!B408,-T$3*R408)</f>
        <v>-9.5618735492141729E-4</v>
      </c>
      <c r="V409" s="13"/>
      <c r="W409" s="4"/>
      <c r="X409" s="4"/>
      <c r="Y409" s="4"/>
      <c r="Z409" s="4"/>
      <c r="AA409" s="4"/>
      <c r="AB409" s="4"/>
      <c r="AC409" s="4"/>
      <c r="AD409" s="4"/>
      <c r="AE409" s="52"/>
    </row>
    <row r="410" spans="1:31" x14ac:dyDescent="0.2">
      <c r="A410" s="7">
        <v>44234</v>
      </c>
      <c r="B410" s="13">
        <f ca="1">Prices!B409*(1+J410/(50*(ABS(O410)+ABS(T410)+0.0001)))</f>
        <v>0</v>
      </c>
      <c r="C410" s="62">
        <f t="shared" ca="1" si="40"/>
        <v>0</v>
      </c>
      <c r="D410" s="13" t="e">
        <f ca="1">D409+C410*(Prices!B410-Prices!B409)/Prices!B409</f>
        <v>#DIV/0!</v>
      </c>
      <c r="E410" s="13" t="e">
        <f t="shared" ca="1" si="43"/>
        <v>#DIV/0!</v>
      </c>
      <c r="F410" s="13" t="e">
        <f t="shared" ca="1" si="41"/>
        <v>#DIV/0!</v>
      </c>
      <c r="G410" s="21">
        <f ca="1">IF((Prices!B410-Prices!B409)*C410&gt;0,1,0)</f>
        <v>0</v>
      </c>
      <c r="H410" s="13" t="e">
        <f>ABS(Prices!B410-Prices!B409)/Prices!B409</f>
        <v>#DIV/0!</v>
      </c>
      <c r="I410" s="21"/>
      <c r="J410" s="4">
        <f t="shared" ca="1" si="42"/>
        <v>-1.3881501850158398E-3</v>
      </c>
      <c r="K410" s="13"/>
      <c r="L410" s="13">
        <f ca="1">L409-O410*Prices!B410</f>
        <v>0.69063129237935605</v>
      </c>
      <c r="M410" s="4">
        <f t="shared" ca="1" si="39"/>
        <v>1.1055562817809556E-2</v>
      </c>
      <c r="N410" s="13">
        <f ca="1">IF(Prices!B409&gt;OFFSET(Prices!B409,-$N$3,0),1,-1)</f>
        <v>-1</v>
      </c>
      <c r="O410" s="4">
        <f ca="1">IF(N410=1,O$3*L409/Prices!B409,-O$3*M409)</f>
        <v>-4.6064845074206485E-4</v>
      </c>
      <c r="P410" s="22"/>
      <c r="Q410" s="13">
        <f ca="1">Q409-T410*Prices!B410</f>
        <v>0.61149429407365463</v>
      </c>
      <c r="R410" s="4">
        <f t="shared" ca="1" si="38"/>
        <v>2.9989222741518721E-2</v>
      </c>
      <c r="S410" s="13">
        <f ca="1">IF(Prices!B409&gt;OFFSET(Prices!B409,-S$3,0),1,-1)</f>
        <v>-1</v>
      </c>
      <c r="T410" s="4">
        <f ca="1">IF(S410=1,T$3*Q409/Prices!B409,-T$3*R409)</f>
        <v>-9.2750173427377488E-4</v>
      </c>
      <c r="V410" s="13"/>
      <c r="W410" s="4"/>
      <c r="X410" s="4"/>
      <c r="Y410" s="4"/>
      <c r="Z410" s="4"/>
      <c r="AA410" s="4"/>
      <c r="AB410" s="4"/>
      <c r="AC410" s="4"/>
      <c r="AD410" s="4"/>
      <c r="AE410" s="52"/>
    </row>
    <row r="411" spans="1:31" x14ac:dyDescent="0.2">
      <c r="A411" s="7">
        <v>44241</v>
      </c>
      <c r="B411" s="13">
        <f ca="1">Prices!B410*(1+J411/(50*(ABS(O411)+ABS(T411)+0.0001)))</f>
        <v>0</v>
      </c>
      <c r="C411" s="62">
        <f t="shared" ca="1" si="40"/>
        <v>0</v>
      </c>
      <c r="D411" s="13" t="e">
        <f ca="1">D410+C411*(Prices!B411-Prices!B410)/Prices!B410</f>
        <v>#DIV/0!</v>
      </c>
      <c r="E411" s="13" t="e">
        <f t="shared" ca="1" si="43"/>
        <v>#DIV/0!</v>
      </c>
      <c r="F411" s="13" t="e">
        <f t="shared" ca="1" si="41"/>
        <v>#DIV/0!</v>
      </c>
      <c r="G411" s="21">
        <f ca="1">IF((Prices!B411-Prices!B410)*C411&gt;0,1,0)</f>
        <v>0</v>
      </c>
      <c r="H411" s="13" t="e">
        <f>ABS(Prices!B411-Prices!B410)/Prices!B410</f>
        <v>#DIV/0!</v>
      </c>
      <c r="I411" s="21"/>
      <c r="J411" s="4">
        <f t="shared" ca="1" si="42"/>
        <v>-1.3418991949579438E-3</v>
      </c>
      <c r="K411" s="13"/>
      <c r="L411" s="13">
        <f ca="1">L410-O411*Prices!B411</f>
        <v>0.69063129237935605</v>
      </c>
      <c r="M411" s="4">
        <f t="shared" ca="1" si="39"/>
        <v>1.0613340305097174E-2</v>
      </c>
      <c r="N411" s="13">
        <f ca="1">IF(Prices!B410&gt;OFFSET(Prices!B410,-$N$3,0),1,-1)</f>
        <v>-1</v>
      </c>
      <c r="O411" s="4">
        <f ca="1">IF(N411=1,O$3*L410/Prices!B410,-O$3*M410)</f>
        <v>-4.4222251271238224E-4</v>
      </c>
      <c r="P411" s="22"/>
      <c r="Q411" s="13">
        <f ca="1">Q410-T411*Prices!B411</f>
        <v>0.61149429407365463</v>
      </c>
      <c r="R411" s="4">
        <f t="shared" ca="1" si="38"/>
        <v>2.908954605927316E-2</v>
      </c>
      <c r="S411" s="13">
        <f ca="1">IF(Prices!B410&gt;OFFSET(Prices!B410,-S$3,0),1,-1)</f>
        <v>-1</v>
      </c>
      <c r="T411" s="4">
        <f ca="1">IF(S411=1,T$3*Q410/Prices!B410,-T$3*R410)</f>
        <v>-8.9967668224556156E-4</v>
      </c>
      <c r="V411" s="13"/>
      <c r="W411" s="4"/>
      <c r="X411" s="4"/>
      <c r="Y411" s="4"/>
      <c r="Z411" s="4"/>
      <c r="AA411" s="4"/>
      <c r="AB411" s="4"/>
      <c r="AC411" s="4"/>
      <c r="AD411" s="4"/>
      <c r="AE411" s="52"/>
    </row>
    <row r="412" spans="1:31" x14ac:dyDescent="0.2">
      <c r="A412" s="7">
        <v>44248</v>
      </c>
      <c r="B412" s="13">
        <f ca="1">Prices!B411*(1+J412/(50*(ABS(O412)+ABS(T412)+0.0001)))</f>
        <v>0</v>
      </c>
      <c r="C412" s="62">
        <f t="shared" ca="1" si="40"/>
        <v>0</v>
      </c>
      <c r="D412" s="13" t="e">
        <f ca="1">D411+C412*(Prices!B412-Prices!B411)/Prices!B411</f>
        <v>#DIV/0!</v>
      </c>
      <c r="E412" s="13" t="e">
        <f t="shared" ca="1" si="43"/>
        <v>#DIV/0!</v>
      </c>
      <c r="F412" s="13" t="e">
        <f t="shared" ca="1" si="41"/>
        <v>#DIV/0!</v>
      </c>
      <c r="G412" s="21">
        <f ca="1">IF((Prices!B412-Prices!B411)*C412&gt;0,1,0)</f>
        <v>0</v>
      </c>
      <c r="H412" s="13" t="e">
        <f>ABS(Prices!B412-Prices!B411)/Prices!B411</f>
        <v>#DIV/0!</v>
      </c>
      <c r="I412" s="21"/>
      <c r="J412" s="4">
        <f t="shared" ca="1" si="42"/>
        <v>-1.2972199939820818E-3</v>
      </c>
      <c r="K412" s="13"/>
      <c r="L412" s="13">
        <f ca="1">L411-O412*Prices!B412</f>
        <v>0.69063129237935605</v>
      </c>
      <c r="M412" s="4">
        <f t="shared" ca="1" si="39"/>
        <v>1.0188806692893286E-2</v>
      </c>
      <c r="N412" s="13">
        <f ca="1">IF(Prices!B411&gt;OFFSET(Prices!B411,-$N$3,0),1,-1)</f>
        <v>-1</v>
      </c>
      <c r="O412" s="4">
        <f ca="1">IF(N412=1,O$3*L411/Prices!B411,-O$3*M411)</f>
        <v>-4.2453361220388697E-4</v>
      </c>
      <c r="P412" s="22"/>
      <c r="Q412" s="13">
        <f ca="1">Q411-T412*Prices!B412</f>
        <v>0.61149429407365463</v>
      </c>
      <c r="R412" s="4">
        <f t="shared" ca="1" si="38"/>
        <v>2.8216859677494967E-2</v>
      </c>
      <c r="S412" s="13">
        <f ca="1">IF(Prices!B411&gt;OFFSET(Prices!B411,-S$3,0),1,-1)</f>
        <v>-1</v>
      </c>
      <c r="T412" s="4">
        <f ca="1">IF(S412=1,T$3*Q411/Prices!B411,-T$3*R411)</f>
        <v>-8.7268638177819479E-4</v>
      </c>
      <c r="V412" s="13"/>
      <c r="W412" s="4"/>
      <c r="X412" s="4"/>
      <c r="Y412" s="4"/>
      <c r="Z412" s="4"/>
      <c r="AA412" s="4"/>
      <c r="AB412" s="4"/>
      <c r="AC412" s="4"/>
      <c r="AD412" s="4"/>
      <c r="AE412" s="52"/>
    </row>
    <row r="413" spans="1:31" x14ac:dyDescent="0.2">
      <c r="A413" s="7">
        <v>44255</v>
      </c>
      <c r="B413" s="13">
        <f ca="1">Prices!B412*(1+J413/(50*(ABS(O413)+ABS(T413)+0.0001)))</f>
        <v>0</v>
      </c>
      <c r="C413" s="62">
        <f t="shared" ca="1" si="40"/>
        <v>0</v>
      </c>
      <c r="D413" s="13" t="e">
        <f ca="1">D412+C413*(Prices!B413-Prices!B412)/Prices!B412</f>
        <v>#DIV/0!</v>
      </c>
      <c r="E413" s="13" t="e">
        <f t="shared" ca="1" si="43"/>
        <v>#DIV/0!</v>
      </c>
      <c r="F413" s="13" t="e">
        <f t="shared" ca="1" si="41"/>
        <v>#DIV/0!</v>
      </c>
      <c r="G413" s="21">
        <f ca="1">IF((Prices!B413-Prices!B412)*C413&gt;0,1,0)</f>
        <v>0</v>
      </c>
      <c r="H413" s="13" t="e">
        <f>ABS(Prices!B413-Prices!B412)/Prices!B412</f>
        <v>#DIV/0!</v>
      </c>
      <c r="I413" s="21"/>
      <c r="J413" s="4">
        <f t="shared" ca="1" si="42"/>
        <v>-1.2540580580405803E-3</v>
      </c>
      <c r="K413" s="13"/>
      <c r="L413" s="13">
        <f ca="1">L412-O413*Prices!B413</f>
        <v>0.69063129237935605</v>
      </c>
      <c r="M413" s="4">
        <f t="shared" ca="1" si="39"/>
        <v>9.7812544251775543E-3</v>
      </c>
      <c r="N413" s="13">
        <f ca="1">IF(Prices!B412&gt;OFFSET(Prices!B412,-$N$3,0),1,-1)</f>
        <v>-1</v>
      </c>
      <c r="O413" s="4">
        <f ca="1">IF(N413=1,O$3*L412/Prices!B412,-O$3*M412)</f>
        <v>-4.0755226771573146E-4</v>
      </c>
      <c r="P413" s="22"/>
      <c r="Q413" s="13">
        <f ca="1">Q412-T413*Prices!B413</f>
        <v>0.61149429407365463</v>
      </c>
      <c r="R413" s="4">
        <f t="shared" ca="1" si="38"/>
        <v>2.7370353887170119E-2</v>
      </c>
      <c r="S413" s="13">
        <f ca="1">IF(Prices!B412&gt;OFFSET(Prices!B412,-S$3,0),1,-1)</f>
        <v>-1</v>
      </c>
      <c r="T413" s="4">
        <f ca="1">IF(S413=1,T$3*Q412/Prices!B412,-T$3*R412)</f>
        <v>-8.4650579032484897E-4</v>
      </c>
      <c r="V413" s="13"/>
      <c r="W413" s="4"/>
      <c r="X413" s="4"/>
      <c r="Y413" s="4"/>
      <c r="Z413" s="4"/>
      <c r="AA413" s="4"/>
      <c r="AB413" s="4"/>
      <c r="AC413" s="4"/>
      <c r="AD413" s="4"/>
      <c r="AE413" s="52"/>
    </row>
    <row r="414" spans="1:31" x14ac:dyDescent="0.2">
      <c r="A414" s="58">
        <v>44262</v>
      </c>
      <c r="B414" s="13">
        <f ca="1">Prices!B413*(1+J414/(50*(ABS(O414)+ABS(T414)+0.0001)))</f>
        <v>0</v>
      </c>
      <c r="C414" s="62">
        <f t="shared" ca="1" si="40"/>
        <v>0</v>
      </c>
      <c r="D414" s="13" t="e">
        <f ca="1">D413+C414*(Prices!B414-Prices!B413)/Prices!B413</f>
        <v>#DIV/0!</v>
      </c>
      <c r="E414" s="13" t="e">
        <f t="shared" ca="1" si="43"/>
        <v>#DIV/0!</v>
      </c>
      <c r="F414" s="13" t="e">
        <f t="shared" ca="1" si="41"/>
        <v>#DIV/0!</v>
      </c>
      <c r="G414" s="21">
        <f ca="1">IF((Prices!B414-Prices!B413)*C414&gt;0,1,0)</f>
        <v>0</v>
      </c>
      <c r="H414" s="13" t="e">
        <f>ABS(Prices!B414-Prices!B413)/Prices!B413</f>
        <v>#DIV/0!</v>
      </c>
      <c r="I414" s="21"/>
      <c r="J414" s="4">
        <f t="shared" ca="1" si="42"/>
        <v>-1.2123607936222057E-3</v>
      </c>
      <c r="K414" s="13"/>
      <c r="L414" s="13">
        <f ca="1">L413-O414*Prices!B414</f>
        <v>0.69063129237935605</v>
      </c>
      <c r="M414" s="4">
        <f t="shared" ca="1" si="39"/>
        <v>9.3900042481704516E-3</v>
      </c>
      <c r="N414" s="13">
        <f ca="1">IF(Prices!B413&gt;OFFSET(Prices!B413,-$N$3,0),1,-1)</f>
        <v>-1</v>
      </c>
      <c r="O414" s="4">
        <f ca="1">IF(N414=1,O$3*L413/Prices!B413,-O$3*M413)</f>
        <v>-3.9125017700710217E-4</v>
      </c>
      <c r="P414" s="22"/>
      <c r="Q414" s="13">
        <f ca="1">Q413-T414*Prices!B414</f>
        <v>0.61149429407365463</v>
      </c>
      <c r="R414" s="4">
        <f t="shared" ca="1" si="38"/>
        <v>2.6549243270555016E-2</v>
      </c>
      <c r="S414" s="13">
        <f ca="1">IF(Prices!B413&gt;OFFSET(Prices!B413,-S$3,0),1,-1)</f>
        <v>-1</v>
      </c>
      <c r="T414" s="4">
        <f ca="1">IF(S414=1,T$3*Q413/Prices!B413,-T$3*R413)</f>
        <v>-8.2111061661510349E-4</v>
      </c>
      <c r="V414" s="13"/>
      <c r="W414" s="4"/>
      <c r="X414" s="4"/>
      <c r="Y414" s="4"/>
      <c r="Z414" s="4"/>
      <c r="AA414" s="4"/>
      <c r="AB414" s="4"/>
      <c r="AC414" s="4"/>
      <c r="AD414" s="4"/>
      <c r="AE414" s="52"/>
    </row>
    <row r="415" spans="1:31" x14ac:dyDescent="0.2">
      <c r="A415" s="7">
        <v>44269</v>
      </c>
      <c r="B415" s="13">
        <f ca="1">Prices!B414*(1+J415/(50*(ABS(O415)+ABS(T415)+0.0001)))</f>
        <v>0</v>
      </c>
      <c r="C415" s="62">
        <f t="shared" ca="1" si="40"/>
        <v>0</v>
      </c>
      <c r="D415" s="13" t="e">
        <f ca="1">D414+C415*(Prices!B415-Prices!B414)/Prices!B414</f>
        <v>#DIV/0!</v>
      </c>
      <c r="E415" s="13" t="e">
        <f t="shared" ca="1" si="43"/>
        <v>#DIV/0!</v>
      </c>
      <c r="F415" s="13" t="e">
        <f t="shared" ca="1" si="41"/>
        <v>#DIV/0!</v>
      </c>
      <c r="G415" s="21">
        <f ca="1">IF((Prices!B415-Prices!B414)*C415&gt;0,1,0)</f>
        <v>0</v>
      </c>
      <c r="H415" s="13" t="e">
        <f>ABS(Prices!B415-Prices!B414)/Prices!B414</f>
        <v>#DIV/0!</v>
      </c>
      <c r="I415" s="21"/>
      <c r="J415" s="4">
        <f t="shared" ca="1" si="42"/>
        <v>-1.1720774680434687E-3</v>
      </c>
      <c r="K415" s="13"/>
      <c r="L415" s="13">
        <f ca="1">L414-O415*Prices!B415</f>
        <v>0.69063129237935605</v>
      </c>
      <c r="M415" s="4">
        <f t="shared" ca="1" si="39"/>
        <v>9.014404078243634E-3</v>
      </c>
      <c r="N415" s="13">
        <f ca="1">IF(Prices!B414&gt;OFFSET(Prices!B414,-$N$3,0),1,-1)</f>
        <v>-1</v>
      </c>
      <c r="O415" s="4">
        <f ca="1">IF(N415=1,O$3*L414/Prices!B414,-O$3*M414)</f>
        <v>-3.7560016992681808E-4</v>
      </c>
      <c r="P415" s="22"/>
      <c r="Q415" s="13">
        <f ca="1">Q414-T415*Prices!B415</f>
        <v>0.61149429407365463</v>
      </c>
      <c r="R415" s="4">
        <f t="shared" ca="1" si="38"/>
        <v>2.5752765972438366E-2</v>
      </c>
      <c r="S415" s="13">
        <f ca="1">IF(Prices!B414&gt;OFFSET(Prices!B414,-S$3,0),1,-1)</f>
        <v>-1</v>
      </c>
      <c r="T415" s="4">
        <f ca="1">IF(S415=1,T$3*Q414/Prices!B414,-T$3*R414)</f>
        <v>-7.9647729811665048E-4</v>
      </c>
      <c r="V415" s="13"/>
      <c r="W415" s="4"/>
      <c r="X415" s="4"/>
      <c r="Y415" s="4"/>
      <c r="Z415" s="4"/>
      <c r="AA415" s="4"/>
      <c r="AB415" s="4"/>
      <c r="AC415" s="4"/>
      <c r="AD415" s="4"/>
      <c r="AE415" s="52"/>
    </row>
    <row r="416" spans="1:31" x14ac:dyDescent="0.2">
      <c r="A416" s="58">
        <v>44276</v>
      </c>
      <c r="B416" s="13">
        <f ca="1">Prices!B415*(1+J416/(50*(ABS(O416)+ABS(T416)+0.0001)))</f>
        <v>0</v>
      </c>
      <c r="C416" s="62">
        <f t="shared" ca="1" si="40"/>
        <v>0</v>
      </c>
      <c r="D416" s="13" t="e">
        <f ca="1">D415+C416*(Prices!B416-Prices!B415)/Prices!B415</f>
        <v>#DIV/0!</v>
      </c>
      <c r="E416" s="13" t="e">
        <f t="shared" ca="1" si="43"/>
        <v>#DIV/0!</v>
      </c>
      <c r="F416" s="13" t="e">
        <f t="shared" ca="1" si="41"/>
        <v>#DIV/0!</v>
      </c>
      <c r="G416" s="21">
        <f ca="1">IF((Prices!B416-Prices!B415)*C416&gt;0,1,0)</f>
        <v>0</v>
      </c>
      <c r="H416" s="13" t="e">
        <f>ABS(Prices!B416-Prices!B415)/Prices!B415</f>
        <v>#DIV/0!</v>
      </c>
      <c r="I416" s="21"/>
      <c r="J416" s="4">
        <f t="shared" ca="1" si="42"/>
        <v>-1.1331591423028964E-3</v>
      </c>
      <c r="K416" s="13"/>
      <c r="L416" s="13">
        <f ca="1">L415-O416*Prices!B416</f>
        <v>0.69063129237935605</v>
      </c>
      <c r="M416" s="4">
        <f t="shared" ca="1" si="39"/>
        <v>8.6538279151138885E-3</v>
      </c>
      <c r="N416" s="13">
        <f ca="1">IF(Prices!B415&gt;OFFSET(Prices!B415,-$N$3,0),1,-1)</f>
        <v>-1</v>
      </c>
      <c r="O416" s="4">
        <f ca="1">IF(N416=1,O$3*L415/Prices!B415,-O$3*M415)</f>
        <v>-3.6057616312974537E-4</v>
      </c>
      <c r="P416" s="22"/>
      <c r="Q416" s="13">
        <f ca="1">Q415-T416*Prices!B416</f>
        <v>0.61149429407365463</v>
      </c>
      <c r="R416" s="4">
        <f t="shared" ca="1" si="38"/>
        <v>2.4980182993265217E-2</v>
      </c>
      <c r="S416" s="13">
        <f ca="1">IF(Prices!B415&gt;OFFSET(Prices!B415,-S$3,0),1,-1)</f>
        <v>-1</v>
      </c>
      <c r="T416" s="4">
        <f ca="1">IF(S416=1,T$3*Q415/Prices!B415,-T$3*R415)</f>
        <v>-7.7258297917315094E-4</v>
      </c>
      <c r="W416" s="4"/>
      <c r="X416" s="4"/>
      <c r="Y416" s="4"/>
      <c r="Z416" s="4"/>
      <c r="AA416" s="4"/>
      <c r="AB416" s="4"/>
      <c r="AC416" s="4"/>
      <c r="AD416" s="4"/>
      <c r="AE416" s="52"/>
    </row>
    <row r="417" spans="1:31" x14ac:dyDescent="0.2">
      <c r="A417" s="7">
        <v>44283</v>
      </c>
      <c r="B417" s="13">
        <f ca="1">Prices!B416*(1+J417/(50*(ABS(O417)+ABS(T417)+0.0001)))</f>
        <v>0</v>
      </c>
      <c r="C417" s="62">
        <f t="shared" ca="1" si="40"/>
        <v>0</v>
      </c>
      <c r="D417" s="13" t="e">
        <f ca="1">D416+C417*(Prices!B417-Prices!B416)/Prices!B416</f>
        <v>#DIV/0!</v>
      </c>
      <c r="E417" s="13" t="e">
        <f t="shared" ca="1" si="43"/>
        <v>#DIV/0!</v>
      </c>
      <c r="F417" s="13" t="e">
        <f t="shared" ca="1" si="41"/>
        <v>#DIV/0!</v>
      </c>
      <c r="G417" s="21">
        <f ca="1">IF((Prices!B417-Prices!B416)*C417&gt;0,1,0)</f>
        <v>0</v>
      </c>
      <c r="H417" s="13" t="e">
        <f>ABS(Prices!B417-Prices!B416)/Prices!B416</f>
        <v>#DIV/0!</v>
      </c>
      <c r="I417" s="21"/>
      <c r="J417" s="4">
        <f t="shared" ca="1" si="42"/>
        <v>-1.0955586064025119E-3</v>
      </c>
      <c r="K417" s="13"/>
      <c r="L417" s="13">
        <f ca="1">L416-O417*Prices!B417</f>
        <v>0.69063129237935605</v>
      </c>
      <c r="M417" s="4">
        <f t="shared" ca="1" si="39"/>
        <v>8.3076747985093326E-3</v>
      </c>
      <c r="N417" s="13">
        <f ca="1">IF(Prices!B416&gt;OFFSET(Prices!B416,-$N$3,0),1,-1)</f>
        <v>-1</v>
      </c>
      <c r="O417" s="4">
        <f ca="1">IF(N417=1,O$3*L416/Prices!B416,-O$3*M416)</f>
        <v>-3.4615311660455552E-4</v>
      </c>
      <c r="P417" s="22"/>
      <c r="Q417" s="13">
        <f ca="1">Q416-T417*Prices!B417</f>
        <v>0.61149429407365463</v>
      </c>
      <c r="R417" s="4">
        <f t="shared" ca="1" si="38"/>
        <v>2.4230777503467259E-2</v>
      </c>
      <c r="S417" s="13">
        <f ca="1">IF(Prices!B416&gt;OFFSET(Prices!B416,-S$3,0),1,-1)</f>
        <v>-1</v>
      </c>
      <c r="T417" s="4">
        <f ca="1">IF(S417=1,T$3*Q416/Prices!B416,-T$3*R416)</f>
        <v>-7.494054897979565E-4</v>
      </c>
      <c r="W417" s="4"/>
      <c r="X417" s="4"/>
      <c r="Y417" s="4"/>
      <c r="Z417" s="4"/>
      <c r="AA417" s="4"/>
      <c r="AB417" s="4"/>
      <c r="AC417" s="4"/>
      <c r="AD417" s="4"/>
      <c r="AE417" s="52"/>
    </row>
    <row r="418" spans="1:31" x14ac:dyDescent="0.2">
      <c r="A418" s="7">
        <v>44290</v>
      </c>
      <c r="B418" s="13">
        <f ca="1">Prices!B417*(1+J418/(50*(ABS(O418)+ABS(T418)+0.0001)))</f>
        <v>0</v>
      </c>
      <c r="C418" s="62">
        <f t="shared" ca="1" si="40"/>
        <v>0</v>
      </c>
      <c r="D418" s="13" t="e">
        <f ca="1">D417+C418*(Prices!B418-Prices!B417)/Prices!B417</f>
        <v>#DIV/0!</v>
      </c>
      <c r="E418" s="13" t="e">
        <f t="shared" ca="1" si="43"/>
        <v>#DIV/0!</v>
      </c>
      <c r="F418" s="13" t="e">
        <f t="shared" ca="1" si="41"/>
        <v>#DIV/0!</v>
      </c>
      <c r="G418" s="21">
        <f ca="1">IF((Prices!B418-Prices!B417)*C418&gt;0,1,0)</f>
        <v>0</v>
      </c>
      <c r="H418" s="13" t="e">
        <f>ABS(Prices!B418-Prices!B417)/Prices!B417</f>
        <v>#DIV/0!</v>
      </c>
      <c r="I418" s="21"/>
      <c r="J418" s="4">
        <f t="shared" ca="1" si="42"/>
        <v>-1.0592303170443912E-3</v>
      </c>
      <c r="K418" s="13"/>
      <c r="L418" s="13">
        <f ca="1">L417-O418*Prices!B418</f>
        <v>0.69063129237935605</v>
      </c>
      <c r="M418" s="4">
        <f t="shared" ca="1" si="39"/>
        <v>7.9753678065689598E-3</v>
      </c>
      <c r="N418" s="13">
        <f ca="1">IF(Prices!B417&gt;OFFSET(Prices!B417,-$N$3,0),1,-1)</f>
        <v>-1</v>
      </c>
      <c r="O418" s="4">
        <f ca="1">IF(N418=1,O$3*L417/Prices!B417,-O$3*M417)</f>
        <v>-3.3230699194037331E-4</v>
      </c>
      <c r="P418" s="22"/>
      <c r="Q418" s="13">
        <f ca="1">Q417-T418*Prices!B418</f>
        <v>0.61149429407365463</v>
      </c>
      <c r="R418" s="4">
        <f t="shared" ca="1" si="38"/>
        <v>2.3503854178363242E-2</v>
      </c>
      <c r="S418" s="13">
        <f ca="1">IF(Prices!B417&gt;OFFSET(Prices!B417,-S$3,0),1,-1)</f>
        <v>-1</v>
      </c>
      <c r="T418" s="4">
        <f ca="1">IF(S418=1,T$3*Q417/Prices!B417,-T$3*R417)</f>
        <v>-7.269233251040178E-4</v>
      </c>
      <c r="W418" s="4"/>
      <c r="X418" s="4"/>
      <c r="Y418" s="4"/>
      <c r="Z418" s="4"/>
      <c r="AA418" s="4"/>
      <c r="AB418" s="4"/>
      <c r="AC418" s="4"/>
      <c r="AD418" s="4"/>
      <c r="AE418" s="52"/>
    </row>
    <row r="419" spans="1:31" x14ac:dyDescent="0.2">
      <c r="A419" s="7">
        <v>44297</v>
      </c>
      <c r="B419" s="13">
        <f ca="1">Prices!B418*(1+J419/(50*(ABS(O419)+ABS(T419)+0.0001)))</f>
        <v>0</v>
      </c>
      <c r="C419" s="62">
        <f t="shared" ca="1" si="40"/>
        <v>0</v>
      </c>
      <c r="D419" s="13" t="e">
        <f ca="1">D418+C419*(Prices!B419-Prices!B418)/Prices!B418</f>
        <v>#DIV/0!</v>
      </c>
      <c r="E419" s="13" t="e">
        <f t="shared" ca="1" si="43"/>
        <v>#DIV/0!</v>
      </c>
      <c r="F419" s="13" t="e">
        <f t="shared" ca="1" si="41"/>
        <v>#DIV/0!</v>
      </c>
      <c r="G419" s="21">
        <f ca="1">IF((Prices!B419-Prices!B418)*C419&gt;0,1,0)</f>
        <v>0</v>
      </c>
      <c r="H419" s="13" t="e">
        <f>ABS(Prices!B419-Prices!B418)/Prices!B418</f>
        <v>#DIV/0!</v>
      </c>
      <c r="I419" s="21"/>
      <c r="J419" s="4">
        <f t="shared" ca="1" si="42"/>
        <v>-1.0241303376136556E-3</v>
      </c>
      <c r="K419" s="13"/>
      <c r="L419" s="13">
        <f ca="1">L418-O419*Prices!B419</f>
        <v>0.69063129237935605</v>
      </c>
      <c r="M419" s="4">
        <f t="shared" ca="1" si="39"/>
        <v>7.6563530943062012E-3</v>
      </c>
      <c r="N419" s="13">
        <f ca="1">IF(Prices!B418&gt;OFFSET(Prices!B418,-$N$3,0),1,-1)</f>
        <v>-1</v>
      </c>
      <c r="O419" s="4">
        <f ca="1">IF(N419=1,O$3*L418/Prices!B418,-O$3*M418)</f>
        <v>-3.1901471226275838E-4</v>
      </c>
      <c r="P419" s="22"/>
      <c r="Q419" s="13">
        <f ca="1">Q418-T419*Prices!B419</f>
        <v>0.61149429407365463</v>
      </c>
      <c r="R419" s="4">
        <f t="shared" ca="1" si="38"/>
        <v>2.2798738553012343E-2</v>
      </c>
      <c r="S419" s="13">
        <f ca="1">IF(Prices!B418&gt;OFFSET(Prices!B418,-S$3,0),1,-1)</f>
        <v>-1</v>
      </c>
      <c r="T419" s="4">
        <f ca="1">IF(S419=1,T$3*Q418/Prices!B418,-T$3*R418)</f>
        <v>-7.0511562535089723E-4</v>
      </c>
      <c r="W419" s="4"/>
      <c r="X419" s="4"/>
      <c r="Y419" s="4"/>
      <c r="Z419" s="4"/>
      <c r="AA419" s="4"/>
      <c r="AB419" s="4"/>
      <c r="AC419" s="4"/>
      <c r="AD419" s="4"/>
      <c r="AE419" s="52"/>
    </row>
    <row r="420" spans="1:31" x14ac:dyDescent="0.2">
      <c r="A420" s="7">
        <v>44304</v>
      </c>
      <c r="B420" s="13">
        <f ca="1">Prices!B419*(1+J420/(50*(ABS(O420)+ABS(T420)+0.0001)))</f>
        <v>0</v>
      </c>
      <c r="C420" s="62">
        <f t="shared" ca="1" si="40"/>
        <v>0</v>
      </c>
      <c r="D420" s="13" t="e">
        <f ca="1">D419+C420*(Prices!B420-Prices!B419)/Prices!B419</f>
        <v>#DIV/0!</v>
      </c>
      <c r="E420" s="13" t="e">
        <f t="shared" ca="1" si="43"/>
        <v>#DIV/0!</v>
      </c>
      <c r="F420" s="13" t="e">
        <f t="shared" ca="1" si="41"/>
        <v>#DIV/0!</v>
      </c>
      <c r="G420" s="21">
        <f ca="1">IF((Prices!B420-Prices!B419)*C420&gt;0,1,0)</f>
        <v>0</v>
      </c>
      <c r="H420" s="13" t="e">
        <f>ABS(Prices!B420-Prices!B419)/Prices!B419</f>
        <v>#DIV/0!</v>
      </c>
      <c r="I420" s="21"/>
      <c r="J420" s="4">
        <f t="shared" ca="1" si="42"/>
        <v>-9.9021628036261846E-4</v>
      </c>
      <c r="K420" s="13"/>
      <c r="L420" s="13">
        <f ca="1">L419-O420*Prices!B420</f>
        <v>0.69063129237935605</v>
      </c>
      <c r="M420" s="4">
        <f t="shared" ca="1" si="39"/>
        <v>7.3500989705339529E-3</v>
      </c>
      <c r="N420" s="13">
        <f ca="1">IF(Prices!B419&gt;OFFSET(Prices!B419,-$N$3,0),1,-1)</f>
        <v>-1</v>
      </c>
      <c r="O420" s="4">
        <f ca="1">IF(N420=1,O$3*L419/Prices!B419,-O$3*M419)</f>
        <v>-3.0625412377224804E-4</v>
      </c>
      <c r="P420" s="22"/>
      <c r="Q420" s="13">
        <f ca="1">Q419-T420*Prices!B420</f>
        <v>0.61149429407365463</v>
      </c>
      <c r="R420" s="4">
        <f t="shared" ca="1" si="38"/>
        <v>2.2114776396421974E-2</v>
      </c>
      <c r="S420" s="13">
        <f ca="1">IF(Prices!B419&gt;OFFSET(Prices!B419,-S$3,0),1,-1)</f>
        <v>-1</v>
      </c>
      <c r="T420" s="4">
        <f ca="1">IF(S420=1,T$3*Q419/Prices!B419,-T$3*R419)</f>
        <v>-6.8396215659037032E-4</v>
      </c>
      <c r="W420" s="4"/>
      <c r="X420" s="4"/>
      <c r="Y420" s="4"/>
      <c r="Z420" s="4"/>
      <c r="AA420" s="4"/>
      <c r="AB420" s="4"/>
      <c r="AC420" s="4"/>
      <c r="AD420" s="4"/>
      <c r="AE420" s="52"/>
    </row>
    <row r="421" spans="1:31" x14ac:dyDescent="0.2">
      <c r="A421" s="7">
        <v>44311</v>
      </c>
      <c r="B421" s="13">
        <f ca="1">Prices!B420*(1+J421/(50*(ABS(O421)+ABS(T421)+0.0001)))</f>
        <v>0</v>
      </c>
      <c r="C421" s="62">
        <f t="shared" ca="1" si="40"/>
        <v>0</v>
      </c>
      <c r="D421" s="13" t="e">
        <f ca="1">D420+C421*(Prices!B421-Prices!B420)/Prices!B420</f>
        <v>#DIV/0!</v>
      </c>
      <c r="E421" s="13" t="e">
        <f t="shared" ca="1" si="43"/>
        <v>#DIV/0!</v>
      </c>
      <c r="F421" s="13" t="e">
        <f t="shared" ca="1" si="41"/>
        <v>#DIV/0!</v>
      </c>
      <c r="G421" s="21">
        <f ca="1">IF((Prices!B421-Prices!B420)*C421&gt;0,1,0)</f>
        <v>0</v>
      </c>
      <c r="H421" s="13" t="e">
        <f>ABS(Prices!B421-Prices!B420)/Prices!B420</f>
        <v>#DIV/0!</v>
      </c>
      <c r="I421" s="21"/>
      <c r="J421" s="4">
        <f t="shared" ca="1" si="42"/>
        <v>-9.5744725071401741E-4</v>
      </c>
      <c r="K421" s="13"/>
      <c r="L421" s="13">
        <f ca="1">L420-O421*Prices!B421</f>
        <v>0.69063129237935605</v>
      </c>
      <c r="M421" s="4">
        <f t="shared" ca="1" si="39"/>
        <v>7.0560950117125945E-3</v>
      </c>
      <c r="N421" s="13">
        <f ca="1">IF(Prices!B420&gt;OFFSET(Prices!B420,-$N$3,0),1,-1)</f>
        <v>-1</v>
      </c>
      <c r="O421" s="4">
        <f ca="1">IF(N421=1,O$3*L420/Prices!B420,-O$3*M420)</f>
        <v>-2.9400395882135812E-4</v>
      </c>
      <c r="P421" s="22"/>
      <c r="Q421" s="13">
        <f ca="1">Q420-T421*Prices!B421</f>
        <v>0.61149429407365463</v>
      </c>
      <c r="R421" s="4">
        <f t="shared" ca="1" si="38"/>
        <v>2.1451333104529315E-2</v>
      </c>
      <c r="S421" s="13">
        <f ca="1">IF(Prices!B420&gt;OFFSET(Prices!B420,-S$3,0),1,-1)</f>
        <v>-1</v>
      </c>
      <c r="T421" s="4">
        <f ca="1">IF(S421=1,T$3*Q420/Prices!B420,-T$3*R420)</f>
        <v>-6.6344329189265924E-4</v>
      </c>
      <c r="W421" s="4"/>
      <c r="X421" s="4"/>
      <c r="Y421" s="4"/>
      <c r="Z421" s="4"/>
      <c r="AA421" s="4"/>
      <c r="AB421" s="4"/>
      <c r="AC421" s="4"/>
      <c r="AD421" s="4"/>
      <c r="AE421" s="52"/>
    </row>
    <row r="422" spans="1:31" x14ac:dyDescent="0.2">
      <c r="A422" s="7">
        <v>44318</v>
      </c>
      <c r="B422" s="13">
        <f ca="1">Prices!B421*(1+J422/(50*(ABS(O422)+ABS(T422)+0.0001)))</f>
        <v>0</v>
      </c>
      <c r="C422" s="62">
        <f t="shared" ca="1" si="40"/>
        <v>0</v>
      </c>
      <c r="D422" s="13" t="e">
        <f ca="1">D421+C422*(Prices!B422-Prices!B421)/Prices!B421</f>
        <v>#DIV/0!</v>
      </c>
      <c r="E422" s="13" t="e">
        <f t="shared" ca="1" si="43"/>
        <v>#DIV/0!</v>
      </c>
      <c r="F422" s="13" t="e">
        <f t="shared" ca="1" si="41"/>
        <v>#DIV/0!</v>
      </c>
      <c r="G422" s="21">
        <f ca="1">IF((Prices!B422-Prices!B421)*C422&gt;0,1,0)</f>
        <v>0</v>
      </c>
      <c r="H422" s="13" t="e">
        <f>ABS(Prices!B422-Prices!B421)/Prices!B421</f>
        <v>#DIV/0!</v>
      </c>
      <c r="I422" s="21"/>
      <c r="J422" s="4">
        <f t="shared" ca="1" si="42"/>
        <v>-9.2578379360438328E-4</v>
      </c>
      <c r="K422" s="13"/>
      <c r="L422" s="13">
        <f ca="1">L421-O422*Prices!B422</f>
        <v>0.69063129237935605</v>
      </c>
      <c r="M422" s="4">
        <f t="shared" ca="1" si="39"/>
        <v>6.7738512112440908E-3</v>
      </c>
      <c r="N422" s="13">
        <f ca="1">IF(Prices!B421&gt;OFFSET(Prices!B421,-$N$3,0),1,-1)</f>
        <v>-1</v>
      </c>
      <c r="O422" s="4">
        <f ca="1">IF(N422=1,O$3*L421/Prices!B421,-O$3*M421)</f>
        <v>-2.8224380046850377E-4</v>
      </c>
      <c r="P422" s="22"/>
      <c r="Q422" s="13">
        <f ca="1">Q421-T422*Prices!B422</f>
        <v>0.61149429407365463</v>
      </c>
      <c r="R422" s="4">
        <f t="shared" ca="1" si="38"/>
        <v>2.0807793111393434E-2</v>
      </c>
      <c r="S422" s="13">
        <f ca="1">IF(Prices!B421&gt;OFFSET(Prices!B421,-S$3,0),1,-1)</f>
        <v>-1</v>
      </c>
      <c r="T422" s="4">
        <f ca="1">IF(S422=1,T$3*Q421/Prices!B421,-T$3*R421)</f>
        <v>-6.4353999313587946E-4</v>
      </c>
      <c r="W422" s="4"/>
      <c r="X422" s="4"/>
      <c r="Y422" s="4"/>
      <c r="Z422" s="4"/>
      <c r="AA422" s="4"/>
      <c r="AB422" s="4"/>
      <c r="AC422" s="4"/>
      <c r="AD422" s="4"/>
      <c r="AE422" s="52"/>
    </row>
    <row r="423" spans="1:31" x14ac:dyDescent="0.2">
      <c r="A423" s="7">
        <v>44325</v>
      </c>
      <c r="B423" s="13">
        <f ca="1">Prices!B422*(1+J423/(50*(ABS(O423)+ABS(T423)+0.0001)))</f>
        <v>0</v>
      </c>
      <c r="C423" s="62">
        <f t="shared" ca="1" si="40"/>
        <v>0</v>
      </c>
      <c r="D423" s="13" t="e">
        <f ca="1">D422+C423*(Prices!B423-Prices!B422)/Prices!B422</f>
        <v>#DIV/0!</v>
      </c>
      <c r="E423" s="13" t="e">
        <f t="shared" ca="1" si="43"/>
        <v>#DIV/0!</v>
      </c>
      <c r="F423" s="13" t="e">
        <f t="shared" ca="1" si="41"/>
        <v>#DIV/0!</v>
      </c>
      <c r="G423" s="21">
        <f ca="1">IF((Prices!B423-Prices!B422)*C423&gt;0,1,0)</f>
        <v>0</v>
      </c>
      <c r="H423" s="13" t="e">
        <f>ABS(Prices!B423-Prices!B422)/Prices!B422</f>
        <v>#DIV/0!</v>
      </c>
      <c r="I423" s="21"/>
      <c r="J423" s="4">
        <f t="shared" ca="1" si="42"/>
        <v>-8.9518784179156666E-4</v>
      </c>
      <c r="K423" s="13"/>
      <c r="L423" s="13">
        <f ca="1">L422-O423*Prices!B423</f>
        <v>0.69063129237935605</v>
      </c>
      <c r="M423" s="4">
        <f t="shared" ca="1" si="39"/>
        <v>6.5028971627943272E-3</v>
      </c>
      <c r="N423" s="13">
        <f ca="1">IF(Prices!B422&gt;OFFSET(Prices!B422,-$N$3,0),1,-1)</f>
        <v>-1</v>
      </c>
      <c r="O423" s="4">
        <f ca="1">IF(N423=1,O$3*L422/Prices!B422,-O$3*M422)</f>
        <v>-2.7095404844976363E-4</v>
      </c>
      <c r="P423" s="22"/>
      <c r="Q423" s="13">
        <f ca="1">Q422-T423*Prices!B423</f>
        <v>0.61149429407365463</v>
      </c>
      <c r="R423" s="4">
        <f t="shared" ca="1" si="38"/>
        <v>2.018355931805163E-2</v>
      </c>
      <c r="S423" s="13">
        <f ca="1">IF(Prices!B422&gt;OFFSET(Prices!B422,-S$3,0),1,-1)</f>
        <v>-1</v>
      </c>
      <c r="T423" s="4">
        <f ca="1">IF(S423=1,T$3*Q422/Prices!B422,-T$3*R422)</f>
        <v>-6.2423379334180303E-4</v>
      </c>
      <c r="W423" s="4"/>
      <c r="X423" s="4"/>
      <c r="Y423" s="4"/>
      <c r="Z423" s="4"/>
      <c r="AA423" s="4"/>
      <c r="AB423" s="4"/>
      <c r="AC423" s="4"/>
      <c r="AD423" s="4"/>
      <c r="AE423" s="52"/>
    </row>
    <row r="424" spans="1:31" x14ac:dyDescent="0.2">
      <c r="A424" s="7">
        <v>44332</v>
      </c>
      <c r="B424" s="13">
        <f ca="1">Prices!B423*(1+J424/(50*(ABS(O424)+ABS(T424)+0.0001)))</f>
        <v>0</v>
      </c>
      <c r="C424" s="62">
        <f t="shared" ref="C424:C429" ca="1" si="44">IF(J424&gt;0,1,IF(J424&lt;0,0,0))</f>
        <v>0</v>
      </c>
      <c r="D424" s="13" t="e">
        <f ca="1">D423+C424*(Prices!B424-Prices!B423)/Prices!B423</f>
        <v>#DIV/0!</v>
      </c>
      <c r="E424" s="13" t="e">
        <f t="shared" ref="E424" ca="1" si="45">F424-D424</f>
        <v>#DIV/0!</v>
      </c>
      <c r="F424" s="13" t="e">
        <f t="shared" ref="F424" ca="1" si="46">MAX(F423,D424)</f>
        <v>#DIV/0!</v>
      </c>
      <c r="G424" s="21">
        <f ca="1">IF((Prices!B424-Prices!B423)*C424&gt;0,1,0)</f>
        <v>0</v>
      </c>
      <c r="H424" s="13" t="e">
        <f>ABS(Prices!B424-Prices!B423)/Prices!B423</f>
        <v>#DIV/0!</v>
      </c>
      <c r="I424" s="21"/>
      <c r="J424" s="4">
        <f t="shared" ca="1" si="42"/>
        <v>-8.6562266605332201E-4</v>
      </c>
      <c r="K424" s="13"/>
      <c r="L424" s="13">
        <f ca="1">L423-O424*Prices!B424</f>
        <v>0.69063129237935605</v>
      </c>
      <c r="M424" s="4">
        <f t="shared" ca="1" si="39"/>
        <v>6.2427812762825543E-3</v>
      </c>
      <c r="N424" s="13">
        <f ca="1">IF(Prices!B423&gt;OFFSET(Prices!B423,-$N$3,0),1,-1)</f>
        <v>-1</v>
      </c>
      <c r="O424" s="4">
        <f ca="1">IF(N424=1,O$3*L423/Prices!B423,-O$3*M423)</f>
        <v>-2.6011588651177311E-4</v>
      </c>
      <c r="P424" s="22"/>
      <c r="Q424" s="13">
        <f ca="1">Q423-T424*Prices!B424</f>
        <v>0.61149429407365463</v>
      </c>
      <c r="R424" s="4">
        <f t="shared" ca="1" si="38"/>
        <v>1.9578052538510082E-2</v>
      </c>
      <c r="S424" s="13">
        <f ca="1">IF(Prices!B423&gt;OFFSET(Prices!B423,-S$3,0),1,-1)</f>
        <v>-1</v>
      </c>
      <c r="T424" s="4">
        <f ca="1">IF(S424=1,T$3*Q423/Prices!B423,-T$3*R423)</f>
        <v>-6.0550677954154884E-4</v>
      </c>
      <c r="W424" s="4"/>
      <c r="X424" s="4"/>
      <c r="Y424" s="4"/>
      <c r="Z424" s="4"/>
      <c r="AA424" s="4"/>
      <c r="AB424" s="4"/>
      <c r="AC424" s="4"/>
      <c r="AD424" s="4"/>
      <c r="AE424" s="52"/>
    </row>
    <row r="425" spans="1:31" x14ac:dyDescent="0.2">
      <c r="A425" s="7">
        <v>44339</v>
      </c>
      <c r="B425" s="13">
        <f ca="1">Prices!B424*(1+J425/(50*(ABS(O425)+ABS(T425)+0.0001)))</f>
        <v>0</v>
      </c>
      <c r="C425" s="62">
        <f t="shared" ca="1" si="44"/>
        <v>0</v>
      </c>
      <c r="D425" s="13" t="e">
        <f ca="1">D424+C425*(Prices!B425-Prices!B424)/Prices!B424</f>
        <v>#DIV/0!</v>
      </c>
      <c r="E425" s="13" t="e">
        <f t="shared" ref="E425" ca="1" si="47">F425-D425</f>
        <v>#DIV/0!</v>
      </c>
      <c r="F425" s="13" t="e">
        <f t="shared" ref="F425" ca="1" si="48">MAX(F424,D425)</f>
        <v>#DIV/0!</v>
      </c>
      <c r="G425" s="21">
        <f ca="1">IF((Prices!B425-Prices!B424)*C425&gt;0,1,0)</f>
        <v>0</v>
      </c>
      <c r="H425" s="13" t="e">
        <f>ABS(Prices!B425-Prices!B424)/Prices!B424</f>
        <v>#DIV/0!</v>
      </c>
      <c r="I425" s="21"/>
      <c r="J425" s="4">
        <f t="shared" ref="J425" ca="1" si="49">O425+T425</f>
        <v>-8.3705282720660456E-4</v>
      </c>
      <c r="K425" s="13"/>
      <c r="L425" s="13">
        <f ca="1">L424-O425*Prices!B425</f>
        <v>0.69063129237935605</v>
      </c>
      <c r="M425" s="4">
        <f t="shared" ref="M425" ca="1" si="50">M424+O425</f>
        <v>5.9930700252312525E-3</v>
      </c>
      <c r="N425" s="13">
        <f ca="1">IF(Prices!B424&gt;OFFSET(Prices!B424,-$N$3,0),1,-1)</f>
        <v>-1</v>
      </c>
      <c r="O425" s="4">
        <f ca="1">IF(N425=1,O$3*L424/Prices!B424,-O$3*M424)</f>
        <v>-2.4971125105130215E-4</v>
      </c>
      <c r="P425" s="22"/>
      <c r="Q425" s="13">
        <f ca="1">Q424-T425*Prices!B425</f>
        <v>0.61149429407365463</v>
      </c>
      <c r="R425" s="4">
        <f t="shared" ref="R425" ca="1" si="51">R424+T425</f>
        <v>1.899071096235478E-2</v>
      </c>
      <c r="S425" s="13">
        <f ca="1">IF(Prices!B424&gt;OFFSET(Prices!B424,-S$3,0),1,-1)</f>
        <v>-1</v>
      </c>
      <c r="T425" s="4">
        <f ca="1">IF(S425=1,T$3*Q424/Prices!B424,-T$3*R424)</f>
        <v>-5.8734157615530241E-4</v>
      </c>
      <c r="W425" s="4"/>
      <c r="X425" s="4"/>
      <c r="Y425" s="4"/>
      <c r="Z425" s="4"/>
      <c r="AA425" s="4"/>
      <c r="AB425" s="4"/>
      <c r="AC425" s="4"/>
      <c r="AD425" s="4"/>
      <c r="AE425" s="52"/>
    </row>
    <row r="426" spans="1:31" x14ac:dyDescent="0.2">
      <c r="A426" s="7">
        <v>44346</v>
      </c>
      <c r="B426" s="13">
        <f ca="1">Prices!B425*(1+J426/(50*(ABS(O426)+ABS(T426)+0.0001)))</f>
        <v>0</v>
      </c>
      <c r="C426" s="62">
        <f t="shared" ca="1" si="44"/>
        <v>0</v>
      </c>
      <c r="D426" s="13" t="e">
        <f ca="1">D425+C426*(Prices!B426-Prices!B425)/Prices!B425</f>
        <v>#DIV/0!</v>
      </c>
      <c r="E426" s="13" t="e">
        <f t="shared" ref="E426" ca="1" si="52">F426-D426</f>
        <v>#DIV/0!</v>
      </c>
      <c r="F426" s="13" t="e">
        <f t="shared" ref="F426" ca="1" si="53">MAX(F425,D426)</f>
        <v>#DIV/0!</v>
      </c>
      <c r="G426" s="21">
        <f ca="1">IF((Prices!B426-Prices!B425)*C426&gt;0,1,0)</f>
        <v>0</v>
      </c>
      <c r="H426" s="13" t="e">
        <f>ABS(Prices!B426-Prices!B425)/Prices!B425</f>
        <v>#DIV/0!</v>
      </c>
      <c r="I426" s="21"/>
      <c r="J426" s="4">
        <f t="shared" ref="J426" ca="1" si="54">O426+T426</f>
        <v>-8.094441298798935E-4</v>
      </c>
      <c r="K426" s="13"/>
      <c r="L426" s="13">
        <f ca="1">L425-O426*Prices!B426</f>
        <v>0.69063129237935605</v>
      </c>
      <c r="M426" s="4">
        <f t="shared" ref="M426" ca="1" si="55">M425+O426</f>
        <v>5.7533472242220027E-3</v>
      </c>
      <c r="N426" s="13">
        <f ca="1">IF(Prices!B425&gt;OFFSET(Prices!B425,-$N$3,0),1,-1)</f>
        <v>-1</v>
      </c>
      <c r="O426" s="4">
        <f ca="1">IF(N426=1,O$3*L425/Prices!B425,-O$3*M425)</f>
        <v>-2.3972280100925011E-4</v>
      </c>
      <c r="P426" s="22"/>
      <c r="Q426" s="13">
        <f ca="1">Q425-T426*Prices!B426</f>
        <v>0.61149429407365463</v>
      </c>
      <c r="R426" s="4">
        <f t="shared" ref="R426" ca="1" si="56">R425+T426</f>
        <v>1.8420989633484135E-2</v>
      </c>
      <c r="S426" s="13">
        <f ca="1">IF(Prices!B425&gt;OFFSET(Prices!B425,-S$3,0),1,-1)</f>
        <v>-1</v>
      </c>
      <c r="T426" s="4">
        <f ca="1">IF(S426=1,T$3*Q425/Prices!B425,-T$3*R425)</f>
        <v>-5.6972132887064342E-4</v>
      </c>
      <c r="W426" s="4"/>
      <c r="X426" s="4"/>
      <c r="Y426" s="4"/>
      <c r="Z426" s="4"/>
      <c r="AA426" s="4"/>
      <c r="AB426" s="4"/>
      <c r="AC426" s="4"/>
      <c r="AD426" s="4"/>
      <c r="AE426" s="52"/>
    </row>
    <row r="427" spans="1:31" x14ac:dyDescent="0.2">
      <c r="A427" s="7">
        <v>44353</v>
      </c>
      <c r="B427" s="13">
        <f ca="1">Prices!B426*(1+J427/(50*(ABS(O427)+ABS(T427)+0.0001)))</f>
        <v>0</v>
      </c>
      <c r="C427" s="62">
        <f t="shared" ca="1" si="44"/>
        <v>0</v>
      </c>
      <c r="D427" s="13" t="e">
        <f ca="1">D426+C427*(Prices!B427-Prices!B426)/Prices!B426</f>
        <v>#DIV/0!</v>
      </c>
      <c r="E427" s="13" t="e">
        <f t="shared" ref="E427" ca="1" si="57">F427-D427</f>
        <v>#DIV/0!</v>
      </c>
      <c r="F427" s="13" t="e">
        <f t="shared" ref="F427" ca="1" si="58">MAX(F426,D427)</f>
        <v>#DIV/0!</v>
      </c>
      <c r="G427" s="21">
        <f ca="1">IF((Prices!B427-Prices!B426)*C427&gt;0,1,0)</f>
        <v>0</v>
      </c>
      <c r="H427" s="13" t="e">
        <f>ABS(Prices!B427-Prices!B426)/Prices!B426</f>
        <v>#DIV/0!</v>
      </c>
      <c r="I427" s="21"/>
      <c r="J427" s="4">
        <f t="shared" ref="J427" ca="1" si="59">O427+T427</f>
        <v>-7.8276357797340407E-4</v>
      </c>
      <c r="K427" s="13"/>
      <c r="L427" s="13">
        <f ca="1">L426-O427*Prices!B427</f>
        <v>0.69063129237935605</v>
      </c>
      <c r="M427" s="4">
        <f t="shared" ref="M427" ca="1" si="60">M426+O427</f>
        <v>5.5232133352531229E-3</v>
      </c>
      <c r="N427" s="13">
        <f ca="1">IF(Prices!B426&gt;OFFSET(Prices!B426,-$N$3,0),1,-1)</f>
        <v>-1</v>
      </c>
      <c r="O427" s="4">
        <f ca="1">IF(N427=1,O$3*L426/Prices!B426,-O$3*M426)</f>
        <v>-2.301338889688801E-4</v>
      </c>
      <c r="P427" s="22"/>
      <c r="Q427" s="13">
        <f ca="1">Q426-T427*Prices!B427</f>
        <v>0.61149429407365463</v>
      </c>
      <c r="R427" s="4">
        <f t="shared" ref="R427" ca="1" si="61">R426+T427</f>
        <v>1.7868359944479613E-2</v>
      </c>
      <c r="S427" s="13">
        <f ca="1">IF(Prices!B426&gt;OFFSET(Prices!B426,-S$3,0),1,-1)</f>
        <v>-1</v>
      </c>
      <c r="T427" s="4">
        <f ca="1">IF(S427=1,T$3*Q426/Prices!B426,-T$3*R426)</f>
        <v>-5.5262968900452402E-4</v>
      </c>
      <c r="W427" s="4"/>
      <c r="X427" s="4"/>
      <c r="Y427" s="4"/>
      <c r="Z427" s="4"/>
      <c r="AA427" s="4"/>
      <c r="AB427" s="4"/>
      <c r="AC427" s="4"/>
      <c r="AD427" s="4"/>
      <c r="AE427" s="52"/>
    </row>
    <row r="428" spans="1:31" x14ac:dyDescent="0.2">
      <c r="A428" s="7">
        <v>44360</v>
      </c>
      <c r="B428" s="13">
        <f ca="1">Prices!B427*(1+J428/(50*(ABS(O428)+ABS(T428)+0.0001)))</f>
        <v>0</v>
      </c>
      <c r="C428" s="62">
        <f t="shared" ca="1" si="44"/>
        <v>0</v>
      </c>
      <c r="D428" s="13" t="e">
        <f ca="1">D427+C428*(Prices!B428-Prices!B427)/Prices!B427</f>
        <v>#DIV/0!</v>
      </c>
      <c r="E428" s="13" t="e">
        <f t="shared" ref="E428" ca="1" si="62">F428-D428</f>
        <v>#DIV/0!</v>
      </c>
      <c r="F428" s="13" t="e">
        <f t="shared" ref="F428" ca="1" si="63">MAX(F427,D428)</f>
        <v>#DIV/0!</v>
      </c>
      <c r="G428" s="21">
        <f ca="1">IF((Prices!B428-Prices!B427)*C428&gt;0,1,0)</f>
        <v>0</v>
      </c>
      <c r="H428" s="13" t="e">
        <f>ABS(Prices!B428-Prices!B427)/Prices!B427</f>
        <v>#DIV/0!</v>
      </c>
      <c r="I428" s="21"/>
      <c r="J428" s="4">
        <f t="shared" ref="J428" ca="1" si="64">O428+T428</f>
        <v>-7.5697933174451323E-4</v>
      </c>
      <c r="K428" s="13"/>
      <c r="L428" s="13">
        <f ca="1">L427-O428*Prices!B428</f>
        <v>0.69063129237935605</v>
      </c>
      <c r="M428" s="4">
        <f t="shared" ref="M428" ca="1" si="65">M427+O428</f>
        <v>5.3022848018429982E-3</v>
      </c>
      <c r="N428" s="13">
        <f ca="1">IF(Prices!B427&gt;OFFSET(Prices!B427,-$N$3,0),1,-1)</f>
        <v>-1</v>
      </c>
      <c r="O428" s="4">
        <f ca="1">IF(N428=1,O$3*L427/Prices!B427,-O$3*M427)</f>
        <v>-2.2092853341012492E-4</v>
      </c>
      <c r="P428" s="22"/>
      <c r="Q428" s="13">
        <f ca="1">Q427-T428*Prices!B428</f>
        <v>0.61149429407365463</v>
      </c>
      <c r="R428" s="4">
        <f t="shared" ref="R428" ca="1" si="66">R427+T428</f>
        <v>1.7332309146145225E-2</v>
      </c>
      <c r="S428" s="13">
        <f ca="1">IF(Prices!B427&gt;OFFSET(Prices!B427,-S$3,0),1,-1)</f>
        <v>-1</v>
      </c>
      <c r="T428" s="4">
        <f ca="1">IF(S428=1,T$3*Q427/Prices!B427,-T$3*R427)</f>
        <v>-5.3605079833438833E-4</v>
      </c>
      <c r="W428" s="13"/>
      <c r="X428" s="4"/>
      <c r="Y428" s="13"/>
      <c r="Z428" s="4"/>
      <c r="AA428" s="53"/>
      <c r="AB428" s="52"/>
      <c r="AC428" s="52"/>
      <c r="AD428" s="52"/>
      <c r="AE428" s="52"/>
    </row>
    <row r="429" spans="1:31" x14ac:dyDescent="0.2">
      <c r="A429" s="7">
        <v>44367</v>
      </c>
      <c r="B429" s="13">
        <f ca="1">Prices!B428*(1+J429/(50*(ABS(O429)+ABS(T429)+0.0001)))</f>
        <v>0</v>
      </c>
      <c r="C429" s="62">
        <f t="shared" ca="1" si="44"/>
        <v>0</v>
      </c>
      <c r="D429" s="13" t="e">
        <f ca="1">D428+C429*(Prices!B429-Prices!B428)/Prices!B428</f>
        <v>#DIV/0!</v>
      </c>
      <c r="E429" s="13" t="e">
        <f t="shared" ref="E429" ca="1" si="67">F429-D429</f>
        <v>#DIV/0!</v>
      </c>
      <c r="F429" s="13" t="e">
        <f t="shared" ref="F429" ca="1" si="68">MAX(F428,D429)</f>
        <v>#DIV/0!</v>
      </c>
      <c r="G429" s="21">
        <f ca="1">IF((Prices!B429-Prices!B428)*C429&gt;0,1,0)</f>
        <v>0</v>
      </c>
      <c r="H429" s="13" t="e">
        <f>ABS(Prices!B429-Prices!B428)/Prices!B428</f>
        <v>#DIV/0!</v>
      </c>
      <c r="I429" s="21"/>
      <c r="J429" s="4">
        <f t="shared" ref="J429" ca="1" si="69">O429+T429</f>
        <v>-7.3206066645807664E-4</v>
      </c>
      <c r="K429" s="13"/>
      <c r="L429" s="13">
        <f ca="1">L428-O429*Prices!B429</f>
        <v>0.69063129237935605</v>
      </c>
      <c r="M429" s="4">
        <f t="shared" ref="M429" ca="1" si="70">M428+O429</f>
        <v>5.0901934097692782E-3</v>
      </c>
      <c r="N429" s="13">
        <f ca="1">IF(Prices!B428&gt;OFFSET(Prices!B428,-$N$3,0),1,-1)</f>
        <v>-1</v>
      </c>
      <c r="O429" s="4">
        <f ca="1">IF(N429=1,O$3*L428/Prices!B428,-O$3*M428)</f>
        <v>-2.1209139207371993E-4</v>
      </c>
      <c r="P429" s="22"/>
      <c r="Q429" s="13">
        <f ca="1">Q428-T429*Prices!B429</f>
        <v>0.61149429407365463</v>
      </c>
      <c r="R429" s="4">
        <f t="shared" ref="R429" ca="1" si="71">R428+T429</f>
        <v>1.6812339871760867E-2</v>
      </c>
      <c r="S429" s="13">
        <f ca="1">IF(Prices!B428&gt;OFFSET(Prices!B428,-S$3,0),1,-1)</f>
        <v>-1</v>
      </c>
      <c r="T429" s="4">
        <f ca="1">IF(S429=1,T$3*Q428/Prices!B428,-T$3*R428)</f>
        <v>-5.1996927438435672E-4</v>
      </c>
      <c r="W429" s="13"/>
      <c r="X429" s="4"/>
      <c r="Y429" s="13"/>
      <c r="Z429" s="4"/>
      <c r="AA429" s="4"/>
      <c r="AB429" s="4"/>
      <c r="AC429" s="4"/>
    </row>
    <row r="430" spans="1:31" x14ac:dyDescent="0.2">
      <c r="A430" s="7">
        <v>44374</v>
      </c>
      <c r="B430" s="13">
        <f ca="1">Prices!B429*(1+J430/(50*(ABS(O430)+ABS(T430)+0.0001)))</f>
        <v>0</v>
      </c>
      <c r="C430" s="62">
        <f t="shared" ref="C430" ca="1" si="72">IF(J430&gt;0,1,IF(J430&lt;0,0,0))</f>
        <v>0</v>
      </c>
      <c r="D430" s="13" t="e">
        <f ca="1">D429+C430*(Prices!B430-Prices!B429)/Prices!B429</f>
        <v>#DIV/0!</v>
      </c>
      <c r="E430" s="13" t="e">
        <f t="shared" ref="E430" ca="1" si="73">F430-D430</f>
        <v>#DIV/0!</v>
      </c>
      <c r="F430" s="13" t="e">
        <f t="shared" ref="F430" ca="1" si="74">MAX(F429,D430)</f>
        <v>#DIV/0!</v>
      </c>
      <c r="G430" s="21">
        <f ca="1">IF((Prices!B430-Prices!B429)*C430&gt;0,1,0)</f>
        <v>0</v>
      </c>
      <c r="H430" s="13" t="e">
        <f>ABS(Prices!B430-Prices!B429)/Prices!B429</f>
        <v>#DIV/0!</v>
      </c>
      <c r="I430" s="21"/>
      <c r="J430" s="4">
        <f t="shared" ref="J430" ca="1" si="75">O430+T430</f>
        <v>-7.0797793254359718E-4</v>
      </c>
      <c r="K430" s="13"/>
      <c r="L430" s="13">
        <f ca="1">L429-O430*Prices!B430</f>
        <v>0.69063129237935605</v>
      </c>
      <c r="M430" s="4">
        <f t="shared" ref="M430" ca="1" si="76">M429+O430</f>
        <v>4.8865856733785072E-3</v>
      </c>
      <c r="N430" s="13">
        <f ca="1">IF(Prices!B429&gt;OFFSET(Prices!B429,-$N$3,0),1,-1)</f>
        <v>-1</v>
      </c>
      <c r="O430" s="4">
        <f ca="1">IF(N430=1,O$3*L429/Prices!B429,-O$3*M429)</f>
        <v>-2.0360773639077113E-4</v>
      </c>
      <c r="P430" s="22"/>
      <c r="Q430" s="13">
        <f ca="1">Q429-T430*Prices!B430</f>
        <v>0.61149429407365463</v>
      </c>
      <c r="R430" s="4">
        <f t="shared" ref="R430" ca="1" si="77">R429+T430</f>
        <v>1.630796967560804E-2</v>
      </c>
      <c r="S430" s="13">
        <f ca="1">IF(Prices!B429&gt;OFFSET(Prices!B429,-S$3,0),1,-1)</f>
        <v>-1</v>
      </c>
      <c r="T430" s="4">
        <f ca="1">IF(S430=1,T$3*Q429/Prices!B429,-T$3*R429)</f>
        <v>-5.0437019615282605E-4</v>
      </c>
    </row>
    <row r="431" spans="1:31" x14ac:dyDescent="0.2">
      <c r="A431" s="7">
        <v>44381</v>
      </c>
      <c r="B431" s="13">
        <f ca="1">Prices!B430*(1+J431/(50*(ABS(O431)+ABS(T431)+0.0001)))</f>
        <v>0</v>
      </c>
      <c r="C431" s="62">
        <f t="shared" ref="C431" ca="1" si="78">IF(J431&gt;0,1,IF(J431&lt;0,0,0))</f>
        <v>0</v>
      </c>
      <c r="D431" s="13" t="e">
        <f ca="1">D430+C431*(Prices!B431-Prices!B430)/Prices!B430</f>
        <v>#DIV/0!</v>
      </c>
      <c r="E431" s="13" t="e">
        <f t="shared" ref="E431" ca="1" si="79">F431-D431</f>
        <v>#DIV/0!</v>
      </c>
      <c r="F431" s="13" t="e">
        <f t="shared" ref="F431" ca="1" si="80">MAX(F430,D431)</f>
        <v>#DIV/0!</v>
      </c>
      <c r="G431" s="21">
        <f ca="1">IF((Prices!B431-Prices!B430)*C431&gt;0,1,0)</f>
        <v>0</v>
      </c>
      <c r="H431" s="13" t="e">
        <f>ABS(Prices!B431-Prices!B430)/Prices!B430</f>
        <v>#DIV/0!</v>
      </c>
      <c r="I431" s="21"/>
      <c r="J431" s="4">
        <f t="shared" ref="J431" ca="1" si="81">O431+T431</f>
        <v>-6.8470251720338139E-4</v>
      </c>
      <c r="K431" s="13"/>
      <c r="L431" s="13">
        <f ca="1">L430-O431*Prices!B431</f>
        <v>0.69063129237935605</v>
      </c>
      <c r="M431" s="4">
        <f t="shared" ref="M431" ca="1" si="82">M430+O431</f>
        <v>4.6911222464433673E-3</v>
      </c>
      <c r="N431" s="13">
        <f ca="1">IF(Prices!B430&gt;OFFSET(Prices!B430,-$N$3,0),1,-1)</f>
        <v>-1</v>
      </c>
      <c r="O431" s="4">
        <f ca="1">IF(N431=1,O$3*L430/Prices!B430,-O$3*M430)</f>
        <v>-1.9546342693514029E-4</v>
      </c>
      <c r="P431" s="22"/>
      <c r="Q431" s="13">
        <f ca="1">Q430-T431*Prices!B431</f>
        <v>0.61149429407365463</v>
      </c>
      <c r="R431" s="4">
        <f t="shared" ref="R431" ca="1" si="83">R430+T431</f>
        <v>1.5818730585339801E-2</v>
      </c>
      <c r="S431" s="13">
        <f ca="1">IF(Prices!B430&gt;OFFSET(Prices!B430,-S$3,0),1,-1)</f>
        <v>-1</v>
      </c>
      <c r="T431" s="4">
        <f ca="1">IF(S431=1,T$3*Q430/Prices!B430,-T$3*R430)</f>
        <v>-4.8923909026824116E-4</v>
      </c>
    </row>
    <row r="432" spans="1:31" x14ac:dyDescent="0.2">
      <c r="A432" s="7">
        <v>44388</v>
      </c>
      <c r="B432" s="13">
        <f ca="1">Prices!B431*(1+J432/(50*(ABS(O432)+ABS(T432)+0.0001)))</f>
        <v>0</v>
      </c>
      <c r="C432" s="62">
        <f t="shared" ref="C432" ca="1" si="84">IF(J432&gt;0,1,IF(J432&lt;0,0,0))</f>
        <v>0</v>
      </c>
      <c r="D432" s="13" t="e">
        <f ca="1">D431+C432*(Prices!B432-Prices!B431)/Prices!B431</f>
        <v>#DIV/0!</v>
      </c>
      <c r="E432" s="13" t="e">
        <f t="shared" ref="E432:E433" ca="1" si="85">F432-D432</f>
        <v>#DIV/0!</v>
      </c>
      <c r="F432" s="13" t="e">
        <f t="shared" ref="F432:F433" ca="1" si="86">MAX(F431,D432)</f>
        <v>#DIV/0!</v>
      </c>
      <c r="G432" s="21">
        <f ca="1">IF((Prices!B432-Prices!B431)*C432&gt;0,1,0)</f>
        <v>0</v>
      </c>
      <c r="H432" s="13" t="e">
        <f>ABS(Prices!B432-Prices!B431)/Prices!B431</f>
        <v>#DIV/0!</v>
      </c>
      <c r="I432" s="21"/>
      <c r="J432" s="4">
        <f t="shared" ref="J432" ca="1" si="87">O432+T432</f>
        <v>-6.6220680741792867E-4</v>
      </c>
      <c r="K432" s="13"/>
      <c r="L432" s="13">
        <f ca="1">L431-O432*Prices!B432</f>
        <v>0.69063129237935605</v>
      </c>
      <c r="M432" s="4">
        <f t="shared" ref="M432" ca="1" si="88">M431+O432</f>
        <v>4.5034773565856322E-3</v>
      </c>
      <c r="N432" s="13">
        <f ca="1">IF(Prices!B431&gt;OFFSET(Prices!B431,-$N$3,0),1,-1)</f>
        <v>-1</v>
      </c>
      <c r="O432" s="4">
        <f ca="1">IF(N432=1,O$3*L431/Prices!B431,-O$3*M431)</f>
        <v>-1.8764488985773469E-4</v>
      </c>
      <c r="P432" s="22"/>
      <c r="Q432" s="13">
        <f ca="1">Q431-T432*Prices!B432</f>
        <v>0.61149429407365463</v>
      </c>
      <c r="R432" s="4">
        <f t="shared" ref="R432" ca="1" si="89">R431+T432</f>
        <v>1.5344168667779606E-2</v>
      </c>
      <c r="S432" s="13">
        <f ca="1">IF(Prices!B431&gt;OFFSET(Prices!B431,-S$3,0),1,-1)</f>
        <v>-1</v>
      </c>
      <c r="T432" s="4">
        <f ca="1">IF(S432=1,T$3*Q431/Prices!B431,-T$3*R431)</f>
        <v>-4.7456191756019397E-4</v>
      </c>
      <c r="Y432" s="13"/>
      <c r="Z432" s="13"/>
    </row>
    <row r="433" spans="1:20" x14ac:dyDescent="0.2">
      <c r="A433" s="7">
        <v>44395</v>
      </c>
      <c r="B433" s="13">
        <f ca="1">Prices!B432*(1+J433/(50*(ABS(O433)+ABS(T433)+0.0001)))</f>
        <v>0</v>
      </c>
      <c r="C433" s="62">
        <f t="shared" ref="C433" ca="1" si="90">IF(J433&gt;0,1,IF(J433&lt;0,0,0))</f>
        <v>0</v>
      </c>
      <c r="D433" s="13" t="e">
        <f ca="1">D432+C433*(Prices!B433-Prices!B432)/Prices!B432</f>
        <v>#DIV/0!</v>
      </c>
      <c r="E433" s="13" t="e">
        <f t="shared" ca="1" si="85"/>
        <v>#DIV/0!</v>
      </c>
      <c r="F433" s="13" t="e">
        <f t="shared" ca="1" si="86"/>
        <v>#DIV/0!</v>
      </c>
      <c r="G433" s="21">
        <f ca="1">IF((Prices!B433-Prices!B432)*C433&gt;0,1,0)</f>
        <v>0</v>
      </c>
      <c r="H433" s="13" t="e">
        <f>ABS(Prices!B433-Prices!B432)/Prices!B432</f>
        <v>#DIV/0!</v>
      </c>
      <c r="I433" s="21"/>
      <c r="J433" s="4">
        <f t="shared" ref="J433" ca="1" si="91">O433+T433</f>
        <v>-6.4046415429681348E-4</v>
      </c>
      <c r="K433" s="13"/>
      <c r="L433" s="13">
        <f ca="1">L432-O433*Prices!B433</f>
        <v>0.69063129237935605</v>
      </c>
      <c r="M433" s="4">
        <f t="shared" ref="M433" ca="1" si="92">M432+O433</f>
        <v>4.3233382623222068E-3</v>
      </c>
      <c r="N433" s="13">
        <f ca="1">IF(Prices!B432&gt;OFFSET(Prices!B432,-$N$3,0),1,-1)</f>
        <v>-1</v>
      </c>
      <c r="O433" s="4">
        <f ca="1">IF(N433=1,O$3*L432/Prices!B432,-O$3*M432)</f>
        <v>-1.801390942634253E-4</v>
      </c>
      <c r="P433" s="22"/>
      <c r="Q433" s="13">
        <f ca="1">Q432-T433*Prices!B433</f>
        <v>0.61149429407365463</v>
      </c>
      <c r="R433" s="4">
        <f t="shared" ref="R433" ca="1" si="93">R432+T433</f>
        <v>1.4883843607746217E-2</v>
      </c>
      <c r="S433" s="13">
        <f ca="1">IF(Prices!B432&gt;OFFSET(Prices!B432,-S$3,0),1,-1)</f>
        <v>-1</v>
      </c>
      <c r="T433" s="4">
        <f ca="1">IF(S433=1,T$3*Q432/Prices!B432,-T$3*R432)</f>
        <v>-4.6032506003338818E-4</v>
      </c>
    </row>
    <row r="434" spans="1:20" x14ac:dyDescent="0.2">
      <c r="A434" s="7">
        <v>44402</v>
      </c>
      <c r="B434" s="13">
        <f ca="1">Prices!B433*(1+J434/(50*(ABS(O434)+ABS(T434)+0.0001)))</f>
        <v>0</v>
      </c>
      <c r="C434" s="62">
        <f t="shared" ref="C434" ca="1" si="94">IF(J434&gt;0,1,IF(J434&lt;0,0,0))</f>
        <v>0</v>
      </c>
      <c r="D434" s="13" t="e">
        <f ca="1">D433+C434*(Prices!B434-Prices!B433)/Prices!B433</f>
        <v>#DIV/0!</v>
      </c>
      <c r="E434" s="13" t="e">
        <f t="shared" ref="E434" ca="1" si="95">F434-D434</f>
        <v>#DIV/0!</v>
      </c>
      <c r="F434" s="13" t="e">
        <f t="shared" ref="F434" ca="1" si="96">MAX(F433,D434)</f>
        <v>#DIV/0!</v>
      </c>
      <c r="G434" s="21">
        <f ca="1">IF((Prices!B434-Prices!B433)*C434&gt;0,1,0)</f>
        <v>0</v>
      </c>
      <c r="H434" s="13" t="e">
        <f>ABS(Prices!B434-Prices!B433)/Prices!B433</f>
        <v>#DIV/0!</v>
      </c>
      <c r="I434" s="21"/>
      <c r="J434" s="4">
        <f t="shared" ref="J434" ca="1" si="97">O434+T434</f>
        <v>-6.1944883872527476E-4</v>
      </c>
      <c r="K434" s="13"/>
      <c r="L434" s="13">
        <f ca="1">L433-O434*Prices!B434</f>
        <v>0.69063129237935605</v>
      </c>
      <c r="M434" s="4">
        <f t="shared" ref="M434" ca="1" si="98">M433+O434</f>
        <v>4.1504047318293184E-3</v>
      </c>
      <c r="N434" s="13">
        <f ca="1">IF(Prices!B433&gt;OFFSET(Prices!B433,-$N$3,0),1,-1)</f>
        <v>-1</v>
      </c>
      <c r="O434" s="4">
        <f ca="1">IF(N434=1,O$3*L433/Prices!B433,-O$3*M433)</f>
        <v>-1.7293353049288828E-4</v>
      </c>
      <c r="P434" s="22"/>
      <c r="Q434" s="13">
        <f ca="1">Q433-T434*Prices!B434</f>
        <v>0.61149429407365463</v>
      </c>
      <c r="R434" s="4">
        <f t="shared" ref="R434" ca="1" si="99">R433+T434</f>
        <v>1.443732829951383E-2</v>
      </c>
      <c r="S434" s="13">
        <f ca="1">IF(Prices!B433&gt;OFFSET(Prices!B433,-S$3,0),1,-1)</f>
        <v>-1</v>
      </c>
      <c r="T434" s="4">
        <f ca="1">IF(S434=1,T$3*Q433/Prices!B433,-T$3*R433)</f>
        <v>-4.4651530823238648E-4</v>
      </c>
    </row>
    <row r="435" spans="1:20" x14ac:dyDescent="0.2">
      <c r="A435" s="7">
        <v>44409</v>
      </c>
      <c r="B435" s="13">
        <f ca="1">Prices!B434*(1+J435/(50*(ABS(O435)+ABS(T435)+0.0001)))</f>
        <v>0</v>
      </c>
      <c r="C435" s="62">
        <f t="shared" ref="C435" ca="1" si="100">IF(J435&gt;0,1,IF(J435&lt;0,0,0))</f>
        <v>0</v>
      </c>
      <c r="D435" s="13" t="e">
        <f ca="1">D434+C435*(Prices!B435-Prices!B434)/Prices!B434</f>
        <v>#DIV/0!</v>
      </c>
      <c r="E435" s="13" t="e">
        <f t="shared" ref="E435" ca="1" si="101">F435-D435</f>
        <v>#DIV/0!</v>
      </c>
      <c r="F435" s="13" t="e">
        <f t="shared" ref="F435" ca="1" si="102">MAX(F434,D435)</f>
        <v>#DIV/0!</v>
      </c>
      <c r="G435" s="21">
        <f ca="1">IF((Prices!B435-Prices!B434)*C435&gt;0,1,0)</f>
        <v>0</v>
      </c>
      <c r="H435" s="13" t="e">
        <f>ABS(Prices!B435-Prices!B434)/Prices!B434</f>
        <v>#DIV/0!</v>
      </c>
      <c r="I435" s="21"/>
      <c r="J435" s="4">
        <f t="shared" ref="J435" ca="1" si="103">O435+T435</f>
        <v>-5.991360382585876E-4</v>
      </c>
      <c r="K435" s="13"/>
      <c r="L435" s="13">
        <f ca="1">L434-O435*Prices!B435</f>
        <v>0.69063129237935605</v>
      </c>
      <c r="M435" s="4">
        <f t="shared" ref="M435" ca="1" si="104">M434+O435</f>
        <v>3.984388542556146E-3</v>
      </c>
      <c r="N435" s="13">
        <f ca="1">IF(Prices!B434&gt;OFFSET(Prices!B434,-$N$3,0),1,-1)</f>
        <v>-1</v>
      </c>
      <c r="O435" s="4">
        <f ca="1">IF(N435=1,O$3*L434/Prices!B434,-O$3*M434)</f>
        <v>-1.6601618927317274E-4</v>
      </c>
      <c r="P435" s="22"/>
      <c r="Q435" s="13">
        <f ca="1">Q434-T435*Prices!B435</f>
        <v>0.61149429407365463</v>
      </c>
      <c r="R435" s="4">
        <f t="shared" ref="R435" ca="1" si="105">R434+T435</f>
        <v>1.4004208450528416E-2</v>
      </c>
      <c r="S435" s="13">
        <f ca="1">IF(Prices!B434&gt;OFFSET(Prices!B434,-S$3,0),1,-1)</f>
        <v>-1</v>
      </c>
      <c r="T435" s="4">
        <f ca="1">IF(S435=1,T$3*Q434/Prices!B434,-T$3*R434)</f>
        <v>-4.3311984898541489E-4</v>
      </c>
    </row>
    <row r="436" spans="1:20" x14ac:dyDescent="0.2">
      <c r="A436" s="7">
        <v>44416</v>
      </c>
      <c r="B436" s="13">
        <f ca="1">Prices!B435*(1+J436/(50*(ABS(O436)+ABS(T436)+0.0001)))</f>
        <v>0</v>
      </c>
      <c r="C436" s="62">
        <f t="shared" ref="C436" ca="1" si="106">IF(J436&gt;0,1,IF(J436&lt;0,0,0))</f>
        <v>0</v>
      </c>
      <c r="D436" s="13" t="e">
        <f ca="1">D435+C436*(Prices!B436-Prices!B435)/Prices!B435</f>
        <v>#DIV/0!</v>
      </c>
      <c r="E436" s="13" t="e">
        <f t="shared" ref="E436" ca="1" si="107">F436-D436</f>
        <v>#DIV/0!</v>
      </c>
      <c r="F436" s="13" t="e">
        <f t="shared" ref="F436" ca="1" si="108">MAX(F435,D436)</f>
        <v>#DIV/0!</v>
      </c>
      <c r="G436" s="21">
        <f ca="1">IF((Prices!B436-Prices!B435)*C436&gt;0,1,0)</f>
        <v>0</v>
      </c>
      <c r="H436" s="13" t="e">
        <f>ABS(Prices!B436-Prices!B435)/Prices!B435</f>
        <v>#DIV/0!</v>
      </c>
      <c r="I436" s="21"/>
      <c r="J436" s="4">
        <f t="shared" ref="J436" ca="1" si="109">O436+T436</f>
        <v>-5.7950179521809825E-4</v>
      </c>
      <c r="K436" s="13"/>
      <c r="L436" s="13">
        <f ca="1">L435-O436*Prices!B436</f>
        <v>0.69063129237935605</v>
      </c>
      <c r="M436" s="4">
        <f t="shared" ref="M436" ca="1" si="110">M435+O436</f>
        <v>3.8250130008539002E-3</v>
      </c>
      <c r="N436" s="13">
        <f ca="1">IF(Prices!B435&gt;OFFSET(Prices!B435,-$N$3,0),1,-1)</f>
        <v>-1</v>
      </c>
      <c r="O436" s="4">
        <f ca="1">IF(N436=1,O$3*L435/Prices!B435,-O$3*M435)</f>
        <v>-1.5937554170224584E-4</v>
      </c>
      <c r="P436" s="22"/>
      <c r="Q436" s="13">
        <f ca="1">Q435-T436*Prices!B436</f>
        <v>0.61149429407365463</v>
      </c>
      <c r="R436" s="4">
        <f t="shared" ref="R436" ca="1" si="111">R435+T436</f>
        <v>1.3584082197012563E-2</v>
      </c>
      <c r="S436" s="13">
        <f ca="1">IF(Prices!B435&gt;OFFSET(Prices!B435,-S$3,0),1,-1)</f>
        <v>-1</v>
      </c>
      <c r="T436" s="4">
        <f ca="1">IF(S436=1,T$3*Q435/Prices!B435,-T$3*R435)</f>
        <v>-4.2012625351585246E-4</v>
      </c>
    </row>
    <row r="437" spans="1:20" x14ac:dyDescent="0.2">
      <c r="A437" s="7">
        <v>44423</v>
      </c>
      <c r="B437" s="13">
        <f ca="1">Prices!B436*(1+J437/(50*(ABS(O437)+ABS(T437)+0.0001)))</f>
        <v>0</v>
      </c>
      <c r="C437" s="62">
        <f t="shared" ref="C437" ca="1" si="112">IF(J437&gt;0,1,IF(J437&lt;0,0,0))</f>
        <v>0</v>
      </c>
      <c r="D437" s="13" t="e">
        <f ca="1">D436+C437*(Prices!B437-Prices!B436)/Prices!B436</f>
        <v>#DIV/0!</v>
      </c>
      <c r="E437" s="13" t="e">
        <f t="shared" ref="E437" ca="1" si="113">F437-D437</f>
        <v>#DIV/0!</v>
      </c>
      <c r="F437" s="13" t="e">
        <f t="shared" ref="F437" ca="1" si="114">MAX(F436,D437)</f>
        <v>#DIV/0!</v>
      </c>
      <c r="G437" s="21">
        <f ca="1">IF((Prices!B437-Prices!B436)*C437&gt;0,1,0)</f>
        <v>0</v>
      </c>
      <c r="H437" s="13" t="e">
        <f>ABS(Prices!B437-Prices!B436)/Prices!B436</f>
        <v>#DIV/0!</v>
      </c>
      <c r="I437" s="21"/>
      <c r="J437" s="4">
        <f t="shared" ref="J437" ca="1" si="115">O437+T437</f>
        <v>-5.6052298594453298E-4</v>
      </c>
      <c r="K437" s="13"/>
      <c r="L437" s="13">
        <f ca="1">L436-O437*Prices!B437</f>
        <v>0.69063129237935605</v>
      </c>
      <c r="M437" s="4">
        <f t="shared" ref="M437" ca="1" si="116">M436+O437</f>
        <v>3.6720124808197444E-3</v>
      </c>
      <c r="N437" s="13">
        <f ca="1">IF(Prices!B436&gt;OFFSET(Prices!B436,-$N$3,0),1,-1)</f>
        <v>-1</v>
      </c>
      <c r="O437" s="4">
        <f ca="1">IF(N437=1,O$3*L436/Prices!B436,-O$3*M436)</f>
        <v>-1.5300052003415602E-4</v>
      </c>
      <c r="P437" s="22"/>
      <c r="Q437" s="13">
        <f ca="1">Q436-T437*Prices!B437</f>
        <v>0.61149429407365463</v>
      </c>
      <c r="R437" s="4">
        <f t="shared" ref="R437" ca="1" si="117">R436+T437</f>
        <v>1.3176559731102187E-2</v>
      </c>
      <c r="S437" s="13">
        <f ca="1">IF(Prices!B436&gt;OFFSET(Prices!B436,-S$3,0),1,-1)</f>
        <v>-1</v>
      </c>
      <c r="T437" s="4">
        <f ca="1">IF(S437=1,T$3*Q436/Prices!B436,-T$3*R436)</f>
        <v>-4.0752246591037691E-4</v>
      </c>
    </row>
    <row r="438" spans="1:20" x14ac:dyDescent="0.2">
      <c r="A438" s="7">
        <v>44430</v>
      </c>
      <c r="B438" s="13">
        <f ca="1">Prices!B437*(1+J438/(50*(ABS(O438)+ABS(T438)+0.0001)))</f>
        <v>0</v>
      </c>
      <c r="C438" s="62">
        <f t="shared" ref="C438" ca="1" si="118">IF(J438&gt;0,1,IF(J438&lt;0,0,0))</f>
        <v>0</v>
      </c>
      <c r="D438" s="13" t="e">
        <f ca="1">D437+C438*(Prices!B438-Prices!B437)/Prices!B437</f>
        <v>#DIV/0!</v>
      </c>
      <c r="E438" s="13" t="e">
        <f t="shared" ref="E438" ca="1" si="119">F438-D438</f>
        <v>#DIV/0!</v>
      </c>
      <c r="F438" s="13" t="e">
        <f t="shared" ref="F438" ca="1" si="120">MAX(F437,D438)</f>
        <v>#DIV/0!</v>
      </c>
      <c r="G438" s="21">
        <f ca="1">IF((Prices!B438-Prices!B437)*C438&gt;0,1,0)</f>
        <v>0</v>
      </c>
      <c r="H438" s="13" t="e">
        <f>ABS(Prices!B438-Prices!B437)/Prices!B437</f>
        <v>#DIV/0!</v>
      </c>
      <c r="I438" s="21"/>
      <c r="J438" s="4">
        <f t="shared" ref="J438" ca="1" si="121">O438+T438</f>
        <v>-5.4217729116585534E-4</v>
      </c>
      <c r="K438" s="13"/>
      <c r="L438" s="13">
        <f ca="1">L437-O438*Prices!B438</f>
        <v>0.69063129237935605</v>
      </c>
      <c r="M438" s="4">
        <f t="shared" ref="M438" ca="1" si="122">M437+O438</f>
        <v>3.5251319815869544E-3</v>
      </c>
      <c r="N438" s="13">
        <f ca="1">IF(Prices!B437&gt;OFFSET(Prices!B437,-$N$3,0),1,-1)</f>
        <v>-1</v>
      </c>
      <c r="O438" s="4">
        <f ca="1">IF(N438=1,O$3*L437/Prices!B437,-O$3*M437)</f>
        <v>-1.4688049923278977E-4</v>
      </c>
      <c r="P438" s="22"/>
      <c r="Q438" s="13">
        <f ca="1">Q437-T438*Prices!B438</f>
        <v>0.61149429407365463</v>
      </c>
      <c r="R438" s="4">
        <f t="shared" ref="R438" ca="1" si="123">R437+T438</f>
        <v>1.2781262939169121E-2</v>
      </c>
      <c r="S438" s="13">
        <f ca="1">IF(Prices!B437&gt;OFFSET(Prices!B437,-S$3,0),1,-1)</f>
        <v>-1</v>
      </c>
      <c r="T438" s="4">
        <f ca="1">IF(S438=1,T$3*Q437/Prices!B437,-T$3*R437)</f>
        <v>-3.9529679193306557E-4</v>
      </c>
    </row>
    <row r="439" spans="1:20" x14ac:dyDescent="0.2">
      <c r="A439" s="7">
        <v>44437</v>
      </c>
      <c r="B439" s="13">
        <f ca="1">Prices!B438*(1+J439/(50*(ABS(O439)+ABS(T439)+0.0001)))</f>
        <v>0</v>
      </c>
      <c r="C439" s="62">
        <f t="shared" ref="C439:C441" ca="1" si="124">IF(J439&gt;0,1,IF(J439&lt;0,0,0))</f>
        <v>0</v>
      </c>
      <c r="D439" s="13" t="e">
        <f ca="1">D438+C439*(Prices!B439-Prices!B438)/Prices!B438</f>
        <v>#DIV/0!</v>
      </c>
      <c r="E439" s="13" t="e">
        <f t="shared" ref="E439:E441" ca="1" si="125">F439-D439</f>
        <v>#DIV/0!</v>
      </c>
      <c r="F439" s="13" t="e">
        <f t="shared" ref="F439:F441" ca="1" si="126">MAX(F438,D439)</f>
        <v>#DIV/0!</v>
      </c>
      <c r="G439" s="21">
        <f ca="1">IF((Prices!B439-Prices!B438)*C439&gt;0,1,0)</f>
        <v>0</v>
      </c>
      <c r="H439" s="13" t="e">
        <f>ABS(Prices!B439-Prices!B438)/Prices!B438</f>
        <v>#DIV/0!</v>
      </c>
      <c r="I439" s="21"/>
      <c r="J439" s="4">
        <f t="shared" ref="J439:J441" ca="1" si="127">O439+T439</f>
        <v>-5.2444316743855183E-4</v>
      </c>
      <c r="K439" s="13"/>
      <c r="L439" s="13">
        <f ca="1">L438-O439*Prices!B439</f>
        <v>0.69063129237935605</v>
      </c>
      <c r="M439" s="4">
        <f t="shared" ref="M439:M441" ca="1" si="128">M438+O439</f>
        <v>3.3841267023234762E-3</v>
      </c>
      <c r="N439" s="13">
        <f ca="1">IF(Prices!B438&gt;OFFSET(Prices!B438,-$N$3,0),1,-1)</f>
        <v>-1</v>
      </c>
      <c r="O439" s="4">
        <f ca="1">IF(N439=1,O$3*L438/Prices!B438,-O$3*M438)</f>
        <v>-1.4100527926347818E-4</v>
      </c>
      <c r="P439" s="22"/>
      <c r="Q439" s="13">
        <f ca="1">Q438-T439*Prices!B439</f>
        <v>0.61149429407365463</v>
      </c>
      <c r="R439" s="4">
        <f t="shared" ref="R439:R441" ca="1" si="129">R438+T439</f>
        <v>1.2397825050994047E-2</v>
      </c>
      <c r="S439" s="13">
        <f ca="1">IF(Prices!B438&gt;OFFSET(Prices!B438,-S$3,0),1,-1)</f>
        <v>-1</v>
      </c>
      <c r="T439" s="4">
        <f ca="1">IF(S439=1,T$3*Q438/Prices!B438,-T$3*R438)</f>
        <v>-3.8343788817507362E-4</v>
      </c>
    </row>
    <row r="440" spans="1:20" x14ac:dyDescent="0.2">
      <c r="A440" s="7">
        <v>44444</v>
      </c>
      <c r="B440" s="13">
        <f ca="1">Prices!B439*(1+J440/(50*(ABS(O440)+ABS(T440)+0.0001)))</f>
        <v>0</v>
      </c>
      <c r="C440" s="62">
        <f t="shared" ca="1" si="124"/>
        <v>0</v>
      </c>
      <c r="D440" s="13" t="e">
        <f ca="1">D439+C440*(Prices!B440-Prices!B439)/Prices!B439</f>
        <v>#DIV/0!</v>
      </c>
      <c r="E440" s="13" t="e">
        <f t="shared" ca="1" si="125"/>
        <v>#DIV/0!</v>
      </c>
      <c r="F440" s="13" t="e">
        <f t="shared" ca="1" si="126"/>
        <v>#DIV/0!</v>
      </c>
      <c r="G440" s="21">
        <f ca="1">IF((Prices!B440-Prices!B439)*C440&gt;0,1,0)</f>
        <v>0</v>
      </c>
      <c r="H440" s="13" t="e">
        <f>ABS(Prices!B440-Prices!B439)/Prices!B439</f>
        <v>#DIV/0!</v>
      </c>
      <c r="I440" s="21"/>
      <c r="J440" s="4">
        <f t="shared" ca="1" si="127"/>
        <v>-5.072998196227604E-4</v>
      </c>
      <c r="K440" s="13"/>
      <c r="L440" s="13">
        <f ca="1">L439-O440*Prices!B440</f>
        <v>0.69063129237935605</v>
      </c>
      <c r="M440" s="4">
        <f t="shared" ca="1" si="128"/>
        <v>3.2487616342305372E-3</v>
      </c>
      <c r="N440" s="13">
        <f ca="1">IF(Prices!B439&gt;OFFSET(Prices!B439,-$N$3,0),1,-1)</f>
        <v>-1</v>
      </c>
      <c r="O440" s="4">
        <f ca="1">IF(N440=1,O$3*L439/Prices!B439,-O$3*M439)</f>
        <v>-1.3536506809293906E-4</v>
      </c>
      <c r="P440" s="22"/>
      <c r="Q440" s="13">
        <f ca="1">Q439-T440*Prices!B440</f>
        <v>0.61149429407365463</v>
      </c>
      <c r="R440" s="4">
        <f t="shared" ca="1" si="129"/>
        <v>1.2025890299464225E-2</v>
      </c>
      <c r="S440" s="13">
        <f ca="1">IF(Prices!B439&gt;OFFSET(Prices!B439,-S$3,0),1,-1)</f>
        <v>-1</v>
      </c>
      <c r="T440" s="4">
        <f ca="1">IF(S440=1,T$3*Q439/Prices!B439,-T$3*R439)</f>
        <v>-3.7193475152982137E-4</v>
      </c>
    </row>
    <row r="441" spans="1:20" x14ac:dyDescent="0.2">
      <c r="A441" s="7">
        <v>44451</v>
      </c>
      <c r="B441" s="13">
        <f ca="1">Prices!B440*(1+J441/(50*(ABS(O441)+ABS(T441)+0.0001)))</f>
        <v>0</v>
      </c>
      <c r="C441" s="62">
        <f t="shared" ca="1" si="124"/>
        <v>0</v>
      </c>
      <c r="D441" s="13" t="e">
        <f ca="1">D440+C441*(Prices!B441-Prices!B440)/Prices!B440</f>
        <v>#DIV/0!</v>
      </c>
      <c r="E441" s="13" t="e">
        <f t="shared" ca="1" si="125"/>
        <v>#DIV/0!</v>
      </c>
      <c r="F441" s="13" t="e">
        <f t="shared" ca="1" si="126"/>
        <v>#DIV/0!</v>
      </c>
      <c r="G441" s="21">
        <f ca="1">IF((Prices!B441-Prices!B440)*C441&gt;0,1,0)</f>
        <v>0</v>
      </c>
      <c r="H441" s="13" t="e">
        <f>ABS(Prices!B441-Prices!B440)/Prices!B440</f>
        <v>#DIV/0!</v>
      </c>
      <c r="I441" s="21"/>
      <c r="J441" s="4">
        <f t="shared" ca="1" si="127"/>
        <v>-4.9072717435314829E-4</v>
      </c>
      <c r="K441" s="13"/>
      <c r="L441" s="13">
        <f ca="1">L440-O441*Prices!B441</f>
        <v>0.69063129237935605</v>
      </c>
      <c r="M441" s="4">
        <f t="shared" ca="1" si="128"/>
        <v>3.1188111688613155E-3</v>
      </c>
      <c r="N441" s="13">
        <f ca="1">IF(Prices!B440&gt;OFFSET(Prices!B440,-$N$3,0),1,-1)</f>
        <v>-1</v>
      </c>
      <c r="O441" s="4">
        <f ca="1">IF(N441=1,O$3*L440/Prices!B440,-O$3*M440)</f>
        <v>-1.299504653692215E-4</v>
      </c>
      <c r="P441" s="22"/>
      <c r="Q441" s="13">
        <f ca="1">Q440-T441*Prices!B441</f>
        <v>0.61149429407365463</v>
      </c>
      <c r="R441" s="4">
        <f t="shared" ca="1" si="129"/>
        <v>1.1665113590480298E-2</v>
      </c>
      <c r="S441" s="13">
        <f ca="1">IF(Prices!B440&gt;OFFSET(Prices!B440,-S$3,0),1,-1)</f>
        <v>-1</v>
      </c>
      <c r="T441" s="4">
        <f ca="1">IF(S441=1,T$3*Q440/Prices!B440,-T$3*R440)</f>
        <v>-3.6077670898392673E-4</v>
      </c>
    </row>
    <row r="442" spans="1:20" x14ac:dyDescent="0.2">
      <c r="A442" s="7">
        <v>44458</v>
      </c>
      <c r="B442" s="13">
        <f ca="1">Prices!B441*(1+J442/(50*(ABS(O442)+ABS(T442)+0.0001)))</f>
        <v>0</v>
      </c>
      <c r="C442" s="62">
        <f t="shared" ref="C442" ca="1" si="130">IF(J442&gt;0,1,IF(J442&lt;0,0,0))</f>
        <v>0</v>
      </c>
      <c r="D442" s="13" t="e">
        <f ca="1">D441+C442*(Prices!B442-Prices!B441)/Prices!B441</f>
        <v>#DIV/0!</v>
      </c>
      <c r="E442" s="13" t="e">
        <f t="shared" ref="E442" ca="1" si="131">F442-D442</f>
        <v>#DIV/0!</v>
      </c>
      <c r="F442" s="13" t="e">
        <f t="shared" ref="F442" ca="1" si="132">MAX(F441,D442)</f>
        <v>#DIV/0!</v>
      </c>
      <c r="G442" s="21">
        <f ca="1">IF((Prices!B442-Prices!B441)*C442&gt;0,1,0)</f>
        <v>0</v>
      </c>
      <c r="H442" s="13" t="e">
        <f>ABS(Prices!B442-Prices!B441)/Prices!B441</f>
        <v>#DIV/0!</v>
      </c>
      <c r="I442" s="21"/>
      <c r="J442" s="4">
        <f t="shared" ref="J442" ca="1" si="133">O442+T442</f>
        <v>-4.7470585446886151E-4</v>
      </c>
      <c r="K442" s="13"/>
      <c r="L442" s="13">
        <f ca="1">L441-O442*Prices!B442</f>
        <v>0.69063129237935605</v>
      </c>
      <c r="M442" s="4">
        <f t="shared" ref="M442" ca="1" si="134">M441+O442</f>
        <v>2.994058722106863E-3</v>
      </c>
      <c r="N442" s="13">
        <f ca="1">IF(Prices!B441&gt;OFFSET(Prices!B441,-$N$3,0),1,-1)</f>
        <v>-1</v>
      </c>
      <c r="O442" s="4">
        <f ca="1">IF(N442=1,O$3*L441/Prices!B441,-O$3*M441)</f>
        <v>-1.2475244675445263E-4</v>
      </c>
      <c r="P442" s="22"/>
      <c r="Q442" s="13">
        <f ca="1">Q441-T442*Prices!B442</f>
        <v>0.61149429407365463</v>
      </c>
      <c r="R442" s="4">
        <f t="shared" ref="R442" ca="1" si="135">R441+T442</f>
        <v>1.1315160182765889E-2</v>
      </c>
      <c r="S442" s="13">
        <f ca="1">IF(Prices!B441&gt;OFFSET(Prices!B441,-S$3,0),1,-1)</f>
        <v>-1</v>
      </c>
      <c r="T442" s="4">
        <f ca="1">IF(S442=1,T$3*Q441/Prices!B441,-T$3*R441)</f>
        <v>-3.4995340771440891E-4</v>
      </c>
    </row>
    <row r="443" spans="1:20" x14ac:dyDescent="0.2">
      <c r="A443" s="7">
        <v>44465</v>
      </c>
      <c r="B443" s="13">
        <f ca="1">Prices!B442*(1+J443/(50*(ABS(O443)+ABS(T443)+0.0001)))</f>
        <v>0</v>
      </c>
      <c r="C443" s="62">
        <f t="shared" ref="C443" ca="1" si="136">IF(J443&gt;0,1,IF(J443&lt;0,0,0))</f>
        <v>0</v>
      </c>
      <c r="D443" s="13" t="e">
        <f ca="1">D442+C443*(Prices!B443-Prices!B442)/Prices!B442</f>
        <v>#DIV/0!</v>
      </c>
      <c r="E443" s="13" t="e">
        <f t="shared" ref="E443" ca="1" si="137">F443-D443</f>
        <v>#DIV/0!</v>
      </c>
      <c r="F443" s="13" t="e">
        <f t="shared" ref="F443" ca="1" si="138">MAX(F442,D443)</f>
        <v>#DIV/0!</v>
      </c>
      <c r="G443" s="21">
        <f ca="1">IF((Prices!B443-Prices!B442)*C443&gt;0,1,0)</f>
        <v>0</v>
      </c>
      <c r="H443" s="13" t="e">
        <f>ABS(Prices!B443-Prices!B442)/Prices!B442</f>
        <v>#DIV/0!</v>
      </c>
      <c r="I443" s="21"/>
      <c r="J443" s="4">
        <f t="shared" ref="J443" ca="1" si="139">O443+T443</f>
        <v>-4.5921715436725118E-4</v>
      </c>
      <c r="K443" s="13"/>
      <c r="L443" s="13">
        <f ca="1">L442-O443*Prices!B443</f>
        <v>0.69063129237935605</v>
      </c>
      <c r="M443" s="4">
        <f t="shared" ref="M443" ca="1" si="140">M442+O443</f>
        <v>2.8742963732225884E-3</v>
      </c>
      <c r="N443" s="13">
        <f ca="1">IF(Prices!B442&gt;OFFSET(Prices!B442,-$N$3,0),1,-1)</f>
        <v>-1</v>
      </c>
      <c r="O443" s="4">
        <f ca="1">IF(N443=1,O$3*L442/Prices!B442,-O$3*M442)</f>
        <v>-1.1976234888427452E-4</v>
      </c>
      <c r="P443" s="22"/>
      <c r="Q443" s="13">
        <f ca="1">Q442-T443*Prices!B443</f>
        <v>0.61149429407365463</v>
      </c>
      <c r="R443" s="4">
        <f t="shared" ref="R443" ca="1" si="141">R442+T443</f>
        <v>1.0975705377282912E-2</v>
      </c>
      <c r="S443" s="13">
        <f ca="1">IF(Prices!B442&gt;OFFSET(Prices!B442,-S$3,0),1,-1)</f>
        <v>-1</v>
      </c>
      <c r="T443" s="4">
        <f ca="1">IF(S443=1,T$3*Q442/Prices!B442,-T$3*R442)</f>
        <v>-3.3945480548297664E-4</v>
      </c>
    </row>
    <row r="444" spans="1:20" x14ac:dyDescent="0.2">
      <c r="A444" s="7">
        <v>44472</v>
      </c>
      <c r="B444" s="13">
        <f ca="1">Prices!B443*(1+J444/(50*(ABS(O444)+ABS(T444)+0.0001)))</f>
        <v>0</v>
      </c>
      <c r="C444" s="62">
        <f t="shared" ref="C444" ca="1" si="142">IF(J444&gt;0,1,IF(J444&lt;0,0,0))</f>
        <v>0</v>
      </c>
      <c r="D444" s="13" t="e">
        <f ca="1">D443+C444*(Prices!B444-Prices!B443)/Prices!B443</f>
        <v>#DIV/0!</v>
      </c>
      <c r="E444" s="13" t="e">
        <f t="shared" ref="E444" ca="1" si="143">F444-D444</f>
        <v>#DIV/0!</v>
      </c>
      <c r="F444" s="13" t="e">
        <f t="shared" ref="F444" ca="1" si="144">MAX(F443,D444)</f>
        <v>#DIV/0!</v>
      </c>
      <c r="G444" s="21">
        <f ca="1">IF((Prices!B444-Prices!B443)*C444&gt;0,1,0)</f>
        <v>0</v>
      </c>
      <c r="H444" s="13" t="e">
        <f>ABS(Prices!B444-Prices!B443)/Prices!B443</f>
        <v>#DIV/0!</v>
      </c>
      <c r="I444" s="21"/>
      <c r="J444" s="4">
        <f t="shared" ref="J444" ca="1" si="145">O444+T444</f>
        <v>-4.4424301624739089E-4</v>
      </c>
      <c r="K444" s="13"/>
      <c r="L444" s="13">
        <f ca="1">L443-O444*Prices!B444</f>
        <v>0.69063129237935605</v>
      </c>
      <c r="M444" s="4">
        <f t="shared" ref="M444" ca="1" si="146">M443+O444</f>
        <v>2.7593245182936849E-3</v>
      </c>
      <c r="N444" s="13">
        <f ca="1">IF(Prices!B443&gt;OFFSET(Prices!B443,-$N$3,0),1,-1)</f>
        <v>-1</v>
      </c>
      <c r="O444" s="4">
        <f ca="1">IF(N444=1,O$3*L443/Prices!B443,-O$3*M443)</f>
        <v>-1.1497185492890354E-4</v>
      </c>
      <c r="P444" s="22"/>
      <c r="Q444" s="13">
        <f ca="1">Q443-T444*Prices!B444</f>
        <v>0.61149429407365463</v>
      </c>
      <c r="R444" s="4">
        <f t="shared" ref="R444" ca="1" si="147">R443+T444</f>
        <v>1.0646434215964425E-2</v>
      </c>
      <c r="S444" s="13">
        <f ca="1">IF(Prices!B443&gt;OFFSET(Prices!B443,-S$3,0),1,-1)</f>
        <v>-1</v>
      </c>
      <c r="T444" s="4">
        <f ca="1">IF(S444=1,T$3*Q443/Prices!B443,-T$3*R443)</f>
        <v>-3.2927116131848734E-4</v>
      </c>
    </row>
    <row r="445" spans="1:20" x14ac:dyDescent="0.2">
      <c r="A445" s="7">
        <v>44479</v>
      </c>
      <c r="B445" s="13">
        <f ca="1">Prices!B444*(1+J445/(50*(ABS(O445)+ABS(T445)+0.0001)))</f>
        <v>0</v>
      </c>
      <c r="C445" s="62">
        <f t="shared" ref="C445" ca="1" si="148">IF(J445&gt;0,1,IF(J445&lt;0,0,0))</f>
        <v>0</v>
      </c>
      <c r="D445" s="13" t="e">
        <f ca="1">D444+C445*(Prices!B445-Prices!B444)/Prices!B444</f>
        <v>#DIV/0!</v>
      </c>
      <c r="E445" s="13" t="e">
        <f t="shared" ref="E445" ca="1" si="149">F445-D445</f>
        <v>#DIV/0!</v>
      </c>
      <c r="F445" s="13" t="e">
        <f t="shared" ref="F445" ca="1" si="150">MAX(F444,D445)</f>
        <v>#DIV/0!</v>
      </c>
      <c r="G445" s="21">
        <f ca="1">IF((Prices!B445-Prices!B444)*C445&gt;0,1,0)</f>
        <v>0</v>
      </c>
      <c r="H445" s="13" t="e">
        <f>ABS(Prices!B445-Prices!B444)/Prices!B444</f>
        <v>#DIV/0!</v>
      </c>
      <c r="I445" s="21"/>
      <c r="J445" s="4">
        <f t="shared" ref="J445" ca="1" si="151">O445+T445</f>
        <v>-4.2976600721068012E-4</v>
      </c>
      <c r="K445" s="13"/>
      <c r="L445" s="13">
        <f ca="1">L444-O445*Prices!B445</f>
        <v>0.69063129237935605</v>
      </c>
      <c r="M445" s="4">
        <f t="shared" ref="M445" ca="1" si="152">M444+O445</f>
        <v>2.6489515375619378E-3</v>
      </c>
      <c r="N445" s="13">
        <f ca="1">IF(Prices!B444&gt;OFFSET(Prices!B444,-$N$3,0),1,-1)</f>
        <v>-1</v>
      </c>
      <c r="O445" s="4">
        <f ca="1">IF(N445=1,O$3*L444/Prices!B444,-O$3*M444)</f>
        <v>-1.1037298073174741E-4</v>
      </c>
      <c r="P445" s="22"/>
      <c r="Q445" s="13">
        <f ca="1">Q444-T445*Prices!B445</f>
        <v>0.61149429407365463</v>
      </c>
      <c r="R445" s="4">
        <f t="shared" ref="R445" ca="1" si="153">R444+T445</f>
        <v>1.0327041189485492E-2</v>
      </c>
      <c r="S445" s="13">
        <f ca="1">IF(Prices!B444&gt;OFFSET(Prices!B444,-S$3,0),1,-1)</f>
        <v>-1</v>
      </c>
      <c r="T445" s="4">
        <f ca="1">IF(S445=1,T$3*Q444/Prices!B444,-T$3*R444)</f>
        <v>-3.1939302647893272E-4</v>
      </c>
    </row>
    <row r="446" spans="1:20" x14ac:dyDescent="0.2">
      <c r="A446" s="7">
        <v>44486</v>
      </c>
      <c r="B446" s="13">
        <f ca="1">Prices!B445*(1+J446/(50*(ABS(O446)+ABS(T446)+0.0001)))</f>
        <v>0</v>
      </c>
      <c r="C446" s="62">
        <f t="shared" ref="C446" ca="1" si="154">IF(J446&gt;0,1,IF(J446&lt;0,0,0))</f>
        <v>0</v>
      </c>
      <c r="D446" s="13" t="e">
        <f ca="1">D445+C446*(Prices!B446-Prices!B445)/Prices!B445</f>
        <v>#DIV/0!</v>
      </c>
      <c r="E446" s="13" t="e">
        <f t="shared" ref="E446" ca="1" si="155">F446-D446</f>
        <v>#DIV/0!</v>
      </c>
      <c r="F446" s="13" t="e">
        <f t="shared" ref="F446" ca="1" si="156">MAX(F445,D446)</f>
        <v>#DIV/0!</v>
      </c>
      <c r="G446" s="21">
        <f ca="1">IF((Prices!B446-Prices!B445)*C446&gt;0,1,0)</f>
        <v>0</v>
      </c>
      <c r="H446" s="13" t="e">
        <f>ABS(Prices!B446-Prices!B445)/Prices!B445</f>
        <v>#DIV/0!</v>
      </c>
      <c r="I446" s="21"/>
      <c r="J446" s="4">
        <f t="shared" ref="J446" ca="1" si="157">O446+T446</f>
        <v>-4.1576929718704225E-4</v>
      </c>
      <c r="K446" s="13"/>
      <c r="L446" s="13">
        <f ca="1">L445-O446*Prices!B446</f>
        <v>0.69063129237935605</v>
      </c>
      <c r="M446" s="4">
        <f t="shared" ref="M446" ca="1" si="158">M445+O446</f>
        <v>2.5429934760594604E-3</v>
      </c>
      <c r="N446" s="13">
        <f ca="1">IF(Prices!B445&gt;OFFSET(Prices!B445,-$N$3,0),1,-1)</f>
        <v>-1</v>
      </c>
      <c r="O446" s="4">
        <f ca="1">IF(N446=1,O$3*L445/Prices!B445,-O$3*M445)</f>
        <v>-1.0595806150247751E-4</v>
      </c>
      <c r="P446" s="22"/>
      <c r="Q446" s="13">
        <f ca="1">Q445-T446*Prices!B446</f>
        <v>0.61149429407365463</v>
      </c>
      <c r="R446" s="4">
        <f t="shared" ref="R446" ca="1" si="159">R445+T446</f>
        <v>1.0017229953800928E-2</v>
      </c>
      <c r="S446" s="13">
        <f ca="1">IF(Prices!B445&gt;OFFSET(Prices!B445,-S$3,0),1,-1)</f>
        <v>-1</v>
      </c>
      <c r="T446" s="4">
        <f ca="1">IF(S446=1,T$3*Q445/Prices!B445,-T$3*R445)</f>
        <v>-3.0981123568456475E-4</v>
      </c>
    </row>
    <row r="447" spans="1:20" x14ac:dyDescent="0.2">
      <c r="A447" s="7">
        <v>44493</v>
      </c>
      <c r="B447" s="13">
        <f ca="1">Prices!B446*(1+J447/(50*(ABS(O447)+ABS(T447)+0.0001)))</f>
        <v>0</v>
      </c>
      <c r="C447" s="62">
        <f t="shared" ref="C447" ca="1" si="160">IF(J447&gt;0,1,IF(J447&lt;0,0,0))</f>
        <v>0</v>
      </c>
      <c r="D447" s="13" t="e">
        <f ca="1">D446+C447*(Prices!B447-Prices!B446)/Prices!B446</f>
        <v>#DIV/0!</v>
      </c>
      <c r="E447" s="13" t="e">
        <f t="shared" ref="E447" ca="1" si="161">F447-D447</f>
        <v>#DIV/0!</v>
      </c>
      <c r="F447" s="13" t="e">
        <f t="shared" ref="F447" ca="1" si="162">MAX(F446,D447)</f>
        <v>#DIV/0!</v>
      </c>
      <c r="G447" s="21">
        <f ca="1">IF((Prices!B447-Prices!B446)*C447&gt;0,1,0)</f>
        <v>0</v>
      </c>
      <c r="H447" s="13" t="e">
        <f>ABS(Prices!B447-Prices!B446)/Prices!B446</f>
        <v>#DIV/0!</v>
      </c>
      <c r="I447" s="21"/>
      <c r="J447" s="4">
        <f t="shared" ref="J447" ca="1" si="163">O447+T447</f>
        <v>-4.0223663765640624E-4</v>
      </c>
      <c r="K447" s="13"/>
      <c r="L447" s="13">
        <f ca="1">L446-O447*Prices!B447</f>
        <v>0.69063129237935605</v>
      </c>
      <c r="M447" s="4">
        <f t="shared" ref="M447" ca="1" si="164">M446+O447</f>
        <v>2.4412737370170818E-3</v>
      </c>
      <c r="N447" s="13">
        <f ca="1">IF(Prices!B446&gt;OFFSET(Prices!B446,-$N$3,0),1,-1)</f>
        <v>-1</v>
      </c>
      <c r="O447" s="4">
        <f ca="1">IF(N447=1,O$3*L446/Prices!B446,-O$3*M446)</f>
        <v>-1.0171973904237842E-4</v>
      </c>
      <c r="P447" s="22"/>
      <c r="Q447" s="13">
        <f ca="1">Q446-T447*Prices!B447</f>
        <v>0.61149429407365463</v>
      </c>
      <c r="R447" s="4">
        <f t="shared" ref="R447" ca="1" si="165">R446+T447</f>
        <v>9.7167130551869003E-3</v>
      </c>
      <c r="S447" s="13">
        <f ca="1">IF(Prices!B446&gt;OFFSET(Prices!B446,-S$3,0),1,-1)</f>
        <v>-1</v>
      </c>
      <c r="T447" s="4">
        <f ca="1">IF(S447=1,T$3*Q446/Prices!B446,-T$3*R446)</f>
        <v>-3.0051689861402783E-4</v>
      </c>
    </row>
    <row r="448" spans="1:20" x14ac:dyDescent="0.2">
      <c r="A448" s="7">
        <v>44500</v>
      </c>
      <c r="B448" s="13">
        <f ca="1">Prices!B447*(1+J448/(50*(ABS(O448)+ABS(T448)+0.0001)))</f>
        <v>0</v>
      </c>
      <c r="C448" s="62">
        <f t="shared" ref="C448" ca="1" si="166">IF(J448&gt;0,1,IF(J448&lt;0,0,0))</f>
        <v>0</v>
      </c>
      <c r="D448" s="13" t="e">
        <f ca="1">D447+C448*(Prices!B448-Prices!B447)/Prices!B447</f>
        <v>#DIV/0!</v>
      </c>
      <c r="E448" s="13" t="e">
        <f t="shared" ref="E448" ca="1" si="167">F448-D448</f>
        <v>#DIV/0!</v>
      </c>
      <c r="F448" s="13" t="e">
        <f t="shared" ref="F448" ca="1" si="168">MAX(F447,D448)</f>
        <v>#DIV/0!</v>
      </c>
      <c r="G448" s="21">
        <f ca="1">IF((Prices!B448-Prices!B447)*C448&gt;0,1,0)</f>
        <v>0</v>
      </c>
      <c r="H448" s="13" t="e">
        <f>ABS(Prices!B448-Prices!B447)/Prices!B447</f>
        <v>#DIV/0!</v>
      </c>
      <c r="I448" s="21"/>
      <c r="J448" s="4">
        <f t="shared" ref="J448" ca="1" si="169">O448+T448</f>
        <v>-3.8915234113629025E-4</v>
      </c>
      <c r="K448" s="13"/>
      <c r="L448" s="13">
        <f ca="1">L447-O448*Prices!B448</f>
        <v>0.69063129237935605</v>
      </c>
      <c r="M448" s="4">
        <f t="shared" ref="M448" ca="1" si="170">M447+O448</f>
        <v>2.3436227875363986E-3</v>
      </c>
      <c r="N448" s="13">
        <f ca="1">IF(Prices!B447&gt;OFFSET(Prices!B447,-$N$3,0),1,-1)</f>
        <v>-1</v>
      </c>
      <c r="O448" s="4">
        <f ca="1">IF(N448=1,O$3*L447/Prices!B447,-O$3*M447)</f>
        <v>-9.7650949480683274E-5</v>
      </c>
      <c r="P448" s="22"/>
      <c r="Q448" s="13">
        <f ca="1">Q447-T448*Prices!B448</f>
        <v>0.61149429407365463</v>
      </c>
      <c r="R448" s="4">
        <f t="shared" ref="R448" ca="1" si="171">R447+T448</f>
        <v>9.4252116635312935E-3</v>
      </c>
      <c r="S448" s="13">
        <f ca="1">IF(Prices!B447&gt;OFFSET(Prices!B447,-S$3,0),1,-1)</f>
        <v>-1</v>
      </c>
      <c r="T448" s="4">
        <f ca="1">IF(S448=1,T$3*Q447/Prices!B447,-T$3*R447)</f>
        <v>-2.9150139165560698E-4</v>
      </c>
    </row>
    <row r="449" spans="1:20" x14ac:dyDescent="0.2">
      <c r="A449" s="7">
        <v>44507</v>
      </c>
      <c r="B449" s="13">
        <f ca="1">Prices!B448*(1+J449/(50*(ABS(O449)+ABS(T449)+0.0001)))</f>
        <v>0</v>
      </c>
      <c r="C449" s="62">
        <f t="shared" ref="C449" ca="1" si="172">IF(J449&gt;0,1,IF(J449&lt;0,0,0))</f>
        <v>0</v>
      </c>
      <c r="D449" s="13" t="e">
        <f ca="1">D448+C449*(Prices!B449-Prices!B448)/Prices!B448</f>
        <v>#DIV/0!</v>
      </c>
      <c r="E449" s="13" t="e">
        <f t="shared" ref="E449" ca="1" si="173">F449-D449</f>
        <v>#DIV/0!</v>
      </c>
      <c r="F449" s="13" t="e">
        <f t="shared" ref="F449" ca="1" si="174">MAX(F448,D449)</f>
        <v>#DIV/0!</v>
      </c>
      <c r="G449" s="21">
        <f ca="1">IF((Prices!B449-Prices!B448)*C449&gt;0,1,0)</f>
        <v>0</v>
      </c>
      <c r="H449" s="13" t="e">
        <f>ABS(Prices!B449-Prices!B448)/Prices!B448</f>
        <v>#DIV/0!</v>
      </c>
      <c r="I449" s="21"/>
      <c r="J449" s="4">
        <f t="shared" ref="J449" ca="1" si="175">O449+T449</f>
        <v>-3.7650126140739476E-4</v>
      </c>
      <c r="K449" s="13"/>
      <c r="L449" s="13">
        <f ca="1">L448-O449*Prices!B449</f>
        <v>0.69063129237935605</v>
      </c>
      <c r="M449" s="4">
        <f t="shared" ref="M449" ca="1" si="176">M448+O449</f>
        <v>2.2498778760349425E-3</v>
      </c>
      <c r="N449" s="13">
        <f ca="1">IF(Prices!B448&gt;OFFSET(Prices!B448,-$N$3,0),1,-1)</f>
        <v>-1</v>
      </c>
      <c r="O449" s="4">
        <f ca="1">IF(N449=1,O$3*L448/Prices!B448,-O$3*M448)</f>
        <v>-9.374491150145594E-5</v>
      </c>
      <c r="P449" s="22"/>
      <c r="Q449" s="13">
        <f ca="1">Q448-T449*Prices!B449</f>
        <v>0.61149429407365463</v>
      </c>
      <c r="R449" s="4">
        <f t="shared" ref="R449" ca="1" si="177">R448+T449</f>
        <v>9.1424553136253538E-3</v>
      </c>
      <c r="S449" s="13">
        <f ca="1">IF(Prices!B448&gt;OFFSET(Prices!B448,-S$3,0),1,-1)</f>
        <v>-1</v>
      </c>
      <c r="T449" s="4">
        <f ca="1">IF(S449=1,T$3*Q448/Prices!B448,-T$3*R448)</f>
        <v>-2.8275634990593881E-4</v>
      </c>
    </row>
    <row r="450" spans="1:20" x14ac:dyDescent="0.2">
      <c r="A450" s="7">
        <v>44514</v>
      </c>
      <c r="B450" s="13">
        <f ca="1">Prices!B449*(1+J450/(50*(ABS(O450)+ABS(T450)+0.0001)))</f>
        <v>0</v>
      </c>
      <c r="C450" s="62">
        <f t="shared" ref="C450:C451" ca="1" si="178">IF(J450&gt;0,1,IF(J450&lt;0,0,0))</f>
        <v>0</v>
      </c>
      <c r="D450" s="13" t="e">
        <f ca="1">D449+C450*(Prices!B450-Prices!B449)/Prices!B449</f>
        <v>#DIV/0!</v>
      </c>
      <c r="E450" s="13" t="e">
        <f t="shared" ref="E450" ca="1" si="179">F450-D450</f>
        <v>#DIV/0!</v>
      </c>
      <c r="F450" s="13" t="e">
        <f t="shared" ref="F450" ca="1" si="180">MAX(F449,D450)</f>
        <v>#DIV/0!</v>
      </c>
      <c r="G450" s="21">
        <f ca="1">IF((Prices!B450-Prices!B449)*C450&gt;0,1,0)</f>
        <v>0</v>
      </c>
      <c r="H450" s="13" t="e">
        <f>ABS(Prices!B450-Prices!B449)/Prices!B449</f>
        <v>#DIV/0!</v>
      </c>
      <c r="I450" s="21"/>
      <c r="J450" s="4">
        <f t="shared" ref="J450:J451" ca="1" si="181">O450+T450</f>
        <v>-3.642687744501583E-4</v>
      </c>
      <c r="K450" s="13"/>
      <c r="L450" s="13">
        <f ca="1">L449-O450*Prices!B450</f>
        <v>0.69063129237935605</v>
      </c>
      <c r="M450" s="4">
        <f t="shared" ref="M450:M451" ca="1" si="182">M449+O450</f>
        <v>2.1598827609935448E-3</v>
      </c>
      <c r="N450" s="13">
        <f ca="1">IF(Prices!B449&gt;OFFSET(Prices!B449,-$N$3,0),1,-1)</f>
        <v>-1</v>
      </c>
      <c r="O450" s="4">
        <f ca="1">IF(N450=1,O$3*L449/Prices!B449,-O$3*M449)</f>
        <v>-8.9995115041397695E-5</v>
      </c>
      <c r="P450" s="22"/>
      <c r="Q450" s="13">
        <f ca="1">Q449-T450*Prices!B450</f>
        <v>0.61149429407365463</v>
      </c>
      <c r="R450" s="4">
        <f t="shared" ref="R450:R451" ca="1" si="183">R449+T450</f>
        <v>8.8681816542165934E-3</v>
      </c>
      <c r="S450" s="13">
        <f ca="1">IF(Prices!B449&gt;OFFSET(Prices!B449,-S$3,0),1,-1)</f>
        <v>-1</v>
      </c>
      <c r="T450" s="4">
        <f ca="1">IF(S450=1,T$3*Q449/Prices!B449,-T$3*R449)</f>
        <v>-2.7427365940876062E-4</v>
      </c>
    </row>
    <row r="451" spans="1:20" x14ac:dyDescent="0.2">
      <c r="B451" s="13">
        <f ca="1">Prices!B450*(1+J451/(50*(ABS(O451)+ABS(T451)+0.0001)))</f>
        <v>0</v>
      </c>
      <c r="C451" s="62">
        <f t="shared" ca="1" si="178"/>
        <v>0</v>
      </c>
      <c r="D451" s="13"/>
      <c r="E451" s="13"/>
      <c r="F451" s="13"/>
      <c r="G451" s="21"/>
      <c r="H451" s="13"/>
      <c r="I451" s="21"/>
      <c r="J451" s="4">
        <f t="shared" ca="1" si="181"/>
        <v>-3.5244076006623958E-4</v>
      </c>
      <c r="K451" s="13"/>
      <c r="L451" s="13">
        <f ca="1">L450-O451*Prices!B451</f>
        <v>0.69063129237935605</v>
      </c>
      <c r="M451" s="4">
        <f t="shared" ca="1" si="182"/>
        <v>2.0734874505538032E-3</v>
      </c>
      <c r="N451" s="13">
        <f ca="1">IF(Prices!B450&gt;OFFSET(Prices!B450,-$N$3,0),1,-1)</f>
        <v>-1</v>
      </c>
      <c r="O451" s="4">
        <f ca="1">IF(N451=1,O$3*L450/Prices!B450,-O$3*M450)</f>
        <v>-8.6395310439741786E-5</v>
      </c>
      <c r="P451" s="22"/>
      <c r="Q451" s="13">
        <f ca="1">Q450-T451*Prices!B451</f>
        <v>0.61149429407365463</v>
      </c>
      <c r="R451" s="4">
        <f t="shared" ca="1" si="183"/>
        <v>8.6021362045900964E-3</v>
      </c>
      <c r="S451" s="13">
        <f ca="1">IF(Prices!B450&gt;OFFSET(Prices!B450,-S$3,0),1,-1)</f>
        <v>-1</v>
      </c>
      <c r="T451" s="4">
        <f ca="1">IF(S451=1,T$3*Q450/Prices!B450,-T$3*R450)</f>
        <v>-2.6604544962649778E-4</v>
      </c>
    </row>
  </sheetData>
  <mergeCells count="3">
    <mergeCell ref="L1:O1"/>
    <mergeCell ref="Q1:T1"/>
    <mergeCell ref="W1:Z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E451"/>
  <sheetViews>
    <sheetView workbookViewId="0">
      <pane ySplit="1065" topLeftCell="A306"/>
      <selection activeCell="E2" sqref="E2:H2"/>
      <selection pane="bottomLeft" activeCell="D329" sqref="D329"/>
    </sheetView>
  </sheetViews>
  <sheetFormatPr defaultColWidth="8.85546875" defaultRowHeight="12.75" x14ac:dyDescent="0.2"/>
  <cols>
    <col min="1" max="1" width="9.7109375" style="7" customWidth="1"/>
    <col min="2" max="3" width="9.140625" style="15" customWidth="1"/>
    <col min="4" max="5" width="10.5703125" style="15" customWidth="1"/>
    <col min="6" max="6" width="1.5703125" style="15" customWidth="1"/>
    <col min="7" max="12" width="9.140625" style="15" customWidth="1"/>
    <col min="13" max="16" width="8.85546875" style="19"/>
    <col min="17" max="17" width="9.140625" style="15" customWidth="1"/>
    <col min="18" max="22" width="8.85546875" style="19"/>
    <col min="23" max="23" width="9.140625" style="15" customWidth="1"/>
    <col min="24" max="26" width="8.85546875" style="19"/>
    <col min="27" max="27" width="17" style="19" bestFit="1" customWidth="1"/>
    <col min="28" max="28" width="10.5703125" style="19" bestFit="1" customWidth="1"/>
    <col min="29" max="29" width="9.28515625" style="19" customWidth="1"/>
    <col min="30" max="30" width="10.5703125" style="19" bestFit="1" customWidth="1"/>
    <col min="31" max="256" width="8.85546875" style="19"/>
    <col min="257" max="257" width="9.7109375" style="19" customWidth="1"/>
    <col min="258" max="259" width="9.140625" style="19" customWidth="1"/>
    <col min="260" max="261" width="10.5703125" style="19" customWidth="1"/>
    <col min="262" max="262" width="1.7109375" style="19" customWidth="1"/>
    <col min="263" max="268" width="9.140625" style="19" customWidth="1"/>
    <col min="269" max="272" width="8.85546875" style="19"/>
    <col min="273" max="273" width="9.140625" style="19" customWidth="1"/>
    <col min="274" max="512" width="8.85546875" style="19"/>
    <col min="513" max="513" width="9.7109375" style="19" customWidth="1"/>
    <col min="514" max="515" width="9.140625" style="19" customWidth="1"/>
    <col min="516" max="517" width="10.5703125" style="19" customWidth="1"/>
    <col min="518" max="518" width="1.7109375" style="19" customWidth="1"/>
    <col min="519" max="524" width="9.140625" style="19" customWidth="1"/>
    <col min="525" max="528" width="8.85546875" style="19"/>
    <col min="529" max="529" width="9.140625" style="19" customWidth="1"/>
    <col min="530" max="768" width="8.85546875" style="19"/>
    <col min="769" max="769" width="9.7109375" style="19" customWidth="1"/>
    <col min="770" max="771" width="9.140625" style="19" customWidth="1"/>
    <col min="772" max="773" width="10.5703125" style="19" customWidth="1"/>
    <col min="774" max="774" width="1.7109375" style="19" customWidth="1"/>
    <col min="775" max="780" width="9.140625" style="19" customWidth="1"/>
    <col min="781" max="784" width="8.85546875" style="19"/>
    <col min="785" max="785" width="9.140625" style="19" customWidth="1"/>
    <col min="786" max="1024" width="8.85546875" style="19"/>
    <col min="1025" max="1025" width="9.7109375" style="19" customWidth="1"/>
    <col min="1026" max="1027" width="9.140625" style="19" customWidth="1"/>
    <col min="1028" max="1029" width="10.5703125" style="19" customWidth="1"/>
    <col min="1030" max="1030" width="1.7109375" style="19" customWidth="1"/>
    <col min="1031" max="1036" width="9.140625" style="19" customWidth="1"/>
    <col min="1037" max="1040" width="8.85546875" style="19"/>
    <col min="1041" max="1041" width="9.140625" style="19" customWidth="1"/>
    <col min="1042" max="1280" width="8.85546875" style="19"/>
    <col min="1281" max="1281" width="9.7109375" style="19" customWidth="1"/>
    <col min="1282" max="1283" width="9.140625" style="19" customWidth="1"/>
    <col min="1284" max="1285" width="10.5703125" style="19" customWidth="1"/>
    <col min="1286" max="1286" width="1.7109375" style="19" customWidth="1"/>
    <col min="1287" max="1292" width="9.140625" style="19" customWidth="1"/>
    <col min="1293" max="1296" width="8.85546875" style="19"/>
    <col min="1297" max="1297" width="9.140625" style="19" customWidth="1"/>
    <col min="1298" max="1536" width="8.85546875" style="19"/>
    <col min="1537" max="1537" width="9.7109375" style="19" customWidth="1"/>
    <col min="1538" max="1539" width="9.140625" style="19" customWidth="1"/>
    <col min="1540" max="1541" width="10.5703125" style="19" customWidth="1"/>
    <col min="1542" max="1542" width="1.7109375" style="19" customWidth="1"/>
    <col min="1543" max="1548" width="9.140625" style="19" customWidth="1"/>
    <col min="1549" max="1552" width="8.85546875" style="19"/>
    <col min="1553" max="1553" width="9.140625" style="19" customWidth="1"/>
    <col min="1554" max="1792" width="8.85546875" style="19"/>
    <col min="1793" max="1793" width="9.7109375" style="19" customWidth="1"/>
    <col min="1794" max="1795" width="9.140625" style="19" customWidth="1"/>
    <col min="1796" max="1797" width="10.5703125" style="19" customWidth="1"/>
    <col min="1798" max="1798" width="1.7109375" style="19" customWidth="1"/>
    <col min="1799" max="1804" width="9.140625" style="19" customWidth="1"/>
    <col min="1805" max="1808" width="8.85546875" style="19"/>
    <col min="1809" max="1809" width="9.140625" style="19" customWidth="1"/>
    <col min="1810" max="2048" width="8.85546875" style="19"/>
    <col min="2049" max="2049" width="9.7109375" style="19" customWidth="1"/>
    <col min="2050" max="2051" width="9.140625" style="19" customWidth="1"/>
    <col min="2052" max="2053" width="10.5703125" style="19" customWidth="1"/>
    <col min="2054" max="2054" width="1.7109375" style="19" customWidth="1"/>
    <col min="2055" max="2060" width="9.140625" style="19" customWidth="1"/>
    <col min="2061" max="2064" width="8.85546875" style="19"/>
    <col min="2065" max="2065" width="9.140625" style="19" customWidth="1"/>
    <col min="2066" max="2304" width="8.85546875" style="19"/>
    <col min="2305" max="2305" width="9.7109375" style="19" customWidth="1"/>
    <col min="2306" max="2307" width="9.140625" style="19" customWidth="1"/>
    <col min="2308" max="2309" width="10.5703125" style="19" customWidth="1"/>
    <col min="2310" max="2310" width="1.7109375" style="19" customWidth="1"/>
    <col min="2311" max="2316" width="9.140625" style="19" customWidth="1"/>
    <col min="2317" max="2320" width="8.85546875" style="19"/>
    <col min="2321" max="2321" width="9.140625" style="19" customWidth="1"/>
    <col min="2322" max="2560" width="8.85546875" style="19"/>
    <col min="2561" max="2561" width="9.7109375" style="19" customWidth="1"/>
    <col min="2562" max="2563" width="9.140625" style="19" customWidth="1"/>
    <col min="2564" max="2565" width="10.5703125" style="19" customWidth="1"/>
    <col min="2566" max="2566" width="1.7109375" style="19" customWidth="1"/>
    <col min="2567" max="2572" width="9.140625" style="19" customWidth="1"/>
    <col min="2573" max="2576" width="8.85546875" style="19"/>
    <col min="2577" max="2577" width="9.140625" style="19" customWidth="1"/>
    <col min="2578" max="2816" width="8.85546875" style="19"/>
    <col min="2817" max="2817" width="9.7109375" style="19" customWidth="1"/>
    <col min="2818" max="2819" width="9.140625" style="19" customWidth="1"/>
    <col min="2820" max="2821" width="10.5703125" style="19" customWidth="1"/>
    <col min="2822" max="2822" width="1.7109375" style="19" customWidth="1"/>
    <col min="2823" max="2828" width="9.140625" style="19" customWidth="1"/>
    <col min="2829" max="2832" width="8.85546875" style="19"/>
    <col min="2833" max="2833" width="9.140625" style="19" customWidth="1"/>
    <col min="2834" max="3072" width="8.85546875" style="19"/>
    <col min="3073" max="3073" width="9.7109375" style="19" customWidth="1"/>
    <col min="3074" max="3075" width="9.140625" style="19" customWidth="1"/>
    <col min="3076" max="3077" width="10.5703125" style="19" customWidth="1"/>
    <col min="3078" max="3078" width="1.7109375" style="19" customWidth="1"/>
    <col min="3079" max="3084" width="9.140625" style="19" customWidth="1"/>
    <col min="3085" max="3088" width="8.85546875" style="19"/>
    <col min="3089" max="3089" width="9.140625" style="19" customWidth="1"/>
    <col min="3090" max="3328" width="8.85546875" style="19"/>
    <col min="3329" max="3329" width="9.7109375" style="19" customWidth="1"/>
    <col min="3330" max="3331" width="9.140625" style="19" customWidth="1"/>
    <col min="3332" max="3333" width="10.5703125" style="19" customWidth="1"/>
    <col min="3334" max="3334" width="1.7109375" style="19" customWidth="1"/>
    <col min="3335" max="3340" width="9.140625" style="19" customWidth="1"/>
    <col min="3341" max="3344" width="8.85546875" style="19"/>
    <col min="3345" max="3345" width="9.140625" style="19" customWidth="1"/>
    <col min="3346" max="3584" width="8.85546875" style="19"/>
    <col min="3585" max="3585" width="9.7109375" style="19" customWidth="1"/>
    <col min="3586" max="3587" width="9.140625" style="19" customWidth="1"/>
    <col min="3588" max="3589" width="10.5703125" style="19" customWidth="1"/>
    <col min="3590" max="3590" width="1.7109375" style="19" customWidth="1"/>
    <col min="3591" max="3596" width="9.140625" style="19" customWidth="1"/>
    <col min="3597" max="3600" width="8.85546875" style="19"/>
    <col min="3601" max="3601" width="9.140625" style="19" customWidth="1"/>
    <col min="3602" max="3840" width="8.85546875" style="19"/>
    <col min="3841" max="3841" width="9.7109375" style="19" customWidth="1"/>
    <col min="3842" max="3843" width="9.140625" style="19" customWidth="1"/>
    <col min="3844" max="3845" width="10.5703125" style="19" customWidth="1"/>
    <col min="3846" max="3846" width="1.7109375" style="19" customWidth="1"/>
    <col min="3847" max="3852" width="9.140625" style="19" customWidth="1"/>
    <col min="3853" max="3856" width="8.85546875" style="19"/>
    <col min="3857" max="3857" width="9.140625" style="19" customWidth="1"/>
    <col min="3858" max="4096" width="8.85546875" style="19"/>
    <col min="4097" max="4097" width="9.7109375" style="19" customWidth="1"/>
    <col min="4098" max="4099" width="9.140625" style="19" customWidth="1"/>
    <col min="4100" max="4101" width="10.5703125" style="19" customWidth="1"/>
    <col min="4102" max="4102" width="1.7109375" style="19" customWidth="1"/>
    <col min="4103" max="4108" width="9.140625" style="19" customWidth="1"/>
    <col min="4109" max="4112" width="8.85546875" style="19"/>
    <col min="4113" max="4113" width="9.140625" style="19" customWidth="1"/>
    <col min="4114" max="4352" width="8.85546875" style="19"/>
    <col min="4353" max="4353" width="9.7109375" style="19" customWidth="1"/>
    <col min="4354" max="4355" width="9.140625" style="19" customWidth="1"/>
    <col min="4356" max="4357" width="10.5703125" style="19" customWidth="1"/>
    <col min="4358" max="4358" width="1.7109375" style="19" customWidth="1"/>
    <col min="4359" max="4364" width="9.140625" style="19" customWidth="1"/>
    <col min="4365" max="4368" width="8.85546875" style="19"/>
    <col min="4369" max="4369" width="9.140625" style="19" customWidth="1"/>
    <col min="4370" max="4608" width="8.85546875" style="19"/>
    <col min="4609" max="4609" width="9.7109375" style="19" customWidth="1"/>
    <col min="4610" max="4611" width="9.140625" style="19" customWidth="1"/>
    <col min="4612" max="4613" width="10.5703125" style="19" customWidth="1"/>
    <col min="4614" max="4614" width="1.7109375" style="19" customWidth="1"/>
    <col min="4615" max="4620" width="9.140625" style="19" customWidth="1"/>
    <col min="4621" max="4624" width="8.85546875" style="19"/>
    <col min="4625" max="4625" width="9.140625" style="19" customWidth="1"/>
    <col min="4626" max="4864" width="8.85546875" style="19"/>
    <col min="4865" max="4865" width="9.7109375" style="19" customWidth="1"/>
    <col min="4866" max="4867" width="9.140625" style="19" customWidth="1"/>
    <col min="4868" max="4869" width="10.5703125" style="19" customWidth="1"/>
    <col min="4870" max="4870" width="1.7109375" style="19" customWidth="1"/>
    <col min="4871" max="4876" width="9.140625" style="19" customWidth="1"/>
    <col min="4877" max="4880" width="8.85546875" style="19"/>
    <col min="4881" max="4881" width="9.140625" style="19" customWidth="1"/>
    <col min="4882" max="5120" width="8.85546875" style="19"/>
    <col min="5121" max="5121" width="9.7109375" style="19" customWidth="1"/>
    <col min="5122" max="5123" width="9.140625" style="19" customWidth="1"/>
    <col min="5124" max="5125" width="10.5703125" style="19" customWidth="1"/>
    <col min="5126" max="5126" width="1.7109375" style="19" customWidth="1"/>
    <col min="5127" max="5132" width="9.140625" style="19" customWidth="1"/>
    <col min="5133" max="5136" width="8.85546875" style="19"/>
    <col min="5137" max="5137" width="9.140625" style="19" customWidth="1"/>
    <col min="5138" max="5376" width="8.85546875" style="19"/>
    <col min="5377" max="5377" width="9.7109375" style="19" customWidth="1"/>
    <col min="5378" max="5379" width="9.140625" style="19" customWidth="1"/>
    <col min="5380" max="5381" width="10.5703125" style="19" customWidth="1"/>
    <col min="5382" max="5382" width="1.7109375" style="19" customWidth="1"/>
    <col min="5383" max="5388" width="9.140625" style="19" customWidth="1"/>
    <col min="5389" max="5392" width="8.85546875" style="19"/>
    <col min="5393" max="5393" width="9.140625" style="19" customWidth="1"/>
    <col min="5394" max="5632" width="8.85546875" style="19"/>
    <col min="5633" max="5633" width="9.7109375" style="19" customWidth="1"/>
    <col min="5634" max="5635" width="9.140625" style="19" customWidth="1"/>
    <col min="5636" max="5637" width="10.5703125" style="19" customWidth="1"/>
    <col min="5638" max="5638" width="1.7109375" style="19" customWidth="1"/>
    <col min="5639" max="5644" width="9.140625" style="19" customWidth="1"/>
    <col min="5645" max="5648" width="8.85546875" style="19"/>
    <col min="5649" max="5649" width="9.140625" style="19" customWidth="1"/>
    <col min="5650" max="5888" width="8.85546875" style="19"/>
    <col min="5889" max="5889" width="9.7109375" style="19" customWidth="1"/>
    <col min="5890" max="5891" width="9.140625" style="19" customWidth="1"/>
    <col min="5892" max="5893" width="10.5703125" style="19" customWidth="1"/>
    <col min="5894" max="5894" width="1.7109375" style="19" customWidth="1"/>
    <col min="5895" max="5900" width="9.140625" style="19" customWidth="1"/>
    <col min="5901" max="5904" width="8.85546875" style="19"/>
    <col min="5905" max="5905" width="9.140625" style="19" customWidth="1"/>
    <col min="5906" max="6144" width="8.85546875" style="19"/>
    <col min="6145" max="6145" width="9.7109375" style="19" customWidth="1"/>
    <col min="6146" max="6147" width="9.140625" style="19" customWidth="1"/>
    <col min="6148" max="6149" width="10.5703125" style="19" customWidth="1"/>
    <col min="6150" max="6150" width="1.7109375" style="19" customWidth="1"/>
    <col min="6151" max="6156" width="9.140625" style="19" customWidth="1"/>
    <col min="6157" max="6160" width="8.85546875" style="19"/>
    <col min="6161" max="6161" width="9.140625" style="19" customWidth="1"/>
    <col min="6162" max="6400" width="8.85546875" style="19"/>
    <col min="6401" max="6401" width="9.7109375" style="19" customWidth="1"/>
    <col min="6402" max="6403" width="9.140625" style="19" customWidth="1"/>
    <col min="6404" max="6405" width="10.5703125" style="19" customWidth="1"/>
    <col min="6406" max="6406" width="1.7109375" style="19" customWidth="1"/>
    <col min="6407" max="6412" width="9.140625" style="19" customWidth="1"/>
    <col min="6413" max="6416" width="8.85546875" style="19"/>
    <col min="6417" max="6417" width="9.140625" style="19" customWidth="1"/>
    <col min="6418" max="6656" width="8.85546875" style="19"/>
    <col min="6657" max="6657" width="9.7109375" style="19" customWidth="1"/>
    <col min="6658" max="6659" width="9.140625" style="19" customWidth="1"/>
    <col min="6660" max="6661" width="10.5703125" style="19" customWidth="1"/>
    <col min="6662" max="6662" width="1.7109375" style="19" customWidth="1"/>
    <col min="6663" max="6668" width="9.140625" style="19" customWidth="1"/>
    <col min="6669" max="6672" width="8.85546875" style="19"/>
    <col min="6673" max="6673" width="9.140625" style="19" customWidth="1"/>
    <col min="6674" max="6912" width="8.85546875" style="19"/>
    <col min="6913" max="6913" width="9.7109375" style="19" customWidth="1"/>
    <col min="6914" max="6915" width="9.140625" style="19" customWidth="1"/>
    <col min="6916" max="6917" width="10.5703125" style="19" customWidth="1"/>
    <col min="6918" max="6918" width="1.7109375" style="19" customWidth="1"/>
    <col min="6919" max="6924" width="9.140625" style="19" customWidth="1"/>
    <col min="6925" max="6928" width="8.85546875" style="19"/>
    <col min="6929" max="6929" width="9.140625" style="19" customWidth="1"/>
    <col min="6930" max="7168" width="8.85546875" style="19"/>
    <col min="7169" max="7169" width="9.7109375" style="19" customWidth="1"/>
    <col min="7170" max="7171" width="9.140625" style="19" customWidth="1"/>
    <col min="7172" max="7173" width="10.5703125" style="19" customWidth="1"/>
    <col min="7174" max="7174" width="1.7109375" style="19" customWidth="1"/>
    <col min="7175" max="7180" width="9.140625" style="19" customWidth="1"/>
    <col min="7181" max="7184" width="8.85546875" style="19"/>
    <col min="7185" max="7185" width="9.140625" style="19" customWidth="1"/>
    <col min="7186" max="7424" width="8.85546875" style="19"/>
    <col min="7425" max="7425" width="9.7109375" style="19" customWidth="1"/>
    <col min="7426" max="7427" width="9.140625" style="19" customWidth="1"/>
    <col min="7428" max="7429" width="10.5703125" style="19" customWidth="1"/>
    <col min="7430" max="7430" width="1.7109375" style="19" customWidth="1"/>
    <col min="7431" max="7436" width="9.140625" style="19" customWidth="1"/>
    <col min="7437" max="7440" width="8.85546875" style="19"/>
    <col min="7441" max="7441" width="9.140625" style="19" customWidth="1"/>
    <col min="7442" max="7680" width="8.85546875" style="19"/>
    <col min="7681" max="7681" width="9.7109375" style="19" customWidth="1"/>
    <col min="7682" max="7683" width="9.140625" style="19" customWidth="1"/>
    <col min="7684" max="7685" width="10.5703125" style="19" customWidth="1"/>
    <col min="7686" max="7686" width="1.7109375" style="19" customWidth="1"/>
    <col min="7687" max="7692" width="9.140625" style="19" customWidth="1"/>
    <col min="7693" max="7696" width="8.85546875" style="19"/>
    <col min="7697" max="7697" width="9.140625" style="19" customWidth="1"/>
    <col min="7698" max="7936" width="8.85546875" style="19"/>
    <col min="7937" max="7937" width="9.7109375" style="19" customWidth="1"/>
    <col min="7938" max="7939" width="9.140625" style="19" customWidth="1"/>
    <col min="7940" max="7941" width="10.5703125" style="19" customWidth="1"/>
    <col min="7942" max="7942" width="1.7109375" style="19" customWidth="1"/>
    <col min="7943" max="7948" width="9.140625" style="19" customWidth="1"/>
    <col min="7949" max="7952" width="8.85546875" style="19"/>
    <col min="7953" max="7953" width="9.140625" style="19" customWidth="1"/>
    <col min="7954" max="8192" width="8.85546875" style="19"/>
    <col min="8193" max="8193" width="9.7109375" style="19" customWidth="1"/>
    <col min="8194" max="8195" width="9.140625" style="19" customWidth="1"/>
    <col min="8196" max="8197" width="10.5703125" style="19" customWidth="1"/>
    <col min="8198" max="8198" width="1.7109375" style="19" customWidth="1"/>
    <col min="8199" max="8204" width="9.140625" style="19" customWidth="1"/>
    <col min="8205" max="8208" width="8.85546875" style="19"/>
    <col min="8209" max="8209" width="9.140625" style="19" customWidth="1"/>
    <col min="8210" max="8448" width="8.85546875" style="19"/>
    <col min="8449" max="8449" width="9.7109375" style="19" customWidth="1"/>
    <col min="8450" max="8451" width="9.140625" style="19" customWidth="1"/>
    <col min="8452" max="8453" width="10.5703125" style="19" customWidth="1"/>
    <col min="8454" max="8454" width="1.7109375" style="19" customWidth="1"/>
    <col min="8455" max="8460" width="9.140625" style="19" customWidth="1"/>
    <col min="8461" max="8464" width="8.85546875" style="19"/>
    <col min="8465" max="8465" width="9.140625" style="19" customWidth="1"/>
    <col min="8466" max="8704" width="8.85546875" style="19"/>
    <col min="8705" max="8705" width="9.7109375" style="19" customWidth="1"/>
    <col min="8706" max="8707" width="9.140625" style="19" customWidth="1"/>
    <col min="8708" max="8709" width="10.5703125" style="19" customWidth="1"/>
    <col min="8710" max="8710" width="1.7109375" style="19" customWidth="1"/>
    <col min="8711" max="8716" width="9.140625" style="19" customWidth="1"/>
    <col min="8717" max="8720" width="8.85546875" style="19"/>
    <col min="8721" max="8721" width="9.140625" style="19" customWidth="1"/>
    <col min="8722" max="8960" width="8.85546875" style="19"/>
    <col min="8961" max="8961" width="9.7109375" style="19" customWidth="1"/>
    <col min="8962" max="8963" width="9.140625" style="19" customWidth="1"/>
    <col min="8964" max="8965" width="10.5703125" style="19" customWidth="1"/>
    <col min="8966" max="8966" width="1.7109375" style="19" customWidth="1"/>
    <col min="8967" max="8972" width="9.140625" style="19" customWidth="1"/>
    <col min="8973" max="8976" width="8.85546875" style="19"/>
    <col min="8977" max="8977" width="9.140625" style="19" customWidth="1"/>
    <col min="8978" max="9216" width="8.85546875" style="19"/>
    <col min="9217" max="9217" width="9.7109375" style="19" customWidth="1"/>
    <col min="9218" max="9219" width="9.140625" style="19" customWidth="1"/>
    <col min="9220" max="9221" width="10.5703125" style="19" customWidth="1"/>
    <col min="9222" max="9222" width="1.7109375" style="19" customWidth="1"/>
    <col min="9223" max="9228" width="9.140625" style="19" customWidth="1"/>
    <col min="9229" max="9232" width="8.85546875" style="19"/>
    <col min="9233" max="9233" width="9.140625" style="19" customWidth="1"/>
    <col min="9234" max="9472" width="8.85546875" style="19"/>
    <col min="9473" max="9473" width="9.7109375" style="19" customWidth="1"/>
    <col min="9474" max="9475" width="9.140625" style="19" customWidth="1"/>
    <col min="9476" max="9477" width="10.5703125" style="19" customWidth="1"/>
    <col min="9478" max="9478" width="1.7109375" style="19" customWidth="1"/>
    <col min="9479" max="9484" width="9.140625" style="19" customWidth="1"/>
    <col min="9485" max="9488" width="8.85546875" style="19"/>
    <col min="9489" max="9489" width="9.140625" style="19" customWidth="1"/>
    <col min="9490" max="9728" width="8.85546875" style="19"/>
    <col min="9729" max="9729" width="9.7109375" style="19" customWidth="1"/>
    <col min="9730" max="9731" width="9.140625" style="19" customWidth="1"/>
    <col min="9732" max="9733" width="10.5703125" style="19" customWidth="1"/>
    <col min="9734" max="9734" width="1.7109375" style="19" customWidth="1"/>
    <col min="9735" max="9740" width="9.140625" style="19" customWidth="1"/>
    <col min="9741" max="9744" width="8.85546875" style="19"/>
    <col min="9745" max="9745" width="9.140625" style="19" customWidth="1"/>
    <col min="9746" max="9984" width="8.85546875" style="19"/>
    <col min="9985" max="9985" width="9.7109375" style="19" customWidth="1"/>
    <col min="9986" max="9987" width="9.140625" style="19" customWidth="1"/>
    <col min="9988" max="9989" width="10.5703125" style="19" customWidth="1"/>
    <col min="9990" max="9990" width="1.7109375" style="19" customWidth="1"/>
    <col min="9991" max="9996" width="9.140625" style="19" customWidth="1"/>
    <col min="9997" max="10000" width="8.85546875" style="19"/>
    <col min="10001" max="10001" width="9.140625" style="19" customWidth="1"/>
    <col min="10002" max="10240" width="8.85546875" style="19"/>
    <col min="10241" max="10241" width="9.7109375" style="19" customWidth="1"/>
    <col min="10242" max="10243" width="9.140625" style="19" customWidth="1"/>
    <col min="10244" max="10245" width="10.5703125" style="19" customWidth="1"/>
    <col min="10246" max="10246" width="1.7109375" style="19" customWidth="1"/>
    <col min="10247" max="10252" width="9.140625" style="19" customWidth="1"/>
    <col min="10253" max="10256" width="8.85546875" style="19"/>
    <col min="10257" max="10257" width="9.140625" style="19" customWidth="1"/>
    <col min="10258" max="10496" width="8.85546875" style="19"/>
    <col min="10497" max="10497" width="9.7109375" style="19" customWidth="1"/>
    <col min="10498" max="10499" width="9.140625" style="19" customWidth="1"/>
    <col min="10500" max="10501" width="10.5703125" style="19" customWidth="1"/>
    <col min="10502" max="10502" width="1.7109375" style="19" customWidth="1"/>
    <col min="10503" max="10508" width="9.140625" style="19" customWidth="1"/>
    <col min="10509" max="10512" width="8.85546875" style="19"/>
    <col min="10513" max="10513" width="9.140625" style="19" customWidth="1"/>
    <col min="10514" max="10752" width="8.85546875" style="19"/>
    <col min="10753" max="10753" width="9.7109375" style="19" customWidth="1"/>
    <col min="10754" max="10755" width="9.140625" style="19" customWidth="1"/>
    <col min="10756" max="10757" width="10.5703125" style="19" customWidth="1"/>
    <col min="10758" max="10758" width="1.7109375" style="19" customWidth="1"/>
    <col min="10759" max="10764" width="9.140625" style="19" customWidth="1"/>
    <col min="10765" max="10768" width="8.85546875" style="19"/>
    <col min="10769" max="10769" width="9.140625" style="19" customWidth="1"/>
    <col min="10770" max="11008" width="8.85546875" style="19"/>
    <col min="11009" max="11009" width="9.7109375" style="19" customWidth="1"/>
    <col min="11010" max="11011" width="9.140625" style="19" customWidth="1"/>
    <col min="11012" max="11013" width="10.5703125" style="19" customWidth="1"/>
    <col min="11014" max="11014" width="1.7109375" style="19" customWidth="1"/>
    <col min="11015" max="11020" width="9.140625" style="19" customWidth="1"/>
    <col min="11021" max="11024" width="8.85546875" style="19"/>
    <col min="11025" max="11025" width="9.140625" style="19" customWidth="1"/>
    <col min="11026" max="11264" width="8.85546875" style="19"/>
    <col min="11265" max="11265" width="9.7109375" style="19" customWidth="1"/>
    <col min="11266" max="11267" width="9.140625" style="19" customWidth="1"/>
    <col min="11268" max="11269" width="10.5703125" style="19" customWidth="1"/>
    <col min="11270" max="11270" width="1.7109375" style="19" customWidth="1"/>
    <col min="11271" max="11276" width="9.140625" style="19" customWidth="1"/>
    <col min="11277" max="11280" width="8.85546875" style="19"/>
    <col min="11281" max="11281" width="9.140625" style="19" customWidth="1"/>
    <col min="11282" max="11520" width="8.85546875" style="19"/>
    <col min="11521" max="11521" width="9.7109375" style="19" customWidth="1"/>
    <col min="11522" max="11523" width="9.140625" style="19" customWidth="1"/>
    <col min="11524" max="11525" width="10.5703125" style="19" customWidth="1"/>
    <col min="11526" max="11526" width="1.7109375" style="19" customWidth="1"/>
    <col min="11527" max="11532" width="9.140625" style="19" customWidth="1"/>
    <col min="11533" max="11536" width="8.85546875" style="19"/>
    <col min="11537" max="11537" width="9.140625" style="19" customWidth="1"/>
    <col min="11538" max="11776" width="8.85546875" style="19"/>
    <col min="11777" max="11777" width="9.7109375" style="19" customWidth="1"/>
    <col min="11778" max="11779" width="9.140625" style="19" customWidth="1"/>
    <col min="11780" max="11781" width="10.5703125" style="19" customWidth="1"/>
    <col min="11782" max="11782" width="1.7109375" style="19" customWidth="1"/>
    <col min="11783" max="11788" width="9.140625" style="19" customWidth="1"/>
    <col min="11789" max="11792" width="8.85546875" style="19"/>
    <col min="11793" max="11793" width="9.140625" style="19" customWidth="1"/>
    <col min="11794" max="12032" width="8.85546875" style="19"/>
    <col min="12033" max="12033" width="9.7109375" style="19" customWidth="1"/>
    <col min="12034" max="12035" width="9.140625" style="19" customWidth="1"/>
    <col min="12036" max="12037" width="10.5703125" style="19" customWidth="1"/>
    <col min="12038" max="12038" width="1.7109375" style="19" customWidth="1"/>
    <col min="12039" max="12044" width="9.140625" style="19" customWidth="1"/>
    <col min="12045" max="12048" width="8.85546875" style="19"/>
    <col min="12049" max="12049" width="9.140625" style="19" customWidth="1"/>
    <col min="12050" max="12288" width="8.85546875" style="19"/>
    <col min="12289" max="12289" width="9.7109375" style="19" customWidth="1"/>
    <col min="12290" max="12291" width="9.140625" style="19" customWidth="1"/>
    <col min="12292" max="12293" width="10.5703125" style="19" customWidth="1"/>
    <col min="12294" max="12294" width="1.7109375" style="19" customWidth="1"/>
    <col min="12295" max="12300" width="9.140625" style="19" customWidth="1"/>
    <col min="12301" max="12304" width="8.85546875" style="19"/>
    <col min="12305" max="12305" width="9.140625" style="19" customWidth="1"/>
    <col min="12306" max="12544" width="8.85546875" style="19"/>
    <col min="12545" max="12545" width="9.7109375" style="19" customWidth="1"/>
    <col min="12546" max="12547" width="9.140625" style="19" customWidth="1"/>
    <col min="12548" max="12549" width="10.5703125" style="19" customWidth="1"/>
    <col min="12550" max="12550" width="1.7109375" style="19" customWidth="1"/>
    <col min="12551" max="12556" width="9.140625" style="19" customWidth="1"/>
    <col min="12557" max="12560" width="8.85546875" style="19"/>
    <col min="12561" max="12561" width="9.140625" style="19" customWidth="1"/>
    <col min="12562" max="12800" width="8.85546875" style="19"/>
    <col min="12801" max="12801" width="9.7109375" style="19" customWidth="1"/>
    <col min="12802" max="12803" width="9.140625" style="19" customWidth="1"/>
    <col min="12804" max="12805" width="10.5703125" style="19" customWidth="1"/>
    <col min="12806" max="12806" width="1.7109375" style="19" customWidth="1"/>
    <col min="12807" max="12812" width="9.140625" style="19" customWidth="1"/>
    <col min="12813" max="12816" width="8.85546875" style="19"/>
    <col min="12817" max="12817" width="9.140625" style="19" customWidth="1"/>
    <col min="12818" max="13056" width="8.85546875" style="19"/>
    <col min="13057" max="13057" width="9.7109375" style="19" customWidth="1"/>
    <col min="13058" max="13059" width="9.140625" style="19" customWidth="1"/>
    <col min="13060" max="13061" width="10.5703125" style="19" customWidth="1"/>
    <col min="13062" max="13062" width="1.7109375" style="19" customWidth="1"/>
    <col min="13063" max="13068" width="9.140625" style="19" customWidth="1"/>
    <col min="13069" max="13072" width="8.85546875" style="19"/>
    <col min="13073" max="13073" width="9.140625" style="19" customWidth="1"/>
    <col min="13074" max="13312" width="8.85546875" style="19"/>
    <col min="13313" max="13313" width="9.7109375" style="19" customWidth="1"/>
    <col min="13314" max="13315" width="9.140625" style="19" customWidth="1"/>
    <col min="13316" max="13317" width="10.5703125" style="19" customWidth="1"/>
    <col min="13318" max="13318" width="1.7109375" style="19" customWidth="1"/>
    <col min="13319" max="13324" width="9.140625" style="19" customWidth="1"/>
    <col min="13325" max="13328" width="8.85546875" style="19"/>
    <col min="13329" max="13329" width="9.140625" style="19" customWidth="1"/>
    <col min="13330" max="13568" width="8.85546875" style="19"/>
    <col min="13569" max="13569" width="9.7109375" style="19" customWidth="1"/>
    <col min="13570" max="13571" width="9.140625" style="19" customWidth="1"/>
    <col min="13572" max="13573" width="10.5703125" style="19" customWidth="1"/>
    <col min="13574" max="13574" width="1.7109375" style="19" customWidth="1"/>
    <col min="13575" max="13580" width="9.140625" style="19" customWidth="1"/>
    <col min="13581" max="13584" width="8.85546875" style="19"/>
    <col min="13585" max="13585" width="9.140625" style="19" customWidth="1"/>
    <col min="13586" max="13824" width="8.85546875" style="19"/>
    <col min="13825" max="13825" width="9.7109375" style="19" customWidth="1"/>
    <col min="13826" max="13827" width="9.140625" style="19" customWidth="1"/>
    <col min="13828" max="13829" width="10.5703125" style="19" customWidth="1"/>
    <col min="13830" max="13830" width="1.7109375" style="19" customWidth="1"/>
    <col min="13831" max="13836" width="9.140625" style="19" customWidth="1"/>
    <col min="13837" max="13840" width="8.85546875" style="19"/>
    <col min="13841" max="13841" width="9.140625" style="19" customWidth="1"/>
    <col min="13842" max="14080" width="8.85546875" style="19"/>
    <col min="14081" max="14081" width="9.7109375" style="19" customWidth="1"/>
    <col min="14082" max="14083" width="9.140625" style="19" customWidth="1"/>
    <col min="14084" max="14085" width="10.5703125" style="19" customWidth="1"/>
    <col min="14086" max="14086" width="1.7109375" style="19" customWidth="1"/>
    <col min="14087" max="14092" width="9.140625" style="19" customWidth="1"/>
    <col min="14093" max="14096" width="8.85546875" style="19"/>
    <col min="14097" max="14097" width="9.140625" style="19" customWidth="1"/>
    <col min="14098" max="14336" width="8.85546875" style="19"/>
    <col min="14337" max="14337" width="9.7109375" style="19" customWidth="1"/>
    <col min="14338" max="14339" width="9.140625" style="19" customWidth="1"/>
    <col min="14340" max="14341" width="10.5703125" style="19" customWidth="1"/>
    <col min="14342" max="14342" width="1.7109375" style="19" customWidth="1"/>
    <col min="14343" max="14348" width="9.140625" style="19" customWidth="1"/>
    <col min="14349" max="14352" width="8.85546875" style="19"/>
    <col min="14353" max="14353" width="9.140625" style="19" customWidth="1"/>
    <col min="14354" max="14592" width="8.85546875" style="19"/>
    <col min="14593" max="14593" width="9.7109375" style="19" customWidth="1"/>
    <col min="14594" max="14595" width="9.140625" style="19" customWidth="1"/>
    <col min="14596" max="14597" width="10.5703125" style="19" customWidth="1"/>
    <col min="14598" max="14598" width="1.7109375" style="19" customWidth="1"/>
    <col min="14599" max="14604" width="9.140625" style="19" customWidth="1"/>
    <col min="14605" max="14608" width="8.85546875" style="19"/>
    <col min="14609" max="14609" width="9.140625" style="19" customWidth="1"/>
    <col min="14610" max="14848" width="8.85546875" style="19"/>
    <col min="14849" max="14849" width="9.7109375" style="19" customWidth="1"/>
    <col min="14850" max="14851" width="9.140625" style="19" customWidth="1"/>
    <col min="14852" max="14853" width="10.5703125" style="19" customWidth="1"/>
    <col min="14854" max="14854" width="1.7109375" style="19" customWidth="1"/>
    <col min="14855" max="14860" width="9.140625" style="19" customWidth="1"/>
    <col min="14861" max="14864" width="8.85546875" style="19"/>
    <col min="14865" max="14865" width="9.140625" style="19" customWidth="1"/>
    <col min="14866" max="15104" width="8.85546875" style="19"/>
    <col min="15105" max="15105" width="9.7109375" style="19" customWidth="1"/>
    <col min="15106" max="15107" width="9.140625" style="19" customWidth="1"/>
    <col min="15108" max="15109" width="10.5703125" style="19" customWidth="1"/>
    <col min="15110" max="15110" width="1.7109375" style="19" customWidth="1"/>
    <col min="15111" max="15116" width="9.140625" style="19" customWidth="1"/>
    <col min="15117" max="15120" width="8.85546875" style="19"/>
    <col min="15121" max="15121" width="9.140625" style="19" customWidth="1"/>
    <col min="15122" max="15360" width="8.85546875" style="19"/>
    <col min="15361" max="15361" width="9.7109375" style="19" customWidth="1"/>
    <col min="15362" max="15363" width="9.140625" style="19" customWidth="1"/>
    <col min="15364" max="15365" width="10.5703125" style="19" customWidth="1"/>
    <col min="15366" max="15366" width="1.7109375" style="19" customWidth="1"/>
    <col min="15367" max="15372" width="9.140625" style="19" customWidth="1"/>
    <col min="15373" max="15376" width="8.85546875" style="19"/>
    <col min="15377" max="15377" width="9.140625" style="19" customWidth="1"/>
    <col min="15378" max="15616" width="8.85546875" style="19"/>
    <col min="15617" max="15617" width="9.7109375" style="19" customWidth="1"/>
    <col min="15618" max="15619" width="9.140625" style="19" customWidth="1"/>
    <col min="15620" max="15621" width="10.5703125" style="19" customWidth="1"/>
    <col min="15622" max="15622" width="1.7109375" style="19" customWidth="1"/>
    <col min="15623" max="15628" width="9.140625" style="19" customWidth="1"/>
    <col min="15629" max="15632" width="8.85546875" style="19"/>
    <col min="15633" max="15633" width="9.140625" style="19" customWidth="1"/>
    <col min="15634" max="15872" width="8.85546875" style="19"/>
    <col min="15873" max="15873" width="9.7109375" style="19" customWidth="1"/>
    <col min="15874" max="15875" width="9.140625" style="19" customWidth="1"/>
    <col min="15876" max="15877" width="10.5703125" style="19" customWidth="1"/>
    <col min="15878" max="15878" width="1.7109375" style="19" customWidth="1"/>
    <col min="15879" max="15884" width="9.140625" style="19" customWidth="1"/>
    <col min="15885" max="15888" width="8.85546875" style="19"/>
    <col min="15889" max="15889" width="9.140625" style="19" customWidth="1"/>
    <col min="15890" max="16128" width="8.85546875" style="19"/>
    <col min="16129" max="16129" width="9.7109375" style="19" customWidth="1"/>
    <col min="16130" max="16131" width="9.140625" style="19" customWidth="1"/>
    <col min="16132" max="16133" width="10.5703125" style="19" customWidth="1"/>
    <col min="16134" max="16134" width="1.7109375" style="19" customWidth="1"/>
    <col min="16135" max="16140" width="9.140625" style="19" customWidth="1"/>
    <col min="16141" max="16144" width="8.85546875" style="19"/>
    <col min="16145" max="16145" width="9.140625" style="19" customWidth="1"/>
    <col min="16146" max="16384" width="8.85546875" style="19"/>
  </cols>
  <sheetData>
    <row r="1" spans="1:31" x14ac:dyDescent="0.2">
      <c r="A1" s="5" t="s">
        <v>0</v>
      </c>
      <c r="B1" s="55" t="s">
        <v>1</v>
      </c>
      <c r="C1" s="55" t="s">
        <v>2</v>
      </c>
      <c r="D1" s="55" t="s">
        <v>3</v>
      </c>
      <c r="E1" s="55" t="s">
        <v>4</v>
      </c>
      <c r="F1" s="55"/>
      <c r="G1" s="55" t="s">
        <v>5</v>
      </c>
      <c r="H1" s="55" t="s">
        <v>6</v>
      </c>
      <c r="I1" s="55"/>
      <c r="J1" s="55" t="s">
        <v>7</v>
      </c>
      <c r="K1" s="55"/>
      <c r="L1" s="75" t="s">
        <v>80</v>
      </c>
      <c r="M1" s="75"/>
      <c r="N1" s="75"/>
      <c r="O1" s="75"/>
      <c r="Q1" s="75" t="s">
        <v>87</v>
      </c>
      <c r="R1" s="75"/>
      <c r="S1" s="75"/>
      <c r="T1" s="75"/>
      <c r="W1" s="75"/>
      <c r="X1" s="75"/>
      <c r="Y1" s="75"/>
      <c r="Z1" s="75"/>
    </row>
    <row r="2" spans="1:31" x14ac:dyDescent="0.2">
      <c r="B2" s="6"/>
      <c r="C2" s="6"/>
      <c r="D2" s="6" t="s">
        <v>65</v>
      </c>
      <c r="E2" s="20">
        <f ca="1">MAX(E4:E2000)</f>
        <v>0.96288888646299142</v>
      </c>
      <c r="F2" s="6"/>
      <c r="G2" s="20">
        <f ca="1">SUM(G4:G2000)/COUNT(G4:G2000)</f>
        <v>0.35294117647058826</v>
      </c>
      <c r="H2" s="20">
        <f ca="1">D329/SUM(H4:H2000)</f>
        <v>0.28709331468398225</v>
      </c>
      <c r="I2" s="6"/>
      <c r="J2" s="6"/>
      <c r="K2" s="6"/>
      <c r="L2" s="10" t="s">
        <v>9</v>
      </c>
      <c r="M2" s="10" t="s">
        <v>10</v>
      </c>
      <c r="N2" s="10" t="s">
        <v>11</v>
      </c>
      <c r="O2" s="10" t="s">
        <v>12</v>
      </c>
      <c r="Q2" s="10" t="s">
        <v>9</v>
      </c>
      <c r="R2" s="10" t="s">
        <v>10</v>
      </c>
      <c r="S2" s="10" t="s">
        <v>11</v>
      </c>
      <c r="T2" s="10" t="s">
        <v>12</v>
      </c>
      <c r="W2" s="10"/>
      <c r="X2" s="10"/>
      <c r="Y2" s="10"/>
      <c r="Z2" s="10"/>
    </row>
    <row r="3" spans="1:31" x14ac:dyDescent="0.2">
      <c r="B3" s="11"/>
      <c r="C3" s="11"/>
      <c r="D3" s="61" t="s">
        <v>64</v>
      </c>
      <c r="E3" s="20">
        <f ca="1">MAX(E4:E234)</f>
        <v>0.96288888646299142</v>
      </c>
      <c r="F3" s="61"/>
      <c r="G3" s="20">
        <f ca="1">SUM(G4:G234)/COUNT(G4:G234)</f>
        <v>0.31958762886597936</v>
      </c>
      <c r="H3" s="20">
        <f ca="1">D233/SUM(H4:H233)</f>
        <v>0.26039974138104571</v>
      </c>
      <c r="I3" s="11"/>
      <c r="J3" s="11"/>
      <c r="K3" s="11"/>
      <c r="L3" s="13"/>
      <c r="M3" s="13"/>
      <c r="N3" s="13">
        <v>2</v>
      </c>
      <c r="O3" s="13">
        <v>0.01</v>
      </c>
      <c r="P3" s="13"/>
      <c r="Q3" s="13"/>
      <c r="R3" s="13"/>
      <c r="S3" s="13">
        <v>8</v>
      </c>
      <c r="T3" s="13">
        <v>0</v>
      </c>
      <c r="W3" s="13"/>
      <c r="X3" s="13"/>
      <c r="Y3" s="13"/>
      <c r="Z3" s="4"/>
    </row>
    <row r="4" spans="1:31" x14ac:dyDescent="0.2">
      <c r="A4" s="66">
        <v>42223</v>
      </c>
      <c r="B4" s="13"/>
      <c r="C4" s="13"/>
      <c r="D4" s="13"/>
      <c r="E4" s="13"/>
      <c r="F4" s="13"/>
      <c r="G4" s="13"/>
      <c r="H4" s="13"/>
      <c r="I4" s="21"/>
      <c r="J4" s="13"/>
      <c r="K4" s="13"/>
      <c r="L4" s="13">
        <v>1</v>
      </c>
      <c r="M4" s="4">
        <v>0.01</v>
      </c>
      <c r="N4" s="13"/>
      <c r="O4" s="13"/>
      <c r="P4" s="13"/>
      <c r="Q4" s="13">
        <v>1</v>
      </c>
      <c r="R4" s="4">
        <v>0.01</v>
      </c>
      <c r="S4" s="13"/>
      <c r="T4" s="13"/>
      <c r="W4" s="13"/>
      <c r="X4" s="4"/>
      <c r="Y4" s="13"/>
      <c r="Z4" s="13"/>
    </row>
    <row r="5" spans="1:31" x14ac:dyDescent="0.2">
      <c r="A5" s="66">
        <v>42230</v>
      </c>
      <c r="B5" s="13"/>
      <c r="C5" s="13"/>
      <c r="D5" s="13"/>
      <c r="E5" s="13"/>
      <c r="F5" s="13"/>
      <c r="G5" s="13"/>
      <c r="H5" s="13"/>
      <c r="I5" s="21"/>
      <c r="J5" s="13"/>
      <c r="K5" s="13"/>
      <c r="L5" s="13">
        <f>L4-O5*Prices!Q5</f>
        <v>1</v>
      </c>
      <c r="M5" s="4">
        <f>M4+O5</f>
        <v>0.01</v>
      </c>
      <c r="N5" s="21"/>
      <c r="O5" s="13"/>
      <c r="P5" s="13"/>
      <c r="Q5" s="13">
        <f>Q4-T5*Prices!Q5</f>
        <v>1</v>
      </c>
      <c r="R5" s="4">
        <f t="shared" ref="R5:R17" si="0">R4+T5</f>
        <v>0.01</v>
      </c>
      <c r="S5" s="13"/>
      <c r="T5" s="13"/>
      <c r="W5" s="13"/>
      <c r="X5" s="4"/>
      <c r="Y5" s="21"/>
      <c r="Z5" s="13"/>
    </row>
    <row r="6" spans="1:31" x14ac:dyDescent="0.2">
      <c r="A6" s="66">
        <v>42237</v>
      </c>
      <c r="B6" s="13"/>
      <c r="C6" s="13"/>
      <c r="D6" s="13"/>
      <c r="E6" s="13"/>
      <c r="F6" s="13"/>
      <c r="G6" s="13"/>
      <c r="H6" s="13"/>
      <c r="I6" s="21"/>
      <c r="J6" s="13"/>
      <c r="K6" s="13"/>
      <c r="L6" s="13">
        <f>L5-O6*Prices!Q6</f>
        <v>1</v>
      </c>
      <c r="M6" s="4">
        <f>M5+O6</f>
        <v>0.01</v>
      </c>
      <c r="N6" s="21"/>
      <c r="O6" s="13"/>
      <c r="P6" s="13"/>
      <c r="Q6" s="13">
        <f>Q5-T6*Prices!Q6</f>
        <v>1</v>
      </c>
      <c r="R6" s="4">
        <f t="shared" si="0"/>
        <v>0.01</v>
      </c>
      <c r="S6" s="13"/>
      <c r="T6" s="13"/>
      <c r="W6" s="13"/>
      <c r="X6" s="4"/>
      <c r="Y6" s="21"/>
      <c r="Z6" s="13"/>
    </row>
    <row r="7" spans="1:31" x14ac:dyDescent="0.2">
      <c r="A7" s="66">
        <v>42244</v>
      </c>
      <c r="B7" s="13"/>
      <c r="C7" s="13"/>
      <c r="D7" s="13"/>
      <c r="E7" s="13"/>
      <c r="F7" s="13"/>
      <c r="G7" s="13"/>
      <c r="H7" s="13"/>
      <c r="I7" s="21"/>
      <c r="J7" s="13"/>
      <c r="K7" s="13"/>
      <c r="L7" s="13">
        <f>L6-O7*Prices!Q7</f>
        <v>1</v>
      </c>
      <c r="M7" s="4">
        <f>M6+O7</f>
        <v>0.01</v>
      </c>
      <c r="N7" s="13"/>
      <c r="O7" s="13"/>
      <c r="P7" s="22"/>
      <c r="Q7" s="13">
        <f>Q6-T7*Prices!Q7</f>
        <v>1</v>
      </c>
      <c r="R7" s="4">
        <f t="shared" si="0"/>
        <v>0.01</v>
      </c>
      <c r="S7" s="13"/>
      <c r="T7" s="13"/>
      <c r="U7" s="23"/>
      <c r="W7" s="13"/>
      <c r="X7" s="4"/>
      <c r="Y7" s="13"/>
      <c r="Z7" s="13"/>
    </row>
    <row r="8" spans="1:31" x14ac:dyDescent="0.2">
      <c r="A8" s="66">
        <v>42251</v>
      </c>
      <c r="B8" s="13"/>
      <c r="C8" s="13"/>
      <c r="D8" s="13"/>
      <c r="E8" s="13"/>
      <c r="F8" s="13"/>
      <c r="G8" s="21"/>
      <c r="H8" s="13"/>
      <c r="I8" s="21"/>
      <c r="J8" s="4"/>
      <c r="K8" s="13"/>
      <c r="L8" s="13">
        <f>L7-O8*Prices!Q8</f>
        <v>1</v>
      </c>
      <c r="M8" s="4">
        <f>M7+O8</f>
        <v>0.01</v>
      </c>
      <c r="N8" s="13"/>
      <c r="O8" s="4"/>
      <c r="P8" s="22"/>
      <c r="Q8" s="13">
        <f>Q7-T8*Prices!Q8</f>
        <v>1</v>
      </c>
      <c r="R8" s="4">
        <f t="shared" si="0"/>
        <v>0.01</v>
      </c>
      <c r="S8" s="13"/>
      <c r="T8" s="4"/>
      <c r="U8" s="23"/>
      <c r="V8" s="13"/>
      <c r="W8" s="13"/>
      <c r="X8" s="4"/>
      <c r="Y8" s="13"/>
      <c r="Z8" s="4"/>
    </row>
    <row r="9" spans="1:31" x14ac:dyDescent="0.2">
      <c r="A9" s="66">
        <v>42258</v>
      </c>
      <c r="B9" s="13"/>
      <c r="C9" s="13"/>
      <c r="D9" s="13"/>
      <c r="E9" s="13"/>
      <c r="F9" s="13"/>
      <c r="G9" s="21"/>
      <c r="H9" s="13"/>
      <c r="I9" s="21"/>
      <c r="J9" s="4"/>
      <c r="K9" s="13"/>
      <c r="L9" s="13">
        <f>L8-O9*Prices!Q9</f>
        <v>1</v>
      </c>
      <c r="M9" s="4">
        <f t="shared" ref="M9:M72" si="1">M8+O9</f>
        <v>0.01</v>
      </c>
      <c r="N9" s="13"/>
      <c r="O9" s="4"/>
      <c r="P9" s="22"/>
      <c r="Q9" s="13">
        <f>Q8-T9*Prices!Q9</f>
        <v>1</v>
      </c>
      <c r="R9" s="4">
        <f t="shared" si="0"/>
        <v>0.01</v>
      </c>
      <c r="S9" s="13"/>
      <c r="T9" s="4"/>
      <c r="V9" s="13"/>
      <c r="W9" s="13"/>
      <c r="X9" s="4"/>
      <c r="Y9" s="13"/>
      <c r="Z9" s="4"/>
    </row>
    <row r="10" spans="1:31" x14ac:dyDescent="0.2">
      <c r="A10" s="66">
        <v>42265</v>
      </c>
      <c r="B10" s="13"/>
      <c r="C10" s="13"/>
      <c r="D10" s="13"/>
      <c r="E10" s="13"/>
      <c r="F10" s="13"/>
      <c r="G10" s="21"/>
      <c r="H10" s="13"/>
      <c r="I10" s="21"/>
      <c r="J10" s="4"/>
      <c r="K10" s="13"/>
      <c r="L10" s="13">
        <f>L9-O10*Prices!Q10</f>
        <v>1</v>
      </c>
      <c r="M10" s="4">
        <f t="shared" si="1"/>
        <v>0.01</v>
      </c>
      <c r="N10" s="13"/>
      <c r="O10" s="4"/>
      <c r="P10" s="22"/>
      <c r="Q10" s="13">
        <f>Q9-T10*Prices!Q10</f>
        <v>1</v>
      </c>
      <c r="R10" s="4">
        <f t="shared" si="0"/>
        <v>0.01</v>
      </c>
      <c r="S10" s="13"/>
      <c r="T10" s="4"/>
      <c r="V10" s="13"/>
      <c r="W10" s="13"/>
      <c r="X10" s="4"/>
      <c r="Y10" s="13"/>
      <c r="Z10" s="4"/>
    </row>
    <row r="11" spans="1:31" x14ac:dyDescent="0.2">
      <c r="A11" s="66">
        <v>42272</v>
      </c>
      <c r="B11" s="13"/>
      <c r="C11" s="13"/>
      <c r="D11" s="13"/>
      <c r="E11" s="13"/>
      <c r="F11" s="13"/>
      <c r="G11" s="21"/>
      <c r="H11" s="13"/>
      <c r="I11" s="21"/>
      <c r="J11" s="4"/>
      <c r="K11" s="13"/>
      <c r="L11" s="13">
        <f>L10-O11*Prices!Q11</f>
        <v>1</v>
      </c>
      <c r="M11" s="4">
        <f t="shared" si="1"/>
        <v>0.01</v>
      </c>
      <c r="N11" s="13"/>
      <c r="O11" s="4"/>
      <c r="P11" s="22"/>
      <c r="Q11" s="13">
        <f>Q10-T11*Prices!Q11</f>
        <v>1</v>
      </c>
      <c r="R11" s="4">
        <f t="shared" si="0"/>
        <v>0.01</v>
      </c>
      <c r="S11" s="13"/>
      <c r="T11" s="4"/>
      <c r="V11" s="13"/>
      <c r="W11" s="13"/>
      <c r="X11" s="4"/>
      <c r="Y11" s="13"/>
      <c r="Z11" s="4"/>
    </row>
    <row r="12" spans="1:31" x14ac:dyDescent="0.2">
      <c r="A12" s="66">
        <v>42279</v>
      </c>
      <c r="B12" s="13"/>
      <c r="C12" s="13"/>
      <c r="D12" s="13"/>
      <c r="E12" s="13"/>
      <c r="F12" s="13"/>
      <c r="G12" s="21"/>
      <c r="H12" s="13"/>
      <c r="I12" s="21"/>
      <c r="J12" s="4"/>
      <c r="K12" s="13"/>
      <c r="L12" s="13">
        <f>L11-O12*Prices!Q12</f>
        <v>1</v>
      </c>
      <c r="M12" s="4">
        <f t="shared" si="1"/>
        <v>0.01</v>
      </c>
      <c r="N12" s="13"/>
      <c r="O12" s="4"/>
      <c r="P12" s="22"/>
      <c r="Q12" s="13">
        <f>Q11-T12*Prices!Q12</f>
        <v>1</v>
      </c>
      <c r="R12" s="4">
        <f t="shared" si="0"/>
        <v>0.01</v>
      </c>
      <c r="S12" s="13"/>
      <c r="T12" s="4"/>
      <c r="V12" s="13"/>
      <c r="W12" s="13"/>
      <c r="X12" s="4"/>
      <c r="Y12" s="13"/>
      <c r="Z12" s="4"/>
    </row>
    <row r="13" spans="1:31" x14ac:dyDescent="0.2">
      <c r="A13" s="66">
        <v>42286</v>
      </c>
      <c r="B13" s="13"/>
      <c r="C13" s="13"/>
      <c r="D13" s="13"/>
      <c r="E13" s="13"/>
      <c r="F13" s="13"/>
      <c r="G13" s="21"/>
      <c r="H13" s="13"/>
      <c r="I13" s="21"/>
      <c r="J13" s="4"/>
      <c r="K13" s="13"/>
      <c r="L13" s="13">
        <f>L12-O13*Prices!Q13</f>
        <v>1</v>
      </c>
      <c r="M13" s="4">
        <f t="shared" si="1"/>
        <v>0.01</v>
      </c>
      <c r="N13" s="13"/>
      <c r="O13" s="4"/>
      <c r="P13" s="22"/>
      <c r="Q13" s="13">
        <f>Q12-T13*Prices!Q13</f>
        <v>1</v>
      </c>
      <c r="R13" s="4">
        <f t="shared" si="0"/>
        <v>0.01</v>
      </c>
      <c r="S13" s="13"/>
      <c r="T13" s="4"/>
      <c r="V13" s="13"/>
      <c r="W13" s="13"/>
      <c r="X13" s="4"/>
      <c r="Y13" s="13"/>
      <c r="Z13" s="4"/>
    </row>
    <row r="14" spans="1:31" x14ac:dyDescent="0.2">
      <c r="A14" s="66">
        <v>42293</v>
      </c>
      <c r="B14" s="13"/>
      <c r="C14" s="13"/>
      <c r="D14" s="13"/>
      <c r="E14" s="13"/>
      <c r="F14" s="13"/>
      <c r="G14" s="21"/>
      <c r="H14" s="13"/>
      <c r="I14" s="21"/>
      <c r="J14" s="4"/>
      <c r="K14" s="13"/>
      <c r="L14" s="13">
        <f>L13-O14*Prices!Q14</f>
        <v>1</v>
      </c>
      <c r="M14" s="4">
        <f t="shared" si="1"/>
        <v>0.01</v>
      </c>
      <c r="N14" s="13"/>
      <c r="O14" s="4"/>
      <c r="P14" s="22"/>
      <c r="Q14" s="13">
        <f>Q13-T14*Prices!Q14</f>
        <v>1</v>
      </c>
      <c r="R14" s="4">
        <f t="shared" si="0"/>
        <v>0.01</v>
      </c>
      <c r="S14" s="13"/>
      <c r="T14" s="4"/>
      <c r="V14" s="13"/>
      <c r="W14" s="4"/>
      <c r="X14" s="4"/>
      <c r="Y14" s="4"/>
      <c r="Z14" s="4"/>
      <c r="AA14" s="13"/>
      <c r="AB14" s="4"/>
      <c r="AC14" s="4"/>
      <c r="AD14" s="4"/>
      <c r="AE14" s="52"/>
    </row>
    <row r="15" spans="1:31" x14ac:dyDescent="0.2">
      <c r="A15" s="66">
        <v>42300</v>
      </c>
      <c r="B15" s="13"/>
      <c r="C15" s="13"/>
      <c r="D15" s="13"/>
      <c r="E15" s="13"/>
      <c r="F15" s="13"/>
      <c r="G15" s="21"/>
      <c r="H15" s="13"/>
      <c r="I15" s="21"/>
      <c r="J15" s="4"/>
      <c r="K15" s="13"/>
      <c r="L15" s="13">
        <f>L14-O15*Prices!Q15</f>
        <v>1</v>
      </c>
      <c r="M15" s="4">
        <f t="shared" si="1"/>
        <v>0.01</v>
      </c>
      <c r="N15" s="13"/>
      <c r="O15" s="4"/>
      <c r="P15" s="22"/>
      <c r="Q15" s="13">
        <f>Q14-T15*Prices!Q15</f>
        <v>1</v>
      </c>
      <c r="R15" s="4">
        <f t="shared" si="0"/>
        <v>0.01</v>
      </c>
      <c r="S15" s="13"/>
      <c r="T15" s="4"/>
      <c r="V15" s="4"/>
      <c r="W15" s="4"/>
      <c r="X15" s="4"/>
      <c r="Y15" s="4"/>
      <c r="Z15" s="4"/>
      <c r="AA15" s="4"/>
      <c r="AB15" s="4"/>
      <c r="AC15" s="4"/>
      <c r="AD15" s="4"/>
      <c r="AE15" s="52"/>
    </row>
    <row r="16" spans="1:31" x14ac:dyDescent="0.2">
      <c r="A16" s="66">
        <v>42307</v>
      </c>
      <c r="B16" s="13"/>
      <c r="C16" s="13"/>
      <c r="D16" s="13"/>
      <c r="E16" s="13"/>
      <c r="F16" s="13"/>
      <c r="G16" s="21"/>
      <c r="H16" s="13"/>
      <c r="I16" s="21"/>
      <c r="J16" s="4"/>
      <c r="K16" s="13"/>
      <c r="L16" s="13">
        <f>L15-O16*Prices!Q16</f>
        <v>1</v>
      </c>
      <c r="M16" s="4">
        <f t="shared" si="1"/>
        <v>0.01</v>
      </c>
      <c r="N16" s="13"/>
      <c r="O16" s="4"/>
      <c r="P16" s="22"/>
      <c r="Q16" s="13">
        <f>Q15-T16*Prices!Q16</f>
        <v>1</v>
      </c>
      <c r="R16" s="4">
        <f t="shared" si="0"/>
        <v>0.01</v>
      </c>
      <c r="S16" s="13"/>
      <c r="T16" s="4"/>
      <c r="V16" s="4"/>
      <c r="W16" s="4"/>
      <c r="X16" s="4"/>
      <c r="Y16" s="4"/>
      <c r="Z16" s="4"/>
      <c r="AA16" s="4"/>
      <c r="AB16" s="4"/>
      <c r="AC16" s="4"/>
      <c r="AD16" s="4"/>
      <c r="AE16" s="52"/>
    </row>
    <row r="17" spans="1:31" x14ac:dyDescent="0.2">
      <c r="A17" s="66">
        <v>42314</v>
      </c>
      <c r="B17" s="13"/>
      <c r="C17" s="62"/>
      <c r="D17" s="13"/>
      <c r="E17" s="13"/>
      <c r="F17" s="13"/>
      <c r="G17" s="21"/>
      <c r="H17" s="13"/>
      <c r="I17" s="21"/>
      <c r="J17" s="4"/>
      <c r="K17" s="13"/>
      <c r="L17" s="13">
        <f>L16-O17*Prices!Q17</f>
        <v>1</v>
      </c>
      <c r="M17" s="4">
        <f t="shared" si="1"/>
        <v>0.01</v>
      </c>
      <c r="N17" s="13"/>
      <c r="O17" s="4"/>
      <c r="P17" s="22"/>
      <c r="Q17" s="13">
        <f>Q16-T17*Prices!Q17</f>
        <v>1</v>
      </c>
      <c r="R17" s="4">
        <f t="shared" si="0"/>
        <v>0.01</v>
      </c>
      <c r="S17" s="13"/>
      <c r="T17" s="4"/>
      <c r="V17" s="4"/>
      <c r="W17" s="4"/>
      <c r="X17" s="4"/>
      <c r="Y17" s="4"/>
      <c r="Z17" s="4"/>
      <c r="AA17" s="4"/>
      <c r="AB17" s="4"/>
      <c r="AC17" s="4"/>
      <c r="AD17" s="4"/>
      <c r="AE17" s="52"/>
    </row>
    <row r="18" spans="1:31" x14ac:dyDescent="0.2">
      <c r="A18" s="66">
        <v>42321</v>
      </c>
      <c r="B18" s="13"/>
      <c r="C18" s="62"/>
      <c r="D18" s="13"/>
      <c r="E18" s="13"/>
      <c r="F18" s="13"/>
      <c r="G18" s="21"/>
      <c r="H18" s="13"/>
      <c r="I18" s="21"/>
      <c r="J18" s="4"/>
      <c r="K18" s="13"/>
      <c r="L18" s="13">
        <f>L17-O18*Prices!Q18</f>
        <v>1</v>
      </c>
      <c r="M18" s="4">
        <f t="shared" si="1"/>
        <v>0.01</v>
      </c>
      <c r="N18" s="13"/>
      <c r="O18" s="4"/>
      <c r="P18" s="22"/>
      <c r="Q18" s="13">
        <f>Q17-T18*Prices!Q18</f>
        <v>1</v>
      </c>
      <c r="R18" s="4">
        <f t="shared" ref="R18:R81" si="2">R17+T18</f>
        <v>0.01</v>
      </c>
      <c r="S18" s="13"/>
      <c r="T18" s="4"/>
      <c r="V18" s="4"/>
      <c r="W18" s="4"/>
      <c r="X18" s="4"/>
      <c r="Y18" s="4"/>
      <c r="Z18" s="4"/>
      <c r="AA18" s="4"/>
      <c r="AB18" s="4"/>
      <c r="AC18" s="4"/>
      <c r="AD18" s="4"/>
      <c r="AE18" s="52"/>
    </row>
    <row r="19" spans="1:31" x14ac:dyDescent="0.2">
      <c r="A19" s="66">
        <v>42328</v>
      </c>
      <c r="B19" s="13"/>
      <c r="C19" s="62"/>
      <c r="D19" s="13"/>
      <c r="E19" s="13"/>
      <c r="F19" s="13"/>
      <c r="G19" s="21"/>
      <c r="H19" s="13"/>
      <c r="I19" s="21"/>
      <c r="J19" s="4"/>
      <c r="K19" s="13"/>
      <c r="L19" s="13">
        <f>L18-O19*Prices!Q19</f>
        <v>1</v>
      </c>
      <c r="M19" s="4">
        <f t="shared" si="1"/>
        <v>0.01</v>
      </c>
      <c r="N19" s="13"/>
      <c r="O19" s="4"/>
      <c r="P19" s="22"/>
      <c r="Q19" s="13">
        <f>Q18-T19*Prices!Q19</f>
        <v>1</v>
      </c>
      <c r="R19" s="4">
        <f t="shared" si="2"/>
        <v>0.01</v>
      </c>
      <c r="S19" s="13"/>
      <c r="T19" s="4"/>
      <c r="V19" s="4"/>
      <c r="W19" s="4"/>
      <c r="X19" s="4"/>
      <c r="Y19" s="4"/>
      <c r="Z19" s="4"/>
      <c r="AA19" s="4"/>
      <c r="AB19" s="4"/>
      <c r="AC19" s="4"/>
      <c r="AD19" s="4"/>
      <c r="AE19" s="52"/>
    </row>
    <row r="20" spans="1:31" x14ac:dyDescent="0.2">
      <c r="A20" s="66">
        <v>42335</v>
      </c>
      <c r="B20" s="13"/>
      <c r="C20" s="62"/>
      <c r="D20" s="13"/>
      <c r="E20" s="13"/>
      <c r="F20" s="13"/>
      <c r="G20" s="21"/>
      <c r="H20" s="13"/>
      <c r="I20" s="21"/>
      <c r="J20" s="4"/>
      <c r="K20" s="13"/>
      <c r="L20" s="13">
        <f>L19-O20*Prices!Q20</f>
        <v>1</v>
      </c>
      <c r="M20" s="4">
        <f t="shared" si="1"/>
        <v>0.01</v>
      </c>
      <c r="N20" s="13"/>
      <c r="O20" s="4"/>
      <c r="P20" s="22"/>
      <c r="Q20" s="13">
        <f>Q19-T20*Prices!Q20</f>
        <v>1</v>
      </c>
      <c r="R20" s="4">
        <f t="shared" si="2"/>
        <v>0.01</v>
      </c>
      <c r="S20" s="13"/>
      <c r="T20" s="4"/>
      <c r="V20" s="4"/>
      <c r="W20" s="4"/>
      <c r="X20" s="4"/>
      <c r="Y20" s="4"/>
      <c r="Z20" s="4"/>
      <c r="AA20" s="4"/>
      <c r="AB20" s="4"/>
      <c r="AC20" s="4"/>
      <c r="AD20" s="4"/>
      <c r="AE20" s="52"/>
    </row>
    <row r="21" spans="1:31" x14ac:dyDescent="0.2">
      <c r="A21" s="66">
        <v>42342</v>
      </c>
      <c r="B21" s="13"/>
      <c r="C21" s="62"/>
      <c r="D21" s="13"/>
      <c r="E21" s="13"/>
      <c r="F21" s="13"/>
      <c r="G21" s="21"/>
      <c r="H21" s="13"/>
      <c r="I21" s="21"/>
      <c r="J21" s="4"/>
      <c r="K21" s="13"/>
      <c r="L21" s="13">
        <f>L20-O21*Prices!Q21</f>
        <v>1</v>
      </c>
      <c r="M21" s="4">
        <f t="shared" si="1"/>
        <v>0.01</v>
      </c>
      <c r="N21" s="13"/>
      <c r="O21" s="4"/>
      <c r="P21" s="22"/>
      <c r="Q21" s="13">
        <f>Q20-T21*Prices!Q21</f>
        <v>1</v>
      </c>
      <c r="R21" s="4">
        <f t="shared" si="2"/>
        <v>0.01</v>
      </c>
      <c r="S21" s="13"/>
      <c r="T21" s="4"/>
      <c r="V21" s="4"/>
      <c r="W21" s="4"/>
      <c r="X21" s="4"/>
      <c r="Y21" s="4"/>
      <c r="Z21" s="4"/>
      <c r="AA21" s="4"/>
      <c r="AB21" s="4"/>
      <c r="AC21" s="4"/>
      <c r="AD21" s="4"/>
      <c r="AE21" s="52"/>
    </row>
    <row r="22" spans="1:31" x14ac:dyDescent="0.2">
      <c r="A22" s="66">
        <v>42349</v>
      </c>
      <c r="B22" s="13"/>
      <c r="C22" s="62"/>
      <c r="D22" s="13"/>
      <c r="E22" s="13"/>
      <c r="F22" s="13"/>
      <c r="G22" s="21"/>
      <c r="H22" s="13"/>
      <c r="I22" s="21"/>
      <c r="J22" s="4"/>
      <c r="K22" s="13"/>
      <c r="L22" s="13">
        <f>L21-O22*Prices!Q22</f>
        <v>1</v>
      </c>
      <c r="M22" s="4">
        <f t="shared" si="1"/>
        <v>0.01</v>
      </c>
      <c r="N22" s="13"/>
      <c r="O22" s="4"/>
      <c r="P22" s="22"/>
      <c r="Q22" s="13">
        <f>Q21-T22*Prices!Q22</f>
        <v>1</v>
      </c>
      <c r="R22" s="4">
        <f t="shared" si="2"/>
        <v>0.01</v>
      </c>
      <c r="S22" s="13"/>
      <c r="T22" s="4"/>
      <c r="V22" s="4"/>
      <c r="W22" s="4"/>
      <c r="X22" s="4"/>
      <c r="Y22" s="4"/>
      <c r="Z22" s="4"/>
      <c r="AA22" s="4"/>
      <c r="AB22" s="4"/>
      <c r="AC22" s="4"/>
      <c r="AD22" s="4"/>
      <c r="AE22" s="52"/>
    </row>
    <row r="23" spans="1:31" x14ac:dyDescent="0.2">
      <c r="A23" s="66">
        <v>42356</v>
      </c>
      <c r="B23" s="13"/>
      <c r="C23" s="62"/>
      <c r="D23" s="13"/>
      <c r="E23" s="13"/>
      <c r="F23" s="13"/>
      <c r="G23" s="21"/>
      <c r="H23" s="13"/>
      <c r="I23" s="21"/>
      <c r="J23" s="4"/>
      <c r="K23" s="13"/>
      <c r="L23" s="13">
        <f>L22-O23*Prices!Q23</f>
        <v>1</v>
      </c>
      <c r="M23" s="4">
        <f t="shared" si="1"/>
        <v>0.01</v>
      </c>
      <c r="N23" s="13"/>
      <c r="O23" s="4"/>
      <c r="P23" s="22"/>
      <c r="Q23" s="13">
        <f>Q22-T23*Prices!Q23</f>
        <v>1</v>
      </c>
      <c r="R23" s="4">
        <f t="shared" si="2"/>
        <v>0.01</v>
      </c>
      <c r="S23" s="13"/>
      <c r="T23" s="4"/>
      <c r="V23" s="4"/>
      <c r="W23" s="4"/>
      <c r="X23" s="4"/>
      <c r="Y23" s="4"/>
      <c r="Z23" s="4"/>
      <c r="AA23" s="4"/>
      <c r="AB23" s="4"/>
      <c r="AC23" s="4"/>
      <c r="AD23" s="4"/>
      <c r="AE23" s="52"/>
    </row>
    <row r="24" spans="1:31" x14ac:dyDescent="0.2">
      <c r="A24" s="66">
        <v>42363</v>
      </c>
      <c r="B24" s="13"/>
      <c r="C24" s="62"/>
      <c r="D24" s="13"/>
      <c r="E24" s="13"/>
      <c r="F24" s="13"/>
      <c r="G24" s="21"/>
      <c r="H24" s="13"/>
      <c r="I24" s="21"/>
      <c r="J24" s="4"/>
      <c r="K24" s="13"/>
      <c r="L24" s="13">
        <f>L23-O24*Prices!Q24</f>
        <v>1</v>
      </c>
      <c r="M24" s="4">
        <f t="shared" si="1"/>
        <v>0.01</v>
      </c>
      <c r="N24" s="13"/>
      <c r="O24" s="4"/>
      <c r="P24" s="22"/>
      <c r="Q24" s="13">
        <f>Q23-T24*Prices!Q24</f>
        <v>1</v>
      </c>
      <c r="R24" s="4">
        <f t="shared" si="2"/>
        <v>0.01</v>
      </c>
      <c r="S24" s="13"/>
      <c r="T24" s="4"/>
      <c r="V24" s="4"/>
      <c r="W24" s="4"/>
      <c r="X24" s="4"/>
      <c r="Y24" s="4"/>
      <c r="Z24" s="4"/>
      <c r="AA24" s="4"/>
      <c r="AB24" s="4"/>
      <c r="AC24" s="4"/>
      <c r="AD24" s="4"/>
      <c r="AE24" s="52"/>
    </row>
    <row r="25" spans="1:31" x14ac:dyDescent="0.2">
      <c r="A25" s="66">
        <v>42370</v>
      </c>
      <c r="B25" s="13"/>
      <c r="C25" s="62"/>
      <c r="D25" s="13"/>
      <c r="E25" s="13"/>
      <c r="F25" s="13"/>
      <c r="G25" s="21"/>
      <c r="H25" s="13"/>
      <c r="I25" s="21"/>
      <c r="J25" s="4"/>
      <c r="K25" s="13"/>
      <c r="L25" s="13">
        <f>L24-O25*Prices!Q25</f>
        <v>1</v>
      </c>
      <c r="M25" s="4">
        <f t="shared" si="1"/>
        <v>0.01</v>
      </c>
      <c r="N25" s="13"/>
      <c r="O25" s="4"/>
      <c r="P25" s="22"/>
      <c r="Q25" s="13">
        <f>Q24-T25*Prices!Q25</f>
        <v>1</v>
      </c>
      <c r="R25" s="4">
        <f t="shared" si="2"/>
        <v>0.01</v>
      </c>
      <c r="S25" s="13"/>
      <c r="T25" s="4"/>
      <c r="V25" s="4"/>
      <c r="W25" s="4"/>
      <c r="X25" s="4"/>
      <c r="Y25" s="4"/>
      <c r="Z25" s="4"/>
      <c r="AA25" s="4"/>
      <c r="AB25" s="4"/>
      <c r="AC25" s="4"/>
      <c r="AD25" s="4"/>
      <c r="AE25" s="52"/>
    </row>
    <row r="26" spans="1:31" x14ac:dyDescent="0.2">
      <c r="A26" s="66">
        <v>42377</v>
      </c>
      <c r="B26" s="13"/>
      <c r="C26" s="62"/>
      <c r="D26" s="13"/>
      <c r="E26" s="13"/>
      <c r="F26" s="13"/>
      <c r="G26" s="21"/>
      <c r="H26" s="13"/>
      <c r="I26" s="21"/>
      <c r="J26" s="4"/>
      <c r="K26" s="13"/>
      <c r="L26" s="13">
        <f>L25-O26*Prices!Q26</f>
        <v>1</v>
      </c>
      <c r="M26" s="4">
        <f t="shared" si="1"/>
        <v>0.01</v>
      </c>
      <c r="N26" s="13"/>
      <c r="O26" s="4"/>
      <c r="P26" s="22"/>
      <c r="Q26" s="13">
        <f>Q25-T26*Prices!Q26</f>
        <v>1</v>
      </c>
      <c r="R26" s="4">
        <f t="shared" si="2"/>
        <v>0.01</v>
      </c>
      <c r="S26" s="13"/>
      <c r="T26" s="4"/>
      <c r="V26" s="4"/>
      <c r="W26" s="4"/>
      <c r="X26" s="4"/>
      <c r="Y26" s="4"/>
      <c r="Z26" s="4"/>
      <c r="AA26" s="4"/>
      <c r="AB26" s="4"/>
      <c r="AC26" s="4"/>
      <c r="AD26" s="4"/>
      <c r="AE26" s="52"/>
    </row>
    <row r="27" spans="1:31" x14ac:dyDescent="0.2">
      <c r="A27" s="66">
        <v>42384</v>
      </c>
      <c r="B27" s="13"/>
      <c r="C27" s="62"/>
      <c r="D27" s="13"/>
      <c r="E27" s="13"/>
      <c r="F27" s="13"/>
      <c r="G27" s="21"/>
      <c r="H27" s="13"/>
      <c r="I27" s="21"/>
      <c r="J27" s="4"/>
      <c r="K27" s="13"/>
      <c r="L27" s="13">
        <f>L26-O27*Prices!Q27</f>
        <v>1</v>
      </c>
      <c r="M27" s="4">
        <f t="shared" si="1"/>
        <v>0.01</v>
      </c>
      <c r="N27" s="13"/>
      <c r="O27" s="4"/>
      <c r="P27" s="22"/>
      <c r="Q27" s="13">
        <f>Q26-T27*Prices!Q27</f>
        <v>1</v>
      </c>
      <c r="R27" s="4">
        <f t="shared" si="2"/>
        <v>0.01</v>
      </c>
      <c r="S27" s="13"/>
      <c r="T27" s="4"/>
      <c r="V27" s="4"/>
      <c r="W27" s="4"/>
      <c r="X27" s="4"/>
      <c r="Y27" s="4"/>
      <c r="Z27" s="4"/>
      <c r="AA27" s="4"/>
      <c r="AB27" s="4"/>
      <c r="AC27" s="4"/>
      <c r="AD27" s="4"/>
      <c r="AE27" s="52"/>
    </row>
    <row r="28" spans="1:31" x14ac:dyDescent="0.2">
      <c r="A28" s="66">
        <v>42391</v>
      </c>
      <c r="B28" s="13"/>
      <c r="C28" s="62"/>
      <c r="D28" s="13"/>
      <c r="E28" s="13"/>
      <c r="F28" s="13"/>
      <c r="G28" s="21"/>
      <c r="H28" s="13"/>
      <c r="I28" s="21"/>
      <c r="J28" s="4"/>
      <c r="K28" s="13"/>
      <c r="L28" s="13">
        <f>L27-O28*Prices!Q28</f>
        <v>1</v>
      </c>
      <c r="M28" s="4">
        <f t="shared" si="1"/>
        <v>0.01</v>
      </c>
      <c r="N28" s="13"/>
      <c r="O28" s="4"/>
      <c r="P28" s="22"/>
      <c r="Q28" s="13">
        <f>Q27-T28*Prices!Q28</f>
        <v>1</v>
      </c>
      <c r="R28" s="4">
        <f t="shared" si="2"/>
        <v>0.01</v>
      </c>
      <c r="S28" s="13"/>
      <c r="T28" s="4"/>
      <c r="V28" s="4"/>
      <c r="W28" s="4"/>
      <c r="X28" s="4"/>
      <c r="Y28" s="4"/>
      <c r="Z28" s="4"/>
      <c r="AA28" s="4"/>
      <c r="AB28" s="4"/>
      <c r="AC28" s="4"/>
      <c r="AD28" s="4"/>
      <c r="AE28" s="52"/>
    </row>
    <row r="29" spans="1:31" x14ac:dyDescent="0.2">
      <c r="A29" s="66">
        <v>42398</v>
      </c>
      <c r="B29" s="13"/>
      <c r="C29" s="62"/>
      <c r="D29" s="13"/>
      <c r="E29" s="13"/>
      <c r="F29" s="13"/>
      <c r="G29" s="21"/>
      <c r="H29" s="13"/>
      <c r="I29" s="21"/>
      <c r="J29" s="4"/>
      <c r="K29" s="13"/>
      <c r="L29" s="13">
        <f>L28-O29*Prices!Q29</f>
        <v>1</v>
      </c>
      <c r="M29" s="4">
        <f t="shared" si="1"/>
        <v>0.01</v>
      </c>
      <c r="N29" s="13"/>
      <c r="O29" s="4"/>
      <c r="P29" s="22"/>
      <c r="Q29" s="13">
        <f>Q28-T29*Prices!Q29</f>
        <v>1</v>
      </c>
      <c r="R29" s="4">
        <f t="shared" si="2"/>
        <v>0.01</v>
      </c>
      <c r="S29" s="13"/>
      <c r="T29" s="4"/>
      <c r="V29" s="4"/>
      <c r="W29" s="4"/>
      <c r="X29" s="4"/>
      <c r="Y29" s="4"/>
      <c r="Z29" s="4"/>
      <c r="AA29" s="4"/>
      <c r="AB29" s="4"/>
      <c r="AC29" s="4"/>
      <c r="AD29" s="4"/>
      <c r="AE29" s="52"/>
    </row>
    <row r="30" spans="1:31" x14ac:dyDescent="0.2">
      <c r="A30" s="66">
        <v>42405</v>
      </c>
      <c r="B30" s="13"/>
      <c r="C30" s="62"/>
      <c r="D30" s="13"/>
      <c r="E30" s="13"/>
      <c r="F30" s="13"/>
      <c r="G30" s="21"/>
      <c r="H30" s="13"/>
      <c r="I30" s="21"/>
      <c r="J30" s="4"/>
      <c r="K30" s="13"/>
      <c r="L30" s="13">
        <f>L29-O30*Prices!Q30</f>
        <v>1</v>
      </c>
      <c r="M30" s="4">
        <f t="shared" si="1"/>
        <v>0.01</v>
      </c>
      <c r="N30" s="13"/>
      <c r="O30" s="4"/>
      <c r="P30" s="22"/>
      <c r="Q30" s="13">
        <f>Q29-T30*Prices!Q30</f>
        <v>1</v>
      </c>
      <c r="R30" s="4">
        <f t="shared" si="2"/>
        <v>0.01</v>
      </c>
      <c r="S30" s="13"/>
      <c r="T30" s="4"/>
      <c r="V30" s="4"/>
      <c r="W30" s="4"/>
      <c r="X30" s="4"/>
      <c r="Y30" s="4"/>
      <c r="Z30" s="4"/>
      <c r="AA30" s="4"/>
      <c r="AB30" s="4"/>
      <c r="AC30" s="4"/>
      <c r="AD30" s="4"/>
      <c r="AE30" s="52"/>
    </row>
    <row r="31" spans="1:31" x14ac:dyDescent="0.2">
      <c r="A31" s="66">
        <v>42412</v>
      </c>
      <c r="B31" s="13"/>
      <c r="C31" s="62"/>
      <c r="D31" s="13"/>
      <c r="E31" s="13"/>
      <c r="F31" s="13"/>
      <c r="G31" s="21"/>
      <c r="H31" s="13"/>
      <c r="I31" s="21"/>
      <c r="J31" s="4"/>
      <c r="K31" s="13"/>
      <c r="L31" s="13">
        <f>L30-O31*Prices!Q31</f>
        <v>1</v>
      </c>
      <c r="M31" s="4">
        <f t="shared" si="1"/>
        <v>0.01</v>
      </c>
      <c r="N31" s="13"/>
      <c r="O31" s="4"/>
      <c r="P31" s="22"/>
      <c r="Q31" s="13">
        <f>Q30-T31*Prices!Q31</f>
        <v>1</v>
      </c>
      <c r="R31" s="4">
        <f t="shared" si="2"/>
        <v>0.01</v>
      </c>
      <c r="S31" s="13"/>
      <c r="T31" s="4"/>
      <c r="V31" s="4"/>
      <c r="W31" s="4"/>
      <c r="X31" s="4"/>
      <c r="Y31" s="4"/>
      <c r="Z31" s="4"/>
      <c r="AA31" s="4"/>
      <c r="AB31" s="4"/>
      <c r="AC31" s="4"/>
      <c r="AD31" s="4"/>
      <c r="AE31" s="52"/>
    </row>
    <row r="32" spans="1:31" x14ac:dyDescent="0.2">
      <c r="A32" s="66">
        <v>42419</v>
      </c>
      <c r="B32" s="13"/>
      <c r="C32" s="62"/>
      <c r="D32" s="13"/>
      <c r="E32" s="13"/>
      <c r="F32" s="13"/>
      <c r="G32" s="21"/>
      <c r="H32" s="13"/>
      <c r="I32" s="21"/>
      <c r="J32" s="4"/>
      <c r="K32" s="13"/>
      <c r="L32" s="13">
        <f>L31-O32*Prices!Q32</f>
        <v>1</v>
      </c>
      <c r="M32" s="4">
        <f t="shared" si="1"/>
        <v>0.01</v>
      </c>
      <c r="N32" s="13"/>
      <c r="O32" s="4"/>
      <c r="P32" s="22"/>
      <c r="Q32" s="13">
        <f>Q31-T32*Prices!Q32</f>
        <v>1</v>
      </c>
      <c r="R32" s="4">
        <f t="shared" si="2"/>
        <v>0.01</v>
      </c>
      <c r="S32" s="13"/>
      <c r="T32" s="4"/>
      <c r="V32" s="4"/>
      <c r="W32" s="4"/>
      <c r="X32" s="4"/>
      <c r="Y32" s="4"/>
      <c r="Z32" s="4"/>
      <c r="AA32" s="4"/>
      <c r="AB32" s="4"/>
      <c r="AC32" s="4"/>
      <c r="AD32" s="4"/>
      <c r="AE32" s="52"/>
    </row>
    <row r="33" spans="1:31" x14ac:dyDescent="0.2">
      <c r="A33" s="66">
        <v>42426</v>
      </c>
      <c r="B33" s="13"/>
      <c r="C33" s="62"/>
      <c r="D33" s="13"/>
      <c r="E33" s="13"/>
      <c r="F33" s="13"/>
      <c r="G33" s="21"/>
      <c r="H33" s="13"/>
      <c r="I33" s="21"/>
      <c r="J33" s="4"/>
      <c r="K33" s="13"/>
      <c r="L33" s="13">
        <f>L32-O33*Prices!Q33</f>
        <v>1</v>
      </c>
      <c r="M33" s="4">
        <f t="shared" si="1"/>
        <v>0.01</v>
      </c>
      <c r="N33" s="13"/>
      <c r="O33" s="4"/>
      <c r="P33" s="22"/>
      <c r="Q33" s="13">
        <f>Q32-T33*Prices!Q33</f>
        <v>1</v>
      </c>
      <c r="R33" s="4">
        <f t="shared" si="2"/>
        <v>0.01</v>
      </c>
      <c r="S33" s="13"/>
      <c r="T33" s="4"/>
      <c r="V33" s="13"/>
      <c r="W33" s="4"/>
      <c r="X33" s="4"/>
      <c r="Y33" s="4"/>
      <c r="Z33" s="4"/>
      <c r="AA33" s="4"/>
      <c r="AB33" s="4"/>
      <c r="AC33" s="4"/>
      <c r="AD33" s="4"/>
      <c r="AE33" s="52"/>
    </row>
    <row r="34" spans="1:31" x14ac:dyDescent="0.2">
      <c r="A34" s="66">
        <v>42433</v>
      </c>
      <c r="B34" s="13"/>
      <c r="C34" s="62"/>
      <c r="D34" s="13"/>
      <c r="E34" s="13"/>
      <c r="F34" s="13"/>
      <c r="G34" s="21"/>
      <c r="H34" s="13"/>
      <c r="I34" s="21"/>
      <c r="J34" s="4"/>
      <c r="K34" s="13"/>
      <c r="L34" s="13">
        <f>L33-O34*Prices!Q34</f>
        <v>1</v>
      </c>
      <c r="M34" s="4">
        <f t="shared" si="1"/>
        <v>0.01</v>
      </c>
      <c r="N34" s="13"/>
      <c r="O34" s="4"/>
      <c r="P34" s="22"/>
      <c r="Q34" s="13">
        <f>Q33-T34*Prices!Q34</f>
        <v>1</v>
      </c>
      <c r="R34" s="4">
        <f t="shared" si="2"/>
        <v>0.01</v>
      </c>
      <c r="S34" s="13"/>
      <c r="T34" s="4"/>
      <c r="V34" s="13"/>
      <c r="W34" s="4"/>
      <c r="X34" s="4"/>
      <c r="Y34" s="4"/>
      <c r="Z34" s="4"/>
      <c r="AA34" s="4"/>
      <c r="AB34" s="4"/>
      <c r="AC34" s="4"/>
      <c r="AD34" s="4"/>
      <c r="AE34" s="52"/>
    </row>
    <row r="35" spans="1:31" x14ac:dyDescent="0.2">
      <c r="A35" s="66">
        <v>42440</v>
      </c>
      <c r="B35" s="13"/>
      <c r="C35" s="62"/>
      <c r="D35" s="13"/>
      <c r="E35" s="13"/>
      <c r="F35" s="13"/>
      <c r="G35" s="21"/>
      <c r="H35" s="13"/>
      <c r="I35" s="21"/>
      <c r="J35" s="4"/>
      <c r="K35" s="13"/>
      <c r="L35" s="13">
        <f>L34-O35*Prices!Q35</f>
        <v>1</v>
      </c>
      <c r="M35" s="4">
        <f t="shared" si="1"/>
        <v>0.01</v>
      </c>
      <c r="N35" s="13"/>
      <c r="O35" s="4"/>
      <c r="P35" s="22"/>
      <c r="Q35" s="13">
        <f>Q34-T35*Prices!Q35</f>
        <v>1</v>
      </c>
      <c r="R35" s="4">
        <f t="shared" si="2"/>
        <v>0.01</v>
      </c>
      <c r="S35" s="13"/>
      <c r="T35" s="4"/>
      <c r="V35" s="13"/>
      <c r="W35" s="4"/>
      <c r="X35" s="4"/>
      <c r="Y35" s="4"/>
      <c r="Z35" s="4"/>
      <c r="AA35" s="4"/>
      <c r="AB35" s="4"/>
      <c r="AC35" s="4"/>
      <c r="AD35" s="4"/>
      <c r="AE35" s="52"/>
    </row>
    <row r="36" spans="1:31" x14ac:dyDescent="0.2">
      <c r="A36" s="66">
        <v>42447</v>
      </c>
      <c r="B36" s="13"/>
      <c r="C36" s="62"/>
      <c r="D36" s="13"/>
      <c r="E36" s="13"/>
      <c r="F36" s="13"/>
      <c r="G36" s="21"/>
      <c r="H36" s="13"/>
      <c r="I36" s="21"/>
      <c r="J36" s="4"/>
      <c r="K36" s="13"/>
      <c r="L36" s="13">
        <f>L35-O36*Prices!Q36</f>
        <v>1</v>
      </c>
      <c r="M36" s="4">
        <f t="shared" si="1"/>
        <v>0.01</v>
      </c>
      <c r="N36" s="13"/>
      <c r="O36" s="4"/>
      <c r="P36" s="22"/>
      <c r="Q36" s="13">
        <f>Q35-T36*Prices!Q36</f>
        <v>1</v>
      </c>
      <c r="R36" s="4">
        <f t="shared" si="2"/>
        <v>0.01</v>
      </c>
      <c r="S36" s="13"/>
      <c r="T36" s="4"/>
      <c r="V36" s="13"/>
      <c r="W36" s="4"/>
      <c r="X36" s="4"/>
      <c r="Y36" s="4"/>
      <c r="Z36" s="4"/>
      <c r="AA36" s="4"/>
      <c r="AB36" s="4"/>
      <c r="AC36" s="4"/>
      <c r="AD36" s="4"/>
      <c r="AE36" s="52"/>
    </row>
    <row r="37" spans="1:31" x14ac:dyDescent="0.2">
      <c r="A37" s="66">
        <v>42454</v>
      </c>
      <c r="B37" s="13"/>
      <c r="C37" s="62"/>
      <c r="D37" s="13"/>
      <c r="E37" s="13"/>
      <c r="F37" s="13"/>
      <c r="G37" s="21"/>
      <c r="H37" s="13"/>
      <c r="I37" s="21"/>
      <c r="J37" s="4"/>
      <c r="K37" s="13"/>
      <c r="L37" s="13">
        <f>L36-O37*Prices!Q37</f>
        <v>1</v>
      </c>
      <c r="M37" s="4">
        <f t="shared" si="1"/>
        <v>0.01</v>
      </c>
      <c r="N37" s="13"/>
      <c r="O37" s="4"/>
      <c r="P37" s="22"/>
      <c r="Q37" s="13">
        <f>Q36-T37*Prices!Q37</f>
        <v>1</v>
      </c>
      <c r="R37" s="4">
        <f t="shared" si="2"/>
        <v>0.01</v>
      </c>
      <c r="S37" s="13"/>
      <c r="T37" s="4"/>
      <c r="V37" s="13"/>
      <c r="W37" s="4"/>
      <c r="X37" s="4"/>
      <c r="Y37" s="4"/>
      <c r="Z37" s="4"/>
      <c r="AA37" s="4"/>
      <c r="AB37" s="4"/>
      <c r="AC37" s="4"/>
      <c r="AD37" s="4"/>
      <c r="AE37" s="52"/>
    </row>
    <row r="38" spans="1:31" x14ac:dyDescent="0.2">
      <c r="A38" s="66">
        <v>42461</v>
      </c>
      <c r="B38" s="13"/>
      <c r="C38" s="62"/>
      <c r="D38" s="13"/>
      <c r="E38" s="13"/>
      <c r="F38" s="13"/>
      <c r="G38" s="21"/>
      <c r="H38" s="13"/>
      <c r="I38" s="21"/>
      <c r="J38" s="4"/>
      <c r="K38" s="13"/>
      <c r="L38" s="13">
        <f>L37-O38*Prices!Q38</f>
        <v>1</v>
      </c>
      <c r="M38" s="4">
        <f t="shared" si="1"/>
        <v>0.01</v>
      </c>
      <c r="N38" s="13"/>
      <c r="O38" s="4"/>
      <c r="P38" s="22"/>
      <c r="Q38" s="13">
        <f>Q37-T38*Prices!Q38</f>
        <v>1</v>
      </c>
      <c r="R38" s="4">
        <f t="shared" si="2"/>
        <v>0.01</v>
      </c>
      <c r="S38" s="13"/>
      <c r="T38" s="4"/>
      <c r="V38" s="13"/>
      <c r="W38" s="4"/>
      <c r="X38" s="4"/>
      <c r="Y38" s="4"/>
      <c r="Z38" s="4"/>
      <c r="AA38" s="4"/>
      <c r="AB38" s="4"/>
      <c r="AC38" s="4"/>
      <c r="AD38" s="4"/>
      <c r="AE38" s="52"/>
    </row>
    <row r="39" spans="1:31" x14ac:dyDescent="0.2">
      <c r="A39" s="66">
        <v>42468</v>
      </c>
      <c r="B39" s="13"/>
      <c r="C39" s="62"/>
      <c r="D39" s="13"/>
      <c r="E39" s="13"/>
      <c r="F39" s="13"/>
      <c r="G39" s="21"/>
      <c r="H39" s="13"/>
      <c r="I39" s="21"/>
      <c r="J39" s="4"/>
      <c r="K39" s="13"/>
      <c r="L39" s="13">
        <f>L38-O39*Prices!Q39</f>
        <v>1</v>
      </c>
      <c r="M39" s="4">
        <f t="shared" si="1"/>
        <v>0.01</v>
      </c>
      <c r="N39" s="13"/>
      <c r="O39" s="4"/>
      <c r="P39" s="22"/>
      <c r="Q39" s="13">
        <f>Q38-T39*Prices!Q39</f>
        <v>1</v>
      </c>
      <c r="R39" s="4">
        <f t="shared" si="2"/>
        <v>0.01</v>
      </c>
      <c r="S39" s="13"/>
      <c r="T39" s="4"/>
      <c r="V39" s="13"/>
      <c r="W39" s="4"/>
      <c r="X39" s="4"/>
      <c r="Y39" s="4"/>
      <c r="Z39" s="4"/>
      <c r="AA39" s="4"/>
      <c r="AB39" s="4"/>
      <c r="AC39" s="4"/>
      <c r="AD39" s="4"/>
      <c r="AE39" s="52"/>
    </row>
    <row r="40" spans="1:31" x14ac:dyDescent="0.2">
      <c r="A40" s="66">
        <v>42475</v>
      </c>
      <c r="B40" s="13"/>
      <c r="C40" s="62"/>
      <c r="D40" s="13"/>
      <c r="E40" s="13"/>
      <c r="F40" s="13"/>
      <c r="G40" s="21"/>
      <c r="H40" s="13"/>
      <c r="I40" s="21"/>
      <c r="J40" s="4"/>
      <c r="K40" s="13"/>
      <c r="L40" s="13">
        <f>L39-O40*Prices!Q40</f>
        <v>1</v>
      </c>
      <c r="M40" s="4">
        <f t="shared" si="1"/>
        <v>0.01</v>
      </c>
      <c r="N40" s="13"/>
      <c r="O40" s="4"/>
      <c r="P40" s="22"/>
      <c r="Q40" s="13">
        <f>Q39-T40*Prices!Q40</f>
        <v>1</v>
      </c>
      <c r="R40" s="4">
        <f t="shared" si="2"/>
        <v>0.01</v>
      </c>
      <c r="S40" s="13"/>
      <c r="T40" s="4"/>
      <c r="V40" s="13"/>
      <c r="W40" s="4"/>
      <c r="X40" s="4"/>
      <c r="Y40" s="4"/>
      <c r="Z40" s="4"/>
      <c r="AA40" s="4"/>
      <c r="AB40" s="4"/>
      <c r="AC40" s="4"/>
      <c r="AD40" s="4"/>
      <c r="AE40" s="52"/>
    </row>
    <row r="41" spans="1:31" x14ac:dyDescent="0.2">
      <c r="A41" s="66">
        <v>42482</v>
      </c>
      <c r="B41" s="13">
        <f ca="1">Prices!Q40*(1+J41/(50*(ABS(O41)+ABS(T41)+0.0001)))</f>
        <v>8.3950817054809566</v>
      </c>
      <c r="C41" s="62">
        <f t="shared" ref="C41:C104" ca="1" si="3">IF(J41&gt;0,1,IF(J41&lt;0,0,0))</f>
        <v>1</v>
      </c>
      <c r="D41" s="13">
        <f ca="1">D40+C41*(Prices!Q41-Prices!Q40)/Prices!Q40</f>
        <v>-5.1138086907572461E-2</v>
      </c>
      <c r="E41" s="13">
        <f t="shared" ref="E41:E80" ca="1" si="4">F41-D41</f>
        <v>0</v>
      </c>
      <c r="F41" s="13">
        <f t="shared" ref="F41:F80" ca="1" si="5">MAX(F40,D41)</f>
        <v>-5.1138086907572461E-2</v>
      </c>
      <c r="G41" s="21">
        <f ca="1">IF((Prices!Q41-Prices!Q40)*C41&gt;0,1,0)</f>
        <v>0</v>
      </c>
      <c r="H41" s="13">
        <f>ABS(Prices!Q41-Prices!Q40)/Prices!Q40</f>
        <v>5.1138086907572461E-2</v>
      </c>
      <c r="I41" s="21"/>
      <c r="J41" s="4">
        <f t="shared" ref="J41:J80" ca="1" si="6">O41+T41</f>
        <v>1.2131829310014341E-3</v>
      </c>
      <c r="K41" s="13"/>
      <c r="L41" s="13">
        <f ca="1">L40-O41*Prices!Q41</f>
        <v>0.99051138086907575</v>
      </c>
      <c r="M41" s="4">
        <f t="shared" ca="1" si="1"/>
        <v>1.1213182931001434E-2</v>
      </c>
      <c r="N41" s="13">
        <f ca="1">IF(Prices!P40&gt;OFFSET(Prices!P40,-$N$3,0),1,-1)</f>
        <v>1</v>
      </c>
      <c r="O41" s="4">
        <f ca="1">IF(N41=1,O$3*L40/Prices!Q40,-O$3*M40)</f>
        <v>1.2131829310014341E-3</v>
      </c>
      <c r="P41" s="22"/>
      <c r="Q41" s="13">
        <f ca="1">Q40-T41*Prices!Q41</f>
        <v>1</v>
      </c>
      <c r="R41" s="4">
        <f t="shared" ca="1" si="2"/>
        <v>0.01</v>
      </c>
      <c r="S41" s="13">
        <f ca="1">IF(Prices!D40&gt;OFFSET(Prices!D40,-S$3,0),1,-1)</f>
        <v>-1</v>
      </c>
      <c r="T41" s="4">
        <f ca="1">IF(S41=1,T$3*Q40/Prices!Q40,-T$3*R40)</f>
        <v>0</v>
      </c>
      <c r="V41" s="13"/>
      <c r="W41" s="4"/>
      <c r="X41" s="4"/>
      <c r="Y41" s="4"/>
      <c r="Z41" s="4"/>
      <c r="AA41" s="4"/>
      <c r="AB41" s="4"/>
      <c r="AC41" s="4"/>
      <c r="AD41" s="4"/>
      <c r="AE41" s="52"/>
    </row>
    <row r="42" spans="1:31" x14ac:dyDescent="0.2">
      <c r="A42" s="66">
        <v>42489</v>
      </c>
      <c r="B42" s="13">
        <f ca="1">Prices!Q41*(1+J42/(50*(ABS(O42)+ABS(T42)+0.0001)))</f>
        <v>7.9662375092804822</v>
      </c>
      <c r="C42" s="62">
        <f t="shared" ca="1" si="3"/>
        <v>1</v>
      </c>
      <c r="D42" s="13">
        <f ca="1">D41+C42*(Prices!Q42-Prices!Q41)/Prices!Q41</f>
        <v>-9.7674067043765259E-2</v>
      </c>
      <c r="E42" s="13">
        <f t="shared" ca="1" si="4"/>
        <v>4.6535980136192798E-2</v>
      </c>
      <c r="F42" s="13">
        <f t="shared" ca="1" si="5"/>
        <v>-5.1138086907572461E-2</v>
      </c>
      <c r="G42" s="21">
        <f ca="1">IF((Prices!Q42-Prices!Q41)*C42&gt;0,1,0)</f>
        <v>0</v>
      </c>
      <c r="H42" s="13">
        <f>ABS(Prices!Q42-Prices!Q41)/Prices!Q41</f>
        <v>4.6535980136192798E-2</v>
      </c>
      <c r="I42" s="21"/>
      <c r="J42" s="4">
        <f t="shared" ca="1" si="6"/>
        <v>1.2664345397916396E-3</v>
      </c>
      <c r="K42" s="13"/>
      <c r="L42" s="13">
        <f ca="1">L41-O42*Prices!Q42</f>
        <v>0.98106721123983298</v>
      </c>
      <c r="M42" s="4">
        <f t="shared" ca="1" si="1"/>
        <v>1.2479617470793073E-2</v>
      </c>
      <c r="N42" s="13">
        <f ca="1">IF(Prices!P41&gt;OFFSET(Prices!P41,-$N$3,0),1,-1)</f>
        <v>1</v>
      </c>
      <c r="O42" s="4">
        <f ca="1">IF(N42=1,O$3*L41/Prices!Q41,-O$3*M41)</f>
        <v>1.2664345397916396E-3</v>
      </c>
      <c r="P42" s="22"/>
      <c r="Q42" s="13">
        <f ca="1">Q41-T42*Prices!Q42</f>
        <v>1</v>
      </c>
      <c r="R42" s="4">
        <f t="shared" ca="1" si="2"/>
        <v>0.01</v>
      </c>
      <c r="S42" s="13">
        <f ca="1">IF(Prices!D41&gt;OFFSET(Prices!D41,-S$3,0),1,-1)</f>
        <v>1</v>
      </c>
      <c r="T42" s="4">
        <f ca="1">IF(S42=1,T$3*Q41/Prices!Q41,-T$3*R41)</f>
        <v>0</v>
      </c>
      <c r="V42" s="13"/>
      <c r="W42" s="4"/>
      <c r="X42" s="4"/>
      <c r="Y42" s="4"/>
      <c r="Z42" s="4"/>
      <c r="AA42" s="4"/>
      <c r="AB42" s="4"/>
      <c r="AC42" s="4"/>
      <c r="AD42" s="4"/>
      <c r="AE42" s="52"/>
    </row>
    <row r="43" spans="1:31" x14ac:dyDescent="0.2">
      <c r="A43" s="66">
        <v>42496</v>
      </c>
      <c r="B43" s="13">
        <f ca="1">Prices!Q42*(1+J43/(50*(ABS(O43)+ABS(T43)+0.0001)))</f>
        <v>7.5958997899427878</v>
      </c>
      <c r="C43" s="62">
        <f t="shared" ca="1" si="3"/>
        <v>1</v>
      </c>
      <c r="D43" s="13">
        <f ca="1">D42+C43*(Prices!Q43-Prices!Q42)/Prices!Q42</f>
        <v>0.15568204489502219</v>
      </c>
      <c r="E43" s="13">
        <f t="shared" ca="1" si="4"/>
        <v>0</v>
      </c>
      <c r="F43" s="13">
        <f t="shared" ca="1" si="5"/>
        <v>0.15568204489502219</v>
      </c>
      <c r="G43" s="21">
        <f ca="1">IF((Prices!Q43-Prices!Q42)*C43&gt;0,1,0)</f>
        <v>1</v>
      </c>
      <c r="H43" s="13">
        <f>ABS(Prices!Q43-Prices!Q42)/Prices!Q42</f>
        <v>0.25335611193878743</v>
      </c>
      <c r="I43" s="21"/>
      <c r="J43" s="4">
        <f t="shared" ca="1" si="6"/>
        <v>1.3155814126040867E-3</v>
      </c>
      <c r="K43" s="13"/>
      <c r="L43" s="13">
        <f ca="1">L42-O43*Prices!Q43</f>
        <v>0.9687709453855311</v>
      </c>
      <c r="M43" s="4">
        <f t="shared" ca="1" si="1"/>
        <v>1.3795198883397159E-2</v>
      </c>
      <c r="N43" s="13">
        <f ca="1">IF(Prices!P42&gt;OFFSET(Prices!P42,-$N$3,0),1,-1)</f>
        <v>1</v>
      </c>
      <c r="O43" s="4">
        <f ca="1">IF(N43=1,O$3*L42/Prices!Q42,-O$3*M42)</f>
        <v>1.3155814126040867E-3</v>
      </c>
      <c r="P43" s="22"/>
      <c r="Q43" s="13">
        <f ca="1">Q42-T43*Prices!Q43</f>
        <v>1</v>
      </c>
      <c r="R43" s="4">
        <f t="shared" ca="1" si="2"/>
        <v>0.01</v>
      </c>
      <c r="S43" s="13">
        <f ca="1">IF(Prices!D42&gt;OFFSET(Prices!D42,-S$3,0),1,-1)</f>
        <v>1</v>
      </c>
      <c r="T43" s="4">
        <f ca="1">IF(S43=1,T$3*Q42/Prices!Q42,-T$3*R42)</f>
        <v>0</v>
      </c>
      <c r="V43" s="13"/>
      <c r="W43" s="4"/>
      <c r="X43" s="4"/>
      <c r="Y43" s="4"/>
      <c r="Z43" s="4"/>
      <c r="AA43" s="4"/>
      <c r="AB43" s="4"/>
      <c r="AC43" s="4"/>
      <c r="AD43" s="4"/>
      <c r="AE43" s="52"/>
    </row>
    <row r="44" spans="1:31" x14ac:dyDescent="0.2">
      <c r="A44" s="66">
        <v>42503</v>
      </c>
      <c r="B44" s="13">
        <f ca="1">Prices!Q43*(1+J44/(50*(ABS(O44)+ABS(T44)+0.0001)))</f>
        <v>9.5171245589982885</v>
      </c>
      <c r="C44" s="62">
        <f t="shared" ca="1" si="3"/>
        <v>1</v>
      </c>
      <c r="D44" s="13">
        <f ca="1">D43+C44*(Prices!Q44-Prices!Q43)/Prices!Q43</f>
        <v>0.27978653592067415</v>
      </c>
      <c r="E44" s="13">
        <f t="shared" ca="1" si="4"/>
        <v>0</v>
      </c>
      <c r="F44" s="13">
        <f t="shared" ca="1" si="5"/>
        <v>0.27978653592067415</v>
      </c>
      <c r="G44" s="21">
        <f ca="1">IF((Prices!Q44-Prices!Q43)*C44&gt;0,1,0)</f>
        <v>1</v>
      </c>
      <c r="H44" s="13">
        <f>ABS(Prices!Q44-Prices!Q43)/Prices!Q43</f>
        <v>0.12410449102565198</v>
      </c>
      <c r="I44" s="21"/>
      <c r="J44" s="4">
        <f t="shared" ca="1" si="6"/>
        <v>1.0364911298450898E-3</v>
      </c>
      <c r="K44" s="13"/>
      <c r="L44" s="13">
        <f ca="1">L43-O44*Prices!Q44</f>
        <v>0.95788094768070065</v>
      </c>
      <c r="M44" s="4">
        <f t="shared" ca="1" si="1"/>
        <v>1.4831690013242249E-2</v>
      </c>
      <c r="N44" s="13">
        <f ca="1">IF(Prices!P43&gt;OFFSET(Prices!P43,-$N$3,0),1,-1)</f>
        <v>1</v>
      </c>
      <c r="O44" s="4">
        <f ca="1">IF(N44=1,O$3*L43/Prices!Q43,-O$3*M43)</f>
        <v>1.0364911298450898E-3</v>
      </c>
      <c r="P44" s="22"/>
      <c r="Q44" s="13">
        <f ca="1">Q43-T44*Prices!Q44</f>
        <v>1</v>
      </c>
      <c r="R44" s="4">
        <f t="shared" ca="1" si="2"/>
        <v>0.01</v>
      </c>
      <c r="S44" s="13">
        <f ca="1">IF(Prices!D43&gt;OFFSET(Prices!D43,-S$3,0),1,-1)</f>
        <v>1</v>
      </c>
      <c r="T44" s="4">
        <f ca="1">IF(S44=1,T$3*Q43/Prices!Q43,-T$3*R43)</f>
        <v>0</v>
      </c>
      <c r="V44" s="13"/>
      <c r="W44" s="4"/>
      <c r="X44" s="4"/>
      <c r="Y44" s="4"/>
      <c r="Z44" s="4"/>
      <c r="AA44" s="4"/>
      <c r="AB44" s="4"/>
      <c r="AC44" s="4"/>
      <c r="AD44" s="4"/>
      <c r="AE44" s="52"/>
    </row>
    <row r="45" spans="1:31" x14ac:dyDescent="0.2">
      <c r="A45" s="66">
        <v>42510</v>
      </c>
      <c r="B45" s="13">
        <f ca="1">Prices!Q44*(1+J45/(50*(ABS(O45)+ABS(T45)+0.0001)))</f>
        <v>10.695961698377543</v>
      </c>
      <c r="C45" s="62">
        <f t="shared" ca="1" si="3"/>
        <v>1</v>
      </c>
      <c r="D45" s="13">
        <f ca="1">D44+C45*(Prices!Q45-Prices!Q44)/Prices!Q44</f>
        <v>0.57759933930140628</v>
      </c>
      <c r="E45" s="13">
        <f t="shared" ca="1" si="4"/>
        <v>0</v>
      </c>
      <c r="F45" s="13">
        <f t="shared" ca="1" si="5"/>
        <v>0.57759933930140628</v>
      </c>
      <c r="G45" s="21">
        <f ca="1">IF((Prices!Q45-Prices!Q44)*C45&gt;0,1,0)</f>
        <v>1</v>
      </c>
      <c r="H45" s="13">
        <f>ABS(Prices!Q45-Prices!Q44)/Prices!Q44</f>
        <v>0.29781280338073207</v>
      </c>
      <c r="I45" s="21"/>
      <c r="J45" s="4">
        <f t="shared" ca="1" si="6"/>
        <v>9.1169450410285018E-4</v>
      </c>
      <c r="K45" s="13"/>
      <c r="L45" s="13">
        <f ca="1">L44-O45*Prices!Q45</f>
        <v>0.94544944610055581</v>
      </c>
      <c r="M45" s="4">
        <f t="shared" ca="1" si="1"/>
        <v>1.57433845173451E-2</v>
      </c>
      <c r="N45" s="13">
        <f ca="1">IF(Prices!P44&gt;OFFSET(Prices!P44,-$N$3,0),1,-1)</f>
        <v>1</v>
      </c>
      <c r="O45" s="4">
        <f ca="1">IF(N45=1,O$3*L44/Prices!Q44,-O$3*M44)</f>
        <v>9.1169450410285018E-4</v>
      </c>
      <c r="P45" s="22"/>
      <c r="Q45" s="13">
        <f ca="1">Q44-T45*Prices!Q45</f>
        <v>1</v>
      </c>
      <c r="R45" s="4">
        <f t="shared" ca="1" si="2"/>
        <v>0.01</v>
      </c>
      <c r="S45" s="13">
        <f ca="1">IF(Prices!D44&gt;OFFSET(Prices!D44,-S$3,0),1,-1)</f>
        <v>1</v>
      </c>
      <c r="T45" s="4">
        <f ca="1">IF(S45=1,T$3*Q44/Prices!Q44,-T$3*R44)</f>
        <v>0</v>
      </c>
      <c r="V45" s="13"/>
      <c r="W45" s="4"/>
      <c r="X45" s="4"/>
      <c r="Y45" s="4"/>
      <c r="Z45" s="4"/>
      <c r="AA45" s="4"/>
      <c r="AB45" s="4"/>
      <c r="AC45" s="4"/>
      <c r="AD45" s="4"/>
      <c r="AE45" s="52"/>
    </row>
    <row r="46" spans="1:31" x14ac:dyDescent="0.2">
      <c r="A46" s="66">
        <v>42517</v>
      </c>
      <c r="B46" s="13">
        <f ca="1">Prices!Q45*(1+J46/(50*(ABS(O46)+ABS(T46)+0.0001)))</f>
        <v>13.468822788728442</v>
      </c>
      <c r="C46" s="62">
        <f t="shared" ca="1" si="3"/>
        <v>0</v>
      </c>
      <c r="D46" s="13">
        <f ca="1">D45+C46*(Prices!Q46-Prices!Q45)/Prices!Q45</f>
        <v>0.57759933930140628</v>
      </c>
      <c r="E46" s="13">
        <f t="shared" ca="1" si="4"/>
        <v>0</v>
      </c>
      <c r="F46" s="13">
        <f t="shared" ca="1" si="5"/>
        <v>0.57759933930140628</v>
      </c>
      <c r="G46" s="21">
        <f ca="1">IF((Prices!Q46-Prices!Q45)*C46&gt;0,1,0)</f>
        <v>0</v>
      </c>
      <c r="H46" s="13">
        <f>ABS(Prices!Q46-Prices!Q45)/Prices!Q45</f>
        <v>0.17159494265012176</v>
      </c>
      <c r="I46" s="21"/>
      <c r="J46" s="4">
        <f t="shared" ca="1" si="6"/>
        <v>-1.5743384517345101E-4</v>
      </c>
      <c r="K46" s="13"/>
      <c r="L46" s="13">
        <f ca="1">L45-O46*Prices!Q46</f>
        <v>0.94722778732886603</v>
      </c>
      <c r="M46" s="4">
        <f t="shared" ca="1" si="1"/>
        <v>1.5585950672171649E-2</v>
      </c>
      <c r="N46" s="13">
        <f ca="1">IF(Prices!P45&gt;OFFSET(Prices!P45,-$N$3,0),1,-1)</f>
        <v>-1</v>
      </c>
      <c r="O46" s="4">
        <f ca="1">IF(N46=1,O$3*L45/Prices!Q45,-O$3*M45)</f>
        <v>-1.5743384517345101E-4</v>
      </c>
      <c r="P46" s="22"/>
      <c r="Q46" s="13">
        <f ca="1">Q45-T46*Prices!Q46</f>
        <v>1</v>
      </c>
      <c r="R46" s="4">
        <f t="shared" ca="1" si="2"/>
        <v>0.01</v>
      </c>
      <c r="S46" s="13">
        <f ca="1">IF(Prices!D45&gt;OFFSET(Prices!D45,-S$3,0),1,-1)</f>
        <v>1</v>
      </c>
      <c r="T46" s="4">
        <f ca="1">IF(S46=1,T$3*Q45/Prices!Q45,-T$3*R45)</f>
        <v>0</v>
      </c>
      <c r="V46" s="13"/>
      <c r="W46" s="4"/>
      <c r="X46" s="4"/>
      <c r="Y46" s="4"/>
      <c r="Z46" s="4"/>
      <c r="AA46" s="4"/>
      <c r="AB46" s="4"/>
      <c r="AC46" s="4"/>
      <c r="AD46" s="4"/>
      <c r="AE46" s="52"/>
    </row>
    <row r="47" spans="1:31" x14ac:dyDescent="0.2">
      <c r="A47" s="66">
        <v>42524</v>
      </c>
      <c r="B47" s="13">
        <f ca="1">Prices!Q46*(1+J47/(50*(ABS(O47)+ABS(T47)+0.0001)))</f>
        <v>11.497645672107476</v>
      </c>
      <c r="C47" s="62">
        <f t="shared" ca="1" si="3"/>
        <v>1</v>
      </c>
      <c r="D47" s="13">
        <f ca="1">D46+C47*(Prices!Q47-Prices!Q46)/Prices!Q46</f>
        <v>0.80342663794337943</v>
      </c>
      <c r="E47" s="13">
        <f t="shared" ca="1" si="4"/>
        <v>0</v>
      </c>
      <c r="F47" s="13">
        <f t="shared" ca="1" si="5"/>
        <v>0.80342663794337943</v>
      </c>
      <c r="G47" s="21">
        <f ca="1">IF((Prices!Q47-Prices!Q46)*C47&gt;0,1,0)</f>
        <v>1</v>
      </c>
      <c r="H47" s="13">
        <f>ABS(Prices!Q47-Prices!Q46)/Prices!Q46</f>
        <v>0.22582729864197315</v>
      </c>
      <c r="I47" s="21"/>
      <c r="J47" s="4">
        <f t="shared" ca="1" si="6"/>
        <v>8.3856635858360292E-4</v>
      </c>
      <c r="K47" s="13"/>
      <c r="L47" s="13">
        <f ca="1">L46-O47*Prices!Q47</f>
        <v>0.93561641053146649</v>
      </c>
      <c r="M47" s="4">
        <f t="shared" ca="1" si="1"/>
        <v>1.6424517030755252E-2</v>
      </c>
      <c r="N47" s="13">
        <f ca="1">IF(Prices!P46&gt;OFFSET(Prices!P46,-$N$3,0),1,-1)</f>
        <v>1</v>
      </c>
      <c r="O47" s="4">
        <f ca="1">IF(N47=1,O$3*L46/Prices!Q46,-O$3*M46)</f>
        <v>8.3856635858360292E-4</v>
      </c>
      <c r="P47" s="22"/>
      <c r="Q47" s="13">
        <f ca="1">Q46-T47*Prices!Q47</f>
        <v>1</v>
      </c>
      <c r="R47" s="4">
        <f t="shared" ca="1" si="2"/>
        <v>0.01</v>
      </c>
      <c r="S47" s="13">
        <f ca="1">IF(Prices!D46&gt;OFFSET(Prices!D46,-S$3,0),1,-1)</f>
        <v>1</v>
      </c>
      <c r="T47" s="4">
        <f ca="1">IF(S47=1,T$3*Q46/Prices!Q46,-T$3*R46)</f>
        <v>0</v>
      </c>
      <c r="V47" s="13"/>
      <c r="W47" s="4"/>
      <c r="X47" s="4"/>
      <c r="Y47" s="4"/>
      <c r="Z47" s="4"/>
      <c r="AA47" s="4"/>
      <c r="AB47" s="4"/>
      <c r="AC47" s="4"/>
      <c r="AD47" s="4"/>
      <c r="AE47" s="52"/>
    </row>
    <row r="48" spans="1:31" x14ac:dyDescent="0.2">
      <c r="A48" s="66">
        <v>42531</v>
      </c>
      <c r="B48" s="13">
        <f ca="1">Prices!Q47*(1+J48/(50*(ABS(O48)+ABS(T48)+0.0001)))</f>
        <v>14.087932657067029</v>
      </c>
      <c r="C48" s="62">
        <f t="shared" ca="1" si="3"/>
        <v>1</v>
      </c>
      <c r="D48" s="13">
        <f ca="1">D47+C48*(Prices!Q48-Prices!Q47)/Prices!Q47</f>
        <v>0.80789701716730999</v>
      </c>
      <c r="E48" s="13">
        <f t="shared" ca="1" si="4"/>
        <v>0</v>
      </c>
      <c r="F48" s="13">
        <f t="shared" ca="1" si="5"/>
        <v>0.80789701716730999</v>
      </c>
      <c r="G48" s="21">
        <f ca="1">IF((Prices!Q48-Prices!Q47)*C48&gt;0,1,0)</f>
        <v>1</v>
      </c>
      <c r="H48" s="13">
        <f>ABS(Prices!Q48-Prices!Q47)/Prices!Q47</f>
        <v>4.4703792239305842E-3</v>
      </c>
      <c r="I48" s="21"/>
      <c r="J48" s="4">
        <f t="shared" ca="1" si="6"/>
        <v>6.7569631069602613E-4</v>
      </c>
      <c r="K48" s="13"/>
      <c r="L48" s="13">
        <f ca="1">L47-O48*Prices!Q48</f>
        <v>0.92621842082451977</v>
      </c>
      <c r="M48" s="4">
        <f t="shared" ca="1" si="1"/>
        <v>1.710021334145128E-2</v>
      </c>
      <c r="N48" s="13">
        <f ca="1">IF(Prices!P47&gt;OFFSET(Prices!P47,-$N$3,0),1,-1)</f>
        <v>1</v>
      </c>
      <c r="O48" s="4">
        <f ca="1">IF(N48=1,O$3*L47/Prices!Q47,-O$3*M47)</f>
        <v>6.7569631069602613E-4</v>
      </c>
      <c r="P48" s="22"/>
      <c r="Q48" s="13">
        <f ca="1">Q47-T48*Prices!Q48</f>
        <v>1</v>
      </c>
      <c r="R48" s="4">
        <f t="shared" ca="1" si="2"/>
        <v>0.01</v>
      </c>
      <c r="S48" s="13">
        <f ca="1">IF(Prices!D47&gt;OFFSET(Prices!D47,-S$3,0),1,-1)</f>
        <v>1</v>
      </c>
      <c r="T48" s="4">
        <f ca="1">IF(S48=1,T$3*Q47/Prices!Q47,-T$3*R47)</f>
        <v>0</v>
      </c>
      <c r="V48" s="13"/>
      <c r="W48" s="4"/>
      <c r="X48" s="4"/>
      <c r="Y48" s="4"/>
      <c r="Z48" s="4"/>
      <c r="AA48" s="4"/>
      <c r="AB48" s="4"/>
      <c r="AC48" s="4"/>
      <c r="AD48" s="4"/>
      <c r="AE48" s="52"/>
    </row>
    <row r="49" spans="1:31" x14ac:dyDescent="0.2">
      <c r="A49" s="66">
        <v>42538</v>
      </c>
      <c r="B49" s="13">
        <f ca="1">Prices!Q48*(1+J49/(50*(ABS(O49)+ABS(T49)+0.0001)))</f>
        <v>14.150453901590106</v>
      </c>
      <c r="C49" s="62">
        <f t="shared" ca="1" si="3"/>
        <v>1</v>
      </c>
      <c r="D49" s="13">
        <f ca="1">D48+C49*(Prices!Q49-Prices!Q48)/Prices!Q48</f>
        <v>0.91345760558023437</v>
      </c>
      <c r="E49" s="13">
        <f t="shared" ca="1" si="4"/>
        <v>0</v>
      </c>
      <c r="F49" s="13">
        <f t="shared" ca="1" si="5"/>
        <v>0.91345760558023437</v>
      </c>
      <c r="G49" s="21">
        <f ca="1">IF((Prices!Q49-Prices!Q48)*C49&gt;0,1,0)</f>
        <v>1</v>
      </c>
      <c r="H49" s="13">
        <f>ABS(Prices!Q49-Prices!Q48)/Prices!Q48</f>
        <v>0.10556058841292434</v>
      </c>
      <c r="I49" s="21"/>
      <c r="J49" s="4">
        <f t="shared" ca="1" si="6"/>
        <v>6.6593217205507379E-4</v>
      </c>
      <c r="K49" s="13"/>
      <c r="L49" s="13">
        <f ca="1">L48-O49*Prices!Q49</f>
        <v>0.91597851500126326</v>
      </c>
      <c r="M49" s="4">
        <f t="shared" ca="1" si="1"/>
        <v>1.7766145513506353E-2</v>
      </c>
      <c r="N49" s="13">
        <f ca="1">IF(Prices!P48&gt;OFFSET(Prices!P48,-$N$3,0),1,-1)</f>
        <v>1</v>
      </c>
      <c r="O49" s="4">
        <f ca="1">IF(N49=1,O$3*L48/Prices!Q48,-O$3*M48)</f>
        <v>6.6593217205507379E-4</v>
      </c>
      <c r="P49" s="22"/>
      <c r="Q49" s="13">
        <f ca="1">Q48-T49*Prices!Q49</f>
        <v>1</v>
      </c>
      <c r="R49" s="4">
        <f t="shared" ca="1" si="2"/>
        <v>0.01</v>
      </c>
      <c r="S49" s="13">
        <f ca="1">IF(Prices!D48&gt;OFFSET(Prices!D48,-S$3,0),1,-1)</f>
        <v>-1</v>
      </c>
      <c r="T49" s="4">
        <f ca="1">IF(S49=1,T$3*Q48/Prices!Q48,-T$3*R48)</f>
        <v>0</v>
      </c>
      <c r="V49" s="13"/>
      <c r="W49" s="4"/>
      <c r="X49" s="4"/>
      <c r="Y49" s="4"/>
      <c r="Z49" s="4"/>
      <c r="AA49" s="4"/>
      <c r="AB49" s="4"/>
      <c r="AC49" s="4"/>
      <c r="AD49" s="4"/>
      <c r="AE49" s="52"/>
    </row>
    <row r="50" spans="1:31" x14ac:dyDescent="0.2">
      <c r="A50" s="66">
        <v>42545</v>
      </c>
      <c r="B50" s="13">
        <f ca="1">Prices!Q49*(1+J50/(50*(ABS(O50)+ABS(T50)+0.0001)))</f>
        <v>15.640130017568783</v>
      </c>
      <c r="C50" s="62">
        <f t="shared" ca="1" si="3"/>
        <v>1</v>
      </c>
      <c r="D50" s="13">
        <f ca="1">D49+C50*(Prices!Q50-Prices!Q49)/Prices!Q49</f>
        <v>0.84551759205336274</v>
      </c>
      <c r="E50" s="13">
        <f t="shared" ca="1" si="4"/>
        <v>6.7940013526871623E-2</v>
      </c>
      <c r="F50" s="13">
        <f t="shared" ca="1" si="5"/>
        <v>0.91345760558023437</v>
      </c>
      <c r="G50" s="21">
        <f ca="1">IF((Prices!Q50-Prices!Q49)*C50&gt;0,1,0)</f>
        <v>0</v>
      </c>
      <c r="H50" s="13">
        <f>ABS(Prices!Q50-Prices!Q49)/Prices!Q49</f>
        <v>6.7940013526871582E-2</v>
      </c>
      <c r="I50" s="21"/>
      <c r="J50" s="4">
        <f t="shared" ca="1" si="6"/>
        <v>5.9568864458226889E-4</v>
      </c>
      <c r="K50" s="13"/>
      <c r="L50" s="13">
        <f ca="1">L49-O50*Prices!Q50</f>
        <v>0.90744104577824569</v>
      </c>
      <c r="M50" s="4">
        <f t="shared" ca="1" si="1"/>
        <v>1.8361834158088623E-2</v>
      </c>
      <c r="N50" s="13">
        <f ca="1">IF(Prices!P49&gt;OFFSET(Prices!P49,-$N$3,0),1,-1)</f>
        <v>1</v>
      </c>
      <c r="O50" s="4">
        <f ca="1">IF(N50=1,O$3*L49/Prices!Q49,-O$3*M49)</f>
        <v>5.9568864458226889E-4</v>
      </c>
      <c r="P50" s="22"/>
      <c r="Q50" s="13">
        <f ca="1">Q49-T50*Prices!Q50</f>
        <v>1</v>
      </c>
      <c r="R50" s="4">
        <f t="shared" ca="1" si="2"/>
        <v>0.01</v>
      </c>
      <c r="S50" s="13">
        <f ca="1">IF(Prices!D49&gt;OFFSET(Prices!D49,-S$3,0),1,-1)</f>
        <v>-1</v>
      </c>
      <c r="T50" s="4">
        <f ca="1">IF(S50=1,T$3*Q49/Prices!Q49,-T$3*R49)</f>
        <v>0</v>
      </c>
      <c r="V50" s="13"/>
      <c r="W50" s="4"/>
      <c r="X50" s="4"/>
      <c r="Y50" s="4"/>
      <c r="Z50" s="4"/>
      <c r="AA50" s="4"/>
      <c r="AB50" s="4"/>
      <c r="AC50" s="4"/>
      <c r="AD50" s="4"/>
      <c r="AE50" s="52"/>
    </row>
    <row r="51" spans="1:31" x14ac:dyDescent="0.2">
      <c r="A51" s="66">
        <v>42552</v>
      </c>
      <c r="B51" s="13">
        <f ca="1">Prices!Q50*(1+J51/(50*(ABS(O51)+ABS(T51)+0.0001)))</f>
        <v>14.579644834045961</v>
      </c>
      <c r="C51" s="62">
        <f t="shared" ca="1" si="3"/>
        <v>1</v>
      </c>
      <c r="D51" s="13">
        <f ca="1">D50+C51*(Prices!Q51-Prices!Q50)/Prices!Q50</f>
        <v>0.69671874191974659</v>
      </c>
      <c r="E51" s="13">
        <f t="shared" ca="1" si="4"/>
        <v>0.21673886366048778</v>
      </c>
      <c r="F51" s="13">
        <f t="shared" ca="1" si="5"/>
        <v>0.91345760558023437</v>
      </c>
      <c r="G51" s="21">
        <f ca="1">IF((Prices!Q51-Prices!Q50)*C51&gt;0,1,0)</f>
        <v>0</v>
      </c>
      <c r="H51" s="13">
        <f>ABS(Prices!Q51-Prices!Q50)/Prices!Q50</f>
        <v>0.14879885013361616</v>
      </c>
      <c r="I51" s="21"/>
      <c r="J51" s="4">
        <f t="shared" ca="1" si="6"/>
        <v>6.3315288462838367E-4</v>
      </c>
      <c r="K51" s="13"/>
      <c r="L51" s="13">
        <f ca="1">L50-O51*Prices!Q51</f>
        <v>0.8997168971622217</v>
      </c>
      <c r="M51" s="4">
        <f t="shared" ca="1" si="1"/>
        <v>1.8994987042717005E-2</v>
      </c>
      <c r="N51" s="13">
        <f ca="1">IF(Prices!P50&gt;OFFSET(Prices!P50,-$N$3,0),1,-1)</f>
        <v>1</v>
      </c>
      <c r="O51" s="4">
        <f ca="1">IF(N51=1,O$3*L50/Prices!Q50,-O$3*M50)</f>
        <v>6.3315288462838367E-4</v>
      </c>
      <c r="P51" s="22"/>
      <c r="Q51" s="13">
        <f ca="1">Q50-T51*Prices!Q51</f>
        <v>1</v>
      </c>
      <c r="R51" s="4">
        <f t="shared" ca="1" si="2"/>
        <v>0.01</v>
      </c>
      <c r="S51" s="13">
        <f ca="1">IF(Prices!D50&gt;OFFSET(Prices!D50,-S$3,0),1,-1)</f>
        <v>-1</v>
      </c>
      <c r="T51" s="4">
        <f ca="1">IF(S51=1,T$3*Q50/Prices!Q50,-T$3*R50)</f>
        <v>0</v>
      </c>
      <c r="V51" s="13"/>
      <c r="W51" s="4"/>
      <c r="X51" s="4"/>
      <c r="Y51" s="4"/>
      <c r="Z51" s="4"/>
      <c r="AA51" s="4"/>
      <c r="AB51" s="4"/>
      <c r="AC51" s="4"/>
      <c r="AD51" s="4"/>
      <c r="AE51" s="52"/>
    </row>
    <row r="52" spans="1:31" x14ac:dyDescent="0.2">
      <c r="A52" s="66">
        <v>42559</v>
      </c>
      <c r="B52" s="13">
        <f ca="1">Prices!Q51*(1+J52/(50*(ABS(O52)+ABS(T52)+0.0001)))</f>
        <v>12.03965902880989</v>
      </c>
      <c r="C52" s="62">
        <f t="shared" ca="1" si="3"/>
        <v>0</v>
      </c>
      <c r="D52" s="13">
        <f ca="1">D51+C52*(Prices!Q52-Prices!Q51)/Prices!Q51</f>
        <v>0.69671874191974659</v>
      </c>
      <c r="E52" s="13">
        <f t="shared" ca="1" si="4"/>
        <v>0.21673886366048778</v>
      </c>
      <c r="F52" s="13">
        <f t="shared" ca="1" si="5"/>
        <v>0.91345760558023437</v>
      </c>
      <c r="G52" s="21">
        <f ca="1">IF((Prices!Q52-Prices!Q51)*C52&gt;0,1,0)</f>
        <v>0</v>
      </c>
      <c r="H52" s="13">
        <f>ABS(Prices!Q52-Prices!Q51)/Prices!Q51</f>
        <v>6.5978113857125292E-2</v>
      </c>
      <c r="I52" s="21"/>
      <c r="J52" s="4">
        <f t="shared" ca="1" si="6"/>
        <v>-1.8994987042717006E-4</v>
      </c>
      <c r="K52" s="13"/>
      <c r="L52" s="13">
        <f ca="1">L51-O52*Prices!Q52</f>
        <v>0.90188129995579114</v>
      </c>
      <c r="M52" s="4">
        <f t="shared" ca="1" si="1"/>
        <v>1.8805037172289835E-2</v>
      </c>
      <c r="N52" s="13">
        <f ca="1">IF(Prices!P51&gt;OFFSET(Prices!P51,-$N$3,0),1,-1)</f>
        <v>-1</v>
      </c>
      <c r="O52" s="4">
        <f ca="1">IF(N52=1,O$3*L51/Prices!Q51,-O$3*M51)</f>
        <v>-1.8994987042717006E-4</v>
      </c>
      <c r="P52" s="22"/>
      <c r="Q52" s="13">
        <f ca="1">Q51-T52*Prices!Q52</f>
        <v>1</v>
      </c>
      <c r="R52" s="4">
        <f t="shared" ca="1" si="2"/>
        <v>0.01</v>
      </c>
      <c r="S52" s="13">
        <f ca="1">IF(Prices!D51&gt;OFFSET(Prices!D51,-S$3,0),1,-1)</f>
        <v>-1</v>
      </c>
      <c r="T52" s="4">
        <f ca="1">IF(S52=1,T$3*Q51/Prices!Q51,-T$3*R51)</f>
        <v>0</v>
      </c>
      <c r="V52" s="13"/>
      <c r="W52" s="4"/>
      <c r="X52" s="4"/>
      <c r="Y52" s="4"/>
      <c r="Z52" s="4"/>
      <c r="AA52" s="4"/>
      <c r="AB52" s="4"/>
      <c r="AC52" s="4"/>
      <c r="AD52" s="4"/>
      <c r="AE52" s="52"/>
    </row>
    <row r="53" spans="1:31" x14ac:dyDescent="0.2">
      <c r="A53" s="66">
        <v>42566</v>
      </c>
      <c r="B53" s="13">
        <f ca="1">Prices!Q52*(1+J53/(50*(ABS(O53)+ABS(T53)+0.0001)))</f>
        <v>11.596929208142438</v>
      </c>
      <c r="C53" s="62">
        <f t="shared" ca="1" si="3"/>
        <v>1</v>
      </c>
      <c r="D53" s="13">
        <f ca="1">D52+C53*(Prices!Q53-Prices!Q52)/Prices!Q52</f>
        <v>0.74560154605503859</v>
      </c>
      <c r="E53" s="13">
        <f t="shared" ca="1" si="4"/>
        <v>0.16785605952519578</v>
      </c>
      <c r="F53" s="13">
        <f t="shared" ca="1" si="5"/>
        <v>0.91345760558023437</v>
      </c>
      <c r="G53" s="21">
        <f ca="1">IF((Prices!Q53-Prices!Q52)*C53&gt;0,1,0)</f>
        <v>1</v>
      </c>
      <c r="H53" s="13">
        <f>ABS(Prices!Q53-Prices!Q52)/Prices!Q52</f>
        <v>4.888280413529203E-2</v>
      </c>
      <c r="I53" s="21"/>
      <c r="J53" s="4">
        <f t="shared" ca="1" si="6"/>
        <v>7.9149886784598937E-4</v>
      </c>
      <c r="K53" s="13"/>
      <c r="L53" s="13">
        <f ca="1">L52-O53*Prices!Q53</f>
        <v>0.89242162208684306</v>
      </c>
      <c r="M53" s="4">
        <f t="shared" ca="1" si="1"/>
        <v>1.9596536040135823E-2</v>
      </c>
      <c r="N53" s="13">
        <f ca="1">IF(Prices!P52&gt;OFFSET(Prices!P52,-$N$3,0),1,-1)</f>
        <v>1</v>
      </c>
      <c r="O53" s="4">
        <f ca="1">IF(N53=1,O$3*L52/Prices!Q52,-O$3*M52)</f>
        <v>7.9149886784598937E-4</v>
      </c>
      <c r="P53" s="22"/>
      <c r="Q53" s="13">
        <f ca="1">Q52-T53*Prices!Q53</f>
        <v>1</v>
      </c>
      <c r="R53" s="4">
        <f t="shared" ca="1" si="2"/>
        <v>0.01</v>
      </c>
      <c r="S53" s="13">
        <f ca="1">IF(Prices!D52&gt;OFFSET(Prices!D52,-S$3,0),1,-1)</f>
        <v>-1</v>
      </c>
      <c r="T53" s="4">
        <f ca="1">IF(S53=1,T$3*Q52/Prices!Q52,-T$3*R52)</f>
        <v>0</v>
      </c>
      <c r="V53" s="13"/>
      <c r="W53" s="4"/>
      <c r="X53" s="4"/>
      <c r="Y53" s="4"/>
      <c r="Z53" s="4"/>
      <c r="AA53" s="4"/>
      <c r="AB53" s="4"/>
      <c r="AC53" s="4"/>
      <c r="AD53" s="4"/>
      <c r="AE53" s="52"/>
    </row>
    <row r="54" spans="1:31" x14ac:dyDescent="0.2">
      <c r="A54" s="66">
        <v>42573</v>
      </c>
      <c r="B54" s="13">
        <f ca="1">Prices!Q53*(1+J54/(50*(ABS(O54)+ABS(T54)+0.0001)))</f>
        <v>11.793331505457479</v>
      </c>
      <c r="C54" s="62">
        <f t="shared" ca="1" si="3"/>
        <v>0</v>
      </c>
      <c r="D54" s="13">
        <f ca="1">D53+C54*(Prices!Q54-Prices!Q53)/Prices!Q53</f>
        <v>0.74560154605503859</v>
      </c>
      <c r="E54" s="13">
        <f t="shared" ca="1" si="4"/>
        <v>0.16785605952519578</v>
      </c>
      <c r="F54" s="13">
        <f t="shared" ca="1" si="5"/>
        <v>0.91345760558023437</v>
      </c>
      <c r="G54" s="21">
        <f ca="1">IF((Prices!Q54-Prices!Q53)*C54&gt;0,1,0)</f>
        <v>0</v>
      </c>
      <c r="H54" s="13">
        <f>ABS(Prices!Q54-Prices!Q53)/Prices!Q53</f>
        <v>0.22677298437029356</v>
      </c>
      <c r="I54" s="21"/>
      <c r="J54" s="4">
        <f t="shared" ca="1" si="6"/>
        <v>-1.9596536040135824E-4</v>
      </c>
      <c r="K54" s="13"/>
      <c r="L54" s="13">
        <f ca="1">L53-O54*Prices!Q54</f>
        <v>0.89529484660451175</v>
      </c>
      <c r="M54" s="4">
        <f t="shared" ca="1" si="1"/>
        <v>1.9400570679734466E-2</v>
      </c>
      <c r="N54" s="13">
        <f ca="1">IF(Prices!P53&gt;OFFSET(Prices!P53,-$N$3,0),1,-1)</f>
        <v>-1</v>
      </c>
      <c r="O54" s="4">
        <f ca="1">IF(N54=1,O$3*L53/Prices!Q53,-O$3*M53)</f>
        <v>-1.9596536040135824E-4</v>
      </c>
      <c r="P54" s="22"/>
      <c r="Q54" s="13">
        <f ca="1">Q53-T54*Prices!Q54</f>
        <v>1</v>
      </c>
      <c r="R54" s="4">
        <f t="shared" ca="1" si="2"/>
        <v>0.01</v>
      </c>
      <c r="S54" s="13">
        <f ca="1">IF(Prices!D53&gt;OFFSET(Prices!D53,-S$3,0),1,-1)</f>
        <v>-1</v>
      </c>
      <c r="T54" s="4">
        <f ca="1">IF(S54=1,T$3*Q53/Prices!Q53,-T$3*R53)</f>
        <v>0</v>
      </c>
      <c r="V54" s="13"/>
      <c r="W54" s="4"/>
      <c r="X54" s="4"/>
      <c r="Y54" s="4"/>
      <c r="Z54" s="4"/>
      <c r="AA54" s="4"/>
      <c r="AB54" s="4"/>
      <c r="AC54" s="4"/>
      <c r="AD54" s="4"/>
      <c r="AE54" s="52"/>
    </row>
    <row r="55" spans="1:31" x14ac:dyDescent="0.2">
      <c r="A55" s="66">
        <v>42580</v>
      </c>
      <c r="B55" s="13">
        <f ca="1">Prices!Q54*(1+J55/(50*(ABS(O55)+ABS(T55)+0.0001)))</f>
        <v>14.468400880307559</v>
      </c>
      <c r="C55" s="62">
        <f t="shared" ca="1" si="3"/>
        <v>0</v>
      </c>
      <c r="D55" s="13">
        <f ca="1">D54+C55*(Prices!Q55-Prices!Q54)/Prices!Q54</f>
        <v>0.74560154605503859</v>
      </c>
      <c r="E55" s="13">
        <f t="shared" ca="1" si="4"/>
        <v>0.16785605952519578</v>
      </c>
      <c r="F55" s="13">
        <f t="shared" ca="1" si="5"/>
        <v>0.91345760558023437</v>
      </c>
      <c r="G55" s="21">
        <f ca="1">IF((Prices!Q55-Prices!Q54)*C55&gt;0,1,0)</f>
        <v>0</v>
      </c>
      <c r="H55" s="13">
        <f>ABS(Prices!Q55-Prices!Q54)/Prices!Q54</f>
        <v>0.12735730021347838</v>
      </c>
      <c r="I55" s="21"/>
      <c r="J55" s="4">
        <f t="shared" ca="1" si="6"/>
        <v>-1.9400570679734466E-4</v>
      </c>
      <c r="K55" s="13"/>
      <c r="L55" s="13">
        <f ca="1">L54-O55*Prices!Q55</f>
        <v>0.89777707202070101</v>
      </c>
      <c r="M55" s="4">
        <f t="shared" ca="1" si="1"/>
        <v>1.9206564972937122E-2</v>
      </c>
      <c r="N55" s="13">
        <f ca="1">IF(Prices!P54&gt;OFFSET(Prices!P54,-$N$3,0),1,-1)</f>
        <v>-1</v>
      </c>
      <c r="O55" s="4">
        <f ca="1">IF(N55=1,O$3*L54/Prices!Q54,-O$3*M54)</f>
        <v>-1.9400570679734466E-4</v>
      </c>
      <c r="P55" s="22"/>
      <c r="Q55" s="13">
        <f ca="1">Q54-T55*Prices!Q55</f>
        <v>1</v>
      </c>
      <c r="R55" s="4">
        <f t="shared" ca="1" si="2"/>
        <v>0.01</v>
      </c>
      <c r="S55" s="13">
        <f ca="1">IF(Prices!D54&gt;OFFSET(Prices!D54,-S$3,0),1,-1)</f>
        <v>-1</v>
      </c>
      <c r="T55" s="4">
        <f ca="1">IF(S55=1,T$3*Q54/Prices!Q54,-T$3*R54)</f>
        <v>0</v>
      </c>
      <c r="V55" s="13"/>
      <c r="W55" s="4"/>
      <c r="X55" s="4"/>
      <c r="Y55" s="4"/>
      <c r="Z55" s="4"/>
      <c r="AA55" s="4"/>
      <c r="AB55" s="4"/>
      <c r="AC55" s="4"/>
      <c r="AD55" s="4"/>
      <c r="AE55" s="52"/>
    </row>
    <row r="56" spans="1:31" x14ac:dyDescent="0.2">
      <c r="A56" s="66">
        <v>42587</v>
      </c>
      <c r="B56" s="13">
        <f ca="1">Prices!Q55*(1+J56/(50*(ABS(O56)+ABS(T56)+0.0001)))</f>
        <v>12.62632254838565</v>
      </c>
      <c r="C56" s="62">
        <f t="shared" ca="1" si="3"/>
        <v>0</v>
      </c>
      <c r="D56" s="13">
        <f ca="1">D55+C56*(Prices!Q56-Prices!Q55)/Prices!Q55</f>
        <v>0.74560154605503859</v>
      </c>
      <c r="E56" s="13">
        <f t="shared" ca="1" si="4"/>
        <v>0.16785605952519578</v>
      </c>
      <c r="F56" s="13">
        <f t="shared" ca="1" si="5"/>
        <v>0.91345760558023437</v>
      </c>
      <c r="G56" s="21">
        <f ca="1">IF((Prices!Q56-Prices!Q55)*C56&gt;0,1,0)</f>
        <v>0</v>
      </c>
      <c r="H56" s="13">
        <f>ABS(Prices!Q56-Prices!Q55)/Prices!Q55</f>
        <v>0.14609288293498826</v>
      </c>
      <c r="I56" s="21"/>
      <c r="J56" s="4">
        <f t="shared" ca="1" si="6"/>
        <v>-1.9206564972937121E-4</v>
      </c>
      <c r="K56" s="13"/>
      <c r="L56" s="13">
        <f ca="1">L55-O56*Prices!Q56</f>
        <v>0.89987546607025426</v>
      </c>
      <c r="M56" s="4">
        <f t="shared" ca="1" si="1"/>
        <v>1.9014499323207749E-2</v>
      </c>
      <c r="N56" s="13">
        <f ca="1">IF(Prices!P55&gt;OFFSET(Prices!P55,-$N$3,0),1,-1)</f>
        <v>-1</v>
      </c>
      <c r="O56" s="4">
        <f ca="1">IF(N56=1,O$3*L55/Prices!Q55,-O$3*M55)</f>
        <v>-1.9206564972937121E-4</v>
      </c>
      <c r="P56" s="22"/>
      <c r="Q56" s="13">
        <f ca="1">Q55-T56*Prices!Q56</f>
        <v>1</v>
      </c>
      <c r="R56" s="4">
        <f t="shared" ca="1" si="2"/>
        <v>0.01</v>
      </c>
      <c r="S56" s="13">
        <f ca="1">IF(Prices!D55&gt;OFFSET(Prices!D55,-S$3,0),1,-1)</f>
        <v>-1</v>
      </c>
      <c r="T56" s="4">
        <f ca="1">IF(S56=1,T$3*Q55/Prices!Q55,-T$3*R55)</f>
        <v>0</v>
      </c>
      <c r="V56" s="13"/>
      <c r="W56" s="4"/>
      <c r="X56" s="4"/>
      <c r="Y56" s="4"/>
      <c r="Z56" s="4"/>
      <c r="AA56" s="4"/>
      <c r="AB56" s="4"/>
      <c r="AC56" s="4"/>
      <c r="AD56" s="4"/>
      <c r="AE56" s="52"/>
    </row>
    <row r="57" spans="1:31" x14ac:dyDescent="0.2">
      <c r="A57" s="66">
        <v>42594</v>
      </c>
      <c r="B57" s="13">
        <f ca="1">Prices!Q56*(1+J57/(50*(ABS(O57)+ABS(T57)+0.0001)))</f>
        <v>10.782201932997955</v>
      </c>
      <c r="C57" s="62">
        <f t="shared" ca="1" si="3"/>
        <v>0</v>
      </c>
      <c r="D57" s="13">
        <f ca="1">D56+C57*(Prices!Q57-Prices!Q56)/Prices!Q56</f>
        <v>0.74560154605503859</v>
      </c>
      <c r="E57" s="13">
        <f t="shared" ca="1" si="4"/>
        <v>0.16785605952519578</v>
      </c>
      <c r="F57" s="13">
        <f t="shared" ca="1" si="5"/>
        <v>0.91345760558023437</v>
      </c>
      <c r="G57" s="21">
        <f ca="1">IF((Prices!Q57-Prices!Q56)*C57&gt;0,1,0)</f>
        <v>0</v>
      </c>
      <c r="H57" s="13">
        <f>ABS(Prices!Q57-Prices!Q56)/Prices!Q56</f>
        <v>7.8084097607410211E-2</v>
      </c>
      <c r="I57" s="21"/>
      <c r="J57" s="4">
        <f t="shared" ca="1" si="6"/>
        <v>-1.901449932320775E-4</v>
      </c>
      <c r="K57" s="13"/>
      <c r="L57" s="13">
        <f ca="1">L56-O57*Prices!Q57</f>
        <v>0.90211508887303826</v>
      </c>
      <c r="M57" s="4">
        <f t="shared" ca="1" si="1"/>
        <v>1.8824354329975673E-2</v>
      </c>
      <c r="N57" s="13">
        <f ca="1">IF(Prices!P56&gt;OFFSET(Prices!P56,-$N$3,0),1,-1)</f>
        <v>-1</v>
      </c>
      <c r="O57" s="4">
        <f ca="1">IF(N57=1,O$3*L56/Prices!Q56,-O$3*M56)</f>
        <v>-1.901449932320775E-4</v>
      </c>
      <c r="P57" s="22"/>
      <c r="Q57" s="13">
        <f ca="1">Q56-T57*Prices!Q57</f>
        <v>1</v>
      </c>
      <c r="R57" s="4">
        <f t="shared" ca="1" si="2"/>
        <v>0.01</v>
      </c>
      <c r="S57" s="13">
        <f ca="1">IF(Prices!D56&gt;OFFSET(Prices!D56,-S$3,0),1,-1)</f>
        <v>1</v>
      </c>
      <c r="T57" s="4">
        <f ca="1">IF(S57=1,T$3*Q56/Prices!Q56,-T$3*R56)</f>
        <v>0</v>
      </c>
      <c r="V57" s="13"/>
      <c r="W57" s="4"/>
      <c r="X57" s="4"/>
      <c r="Y57" s="4"/>
      <c r="Z57" s="4"/>
      <c r="AA57" s="4"/>
      <c r="AB57" s="4"/>
      <c r="AC57" s="4"/>
      <c r="AD57" s="4"/>
      <c r="AE57" s="52"/>
    </row>
    <row r="58" spans="1:31" x14ac:dyDescent="0.2">
      <c r="A58" s="66">
        <v>42601</v>
      </c>
      <c r="B58" s="13">
        <f ca="1">Prices!Q57*(1+J58/(50*(ABS(O58)+ABS(T58)+0.0001)))</f>
        <v>11.624656028379764</v>
      </c>
      <c r="C58" s="62">
        <f t="shared" ca="1" si="3"/>
        <v>0</v>
      </c>
      <c r="D58" s="13">
        <f ca="1">D57+C58*(Prices!Q58-Prices!Q57)/Prices!Q57</f>
        <v>0.74560154605503859</v>
      </c>
      <c r="E58" s="13">
        <f t="shared" ca="1" si="4"/>
        <v>0.16785605952519578</v>
      </c>
      <c r="F58" s="13">
        <f t="shared" ca="1" si="5"/>
        <v>0.91345760558023437</v>
      </c>
      <c r="G58" s="21">
        <f ca="1">IF((Prices!Q58-Prices!Q57)*C58&gt;0,1,0)</f>
        <v>0</v>
      </c>
      <c r="H58" s="13">
        <f>ABS(Prices!Q58-Prices!Q57)/Prices!Q57</f>
        <v>8.7430487753109465E-2</v>
      </c>
      <c r="I58" s="21"/>
      <c r="J58" s="4">
        <f t="shared" ca="1" si="6"/>
        <v>-1.8824354329975674E-4</v>
      </c>
      <c r="K58" s="13"/>
      <c r="L58" s="13">
        <f ca="1">L57-O58*Prices!Q58</f>
        <v>0.90413846224690431</v>
      </c>
      <c r="M58" s="4">
        <f t="shared" ca="1" si="1"/>
        <v>1.8636110786675916E-2</v>
      </c>
      <c r="N58" s="13">
        <f ca="1">IF(Prices!P57&gt;OFFSET(Prices!P57,-$N$3,0),1,-1)</f>
        <v>-1</v>
      </c>
      <c r="O58" s="4">
        <f ca="1">IF(N58=1,O$3*L57/Prices!Q57,-O$3*M57)</f>
        <v>-1.8824354329975674E-4</v>
      </c>
      <c r="P58" s="22"/>
      <c r="Q58" s="13">
        <f ca="1">Q57-T58*Prices!Q58</f>
        <v>1</v>
      </c>
      <c r="R58" s="4">
        <f t="shared" ca="1" si="2"/>
        <v>0.01</v>
      </c>
      <c r="S58" s="13">
        <f ca="1">IF(Prices!D57&gt;OFFSET(Prices!D57,-S$3,0),1,-1)</f>
        <v>1</v>
      </c>
      <c r="T58" s="4">
        <f ca="1">IF(S58=1,T$3*Q57/Prices!Q57,-T$3*R57)</f>
        <v>0</v>
      </c>
      <c r="V58" s="13"/>
      <c r="W58" s="4"/>
      <c r="X58" s="4"/>
      <c r="Y58" s="4"/>
      <c r="Z58" s="4"/>
      <c r="AA58" s="4"/>
      <c r="AB58" s="4"/>
      <c r="AC58" s="4"/>
      <c r="AD58" s="4"/>
      <c r="AE58" s="52"/>
    </row>
    <row r="59" spans="1:31" x14ac:dyDescent="0.2">
      <c r="A59" s="66">
        <v>42608</v>
      </c>
      <c r="B59" s="13">
        <f ca="1">Prices!Q58*(1+J59/(50*(ABS(O59)+ABS(T59)+0.0001)))</f>
        <v>10.608796948566109</v>
      </c>
      <c r="C59" s="62">
        <f t="shared" ca="1" si="3"/>
        <v>0</v>
      </c>
      <c r="D59" s="13">
        <f ca="1">D58+C59*(Prices!Q59-Prices!Q58)/Prices!Q58</f>
        <v>0.74560154605503859</v>
      </c>
      <c r="E59" s="13">
        <f t="shared" ca="1" si="4"/>
        <v>0.16785605952519578</v>
      </c>
      <c r="F59" s="13">
        <f t="shared" ca="1" si="5"/>
        <v>0.91345760558023437</v>
      </c>
      <c r="G59" s="21">
        <f ca="1">IF((Prices!Q59-Prices!Q58)*C59&gt;0,1,0)</f>
        <v>0</v>
      </c>
      <c r="H59" s="13">
        <f>ABS(Prices!Q59-Prices!Q58)/Prices!Q58</f>
        <v>5.0861964702708359E-2</v>
      </c>
      <c r="I59" s="21"/>
      <c r="J59" s="4">
        <f t="shared" ca="1" si="6"/>
        <v>-1.8636110786675916E-4</v>
      </c>
      <c r="K59" s="13"/>
      <c r="L59" s="13">
        <f ca="1">L58-O59*Prices!Q59</f>
        <v>0.90624348550470246</v>
      </c>
      <c r="M59" s="4">
        <f t="shared" ca="1" si="1"/>
        <v>1.8449749678809156E-2</v>
      </c>
      <c r="N59" s="13">
        <f ca="1">IF(Prices!P58&gt;OFFSET(Prices!P58,-$N$3,0),1,-1)</f>
        <v>-1</v>
      </c>
      <c r="O59" s="4">
        <f ca="1">IF(N59=1,O$3*L58/Prices!Q58,-O$3*M58)</f>
        <v>-1.8636110786675916E-4</v>
      </c>
      <c r="P59" s="22"/>
      <c r="Q59" s="13">
        <f ca="1">Q58-T59*Prices!Q59</f>
        <v>1</v>
      </c>
      <c r="R59" s="4">
        <f t="shared" ca="1" si="2"/>
        <v>0.01</v>
      </c>
      <c r="S59" s="13">
        <f ca="1">IF(Prices!D58&gt;OFFSET(Prices!D58,-S$3,0),1,-1)</f>
        <v>1</v>
      </c>
      <c r="T59" s="4">
        <f ca="1">IF(S59=1,T$3*Q58/Prices!Q58,-T$3*R58)</f>
        <v>0</v>
      </c>
      <c r="V59" s="13"/>
      <c r="W59" s="4"/>
      <c r="X59" s="4"/>
      <c r="Y59" s="4"/>
      <c r="Z59" s="4"/>
      <c r="AA59" s="4"/>
      <c r="AB59" s="4"/>
      <c r="AC59" s="4"/>
      <c r="AD59" s="4"/>
      <c r="AE59" s="52"/>
    </row>
    <row r="60" spans="1:31" x14ac:dyDescent="0.2">
      <c r="A60" s="66">
        <v>42615</v>
      </c>
      <c r="B60" s="13">
        <f ca="1">Prices!Q59*(1+J60/(50*(ABS(O60)+ABS(T60)+0.0001)))</f>
        <v>11.14889797107196</v>
      </c>
      <c r="C60" s="62">
        <f t="shared" ca="1" si="3"/>
        <v>0</v>
      </c>
      <c r="D60" s="13">
        <f ca="1">D59+C60*(Prices!Q60-Prices!Q59)/Prices!Q59</f>
        <v>0.74560154605503859</v>
      </c>
      <c r="E60" s="13">
        <f t="shared" ca="1" si="4"/>
        <v>0.16785605952519578</v>
      </c>
      <c r="F60" s="13">
        <f t="shared" ca="1" si="5"/>
        <v>0.91345760558023437</v>
      </c>
      <c r="G60" s="21">
        <f ca="1">IF((Prices!Q60-Prices!Q59)*C60&gt;0,1,0)</f>
        <v>0</v>
      </c>
      <c r="H60" s="13">
        <f>ABS(Prices!Q60-Prices!Q59)/Prices!Q59</f>
        <v>7.2383448129326872E-2</v>
      </c>
      <c r="I60" s="21"/>
      <c r="J60" s="4">
        <f t="shared" ca="1" si="6"/>
        <v>-1.8449749678809156E-4</v>
      </c>
      <c r="K60" s="13"/>
      <c r="L60" s="13">
        <f ca="1">L59-O60*Prices!Q60</f>
        <v>0.90847830368329663</v>
      </c>
      <c r="M60" s="4">
        <f t="shared" ca="1" si="1"/>
        <v>1.8265252182021064E-2</v>
      </c>
      <c r="N60" s="13">
        <f ca="1">IF(Prices!P59&gt;OFFSET(Prices!P59,-$N$3,0),1,-1)</f>
        <v>-1</v>
      </c>
      <c r="O60" s="4">
        <f ca="1">IF(N60=1,O$3*L59/Prices!Q59,-O$3*M59)</f>
        <v>-1.8449749678809156E-4</v>
      </c>
      <c r="P60" s="22"/>
      <c r="Q60" s="13">
        <f ca="1">Q59-T60*Prices!Q60</f>
        <v>1</v>
      </c>
      <c r="R60" s="4">
        <f t="shared" ca="1" si="2"/>
        <v>0.01</v>
      </c>
      <c r="S60" s="13">
        <f ca="1">IF(Prices!D59&gt;OFFSET(Prices!D59,-S$3,0),1,-1)</f>
        <v>1</v>
      </c>
      <c r="T60" s="4">
        <f ca="1">IF(S60=1,T$3*Q59/Prices!Q59,-T$3*R59)</f>
        <v>0</v>
      </c>
      <c r="V60" s="13"/>
      <c r="W60" s="4"/>
      <c r="X60" s="4"/>
      <c r="Y60" s="4"/>
      <c r="Z60" s="4"/>
      <c r="AA60" s="4"/>
      <c r="AB60" s="4"/>
      <c r="AC60" s="4"/>
      <c r="AD60" s="4"/>
      <c r="AE60" s="52"/>
    </row>
    <row r="61" spans="1:31" x14ac:dyDescent="0.2">
      <c r="A61" s="66">
        <v>42622</v>
      </c>
      <c r="B61" s="13">
        <f ca="1">Prices!Q60*(1+J61/(50*(ABS(O61)+ABS(T61)+0.0001)))</f>
        <v>11.956449477644107</v>
      </c>
      <c r="C61" s="62">
        <f t="shared" ca="1" si="3"/>
        <v>0</v>
      </c>
      <c r="D61" s="13">
        <f ca="1">D60+C61*(Prices!Q61-Prices!Q60)/Prices!Q60</f>
        <v>0.74560154605503859</v>
      </c>
      <c r="E61" s="13">
        <f t="shared" ca="1" si="4"/>
        <v>0.16785605952519578</v>
      </c>
      <c r="F61" s="13">
        <f t="shared" ca="1" si="5"/>
        <v>0.91345760558023437</v>
      </c>
      <c r="G61" s="21">
        <f ca="1">IF((Prices!Q61-Prices!Q60)*C61&gt;0,1,0)</f>
        <v>0</v>
      </c>
      <c r="H61" s="13">
        <f>ABS(Prices!Q61-Prices!Q60)/Prices!Q60</f>
        <v>3.7992239742425528E-2</v>
      </c>
      <c r="I61" s="21"/>
      <c r="J61" s="4">
        <f t="shared" ca="1" si="6"/>
        <v>-1.8265252182021066E-4</v>
      </c>
      <c r="K61" s="13"/>
      <c r="L61" s="13">
        <f ca="1">L60-O61*Prices!Q61</f>
        <v>0.91060671698956319</v>
      </c>
      <c r="M61" s="4">
        <f t="shared" ca="1" si="1"/>
        <v>1.8082599660200854E-2</v>
      </c>
      <c r="N61" s="13">
        <f ca="1">IF(Prices!P60&gt;OFFSET(Prices!P60,-$N$3,0),1,-1)</f>
        <v>-1</v>
      </c>
      <c r="O61" s="4">
        <f ca="1">IF(N61=1,O$3*L60/Prices!Q60,-O$3*M60)</f>
        <v>-1.8265252182021066E-4</v>
      </c>
      <c r="P61" s="22"/>
      <c r="Q61" s="13">
        <f ca="1">Q60-T61*Prices!Q61</f>
        <v>1</v>
      </c>
      <c r="R61" s="4">
        <f t="shared" ca="1" si="2"/>
        <v>0.01</v>
      </c>
      <c r="S61" s="13">
        <f ca="1">IF(Prices!D60&gt;OFFSET(Prices!D60,-S$3,0),1,-1)</f>
        <v>1</v>
      </c>
      <c r="T61" s="4">
        <f ca="1">IF(S61=1,T$3*Q60/Prices!Q60,-T$3*R60)</f>
        <v>0</v>
      </c>
      <c r="V61" s="13"/>
      <c r="W61" s="4"/>
      <c r="X61" s="4"/>
      <c r="Y61" s="4"/>
      <c r="Z61" s="4"/>
      <c r="AA61" s="4"/>
      <c r="AB61" s="4"/>
      <c r="AC61" s="4"/>
      <c r="AD61" s="4"/>
      <c r="AE61" s="52"/>
    </row>
    <row r="62" spans="1:31" x14ac:dyDescent="0.2">
      <c r="A62" s="66">
        <v>42629</v>
      </c>
      <c r="B62" s="13">
        <f ca="1">Prices!Q61*(1+J62/(50*(ABS(O62)+ABS(T62)+0.0001)))</f>
        <v>11.859415895193107</v>
      </c>
      <c r="C62" s="62">
        <f t="shared" ca="1" si="3"/>
        <v>1</v>
      </c>
      <c r="D62" s="13">
        <f ca="1">D61+C62*(Prices!Q62-Prices!Q61)/Prices!Q61</f>
        <v>0.82309365095686482</v>
      </c>
      <c r="E62" s="13">
        <f t="shared" ca="1" si="4"/>
        <v>9.0363954623369547E-2</v>
      </c>
      <c r="F62" s="13">
        <f t="shared" ca="1" si="5"/>
        <v>0.91345760558023437</v>
      </c>
      <c r="G62" s="21">
        <f ca="1">IF((Prices!Q62-Prices!Q61)*C62&gt;0,1,0)</f>
        <v>1</v>
      </c>
      <c r="H62" s="13">
        <f>ABS(Prices!Q62-Prices!Q61)/Prices!Q61</f>
        <v>7.7492104901826217E-2</v>
      </c>
      <c r="I62" s="21"/>
      <c r="J62" s="4">
        <f t="shared" ca="1" si="6"/>
        <v>7.8144885091099424E-4</v>
      </c>
      <c r="K62" s="13"/>
      <c r="L62" s="13">
        <f ca="1">L61-O62*Prices!Q62</f>
        <v>0.90079500150729497</v>
      </c>
      <c r="M62" s="4">
        <f t="shared" ca="1" si="1"/>
        <v>1.8864048511111849E-2</v>
      </c>
      <c r="N62" s="13">
        <f ca="1">IF(Prices!P61&gt;OFFSET(Prices!P61,-$N$3,0),1,-1)</f>
        <v>1</v>
      </c>
      <c r="O62" s="4">
        <f ca="1">IF(N62=1,O$3*L61/Prices!Q61,-O$3*M61)</f>
        <v>7.8144885091099424E-4</v>
      </c>
      <c r="P62" s="22"/>
      <c r="Q62" s="13">
        <f ca="1">Q61-T62*Prices!Q62</f>
        <v>1</v>
      </c>
      <c r="R62" s="4">
        <f t="shared" ca="1" si="2"/>
        <v>0.01</v>
      </c>
      <c r="S62" s="13">
        <f ca="1">IF(Prices!D61&gt;OFFSET(Prices!D61,-S$3,0),1,-1)</f>
        <v>1</v>
      </c>
      <c r="T62" s="4">
        <f ca="1">IF(S62=1,T$3*Q61/Prices!Q61,-T$3*R61)</f>
        <v>0</v>
      </c>
      <c r="V62" s="13"/>
      <c r="W62" s="4"/>
      <c r="X62" s="4"/>
      <c r="Y62" s="4"/>
      <c r="Z62" s="4"/>
      <c r="AA62" s="4"/>
      <c r="AB62" s="4"/>
      <c r="AC62" s="4"/>
      <c r="AD62" s="4"/>
      <c r="AE62" s="52"/>
    </row>
    <row r="63" spans="1:31" x14ac:dyDescent="0.2">
      <c r="A63" s="66">
        <v>42636</v>
      </c>
      <c r="B63" s="13">
        <f ca="1">Prices!Q62*(1+J63/(50*(ABS(O63)+ABS(T63)+0.0001)))</f>
        <v>12.776195942980928</v>
      </c>
      <c r="C63" s="62">
        <f t="shared" ca="1" si="3"/>
        <v>1</v>
      </c>
      <c r="D63" s="13">
        <f ca="1">D62+C63*(Prices!Q63-Prices!Q62)/Prices!Q62</f>
        <v>0.88485793519203904</v>
      </c>
      <c r="E63" s="13">
        <f t="shared" ca="1" si="4"/>
        <v>2.8599670388195331E-2</v>
      </c>
      <c r="F63" s="13">
        <f t="shared" ca="1" si="5"/>
        <v>0.91345760558023437</v>
      </c>
      <c r="G63" s="21">
        <f ca="1">IF((Prices!Q63-Prices!Q62)*C63&gt;0,1,0)</f>
        <v>1</v>
      </c>
      <c r="H63" s="13">
        <f>ABS(Prices!Q63-Prices!Q62)/Prices!Q62</f>
        <v>6.1764284235174265E-2</v>
      </c>
      <c r="I63" s="21"/>
      <c r="J63" s="4">
        <f t="shared" ca="1" si="6"/>
        <v>7.174333786037489E-4</v>
      </c>
      <c r="K63" s="13"/>
      <c r="L63" s="13">
        <f ca="1">L62-O63*Prices!Q63</f>
        <v>0.89123068190711485</v>
      </c>
      <c r="M63" s="4">
        <f t="shared" ca="1" si="1"/>
        <v>1.9581481889715598E-2</v>
      </c>
      <c r="N63" s="13">
        <f ca="1">IF(Prices!P62&gt;OFFSET(Prices!P62,-$N$3,0),1,-1)</f>
        <v>1</v>
      </c>
      <c r="O63" s="4">
        <f ca="1">IF(N63=1,O$3*L62/Prices!Q62,-O$3*M62)</f>
        <v>7.174333786037489E-4</v>
      </c>
      <c r="P63" s="22"/>
      <c r="Q63" s="13">
        <f ca="1">Q62-T63*Prices!Q63</f>
        <v>1</v>
      </c>
      <c r="R63" s="4">
        <f t="shared" ca="1" si="2"/>
        <v>0.01</v>
      </c>
      <c r="S63" s="13">
        <f ca="1">IF(Prices!D62&gt;OFFSET(Prices!D62,-S$3,0),1,-1)</f>
        <v>1</v>
      </c>
      <c r="T63" s="4">
        <f ca="1">IF(S63=1,T$3*Q62/Prices!Q62,-T$3*R62)</f>
        <v>0</v>
      </c>
      <c r="V63" s="13"/>
      <c r="W63" s="4"/>
      <c r="X63" s="4"/>
      <c r="Y63" s="4"/>
      <c r="Z63" s="4"/>
      <c r="AA63" s="4"/>
      <c r="AB63" s="4"/>
      <c r="AC63" s="4"/>
      <c r="AD63" s="4"/>
      <c r="AE63" s="52"/>
    </row>
    <row r="64" spans="1:31" x14ac:dyDescent="0.2">
      <c r="A64" s="66">
        <v>42643</v>
      </c>
      <c r="B64" s="13">
        <f ca="1">Prices!Q63*(1+J64/(50*(ABS(O64)+ABS(T64)+0.0001)))</f>
        <v>13.154806739459783</v>
      </c>
      <c r="C64" s="62">
        <f t="shared" ca="1" si="3"/>
        <v>0</v>
      </c>
      <c r="D64" s="13">
        <f ca="1">D63+C64*(Prices!Q64-Prices!Q63)/Prices!Q63</f>
        <v>0.88485793519203904</v>
      </c>
      <c r="E64" s="13">
        <f t="shared" ca="1" si="4"/>
        <v>2.8599670388195331E-2</v>
      </c>
      <c r="F64" s="13">
        <f t="shared" ca="1" si="5"/>
        <v>0.91345760558023437</v>
      </c>
      <c r="G64" s="21">
        <f ca="1">IF((Prices!Q64-Prices!Q63)*C64&gt;0,1,0)</f>
        <v>0</v>
      </c>
      <c r="H64" s="13">
        <f>ABS(Prices!Q64-Prices!Q63)/Prices!Q63</f>
        <v>7.9887182795376661E-3</v>
      </c>
      <c r="I64" s="21"/>
      <c r="J64" s="4">
        <f t="shared" ca="1" si="6"/>
        <v>-1.9581481889715597E-4</v>
      </c>
      <c r="K64" s="13"/>
      <c r="L64" s="13">
        <f ca="1">L63-O64*Prices!Q64</f>
        <v>0.89382029372406591</v>
      </c>
      <c r="M64" s="4">
        <f t="shared" ca="1" si="1"/>
        <v>1.938566707081844E-2</v>
      </c>
      <c r="N64" s="13">
        <f ca="1">IF(Prices!P63&gt;OFFSET(Prices!P63,-$N$3,0),1,-1)</f>
        <v>-1</v>
      </c>
      <c r="O64" s="4">
        <f ca="1">IF(N64=1,O$3*L63/Prices!Q63,-O$3*M63)</f>
        <v>-1.9581481889715597E-4</v>
      </c>
      <c r="P64" s="22"/>
      <c r="Q64" s="13">
        <f ca="1">Q63-T64*Prices!Q64</f>
        <v>1</v>
      </c>
      <c r="R64" s="4">
        <f t="shared" ca="1" si="2"/>
        <v>0.01</v>
      </c>
      <c r="S64" s="13">
        <f ca="1">IF(Prices!D63&gt;OFFSET(Prices!D63,-S$3,0),1,-1)</f>
        <v>1</v>
      </c>
      <c r="T64" s="4">
        <f ca="1">IF(S64=1,T$3*Q63/Prices!Q63,-T$3*R63)</f>
        <v>0</v>
      </c>
      <c r="V64" s="13"/>
      <c r="W64" s="4"/>
      <c r="X64" s="4"/>
      <c r="Y64" s="4"/>
      <c r="Z64" s="4"/>
      <c r="AA64" s="4"/>
      <c r="AB64" s="4"/>
      <c r="AC64" s="4"/>
      <c r="AD64" s="4"/>
      <c r="AE64" s="52"/>
    </row>
    <row r="65" spans="1:31" x14ac:dyDescent="0.2">
      <c r="A65" s="66">
        <v>42650</v>
      </c>
      <c r="B65" s="13">
        <f ca="1">Prices!Q64*(1+J65/(50*(ABS(O65)+ABS(T65)+0.0001)))</f>
        <v>13.050312506311112</v>
      </c>
      <c r="C65" s="62">
        <f t="shared" ca="1" si="3"/>
        <v>0</v>
      </c>
      <c r="D65" s="13">
        <f ca="1">D64+C65*(Prices!Q65-Prices!Q64)/Prices!Q64</f>
        <v>0.88485793519203904</v>
      </c>
      <c r="E65" s="13">
        <f t="shared" ca="1" si="4"/>
        <v>2.8599670388195331E-2</v>
      </c>
      <c r="F65" s="13">
        <f t="shared" ca="1" si="5"/>
        <v>0.91345760558023437</v>
      </c>
      <c r="G65" s="21">
        <f ca="1">IF((Prices!Q65-Prices!Q64)*C65&gt;0,1,0)</f>
        <v>0</v>
      </c>
      <c r="H65" s="13">
        <f>ABS(Prices!Q65-Prices!Q64)/Prices!Q64</f>
        <v>4.2170770068356463E-2</v>
      </c>
      <c r="I65" s="21"/>
      <c r="J65" s="4">
        <f t="shared" ca="1" si="6"/>
        <v>-1.9385667070818439E-4</v>
      </c>
      <c r="K65" s="13"/>
      <c r="L65" s="13">
        <f ca="1">L64-O65*Prices!Q65</f>
        <v>0.89627589555759357</v>
      </c>
      <c r="M65" s="4">
        <f t="shared" ca="1" si="1"/>
        <v>1.9191810400110254E-2</v>
      </c>
      <c r="N65" s="13">
        <f ca="1">IF(Prices!P64&gt;OFFSET(Prices!P64,-$N$3,0),1,-1)</f>
        <v>-1</v>
      </c>
      <c r="O65" s="4">
        <f ca="1">IF(N65=1,O$3*L64/Prices!Q64,-O$3*M64)</f>
        <v>-1.9385667070818439E-4</v>
      </c>
      <c r="P65" s="22"/>
      <c r="Q65" s="13">
        <f ca="1">Q64-T65*Prices!Q65</f>
        <v>1</v>
      </c>
      <c r="R65" s="4">
        <f t="shared" ca="1" si="2"/>
        <v>0.01</v>
      </c>
      <c r="S65" s="13">
        <f ca="1">IF(Prices!D64&gt;OFFSET(Prices!D64,-S$3,0),1,-1)</f>
        <v>1</v>
      </c>
      <c r="T65" s="4">
        <f ca="1">IF(S65=1,T$3*Q64/Prices!Q64,-T$3*R64)</f>
        <v>0</v>
      </c>
      <c r="V65" s="13"/>
      <c r="W65" s="4"/>
      <c r="X65" s="4"/>
      <c r="Y65" s="4"/>
      <c r="Z65" s="4"/>
      <c r="AA65" s="4"/>
      <c r="AB65" s="4"/>
      <c r="AC65" s="4"/>
      <c r="AD65" s="4"/>
      <c r="AE65" s="52"/>
    </row>
    <row r="66" spans="1:31" x14ac:dyDescent="0.2">
      <c r="A66" s="66">
        <v>42657</v>
      </c>
      <c r="B66" s="13">
        <f ca="1">Prices!Q65*(1+J66/(50*(ABS(O66)+ABS(T66)+0.0001)))</f>
        <v>12.889070787455767</v>
      </c>
      <c r="C66" s="62">
        <f t="shared" ca="1" si="3"/>
        <v>1</v>
      </c>
      <c r="D66" s="13">
        <f ca="1">D65+C66*(Prices!Q66-Prices!Q65)/Prices!Q65</f>
        <v>0.82731516691832208</v>
      </c>
      <c r="E66" s="13">
        <f t="shared" ca="1" si="4"/>
        <v>8.6142438661912291E-2</v>
      </c>
      <c r="F66" s="13">
        <f t="shared" ca="1" si="5"/>
        <v>0.91345760558023437</v>
      </c>
      <c r="G66" s="21">
        <f ca="1">IF((Prices!Q66-Prices!Q65)*C66&gt;0,1,0)</f>
        <v>0</v>
      </c>
      <c r="H66" s="13">
        <f>ABS(Prices!Q66-Prices!Q65)/Prices!Q65</f>
        <v>5.7542768273716911E-2</v>
      </c>
      <c r="I66" s="21"/>
      <c r="J66" s="4">
        <f t="shared" ca="1" si="6"/>
        <v>7.0756202726558845E-4</v>
      </c>
      <c r="K66" s="13"/>
      <c r="L66" s="13">
        <f ca="1">L65-O66*Prices!Q66</f>
        <v>0.88782887856369153</v>
      </c>
      <c r="M66" s="4">
        <f t="shared" ca="1" si="1"/>
        <v>1.9899372427375842E-2</v>
      </c>
      <c r="N66" s="13">
        <f ca="1">IF(Prices!P65&gt;OFFSET(Prices!P65,-$N$3,0),1,-1)</f>
        <v>1</v>
      </c>
      <c r="O66" s="4">
        <f ca="1">IF(N66=1,O$3*L65/Prices!Q65,-O$3*M65)</f>
        <v>7.0756202726558845E-4</v>
      </c>
      <c r="P66" s="22"/>
      <c r="Q66" s="13">
        <f ca="1">Q65-T66*Prices!Q66</f>
        <v>1</v>
      </c>
      <c r="R66" s="4">
        <f t="shared" ca="1" si="2"/>
        <v>0.01</v>
      </c>
      <c r="S66" s="13">
        <f ca="1">IF(Prices!D65&gt;OFFSET(Prices!D65,-S$3,0),1,-1)</f>
        <v>1</v>
      </c>
      <c r="T66" s="4">
        <f ca="1">IF(S66=1,T$3*Q65/Prices!Q65,-T$3*R65)</f>
        <v>0</v>
      </c>
      <c r="V66" s="13"/>
      <c r="W66" s="4"/>
      <c r="X66" s="4"/>
      <c r="Y66" s="4"/>
      <c r="Z66" s="4"/>
      <c r="AA66" s="4"/>
      <c r="AB66" s="4"/>
      <c r="AC66" s="4"/>
      <c r="AD66" s="4"/>
      <c r="AE66" s="52"/>
    </row>
    <row r="67" spans="1:31" x14ac:dyDescent="0.2">
      <c r="A67" s="66">
        <v>42664</v>
      </c>
      <c r="B67" s="13">
        <f ca="1">Prices!Q66*(1+J67/(50*(ABS(O67)+ABS(T67)+0.0001)))</f>
        <v>12.148663944416162</v>
      </c>
      <c r="C67" s="62">
        <f t="shared" ca="1" si="3"/>
        <v>1</v>
      </c>
      <c r="D67" s="13">
        <f ca="1">D66+C67*(Prices!Q67-Prices!Q66)/Prices!Q66</f>
        <v>0.84718415889366172</v>
      </c>
      <c r="E67" s="13">
        <f t="shared" ca="1" si="4"/>
        <v>6.6273446686572646E-2</v>
      </c>
      <c r="F67" s="13">
        <f t="shared" ca="1" si="5"/>
        <v>0.91345760558023437</v>
      </c>
      <c r="G67" s="21">
        <f ca="1">IF((Prices!Q67-Prices!Q66)*C67&gt;0,1,0)</f>
        <v>1</v>
      </c>
      <c r="H67" s="13">
        <f>ABS(Prices!Q67-Prices!Q66)/Prices!Q66</f>
        <v>1.9868991975339634E-2</v>
      </c>
      <c r="I67" s="21"/>
      <c r="J67" s="4">
        <f t="shared" ca="1" si="6"/>
        <v>7.4368738885568293E-4</v>
      </c>
      <c r="K67" s="13"/>
      <c r="L67" s="13">
        <f ca="1">L66-O67*Prices!Q67</f>
        <v>0.87877418712941802</v>
      </c>
      <c r="M67" s="4">
        <f t="shared" ca="1" si="1"/>
        <v>2.0643059816231525E-2</v>
      </c>
      <c r="N67" s="13">
        <f ca="1">IF(Prices!P66&gt;OFFSET(Prices!P66,-$N$3,0),1,-1)</f>
        <v>1</v>
      </c>
      <c r="O67" s="4">
        <f ca="1">IF(N67=1,O$3*L66/Prices!Q66,-O$3*M66)</f>
        <v>7.4368738885568293E-4</v>
      </c>
      <c r="P67" s="22"/>
      <c r="Q67" s="13">
        <f ca="1">Q66-T67*Prices!Q67</f>
        <v>1</v>
      </c>
      <c r="R67" s="4">
        <f t="shared" ca="1" si="2"/>
        <v>0.01</v>
      </c>
      <c r="S67" s="13">
        <f ca="1">IF(Prices!D66&gt;OFFSET(Prices!D66,-S$3,0),1,-1)</f>
        <v>1</v>
      </c>
      <c r="T67" s="4">
        <f ca="1">IF(S67=1,T$3*Q66/Prices!Q66,-T$3*R66)</f>
        <v>0</v>
      </c>
      <c r="V67" s="13"/>
      <c r="W67" s="4"/>
      <c r="X67" s="4"/>
      <c r="Y67" s="4"/>
      <c r="Z67" s="4"/>
      <c r="AA67" s="4"/>
      <c r="AB67" s="4"/>
      <c r="AC67" s="4"/>
      <c r="AD67" s="4"/>
      <c r="AE67" s="52"/>
    </row>
    <row r="68" spans="1:31" x14ac:dyDescent="0.2">
      <c r="A68" s="66">
        <v>42671</v>
      </c>
      <c r="B68" s="13">
        <f ca="1">Prices!Q67*(1+J68/(50*(ABS(O68)+ABS(T68)+0.0001)))</f>
        <v>12.389275578431686</v>
      </c>
      <c r="C68" s="62">
        <f t="shared" ca="1" si="3"/>
        <v>1</v>
      </c>
      <c r="D68" s="13">
        <f ca="1">D67+C68*(Prices!Q68-Prices!Q67)/Prices!Q67</f>
        <v>0.75763473957273597</v>
      </c>
      <c r="E68" s="13">
        <f t="shared" ca="1" si="4"/>
        <v>0.1558228660074984</v>
      </c>
      <c r="F68" s="13">
        <f t="shared" ca="1" si="5"/>
        <v>0.91345760558023437</v>
      </c>
      <c r="G68" s="21">
        <f ca="1">IF((Prices!Q68-Prices!Q67)*C68&gt;0,1,0)</f>
        <v>0</v>
      </c>
      <c r="H68" s="13">
        <f>ABS(Prices!Q68-Prices!Q67)/Prices!Q67</f>
        <v>8.9549419320925736E-2</v>
      </c>
      <c r="I68" s="21"/>
      <c r="J68" s="4">
        <f t="shared" ca="1" si="6"/>
        <v>7.2176206706097389E-4</v>
      </c>
      <c r="K68" s="13"/>
      <c r="L68" s="13">
        <f ca="1">L67-O68*Prices!Q68</f>
        <v>0.87077338243984037</v>
      </c>
      <c r="M68" s="4">
        <f t="shared" ca="1" si="1"/>
        <v>2.1364821883292501E-2</v>
      </c>
      <c r="N68" s="13">
        <f ca="1">IF(Prices!P67&gt;OFFSET(Prices!P67,-$N$3,0),1,-1)</f>
        <v>1</v>
      </c>
      <c r="O68" s="4">
        <f ca="1">IF(N68=1,O$3*L67/Prices!Q67,-O$3*M67)</f>
        <v>7.2176206706097389E-4</v>
      </c>
      <c r="P68" s="22"/>
      <c r="Q68" s="13">
        <f ca="1">Q67-T68*Prices!Q68</f>
        <v>1</v>
      </c>
      <c r="R68" s="4">
        <f t="shared" ca="1" si="2"/>
        <v>0.01</v>
      </c>
      <c r="S68" s="13">
        <f ca="1">IF(Prices!D67&gt;OFFSET(Prices!D67,-S$3,0),1,-1)</f>
        <v>-1</v>
      </c>
      <c r="T68" s="4">
        <f ca="1">IF(S68=1,T$3*Q67/Prices!Q67,-T$3*R67)</f>
        <v>0</v>
      </c>
      <c r="V68" s="13"/>
      <c r="W68" s="4"/>
      <c r="X68" s="4"/>
      <c r="Y68" s="4"/>
      <c r="Z68" s="4"/>
      <c r="AA68" s="4"/>
      <c r="AB68" s="4"/>
      <c r="AC68" s="4"/>
      <c r="AD68" s="4"/>
      <c r="AE68" s="52"/>
    </row>
    <row r="69" spans="1:31" x14ac:dyDescent="0.2">
      <c r="A69" s="66">
        <v>42678</v>
      </c>
      <c r="B69" s="13">
        <f ca="1">Prices!Q68*(1+J69/(50*(ABS(O69)+ABS(T69)+0.0001)))</f>
        <v>11.28176606075314</v>
      </c>
      <c r="C69" s="62">
        <f t="shared" ca="1" si="3"/>
        <v>1</v>
      </c>
      <c r="D69" s="13">
        <f ca="1">D68+C69*(Prices!Q69-Prices!Q68)/Prices!Q68</f>
        <v>0.7581399222052787</v>
      </c>
      <c r="E69" s="13">
        <f t="shared" ca="1" si="4"/>
        <v>0.15531768337495566</v>
      </c>
      <c r="F69" s="13">
        <f t="shared" ca="1" si="5"/>
        <v>0.91345760558023437</v>
      </c>
      <c r="G69" s="21">
        <f ca="1">IF((Prices!Q69-Prices!Q68)*C69&gt;0,1,0)</f>
        <v>1</v>
      </c>
      <c r="H69" s="13">
        <f>ABS(Prices!Q69-Prices!Q68)/Prices!Q68</f>
        <v>5.0518263254272703E-4</v>
      </c>
      <c r="I69" s="21"/>
      <c r="J69" s="4">
        <f t="shared" ca="1" si="6"/>
        <v>7.855349815877533E-4</v>
      </c>
      <c r="K69" s="13"/>
      <c r="L69" s="13">
        <f ca="1">L68-O69*Prices!Q69</f>
        <v>0.86206124961954511</v>
      </c>
      <c r="M69" s="4">
        <f t="shared" ca="1" si="1"/>
        <v>2.2150356864880254E-2</v>
      </c>
      <c r="N69" s="13">
        <f ca="1">IF(Prices!P68&gt;OFFSET(Prices!P68,-$N$3,0),1,-1)</f>
        <v>1</v>
      </c>
      <c r="O69" s="4">
        <f ca="1">IF(N69=1,O$3*L68/Prices!Q68,-O$3*M68)</f>
        <v>7.855349815877533E-4</v>
      </c>
      <c r="P69" s="22"/>
      <c r="Q69" s="13">
        <f ca="1">Q68-T69*Prices!Q69</f>
        <v>1</v>
      </c>
      <c r="R69" s="4">
        <f t="shared" ca="1" si="2"/>
        <v>0.01</v>
      </c>
      <c r="S69" s="13">
        <f ca="1">IF(Prices!D68&gt;OFFSET(Prices!D68,-S$3,0),1,-1)</f>
        <v>-1</v>
      </c>
      <c r="T69" s="4">
        <f ca="1">IF(S69=1,T$3*Q68/Prices!Q68,-T$3*R68)</f>
        <v>0</v>
      </c>
      <c r="V69" s="13"/>
      <c r="W69" s="4"/>
      <c r="X69" s="4"/>
      <c r="Y69" s="4"/>
      <c r="Z69" s="4"/>
      <c r="AA69" s="4"/>
      <c r="AB69" s="4"/>
      <c r="AC69" s="4"/>
      <c r="AD69" s="4"/>
      <c r="AE69" s="52"/>
    </row>
    <row r="70" spans="1:31" x14ac:dyDescent="0.2">
      <c r="A70" s="66">
        <v>42685</v>
      </c>
      <c r="B70" s="13">
        <f ca="1">Prices!Q69*(1+J70/(50*(ABS(O70)+ABS(T70)+0.0001)))</f>
        <v>11.287229798477885</v>
      </c>
      <c r="C70" s="62">
        <f t="shared" ca="1" si="3"/>
        <v>1</v>
      </c>
      <c r="D70" s="13">
        <f ca="1">D69+C70*(Prices!Q70-Prices!Q69)/Prices!Q69</f>
        <v>0.68593528228173906</v>
      </c>
      <c r="E70" s="13">
        <f t="shared" ca="1" si="4"/>
        <v>0.22752232329849531</v>
      </c>
      <c r="F70" s="13">
        <f t="shared" ca="1" si="5"/>
        <v>0.91345760558023437</v>
      </c>
      <c r="G70" s="21">
        <f ca="1">IF((Prices!Q70-Prices!Q69)*C70&gt;0,1,0)</f>
        <v>0</v>
      </c>
      <c r="H70" s="13">
        <f>ABS(Prices!Q70-Prices!Q69)/Prices!Q69</f>
        <v>7.2204639923539593E-2</v>
      </c>
      <c r="I70" s="21"/>
      <c r="J70" s="4">
        <f t="shared" ca="1" si="6"/>
        <v>7.7728299351668073E-4</v>
      </c>
      <c r="K70" s="13"/>
      <c r="L70" s="13">
        <f ca="1">L69-O70*Prices!Q70</f>
        <v>0.85406308534455777</v>
      </c>
      <c r="M70" s="4">
        <f t="shared" ca="1" si="1"/>
        <v>2.2927639858396933E-2</v>
      </c>
      <c r="N70" s="13">
        <f ca="1">IF(Prices!P69&gt;OFFSET(Prices!P69,-$N$3,0),1,-1)</f>
        <v>1</v>
      </c>
      <c r="O70" s="4">
        <f ca="1">IF(N70=1,O$3*L69/Prices!Q69,-O$3*M69)</f>
        <v>7.7728299351668073E-4</v>
      </c>
      <c r="P70" s="22"/>
      <c r="Q70" s="13">
        <f ca="1">Q69-T70*Prices!Q70</f>
        <v>1</v>
      </c>
      <c r="R70" s="4">
        <f t="shared" ca="1" si="2"/>
        <v>0.01</v>
      </c>
      <c r="S70" s="13">
        <f ca="1">IF(Prices!D69&gt;OFFSET(Prices!D69,-S$3,0),1,-1)</f>
        <v>-1</v>
      </c>
      <c r="T70" s="4">
        <f ca="1">IF(S70=1,T$3*Q69/Prices!Q69,-T$3*R69)</f>
        <v>0</v>
      </c>
      <c r="V70" s="13"/>
      <c r="W70" s="4"/>
      <c r="X70" s="4"/>
      <c r="Y70" s="4"/>
      <c r="Z70" s="4"/>
      <c r="AA70" s="4"/>
      <c r="AB70" s="4"/>
      <c r="AC70" s="4"/>
      <c r="AD70" s="4"/>
      <c r="AE70" s="52"/>
    </row>
    <row r="71" spans="1:31" x14ac:dyDescent="0.2">
      <c r="A71" s="66">
        <v>42692</v>
      </c>
      <c r="B71" s="13">
        <f ca="1">Prices!Q70*(1+J71/(50*(ABS(O71)+ABS(T71)+0.0001)))</f>
        <v>10.473569214830443</v>
      </c>
      <c r="C71" s="62">
        <f t="shared" ca="1" si="3"/>
        <v>1</v>
      </c>
      <c r="D71" s="13">
        <f ca="1">D70+C71*(Prices!Q71-Prices!Q70)/Prices!Q70</f>
        <v>0.60685385291896587</v>
      </c>
      <c r="E71" s="13">
        <f t="shared" ca="1" si="4"/>
        <v>0.30660375266126849</v>
      </c>
      <c r="F71" s="13">
        <f t="shared" ca="1" si="5"/>
        <v>0.91345760558023437</v>
      </c>
      <c r="G71" s="21">
        <f ca="1">IF((Prices!Q71-Prices!Q70)*C71&gt;0,1,0)</f>
        <v>0</v>
      </c>
      <c r="H71" s="13">
        <f>ABS(Prices!Q71-Prices!Q70)/Prices!Q70</f>
        <v>7.908142936277314E-2</v>
      </c>
      <c r="I71" s="21"/>
      <c r="J71" s="4">
        <f t="shared" ca="1" si="6"/>
        <v>8.3000134631488923E-4</v>
      </c>
      <c r="K71" s="13"/>
      <c r="L71" s="13">
        <f ca="1">L70-O71*Prices!Q71</f>
        <v>0.84619785978666251</v>
      </c>
      <c r="M71" s="4">
        <f t="shared" ca="1" si="1"/>
        <v>2.3757641204711823E-2</v>
      </c>
      <c r="N71" s="13">
        <f ca="1">IF(Prices!P70&gt;OFFSET(Prices!P70,-$N$3,0),1,-1)</f>
        <v>1</v>
      </c>
      <c r="O71" s="4">
        <f ca="1">IF(N71=1,O$3*L70/Prices!Q70,-O$3*M70)</f>
        <v>8.3000134631488923E-4</v>
      </c>
      <c r="P71" s="22"/>
      <c r="Q71" s="13">
        <f ca="1">Q70-T71*Prices!Q71</f>
        <v>1</v>
      </c>
      <c r="R71" s="4">
        <f t="shared" ca="1" si="2"/>
        <v>0.01</v>
      </c>
      <c r="S71" s="13">
        <f ca="1">IF(Prices!D70&gt;OFFSET(Prices!D70,-S$3,0),1,-1)</f>
        <v>-1</v>
      </c>
      <c r="T71" s="4">
        <f ca="1">IF(S71=1,T$3*Q70/Prices!Q70,-T$3*R70)</f>
        <v>0</v>
      </c>
      <c r="V71" s="13"/>
      <c r="W71" s="4"/>
      <c r="X71" s="4"/>
      <c r="Y71" s="4"/>
      <c r="Z71" s="4"/>
      <c r="AA71" s="4"/>
      <c r="AB71" s="4"/>
      <c r="AC71" s="4"/>
      <c r="AD71" s="4"/>
      <c r="AE71" s="52"/>
    </row>
    <row r="72" spans="1:31" x14ac:dyDescent="0.2">
      <c r="A72" s="66">
        <v>42699</v>
      </c>
      <c r="B72" s="13">
        <f ca="1">Prices!Q71*(1+J72/(50*(ABS(O72)+ABS(T72)+0.0001)))</f>
        <v>9.646596807401119</v>
      </c>
      <c r="C72" s="62">
        <f t="shared" ca="1" si="3"/>
        <v>1</v>
      </c>
      <c r="D72" s="13">
        <f ca="1">D71+C72*(Prices!Q72-Prices!Q71)/Prices!Q71</f>
        <v>0.59903317450070348</v>
      </c>
      <c r="E72" s="13">
        <f t="shared" ca="1" si="4"/>
        <v>0.31442443107953089</v>
      </c>
      <c r="F72" s="13">
        <f t="shared" ca="1" si="5"/>
        <v>0.91345760558023437</v>
      </c>
      <c r="G72" s="21">
        <f ca="1">IF((Prices!Q72-Prices!Q71)*C72&gt;0,1,0)</f>
        <v>0</v>
      </c>
      <c r="H72" s="13">
        <f>ABS(Prices!Q72-Prices!Q71)/Prices!Q71</f>
        <v>7.8206784182623564E-3</v>
      </c>
      <c r="I72" s="21"/>
      <c r="J72" s="4">
        <f t="shared" ca="1" si="6"/>
        <v>8.9297548773623753E-4</v>
      </c>
      <c r="K72" s="13"/>
      <c r="L72" s="13">
        <f ca="1">L71-O72*Prices!Q72</f>
        <v>0.83780205960219201</v>
      </c>
      <c r="M72" s="4">
        <f t="shared" ca="1" si="1"/>
        <v>2.4650616692448061E-2</v>
      </c>
      <c r="N72" s="13">
        <f ca="1">IF(Prices!P71&gt;OFFSET(Prices!P71,-$N$3,0),1,-1)</f>
        <v>1</v>
      </c>
      <c r="O72" s="4">
        <f ca="1">IF(N72=1,O$3*L71/Prices!Q71,-O$3*M71)</f>
        <v>8.9297548773623753E-4</v>
      </c>
      <c r="P72" s="22"/>
      <c r="Q72" s="13">
        <f ca="1">Q71-T72*Prices!Q72</f>
        <v>1</v>
      </c>
      <c r="R72" s="4">
        <f t="shared" ca="1" si="2"/>
        <v>0.01</v>
      </c>
      <c r="S72" s="13">
        <f ca="1">IF(Prices!D71&gt;OFFSET(Prices!D71,-S$3,0),1,-1)</f>
        <v>-1</v>
      </c>
      <c r="T72" s="4">
        <f ca="1">IF(S72=1,T$3*Q71/Prices!Q71,-T$3*R71)</f>
        <v>0</v>
      </c>
      <c r="V72" s="13"/>
      <c r="W72" s="4"/>
      <c r="X72" s="4"/>
      <c r="Y72" s="4"/>
      <c r="Z72" s="4"/>
      <c r="AA72" s="4"/>
      <c r="AB72" s="4"/>
      <c r="AC72" s="4"/>
      <c r="AD72" s="4"/>
      <c r="AE72" s="52"/>
    </row>
    <row r="73" spans="1:31" x14ac:dyDescent="0.2">
      <c r="A73" s="66">
        <v>42706</v>
      </c>
      <c r="B73" s="13">
        <f ca="1">Prices!Q72*(1+J73/(50*(ABS(O73)+ABS(T73)+0.0001)))</f>
        <v>9.5711177430657095</v>
      </c>
      <c r="C73" s="62">
        <f t="shared" ca="1" si="3"/>
        <v>1</v>
      </c>
      <c r="D73" s="13">
        <f ca="1">D72+C73*(Prices!Q73-Prices!Q72)/Prices!Q72</f>
        <v>0.42438083804216531</v>
      </c>
      <c r="E73" s="13">
        <f t="shared" ca="1" si="4"/>
        <v>0.48907676753806906</v>
      </c>
      <c r="F73" s="13">
        <f t="shared" ca="1" si="5"/>
        <v>0.91345760558023437</v>
      </c>
      <c r="G73" s="21">
        <f ca="1">IF((Prices!Q73-Prices!Q72)*C73&gt;0,1,0)</f>
        <v>0</v>
      </c>
      <c r="H73" s="13">
        <f>ABS(Prices!Q73-Prices!Q72)/Prices!Q72</f>
        <v>0.17465233645853817</v>
      </c>
      <c r="I73" s="21"/>
      <c r="J73" s="4">
        <f t="shared" ca="1" si="6"/>
        <v>8.9108445456277316E-4</v>
      </c>
      <c r="K73" s="13"/>
      <c r="L73" s="13">
        <f ca="1">L72-O73*Prices!Q73</f>
        <v>0.83088727987816302</v>
      </c>
      <c r="M73" s="4">
        <f t="shared" ref="M73:M136" ca="1" si="7">M72+O73</f>
        <v>2.5541701147010834E-2</v>
      </c>
      <c r="N73" s="13">
        <f ca="1">IF(Prices!P72&gt;OFFSET(Prices!P72,-$N$3,0),1,-1)</f>
        <v>1</v>
      </c>
      <c r="O73" s="4">
        <f ca="1">IF(N73=1,O$3*L72/Prices!Q72,-O$3*M72)</f>
        <v>8.9108445456277316E-4</v>
      </c>
      <c r="P73" s="22"/>
      <c r="Q73" s="13">
        <f ca="1">Q72-T73*Prices!Q73</f>
        <v>1</v>
      </c>
      <c r="R73" s="4">
        <f t="shared" ca="1" si="2"/>
        <v>0.01</v>
      </c>
      <c r="S73" s="13">
        <f ca="1">IF(Prices!D72&gt;OFFSET(Prices!D72,-S$3,0),1,-1)</f>
        <v>-1</v>
      </c>
      <c r="T73" s="4">
        <f ca="1">IF(S73=1,T$3*Q72/Prices!Q72,-T$3*R72)</f>
        <v>0</v>
      </c>
      <c r="V73" s="13"/>
      <c r="W73" s="4"/>
      <c r="X73" s="4"/>
      <c r="Y73" s="4"/>
      <c r="Z73" s="4"/>
      <c r="AA73" s="4"/>
      <c r="AB73" s="4"/>
      <c r="AC73" s="4"/>
      <c r="AD73" s="4"/>
      <c r="AE73" s="52"/>
    </row>
    <row r="74" spans="1:31" x14ac:dyDescent="0.2">
      <c r="A74" s="66">
        <v>42713</v>
      </c>
      <c r="B74" s="13">
        <f ca="1">Prices!Q73*(1+J74/(50*(ABS(O74)+ABS(T74)+0.0001)))</f>
        <v>7.9019026565021626</v>
      </c>
      <c r="C74" s="62">
        <f t="shared" ca="1" si="3"/>
        <v>1</v>
      </c>
      <c r="D74" s="13">
        <f ca="1">D73+C74*(Prices!Q74-Prices!Q73)/Prices!Q73</f>
        <v>0.51278979891309751</v>
      </c>
      <c r="E74" s="13">
        <f t="shared" ca="1" si="4"/>
        <v>0.40066780666713686</v>
      </c>
      <c r="F74" s="13">
        <f t="shared" ca="1" si="5"/>
        <v>0.91345760558023437</v>
      </c>
      <c r="G74" s="21">
        <f ca="1">IF((Prices!Q74-Prices!Q73)*C74&gt;0,1,0)</f>
        <v>1</v>
      </c>
      <c r="H74" s="13">
        <f>ABS(Prices!Q74-Prices!Q73)/Prices!Q73</f>
        <v>8.8408960870932182E-2</v>
      </c>
      <c r="I74" s="21"/>
      <c r="J74" s="4">
        <f t="shared" ca="1" si="6"/>
        <v>1.0707365500313957E-3</v>
      </c>
      <c r="K74" s="13"/>
      <c r="L74" s="13">
        <f ca="1">L73-O74*Prices!Q74</f>
        <v>0.8218438282692323</v>
      </c>
      <c r="M74" s="4">
        <f t="shared" ca="1" si="7"/>
        <v>2.6612437697042229E-2</v>
      </c>
      <c r="N74" s="13">
        <f ca="1">IF(Prices!P73&gt;OFFSET(Prices!P73,-$N$3,0),1,-1)</f>
        <v>1</v>
      </c>
      <c r="O74" s="4">
        <f ca="1">IF(N74=1,O$3*L73/Prices!Q73,-O$3*M73)</f>
        <v>1.0707365500313957E-3</v>
      </c>
      <c r="P74" s="22"/>
      <c r="Q74" s="13">
        <f ca="1">Q73-T74*Prices!Q74</f>
        <v>1</v>
      </c>
      <c r="R74" s="4">
        <f t="shared" ca="1" si="2"/>
        <v>0.01</v>
      </c>
      <c r="S74" s="13">
        <f ca="1">IF(Prices!D73&gt;OFFSET(Prices!D73,-S$3,0),1,-1)</f>
        <v>-1</v>
      </c>
      <c r="T74" s="4">
        <f ca="1">IF(S74=1,T$3*Q73/Prices!Q73,-T$3*R73)</f>
        <v>0</v>
      </c>
      <c r="V74" s="13"/>
      <c r="W74" s="4"/>
      <c r="X74" s="4"/>
      <c r="Y74" s="4"/>
      <c r="Z74" s="4"/>
      <c r="AA74" s="4"/>
      <c r="AB74" s="4"/>
      <c r="AC74" s="4"/>
      <c r="AD74" s="4"/>
      <c r="AE74" s="52"/>
    </row>
    <row r="75" spans="1:31" x14ac:dyDescent="0.2">
      <c r="A75" s="66">
        <v>42720</v>
      </c>
      <c r="B75" s="13">
        <f ca="1">Prices!Q74*(1+J75/(50*(ABS(O75)+ABS(T75)+0.0001)))</f>
        <v>8.5991882214660809</v>
      </c>
      <c r="C75" s="62">
        <f t="shared" ca="1" si="3"/>
        <v>1</v>
      </c>
      <c r="D75" s="13">
        <f ca="1">D74+C75*(Prices!Q75-Prices!Q74)/Prices!Q74</f>
        <v>0.44319480672151834</v>
      </c>
      <c r="E75" s="13">
        <f t="shared" ca="1" si="4"/>
        <v>0.47026279885871602</v>
      </c>
      <c r="F75" s="13">
        <f t="shared" ca="1" si="5"/>
        <v>0.91345760558023437</v>
      </c>
      <c r="G75" s="21">
        <f ca="1">IF((Prices!Q75-Prices!Q74)*C75&gt;0,1,0)</f>
        <v>0</v>
      </c>
      <c r="H75" s="13">
        <f>ABS(Prices!Q75-Prices!Q74)/Prices!Q74</f>
        <v>6.9594992191579177E-2</v>
      </c>
      <c r="I75" s="21"/>
      <c r="J75" s="4">
        <f t="shared" ca="1" si="6"/>
        <v>9.730557130162435E-4</v>
      </c>
      <c r="K75" s="13"/>
      <c r="L75" s="13">
        <f ca="1">L74-O75*Prices!Q75</f>
        <v>0.81419735213465094</v>
      </c>
      <c r="M75" s="4">
        <f t="shared" ca="1" si="7"/>
        <v>2.7585493410058472E-2</v>
      </c>
      <c r="N75" s="13">
        <f ca="1">IF(Prices!P74&gt;OFFSET(Prices!P74,-$N$3,0),1,-1)</f>
        <v>1</v>
      </c>
      <c r="O75" s="4">
        <f ca="1">IF(N75=1,O$3*L74/Prices!Q74,-O$3*M74)</f>
        <v>9.730557130162435E-4</v>
      </c>
      <c r="P75" s="22"/>
      <c r="Q75" s="13">
        <f ca="1">Q74-T75*Prices!Q75</f>
        <v>1</v>
      </c>
      <c r="R75" s="4">
        <f t="shared" ca="1" si="2"/>
        <v>0.01</v>
      </c>
      <c r="S75" s="13">
        <f ca="1">IF(Prices!D74&gt;OFFSET(Prices!D74,-S$3,0),1,-1)</f>
        <v>-1</v>
      </c>
      <c r="T75" s="4">
        <f ca="1">IF(S75=1,T$3*Q74/Prices!Q74,-T$3*R74)</f>
        <v>0</v>
      </c>
      <c r="V75" s="13"/>
      <c r="W75" s="4"/>
      <c r="X75" s="4"/>
      <c r="Y75" s="4"/>
      <c r="Z75" s="4"/>
      <c r="AA75" s="4"/>
      <c r="AB75" s="4"/>
      <c r="AC75" s="4"/>
      <c r="AD75" s="4"/>
      <c r="AE75" s="52"/>
    </row>
    <row r="76" spans="1:31" x14ac:dyDescent="0.2">
      <c r="A76" s="66">
        <v>42727</v>
      </c>
      <c r="B76" s="13">
        <f ca="1">Prices!Q75*(1+J76/(50*(ABS(O76)+ABS(T76)+0.0001)))</f>
        <v>8.0015406682679586</v>
      </c>
      <c r="C76" s="62">
        <f t="shared" ca="1" si="3"/>
        <v>1</v>
      </c>
      <c r="D76" s="13">
        <f ca="1">D75+C76*(Prices!Q76-Prices!Q75)/Prices!Q75</f>
        <v>0.35512640437543702</v>
      </c>
      <c r="E76" s="13">
        <f t="shared" ca="1" si="4"/>
        <v>0.5583312012047974</v>
      </c>
      <c r="F76" s="13">
        <f t="shared" ca="1" si="5"/>
        <v>0.91345760558023437</v>
      </c>
      <c r="G76" s="21">
        <f ca="1">IF((Prices!Q76-Prices!Q75)*C76&gt;0,1,0)</f>
        <v>0</v>
      </c>
      <c r="H76" s="13">
        <f>ABS(Prices!Q76-Prices!Q75)/Prices!Q75</f>
        <v>8.806840234608132E-2</v>
      </c>
      <c r="I76" s="21"/>
      <c r="J76" s="4">
        <f t="shared" ca="1" si="6"/>
        <v>1.0361104528062383E-3</v>
      </c>
      <c r="K76" s="13"/>
      <c r="L76" s="13">
        <f ca="1">L75-O76*Prices!Q76</f>
        <v>0.80677242921327352</v>
      </c>
      <c r="M76" s="4">
        <f t="shared" ca="1" si="7"/>
        <v>2.8621603862864709E-2</v>
      </c>
      <c r="N76" s="13">
        <f ca="1">IF(Prices!P75&gt;OFFSET(Prices!P75,-$N$3,0),1,-1)</f>
        <v>1</v>
      </c>
      <c r="O76" s="4">
        <f ca="1">IF(N76=1,O$3*L75/Prices!Q75,-O$3*M75)</f>
        <v>1.0361104528062383E-3</v>
      </c>
      <c r="P76" s="22"/>
      <c r="Q76" s="13">
        <f ca="1">Q75-T76*Prices!Q76</f>
        <v>1</v>
      </c>
      <c r="R76" s="4">
        <f t="shared" ca="1" si="2"/>
        <v>0.01</v>
      </c>
      <c r="S76" s="13">
        <f ca="1">IF(Prices!D75&gt;OFFSET(Prices!D75,-S$3,0),1,-1)</f>
        <v>-1</v>
      </c>
      <c r="T76" s="4">
        <f ca="1">IF(S76=1,T$3*Q75/Prices!Q75,-T$3*R75)</f>
        <v>0</v>
      </c>
      <c r="V76" s="13"/>
      <c r="W76" s="4"/>
      <c r="X76" s="4"/>
      <c r="Y76" s="4"/>
      <c r="Z76" s="4"/>
      <c r="AA76" s="4"/>
      <c r="AB76" s="4"/>
      <c r="AC76" s="4"/>
      <c r="AD76" s="4"/>
      <c r="AE76" s="52"/>
    </row>
    <row r="77" spans="1:31" x14ac:dyDescent="0.2">
      <c r="A77" s="66">
        <v>42734</v>
      </c>
      <c r="B77" s="13">
        <f ca="1">Prices!Q76*(1+J77/(50*(ABS(O77)+ABS(T77)+0.0001)))</f>
        <v>7.2977808956505035</v>
      </c>
      <c r="C77" s="62">
        <f t="shared" ca="1" si="3"/>
        <v>1</v>
      </c>
      <c r="D77" s="13">
        <f ca="1">D76+C77*(Prices!Q77-Prices!Q76)/Prices!Q76</f>
        <v>0.49381035600915935</v>
      </c>
      <c r="E77" s="13">
        <f t="shared" ca="1" si="4"/>
        <v>0.41964724957107502</v>
      </c>
      <c r="F77" s="13">
        <f t="shared" ca="1" si="5"/>
        <v>0.91345760558023437</v>
      </c>
      <c r="G77" s="21">
        <f ca="1">IF((Prices!Q77-Prices!Q76)*C77&gt;0,1,0)</f>
        <v>1</v>
      </c>
      <c r="H77" s="13">
        <f>ABS(Prices!Q77-Prices!Q76)/Prices!Q76</f>
        <v>0.1386839516337223</v>
      </c>
      <c r="I77" s="21"/>
      <c r="J77" s="4">
        <f t="shared" ca="1" si="6"/>
        <v>1.125810134051441E-3</v>
      </c>
      <c r="K77" s="13"/>
      <c r="L77" s="13">
        <f ca="1">L76-O77*Prices!Q77</f>
        <v>0.79758584103561647</v>
      </c>
      <c r="M77" s="4">
        <f t="shared" ca="1" si="7"/>
        <v>2.9747413996916151E-2</v>
      </c>
      <c r="N77" s="13">
        <f ca="1">IF(Prices!P76&gt;OFFSET(Prices!P76,-$N$3,0),1,-1)</f>
        <v>1</v>
      </c>
      <c r="O77" s="4">
        <f ca="1">IF(N77=1,O$3*L76/Prices!Q76,-O$3*M76)</f>
        <v>1.125810134051441E-3</v>
      </c>
      <c r="P77" s="22"/>
      <c r="Q77" s="13">
        <f ca="1">Q76-T77*Prices!Q77</f>
        <v>1</v>
      </c>
      <c r="R77" s="4">
        <f t="shared" ca="1" si="2"/>
        <v>0.01</v>
      </c>
      <c r="S77" s="13">
        <f ca="1">IF(Prices!D76&gt;OFFSET(Prices!D76,-S$3,0),1,-1)</f>
        <v>-1</v>
      </c>
      <c r="T77" s="4">
        <f ca="1">IF(S77=1,T$3*Q76/Prices!Q76,-T$3*R76)</f>
        <v>0</v>
      </c>
      <c r="V77" s="13"/>
      <c r="W77" s="4"/>
      <c r="X77" s="4"/>
      <c r="Y77" s="4"/>
      <c r="Z77" s="4"/>
      <c r="AA77" s="4"/>
      <c r="AB77" s="4"/>
      <c r="AC77" s="4"/>
      <c r="AD77" s="4"/>
      <c r="AE77" s="52"/>
    </row>
    <row r="78" spans="1:31" x14ac:dyDescent="0.2">
      <c r="A78" s="66">
        <v>42741</v>
      </c>
      <c r="B78" s="13">
        <f ca="1">Prices!Q77*(1+J78/(50*(ABS(O78)+ABS(T78)+0.0001)))</f>
        <v>8.3080325660875776</v>
      </c>
      <c r="C78" s="62">
        <f t="shared" ca="1" si="3"/>
        <v>1</v>
      </c>
      <c r="D78" s="13">
        <f ca="1">D77+C78*(Prices!Q78-Prices!Q77)/Prices!Q77</f>
        <v>0.75051686754472691</v>
      </c>
      <c r="E78" s="13">
        <f t="shared" ca="1" si="4"/>
        <v>0.16294073803550746</v>
      </c>
      <c r="F78" s="13">
        <f t="shared" ca="1" si="5"/>
        <v>0.91345760558023437</v>
      </c>
      <c r="G78" s="21">
        <f ca="1">IF((Prices!Q78-Prices!Q77)*C78&gt;0,1,0)</f>
        <v>1</v>
      </c>
      <c r="H78" s="13">
        <f>ABS(Prices!Q78-Prices!Q77)/Prices!Q77</f>
        <v>0.25670651153556756</v>
      </c>
      <c r="I78" s="21"/>
      <c r="J78" s="4">
        <f t="shared" ca="1" si="6"/>
        <v>9.7743602439664869E-4</v>
      </c>
      <c r="K78" s="13"/>
      <c r="L78" s="13">
        <f ca="1">L77-O78*Prices!Q78</f>
        <v>0.78756252783623615</v>
      </c>
      <c r="M78" s="4">
        <f t="shared" ca="1" si="7"/>
        <v>3.07248500213128E-2</v>
      </c>
      <c r="N78" s="13">
        <f ca="1">IF(Prices!P77&gt;OFFSET(Prices!P77,-$N$3,0),1,-1)</f>
        <v>1</v>
      </c>
      <c r="O78" s="4">
        <f ca="1">IF(N78=1,O$3*L77/Prices!Q77,-O$3*M77)</f>
        <v>9.7743602439664869E-4</v>
      </c>
      <c r="P78" s="22"/>
      <c r="Q78" s="13">
        <f ca="1">Q77-T78*Prices!Q78</f>
        <v>1</v>
      </c>
      <c r="R78" s="4">
        <f t="shared" ca="1" si="2"/>
        <v>0.01</v>
      </c>
      <c r="S78" s="13">
        <f ca="1">IF(Prices!D77&gt;OFFSET(Prices!D77,-S$3,0),1,-1)</f>
        <v>-1</v>
      </c>
      <c r="T78" s="4">
        <f ca="1">IF(S78=1,T$3*Q77/Prices!Q77,-T$3*R77)</f>
        <v>0</v>
      </c>
      <c r="V78" s="13"/>
      <c r="W78" s="4"/>
      <c r="X78" s="4"/>
      <c r="Y78" s="4"/>
      <c r="Z78" s="4"/>
      <c r="AA78" s="4"/>
      <c r="AB78" s="4"/>
      <c r="AC78" s="4"/>
      <c r="AD78" s="4"/>
      <c r="AE78" s="52"/>
    </row>
    <row r="79" spans="1:31" x14ac:dyDescent="0.2">
      <c r="A79" s="66">
        <v>42748</v>
      </c>
      <c r="B79" s="13">
        <f ca="1">Prices!Q78*(1+J79/(50*(ABS(O79)+ABS(T79)+0.0001)))</f>
        <v>10.099966897558287</v>
      </c>
      <c r="C79" s="62">
        <f t="shared" ca="1" si="3"/>
        <v>0</v>
      </c>
      <c r="D79" s="13">
        <f ca="1">D78+C79*(Prices!Q79-Prices!Q78)/Prices!Q78</f>
        <v>0.75051686754472691</v>
      </c>
      <c r="E79" s="13">
        <f t="shared" ca="1" si="4"/>
        <v>0.16294073803550746</v>
      </c>
      <c r="F79" s="13">
        <f t="shared" ca="1" si="5"/>
        <v>0.91345760558023437</v>
      </c>
      <c r="G79" s="21">
        <f ca="1">IF((Prices!Q79-Prices!Q78)*C79&gt;0,1,0)</f>
        <v>0</v>
      </c>
      <c r="H79" s="13">
        <f>ABS(Prices!Q79-Prices!Q78)/Prices!Q78</f>
        <v>4.7314889757867025E-2</v>
      </c>
      <c r="I79" s="21"/>
      <c r="J79" s="4">
        <f t="shared" ca="1" si="6"/>
        <v>-3.0724850021312801E-4</v>
      </c>
      <c r="K79" s="13"/>
      <c r="L79" s="13">
        <f ca="1">L78-O79*Prices!Q79</f>
        <v>0.79056419205906825</v>
      </c>
      <c r="M79" s="4">
        <f t="shared" ca="1" si="7"/>
        <v>3.0417601521099673E-2</v>
      </c>
      <c r="N79" s="13">
        <f ca="1">IF(Prices!P78&gt;OFFSET(Prices!P78,-$N$3,0),1,-1)</f>
        <v>-1</v>
      </c>
      <c r="O79" s="4">
        <f ca="1">IF(N79=1,O$3*L78/Prices!Q78,-O$3*M78)</f>
        <v>-3.0724850021312801E-4</v>
      </c>
      <c r="P79" s="22"/>
      <c r="Q79" s="13">
        <f ca="1">Q78-T79*Prices!Q79</f>
        <v>1</v>
      </c>
      <c r="R79" s="4">
        <f t="shared" ca="1" si="2"/>
        <v>0.01</v>
      </c>
      <c r="S79" s="13">
        <f ca="1">IF(Prices!D78&gt;OFFSET(Prices!D78,-S$3,0),1,-1)</f>
        <v>-1</v>
      </c>
      <c r="T79" s="4">
        <f ca="1">IF(S79=1,T$3*Q78/Prices!Q78,-T$3*R78)</f>
        <v>0</v>
      </c>
      <c r="V79" s="13"/>
      <c r="W79" s="4"/>
      <c r="X79" s="4"/>
      <c r="Y79" s="4"/>
      <c r="Z79" s="4"/>
      <c r="AA79" s="4"/>
      <c r="AB79" s="4"/>
      <c r="AC79" s="4"/>
      <c r="AD79" s="4"/>
      <c r="AE79" s="52"/>
    </row>
    <row r="80" spans="1:31" x14ac:dyDescent="0.2">
      <c r="A80" s="66">
        <v>42755</v>
      </c>
      <c r="B80" s="13">
        <f ca="1">Prices!Q79*(1+J80/(50*(ABS(O80)+ABS(T80)+0.0001)))</f>
        <v>9.6224527993365712</v>
      </c>
      <c r="C80" s="62">
        <f t="shared" ca="1" si="3"/>
        <v>0</v>
      </c>
      <c r="D80" s="13">
        <f ca="1">D79+C80*(Prices!Q80-Prices!Q79)/Prices!Q79</f>
        <v>0.75051686754472691</v>
      </c>
      <c r="E80" s="13">
        <f t="shared" ca="1" si="4"/>
        <v>0.16294073803550746</v>
      </c>
      <c r="F80" s="13">
        <f t="shared" ca="1" si="5"/>
        <v>0.91345760558023437</v>
      </c>
      <c r="G80" s="21">
        <f ca="1">IF((Prices!Q80-Prices!Q79)*C80&gt;0,1,0)</f>
        <v>0</v>
      </c>
      <c r="H80" s="13">
        <f>ABS(Prices!Q80-Prices!Q79)/Prices!Q79</f>
        <v>8.5070883873279005E-2</v>
      </c>
      <c r="I80" s="21"/>
      <c r="J80" s="4">
        <f t="shared" ca="1" si="6"/>
        <v>-3.0417601521099671E-4</v>
      </c>
      <c r="K80" s="13"/>
      <c r="L80" s="13">
        <f ca="1">L79-O80*Prices!Q80</f>
        <v>0.7937886403259139</v>
      </c>
      <c r="M80" s="4">
        <f t="shared" ca="1" si="7"/>
        <v>3.0113425505888677E-2</v>
      </c>
      <c r="N80" s="13">
        <f ca="1">IF(Prices!P79&gt;OFFSET(Prices!P79,-$N$3,0),1,-1)</f>
        <v>-1</v>
      </c>
      <c r="O80" s="4">
        <f ca="1">IF(N80=1,O$3*L79/Prices!Q79,-O$3*M79)</f>
        <v>-3.0417601521099671E-4</v>
      </c>
      <c r="P80" s="22"/>
      <c r="Q80" s="13">
        <f ca="1">Q79-T80*Prices!Q80</f>
        <v>1</v>
      </c>
      <c r="R80" s="4">
        <f t="shared" ca="1" si="2"/>
        <v>0.01</v>
      </c>
      <c r="S80" s="13">
        <f ca="1">IF(Prices!D79&gt;OFFSET(Prices!D79,-S$3,0),1,-1)</f>
        <v>1</v>
      </c>
      <c r="T80" s="4">
        <f ca="1">IF(S80=1,T$3*Q79/Prices!Q79,-T$3*R79)</f>
        <v>0</v>
      </c>
      <c r="V80" s="13"/>
      <c r="W80" s="4"/>
      <c r="X80" s="4"/>
      <c r="Y80" s="4"/>
      <c r="Z80" s="4"/>
      <c r="AA80" s="4"/>
      <c r="AB80" s="4"/>
      <c r="AC80" s="4"/>
      <c r="AD80" s="4"/>
      <c r="AE80" s="52"/>
    </row>
    <row r="81" spans="1:31" x14ac:dyDescent="0.2">
      <c r="A81" s="66">
        <v>42762</v>
      </c>
      <c r="B81" s="13">
        <f ca="1">Prices!Q80*(1+J81/(50*(ABS(O81)+ABS(T81)+0.0001)))</f>
        <v>10.78763458508246</v>
      </c>
      <c r="C81" s="62">
        <f t="shared" ca="1" si="3"/>
        <v>1</v>
      </c>
      <c r="D81" s="13">
        <f ca="1">D80+C81*(Prices!Q81-Prices!Q80)/Prices!Q80</f>
        <v>0.74454550743303516</v>
      </c>
      <c r="E81" s="13">
        <f t="shared" ref="E81:E144" ca="1" si="8">F81-D81</f>
        <v>0.16891209814719921</v>
      </c>
      <c r="F81" s="13">
        <f t="shared" ref="F81:F144" ca="1" si="9">MAX(F80,D81)</f>
        <v>0.91345760558023437</v>
      </c>
      <c r="G81" s="21">
        <f ca="1">IF((Prices!Q81-Prices!Q80)*C81&gt;0,1,0)</f>
        <v>0</v>
      </c>
      <c r="H81" s="13">
        <f>ABS(Prices!Q81-Prices!Q80)/Prices!Q80</f>
        <v>5.9713601116917828E-3</v>
      </c>
      <c r="I81" s="21"/>
      <c r="J81" s="4">
        <f t="shared" ref="J81:J144" ca="1" si="10">O81+T81</f>
        <v>7.4881482210998804E-4</v>
      </c>
      <c r="K81" s="13"/>
      <c r="L81" s="13">
        <f ca="1">L80-O81*Prices!Q81</f>
        <v>0.78589815390089435</v>
      </c>
      <c r="M81" s="4">
        <f t="shared" ca="1" si="7"/>
        <v>3.0862240327998666E-2</v>
      </c>
      <c r="N81" s="13">
        <f ca="1">IF(Prices!P80&gt;OFFSET(Prices!P80,-$N$3,0),1,-1)</f>
        <v>1</v>
      </c>
      <c r="O81" s="4">
        <f ca="1">IF(N81=1,O$3*L80/Prices!Q80,-O$3*M80)</f>
        <v>7.4881482210998804E-4</v>
      </c>
      <c r="P81" s="22"/>
      <c r="Q81" s="13">
        <f ca="1">Q80-T81*Prices!Q81</f>
        <v>1</v>
      </c>
      <c r="R81" s="4">
        <f t="shared" ca="1" si="2"/>
        <v>0.01</v>
      </c>
      <c r="S81" s="13">
        <f ca="1">IF(Prices!D80&gt;OFFSET(Prices!D80,-S$3,0),1,-1)</f>
        <v>-1</v>
      </c>
      <c r="T81" s="4">
        <f ca="1">IF(S81=1,T$3*Q80/Prices!Q80,-T$3*R80)</f>
        <v>0</v>
      </c>
      <c r="V81" s="13"/>
      <c r="W81" s="4"/>
      <c r="X81" s="4"/>
      <c r="Y81" s="4"/>
      <c r="Z81" s="4"/>
      <c r="AA81" s="4"/>
      <c r="AB81" s="4"/>
      <c r="AC81" s="4"/>
      <c r="AD81" s="4"/>
      <c r="AE81" s="52"/>
    </row>
    <row r="82" spans="1:31" x14ac:dyDescent="0.2">
      <c r="A82" s="66">
        <v>42769</v>
      </c>
      <c r="B82" s="13">
        <f ca="1">Prices!Q81*(1+J82/(50*(ABS(O82)+ABS(T82)+0.0001)))</f>
        <v>10.723129970617915</v>
      </c>
      <c r="C82" s="62">
        <f t="shared" ca="1" si="3"/>
        <v>1</v>
      </c>
      <c r="D82" s="13">
        <f ca="1">D81+C82*(Prices!Q82-Prices!Q81)/Prices!Q81</f>
        <v>0.79932234780011202</v>
      </c>
      <c r="E82" s="13">
        <f t="shared" ca="1" si="8"/>
        <v>0.11413525778012235</v>
      </c>
      <c r="F82" s="13">
        <f t="shared" ca="1" si="9"/>
        <v>0.91345760558023437</v>
      </c>
      <c r="G82" s="21">
        <f ca="1">IF((Prices!Q82-Prices!Q81)*C82&gt;0,1,0)</f>
        <v>1</v>
      </c>
      <c r="H82" s="13">
        <f>ABS(Prices!Q82-Prices!Q81)/Prices!Q81</f>
        <v>5.4776840367076904E-2</v>
      </c>
      <c r="I82" s="21"/>
      <c r="J82" s="4">
        <f t="shared" ca="1" si="10"/>
        <v>7.4582497784147215E-4</v>
      </c>
      <c r="K82" s="13"/>
      <c r="L82" s="13">
        <f ca="1">L81-O82*Prices!Q82</f>
        <v>0.77760868218467527</v>
      </c>
      <c r="M82" s="4">
        <f t="shared" ca="1" si="7"/>
        <v>3.1608065305840136E-2</v>
      </c>
      <c r="N82" s="13">
        <f ca="1">IF(Prices!P81&gt;OFFSET(Prices!P81,-$N$3,0),1,-1)</f>
        <v>1</v>
      </c>
      <c r="O82" s="4">
        <f ca="1">IF(N82=1,O$3*L81/Prices!Q81,-O$3*M81)</f>
        <v>7.4582497784147215E-4</v>
      </c>
      <c r="P82" s="22"/>
      <c r="Q82" s="13">
        <f ca="1">Q81-T82*Prices!Q82</f>
        <v>1</v>
      </c>
      <c r="R82" s="4">
        <f t="shared" ref="R82:R145" ca="1" si="11">R81+T82</f>
        <v>0.01</v>
      </c>
      <c r="S82" s="13">
        <f ca="1">IF(Prices!D81&gt;OFFSET(Prices!D81,-S$3,0),1,-1)</f>
        <v>-1</v>
      </c>
      <c r="T82" s="4">
        <f ca="1">IF(S82=1,T$3*Q81/Prices!Q81,-T$3*R81)</f>
        <v>0</v>
      </c>
      <c r="V82" s="13"/>
      <c r="W82" s="4"/>
      <c r="X82" s="4"/>
      <c r="Y82" s="4"/>
      <c r="Z82" s="4"/>
      <c r="AA82" s="4"/>
      <c r="AB82" s="4"/>
      <c r="AC82" s="4"/>
      <c r="AD82" s="4"/>
      <c r="AE82" s="52"/>
    </row>
    <row r="83" spans="1:31" x14ac:dyDescent="0.2">
      <c r="A83" s="66">
        <v>42776</v>
      </c>
      <c r="B83" s="13">
        <f ca="1">Prices!Q82*(1+J83/(50*(ABS(O83)+ABS(T83)+0.0001)))</f>
        <v>11.308991046763296</v>
      </c>
      <c r="C83" s="62">
        <f t="shared" ca="1" si="3"/>
        <v>1</v>
      </c>
      <c r="D83" s="13">
        <f ca="1">D82+C83*(Prices!Q83-Prices!Q82)/Prices!Q82</f>
        <v>0.81411383639609025</v>
      </c>
      <c r="E83" s="13">
        <f t="shared" ca="1" si="8"/>
        <v>9.9343769184144115E-2</v>
      </c>
      <c r="F83" s="13">
        <f t="shared" ca="1" si="9"/>
        <v>0.91345760558023437</v>
      </c>
      <c r="G83" s="21">
        <f ca="1">IF((Prices!Q83-Prices!Q82)*C83&gt;0,1,0)</f>
        <v>1</v>
      </c>
      <c r="H83" s="13">
        <f>ABS(Prices!Q83-Prices!Q82)/Prices!Q82</f>
        <v>1.4791488595978276E-2</v>
      </c>
      <c r="I83" s="21"/>
      <c r="J83" s="4">
        <f t="shared" ca="1" si="10"/>
        <v>6.9963442546644048E-4</v>
      </c>
      <c r="K83" s="13"/>
      <c r="L83" s="13">
        <f ca="1">L82-O83*Prices!Q83</f>
        <v>0.76971757546328179</v>
      </c>
      <c r="M83" s="4">
        <f t="shared" ca="1" si="7"/>
        <v>3.2307699731306573E-2</v>
      </c>
      <c r="N83" s="13">
        <f ca="1">IF(Prices!P82&gt;OFFSET(Prices!P82,-$N$3,0),1,-1)</f>
        <v>1</v>
      </c>
      <c r="O83" s="4">
        <f ca="1">IF(N83=1,O$3*L82/Prices!Q82,-O$3*M82)</f>
        <v>6.9963442546644048E-4</v>
      </c>
      <c r="P83" s="22"/>
      <c r="Q83" s="13">
        <f ca="1">Q82-T83*Prices!Q83</f>
        <v>1</v>
      </c>
      <c r="R83" s="4">
        <f t="shared" ca="1" si="11"/>
        <v>0.01</v>
      </c>
      <c r="S83" s="13">
        <f ca="1">IF(Prices!D82&gt;OFFSET(Prices!D82,-S$3,0),1,-1)</f>
        <v>-1</v>
      </c>
      <c r="T83" s="4">
        <f ca="1">IF(S83=1,T$3*Q82/Prices!Q82,-T$3*R82)</f>
        <v>0</v>
      </c>
      <c r="V83" s="13"/>
      <c r="W83" s="4"/>
      <c r="X83" s="4"/>
      <c r="Y83" s="4"/>
      <c r="Z83" s="4"/>
      <c r="AA83" s="4"/>
      <c r="AB83" s="4"/>
      <c r="AC83" s="4"/>
      <c r="AD83" s="4"/>
      <c r="AE83" s="52"/>
    </row>
    <row r="84" spans="1:31" x14ac:dyDescent="0.2">
      <c r="A84" s="66">
        <v>42783</v>
      </c>
      <c r="B84" s="13">
        <f ca="1">Prices!Q83*(1+J84/(50*(ABS(O84)+ABS(T84)+0.0001)))</f>
        <v>11.475647940542773</v>
      </c>
      <c r="C84" s="62">
        <f t="shared" ca="1" si="3"/>
        <v>1</v>
      </c>
      <c r="D84" s="13">
        <f ca="1">D83+C84*(Prices!Q84-Prices!Q83)/Prices!Q83</f>
        <v>0.9380266293102929</v>
      </c>
      <c r="E84" s="13">
        <f t="shared" ca="1" si="8"/>
        <v>0</v>
      </c>
      <c r="F84" s="13">
        <f t="shared" ca="1" si="9"/>
        <v>0.9380266293102929</v>
      </c>
      <c r="G84" s="21">
        <f ca="1">IF((Prices!Q84-Prices!Q83)*C84&gt;0,1,0)</f>
        <v>1</v>
      </c>
      <c r="H84" s="13">
        <f>ABS(Prices!Q84-Prices!Q83)/Prices!Q83</f>
        <v>0.12391279291420268</v>
      </c>
      <c r="I84" s="21"/>
      <c r="J84" s="4">
        <f t="shared" ca="1" si="10"/>
        <v>6.8244028714083973E-4</v>
      </c>
      <c r="K84" s="13"/>
      <c r="L84" s="13">
        <f ca="1">L83-O84*Prices!Q84</f>
        <v>0.7610666211633409</v>
      </c>
      <c r="M84" s="4">
        <f t="shared" ca="1" si="7"/>
        <v>3.2990140018447411E-2</v>
      </c>
      <c r="N84" s="13">
        <f ca="1">IF(Prices!P83&gt;OFFSET(Prices!P83,-$N$3,0),1,-1)</f>
        <v>1</v>
      </c>
      <c r="O84" s="4">
        <f ca="1">IF(N84=1,O$3*L83/Prices!Q83,-O$3*M83)</f>
        <v>6.8244028714083973E-4</v>
      </c>
      <c r="P84" s="22"/>
      <c r="Q84" s="13">
        <f ca="1">Q83-T84*Prices!Q84</f>
        <v>1</v>
      </c>
      <c r="R84" s="4">
        <f t="shared" ca="1" si="11"/>
        <v>0.01</v>
      </c>
      <c r="S84" s="13">
        <f ca="1">IF(Prices!D83&gt;OFFSET(Prices!D83,-S$3,0),1,-1)</f>
        <v>-1</v>
      </c>
      <c r="T84" s="4">
        <f ca="1">IF(S84=1,T$3*Q83/Prices!Q83,-T$3*R83)</f>
        <v>0</v>
      </c>
      <c r="V84" s="13"/>
      <c r="W84" s="4"/>
      <c r="X84" s="4"/>
      <c r="Y84" s="4"/>
      <c r="Z84" s="4"/>
      <c r="AA84" s="4"/>
      <c r="AB84" s="4"/>
      <c r="AC84" s="4"/>
      <c r="AD84" s="4"/>
      <c r="AE84" s="52"/>
    </row>
    <row r="85" spans="1:31" x14ac:dyDescent="0.2">
      <c r="A85" s="66">
        <v>42790</v>
      </c>
      <c r="B85" s="13">
        <f ca="1">Prices!Q84*(1+J85/(50*(ABS(O85)+ABS(T85)+0.0001)))</f>
        <v>12.89383087205287</v>
      </c>
      <c r="C85" s="62">
        <f t="shared" ca="1" si="3"/>
        <v>1</v>
      </c>
      <c r="D85" s="13">
        <f ca="1">D84+C85*(Prices!Q85-Prices!Q84)/Prices!Q84</f>
        <v>0.96900521172657494</v>
      </c>
      <c r="E85" s="13">
        <f t="shared" ca="1" si="8"/>
        <v>0</v>
      </c>
      <c r="F85" s="13">
        <f t="shared" ca="1" si="9"/>
        <v>0.96900521172657494</v>
      </c>
      <c r="G85" s="21">
        <f ca="1">IF((Prices!Q85-Prices!Q84)*C85&gt;0,1,0)</f>
        <v>1</v>
      </c>
      <c r="H85" s="13">
        <f>ABS(Prices!Q85-Prices!Q84)/Prices!Q84</f>
        <v>3.0978582416282065E-2</v>
      </c>
      <c r="I85" s="21"/>
      <c r="J85" s="4">
        <f t="shared" ca="1" si="10"/>
        <v>6.0037598798038955E-4</v>
      </c>
      <c r="K85" s="13"/>
      <c r="L85" s="13">
        <f ca="1">L84-O85*Prices!Q85</f>
        <v>0.75322018730122764</v>
      </c>
      <c r="M85" s="4">
        <f t="shared" ca="1" si="7"/>
        <v>3.3590516006427804E-2</v>
      </c>
      <c r="N85" s="13">
        <f ca="1">IF(Prices!P84&gt;OFFSET(Prices!P84,-$N$3,0),1,-1)</f>
        <v>1</v>
      </c>
      <c r="O85" s="4">
        <f ca="1">IF(N85=1,O$3*L84/Prices!Q84,-O$3*M84)</f>
        <v>6.0037598798038955E-4</v>
      </c>
      <c r="P85" s="22"/>
      <c r="Q85" s="13">
        <f ca="1">Q84-T85*Prices!Q85</f>
        <v>1</v>
      </c>
      <c r="R85" s="4">
        <f t="shared" ca="1" si="11"/>
        <v>0.01</v>
      </c>
      <c r="S85" s="13">
        <f ca="1">IF(Prices!D84&gt;OFFSET(Prices!D84,-S$3,0),1,-1)</f>
        <v>-1</v>
      </c>
      <c r="T85" s="4">
        <f ca="1">IF(S85=1,T$3*Q84/Prices!Q84,-T$3*R84)</f>
        <v>0</v>
      </c>
      <c r="V85" s="13"/>
      <c r="W85" s="4"/>
      <c r="X85" s="4"/>
      <c r="Y85" s="4"/>
      <c r="Z85" s="4"/>
      <c r="AA85" s="4"/>
      <c r="AB85" s="4"/>
      <c r="AC85" s="4"/>
      <c r="AD85" s="4"/>
      <c r="AE85" s="52"/>
    </row>
    <row r="86" spans="1:31" x14ac:dyDescent="0.2">
      <c r="A86" s="66">
        <v>42797</v>
      </c>
      <c r="B86" s="13">
        <f ca="1">Prices!Q85*(1+J86/(50*(ABS(O86)+ABS(T86)+0.0001)))</f>
        <v>13.291936724604581</v>
      </c>
      <c r="C86" s="62">
        <f t="shared" ca="1" si="3"/>
        <v>1</v>
      </c>
      <c r="D86" s="13">
        <f ca="1">D85+C86*(Prices!Q86-Prices!Q85)/Prices!Q85</f>
        <v>1.4579257271368524</v>
      </c>
      <c r="E86" s="13">
        <f t="shared" ca="1" si="8"/>
        <v>0</v>
      </c>
      <c r="F86" s="13">
        <f t="shared" ca="1" si="9"/>
        <v>1.4579257271368524</v>
      </c>
      <c r="G86" s="21">
        <f ca="1">IF((Prices!Q86-Prices!Q85)*C86&gt;0,1,0)</f>
        <v>1</v>
      </c>
      <c r="H86" s="13">
        <f>ABS(Prices!Q86-Prices!Q85)/Prices!Q85</f>
        <v>0.48892051541027753</v>
      </c>
      <c r="I86" s="21"/>
      <c r="J86" s="4">
        <f t="shared" ca="1" si="10"/>
        <v>5.763322830021942E-4</v>
      </c>
      <c r="K86" s="13"/>
      <c r="L86" s="13">
        <f ca="1">L85-O86*Prices!Q86</f>
        <v>0.74200533740628793</v>
      </c>
      <c r="M86" s="4">
        <f t="shared" ca="1" si="7"/>
        <v>3.416684828943E-2</v>
      </c>
      <c r="N86" s="13">
        <f ca="1">IF(Prices!P85&gt;OFFSET(Prices!P85,-$N$3,0),1,-1)</f>
        <v>1</v>
      </c>
      <c r="O86" s="4">
        <f ca="1">IF(N86=1,O$3*L85/Prices!Q85,-O$3*M85)</f>
        <v>5.763322830021942E-4</v>
      </c>
      <c r="P86" s="22"/>
      <c r="Q86" s="13">
        <f ca="1">Q85-T86*Prices!Q86</f>
        <v>1</v>
      </c>
      <c r="R86" s="4">
        <f t="shared" ca="1" si="11"/>
        <v>0.01</v>
      </c>
      <c r="S86" s="13">
        <f ca="1">IF(Prices!D85&gt;OFFSET(Prices!D85,-S$3,0),1,-1)</f>
        <v>-1</v>
      </c>
      <c r="T86" s="4">
        <f ca="1">IF(S86=1,T$3*Q85/Prices!Q85,-T$3*R85)</f>
        <v>0</v>
      </c>
      <c r="V86" s="13"/>
      <c r="W86" s="4"/>
      <c r="X86" s="4"/>
      <c r="Y86" s="4"/>
      <c r="Z86" s="4"/>
      <c r="AA86" s="4"/>
      <c r="AB86" s="4"/>
      <c r="AC86" s="4"/>
      <c r="AD86" s="4"/>
      <c r="AE86" s="52"/>
    </row>
    <row r="87" spans="1:31" x14ac:dyDescent="0.2">
      <c r="A87" s="66">
        <v>42804</v>
      </c>
      <c r="B87" s="13">
        <f ca="1">Prices!Q86*(1+J87/(50*(ABS(O87)+ABS(T87)+0.0001)))</f>
        <v>19.767322736275283</v>
      </c>
      <c r="C87" s="62">
        <f t="shared" ca="1" si="3"/>
        <v>1</v>
      </c>
      <c r="D87" s="13">
        <f ca="1">D86+C87*(Prices!Q87-Prices!Q86)/Prices!Q86</f>
        <v>1.4514146011797118</v>
      </c>
      <c r="E87" s="13">
        <f t="shared" ca="1" si="8"/>
        <v>6.511125957140651E-3</v>
      </c>
      <c r="F87" s="13">
        <f t="shared" ca="1" si="9"/>
        <v>1.4579257271368524</v>
      </c>
      <c r="G87" s="21">
        <f ca="1">IF((Prices!Q87-Prices!Q86)*C87&gt;0,1,0)</f>
        <v>0</v>
      </c>
      <c r="H87" s="13">
        <f>ABS(Prices!Q87-Prices!Q86)/Prices!Q86</f>
        <v>6.5111259571406337E-3</v>
      </c>
      <c r="I87" s="21"/>
      <c r="J87" s="4">
        <f t="shared" ca="1" si="10"/>
        <v>3.813173017145218E-4</v>
      </c>
      <c r="K87" s="13"/>
      <c r="L87" s="13">
        <f ca="1">L86-O87*Prices!Q87</f>
        <v>0.73463359693435226</v>
      </c>
      <c r="M87" s="4">
        <f t="shared" ca="1" si="7"/>
        <v>3.4548165591144521E-2</v>
      </c>
      <c r="N87" s="13">
        <f ca="1">IF(Prices!P86&gt;OFFSET(Prices!P86,-$N$3,0),1,-1)</f>
        <v>1</v>
      </c>
      <c r="O87" s="4">
        <f ca="1">IF(N87=1,O$3*L86/Prices!Q86,-O$3*M86)</f>
        <v>3.813173017145218E-4</v>
      </c>
      <c r="P87" s="22"/>
      <c r="Q87" s="13">
        <f ca="1">Q86-T87*Prices!Q87</f>
        <v>1</v>
      </c>
      <c r="R87" s="4">
        <f t="shared" ca="1" si="11"/>
        <v>0.01</v>
      </c>
      <c r="S87" s="13">
        <f ca="1">IF(Prices!D86&gt;OFFSET(Prices!D86,-S$3,0),1,-1)</f>
        <v>-1</v>
      </c>
      <c r="T87" s="4">
        <f ca="1">IF(S87=1,T$3*Q86/Prices!Q86,-T$3*R86)</f>
        <v>0</v>
      </c>
      <c r="V87" s="13"/>
      <c r="W87" s="4"/>
      <c r="X87" s="4"/>
      <c r="Y87" s="4"/>
      <c r="Z87" s="4"/>
      <c r="AA87" s="4"/>
      <c r="AB87" s="4"/>
      <c r="AC87" s="4"/>
      <c r="AD87" s="4"/>
      <c r="AE87" s="52"/>
    </row>
    <row r="88" spans="1:31" x14ac:dyDescent="0.2">
      <c r="A88" s="66">
        <v>42811</v>
      </c>
      <c r="B88" s="13">
        <f ca="1">Prices!Q87*(1+J88/(50*(ABS(O88)+ABS(T88)+0.0001)))</f>
        <v>19.03244679940471</v>
      </c>
      <c r="C88" s="62">
        <f t="shared" ca="1" si="3"/>
        <v>0</v>
      </c>
      <c r="D88" s="13">
        <f ca="1">D87+C88*(Prices!Q88-Prices!Q87)/Prices!Q87</f>
        <v>1.4514146011797118</v>
      </c>
      <c r="E88" s="13">
        <f t="shared" ca="1" si="8"/>
        <v>6.511125957140651E-3</v>
      </c>
      <c r="F88" s="13">
        <f t="shared" ca="1" si="9"/>
        <v>1.4579257271368524</v>
      </c>
      <c r="G88" s="21">
        <f ca="1">IF((Prices!Q88-Prices!Q87)*C88&gt;0,1,0)</f>
        <v>0</v>
      </c>
      <c r="H88" s="13">
        <f>ABS(Prices!Q88-Prices!Q87)/Prices!Q87</f>
        <v>1.4222673453236292</v>
      </c>
      <c r="I88" s="21"/>
      <c r="J88" s="4">
        <f t="shared" ca="1" si="10"/>
        <v>-3.4548165591144524E-4</v>
      </c>
      <c r="K88" s="13"/>
      <c r="L88" s="13">
        <f ca="1">L87-O88*Prices!Q88</f>
        <v>0.75081181157189181</v>
      </c>
      <c r="M88" s="4">
        <f t="shared" ca="1" si="7"/>
        <v>3.4202683935233076E-2</v>
      </c>
      <c r="N88" s="13">
        <f ca="1">IF(Prices!P87&gt;OFFSET(Prices!P87,-$N$3,0),1,-1)</f>
        <v>-1</v>
      </c>
      <c r="O88" s="4">
        <f ca="1">IF(N88=1,O$3*L87/Prices!Q87,-O$3*M87)</f>
        <v>-3.4548165591144524E-4</v>
      </c>
      <c r="P88" s="22"/>
      <c r="Q88" s="13">
        <f ca="1">Q87-T88*Prices!Q88</f>
        <v>1</v>
      </c>
      <c r="R88" s="4">
        <f t="shared" ca="1" si="11"/>
        <v>0.01</v>
      </c>
      <c r="S88" s="13">
        <f ca="1">IF(Prices!D87&gt;OFFSET(Prices!D87,-S$3,0),1,-1)</f>
        <v>1</v>
      </c>
      <c r="T88" s="4">
        <f ca="1">IF(S88=1,T$3*Q87/Prices!Q87,-T$3*R87)</f>
        <v>0</v>
      </c>
      <c r="V88" s="13"/>
      <c r="W88" s="4"/>
      <c r="X88" s="4"/>
      <c r="Y88" s="4"/>
      <c r="Z88" s="4"/>
      <c r="AA88" s="4"/>
      <c r="AB88" s="4"/>
      <c r="AC88" s="4"/>
      <c r="AD88" s="4"/>
      <c r="AE88" s="52"/>
    </row>
    <row r="89" spans="1:31" x14ac:dyDescent="0.2">
      <c r="A89" s="66">
        <v>42818</v>
      </c>
      <c r="B89" s="13">
        <f ca="1">Prices!Q88*(1+J89/(50*(ABS(O89)+ABS(T89)+0.0001)))</f>
        <v>46.103317552392348</v>
      </c>
      <c r="C89" s="62">
        <f t="shared" ca="1" si="3"/>
        <v>0</v>
      </c>
      <c r="D89" s="13">
        <f ca="1">D88+C89*(Prices!Q89-Prices!Q88)/Prices!Q88</f>
        <v>1.4514146011797118</v>
      </c>
      <c r="E89" s="13">
        <f t="shared" ca="1" si="8"/>
        <v>6.511125957140651E-3</v>
      </c>
      <c r="F89" s="13">
        <f t="shared" ca="1" si="9"/>
        <v>1.4579257271368524</v>
      </c>
      <c r="G89" s="21">
        <f ca="1">IF((Prices!Q89-Prices!Q88)*C89&gt;0,1,0)</f>
        <v>0</v>
      </c>
      <c r="H89" s="13">
        <f>ABS(Prices!Q89-Prices!Q88)/Prices!Q88</f>
        <v>0.13409710288923515</v>
      </c>
      <c r="I89" s="21"/>
      <c r="J89" s="4">
        <f t="shared" ca="1" si="10"/>
        <v>-3.4202683935233074E-4</v>
      </c>
      <c r="K89" s="13"/>
      <c r="L89" s="13">
        <f ca="1">L88-O89*Prices!Q89</f>
        <v>0.76897600125874199</v>
      </c>
      <c r="M89" s="4">
        <f t="shared" ca="1" si="7"/>
        <v>3.3860657095880743E-2</v>
      </c>
      <c r="N89" s="13">
        <f ca="1">IF(Prices!P88&gt;OFFSET(Prices!P88,-$N$3,0),1,-1)</f>
        <v>-1</v>
      </c>
      <c r="O89" s="4">
        <f ca="1">IF(N89=1,O$3*L88/Prices!Q88,-O$3*M88)</f>
        <v>-3.4202683935233074E-4</v>
      </c>
      <c r="P89" s="22"/>
      <c r="Q89" s="13">
        <f ca="1">Q88-T89*Prices!Q89</f>
        <v>1</v>
      </c>
      <c r="R89" s="4">
        <f t="shared" ca="1" si="11"/>
        <v>0.01</v>
      </c>
      <c r="S89" s="13">
        <f ca="1">IF(Prices!D88&gt;OFFSET(Prices!D88,-S$3,0),1,-1)</f>
        <v>-1</v>
      </c>
      <c r="T89" s="4">
        <f ca="1">IF(S89=1,T$3*Q88/Prices!Q88,-T$3*R88)</f>
        <v>0</v>
      </c>
      <c r="V89" s="13"/>
      <c r="W89" s="4"/>
      <c r="X89" s="4"/>
      <c r="Y89" s="4"/>
      <c r="Z89" s="4"/>
      <c r="AA89" s="4"/>
      <c r="AB89" s="4"/>
      <c r="AC89" s="4"/>
      <c r="AD89" s="4"/>
      <c r="AE89" s="52"/>
    </row>
    <row r="90" spans="1:31" x14ac:dyDescent="0.2">
      <c r="A90" s="66">
        <v>42825</v>
      </c>
      <c r="B90" s="13">
        <f ca="1">Prices!Q89*(1+J90/(50*(ABS(O90)+ABS(T90)+0.0001)))</f>
        <v>52.28751266550438</v>
      </c>
      <c r="C90" s="62">
        <f t="shared" ca="1" si="3"/>
        <v>0</v>
      </c>
      <c r="D90" s="13">
        <f ca="1">D89+C90*(Prices!Q90-Prices!Q89)/Prices!Q89</f>
        <v>1.4514146011797118</v>
      </c>
      <c r="E90" s="13">
        <f t="shared" ca="1" si="8"/>
        <v>6.511125957140651E-3</v>
      </c>
      <c r="F90" s="13">
        <f t="shared" ca="1" si="9"/>
        <v>1.4579257271368524</v>
      </c>
      <c r="G90" s="21">
        <f ca="1">IF((Prices!Q90-Prices!Q89)*C90&gt;0,1,0)</f>
        <v>0</v>
      </c>
      <c r="H90" s="13">
        <f>ABS(Prices!Q90-Prices!Q89)/Prices!Q89</f>
        <v>5.7811008155571511E-2</v>
      </c>
      <c r="I90" s="21"/>
      <c r="J90" s="4">
        <f t="shared" ca="1" si="10"/>
        <v>-3.3860657095880744E-4</v>
      </c>
      <c r="K90" s="13"/>
      <c r="L90" s="13">
        <f ca="1">L89-O90*Prices!Q90</f>
        <v>0.78591895983177917</v>
      </c>
      <c r="M90" s="4">
        <f t="shared" ca="1" si="7"/>
        <v>3.3522050524921937E-2</v>
      </c>
      <c r="N90" s="13">
        <f ca="1">IF(Prices!P89&gt;OFFSET(Prices!P89,-$N$3,0),1,-1)</f>
        <v>-1</v>
      </c>
      <c r="O90" s="4">
        <f ca="1">IF(N90=1,O$3*L89/Prices!Q89,-O$3*M89)</f>
        <v>-3.3860657095880744E-4</v>
      </c>
      <c r="P90" s="22"/>
      <c r="Q90" s="13">
        <f ca="1">Q89-T90*Prices!Q90</f>
        <v>1</v>
      </c>
      <c r="R90" s="4">
        <f t="shared" ca="1" si="11"/>
        <v>0.01</v>
      </c>
      <c r="S90" s="13">
        <f ca="1">IF(Prices!D89&gt;OFFSET(Prices!D89,-S$3,0),1,-1)</f>
        <v>1</v>
      </c>
      <c r="T90" s="4">
        <f ca="1">IF(S90=1,T$3*Q89/Prices!Q89,-T$3*R89)</f>
        <v>0</v>
      </c>
      <c r="V90" s="13"/>
      <c r="W90" s="4"/>
      <c r="X90" s="4"/>
      <c r="Y90" s="4"/>
      <c r="Z90" s="4"/>
      <c r="AA90" s="4"/>
      <c r="AB90" s="4"/>
      <c r="AC90" s="4"/>
      <c r="AD90" s="4"/>
      <c r="AE90" s="52"/>
    </row>
    <row r="91" spans="1:31" x14ac:dyDescent="0.2">
      <c r="A91" s="66">
        <v>42832</v>
      </c>
      <c r="B91" s="13">
        <f ca="1">Prices!Q90*(1+J91/(50*(ABS(O91)+ABS(T91)+0.0001)))</f>
        <v>49.266493993159777</v>
      </c>
      <c r="C91" s="62">
        <f t="shared" ca="1" si="3"/>
        <v>0</v>
      </c>
      <c r="D91" s="13">
        <f ca="1">D90+C91*(Prices!Q91-Prices!Q90)/Prices!Q90</f>
        <v>1.4514146011797118</v>
      </c>
      <c r="E91" s="13">
        <f t="shared" ca="1" si="8"/>
        <v>6.511125957140651E-3</v>
      </c>
      <c r="F91" s="13">
        <f t="shared" ca="1" si="9"/>
        <v>1.4579257271368524</v>
      </c>
      <c r="G91" s="21">
        <f ca="1">IF((Prices!Q91-Prices!Q90)*C91&gt;0,1,0)</f>
        <v>0</v>
      </c>
      <c r="H91" s="13">
        <f>ABS(Prices!Q91-Prices!Q90)/Prices!Q90</f>
        <v>0.15737657707350317</v>
      </c>
      <c r="I91" s="21"/>
      <c r="J91" s="4">
        <f t="shared" ca="1" si="10"/>
        <v>-3.3522050524921937E-4</v>
      </c>
      <c r="K91" s="13"/>
      <c r="L91" s="13">
        <f ca="1">L90-O91*Prices!Q91</f>
        <v>0.80005272824162044</v>
      </c>
      <c r="M91" s="4">
        <f t="shared" ca="1" si="7"/>
        <v>3.3186830019672715E-2</v>
      </c>
      <c r="N91" s="13">
        <f ca="1">IF(Prices!P90&gt;OFFSET(Prices!P90,-$N$3,0),1,-1)</f>
        <v>-1</v>
      </c>
      <c r="O91" s="4">
        <f ca="1">IF(N91=1,O$3*L90/Prices!Q90,-O$3*M90)</f>
        <v>-3.3522050524921937E-4</v>
      </c>
      <c r="P91" s="22"/>
      <c r="Q91" s="13">
        <f ca="1">Q90-T91*Prices!Q91</f>
        <v>1</v>
      </c>
      <c r="R91" s="4">
        <f t="shared" ca="1" si="11"/>
        <v>0.01</v>
      </c>
      <c r="S91" s="13">
        <f ca="1">IF(Prices!D90&gt;OFFSET(Prices!D90,-S$3,0),1,-1)</f>
        <v>-1</v>
      </c>
      <c r="T91" s="4">
        <f ca="1">IF(S91=1,T$3*Q90/Prices!Q90,-T$3*R90)</f>
        <v>0</v>
      </c>
      <c r="V91" s="13"/>
      <c r="W91" s="4"/>
      <c r="X91" s="4"/>
      <c r="Y91" s="4"/>
      <c r="Z91" s="4"/>
      <c r="AA91" s="4"/>
      <c r="AB91" s="4"/>
      <c r="AC91" s="4"/>
      <c r="AD91" s="4"/>
      <c r="AE91" s="52"/>
    </row>
    <row r="92" spans="1:31" x14ac:dyDescent="0.2">
      <c r="A92" s="66">
        <v>42839</v>
      </c>
      <c r="B92" s="13">
        <f ca="1">Prices!Q91*(1+J92/(50*(ABS(O92)+ABS(T92)+0.0001)))</f>
        <v>42.714829714536926</v>
      </c>
      <c r="C92" s="62">
        <f t="shared" ca="1" si="3"/>
        <v>1</v>
      </c>
      <c r="D92" s="13">
        <f ca="1">D91+C92*(Prices!Q92-Prices!Q91)/Prices!Q91</f>
        <v>1.5797629210568465</v>
      </c>
      <c r="E92" s="13">
        <f t="shared" ca="1" si="8"/>
        <v>0</v>
      </c>
      <c r="F92" s="13">
        <f t="shared" ca="1" si="9"/>
        <v>1.5797629210568465</v>
      </c>
      <c r="G92" s="21">
        <f ca="1">IF((Prices!Q92-Prices!Q91)*C92&gt;0,1,0)</f>
        <v>1</v>
      </c>
      <c r="H92" s="13">
        <f>ABS(Prices!Q92-Prices!Q91)/Prices!Q91</f>
        <v>0.12834831987713469</v>
      </c>
      <c r="I92" s="21"/>
      <c r="J92" s="4">
        <f t="shared" ca="1" si="10"/>
        <v>1.8975412077675675E-4</v>
      </c>
      <c r="K92" s="13"/>
      <c r="L92" s="13">
        <f ca="1">L91-O92*Prices!Q92</f>
        <v>0.79102534672437497</v>
      </c>
      <c r="M92" s="4">
        <f t="shared" ca="1" si="7"/>
        <v>3.3376584140449472E-2</v>
      </c>
      <c r="N92" s="13">
        <f ca="1">IF(Prices!P91&gt;OFFSET(Prices!P91,-$N$3,0),1,-1)</f>
        <v>1</v>
      </c>
      <c r="O92" s="4">
        <f ca="1">IF(N92=1,O$3*L91/Prices!Q91,-O$3*M91)</f>
        <v>1.8975412077675675E-4</v>
      </c>
      <c r="P92" s="22"/>
      <c r="Q92" s="13">
        <f ca="1">Q91-T92*Prices!Q92</f>
        <v>1</v>
      </c>
      <c r="R92" s="4">
        <f t="shared" ca="1" si="11"/>
        <v>0.01</v>
      </c>
      <c r="S92" s="13">
        <f ca="1">IF(Prices!D91&gt;OFFSET(Prices!D91,-S$3,0),1,-1)</f>
        <v>1</v>
      </c>
      <c r="T92" s="4">
        <f ca="1">IF(S92=1,T$3*Q91/Prices!Q91,-T$3*R91)</f>
        <v>0</v>
      </c>
      <c r="V92" s="13"/>
      <c r="W92" s="4"/>
      <c r="X92" s="4"/>
      <c r="Y92" s="4"/>
      <c r="Z92" s="4"/>
      <c r="AA92" s="4"/>
      <c r="AB92" s="4"/>
      <c r="AC92" s="4"/>
      <c r="AD92" s="4"/>
      <c r="AE92" s="52"/>
    </row>
    <row r="93" spans="1:31" x14ac:dyDescent="0.2">
      <c r="A93" s="66">
        <v>42846</v>
      </c>
      <c r="B93" s="13">
        <f ca="1">Prices!Q92*(1+J93/(50*(ABS(O93)+ABS(T93)+0.0001)))</f>
        <v>48.168247753370778</v>
      </c>
      <c r="C93" s="62">
        <f t="shared" ca="1" si="3"/>
        <v>1</v>
      </c>
      <c r="D93" s="13">
        <f ca="1">D92+C93*(Prices!Q93-Prices!Q92)/Prices!Q92</f>
        <v>1.5934321234169542</v>
      </c>
      <c r="E93" s="13">
        <f t="shared" ca="1" si="8"/>
        <v>0</v>
      </c>
      <c r="F93" s="13">
        <f t="shared" ca="1" si="9"/>
        <v>1.5934321234169542</v>
      </c>
      <c r="G93" s="21">
        <f ca="1">IF((Prices!Q93-Prices!Q92)*C93&gt;0,1,0)</f>
        <v>1</v>
      </c>
      <c r="H93" s="13">
        <f>ABS(Prices!Q93-Prices!Q92)/Prices!Q92</f>
        <v>1.3669202360107735E-2</v>
      </c>
      <c r="I93" s="21"/>
      <c r="J93" s="4">
        <f t="shared" ca="1" si="10"/>
        <v>1.6627226720513367E-4</v>
      </c>
      <c r="K93" s="13"/>
      <c r="L93" s="13">
        <f ca="1">L92-O93*Prices!Q93</f>
        <v>0.7830069664017677</v>
      </c>
      <c r="M93" s="4">
        <f t="shared" ca="1" si="7"/>
        <v>3.3542856407654607E-2</v>
      </c>
      <c r="N93" s="13">
        <f ca="1">IF(Prices!P92&gt;OFFSET(Prices!P92,-$N$3,0),1,-1)</f>
        <v>1</v>
      </c>
      <c r="O93" s="4">
        <f ca="1">IF(N93=1,O$3*L92/Prices!Q92,-O$3*M92)</f>
        <v>1.6627226720513367E-4</v>
      </c>
      <c r="P93" s="22"/>
      <c r="Q93" s="13">
        <f ca="1">Q92-T93*Prices!Q93</f>
        <v>1</v>
      </c>
      <c r="R93" s="4">
        <f t="shared" ca="1" si="11"/>
        <v>0.01</v>
      </c>
      <c r="S93" s="13">
        <f ca="1">IF(Prices!D92&gt;OFFSET(Prices!D92,-S$3,0),1,-1)</f>
        <v>1</v>
      </c>
      <c r="T93" s="4">
        <f ca="1">IF(S93=1,T$3*Q92/Prices!Q92,-T$3*R92)</f>
        <v>0</v>
      </c>
      <c r="V93" s="13"/>
      <c r="W93" s="4"/>
      <c r="X93" s="4"/>
      <c r="Y93" s="4"/>
      <c r="Z93" s="4"/>
      <c r="AA93" s="4"/>
      <c r="AB93" s="4"/>
      <c r="AC93" s="4"/>
      <c r="AD93" s="4"/>
      <c r="AE93" s="52"/>
    </row>
    <row r="94" spans="1:31" x14ac:dyDescent="0.2">
      <c r="A94" s="66">
        <v>42853</v>
      </c>
      <c r="B94" s="13">
        <f ca="1">Prices!Q93*(1+J94/(50*(ABS(O94)+ABS(T94)+0.0001)))</f>
        <v>48.821278281910047</v>
      </c>
      <c r="C94" s="62">
        <f t="shared" ca="1" si="3"/>
        <v>1</v>
      </c>
      <c r="D94" s="13">
        <f ca="1">D93+C94*(Prices!Q94-Prices!Q93)/Prices!Q93</f>
        <v>2.0482807685011855</v>
      </c>
      <c r="E94" s="13">
        <f t="shared" ca="1" si="8"/>
        <v>0</v>
      </c>
      <c r="F94" s="13">
        <f t="shared" ca="1" si="9"/>
        <v>2.0482807685011855</v>
      </c>
      <c r="G94" s="21">
        <f ca="1">IF((Prices!Q94-Prices!Q93)*C94&gt;0,1,0)</f>
        <v>1</v>
      </c>
      <c r="H94" s="13">
        <f>ABS(Prices!Q94-Prices!Q93)/Prices!Q93</f>
        <v>0.45484864508423123</v>
      </c>
      <c r="I94" s="21"/>
      <c r="J94" s="4">
        <f t="shared" ca="1" si="10"/>
        <v>1.6236738381436943E-4</v>
      </c>
      <c r="K94" s="13"/>
      <c r="L94" s="13">
        <f ca="1">L93-O94*Prices!Q94</f>
        <v>0.77161540016015639</v>
      </c>
      <c r="M94" s="4">
        <f t="shared" ca="1" si="7"/>
        <v>3.370522379146898E-2</v>
      </c>
      <c r="N94" s="13">
        <f ca="1">IF(Prices!P93&gt;OFFSET(Prices!P93,-$N$3,0),1,-1)</f>
        <v>1</v>
      </c>
      <c r="O94" s="4">
        <f ca="1">IF(N94=1,O$3*L93/Prices!Q93,-O$3*M93)</f>
        <v>1.6236738381436943E-4</v>
      </c>
      <c r="P94" s="22"/>
      <c r="Q94" s="13">
        <f ca="1">Q93-T94*Prices!Q94</f>
        <v>1</v>
      </c>
      <c r="R94" s="4">
        <f t="shared" ca="1" si="11"/>
        <v>0.01</v>
      </c>
      <c r="S94" s="13">
        <f ca="1">IF(Prices!D93&gt;OFFSET(Prices!D93,-S$3,0),1,-1)</f>
        <v>1</v>
      </c>
      <c r="T94" s="4">
        <f ca="1">IF(S94=1,T$3*Q93/Prices!Q93,-T$3*R93)</f>
        <v>0</v>
      </c>
      <c r="V94" s="13"/>
      <c r="W94" s="4"/>
      <c r="X94" s="4"/>
      <c r="Y94" s="4"/>
      <c r="Z94" s="4"/>
      <c r="AA94" s="4"/>
      <c r="AB94" s="4"/>
      <c r="AC94" s="4"/>
      <c r="AD94" s="4"/>
      <c r="AE94" s="52"/>
    </row>
    <row r="95" spans="1:31" x14ac:dyDescent="0.2">
      <c r="A95" s="66">
        <v>42860</v>
      </c>
      <c r="B95" s="13">
        <f ca="1">Prices!Q94*(1+J95/(50*(ABS(O95)+ABS(T95)+0.0001)))</f>
        <v>70.894142566410935</v>
      </c>
      <c r="C95" s="62">
        <f t="shared" ca="1" si="3"/>
        <v>1</v>
      </c>
      <c r="D95" s="13">
        <f ca="1">D94+C95*(Prices!Q95-Prices!Q94)/Prices!Q94</f>
        <v>2.3937706680942581</v>
      </c>
      <c r="E95" s="13">
        <f t="shared" ca="1" si="8"/>
        <v>0</v>
      </c>
      <c r="F95" s="13">
        <f t="shared" ca="1" si="9"/>
        <v>2.3937706680942581</v>
      </c>
      <c r="G95" s="21">
        <f ca="1">IF((Prices!Q95-Prices!Q94)*C95&gt;0,1,0)</f>
        <v>1</v>
      </c>
      <c r="H95" s="13">
        <f>ABS(Prices!Q95-Prices!Q94)/Prices!Q94</f>
        <v>0.34548989959307252</v>
      </c>
      <c r="I95" s="21"/>
      <c r="J95" s="4">
        <f t="shared" ca="1" si="10"/>
        <v>1.0998063934109347E-4</v>
      </c>
      <c r="K95" s="13"/>
      <c r="L95" s="13">
        <f ca="1">L94-O95*Prices!Q95</f>
        <v>0.76123339288729686</v>
      </c>
      <c r="M95" s="4">
        <f t="shared" ca="1" si="7"/>
        <v>3.3815204430810077E-2</v>
      </c>
      <c r="N95" s="13">
        <f ca="1">IF(Prices!P94&gt;OFFSET(Prices!P94,-$N$3,0),1,-1)</f>
        <v>1</v>
      </c>
      <c r="O95" s="4">
        <f ca="1">IF(N95=1,O$3*L94/Prices!Q94,-O$3*M94)</f>
        <v>1.0998063934109347E-4</v>
      </c>
      <c r="P95" s="22"/>
      <c r="Q95" s="13">
        <f ca="1">Q94-T95*Prices!Q95</f>
        <v>1</v>
      </c>
      <c r="R95" s="4">
        <f t="shared" ca="1" si="11"/>
        <v>0.01</v>
      </c>
      <c r="S95" s="13">
        <f ca="1">IF(Prices!D94&gt;OFFSET(Prices!D94,-S$3,0),1,-1)</f>
        <v>1</v>
      </c>
      <c r="T95" s="4">
        <f ca="1">IF(S95=1,T$3*Q94/Prices!Q94,-T$3*R94)</f>
        <v>0</v>
      </c>
      <c r="V95" s="13"/>
      <c r="W95" s="4"/>
      <c r="X95" s="4"/>
      <c r="Y95" s="4"/>
      <c r="Z95" s="4"/>
      <c r="AA95" s="4"/>
      <c r="AB95" s="4"/>
      <c r="AC95" s="4"/>
      <c r="AD95" s="4"/>
      <c r="AE95" s="52"/>
    </row>
    <row r="96" spans="1:31" x14ac:dyDescent="0.2">
      <c r="A96" s="66">
        <v>42867</v>
      </c>
      <c r="B96" s="13">
        <f ca="1">Prices!Q95*(1+J96/(50*(ABS(O96)+ABS(T96)+0.0001)))</f>
        <v>95.241315267973434</v>
      </c>
      <c r="C96" s="62">
        <f t="shared" ca="1" si="3"/>
        <v>1</v>
      </c>
      <c r="D96" s="13">
        <f ca="1">D95+C96*(Prices!Q96-Prices!Q95)/Prices!Q95</f>
        <v>2.3329318193748523</v>
      </c>
      <c r="E96" s="13">
        <f t="shared" ca="1" si="8"/>
        <v>6.0838848719405814E-2</v>
      </c>
      <c r="F96" s="13">
        <f t="shared" ca="1" si="9"/>
        <v>2.3937706680942581</v>
      </c>
      <c r="G96" s="21">
        <f ca="1">IF((Prices!Q96-Prices!Q95)*C96&gt;0,1,0)</f>
        <v>0</v>
      </c>
      <c r="H96" s="13">
        <f>ABS(Prices!Q96-Prices!Q95)/Prices!Q95</f>
        <v>6.0838848719405952E-2</v>
      </c>
      <c r="I96" s="21"/>
      <c r="J96" s="4">
        <f t="shared" ca="1" si="10"/>
        <v>8.0640412819201377E-5</v>
      </c>
      <c r="K96" s="13"/>
      <c r="L96" s="13">
        <f ca="1">L95-O96*Prices!Q96</f>
        <v>0.75408418459072424</v>
      </c>
      <c r="M96" s="4">
        <f t="shared" ca="1" si="7"/>
        <v>3.3895844843629279E-2</v>
      </c>
      <c r="N96" s="13">
        <f ca="1">IF(Prices!P95&gt;OFFSET(Prices!P95,-$N$3,0),1,-1)</f>
        <v>1</v>
      </c>
      <c r="O96" s="4">
        <f ca="1">IF(N96=1,O$3*L95/Prices!Q95,-O$3*M95)</f>
        <v>8.0640412819201377E-5</v>
      </c>
      <c r="P96" s="22"/>
      <c r="Q96" s="13">
        <f ca="1">Q95-T96*Prices!Q96</f>
        <v>1</v>
      </c>
      <c r="R96" s="4">
        <f t="shared" ca="1" si="11"/>
        <v>0.01</v>
      </c>
      <c r="S96" s="13">
        <f ca="1">IF(Prices!D95&gt;OFFSET(Prices!D95,-S$3,0),1,-1)</f>
        <v>1</v>
      </c>
      <c r="T96" s="4">
        <f ca="1">IF(S96=1,T$3*Q95/Prices!Q95,-T$3*R95)</f>
        <v>0</v>
      </c>
      <c r="V96" s="13"/>
      <c r="W96" s="4"/>
      <c r="X96" s="4"/>
      <c r="Y96" s="4"/>
      <c r="Z96" s="4"/>
      <c r="AA96" s="4"/>
      <c r="AB96" s="4"/>
      <c r="AC96" s="4"/>
      <c r="AD96" s="4"/>
      <c r="AE96" s="52"/>
    </row>
    <row r="97" spans="1:31" x14ac:dyDescent="0.2">
      <c r="A97" s="66">
        <v>42874</v>
      </c>
      <c r="B97" s="13">
        <f ca="1">Prices!Q96*(1+J97/(50*(ABS(O97)+ABS(T97)+0.0001)))</f>
        <v>89.470374109245995</v>
      </c>
      <c r="C97" s="62">
        <f t="shared" ca="1" si="3"/>
        <v>1</v>
      </c>
      <c r="D97" s="13">
        <f ca="1">D96+C97*(Prices!Q97-Prices!Q96)/Prices!Q96</f>
        <v>2.7939481660040588</v>
      </c>
      <c r="E97" s="13">
        <f t="shared" ca="1" si="8"/>
        <v>0</v>
      </c>
      <c r="F97" s="13">
        <f t="shared" ca="1" si="9"/>
        <v>2.7939481660040588</v>
      </c>
      <c r="G97" s="21">
        <f ca="1">IF((Prices!Q97-Prices!Q96)*C97&gt;0,1,0)</f>
        <v>1</v>
      </c>
      <c r="H97" s="13">
        <f>ABS(Prices!Q97-Prices!Q96)/Prices!Q96</f>
        <v>0.46101634662920649</v>
      </c>
      <c r="I97" s="21"/>
      <c r="J97" s="4">
        <f t="shared" ca="1" si="10"/>
        <v>8.5057893718076509E-5</v>
      </c>
      <c r="K97" s="13"/>
      <c r="L97" s="13">
        <f ca="1">L96-O97*Prices!Q97</f>
        <v>0.74306689138650817</v>
      </c>
      <c r="M97" s="4">
        <f t="shared" ca="1" si="7"/>
        <v>3.3980902737347357E-2</v>
      </c>
      <c r="N97" s="13">
        <f ca="1">IF(Prices!P96&gt;OFFSET(Prices!P96,-$N$3,0),1,-1)</f>
        <v>1</v>
      </c>
      <c r="O97" s="4">
        <f ca="1">IF(N97=1,O$3*L96/Prices!Q96,-O$3*M96)</f>
        <v>8.5057893718076509E-5</v>
      </c>
      <c r="P97" s="22"/>
      <c r="Q97" s="13">
        <f ca="1">Q96-T97*Prices!Q97</f>
        <v>1</v>
      </c>
      <c r="R97" s="4">
        <f t="shared" ca="1" si="11"/>
        <v>0.01</v>
      </c>
      <c r="S97" s="13">
        <f ca="1">IF(Prices!D96&gt;OFFSET(Prices!D96,-S$3,0),1,-1)</f>
        <v>1</v>
      </c>
      <c r="T97" s="4">
        <f ca="1">IF(S97=1,T$3*Q96/Prices!Q96,-T$3*R96)</f>
        <v>0</v>
      </c>
      <c r="V97" s="13"/>
      <c r="W97" s="4"/>
      <c r="X97" s="4"/>
      <c r="Y97" s="4"/>
      <c r="Z97" s="4"/>
      <c r="AA97" s="4"/>
      <c r="AB97" s="4"/>
      <c r="AC97" s="4"/>
      <c r="AD97" s="4"/>
      <c r="AE97" s="52"/>
    </row>
    <row r="98" spans="1:31" x14ac:dyDescent="0.2">
      <c r="A98" s="66">
        <v>42881</v>
      </c>
      <c r="B98" s="13">
        <f ca="1">Prices!Q97*(1+J98/(50*(ABS(O98)+ABS(T98)+0.0001)))</f>
        <v>130.47136312597047</v>
      </c>
      <c r="C98" s="62">
        <f t="shared" ca="1" si="3"/>
        <v>1</v>
      </c>
      <c r="D98" s="13">
        <f ca="1">D97+C98*(Prices!Q98-Prices!Q97)/Prices!Q97</f>
        <v>3.0323232435448459</v>
      </c>
      <c r="E98" s="13">
        <f t="shared" ca="1" si="8"/>
        <v>0</v>
      </c>
      <c r="F98" s="13">
        <f t="shared" ca="1" si="9"/>
        <v>3.0323232435448459</v>
      </c>
      <c r="G98" s="21">
        <f ca="1">IF((Prices!Q98-Prices!Q97)*C98&gt;0,1,0)</f>
        <v>1</v>
      </c>
      <c r="H98" s="13">
        <f>ABS(Prices!Q98-Prices!Q97)/Prices!Q97</f>
        <v>0.23837507754078707</v>
      </c>
      <c r="I98" s="21"/>
      <c r="J98" s="4">
        <f t="shared" ca="1" si="10"/>
        <v>5.7367724995091035E-5</v>
      </c>
      <c r="K98" s="13"/>
      <c r="L98" s="13">
        <f ca="1">L97-O98*Prices!Q98</f>
        <v>0.73386493619412063</v>
      </c>
      <c r="M98" s="4">
        <f t="shared" ca="1" si="7"/>
        <v>3.4038270462342451E-2</v>
      </c>
      <c r="N98" s="13">
        <f ca="1">IF(Prices!P97&gt;OFFSET(Prices!P97,-$N$3,0),1,-1)</f>
        <v>1</v>
      </c>
      <c r="O98" s="4">
        <f ca="1">IF(N98=1,O$3*L97/Prices!Q97,-O$3*M97)</f>
        <v>5.7367724995091035E-5</v>
      </c>
      <c r="P98" s="22"/>
      <c r="Q98" s="13">
        <f ca="1">Q97-T98*Prices!Q98</f>
        <v>1</v>
      </c>
      <c r="R98" s="4">
        <f t="shared" ca="1" si="11"/>
        <v>0.01</v>
      </c>
      <c r="S98" s="13">
        <f ca="1">IF(Prices!D97&gt;OFFSET(Prices!D97,-S$3,0),1,-1)</f>
        <v>1</v>
      </c>
      <c r="T98" s="4">
        <f ca="1">IF(S98=1,T$3*Q97/Prices!Q97,-T$3*R97)</f>
        <v>0</v>
      </c>
      <c r="V98" s="13"/>
      <c r="W98" s="4"/>
      <c r="X98" s="4"/>
      <c r="Y98" s="4"/>
      <c r="Z98" s="4"/>
      <c r="AA98" s="4"/>
      <c r="AB98" s="4"/>
      <c r="AC98" s="4"/>
      <c r="AD98" s="4"/>
      <c r="AE98" s="52"/>
    </row>
    <row r="99" spans="1:31" x14ac:dyDescent="0.2">
      <c r="A99" s="66">
        <v>42888</v>
      </c>
      <c r="B99" s="13">
        <f ca="1">Prices!Q98*(1+J99/(50*(ABS(O99)+ABS(T99)+0.0001)))</f>
        <v>161.41000964391472</v>
      </c>
      <c r="C99" s="62">
        <f t="shared" ca="1" si="3"/>
        <v>1</v>
      </c>
      <c r="D99" s="13">
        <f ca="1">D98+C99*(Prices!Q99-Prices!Q98)/Prices!Q98</f>
        <v>3.4274030986597754</v>
      </c>
      <c r="E99" s="13">
        <f t="shared" ca="1" si="8"/>
        <v>0</v>
      </c>
      <c r="F99" s="13">
        <f t="shared" ca="1" si="9"/>
        <v>3.4274030986597754</v>
      </c>
      <c r="G99" s="21">
        <f ca="1">IF((Prices!Q99-Prices!Q98)*C99&gt;0,1,0)</f>
        <v>1</v>
      </c>
      <c r="H99" s="13">
        <f>ABS(Prices!Q99-Prices!Q98)/Prices!Q98</f>
        <v>0.39507985511492932</v>
      </c>
      <c r="I99" s="21"/>
      <c r="J99" s="4">
        <f t="shared" ca="1" si="10"/>
        <v>4.5751322368915832E-5</v>
      </c>
      <c r="K99" s="13"/>
      <c r="L99" s="13">
        <f ca="1">L98-O99*Prices!Q99</f>
        <v>0.72362693430552438</v>
      </c>
      <c r="M99" s="4">
        <f t="shared" ca="1" si="7"/>
        <v>3.4084021784711364E-2</v>
      </c>
      <c r="N99" s="13">
        <f ca="1">IF(Prices!P98&gt;OFFSET(Prices!P98,-$N$3,0),1,-1)</f>
        <v>1</v>
      </c>
      <c r="O99" s="4">
        <f ca="1">IF(N99=1,O$3*L98/Prices!Q98,-O$3*M98)</f>
        <v>4.5751322368915832E-5</v>
      </c>
      <c r="P99" s="22"/>
      <c r="Q99" s="13">
        <f ca="1">Q98-T99*Prices!Q99</f>
        <v>1</v>
      </c>
      <c r="R99" s="4">
        <f t="shared" ca="1" si="11"/>
        <v>0.01</v>
      </c>
      <c r="S99" s="13">
        <f ca="1">IF(Prices!D98&gt;OFFSET(Prices!D98,-S$3,0),1,-1)</f>
        <v>1</v>
      </c>
      <c r="T99" s="4">
        <f ca="1">IF(S99=1,T$3*Q98/Prices!Q98,-T$3*R98)</f>
        <v>0</v>
      </c>
      <c r="V99" s="13"/>
      <c r="W99" s="4"/>
      <c r="X99" s="4"/>
      <c r="Y99" s="4"/>
      <c r="Z99" s="4"/>
      <c r="AA99" s="4"/>
      <c r="AB99" s="4"/>
      <c r="AC99" s="4"/>
      <c r="AD99" s="4"/>
      <c r="AE99" s="52"/>
    </row>
    <row r="100" spans="1:31" x14ac:dyDescent="0.2">
      <c r="A100" s="66">
        <v>42895</v>
      </c>
      <c r="B100" s="13">
        <f ca="1">Prices!Q99*(1+J100/(50*(ABS(O100)+ABS(T100)+0.0001)))</f>
        <v>224.8686043019338</v>
      </c>
      <c r="C100" s="62">
        <f t="shared" ca="1" si="3"/>
        <v>1</v>
      </c>
      <c r="D100" s="13">
        <f ca="1">D99+C100*(Prices!Q100-Prices!Q99)/Prices!Q99</f>
        <v>3.686422236428136</v>
      </c>
      <c r="E100" s="13">
        <f t="shared" ca="1" si="8"/>
        <v>0</v>
      </c>
      <c r="F100" s="13">
        <f t="shared" ca="1" si="9"/>
        <v>3.686422236428136</v>
      </c>
      <c r="G100" s="21">
        <f ca="1">IF((Prices!Q100-Prices!Q99)*C100&gt;0,1,0)</f>
        <v>1</v>
      </c>
      <c r="H100" s="13">
        <f>ABS(Prices!Q100-Prices!Q99)/Prices!Q99</f>
        <v>0.25901913776836044</v>
      </c>
      <c r="I100" s="21"/>
      <c r="J100" s="4">
        <f t="shared" ca="1" si="10"/>
        <v>3.2337256338191408E-5</v>
      </c>
      <c r="K100" s="13"/>
      <c r="L100" s="13">
        <f ca="1">L99-O100*Prices!Q100</f>
        <v>0.71451633271657133</v>
      </c>
      <c r="M100" s="4">
        <f t="shared" ca="1" si="7"/>
        <v>3.4116359041049558E-2</v>
      </c>
      <c r="N100" s="13">
        <f ca="1">IF(Prices!P99&gt;OFFSET(Prices!P99,-$N$3,0),1,-1)</f>
        <v>1</v>
      </c>
      <c r="O100" s="4">
        <f ca="1">IF(N100=1,O$3*L99/Prices!Q99,-O$3*M99)</f>
        <v>3.2337256338191408E-5</v>
      </c>
      <c r="P100" s="22"/>
      <c r="Q100" s="13">
        <f ca="1">Q99-T100*Prices!Q100</f>
        <v>1</v>
      </c>
      <c r="R100" s="4">
        <f t="shared" ca="1" si="11"/>
        <v>0.01</v>
      </c>
      <c r="S100" s="13">
        <f ca="1">IF(Prices!D99&gt;OFFSET(Prices!D99,-S$3,0),1,-1)</f>
        <v>1</v>
      </c>
      <c r="T100" s="4">
        <f ca="1">IF(S100=1,T$3*Q99/Prices!Q99,-T$3*R99)</f>
        <v>0</v>
      </c>
      <c r="V100" s="13"/>
      <c r="W100" s="4"/>
      <c r="X100" s="4"/>
      <c r="Y100" s="4"/>
      <c r="Z100" s="4"/>
      <c r="AA100" s="4"/>
      <c r="AB100" s="4"/>
      <c r="AC100" s="4"/>
      <c r="AD100" s="4"/>
      <c r="AE100" s="52"/>
    </row>
    <row r="101" spans="1:31" x14ac:dyDescent="0.2">
      <c r="A101" s="66">
        <v>42902</v>
      </c>
      <c r="B101" s="13">
        <f ca="1">Prices!Q100*(1+J101/(50*(ABS(O101)+ABS(T101)+0.0001)))</f>
        <v>282.87693299368573</v>
      </c>
      <c r="C101" s="62">
        <f t="shared" ca="1" si="3"/>
        <v>1</v>
      </c>
      <c r="D101" s="13">
        <f ca="1">D100+C101*(Prices!Q101-Prices!Q100)/Prices!Q100</f>
        <v>4.0005094525197391</v>
      </c>
      <c r="E101" s="13">
        <f t="shared" ca="1" si="8"/>
        <v>0</v>
      </c>
      <c r="F101" s="13">
        <f t="shared" ca="1" si="9"/>
        <v>4.0005094525197391</v>
      </c>
      <c r="G101" s="21">
        <f ca="1">IF((Prices!Q101-Prices!Q100)*C101&gt;0,1,0)</f>
        <v>1</v>
      </c>
      <c r="H101" s="13">
        <f>ABS(Prices!Q101-Prices!Q100)/Prices!Q100</f>
        <v>0.31408721609160306</v>
      </c>
      <c r="I101" s="21"/>
      <c r="J101" s="4">
        <f t="shared" ca="1" si="10"/>
        <v>2.5361110990624989E-5</v>
      </c>
      <c r="K101" s="13"/>
      <c r="L101" s="13">
        <f ca="1">L100-O101*Prices!Q101</f>
        <v>0.70512696493145632</v>
      </c>
      <c r="M101" s="4">
        <f t="shared" ca="1" si="7"/>
        <v>3.4141720152040186E-2</v>
      </c>
      <c r="N101" s="13">
        <f ca="1">IF(Prices!P100&gt;OFFSET(Prices!P100,-$N$3,0),1,-1)</f>
        <v>1</v>
      </c>
      <c r="O101" s="4">
        <f ca="1">IF(N101=1,O$3*L100/Prices!Q100,-O$3*M100)</f>
        <v>2.5361110990624989E-5</v>
      </c>
      <c r="P101" s="22"/>
      <c r="Q101" s="13">
        <f ca="1">Q100-T101*Prices!Q101</f>
        <v>1</v>
      </c>
      <c r="R101" s="4">
        <f t="shared" ca="1" si="11"/>
        <v>0.01</v>
      </c>
      <c r="S101" s="13">
        <f ca="1">IF(Prices!D100&gt;OFFSET(Prices!D100,-S$3,0),1,-1)</f>
        <v>1</v>
      </c>
      <c r="T101" s="4">
        <f ca="1">IF(S101=1,T$3*Q100/Prices!Q100,-T$3*R100)</f>
        <v>0</v>
      </c>
      <c r="V101" s="13"/>
      <c r="W101" s="4"/>
      <c r="X101" s="4"/>
      <c r="Y101" s="4"/>
      <c r="Z101" s="4"/>
      <c r="AA101" s="4"/>
      <c r="AB101" s="4"/>
      <c r="AC101" s="4"/>
      <c r="AD101" s="4"/>
      <c r="AE101" s="52"/>
    </row>
    <row r="102" spans="1:31" x14ac:dyDescent="0.2">
      <c r="A102" s="66">
        <v>42909</v>
      </c>
      <c r="B102" s="13">
        <f ca="1">Prices!Q101*(1+J102/(50*(ABS(O102)+ABS(T102)+0.0001)))</f>
        <v>371.41162139034094</v>
      </c>
      <c r="C102" s="62">
        <f t="shared" ca="1" si="3"/>
        <v>1</v>
      </c>
      <c r="D102" s="13">
        <f ca="1">D101+C102*(Prices!Q102-Prices!Q101)/Prices!Q101</f>
        <v>3.923562128933201</v>
      </c>
      <c r="E102" s="13">
        <f t="shared" ca="1" si="8"/>
        <v>7.6947323586538108E-2</v>
      </c>
      <c r="F102" s="13">
        <f t="shared" ca="1" si="9"/>
        <v>4.0005094525197391</v>
      </c>
      <c r="G102" s="21">
        <f ca="1">IF((Prices!Q102-Prices!Q101)*C102&gt;0,1,0)</f>
        <v>0</v>
      </c>
      <c r="H102" s="13">
        <f>ABS(Prices!Q102-Prices!Q101)/Prices!Q101</f>
        <v>7.6947323586538094E-2</v>
      </c>
      <c r="I102" s="21"/>
      <c r="J102" s="4">
        <f t="shared" ca="1" si="10"/>
        <v>1.9045801197029326E-5</v>
      </c>
      <c r="K102" s="13"/>
      <c r="L102" s="13">
        <f ca="1">L101-O102*Prices!Q102</f>
        <v>0.69861827160954348</v>
      </c>
      <c r="M102" s="4">
        <f t="shared" ca="1" si="7"/>
        <v>3.4160765953237214E-2</v>
      </c>
      <c r="N102" s="13">
        <f ca="1">IF(Prices!P101&gt;OFFSET(Prices!P101,-$N$3,0),1,-1)</f>
        <v>1</v>
      </c>
      <c r="O102" s="4">
        <f ca="1">IF(N102=1,O$3*L101/Prices!Q101,-O$3*M101)</f>
        <v>1.9045801197029326E-5</v>
      </c>
      <c r="P102" s="22"/>
      <c r="Q102" s="13">
        <f ca="1">Q101-T102*Prices!Q102</f>
        <v>1</v>
      </c>
      <c r="R102" s="4">
        <f t="shared" ca="1" si="11"/>
        <v>0.01</v>
      </c>
      <c r="S102" s="13">
        <f ca="1">IF(Prices!D101&gt;OFFSET(Prices!D101,-S$3,0),1,-1)</f>
        <v>1</v>
      </c>
      <c r="T102" s="4">
        <f ca="1">IF(S102=1,T$3*Q101/Prices!Q101,-T$3*R101)</f>
        <v>0</v>
      </c>
      <c r="V102" s="13"/>
      <c r="W102" s="4"/>
      <c r="X102" s="4"/>
      <c r="Y102" s="4"/>
      <c r="Z102" s="4"/>
      <c r="AA102" s="4"/>
      <c r="AB102" s="4"/>
      <c r="AC102" s="4"/>
      <c r="AD102" s="4"/>
      <c r="AE102" s="52"/>
    </row>
    <row r="103" spans="1:31" x14ac:dyDescent="0.2">
      <c r="A103" s="66">
        <v>42916</v>
      </c>
      <c r="B103" s="13">
        <f ca="1">Prices!Q102*(1+J103/(50*(ABS(O103)+ABS(T103)+0.0001)))</f>
        <v>336.45193791680617</v>
      </c>
      <c r="C103" s="62">
        <f t="shared" ca="1" si="3"/>
        <v>0</v>
      </c>
      <c r="D103" s="13">
        <f ca="1">D102+C103*(Prices!Q103-Prices!Q102)/Prices!Q102</f>
        <v>3.923562128933201</v>
      </c>
      <c r="E103" s="13">
        <f t="shared" ca="1" si="8"/>
        <v>7.6947323586538108E-2</v>
      </c>
      <c r="F103" s="13">
        <f t="shared" ca="1" si="9"/>
        <v>4.0005094525197391</v>
      </c>
      <c r="G103" s="21">
        <f ca="1">IF((Prices!Q103-Prices!Q102)*C103&gt;0,1,0)</f>
        <v>0</v>
      </c>
      <c r="H103" s="13">
        <f>ABS(Prices!Q103-Prices!Q102)/Prices!Q102</f>
        <v>0.13701399922690718</v>
      </c>
      <c r="I103" s="21"/>
      <c r="J103" s="4">
        <f t="shared" ca="1" si="10"/>
        <v>-3.4160765953237214E-4</v>
      </c>
      <c r="K103" s="13"/>
      <c r="L103" s="13">
        <f ca="1">L102-O103*Prices!Q103</f>
        <v>0.7993638310040776</v>
      </c>
      <c r="M103" s="4">
        <f t="shared" ca="1" si="7"/>
        <v>3.381915829370484E-2</v>
      </c>
      <c r="N103" s="13">
        <f ca="1">IF(Prices!P102&gt;OFFSET(Prices!P102,-$N$3,0),1,-1)</f>
        <v>-1</v>
      </c>
      <c r="O103" s="4">
        <f ca="1">IF(N103=1,O$3*L102/Prices!Q102,-O$3*M102)</f>
        <v>-3.4160765953237214E-4</v>
      </c>
      <c r="P103" s="22"/>
      <c r="Q103" s="13">
        <f ca="1">Q102-T103*Prices!Q103</f>
        <v>1</v>
      </c>
      <c r="R103" s="4">
        <f t="shared" ca="1" si="11"/>
        <v>0.01</v>
      </c>
      <c r="S103" s="13">
        <f ca="1">IF(Prices!D102&gt;OFFSET(Prices!D102,-S$3,0),1,-1)</f>
        <v>1</v>
      </c>
      <c r="T103" s="4">
        <f ca="1">IF(S103=1,T$3*Q102/Prices!Q102,-T$3*R102)</f>
        <v>0</v>
      </c>
      <c r="V103" s="13"/>
      <c r="W103" s="4"/>
      <c r="X103" s="4"/>
      <c r="Y103" s="4"/>
      <c r="Z103" s="4"/>
      <c r="AA103" s="4"/>
      <c r="AB103" s="4"/>
      <c r="AC103" s="4"/>
      <c r="AD103" s="4"/>
      <c r="AE103" s="52"/>
    </row>
    <row r="104" spans="1:31" x14ac:dyDescent="0.2">
      <c r="A104" s="66">
        <v>42923</v>
      </c>
      <c r="B104" s="13">
        <f ca="1">Prices!Q103*(1+J104/(50*(ABS(O104)+ABS(T104)+0.0001)))</f>
        <v>296.1737877599964</v>
      </c>
      <c r="C104" s="62">
        <f t="shared" ca="1" si="3"/>
        <v>1</v>
      </c>
      <c r="D104" s="13">
        <f ca="1">D103+C104*(Prices!Q104-Prices!Q103)/Prices!Q103</f>
        <v>3.7576674657463278</v>
      </c>
      <c r="E104" s="13">
        <f t="shared" ca="1" si="8"/>
        <v>0.24284198677341129</v>
      </c>
      <c r="F104" s="13">
        <f t="shared" ca="1" si="9"/>
        <v>4.0005094525197391</v>
      </c>
      <c r="G104" s="21">
        <f ca="1">IF((Prices!Q104-Prices!Q103)*C104&gt;0,1,0)</f>
        <v>0</v>
      </c>
      <c r="H104" s="13">
        <f>ABS(Prices!Q104-Prices!Q103)/Prices!Q103</f>
        <v>0.16589466318687335</v>
      </c>
      <c r="I104" s="21"/>
      <c r="J104" s="4">
        <f t="shared" ca="1" si="10"/>
        <v>2.7104798371782994E-5</v>
      </c>
      <c r="K104" s="13"/>
      <c r="L104" s="13">
        <f ca="1">L103-O104*Prices!Q104</f>
        <v>0.79269629462911873</v>
      </c>
      <c r="M104" s="4">
        <f t="shared" ca="1" si="7"/>
        <v>3.3846263092076626E-2</v>
      </c>
      <c r="N104" s="13">
        <f ca="1">IF(Prices!P103&gt;OFFSET(Prices!P103,-$N$3,0),1,-1)</f>
        <v>1</v>
      </c>
      <c r="O104" s="4">
        <f ca="1">IF(N104=1,O$3*L103/Prices!Q103,-O$3*M103)</f>
        <v>2.7104798371782994E-5</v>
      </c>
      <c r="P104" s="22"/>
      <c r="Q104" s="13">
        <f ca="1">Q103-T104*Prices!Q104</f>
        <v>1</v>
      </c>
      <c r="R104" s="4">
        <f t="shared" ca="1" si="11"/>
        <v>0.01</v>
      </c>
      <c r="S104" s="13">
        <f ca="1">IF(Prices!D103&gt;OFFSET(Prices!D103,-S$3,0),1,-1)</f>
        <v>1</v>
      </c>
      <c r="T104" s="4">
        <f ca="1">IF(S104=1,T$3*Q103/Prices!Q103,-T$3*R103)</f>
        <v>0</v>
      </c>
      <c r="V104" s="13"/>
      <c r="W104" s="4"/>
      <c r="X104" s="4"/>
      <c r="Y104" s="4"/>
      <c r="Z104" s="4"/>
      <c r="AA104" s="4"/>
      <c r="AB104" s="4"/>
      <c r="AC104" s="4"/>
      <c r="AD104" s="4"/>
      <c r="AE104" s="52"/>
    </row>
    <row r="105" spans="1:31" x14ac:dyDescent="0.2">
      <c r="A105" s="66">
        <v>42930</v>
      </c>
      <c r="B105" s="13">
        <f ca="1">Prices!Q104*(1+J105/(50*(ABS(O105)+ABS(T105)+0.0001)))</f>
        <v>242.19323846114344</v>
      </c>
      <c r="C105" s="62">
        <f t="shared" ref="C105:C168" ca="1" si="12">IF(J105&gt;0,1,IF(J105&lt;0,0,0))</f>
        <v>0</v>
      </c>
      <c r="D105" s="13">
        <f ca="1">D104+C105*(Prices!Q105-Prices!Q104)/Prices!Q104</f>
        <v>3.7576674657463278</v>
      </c>
      <c r="E105" s="13">
        <f t="shared" ca="1" si="8"/>
        <v>0.24284198677341129</v>
      </c>
      <c r="F105" s="13">
        <f t="shared" ca="1" si="9"/>
        <v>4.0005094525197391</v>
      </c>
      <c r="G105" s="21">
        <f ca="1">IF((Prices!Q105-Prices!Q104)*C105&gt;0,1,0)</f>
        <v>0</v>
      </c>
      <c r="H105" s="13">
        <f>ABS(Prices!Q105-Prices!Q104)/Prices!Q104</f>
        <v>0.18833613654568016</v>
      </c>
      <c r="I105" s="21"/>
      <c r="J105" s="4">
        <f t="shared" ca="1" si="10"/>
        <v>-3.3846263092076625E-4</v>
      </c>
      <c r="K105" s="13"/>
      <c r="L105" s="13">
        <f ca="1">L104-O105*Prices!Q105</f>
        <v>0.86027442145940869</v>
      </c>
      <c r="M105" s="4">
        <f t="shared" ca="1" si="7"/>
        <v>3.3507800461155861E-2</v>
      </c>
      <c r="N105" s="13">
        <f ca="1">IF(Prices!P104&gt;OFFSET(Prices!P104,-$N$3,0),1,-1)</f>
        <v>-1</v>
      </c>
      <c r="O105" s="4">
        <f ca="1">IF(N105=1,O$3*L104/Prices!Q104,-O$3*M104)</f>
        <v>-3.3846263092076625E-4</v>
      </c>
      <c r="P105" s="22"/>
      <c r="Q105" s="13">
        <f ca="1">Q104-T105*Prices!Q105</f>
        <v>1</v>
      </c>
      <c r="R105" s="4">
        <f t="shared" ca="1" si="11"/>
        <v>0.01</v>
      </c>
      <c r="S105" s="13">
        <f ca="1">IF(Prices!D104&gt;OFFSET(Prices!D104,-S$3,0),1,-1)</f>
        <v>1</v>
      </c>
      <c r="T105" s="4">
        <f ca="1">IF(S105=1,T$3*Q104/Prices!Q104,-T$3*R104)</f>
        <v>0</v>
      </c>
      <c r="V105" s="13"/>
      <c r="W105" s="4"/>
      <c r="X105" s="4"/>
      <c r="Y105" s="4"/>
      <c r="Z105" s="4"/>
      <c r="AA105" s="4"/>
      <c r="AB105" s="4"/>
      <c r="AC105" s="4"/>
      <c r="AD105" s="4"/>
      <c r="AE105" s="52"/>
    </row>
    <row r="106" spans="1:31" x14ac:dyDescent="0.2">
      <c r="A106" s="66">
        <v>42937</v>
      </c>
      <c r="B106" s="13">
        <f ca="1">Prices!Q105*(1+J106/(50*(ABS(O106)+ABS(T106)+0.0001)))</f>
        <v>196.58658457604551</v>
      </c>
      <c r="C106" s="62">
        <f t="shared" ca="1" si="12"/>
        <v>0</v>
      </c>
      <c r="D106" s="13">
        <f ca="1">D105+C106*(Prices!Q106-Prices!Q105)/Prices!Q105</f>
        <v>3.7576674657463278</v>
      </c>
      <c r="E106" s="13">
        <f t="shared" ca="1" si="8"/>
        <v>0.24284198677341129</v>
      </c>
      <c r="F106" s="13">
        <f t="shared" ca="1" si="9"/>
        <v>4.0005094525197391</v>
      </c>
      <c r="G106" s="21">
        <f ca="1">IF((Prices!Q106-Prices!Q105)*C106&gt;0,1,0)</f>
        <v>0</v>
      </c>
      <c r="H106" s="13">
        <f>ABS(Prices!Q106-Prices!Q105)/Prices!Q105</f>
        <v>9.337274854444888E-2</v>
      </c>
      <c r="I106" s="21"/>
      <c r="J106" s="4">
        <f t="shared" ca="1" si="10"/>
        <v>-3.3507800461155863E-4</v>
      </c>
      <c r="K106" s="13"/>
      <c r="L106" s="13">
        <f ca="1">L105-O106*Prices!Q106</f>
        <v>0.933423622910589</v>
      </c>
      <c r="M106" s="4">
        <f t="shared" ca="1" si="7"/>
        <v>3.3172722456544304E-2</v>
      </c>
      <c r="N106" s="13">
        <f ca="1">IF(Prices!P105&gt;OFFSET(Prices!P105,-$N$3,0),1,-1)</f>
        <v>-1</v>
      </c>
      <c r="O106" s="4">
        <f ca="1">IF(N106=1,O$3*L105/Prices!Q105,-O$3*M105)</f>
        <v>-3.3507800461155863E-4</v>
      </c>
      <c r="P106" s="22"/>
      <c r="Q106" s="13">
        <f ca="1">Q105-T106*Prices!Q106</f>
        <v>1</v>
      </c>
      <c r="R106" s="4">
        <f t="shared" ca="1" si="11"/>
        <v>0.01</v>
      </c>
      <c r="S106" s="13">
        <f ca="1">IF(Prices!D105&gt;OFFSET(Prices!D105,-S$3,0),1,-1)</f>
        <v>1</v>
      </c>
      <c r="T106" s="4">
        <f ca="1">IF(S106=1,T$3*Q105/Prices!Q105,-T$3*R105)</f>
        <v>0</v>
      </c>
      <c r="V106" s="13"/>
      <c r="W106" s="4"/>
      <c r="X106" s="4"/>
      <c r="Y106" s="4"/>
      <c r="Z106" s="4"/>
      <c r="AA106" s="4"/>
      <c r="AB106" s="4"/>
      <c r="AC106" s="4"/>
      <c r="AD106" s="4"/>
      <c r="AE106" s="52"/>
    </row>
    <row r="107" spans="1:31" x14ac:dyDescent="0.2">
      <c r="A107" s="66">
        <v>42944</v>
      </c>
      <c r="B107" s="13">
        <f ca="1">Prices!Q106*(1+J107/(50*(ABS(O107)+ABS(T107)+0.0001)))</f>
        <v>219.61269565818699</v>
      </c>
      <c r="C107" s="62">
        <f t="shared" ca="1" si="12"/>
        <v>1</v>
      </c>
      <c r="D107" s="13">
        <f ca="1">D106+C107*(Prices!Q107-Prices!Q106)/Prices!Q106</f>
        <v>3.6423151247213106</v>
      </c>
      <c r="E107" s="13">
        <f t="shared" ca="1" si="8"/>
        <v>0.35819432779842852</v>
      </c>
      <c r="F107" s="13">
        <f t="shared" ca="1" si="9"/>
        <v>4.0005094525197391</v>
      </c>
      <c r="G107" s="21">
        <f ca="1">IF((Prices!Q107-Prices!Q106)*C107&gt;0,1,0)</f>
        <v>0</v>
      </c>
      <c r="H107" s="13">
        <f>ABS(Prices!Q107-Prices!Q106)/Prices!Q106</f>
        <v>0.11535234102501728</v>
      </c>
      <c r="I107" s="21"/>
      <c r="J107" s="4">
        <f t="shared" ca="1" si="10"/>
        <v>4.2757777093563269E-5</v>
      </c>
      <c r="K107" s="13"/>
      <c r="L107" s="13">
        <f ca="1">L106-O107*Prices!Q107</f>
        <v>0.92516611268219096</v>
      </c>
      <c r="M107" s="4">
        <f t="shared" ca="1" si="7"/>
        <v>3.3215480233637865E-2</v>
      </c>
      <c r="N107" s="13">
        <f ca="1">IF(Prices!P106&gt;OFFSET(Prices!P106,-$N$3,0),1,-1)</f>
        <v>1</v>
      </c>
      <c r="O107" s="4">
        <f ca="1">IF(N107=1,O$3*L106/Prices!Q106,-O$3*M106)</f>
        <v>4.2757777093563269E-5</v>
      </c>
      <c r="P107" s="22"/>
      <c r="Q107" s="13">
        <f ca="1">Q106-T107*Prices!Q107</f>
        <v>1</v>
      </c>
      <c r="R107" s="4">
        <f t="shared" ca="1" si="11"/>
        <v>0.01</v>
      </c>
      <c r="S107" s="13">
        <f ca="1">IF(Prices!D106&gt;OFFSET(Prices!D106,-S$3,0),1,-1)</f>
        <v>1</v>
      </c>
      <c r="T107" s="4">
        <f ca="1">IF(S107=1,T$3*Q106/Prices!Q106,-T$3*R106)</f>
        <v>0</v>
      </c>
      <c r="V107" s="13"/>
      <c r="W107" s="4"/>
      <c r="X107" s="4"/>
      <c r="Y107" s="4"/>
      <c r="Z107" s="4"/>
      <c r="AA107" s="4"/>
      <c r="AB107" s="4"/>
      <c r="AC107" s="4"/>
      <c r="AD107" s="4"/>
      <c r="AE107" s="52"/>
    </row>
    <row r="108" spans="1:31" x14ac:dyDescent="0.2">
      <c r="A108" s="66">
        <v>42951</v>
      </c>
      <c r="B108" s="13">
        <f ca="1">Prices!Q107*(1+J108/(50*(ABS(O108)+ABS(T108)+0.0001)))</f>
        <v>194.37402395641624</v>
      </c>
      <c r="C108" s="62">
        <f t="shared" ca="1" si="12"/>
        <v>1</v>
      </c>
      <c r="D108" s="13">
        <f ca="1">D107+C108*(Prices!Q108-Prices!Q107)/Prices!Q107</f>
        <v>3.7973976205655009</v>
      </c>
      <c r="E108" s="13">
        <f t="shared" ca="1" si="8"/>
        <v>0.20311183195423821</v>
      </c>
      <c r="F108" s="13">
        <f t="shared" ca="1" si="9"/>
        <v>4.0005094525197391</v>
      </c>
      <c r="G108" s="21">
        <f ca="1">IF((Prices!Q108-Prices!Q107)*C108&gt;0,1,0)</f>
        <v>1</v>
      </c>
      <c r="H108" s="13">
        <f>ABS(Prices!Q108-Prices!Q107)/Prices!Q107</f>
        <v>0.15508249584419012</v>
      </c>
      <c r="I108" s="21"/>
      <c r="J108" s="4">
        <f t="shared" ca="1" si="10"/>
        <v>4.7905537294451582E-5</v>
      </c>
      <c r="K108" s="13"/>
      <c r="L108" s="13">
        <f ca="1">L107-O108*Prices!Q108</f>
        <v>0.91447968085711684</v>
      </c>
      <c r="M108" s="4">
        <f t="shared" ca="1" si="7"/>
        <v>3.3263385770932317E-2</v>
      </c>
      <c r="N108" s="13">
        <f ca="1">IF(Prices!P107&gt;OFFSET(Prices!P107,-$N$3,0),1,-1)</f>
        <v>1</v>
      </c>
      <c r="O108" s="4">
        <f ca="1">IF(N108=1,O$3*L107/Prices!Q107,-O$3*M107)</f>
        <v>4.7905537294451582E-5</v>
      </c>
      <c r="P108" s="22"/>
      <c r="Q108" s="13">
        <f ca="1">Q107-T108*Prices!Q108</f>
        <v>1</v>
      </c>
      <c r="R108" s="4">
        <f t="shared" ca="1" si="11"/>
        <v>0.01</v>
      </c>
      <c r="S108" s="13">
        <f ca="1">IF(Prices!D107&gt;OFFSET(Prices!D107,-S$3,0),1,-1)</f>
        <v>1</v>
      </c>
      <c r="T108" s="4">
        <f ca="1">IF(S108=1,T$3*Q107/Prices!Q107,-T$3*R107)</f>
        <v>0</v>
      </c>
      <c r="V108" s="13"/>
      <c r="W108" s="4"/>
      <c r="X108" s="4"/>
      <c r="Y108" s="4"/>
      <c r="Z108" s="4"/>
      <c r="AA108" s="4"/>
      <c r="AB108" s="4"/>
      <c r="AC108" s="4"/>
      <c r="AD108" s="4"/>
      <c r="AE108" s="52"/>
    </row>
    <row r="109" spans="1:31" x14ac:dyDescent="0.2">
      <c r="A109" s="66">
        <v>42958</v>
      </c>
      <c r="B109" s="13">
        <f ca="1">Prices!Q108*(1+J109/(50*(ABS(O109)+ABS(T109)+0.0001)))</f>
        <v>224.37018162853616</v>
      </c>
      <c r="C109" s="62">
        <f t="shared" ca="1" si="12"/>
        <v>1</v>
      </c>
      <c r="D109" s="13">
        <f ca="1">D108+C109*(Prices!Q109-Prices!Q108)/Prices!Q108</f>
        <v>4.1819848039950251</v>
      </c>
      <c r="E109" s="13">
        <f t="shared" ca="1" si="8"/>
        <v>0</v>
      </c>
      <c r="F109" s="13">
        <f t="shared" ca="1" si="9"/>
        <v>4.1819848039950251</v>
      </c>
      <c r="G109" s="21">
        <f ca="1">IF((Prices!Q109-Prices!Q108)*C109&gt;0,1,0)</f>
        <v>1</v>
      </c>
      <c r="H109" s="13">
        <f>ABS(Prices!Q109-Prices!Q108)/Prices!Q108</f>
        <v>0.38458718342952464</v>
      </c>
      <c r="I109" s="21"/>
      <c r="J109" s="4">
        <f t="shared" ca="1" si="10"/>
        <v>4.0994638035801934E-5</v>
      </c>
      <c r="K109" s="13"/>
      <c r="L109" s="13">
        <f ca="1">L108-O109*Prices!Q109</f>
        <v>0.90181791240090203</v>
      </c>
      <c r="M109" s="4">
        <f t="shared" ca="1" si="7"/>
        <v>3.3304380408968118E-2</v>
      </c>
      <c r="N109" s="13">
        <f ca="1">IF(Prices!P108&gt;OFFSET(Prices!P108,-$N$3,0),1,-1)</f>
        <v>1</v>
      </c>
      <c r="O109" s="4">
        <f ca="1">IF(N109=1,O$3*L108/Prices!Q108,-O$3*M108)</f>
        <v>4.0994638035801934E-5</v>
      </c>
      <c r="P109" s="22"/>
      <c r="Q109" s="13">
        <f ca="1">Q108-T109*Prices!Q109</f>
        <v>1</v>
      </c>
      <c r="R109" s="4">
        <f t="shared" ca="1" si="11"/>
        <v>0.01</v>
      </c>
      <c r="S109" s="13">
        <f ca="1">IF(Prices!D108&gt;OFFSET(Prices!D108,-S$3,0),1,-1)</f>
        <v>1</v>
      </c>
      <c r="T109" s="4">
        <f ca="1">IF(S109=1,T$3*Q108/Prices!Q108,-T$3*R108)</f>
        <v>0</v>
      </c>
      <c r="V109" s="13"/>
      <c r="W109" s="4"/>
      <c r="X109" s="4"/>
      <c r="Y109" s="4"/>
      <c r="Z109" s="4"/>
      <c r="AA109" s="4"/>
      <c r="AB109" s="4"/>
      <c r="AC109" s="4"/>
      <c r="AD109" s="4"/>
      <c r="AE109" s="52"/>
    </row>
    <row r="110" spans="1:31" x14ac:dyDescent="0.2">
      <c r="A110" s="66">
        <v>42965</v>
      </c>
      <c r="B110" s="13">
        <f ca="1">Prices!Q109*(1+J110/(50*(ABS(O110)+ABS(T110)+0.0001)))</f>
        <v>310.26003970263162</v>
      </c>
      <c r="C110" s="62">
        <f t="shared" ca="1" si="12"/>
        <v>1</v>
      </c>
      <c r="D110" s="13">
        <f ca="1">D109+C110*(Prices!Q110-Prices!Q109)/Prices!Q109</f>
        <v>4.1390079034876059</v>
      </c>
      <c r="E110" s="13">
        <f t="shared" ca="1" si="8"/>
        <v>4.2976900507419202E-2</v>
      </c>
      <c r="F110" s="13">
        <f t="shared" ca="1" si="9"/>
        <v>4.1819848039950251</v>
      </c>
      <c r="G110" s="21">
        <f ca="1">IF((Prices!Q110-Prices!Q109)*C110&gt;0,1,0)</f>
        <v>0</v>
      </c>
      <c r="H110" s="13">
        <f>ABS(Prices!Q110-Prices!Q109)/Prices!Q109</f>
        <v>4.2976900507418814E-2</v>
      </c>
      <c r="I110" s="21"/>
      <c r="J110" s="4">
        <f t="shared" ca="1" si="10"/>
        <v>2.9197895239453246E-5</v>
      </c>
      <c r="K110" s="13"/>
      <c r="L110" s="13">
        <f ca="1">L109-O110*Prices!Q110</f>
        <v>0.89318730666386359</v>
      </c>
      <c r="M110" s="4">
        <f t="shared" ca="1" si="7"/>
        <v>3.3333578304207571E-2</v>
      </c>
      <c r="N110" s="13">
        <f ca="1">IF(Prices!P109&gt;OFFSET(Prices!P109,-$N$3,0),1,-1)</f>
        <v>1</v>
      </c>
      <c r="O110" s="4">
        <f ca="1">IF(N110=1,O$3*L109/Prices!Q109,-O$3*M109)</f>
        <v>2.9197895239453246E-5</v>
      </c>
      <c r="P110" s="22"/>
      <c r="Q110" s="13">
        <f ca="1">Q109-T110*Prices!Q110</f>
        <v>1</v>
      </c>
      <c r="R110" s="4">
        <f t="shared" ca="1" si="11"/>
        <v>0.01</v>
      </c>
      <c r="S110" s="13">
        <f ca="1">IF(Prices!D109&gt;OFFSET(Prices!D109,-S$3,0),1,-1)</f>
        <v>1</v>
      </c>
      <c r="T110" s="4">
        <f ca="1">IF(S110=1,T$3*Q109/Prices!Q109,-T$3*R109)</f>
        <v>0</v>
      </c>
      <c r="V110" s="13"/>
      <c r="W110" s="4"/>
      <c r="X110" s="4"/>
      <c r="Y110" s="4"/>
      <c r="Z110" s="4"/>
      <c r="AA110" s="4"/>
      <c r="AB110" s="4"/>
      <c r="AC110" s="4"/>
      <c r="AD110" s="4"/>
      <c r="AE110" s="52"/>
    </row>
    <row r="111" spans="1:31" x14ac:dyDescent="0.2">
      <c r="A111" s="66">
        <v>42972</v>
      </c>
      <c r="B111" s="13">
        <f ca="1">Prices!Q110*(1+J111/(50*(ABS(O111)+ABS(T111)+0.0001)))</f>
        <v>296.96183931823612</v>
      </c>
      <c r="C111" s="62">
        <f t="shared" ca="1" si="12"/>
        <v>1</v>
      </c>
      <c r="D111" s="13">
        <f ca="1">D110+C111*(Prices!Q111-Prices!Q110)/Prices!Q110</f>
        <v>4.2618977627235726</v>
      </c>
      <c r="E111" s="13">
        <f t="shared" ca="1" si="8"/>
        <v>0</v>
      </c>
      <c r="F111" s="13">
        <f t="shared" ca="1" si="9"/>
        <v>4.2618977627235726</v>
      </c>
      <c r="G111" s="21">
        <f ca="1">IF((Prices!Q111-Prices!Q110)*C111&gt;0,1,0)</f>
        <v>1</v>
      </c>
      <c r="H111" s="13">
        <f>ABS(Prices!Q111-Prices!Q110)/Prices!Q110</f>
        <v>0.12288985923596689</v>
      </c>
      <c r="I111" s="21"/>
      <c r="J111" s="4">
        <f t="shared" ca="1" si="10"/>
        <v>3.0217102024787861E-5</v>
      </c>
      <c r="K111" s="13"/>
      <c r="L111" s="13">
        <f ca="1">L110-O111*Prices!Q111</f>
        <v>0.88315779697335217</v>
      </c>
      <c r="M111" s="4">
        <f t="shared" ca="1" si="7"/>
        <v>3.3363795406232362E-2</v>
      </c>
      <c r="N111" s="13">
        <f ca="1">IF(Prices!P110&gt;OFFSET(Prices!P110,-$N$3,0),1,-1)</f>
        <v>1</v>
      </c>
      <c r="O111" s="4">
        <f ca="1">IF(N111=1,O$3*L110/Prices!Q110,-O$3*M110)</f>
        <v>3.0217102024787861E-5</v>
      </c>
      <c r="P111" s="22"/>
      <c r="Q111" s="13">
        <f ca="1">Q110-T111*Prices!Q111</f>
        <v>1</v>
      </c>
      <c r="R111" s="4">
        <f t="shared" ca="1" si="11"/>
        <v>0.01</v>
      </c>
      <c r="S111" s="13">
        <f ca="1">IF(Prices!D110&gt;OFFSET(Prices!D110,-S$3,0),1,-1)</f>
        <v>1</v>
      </c>
      <c r="T111" s="4">
        <f ca="1">IF(S111=1,T$3*Q110/Prices!Q110,-T$3*R110)</f>
        <v>0</v>
      </c>
      <c r="V111" s="13"/>
      <c r="W111" s="4"/>
      <c r="X111" s="4"/>
      <c r="Y111" s="4"/>
      <c r="Z111" s="4"/>
      <c r="AA111" s="4"/>
      <c r="AB111" s="4"/>
      <c r="AC111" s="4"/>
      <c r="AD111" s="4"/>
      <c r="AE111" s="52"/>
    </row>
    <row r="112" spans="1:31" x14ac:dyDescent="0.2">
      <c r="A112" s="66">
        <v>42979</v>
      </c>
      <c r="B112" s="13">
        <f ca="1">Prices!Q111*(1+J112/(50*(ABS(O112)+ABS(T112)+0.0001)))</f>
        <v>333.31011538446796</v>
      </c>
      <c r="C112" s="62">
        <f t="shared" ca="1" si="12"/>
        <v>1</v>
      </c>
      <c r="D112" s="13">
        <f ca="1">D111+C112*(Prices!Q112-Prices!Q111)/Prices!Q111</f>
        <v>4.4300913860495967</v>
      </c>
      <c r="E112" s="13">
        <f t="shared" ca="1" si="8"/>
        <v>0</v>
      </c>
      <c r="F112" s="13">
        <f t="shared" ca="1" si="9"/>
        <v>4.4300913860495967</v>
      </c>
      <c r="G112" s="21">
        <f ca="1">IF((Prices!Q112-Prices!Q111)*C112&gt;0,1,0)</f>
        <v>1</v>
      </c>
      <c r="H112" s="13">
        <f>ABS(Prices!Q112-Prices!Q111)/Prices!Q111</f>
        <v>0.16819362332602439</v>
      </c>
      <c r="I112" s="21"/>
      <c r="J112" s="4">
        <f t="shared" ca="1" si="10"/>
        <v>2.6607950018112983E-5</v>
      </c>
      <c r="K112" s="13"/>
      <c r="L112" s="13">
        <f ca="1">L111-O112*Prices!Q112</f>
        <v>0.87284080390520291</v>
      </c>
      <c r="M112" s="4">
        <f t="shared" ca="1" si="7"/>
        <v>3.3390403356250473E-2</v>
      </c>
      <c r="N112" s="13">
        <f ca="1">IF(Prices!P111&gt;OFFSET(Prices!P111,-$N$3,0),1,-1)</f>
        <v>1</v>
      </c>
      <c r="O112" s="4">
        <f ca="1">IF(N112=1,O$3*L111/Prices!Q111,-O$3*M111)</f>
        <v>2.6607950018112983E-5</v>
      </c>
      <c r="P112" s="22"/>
      <c r="Q112" s="13">
        <f ca="1">Q111-T112*Prices!Q112</f>
        <v>1</v>
      </c>
      <c r="R112" s="4">
        <f t="shared" ca="1" si="11"/>
        <v>0.01</v>
      </c>
      <c r="S112" s="13">
        <f ca="1">IF(Prices!D111&gt;OFFSET(Prices!D111,-S$3,0),1,-1)</f>
        <v>1</v>
      </c>
      <c r="T112" s="4">
        <f ca="1">IF(S112=1,T$3*Q111/Prices!Q111,-T$3*R111)</f>
        <v>0</v>
      </c>
      <c r="V112" s="13"/>
      <c r="W112" s="4"/>
      <c r="X112" s="4"/>
      <c r="Y112" s="4"/>
      <c r="Z112" s="4"/>
      <c r="AA112" s="4"/>
      <c r="AB112" s="4"/>
      <c r="AC112" s="4"/>
      <c r="AD112" s="4"/>
      <c r="AE112" s="52"/>
    </row>
    <row r="113" spans="1:31" x14ac:dyDescent="0.2">
      <c r="A113" s="66">
        <v>42986</v>
      </c>
      <c r="B113" s="13">
        <f ca="1">Prices!Q112*(1+J113/(50*(ABS(O113)+ABS(T113)+0.0001)))</f>
        <v>389.16591614484867</v>
      </c>
      <c r="C113" s="62">
        <f t="shared" ca="1" si="12"/>
        <v>1</v>
      </c>
      <c r="D113" s="13">
        <f ca="1">D112+C113*(Prices!Q113-Prices!Q112)/Prices!Q112</f>
        <v>4.1947693832024227</v>
      </c>
      <c r="E113" s="13">
        <f t="shared" ca="1" si="8"/>
        <v>0.23532200284717408</v>
      </c>
      <c r="F113" s="13">
        <f t="shared" ca="1" si="9"/>
        <v>4.4300913860495967</v>
      </c>
      <c r="G113" s="21">
        <f ca="1">IF((Prices!Q113-Prices!Q112)*C113&gt;0,1,0)</f>
        <v>0</v>
      </c>
      <c r="H113" s="13">
        <f>ABS(Prices!Q113-Prices!Q112)/Prices!Q112</f>
        <v>0.23532200284717378</v>
      </c>
      <c r="I113" s="21"/>
      <c r="J113" s="4">
        <f t="shared" ca="1" si="10"/>
        <v>2.2510923803737032E-5</v>
      </c>
      <c r="K113" s="13"/>
      <c r="L113" s="13">
        <f ca="1">L112-O113*Prices!Q113</f>
        <v>0.86616638232756793</v>
      </c>
      <c r="M113" s="4">
        <f t="shared" ca="1" si="7"/>
        <v>3.3412914280054211E-2</v>
      </c>
      <c r="N113" s="13">
        <f ca="1">IF(Prices!P112&gt;OFFSET(Prices!P112,-$N$3,0),1,-1)</f>
        <v>1</v>
      </c>
      <c r="O113" s="4">
        <f ca="1">IF(N113=1,O$3*L112/Prices!Q112,-O$3*M112)</f>
        <v>2.2510923803737032E-5</v>
      </c>
      <c r="P113" s="22"/>
      <c r="Q113" s="13">
        <f ca="1">Q112-T113*Prices!Q113</f>
        <v>1</v>
      </c>
      <c r="R113" s="4">
        <f t="shared" ca="1" si="11"/>
        <v>0.01</v>
      </c>
      <c r="S113" s="13">
        <f ca="1">IF(Prices!D112&gt;OFFSET(Prices!D112,-S$3,0),1,-1)</f>
        <v>1</v>
      </c>
      <c r="T113" s="4">
        <f ca="1">IF(S113=1,T$3*Q112/Prices!Q112,-T$3*R112)</f>
        <v>0</v>
      </c>
      <c r="V113" s="13"/>
      <c r="W113" s="4"/>
      <c r="X113" s="4"/>
      <c r="Y113" s="4"/>
      <c r="Z113" s="4"/>
      <c r="AA113" s="4"/>
      <c r="AB113" s="4"/>
      <c r="AC113" s="4"/>
      <c r="AD113" s="4"/>
      <c r="AE113" s="52"/>
    </row>
    <row r="114" spans="1:31" x14ac:dyDescent="0.2">
      <c r="A114" s="66">
        <v>42993</v>
      </c>
      <c r="B114" s="13">
        <f ca="1">Prices!Q113*(1+J114/(50*(ABS(O114)+ABS(T114)+0.0001)))</f>
        <v>291.93300802918236</v>
      </c>
      <c r="C114" s="62">
        <f t="shared" ca="1" si="12"/>
        <v>0</v>
      </c>
      <c r="D114" s="13">
        <f ca="1">D113+C114*(Prices!Q114-Prices!Q113)/Prices!Q113</f>
        <v>4.1947693832024227</v>
      </c>
      <c r="E114" s="13">
        <f t="shared" ca="1" si="8"/>
        <v>0.23532200284717408</v>
      </c>
      <c r="F114" s="13">
        <f t="shared" ca="1" si="9"/>
        <v>4.4300913860495967</v>
      </c>
      <c r="G114" s="21">
        <f ca="1">IF((Prices!Q114-Prices!Q113)*C114&gt;0,1,0)</f>
        <v>0</v>
      </c>
      <c r="H114" s="13">
        <f>ABS(Prices!Q114-Prices!Q113)/Prices!Q113</f>
        <v>0.15525621710403159</v>
      </c>
      <c r="I114" s="21"/>
      <c r="J114" s="4">
        <f t="shared" ca="1" si="10"/>
        <v>-3.3412914280054213E-4</v>
      </c>
      <c r="K114" s="13"/>
      <c r="L114" s="13">
        <f ca="1">L113-O114*Prices!Q114</f>
        <v>0.94985370562060867</v>
      </c>
      <c r="M114" s="4">
        <f t="shared" ca="1" si="7"/>
        <v>3.3078785137253666E-2</v>
      </c>
      <c r="N114" s="13">
        <f ca="1">IF(Prices!P113&gt;OFFSET(Prices!P113,-$N$3,0),1,-1)</f>
        <v>-1</v>
      </c>
      <c r="O114" s="4">
        <f ca="1">IF(N114=1,O$3*L113/Prices!Q113,-O$3*M113)</f>
        <v>-3.3412914280054213E-4</v>
      </c>
      <c r="P114" s="22"/>
      <c r="Q114" s="13">
        <f ca="1">Q113-T114*Prices!Q114</f>
        <v>1</v>
      </c>
      <c r="R114" s="4">
        <f t="shared" ca="1" si="11"/>
        <v>0.01</v>
      </c>
      <c r="S114" s="13">
        <f ca="1">IF(Prices!D113&gt;OFFSET(Prices!D113,-S$3,0),1,-1)</f>
        <v>1</v>
      </c>
      <c r="T114" s="4">
        <f ca="1">IF(S114=1,T$3*Q113/Prices!Q113,-T$3*R113)</f>
        <v>0</v>
      </c>
      <c r="V114" s="13"/>
      <c r="W114" s="4"/>
      <c r="X114" s="4"/>
      <c r="Y114" s="4"/>
      <c r="Z114" s="4"/>
      <c r="AA114" s="4"/>
      <c r="AB114" s="4"/>
      <c r="AC114" s="4"/>
      <c r="AD114" s="4"/>
      <c r="AE114" s="52"/>
    </row>
    <row r="115" spans="1:31" x14ac:dyDescent="0.2">
      <c r="A115" s="66">
        <v>43000</v>
      </c>
      <c r="B115" s="13">
        <f ca="1">Prices!Q114*(1+J115/(50*(ABS(O115)+ABS(T115)+0.0001)))</f>
        <v>246.61754323019196</v>
      </c>
      <c r="C115" s="62">
        <f t="shared" ca="1" si="12"/>
        <v>0</v>
      </c>
      <c r="D115" s="13">
        <f ca="1">D114+C115*(Prices!Q115-Prices!Q114)/Prices!Q114</f>
        <v>4.1947693832024227</v>
      </c>
      <c r="E115" s="13">
        <f t="shared" ca="1" si="8"/>
        <v>0.23532200284717408</v>
      </c>
      <c r="F115" s="13">
        <f t="shared" ca="1" si="9"/>
        <v>4.4300913860495967</v>
      </c>
      <c r="G115" s="21">
        <f ca="1">IF((Prices!Q115-Prices!Q114)*C115&gt;0,1,0)</f>
        <v>0</v>
      </c>
      <c r="H115" s="13">
        <f>ABS(Prices!Q115-Prices!Q114)/Prices!Q114</f>
        <v>5.5281368674113561E-2</v>
      </c>
      <c r="I115" s="21"/>
      <c r="J115" s="4">
        <f t="shared" ca="1" si="10"/>
        <v>-3.3078785137253668E-4</v>
      </c>
      <c r="K115" s="13"/>
      <c r="L115" s="13">
        <f ca="1">L114-O115*Prices!Q115</f>
        <v>1.0372842419553081</v>
      </c>
      <c r="M115" s="4">
        <f t="shared" ca="1" si="7"/>
        <v>3.2747997285881132E-2</v>
      </c>
      <c r="N115" s="13">
        <f ca="1">IF(Prices!P114&gt;OFFSET(Prices!P114,-$N$3,0),1,-1)</f>
        <v>-1</v>
      </c>
      <c r="O115" s="4">
        <f ca="1">IF(N115=1,O$3*L114/Prices!Q114,-O$3*M114)</f>
        <v>-3.3078785137253668E-4</v>
      </c>
      <c r="P115" s="22"/>
      <c r="Q115" s="13">
        <f ca="1">Q114-T115*Prices!Q115</f>
        <v>1</v>
      </c>
      <c r="R115" s="4">
        <f t="shared" ca="1" si="11"/>
        <v>0.01</v>
      </c>
      <c r="S115" s="13">
        <f ca="1">IF(Prices!D114&gt;OFFSET(Prices!D114,-S$3,0),1,-1)</f>
        <v>1</v>
      </c>
      <c r="T115" s="4">
        <f ca="1">IF(S115=1,T$3*Q114/Prices!Q114,-T$3*R114)</f>
        <v>0</v>
      </c>
      <c r="V115" s="13"/>
      <c r="W115" s="4"/>
      <c r="X115" s="4"/>
      <c r="Y115" s="4"/>
      <c r="Z115" s="4"/>
      <c r="AA115" s="4"/>
      <c r="AB115" s="4"/>
      <c r="AC115" s="4"/>
      <c r="AD115" s="4"/>
      <c r="AE115" s="52"/>
    </row>
    <row r="116" spans="1:31" x14ac:dyDescent="0.2">
      <c r="A116" s="66">
        <v>43007</v>
      </c>
      <c r="B116" s="13">
        <f ca="1">Prices!Q115*(1+J116/(50*(ABS(O116)+ABS(T116)+0.0001)))</f>
        <v>260.26039397328969</v>
      </c>
      <c r="C116" s="62">
        <f t="shared" ca="1" si="12"/>
        <v>0</v>
      </c>
      <c r="D116" s="13">
        <f ca="1">D115+C116*(Prices!Q116-Prices!Q115)/Prices!Q115</f>
        <v>4.1947693832024227</v>
      </c>
      <c r="E116" s="13">
        <f t="shared" ca="1" si="8"/>
        <v>0.23532200284717408</v>
      </c>
      <c r="F116" s="13">
        <f t="shared" ca="1" si="9"/>
        <v>4.4300913860495967</v>
      </c>
      <c r="G116" s="21">
        <f ca="1">IF((Prices!Q116-Prices!Q115)*C116&gt;0,1,0)</f>
        <v>0</v>
      </c>
      <c r="H116" s="13">
        <f>ABS(Prices!Q116-Prices!Q115)/Prices!Q115</f>
        <v>0.10274682079941602</v>
      </c>
      <c r="I116" s="21"/>
      <c r="J116" s="4">
        <f t="shared" ca="1" si="10"/>
        <v>-3.2747997285881135E-4</v>
      </c>
      <c r="K116" s="13"/>
      <c r="L116" s="13">
        <f ca="1">L115-O116*Prices!Q116</f>
        <v>1.1327338504793469</v>
      </c>
      <c r="M116" s="4">
        <f t="shared" ca="1" si="7"/>
        <v>3.2420517313022319E-2</v>
      </c>
      <c r="N116" s="13">
        <f ca="1">IF(Prices!P115&gt;OFFSET(Prices!P115,-$N$3,0),1,-1)</f>
        <v>-1</v>
      </c>
      <c r="O116" s="4">
        <f ca="1">IF(N116=1,O$3*L115/Prices!Q115,-O$3*M115)</f>
        <v>-3.2747997285881135E-4</v>
      </c>
      <c r="P116" s="22"/>
      <c r="Q116" s="13">
        <f ca="1">Q115-T116*Prices!Q116</f>
        <v>1</v>
      </c>
      <c r="R116" s="4">
        <f t="shared" ca="1" si="11"/>
        <v>0.01</v>
      </c>
      <c r="S116" s="13">
        <f ca="1">IF(Prices!D115&gt;OFFSET(Prices!D115,-S$3,0),1,-1)</f>
        <v>1</v>
      </c>
      <c r="T116" s="4">
        <f ca="1">IF(S116=1,T$3*Q115/Prices!Q115,-T$3*R115)</f>
        <v>0</v>
      </c>
      <c r="V116" s="13"/>
      <c r="W116" s="4"/>
      <c r="X116" s="4"/>
      <c r="Y116" s="4"/>
      <c r="Z116" s="4"/>
      <c r="AA116" s="4"/>
      <c r="AB116" s="4"/>
      <c r="AC116" s="4"/>
      <c r="AD116" s="4"/>
      <c r="AE116" s="52"/>
    </row>
    <row r="117" spans="1:31" x14ac:dyDescent="0.2">
      <c r="A117" s="66">
        <v>43014</v>
      </c>
      <c r="B117" s="13">
        <f ca="1">Prices!Q116*(1+J117/(50*(ABS(O117)+ABS(T117)+0.0001)))</f>
        <v>293.09844858416164</v>
      </c>
      <c r="C117" s="62">
        <f t="shared" ca="1" si="12"/>
        <v>1</v>
      </c>
      <c r="D117" s="13">
        <f ca="1">D116+C117*(Prices!Q117-Prices!Q116)/Prices!Q116</f>
        <v>4.2535101751706117</v>
      </c>
      <c r="E117" s="13">
        <f t="shared" ca="1" si="8"/>
        <v>0.17658121087898504</v>
      </c>
      <c r="F117" s="13">
        <f t="shared" ca="1" si="9"/>
        <v>4.4300913860495967</v>
      </c>
      <c r="G117" s="21">
        <f ca="1">IF((Prices!Q117-Prices!Q116)*C117&gt;0,1,0)</f>
        <v>1</v>
      </c>
      <c r="H117" s="13">
        <f>ABS(Prices!Q117-Prices!Q116)/Prices!Q116</f>
        <v>5.8740791968188689E-2</v>
      </c>
      <c r="I117" s="21"/>
      <c r="J117" s="4">
        <f t="shared" ca="1" si="10"/>
        <v>3.8863192458019414E-5</v>
      </c>
      <c r="K117" s="13"/>
      <c r="L117" s="13">
        <f ca="1">L116-O117*Prices!Q117</f>
        <v>1.1207411351398902</v>
      </c>
      <c r="M117" s="4">
        <f t="shared" ca="1" si="7"/>
        <v>3.2459380505480341E-2</v>
      </c>
      <c r="N117" s="13">
        <f ca="1">IF(Prices!P116&gt;OFFSET(Prices!P116,-$N$3,0),1,-1)</f>
        <v>1</v>
      </c>
      <c r="O117" s="4">
        <f ca="1">IF(N117=1,O$3*L116/Prices!Q116,-O$3*M116)</f>
        <v>3.8863192458019414E-5</v>
      </c>
      <c r="P117" s="22"/>
      <c r="Q117" s="13">
        <f ca="1">Q116-T117*Prices!Q117</f>
        <v>1</v>
      </c>
      <c r="R117" s="4">
        <f t="shared" ca="1" si="11"/>
        <v>0.01</v>
      </c>
      <c r="S117" s="13">
        <f ca="1">IF(Prices!D116&gt;OFFSET(Prices!D116,-S$3,0),1,-1)</f>
        <v>-1</v>
      </c>
      <c r="T117" s="4">
        <f ca="1">IF(S117=1,T$3*Q116/Prices!Q116,-T$3*R116)</f>
        <v>0</v>
      </c>
      <c r="V117" s="13"/>
      <c r="W117" s="4"/>
      <c r="X117" s="4"/>
      <c r="Y117" s="4"/>
      <c r="Z117" s="4"/>
      <c r="AA117" s="4"/>
      <c r="AB117" s="4"/>
      <c r="AC117" s="4"/>
      <c r="AD117" s="4"/>
      <c r="AE117" s="52"/>
    </row>
    <row r="118" spans="1:31" x14ac:dyDescent="0.2">
      <c r="A118" s="66">
        <v>43021</v>
      </c>
      <c r="B118" s="13">
        <f ca="1">Prices!Q117*(1+J118/(50*(ABS(O118)+ABS(T118)+0.0001)))</f>
        <v>310.23231258478177</v>
      </c>
      <c r="C118" s="62">
        <f t="shared" ca="1" si="12"/>
        <v>1</v>
      </c>
      <c r="D118" s="13">
        <f ca="1">D117+C118*(Prices!Q118-Prices!Q117)/Prices!Q117</f>
        <v>4.3512747503616769</v>
      </c>
      <c r="E118" s="13">
        <f t="shared" ca="1" si="8"/>
        <v>7.8816635687919856E-2</v>
      </c>
      <c r="F118" s="13">
        <f t="shared" ca="1" si="9"/>
        <v>4.4300913860495967</v>
      </c>
      <c r="G118" s="21">
        <f ca="1">IF((Prices!Q118-Prices!Q117)*C118&gt;0,1,0)</f>
        <v>1</v>
      </c>
      <c r="H118" s="13">
        <f>ABS(Prices!Q118-Prices!Q117)/Prices!Q117</f>
        <v>9.7764575191065461E-2</v>
      </c>
      <c r="I118" s="21"/>
      <c r="J118" s="4">
        <f t="shared" ca="1" si="10"/>
        <v>3.6318362604055208E-5</v>
      </c>
      <c r="K118" s="13"/>
      <c r="L118" s="13">
        <f ca="1">L117-O118*Prices!Q118</f>
        <v>1.1084380359787303</v>
      </c>
      <c r="M118" s="4">
        <f t="shared" ca="1" si="7"/>
        <v>3.2495698868084399E-2</v>
      </c>
      <c r="N118" s="13">
        <f ca="1">IF(Prices!P117&gt;OFFSET(Prices!P117,-$N$3,0),1,-1)</f>
        <v>1</v>
      </c>
      <c r="O118" s="4">
        <f ca="1">IF(N118=1,O$3*L117/Prices!Q117,-O$3*M117)</f>
        <v>3.6318362604055208E-5</v>
      </c>
      <c r="P118" s="22"/>
      <c r="Q118" s="13">
        <f ca="1">Q117-T118*Prices!Q118</f>
        <v>1</v>
      </c>
      <c r="R118" s="4">
        <f t="shared" ca="1" si="11"/>
        <v>0.01</v>
      </c>
      <c r="S118" s="13">
        <f ca="1">IF(Prices!D117&gt;OFFSET(Prices!D117,-S$3,0),1,-1)</f>
        <v>1</v>
      </c>
      <c r="T118" s="4">
        <f ca="1">IF(S118=1,T$3*Q117/Prices!Q117,-T$3*R117)</f>
        <v>0</v>
      </c>
      <c r="V118" s="13"/>
      <c r="W118" s="4"/>
      <c r="X118" s="4"/>
      <c r="Y118" s="4"/>
      <c r="Z118" s="4"/>
      <c r="AA118" s="4"/>
      <c r="AB118" s="4"/>
      <c r="AC118" s="4"/>
      <c r="AD118" s="4"/>
      <c r="AE118" s="52"/>
    </row>
    <row r="119" spans="1:31" x14ac:dyDescent="0.2">
      <c r="A119" s="66">
        <v>43028</v>
      </c>
      <c r="B119" s="13">
        <f ca="1">Prices!Q118*(1+J119/(50*(ABS(O119)+ABS(T119)+0.0001)))</f>
        <v>340.42732027051034</v>
      </c>
      <c r="C119" s="62">
        <f t="shared" ca="1" si="12"/>
        <v>1</v>
      </c>
      <c r="D119" s="13">
        <f ca="1">D118+C119*(Prices!Q119-Prices!Q118)/Prices!Q118</f>
        <v>4.2486909568801501</v>
      </c>
      <c r="E119" s="13">
        <f t="shared" ca="1" si="8"/>
        <v>0.18140042916944665</v>
      </c>
      <c r="F119" s="13">
        <f t="shared" ca="1" si="9"/>
        <v>4.4300913860495967</v>
      </c>
      <c r="G119" s="21">
        <f ca="1">IF((Prices!Q119-Prices!Q118)*C119&gt;0,1,0)</f>
        <v>0</v>
      </c>
      <c r="H119" s="13">
        <f>ABS(Prices!Q119-Prices!Q118)/Prices!Q118</f>
        <v>0.1025837934815272</v>
      </c>
      <c r="I119" s="21"/>
      <c r="J119" s="4">
        <f t="shared" ca="1" si="10"/>
        <v>3.2720742950597255E-5</v>
      </c>
      <c r="K119" s="13"/>
      <c r="L119" s="13">
        <f ca="1">L118-O119*Prices!Q119</f>
        <v>1.0984907334046421</v>
      </c>
      <c r="M119" s="4">
        <f t="shared" ca="1" si="7"/>
        <v>3.2528419611034996E-2</v>
      </c>
      <c r="N119" s="13">
        <f ca="1">IF(Prices!P118&gt;OFFSET(Prices!P118,-$N$3,0),1,-1)</f>
        <v>1</v>
      </c>
      <c r="O119" s="4">
        <f ca="1">IF(N119=1,O$3*L118/Prices!Q118,-O$3*M118)</f>
        <v>3.2720742950597255E-5</v>
      </c>
      <c r="P119" s="22"/>
      <c r="Q119" s="13">
        <f ca="1">Q118-T119*Prices!Q119</f>
        <v>1</v>
      </c>
      <c r="R119" s="4">
        <f t="shared" ca="1" si="11"/>
        <v>0.01</v>
      </c>
      <c r="S119" s="13">
        <f ca="1">IF(Prices!D118&gt;OFFSET(Prices!D118,-S$3,0),1,-1)</f>
        <v>1</v>
      </c>
      <c r="T119" s="4">
        <f ca="1">IF(S119=1,T$3*Q118/Prices!Q118,-T$3*R118)</f>
        <v>0</v>
      </c>
      <c r="V119" s="13"/>
      <c r="W119" s="4"/>
      <c r="X119" s="4"/>
      <c r="Y119" s="4"/>
      <c r="Z119" s="4"/>
      <c r="AA119" s="4"/>
      <c r="AB119" s="4"/>
      <c r="AC119" s="4"/>
      <c r="AD119" s="4"/>
      <c r="AE119" s="52"/>
    </row>
    <row r="120" spans="1:31" x14ac:dyDescent="0.2">
      <c r="A120" s="66">
        <v>43035</v>
      </c>
      <c r="B120" s="13">
        <f ca="1">Prices!Q119*(1+J120/(50*(ABS(O120)+ABS(T120)+0.0001)))</f>
        <v>305.61985123460346</v>
      </c>
      <c r="C120" s="62">
        <f t="shared" ca="1" si="12"/>
        <v>1</v>
      </c>
      <c r="D120" s="13">
        <f ca="1">D119+C120*(Prices!Q120-Prices!Q119)/Prices!Q119</f>
        <v>4.227036753541566</v>
      </c>
      <c r="E120" s="13">
        <f t="shared" ca="1" si="8"/>
        <v>0.20305463250803069</v>
      </c>
      <c r="F120" s="13">
        <f t="shared" ca="1" si="9"/>
        <v>4.4300913860495967</v>
      </c>
      <c r="G120" s="21">
        <f ca="1">IF((Prices!Q120-Prices!Q119)*C120&gt;0,1,0)</f>
        <v>0</v>
      </c>
      <c r="H120" s="13">
        <f>ABS(Prices!Q120-Prices!Q119)/Prices!Q119</f>
        <v>2.1654203338583998E-2</v>
      </c>
      <c r="I120" s="21"/>
      <c r="J120" s="4">
        <f t="shared" ca="1" si="10"/>
        <v>3.6133849004428312E-5</v>
      </c>
      <c r="K120" s="13"/>
      <c r="L120" s="13">
        <f ca="1">L119-O120*Prices!Q120</f>
        <v>1.0877436954876627</v>
      </c>
      <c r="M120" s="4">
        <f t="shared" ca="1" si="7"/>
        <v>3.2564553460039426E-2</v>
      </c>
      <c r="N120" s="13">
        <f ca="1">IF(Prices!P119&gt;OFFSET(Prices!P119,-$N$3,0),1,-1)</f>
        <v>1</v>
      </c>
      <c r="O120" s="4">
        <f ca="1">IF(N120=1,O$3*L119/Prices!Q119,-O$3*M119)</f>
        <v>3.6133849004428312E-5</v>
      </c>
      <c r="P120" s="22"/>
      <c r="Q120" s="13">
        <f ca="1">Q119-T120*Prices!Q120</f>
        <v>1</v>
      </c>
      <c r="R120" s="4">
        <f t="shared" ca="1" si="11"/>
        <v>0.01</v>
      </c>
      <c r="S120" s="13">
        <f ca="1">IF(Prices!D119&gt;OFFSET(Prices!D119,-S$3,0),1,-1)</f>
        <v>1</v>
      </c>
      <c r="T120" s="4">
        <f ca="1">IF(S120=1,T$3*Q119/Prices!Q119,-T$3*R119)</f>
        <v>0</v>
      </c>
      <c r="V120" s="13"/>
      <c r="W120" s="4"/>
      <c r="X120" s="4"/>
      <c r="Y120" s="4"/>
      <c r="Z120" s="4"/>
      <c r="AA120" s="4"/>
      <c r="AB120" s="4"/>
      <c r="AC120" s="4"/>
      <c r="AD120" s="4"/>
      <c r="AE120" s="52"/>
    </row>
    <row r="121" spans="1:31" x14ac:dyDescent="0.2">
      <c r="A121" s="66">
        <v>43042</v>
      </c>
      <c r="B121" s="13">
        <f ca="1">Prices!Q120*(1+J121/(50*(ABS(O121)+ABS(T121)+0.0001)))</f>
        <v>299.01592418393699</v>
      </c>
      <c r="C121" s="62">
        <f t="shared" ca="1" si="12"/>
        <v>1</v>
      </c>
      <c r="D121" s="13">
        <f ca="1">D120+C121*(Prices!Q121-Prices!Q120)/Prices!Q120</f>
        <v>4.2549027722709045</v>
      </c>
      <c r="E121" s="13">
        <f t="shared" ca="1" si="8"/>
        <v>0.17518861377869221</v>
      </c>
      <c r="F121" s="13">
        <f t="shared" ca="1" si="9"/>
        <v>4.4300913860495967</v>
      </c>
      <c r="G121" s="21">
        <f ca="1">IF((Prices!Q121-Prices!Q120)*C121&gt;0,1,0)</f>
        <v>1</v>
      </c>
      <c r="H121" s="13">
        <f>ABS(Prices!Q121-Prices!Q120)/Prices!Q120</f>
        <v>2.7866018729338179E-2</v>
      </c>
      <c r="I121" s="21"/>
      <c r="J121" s="4">
        <f t="shared" ca="1" si="10"/>
        <v>3.6572278568192481E-5</v>
      </c>
      <c r="K121" s="13"/>
      <c r="L121" s="13">
        <f ca="1">L120-O121*Prices!Q121</f>
        <v>1.0765631476708744</v>
      </c>
      <c r="M121" s="4">
        <f t="shared" ca="1" si="7"/>
        <v>3.2601125738607621E-2</v>
      </c>
      <c r="N121" s="13">
        <f ca="1">IF(Prices!P120&gt;OFFSET(Prices!P120,-$N$3,0),1,-1)</f>
        <v>1</v>
      </c>
      <c r="O121" s="4">
        <f ca="1">IF(N121=1,O$3*L120/Prices!Q120,-O$3*M120)</f>
        <v>3.6572278568192481E-5</v>
      </c>
      <c r="P121" s="22"/>
      <c r="Q121" s="13">
        <f ca="1">Q120-T121*Prices!Q121</f>
        <v>1</v>
      </c>
      <c r="R121" s="4">
        <f t="shared" ca="1" si="11"/>
        <v>0.01</v>
      </c>
      <c r="S121" s="13">
        <f ca="1">IF(Prices!D120&gt;OFFSET(Prices!D120,-S$3,0),1,-1)</f>
        <v>1</v>
      </c>
      <c r="T121" s="4">
        <f ca="1">IF(S121=1,T$3*Q120/Prices!Q120,-T$3*R120)</f>
        <v>0</v>
      </c>
      <c r="V121" s="13"/>
      <c r="W121" s="4"/>
      <c r="X121" s="4"/>
      <c r="Y121" s="4"/>
      <c r="Z121" s="4"/>
      <c r="AA121" s="4"/>
      <c r="AB121" s="4"/>
      <c r="AC121" s="4"/>
      <c r="AD121" s="4"/>
      <c r="AE121" s="52"/>
    </row>
    <row r="122" spans="1:31" x14ac:dyDescent="0.2">
      <c r="A122" s="66">
        <v>43049</v>
      </c>
      <c r="B122" s="13">
        <f ca="1">Prices!Q121*(1+J122/(50*(ABS(O122)+ABS(T122)+0.0001)))</f>
        <v>307.30337064816803</v>
      </c>
      <c r="C122" s="62">
        <f t="shared" ca="1" si="12"/>
        <v>1</v>
      </c>
      <c r="D122" s="13">
        <f ca="1">D121+C122*(Prices!Q122-Prices!Q121)/Prices!Q121</f>
        <v>4.2337782199285794</v>
      </c>
      <c r="E122" s="13">
        <f t="shared" ca="1" si="8"/>
        <v>0.19631316612101735</v>
      </c>
      <c r="F122" s="13">
        <f t="shared" ca="1" si="9"/>
        <v>4.4300913860495967</v>
      </c>
      <c r="G122" s="21">
        <f ca="1">IF((Prices!Q122-Prices!Q121)*C122&gt;0,1,0)</f>
        <v>0</v>
      </c>
      <c r="H122" s="13">
        <f>ABS(Prices!Q122-Prices!Q121)/Prices!Q121</f>
        <v>2.1124552342325131E-2</v>
      </c>
      <c r="I122" s="21"/>
      <c r="J122" s="4">
        <f t="shared" ca="1" si="10"/>
        <v>3.521506099526613E-5</v>
      </c>
      <c r="K122" s="13"/>
      <c r="L122" s="13">
        <f ca="1">L121-O122*Prices!Q122</f>
        <v>1.0660249353397935</v>
      </c>
      <c r="M122" s="4">
        <f t="shared" ca="1" si="7"/>
        <v>3.2636340799602891E-2</v>
      </c>
      <c r="N122" s="13">
        <f ca="1">IF(Prices!P121&gt;OFFSET(Prices!P121,-$N$3,0),1,-1)</f>
        <v>1</v>
      </c>
      <c r="O122" s="4">
        <f ca="1">IF(N122=1,O$3*L121/Prices!Q121,-O$3*M121)</f>
        <v>3.521506099526613E-5</v>
      </c>
      <c r="P122" s="22"/>
      <c r="Q122" s="13">
        <f ca="1">Q121-T122*Prices!Q122</f>
        <v>1</v>
      </c>
      <c r="R122" s="4">
        <f t="shared" ca="1" si="11"/>
        <v>0.01</v>
      </c>
      <c r="S122" s="13">
        <f ca="1">IF(Prices!D121&gt;OFFSET(Prices!D121,-S$3,0),1,-1)</f>
        <v>1</v>
      </c>
      <c r="T122" s="4">
        <f ca="1">IF(S122=1,T$3*Q121/Prices!Q121,-T$3*R121)</f>
        <v>0</v>
      </c>
      <c r="V122" s="13"/>
      <c r="W122" s="4"/>
      <c r="X122" s="4"/>
      <c r="Y122" s="4"/>
      <c r="Z122" s="4"/>
      <c r="AA122" s="4"/>
      <c r="AB122" s="4"/>
      <c r="AC122" s="4"/>
      <c r="AD122" s="4"/>
      <c r="AE122" s="52"/>
    </row>
    <row r="123" spans="1:31" x14ac:dyDescent="0.2">
      <c r="A123" s="66">
        <v>43056</v>
      </c>
      <c r="B123" s="13">
        <f ca="1">Prices!Q122*(1+J123/(50*(ABS(O123)+ABS(T123)+0.0001)))</f>
        <v>300.82503406723771</v>
      </c>
      <c r="C123" s="62">
        <f t="shared" ca="1" si="12"/>
        <v>1</v>
      </c>
      <c r="D123" s="13">
        <f ca="1">D122+C123*(Prices!Q123-Prices!Q122)/Prices!Q122</f>
        <v>4.3445240503687499</v>
      </c>
      <c r="E123" s="13">
        <f t="shared" ca="1" si="8"/>
        <v>8.5567335680846845E-2</v>
      </c>
      <c r="F123" s="13">
        <f t="shared" ca="1" si="9"/>
        <v>4.4300913860495967</v>
      </c>
      <c r="G123" s="21">
        <f ca="1">IF((Prices!Q123-Prices!Q122)*C123&gt;0,1,0)</f>
        <v>1</v>
      </c>
      <c r="H123" s="13">
        <f>ABS(Prices!Q123-Prices!Q122)/Prices!Q122</f>
        <v>0.11074583044017082</v>
      </c>
      <c r="I123" s="21"/>
      <c r="J123" s="4">
        <f t="shared" ca="1" si="10"/>
        <v>3.5622866517641371E-5</v>
      </c>
      <c r="K123" s="13"/>
      <c r="L123" s="13">
        <f ca="1">L122-O123*Prices!Q123</f>
        <v>1.0541841078190541</v>
      </c>
      <c r="M123" s="4">
        <f t="shared" ca="1" si="7"/>
        <v>3.2671963666120532E-2</v>
      </c>
      <c r="N123" s="13">
        <f ca="1">IF(Prices!P122&gt;OFFSET(Prices!P122,-$N$3,0),1,-1)</f>
        <v>1</v>
      </c>
      <c r="O123" s="4">
        <f ca="1">IF(N123=1,O$3*L122/Prices!Q122,-O$3*M122)</f>
        <v>3.5622866517641371E-5</v>
      </c>
      <c r="P123" s="22"/>
      <c r="Q123" s="13">
        <f ca="1">Q122-T123*Prices!Q123</f>
        <v>1</v>
      </c>
      <c r="R123" s="4">
        <f t="shared" ca="1" si="11"/>
        <v>0.01</v>
      </c>
      <c r="S123" s="13">
        <f ca="1">IF(Prices!D122&gt;OFFSET(Prices!D122,-S$3,0),1,-1)</f>
        <v>1</v>
      </c>
      <c r="T123" s="4">
        <f ca="1">IF(S123=1,T$3*Q122/Prices!Q122,-T$3*R122)</f>
        <v>0</v>
      </c>
      <c r="V123" s="13"/>
      <c r="W123" s="4"/>
      <c r="X123" s="4"/>
      <c r="Y123" s="4"/>
      <c r="Z123" s="4"/>
      <c r="AA123" s="4"/>
      <c r="AB123" s="4"/>
      <c r="AC123" s="4"/>
      <c r="AD123" s="4"/>
      <c r="AE123" s="52"/>
    </row>
    <row r="124" spans="1:31" x14ac:dyDescent="0.2">
      <c r="A124" s="66">
        <v>43063</v>
      </c>
      <c r="B124" s="13">
        <f ca="1">Prices!Q123*(1+J124/(50*(ABS(O124)+ABS(T124)+0.0001)))</f>
        <v>333.99471799531233</v>
      </c>
      <c r="C124" s="62">
        <f t="shared" ca="1" si="12"/>
        <v>1</v>
      </c>
      <c r="D124" s="13">
        <f ca="1">D123+C124*(Prices!Q124-Prices!Q123)/Prices!Q123</f>
        <v>4.7732832754296393</v>
      </c>
      <c r="E124" s="13">
        <f t="shared" ca="1" si="8"/>
        <v>0</v>
      </c>
      <c r="F124" s="13">
        <f t="shared" ca="1" si="9"/>
        <v>4.7732832754296393</v>
      </c>
      <c r="G124" s="21">
        <f ca="1">IF((Prices!Q124-Prices!Q123)*C124&gt;0,1,0)</f>
        <v>1</v>
      </c>
      <c r="H124" s="13">
        <f>ABS(Prices!Q124-Prices!Q123)/Prices!Q123</f>
        <v>0.42875922506088954</v>
      </c>
      <c r="I124" s="21"/>
      <c r="J124" s="4">
        <f t="shared" ca="1" si="10"/>
        <v>3.1714894666004219E-5</v>
      </c>
      <c r="K124" s="13"/>
      <c r="L124" s="13">
        <f ca="1">L123-O124*Prices!Q124</f>
        <v>1.0391223551294635</v>
      </c>
      <c r="M124" s="4">
        <f t="shared" ca="1" si="7"/>
        <v>3.2703678560786535E-2</v>
      </c>
      <c r="N124" s="13">
        <f ca="1">IF(Prices!P123&gt;OFFSET(Prices!P123,-$N$3,0),1,-1)</f>
        <v>1</v>
      </c>
      <c r="O124" s="4">
        <f ca="1">IF(N124=1,O$3*L123/Prices!Q123,-O$3*M123)</f>
        <v>3.1714894666004219E-5</v>
      </c>
      <c r="P124" s="22"/>
      <c r="Q124" s="13">
        <f ca="1">Q123-T124*Prices!Q124</f>
        <v>1</v>
      </c>
      <c r="R124" s="4">
        <f t="shared" ca="1" si="11"/>
        <v>0.01</v>
      </c>
      <c r="S124" s="13">
        <f ca="1">IF(Prices!D123&gt;OFFSET(Prices!D123,-S$3,0),1,-1)</f>
        <v>1</v>
      </c>
      <c r="T124" s="4">
        <f ca="1">IF(S124=1,T$3*Q123/Prices!Q123,-T$3*R123)</f>
        <v>0</v>
      </c>
      <c r="V124" s="13"/>
      <c r="W124" s="4"/>
      <c r="X124" s="4"/>
      <c r="Y124" s="4"/>
      <c r="Z124" s="4"/>
      <c r="AA124" s="4"/>
      <c r="AB124" s="4"/>
      <c r="AC124" s="4"/>
      <c r="AD124" s="4"/>
      <c r="AE124" s="52"/>
    </row>
    <row r="125" spans="1:31" x14ac:dyDescent="0.2">
      <c r="A125" s="66">
        <v>43070</v>
      </c>
      <c r="B125" s="13">
        <f ca="1">Prices!Q124*(1+J125/(50*(ABS(O125)+ABS(T125)+0.0001)))</f>
        <v>476.61616244718255</v>
      </c>
      <c r="C125" s="62">
        <f t="shared" ca="1" si="12"/>
        <v>1</v>
      </c>
      <c r="D125" s="13">
        <f ca="1">D124+C125*(Prices!Q125-Prices!Q124)/Prices!Q124</f>
        <v>4.7556568110897759</v>
      </c>
      <c r="E125" s="13">
        <f t="shared" ca="1" si="8"/>
        <v>1.7626464339863368E-2</v>
      </c>
      <c r="F125" s="13">
        <f t="shared" ca="1" si="9"/>
        <v>4.7732832754296393</v>
      </c>
      <c r="G125" s="21">
        <f ca="1">IF((Prices!Q125-Prices!Q124)*C125&gt;0,1,0)</f>
        <v>0</v>
      </c>
      <c r="H125" s="13">
        <f>ABS(Prices!Q125-Prices!Q124)/Prices!Q124</f>
        <v>1.7626464339863403E-2</v>
      </c>
      <c r="I125" s="21"/>
      <c r="J125" s="4">
        <f t="shared" ca="1" si="10"/>
        <v>2.1880359289657817E-5</v>
      </c>
      <c r="K125" s="13"/>
      <c r="L125" s="13">
        <f ca="1">L124-O125*Prices!Q125</f>
        <v>1.0289142921095433</v>
      </c>
      <c r="M125" s="4">
        <f t="shared" ca="1" si="7"/>
        <v>3.2725558920076191E-2</v>
      </c>
      <c r="N125" s="13">
        <f ca="1">IF(Prices!P124&gt;OFFSET(Prices!P124,-$N$3,0),1,-1)</f>
        <v>1</v>
      </c>
      <c r="O125" s="4">
        <f ca="1">IF(N125=1,O$3*L124/Prices!Q124,-O$3*M124)</f>
        <v>2.1880359289657817E-5</v>
      </c>
      <c r="P125" s="22"/>
      <c r="Q125" s="13">
        <f ca="1">Q124-T125*Prices!Q125</f>
        <v>1</v>
      </c>
      <c r="R125" s="4">
        <f t="shared" ca="1" si="11"/>
        <v>0.01</v>
      </c>
      <c r="S125" s="13">
        <f ca="1">IF(Prices!D124&gt;OFFSET(Prices!D124,-S$3,0),1,-1)</f>
        <v>1</v>
      </c>
      <c r="T125" s="4">
        <f ca="1">IF(S125=1,T$3*Q124/Prices!Q124,-T$3*R124)</f>
        <v>0</v>
      </c>
      <c r="V125" s="13"/>
      <c r="W125" s="4"/>
      <c r="X125" s="4"/>
      <c r="Y125" s="4"/>
      <c r="Z125" s="4"/>
      <c r="AA125" s="4"/>
      <c r="AB125" s="4"/>
      <c r="AC125" s="4"/>
      <c r="AD125" s="4"/>
      <c r="AE125" s="52"/>
    </row>
    <row r="126" spans="1:31" x14ac:dyDescent="0.2">
      <c r="A126" s="66">
        <v>43077</v>
      </c>
      <c r="B126" s="13">
        <f ca="1">Prices!Q125*(1+J126/(50*(ABS(O126)+ABS(T126)+0.0001)))</f>
        <v>468.22600541989976</v>
      </c>
      <c r="C126" s="62">
        <f t="shared" ca="1" si="12"/>
        <v>1</v>
      </c>
      <c r="D126" s="13">
        <f ca="1">D125+C126*(Prices!Q126-Prices!Q125)/Prices!Q125</f>
        <v>4.7331314053426343</v>
      </c>
      <c r="E126" s="13">
        <f t="shared" ca="1" si="8"/>
        <v>4.0151870087004937E-2</v>
      </c>
      <c r="F126" s="13">
        <f t="shared" ca="1" si="9"/>
        <v>4.7732832754296393</v>
      </c>
      <c r="G126" s="21">
        <f ca="1">IF((Prices!Q126-Prices!Q125)*C126&gt;0,1,0)</f>
        <v>0</v>
      </c>
      <c r="H126" s="13">
        <f>ABS(Prices!Q126-Prices!Q125)/Prices!Q125</f>
        <v>2.2525405747141413E-2</v>
      </c>
      <c r="I126" s="21"/>
      <c r="J126" s="4">
        <f t="shared" ca="1" si="10"/>
        <v>2.2054149103202494E-5</v>
      </c>
      <c r="K126" s="13"/>
      <c r="L126" s="13">
        <f ca="1">L125-O126*Prices!Q126</f>
        <v>1.0188569163075358</v>
      </c>
      <c r="M126" s="4">
        <f t="shared" ca="1" si="7"/>
        <v>3.2747613069179393E-2</v>
      </c>
      <c r="N126" s="13">
        <f ca="1">IF(Prices!P125&gt;OFFSET(Prices!P125,-$N$3,0),1,-1)</f>
        <v>1</v>
      </c>
      <c r="O126" s="4">
        <f ca="1">IF(N126=1,O$3*L125/Prices!Q125,-O$3*M125)</f>
        <v>2.2054149103202494E-5</v>
      </c>
      <c r="P126" s="22"/>
      <c r="Q126" s="13">
        <f ca="1">Q125-T126*Prices!Q126</f>
        <v>1</v>
      </c>
      <c r="R126" s="4">
        <f t="shared" ca="1" si="11"/>
        <v>0.01</v>
      </c>
      <c r="S126" s="13">
        <f ca="1">IF(Prices!D125&gt;OFFSET(Prices!D125,-S$3,0),1,-1)</f>
        <v>1</v>
      </c>
      <c r="T126" s="4">
        <f ca="1">IF(S126=1,T$3*Q125/Prices!Q125,-T$3*R125)</f>
        <v>0</v>
      </c>
      <c r="V126" s="13"/>
      <c r="W126" s="4"/>
      <c r="X126" s="4"/>
      <c r="Y126" s="4"/>
      <c r="Z126" s="4"/>
      <c r="AA126" s="4"/>
      <c r="AB126" s="4"/>
      <c r="AC126" s="4"/>
      <c r="AD126" s="4"/>
      <c r="AE126" s="52"/>
    </row>
    <row r="127" spans="1:31" x14ac:dyDescent="0.2">
      <c r="A127" s="66">
        <v>43084</v>
      </c>
      <c r="B127" s="13">
        <f ca="1">Prices!Q126*(1+J127/(50*(ABS(O127)+ABS(T127)+0.0001)))</f>
        <v>457.69659638826721</v>
      </c>
      <c r="C127" s="62">
        <f t="shared" ca="1" si="12"/>
        <v>1</v>
      </c>
      <c r="D127" s="13">
        <f ca="1">D126+C127*(Prices!Q127-Prices!Q126)/Prices!Q126</f>
        <v>5.2340118038127335</v>
      </c>
      <c r="E127" s="13">
        <f t="shared" ca="1" si="8"/>
        <v>0</v>
      </c>
      <c r="F127" s="13">
        <f t="shared" ca="1" si="9"/>
        <v>5.2340118038127335</v>
      </c>
      <c r="G127" s="21">
        <f ca="1">IF((Prices!Q127-Prices!Q126)*C127&gt;0,1,0)</f>
        <v>1</v>
      </c>
      <c r="H127" s="13">
        <f>ABS(Prices!Q127-Prices!Q126)/Prices!Q126</f>
        <v>0.5008803984700988</v>
      </c>
      <c r="I127" s="21"/>
      <c r="J127" s="4">
        <f t="shared" ca="1" si="10"/>
        <v>2.2341834281056228E-5</v>
      </c>
      <c r="K127" s="13"/>
      <c r="L127" s="13">
        <f ca="1">L126-O127*Prices!Q127</f>
        <v>1.003565092562219</v>
      </c>
      <c r="M127" s="4">
        <f t="shared" ca="1" si="7"/>
        <v>3.2769954903460449E-2</v>
      </c>
      <c r="N127" s="13">
        <f ca="1">IF(Prices!P126&gt;OFFSET(Prices!P126,-$N$3,0),1,-1)</f>
        <v>1</v>
      </c>
      <c r="O127" s="4">
        <f ca="1">IF(N127=1,O$3*L126/Prices!Q126,-O$3*M126)</f>
        <v>2.2341834281056228E-5</v>
      </c>
      <c r="P127" s="22"/>
      <c r="Q127" s="13">
        <f ca="1">Q126-T127*Prices!Q127</f>
        <v>1</v>
      </c>
      <c r="R127" s="4">
        <f t="shared" ca="1" si="11"/>
        <v>0.01</v>
      </c>
      <c r="S127" s="13">
        <f ca="1">IF(Prices!D126&gt;OFFSET(Prices!D126,-S$3,0),1,-1)</f>
        <v>1</v>
      </c>
      <c r="T127" s="4">
        <f ca="1">IF(S127=1,T$3*Q126/Prices!Q126,-T$3*R126)</f>
        <v>0</v>
      </c>
      <c r="V127" s="13"/>
      <c r="W127" s="4"/>
      <c r="X127" s="4"/>
      <c r="Y127" s="4"/>
      <c r="Z127" s="4"/>
      <c r="AA127" s="4"/>
      <c r="AB127" s="4"/>
      <c r="AC127" s="4"/>
      <c r="AD127" s="4"/>
      <c r="AE127" s="52"/>
    </row>
    <row r="128" spans="1:31" x14ac:dyDescent="0.2">
      <c r="A128" s="66">
        <v>43091</v>
      </c>
      <c r="B128" s="13">
        <f ca="1">Prices!Q127*(1+J128/(50*(ABS(O128)+ABS(T128)+0.0001)))</f>
        <v>686.19846735158001</v>
      </c>
      <c r="C128" s="62">
        <f t="shared" ca="1" si="12"/>
        <v>1</v>
      </c>
      <c r="D128" s="13">
        <f ca="1">D127+C128*(Prices!Q128-Prices!Q127)/Prices!Q127</f>
        <v>5.2200034159906981</v>
      </c>
      <c r="E128" s="13">
        <f t="shared" ca="1" si="8"/>
        <v>1.4008387822035395E-2</v>
      </c>
      <c r="F128" s="13">
        <f t="shared" ca="1" si="9"/>
        <v>5.2340118038127335</v>
      </c>
      <c r="G128" s="21">
        <f ca="1">IF((Prices!Q128-Prices!Q127)*C128&gt;0,1,0)</f>
        <v>0</v>
      </c>
      <c r="H128" s="13">
        <f>ABS(Prices!Q128-Prices!Q127)/Prices!Q127</f>
        <v>1.4008387822035727E-2</v>
      </c>
      <c r="I128" s="21"/>
      <c r="J128" s="4">
        <f t="shared" ca="1" si="10"/>
        <v>1.4662400876249171E-5</v>
      </c>
      <c r="K128" s="13"/>
      <c r="L128" s="13">
        <f ca="1">L127-O128*Prices!Q128</f>
        <v>0.99367002492680956</v>
      </c>
      <c r="M128" s="4">
        <f t="shared" ca="1" si="7"/>
        <v>3.2784617304336697E-2</v>
      </c>
      <c r="N128" s="13">
        <f ca="1">IF(Prices!P127&gt;OFFSET(Prices!P127,-$N$3,0),1,-1)</f>
        <v>1</v>
      </c>
      <c r="O128" s="4">
        <f ca="1">IF(N128=1,O$3*L127/Prices!Q127,-O$3*M127)</f>
        <v>1.4662400876249171E-5</v>
      </c>
      <c r="P128" s="22"/>
      <c r="Q128" s="13">
        <f ca="1">Q127-T128*Prices!Q128</f>
        <v>1</v>
      </c>
      <c r="R128" s="4">
        <f t="shared" ca="1" si="11"/>
        <v>0.01</v>
      </c>
      <c r="S128" s="13">
        <f ca="1">IF(Prices!D127&gt;OFFSET(Prices!D127,-S$3,0),1,-1)</f>
        <v>1</v>
      </c>
      <c r="T128" s="4">
        <f ca="1">IF(S128=1,T$3*Q127/Prices!Q127,-T$3*R127)</f>
        <v>0</v>
      </c>
      <c r="V128" s="13"/>
      <c r="W128" s="4"/>
      <c r="X128" s="4"/>
      <c r="Y128" s="4"/>
      <c r="Z128" s="4"/>
      <c r="AA128" s="4"/>
      <c r="AB128" s="4"/>
      <c r="AC128" s="4"/>
      <c r="AD128" s="4"/>
      <c r="AE128" s="52"/>
    </row>
    <row r="129" spans="1:31" x14ac:dyDescent="0.2">
      <c r="A129" s="66">
        <v>43098</v>
      </c>
      <c r="B129" s="13">
        <f ca="1">Prices!Q128*(1+J129/(50*(ABS(O129)+ABS(T129)+0.0001)))</f>
        <v>664.5174704533091</v>
      </c>
      <c r="C129" s="62">
        <f t="shared" ca="1" si="12"/>
        <v>0</v>
      </c>
      <c r="D129" s="13">
        <f ca="1">D128+C129*(Prices!Q129-Prices!Q128)/Prices!Q128</f>
        <v>5.2200034159906981</v>
      </c>
      <c r="E129" s="13">
        <f t="shared" ca="1" si="8"/>
        <v>1.4008387822035395E-2</v>
      </c>
      <c r="F129" s="13">
        <f t="shared" ca="1" si="9"/>
        <v>5.2340118038127335</v>
      </c>
      <c r="G129" s="21">
        <f ca="1">IF((Prices!Q129-Prices!Q128)*C129&gt;0,1,0)</f>
        <v>0</v>
      </c>
      <c r="H129" s="13">
        <f>ABS(Prices!Q129-Prices!Q128)/Prices!Q128</f>
        <v>0.11666419220277222</v>
      </c>
      <c r="I129" s="21"/>
      <c r="J129" s="4">
        <f t="shared" ca="1" si="10"/>
        <v>-3.2784617304336698E-4</v>
      </c>
      <c r="K129" s="13"/>
      <c r="L129" s="13">
        <f ca="1">L128-O129*Prices!Q129</f>
        <v>1.2407322716059832</v>
      </c>
      <c r="M129" s="4">
        <f t="shared" ca="1" si="7"/>
        <v>3.2456771131293333E-2</v>
      </c>
      <c r="N129" s="13">
        <f ca="1">IF(Prices!P128&gt;OFFSET(Prices!P128,-$N$3,0),1,-1)</f>
        <v>-1</v>
      </c>
      <c r="O129" s="4">
        <f ca="1">IF(N129=1,O$3*L128/Prices!Q128,-O$3*M128)</f>
        <v>-3.2784617304336698E-4</v>
      </c>
      <c r="P129" s="22"/>
      <c r="Q129" s="13">
        <f ca="1">Q128-T129*Prices!Q129</f>
        <v>1</v>
      </c>
      <c r="R129" s="4">
        <f t="shared" ca="1" si="11"/>
        <v>0.01</v>
      </c>
      <c r="S129" s="13">
        <f ca="1">IF(Prices!D128&gt;OFFSET(Prices!D128,-S$3,0),1,-1)</f>
        <v>1</v>
      </c>
      <c r="T129" s="4">
        <f ca="1">IF(S129=1,T$3*Q128/Prices!Q128,-T$3*R128)</f>
        <v>0</v>
      </c>
      <c r="V129" s="13"/>
      <c r="W129" s="4"/>
      <c r="X129" s="4"/>
      <c r="Y129" s="4"/>
      <c r="Z129" s="4"/>
      <c r="AA129" s="4"/>
      <c r="AB129" s="4"/>
      <c r="AC129" s="4"/>
      <c r="AD129" s="4"/>
      <c r="AE129" s="52"/>
    </row>
    <row r="130" spans="1:31" x14ac:dyDescent="0.2">
      <c r="A130" s="66">
        <v>43105</v>
      </c>
      <c r="B130" s="13">
        <f ca="1">Prices!Q129*(1+J130/(50*(ABS(O130)+ABS(T130)+0.0001)))</f>
        <v>742.07006640671216</v>
      </c>
      <c r="C130" s="62">
        <f t="shared" ca="1" si="12"/>
        <v>0</v>
      </c>
      <c r="D130" s="13">
        <f ca="1">D129+C130*(Prices!Q130-Prices!Q129)/Prices!Q129</f>
        <v>5.2200034159906981</v>
      </c>
      <c r="E130" s="13">
        <f t="shared" ca="1" si="8"/>
        <v>1.4008387822035395E-2</v>
      </c>
      <c r="F130" s="13">
        <f t="shared" ca="1" si="9"/>
        <v>5.2340118038127335</v>
      </c>
      <c r="G130" s="21">
        <f ca="1">IF((Prices!Q130-Prices!Q129)*C130&gt;0,1,0)</f>
        <v>0</v>
      </c>
      <c r="H130" s="13">
        <f>ABS(Prices!Q130-Prices!Q129)/Prices!Q129</f>
        <v>0.32395248022676665</v>
      </c>
      <c r="I130" s="21"/>
      <c r="J130" s="4">
        <f t="shared" ca="1" si="10"/>
        <v>-3.2456771131293336E-4</v>
      </c>
      <c r="K130" s="13"/>
      <c r="L130" s="13">
        <f ca="1">L129-O130*Prices!Q130</f>
        <v>1.5645599591246595</v>
      </c>
      <c r="M130" s="4">
        <f t="shared" ca="1" si="7"/>
        <v>3.2132203419980403E-2</v>
      </c>
      <c r="N130" s="13">
        <f ca="1">IF(Prices!P129&gt;OFFSET(Prices!P129,-$N$3,0),1,-1)</f>
        <v>-1</v>
      </c>
      <c r="O130" s="4">
        <f ca="1">IF(N130=1,O$3*L129/Prices!Q129,-O$3*M129)</f>
        <v>-3.2456771131293336E-4</v>
      </c>
      <c r="P130" s="22"/>
      <c r="Q130" s="13">
        <f ca="1">Q129-T130*Prices!Q130</f>
        <v>1</v>
      </c>
      <c r="R130" s="4">
        <f t="shared" ca="1" si="11"/>
        <v>0.01</v>
      </c>
      <c r="S130" s="13">
        <f ca="1">IF(Prices!D129&gt;OFFSET(Prices!D129,-S$3,0),1,-1)</f>
        <v>1</v>
      </c>
      <c r="T130" s="4">
        <f ca="1">IF(S130=1,T$3*Q129/Prices!Q129,-T$3*R129)</f>
        <v>0</v>
      </c>
      <c r="V130" s="13"/>
      <c r="W130" s="4"/>
      <c r="X130" s="4"/>
      <c r="Y130" s="4"/>
      <c r="Z130" s="4"/>
      <c r="AA130" s="4"/>
      <c r="AB130" s="4"/>
      <c r="AC130" s="4"/>
      <c r="AD130" s="4"/>
      <c r="AE130" s="52"/>
    </row>
    <row r="131" spans="1:31" x14ac:dyDescent="0.2">
      <c r="A131" s="66">
        <v>43112</v>
      </c>
      <c r="B131" s="13">
        <f ca="1">Prices!Q130*(1+J131/(50*(ABS(O131)+ABS(T131)+0.0001)))</f>
        <v>1000.4249185327776</v>
      </c>
      <c r="C131" s="62">
        <f t="shared" ca="1" si="12"/>
        <v>1</v>
      </c>
      <c r="D131" s="13">
        <f ca="1">D130+C131*(Prices!Q131-Prices!Q130)/Prices!Q130</f>
        <v>5.4961129336982477</v>
      </c>
      <c r="E131" s="13">
        <f t="shared" ca="1" si="8"/>
        <v>0</v>
      </c>
      <c r="F131" s="13">
        <f t="shared" ca="1" si="9"/>
        <v>5.4961129336982477</v>
      </c>
      <c r="G131" s="21">
        <f ca="1">IF((Prices!Q131-Prices!Q130)*C131&gt;0,1,0)</f>
        <v>1</v>
      </c>
      <c r="H131" s="13">
        <f>ABS(Prices!Q131-Prices!Q130)/Prices!Q130</f>
        <v>0.27610951770754932</v>
      </c>
      <c r="I131" s="21"/>
      <c r="J131" s="4">
        <f t="shared" ca="1" si="10"/>
        <v>1.5681353532058945E-5</v>
      </c>
      <c r="K131" s="13"/>
      <c r="L131" s="13">
        <f ca="1">L130-O131*Prices!Q131</f>
        <v>1.5445944605760284</v>
      </c>
      <c r="M131" s="4">
        <f t="shared" ca="1" si="7"/>
        <v>3.2147884773512464E-2</v>
      </c>
      <c r="N131" s="13">
        <f ca="1">IF(Prices!P130&gt;OFFSET(Prices!P130,-$N$3,0),1,-1)</f>
        <v>1</v>
      </c>
      <c r="O131" s="4">
        <f ca="1">IF(N131=1,O$3*L130/Prices!Q130,-O$3*M130)</f>
        <v>1.5681353532058945E-5</v>
      </c>
      <c r="P131" s="22"/>
      <c r="Q131" s="13">
        <f ca="1">Q130-T131*Prices!Q131</f>
        <v>1</v>
      </c>
      <c r="R131" s="4">
        <f t="shared" ca="1" si="11"/>
        <v>0.01</v>
      </c>
      <c r="S131" s="13">
        <f ca="1">IF(Prices!D130&gt;OFFSET(Prices!D130,-S$3,0),1,-1)</f>
        <v>1</v>
      </c>
      <c r="T131" s="4">
        <f ca="1">IF(S131=1,T$3*Q130/Prices!Q130,-T$3*R130)</f>
        <v>0</v>
      </c>
      <c r="V131" s="13"/>
      <c r="W131" s="4"/>
      <c r="X131" s="4"/>
      <c r="Y131" s="4"/>
      <c r="Z131" s="4"/>
      <c r="AA131" s="4"/>
      <c r="AB131" s="4"/>
      <c r="AC131" s="4"/>
      <c r="AD131" s="4"/>
      <c r="AE131" s="52"/>
    </row>
    <row r="132" spans="1:31" x14ac:dyDescent="0.2">
      <c r="A132" s="66">
        <v>43119</v>
      </c>
      <c r="B132" s="13">
        <f ca="1">Prices!Q131*(1+J132/(50*(ABS(O132)+ABS(T132)+0.0001)))</f>
        <v>1253.7775360729704</v>
      </c>
      <c r="C132" s="62">
        <f t="shared" ca="1" si="12"/>
        <v>0</v>
      </c>
      <c r="D132" s="13">
        <f ca="1">D131+C132*(Prices!Q132-Prices!Q131)/Prices!Q131</f>
        <v>5.4961129336982477</v>
      </c>
      <c r="E132" s="13">
        <f t="shared" ca="1" si="8"/>
        <v>0</v>
      </c>
      <c r="F132" s="13">
        <f t="shared" ca="1" si="9"/>
        <v>5.4961129336982477</v>
      </c>
      <c r="G132" s="21">
        <f ca="1">IF((Prices!Q132-Prices!Q131)*C132&gt;0,1,0)</f>
        <v>0</v>
      </c>
      <c r="H132" s="13">
        <f>ABS(Prices!Q132-Prices!Q131)/Prices!Q131</f>
        <v>0.18386740811302471</v>
      </c>
      <c r="I132" s="21"/>
      <c r="J132" s="4">
        <f t="shared" ca="1" si="10"/>
        <v>-3.2147884773512465E-4</v>
      </c>
      <c r="K132" s="13"/>
      <c r="L132" s="13">
        <f ca="1">L131-O132*Prices!Q132</f>
        <v>1.8786431235421042</v>
      </c>
      <c r="M132" s="4">
        <f t="shared" ca="1" si="7"/>
        <v>3.1826405925777339E-2</v>
      </c>
      <c r="N132" s="13">
        <f ca="1">IF(Prices!P131&gt;OFFSET(Prices!P131,-$N$3,0),1,-1)</f>
        <v>-1</v>
      </c>
      <c r="O132" s="4">
        <f ca="1">IF(N132=1,O$3*L131/Prices!Q131,-O$3*M131)</f>
        <v>-3.2147884773512465E-4</v>
      </c>
      <c r="P132" s="22"/>
      <c r="Q132" s="13">
        <f ca="1">Q131-T132*Prices!Q132</f>
        <v>1</v>
      </c>
      <c r="R132" s="4">
        <f t="shared" ca="1" si="11"/>
        <v>0.01</v>
      </c>
      <c r="S132" s="13">
        <f ca="1">IF(Prices!D131&gt;OFFSET(Prices!D131,-S$3,0),1,-1)</f>
        <v>1</v>
      </c>
      <c r="T132" s="4">
        <f ca="1">IF(S132=1,T$3*Q131/Prices!Q131,-T$3*R131)</f>
        <v>0</v>
      </c>
      <c r="V132" s="13"/>
      <c r="W132" s="4"/>
      <c r="X132" s="4"/>
      <c r="Y132" s="4"/>
      <c r="Z132" s="4"/>
      <c r="AA132" s="4"/>
      <c r="AB132" s="4"/>
      <c r="AC132" s="4"/>
      <c r="AD132" s="4"/>
      <c r="AE132" s="52"/>
    </row>
    <row r="133" spans="1:31" x14ac:dyDescent="0.2">
      <c r="A133" s="66">
        <v>43126</v>
      </c>
      <c r="B133" s="13">
        <f ca="1">Prices!Q132*(1+J133/(50*(ABS(O133)+ABS(T133)+0.0001)))</f>
        <v>1023.2866079127075</v>
      </c>
      <c r="C133" s="62">
        <f t="shared" ca="1" si="12"/>
        <v>0</v>
      </c>
      <c r="D133" s="13">
        <f ca="1">D132+C133*(Prices!Q133-Prices!Q132)/Prices!Q132</f>
        <v>5.4961129336982477</v>
      </c>
      <c r="E133" s="13">
        <f t="shared" ca="1" si="8"/>
        <v>0</v>
      </c>
      <c r="F133" s="13">
        <f t="shared" ca="1" si="9"/>
        <v>5.4961129336982477</v>
      </c>
      <c r="G133" s="21">
        <f ca="1">IF((Prices!Q133-Prices!Q132)*C133&gt;0,1,0)</f>
        <v>0</v>
      </c>
      <c r="H133" s="13">
        <f>ABS(Prices!Q133-Prices!Q132)/Prices!Q132</f>
        <v>1.5465372313703136E-2</v>
      </c>
      <c r="I133" s="21"/>
      <c r="J133" s="4">
        <f t="shared" ca="1" si="10"/>
        <v>-3.182640592577734E-4</v>
      </c>
      <c r="K133" s="13"/>
      <c r="L133" s="13">
        <f ca="1">L132-O133*Prices!Q133</f>
        <v>2.2144658249527476</v>
      </c>
      <c r="M133" s="4">
        <f t="shared" ca="1" si="7"/>
        <v>3.1508141866519568E-2</v>
      </c>
      <c r="N133" s="13">
        <f ca="1">IF(Prices!P132&gt;OFFSET(Prices!P132,-$N$3,0),1,-1)</f>
        <v>-1</v>
      </c>
      <c r="O133" s="4">
        <f ca="1">IF(N133=1,O$3*L132/Prices!Q132,-O$3*M132)</f>
        <v>-3.182640592577734E-4</v>
      </c>
      <c r="P133" s="22"/>
      <c r="Q133" s="13">
        <f ca="1">Q132-T133*Prices!Q133</f>
        <v>1</v>
      </c>
      <c r="R133" s="4">
        <f t="shared" ca="1" si="11"/>
        <v>0.01</v>
      </c>
      <c r="S133" s="13">
        <f ca="1">IF(Prices!D132&gt;OFFSET(Prices!D132,-S$3,0),1,-1)</f>
        <v>1</v>
      </c>
      <c r="T133" s="4">
        <f ca="1">IF(S133=1,T$3*Q132/Prices!Q132,-T$3*R132)</f>
        <v>0</v>
      </c>
      <c r="V133" s="13"/>
      <c r="W133" s="4"/>
      <c r="X133" s="4"/>
      <c r="Y133" s="4"/>
      <c r="Z133" s="4"/>
      <c r="AA133" s="4"/>
      <c r="AB133" s="4"/>
      <c r="AC133" s="4"/>
      <c r="AD133" s="4"/>
      <c r="AE133" s="52"/>
    </row>
    <row r="134" spans="1:31" x14ac:dyDescent="0.2">
      <c r="A134" s="66">
        <v>43133</v>
      </c>
      <c r="B134" s="13">
        <f ca="1">Prices!Q133*(1+J134/(50*(ABS(O134)+ABS(T134)+0.0001)))</f>
        <v>1039.1508024995894</v>
      </c>
      <c r="C134" s="62">
        <f t="shared" ca="1" si="12"/>
        <v>0</v>
      </c>
      <c r="D134" s="13">
        <f ca="1">D133+C134*(Prices!Q134-Prices!Q133)/Prices!Q133</f>
        <v>5.4961129336982477</v>
      </c>
      <c r="E134" s="13">
        <f t="shared" ca="1" si="8"/>
        <v>0</v>
      </c>
      <c r="F134" s="13">
        <f t="shared" ca="1" si="9"/>
        <v>5.4961129336982477</v>
      </c>
      <c r="G134" s="21">
        <f ca="1">IF((Prices!Q134-Prices!Q133)*C134&gt;0,1,0)</f>
        <v>0</v>
      </c>
      <c r="H134" s="13">
        <f>ABS(Prices!Q134-Prices!Q133)/Prices!Q133</f>
        <v>0.13209725938732197</v>
      </c>
      <c r="I134" s="21"/>
      <c r="J134" s="4">
        <f t="shared" ca="1" si="10"/>
        <v>-3.1508141866519571E-4</v>
      </c>
      <c r="K134" s="13"/>
      <c r="L134" s="13">
        <f ca="1">L133-O134*Prices!Q134</f>
        <v>2.5030126534378554</v>
      </c>
      <c r="M134" s="4">
        <f t="shared" ca="1" si="7"/>
        <v>3.1193060447854373E-2</v>
      </c>
      <c r="N134" s="13">
        <f ca="1">IF(Prices!P133&gt;OFFSET(Prices!P133,-$N$3,0),1,-1)</f>
        <v>-1</v>
      </c>
      <c r="O134" s="4">
        <f ca="1">IF(N134=1,O$3*L133/Prices!Q133,-O$3*M133)</f>
        <v>-3.1508141866519571E-4</v>
      </c>
      <c r="P134" s="22"/>
      <c r="Q134" s="13">
        <f ca="1">Q133-T134*Prices!Q134</f>
        <v>1</v>
      </c>
      <c r="R134" s="4">
        <f t="shared" ca="1" si="11"/>
        <v>0.01</v>
      </c>
      <c r="S134" s="13">
        <f ca="1">IF(Prices!D133&gt;OFFSET(Prices!D133,-S$3,0),1,-1)</f>
        <v>-1</v>
      </c>
      <c r="T134" s="4">
        <f ca="1">IF(S134=1,T$3*Q133/Prices!Q133,-T$3*R133)</f>
        <v>0</v>
      </c>
      <c r="V134" s="13"/>
      <c r="W134" s="4"/>
      <c r="X134" s="4"/>
      <c r="Y134" s="4"/>
      <c r="Z134" s="4"/>
      <c r="AA134" s="4"/>
      <c r="AB134" s="4"/>
      <c r="AC134" s="4"/>
      <c r="AD134" s="4"/>
      <c r="AE134" s="52"/>
    </row>
    <row r="135" spans="1:31" x14ac:dyDescent="0.2">
      <c r="A135" s="66">
        <v>43140</v>
      </c>
      <c r="B135" s="13">
        <f ca="1">Prices!Q134*(1+J135/(50*(ABS(O135)+ABS(T135)+0.0001)))</f>
        <v>901.91558057833856</v>
      </c>
      <c r="C135" s="62">
        <f t="shared" ca="1" si="12"/>
        <v>0</v>
      </c>
      <c r="D135" s="13">
        <f ca="1">D134+C135*(Prices!Q135-Prices!Q134)/Prices!Q134</f>
        <v>5.4961129336982477</v>
      </c>
      <c r="E135" s="13">
        <f t="shared" ca="1" si="8"/>
        <v>0</v>
      </c>
      <c r="F135" s="13">
        <f t="shared" ca="1" si="9"/>
        <v>5.4961129336982477</v>
      </c>
      <c r="G135" s="21">
        <f ca="1">IF((Prices!Q135-Prices!Q134)*C135&gt;0,1,0)</f>
        <v>0</v>
      </c>
      <c r="H135" s="13">
        <f>ABS(Prices!Q135-Prices!Q134)/Prices!Q134</f>
        <v>3.485532514847238E-2</v>
      </c>
      <c r="I135" s="21"/>
      <c r="J135" s="4">
        <f t="shared" ca="1" si="10"/>
        <v>-3.1193060447854375E-4</v>
      </c>
      <c r="K135" s="13"/>
      <c r="L135" s="13">
        <f ca="1">L134-O135*Prices!Q135</f>
        <v>2.7787171940459774</v>
      </c>
      <c r="M135" s="4">
        <f t="shared" ca="1" si="7"/>
        <v>3.0881129843375831E-2</v>
      </c>
      <c r="N135" s="13">
        <f ca="1">IF(Prices!P134&gt;OFFSET(Prices!P134,-$N$3,0),1,-1)</f>
        <v>-1</v>
      </c>
      <c r="O135" s="4">
        <f ca="1">IF(N135=1,O$3*L134/Prices!Q134,-O$3*M134)</f>
        <v>-3.1193060447854375E-4</v>
      </c>
      <c r="P135" s="22"/>
      <c r="Q135" s="13">
        <f ca="1">Q134-T135*Prices!Q135</f>
        <v>1</v>
      </c>
      <c r="R135" s="4">
        <f t="shared" ca="1" si="11"/>
        <v>0.01</v>
      </c>
      <c r="S135" s="13">
        <f ca="1">IF(Prices!D134&gt;OFFSET(Prices!D134,-S$3,0),1,-1)</f>
        <v>-1</v>
      </c>
      <c r="T135" s="4">
        <f ca="1">IF(S135=1,T$3*Q134/Prices!Q134,-T$3*R134)</f>
        <v>0</v>
      </c>
      <c r="V135" s="13"/>
      <c r="W135" s="4"/>
      <c r="X135" s="4"/>
      <c r="Y135" s="4"/>
      <c r="Z135" s="4"/>
      <c r="AA135" s="4"/>
      <c r="AB135" s="4"/>
      <c r="AC135" s="4"/>
      <c r="AD135" s="4"/>
      <c r="AE135" s="52"/>
    </row>
    <row r="136" spans="1:31" x14ac:dyDescent="0.2">
      <c r="A136" s="66">
        <v>43147</v>
      </c>
      <c r="B136" s="13">
        <f ca="1">Prices!Q135*(1+J136/(50*(ABS(O136)+ABS(T136)+0.0001)))</f>
        <v>870.51176340143195</v>
      </c>
      <c r="C136" s="62">
        <f t="shared" ca="1" si="12"/>
        <v>0</v>
      </c>
      <c r="D136" s="13">
        <f ca="1">D135+C136*(Prices!Q136-Prices!Q135)/Prices!Q135</f>
        <v>5.4961129336982477</v>
      </c>
      <c r="E136" s="13">
        <f t="shared" ca="1" si="8"/>
        <v>0</v>
      </c>
      <c r="F136" s="13">
        <f t="shared" ca="1" si="9"/>
        <v>5.4961129336982477</v>
      </c>
      <c r="G136" s="21">
        <f ca="1">IF((Prices!Q136-Prices!Q135)*C136&gt;0,1,0)</f>
        <v>0</v>
      </c>
      <c r="H136" s="13">
        <f>ABS(Prices!Q136-Prices!Q135)/Prices!Q135</f>
        <v>6.8274038097153211E-2</v>
      </c>
      <c r="I136" s="21"/>
      <c r="J136" s="4">
        <f t="shared" ca="1" si="10"/>
        <v>-3.0881129843375832E-4</v>
      </c>
      <c r="K136" s="13"/>
      <c r="L136" s="13">
        <f ca="1">L135-O136*Prices!Q136</f>
        <v>3.0702999169339646</v>
      </c>
      <c r="M136" s="4">
        <f t="shared" ca="1" si="7"/>
        <v>3.0572318544942072E-2</v>
      </c>
      <c r="N136" s="13">
        <f ca="1">IF(Prices!P135&gt;OFFSET(Prices!P135,-$N$3,0),1,-1)</f>
        <v>-1</v>
      </c>
      <c r="O136" s="4">
        <f ca="1">IF(N136=1,O$3*L135/Prices!Q135,-O$3*M135)</f>
        <v>-3.0881129843375832E-4</v>
      </c>
      <c r="P136" s="22"/>
      <c r="Q136" s="13">
        <f ca="1">Q135-T136*Prices!Q136</f>
        <v>1</v>
      </c>
      <c r="R136" s="4">
        <f t="shared" ca="1" si="11"/>
        <v>0.01</v>
      </c>
      <c r="S136" s="13">
        <f ca="1">IF(Prices!D135&gt;OFFSET(Prices!D135,-S$3,0),1,-1)</f>
        <v>-1</v>
      </c>
      <c r="T136" s="4">
        <f ca="1">IF(S136=1,T$3*Q135/Prices!Q135,-T$3*R135)</f>
        <v>0</v>
      </c>
      <c r="V136" s="13"/>
      <c r="W136" s="4"/>
      <c r="X136" s="4"/>
      <c r="Y136" s="4"/>
      <c r="Z136" s="4"/>
      <c r="AA136" s="4"/>
      <c r="AB136" s="4"/>
      <c r="AC136" s="4"/>
      <c r="AD136" s="4"/>
      <c r="AE136" s="52"/>
    </row>
    <row r="137" spans="1:31" x14ac:dyDescent="0.2">
      <c r="A137" s="66">
        <v>43154</v>
      </c>
      <c r="B137" s="13">
        <f ca="1">Prices!Q136*(1+J137/(50*(ABS(O137)+ABS(T137)+0.0001)))</f>
        <v>948.84383792722167</v>
      </c>
      <c r="C137" s="62">
        <f t="shared" ca="1" si="12"/>
        <v>1</v>
      </c>
      <c r="D137" s="13">
        <f ca="1">D136+C137*(Prices!Q137-Prices!Q136)/Prices!Q136</f>
        <v>5.4113637845306695</v>
      </c>
      <c r="E137" s="13">
        <f t="shared" ca="1" si="8"/>
        <v>8.4749149167578253E-2</v>
      </c>
      <c r="F137" s="13">
        <f t="shared" ca="1" si="9"/>
        <v>5.4961129336982477</v>
      </c>
      <c r="G137" s="21">
        <f ca="1">IF((Prices!Q137-Prices!Q136)*C137&gt;0,1,0)</f>
        <v>0</v>
      </c>
      <c r="H137" s="13">
        <f>ABS(Prices!Q137-Prices!Q136)/Prices!Q136</f>
        <v>8.474914916757785E-2</v>
      </c>
      <c r="I137" s="21"/>
      <c r="J137" s="4">
        <f t="shared" ca="1" si="10"/>
        <v>3.2517129085651294E-5</v>
      </c>
      <c r="K137" s="13"/>
      <c r="L137" s="13">
        <f ca="1">L136-O137*Prices!Q137</f>
        <v>3.0421989708211195</v>
      </c>
      <c r="M137" s="4">
        <f t="shared" ref="M137:M159" ca="1" si="13">M136+O137</f>
        <v>3.0604835674027723E-2</v>
      </c>
      <c r="N137" s="13">
        <f ca="1">IF(Prices!P136&gt;OFFSET(Prices!P136,-$N$3,0),1,-1)</f>
        <v>1</v>
      </c>
      <c r="O137" s="4">
        <f ca="1">IF(N137=1,O$3*L136/Prices!Q136,-O$3*M136)</f>
        <v>3.2517129085651294E-5</v>
      </c>
      <c r="P137" s="22"/>
      <c r="Q137" s="13">
        <f ca="1">Q136-T137*Prices!Q137</f>
        <v>1</v>
      </c>
      <c r="R137" s="4">
        <f t="shared" ca="1" si="11"/>
        <v>0.01</v>
      </c>
      <c r="S137" s="13">
        <f ca="1">IF(Prices!D136&gt;OFFSET(Prices!D136,-S$3,0),1,-1)</f>
        <v>-1</v>
      </c>
      <c r="T137" s="4">
        <f ca="1">IF(S137=1,T$3*Q136/Prices!Q136,-T$3*R136)</f>
        <v>0</v>
      </c>
      <c r="V137" s="13"/>
      <c r="W137" s="4"/>
      <c r="X137" s="4"/>
      <c r="Y137" s="4"/>
      <c r="Z137" s="4"/>
      <c r="AA137" s="4"/>
      <c r="AB137" s="4"/>
      <c r="AC137" s="4"/>
      <c r="AD137" s="4"/>
      <c r="AE137" s="52"/>
    </row>
    <row r="138" spans="1:31" x14ac:dyDescent="0.2">
      <c r="A138" s="66">
        <v>43161</v>
      </c>
      <c r="B138" s="13">
        <f ca="1">Prices!Q137*(1+J138/(50*(ABS(O138)+ABS(T138)+0.0001)))</f>
        <v>868.6892226581308</v>
      </c>
      <c r="C138" s="62">
        <f t="shared" ca="1" si="12"/>
        <v>1</v>
      </c>
      <c r="D138" s="13">
        <f ca="1">D137+C138*(Prices!Q138-Prices!Q137)/Prices!Q137</f>
        <v>5.4028749021458102</v>
      </c>
      <c r="E138" s="13">
        <f t="shared" ca="1" si="8"/>
        <v>9.3238031552437484E-2</v>
      </c>
      <c r="F138" s="13">
        <f t="shared" ca="1" si="9"/>
        <v>5.4961129336982477</v>
      </c>
      <c r="G138" s="21">
        <f ca="1">IF((Prices!Q138-Prices!Q137)*C138&gt;0,1,0)</f>
        <v>0</v>
      </c>
      <c r="H138" s="13">
        <f>ABS(Prices!Q138-Prices!Q137)/Prices!Q137</f>
        <v>8.4888823848591841E-3</v>
      </c>
      <c r="I138" s="21"/>
      <c r="J138" s="4">
        <f t="shared" ca="1" si="10"/>
        <v>3.5202934535078432E-5</v>
      </c>
      <c r="K138" s="13"/>
      <c r="L138" s="13">
        <f ca="1">L137-O138*Prices!Q138</f>
        <v>3.0120352298054547</v>
      </c>
      <c r="M138" s="4">
        <f t="shared" ca="1" si="13"/>
        <v>3.0640038608562802E-2</v>
      </c>
      <c r="N138" s="13">
        <f ca="1">IF(Prices!P137&gt;OFFSET(Prices!P137,-$N$3,0),1,-1)</f>
        <v>1</v>
      </c>
      <c r="O138" s="4">
        <f ca="1">IF(N138=1,O$3*L137/Prices!Q137,-O$3*M137)</f>
        <v>3.5202934535078432E-5</v>
      </c>
      <c r="P138" s="22"/>
      <c r="Q138" s="13">
        <f ca="1">Q137-T138*Prices!Q138</f>
        <v>1</v>
      </c>
      <c r="R138" s="4">
        <f t="shared" ca="1" si="11"/>
        <v>0.01</v>
      </c>
      <c r="S138" s="13">
        <f ca="1">IF(Prices!D137&gt;OFFSET(Prices!D137,-S$3,0),1,-1)</f>
        <v>-1</v>
      </c>
      <c r="T138" s="4">
        <f ca="1">IF(S138=1,T$3*Q137/Prices!Q137,-T$3*R137)</f>
        <v>0</v>
      </c>
      <c r="V138" s="13"/>
      <c r="W138" s="4"/>
      <c r="X138" s="4"/>
      <c r="Y138" s="4"/>
      <c r="Z138" s="4"/>
      <c r="AA138" s="4"/>
      <c r="AB138" s="4"/>
      <c r="AC138" s="4"/>
      <c r="AD138" s="4"/>
      <c r="AE138" s="52"/>
    </row>
    <row r="139" spans="1:31" x14ac:dyDescent="0.2">
      <c r="A139" s="66">
        <v>43168</v>
      </c>
      <c r="B139" s="13">
        <f ca="1">Prices!Q138*(1+J139/(50*(ABS(O139)+ABS(T139)+0.0001)))</f>
        <v>861.3102730716754</v>
      </c>
      <c r="C139" s="62">
        <f t="shared" ca="1" si="12"/>
        <v>1</v>
      </c>
      <c r="D139" s="13">
        <f ca="1">D138+C139*(Prices!Q139-Prices!Q138)/Prices!Q138</f>
        <v>5.2535645689047277</v>
      </c>
      <c r="E139" s="13">
        <f t="shared" ca="1" si="8"/>
        <v>0.24254836479352004</v>
      </c>
      <c r="F139" s="13">
        <f t="shared" ca="1" si="9"/>
        <v>5.4961129336982477</v>
      </c>
      <c r="G139" s="21">
        <f ca="1">IF((Prices!Q139-Prices!Q138)*C139&gt;0,1,0)</f>
        <v>0</v>
      </c>
      <c r="H139" s="13">
        <f>ABS(Prices!Q139-Prices!Q138)/Prices!Q138</f>
        <v>0.14931033324108217</v>
      </c>
      <c r="I139" s="21"/>
      <c r="J139" s="4">
        <f t="shared" ca="1" si="10"/>
        <v>3.5152297242283709E-5</v>
      </c>
      <c r="K139" s="13"/>
      <c r="L139" s="13">
        <f ca="1">L138-O139*Prices!Q139</f>
        <v>2.9864121573463613</v>
      </c>
      <c r="M139" s="4">
        <f t="shared" ca="1" si="13"/>
        <v>3.0675190905805085E-2</v>
      </c>
      <c r="N139" s="13">
        <f ca="1">IF(Prices!P138&gt;OFFSET(Prices!P138,-$N$3,0),1,-1)</f>
        <v>1</v>
      </c>
      <c r="O139" s="4">
        <f ca="1">IF(N139=1,O$3*L138/Prices!Q138,-O$3*M138)</f>
        <v>3.5152297242283709E-5</v>
      </c>
      <c r="P139" s="22"/>
      <c r="Q139" s="13">
        <f ca="1">Q138-T139*Prices!Q139</f>
        <v>1</v>
      </c>
      <c r="R139" s="4">
        <f t="shared" ca="1" si="11"/>
        <v>0.01</v>
      </c>
      <c r="S139" s="13">
        <f ca="1">IF(Prices!D138&gt;OFFSET(Prices!D138,-S$3,0),1,-1)</f>
        <v>-1</v>
      </c>
      <c r="T139" s="4">
        <f ca="1">IF(S139=1,T$3*Q138/Prices!Q138,-T$3*R138)</f>
        <v>0</v>
      </c>
      <c r="V139" s="13"/>
      <c r="W139" s="4"/>
      <c r="X139" s="4"/>
      <c r="Y139" s="4"/>
      <c r="Z139" s="4"/>
      <c r="AA139" s="4"/>
      <c r="AB139" s="4"/>
      <c r="AC139" s="4"/>
      <c r="AD139" s="4"/>
      <c r="AE139" s="52"/>
    </row>
    <row r="140" spans="1:31" x14ac:dyDescent="0.2">
      <c r="A140" s="66">
        <v>43175</v>
      </c>
      <c r="B140" s="13">
        <f ca="1">Prices!Q139*(1+J140/(50*(ABS(O140)+ABS(T140)+0.0001)))</f>
        <v>717.92177727749277</v>
      </c>
      <c r="C140" s="62">
        <f t="shared" ca="1" si="12"/>
        <v>0</v>
      </c>
      <c r="D140" s="13">
        <f ca="1">D139+C140*(Prices!Q140-Prices!Q139)/Prices!Q139</f>
        <v>5.2535645689047277</v>
      </c>
      <c r="E140" s="13">
        <f t="shared" ca="1" si="8"/>
        <v>0.24254836479352004</v>
      </c>
      <c r="F140" s="13">
        <f t="shared" ca="1" si="9"/>
        <v>5.4961129336982477</v>
      </c>
      <c r="G140" s="21">
        <f ca="1">IF((Prices!Q140-Prices!Q139)*C140&gt;0,1,0)</f>
        <v>0</v>
      </c>
      <c r="H140" s="13">
        <f>ABS(Prices!Q140-Prices!Q139)/Prices!Q139</f>
        <v>0.17457429553859605</v>
      </c>
      <c r="I140" s="21"/>
      <c r="J140" s="4">
        <f t="shared" ca="1" si="10"/>
        <v>-3.0675190905805086E-4</v>
      </c>
      <c r="K140" s="13"/>
      <c r="L140" s="13">
        <f ca="1">L139-O140*Prices!Q140</f>
        <v>3.170974356369713</v>
      </c>
      <c r="M140" s="4">
        <f t="shared" ca="1" si="13"/>
        <v>3.0368438996747033E-2</v>
      </c>
      <c r="N140" s="13">
        <f ca="1">IF(Prices!P139&gt;OFFSET(Prices!P139,-$N$3,0),1,-1)</f>
        <v>-1</v>
      </c>
      <c r="O140" s="4">
        <f ca="1">IF(N140=1,O$3*L139/Prices!Q139,-O$3*M139)</f>
        <v>-3.0675190905805086E-4</v>
      </c>
      <c r="P140" s="22"/>
      <c r="Q140" s="13">
        <f ca="1">Q139-T140*Prices!Q140</f>
        <v>1</v>
      </c>
      <c r="R140" s="4">
        <f t="shared" ca="1" si="11"/>
        <v>0.01</v>
      </c>
      <c r="S140" s="13">
        <f ca="1">IF(Prices!D139&gt;OFFSET(Prices!D139,-S$3,0),1,-1)</f>
        <v>-1</v>
      </c>
      <c r="T140" s="4">
        <f ca="1">IF(S140=1,T$3*Q139/Prices!Q139,-T$3*R139)</f>
        <v>0</v>
      </c>
      <c r="V140" s="13"/>
      <c r="W140" s="4"/>
      <c r="X140" s="4"/>
      <c r="Y140" s="4"/>
      <c r="Z140" s="4"/>
      <c r="AA140" s="4"/>
      <c r="AB140" s="4"/>
      <c r="AC140" s="4"/>
      <c r="AD140" s="4"/>
      <c r="AE140" s="52"/>
    </row>
    <row r="141" spans="1:31" x14ac:dyDescent="0.2">
      <c r="A141" s="66">
        <v>43182</v>
      </c>
      <c r="B141" s="13">
        <f ca="1">Prices!Q140*(1+J141/(50*(ABS(O141)+ABS(T141)+0.0001)))</f>
        <v>592.61356901051693</v>
      </c>
      <c r="C141" s="62">
        <f t="shared" ca="1" si="12"/>
        <v>0</v>
      </c>
      <c r="D141" s="13">
        <f ca="1">D140+C141*(Prices!Q141-Prices!Q140)/Prices!Q140</f>
        <v>5.2535645689047277</v>
      </c>
      <c r="E141" s="13">
        <f t="shared" ca="1" si="8"/>
        <v>0.24254836479352004</v>
      </c>
      <c r="F141" s="13">
        <f t="shared" ca="1" si="9"/>
        <v>5.4961129336982477</v>
      </c>
      <c r="G141" s="21">
        <f ca="1">IF((Prices!Q141-Prices!Q140)*C141&gt;0,1,0)</f>
        <v>0</v>
      </c>
      <c r="H141" s="13">
        <f>ABS(Prices!Q141-Prices!Q140)/Prices!Q140</f>
        <v>0.10312531429396875</v>
      </c>
      <c r="I141" s="21"/>
      <c r="J141" s="4">
        <f t="shared" ca="1" si="10"/>
        <v>-3.0368438996747035E-4</v>
      </c>
      <c r="K141" s="13"/>
      <c r="L141" s="13">
        <f ca="1">L140-O141*Prices!Q141</f>
        <v>3.3348482289695727</v>
      </c>
      <c r="M141" s="4">
        <f t="shared" ca="1" si="13"/>
        <v>3.0064754606779563E-2</v>
      </c>
      <c r="N141" s="13">
        <f ca="1">IF(Prices!P140&gt;OFFSET(Prices!P140,-$N$3,0),1,-1)</f>
        <v>-1</v>
      </c>
      <c r="O141" s="4">
        <f ca="1">IF(N141=1,O$3*L140/Prices!Q140,-O$3*M140)</f>
        <v>-3.0368438996747035E-4</v>
      </c>
      <c r="P141" s="22"/>
      <c r="Q141" s="13">
        <f ca="1">Q140-T141*Prices!Q141</f>
        <v>1</v>
      </c>
      <c r="R141" s="4">
        <f t="shared" ca="1" si="11"/>
        <v>0.01</v>
      </c>
      <c r="S141" s="13">
        <f ca="1">IF(Prices!D140&gt;OFFSET(Prices!D140,-S$3,0),1,-1)</f>
        <v>-1</v>
      </c>
      <c r="T141" s="4">
        <f ca="1">IF(S141=1,T$3*Q140/Prices!Q140,-T$3*R140)</f>
        <v>0</v>
      </c>
      <c r="V141" s="13"/>
      <c r="W141" s="4"/>
      <c r="X141" s="4"/>
      <c r="Y141" s="4"/>
      <c r="Z141" s="4"/>
      <c r="AA141" s="4"/>
      <c r="AB141" s="4"/>
      <c r="AC141" s="4"/>
      <c r="AD141" s="4"/>
      <c r="AE141" s="52"/>
    </row>
    <row r="142" spans="1:31" x14ac:dyDescent="0.2">
      <c r="A142" s="66">
        <v>43189</v>
      </c>
      <c r="B142" s="13">
        <f ca="1">Prices!Q141*(1+J142/(50*(ABS(O142)+ABS(T142)+0.0001)))</f>
        <v>531.52037292236196</v>
      </c>
      <c r="C142" s="62">
        <f t="shared" ca="1" si="12"/>
        <v>0</v>
      </c>
      <c r="D142" s="13">
        <f ca="1">D141+C142*(Prices!Q142-Prices!Q141)/Prices!Q141</f>
        <v>5.2535645689047277</v>
      </c>
      <c r="E142" s="13">
        <f t="shared" ca="1" si="8"/>
        <v>0.24254836479352004</v>
      </c>
      <c r="F142" s="13">
        <f t="shared" ca="1" si="9"/>
        <v>5.4961129336982477</v>
      </c>
      <c r="G142" s="21">
        <f ca="1">IF((Prices!Q142-Prices!Q141)*C142&gt;0,1,0)</f>
        <v>0</v>
      </c>
      <c r="H142" s="13">
        <f>ABS(Prices!Q142-Prices!Q141)/Prices!Q141</f>
        <v>0.26865997100817524</v>
      </c>
      <c r="I142" s="21"/>
      <c r="J142" s="4">
        <f t="shared" ca="1" si="10"/>
        <v>-3.0064754606779566E-4</v>
      </c>
      <c r="K142" s="13"/>
      <c r="L142" s="13">
        <f ca="1">L141-O142*Prices!Q142</f>
        <v>3.4534972764803751</v>
      </c>
      <c r="M142" s="4">
        <f t="shared" ca="1" si="13"/>
        <v>2.9764107060711767E-2</v>
      </c>
      <c r="N142" s="13">
        <f ca="1">IF(Prices!P141&gt;OFFSET(Prices!P141,-$N$3,0),1,-1)</f>
        <v>-1</v>
      </c>
      <c r="O142" s="4">
        <f ca="1">IF(N142=1,O$3*L141/Prices!Q141,-O$3*M141)</f>
        <v>-3.0064754606779566E-4</v>
      </c>
      <c r="P142" s="22"/>
      <c r="Q142" s="13">
        <f ca="1">Q141-T142*Prices!Q142</f>
        <v>1</v>
      </c>
      <c r="R142" s="4">
        <f t="shared" ca="1" si="11"/>
        <v>0.01</v>
      </c>
      <c r="S142" s="13">
        <f ca="1">IF(Prices!D141&gt;OFFSET(Prices!D141,-S$3,0),1,-1)</f>
        <v>1</v>
      </c>
      <c r="T142" s="4">
        <f ca="1">IF(S142=1,T$3*Q141/Prices!Q141,-T$3*R141)</f>
        <v>0</v>
      </c>
      <c r="V142" s="13"/>
      <c r="W142" s="4"/>
      <c r="X142" s="4"/>
      <c r="Y142" s="4"/>
      <c r="Z142" s="4"/>
      <c r="AA142" s="4"/>
      <c r="AB142" s="4"/>
      <c r="AC142" s="4"/>
      <c r="AD142" s="4"/>
      <c r="AE142" s="52"/>
    </row>
    <row r="143" spans="1:31" x14ac:dyDescent="0.2">
      <c r="A143" s="66">
        <v>43196</v>
      </c>
      <c r="B143" s="13">
        <f ca="1">Prices!Q142*(1+J143/(50*(ABS(O143)+ABS(T143)+0.0001)))</f>
        <v>388.73701994356662</v>
      </c>
      <c r="C143" s="62">
        <f t="shared" ca="1" si="12"/>
        <v>0</v>
      </c>
      <c r="D143" s="13">
        <f ca="1">D142+C143*(Prices!Q143-Prices!Q142)/Prices!Q142</f>
        <v>5.2535645689047277</v>
      </c>
      <c r="E143" s="13">
        <f t="shared" ca="1" si="8"/>
        <v>0.24254836479352004</v>
      </c>
      <c r="F143" s="13">
        <f t="shared" ca="1" si="9"/>
        <v>5.4961129336982477</v>
      </c>
      <c r="G143" s="21">
        <f ca="1">IF((Prices!Q143-Prices!Q142)*C143&gt;0,1,0)</f>
        <v>0</v>
      </c>
      <c r="H143" s="13">
        <f>ABS(Prices!Q143-Prices!Q142)/Prices!Q142</f>
        <v>6.172632537847831E-2</v>
      </c>
      <c r="I143" s="21"/>
      <c r="J143" s="4">
        <f t="shared" ca="1" si="10"/>
        <v>-2.9764107060711766E-4</v>
      </c>
      <c r="K143" s="13"/>
      <c r="L143" s="13">
        <f ca="1">L142-O143*Prices!Q143</f>
        <v>3.5637093015006958</v>
      </c>
      <c r="M143" s="4">
        <f t="shared" ca="1" si="13"/>
        <v>2.9466465990104648E-2</v>
      </c>
      <c r="N143" s="13">
        <f ca="1">IF(Prices!P142&gt;OFFSET(Prices!P142,-$N$3,0),1,-1)</f>
        <v>-1</v>
      </c>
      <c r="O143" s="4">
        <f ca="1">IF(N143=1,O$3*L142/Prices!Q142,-O$3*M142)</f>
        <v>-2.9764107060711766E-4</v>
      </c>
      <c r="P143" s="22"/>
      <c r="Q143" s="13">
        <f ca="1">Q142-T143*Prices!Q143</f>
        <v>1</v>
      </c>
      <c r="R143" s="4">
        <f t="shared" ca="1" si="11"/>
        <v>0.01</v>
      </c>
      <c r="S143" s="13">
        <f ca="1">IF(Prices!D142&gt;OFFSET(Prices!D142,-S$3,0),1,-1)</f>
        <v>1</v>
      </c>
      <c r="T143" s="4">
        <f ca="1">IF(S143=1,T$3*Q142/Prices!Q142,-T$3*R142)</f>
        <v>0</v>
      </c>
      <c r="V143" s="13"/>
      <c r="W143" s="4"/>
      <c r="X143" s="4"/>
      <c r="Y143" s="4"/>
      <c r="Z143" s="4"/>
      <c r="AA143" s="4"/>
      <c r="AB143" s="4"/>
      <c r="AC143" s="4"/>
      <c r="AD143" s="4"/>
      <c r="AE143" s="52"/>
    </row>
    <row r="144" spans="1:31" x14ac:dyDescent="0.2">
      <c r="A144" s="66">
        <v>43203</v>
      </c>
      <c r="B144" s="13">
        <f ca="1">Prices!Q143*(1+J144/(50*(ABS(O144)+ABS(T144)+0.0001)))</f>
        <v>364.75575773825085</v>
      </c>
      <c r="C144" s="62">
        <f t="shared" ca="1" si="12"/>
        <v>0</v>
      </c>
      <c r="D144" s="13">
        <f ca="1">D143+C144*(Prices!Q144-Prices!Q143)/Prices!Q143</f>
        <v>5.2535645689047277</v>
      </c>
      <c r="E144" s="13">
        <f t="shared" ca="1" si="8"/>
        <v>0.24254836479352004</v>
      </c>
      <c r="F144" s="13">
        <f t="shared" ca="1" si="9"/>
        <v>5.4961129336982477</v>
      </c>
      <c r="G144" s="21">
        <f ca="1">IF((Prices!Q144-Prices!Q143)*C144&gt;0,1,0)</f>
        <v>0</v>
      </c>
      <c r="H144" s="13">
        <f>ABS(Prices!Q144-Prices!Q143)/Prices!Q143</f>
        <v>0.33069116944309196</v>
      </c>
      <c r="I144" s="21"/>
      <c r="J144" s="4">
        <f t="shared" ca="1" si="10"/>
        <v>-2.946646599010465E-4</v>
      </c>
      <c r="K144" s="13"/>
      <c r="L144" s="13">
        <f ca="1">L143-O144*Prices!Q144</f>
        <v>3.7089008882770682</v>
      </c>
      <c r="M144" s="4">
        <f t="shared" ca="1" si="13"/>
        <v>2.9171801330203601E-2</v>
      </c>
      <c r="N144" s="13">
        <f ca="1">IF(Prices!P143&gt;OFFSET(Prices!P143,-$N$3,0),1,-1)</f>
        <v>-1</v>
      </c>
      <c r="O144" s="4">
        <f ca="1">IF(N144=1,O$3*L143/Prices!Q143,-O$3*M143)</f>
        <v>-2.946646599010465E-4</v>
      </c>
      <c r="P144" s="22"/>
      <c r="Q144" s="13">
        <f ca="1">Q143-T144*Prices!Q144</f>
        <v>1</v>
      </c>
      <c r="R144" s="4">
        <f t="shared" ca="1" si="11"/>
        <v>0.01</v>
      </c>
      <c r="S144" s="13">
        <f ca="1">IF(Prices!D143&gt;OFFSET(Prices!D143,-S$3,0),1,-1)</f>
        <v>1</v>
      </c>
      <c r="T144" s="4">
        <f ca="1">IF(S144=1,T$3*Q143/Prices!Q143,-T$3*R143)</f>
        <v>0</v>
      </c>
      <c r="V144" s="13"/>
      <c r="W144" s="4"/>
      <c r="X144" s="4"/>
      <c r="Y144" s="4"/>
      <c r="Z144" s="4"/>
      <c r="AA144" s="4"/>
      <c r="AB144" s="4"/>
      <c r="AC144" s="4"/>
      <c r="AD144" s="4"/>
      <c r="AE144" s="52"/>
    </row>
    <row r="145" spans="1:31" x14ac:dyDescent="0.2">
      <c r="A145" s="66">
        <v>43210</v>
      </c>
      <c r="B145" s="13">
        <f ca="1">Prices!Q144*(1+J145/(50*(ABS(O145)+ABS(T145)+0.0001)))</f>
        <v>496.96715768450053</v>
      </c>
      <c r="C145" s="62">
        <f t="shared" ca="1" si="12"/>
        <v>1</v>
      </c>
      <c r="D145" s="13">
        <f ca="1">D144+C145*(Prices!Q145-Prices!Q144)/Prices!Q144</f>
        <v>5.5031572236661912</v>
      </c>
      <c r="E145" s="13">
        <f t="shared" ref="E145:E159" ca="1" si="14">F145-D145</f>
        <v>0</v>
      </c>
      <c r="F145" s="13">
        <f t="shared" ref="F145:F159" ca="1" si="15">MAX(F144,D145)</f>
        <v>5.5031572236661912</v>
      </c>
      <c r="G145" s="21">
        <f ca="1">IF((Prices!Q145-Prices!Q144)*C145&gt;0,1,0)</f>
        <v>1</v>
      </c>
      <c r="H145" s="13">
        <f>ABS(Prices!Q145-Prices!Q144)/Prices!Q144</f>
        <v>0.24959265476146378</v>
      </c>
      <c r="I145" s="21"/>
      <c r="J145" s="4">
        <f t="shared" ref="J145:J159" ca="1" si="16">O145+T145</f>
        <v>7.5271718087504354E-5</v>
      </c>
      <c r="K145" s="13"/>
      <c r="L145" s="13">
        <f ca="1">L144-O145*Prices!Q145</f>
        <v>3.6625547352047754</v>
      </c>
      <c r="M145" s="4">
        <f t="shared" ca="1" si="13"/>
        <v>2.9247073048291106E-2</v>
      </c>
      <c r="N145" s="13">
        <f ca="1">IF(Prices!P144&gt;OFFSET(Prices!P144,-$N$3,0),1,-1)</f>
        <v>1</v>
      </c>
      <c r="O145" s="4">
        <f ca="1">IF(N145=1,O$3*L144/Prices!Q144,-O$3*M144)</f>
        <v>7.5271718087504354E-5</v>
      </c>
      <c r="P145" s="22"/>
      <c r="Q145" s="13">
        <f ca="1">Q144-T145*Prices!Q145</f>
        <v>1</v>
      </c>
      <c r="R145" s="4">
        <f t="shared" ca="1" si="11"/>
        <v>0.01</v>
      </c>
      <c r="S145" s="13">
        <f ca="1">IF(Prices!D144&gt;OFFSET(Prices!D144,-S$3,0),1,-1)</f>
        <v>1</v>
      </c>
      <c r="T145" s="4">
        <f ca="1">IF(S145=1,T$3*Q144/Prices!Q144,-T$3*R144)</f>
        <v>0</v>
      </c>
      <c r="V145" s="13"/>
      <c r="W145" s="4"/>
      <c r="X145" s="4"/>
      <c r="Y145" s="4"/>
      <c r="Z145" s="4"/>
      <c r="AA145" s="4"/>
      <c r="AB145" s="4"/>
      <c r="AC145" s="4"/>
      <c r="AD145" s="4"/>
      <c r="AE145" s="52"/>
    </row>
    <row r="146" spans="1:31" x14ac:dyDescent="0.2">
      <c r="A146" s="66">
        <v>43217</v>
      </c>
      <c r="B146" s="13">
        <f ca="1">Prices!Q145*(1+J146/(50*(ABS(O146)+ABS(T146)+0.0001)))</f>
        <v>620.31101559484352</v>
      </c>
      <c r="C146" s="62">
        <f t="shared" ca="1" si="12"/>
        <v>1</v>
      </c>
      <c r="D146" s="13">
        <f ca="1">D145+C146*(Prices!Q146-Prices!Q145)/Prices!Q145</f>
        <v>5.5540148615532798</v>
      </c>
      <c r="E146" s="13">
        <f t="shared" ca="1" si="14"/>
        <v>0</v>
      </c>
      <c r="F146" s="13">
        <f t="shared" ca="1" si="15"/>
        <v>5.5540148615532798</v>
      </c>
      <c r="G146" s="21">
        <f ca="1">IF((Prices!Q146-Prices!Q145)*C146&gt;0,1,0)</f>
        <v>1</v>
      </c>
      <c r="H146" s="13">
        <f>ABS(Prices!Q146-Prices!Q145)/Prices!Q145</f>
        <v>5.0857637887088664E-2</v>
      </c>
      <c r="I146" s="21"/>
      <c r="J146" s="4">
        <f t="shared" ca="1" si="16"/>
        <v>5.9484287094628685E-5</v>
      </c>
      <c r="K146" s="13"/>
      <c r="L146" s="13">
        <f ca="1">L145-O146*Prices!Q146</f>
        <v>3.6240664990280806</v>
      </c>
      <c r="M146" s="4">
        <f t="shared" ca="1" si="13"/>
        <v>2.9306557335385734E-2</v>
      </c>
      <c r="N146" s="13">
        <f ca="1">IF(Prices!P145&gt;OFFSET(Prices!P145,-$N$3,0),1,-1)</f>
        <v>1</v>
      </c>
      <c r="O146" s="4">
        <f ca="1">IF(N146=1,O$3*L145/Prices!Q145,-O$3*M145)</f>
        <v>5.9484287094628685E-5</v>
      </c>
      <c r="P146" s="22"/>
      <c r="Q146" s="13">
        <f ca="1">Q145-T146*Prices!Q146</f>
        <v>1</v>
      </c>
      <c r="R146" s="4">
        <f t="shared" ref="R146:R209" ca="1" si="17">R145+T146</f>
        <v>0.01</v>
      </c>
      <c r="S146" s="13">
        <f ca="1">IF(Prices!D145&gt;OFFSET(Prices!D145,-S$3,0),1,-1)</f>
        <v>1</v>
      </c>
      <c r="T146" s="4">
        <f ca="1">IF(S146=1,T$3*Q145/Prices!Q145,-T$3*R145)</f>
        <v>0</v>
      </c>
      <c r="V146" s="13"/>
      <c r="W146" s="4"/>
      <c r="X146" s="4"/>
      <c r="Y146" s="4"/>
      <c r="Z146" s="4"/>
      <c r="AA146" s="4"/>
      <c r="AB146" s="4"/>
      <c r="AC146" s="4"/>
      <c r="AD146" s="4"/>
      <c r="AE146" s="52"/>
    </row>
    <row r="147" spans="1:31" x14ac:dyDescent="0.2">
      <c r="A147" s="66">
        <v>43224</v>
      </c>
      <c r="B147" s="13">
        <f ca="1">Prices!Q146*(1+J147/(50*(ABS(O147)+ABS(T147)+0.0001)))</f>
        <v>651.67790470526791</v>
      </c>
      <c r="C147" s="62">
        <f t="shared" ca="1" si="12"/>
        <v>1</v>
      </c>
      <c r="D147" s="13">
        <f ca="1">D146+C147*(Prices!Q147-Prices!Q146)/Prices!Q146</f>
        <v>5.7682114466611853</v>
      </c>
      <c r="E147" s="13">
        <f t="shared" ca="1" si="14"/>
        <v>0</v>
      </c>
      <c r="F147" s="13">
        <f t="shared" ca="1" si="15"/>
        <v>5.7682114466611853</v>
      </c>
      <c r="G147" s="21">
        <f ca="1">IF((Prices!Q147-Prices!Q146)*C147&gt;0,1,0)</f>
        <v>1</v>
      </c>
      <c r="H147" s="13">
        <f>ABS(Prices!Q147-Prices!Q146)/Prices!Q146</f>
        <v>0.21419658510790585</v>
      </c>
      <c r="I147" s="21"/>
      <c r="J147" s="4">
        <f t="shared" ca="1" si="16"/>
        <v>5.60106238925927E-5</v>
      </c>
      <c r="K147" s="13"/>
      <c r="L147" s="13">
        <f ca="1">L146-O147*Prices!Q147</f>
        <v>3.5800632073548422</v>
      </c>
      <c r="M147" s="4">
        <f t="shared" ca="1" si="13"/>
        <v>2.9362567959278326E-2</v>
      </c>
      <c r="N147" s="13">
        <f ca="1">IF(Prices!P146&gt;OFFSET(Prices!P146,-$N$3,0),1,-1)</f>
        <v>1</v>
      </c>
      <c r="O147" s="4">
        <f ca="1">IF(N147=1,O$3*L146/Prices!Q146,-O$3*M146)</f>
        <v>5.60106238925927E-5</v>
      </c>
      <c r="P147" s="22"/>
      <c r="Q147" s="13">
        <f ca="1">Q146-T147*Prices!Q147</f>
        <v>1</v>
      </c>
      <c r="R147" s="4">
        <f t="shared" ca="1" si="17"/>
        <v>0.01</v>
      </c>
      <c r="S147" s="13">
        <f ca="1">IF(Prices!D146&gt;OFFSET(Prices!D146,-S$3,0),1,-1)</f>
        <v>1</v>
      </c>
      <c r="T147" s="4">
        <f ca="1">IF(S147=1,T$3*Q146/Prices!Q146,-T$3*R146)</f>
        <v>0</v>
      </c>
      <c r="V147" s="13"/>
      <c r="W147" s="4"/>
      <c r="X147" s="4"/>
      <c r="Y147" s="4"/>
      <c r="Z147" s="4"/>
      <c r="AA147" s="4"/>
      <c r="AB147" s="4"/>
      <c r="AC147" s="4"/>
      <c r="AD147" s="4"/>
      <c r="AE147" s="52"/>
    </row>
    <row r="148" spans="1:31" x14ac:dyDescent="0.2">
      <c r="A148" s="66">
        <v>43231</v>
      </c>
      <c r="B148" s="13">
        <f ca="1">Prices!Q147*(1+J148/(50*(ABS(O148)+ABS(T148)+0.0001)))</f>
        <v>790.54271665824888</v>
      </c>
      <c r="C148" s="62">
        <f t="shared" ca="1" si="12"/>
        <v>1</v>
      </c>
      <c r="D148" s="13">
        <f ca="1">D147+C148*(Prices!Q148-Prices!Q147)/Prices!Q147</f>
        <v>5.6332384558976383</v>
      </c>
      <c r="E148" s="13">
        <f t="shared" ca="1" si="14"/>
        <v>0.13497299076354707</v>
      </c>
      <c r="F148" s="13">
        <f t="shared" ca="1" si="15"/>
        <v>5.7682114466611853</v>
      </c>
      <c r="G148" s="21">
        <f ca="1">IF((Prices!Q148-Prices!Q147)*C148&gt;0,1,0)</f>
        <v>0</v>
      </c>
      <c r="H148" s="13">
        <f>ABS(Prices!Q148-Prices!Q147)/Prices!Q147</f>
        <v>0.13497299076354741</v>
      </c>
      <c r="I148" s="21"/>
      <c r="J148" s="4">
        <f t="shared" ca="1" si="16"/>
        <v>4.5569675856956863E-5</v>
      </c>
      <c r="K148" s="13"/>
      <c r="L148" s="13">
        <f ca="1">L147-O148*Prices!Q148</f>
        <v>3.549094693663486</v>
      </c>
      <c r="M148" s="4">
        <f t="shared" ca="1" si="13"/>
        <v>2.9408137635135282E-2</v>
      </c>
      <c r="N148" s="13">
        <f ca="1">IF(Prices!P147&gt;OFFSET(Prices!P147,-$N$3,0),1,-1)</f>
        <v>1</v>
      </c>
      <c r="O148" s="4">
        <f ca="1">IF(N148=1,O$3*L147/Prices!Q147,-O$3*M147)</f>
        <v>4.5569675856956863E-5</v>
      </c>
      <c r="P148" s="22"/>
      <c r="Q148" s="13">
        <f ca="1">Q147-T148*Prices!Q148</f>
        <v>1</v>
      </c>
      <c r="R148" s="4">
        <f t="shared" ca="1" si="17"/>
        <v>0.01</v>
      </c>
      <c r="S148" s="13">
        <f ca="1">IF(Prices!D147&gt;OFFSET(Prices!D147,-S$3,0),1,-1)</f>
        <v>1</v>
      </c>
      <c r="T148" s="4">
        <f ca="1">IF(S148=1,T$3*Q147/Prices!Q147,-T$3*R147)</f>
        <v>0</v>
      </c>
      <c r="V148" s="13"/>
      <c r="W148" s="4"/>
      <c r="X148" s="4"/>
      <c r="Y148" s="4"/>
      <c r="Z148" s="4"/>
      <c r="AA148" s="4"/>
      <c r="AB148" s="4"/>
      <c r="AC148" s="4"/>
      <c r="AD148" s="4"/>
      <c r="AE148" s="52"/>
    </row>
    <row r="149" spans="1:31" x14ac:dyDescent="0.2">
      <c r="A149" s="66">
        <v>43238</v>
      </c>
      <c r="B149" s="13">
        <f ca="1">Prices!Q148*(1+J149/(50*(ABS(O149)+ABS(T149)+0.0001)))</f>
        <v>669.44324179663272</v>
      </c>
      <c r="C149" s="62">
        <f t="shared" ca="1" si="12"/>
        <v>0</v>
      </c>
      <c r="D149" s="13">
        <f ca="1">D148+C149*(Prices!Q149-Prices!Q148)/Prices!Q148</f>
        <v>5.6332384558976383</v>
      </c>
      <c r="E149" s="13">
        <f t="shared" ca="1" si="14"/>
        <v>0.13497299076354707</v>
      </c>
      <c r="F149" s="13">
        <f t="shared" ca="1" si="15"/>
        <v>5.7682114466611853</v>
      </c>
      <c r="G149" s="21">
        <f ca="1">IF((Prices!Q149-Prices!Q148)*C149&gt;0,1,0)</f>
        <v>0</v>
      </c>
      <c r="H149" s="13">
        <f>ABS(Prices!Q149-Prices!Q148)/Prices!Q148</f>
        <v>2.1750014011103744E-2</v>
      </c>
      <c r="I149" s="21"/>
      <c r="J149" s="4">
        <f t="shared" ca="1" si="16"/>
        <v>-2.9408137635135282E-4</v>
      </c>
      <c r="K149" s="13"/>
      <c r="L149" s="13">
        <f ca="1">L148-O149*Prices!Q149</f>
        <v>3.7532950978927713</v>
      </c>
      <c r="M149" s="4">
        <f t="shared" ca="1" si="13"/>
        <v>2.9114056258783928E-2</v>
      </c>
      <c r="N149" s="13">
        <f ca="1">IF(Prices!P148&gt;OFFSET(Prices!P148,-$N$3,0),1,-1)</f>
        <v>-1</v>
      </c>
      <c r="O149" s="4">
        <f ca="1">IF(N149=1,O$3*L148/Prices!Q148,-O$3*M148)</f>
        <v>-2.9408137635135282E-4</v>
      </c>
      <c r="P149" s="22"/>
      <c r="Q149" s="13">
        <f ca="1">Q148-T149*Prices!Q149</f>
        <v>1</v>
      </c>
      <c r="R149" s="4">
        <f t="shared" ca="1" si="17"/>
        <v>0.01</v>
      </c>
      <c r="S149" s="13">
        <f ca="1">IF(Prices!D148&gt;OFFSET(Prices!D148,-S$3,0),1,-1)</f>
        <v>1</v>
      </c>
      <c r="T149" s="4">
        <f ca="1">IF(S149=1,T$3*Q148/Prices!Q148,-T$3*R148)</f>
        <v>0</v>
      </c>
      <c r="V149" s="13"/>
      <c r="W149" s="4"/>
      <c r="X149" s="4"/>
      <c r="Y149" s="4"/>
      <c r="Z149" s="4"/>
      <c r="AA149" s="4"/>
      <c r="AB149" s="4"/>
      <c r="AC149" s="4"/>
      <c r="AD149" s="4"/>
      <c r="AE149" s="52"/>
    </row>
    <row r="150" spans="1:31" x14ac:dyDescent="0.2">
      <c r="A150" s="66">
        <v>43245</v>
      </c>
      <c r="B150" s="13">
        <f ca="1">Prices!Q149*(1+J150/(50*(ABS(O150)+ABS(T150)+0.0001)))</f>
        <v>684.03013692339277</v>
      </c>
      <c r="C150" s="62">
        <f t="shared" ca="1" si="12"/>
        <v>0</v>
      </c>
      <c r="D150" s="13">
        <f ca="1">D149+C150*(Prices!Q150-Prices!Q149)/Prices!Q149</f>
        <v>5.6332384558976383</v>
      </c>
      <c r="E150" s="13">
        <f t="shared" ca="1" si="14"/>
        <v>0.13497299076354707</v>
      </c>
      <c r="F150" s="13">
        <f t="shared" ca="1" si="15"/>
        <v>5.7682114466611853</v>
      </c>
      <c r="G150" s="21">
        <f ca="1">IF((Prices!Q150-Prices!Q149)*C150&gt;0,1,0)</f>
        <v>0</v>
      </c>
      <c r="H150" s="13">
        <f>ABS(Prices!Q150-Prices!Q149)/Prices!Q149</f>
        <v>0.15500879848835666</v>
      </c>
      <c r="I150" s="21"/>
      <c r="J150" s="4">
        <f t="shared" ca="1" si="16"/>
        <v>-2.9114056258783928E-4</v>
      </c>
      <c r="K150" s="13"/>
      <c r="L150" s="13">
        <f ca="1">L149-O150*Prices!Q150</f>
        <v>3.9241171673624495</v>
      </c>
      <c r="M150" s="4">
        <f t="shared" ca="1" si="13"/>
        <v>2.8822915696196088E-2</v>
      </c>
      <c r="N150" s="13">
        <f ca="1">IF(Prices!P149&gt;OFFSET(Prices!P149,-$N$3,0),1,-1)</f>
        <v>-1</v>
      </c>
      <c r="O150" s="4">
        <f ca="1">IF(N150=1,O$3*L149/Prices!Q149,-O$3*M149)</f>
        <v>-2.9114056258783928E-4</v>
      </c>
      <c r="P150" s="22"/>
      <c r="Q150" s="13">
        <f ca="1">Q149-T150*Prices!Q150</f>
        <v>1</v>
      </c>
      <c r="R150" s="4">
        <f t="shared" ca="1" si="17"/>
        <v>0.01</v>
      </c>
      <c r="S150" s="13">
        <f ca="1">IF(Prices!D149&gt;OFFSET(Prices!D149,-S$3,0),1,-1)</f>
        <v>1</v>
      </c>
      <c r="T150" s="4">
        <f ca="1">IF(S150=1,T$3*Q149/Prices!Q149,-T$3*R149)</f>
        <v>0</v>
      </c>
      <c r="V150" s="13"/>
      <c r="W150" s="4"/>
      <c r="X150" s="4"/>
      <c r="Y150" s="4"/>
      <c r="Z150" s="4"/>
      <c r="AA150" s="4"/>
      <c r="AB150" s="4"/>
      <c r="AC150" s="4"/>
      <c r="AD150" s="4"/>
      <c r="AE150" s="52"/>
    </row>
    <row r="151" spans="1:31" x14ac:dyDescent="0.2">
      <c r="A151" s="66">
        <v>43252</v>
      </c>
      <c r="B151" s="13">
        <f ca="1">Prices!Q150*(1+J151/(50*(ABS(O151)+ABS(T151)+0.0001)))</f>
        <v>578.02194573827273</v>
      </c>
      <c r="C151" s="62">
        <f t="shared" ca="1" si="12"/>
        <v>0</v>
      </c>
      <c r="D151" s="13">
        <f ca="1">D150+C151*(Prices!Q151-Prices!Q150)/Prices!Q150</f>
        <v>5.6332384558976383</v>
      </c>
      <c r="E151" s="13">
        <f t="shared" ca="1" si="14"/>
        <v>0.13497299076354707</v>
      </c>
      <c r="F151" s="13">
        <f t="shared" ca="1" si="15"/>
        <v>5.7682114466611853</v>
      </c>
      <c r="G151" s="21">
        <f ca="1">IF((Prices!Q151-Prices!Q150)*C151&gt;0,1,0)</f>
        <v>0</v>
      </c>
      <c r="H151" s="13">
        <f>ABS(Prices!Q151-Prices!Q150)/Prices!Q150</f>
        <v>1.1403768824315704E-2</v>
      </c>
      <c r="I151" s="21"/>
      <c r="J151" s="4">
        <f t="shared" ca="1" si="16"/>
        <v>-2.8822915696196088E-4</v>
      </c>
      <c r="K151" s="13"/>
      <c r="L151" s="13">
        <f ca="1">L150-O151*Prices!Q151</f>
        <v>4.0913024809010112</v>
      </c>
      <c r="M151" s="4">
        <f t="shared" ca="1" si="13"/>
        <v>2.8534686539234126E-2</v>
      </c>
      <c r="N151" s="13">
        <f ca="1">IF(Prices!P150&gt;OFFSET(Prices!P150,-$N$3,0),1,-1)</f>
        <v>-1</v>
      </c>
      <c r="O151" s="4">
        <f ca="1">IF(N151=1,O$3*L150/Prices!Q150,-O$3*M150)</f>
        <v>-2.8822915696196088E-4</v>
      </c>
      <c r="P151" s="22"/>
      <c r="Q151" s="13">
        <f ca="1">Q150-T151*Prices!Q151</f>
        <v>1</v>
      </c>
      <c r="R151" s="4">
        <f t="shared" ca="1" si="17"/>
        <v>0.01</v>
      </c>
      <c r="S151" s="13">
        <f ca="1">IF(Prices!D150&gt;OFFSET(Prices!D150,-S$3,0),1,-1)</f>
        <v>-1</v>
      </c>
      <c r="T151" s="4">
        <f ca="1">IF(S151=1,T$3*Q150/Prices!Q150,-T$3*R150)</f>
        <v>0</v>
      </c>
      <c r="V151" s="13"/>
      <c r="W151" s="4"/>
      <c r="X151" s="4"/>
      <c r="Y151" s="4"/>
      <c r="Z151" s="4"/>
      <c r="AA151" s="4"/>
      <c r="AB151" s="4"/>
      <c r="AC151" s="4"/>
      <c r="AD151" s="4"/>
      <c r="AE151" s="52"/>
    </row>
    <row r="152" spans="1:31" x14ac:dyDescent="0.2">
      <c r="A152" s="66">
        <v>43259</v>
      </c>
      <c r="B152" s="13">
        <f ca="1">Prices!Q151*(1+J152/(50*(ABS(O152)+ABS(T152)+0.0001)))</f>
        <v>571.45266763986217</v>
      </c>
      <c r="C152" s="62">
        <f t="shared" ca="1" si="12"/>
        <v>0</v>
      </c>
      <c r="D152" s="13">
        <f ca="1">D151+C152*(Prices!Q152-Prices!Q151)/Prices!Q151</f>
        <v>5.6332384558976383</v>
      </c>
      <c r="E152" s="13">
        <f t="shared" ca="1" si="14"/>
        <v>0.13497299076354707</v>
      </c>
      <c r="F152" s="13">
        <f t="shared" ca="1" si="15"/>
        <v>5.7682114466611853</v>
      </c>
      <c r="G152" s="21">
        <f ca="1">IF((Prices!Q152-Prices!Q151)*C152&gt;0,1,0)</f>
        <v>0</v>
      </c>
      <c r="H152" s="13">
        <f>ABS(Prices!Q152-Prices!Q151)/Prices!Q151</f>
        <v>3.6262820018714816E-2</v>
      </c>
      <c r="I152" s="21"/>
      <c r="J152" s="4">
        <f t="shared" ca="1" si="16"/>
        <v>-2.8534686539234124E-4</v>
      </c>
      <c r="K152" s="13"/>
      <c r="L152" s="13">
        <f ca="1">L151-O152*Prices!Q152</f>
        <v>4.2628179261294621</v>
      </c>
      <c r="M152" s="4">
        <f t="shared" ca="1" si="13"/>
        <v>2.8249339673841786E-2</v>
      </c>
      <c r="N152" s="13">
        <f ca="1">IF(Prices!P151&gt;OFFSET(Prices!P151,-$N$3,0),1,-1)</f>
        <v>-1</v>
      </c>
      <c r="O152" s="4">
        <f ca="1">IF(N152=1,O$3*L151/Prices!Q151,-O$3*M151)</f>
        <v>-2.8534686539234124E-4</v>
      </c>
      <c r="P152" s="22"/>
      <c r="Q152" s="13">
        <f ca="1">Q151-T152*Prices!Q152</f>
        <v>1</v>
      </c>
      <c r="R152" s="4">
        <f t="shared" ca="1" si="17"/>
        <v>0.01</v>
      </c>
      <c r="S152" s="13">
        <f ca="1">IF(Prices!D151&gt;OFFSET(Prices!D151,-S$3,0),1,-1)</f>
        <v>-1</v>
      </c>
      <c r="T152" s="4">
        <f ca="1">IF(S152=1,T$3*Q151/Prices!Q151,-T$3*R151)</f>
        <v>0</v>
      </c>
      <c r="V152" s="13"/>
      <c r="W152" s="4"/>
      <c r="X152" s="4"/>
      <c r="Y152" s="4"/>
      <c r="Z152" s="4"/>
      <c r="AA152" s="4"/>
      <c r="AB152" s="4"/>
      <c r="AC152" s="4"/>
      <c r="AD152" s="4"/>
      <c r="AE152" s="52"/>
    </row>
    <row r="153" spans="1:31" x14ac:dyDescent="0.2">
      <c r="A153" s="66">
        <v>43266</v>
      </c>
      <c r="B153" s="13">
        <f ca="1">Prices!Q152*(1+J153/(50*(ABS(O153)+ABS(T153)+0.0001)))</f>
        <v>606.06512144434885</v>
      </c>
      <c r="C153" s="62">
        <f t="shared" ca="1" si="12"/>
        <v>1</v>
      </c>
      <c r="D153" s="13">
        <f ca="1">D152+C153*(Prices!Q153-Prices!Q152)/Prices!Q152</f>
        <v>5.4501121289233643</v>
      </c>
      <c r="E153" s="13">
        <f t="shared" ca="1" si="14"/>
        <v>0.31809931773782107</v>
      </c>
      <c r="F153" s="13">
        <f t="shared" ca="1" si="15"/>
        <v>5.7682114466611853</v>
      </c>
      <c r="G153" s="21">
        <f ca="1">IF((Prices!Q153-Prices!Q152)*C153&gt;0,1,0)</f>
        <v>0</v>
      </c>
      <c r="H153" s="13">
        <f>ABS(Prices!Q153-Prices!Q152)/Prices!Q152</f>
        <v>0.1831263269742737</v>
      </c>
      <c r="I153" s="21"/>
      <c r="J153" s="4">
        <f t="shared" ca="1" si="16"/>
        <v>7.0919661569787928E-5</v>
      </c>
      <c r="K153" s="13"/>
      <c r="L153" s="13">
        <f ca="1">L152-O153*Prices!Q153</f>
        <v>4.2279960887618895</v>
      </c>
      <c r="M153" s="4">
        <f t="shared" ca="1" si="13"/>
        <v>2.8320259335411574E-2</v>
      </c>
      <c r="N153" s="13">
        <f ca="1">IF(Prices!P152&gt;OFFSET(Prices!P152,-$N$3,0),1,-1)</f>
        <v>1</v>
      </c>
      <c r="O153" s="4">
        <f ca="1">IF(N153=1,O$3*L152/Prices!Q152,-O$3*M152)</f>
        <v>7.0919661569787928E-5</v>
      </c>
      <c r="P153" s="22"/>
      <c r="Q153" s="13">
        <f ca="1">Q152-T153*Prices!Q153</f>
        <v>1</v>
      </c>
      <c r="R153" s="4">
        <f t="shared" ca="1" si="17"/>
        <v>0.01</v>
      </c>
      <c r="S153" s="13">
        <f ca="1">IF(Prices!D152&gt;OFFSET(Prices!D152,-S$3,0),1,-1)</f>
        <v>-1</v>
      </c>
      <c r="T153" s="4">
        <f ca="1">IF(S153=1,T$3*Q152/Prices!Q152,-T$3*R152)</f>
        <v>0</v>
      </c>
      <c r="V153" s="13"/>
      <c r="W153" s="4"/>
      <c r="X153" s="4"/>
      <c r="Y153" s="4"/>
      <c r="Z153" s="4"/>
      <c r="AA153" s="4"/>
      <c r="AB153" s="4"/>
      <c r="AC153" s="4"/>
      <c r="AD153" s="4"/>
      <c r="AE153" s="52"/>
    </row>
    <row r="154" spans="1:31" x14ac:dyDescent="0.2">
      <c r="A154" s="66">
        <v>43273</v>
      </c>
      <c r="B154" s="13">
        <f ca="1">Prices!Q153*(1+J154/(50*(ABS(O154)+ABS(T154)+0.0001)))</f>
        <v>483.74655204360795</v>
      </c>
      <c r="C154" s="62">
        <f t="shared" ca="1" si="12"/>
        <v>0</v>
      </c>
      <c r="D154" s="13">
        <f ca="1">D153+C154*(Prices!Q154-Prices!Q153)/Prices!Q153</f>
        <v>5.4501121289233643</v>
      </c>
      <c r="E154" s="13">
        <f t="shared" ca="1" si="14"/>
        <v>0.31809931773782107</v>
      </c>
      <c r="F154" s="13">
        <f t="shared" ca="1" si="15"/>
        <v>5.7682114466611853</v>
      </c>
      <c r="G154" s="21">
        <f ca="1">IF((Prices!Q154-Prices!Q153)*C154&gt;0,1,0)</f>
        <v>0</v>
      </c>
      <c r="H154" s="13">
        <f>ABS(Prices!Q154-Prices!Q153)/Prices!Q153</f>
        <v>5.129695909319263E-2</v>
      </c>
      <c r="I154" s="21"/>
      <c r="J154" s="4">
        <f t="shared" ca="1" si="16"/>
        <v>-2.8320259335411576E-4</v>
      </c>
      <c r="K154" s="13"/>
      <c r="L154" s="13">
        <f ca="1">L153-O154*Prices!Q154</f>
        <v>4.3599166672254874</v>
      </c>
      <c r="M154" s="4">
        <f t="shared" ca="1" si="13"/>
        <v>2.8037056742057458E-2</v>
      </c>
      <c r="N154" s="13">
        <f ca="1">IF(Prices!P153&gt;OFFSET(Prices!P153,-$N$3,0),1,-1)</f>
        <v>-1</v>
      </c>
      <c r="O154" s="4">
        <f ca="1">IF(N154=1,O$3*L153/Prices!Q153,-O$3*M153)</f>
        <v>-2.8320259335411576E-4</v>
      </c>
      <c r="P154" s="22"/>
      <c r="Q154" s="13">
        <f ca="1">Q153-T154*Prices!Q154</f>
        <v>1</v>
      </c>
      <c r="R154" s="4">
        <f t="shared" ca="1" si="17"/>
        <v>0.01</v>
      </c>
      <c r="S154" s="13">
        <f ca="1">IF(Prices!D153&gt;OFFSET(Prices!D153,-S$3,0),1,-1)</f>
        <v>-1</v>
      </c>
      <c r="T154" s="4">
        <f ca="1">IF(S154=1,T$3*Q153/Prices!Q153,-T$3*R153)</f>
        <v>0</v>
      </c>
      <c r="V154" s="13"/>
      <c r="W154" s="4"/>
      <c r="X154" s="4"/>
      <c r="Y154" s="4"/>
      <c r="Z154" s="4"/>
      <c r="AA154" s="4"/>
      <c r="AB154" s="4"/>
      <c r="AC154" s="4"/>
      <c r="AD154" s="4"/>
      <c r="AE154" s="52"/>
    </row>
    <row r="155" spans="1:31" x14ac:dyDescent="0.2">
      <c r="A155" s="66">
        <v>43280</v>
      </c>
      <c r="B155" s="13">
        <f ca="1">Prices!Q154*(1+J155/(50*(ABS(O155)+ABS(T155)+0.0001)))</f>
        <v>458.94992614494259</v>
      </c>
      <c r="C155" s="62">
        <f t="shared" ca="1" si="12"/>
        <v>0</v>
      </c>
      <c r="D155" s="13">
        <f ca="1">D154+C155*(Prices!Q155-Prices!Q154)/Prices!Q154</f>
        <v>5.4501121289233643</v>
      </c>
      <c r="E155" s="13">
        <f t="shared" ca="1" si="14"/>
        <v>0.31809931773782107</v>
      </c>
      <c r="F155" s="13">
        <f t="shared" ca="1" si="15"/>
        <v>5.7682114466611853</v>
      </c>
      <c r="G155" s="21">
        <f ca="1">IF((Prices!Q155-Prices!Q154)*C155&gt;0,1,0)</f>
        <v>0</v>
      </c>
      <c r="H155" s="13">
        <f>ABS(Prices!Q155-Prices!Q154)/Prices!Q154</f>
        <v>6.3990760096498456E-2</v>
      </c>
      <c r="I155" s="21"/>
      <c r="J155" s="4">
        <f t="shared" ca="1" si="16"/>
        <v>-2.8037056742057461E-4</v>
      </c>
      <c r="K155" s="13"/>
      <c r="L155" s="13">
        <f ca="1">L154-O155*Prices!Q155</f>
        <v>4.4821607587970762</v>
      </c>
      <c r="M155" s="4">
        <f t="shared" ca="1" si="13"/>
        <v>2.7756686174636884E-2</v>
      </c>
      <c r="N155" s="13">
        <f ca="1">IF(Prices!P154&gt;OFFSET(Prices!P154,-$N$3,0),1,-1)</f>
        <v>-1</v>
      </c>
      <c r="O155" s="4">
        <f ca="1">IF(N155=1,O$3*L154/Prices!Q154,-O$3*M154)</f>
        <v>-2.8037056742057461E-4</v>
      </c>
      <c r="P155" s="22"/>
      <c r="Q155" s="13">
        <f ca="1">Q154-T155*Prices!Q155</f>
        <v>1</v>
      </c>
      <c r="R155" s="4">
        <f t="shared" ca="1" si="17"/>
        <v>0.01</v>
      </c>
      <c r="S155" s="13">
        <f ca="1">IF(Prices!D154&gt;OFFSET(Prices!D154,-S$3,0),1,-1)</f>
        <v>-1</v>
      </c>
      <c r="T155" s="4">
        <f ca="1">IF(S155=1,T$3*Q154/Prices!Q154,-T$3*R154)</f>
        <v>0</v>
      </c>
      <c r="V155" s="13"/>
      <c r="W155" s="4"/>
      <c r="X155" s="4"/>
      <c r="Y155" s="4"/>
      <c r="Z155" s="4"/>
      <c r="AA155" s="4"/>
      <c r="AB155" s="4"/>
      <c r="AC155" s="4"/>
      <c r="AD155" s="4"/>
      <c r="AE155" s="52"/>
    </row>
    <row r="156" spans="1:31" x14ac:dyDescent="0.2">
      <c r="A156" s="66">
        <v>43287</v>
      </c>
      <c r="B156" s="13">
        <f ca="1">Prices!Q155*(1+J156/(50*(ABS(O156)+ABS(T156)+0.0001)))</f>
        <v>429.59839534782901</v>
      </c>
      <c r="C156" s="62">
        <f t="shared" ca="1" si="12"/>
        <v>0</v>
      </c>
      <c r="D156" s="13">
        <f ca="1">D155+C156*(Prices!Q156-Prices!Q155)/Prices!Q155</f>
        <v>5.4501121289233643</v>
      </c>
      <c r="E156" s="13">
        <f t="shared" ca="1" si="14"/>
        <v>0.31809931773782107</v>
      </c>
      <c r="F156" s="13">
        <f t="shared" ca="1" si="15"/>
        <v>5.7682114466611853</v>
      </c>
      <c r="G156" s="21">
        <f ca="1">IF((Prices!Q156-Prices!Q155)*C156&gt;0,1,0)</f>
        <v>0</v>
      </c>
      <c r="H156" s="13">
        <f>ABS(Prices!Q156-Prices!Q155)/Prices!Q155</f>
        <v>8.716102130579173E-2</v>
      </c>
      <c r="I156" s="21"/>
      <c r="J156" s="4">
        <f t="shared" ca="1" si="16"/>
        <v>-2.7756686174636885E-4</v>
      </c>
      <c r="K156" s="13"/>
      <c r="L156" s="13">
        <f ca="1">L155-O156*Prices!Q156</f>
        <v>4.6137307801242278</v>
      </c>
      <c r="M156" s="4">
        <f t="shared" ca="1" si="13"/>
        <v>2.7479119312890515E-2</v>
      </c>
      <c r="N156" s="13">
        <f ca="1">IF(Prices!P155&gt;OFFSET(Prices!P155,-$N$3,0),1,-1)</f>
        <v>-1</v>
      </c>
      <c r="O156" s="4">
        <f ca="1">IF(N156=1,O$3*L155/Prices!Q155,-O$3*M155)</f>
        <v>-2.7756686174636885E-4</v>
      </c>
      <c r="P156" s="22"/>
      <c r="Q156" s="13">
        <f ca="1">Q155-T156*Prices!Q156</f>
        <v>1</v>
      </c>
      <c r="R156" s="4">
        <f t="shared" ca="1" si="17"/>
        <v>0.01</v>
      </c>
      <c r="S156" s="13">
        <f ca="1">IF(Prices!D155&gt;OFFSET(Prices!D155,-S$3,0),1,-1)</f>
        <v>-1</v>
      </c>
      <c r="T156" s="4">
        <f ca="1">IF(S156=1,T$3*Q155/Prices!Q155,-T$3*R155)</f>
        <v>0</v>
      </c>
      <c r="V156" s="13"/>
      <c r="W156" s="4"/>
      <c r="X156" s="4"/>
      <c r="Y156" s="4"/>
      <c r="Z156" s="4"/>
      <c r="AA156" s="4"/>
      <c r="AB156" s="4"/>
      <c r="AC156" s="4"/>
      <c r="AD156" s="4"/>
      <c r="AE156" s="52"/>
    </row>
    <row r="157" spans="1:31" x14ac:dyDescent="0.2">
      <c r="A157" s="66">
        <v>43294</v>
      </c>
      <c r="B157" s="13">
        <f ca="1">Prices!Q156*(1+J157/(50*(ABS(O157)+ABS(T157)+0.0001)))</f>
        <v>478.6880644705123</v>
      </c>
      <c r="C157" s="62">
        <f t="shared" ca="1" si="12"/>
        <v>1</v>
      </c>
      <c r="D157" s="13">
        <f ca="1">D156+C157*(Prices!Q157-Prices!Q156)/Prices!Q156</f>
        <v>5.3657577547925817</v>
      </c>
      <c r="E157" s="13">
        <f t="shared" ca="1" si="14"/>
        <v>0.40245369186860369</v>
      </c>
      <c r="F157" s="13">
        <f t="shared" ca="1" si="15"/>
        <v>5.7682114466611853</v>
      </c>
      <c r="G157" s="21">
        <f ca="1">IF((Prices!Q157-Prices!Q156)*C157&gt;0,1,0)</f>
        <v>0</v>
      </c>
      <c r="H157" s="13">
        <f>ABS(Prices!Q157-Prices!Q156)/Prices!Q156</f>
        <v>8.4354374130782797E-2</v>
      </c>
      <c r="I157" s="21"/>
      <c r="J157" s="4">
        <f t="shared" ca="1" si="16"/>
        <v>9.7333629702576484E-5</v>
      </c>
      <c r="K157" s="13"/>
      <c r="L157" s="13">
        <f ca="1">L156-O157*Prices!Q157</f>
        <v>4.5714853560466384</v>
      </c>
      <c r="M157" s="4">
        <f t="shared" ca="1" si="13"/>
        <v>2.7576452942593092E-2</v>
      </c>
      <c r="N157" s="13">
        <f ca="1">IF(Prices!P156&gt;OFFSET(Prices!P156,-$N$3,0),1,-1)</f>
        <v>1</v>
      </c>
      <c r="O157" s="4">
        <f ca="1">IF(N157=1,O$3*L156/Prices!Q156,-O$3*M156)</f>
        <v>9.7333629702576484E-5</v>
      </c>
      <c r="P157" s="22"/>
      <c r="Q157" s="13">
        <f ca="1">Q156-T157*Prices!Q157</f>
        <v>1</v>
      </c>
      <c r="R157" s="4">
        <f t="shared" ca="1" si="17"/>
        <v>0.01</v>
      </c>
      <c r="S157" s="13">
        <f ca="1">IF(Prices!D156&gt;OFFSET(Prices!D156,-S$3,0),1,-1)</f>
        <v>-1</v>
      </c>
      <c r="T157" s="4">
        <f ca="1">IF(S157=1,T$3*Q156/Prices!Q156,-T$3*R156)</f>
        <v>0</v>
      </c>
      <c r="V157" s="13"/>
      <c r="W157" s="4"/>
      <c r="X157" s="4"/>
      <c r="Y157" s="4"/>
      <c r="Z157" s="4"/>
      <c r="AA157" s="4"/>
      <c r="AB157" s="4"/>
      <c r="AC157" s="4"/>
      <c r="AD157" s="4"/>
      <c r="AE157" s="52"/>
    </row>
    <row r="158" spans="1:31" x14ac:dyDescent="0.2">
      <c r="A158" s="66">
        <v>43301</v>
      </c>
      <c r="B158" s="13">
        <f ca="1">Prices!Q157*(1+J158/(50*(ABS(O158)+ABS(T158)+0.0001)))</f>
        <v>438.47988628069248</v>
      </c>
      <c r="C158" s="62">
        <f t="shared" ca="1" si="12"/>
        <v>1</v>
      </c>
      <c r="D158" s="13">
        <f ca="1">D157+C158*(Prices!Q158-Prices!Q157)/Prices!Q157</f>
        <v>5.4041677838753799</v>
      </c>
      <c r="E158" s="13">
        <f t="shared" ca="1" si="14"/>
        <v>0.36404366278580547</v>
      </c>
      <c r="F158" s="13">
        <f t="shared" ca="1" si="15"/>
        <v>5.7682114466611853</v>
      </c>
      <c r="G158" s="21">
        <f ca="1">IF((Prices!Q158-Prices!Q157)*C158&gt;0,1,0)</f>
        <v>1</v>
      </c>
      <c r="H158" s="13">
        <f>ABS(Prices!Q158-Prices!Q157)/Prices!Q157</f>
        <v>3.8410029082798371E-2</v>
      </c>
      <c r="I158" s="21"/>
      <c r="J158" s="4">
        <f t="shared" ca="1" si="16"/>
        <v>1.0532720940828268E-4</v>
      </c>
      <c r="K158" s="13"/>
      <c r="L158" s="13">
        <f ca="1">L157-O158*Prices!Q158</f>
        <v>4.5240145936313985</v>
      </c>
      <c r="M158" s="4">
        <f t="shared" ca="1" si="13"/>
        <v>2.7681780152001373E-2</v>
      </c>
      <c r="N158" s="13">
        <f ca="1">IF(Prices!P157&gt;OFFSET(Prices!P157,-$N$3,0),1,-1)</f>
        <v>1</v>
      </c>
      <c r="O158" s="4">
        <f ca="1">IF(N158=1,O$3*L157/Prices!Q157,-O$3*M157)</f>
        <v>1.0532720940828268E-4</v>
      </c>
      <c r="P158" s="22"/>
      <c r="Q158" s="13">
        <f ca="1">Q157-T158*Prices!Q158</f>
        <v>1</v>
      </c>
      <c r="R158" s="4">
        <f t="shared" ca="1" si="17"/>
        <v>0.01</v>
      </c>
      <c r="S158" s="13">
        <f ca="1">IF(Prices!D157&gt;OFFSET(Prices!D157,-S$3,0),1,-1)</f>
        <v>-1</v>
      </c>
      <c r="T158" s="4">
        <f ca="1">IF(S158=1,T$3*Q157/Prices!Q157,-T$3*R157)</f>
        <v>0</v>
      </c>
      <c r="V158" s="13"/>
      <c r="W158" s="4"/>
      <c r="X158" s="4"/>
      <c r="Y158" s="4"/>
      <c r="Z158" s="4"/>
      <c r="AA158" s="4"/>
      <c r="AB158" s="4"/>
      <c r="AC158" s="4"/>
      <c r="AD158" s="4"/>
      <c r="AE158" s="52"/>
    </row>
    <row r="159" spans="1:31" x14ac:dyDescent="0.2">
      <c r="A159" s="66">
        <v>43308</v>
      </c>
      <c r="B159" s="13">
        <f ca="1">Prices!Q158*(1+J159/(50*(ABS(O159)+ABS(T159)+0.0001)))</f>
        <v>455.21347922113995</v>
      </c>
      <c r="C159" s="62">
        <f t="shared" ca="1" si="12"/>
        <v>1</v>
      </c>
      <c r="D159" s="13">
        <f ca="1">D158+C159*(Prices!Q159-Prices!Q158)/Prices!Q158</f>
        <v>5.4462535865285346</v>
      </c>
      <c r="E159" s="13">
        <f t="shared" ca="1" si="14"/>
        <v>0.32195786013265071</v>
      </c>
      <c r="F159" s="13">
        <f t="shared" ca="1" si="15"/>
        <v>5.7682114466611853</v>
      </c>
      <c r="G159" s="21">
        <f ca="1">IF((Prices!Q159-Prices!Q158)*C159&gt;0,1,0)</f>
        <v>1</v>
      </c>
      <c r="H159" s="13">
        <f>ABS(Prices!Q159-Prices!Q158)/Prices!Q158</f>
        <v>4.2085802653154883E-2</v>
      </c>
      <c r="I159" s="21"/>
      <c r="J159" s="4">
        <f t="shared" ca="1" si="16"/>
        <v>1.003779607122062E-4</v>
      </c>
      <c r="K159" s="13"/>
      <c r="L159" s="13">
        <f ca="1">L158-O159*Prices!Q159</f>
        <v>4.4768704798412085</v>
      </c>
      <c r="M159" s="4">
        <f t="shared" ca="1" si="13"/>
        <v>2.7782158112713579E-2</v>
      </c>
      <c r="N159" s="13">
        <f ca="1">IF(Prices!P158&gt;OFFSET(Prices!P158,-$N$3,0),1,-1)</f>
        <v>1</v>
      </c>
      <c r="O159" s="4">
        <f ca="1">IF(N159=1,O$3*L158/Prices!Q158,-O$3*M158)</f>
        <v>1.003779607122062E-4</v>
      </c>
      <c r="P159" s="22"/>
      <c r="Q159" s="13">
        <f ca="1">Q158-T159*Prices!Q159</f>
        <v>1</v>
      </c>
      <c r="R159" s="4">
        <f t="shared" ca="1" si="17"/>
        <v>0.01</v>
      </c>
      <c r="S159" s="13">
        <f ca="1">IF(Prices!D158&gt;OFFSET(Prices!D158,-S$3,0),1,-1)</f>
        <v>1</v>
      </c>
      <c r="T159" s="4">
        <f ca="1">IF(S159=1,T$3*Q158/Prices!Q158,-T$3*R158)</f>
        <v>0</v>
      </c>
      <c r="V159" s="13"/>
      <c r="W159" s="4"/>
      <c r="X159" s="4"/>
      <c r="Y159" s="4"/>
      <c r="Z159" s="4"/>
      <c r="AA159" s="4"/>
      <c r="AB159" s="4"/>
      <c r="AC159" s="4"/>
      <c r="AD159" s="4"/>
      <c r="AE159" s="52"/>
    </row>
    <row r="160" spans="1:31" x14ac:dyDescent="0.2">
      <c r="A160" s="66">
        <v>43315</v>
      </c>
      <c r="B160" s="13">
        <f ca="1">Prices!Q159*(1+J160/(50*(ABS(O160)+ABS(T160)+0.0001)))</f>
        <v>474.25011718909246</v>
      </c>
      <c r="C160" s="62">
        <f t="shared" ca="1" si="12"/>
        <v>1</v>
      </c>
      <c r="D160" s="13">
        <f ca="1">D159+C160*(Prices!Q160-Prices!Q159)/Prices!Q159</f>
        <v>5.3368056093666372</v>
      </c>
      <c r="E160" s="13">
        <f t="shared" ref="E160:E206" ca="1" si="18">F160-D160</f>
        <v>0.43140583729454818</v>
      </c>
      <c r="F160" s="13">
        <f t="shared" ref="F160:F206" ca="1" si="19">MAX(F159,D160)</f>
        <v>5.7682114466611853</v>
      </c>
      <c r="G160" s="21">
        <f ca="1">IF((Prices!Q160-Prices!Q159)*C160&gt;0,1,0)</f>
        <v>0</v>
      </c>
      <c r="H160" s="13">
        <f>ABS(Prices!Q160-Prices!Q159)/Prices!Q159</f>
        <v>0.10944797716189722</v>
      </c>
      <c r="I160" s="21"/>
      <c r="J160" s="4">
        <f t="shared" ref="J160:J193" ca="1" si="20">O160+T160</f>
        <v>9.5320304702100345E-5</v>
      </c>
      <c r="K160" s="13"/>
      <c r="L160" s="13">
        <f ca="1">L159-O160*Prices!Q160</f>
        <v>4.4370016192231407</v>
      </c>
      <c r="M160" s="4">
        <f t="shared" ref="M160:M200" ca="1" si="21">M159+O160</f>
        <v>2.7877478417415679E-2</v>
      </c>
      <c r="N160" s="13">
        <f ca="1">IF(Prices!P159&gt;OFFSET(Prices!P159,-$N$3,0),1,-1)</f>
        <v>1</v>
      </c>
      <c r="O160" s="4">
        <f ca="1">IF(N160=1,O$3*L159/Prices!Q159,-O$3*M159)</f>
        <v>9.5320304702100345E-5</v>
      </c>
      <c r="P160" s="22"/>
      <c r="Q160" s="13">
        <f ca="1">Q159-T160*Prices!Q160</f>
        <v>1</v>
      </c>
      <c r="R160" s="4">
        <f t="shared" ca="1" si="17"/>
        <v>0.01</v>
      </c>
      <c r="S160" s="13">
        <f ca="1">IF(Prices!D159&gt;OFFSET(Prices!D159,-S$3,0),1,-1)</f>
        <v>1</v>
      </c>
      <c r="T160" s="4">
        <f ca="1">IF(S160=1,T$3*Q159/Prices!Q159,-T$3*R159)</f>
        <v>0</v>
      </c>
      <c r="V160" s="13"/>
      <c r="W160" s="4"/>
      <c r="X160" s="4"/>
      <c r="Y160" s="4"/>
      <c r="Z160" s="4"/>
      <c r="AA160" s="4"/>
      <c r="AB160" s="4"/>
      <c r="AC160" s="4"/>
      <c r="AD160" s="4"/>
      <c r="AE160" s="52"/>
    </row>
    <row r="161" spans="1:31" x14ac:dyDescent="0.2">
      <c r="A161" s="66">
        <v>43322</v>
      </c>
      <c r="B161" s="13">
        <f ca="1">Prices!Q160*(1+J161/(50*(ABS(O161)+ABS(T161)+0.0001)))</f>
        <v>422.56805012699249</v>
      </c>
      <c r="C161" s="62">
        <f t="shared" ca="1" si="12"/>
        <v>1</v>
      </c>
      <c r="D161" s="13">
        <f ca="1">D160+C161*(Prices!Q161-Prices!Q160)/Prices!Q160</f>
        <v>5.1357689399889344</v>
      </c>
      <c r="E161" s="13">
        <f t="shared" ca="1" si="18"/>
        <v>0.63244250667225099</v>
      </c>
      <c r="F161" s="13">
        <f t="shared" ca="1" si="19"/>
        <v>5.7682114466611853</v>
      </c>
      <c r="G161" s="21">
        <f ca="1">IF((Prices!Q161-Prices!Q160)*C161&gt;0,1,0)</f>
        <v>0</v>
      </c>
      <c r="H161" s="13">
        <f>ABS(Prices!Q161-Prices!Q160)/Prices!Q160</f>
        <v>0.20103666937770273</v>
      </c>
      <c r="I161" s="21"/>
      <c r="J161" s="4">
        <f t="shared" ca="1" si="20"/>
        <v>1.0608187436296993E-4</v>
      </c>
      <c r="K161" s="13"/>
      <c r="L161" s="13">
        <f ca="1">L160-O161*Prices!Q161</f>
        <v>4.4015516033064301</v>
      </c>
      <c r="M161" s="4">
        <f t="shared" ca="1" si="21"/>
        <v>2.7983560291778647E-2</v>
      </c>
      <c r="N161" s="13">
        <f ca="1">IF(Prices!P160&gt;OFFSET(Prices!P160,-$N$3,0),1,-1)</f>
        <v>1</v>
      </c>
      <c r="O161" s="4">
        <f ca="1">IF(N161=1,O$3*L160/Prices!Q160,-O$3*M160)</f>
        <v>1.0608187436296993E-4</v>
      </c>
      <c r="P161" s="22"/>
      <c r="Q161" s="13">
        <f ca="1">Q160-T161*Prices!Q161</f>
        <v>1</v>
      </c>
      <c r="R161" s="4">
        <f t="shared" ca="1" si="17"/>
        <v>0.01</v>
      </c>
      <c r="S161" s="13">
        <f ca="1">IF(Prices!D160&gt;OFFSET(Prices!D160,-S$3,0),1,-1)</f>
        <v>-1</v>
      </c>
      <c r="T161" s="4">
        <f ca="1">IF(S161=1,T$3*Q160/Prices!Q160,-T$3*R160)</f>
        <v>0</v>
      </c>
      <c r="V161" s="13"/>
      <c r="W161" s="4"/>
      <c r="X161" s="4"/>
      <c r="Y161" s="4"/>
      <c r="Z161" s="4"/>
      <c r="AA161" s="4"/>
      <c r="AB161" s="4"/>
      <c r="AC161" s="4"/>
      <c r="AD161" s="4"/>
      <c r="AE161" s="52"/>
    </row>
    <row r="162" spans="1:31" x14ac:dyDescent="0.2">
      <c r="A162" s="66">
        <v>43329</v>
      </c>
      <c r="B162" s="13">
        <f ca="1">Prices!Q161*(1+J162/(50*(ABS(O162)+ABS(T162)+0.0001)))</f>
        <v>329.25205736365808</v>
      </c>
      <c r="C162" s="62">
        <f t="shared" ca="1" si="12"/>
        <v>0</v>
      </c>
      <c r="D162" s="13">
        <f ca="1">D161+C162*(Prices!Q162-Prices!Q161)/Prices!Q161</f>
        <v>5.1357689399889344</v>
      </c>
      <c r="E162" s="13">
        <f t="shared" ca="1" si="18"/>
        <v>0.63244250667225099</v>
      </c>
      <c r="F162" s="13">
        <f t="shared" ca="1" si="19"/>
        <v>5.7682114466611853</v>
      </c>
      <c r="G162" s="21">
        <f ca="1">IF((Prices!Q162-Prices!Q161)*C162&gt;0,1,0)</f>
        <v>0</v>
      </c>
      <c r="H162" s="13">
        <f>ABS(Prices!Q162-Prices!Q161)/Prices!Q161</f>
        <v>5.5201424626565486E-2</v>
      </c>
      <c r="I162" s="21"/>
      <c r="J162" s="4">
        <f t="shared" ca="1" si="20"/>
        <v>-2.7983560291778648E-4</v>
      </c>
      <c r="K162" s="13"/>
      <c r="L162" s="13">
        <f ca="1">L161-O162*Prices!Q162</f>
        <v>4.4899038194994025</v>
      </c>
      <c r="M162" s="4">
        <f t="shared" ca="1" si="21"/>
        <v>2.770372468886086E-2</v>
      </c>
      <c r="N162" s="13">
        <f ca="1">IF(Prices!P161&gt;OFFSET(Prices!P161,-$N$3,0),1,-1)</f>
        <v>-1</v>
      </c>
      <c r="O162" s="4">
        <f ca="1">IF(N162=1,O$3*L161/Prices!Q161,-O$3*M161)</f>
        <v>-2.7983560291778648E-4</v>
      </c>
      <c r="P162" s="22"/>
      <c r="Q162" s="13">
        <f ca="1">Q161-T162*Prices!Q162</f>
        <v>1</v>
      </c>
      <c r="R162" s="4">
        <f t="shared" ca="1" si="17"/>
        <v>0.01</v>
      </c>
      <c r="S162" s="13">
        <f ca="1">IF(Prices!D161&gt;OFFSET(Prices!D161,-S$3,0),1,-1)</f>
        <v>-1</v>
      </c>
      <c r="T162" s="4">
        <f ca="1">IF(S162=1,T$3*Q161/Prices!Q161,-T$3*R161)</f>
        <v>0</v>
      </c>
      <c r="V162" s="13"/>
      <c r="W162" s="4"/>
      <c r="X162" s="4"/>
      <c r="Y162" s="4"/>
      <c r="Z162" s="4"/>
      <c r="AA162" s="4"/>
      <c r="AB162" s="4"/>
      <c r="AC162" s="4"/>
      <c r="AD162" s="4"/>
      <c r="AE162" s="52"/>
    </row>
    <row r="163" spans="1:31" x14ac:dyDescent="0.2">
      <c r="A163" s="66">
        <v>43336</v>
      </c>
      <c r="B163" s="13">
        <f ca="1">Prices!Q162*(1+J163/(50*(ABS(O163)+ABS(T163)+0.0001)))</f>
        <v>311.08921338234336</v>
      </c>
      <c r="C163" s="62">
        <f t="shared" ca="1" si="12"/>
        <v>0</v>
      </c>
      <c r="D163" s="13">
        <f ca="1">D162+C163*(Prices!Q163-Prices!Q162)/Prices!Q162</f>
        <v>5.1357689399889344</v>
      </c>
      <c r="E163" s="13">
        <f t="shared" ca="1" si="18"/>
        <v>0.63244250667225099</v>
      </c>
      <c r="F163" s="13">
        <f t="shared" ca="1" si="19"/>
        <v>5.7682114466611853</v>
      </c>
      <c r="G163" s="21">
        <f ca="1">IF((Prices!Q163-Prices!Q162)*C163&gt;0,1,0)</f>
        <v>0</v>
      </c>
      <c r="H163" s="13">
        <f>ABS(Prices!Q163-Prices!Q162)/Prices!Q162</f>
        <v>0.10376618424324413</v>
      </c>
      <c r="I163" s="21"/>
      <c r="J163" s="4">
        <f t="shared" ca="1" si="20"/>
        <v>-2.7703724688860862E-4</v>
      </c>
      <c r="K163" s="13"/>
      <c r="L163" s="13">
        <f ca="1">L162-O163*Prices!Q163</f>
        <v>4.5682962209101037</v>
      </c>
      <c r="M163" s="4">
        <f t="shared" ca="1" si="21"/>
        <v>2.7426687441972252E-2</v>
      </c>
      <c r="N163" s="13">
        <f ca="1">IF(Prices!P162&gt;OFFSET(Prices!P162,-$N$3,0),1,-1)</f>
        <v>-1</v>
      </c>
      <c r="O163" s="4">
        <f ca="1">IF(N163=1,O$3*L162/Prices!Q162,-O$3*M162)</f>
        <v>-2.7703724688860862E-4</v>
      </c>
      <c r="P163" s="22"/>
      <c r="Q163" s="13">
        <f ca="1">Q162-T163*Prices!Q163</f>
        <v>1</v>
      </c>
      <c r="R163" s="4">
        <f t="shared" ca="1" si="17"/>
        <v>0.01</v>
      </c>
      <c r="S163" s="13">
        <f ca="1">IF(Prices!D162&gt;OFFSET(Prices!D162,-S$3,0),1,-1)</f>
        <v>-1</v>
      </c>
      <c r="T163" s="4">
        <f ca="1">IF(S163=1,T$3*Q162/Prices!Q162,-T$3*R162)</f>
        <v>0</v>
      </c>
      <c r="V163" s="13"/>
      <c r="W163" s="4"/>
      <c r="X163" s="4"/>
      <c r="Y163" s="4"/>
      <c r="Z163" s="4"/>
      <c r="AA163" s="4"/>
      <c r="AB163" s="4"/>
      <c r="AC163" s="4"/>
      <c r="AD163" s="4"/>
      <c r="AE163" s="52"/>
    </row>
    <row r="164" spans="1:31" x14ac:dyDescent="0.2">
      <c r="A164" s="66">
        <v>43343</v>
      </c>
      <c r="B164" s="13">
        <f ca="1">Prices!Q163*(1+J164/(50*(ABS(O164)+ABS(T164)+0.0001)))</f>
        <v>286.4616923663458</v>
      </c>
      <c r="C164" s="62">
        <f t="shared" ca="1" si="12"/>
        <v>1</v>
      </c>
      <c r="D164" s="13">
        <f ca="1">D163+C164*(Prices!Q164-Prices!Q163)/Prices!Q163</f>
        <v>5.13589965487333</v>
      </c>
      <c r="E164" s="13">
        <f t="shared" ca="1" si="18"/>
        <v>0.63231179178785535</v>
      </c>
      <c r="F164" s="13">
        <f t="shared" ca="1" si="19"/>
        <v>5.7682114466611853</v>
      </c>
      <c r="G164" s="21">
        <f ca="1">IF((Prices!Q164-Prices!Q163)*C164&gt;0,1,0)</f>
        <v>1</v>
      </c>
      <c r="H164" s="13">
        <f>ABS(Prices!Q164-Prices!Q163)/Prices!Q163</f>
        <v>1.3071488439591602E-4</v>
      </c>
      <c r="I164" s="21"/>
      <c r="J164" s="4">
        <f t="shared" ca="1" si="20"/>
        <v>1.6144271450265892E-4</v>
      </c>
      <c r="K164" s="13"/>
      <c r="L164" s="13">
        <f ca="1">L163-O164*Prices!Q164</f>
        <v>4.5226072872578786</v>
      </c>
      <c r="M164" s="4">
        <f t="shared" ca="1" si="21"/>
        <v>2.7588130156474912E-2</v>
      </c>
      <c r="N164" s="13">
        <f ca="1">IF(Prices!P163&gt;OFFSET(Prices!P163,-$N$3,0),1,-1)</f>
        <v>1</v>
      </c>
      <c r="O164" s="4">
        <f ca="1">IF(N164=1,O$3*L163/Prices!Q163,-O$3*M163)</f>
        <v>1.6144271450265892E-4</v>
      </c>
      <c r="P164" s="22"/>
      <c r="Q164" s="13">
        <f ca="1">Q163-T164*Prices!Q164</f>
        <v>1</v>
      </c>
      <c r="R164" s="4">
        <f t="shared" ca="1" si="17"/>
        <v>0.01</v>
      </c>
      <c r="S164" s="13">
        <f ca="1">IF(Prices!D163&gt;OFFSET(Prices!D163,-S$3,0),1,-1)</f>
        <v>-1</v>
      </c>
      <c r="T164" s="4">
        <f ca="1">IF(S164=1,T$3*Q163/Prices!Q163,-T$3*R163)</f>
        <v>0</v>
      </c>
      <c r="V164" s="13"/>
      <c r="W164" s="4"/>
      <c r="X164" s="4"/>
      <c r="Y164" s="4"/>
      <c r="Z164" s="4"/>
      <c r="AA164" s="4"/>
      <c r="AB164" s="4"/>
      <c r="AC164" s="4"/>
      <c r="AD164" s="4"/>
      <c r="AE164" s="52"/>
    </row>
    <row r="165" spans="1:31" x14ac:dyDescent="0.2">
      <c r="A165" s="66">
        <v>43350</v>
      </c>
      <c r="B165" s="13">
        <f ca="1">Prices!Q164*(1+J165/(50*(ABS(O165)+ABS(T165)+0.0001)))</f>
        <v>286.48550852853447</v>
      </c>
      <c r="C165" s="62">
        <f t="shared" ca="1" si="12"/>
        <v>1</v>
      </c>
      <c r="D165" s="13">
        <f ca="1">D164+C165*(Prices!Q165-Prices!Q164)/Prices!Q164</f>
        <v>4.9033905897540446</v>
      </c>
      <c r="E165" s="13">
        <f t="shared" ca="1" si="18"/>
        <v>0.86482085690714072</v>
      </c>
      <c r="F165" s="13">
        <f t="shared" ca="1" si="19"/>
        <v>5.7682114466611853</v>
      </c>
      <c r="G165" s="21">
        <f ca="1">IF((Prices!Q165-Prices!Q164)*C165&gt;0,1,0)</f>
        <v>0</v>
      </c>
      <c r="H165" s="13">
        <f>ABS(Prices!Q165-Prices!Q164)/Prices!Q164</f>
        <v>0.23250906511928507</v>
      </c>
      <c r="I165" s="21"/>
      <c r="J165" s="4">
        <f t="shared" ca="1" si="20"/>
        <v>1.5980718714998077E-4</v>
      </c>
      <c r="K165" s="13"/>
      <c r="L165" s="13">
        <f ca="1">L164-O165*Prices!Q165</f>
        <v>4.4878966863079199</v>
      </c>
      <c r="M165" s="4">
        <f t="shared" ca="1" si="21"/>
        <v>2.7747937343624893E-2</v>
      </c>
      <c r="N165" s="13">
        <f ca="1">IF(Prices!P164&gt;OFFSET(Prices!P164,-$N$3,0),1,-1)</f>
        <v>1</v>
      </c>
      <c r="O165" s="4">
        <f ca="1">IF(N165=1,O$3*L164/Prices!Q164,-O$3*M164)</f>
        <v>1.5980718714998077E-4</v>
      </c>
      <c r="P165" s="22"/>
      <c r="Q165" s="13">
        <f ca="1">Q164-T165*Prices!Q165</f>
        <v>1</v>
      </c>
      <c r="R165" s="4">
        <f t="shared" ca="1" si="17"/>
        <v>0.01</v>
      </c>
      <c r="S165" s="13">
        <f ca="1">IF(Prices!D164&gt;OFFSET(Prices!D164,-S$3,0),1,-1)</f>
        <v>-1</v>
      </c>
      <c r="T165" s="4">
        <f ca="1">IF(S165=1,T$3*Q164/Prices!Q164,-T$3*R164)</f>
        <v>0</v>
      </c>
      <c r="V165" s="13"/>
      <c r="W165" s="4"/>
      <c r="X165" s="4"/>
      <c r="Y165" s="4"/>
      <c r="Z165" s="4"/>
      <c r="AA165" s="4"/>
      <c r="AB165" s="4"/>
      <c r="AC165" s="4"/>
      <c r="AD165" s="4"/>
      <c r="AE165" s="52"/>
    </row>
    <row r="166" spans="1:31" x14ac:dyDescent="0.2">
      <c r="A166" s="66">
        <v>43357</v>
      </c>
      <c r="B166" s="13">
        <f ca="1">Prices!Q165*(1+J166/(50*(ABS(O166)+ABS(T166)+0.0001)))</f>
        <v>214.00975020675352</v>
      </c>
      <c r="C166" s="62">
        <f t="shared" ca="1" si="12"/>
        <v>0</v>
      </c>
      <c r="D166" s="13">
        <f ca="1">D165+C166*(Prices!Q166-Prices!Q165)/Prices!Q165</f>
        <v>4.9033905897540446</v>
      </c>
      <c r="E166" s="13">
        <f t="shared" ca="1" si="18"/>
        <v>0.86482085690714072</v>
      </c>
      <c r="F166" s="13">
        <f t="shared" ca="1" si="19"/>
        <v>5.7682114466611853</v>
      </c>
      <c r="G166" s="21">
        <f ca="1">IF((Prices!Q166-Prices!Q165)*C166&gt;0,1,0)</f>
        <v>0</v>
      </c>
      <c r="H166" s="13">
        <f>ABS(Prices!Q166-Prices!Q165)/Prices!Q165</f>
        <v>2.5110196105345664E-2</v>
      </c>
      <c r="I166" s="21"/>
      <c r="J166" s="4">
        <f t="shared" ca="1" si="20"/>
        <v>-2.7747937343624896E-4</v>
      </c>
      <c r="K166" s="13"/>
      <c r="L166" s="13">
        <f ca="1">L165-O166*Prices!Q166</f>
        <v>4.546652664211317</v>
      </c>
      <c r="M166" s="4">
        <f t="shared" ca="1" si="21"/>
        <v>2.7470457970188645E-2</v>
      </c>
      <c r="N166" s="13">
        <f ca="1">IF(Prices!P165&gt;OFFSET(Prices!P165,-$N$3,0),1,-1)</f>
        <v>-1</v>
      </c>
      <c r="O166" s="4">
        <f ca="1">IF(N166=1,O$3*L165/Prices!Q165,-O$3*M165)</f>
        <v>-2.7747937343624896E-4</v>
      </c>
      <c r="P166" s="22"/>
      <c r="Q166" s="13">
        <f ca="1">Q165-T166*Prices!Q166</f>
        <v>1</v>
      </c>
      <c r="R166" s="4">
        <f t="shared" ca="1" si="17"/>
        <v>0.01</v>
      </c>
      <c r="S166" s="13">
        <f ca="1">IF(Prices!D165&gt;OFFSET(Prices!D165,-S$3,0),1,-1)</f>
        <v>-1</v>
      </c>
      <c r="T166" s="4">
        <f ca="1">IF(S166=1,T$3*Q165/Prices!Q165,-T$3*R165)</f>
        <v>0</v>
      </c>
      <c r="V166" s="13"/>
      <c r="W166" s="4"/>
      <c r="X166" s="4"/>
      <c r="Y166" s="4"/>
      <c r="Z166" s="4"/>
      <c r="AA166" s="4"/>
      <c r="AB166" s="4"/>
      <c r="AC166" s="4"/>
      <c r="AD166" s="4"/>
      <c r="AE166" s="52"/>
    </row>
    <row r="167" spans="1:31" x14ac:dyDescent="0.2">
      <c r="A167" s="66">
        <v>43364</v>
      </c>
      <c r="B167" s="13">
        <f ca="1">Prices!Q166*(1+J167/(50*(ABS(O167)+ABS(T167)+0.0001)))</f>
        <v>208.64423147449952</v>
      </c>
      <c r="C167" s="62">
        <f t="shared" ca="1" si="12"/>
        <v>0</v>
      </c>
      <c r="D167" s="13">
        <f ca="1">D166+C167*(Prices!Q167-Prices!Q166)/Prices!Q166</f>
        <v>4.9033905897540446</v>
      </c>
      <c r="E167" s="13">
        <f t="shared" ca="1" si="18"/>
        <v>0.86482085690714072</v>
      </c>
      <c r="F167" s="13">
        <f t="shared" ca="1" si="19"/>
        <v>5.7682114466611853</v>
      </c>
      <c r="G167" s="21">
        <f ca="1">IF((Prices!Q167-Prices!Q166)*C167&gt;0,1,0)</f>
        <v>0</v>
      </c>
      <c r="H167" s="13">
        <f>ABS(Prices!Q167-Prices!Q166)/Prices!Q166</f>
        <v>0.16451085082610045</v>
      </c>
      <c r="I167" s="21"/>
      <c r="J167" s="4">
        <f t="shared" ca="1" si="20"/>
        <v>-2.7470457970188645E-4</v>
      </c>
      <c r="K167" s="13"/>
      <c r="L167" s="13">
        <f ca="1">L166-O167*Prices!Q167</f>
        <v>4.6143904182925271</v>
      </c>
      <c r="M167" s="4">
        <f t="shared" ca="1" si="21"/>
        <v>2.7195753390486757E-2</v>
      </c>
      <c r="N167" s="13">
        <f ca="1">IF(Prices!P166&gt;OFFSET(Prices!P166,-$N$3,0),1,-1)</f>
        <v>-1</v>
      </c>
      <c r="O167" s="4">
        <f ca="1">IF(N167=1,O$3*L166/Prices!Q166,-O$3*M166)</f>
        <v>-2.7470457970188645E-4</v>
      </c>
      <c r="P167" s="22"/>
      <c r="Q167" s="13">
        <f ca="1">Q166-T167*Prices!Q167</f>
        <v>1</v>
      </c>
      <c r="R167" s="4">
        <f t="shared" ca="1" si="17"/>
        <v>0.01</v>
      </c>
      <c r="S167" s="13">
        <f ca="1">IF(Prices!D166&gt;OFFSET(Prices!D166,-S$3,0),1,-1)</f>
        <v>-1</v>
      </c>
      <c r="T167" s="4">
        <f ca="1">IF(S167=1,T$3*Q166/Prices!Q166,-T$3*R166)</f>
        <v>0</v>
      </c>
      <c r="V167" s="13"/>
      <c r="W167" s="4"/>
      <c r="X167" s="4"/>
      <c r="Y167" s="4"/>
      <c r="Z167" s="4"/>
      <c r="AA167" s="4"/>
      <c r="AB167" s="4"/>
      <c r="AC167" s="4"/>
      <c r="AD167" s="4"/>
      <c r="AE167" s="52"/>
    </row>
    <row r="168" spans="1:31" x14ac:dyDescent="0.2">
      <c r="A168" s="66">
        <v>43371</v>
      </c>
      <c r="B168" s="13">
        <f ca="1">Prices!Q167*(1+J168/(50*(ABS(O168)+ABS(T168)+0.0001)))</f>
        <v>249.79811812803302</v>
      </c>
      <c r="C168" s="62">
        <f t="shared" ca="1" si="12"/>
        <v>1</v>
      </c>
      <c r="D168" s="13">
        <f ca="1">D167+C168*(Prices!Q168-Prices!Q167)/Prices!Q167</f>
        <v>4.8053225601981939</v>
      </c>
      <c r="E168" s="13">
        <f t="shared" ca="1" si="18"/>
        <v>0.96288888646299142</v>
      </c>
      <c r="F168" s="13">
        <f t="shared" ca="1" si="19"/>
        <v>5.7682114466611853</v>
      </c>
      <c r="G168" s="21">
        <f ca="1">IF((Prices!Q168-Prices!Q167)*C168&gt;0,1,0)</f>
        <v>0</v>
      </c>
      <c r="H168" s="13">
        <f>ABS(Prices!Q168-Prices!Q167)/Prices!Q167</f>
        <v>9.8068029555851144E-2</v>
      </c>
      <c r="I168" s="21"/>
      <c r="J168" s="4">
        <f t="shared" ca="1" si="20"/>
        <v>1.8713259653069651E-4</v>
      </c>
      <c r="K168" s="13"/>
      <c r="L168" s="13">
        <f ca="1">L167-O168*Prices!Q168</f>
        <v>4.5727717558688354</v>
      </c>
      <c r="M168" s="4">
        <f t="shared" ca="1" si="21"/>
        <v>2.7382885987017453E-2</v>
      </c>
      <c r="N168" s="13">
        <f ca="1">IF(Prices!P167&gt;OFFSET(Prices!P167,-$N$3,0),1,-1)</f>
        <v>1</v>
      </c>
      <c r="O168" s="4">
        <f ca="1">IF(N168=1,O$3*L167/Prices!Q167,-O$3*M167)</f>
        <v>1.8713259653069651E-4</v>
      </c>
      <c r="P168" s="22"/>
      <c r="Q168" s="13">
        <f ca="1">Q167-T168*Prices!Q168</f>
        <v>1</v>
      </c>
      <c r="R168" s="4">
        <f t="shared" ca="1" si="17"/>
        <v>0.01</v>
      </c>
      <c r="S168" s="13">
        <f ca="1">IF(Prices!D167&gt;OFFSET(Prices!D167,-S$3,0),1,-1)</f>
        <v>-1</v>
      </c>
      <c r="T168" s="4">
        <f ca="1">IF(S168=1,T$3*Q167/Prices!Q167,-T$3*R167)</f>
        <v>0</v>
      </c>
      <c r="V168" s="13"/>
      <c r="W168" s="4"/>
      <c r="X168" s="4"/>
      <c r="Y168" s="4"/>
      <c r="Z168" s="4"/>
      <c r="AA168" s="4"/>
      <c r="AB168" s="4"/>
      <c r="AC168" s="4"/>
      <c r="AD168" s="4"/>
      <c r="AE168" s="52"/>
    </row>
    <row r="169" spans="1:31" x14ac:dyDescent="0.2">
      <c r="A169" s="66">
        <v>43378</v>
      </c>
      <c r="B169" s="13">
        <f ca="1">Prices!Q168*(1+J169/(50*(ABS(O169)+ABS(T169)+0.0001)))</f>
        <v>225.39456243288041</v>
      </c>
      <c r="C169" s="62">
        <f t="shared" ref="C169:C232" ca="1" si="22">IF(J169&gt;0,1,IF(J169&lt;0,0,0))</f>
        <v>1</v>
      </c>
      <c r="D169" s="13">
        <f ca="1">D168+C169*(Prices!Q169-Prices!Q168)/Prices!Q168</f>
        <v>4.8286991717558072</v>
      </c>
      <c r="E169" s="13">
        <f t="shared" ca="1" si="18"/>
        <v>0.93951227490537814</v>
      </c>
      <c r="F169" s="13">
        <f t="shared" ca="1" si="19"/>
        <v>5.7682114466611853</v>
      </c>
      <c r="G169" s="21">
        <f ca="1">IF((Prices!Q169-Prices!Q168)*C169&gt;0,1,0)</f>
        <v>1</v>
      </c>
      <c r="H169" s="13">
        <f>ABS(Prices!Q169-Prices!Q168)/Prices!Q168</f>
        <v>2.3376611557613152E-2</v>
      </c>
      <c r="I169" s="21"/>
      <c r="J169" s="4">
        <f t="shared" ca="1" si="20"/>
        <v>2.0560839829654023E-4</v>
      </c>
      <c r="K169" s="13"/>
      <c r="L169" s="13">
        <f ca="1">L168-O169*Prices!Q169</f>
        <v>4.5259750792193616</v>
      </c>
      <c r="M169" s="4">
        <f t="shared" ca="1" si="21"/>
        <v>2.7588494385313994E-2</v>
      </c>
      <c r="N169" s="13">
        <f ca="1">IF(Prices!P168&gt;OFFSET(Prices!P168,-$N$3,0),1,-1)</f>
        <v>1</v>
      </c>
      <c r="O169" s="4">
        <f ca="1">IF(N169=1,O$3*L168/Prices!Q168,-O$3*M168)</f>
        <v>2.0560839829654023E-4</v>
      </c>
      <c r="P169" s="22"/>
      <c r="Q169" s="13">
        <f ca="1">Q168-T169*Prices!Q169</f>
        <v>1</v>
      </c>
      <c r="R169" s="4">
        <f t="shared" ca="1" si="17"/>
        <v>0.01</v>
      </c>
      <c r="S169" s="13">
        <f ca="1">IF(Prices!D168&gt;OFFSET(Prices!D168,-S$3,0),1,-1)</f>
        <v>-1</v>
      </c>
      <c r="T169" s="4">
        <f ca="1">IF(S169=1,T$3*Q168/Prices!Q168,-T$3*R168)</f>
        <v>0</v>
      </c>
      <c r="V169" s="13"/>
      <c r="W169" s="4"/>
      <c r="X169" s="4"/>
      <c r="Y169" s="4"/>
      <c r="Z169" s="4"/>
      <c r="AA169" s="4"/>
      <c r="AB169" s="4"/>
      <c r="AC169" s="4"/>
      <c r="AD169" s="4"/>
      <c r="AE169" s="52"/>
    </row>
    <row r="170" spans="1:31" x14ac:dyDescent="0.2">
      <c r="A170" s="66">
        <v>43385</v>
      </c>
      <c r="B170" s="13">
        <f ca="1">Prices!Q169*(1+J170/(50*(ABS(O170)+ABS(T170)+0.0001)))</f>
        <v>224.25999221719422</v>
      </c>
      <c r="C170" s="62">
        <f t="shared" ca="1" si="22"/>
        <v>0</v>
      </c>
      <c r="D170" s="13">
        <f ca="1">D169+C170*(Prices!Q170-Prices!Q169)/Prices!Q169</f>
        <v>4.8286991717558072</v>
      </c>
      <c r="E170" s="13">
        <f t="shared" ca="1" si="18"/>
        <v>0.93951227490537814</v>
      </c>
      <c r="F170" s="13">
        <f t="shared" ca="1" si="19"/>
        <v>5.7682114466611853</v>
      </c>
      <c r="G170" s="21">
        <f ca="1">IF((Prices!Q170-Prices!Q169)*C170&gt;0,1,0)</f>
        <v>0</v>
      </c>
      <c r="H170" s="13">
        <f>ABS(Prices!Q170-Prices!Q169)/Prices!Q169</f>
        <v>0.13564963805650804</v>
      </c>
      <c r="I170" s="21"/>
      <c r="J170" s="4">
        <f t="shared" ca="1" si="20"/>
        <v>-2.7588494385313996E-4</v>
      </c>
      <c r="K170" s="13"/>
      <c r="L170" s="13">
        <f ca="1">L169-O170*Prices!Q170</f>
        <v>4.5802490979481831</v>
      </c>
      <c r="M170" s="4">
        <f t="shared" ca="1" si="21"/>
        <v>2.7312609441460856E-2</v>
      </c>
      <c r="N170" s="13">
        <f ca="1">IF(Prices!P169&gt;OFFSET(Prices!P169,-$N$3,0),1,-1)</f>
        <v>-1</v>
      </c>
      <c r="O170" s="4">
        <f ca="1">IF(N170=1,O$3*L169/Prices!Q169,-O$3*M169)</f>
        <v>-2.7588494385313996E-4</v>
      </c>
      <c r="P170" s="22"/>
      <c r="Q170" s="13">
        <f ca="1">Q169-T170*Prices!Q170</f>
        <v>1</v>
      </c>
      <c r="R170" s="4">
        <f t="shared" ca="1" si="17"/>
        <v>0.01</v>
      </c>
      <c r="S170" s="13">
        <f ca="1">IF(Prices!D169&gt;OFFSET(Prices!D169,-S$3,0),1,-1)</f>
        <v>1</v>
      </c>
      <c r="T170" s="4">
        <f ca="1">IF(S170=1,T$3*Q169/Prices!Q169,-T$3*R169)</f>
        <v>0</v>
      </c>
      <c r="V170" s="13"/>
      <c r="W170" s="4"/>
      <c r="X170" s="4"/>
      <c r="Y170" s="4"/>
      <c r="Z170" s="4"/>
      <c r="AA170" s="4"/>
      <c r="AB170" s="4"/>
      <c r="AC170" s="4"/>
      <c r="AD170" s="4"/>
      <c r="AE170" s="52"/>
    </row>
    <row r="171" spans="1:31" x14ac:dyDescent="0.2">
      <c r="A171" s="66">
        <v>43392</v>
      </c>
      <c r="B171" s="13">
        <f ca="1">Prices!Q170*(1+J171/(50*(ABS(O171)+ABS(T171)+0.0001)))</f>
        <v>193.84694491597764</v>
      </c>
      <c r="C171" s="62">
        <f t="shared" ca="1" si="22"/>
        <v>0</v>
      </c>
      <c r="D171" s="13">
        <f ca="1">D170+C171*(Prices!Q171-Prices!Q170)/Prices!Q170</f>
        <v>4.8286991717558072</v>
      </c>
      <c r="E171" s="13">
        <f t="shared" ca="1" si="18"/>
        <v>0.93951227490537814</v>
      </c>
      <c r="F171" s="13">
        <f t="shared" ca="1" si="19"/>
        <v>5.7682114466611853</v>
      </c>
      <c r="G171" s="21">
        <f ca="1">IF((Prices!Q171-Prices!Q170)*C171&gt;0,1,0)</f>
        <v>0</v>
      </c>
      <c r="H171" s="13">
        <f>ABS(Prices!Q171-Prices!Q170)/Prices!Q170</f>
        <v>3.5582303507340034E-2</v>
      </c>
      <c r="I171" s="21"/>
      <c r="J171" s="4">
        <f t="shared" ca="1" si="20"/>
        <v>-2.7312609441460856E-4</v>
      </c>
      <c r="K171" s="13"/>
      <c r="L171" s="13">
        <f ca="1">L170-O171*Prices!Q171</f>
        <v>4.6358922591506184</v>
      </c>
      <c r="M171" s="4">
        <f t="shared" ca="1" si="21"/>
        <v>2.7039483347046245E-2</v>
      </c>
      <c r="N171" s="13">
        <f ca="1">IF(Prices!P170&gt;OFFSET(Prices!P170,-$N$3,0),1,-1)</f>
        <v>-1</v>
      </c>
      <c r="O171" s="4">
        <f ca="1">IF(N171=1,O$3*L170/Prices!Q170,-O$3*M170)</f>
        <v>-2.7312609441460856E-4</v>
      </c>
      <c r="P171" s="22"/>
      <c r="Q171" s="13">
        <f ca="1">Q170-T171*Prices!Q171</f>
        <v>1</v>
      </c>
      <c r="R171" s="4">
        <f t="shared" ca="1" si="17"/>
        <v>0.01</v>
      </c>
      <c r="S171" s="13">
        <f ca="1">IF(Prices!D170&gt;OFFSET(Prices!D170,-S$3,0),1,-1)</f>
        <v>1</v>
      </c>
      <c r="T171" s="4">
        <f ca="1">IF(S171=1,T$3*Q170/Prices!Q170,-T$3*R170)</f>
        <v>0</v>
      </c>
      <c r="V171" s="13"/>
      <c r="W171" s="4"/>
      <c r="X171" s="4"/>
      <c r="Y171" s="4"/>
      <c r="Z171" s="4"/>
      <c r="AA171" s="4"/>
      <c r="AB171" s="4"/>
      <c r="AC171" s="4"/>
      <c r="AD171" s="4"/>
      <c r="AE171" s="52"/>
    </row>
    <row r="172" spans="1:31" x14ac:dyDescent="0.2">
      <c r="A172" s="66">
        <v>43399</v>
      </c>
      <c r="B172" s="13">
        <f ca="1">Prices!Q171*(1+J172/(50*(ABS(O172)+ABS(T172)+0.0001)))</f>
        <v>200.75251806808095</v>
      </c>
      <c r="C172" s="62">
        <f t="shared" ca="1" si="22"/>
        <v>0</v>
      </c>
      <c r="D172" s="13">
        <f ca="1">D171+C172*(Prices!Q172-Prices!Q171)/Prices!Q171</f>
        <v>4.8286991717558072</v>
      </c>
      <c r="E172" s="13">
        <f t="shared" ca="1" si="18"/>
        <v>0.93951227490537814</v>
      </c>
      <c r="F172" s="13">
        <f t="shared" ca="1" si="19"/>
        <v>5.7682114466611853</v>
      </c>
      <c r="G172" s="21">
        <f ca="1">IF((Prices!Q172-Prices!Q171)*C172&gt;0,1,0)</f>
        <v>0</v>
      </c>
      <c r="H172" s="13">
        <f>ABS(Prices!Q172-Prices!Q171)/Prices!Q171</f>
        <v>1.9536437989651854E-3</v>
      </c>
      <c r="I172" s="21"/>
      <c r="J172" s="4">
        <f t="shared" ca="1" si="20"/>
        <v>-2.7039483347046249E-4</v>
      </c>
      <c r="K172" s="13"/>
      <c r="L172" s="13">
        <f ca="1">L171-O172*Prices!Q172</f>
        <v>4.6908713688933599</v>
      </c>
      <c r="M172" s="4">
        <f t="shared" ca="1" si="21"/>
        <v>2.6769088513575783E-2</v>
      </c>
      <c r="N172" s="13">
        <f ca="1">IF(Prices!P171&gt;OFFSET(Prices!P171,-$N$3,0),1,-1)</f>
        <v>-1</v>
      </c>
      <c r="O172" s="4">
        <f ca="1">IF(N172=1,O$3*L171/Prices!Q171,-O$3*M171)</f>
        <v>-2.7039483347046249E-4</v>
      </c>
      <c r="P172" s="22"/>
      <c r="Q172" s="13">
        <f ca="1">Q171-T172*Prices!Q172</f>
        <v>1</v>
      </c>
      <c r="R172" s="4">
        <f t="shared" ca="1" si="17"/>
        <v>0.01</v>
      </c>
      <c r="S172" s="13">
        <f ca="1">IF(Prices!D171&gt;OFFSET(Prices!D171,-S$3,0),1,-1)</f>
        <v>1</v>
      </c>
      <c r="T172" s="4">
        <f ca="1">IF(S172=1,T$3*Q171/Prices!Q171,-T$3*R171)</f>
        <v>0</v>
      </c>
      <c r="V172" s="13"/>
      <c r="W172" s="4"/>
      <c r="X172" s="4"/>
      <c r="Y172" s="4"/>
      <c r="Z172" s="4"/>
      <c r="AA172" s="4"/>
      <c r="AB172" s="4"/>
      <c r="AC172" s="4"/>
      <c r="AD172" s="4"/>
      <c r="AE172" s="52"/>
    </row>
    <row r="173" spans="1:31" x14ac:dyDescent="0.2">
      <c r="A173" s="66">
        <v>43406</v>
      </c>
      <c r="B173" s="13">
        <f ca="1">Prices!Q172*(1+J173/(50*(ABS(O173)+ABS(T173)+0.0001)))</f>
        <v>206.16589945805165</v>
      </c>
      <c r="C173" s="62">
        <f t="shared" ca="1" si="22"/>
        <v>1</v>
      </c>
      <c r="D173" s="13">
        <f ca="1">D172+C173*(Prices!Q173-Prices!Q172)/Prices!Q172</f>
        <v>4.8154497087365264</v>
      </c>
      <c r="E173" s="13">
        <f t="shared" ca="1" si="18"/>
        <v>0.9527617379246589</v>
      </c>
      <c r="F173" s="13">
        <f t="shared" ca="1" si="19"/>
        <v>5.7682114466611853</v>
      </c>
      <c r="G173" s="21">
        <f ca="1">IF((Prices!Q173-Prices!Q172)*C173&gt;0,1,0)</f>
        <v>0</v>
      </c>
      <c r="H173" s="13">
        <f>ABS(Prices!Q173-Prices!Q172)/Prices!Q172</f>
        <v>1.3249463019280592E-2</v>
      </c>
      <c r="I173" s="21"/>
      <c r="J173" s="4">
        <f t="shared" ca="1" si="20"/>
        <v>2.3070351421809567E-4</v>
      </c>
      <c r="K173" s="13"/>
      <c r="L173" s="13">
        <f ca="1">L172-O173*Prices!Q173</f>
        <v>4.6445841704717301</v>
      </c>
      <c r="M173" s="4">
        <f t="shared" ca="1" si="21"/>
        <v>2.6999792027793876E-2</v>
      </c>
      <c r="N173" s="13">
        <f ca="1">IF(Prices!P172&gt;OFFSET(Prices!P172,-$N$3,0),1,-1)</f>
        <v>1</v>
      </c>
      <c r="O173" s="4">
        <f ca="1">IF(N173=1,O$3*L172/Prices!Q172,-O$3*M172)</f>
        <v>2.3070351421809567E-4</v>
      </c>
      <c r="P173" s="22"/>
      <c r="Q173" s="13">
        <f ca="1">Q172-T173*Prices!Q173</f>
        <v>1</v>
      </c>
      <c r="R173" s="4">
        <f t="shared" ca="1" si="17"/>
        <v>0.01</v>
      </c>
      <c r="S173" s="13">
        <f ca="1">IF(Prices!D172&gt;OFFSET(Prices!D172,-S$3,0),1,-1)</f>
        <v>1</v>
      </c>
      <c r="T173" s="4">
        <f ca="1">IF(S173=1,T$3*Q172/Prices!Q172,-T$3*R172)</f>
        <v>0</v>
      </c>
      <c r="V173" s="13"/>
      <c r="W173" s="4"/>
      <c r="X173" s="4"/>
      <c r="Y173" s="4"/>
      <c r="Z173" s="4"/>
      <c r="AA173" s="4"/>
      <c r="AB173" s="4"/>
      <c r="AC173" s="4"/>
      <c r="AD173" s="4"/>
      <c r="AE173" s="52"/>
    </row>
    <row r="174" spans="1:31" x14ac:dyDescent="0.2">
      <c r="A174" s="66">
        <v>43413</v>
      </c>
      <c r="B174" s="13">
        <f ca="1">Prices!Q173*(1+J174/(50*(ABS(O174)+ABS(T174)+0.0001)))</f>
        <v>197.70681468243055</v>
      </c>
      <c r="C174" s="62">
        <f t="shared" ca="1" si="22"/>
        <v>0</v>
      </c>
      <c r="D174" s="13">
        <f ca="1">D173+C174*(Prices!Q174-Prices!Q173)/Prices!Q173</f>
        <v>4.8154497087365264</v>
      </c>
      <c r="E174" s="13">
        <f t="shared" ca="1" si="18"/>
        <v>0.9527617379246589</v>
      </c>
      <c r="F174" s="13">
        <f t="shared" ca="1" si="19"/>
        <v>5.7682114466611853</v>
      </c>
      <c r="G174" s="21">
        <f ca="1">IF((Prices!Q174-Prices!Q173)*C174&gt;0,1,0)</f>
        <v>0</v>
      </c>
      <c r="H174" s="13">
        <f>ABS(Prices!Q174-Prices!Q173)/Prices!Q173</f>
        <v>4.7045681138527182E-2</v>
      </c>
      <c r="I174" s="21"/>
      <c r="J174" s="4">
        <f t="shared" ca="1" si="20"/>
        <v>-2.6999792027793877E-4</v>
      </c>
      <c r="K174" s="13"/>
      <c r="L174" s="13">
        <f ca="1">L173-O174*Prices!Q174</f>
        <v>4.7013037149261878</v>
      </c>
      <c r="M174" s="4">
        <f t="shared" ca="1" si="21"/>
        <v>2.6729794107515938E-2</v>
      </c>
      <c r="N174" s="13">
        <f ca="1">IF(Prices!P173&gt;OFFSET(Prices!P173,-$N$3,0),1,-1)</f>
        <v>-1</v>
      </c>
      <c r="O174" s="4">
        <f ca="1">IF(N174=1,O$3*L173/Prices!Q173,-O$3*M173)</f>
        <v>-2.6999792027793877E-4</v>
      </c>
      <c r="P174" s="22"/>
      <c r="Q174" s="13">
        <f ca="1">Q173-T174*Prices!Q174</f>
        <v>1</v>
      </c>
      <c r="R174" s="4">
        <f t="shared" ca="1" si="17"/>
        <v>0.01</v>
      </c>
      <c r="S174" s="13">
        <f ca="1">IF(Prices!D173&gt;OFFSET(Prices!D173,-S$3,0),1,-1)</f>
        <v>1</v>
      </c>
      <c r="T174" s="4">
        <f ca="1">IF(S174=1,T$3*Q173/Prices!Q173,-T$3*R173)</f>
        <v>0</v>
      </c>
      <c r="V174" s="13"/>
      <c r="W174" s="4"/>
      <c r="X174" s="4"/>
      <c r="Y174" s="4"/>
      <c r="Z174" s="4"/>
      <c r="AA174" s="4"/>
      <c r="AB174" s="4"/>
      <c r="AC174" s="4"/>
      <c r="AD174" s="4"/>
      <c r="AE174" s="52"/>
    </row>
    <row r="175" spans="1:31" x14ac:dyDescent="0.2">
      <c r="A175" s="66">
        <v>43420</v>
      </c>
      <c r="B175" s="13">
        <f ca="1">Prices!Q174*(1+J175/(50*(ABS(O175)+ABS(T175)+0.0001)))</f>
        <v>207.01641372434281</v>
      </c>
      <c r="C175" s="62">
        <f t="shared" ca="1" si="22"/>
        <v>0</v>
      </c>
      <c r="D175" s="13">
        <f ca="1">D174+C175*(Prices!Q175-Prices!Q174)/Prices!Q174</f>
        <v>4.8154497087365264</v>
      </c>
      <c r="E175" s="13">
        <f t="shared" ca="1" si="18"/>
        <v>0.9527617379246589</v>
      </c>
      <c r="F175" s="13">
        <f t="shared" ca="1" si="19"/>
        <v>5.7682114466611853</v>
      </c>
      <c r="G175" s="21">
        <f ca="1">IF((Prices!Q175-Prices!Q174)*C175&gt;0,1,0)</f>
        <v>0</v>
      </c>
      <c r="H175" s="13">
        <f>ABS(Prices!Q175-Prices!Q174)/Prices!Q174</f>
        <v>0.16611766410603734</v>
      </c>
      <c r="I175" s="21"/>
      <c r="J175" s="4">
        <f t="shared" ca="1" si="20"/>
        <v>-2.6729794107515937E-4</v>
      </c>
      <c r="K175" s="13"/>
      <c r="L175" s="13">
        <f ca="1">L174-O175*Prices!Q175</f>
        <v>4.7481281668845066</v>
      </c>
      <c r="M175" s="4">
        <f t="shared" ca="1" si="21"/>
        <v>2.646249616644078E-2</v>
      </c>
      <c r="N175" s="13">
        <f ca="1">IF(Prices!P174&gt;OFFSET(Prices!P174,-$N$3,0),1,-1)</f>
        <v>-1</v>
      </c>
      <c r="O175" s="4">
        <f ca="1">IF(N175=1,O$3*L174/Prices!Q174,-O$3*M174)</f>
        <v>-2.6729794107515937E-4</v>
      </c>
      <c r="P175" s="22"/>
      <c r="Q175" s="13">
        <f ca="1">Q174-T175*Prices!Q175</f>
        <v>1</v>
      </c>
      <c r="R175" s="4">
        <f t="shared" ca="1" si="17"/>
        <v>0.01</v>
      </c>
      <c r="S175" s="13">
        <f ca="1">IF(Prices!D174&gt;OFFSET(Prices!D174,-S$3,0),1,-1)</f>
        <v>1</v>
      </c>
      <c r="T175" s="4">
        <f ca="1">IF(S175=1,T$3*Q174/Prices!Q174,-T$3*R174)</f>
        <v>0</v>
      </c>
      <c r="V175" s="13"/>
      <c r="W175" s="4"/>
      <c r="X175" s="4"/>
      <c r="Y175" s="4"/>
      <c r="Z175" s="4"/>
      <c r="AA175" s="4"/>
      <c r="AB175" s="4"/>
      <c r="AC175" s="4"/>
      <c r="AD175" s="4"/>
      <c r="AE175" s="52"/>
    </row>
    <row r="176" spans="1:31" x14ac:dyDescent="0.2">
      <c r="A176" s="66">
        <v>43427</v>
      </c>
      <c r="B176" s="13">
        <f ca="1">Prices!Q175*(1+J176/(50*(ABS(O176)+ABS(T176)+0.0001)))</f>
        <v>172.634323230717</v>
      </c>
      <c r="C176" s="62">
        <f t="shared" ca="1" si="22"/>
        <v>0</v>
      </c>
      <c r="D176" s="13">
        <f ca="1">D175+C176*(Prices!Q176-Prices!Q175)/Prices!Q175</f>
        <v>4.8154497087365264</v>
      </c>
      <c r="E176" s="13">
        <f t="shared" ca="1" si="18"/>
        <v>0.9527617379246589</v>
      </c>
      <c r="F176" s="13">
        <f t="shared" ca="1" si="19"/>
        <v>5.7682114466611853</v>
      </c>
      <c r="G176" s="21">
        <f ca="1">IF((Prices!Q176-Prices!Q175)*C176&gt;0,1,0)</f>
        <v>0</v>
      </c>
      <c r="H176" s="13">
        <f>ABS(Prices!Q176-Prices!Q175)/Prices!Q175</f>
        <v>0.29616332856295824</v>
      </c>
      <c r="I176" s="21"/>
      <c r="J176" s="4">
        <f t="shared" ca="1" si="20"/>
        <v>-2.6462496166440781E-4</v>
      </c>
      <c r="K176" s="13"/>
      <c r="L176" s="13">
        <f ca="1">L175-O176*Prices!Q176</f>
        <v>4.7807553656286315</v>
      </c>
      <c r="M176" s="4">
        <f t="shared" ca="1" si="21"/>
        <v>2.6197871204776371E-2</v>
      </c>
      <c r="N176" s="13">
        <f ca="1">IF(Prices!P175&gt;OFFSET(Prices!P175,-$N$3,0),1,-1)</f>
        <v>-1</v>
      </c>
      <c r="O176" s="4">
        <f ca="1">IF(N176=1,O$3*L175/Prices!Q175,-O$3*M175)</f>
        <v>-2.6462496166440781E-4</v>
      </c>
      <c r="P176" s="22"/>
      <c r="Q176" s="13">
        <f ca="1">Q175-T176*Prices!Q176</f>
        <v>1</v>
      </c>
      <c r="R176" s="4">
        <f t="shared" ca="1" si="17"/>
        <v>0.01</v>
      </c>
      <c r="S176" s="13">
        <f ca="1">IF(Prices!D175&gt;OFFSET(Prices!D175,-S$3,0),1,-1)</f>
        <v>1</v>
      </c>
      <c r="T176" s="4">
        <f ca="1">IF(S176=1,T$3*Q175/Prices!Q175,-T$3*R175)</f>
        <v>0</v>
      </c>
      <c r="V176" s="13"/>
      <c r="W176" s="4"/>
      <c r="X176" s="4"/>
      <c r="Y176" s="4"/>
      <c r="Z176" s="4"/>
      <c r="AA176" s="4"/>
      <c r="AB176" s="4"/>
      <c r="AC176" s="4"/>
      <c r="AD176" s="4"/>
      <c r="AE176" s="52"/>
    </row>
    <row r="177" spans="1:31" x14ac:dyDescent="0.2">
      <c r="A177" s="66">
        <v>43434</v>
      </c>
      <c r="B177" s="13">
        <f ca="1">Prices!Q176*(1+J177/(50*(ABS(O177)+ABS(T177)+0.0001)))</f>
        <v>121.51131146006769</v>
      </c>
      <c r="C177" s="62">
        <f t="shared" ca="1" si="22"/>
        <v>0</v>
      </c>
      <c r="D177" s="13">
        <f ca="1">D176+C177*(Prices!Q177-Prices!Q176)/Prices!Q176</f>
        <v>4.8154497087365264</v>
      </c>
      <c r="E177" s="13">
        <f t="shared" ca="1" si="18"/>
        <v>0.9527617379246589</v>
      </c>
      <c r="F177" s="13">
        <f t="shared" ca="1" si="19"/>
        <v>5.7682114466611853</v>
      </c>
      <c r="G177" s="21">
        <f ca="1">IF((Prices!Q177-Prices!Q176)*C177&gt;0,1,0)</f>
        <v>0</v>
      </c>
      <c r="H177" s="13">
        <f>ABS(Prices!Q177-Prices!Q176)/Prices!Q176</f>
        <v>8.2116055380808003E-2</v>
      </c>
      <c r="I177" s="21"/>
      <c r="J177" s="4">
        <f t="shared" ca="1" si="20"/>
        <v>-2.6197871204776369E-4</v>
      </c>
      <c r="K177" s="13"/>
      <c r="L177" s="13">
        <f ca="1">L176-O177*Prices!Q177</f>
        <v>4.8104038676949115</v>
      </c>
      <c r="M177" s="4">
        <f t="shared" ca="1" si="21"/>
        <v>2.5935892492728607E-2</v>
      </c>
      <c r="N177" s="13">
        <f ca="1">IF(Prices!P176&gt;OFFSET(Prices!P176,-$N$3,0),1,-1)</f>
        <v>-1</v>
      </c>
      <c r="O177" s="4">
        <f ca="1">IF(N177=1,O$3*L176/Prices!Q176,-O$3*M176)</f>
        <v>-2.6197871204776369E-4</v>
      </c>
      <c r="P177" s="22"/>
      <c r="Q177" s="13">
        <f ca="1">Q176-T177*Prices!Q177</f>
        <v>1</v>
      </c>
      <c r="R177" s="4">
        <f t="shared" ca="1" si="17"/>
        <v>0.01</v>
      </c>
      <c r="S177" s="13">
        <f ca="1">IF(Prices!D176&gt;OFFSET(Prices!D176,-S$3,0),1,-1)</f>
        <v>-1</v>
      </c>
      <c r="T177" s="4">
        <f ca="1">IF(S177=1,T$3*Q176/Prices!Q176,-T$3*R176)</f>
        <v>0</v>
      </c>
      <c r="V177" s="13"/>
      <c r="W177" s="4"/>
      <c r="X177" s="4"/>
      <c r="Y177" s="4"/>
      <c r="Z177" s="4"/>
      <c r="AA177" s="4"/>
      <c r="AB177" s="4"/>
      <c r="AC177" s="4"/>
      <c r="AD177" s="4"/>
      <c r="AE177" s="52"/>
    </row>
    <row r="178" spans="1:31" x14ac:dyDescent="0.2">
      <c r="A178" s="66">
        <v>43441</v>
      </c>
      <c r="B178" s="13">
        <f ca="1">Prices!Q177*(1+J178/(50*(ABS(O178)+ABS(T178)+0.0001)))</f>
        <v>111.53784037175532</v>
      </c>
      <c r="C178" s="62">
        <f t="shared" ca="1" si="22"/>
        <v>0</v>
      </c>
      <c r="D178" s="13">
        <f ca="1">D177+C178*(Prices!Q178-Prices!Q177)/Prices!Q177</f>
        <v>4.8154497087365264</v>
      </c>
      <c r="E178" s="13">
        <f t="shared" ca="1" si="18"/>
        <v>0.9527617379246589</v>
      </c>
      <c r="F178" s="13">
        <f t="shared" ca="1" si="19"/>
        <v>5.7682114466611853</v>
      </c>
      <c r="G178" s="21">
        <f ca="1">IF((Prices!Q178-Prices!Q177)*C178&gt;0,1,0)</f>
        <v>0</v>
      </c>
      <c r="H178" s="13">
        <f>ABS(Prices!Q178-Prices!Q177)/Prices!Q177</f>
        <v>0.17563493085891121</v>
      </c>
      <c r="I178" s="21"/>
      <c r="J178" s="4">
        <f t="shared" ca="1" si="20"/>
        <v>-2.5935892492728608E-4</v>
      </c>
      <c r="K178" s="13"/>
      <c r="L178" s="13">
        <f ca="1">L177-O178*Prices!Q178</f>
        <v>4.8346006452561525</v>
      </c>
      <c r="M178" s="4">
        <f t="shared" ca="1" si="21"/>
        <v>2.5676533567801321E-2</v>
      </c>
      <c r="N178" s="13">
        <f ca="1">IF(Prices!P177&gt;OFFSET(Prices!P177,-$N$3,0),1,-1)</f>
        <v>-1</v>
      </c>
      <c r="O178" s="4">
        <f ca="1">IF(N178=1,O$3*L177/Prices!Q177,-O$3*M177)</f>
        <v>-2.5935892492728608E-4</v>
      </c>
      <c r="P178" s="22"/>
      <c r="Q178" s="13">
        <f ca="1">Q177-T178*Prices!Q178</f>
        <v>1</v>
      </c>
      <c r="R178" s="4">
        <f t="shared" ca="1" si="17"/>
        <v>0.01</v>
      </c>
      <c r="S178" s="13">
        <f ca="1">IF(Prices!D177&gt;OFFSET(Prices!D177,-S$3,0),1,-1)</f>
        <v>-1</v>
      </c>
      <c r="T178" s="4">
        <f ca="1">IF(S178=1,T$3*Q177/Prices!Q177,-T$3*R177)</f>
        <v>0</v>
      </c>
      <c r="V178" s="13"/>
      <c r="W178" s="4"/>
      <c r="X178" s="4"/>
      <c r="Y178" s="4"/>
      <c r="Z178" s="4"/>
      <c r="AA178" s="4"/>
      <c r="AB178" s="4"/>
      <c r="AC178" s="4"/>
      <c r="AD178" s="4"/>
      <c r="AE178" s="52"/>
    </row>
    <row r="179" spans="1:31" x14ac:dyDescent="0.2">
      <c r="A179" s="66">
        <v>43448</v>
      </c>
      <c r="B179" s="13">
        <f ca="1">Prices!Q178*(1+J179/(50*(ABS(O179)+ABS(T179)+0.0001)))</f>
        <v>91.951674137767696</v>
      </c>
      <c r="C179" s="62">
        <f t="shared" ca="1" si="22"/>
        <v>0</v>
      </c>
      <c r="D179" s="13">
        <f ca="1">D178+C179*(Prices!Q179-Prices!Q178)/Prices!Q178</f>
        <v>4.8154497087365264</v>
      </c>
      <c r="E179" s="13">
        <f t="shared" ca="1" si="18"/>
        <v>0.9527617379246589</v>
      </c>
      <c r="F179" s="13">
        <f t="shared" ca="1" si="19"/>
        <v>5.7682114466611853</v>
      </c>
      <c r="G179" s="21">
        <f ca="1">IF((Prices!Q179-Prices!Q178)*C179&gt;0,1,0)</f>
        <v>0</v>
      </c>
      <c r="H179" s="13">
        <f>ABS(Prices!Q179-Prices!Q178)/Prices!Q178</f>
        <v>9.6321443726575987E-2</v>
      </c>
      <c r="I179" s="21"/>
      <c r="J179" s="4">
        <f t="shared" ca="1" si="20"/>
        <v>-2.5676533567801322E-4</v>
      </c>
      <c r="K179" s="13"/>
      <c r="L179" s="13">
        <f ca="1">L178-O179*Prices!Q179</f>
        <v>4.8562480931790342</v>
      </c>
      <c r="M179" s="4">
        <f t="shared" ca="1" si="21"/>
        <v>2.5419768232123309E-2</v>
      </c>
      <c r="N179" s="13">
        <f ca="1">IF(Prices!P178&gt;OFFSET(Prices!P178,-$N$3,0),1,-1)</f>
        <v>-1</v>
      </c>
      <c r="O179" s="4">
        <f ca="1">IF(N179=1,O$3*L178/Prices!Q178,-O$3*M178)</f>
        <v>-2.5676533567801322E-4</v>
      </c>
      <c r="P179" s="22"/>
      <c r="Q179" s="13">
        <f ca="1">Q178-T179*Prices!Q179</f>
        <v>1</v>
      </c>
      <c r="R179" s="4">
        <f t="shared" ca="1" si="17"/>
        <v>0.01</v>
      </c>
      <c r="S179" s="13">
        <f ca="1">IF(Prices!D178&gt;OFFSET(Prices!D178,-S$3,0),1,-1)</f>
        <v>-1</v>
      </c>
      <c r="T179" s="4">
        <f ca="1">IF(S179=1,T$3*Q178/Prices!Q178,-T$3*R178)</f>
        <v>0</v>
      </c>
      <c r="V179" s="13"/>
      <c r="W179" s="4"/>
      <c r="X179" s="4"/>
      <c r="Y179" s="4"/>
      <c r="Z179" s="4"/>
      <c r="AA179" s="4"/>
      <c r="AB179" s="4"/>
      <c r="AC179" s="4"/>
      <c r="AD179" s="4"/>
      <c r="AE179" s="52"/>
    </row>
    <row r="180" spans="1:31" x14ac:dyDescent="0.2">
      <c r="A180" s="66">
        <v>43455</v>
      </c>
      <c r="B180" s="13">
        <f ca="1">Prices!Q179*(1+J180/(50*(ABS(O180)+ABS(T180)+0.0001)))</f>
        <v>83.09818229721094</v>
      </c>
      <c r="C180" s="62">
        <f t="shared" ca="1" si="22"/>
        <v>0</v>
      </c>
      <c r="D180" s="13">
        <f ca="1">D179+C180*(Prices!Q180-Prices!Q179)/Prices!Q179</f>
        <v>4.8154497087365264</v>
      </c>
      <c r="E180" s="13">
        <f t="shared" ca="1" si="18"/>
        <v>0.9527617379246589</v>
      </c>
      <c r="F180" s="13">
        <f t="shared" ca="1" si="19"/>
        <v>5.7682114466611853</v>
      </c>
      <c r="G180" s="21">
        <f ca="1">IF((Prices!Q180-Prices!Q179)*C180&gt;0,1,0)</f>
        <v>0</v>
      </c>
      <c r="H180" s="13">
        <f>ABS(Prices!Q180-Prices!Q179)/Prices!Q179</f>
        <v>0.29875986344214567</v>
      </c>
      <c r="I180" s="21"/>
      <c r="J180" s="4">
        <f t="shared" ca="1" si="20"/>
        <v>-2.541976823212331E-4</v>
      </c>
      <c r="K180" s="13"/>
      <c r="L180" s="13">
        <f ca="1">L179-O180*Prices!Q180</f>
        <v>4.8840817813221449</v>
      </c>
      <c r="M180" s="4">
        <f t="shared" ca="1" si="21"/>
        <v>2.5165570549802077E-2</v>
      </c>
      <c r="N180" s="13">
        <f ca="1">IF(Prices!P179&gt;OFFSET(Prices!P179,-$N$3,0),1,-1)</f>
        <v>-1</v>
      </c>
      <c r="O180" s="4">
        <f ca="1">IF(N180=1,O$3*L179/Prices!Q179,-O$3*M179)</f>
        <v>-2.541976823212331E-4</v>
      </c>
      <c r="P180" s="22"/>
      <c r="Q180" s="13">
        <f ca="1">Q179-T180*Prices!Q180</f>
        <v>1</v>
      </c>
      <c r="R180" s="4">
        <f t="shared" ca="1" si="17"/>
        <v>0.01</v>
      </c>
      <c r="S180" s="13">
        <f ca="1">IF(Prices!D179&gt;OFFSET(Prices!D179,-S$3,0),1,-1)</f>
        <v>-1</v>
      </c>
      <c r="T180" s="4">
        <f ca="1">IF(S180=1,T$3*Q179/Prices!Q179,-T$3*R179)</f>
        <v>0</v>
      </c>
      <c r="V180" s="13"/>
      <c r="W180" s="4"/>
      <c r="X180" s="4"/>
      <c r="Y180" s="4"/>
      <c r="Z180" s="4"/>
      <c r="AA180" s="4"/>
      <c r="AB180" s="4"/>
      <c r="AC180" s="4"/>
      <c r="AD180" s="4"/>
      <c r="AE180" s="52"/>
    </row>
    <row r="181" spans="1:31" x14ac:dyDescent="0.2">
      <c r="A181" s="66">
        <v>43462</v>
      </c>
      <c r="B181" s="13">
        <f ca="1">Prices!Q180*(1+J181/(50*(ABS(O181)+ABS(T181)+0.0001)))</f>
        <v>111.28510741162145</v>
      </c>
      <c r="C181" s="62">
        <f t="shared" ca="1" si="22"/>
        <v>1</v>
      </c>
      <c r="D181" s="13">
        <f ca="1">D180+C181*(Prices!Q181-Prices!Q180)/Prices!Q180</f>
        <v>5.0725433707092389</v>
      </c>
      <c r="E181" s="13">
        <f t="shared" ca="1" si="18"/>
        <v>0.69566807595194646</v>
      </c>
      <c r="F181" s="13">
        <f t="shared" ca="1" si="19"/>
        <v>5.7682114466611853</v>
      </c>
      <c r="G181" s="21">
        <f ca="1">IF((Prices!Q181-Prices!Q180)*C181&gt;0,1,0)</f>
        <v>1</v>
      </c>
      <c r="H181" s="13">
        <f>ABS(Prices!Q181-Prices!Q180)/Prices!Q180</f>
        <v>0.25709366197271222</v>
      </c>
      <c r="I181" s="21"/>
      <c r="J181" s="4">
        <f t="shared" ca="1" si="20"/>
        <v>4.460502189634404E-4</v>
      </c>
      <c r="K181" s="13"/>
      <c r="L181" s="13">
        <f ca="1">L180-O181*Prices!Q181</f>
        <v>4.8226842988035798</v>
      </c>
      <c r="M181" s="4">
        <f t="shared" ca="1" si="21"/>
        <v>2.5611620768765518E-2</v>
      </c>
      <c r="N181" s="13">
        <f ca="1">IF(Prices!P180&gt;OFFSET(Prices!P180,-$N$3,0),1,-1)</f>
        <v>1</v>
      </c>
      <c r="O181" s="4">
        <f ca="1">IF(N181=1,O$3*L180/Prices!Q180,-O$3*M180)</f>
        <v>4.460502189634404E-4</v>
      </c>
      <c r="P181" s="22"/>
      <c r="Q181" s="13">
        <f ca="1">Q180-T181*Prices!Q181</f>
        <v>1</v>
      </c>
      <c r="R181" s="4">
        <f t="shared" ca="1" si="17"/>
        <v>0.01</v>
      </c>
      <c r="S181" s="13">
        <f ca="1">IF(Prices!D180&gt;OFFSET(Prices!D180,-S$3,0),1,-1)</f>
        <v>-1</v>
      </c>
      <c r="T181" s="4">
        <f ca="1">IF(S181=1,T$3*Q180/Prices!Q180,-T$3*R180)</f>
        <v>0</v>
      </c>
      <c r="V181" s="13"/>
      <c r="W181" s="4"/>
      <c r="X181" s="4"/>
      <c r="Y181" s="4"/>
      <c r="Z181" s="4"/>
      <c r="AA181" s="4"/>
      <c r="AB181" s="4"/>
      <c r="AC181" s="4"/>
      <c r="AD181" s="4"/>
      <c r="AE181" s="52"/>
    </row>
    <row r="182" spans="1:31" x14ac:dyDescent="0.2">
      <c r="A182" s="66">
        <v>43469</v>
      </c>
      <c r="B182" s="13">
        <f ca="1">Prices!Q181*(1+J182/(50*(ABS(O182)+ABS(T182)+0.0001)))</f>
        <v>139.78869107737054</v>
      </c>
      <c r="C182" s="62">
        <f t="shared" ca="1" si="22"/>
        <v>1</v>
      </c>
      <c r="D182" s="13">
        <f ca="1">D181+C182*(Prices!Q182-Prices!Q181)/Prices!Q181</f>
        <v>5.1955748918134592</v>
      </c>
      <c r="E182" s="13">
        <f t="shared" ca="1" si="18"/>
        <v>0.57263655484772613</v>
      </c>
      <c r="F182" s="13">
        <f t="shared" ca="1" si="19"/>
        <v>5.7682114466611853</v>
      </c>
      <c r="G182" s="21">
        <f ca="1">IF((Prices!Q182-Prices!Q181)*C182&gt;0,1,0)</f>
        <v>1</v>
      </c>
      <c r="H182" s="13">
        <f>ABS(Prices!Q182-Prices!Q181)/Prices!Q181</f>
        <v>0.12303152110422036</v>
      </c>
      <c r="I182" s="21"/>
      <c r="J182" s="4">
        <f t="shared" ca="1" si="20"/>
        <v>3.5036605724386851E-4</v>
      </c>
      <c r="K182" s="13"/>
      <c r="L182" s="13">
        <f ca="1">L181-O182*Prices!Q182</f>
        <v>4.7685240339646713</v>
      </c>
      <c r="M182" s="4">
        <f t="shared" ca="1" si="21"/>
        <v>2.5961986826009385E-2</v>
      </c>
      <c r="N182" s="13">
        <f ca="1">IF(Prices!P181&gt;OFFSET(Prices!P181,-$N$3,0),1,-1)</f>
        <v>1</v>
      </c>
      <c r="O182" s="4">
        <f ca="1">IF(N182=1,O$3*L181/Prices!Q181,-O$3*M181)</f>
        <v>3.5036605724386851E-4</v>
      </c>
      <c r="P182" s="22"/>
      <c r="Q182" s="13">
        <f ca="1">Q181-T182*Prices!Q182</f>
        <v>1</v>
      </c>
      <c r="R182" s="4">
        <f t="shared" ca="1" si="17"/>
        <v>0.01</v>
      </c>
      <c r="S182" s="13">
        <f ca="1">IF(Prices!D181&gt;OFFSET(Prices!D181,-S$3,0),1,-1)</f>
        <v>-1</v>
      </c>
      <c r="T182" s="4">
        <f ca="1">IF(S182=1,T$3*Q181/Prices!Q181,-T$3*R181)</f>
        <v>0</v>
      </c>
      <c r="V182" s="13"/>
      <c r="W182" s="4"/>
      <c r="X182" s="4"/>
      <c r="Y182" s="4"/>
      <c r="Z182" s="4"/>
      <c r="AA182" s="4"/>
      <c r="AB182" s="4"/>
      <c r="AC182" s="4"/>
      <c r="AD182" s="4"/>
      <c r="AE182" s="52"/>
    </row>
    <row r="183" spans="1:31" x14ac:dyDescent="0.2">
      <c r="A183" s="66">
        <v>43476</v>
      </c>
      <c r="B183" s="13">
        <f ca="1">Prices!Q182*(1+J183/(50*(ABS(O183)+ABS(T183)+0.0001)))</f>
        <v>152.34999752739091</v>
      </c>
      <c r="C183" s="62">
        <f t="shared" ca="1" si="22"/>
        <v>0</v>
      </c>
      <c r="D183" s="13">
        <f ca="1">D182+C183*(Prices!Q183-Prices!Q182)/Prices!Q182</f>
        <v>5.1955748918134592</v>
      </c>
      <c r="E183" s="13">
        <f t="shared" ca="1" si="18"/>
        <v>0.57263655484772613</v>
      </c>
      <c r="F183" s="13">
        <f t="shared" ca="1" si="19"/>
        <v>5.7682114466611853</v>
      </c>
      <c r="G183" s="21">
        <f ca="1">IF((Prices!Q183-Prices!Q182)*C183&gt;0,1,0)</f>
        <v>0</v>
      </c>
      <c r="H183" s="13">
        <f>ABS(Prices!Q183-Prices!Q182)/Prices!Q182</f>
        <v>0.17488210459772982</v>
      </c>
      <c r="I183" s="21"/>
      <c r="J183" s="4">
        <f t="shared" ca="1" si="20"/>
        <v>-2.5961986826009386E-4</v>
      </c>
      <c r="K183" s="13"/>
      <c r="L183" s="13">
        <f ca="1">L182-O183*Prices!Q183</f>
        <v>4.8016381132979671</v>
      </c>
      <c r="M183" s="4">
        <f t="shared" ca="1" si="21"/>
        <v>2.570236695774929E-2</v>
      </c>
      <c r="N183" s="13">
        <f ca="1">IF(Prices!P182&gt;OFFSET(Prices!P182,-$N$3,0),1,-1)</f>
        <v>-1</v>
      </c>
      <c r="O183" s="4">
        <f ca="1">IF(N183=1,O$3*L182/Prices!Q182,-O$3*M182)</f>
        <v>-2.5961986826009386E-4</v>
      </c>
      <c r="P183" s="22"/>
      <c r="Q183" s="13">
        <f ca="1">Q182-T183*Prices!Q183</f>
        <v>1</v>
      </c>
      <c r="R183" s="4">
        <f t="shared" ca="1" si="17"/>
        <v>0.01</v>
      </c>
      <c r="S183" s="13">
        <f ca="1">IF(Prices!D182&gt;OFFSET(Prices!D182,-S$3,0),1,-1)</f>
        <v>-1</v>
      </c>
      <c r="T183" s="4">
        <f ca="1">IF(S183=1,T$3*Q182/Prices!Q182,-T$3*R182)</f>
        <v>0</v>
      </c>
      <c r="V183" s="13"/>
      <c r="W183" s="4"/>
      <c r="X183" s="4"/>
      <c r="Y183" s="4"/>
      <c r="Z183" s="4"/>
      <c r="AA183" s="4"/>
      <c r="AB183" s="4"/>
      <c r="AC183" s="4"/>
      <c r="AD183" s="4"/>
      <c r="AE183" s="52"/>
    </row>
    <row r="184" spans="1:31" x14ac:dyDescent="0.2">
      <c r="A184" s="66">
        <v>43483</v>
      </c>
      <c r="B184" s="13">
        <f ca="1">Prices!Q183*(1+J184/(50*(ABS(O184)+ABS(T184)+0.0001)))</f>
        <v>125.71186756967005</v>
      </c>
      <c r="C184" s="62">
        <f t="shared" ca="1" si="22"/>
        <v>0</v>
      </c>
      <c r="D184" s="13">
        <f ca="1">D183+C184*(Prices!Q184-Prices!Q183)/Prices!Q183</f>
        <v>5.1955748918134592</v>
      </c>
      <c r="E184" s="13">
        <f t="shared" ca="1" si="18"/>
        <v>0.57263655484772613</v>
      </c>
      <c r="F184" s="13">
        <f t="shared" ca="1" si="19"/>
        <v>5.7682114466611853</v>
      </c>
      <c r="G184" s="21">
        <f ca="1">IF((Prices!Q184-Prices!Q183)*C184&gt;0,1,0)</f>
        <v>0</v>
      </c>
      <c r="H184" s="13">
        <f>ABS(Prices!Q184-Prices!Q183)/Prices!Q183</f>
        <v>5.1259497135693534E-2</v>
      </c>
      <c r="I184" s="21"/>
      <c r="J184" s="4">
        <f t="shared" ca="1" si="20"/>
        <v>-2.5702366957749289E-4</v>
      </c>
      <c r="K184" s="13"/>
      <c r="L184" s="13">
        <f ca="1">L183-O184*Prices!Q184</f>
        <v>4.8327406148937406</v>
      </c>
      <c r="M184" s="4">
        <f t="shared" ca="1" si="21"/>
        <v>2.5445343288171798E-2</v>
      </c>
      <c r="N184" s="13">
        <f ca="1">IF(Prices!P183&gt;OFFSET(Prices!P183,-$N$3,0),1,-1)</f>
        <v>-1</v>
      </c>
      <c r="O184" s="4">
        <f ca="1">IF(N184=1,O$3*L183/Prices!Q183,-O$3*M183)</f>
        <v>-2.5702366957749289E-4</v>
      </c>
      <c r="P184" s="22"/>
      <c r="Q184" s="13">
        <f ca="1">Q183-T184*Prices!Q184</f>
        <v>1</v>
      </c>
      <c r="R184" s="4">
        <f t="shared" ca="1" si="17"/>
        <v>0.01</v>
      </c>
      <c r="S184" s="13">
        <f ca="1">IF(Prices!D183&gt;OFFSET(Prices!D183,-S$3,0),1,-1)</f>
        <v>-1</v>
      </c>
      <c r="T184" s="4">
        <f ca="1">IF(S184=1,T$3*Q183/Prices!Q183,-T$3*R183)</f>
        <v>0</v>
      </c>
      <c r="V184" s="13"/>
      <c r="W184" s="4"/>
      <c r="X184" s="4"/>
      <c r="Y184" s="4"/>
      <c r="Z184" s="4"/>
      <c r="AA184" s="4"/>
      <c r="AB184" s="4"/>
      <c r="AC184" s="4"/>
      <c r="AD184" s="4"/>
      <c r="AE184" s="52"/>
    </row>
    <row r="185" spans="1:31" x14ac:dyDescent="0.2">
      <c r="A185" s="66">
        <v>43490</v>
      </c>
      <c r="B185" s="13">
        <f ca="1">Prices!Q184*(1+J185/(50*(ABS(O185)+ABS(T185)+0.0001)))</f>
        <v>119.27285597013139</v>
      </c>
      <c r="C185" s="62">
        <f t="shared" ca="1" si="22"/>
        <v>0</v>
      </c>
      <c r="D185" s="13">
        <f ca="1">D184+C185*(Prices!Q185-Prices!Q184)/Prices!Q184</f>
        <v>5.1955748918134592</v>
      </c>
      <c r="E185" s="13">
        <f t="shared" ca="1" si="18"/>
        <v>0.57263655484772613</v>
      </c>
      <c r="F185" s="13">
        <f t="shared" ca="1" si="19"/>
        <v>5.7682114466611853</v>
      </c>
      <c r="G185" s="21">
        <f ca="1">IF((Prices!Q185-Prices!Q184)*C185&gt;0,1,0)</f>
        <v>0</v>
      </c>
      <c r="H185" s="13">
        <f>ABS(Prices!Q185-Prices!Q184)/Prices!Q184</f>
        <v>3.8277084302156074E-2</v>
      </c>
      <c r="I185" s="21"/>
      <c r="J185" s="4">
        <f t="shared" ca="1" si="20"/>
        <v>-2.5445343288171796E-4</v>
      </c>
      <c r="K185" s="13"/>
      <c r="L185" s="13">
        <f ca="1">L184-O185*Prices!Q185</f>
        <v>4.8623534835287234</v>
      </c>
      <c r="M185" s="4">
        <f t="shared" ca="1" si="21"/>
        <v>2.5190889855290079E-2</v>
      </c>
      <c r="N185" s="13">
        <f ca="1">IF(Prices!P184&gt;OFFSET(Prices!P184,-$N$3,0),1,-1)</f>
        <v>-1</v>
      </c>
      <c r="O185" s="4">
        <f ca="1">IF(N185=1,O$3*L184/Prices!Q184,-O$3*M184)</f>
        <v>-2.5445343288171796E-4</v>
      </c>
      <c r="P185" s="22"/>
      <c r="Q185" s="13">
        <f ca="1">Q184-T185*Prices!Q185</f>
        <v>1</v>
      </c>
      <c r="R185" s="4">
        <f t="shared" ca="1" si="17"/>
        <v>0.01</v>
      </c>
      <c r="S185" s="13">
        <f ca="1">IF(Prices!D184&gt;OFFSET(Prices!D184,-S$3,0),1,-1)</f>
        <v>-1</v>
      </c>
      <c r="T185" s="4">
        <f ca="1">IF(S185=1,T$3*Q184/Prices!Q184,-T$3*R184)</f>
        <v>0</v>
      </c>
      <c r="V185" s="13"/>
      <c r="W185" s="4"/>
      <c r="X185" s="4"/>
      <c r="Y185" s="4"/>
      <c r="Z185" s="4"/>
      <c r="AA185" s="4"/>
      <c r="AB185" s="4"/>
      <c r="AC185" s="4"/>
      <c r="AD185" s="4"/>
      <c r="AE185" s="52"/>
    </row>
    <row r="186" spans="1:31" x14ac:dyDescent="0.2">
      <c r="A186" s="66">
        <v>43497</v>
      </c>
      <c r="B186" s="13">
        <f ca="1">Prices!Q185*(1+J186/(50*(ABS(O186)+ABS(T186)+0.0001)))</f>
        <v>114.71218692013773</v>
      </c>
      <c r="C186" s="62">
        <f t="shared" ca="1" si="22"/>
        <v>0</v>
      </c>
      <c r="D186" s="13">
        <f ca="1">D185+C186*(Prices!Q186-Prices!Q185)/Prices!Q185</f>
        <v>5.1955748918134592</v>
      </c>
      <c r="E186" s="13">
        <f t="shared" ca="1" si="18"/>
        <v>0.57263655484772613</v>
      </c>
      <c r="F186" s="13">
        <f t="shared" ca="1" si="19"/>
        <v>5.7682114466611853</v>
      </c>
      <c r="G186" s="21">
        <f ca="1">IF((Prices!Q186-Prices!Q185)*C186&gt;0,1,0)</f>
        <v>0</v>
      </c>
      <c r="H186" s="13">
        <f>ABS(Prices!Q186-Prices!Q185)/Prices!Q185</f>
        <v>7.5345247657850348E-2</v>
      </c>
      <c r="I186" s="21"/>
      <c r="J186" s="4">
        <f t="shared" ca="1" si="20"/>
        <v>-2.5190889855290077E-4</v>
      </c>
      <c r="K186" s="13"/>
      <c r="L186" s="13">
        <f ca="1">L185-O186*Prices!Q186</f>
        <v>4.8894613464454055</v>
      </c>
      <c r="M186" s="4">
        <f t="shared" ca="1" si="21"/>
        <v>2.4938980956737179E-2</v>
      </c>
      <c r="N186" s="13">
        <f ca="1">IF(Prices!P185&gt;OFFSET(Prices!P185,-$N$3,0),1,-1)</f>
        <v>-1</v>
      </c>
      <c r="O186" s="4">
        <f ca="1">IF(N186=1,O$3*L185/Prices!Q185,-O$3*M185)</f>
        <v>-2.5190889855290077E-4</v>
      </c>
      <c r="P186" s="22"/>
      <c r="Q186" s="13">
        <f ca="1">Q185-T186*Prices!Q186</f>
        <v>1</v>
      </c>
      <c r="R186" s="4">
        <f t="shared" ca="1" si="17"/>
        <v>0.01</v>
      </c>
      <c r="S186" s="13">
        <f ca="1">IF(Prices!D185&gt;OFFSET(Prices!D185,-S$3,0),1,-1)</f>
        <v>1</v>
      </c>
      <c r="T186" s="4">
        <f ca="1">IF(S186=1,T$3*Q185/Prices!Q185,-T$3*R185)</f>
        <v>0</v>
      </c>
      <c r="V186" s="13"/>
      <c r="W186" s="4"/>
      <c r="X186" s="4"/>
      <c r="Y186" s="4"/>
      <c r="Z186" s="4"/>
      <c r="AA186" s="4"/>
      <c r="AB186" s="4"/>
      <c r="AC186" s="4"/>
      <c r="AD186" s="4"/>
      <c r="AE186" s="52"/>
    </row>
    <row r="187" spans="1:31" x14ac:dyDescent="0.2">
      <c r="A187" s="66">
        <v>43504</v>
      </c>
      <c r="B187" s="13">
        <f ca="1">Prices!Q186*(1+J187/(50*(ABS(O187)+ABS(T187)+0.0001)))</f>
        <v>106.07357824103558</v>
      </c>
      <c r="C187" s="62">
        <f t="shared" ca="1" si="22"/>
        <v>0</v>
      </c>
      <c r="D187" s="13">
        <f ca="1">D186+C187*(Prices!Q187-Prices!Q186)/Prices!Q186</f>
        <v>5.1955748918134592</v>
      </c>
      <c r="E187" s="13">
        <f t="shared" ca="1" si="18"/>
        <v>0.57263655484772613</v>
      </c>
      <c r="F187" s="13">
        <f t="shared" ca="1" si="19"/>
        <v>5.7682114466611853</v>
      </c>
      <c r="G187" s="21">
        <f ca="1">IF((Prices!Q187-Prices!Q186)*C187&gt;0,1,0)</f>
        <v>0</v>
      </c>
      <c r="H187" s="13">
        <f>ABS(Prices!Q187-Prices!Q186)/Prices!Q186</f>
        <v>0.10833548996802685</v>
      </c>
      <c r="I187" s="21"/>
      <c r="J187" s="4">
        <f t="shared" ca="1" si="20"/>
        <v>-2.4938980956737178E-4</v>
      </c>
      <c r="K187" s="13"/>
      <c r="L187" s="13">
        <f ca="1">L186-O187*Prices!Q187</f>
        <v>4.9192055069078755</v>
      </c>
      <c r="M187" s="4">
        <f t="shared" ca="1" si="21"/>
        <v>2.4689591147169808E-2</v>
      </c>
      <c r="N187" s="13">
        <f ca="1">IF(Prices!P186&gt;OFFSET(Prices!P186,-$N$3,0),1,-1)</f>
        <v>-1</v>
      </c>
      <c r="O187" s="4">
        <f ca="1">IF(N187=1,O$3*L186/Prices!Q186,-O$3*M186)</f>
        <v>-2.4938980956737178E-4</v>
      </c>
      <c r="P187" s="22"/>
      <c r="Q187" s="13">
        <f ca="1">Q186-T187*Prices!Q187</f>
        <v>1</v>
      </c>
      <c r="R187" s="4">
        <f t="shared" ca="1" si="17"/>
        <v>0.01</v>
      </c>
      <c r="S187" s="13">
        <f ca="1">IF(Prices!D186&gt;OFFSET(Prices!D186,-S$3,0),1,-1)</f>
        <v>1</v>
      </c>
      <c r="T187" s="4">
        <f ca="1">IF(S187=1,T$3*Q186/Prices!Q186,-T$3*R186)</f>
        <v>0</v>
      </c>
      <c r="V187" s="13"/>
      <c r="W187" s="4"/>
      <c r="X187" s="4"/>
      <c r="Y187" s="4"/>
      <c r="Z187" s="4"/>
      <c r="AA187" s="4"/>
      <c r="AB187" s="4"/>
      <c r="AC187" s="4"/>
      <c r="AD187" s="4"/>
      <c r="AE187" s="52"/>
    </row>
    <row r="188" spans="1:31" x14ac:dyDescent="0.2">
      <c r="A188" s="66">
        <v>43511</v>
      </c>
      <c r="B188" s="13">
        <f ca="1">Prices!Q187*(1+J188/(50*(ABS(O188)+ABS(T188)+0.0001)))</f>
        <v>121.18762095865456</v>
      </c>
      <c r="C188" s="62">
        <f t="shared" ca="1" si="22"/>
        <v>1</v>
      </c>
      <c r="D188" s="13">
        <f ca="1">D187+C188*(Prices!Q188-Prices!Q187)/Prices!Q187</f>
        <v>5.2193251687743398</v>
      </c>
      <c r="E188" s="13">
        <f t="shared" ca="1" si="18"/>
        <v>0.54888627788684552</v>
      </c>
      <c r="F188" s="13">
        <f t="shared" ca="1" si="19"/>
        <v>5.7682114466611853</v>
      </c>
      <c r="G188" s="21">
        <f ca="1">IF((Prices!Q188-Prices!Q187)*C188&gt;0,1,0)</f>
        <v>1</v>
      </c>
      <c r="H188" s="13">
        <f>ABS(Prices!Q188-Prices!Q187)/Prices!Q187</f>
        <v>2.3750276960880879E-2</v>
      </c>
      <c r="I188" s="21"/>
      <c r="J188" s="4">
        <f t="shared" ca="1" si="20"/>
        <v>4.1245061400823951E-4</v>
      </c>
      <c r="K188" s="13"/>
      <c r="L188" s="13">
        <f ca="1">L187-O188*Prices!Q188</f>
        <v>4.8688451269066313</v>
      </c>
      <c r="M188" s="4">
        <f t="shared" ca="1" si="21"/>
        <v>2.5102041761178046E-2</v>
      </c>
      <c r="N188" s="13">
        <f ca="1">IF(Prices!P187&gt;OFFSET(Prices!P187,-$N$3,0),1,-1)</f>
        <v>1</v>
      </c>
      <c r="O188" s="4">
        <f ca="1">IF(N188=1,O$3*L187/Prices!Q187,-O$3*M187)</f>
        <v>4.1245061400823951E-4</v>
      </c>
      <c r="P188" s="22"/>
      <c r="Q188" s="13">
        <f ca="1">Q187-T188*Prices!Q188</f>
        <v>1</v>
      </c>
      <c r="R188" s="4">
        <f t="shared" ca="1" si="17"/>
        <v>0.01</v>
      </c>
      <c r="S188" s="13">
        <f ca="1">IF(Prices!D187&gt;OFFSET(Prices!D187,-S$3,0),1,-1)</f>
        <v>1</v>
      </c>
      <c r="T188" s="4">
        <f ca="1">IF(S188=1,T$3*Q187/Prices!Q187,-T$3*R187)</f>
        <v>0</v>
      </c>
      <c r="V188" s="13"/>
      <c r="W188" s="4"/>
      <c r="X188" s="4"/>
      <c r="Y188" s="4"/>
      <c r="Z188" s="4"/>
      <c r="AA188" s="4"/>
      <c r="AB188" s="4"/>
      <c r="AC188" s="4"/>
      <c r="AD188" s="4"/>
      <c r="AE188" s="52"/>
    </row>
    <row r="189" spans="1:31" x14ac:dyDescent="0.2">
      <c r="A189" s="66">
        <v>43518</v>
      </c>
      <c r="B189" s="13">
        <f ca="1">Prices!Q188*(1+J189/(50*(ABS(O189)+ABS(T189)+0.0001)))</f>
        <v>124.05277755328116</v>
      </c>
      <c r="C189" s="62">
        <f t="shared" ca="1" si="22"/>
        <v>1</v>
      </c>
      <c r="D189" s="13">
        <f ca="1">D188+C189*(Prices!Q189-Prices!Q188)/Prices!Q188</f>
        <v>5.4403896997076897</v>
      </c>
      <c r="E189" s="13">
        <f t="shared" ca="1" si="18"/>
        <v>0.32782174695349564</v>
      </c>
      <c r="F189" s="13">
        <f t="shared" ca="1" si="19"/>
        <v>5.7682114466611853</v>
      </c>
      <c r="G189" s="21">
        <f ca="1">IF((Prices!Q189-Prices!Q188)*C189&gt;0,1,0)</f>
        <v>1</v>
      </c>
      <c r="H189" s="13">
        <f>ABS(Prices!Q189-Prices!Q188)/Prices!Q188</f>
        <v>0.2210645309333498</v>
      </c>
      <c r="I189" s="21"/>
      <c r="J189" s="4">
        <f t="shared" ca="1" si="20"/>
        <v>3.9875754751136672E-4</v>
      </c>
      <c r="K189" s="13"/>
      <c r="L189" s="13">
        <f ca="1">L188-O189*Prices!Q189</f>
        <v>4.8093933859958975</v>
      </c>
      <c r="M189" s="4">
        <f t="shared" ca="1" si="21"/>
        <v>2.5500799308689412E-2</v>
      </c>
      <c r="N189" s="13">
        <f ca="1">IF(Prices!P188&gt;OFFSET(Prices!P188,-$N$3,0),1,-1)</f>
        <v>1</v>
      </c>
      <c r="O189" s="4">
        <f ca="1">IF(N189=1,O$3*L188/Prices!Q188,-O$3*M188)</f>
        <v>3.9875754751136672E-4</v>
      </c>
      <c r="P189" s="22"/>
      <c r="Q189" s="13">
        <f ca="1">Q188-T189*Prices!Q189</f>
        <v>1</v>
      </c>
      <c r="R189" s="4">
        <f t="shared" ca="1" si="17"/>
        <v>0.01</v>
      </c>
      <c r="S189" s="13">
        <f ca="1">IF(Prices!D188&gt;OFFSET(Prices!D188,-S$3,0),1,-1)</f>
        <v>1</v>
      </c>
      <c r="T189" s="4">
        <f ca="1">IF(S189=1,T$3*Q188/Prices!Q188,-T$3*R188)</f>
        <v>0</v>
      </c>
      <c r="V189" s="13"/>
      <c r="W189" s="4"/>
      <c r="X189" s="4"/>
      <c r="Y189" s="4"/>
      <c r="Z189" s="4"/>
      <c r="AA189" s="4"/>
      <c r="AB189" s="4"/>
      <c r="AC189" s="4"/>
      <c r="AD189" s="4"/>
      <c r="AE189" s="52"/>
    </row>
    <row r="190" spans="1:31" x14ac:dyDescent="0.2">
      <c r="A190" s="66">
        <v>43525</v>
      </c>
      <c r="B190" s="13">
        <f ca="1">Prices!Q189*(1+J190/(50*(ABS(O190)+ABS(T190)+0.0001)))</f>
        <v>151.3686691113794</v>
      </c>
      <c r="C190" s="62">
        <f t="shared" ca="1" si="22"/>
        <v>1</v>
      </c>
      <c r="D190" s="13">
        <f ca="1">D189+C190*(Prices!Q190-Prices!Q189)/Prices!Q189</f>
        <v>5.3555508380115846</v>
      </c>
      <c r="E190" s="13">
        <f t="shared" ca="1" si="18"/>
        <v>0.41266060864960075</v>
      </c>
      <c r="F190" s="13">
        <f t="shared" ca="1" si="19"/>
        <v>5.7682114466611853</v>
      </c>
      <c r="G190" s="21">
        <f ca="1">IF((Prices!Q190-Prices!Q189)*C190&gt;0,1,0)</f>
        <v>0</v>
      </c>
      <c r="H190" s="13">
        <f>ABS(Prices!Q190-Prices!Q189)/Prices!Q189</f>
        <v>8.4838861696104717E-2</v>
      </c>
      <c r="I190" s="21"/>
      <c r="J190" s="4">
        <f t="shared" ca="1" si="20"/>
        <v>3.225779232430965E-4</v>
      </c>
      <c r="K190" s="13"/>
      <c r="L190" s="13">
        <f ca="1">L189-O190*Prices!Q190</f>
        <v>4.7653796867391049</v>
      </c>
      <c r="M190" s="4">
        <f t="shared" ca="1" si="21"/>
        <v>2.5823377231932509E-2</v>
      </c>
      <c r="N190" s="13">
        <f ca="1">IF(Prices!P189&gt;OFFSET(Prices!P189,-$N$3,0),1,-1)</f>
        <v>1</v>
      </c>
      <c r="O190" s="4">
        <f ca="1">IF(N190=1,O$3*L189/Prices!Q189,-O$3*M189)</f>
        <v>3.225779232430965E-4</v>
      </c>
      <c r="P190" s="22"/>
      <c r="Q190" s="13">
        <f ca="1">Q189-T190*Prices!Q190</f>
        <v>1</v>
      </c>
      <c r="R190" s="4">
        <f t="shared" ca="1" si="17"/>
        <v>0.01</v>
      </c>
      <c r="S190" s="13">
        <f ca="1">IF(Prices!D189&gt;OFFSET(Prices!D189,-S$3,0),1,-1)</f>
        <v>1</v>
      </c>
      <c r="T190" s="4">
        <f ca="1">IF(S190=1,T$3*Q189/Prices!Q189,-T$3*R189)</f>
        <v>0</v>
      </c>
      <c r="V190" s="13"/>
      <c r="W190" s="4"/>
      <c r="X190" s="4"/>
      <c r="Y190" s="4"/>
      <c r="Z190" s="4"/>
      <c r="AA190" s="4"/>
      <c r="AB190" s="4"/>
      <c r="AC190" s="4"/>
      <c r="AD190" s="4"/>
      <c r="AE190" s="52"/>
    </row>
    <row r="191" spans="1:31" x14ac:dyDescent="0.2">
      <c r="A191" s="66">
        <v>43532</v>
      </c>
      <c r="B191" s="13">
        <f ca="1">Prices!Q190*(1+J191/(50*(ABS(O191)+ABS(T191)+0.0001)))</f>
        <v>138.5650714659219</v>
      </c>
      <c r="C191" s="62">
        <f t="shared" ca="1" si="22"/>
        <v>1</v>
      </c>
      <c r="D191" s="13">
        <f ca="1">D190+C191*(Prices!Q191-Prices!Q190)/Prices!Q190</f>
        <v>5.3459018415275494</v>
      </c>
      <c r="E191" s="13">
        <f t="shared" ca="1" si="18"/>
        <v>0.42230960513363591</v>
      </c>
      <c r="F191" s="13">
        <f t="shared" ca="1" si="19"/>
        <v>5.7682114466611853</v>
      </c>
      <c r="G191" s="21">
        <f ca="1">IF((Prices!Q191-Prices!Q190)*C191&gt;0,1,0)</f>
        <v>0</v>
      </c>
      <c r="H191" s="13">
        <f>ABS(Prices!Q191-Prices!Q190)/Prices!Q190</f>
        <v>9.6489964840350759E-3</v>
      </c>
      <c r="I191" s="21"/>
      <c r="J191" s="4">
        <f t="shared" ca="1" si="20"/>
        <v>3.4925632445582559E-4</v>
      </c>
      <c r="K191" s="13"/>
      <c r="L191" s="13">
        <f ca="1">L190-O191*Prices!Q191</f>
        <v>4.718185701190138</v>
      </c>
      <c r="M191" s="4">
        <f t="shared" ca="1" si="21"/>
        <v>2.6172633556388335E-2</v>
      </c>
      <c r="N191" s="13">
        <f ca="1">IF(Prices!P190&gt;OFFSET(Prices!P190,-$N$3,0),1,-1)</f>
        <v>1</v>
      </c>
      <c r="O191" s="4">
        <f ca="1">IF(N191=1,O$3*L190/Prices!Q190,-O$3*M190)</f>
        <v>3.4925632445582559E-4</v>
      </c>
      <c r="P191" s="22"/>
      <c r="Q191" s="13">
        <f ca="1">Q190-T191*Prices!Q191</f>
        <v>1</v>
      </c>
      <c r="R191" s="4">
        <f t="shared" ca="1" si="17"/>
        <v>0.01</v>
      </c>
      <c r="S191" s="13">
        <f ca="1">IF(Prices!D190&gt;OFFSET(Prices!D190,-S$3,0),1,-1)</f>
        <v>1</v>
      </c>
      <c r="T191" s="4">
        <f ca="1">IF(S191=1,T$3*Q190/Prices!Q190,-T$3*R190)</f>
        <v>0</v>
      </c>
      <c r="V191" s="13"/>
      <c r="W191" s="4"/>
      <c r="X191" s="4"/>
      <c r="Y191" s="4"/>
      <c r="Z191" s="4"/>
      <c r="AA191" s="4"/>
      <c r="AB191" s="4"/>
      <c r="AC191" s="4"/>
      <c r="AD191" s="4"/>
      <c r="AE191" s="52"/>
    </row>
    <row r="192" spans="1:31" x14ac:dyDescent="0.2">
      <c r="A192" s="66">
        <v>43539</v>
      </c>
      <c r="B192" s="13">
        <f ca="1">Prices!Q191*(1+J192/(50*(ABS(O192)+ABS(T192)+0.0001)))</f>
        <v>133.17165673496908</v>
      </c>
      <c r="C192" s="62">
        <f t="shared" ca="1" si="22"/>
        <v>0</v>
      </c>
      <c r="D192" s="13">
        <f ca="1">D191+C192*(Prices!Q192-Prices!Q191)/Prices!Q191</f>
        <v>5.3459018415275494</v>
      </c>
      <c r="E192" s="13">
        <f t="shared" ca="1" si="18"/>
        <v>0.42230960513363591</v>
      </c>
      <c r="F192" s="13">
        <f t="shared" ca="1" si="19"/>
        <v>5.7682114466611853</v>
      </c>
      <c r="G192" s="21">
        <f ca="1">IF((Prices!Q192-Prices!Q191)*C192&gt;0,1,0)</f>
        <v>0</v>
      </c>
      <c r="H192" s="13">
        <f>ABS(Prices!Q192-Prices!Q191)/Prices!Q191</f>
        <v>1.8980008262592912E-2</v>
      </c>
      <c r="I192" s="21"/>
      <c r="J192" s="4">
        <f t="shared" ca="1" si="20"/>
        <v>-2.6172633556388337E-4</v>
      </c>
      <c r="K192" s="13"/>
      <c r="L192" s="13">
        <f ca="1">L191-O192*Prices!Q192</f>
        <v>4.7542232683006169</v>
      </c>
      <c r="M192" s="4">
        <f t="shared" ca="1" si="21"/>
        <v>2.5910907220824453E-2</v>
      </c>
      <c r="N192" s="13">
        <f ca="1">IF(Prices!P191&gt;OFFSET(Prices!P191,-$N$3,0),1,-1)</f>
        <v>-1</v>
      </c>
      <c r="O192" s="4">
        <f ca="1">IF(N192=1,O$3*L191/Prices!Q191,-O$3*M191)</f>
        <v>-2.6172633556388337E-4</v>
      </c>
      <c r="P192" s="22"/>
      <c r="Q192" s="13">
        <f ca="1">Q191-T192*Prices!Q192</f>
        <v>1</v>
      </c>
      <c r="R192" s="4">
        <f t="shared" ca="1" si="17"/>
        <v>0.01</v>
      </c>
      <c r="S192" s="13">
        <f ca="1">IF(Prices!D191&gt;OFFSET(Prices!D191,-S$3,0),1,-1)</f>
        <v>1</v>
      </c>
      <c r="T192" s="4">
        <f ca="1">IF(S192=1,T$3*Q191/Prices!Q191,-T$3*R191)</f>
        <v>0</v>
      </c>
      <c r="V192" s="13"/>
      <c r="W192" s="4"/>
      <c r="X192" s="4"/>
      <c r="Y192" s="4"/>
      <c r="Z192" s="4"/>
      <c r="AA192" s="4"/>
      <c r="AB192" s="4"/>
      <c r="AC192" s="4"/>
      <c r="AD192" s="4"/>
      <c r="AE192" s="52"/>
    </row>
    <row r="193" spans="1:31" x14ac:dyDescent="0.2">
      <c r="A193" s="66">
        <v>43546</v>
      </c>
      <c r="B193" s="13">
        <f ca="1">Prices!Q192*(1+J193/(50*(ABS(O193)+ABS(T193)+0.0001)))</f>
        <v>139.82717352295424</v>
      </c>
      <c r="C193" s="62">
        <f t="shared" ca="1" si="22"/>
        <v>1</v>
      </c>
      <c r="D193" s="13">
        <f ca="1">D192+C193*(Prices!Q193-Prices!Q192)/Prices!Q192</f>
        <v>5.3421954040746495</v>
      </c>
      <c r="E193" s="13">
        <f t="shared" ca="1" si="18"/>
        <v>0.4260160425865358</v>
      </c>
      <c r="F193" s="13">
        <f t="shared" ca="1" si="19"/>
        <v>5.7682114466611853</v>
      </c>
      <c r="G193" s="21">
        <f ca="1">IF((Prices!Q193-Prices!Q192)*C193&gt;0,1,0)</f>
        <v>0</v>
      </c>
      <c r="H193" s="13">
        <f>ABS(Prices!Q193-Prices!Q192)/Prices!Q192</f>
        <v>3.7064374529002298E-3</v>
      </c>
      <c r="I193" s="21"/>
      <c r="J193" s="4">
        <f t="shared" ca="1" si="20"/>
        <v>3.4528008803986311E-4</v>
      </c>
      <c r="K193" s="13"/>
      <c r="L193" s="13">
        <f ca="1">L192-O193*Prices!Q193</f>
        <v>4.7068572479294213</v>
      </c>
      <c r="M193" s="4">
        <f t="shared" ca="1" si="21"/>
        <v>2.6256187308864316E-2</v>
      </c>
      <c r="N193" s="13">
        <f ca="1">IF(Prices!P192&gt;OFFSET(Prices!P192,-$N$3,0),1,-1)</f>
        <v>1</v>
      </c>
      <c r="O193" s="4">
        <f ca="1">IF(N193=1,O$3*L192/Prices!Q192,-O$3*M192)</f>
        <v>3.4528008803986311E-4</v>
      </c>
      <c r="P193" s="22"/>
      <c r="Q193" s="13">
        <f ca="1">Q192-T193*Prices!Q193</f>
        <v>1</v>
      </c>
      <c r="R193" s="4">
        <f t="shared" ca="1" si="17"/>
        <v>0.01</v>
      </c>
      <c r="S193" s="13">
        <f ca="1">IF(Prices!D192&gt;OFFSET(Prices!D192,-S$3,0),1,-1)</f>
        <v>1</v>
      </c>
      <c r="T193" s="4">
        <f ca="1">IF(S193=1,T$3*Q192/Prices!Q192,-T$3*R192)</f>
        <v>0</v>
      </c>
      <c r="V193" s="13"/>
      <c r="W193" s="4"/>
      <c r="X193" s="4"/>
      <c r="Y193" s="4"/>
      <c r="Z193" s="4"/>
      <c r="AA193" s="4"/>
      <c r="AB193" s="4"/>
      <c r="AC193" s="4"/>
      <c r="AD193" s="4"/>
      <c r="AE193" s="52"/>
    </row>
    <row r="194" spans="1:31" x14ac:dyDescent="0.2">
      <c r="A194" s="66">
        <v>43553</v>
      </c>
      <c r="B194" s="13">
        <f ca="1">Prices!Q193*(1+J194/(50*(ABS(O194)+ABS(T194)+0.0001)))</f>
        <v>139.30589780163751</v>
      </c>
      <c r="C194" s="62">
        <f t="shared" ca="1" si="22"/>
        <v>1</v>
      </c>
      <c r="D194" s="13">
        <f ca="1">D193+C194*(Prices!Q194-Prices!Q193)/Prices!Q193</f>
        <v>5.3809468483115452</v>
      </c>
      <c r="E194" s="13">
        <f t="shared" ca="1" si="18"/>
        <v>0.38726459834964011</v>
      </c>
      <c r="F194" s="13">
        <f t="shared" ca="1" si="19"/>
        <v>5.7682114466611853</v>
      </c>
      <c r="G194" s="21">
        <f ca="1">IF((Prices!Q194-Prices!Q193)*C194&gt;0,1,0)</f>
        <v>1</v>
      </c>
      <c r="H194" s="13">
        <f>ABS(Prices!Q194-Prices!Q193)/Prices!Q193</f>
        <v>3.8751444236896117E-2</v>
      </c>
      <c r="I194" s="21"/>
      <c r="J194" s="4">
        <f t="shared" ref="J194:J227" ca="1" si="23">O194+T194</f>
        <v>3.4311180720271342E-4</v>
      </c>
      <c r="K194" s="13"/>
      <c r="L194" s="13">
        <f ca="1">L193-O194*Prices!Q194</f>
        <v>4.6579647002883853</v>
      </c>
      <c r="M194" s="4">
        <f t="shared" ca="1" si="21"/>
        <v>2.6599299116067031E-2</v>
      </c>
      <c r="N194" s="13">
        <f ca="1">IF(Prices!P193&gt;OFFSET(Prices!P193,-$N$3,0),1,-1)</f>
        <v>1</v>
      </c>
      <c r="O194" s="4">
        <f ca="1">IF(N194=1,O$3*L193/Prices!Q193,-O$3*M193)</f>
        <v>3.4311180720271342E-4</v>
      </c>
      <c r="P194" s="22"/>
      <c r="Q194" s="13">
        <f ca="1">Q193-T194*Prices!Q194</f>
        <v>1</v>
      </c>
      <c r="R194" s="4">
        <f t="shared" ca="1" si="17"/>
        <v>0.01</v>
      </c>
      <c r="S194" s="13">
        <f ca="1">IF(Prices!D193&gt;OFFSET(Prices!D193,-S$3,0),1,-1)</f>
        <v>-1</v>
      </c>
      <c r="T194" s="4">
        <f ca="1">IF(S194=1,T$3*Q193/Prices!Q193,-T$3*R193)</f>
        <v>0</v>
      </c>
      <c r="V194" s="13"/>
      <c r="W194" s="4"/>
      <c r="X194" s="4"/>
      <c r="Y194" s="4"/>
      <c r="Z194" s="4"/>
      <c r="AA194" s="4"/>
      <c r="AB194" s="4"/>
      <c r="AC194" s="4"/>
      <c r="AD194" s="4"/>
      <c r="AE194" s="52"/>
    </row>
    <row r="195" spans="1:31" x14ac:dyDescent="0.2">
      <c r="A195" s="66">
        <v>43560</v>
      </c>
      <c r="B195" s="13">
        <f ca="1">Prices!Q194*(1+J195/(50*(ABS(O195)+ABS(T195)+0.0001)))</f>
        <v>144.6797475585571</v>
      </c>
      <c r="C195" s="62">
        <f t="shared" ca="1" si="22"/>
        <v>1</v>
      </c>
      <c r="D195" s="13">
        <f ca="1">D194+C195*(Prices!Q195-Prices!Q194)/Prices!Q194</f>
        <v>5.5424755681892197</v>
      </c>
      <c r="E195" s="13">
        <f t="shared" ca="1" si="18"/>
        <v>0.22573587847196563</v>
      </c>
      <c r="F195" s="13">
        <f t="shared" ca="1" si="19"/>
        <v>5.7682114466611853</v>
      </c>
      <c r="G195" s="21">
        <f ca="1">IF((Prices!Q195-Prices!Q194)*C195&gt;0,1,0)</f>
        <v>1</v>
      </c>
      <c r="H195" s="13">
        <f>ABS(Prices!Q195-Prices!Q194)/Prices!Q194</f>
        <v>0.16152871987767414</v>
      </c>
      <c r="I195" s="21"/>
      <c r="J195" s="4">
        <f t="shared" ca="1" si="23"/>
        <v>3.2688063177567159E-4</v>
      </c>
      <c r="K195" s="13"/>
      <c r="L195" s="13">
        <f ca="1">L194-O195*Prices!Q195</f>
        <v>4.6038611025327718</v>
      </c>
      <c r="M195" s="4">
        <f t="shared" ca="1" si="21"/>
        <v>2.6926179747842702E-2</v>
      </c>
      <c r="N195" s="13">
        <f ca="1">IF(Prices!P194&gt;OFFSET(Prices!P194,-$N$3,0),1,-1)</f>
        <v>1</v>
      </c>
      <c r="O195" s="4">
        <f ca="1">IF(N195=1,O$3*L194/Prices!Q194,-O$3*M194)</f>
        <v>3.2688063177567159E-4</v>
      </c>
      <c r="P195" s="22"/>
      <c r="Q195" s="13">
        <f ca="1">Q194-T195*Prices!Q195</f>
        <v>1</v>
      </c>
      <c r="R195" s="4">
        <f t="shared" ca="1" si="17"/>
        <v>0.01</v>
      </c>
      <c r="S195" s="13">
        <f ca="1">IF(Prices!D194&gt;OFFSET(Prices!D194,-S$3,0),1,-1)</f>
        <v>-1</v>
      </c>
      <c r="T195" s="4">
        <f ca="1">IF(S195=1,T$3*Q194/Prices!Q194,-T$3*R194)</f>
        <v>0</v>
      </c>
      <c r="V195" s="13"/>
      <c r="W195" s="4"/>
      <c r="X195" s="4"/>
      <c r="Y195" s="4"/>
      <c r="Z195" s="4"/>
      <c r="AA195" s="4"/>
      <c r="AB195" s="4"/>
      <c r="AC195" s="4"/>
      <c r="AD195" s="4"/>
      <c r="AE195" s="52"/>
    </row>
    <row r="196" spans="1:31" x14ac:dyDescent="0.2">
      <c r="A196" s="66">
        <v>43567</v>
      </c>
      <c r="B196" s="13">
        <f ca="1">Prices!Q195*(1+J196/(50*(ABS(O196)+ABS(T196)+0.0001)))</f>
        <v>167.949760566322</v>
      </c>
      <c r="C196" s="62">
        <f t="shared" ca="1" si="22"/>
        <v>1</v>
      </c>
      <c r="D196" s="13">
        <f ca="1">D195+C196*(Prices!Q196-Prices!Q195)/Prices!Q195</f>
        <v>5.5377719478547851</v>
      </c>
      <c r="E196" s="13">
        <f t="shared" ca="1" si="18"/>
        <v>0.23043949880640024</v>
      </c>
      <c r="F196" s="13">
        <f t="shared" ca="1" si="19"/>
        <v>5.7682114466611853</v>
      </c>
      <c r="G196" s="21">
        <f ca="1">IF((Prices!Q196-Prices!Q195)*C196&gt;0,1,0)</f>
        <v>0</v>
      </c>
      <c r="H196" s="13">
        <f>ABS(Prices!Q196-Prices!Q195)/Prices!Q195</f>
        <v>4.7036203344345117E-3</v>
      </c>
      <c r="I196" s="21"/>
      <c r="J196" s="4">
        <f t="shared" ca="1" si="23"/>
        <v>2.7815396539820816E-4</v>
      </c>
      <c r="K196" s="13"/>
      <c r="L196" s="13">
        <f ca="1">L195-O196*Prices!Q196</f>
        <v>4.5580390396544317</v>
      </c>
      <c r="M196" s="4">
        <f t="shared" ca="1" si="21"/>
        <v>2.7204333713240911E-2</v>
      </c>
      <c r="N196" s="13">
        <f ca="1">IF(Prices!P195&gt;OFFSET(Prices!P195,-$N$3,0),1,-1)</f>
        <v>1</v>
      </c>
      <c r="O196" s="4">
        <f ca="1">IF(N196=1,O$3*L195/Prices!Q195,-O$3*M195)</f>
        <v>2.7815396539820816E-4</v>
      </c>
      <c r="P196" s="22"/>
      <c r="Q196" s="13">
        <f ca="1">Q195-T196*Prices!Q196</f>
        <v>1</v>
      </c>
      <c r="R196" s="4">
        <f t="shared" ca="1" si="17"/>
        <v>0.01</v>
      </c>
      <c r="S196" s="13">
        <f ca="1">IF(Prices!D195&gt;OFFSET(Prices!D195,-S$3,0),1,-1)</f>
        <v>-1</v>
      </c>
      <c r="T196" s="4">
        <f ca="1">IF(S196=1,T$3*Q195/Prices!Q195,-T$3*R195)</f>
        <v>0</v>
      </c>
      <c r="V196" s="13"/>
      <c r="W196" s="4"/>
      <c r="X196" s="4"/>
      <c r="Y196" s="4"/>
      <c r="Z196" s="4"/>
      <c r="AA196" s="4"/>
      <c r="AB196" s="4"/>
      <c r="AC196" s="4"/>
      <c r="AD196" s="4"/>
      <c r="AE196" s="52"/>
    </row>
    <row r="197" spans="1:31" x14ac:dyDescent="0.2">
      <c r="A197" s="66">
        <v>43574</v>
      </c>
      <c r="B197" s="13">
        <f ca="1">Prices!Q196*(1+J197/(50*(ABS(O197)+ABS(T197)+0.0001)))</f>
        <v>167.15639546893772</v>
      </c>
      <c r="C197" s="62">
        <f t="shared" ca="1" si="22"/>
        <v>1</v>
      </c>
      <c r="D197" s="13">
        <f ca="1">D196+C197*(Prices!Q197-Prices!Q196)/Prices!Q196</f>
        <v>5.5922353871515504</v>
      </c>
      <c r="E197" s="13">
        <f t="shared" ca="1" si="18"/>
        <v>0.17597605950963491</v>
      </c>
      <c r="F197" s="13">
        <f t="shared" ca="1" si="19"/>
        <v>5.7682114466611853</v>
      </c>
      <c r="G197" s="21">
        <f ca="1">IF((Prices!Q197-Prices!Q196)*C197&gt;0,1,0)</f>
        <v>1</v>
      </c>
      <c r="H197" s="13">
        <f>ABS(Prices!Q197-Prices!Q196)/Prices!Q196</f>
        <v>5.446343929676533E-2</v>
      </c>
      <c r="I197" s="21"/>
      <c r="J197" s="4">
        <f t="shared" ca="1" si="23"/>
        <v>2.7668693936497312E-4</v>
      </c>
      <c r="K197" s="13"/>
      <c r="L197" s="13">
        <f ca="1">L196-O197*Prices!Q197</f>
        <v>4.5099761844324027</v>
      </c>
      <c r="M197" s="4">
        <f t="shared" ca="1" si="21"/>
        <v>2.7481020652605884E-2</v>
      </c>
      <c r="N197" s="13">
        <f ca="1">IF(Prices!P196&gt;OFFSET(Prices!P196,-$N$3,0),1,-1)</f>
        <v>1</v>
      </c>
      <c r="O197" s="4">
        <f ca="1">IF(N197=1,O$3*L196/Prices!Q196,-O$3*M196)</f>
        <v>2.7668693936497312E-4</v>
      </c>
      <c r="P197" s="22"/>
      <c r="Q197" s="13">
        <f ca="1">Q196-T197*Prices!Q197</f>
        <v>1</v>
      </c>
      <c r="R197" s="4">
        <f t="shared" ca="1" si="17"/>
        <v>0.01</v>
      </c>
      <c r="S197" s="13">
        <f ca="1">IF(Prices!D196&gt;OFFSET(Prices!D196,-S$3,0),1,-1)</f>
        <v>-1</v>
      </c>
      <c r="T197" s="4">
        <f ca="1">IF(S197=1,T$3*Q196/Prices!Q196,-T$3*R196)</f>
        <v>0</v>
      </c>
      <c r="V197" s="13"/>
      <c r="W197" s="4"/>
      <c r="X197" s="4"/>
      <c r="Y197" s="4"/>
      <c r="Z197" s="4"/>
      <c r="AA197" s="4"/>
      <c r="AB197" s="4"/>
      <c r="AC197" s="4"/>
      <c r="AD197" s="4"/>
      <c r="AE197" s="52"/>
    </row>
    <row r="198" spans="1:31" x14ac:dyDescent="0.2">
      <c r="A198" s="66">
        <v>43581</v>
      </c>
      <c r="B198" s="13">
        <f ca="1">Prices!Q197*(1+J198/(50*(ABS(O198)+ABS(T198)+0.0001)))</f>
        <v>176.21656150387167</v>
      </c>
      <c r="C198" s="62">
        <f t="shared" ca="1" si="22"/>
        <v>1</v>
      </c>
      <c r="D198" s="13">
        <f ca="1">D197+C198*(Prices!Q198-Prices!Q197)/Prices!Q197</f>
        <v>5.4922900793718794</v>
      </c>
      <c r="E198" s="13">
        <f t="shared" ca="1" si="18"/>
        <v>0.27592136728930594</v>
      </c>
      <c r="F198" s="13">
        <f t="shared" ca="1" si="19"/>
        <v>5.7682114466611853</v>
      </c>
      <c r="G198" s="21">
        <f ca="1">IF((Prices!Q198-Prices!Q197)*C198&gt;0,1,0)</f>
        <v>0</v>
      </c>
      <c r="H198" s="13">
        <f>ABS(Prices!Q198-Prices!Q197)/Prices!Q197</f>
        <v>9.9945307779671172E-2</v>
      </c>
      <c r="I198" s="21"/>
      <c r="J198" s="4">
        <f t="shared" ca="1" si="23"/>
        <v>2.5962908389753225E-4</v>
      </c>
      <c r="K198" s="13"/>
      <c r="L198" s="13">
        <f ca="1">L197-O198*Prices!Q198</f>
        <v>4.4693839321663997</v>
      </c>
      <c r="M198" s="4">
        <f t="shared" ca="1" si="21"/>
        <v>2.7740649736503416E-2</v>
      </c>
      <c r="N198" s="13">
        <f ca="1">IF(Prices!P197&gt;OFFSET(Prices!P197,-$N$3,0),1,-1)</f>
        <v>1</v>
      </c>
      <c r="O198" s="4">
        <f ca="1">IF(N198=1,O$3*L197/Prices!Q197,-O$3*M197)</f>
        <v>2.5962908389753225E-4</v>
      </c>
      <c r="P198" s="22"/>
      <c r="Q198" s="13">
        <f ca="1">Q197-T198*Prices!Q198</f>
        <v>1</v>
      </c>
      <c r="R198" s="4">
        <f t="shared" ca="1" si="17"/>
        <v>0.01</v>
      </c>
      <c r="S198" s="13">
        <f ca="1">IF(Prices!D197&gt;OFFSET(Prices!D197,-S$3,0),1,-1)</f>
        <v>1</v>
      </c>
      <c r="T198" s="4">
        <f ca="1">IF(S198=1,T$3*Q197/Prices!Q197,-T$3*R197)</f>
        <v>0</v>
      </c>
      <c r="V198" s="13"/>
      <c r="W198" s="4"/>
      <c r="X198" s="4"/>
      <c r="Y198" s="4"/>
      <c r="Z198" s="4"/>
      <c r="AA198" s="4"/>
      <c r="AB198" s="4"/>
      <c r="AC198" s="4"/>
      <c r="AD198" s="4"/>
      <c r="AE198" s="52"/>
    </row>
    <row r="199" spans="1:31" x14ac:dyDescent="0.2">
      <c r="A199" s="66">
        <v>43588</v>
      </c>
      <c r="B199" s="13">
        <f ca="1">Prices!Q198*(1+J199/(50*(ABS(O199)+ABS(T199)+0.0001)))</f>
        <v>158.66365753306539</v>
      </c>
      <c r="C199" s="62">
        <f t="shared" ca="1" si="22"/>
        <v>1</v>
      </c>
      <c r="D199" s="13">
        <f ca="1">D198+C199*(Prices!Q199-Prices!Q198)/Prices!Q198</f>
        <v>5.5665179773874049</v>
      </c>
      <c r="E199" s="13">
        <f t="shared" ca="1" si="18"/>
        <v>0.2016934692737804</v>
      </c>
      <c r="F199" s="13">
        <f t="shared" ca="1" si="19"/>
        <v>5.7682114466611853</v>
      </c>
      <c r="G199" s="21">
        <f ca="1">IF((Prices!Q199-Prices!Q198)*C199&gt;0,1,0)</f>
        <v>1</v>
      </c>
      <c r="H199" s="13">
        <f>ABS(Prices!Q199-Prices!Q198)/Prices!Q198</f>
        <v>7.4227898015525526E-2</v>
      </c>
      <c r="I199" s="21"/>
      <c r="J199" s="4">
        <f t="shared" ca="1" si="23"/>
        <v>2.8586293962962867E-4</v>
      </c>
      <c r="K199" s="13"/>
      <c r="L199" s="13">
        <f ca="1">L198-O199*Prices!Q199</f>
        <v>4.4213725630976448</v>
      </c>
      <c r="M199" s="4">
        <f t="shared" ca="1" si="21"/>
        <v>2.8026512676133045E-2</v>
      </c>
      <c r="N199" s="13">
        <f ca="1">IF(Prices!P198&gt;OFFSET(Prices!P198,-$N$3,0),1,-1)</f>
        <v>1</v>
      </c>
      <c r="O199" s="4">
        <f ca="1">IF(N199=1,O$3*L198/Prices!Q198,-O$3*M198)</f>
        <v>2.8586293962962867E-4</v>
      </c>
      <c r="P199" s="22"/>
      <c r="Q199" s="13">
        <f ca="1">Q198-T199*Prices!Q199</f>
        <v>1</v>
      </c>
      <c r="R199" s="4">
        <f t="shared" ca="1" si="17"/>
        <v>0.01</v>
      </c>
      <c r="S199" s="13">
        <f ca="1">IF(Prices!D198&gt;OFFSET(Prices!D198,-S$3,0),1,-1)</f>
        <v>1</v>
      </c>
      <c r="T199" s="4">
        <f ca="1">IF(S199=1,T$3*Q198/Prices!Q198,-T$3*R198)</f>
        <v>0</v>
      </c>
      <c r="V199" s="13"/>
      <c r="W199" s="4"/>
      <c r="X199" s="4"/>
      <c r="Y199" s="4"/>
      <c r="Z199" s="4"/>
      <c r="AA199" s="4"/>
      <c r="AB199" s="4"/>
      <c r="AC199" s="4"/>
      <c r="AD199" s="4"/>
      <c r="AE199" s="52"/>
    </row>
    <row r="200" spans="1:31" x14ac:dyDescent="0.2">
      <c r="A200" s="66">
        <v>43595</v>
      </c>
      <c r="B200" s="13">
        <f ca="1">Prices!Q199*(1+J200/(50*(ABS(O200)+ABS(T200)+0.0001)))</f>
        <v>170.38673925351341</v>
      </c>
      <c r="C200" s="62">
        <f t="shared" ca="1" si="22"/>
        <v>1</v>
      </c>
      <c r="D200" s="13">
        <f ca="1">D199+C200*(Prices!Q200-Prices!Q199)/Prices!Q199</f>
        <v>5.5974216009901099</v>
      </c>
      <c r="E200" s="13">
        <f t="shared" ca="1" si="18"/>
        <v>0.17078984567107547</v>
      </c>
      <c r="F200" s="13">
        <f t="shared" ca="1" si="19"/>
        <v>5.7682114466611853</v>
      </c>
      <c r="G200" s="21">
        <f ca="1">IF((Prices!Q200-Prices!Q199)*C200&gt;0,1,0)</f>
        <v>1</v>
      </c>
      <c r="H200" s="13">
        <f>ABS(Prices!Q200-Prices!Q199)/Prices!Q199</f>
        <v>3.0903623602705342E-2</v>
      </c>
      <c r="I200" s="21"/>
      <c r="J200" s="4">
        <f t="shared" ca="1" si="23"/>
        <v>2.6325151367270928E-4</v>
      </c>
      <c r="K200" s="13"/>
      <c r="L200" s="13">
        <f ca="1">L199-O200*Prices!Q200</f>
        <v>4.3757924731316953</v>
      </c>
      <c r="M200" s="4">
        <f t="shared" ca="1" si="21"/>
        <v>2.8289764189805753E-2</v>
      </c>
      <c r="N200" s="13">
        <f ca="1">IF(Prices!P199&gt;OFFSET(Prices!P199,-$N$3,0),1,-1)</f>
        <v>1</v>
      </c>
      <c r="O200" s="4">
        <f ca="1">IF(N200=1,O$3*L199/Prices!Q199,-O$3*M199)</f>
        <v>2.6325151367270928E-4</v>
      </c>
      <c r="P200" s="22"/>
      <c r="Q200" s="13">
        <f ca="1">Q199-T200*Prices!Q200</f>
        <v>1</v>
      </c>
      <c r="R200" s="4">
        <f t="shared" ca="1" si="17"/>
        <v>0.01</v>
      </c>
      <c r="S200" s="13">
        <f ca="1">IF(Prices!D199&gt;OFFSET(Prices!D199,-S$3,0),1,-1)</f>
        <v>1</v>
      </c>
      <c r="T200" s="4">
        <f ca="1">IF(S200=1,T$3*Q199/Prices!Q199,-T$3*R199)</f>
        <v>0</v>
      </c>
      <c r="V200" s="13"/>
      <c r="W200" s="4"/>
      <c r="X200" s="4"/>
      <c r="Y200" s="4"/>
      <c r="Z200" s="4"/>
      <c r="AA200" s="4"/>
      <c r="AB200" s="4"/>
      <c r="AC200" s="4"/>
      <c r="AD200" s="4"/>
      <c r="AE200" s="52"/>
    </row>
    <row r="201" spans="1:31" x14ac:dyDescent="0.2">
      <c r="A201" s="66">
        <v>43602</v>
      </c>
      <c r="B201" s="13">
        <f ca="1">Prices!Q200*(1+J201/(50*(ABS(O201)+ABS(T201)+0.0001)))</f>
        <v>175.62386419459446</v>
      </c>
      <c r="C201" s="62">
        <f t="shared" ca="1" si="22"/>
        <v>1</v>
      </c>
      <c r="D201" s="13">
        <f ca="1">D200+C201*(Prices!Q201-Prices!Q200)/Prices!Q200</f>
        <v>6.0053037827824678</v>
      </c>
      <c r="E201" s="13">
        <f t="shared" ca="1" si="18"/>
        <v>0</v>
      </c>
      <c r="F201" s="13">
        <f t="shared" ca="1" si="19"/>
        <v>6.0053037827824678</v>
      </c>
      <c r="G201" s="21">
        <f ca="1">IF((Prices!Q201-Prices!Q200)*C201&gt;0,1,0)</f>
        <v>1</v>
      </c>
      <c r="H201" s="13">
        <f>ABS(Prices!Q201-Prices!Q200)/Prices!Q200</f>
        <v>0.40788218179235775</v>
      </c>
      <c r="I201" s="21"/>
      <c r="J201" s="4">
        <f t="shared" ca="1" si="23"/>
        <v>2.5272745028149753E-4</v>
      </c>
      <c r="K201" s="13"/>
      <c r="L201" s="13">
        <f ca="1">L200-O201*Prices!Q201</f>
        <v>4.3141864705902631</v>
      </c>
      <c r="M201" s="4">
        <f t="shared" ref="M201:M227" ca="1" si="24">M200+O201</f>
        <v>2.854249164008725E-2</v>
      </c>
      <c r="N201" s="13">
        <f ca="1">IF(Prices!P200&gt;OFFSET(Prices!P200,-$N$3,0),1,-1)</f>
        <v>1</v>
      </c>
      <c r="O201" s="4">
        <f ca="1">IF(N201=1,O$3*L200/Prices!Q200,-O$3*M200)</f>
        <v>2.5272745028149753E-4</v>
      </c>
      <c r="P201" s="22"/>
      <c r="Q201" s="13">
        <f ca="1">Q200-T201*Prices!Q201</f>
        <v>1</v>
      </c>
      <c r="R201" s="4">
        <f t="shared" ca="1" si="17"/>
        <v>0.01</v>
      </c>
      <c r="S201" s="13">
        <f ca="1">IF(Prices!D200&gt;OFFSET(Prices!D200,-S$3,0),1,-1)</f>
        <v>1</v>
      </c>
      <c r="T201" s="4">
        <f ca="1">IF(S201=1,T$3*Q200/Prices!Q200,-T$3*R200)</f>
        <v>0</v>
      </c>
      <c r="V201" s="13"/>
      <c r="W201" s="4"/>
      <c r="X201" s="4"/>
      <c r="Y201" s="4"/>
      <c r="Z201" s="4"/>
      <c r="AA201" s="4"/>
      <c r="AB201" s="4"/>
      <c r="AC201" s="4"/>
      <c r="AD201" s="4"/>
      <c r="AE201" s="52"/>
    </row>
    <row r="202" spans="1:31" x14ac:dyDescent="0.2">
      <c r="A202" s="66">
        <v>43609</v>
      </c>
      <c r="B202" s="13">
        <f ca="1">Prices!Q201*(1+J202/(50*(ABS(O202)+ABS(T202)+0.0001)))</f>
        <v>246.87972917236172</v>
      </c>
      <c r="C202" s="62">
        <f t="shared" ca="1" si="22"/>
        <v>1</v>
      </c>
      <c r="D202" s="13">
        <f ca="1">D201+C202*(Prices!Q202-Prices!Q201)/Prices!Q201</f>
        <v>6.0287706779143679</v>
      </c>
      <c r="E202" s="13">
        <f t="shared" ca="1" si="18"/>
        <v>0</v>
      </c>
      <c r="F202" s="13">
        <f t="shared" ca="1" si="19"/>
        <v>6.0287706779143679</v>
      </c>
      <c r="G202" s="21">
        <f ca="1">IF((Prices!Q202-Prices!Q201)*C202&gt;0,1,0)</f>
        <v>1</v>
      </c>
      <c r="H202" s="13">
        <f>ABS(Prices!Q202-Prices!Q201)/Prices!Q201</f>
        <v>2.3466895131900305E-2</v>
      </c>
      <c r="I202" s="21"/>
      <c r="J202" s="4">
        <f t="shared" ca="1" si="23"/>
        <v>1.7698167415065351E-4</v>
      </c>
      <c r="K202" s="13"/>
      <c r="L202" s="13">
        <f ca="1">L201-O202*Prices!Q202</f>
        <v>4.2700322002695126</v>
      </c>
      <c r="M202" s="4">
        <f t="shared" ca="1" si="24"/>
        <v>2.8719473314237905E-2</v>
      </c>
      <c r="N202" s="13">
        <f ca="1">IF(Prices!P201&gt;OFFSET(Prices!P201,-$N$3,0),1,-1)</f>
        <v>1</v>
      </c>
      <c r="O202" s="4">
        <f ca="1">IF(N202=1,O$3*L201/Prices!Q201,-O$3*M201)</f>
        <v>1.7698167415065351E-4</v>
      </c>
      <c r="P202" s="22"/>
      <c r="Q202" s="13">
        <f ca="1">Q201-T202*Prices!Q202</f>
        <v>1</v>
      </c>
      <c r="R202" s="4">
        <f t="shared" ca="1" si="17"/>
        <v>0.01</v>
      </c>
      <c r="S202" s="13">
        <f ca="1">IF(Prices!D201&gt;OFFSET(Prices!D201,-S$3,0),1,-1)</f>
        <v>1</v>
      </c>
      <c r="T202" s="4">
        <f ca="1">IF(S202=1,T$3*Q201/Prices!Q201,-T$3*R201)</f>
        <v>0</v>
      </c>
      <c r="V202" s="13"/>
      <c r="W202" s="4"/>
      <c r="X202" s="4"/>
      <c r="Y202" s="4"/>
      <c r="Z202" s="4"/>
      <c r="AA202" s="4"/>
      <c r="AB202" s="4"/>
      <c r="AC202" s="4"/>
      <c r="AD202" s="4"/>
      <c r="AE202" s="52"/>
    </row>
    <row r="203" spans="1:31" x14ac:dyDescent="0.2">
      <c r="A203" s="66">
        <v>43616</v>
      </c>
      <c r="B203" s="13">
        <f ca="1">Prices!Q202*(1+J203/(50*(ABS(O203)+ABS(T203)+0.0001)))</f>
        <v>252.63451195854117</v>
      </c>
      <c r="C203" s="62">
        <f t="shared" ca="1" si="22"/>
        <v>1</v>
      </c>
      <c r="D203" s="13">
        <f ca="1">D202+C203*(Prices!Q203-Prices!Q202)/Prices!Q202</f>
        <v>6.1034387826902927</v>
      </c>
      <c r="E203" s="13">
        <f t="shared" ca="1" si="18"/>
        <v>0</v>
      </c>
      <c r="F203" s="13">
        <f t="shared" ca="1" si="19"/>
        <v>6.1034387826902927</v>
      </c>
      <c r="G203" s="21">
        <f ca="1">IF((Prices!Q203-Prices!Q202)*C203&gt;0,1,0)</f>
        <v>1</v>
      </c>
      <c r="H203" s="13">
        <f>ABS(Prices!Q203-Prices!Q202)/Prices!Q202</f>
        <v>7.4668104775924782E-2</v>
      </c>
      <c r="I203" s="21"/>
      <c r="J203" s="4">
        <f t="shared" ca="1" si="23"/>
        <v>1.7115387526305491E-4</v>
      </c>
      <c r="K203" s="13"/>
      <c r="L203" s="13">
        <f ca="1">L202-O203*Prices!Q203</f>
        <v>4.2241435261495548</v>
      </c>
      <c r="M203" s="4">
        <f t="shared" ca="1" si="24"/>
        <v>2.8890627189500959E-2</v>
      </c>
      <c r="N203" s="13">
        <f ca="1">IF(Prices!P202&gt;OFFSET(Prices!P202,-$N$3,0),1,-1)</f>
        <v>1</v>
      </c>
      <c r="O203" s="4">
        <f ca="1">IF(N203=1,O$3*L202/Prices!Q202,-O$3*M202)</f>
        <v>1.7115387526305491E-4</v>
      </c>
      <c r="P203" s="22"/>
      <c r="Q203" s="13">
        <f ca="1">Q202-T203*Prices!Q203</f>
        <v>1</v>
      </c>
      <c r="R203" s="4">
        <f t="shared" ca="1" si="17"/>
        <v>0.01</v>
      </c>
      <c r="S203" s="13">
        <f ca="1">IF(Prices!D202&gt;OFFSET(Prices!D202,-S$3,0),1,-1)</f>
        <v>1</v>
      </c>
      <c r="T203" s="4">
        <f ca="1">IF(S203=1,T$3*Q202/Prices!Q202,-T$3*R202)</f>
        <v>0</v>
      </c>
      <c r="V203" s="13"/>
      <c r="W203" s="4"/>
      <c r="X203" s="4"/>
      <c r="Y203" s="4"/>
      <c r="Z203" s="4"/>
      <c r="AA203" s="4"/>
      <c r="AB203" s="4"/>
      <c r="AC203" s="4"/>
      <c r="AD203" s="4"/>
      <c r="AE203" s="52"/>
    </row>
    <row r="204" spans="1:31" x14ac:dyDescent="0.2">
      <c r="A204" s="66">
        <v>43623</v>
      </c>
      <c r="B204" s="13">
        <f ca="1">Prices!Q203*(1+J204/(50*(ABS(O204)+ABS(T204)+0.0001)))</f>
        <v>271.39380036875252</v>
      </c>
      <c r="C204" s="62">
        <f t="shared" ca="1" si="22"/>
        <v>1</v>
      </c>
      <c r="D204" s="13">
        <f ca="1">D203+C204*(Prices!Q204-Prices!Q203)/Prices!Q203</f>
        <v>6.039349531641756</v>
      </c>
      <c r="E204" s="13">
        <f t="shared" ca="1" si="18"/>
        <v>6.4089251048536688E-2</v>
      </c>
      <c r="F204" s="13">
        <f t="shared" ca="1" si="19"/>
        <v>6.1034387826902927</v>
      </c>
      <c r="G204" s="21">
        <f ca="1">IF((Prices!Q204-Prices!Q203)*C204&gt;0,1,0)</f>
        <v>0</v>
      </c>
      <c r="H204" s="13">
        <f>ABS(Prices!Q204-Prices!Q203)/Prices!Q203</f>
        <v>6.4089251048537077E-2</v>
      </c>
      <c r="I204" s="21"/>
      <c r="J204" s="4">
        <f t="shared" ca="1" si="23"/>
        <v>1.5755053900182333E-4</v>
      </c>
      <c r="K204" s="13"/>
      <c r="L204" s="13">
        <f ca="1">L203-O204*Prices!Q204</f>
        <v>4.1846093128371837</v>
      </c>
      <c r="M204" s="4">
        <f t="shared" ca="1" si="24"/>
        <v>2.904817772850278E-2</v>
      </c>
      <c r="N204" s="13">
        <f ca="1">IF(Prices!P203&gt;OFFSET(Prices!P203,-$N$3,0),1,-1)</f>
        <v>1</v>
      </c>
      <c r="O204" s="4">
        <f ca="1">IF(N204=1,O$3*L203/Prices!Q203,-O$3*M203)</f>
        <v>1.5755053900182333E-4</v>
      </c>
      <c r="P204" s="22"/>
      <c r="Q204" s="13">
        <f ca="1">Q203-T204*Prices!Q204</f>
        <v>1</v>
      </c>
      <c r="R204" s="4">
        <f t="shared" ca="1" si="17"/>
        <v>0.01</v>
      </c>
      <c r="S204" s="13">
        <f ca="1">IF(Prices!D203&gt;OFFSET(Prices!D203,-S$3,0),1,-1)</f>
        <v>-1</v>
      </c>
      <c r="T204" s="4">
        <f ca="1">IF(S204=1,T$3*Q203/Prices!Q203,-T$3*R203)</f>
        <v>0</v>
      </c>
      <c r="V204" s="13"/>
      <c r="W204" s="4"/>
      <c r="X204" s="4"/>
      <c r="Y204" s="4"/>
      <c r="Z204" s="4"/>
      <c r="AA204" s="4"/>
      <c r="AB204" s="4"/>
      <c r="AC204" s="4"/>
      <c r="AD204" s="4"/>
      <c r="AE204" s="52"/>
    </row>
    <row r="205" spans="1:31" x14ac:dyDescent="0.2">
      <c r="A205" s="66">
        <v>43630</v>
      </c>
      <c r="B205" s="13">
        <f ca="1">Prices!Q204*(1+J205/(50*(ABS(O205)+ABS(T205)+0.0001)))</f>
        <v>247.19698648956481</v>
      </c>
      <c r="C205" s="62">
        <f t="shared" ca="1" si="22"/>
        <v>0</v>
      </c>
      <c r="D205" s="13">
        <f ca="1">D204+C205*(Prices!Q205-Prices!Q204)/Prices!Q204</f>
        <v>6.039349531641756</v>
      </c>
      <c r="E205" s="13">
        <f t="shared" ca="1" si="18"/>
        <v>6.4089251048536688E-2</v>
      </c>
      <c r="F205" s="13">
        <f t="shared" ca="1" si="19"/>
        <v>6.1034387826902927</v>
      </c>
      <c r="G205" s="21">
        <f ca="1">IF((Prices!Q205-Prices!Q204)*C205&gt;0,1,0)</f>
        <v>0</v>
      </c>
      <c r="H205" s="13">
        <f>ABS(Prices!Q205-Prices!Q204)/Prices!Q204</f>
        <v>5.2433288871196346E-2</v>
      </c>
      <c r="I205" s="21"/>
      <c r="J205" s="4">
        <f t="shared" ca="1" si="23"/>
        <v>-2.9048177728502783E-4</v>
      </c>
      <c r="K205" s="13"/>
      <c r="L205" s="13">
        <f ca="1">L204-O205*Prices!Q205</f>
        <v>4.2613219084481182</v>
      </c>
      <c r="M205" s="4">
        <f t="shared" ca="1" si="24"/>
        <v>2.8757695951217754E-2</v>
      </c>
      <c r="N205" s="13">
        <f ca="1">IF(Prices!P204&gt;OFFSET(Prices!P204,-$N$3,0),1,-1)</f>
        <v>-1</v>
      </c>
      <c r="O205" s="4">
        <f ca="1">IF(N205=1,O$3*L204/Prices!Q204,-O$3*M204)</f>
        <v>-2.9048177728502783E-4</v>
      </c>
      <c r="P205" s="22"/>
      <c r="Q205" s="13">
        <f ca="1">Q204-T205*Prices!Q205</f>
        <v>1</v>
      </c>
      <c r="R205" s="4">
        <f t="shared" ca="1" si="17"/>
        <v>0.01</v>
      </c>
      <c r="S205" s="13">
        <f ca="1">IF(Prices!D204&gt;OFFSET(Prices!D204,-S$3,0),1,-1)</f>
        <v>-1</v>
      </c>
      <c r="T205" s="4">
        <f ca="1">IF(S205=1,T$3*Q204/Prices!Q204,-T$3*R204)</f>
        <v>0</v>
      </c>
      <c r="V205" s="13"/>
      <c r="W205" s="4"/>
      <c r="X205" s="4"/>
      <c r="Y205" s="4"/>
      <c r="Z205" s="4"/>
      <c r="AA205" s="4"/>
      <c r="AB205" s="4"/>
      <c r="AC205" s="4"/>
      <c r="AD205" s="4"/>
      <c r="AE205" s="52"/>
    </row>
    <row r="206" spans="1:31" x14ac:dyDescent="0.2">
      <c r="A206" s="66">
        <v>43637</v>
      </c>
      <c r="B206" s="13">
        <f ca="1">Prices!Q205*(1+J206/(50*(ABS(O206)+ABS(T206)+0.0001)))</f>
        <v>260.16847515560318</v>
      </c>
      <c r="C206" s="62">
        <f t="shared" ca="1" si="22"/>
        <v>0</v>
      </c>
      <c r="D206" s="13">
        <f ca="1">D205+C206*(Prices!Q206-Prices!Q205)/Prices!Q205</f>
        <v>6.039349531641756</v>
      </c>
      <c r="E206" s="13">
        <f t="shared" ca="1" si="18"/>
        <v>6.4089251048536688E-2</v>
      </c>
      <c r="F206" s="13">
        <f t="shared" ca="1" si="19"/>
        <v>6.1034387826902927</v>
      </c>
      <c r="G206" s="21">
        <f ca="1">IF((Prices!Q206-Prices!Q205)*C206&gt;0,1,0)</f>
        <v>0</v>
      </c>
      <c r="H206" s="13">
        <f>ABS(Prices!Q206-Prices!Q205)/Prices!Q205</f>
        <v>0.11671441972237807</v>
      </c>
      <c r="I206" s="21"/>
      <c r="J206" s="4">
        <f t="shared" ca="1" si="23"/>
        <v>-2.8757695951217756E-4</v>
      </c>
      <c r="K206" s="13"/>
      <c r="L206" s="13">
        <f ca="1">L205-O206*Prices!Q206</f>
        <v>4.3461313095242495</v>
      </c>
      <c r="M206" s="4">
        <f t="shared" ca="1" si="24"/>
        <v>2.8470118991705574E-2</v>
      </c>
      <c r="N206" s="13">
        <f ca="1">IF(Prices!P205&gt;OFFSET(Prices!P205,-$N$3,0),1,-1)</f>
        <v>-1</v>
      </c>
      <c r="O206" s="4">
        <f ca="1">IF(N206=1,O$3*L205/Prices!Q205,-O$3*M205)</f>
        <v>-2.8757695951217756E-4</v>
      </c>
      <c r="P206" s="22"/>
      <c r="Q206" s="13">
        <f ca="1">Q205-T206*Prices!Q206</f>
        <v>1</v>
      </c>
      <c r="R206" s="4">
        <f t="shared" ca="1" si="17"/>
        <v>0.01</v>
      </c>
      <c r="S206" s="13">
        <f ca="1">IF(Prices!D205&gt;OFFSET(Prices!D205,-S$3,0),1,-1)</f>
        <v>-1</v>
      </c>
      <c r="T206" s="4">
        <f ca="1">IF(S206=1,T$3*Q205/Prices!Q205,-T$3*R205)</f>
        <v>0</v>
      </c>
      <c r="V206" s="13"/>
      <c r="W206" s="4"/>
      <c r="X206" s="4"/>
      <c r="Y206" s="4"/>
      <c r="Z206" s="4"/>
      <c r="AA206" s="4"/>
      <c r="AB206" s="4"/>
      <c r="AC206" s="4"/>
      <c r="AD206" s="4"/>
      <c r="AE206" s="52"/>
    </row>
    <row r="207" spans="1:31" x14ac:dyDescent="0.2">
      <c r="A207" s="66">
        <v>43644</v>
      </c>
      <c r="B207" s="13">
        <f ca="1">Prices!Q206*(1+J207/(50*(ABS(O207)+ABS(T207)+0.0001)))</f>
        <v>298.42413040552276</v>
      </c>
      <c r="C207" s="62">
        <f t="shared" ca="1" si="22"/>
        <v>1</v>
      </c>
      <c r="D207" s="13">
        <f ca="1">D206+C207*(Prices!Q207-Prices!Q206)/Prices!Q206</f>
        <v>6.0946742463673651</v>
      </c>
      <c r="E207" s="13">
        <f t="shared" ref="E207:E227" ca="1" si="25">F207-D207</f>
        <v>8.7645363229276185E-3</v>
      </c>
      <c r="F207" s="13">
        <f t="shared" ref="F207:F227" ca="1" si="26">MAX(F206,D207)</f>
        <v>6.1034387826902927</v>
      </c>
      <c r="G207" s="21">
        <f ca="1">IF((Prices!Q207-Prices!Q206)*C207&gt;0,1,0)</f>
        <v>1</v>
      </c>
      <c r="H207" s="13">
        <f>ABS(Prices!Q207-Prices!Q206)/Prices!Q206</f>
        <v>5.5324714725608896E-2</v>
      </c>
      <c r="I207" s="21"/>
      <c r="J207" s="4">
        <f t="shared" ca="1" si="23"/>
        <v>1.4737130692760221E-4</v>
      </c>
      <c r="K207" s="13"/>
      <c r="L207" s="13">
        <f ca="1">L206-O207*Prices!Q207</f>
        <v>4.3002655116804123</v>
      </c>
      <c r="M207" s="4">
        <f t="shared" ca="1" si="24"/>
        <v>2.8617490298633176E-2</v>
      </c>
      <c r="N207" s="13">
        <f ca="1">IF(Prices!P206&gt;OFFSET(Prices!P206,-$N$3,0),1,-1)</f>
        <v>1</v>
      </c>
      <c r="O207" s="4">
        <f ca="1">IF(N207=1,O$3*L206/Prices!Q206,-O$3*M206)</f>
        <v>1.4737130692760221E-4</v>
      </c>
      <c r="P207" s="22"/>
      <c r="Q207" s="13">
        <f ca="1">Q206-T207*Prices!Q207</f>
        <v>1</v>
      </c>
      <c r="R207" s="4">
        <f t="shared" ca="1" si="17"/>
        <v>0.01</v>
      </c>
      <c r="S207" s="13">
        <f ca="1">IF(Prices!D206&gt;OFFSET(Prices!D206,-S$3,0),1,-1)</f>
        <v>-1</v>
      </c>
      <c r="T207" s="4">
        <f ca="1">IF(S207=1,T$3*Q206/Prices!Q206,-T$3*R206)</f>
        <v>0</v>
      </c>
      <c r="V207" s="13"/>
      <c r="W207" s="4"/>
      <c r="X207" s="4"/>
      <c r="Y207" s="4"/>
      <c r="Z207" s="4"/>
      <c r="AA207" s="4"/>
      <c r="AB207" s="4"/>
      <c r="AC207" s="4"/>
      <c r="AD207" s="4"/>
      <c r="AE207" s="52"/>
    </row>
    <row r="208" spans="1:31" x14ac:dyDescent="0.2">
      <c r="A208" s="66">
        <v>43651</v>
      </c>
      <c r="B208" s="13">
        <f ca="1">Prices!Q207*(1+J208/(50*(ABS(O208)+ABS(T208)+0.0001)))</f>
        <v>314.8371676370902</v>
      </c>
      <c r="C208" s="62">
        <f t="shared" ca="1" si="22"/>
        <v>1</v>
      </c>
      <c r="D208" s="13">
        <f ca="1">D207+C208*(Prices!Q208-Prices!Q207)/Prices!Q207</f>
        <v>6.0200385502389828</v>
      </c>
      <c r="E208" s="13">
        <f t="shared" ca="1" si="25"/>
        <v>8.3400232451309897E-2</v>
      </c>
      <c r="F208" s="13">
        <f t="shared" ca="1" si="26"/>
        <v>6.1034387826902927</v>
      </c>
      <c r="G208" s="21">
        <f ca="1">IF((Prices!Q208-Prices!Q207)*C208&gt;0,1,0)</f>
        <v>0</v>
      </c>
      <c r="H208" s="13">
        <f>ABS(Prices!Q208-Prices!Q207)/Prices!Q207</f>
        <v>7.4635696128382376E-2</v>
      </c>
      <c r="I208" s="21"/>
      <c r="J208" s="4">
        <f t="shared" ca="1" si="23"/>
        <v>1.3817174853248291E-4</v>
      </c>
      <c r="K208" s="13"/>
      <c r="L208" s="13">
        <f ca="1">L207-O208*Prices!Q208</f>
        <v>4.2604723896636196</v>
      </c>
      <c r="M208" s="4">
        <f t="shared" ca="1" si="24"/>
        <v>2.8755662047165658E-2</v>
      </c>
      <c r="N208" s="13">
        <f ca="1">IF(Prices!P207&gt;OFFSET(Prices!P207,-$N$3,0),1,-1)</f>
        <v>1</v>
      </c>
      <c r="O208" s="4">
        <f ca="1">IF(N208=1,O$3*L207/Prices!Q207,-O$3*M207)</f>
        <v>1.3817174853248291E-4</v>
      </c>
      <c r="P208" s="22"/>
      <c r="Q208" s="13">
        <f ca="1">Q207-T208*Prices!Q208</f>
        <v>1</v>
      </c>
      <c r="R208" s="4">
        <f t="shared" ca="1" si="17"/>
        <v>0.01</v>
      </c>
      <c r="S208" s="13">
        <f ca="1">IF(Prices!D207&gt;OFFSET(Prices!D207,-S$3,0),1,-1)</f>
        <v>-1</v>
      </c>
      <c r="T208" s="4">
        <f ca="1">IF(S208=1,T$3*Q207/Prices!Q207,-T$3*R207)</f>
        <v>0</v>
      </c>
      <c r="V208" s="13"/>
      <c r="W208" s="4"/>
      <c r="X208" s="4"/>
      <c r="Y208" s="4"/>
      <c r="Z208" s="4"/>
      <c r="AA208" s="4"/>
      <c r="AB208" s="4"/>
      <c r="AC208" s="4"/>
      <c r="AD208" s="4"/>
      <c r="AE208" s="52"/>
    </row>
    <row r="209" spans="1:31" x14ac:dyDescent="0.2">
      <c r="A209" s="66">
        <v>43658</v>
      </c>
      <c r="B209" s="13">
        <f ca="1">Prices!Q208*(1+J209/(50*(ABS(O209)+ABS(T209)+0.0001)))</f>
        <v>291.43430276007098</v>
      </c>
      <c r="C209" s="62">
        <f t="shared" ca="1" si="22"/>
        <v>1</v>
      </c>
      <c r="D209" s="13">
        <f ca="1">D208+C209*(Prices!Q209-Prices!Q208)/Prices!Q208</f>
        <v>5.9793408918896374</v>
      </c>
      <c r="E209" s="13">
        <f t="shared" ca="1" si="25"/>
        <v>0.12409789080065536</v>
      </c>
      <c r="F209" s="13">
        <f t="shared" ca="1" si="26"/>
        <v>6.1034387826902927</v>
      </c>
      <c r="G209" s="21">
        <f ca="1">IF((Prices!Q209-Prices!Q208)*C209&gt;0,1,0)</f>
        <v>0</v>
      </c>
      <c r="H209" s="13">
        <f>ABS(Prices!Q209-Prices!Q208)/Prices!Q208</f>
        <v>4.0697658349345245E-2</v>
      </c>
      <c r="I209" s="21"/>
      <c r="J209" s="4">
        <f t="shared" ca="1" si="23"/>
        <v>1.479343388552842E-4</v>
      </c>
      <c r="K209" s="13"/>
      <c r="L209" s="13">
        <f ca="1">L208-O209*Prices!Q209</f>
        <v>4.2196015782641974</v>
      </c>
      <c r="M209" s="4">
        <f t="shared" ca="1" si="24"/>
        <v>2.8903596386020941E-2</v>
      </c>
      <c r="N209" s="13">
        <f ca="1">IF(Prices!P208&gt;OFFSET(Prices!P208,-$N$3,0),1,-1)</f>
        <v>1</v>
      </c>
      <c r="O209" s="4">
        <f ca="1">IF(N209=1,O$3*L208/Prices!Q208,-O$3*M208)</f>
        <v>1.479343388552842E-4</v>
      </c>
      <c r="P209" s="22"/>
      <c r="Q209" s="13">
        <f ca="1">Q208-T209*Prices!Q209</f>
        <v>1</v>
      </c>
      <c r="R209" s="4">
        <f t="shared" ca="1" si="17"/>
        <v>0.01</v>
      </c>
      <c r="S209" s="13">
        <f ca="1">IF(Prices!D208&gt;OFFSET(Prices!D208,-S$3,0),1,-1)</f>
        <v>-1</v>
      </c>
      <c r="T209" s="4">
        <f ca="1">IF(S209=1,T$3*Q208/Prices!Q208,-T$3*R208)</f>
        <v>0</v>
      </c>
      <c r="V209" s="13"/>
      <c r="W209" s="4"/>
      <c r="X209" s="4"/>
      <c r="Y209" s="4"/>
      <c r="Z209" s="4"/>
      <c r="AA209" s="4"/>
      <c r="AB209" s="4"/>
      <c r="AC209" s="4"/>
      <c r="AD209" s="4"/>
      <c r="AE209" s="52"/>
    </row>
    <row r="210" spans="1:31" x14ac:dyDescent="0.2">
      <c r="A210" s="66">
        <v>43665</v>
      </c>
      <c r="B210" s="13">
        <f ca="1">Prices!Q209*(1+J210/(50*(ABS(O210)+ABS(T210)+0.0001)))</f>
        <v>272.17148340274861</v>
      </c>
      <c r="C210" s="62">
        <f t="shared" ca="1" si="22"/>
        <v>0</v>
      </c>
      <c r="D210" s="13">
        <f ca="1">D209+C210*(Prices!Q210-Prices!Q209)/Prices!Q209</f>
        <v>5.9793408918896374</v>
      </c>
      <c r="E210" s="13">
        <f t="shared" ca="1" si="25"/>
        <v>0.12409789080065536</v>
      </c>
      <c r="F210" s="13">
        <f t="shared" ca="1" si="26"/>
        <v>6.1034387826902927</v>
      </c>
      <c r="G210" s="21">
        <f ca="1">IF((Prices!Q210-Prices!Q209)*C210&gt;0,1,0)</f>
        <v>0</v>
      </c>
      <c r="H210" s="13">
        <f>ABS(Prices!Q210-Prices!Q209)/Prices!Q209</f>
        <v>0.19887048890980868</v>
      </c>
      <c r="I210" s="21"/>
      <c r="J210" s="4">
        <f t="shared" ca="1" si="23"/>
        <v>-2.8903596386020941E-4</v>
      </c>
      <c r="K210" s="13"/>
      <c r="L210" s="13">
        <f ca="1">L209-O210*Prices!Q210</f>
        <v>4.283574896648374</v>
      </c>
      <c r="M210" s="4">
        <f t="shared" ca="1" si="24"/>
        <v>2.8614560422160731E-2</v>
      </c>
      <c r="N210" s="13">
        <f ca="1">IF(Prices!P209&gt;OFFSET(Prices!P209,-$N$3,0),1,-1)</f>
        <v>-1</v>
      </c>
      <c r="O210" s="4">
        <f ca="1">IF(N210=1,O$3*L209/Prices!Q209,-O$3*M209)</f>
        <v>-2.8903596386020941E-4</v>
      </c>
      <c r="P210" s="22"/>
      <c r="Q210" s="13">
        <f ca="1">Q209-T210*Prices!Q210</f>
        <v>1</v>
      </c>
      <c r="R210" s="4">
        <f t="shared" ref="R210:R273" ca="1" si="27">R209+T210</f>
        <v>0.01</v>
      </c>
      <c r="S210" s="13">
        <f ca="1">IF(Prices!D209&gt;OFFSET(Prices!D209,-S$3,0),1,-1)</f>
        <v>-1</v>
      </c>
      <c r="T210" s="4">
        <f ca="1">IF(S210=1,T$3*Q209/Prices!Q209,-T$3*R209)</f>
        <v>0</v>
      </c>
      <c r="V210" s="13"/>
      <c r="W210" s="4"/>
      <c r="X210" s="4"/>
      <c r="Y210" s="4"/>
      <c r="Z210" s="4"/>
      <c r="AA210" s="4"/>
      <c r="AB210" s="4"/>
      <c r="AC210" s="4"/>
      <c r="AD210" s="4"/>
      <c r="AE210" s="52"/>
    </row>
    <row r="211" spans="1:31" x14ac:dyDescent="0.2">
      <c r="A211" s="66">
        <v>43672</v>
      </c>
      <c r="B211" s="13">
        <f ca="1">Prices!Q210*(1+J211/(50*(ABS(O211)+ABS(T211)+0.0001)))</f>
        <v>218.05312445821841</v>
      </c>
      <c r="C211" s="62">
        <f t="shared" ca="1" si="22"/>
        <v>0</v>
      </c>
      <c r="D211" s="13">
        <f ca="1">D210+C211*(Prices!Q211-Prices!Q210)/Prices!Q210</f>
        <v>5.9793408918896374</v>
      </c>
      <c r="E211" s="13">
        <f t="shared" ca="1" si="25"/>
        <v>0.12409789080065536</v>
      </c>
      <c r="F211" s="13">
        <f t="shared" ca="1" si="26"/>
        <v>6.1034387826902927</v>
      </c>
      <c r="G211" s="21">
        <f ca="1">IF((Prices!Q211-Prices!Q210)*C211&gt;0,1,0)</f>
        <v>0</v>
      </c>
      <c r="H211" s="13">
        <f>ABS(Prices!Q211-Prices!Q210)/Prices!Q210</f>
        <v>7.6979427688778279E-3</v>
      </c>
      <c r="I211" s="21"/>
      <c r="J211" s="4">
        <f t="shared" ca="1" si="23"/>
        <v>-2.8614560422160734E-4</v>
      </c>
      <c r="K211" s="13"/>
      <c r="L211" s="13">
        <f ca="1">L210-O211*Prices!Q211</f>
        <v>4.3464209435344889</v>
      </c>
      <c r="M211" s="4">
        <f t="shared" ca="1" si="24"/>
        <v>2.8328414817939122E-2</v>
      </c>
      <c r="N211" s="13">
        <f ca="1">IF(Prices!P210&gt;OFFSET(Prices!P210,-$N$3,0),1,-1)</f>
        <v>-1</v>
      </c>
      <c r="O211" s="4">
        <f ca="1">IF(N211=1,O$3*L210/Prices!Q210,-O$3*M210)</f>
        <v>-2.8614560422160734E-4</v>
      </c>
      <c r="P211" s="22"/>
      <c r="Q211" s="13">
        <f ca="1">Q210-T211*Prices!Q211</f>
        <v>1</v>
      </c>
      <c r="R211" s="4">
        <f t="shared" ca="1" si="27"/>
        <v>0.01</v>
      </c>
      <c r="S211" s="13">
        <f ca="1">IF(Prices!D210&gt;OFFSET(Prices!D210,-S$3,0),1,-1)</f>
        <v>-1</v>
      </c>
      <c r="T211" s="4">
        <f ca="1">IF(S211=1,T$3*Q210/Prices!Q210,-T$3*R210)</f>
        <v>0</v>
      </c>
      <c r="V211" s="13"/>
      <c r="W211" s="4"/>
      <c r="X211" s="4"/>
      <c r="Y211" s="4"/>
      <c r="Z211" s="4"/>
      <c r="AA211" s="4"/>
      <c r="AB211" s="4"/>
      <c r="AC211" s="4"/>
      <c r="AD211" s="4"/>
      <c r="AE211" s="52"/>
    </row>
    <row r="212" spans="1:31" x14ac:dyDescent="0.2">
      <c r="A212" s="66">
        <v>43679</v>
      </c>
      <c r="B212" s="13">
        <f ca="1">Prices!Q211*(1+J212/(50*(ABS(O212)+ABS(T212)+0.0001)))</f>
        <v>216.38305649439829</v>
      </c>
      <c r="C212" s="62">
        <f t="shared" ca="1" si="22"/>
        <v>0</v>
      </c>
      <c r="D212" s="13">
        <f ca="1">D211+C212*(Prices!Q212-Prices!Q211)/Prices!Q211</f>
        <v>5.9793408918896374</v>
      </c>
      <c r="E212" s="13">
        <f t="shared" ca="1" si="25"/>
        <v>0.12409789080065536</v>
      </c>
      <c r="F212" s="13">
        <f t="shared" ca="1" si="26"/>
        <v>6.1034387826902927</v>
      </c>
      <c r="G212" s="21">
        <f ca="1">IF((Prices!Q212-Prices!Q211)*C212&gt;0,1,0)</f>
        <v>0</v>
      </c>
      <c r="H212" s="13">
        <f>ABS(Prices!Q212-Prices!Q211)/Prices!Q211</f>
        <v>8.0045719518836069E-3</v>
      </c>
      <c r="I212" s="21"/>
      <c r="J212" s="4">
        <f t="shared" ca="1" si="23"/>
        <v>-2.8328414817939125E-4</v>
      </c>
      <c r="K212" s="13"/>
      <c r="L212" s="13">
        <f ca="1">L211-O212*Prices!Q212</f>
        <v>4.4081405048045932</v>
      </c>
      <c r="M212" s="4">
        <f t="shared" ca="1" si="24"/>
        <v>2.8045130669759732E-2</v>
      </c>
      <c r="N212" s="13">
        <f ca="1">IF(Prices!P211&gt;OFFSET(Prices!P211,-$N$3,0),1,-1)</f>
        <v>-1</v>
      </c>
      <c r="O212" s="4">
        <f ca="1">IF(N212=1,O$3*L211/Prices!Q211,-O$3*M211)</f>
        <v>-2.8328414817939125E-4</v>
      </c>
      <c r="P212" s="22"/>
      <c r="Q212" s="13">
        <f ca="1">Q211-T212*Prices!Q212</f>
        <v>1</v>
      </c>
      <c r="R212" s="4">
        <f t="shared" ca="1" si="27"/>
        <v>0.01</v>
      </c>
      <c r="S212" s="13">
        <f ca="1">IF(Prices!D211&gt;OFFSET(Prices!D211,-S$3,0),1,-1)</f>
        <v>-1</v>
      </c>
      <c r="T212" s="4">
        <f ca="1">IF(S212=1,T$3*Q211/Prices!Q211,-T$3*R211)</f>
        <v>0</v>
      </c>
      <c r="V212" s="13"/>
      <c r="W212" s="4"/>
      <c r="X212" s="4"/>
      <c r="Y212" s="4"/>
      <c r="Z212" s="4"/>
      <c r="AA212" s="4"/>
      <c r="AB212" s="4"/>
      <c r="AC212" s="4"/>
      <c r="AD212" s="4"/>
      <c r="AE212" s="52"/>
    </row>
    <row r="213" spans="1:31" x14ac:dyDescent="0.2">
      <c r="A213" s="66">
        <v>43686</v>
      </c>
      <c r="B213" s="13">
        <f ca="1">Prices!Q212*(1+J213/(50*(ABS(O213)+ABS(T213)+0.0001)))</f>
        <v>214.65946786501289</v>
      </c>
      <c r="C213" s="62">
        <f t="shared" ca="1" si="22"/>
        <v>0</v>
      </c>
      <c r="D213" s="13">
        <f ca="1">D212+C213*(Prices!Q213-Prices!Q212)/Prices!Q212</f>
        <v>5.9793408918896374</v>
      </c>
      <c r="E213" s="13">
        <f t="shared" ca="1" si="25"/>
        <v>0.12409789080065536</v>
      </c>
      <c r="F213" s="13">
        <f t="shared" ca="1" si="26"/>
        <v>6.1034387826902927</v>
      </c>
      <c r="G213" s="21">
        <f ca="1">IF((Prices!Q213-Prices!Q212)*C213&gt;0,1,0)</f>
        <v>0</v>
      </c>
      <c r="H213" s="13">
        <f>ABS(Prices!Q213-Prices!Q212)/Prices!Q212</f>
        <v>3.3885376149151152E-2</v>
      </c>
      <c r="I213" s="21"/>
      <c r="J213" s="4">
        <f t="shared" ca="1" si="23"/>
        <v>-2.8045130669759731E-4</v>
      </c>
      <c r="K213" s="13"/>
      <c r="L213" s="13">
        <f ca="1">L212-O213*Prices!Q213</f>
        <v>4.4671723938180925</v>
      </c>
      <c r="M213" s="4">
        <f t="shared" ca="1" si="24"/>
        <v>2.7764679363062133E-2</v>
      </c>
      <c r="N213" s="13">
        <f ca="1">IF(Prices!P212&gt;OFFSET(Prices!P212,-$N$3,0),1,-1)</f>
        <v>-1</v>
      </c>
      <c r="O213" s="4">
        <f ca="1">IF(N213=1,O$3*L212/Prices!Q212,-O$3*M212)</f>
        <v>-2.8045130669759731E-4</v>
      </c>
      <c r="P213" s="22"/>
      <c r="Q213" s="13">
        <f ca="1">Q212-T213*Prices!Q213</f>
        <v>1</v>
      </c>
      <c r="R213" s="4">
        <f t="shared" ca="1" si="27"/>
        <v>0.01</v>
      </c>
      <c r="S213" s="13">
        <f ca="1">IF(Prices!D212&gt;OFFSET(Prices!D212,-S$3,0),1,-1)</f>
        <v>-1</v>
      </c>
      <c r="T213" s="4">
        <f ca="1">IF(S213=1,T$3*Q212/Prices!Q212,-T$3*R212)</f>
        <v>0</v>
      </c>
      <c r="V213" s="13"/>
      <c r="W213" s="4"/>
      <c r="X213" s="4"/>
      <c r="Y213" s="4"/>
      <c r="Z213" s="4"/>
      <c r="AA213" s="4"/>
      <c r="AB213" s="4"/>
      <c r="AC213" s="4"/>
      <c r="AD213" s="4"/>
      <c r="AE213" s="52"/>
    </row>
    <row r="214" spans="1:31" x14ac:dyDescent="0.2">
      <c r="A214" s="66">
        <v>43693</v>
      </c>
      <c r="B214" s="13">
        <f ca="1">Prices!Q213*(1+J214/(50*(ABS(O214)+ABS(T214)+0.0001)))</f>
        <v>213.35038429972411</v>
      </c>
      <c r="C214" s="62">
        <f t="shared" ca="1" si="22"/>
        <v>1</v>
      </c>
      <c r="D214" s="13">
        <f ca="1">D213+C214*(Prices!Q214-Prices!Q213)/Prices!Q213</f>
        <v>5.860337813024298</v>
      </c>
      <c r="E214" s="13">
        <f t="shared" ca="1" si="25"/>
        <v>0.2431009696659947</v>
      </c>
      <c r="F214" s="13">
        <f t="shared" ca="1" si="26"/>
        <v>6.1034387826902927</v>
      </c>
      <c r="G214" s="21">
        <f ca="1">IF((Prices!Q214-Prices!Q213)*C214&gt;0,1,0)</f>
        <v>0</v>
      </c>
      <c r="H214" s="13">
        <f>ABS(Prices!Q214-Prices!Q213)/Prices!Q213</f>
        <v>0.11900307886533903</v>
      </c>
      <c r="I214" s="21"/>
      <c r="J214" s="4">
        <f t="shared" ca="1" si="23"/>
        <v>2.1222839994214479E-4</v>
      </c>
      <c r="K214" s="13"/>
      <c r="L214" s="13">
        <f ca="1">L213-O214*Prices!Q214</f>
        <v>4.4278167425667778</v>
      </c>
      <c r="M214" s="4">
        <f t="shared" ca="1" si="24"/>
        <v>2.7976907763004277E-2</v>
      </c>
      <c r="N214" s="13">
        <f ca="1">IF(Prices!P213&gt;OFFSET(Prices!P213,-$N$3,0),1,-1)</f>
        <v>1</v>
      </c>
      <c r="O214" s="4">
        <f ca="1">IF(N214=1,O$3*L213/Prices!Q213,-O$3*M213)</f>
        <v>2.1222839994214479E-4</v>
      </c>
      <c r="P214" s="22"/>
      <c r="Q214" s="13">
        <f ca="1">Q213-T214*Prices!Q214</f>
        <v>1</v>
      </c>
      <c r="R214" s="4">
        <f t="shared" ca="1" si="27"/>
        <v>0.01</v>
      </c>
      <c r="S214" s="13">
        <f ca="1">IF(Prices!D213&gt;OFFSET(Prices!D213,-S$3,0),1,-1)</f>
        <v>-1</v>
      </c>
      <c r="T214" s="4">
        <f ca="1">IF(S214=1,T$3*Q213/Prices!Q213,-T$3*R213)</f>
        <v>0</v>
      </c>
      <c r="V214" s="13"/>
      <c r="W214" s="4"/>
      <c r="X214" s="4"/>
      <c r="Y214" s="4"/>
      <c r="Z214" s="4"/>
      <c r="AA214" s="4"/>
      <c r="AB214" s="4"/>
      <c r="AC214" s="4"/>
      <c r="AD214" s="4"/>
      <c r="AE214" s="52"/>
    </row>
    <row r="215" spans="1:31" x14ac:dyDescent="0.2">
      <c r="A215" s="66">
        <v>43700</v>
      </c>
      <c r="B215" s="13">
        <f ca="1">Prices!Q214*(1+J215/(50*(ABS(O215)+ABS(T215)+0.0001)))</f>
        <v>182.70787130256275</v>
      </c>
      <c r="C215" s="62">
        <f t="shared" ca="1" si="22"/>
        <v>0</v>
      </c>
      <c r="D215" s="13">
        <f ca="1">D214+C215*(Prices!Q215-Prices!Q214)/Prices!Q214</f>
        <v>5.860337813024298</v>
      </c>
      <c r="E215" s="13">
        <f t="shared" ca="1" si="25"/>
        <v>0.2431009696659947</v>
      </c>
      <c r="F215" s="13">
        <f t="shared" ca="1" si="26"/>
        <v>6.1034387826902927</v>
      </c>
      <c r="G215" s="21">
        <f ca="1">IF((Prices!Q215-Prices!Q214)*C215&gt;0,1,0)</f>
        <v>0</v>
      </c>
      <c r="H215" s="13">
        <f>ABS(Prices!Q215-Prices!Q214)/Prices!Q214</f>
        <v>4.9968313484163307E-2</v>
      </c>
      <c r="I215" s="21"/>
      <c r="J215" s="4">
        <f t="shared" ca="1" si="23"/>
        <v>-2.7976907763004277E-4</v>
      </c>
      <c r="K215" s="13"/>
      <c r="L215" s="13">
        <f ca="1">L214-O215*Prices!Q215</f>
        <v>4.4822895185080123</v>
      </c>
      <c r="M215" s="4">
        <f t="shared" ca="1" si="24"/>
        <v>2.7697138685374233E-2</v>
      </c>
      <c r="N215" s="13">
        <f ca="1">IF(Prices!P214&gt;OFFSET(Prices!P214,-$N$3,0),1,-1)</f>
        <v>-1</v>
      </c>
      <c r="O215" s="4">
        <f ca="1">IF(N215=1,O$3*L214/Prices!Q214,-O$3*M214)</f>
        <v>-2.7976907763004277E-4</v>
      </c>
      <c r="P215" s="22"/>
      <c r="Q215" s="13">
        <f ca="1">Q214-T215*Prices!Q215</f>
        <v>1</v>
      </c>
      <c r="R215" s="4">
        <f t="shared" ca="1" si="27"/>
        <v>0.01</v>
      </c>
      <c r="S215" s="13">
        <f ca="1">IF(Prices!D214&gt;OFFSET(Prices!D214,-S$3,0),1,-1)</f>
        <v>-1</v>
      </c>
      <c r="T215" s="4">
        <f ca="1">IF(S215=1,T$3*Q214/Prices!Q214,-T$3*R214)</f>
        <v>0</v>
      </c>
      <c r="V215" s="13"/>
      <c r="W215" s="4"/>
      <c r="X215" s="4"/>
      <c r="Y215" s="4"/>
      <c r="Z215" s="4"/>
      <c r="AA215" s="4"/>
      <c r="AB215" s="4"/>
      <c r="AC215" s="4"/>
      <c r="AD215" s="4"/>
      <c r="AE215" s="52"/>
    </row>
    <row r="216" spans="1:31" x14ac:dyDescent="0.2">
      <c r="A216" s="66">
        <v>43707</v>
      </c>
      <c r="B216" s="13">
        <f ca="1">Prices!Q215*(1+J216/(50*(ABS(O216)+ABS(T216)+0.0001)))</f>
        <v>191.84508543680059</v>
      </c>
      <c r="C216" s="62">
        <f t="shared" ca="1" si="22"/>
        <v>0</v>
      </c>
      <c r="D216" s="13">
        <f ca="1">D215+C216*(Prices!Q216-Prices!Q215)/Prices!Q215</f>
        <v>5.860337813024298</v>
      </c>
      <c r="E216" s="13">
        <f t="shared" ca="1" si="25"/>
        <v>0.2431009696659947</v>
      </c>
      <c r="F216" s="13">
        <f t="shared" ca="1" si="26"/>
        <v>6.1034387826902927</v>
      </c>
      <c r="G216" s="21">
        <f ca="1">IF((Prices!Q216-Prices!Q215)*C216&gt;0,1,0)</f>
        <v>0</v>
      </c>
      <c r="H216" s="13">
        <f>ABS(Prices!Q216-Prices!Q215)/Prices!Q215</f>
        <v>0.13287371983986113</v>
      </c>
      <c r="I216" s="21"/>
      <c r="J216" s="4">
        <f t="shared" ca="1" si="23"/>
        <v>-2.7697138685374233E-4</v>
      </c>
      <c r="K216" s="13"/>
      <c r="L216" s="13">
        <f ca="1">L215-O216*Prices!Q216</f>
        <v>4.5290519463242118</v>
      </c>
      <c r="M216" s="4">
        <f t="shared" ca="1" si="24"/>
        <v>2.7420167298520492E-2</v>
      </c>
      <c r="N216" s="13">
        <f ca="1">IF(Prices!P215&gt;OFFSET(Prices!P215,-$N$3,0),1,-1)</f>
        <v>-1</v>
      </c>
      <c r="O216" s="4">
        <f ca="1">IF(N216=1,O$3*L215/Prices!Q215,-O$3*M215)</f>
        <v>-2.7697138685374233E-4</v>
      </c>
      <c r="P216" s="22"/>
      <c r="Q216" s="13">
        <f ca="1">Q215-T216*Prices!Q216</f>
        <v>1</v>
      </c>
      <c r="R216" s="4">
        <f t="shared" ca="1" si="27"/>
        <v>0.01</v>
      </c>
      <c r="S216" s="13">
        <f ca="1">IF(Prices!D215&gt;OFFSET(Prices!D215,-S$3,0),1,-1)</f>
        <v>-1</v>
      </c>
      <c r="T216" s="4">
        <f ca="1">IF(S216=1,T$3*Q215/Prices!Q215,-T$3*R215)</f>
        <v>0</v>
      </c>
      <c r="V216" s="13"/>
      <c r="W216" s="4"/>
      <c r="X216" s="4"/>
      <c r="Y216" s="4"/>
      <c r="Z216" s="4"/>
      <c r="AA216" s="4"/>
      <c r="AB216" s="4"/>
      <c r="AC216" s="4"/>
      <c r="AD216" s="4"/>
      <c r="AE216" s="52"/>
    </row>
    <row r="217" spans="1:31" x14ac:dyDescent="0.2">
      <c r="A217" s="66">
        <v>43714</v>
      </c>
      <c r="B217" s="13">
        <f ca="1">Prices!Q216*(1+J217/(50*(ABS(O217)+ABS(T217)+0.0001)))</f>
        <v>166.3605452927477</v>
      </c>
      <c r="C217" s="62">
        <f t="shared" ca="1" si="22"/>
        <v>0</v>
      </c>
      <c r="D217" s="13">
        <f ca="1">D216+C217*(Prices!Q217-Prices!Q216)/Prices!Q216</f>
        <v>5.860337813024298</v>
      </c>
      <c r="E217" s="13">
        <f t="shared" ca="1" si="25"/>
        <v>0.2431009696659947</v>
      </c>
      <c r="F217" s="13">
        <f t="shared" ca="1" si="26"/>
        <v>6.1034387826902927</v>
      </c>
      <c r="G217" s="21">
        <f ca="1">IF((Prices!Q217-Prices!Q216)*C217&gt;0,1,0)</f>
        <v>0</v>
      </c>
      <c r="H217" s="13">
        <f>ABS(Prices!Q217-Prices!Q216)/Prices!Q216</f>
        <v>6.641447981933158E-3</v>
      </c>
      <c r="I217" s="21"/>
      <c r="J217" s="4">
        <f t="shared" ca="1" si="23"/>
        <v>-2.742016729852049E-4</v>
      </c>
      <c r="K217" s="13"/>
      <c r="L217" s="13">
        <f ca="1">L216-O217*Prices!Q217</f>
        <v>4.5756542143917818</v>
      </c>
      <c r="M217" s="4">
        <f t="shared" ca="1" si="24"/>
        <v>2.7145965625535288E-2</v>
      </c>
      <c r="N217" s="13">
        <f ca="1">IF(Prices!P216&gt;OFFSET(Prices!P216,-$N$3,0),1,-1)</f>
        <v>-1</v>
      </c>
      <c r="O217" s="4">
        <f ca="1">IF(N217=1,O$3*L216/Prices!Q216,-O$3*M216)</f>
        <v>-2.742016729852049E-4</v>
      </c>
      <c r="P217" s="22"/>
      <c r="Q217" s="13">
        <f ca="1">Q216-T217*Prices!Q217</f>
        <v>1</v>
      </c>
      <c r="R217" s="4">
        <f t="shared" ca="1" si="27"/>
        <v>0.01</v>
      </c>
      <c r="S217" s="13">
        <f ca="1">IF(Prices!D216&gt;OFFSET(Prices!D216,-S$3,0),1,-1)</f>
        <v>-1</v>
      </c>
      <c r="T217" s="4">
        <f ca="1">IF(S217=1,T$3*Q216/Prices!Q216,-T$3*R216)</f>
        <v>0</v>
      </c>
      <c r="V217" s="13"/>
      <c r="W217" s="4"/>
      <c r="X217" s="4"/>
      <c r="Y217" s="4"/>
      <c r="Z217" s="4"/>
      <c r="AA217" s="4"/>
      <c r="AB217" s="4"/>
      <c r="AC217" s="4"/>
      <c r="AD217" s="4"/>
      <c r="AE217" s="52"/>
    </row>
    <row r="218" spans="1:31" x14ac:dyDescent="0.2">
      <c r="A218" s="66">
        <v>43721</v>
      </c>
      <c r="B218" s="13">
        <f ca="1">Prices!Q217*(1+J218/(50*(ABS(O218)+ABS(T218)+0.0001)))</f>
        <v>167.47212552307846</v>
      </c>
      <c r="C218" s="62">
        <f t="shared" ca="1" si="22"/>
        <v>0</v>
      </c>
      <c r="D218" s="13">
        <f ca="1">D217+C218*(Prices!Q218-Prices!Q217)/Prices!Q217</f>
        <v>5.860337813024298</v>
      </c>
      <c r="E218" s="13">
        <f t="shared" ca="1" si="25"/>
        <v>0.2431009696659947</v>
      </c>
      <c r="F218" s="13">
        <f t="shared" ca="1" si="26"/>
        <v>6.1034387826902927</v>
      </c>
      <c r="G218" s="21">
        <f ca="1">IF((Prices!Q218-Prices!Q217)*C218&gt;0,1,0)</f>
        <v>0</v>
      </c>
      <c r="H218" s="13">
        <f>ABS(Prices!Q218-Prices!Q217)/Prices!Q217</f>
        <v>6.5626028996874877E-2</v>
      </c>
      <c r="I218" s="21"/>
      <c r="J218" s="4">
        <f t="shared" ca="1" si="23"/>
        <v>-2.7145965625535289E-4</v>
      </c>
      <c r="K218" s="13"/>
      <c r="L218" s="13">
        <f ca="1">L217-O218*Prices!Q218</f>
        <v>4.6248181983562429</v>
      </c>
      <c r="M218" s="4">
        <f t="shared" ca="1" si="24"/>
        <v>2.6874505969279934E-2</v>
      </c>
      <c r="N218" s="13">
        <f ca="1">IF(Prices!P217&gt;OFFSET(Prices!P217,-$N$3,0),1,-1)</f>
        <v>-1</v>
      </c>
      <c r="O218" s="4">
        <f ca="1">IF(N218=1,O$3*L217/Prices!Q217,-O$3*M217)</f>
        <v>-2.7145965625535289E-4</v>
      </c>
      <c r="P218" s="22"/>
      <c r="Q218" s="13">
        <f ca="1">Q217-T218*Prices!Q218</f>
        <v>1</v>
      </c>
      <c r="R218" s="4">
        <f t="shared" ca="1" si="27"/>
        <v>0.01</v>
      </c>
      <c r="S218" s="13">
        <f ca="1">IF(Prices!D217&gt;OFFSET(Prices!D217,-S$3,0),1,-1)</f>
        <v>-1</v>
      </c>
      <c r="T218" s="4">
        <f ca="1">IF(S218=1,T$3*Q217/Prices!Q217,-T$3*R217)</f>
        <v>0</v>
      </c>
      <c r="V218" s="13"/>
      <c r="W218" s="4"/>
      <c r="X218" s="4"/>
      <c r="Y218" s="4"/>
      <c r="Z218" s="4"/>
      <c r="AA218" s="4"/>
      <c r="AB218" s="4"/>
      <c r="AC218" s="4"/>
      <c r="AD218" s="4"/>
      <c r="AE218" s="52"/>
    </row>
    <row r="219" spans="1:31" x14ac:dyDescent="0.2">
      <c r="A219" s="66">
        <v>43728</v>
      </c>
      <c r="B219" s="13">
        <f ca="1">Prices!Q218*(1+J219/(50*(ABS(O219)+ABS(T219)+0.0001)))</f>
        <v>183.71261773194962</v>
      </c>
      <c r="C219" s="62">
        <f t="shared" ca="1" si="22"/>
        <v>1</v>
      </c>
      <c r="D219" s="13">
        <f ca="1">D218+C219*(Prices!Q219-Prices!Q218)/Prices!Q218</f>
        <v>6.0643043465499469</v>
      </c>
      <c r="E219" s="13">
        <f t="shared" ca="1" si="25"/>
        <v>3.9134436140345841E-2</v>
      </c>
      <c r="F219" s="13">
        <f t="shared" ca="1" si="26"/>
        <v>6.1034387826902927</v>
      </c>
      <c r="G219" s="21">
        <f ca="1">IF((Prices!Q219-Prices!Q218)*C219&gt;0,1,0)</f>
        <v>1</v>
      </c>
      <c r="H219" s="13">
        <f>ABS(Prices!Q219-Prices!Q218)/Prices!Q218</f>
        <v>0.20396653352564847</v>
      </c>
      <c r="I219" s="21"/>
      <c r="J219" s="4">
        <f t="shared" ca="1" si="23"/>
        <v>2.5536001298772011E-4</v>
      </c>
      <c r="K219" s="13"/>
      <c r="L219" s="13">
        <f ca="1">L218-O219*Prices!Q219</f>
        <v>4.5691369350116302</v>
      </c>
      <c r="M219" s="4">
        <f t="shared" ca="1" si="24"/>
        <v>2.7129865982267656E-2</v>
      </c>
      <c r="N219" s="13">
        <f ca="1">IF(Prices!P218&gt;OFFSET(Prices!P218,-$N$3,0),1,-1)</f>
        <v>1</v>
      </c>
      <c r="O219" s="4">
        <f ca="1">IF(N219=1,O$3*L218/Prices!Q218,-O$3*M218)</f>
        <v>2.5536001298772011E-4</v>
      </c>
      <c r="P219" s="22"/>
      <c r="Q219" s="13">
        <f ca="1">Q218-T219*Prices!Q219</f>
        <v>1</v>
      </c>
      <c r="R219" s="4">
        <f t="shared" ca="1" si="27"/>
        <v>0.01</v>
      </c>
      <c r="S219" s="13">
        <f ca="1">IF(Prices!D218&gt;OFFSET(Prices!D218,-S$3,0),1,-1)</f>
        <v>-1</v>
      </c>
      <c r="T219" s="4">
        <f ca="1">IF(S219=1,T$3*Q218/Prices!Q218,-T$3*R218)</f>
        <v>0</v>
      </c>
      <c r="V219" s="13"/>
      <c r="W219" s="4"/>
      <c r="X219" s="4"/>
      <c r="Y219" s="4"/>
      <c r="Z219" s="4"/>
      <c r="AA219" s="4"/>
      <c r="AB219" s="4"/>
      <c r="AC219" s="4"/>
      <c r="AD219" s="4"/>
      <c r="AE219" s="52"/>
    </row>
    <row r="220" spans="1:31" x14ac:dyDescent="0.2">
      <c r="A220" s="66">
        <v>43735</v>
      </c>
      <c r="B220" s="13">
        <f ca="1">Prices!Q219*(1+J220/(50*(ABS(O220)+ABS(T220)+0.0001)))</f>
        <v>214.86357447320151</v>
      </c>
      <c r="C220" s="62">
        <f t="shared" ca="1" si="22"/>
        <v>0</v>
      </c>
      <c r="D220" s="13">
        <f ca="1">D219+C220*(Prices!Q220-Prices!Q219)/Prices!Q219</f>
        <v>6.0643043465499469</v>
      </c>
      <c r="E220" s="13">
        <f t="shared" ca="1" si="25"/>
        <v>3.9134436140345841E-2</v>
      </c>
      <c r="F220" s="13">
        <f t="shared" ca="1" si="26"/>
        <v>6.1034387826902927</v>
      </c>
      <c r="G220" s="21">
        <f ca="1">IF((Prices!Q220-Prices!Q219)*C220&gt;0,1,0)</f>
        <v>0</v>
      </c>
      <c r="H220" s="13">
        <f>ABS(Prices!Q220-Prices!Q219)/Prices!Q219</f>
        <v>0.19875735042829554</v>
      </c>
      <c r="I220" s="21"/>
      <c r="J220" s="4">
        <f t="shared" ca="1" si="23"/>
        <v>-2.7129865982267659E-4</v>
      </c>
      <c r="K220" s="13"/>
      <c r="L220" s="13">
        <f ca="1">L219-O220*Prices!Q220</f>
        <v>4.6165357948966115</v>
      </c>
      <c r="M220" s="4">
        <f t="shared" ca="1" si="24"/>
        <v>2.685856732244498E-2</v>
      </c>
      <c r="N220" s="13">
        <f ca="1">IF(Prices!P219&gt;OFFSET(Prices!P219,-$N$3,0),1,-1)</f>
        <v>-1</v>
      </c>
      <c r="O220" s="4">
        <f ca="1">IF(N220=1,O$3*L219/Prices!Q219,-O$3*M219)</f>
        <v>-2.7129865982267659E-4</v>
      </c>
      <c r="P220" s="22"/>
      <c r="Q220" s="13">
        <f ca="1">Q219-T220*Prices!Q220</f>
        <v>1</v>
      </c>
      <c r="R220" s="4">
        <f t="shared" ca="1" si="27"/>
        <v>0.01</v>
      </c>
      <c r="S220" s="13">
        <f ca="1">IF(Prices!D219&gt;OFFSET(Prices!D219,-S$3,0),1,-1)</f>
        <v>-1</v>
      </c>
      <c r="T220" s="4">
        <f ca="1">IF(S220=1,T$3*Q219/Prices!Q219,-T$3*R219)</f>
        <v>0</v>
      </c>
      <c r="V220" s="13"/>
      <c r="W220" s="4"/>
      <c r="X220" s="4"/>
      <c r="Y220" s="4"/>
      <c r="Z220" s="4"/>
      <c r="AA220" s="4"/>
      <c r="AB220" s="4"/>
      <c r="AC220" s="4"/>
      <c r="AD220" s="4"/>
      <c r="AE220" s="52"/>
    </row>
    <row r="221" spans="1:31" x14ac:dyDescent="0.2">
      <c r="A221" s="66">
        <v>43742</v>
      </c>
      <c r="B221" s="13">
        <f ca="1">Prices!Q220*(1+J221/(50*(ABS(O221)+ABS(T221)+0.0001)))</f>
        <v>172.16478656175602</v>
      </c>
      <c r="C221" s="62">
        <f t="shared" ca="1" si="22"/>
        <v>0</v>
      </c>
      <c r="D221" s="13">
        <f ca="1">D220+C221*(Prices!Q221-Prices!Q220)/Prices!Q220</f>
        <v>6.0643043465499469</v>
      </c>
      <c r="E221" s="13">
        <f t="shared" ca="1" si="25"/>
        <v>3.9134436140345841E-2</v>
      </c>
      <c r="F221" s="13">
        <f t="shared" ca="1" si="26"/>
        <v>6.1034387826902927</v>
      </c>
      <c r="G221" s="21">
        <f ca="1">IF((Prices!Q221-Prices!Q220)*C221&gt;0,1,0)</f>
        <v>0</v>
      </c>
      <c r="H221" s="13">
        <f>ABS(Prices!Q221-Prices!Q220)/Prices!Q220</f>
        <v>1.3015791867803495E-2</v>
      </c>
      <c r="I221" s="21"/>
      <c r="J221" s="4">
        <f t="shared" ca="1" si="23"/>
        <v>-2.6858567322444982E-4</v>
      </c>
      <c r="K221" s="13"/>
      <c r="L221" s="13">
        <f ca="1">L220-O221*Prices!Q221</f>
        <v>4.6640714305408268</v>
      </c>
      <c r="M221" s="4">
        <f t="shared" ca="1" si="24"/>
        <v>2.658998164922053E-2</v>
      </c>
      <c r="N221" s="13">
        <f ca="1">IF(Prices!P220&gt;OFFSET(Prices!P220,-$N$3,0),1,-1)</f>
        <v>-1</v>
      </c>
      <c r="O221" s="4">
        <f ca="1">IF(N221=1,O$3*L220/Prices!Q220,-O$3*M220)</f>
        <v>-2.6858567322444982E-4</v>
      </c>
      <c r="P221" s="22"/>
      <c r="Q221" s="13">
        <f ca="1">Q220-T221*Prices!Q221</f>
        <v>1</v>
      </c>
      <c r="R221" s="4">
        <f t="shared" ca="1" si="27"/>
        <v>0.01</v>
      </c>
      <c r="S221" s="13">
        <f ca="1">IF(Prices!D220&gt;OFFSET(Prices!D220,-S$3,0),1,-1)</f>
        <v>-1</v>
      </c>
      <c r="T221" s="4">
        <f ca="1">IF(S221=1,T$3*Q220/Prices!Q220,-T$3*R220)</f>
        <v>0</v>
      </c>
      <c r="V221" s="13"/>
      <c r="W221" s="4"/>
      <c r="X221" s="4"/>
      <c r="Y221" s="4"/>
      <c r="Z221" s="4"/>
      <c r="AA221" s="4"/>
      <c r="AB221" s="4"/>
      <c r="AC221" s="4"/>
      <c r="AD221" s="4"/>
      <c r="AE221" s="52"/>
    </row>
    <row r="222" spans="1:31" x14ac:dyDescent="0.2">
      <c r="A222" s="66">
        <v>43749</v>
      </c>
      <c r="B222" s="13">
        <f ca="1">Prices!Q221*(1+J222/(50*(ABS(O222)+ABS(T222)+0.0001)))</f>
        <v>174.41269693388003</v>
      </c>
      <c r="C222" s="62">
        <f t="shared" ca="1" si="22"/>
        <v>0</v>
      </c>
      <c r="D222" s="13">
        <f ca="1">D221+C222*(Prices!Q222-Prices!Q221)/Prices!Q221</f>
        <v>6.0643043465499469</v>
      </c>
      <c r="E222" s="13">
        <f t="shared" ca="1" si="25"/>
        <v>3.9134436140345841E-2</v>
      </c>
      <c r="F222" s="13">
        <f t="shared" ca="1" si="26"/>
        <v>6.1034387826902927</v>
      </c>
      <c r="G222" s="21">
        <f ca="1">IF((Prices!Q222-Prices!Q221)*C222&gt;0,1,0)</f>
        <v>0</v>
      </c>
      <c r="H222" s="13">
        <f>ABS(Prices!Q222-Prices!Q221)/Prices!Q221</f>
        <v>3.1554572243101979E-2</v>
      </c>
      <c r="I222" s="21"/>
      <c r="J222" s="4">
        <f t="shared" ca="1" si="23"/>
        <v>-2.6589981649220533E-4</v>
      </c>
      <c r="K222" s="13"/>
      <c r="L222" s="13">
        <f ca="1">L221-O222*Prices!Q222</f>
        <v>4.7126166768111659</v>
      </c>
      <c r="M222" s="4">
        <f t="shared" ca="1" si="24"/>
        <v>2.6324081832728326E-2</v>
      </c>
      <c r="N222" s="13">
        <f ca="1">IF(Prices!P221&gt;OFFSET(Prices!P221,-$N$3,0),1,-1)</f>
        <v>-1</v>
      </c>
      <c r="O222" s="4">
        <f ca="1">IF(N222=1,O$3*L221/Prices!Q221,-O$3*M221)</f>
        <v>-2.6589981649220533E-4</v>
      </c>
      <c r="P222" s="22"/>
      <c r="Q222" s="13">
        <f ca="1">Q221-T222*Prices!Q222</f>
        <v>1</v>
      </c>
      <c r="R222" s="4">
        <f t="shared" ca="1" si="27"/>
        <v>0.01</v>
      </c>
      <c r="S222" s="13">
        <f ca="1">IF(Prices!D221&gt;OFFSET(Prices!D221,-S$3,0),1,-1)</f>
        <v>1</v>
      </c>
      <c r="T222" s="4">
        <f ca="1">IF(S222=1,T$3*Q221/Prices!Q221,-T$3*R221)</f>
        <v>0</v>
      </c>
      <c r="V222" s="13"/>
      <c r="W222" s="4"/>
      <c r="X222" s="4"/>
      <c r="Y222" s="4"/>
      <c r="Z222" s="4"/>
      <c r="AA222" s="4"/>
      <c r="AB222" s="4"/>
      <c r="AC222" s="4"/>
      <c r="AD222" s="4"/>
      <c r="AE222" s="52"/>
    </row>
    <row r="223" spans="1:31" x14ac:dyDescent="0.2">
      <c r="A223" s="66">
        <v>43756</v>
      </c>
      <c r="B223" s="13">
        <f ca="1">Prices!Q222*(1+J223/(50*(ABS(O223)+ABS(T223)+0.0001)))</f>
        <v>185.20150006762509</v>
      </c>
      <c r="C223" s="62">
        <f t="shared" ca="1" si="22"/>
        <v>1</v>
      </c>
      <c r="D223" s="13">
        <f ca="1">D222+C223*(Prices!Q223-Prices!Q222)/Prices!Q222</f>
        <v>6.0152910128085137</v>
      </c>
      <c r="E223" s="13">
        <f t="shared" ca="1" si="25"/>
        <v>8.814776988177897E-2</v>
      </c>
      <c r="F223" s="13">
        <f t="shared" ca="1" si="26"/>
        <v>6.1034387826902927</v>
      </c>
      <c r="G223" s="21">
        <f ca="1">IF((Prices!Q223-Prices!Q222)*C223&gt;0,1,0)</f>
        <v>0</v>
      </c>
      <c r="H223" s="13">
        <f>ABS(Prices!Q223-Prices!Q222)/Prices!Q222</f>
        <v>4.9013333741433095E-2</v>
      </c>
      <c r="I223" s="21"/>
      <c r="J223" s="4">
        <f t="shared" ca="1" si="23"/>
        <v>2.5812700641871433E-4</v>
      </c>
      <c r="K223" s="13"/>
      <c r="L223" s="13">
        <f ca="1">L222-O223*Prices!Q223</f>
        <v>4.6678003205828142</v>
      </c>
      <c r="M223" s="4">
        <f t="shared" ca="1" si="24"/>
        <v>2.658220883914704E-2</v>
      </c>
      <c r="N223" s="13">
        <f ca="1">IF(Prices!P222&gt;OFFSET(Prices!P222,-$N$3,0),1,-1)</f>
        <v>1</v>
      </c>
      <c r="O223" s="4">
        <f ca="1">IF(N223=1,O$3*L222/Prices!Q222,-O$3*M222)</f>
        <v>2.5812700641871433E-4</v>
      </c>
      <c r="P223" s="22"/>
      <c r="Q223" s="13">
        <f ca="1">Q222-T223*Prices!Q223</f>
        <v>1</v>
      </c>
      <c r="R223" s="4">
        <f t="shared" ca="1" si="27"/>
        <v>0.01</v>
      </c>
      <c r="S223" s="13">
        <f ca="1">IF(Prices!D222&gt;OFFSET(Prices!D222,-S$3,0),1,-1)</f>
        <v>1</v>
      </c>
      <c r="T223" s="4">
        <f ca="1">IF(S223=1,T$3*Q222/Prices!Q222,-T$3*R222)</f>
        <v>0</v>
      </c>
      <c r="V223" s="13"/>
      <c r="W223" s="4"/>
      <c r="X223" s="4"/>
      <c r="Y223" s="4"/>
      <c r="Z223" s="4"/>
      <c r="AA223" s="4"/>
      <c r="AB223" s="4"/>
      <c r="AC223" s="4"/>
      <c r="AD223" s="4"/>
      <c r="AE223" s="52"/>
    </row>
    <row r="224" spans="1:31" x14ac:dyDescent="0.2">
      <c r="A224" s="66">
        <v>43763</v>
      </c>
      <c r="B224" s="13">
        <f ca="1">Prices!Q223*(1+J224/(50*(ABS(O224)+ABS(T224)+0.0001)))</f>
        <v>171.09812313020279</v>
      </c>
      <c r="C224" s="62">
        <f t="shared" ca="1" si="22"/>
        <v>0</v>
      </c>
      <c r="D224" s="13">
        <f ca="1">D223+C224*(Prices!Q224-Prices!Q223)/Prices!Q223</f>
        <v>6.0152910128085137</v>
      </c>
      <c r="E224" s="13">
        <f t="shared" ca="1" si="25"/>
        <v>8.814776988177897E-2</v>
      </c>
      <c r="F224" s="13">
        <f t="shared" ca="1" si="26"/>
        <v>6.1034387826902927</v>
      </c>
      <c r="G224" s="21">
        <f ca="1">IF((Prices!Q224-Prices!Q223)*C224&gt;0,1,0)</f>
        <v>0</v>
      </c>
      <c r="H224" s="13">
        <f>ABS(Prices!Q224-Prices!Q223)/Prices!Q223</f>
        <v>4.5512095984423295E-2</v>
      </c>
      <c r="I224" s="21"/>
      <c r="J224" s="4">
        <f t="shared" ca="1" si="23"/>
        <v>-2.6582208839147039E-4</v>
      </c>
      <c r="K224" s="13"/>
      <c r="L224" s="13">
        <f ca="1">L223-O224*Prices!Q224</f>
        <v>4.716053199090716</v>
      </c>
      <c r="M224" s="4">
        <f t="shared" ca="1" si="24"/>
        <v>2.6316386750755569E-2</v>
      </c>
      <c r="N224" s="13">
        <f ca="1">IF(Prices!P223&gt;OFFSET(Prices!P223,-$N$3,0),1,-1)</f>
        <v>-1</v>
      </c>
      <c r="O224" s="4">
        <f ca="1">IF(N224=1,O$3*L223/Prices!Q223,-O$3*M223)</f>
        <v>-2.6582208839147039E-4</v>
      </c>
      <c r="P224" s="22"/>
      <c r="Q224" s="13">
        <f ca="1">Q223-T224*Prices!Q224</f>
        <v>1</v>
      </c>
      <c r="R224" s="4">
        <f t="shared" ca="1" si="27"/>
        <v>0.01</v>
      </c>
      <c r="S224" s="13">
        <f ca="1">IF(Prices!D223&gt;OFFSET(Prices!D223,-S$3,0),1,-1)</f>
        <v>1</v>
      </c>
      <c r="T224" s="4">
        <f ca="1">IF(S224=1,T$3*Q223/Prices!Q223,-T$3*R223)</f>
        <v>0</v>
      </c>
      <c r="V224" s="13"/>
      <c r="W224" s="4"/>
      <c r="X224" s="4"/>
      <c r="Y224" s="4"/>
      <c r="Z224" s="4"/>
      <c r="AA224" s="4"/>
      <c r="AB224" s="4"/>
      <c r="AC224" s="4"/>
      <c r="AD224" s="4"/>
      <c r="AE224" s="52"/>
    </row>
    <row r="225" spans="1:31" x14ac:dyDescent="0.2">
      <c r="A225" s="66">
        <v>43770</v>
      </c>
      <c r="B225" s="13">
        <f ca="1">Prices!Q224*(1+J225/(50*(ABS(O225)+ABS(T225)+0.0001)))</f>
        <v>184.14466273420933</v>
      </c>
      <c r="C225" s="62">
        <f t="shared" ca="1" si="22"/>
        <v>1</v>
      </c>
      <c r="D225" s="13">
        <f ca="1">D224+C225*(Prices!Q225-Prices!Q224)/Prices!Q224</f>
        <v>6.0287696473780468</v>
      </c>
      <c r="E225" s="13">
        <f t="shared" ca="1" si="25"/>
        <v>7.4669135312245949E-2</v>
      </c>
      <c r="F225" s="13">
        <f t="shared" ca="1" si="26"/>
        <v>6.1034387826902927</v>
      </c>
      <c r="G225" s="21">
        <f ca="1">IF((Prices!Q225-Prices!Q224)*C225&gt;0,1,0)</f>
        <v>1</v>
      </c>
      <c r="H225" s="13">
        <f>ABS(Prices!Q225-Prices!Q224)/Prices!Q224</f>
        <v>1.347863456953321E-2</v>
      </c>
      <c r="I225" s="21"/>
      <c r="J225" s="4">
        <f t="shared" ca="1" si="23"/>
        <v>2.5980441978032219E-4</v>
      </c>
      <c r="K225" s="13"/>
      <c r="L225" s="13">
        <f ca="1">L224-O225*Prices!Q225</f>
        <v>4.6682570075229988</v>
      </c>
      <c r="M225" s="4">
        <f t="shared" ca="1" si="24"/>
        <v>2.657619117053589E-2</v>
      </c>
      <c r="N225" s="13">
        <f ca="1">IF(Prices!P224&gt;OFFSET(Prices!P224,-$N$3,0),1,-1)</f>
        <v>1</v>
      </c>
      <c r="O225" s="4">
        <f ca="1">IF(N225=1,O$3*L224/Prices!Q224,-O$3*M224)</f>
        <v>2.5980441978032219E-4</v>
      </c>
      <c r="P225" s="22"/>
      <c r="Q225" s="13">
        <f ca="1">Q224-T225*Prices!Q225</f>
        <v>1</v>
      </c>
      <c r="R225" s="4">
        <f t="shared" ca="1" si="27"/>
        <v>0.01</v>
      </c>
      <c r="S225" s="13">
        <f ca="1">IF(Prices!D224&gt;OFFSET(Prices!D224,-S$3,0),1,-1)</f>
        <v>1</v>
      </c>
      <c r="T225" s="4">
        <f ca="1">IF(S225=1,T$3*Q224/Prices!Q224,-T$3*R224)</f>
        <v>0</v>
      </c>
      <c r="V225" s="13"/>
      <c r="W225" s="4"/>
      <c r="X225" s="4"/>
      <c r="Y225" s="4"/>
      <c r="Z225" s="4"/>
      <c r="AA225" s="4"/>
      <c r="AB225" s="4"/>
      <c r="AC225" s="4"/>
      <c r="AD225" s="4"/>
      <c r="AE225" s="52"/>
    </row>
    <row r="226" spans="1:31" x14ac:dyDescent="0.2">
      <c r="A226" s="66">
        <v>43777</v>
      </c>
      <c r="B226" s="13">
        <f ca="1">Prices!Q225*(1+J226/(50*(ABS(O226)+ABS(T226)+0.0001)))</f>
        <v>186.60918275291678</v>
      </c>
      <c r="C226" s="62">
        <f t="shared" ca="1" si="22"/>
        <v>1</v>
      </c>
      <c r="D226" s="13">
        <f ca="1">D225+C226*(Prices!Q226-Prices!Q225)/Prices!Q225</f>
        <v>6.0300827861462842</v>
      </c>
      <c r="E226" s="13">
        <f t="shared" ca="1" si="25"/>
        <v>7.3355996544008484E-2</v>
      </c>
      <c r="F226" s="13">
        <f t="shared" ca="1" si="26"/>
        <v>6.1034387826902927</v>
      </c>
      <c r="G226" s="21">
        <f ca="1">IF((Prices!Q226-Prices!Q225)*C226&gt;0,1,0)</f>
        <v>1</v>
      </c>
      <c r="H226" s="13">
        <f>ABS(Prices!Q226-Prices!Q225)/Prices!Q225</f>
        <v>1.313138768237675E-3</v>
      </c>
      <c r="I226" s="21"/>
      <c r="J226" s="4">
        <f t="shared" ca="1" si="23"/>
        <v>2.5375113862505125E-4</v>
      </c>
      <c r="K226" s="13"/>
      <c r="L226" s="13">
        <f ca="1">L225-O226*Prices!Q226</f>
        <v>4.621513136755202</v>
      </c>
      <c r="M226" s="4">
        <f t="shared" ca="1" si="24"/>
        <v>2.6829942309160942E-2</v>
      </c>
      <c r="N226" s="13">
        <f ca="1">IF(Prices!P225&gt;OFFSET(Prices!P225,-$N$3,0),1,-1)</f>
        <v>1</v>
      </c>
      <c r="O226" s="4">
        <f ca="1">IF(N226=1,O$3*L225/Prices!Q225,-O$3*M225)</f>
        <v>2.5375113862505125E-4</v>
      </c>
      <c r="P226" s="22"/>
      <c r="Q226" s="13">
        <f ca="1">Q225-T226*Prices!Q226</f>
        <v>1</v>
      </c>
      <c r="R226" s="4">
        <f t="shared" ca="1" si="27"/>
        <v>0.01</v>
      </c>
      <c r="S226" s="13">
        <f ca="1">IF(Prices!D225&gt;OFFSET(Prices!D225,-S$3,0),1,-1)</f>
        <v>1</v>
      </c>
      <c r="T226" s="4">
        <f ca="1">IF(S226=1,T$3*Q225/Prices!Q225,-T$3*R225)</f>
        <v>0</v>
      </c>
      <c r="V226" s="13"/>
      <c r="W226" s="4"/>
      <c r="X226" s="4"/>
      <c r="Y226" s="4"/>
      <c r="Z226" s="4"/>
      <c r="AA226" s="4"/>
      <c r="AB226" s="4"/>
      <c r="AC226" s="4"/>
      <c r="AD226" s="4"/>
      <c r="AE226" s="52"/>
    </row>
    <row r="227" spans="1:31" x14ac:dyDescent="0.2">
      <c r="A227" s="66">
        <v>43784</v>
      </c>
      <c r="B227" s="13">
        <f ca="1">Prices!Q226*(1+J227/(50*(ABS(O227)+ABS(T227)+0.0001)))</f>
        <v>186.84570700441554</v>
      </c>
      <c r="C227" s="62">
        <f t="shared" ca="1" si="22"/>
        <v>1</v>
      </c>
      <c r="D227" s="13">
        <f ca="1">D226+C227*(Prices!Q227-Prices!Q226)/Prices!Q226</f>
        <v>6.0100498698466955</v>
      </c>
      <c r="E227" s="13">
        <f t="shared" ca="1" si="25"/>
        <v>9.3388912843597183E-2</v>
      </c>
      <c r="F227" s="13">
        <f t="shared" ca="1" si="26"/>
        <v>6.1034387826902927</v>
      </c>
      <c r="G227" s="21">
        <f ca="1">IF((Prices!Q227-Prices!Q226)*C227&gt;0,1,0)</f>
        <v>0</v>
      </c>
      <c r="H227" s="13">
        <f>ABS(Prices!Q227-Prices!Q226)/Prices!Q226</f>
        <v>2.0032916299588536E-2</v>
      </c>
      <c r="I227" s="21"/>
      <c r="J227" s="4">
        <f t="shared" ca="1" si="23"/>
        <v>2.508808537589452E-4</v>
      </c>
      <c r="K227" s="13"/>
      <c r="L227" s="13">
        <f ca="1">L226-O227*Prices!Q227</f>
        <v>4.5762238292461106</v>
      </c>
      <c r="M227" s="4">
        <f t="shared" ca="1" si="24"/>
        <v>2.7080823162919886E-2</v>
      </c>
      <c r="N227" s="13">
        <f ca="1">IF(Prices!P226&gt;OFFSET(Prices!P226,-$N$3,0),1,-1)</f>
        <v>1</v>
      </c>
      <c r="O227" s="4">
        <f ca="1">IF(N227=1,O$3*L226/Prices!Q226,-O$3*M226)</f>
        <v>2.508808537589452E-4</v>
      </c>
      <c r="P227" s="22"/>
      <c r="Q227" s="13">
        <f ca="1">Q226-T227*Prices!Q227</f>
        <v>1</v>
      </c>
      <c r="R227" s="4">
        <f t="shared" ca="1" si="27"/>
        <v>0.01</v>
      </c>
      <c r="S227" s="13">
        <f ca="1">IF(Prices!D226&gt;OFFSET(Prices!D226,-S$3,0),1,-1)</f>
        <v>1</v>
      </c>
      <c r="T227" s="4">
        <f ca="1">IF(S227=1,T$3*Q226/Prices!Q226,-T$3*R226)</f>
        <v>0</v>
      </c>
      <c r="V227" s="13"/>
      <c r="W227" s="4"/>
      <c r="X227" s="4"/>
      <c r="Y227" s="4"/>
      <c r="Z227" s="4"/>
      <c r="AA227" s="4"/>
      <c r="AB227" s="4"/>
      <c r="AC227" s="4"/>
      <c r="AD227" s="4"/>
      <c r="AE227" s="52"/>
    </row>
    <row r="228" spans="1:31" x14ac:dyDescent="0.2">
      <c r="A228" s="66">
        <v>43791</v>
      </c>
      <c r="B228" s="13">
        <f ca="1">Prices!Q227*(1+J228/(50*(ABS(O228)+ABS(T228)+0.0001)))</f>
        <v>177.88441869714384</v>
      </c>
      <c r="C228" s="62">
        <f t="shared" ca="1" si="22"/>
        <v>0</v>
      </c>
      <c r="D228" s="13">
        <f ca="1">D227+C228*(Prices!Q228-Prices!Q227)/Prices!Q227</f>
        <v>6.0100498698466955</v>
      </c>
      <c r="E228" s="13">
        <f t="shared" ref="E228" ca="1" si="28">F228-D228</f>
        <v>9.3388912843597183E-2</v>
      </c>
      <c r="F228" s="13">
        <f t="shared" ref="F228" ca="1" si="29">MAX(F227,D228)</f>
        <v>6.1034387826902927</v>
      </c>
      <c r="G228" s="21">
        <f ca="1">IF((Prices!Q228-Prices!Q227)*C228&gt;0,1,0)</f>
        <v>0</v>
      </c>
      <c r="H228" s="13">
        <f>ABS(Prices!Q228-Prices!Q227)/Prices!Q227</f>
        <v>0.16758701758755964</v>
      </c>
      <c r="I228" s="21"/>
      <c r="J228" s="4">
        <f t="shared" ref="J228" ca="1" si="30">O228+T228</f>
        <v>-2.7080823162919888E-4</v>
      </c>
      <c r="K228" s="13"/>
      <c r="L228" s="13">
        <f ca="1">L227-O228*Prices!Q228</f>
        <v>4.6169176874463913</v>
      </c>
      <c r="M228" s="4">
        <f t="shared" ref="M228" ca="1" si="31">M227+O228</f>
        <v>2.6810014931290687E-2</v>
      </c>
      <c r="N228" s="13">
        <f ca="1">IF(Prices!P227&gt;OFFSET(Prices!P227,-$N$3,0),1,-1)</f>
        <v>-1</v>
      </c>
      <c r="O228" s="4">
        <f ca="1">IF(N228=1,O$3*L227/Prices!Q227,-O$3*M227)</f>
        <v>-2.7080823162919888E-4</v>
      </c>
      <c r="P228" s="22"/>
      <c r="Q228" s="13">
        <f ca="1">Q227-T228*Prices!Q228</f>
        <v>1</v>
      </c>
      <c r="R228" s="4">
        <f t="shared" ca="1" si="27"/>
        <v>0.01</v>
      </c>
      <c r="S228" s="13">
        <f ca="1">IF(Prices!D227&gt;OFFSET(Prices!D227,-S$3,0),1,-1)</f>
        <v>1</v>
      </c>
      <c r="T228" s="4">
        <f ca="1">IF(S228=1,T$3*Q227/Prices!Q227,-T$3*R227)</f>
        <v>0</v>
      </c>
      <c r="V228" s="13"/>
      <c r="W228" s="4"/>
      <c r="X228" s="4"/>
      <c r="Y228" s="4"/>
      <c r="Z228" s="4"/>
      <c r="AA228" s="4"/>
      <c r="AB228" s="4"/>
      <c r="AC228" s="4"/>
      <c r="AD228" s="4"/>
      <c r="AE228" s="52"/>
    </row>
    <row r="229" spans="1:31" x14ac:dyDescent="0.2">
      <c r="A229" s="66">
        <v>43798</v>
      </c>
      <c r="B229" s="13">
        <f ca="1">Prices!Q228*(1+J229/(50*(ABS(O229)+ABS(T229)+0.0001)))</f>
        <v>148.07926219985623</v>
      </c>
      <c r="C229" s="62">
        <f t="shared" ca="1" si="22"/>
        <v>0</v>
      </c>
      <c r="D229" s="13">
        <f ca="1">D228+C229*(Prices!Q229-Prices!Q228)/Prices!Q228</f>
        <v>6.0100498698466955</v>
      </c>
      <c r="E229" s="13">
        <f t="shared" ref="E229" ca="1" si="32">F229-D229</f>
        <v>9.3388912843597183E-2</v>
      </c>
      <c r="F229" s="13">
        <f t="shared" ref="F229" ca="1" si="33">MAX(F228,D229)</f>
        <v>6.1034387826902927</v>
      </c>
      <c r="G229" s="21">
        <f ca="1">IF((Prices!Q229-Prices!Q228)*C229&gt;0,1,0)</f>
        <v>0</v>
      </c>
      <c r="H229" s="13">
        <f>ABS(Prices!Q229-Prices!Q228)/Prices!Q228</f>
        <v>3.3513284280098511E-2</v>
      </c>
      <c r="I229" s="21"/>
      <c r="J229" s="4">
        <f t="shared" ref="J229" ca="1" si="34">O229+T229</f>
        <v>-2.6810014931290689E-4</v>
      </c>
      <c r="K229" s="13"/>
      <c r="L229" s="13">
        <f ca="1">L228-O229*Prices!Q229</f>
        <v>4.658554754054606</v>
      </c>
      <c r="M229" s="4">
        <f t="shared" ref="M229" ca="1" si="35">M228+O229</f>
        <v>2.6541914781977781E-2</v>
      </c>
      <c r="N229" s="13">
        <f ca="1">IF(Prices!P228&gt;OFFSET(Prices!P228,-$N$3,0),1,-1)</f>
        <v>-1</v>
      </c>
      <c r="O229" s="4">
        <f ca="1">IF(N229=1,O$3*L228/Prices!Q228,-O$3*M228)</f>
        <v>-2.6810014931290689E-4</v>
      </c>
      <c r="P229" s="22"/>
      <c r="Q229" s="13">
        <f ca="1">Q228-T229*Prices!Q229</f>
        <v>1</v>
      </c>
      <c r="R229" s="4">
        <f t="shared" ca="1" si="27"/>
        <v>0.01</v>
      </c>
      <c r="S229" s="13">
        <f ca="1">IF(Prices!D228&gt;OFFSET(Prices!D228,-S$3,0),1,-1)</f>
        <v>1</v>
      </c>
      <c r="T229" s="4">
        <f ca="1">IF(S229=1,T$3*Q228/Prices!Q228,-T$3*R228)</f>
        <v>0</v>
      </c>
      <c r="V229" s="13"/>
      <c r="W229" s="4"/>
      <c r="X229" s="4"/>
      <c r="Y229" s="4"/>
      <c r="Z229" s="4"/>
      <c r="AA229" s="4"/>
      <c r="AB229" s="4"/>
      <c r="AC229" s="4"/>
      <c r="AD229" s="4"/>
      <c r="AE229" s="52"/>
    </row>
    <row r="230" spans="1:31" x14ac:dyDescent="0.2">
      <c r="A230" s="66">
        <v>43805</v>
      </c>
      <c r="B230" s="13">
        <f ca="1">Prices!Q229*(1+J230/(50*(ABS(O230)+ABS(T230)+0.0001)))</f>
        <v>153.04807549623098</v>
      </c>
      <c r="C230" s="62">
        <f t="shared" ca="1" si="22"/>
        <v>0</v>
      </c>
      <c r="D230" s="13">
        <f ca="1">D229+C230*(Prices!Q230-Prices!Q229)/Prices!Q229</f>
        <v>6.0100498698466955</v>
      </c>
      <c r="E230" s="13">
        <f ca="1">F230-D230</f>
        <v>9.3388912843597183E-2</v>
      </c>
      <c r="F230" s="13">
        <f t="shared" ref="F230" ca="1" si="36">MAX(F229,D230)</f>
        <v>6.1034387826902927</v>
      </c>
      <c r="G230" s="21">
        <f ca="1">IF((Prices!Q230-Prices!Q229)*C230&gt;0,1,0)</f>
        <v>0</v>
      </c>
      <c r="H230" s="13">
        <f>ABS(Prices!Q230-Prices!Q229)/Prices!Q229</f>
        <v>3.9340287313501567E-2</v>
      </c>
      <c r="I230" s="21"/>
      <c r="J230" s="4">
        <f t="shared" ref="J230" ca="1" si="37">O230+T230</f>
        <v>-2.6541914781977782E-4</v>
      </c>
      <c r="K230" s="13"/>
      <c r="L230" s="13">
        <f ca="1">L229-O230*Prices!Q230</f>
        <v>4.6981538159751119</v>
      </c>
      <c r="M230" s="4">
        <f t="shared" ref="M230" ca="1" si="38">M229+O230</f>
        <v>2.6276495634158004E-2</v>
      </c>
      <c r="N230" s="13">
        <f ca="1">IF(Prices!P229&gt;OFFSET(Prices!P229,-$N$3,0),1,-1)</f>
        <v>-1</v>
      </c>
      <c r="O230" s="4">
        <f ca="1">IF(N230=1,O$3*L229/Prices!Q229,-O$3*M229)</f>
        <v>-2.6541914781977782E-4</v>
      </c>
      <c r="P230" s="22"/>
      <c r="Q230" s="13">
        <f ca="1">Q229-T230*Prices!Q230</f>
        <v>1</v>
      </c>
      <c r="R230" s="4">
        <f t="shared" ca="1" si="27"/>
        <v>0.01</v>
      </c>
      <c r="S230" s="13">
        <f ca="1">IF(Prices!D229&gt;OFFSET(Prices!D229,-S$3,0),1,-1)</f>
        <v>1</v>
      </c>
      <c r="T230" s="4">
        <f ca="1">IF(S230=1,T$3*Q229/Prices!Q229,-T$3*R229)</f>
        <v>0</v>
      </c>
      <c r="V230" s="13"/>
      <c r="W230" s="4"/>
      <c r="X230" s="4"/>
      <c r="Y230" s="4"/>
      <c r="Z230" s="4"/>
      <c r="AA230" s="4"/>
      <c r="AB230" s="4"/>
      <c r="AC230" s="4"/>
      <c r="AD230" s="4"/>
      <c r="AE230" s="52"/>
    </row>
    <row r="231" spans="1:31" x14ac:dyDescent="0.2">
      <c r="A231" s="66">
        <v>43812</v>
      </c>
      <c r="B231" s="13">
        <f ca="1">Prices!Q230*(1+J231/(50*(ABS(O231)+ABS(T231)+0.0001)))</f>
        <v>151.45915161640522</v>
      </c>
      <c r="C231" s="62">
        <f t="shared" ca="1" si="22"/>
        <v>1</v>
      </c>
      <c r="D231" s="13">
        <f ca="1">D230+C231*(Prices!Q231-Prices!Q230)/Prices!Q230</f>
        <v>5.9815655984854628</v>
      </c>
      <c r="E231" s="13">
        <f ca="1">F231-D231</f>
        <v>0.12187318420482995</v>
      </c>
      <c r="F231" s="13">
        <f t="shared" ref="F231" ca="1" si="39">MAX(F230,D231)</f>
        <v>6.1034387826902927</v>
      </c>
      <c r="G231" s="21">
        <f ca="1">IF((Prices!Q231-Prices!Q230)*C231&gt;0,1,0)</f>
        <v>0</v>
      </c>
      <c r="H231" s="13">
        <f>ABS(Prices!Q231-Prices!Q230)/Prices!Q230</f>
        <v>2.8484271361232955E-2</v>
      </c>
      <c r="I231" s="21"/>
      <c r="J231" s="4">
        <f t="shared" ref="J231" ca="1" si="40">O231+T231</f>
        <v>3.1490139454960205E-4</v>
      </c>
      <c r="K231" s="13"/>
      <c r="L231" s="13">
        <f ca="1">L230-O231*Prices!Q231</f>
        <v>4.6525105126972717</v>
      </c>
      <c r="M231" s="4">
        <f t="shared" ref="M231" ca="1" si="41">M230+O231</f>
        <v>2.6591397028707605E-2</v>
      </c>
      <c r="N231" s="13">
        <f ca="1">IF(Prices!P230&gt;OFFSET(Prices!P230,-$N$3,0),1,-1)</f>
        <v>1</v>
      </c>
      <c r="O231" s="4">
        <f ca="1">IF(N231=1,O$3*L230/Prices!Q230,-O$3*M230)</f>
        <v>3.1490139454960205E-4</v>
      </c>
      <c r="P231" s="22"/>
      <c r="Q231" s="13">
        <f ca="1">Q230-T231*Prices!Q231</f>
        <v>1</v>
      </c>
      <c r="R231" s="4">
        <f t="shared" ca="1" si="27"/>
        <v>0.01</v>
      </c>
      <c r="S231" s="13">
        <f ca="1">IF(Prices!D230&gt;OFFSET(Prices!D230,-S$3,0),1,-1)</f>
        <v>-1</v>
      </c>
      <c r="T231" s="4">
        <f ca="1">IF(S231=1,T$3*Q230/Prices!Q230,-T$3*R230)</f>
        <v>0</v>
      </c>
      <c r="V231" s="13"/>
      <c r="W231" s="4"/>
      <c r="X231" s="4"/>
      <c r="Y231" s="4"/>
      <c r="Z231" s="4"/>
      <c r="AA231" s="4"/>
      <c r="AB231" s="4"/>
      <c r="AC231" s="4"/>
      <c r="AD231" s="4"/>
      <c r="AE231" s="52"/>
    </row>
    <row r="232" spans="1:31" x14ac:dyDescent="0.2">
      <c r="A232" s="66">
        <v>43819</v>
      </c>
      <c r="B232" s="13">
        <f ca="1">Prices!Q231*(1+J232/(50*(ABS(O232)+ABS(T232)+0.0001)))</f>
        <v>142.83808706094371</v>
      </c>
      <c r="C232" s="62">
        <f t="shared" ca="1" si="22"/>
        <v>0</v>
      </c>
      <c r="D232" s="13">
        <f ca="1">D231+C232*(Prices!Q232-Prices!Q231)/Prices!Q231</f>
        <v>5.9815655984854628</v>
      </c>
      <c r="E232" s="13">
        <f ca="1">F232-D232</f>
        <v>0.12187318420482995</v>
      </c>
      <c r="F232" s="13">
        <f t="shared" ref="F232" ca="1" si="42">MAX(F231,D232)</f>
        <v>6.1034387826902927</v>
      </c>
      <c r="G232" s="21">
        <f ca="1">IF((Prices!Q232-Prices!Q231)*C232&gt;0,1,0)</f>
        <v>0</v>
      </c>
      <c r="H232" s="13">
        <f>ABS(Prices!Q232-Prices!Q231)/Prices!Q231</f>
        <v>0.1095499714139349</v>
      </c>
      <c r="I232" s="21"/>
      <c r="J232" s="4">
        <f t="shared" ref="J232" ca="1" si="43">O232+T232</f>
        <v>-2.6591397028707605E-4</v>
      </c>
      <c r="K232" s="13"/>
      <c r="L232" s="13">
        <f ca="1">L231-O232*Prices!Q232</f>
        <v>4.6868309798116119</v>
      </c>
      <c r="M232" s="4">
        <f t="shared" ref="M232" ca="1" si="44">M231+O232</f>
        <v>2.6325483058420529E-2</v>
      </c>
      <c r="N232" s="13">
        <f ca="1">IF(Prices!P231&gt;OFFSET(Prices!P231,-$N$3,0),1,-1)</f>
        <v>-1</v>
      </c>
      <c r="O232" s="4">
        <f ca="1">IF(N232=1,O$3*L231/Prices!Q231,-O$3*M231)</f>
        <v>-2.6591397028707605E-4</v>
      </c>
      <c r="P232" s="22"/>
      <c r="Q232" s="13">
        <f ca="1">Q231-T232*Prices!Q232</f>
        <v>1</v>
      </c>
      <c r="R232" s="4">
        <f t="shared" ca="1" si="27"/>
        <v>0.01</v>
      </c>
      <c r="S232" s="13">
        <f ca="1">IF(Prices!D231&gt;OFFSET(Prices!D231,-S$3,0),1,-1)</f>
        <v>-1</v>
      </c>
      <c r="T232" s="4">
        <f ca="1">IF(S232=1,T$3*Q231/Prices!Q231,-T$3*R231)</f>
        <v>0</v>
      </c>
      <c r="V232" s="13"/>
      <c r="W232" s="4"/>
      <c r="X232" s="4"/>
      <c r="Y232" s="4"/>
      <c r="Z232" s="4"/>
      <c r="AA232" s="4"/>
      <c r="AB232" s="4"/>
      <c r="AC232" s="4"/>
      <c r="AD232" s="4"/>
      <c r="AE232" s="52"/>
    </row>
    <row r="233" spans="1:31" x14ac:dyDescent="0.2">
      <c r="A233" s="73">
        <v>43826</v>
      </c>
      <c r="B233" s="13">
        <f ca="1">Prices!Q232*(1+J233/(50*(ABS(O233)+ABS(T233)+0.0001)))</f>
        <v>127.19534278463578</v>
      </c>
      <c r="C233" s="62">
        <f t="shared" ref="C233:C296" ca="1" si="45">IF(J233&gt;0,1,IF(J233&lt;0,0,0))</f>
        <v>0</v>
      </c>
      <c r="D233" s="13">
        <f ca="1">D232+C233*(Prices!Q233-Prices!Q232)/Prices!Q232</f>
        <v>5.9815655984854628</v>
      </c>
      <c r="E233" s="13">
        <f t="shared" ref="E233" ca="1" si="46">F233-D233</f>
        <v>0.12187318420482995</v>
      </c>
      <c r="F233" s="13">
        <f t="shared" ref="F233" ca="1" si="47">MAX(F232,D233)</f>
        <v>6.1034387826902927</v>
      </c>
      <c r="G233" s="21">
        <f ca="1">IF((Prices!Q233-Prices!Q232)*C233&gt;0,1,0)</f>
        <v>0</v>
      </c>
      <c r="H233" s="13">
        <f>ABS(Prices!Q233-Prices!Q232)/Prices!Q232</f>
        <v>1.4344964677195756E-2</v>
      </c>
      <c r="I233" s="21"/>
      <c r="J233" s="4">
        <f t="shared" ref="J233" ca="1" si="48">O233+T233</f>
        <v>-2.6325483058420529E-4</v>
      </c>
      <c r="K233" s="13"/>
      <c r="L233" s="13">
        <f ca="1">L232-O233*Prices!Q233</f>
        <v>4.7203208396252334</v>
      </c>
      <c r="M233" s="4">
        <f t="shared" ref="M233" ca="1" si="49">M232+O233</f>
        <v>2.6062228227836323E-2</v>
      </c>
      <c r="N233" s="13">
        <f ca="1">IF(Prices!P232&gt;OFFSET(Prices!P232,-$N$3,0),1,-1)</f>
        <v>-1</v>
      </c>
      <c r="O233" s="4">
        <f ca="1">IF(N233=1,O$3*L232/Prices!Q232,-O$3*M232)</f>
        <v>-2.6325483058420529E-4</v>
      </c>
      <c r="P233" s="22"/>
      <c r="Q233" s="13">
        <f ca="1">Q232-T233*Prices!Q233</f>
        <v>1</v>
      </c>
      <c r="R233" s="4">
        <f t="shared" ca="1" si="27"/>
        <v>0.01</v>
      </c>
      <c r="S233" s="13">
        <f ca="1">IF(Prices!D232&gt;OFFSET(Prices!D232,-S$3,0),1,-1)</f>
        <v>-1</v>
      </c>
      <c r="T233" s="4">
        <f ca="1">IF(S233=1,T$3*Q232/Prices!Q232,-T$3*R232)</f>
        <v>0</v>
      </c>
      <c r="V233" s="13"/>
      <c r="W233" s="4"/>
      <c r="X233" s="4"/>
      <c r="Y233" s="4"/>
      <c r="Z233" s="4"/>
      <c r="AA233" s="4"/>
      <c r="AB233" s="4"/>
      <c r="AC233" s="4"/>
      <c r="AD233" s="4"/>
      <c r="AE233" s="52"/>
    </row>
    <row r="234" spans="1:31" x14ac:dyDescent="0.2">
      <c r="A234" s="74">
        <v>43833</v>
      </c>
      <c r="B234" s="13">
        <f ca="1">Prices!Q233*(1+J234/(50*(ABS(O234)+ABS(T234)+0.0001)))</f>
        <v>125.37584312739531</v>
      </c>
      <c r="C234" s="62">
        <f t="shared" ca="1" si="45"/>
        <v>0</v>
      </c>
      <c r="D234" s="13">
        <f ca="1">D233+C234*(Prices!Q234-Prices!Q233)/Prices!Q233</f>
        <v>5.9815655984854628</v>
      </c>
      <c r="E234" s="13">
        <f t="shared" ref="E234" ca="1" si="50">F234-D234</f>
        <v>0.12187318420482995</v>
      </c>
      <c r="F234" s="13">
        <f t="shared" ref="F234" ca="1" si="51">MAX(F233,D234)</f>
        <v>6.1034387826902927</v>
      </c>
      <c r="G234" s="21">
        <f ca="1">IF((Prices!Q234-Prices!Q233)*C234&gt;0,1,0)</f>
        <v>0</v>
      </c>
      <c r="H234" s="13">
        <f>ABS(Prices!Q234-Prices!Q233)/Prices!Q233</f>
        <v>5.4687902309834571E-2</v>
      </c>
      <c r="I234" s="21"/>
      <c r="J234" s="4">
        <f t="shared" ref="J234" ca="1" si="52">O234+T234</f>
        <v>-2.6062228227836324E-4</v>
      </c>
      <c r="K234" s="13"/>
      <c r="L234" s="13">
        <f ca="1">L233-O234*Prices!Q234</f>
        <v>4.7552889761207568</v>
      </c>
      <c r="M234" s="4">
        <f t="shared" ref="M234" ca="1" si="53">M233+O234</f>
        <v>2.580160594555796E-2</v>
      </c>
      <c r="N234" s="13">
        <f ca="1">IF(Prices!P233&gt;OFFSET(Prices!P233,-$N$3,0),1,-1)</f>
        <v>-1</v>
      </c>
      <c r="O234" s="4">
        <f ca="1">IF(N234=1,O$3*L233/Prices!Q233,-O$3*M233)</f>
        <v>-2.6062228227836324E-4</v>
      </c>
      <c r="P234" s="22"/>
      <c r="Q234" s="13">
        <f ca="1">Q233-T234*Prices!Q234</f>
        <v>1</v>
      </c>
      <c r="R234" s="4">
        <f t="shared" ca="1" si="27"/>
        <v>0.01</v>
      </c>
      <c r="S234" s="13">
        <f ca="1">IF(Prices!D233&gt;OFFSET(Prices!D233,-S$3,0),1,-1)</f>
        <v>-1</v>
      </c>
      <c r="T234" s="4">
        <f ca="1">IF(S234=1,T$3*Q233/Prices!Q233,-T$3*R233)</f>
        <v>0</v>
      </c>
      <c r="V234" s="13"/>
      <c r="W234" s="4"/>
      <c r="X234" s="4"/>
      <c r="Y234" s="4"/>
      <c r="Z234" s="4"/>
      <c r="AA234" s="4"/>
      <c r="AB234" s="4"/>
      <c r="AC234" s="4"/>
      <c r="AD234" s="4"/>
      <c r="AE234" s="52"/>
    </row>
    <row r="235" spans="1:31" x14ac:dyDescent="0.2">
      <c r="A235" s="66">
        <v>43840</v>
      </c>
      <c r="B235" s="13">
        <f ca="1">Prices!Q234*(1+J235/(50*(ABS(O235)+ABS(T235)+0.0001)))</f>
        <v>136.2646202573531</v>
      </c>
      <c r="C235" s="62">
        <f t="shared" ca="1" si="45"/>
        <v>1</v>
      </c>
      <c r="D235" s="13">
        <f ca="1">D234+C235*(Prices!Q235-Prices!Q234)/Prices!Q234</f>
        <v>6.0545472219509824</v>
      </c>
      <c r="E235" s="13">
        <f t="shared" ref="E235" ca="1" si="54">F235-D235</f>
        <v>4.8891560739310336E-2</v>
      </c>
      <c r="F235" s="13">
        <f t="shared" ref="F235" ca="1" si="55">MAX(F234,D235)</f>
        <v>6.1034387826902927</v>
      </c>
      <c r="G235" s="21">
        <f ca="1">IF((Prices!Q235-Prices!Q234)*C235&gt;0,1,0)</f>
        <v>1</v>
      </c>
      <c r="H235" s="13">
        <f>ABS(Prices!Q235-Prices!Q234)/Prices!Q234</f>
        <v>7.2981623465519438E-2</v>
      </c>
      <c r="I235" s="21"/>
      <c r="J235" s="4">
        <f t="shared" ref="J235" ca="1" si="56">O235+T235</f>
        <v>3.5441816180521257E-4</v>
      </c>
      <c r="K235" s="13"/>
      <c r="L235" s="13">
        <f ca="1">L234-O235*Prices!Q235</f>
        <v>4.7042655992642999</v>
      </c>
      <c r="M235" s="4">
        <f t="shared" ref="M235" ca="1" si="57">M234+O235</f>
        <v>2.6156024107363174E-2</v>
      </c>
      <c r="N235" s="13">
        <f ca="1">IF(Prices!P234&gt;OFFSET(Prices!P234,-$N$3,0),1,-1)</f>
        <v>1</v>
      </c>
      <c r="O235" s="4">
        <f ca="1">IF(N235=1,O$3*L234/Prices!Q234,-O$3*M234)</f>
        <v>3.5441816180521257E-4</v>
      </c>
      <c r="P235" s="22"/>
      <c r="Q235" s="13">
        <f ca="1">Q234-T235*Prices!Q235</f>
        <v>1</v>
      </c>
      <c r="R235" s="4">
        <f t="shared" ca="1" si="27"/>
        <v>0.01</v>
      </c>
      <c r="S235" s="13">
        <f ca="1">IF(Prices!D234&gt;OFFSET(Prices!D234,-S$3,0),1,-1)</f>
        <v>-1</v>
      </c>
      <c r="T235" s="4">
        <f ca="1">IF(S235=1,T$3*Q234/Prices!Q234,-T$3*R234)</f>
        <v>0</v>
      </c>
      <c r="V235" s="13"/>
      <c r="W235" s="4"/>
      <c r="X235" s="4"/>
      <c r="Y235" s="4"/>
      <c r="Z235" s="4"/>
      <c r="AA235" s="4"/>
      <c r="AB235" s="4"/>
      <c r="AC235" s="4"/>
      <c r="AD235" s="4"/>
      <c r="AE235" s="52"/>
    </row>
    <row r="236" spans="1:31" x14ac:dyDescent="0.2">
      <c r="A236" s="66">
        <v>43847</v>
      </c>
      <c r="B236" s="13">
        <f ca="1">Prices!Q235*(1+J236/(50*(ABS(O236)+ABS(T236)+0.0001)))</f>
        <v>146.1683804651916</v>
      </c>
      <c r="C236" s="62">
        <f t="shared" ca="1" si="45"/>
        <v>1</v>
      </c>
      <c r="D236" s="13">
        <f ca="1">D235+C236*(Prices!Q236-Prices!Q235)/Prices!Q235</f>
        <v>6.2408175306708653</v>
      </c>
      <c r="E236" s="13">
        <f t="shared" ref="E236" ca="1" si="58">F236-D236</f>
        <v>0</v>
      </c>
      <c r="F236" s="13">
        <f t="shared" ref="F236" ca="1" si="59">MAX(F235,D236)</f>
        <v>6.2408175306708653</v>
      </c>
      <c r="G236" s="21">
        <f ca="1">IF((Prices!Q236-Prices!Q235)*C236&gt;0,1,0)</f>
        <v>1</v>
      </c>
      <c r="H236" s="13">
        <f>ABS(Prices!Q236-Prices!Q235)/Prices!Q235</f>
        <v>0.18627030871988251</v>
      </c>
      <c r="I236" s="21"/>
      <c r="J236" s="4">
        <f t="shared" ref="J236" ca="1" si="60">O236+T236</f>
        <v>3.2676731119252525E-4</v>
      </c>
      <c r="K236" s="13"/>
      <c r="L236" s="13">
        <f ca="1">L235-O236*Prices!Q236</f>
        <v>4.6484602932169041</v>
      </c>
      <c r="M236" s="4">
        <f t="shared" ref="M236" ca="1" si="61">M235+O236</f>
        <v>2.6482791418555699E-2</v>
      </c>
      <c r="N236" s="13">
        <f ca="1">IF(Prices!P235&gt;OFFSET(Prices!P235,-$N$3,0),1,-1)</f>
        <v>1</v>
      </c>
      <c r="O236" s="4">
        <f ca="1">IF(N236=1,O$3*L235/Prices!Q235,-O$3*M235)</f>
        <v>3.2676731119252525E-4</v>
      </c>
      <c r="P236" s="22"/>
      <c r="Q236" s="13">
        <f ca="1">Q235-T236*Prices!Q236</f>
        <v>1</v>
      </c>
      <c r="R236" s="4">
        <f t="shared" ca="1" si="27"/>
        <v>0.01</v>
      </c>
      <c r="S236" s="13">
        <f ca="1">IF(Prices!D235&gt;OFFSET(Prices!D235,-S$3,0),1,-1)</f>
        <v>-1</v>
      </c>
      <c r="T236" s="4">
        <f ca="1">IF(S236=1,T$3*Q235/Prices!Q235,-T$3*R235)</f>
        <v>0</v>
      </c>
      <c r="V236" s="13"/>
      <c r="W236" s="4"/>
      <c r="X236" s="4"/>
      <c r="Y236" s="4"/>
      <c r="Z236" s="4"/>
      <c r="AA236" s="4"/>
      <c r="AB236" s="4"/>
      <c r="AC236" s="4"/>
      <c r="AD236" s="4"/>
      <c r="AE236" s="52"/>
    </row>
    <row r="237" spans="1:31" x14ac:dyDescent="0.2">
      <c r="A237" s="66">
        <v>43854</v>
      </c>
      <c r="B237" s="13">
        <f ca="1">Prices!Q236*(1+J237/(50*(ABS(O237)+ABS(T237)+0.0001)))</f>
        <v>173.27784909763363</v>
      </c>
      <c r="C237" s="62">
        <f t="shared" ca="1" si="45"/>
        <v>1</v>
      </c>
      <c r="D237" s="13">
        <f ca="1">D236+C237*(Prices!Q237-Prices!Q236)/Prices!Q236</f>
        <v>6.1955617798392675</v>
      </c>
      <c r="E237" s="13">
        <f t="shared" ref="E237" ca="1" si="62">F237-D237</f>
        <v>4.525575083159783E-2</v>
      </c>
      <c r="F237" s="13">
        <f t="shared" ref="F237" ca="1" si="63">MAX(F236,D237)</f>
        <v>6.2408175306708653</v>
      </c>
      <c r="G237" s="21">
        <f ca="1">IF((Prices!Q237-Prices!Q236)*C237&gt;0,1,0)</f>
        <v>0</v>
      </c>
      <c r="H237" s="13">
        <f>ABS(Prices!Q237-Prices!Q236)/Prices!Q236</f>
        <v>4.5255750831597975E-2</v>
      </c>
      <c r="I237" s="21"/>
      <c r="J237" s="4">
        <f t="shared" ref="J237" ca="1" si="64">O237+T237</f>
        <v>2.7219004406312864E-4</v>
      </c>
      <c r="K237" s="13"/>
      <c r="L237" s="13">
        <f ca="1">L236-O237*Prices!Q237</f>
        <v>4.6040793858925388</v>
      </c>
      <c r="M237" s="4">
        <f t="shared" ref="M237" ca="1" si="65">M236+O237</f>
        <v>2.6754981462618829E-2</v>
      </c>
      <c r="N237" s="13">
        <f ca="1">IF(Prices!P236&gt;OFFSET(Prices!P236,-$N$3,0),1,-1)</f>
        <v>1</v>
      </c>
      <c r="O237" s="4">
        <f ca="1">IF(N237=1,O$3*L236/Prices!Q236,-O$3*M236)</f>
        <v>2.7219004406312864E-4</v>
      </c>
      <c r="P237" s="22"/>
      <c r="Q237" s="13">
        <f ca="1">Q236-T237*Prices!Q237</f>
        <v>1</v>
      </c>
      <c r="R237" s="4">
        <f t="shared" ca="1" si="27"/>
        <v>0.01</v>
      </c>
      <c r="S237" s="13">
        <f ca="1">IF(Prices!D236&gt;OFFSET(Prices!D236,-S$3,0),1,-1)</f>
        <v>-1</v>
      </c>
      <c r="T237" s="4">
        <f ca="1">IF(S237=1,T$3*Q236/Prices!Q236,-T$3*R236)</f>
        <v>0</v>
      </c>
      <c r="V237" s="13"/>
      <c r="W237" s="4"/>
      <c r="X237" s="4"/>
      <c r="Y237" s="4"/>
      <c r="Z237" s="4"/>
      <c r="AA237" s="4"/>
      <c r="AB237" s="4"/>
      <c r="AC237" s="4"/>
      <c r="AD237" s="4"/>
      <c r="AE237" s="52"/>
    </row>
    <row r="238" spans="1:31" x14ac:dyDescent="0.2">
      <c r="A238" s="66">
        <v>43861</v>
      </c>
      <c r="B238" s="13">
        <f ca="1">Prices!Q237*(1+J238/(50*(ABS(O238)+ABS(T238)+0.0001)))</f>
        <v>165.45935697276772</v>
      </c>
      <c r="C238" s="62">
        <f t="shared" ca="1" si="45"/>
        <v>1</v>
      </c>
      <c r="D238" s="13">
        <f ca="1">D237+C238*(Prices!Q238-Prices!Q237)/Prices!Q237</f>
        <v>6.3004919877032055</v>
      </c>
      <c r="E238" s="13">
        <f t="shared" ref="E238" ca="1" si="66">F238-D238</f>
        <v>0</v>
      </c>
      <c r="F238" s="13">
        <f t="shared" ref="F238" ca="1" si="67">MAX(F237,D238)</f>
        <v>6.3004919877032055</v>
      </c>
      <c r="G238" s="21">
        <f ca="1">IF((Prices!Q238-Prices!Q237)*C238&gt;0,1,0)</f>
        <v>1</v>
      </c>
      <c r="H238" s="13">
        <f>ABS(Prices!Q238-Prices!Q237)/Prices!Q237</f>
        <v>0.10493020786393825</v>
      </c>
      <c r="I238" s="21"/>
      <c r="J238" s="4">
        <f t="shared" ref="J238" ca="1" si="68">O238+T238</f>
        <v>2.8237020071652223E-4</v>
      </c>
      <c r="K238" s="13"/>
      <c r="L238" s="13">
        <f ca="1">L237-O238*Prices!Q238</f>
        <v>4.5532075219637758</v>
      </c>
      <c r="M238" s="4">
        <f t="shared" ref="M238" ca="1" si="69">M237+O238</f>
        <v>2.7037351663335353E-2</v>
      </c>
      <c r="N238" s="13">
        <f ca="1">IF(Prices!P237&gt;OFFSET(Prices!P237,-$N$3,0),1,-1)</f>
        <v>1</v>
      </c>
      <c r="O238" s="4">
        <f ca="1">IF(N238=1,O$3*L237/Prices!Q237,-O$3*M237)</f>
        <v>2.8237020071652223E-4</v>
      </c>
      <c r="P238" s="22"/>
      <c r="Q238" s="13">
        <f ca="1">Q237-T238*Prices!Q238</f>
        <v>1</v>
      </c>
      <c r="R238" s="4">
        <f t="shared" ca="1" si="27"/>
        <v>0.01</v>
      </c>
      <c r="S238" s="13">
        <f ca="1">IF(Prices!D237&gt;OFFSET(Prices!D237,-S$3,0),1,-1)</f>
        <v>-1</v>
      </c>
      <c r="T238" s="4">
        <f ca="1">IF(S238=1,T$3*Q237/Prices!Q237,-T$3*R237)</f>
        <v>0</v>
      </c>
      <c r="V238" s="13"/>
      <c r="W238" s="4"/>
      <c r="X238" s="4"/>
      <c r="Y238" s="4"/>
      <c r="Z238" s="4"/>
      <c r="AA238" s="4"/>
      <c r="AB238" s="4"/>
      <c r="AC238" s="4"/>
      <c r="AD238" s="4"/>
      <c r="AE238" s="52"/>
    </row>
    <row r="239" spans="1:31" x14ac:dyDescent="0.2">
      <c r="A239" s="66">
        <v>43868</v>
      </c>
      <c r="B239" s="13">
        <f ca="1">Prices!Q238*(1+J239/(50*(ABS(O239)+ABS(T239)+0.0001)))</f>
        <v>182.74185972365916</v>
      </c>
      <c r="C239" s="62">
        <f t="shared" ca="1" si="45"/>
        <v>1</v>
      </c>
      <c r="D239" s="13">
        <f ca="1">D238+C239*(Prices!Q239-Prices!Q238)/Prices!Q238</f>
        <v>6.5367588969066448</v>
      </c>
      <c r="E239" s="13">
        <f t="shared" ref="E239" ca="1" si="70">F239-D239</f>
        <v>0</v>
      </c>
      <c r="F239" s="13">
        <f t="shared" ref="F239" ca="1" si="71">MAX(F238,D239)</f>
        <v>6.5367588969066448</v>
      </c>
      <c r="G239" s="21">
        <f ca="1">IF((Prices!Q239-Prices!Q238)*C239&gt;0,1,0)</f>
        <v>1</v>
      </c>
      <c r="H239" s="13">
        <f>ABS(Prices!Q239-Prices!Q238)/Prices!Q238</f>
        <v>0.23626690920343929</v>
      </c>
      <c r="I239" s="21"/>
      <c r="J239" s="4">
        <f t="shared" ref="J239" ca="1" si="72">O239+T239</f>
        <v>2.5273108209309303E-4</v>
      </c>
      <c r="K239" s="13"/>
      <c r="L239" s="13">
        <f ca="1">L238-O239*Prices!Q239</f>
        <v>4.4969177240623761</v>
      </c>
      <c r="M239" s="4">
        <f t="shared" ref="M239" ca="1" si="73">M238+O239</f>
        <v>2.7290082745428445E-2</v>
      </c>
      <c r="N239" s="13">
        <f ca="1">IF(Prices!P238&gt;OFFSET(Prices!P238,-$N$3,0),1,-1)</f>
        <v>1</v>
      </c>
      <c r="O239" s="4">
        <f ca="1">IF(N239=1,O$3*L238/Prices!Q238,-O$3*M238)</f>
        <v>2.5273108209309303E-4</v>
      </c>
      <c r="P239" s="22"/>
      <c r="Q239" s="13">
        <f ca="1">Q238-T239*Prices!Q239</f>
        <v>1</v>
      </c>
      <c r="R239" s="4">
        <f t="shared" ca="1" si="27"/>
        <v>0.01</v>
      </c>
      <c r="S239" s="13">
        <f ca="1">IF(Prices!D238&gt;OFFSET(Prices!D238,-S$3,0),1,-1)</f>
        <v>-1</v>
      </c>
      <c r="T239" s="4">
        <f ca="1">IF(S239=1,T$3*Q238/Prices!Q238,-T$3*R238)</f>
        <v>0</v>
      </c>
      <c r="V239" s="13"/>
      <c r="W239" s="4"/>
      <c r="X239" s="4"/>
      <c r="Y239" s="4"/>
      <c r="Z239" s="4"/>
      <c r="AA239" s="4"/>
      <c r="AB239" s="4"/>
      <c r="AC239" s="4"/>
      <c r="AD239" s="4"/>
      <c r="AE239" s="52"/>
    </row>
    <row r="240" spans="1:31" x14ac:dyDescent="0.2">
      <c r="A240" s="66">
        <v>43875</v>
      </c>
      <c r="B240" s="13">
        <f ca="1">Prices!Q239*(1+J240/(50*(ABS(O240)+ABS(T240)+0.0001)))</f>
        <v>225.70510183779339</v>
      </c>
      <c r="C240" s="62">
        <f t="shared" ca="1" si="45"/>
        <v>1</v>
      </c>
      <c r="D240" s="13">
        <f ca="1">D239+C240*(Prices!Q240-Prices!Q239)/Prices!Q239</f>
        <v>6.8128444177302319</v>
      </c>
      <c r="E240" s="13">
        <f t="shared" ref="E240" ca="1" si="74">F240-D240</f>
        <v>0</v>
      </c>
      <c r="F240" s="13">
        <f t="shared" ref="F240" ca="1" si="75">MAX(F239,D240)</f>
        <v>6.8128444177302319</v>
      </c>
      <c r="G240" s="21">
        <f ca="1">IF((Prices!Q240-Prices!Q239)*C240&gt;0,1,0)</f>
        <v>1</v>
      </c>
      <c r="H240" s="13">
        <f>ABS(Prices!Q240-Prices!Q239)/Prices!Q239</f>
        <v>0.27608552082358706</v>
      </c>
      <c r="I240" s="21"/>
      <c r="J240" s="4">
        <f t="shared" ref="J240" ca="1" si="76">O240+T240</f>
        <v>2.0190352867790727E-4</v>
      </c>
      <c r="K240" s="13"/>
      <c r="L240" s="13">
        <f ca="1">L239-O240*Prices!Q240</f>
        <v>4.4395332081022669</v>
      </c>
      <c r="M240" s="4">
        <f t="shared" ref="M240" ca="1" si="77">M239+O240</f>
        <v>2.7491986274106352E-2</v>
      </c>
      <c r="N240" s="13">
        <f ca="1">IF(Prices!P239&gt;OFFSET(Prices!P239,-$N$3,0),1,-1)</f>
        <v>1</v>
      </c>
      <c r="O240" s="4">
        <f ca="1">IF(N240=1,O$3*L239/Prices!Q239,-O$3*M239)</f>
        <v>2.0190352867790727E-4</v>
      </c>
      <c r="P240" s="22"/>
      <c r="Q240" s="13">
        <f ca="1">Q239-T240*Prices!Q240</f>
        <v>1</v>
      </c>
      <c r="R240" s="4">
        <f t="shared" ca="1" si="27"/>
        <v>0.01</v>
      </c>
      <c r="S240" s="13">
        <f ca="1">IF(Prices!D239&gt;OFFSET(Prices!D239,-S$3,0),1,-1)</f>
        <v>-1</v>
      </c>
      <c r="T240" s="4">
        <f ca="1">IF(S240=1,T$3*Q239/Prices!Q239,-T$3*R239)</f>
        <v>0</v>
      </c>
      <c r="V240" s="13"/>
      <c r="W240" s="4"/>
      <c r="X240" s="4"/>
      <c r="Y240" s="4"/>
      <c r="Z240" s="4"/>
      <c r="AA240" s="4"/>
      <c r="AB240" s="4"/>
      <c r="AC240" s="4"/>
      <c r="AD240" s="4"/>
      <c r="AE240" s="52"/>
    </row>
    <row r="241" spans="1:31" x14ac:dyDescent="0.2">
      <c r="A241" s="66">
        <v>43882</v>
      </c>
      <c r="B241" s="13">
        <f ca="1">Prices!Q240*(1+J241/(50*(ABS(O241)+ABS(T241)+0.0001)))</f>
        <v>287.68315016537656</v>
      </c>
      <c r="C241" s="62">
        <f t="shared" ca="1" si="45"/>
        <v>1</v>
      </c>
      <c r="D241" s="13">
        <f ca="1">D240+C241*(Prices!Q241-Prices!Q240)/Prices!Q240</f>
        <v>6.7473421771380719</v>
      </c>
      <c r="E241" s="13">
        <f t="shared" ref="E241" ca="1" si="78">F241-D241</f>
        <v>6.5502240592159922E-2</v>
      </c>
      <c r="F241" s="13">
        <f t="shared" ref="F241" ca="1" si="79">MAX(F240,D241)</f>
        <v>6.8128444177302319</v>
      </c>
      <c r="G241" s="21">
        <f ca="1">IF((Prices!Q241-Prices!Q240)*C241&gt;0,1,0)</f>
        <v>0</v>
      </c>
      <c r="H241" s="13">
        <f>ABS(Prices!Q241-Prices!Q240)/Prices!Q240</f>
        <v>6.5502240592159935E-2</v>
      </c>
      <c r="I241" s="21"/>
      <c r="J241" s="4">
        <f t="shared" ref="J241" ca="1" si="80">O241+T241</f>
        <v>1.5620196587903503E-4</v>
      </c>
      <c r="K241" s="13"/>
      <c r="L241" s="13">
        <f ca="1">L240-O241*Prices!Q241</f>
        <v>4.3980458697443838</v>
      </c>
      <c r="M241" s="4">
        <f t="shared" ref="M241" ca="1" si="81">M240+O241</f>
        <v>2.7648188239985386E-2</v>
      </c>
      <c r="N241" s="13">
        <f ca="1">IF(Prices!P240&gt;OFFSET(Prices!P240,-$N$3,0),1,-1)</f>
        <v>1</v>
      </c>
      <c r="O241" s="4">
        <f ca="1">IF(N241=1,O$3*L240/Prices!Q240,-O$3*M240)</f>
        <v>1.5620196587903503E-4</v>
      </c>
      <c r="P241" s="22"/>
      <c r="Q241" s="13">
        <f ca="1">Q240-T241*Prices!Q241</f>
        <v>1</v>
      </c>
      <c r="R241" s="4">
        <f t="shared" ca="1" si="27"/>
        <v>0.01</v>
      </c>
      <c r="S241" s="13">
        <f ca="1">IF(Prices!D240&gt;OFFSET(Prices!D240,-S$3,0),1,-1)</f>
        <v>-1</v>
      </c>
      <c r="T241" s="4">
        <f ca="1">IF(S241=1,T$3*Q240/Prices!Q240,-T$3*R240)</f>
        <v>0</v>
      </c>
      <c r="V241" s="13"/>
      <c r="W241" s="4"/>
      <c r="X241" s="4"/>
      <c r="Y241" s="4"/>
      <c r="Z241" s="4"/>
      <c r="AA241" s="4"/>
      <c r="AB241" s="4"/>
      <c r="AC241" s="4"/>
      <c r="AD241" s="4"/>
      <c r="AE241" s="52"/>
    </row>
    <row r="242" spans="1:31" x14ac:dyDescent="0.2">
      <c r="A242" s="66">
        <v>43889</v>
      </c>
      <c r="B242" s="13">
        <f ca="1">Prices!Q241*(1+J242/(50*(ABS(O242)+ABS(T242)+0.0001)))</f>
        <v>261.69956462349586</v>
      </c>
      <c r="C242" s="62">
        <f t="shared" ca="1" si="45"/>
        <v>0</v>
      </c>
      <c r="D242" s="13">
        <f ca="1">D241+C242*(Prices!Q242-Prices!Q241)/Prices!Q241</f>
        <v>6.7473421771380719</v>
      </c>
      <c r="E242" s="13">
        <f t="shared" ref="E242" ca="1" si="82">F242-D242</f>
        <v>6.5502240592159922E-2</v>
      </c>
      <c r="F242" s="13">
        <f t="shared" ref="F242" ca="1" si="83">MAX(F241,D242)</f>
        <v>6.8128444177302319</v>
      </c>
      <c r="G242" s="21">
        <f ca="1">IF((Prices!Q242-Prices!Q241)*C242&gt;0,1,0)</f>
        <v>0</v>
      </c>
      <c r="H242" s="13">
        <f>ABS(Prices!Q242-Prices!Q241)/Prices!Q241</f>
        <v>0.14623504487655251</v>
      </c>
      <c r="I242" s="21"/>
      <c r="J242" s="4">
        <f t="shared" ref="J242" ca="1" si="84">O242+T242</f>
        <v>-2.7648188239985389E-4</v>
      </c>
      <c r="K242" s="13"/>
      <c r="L242" s="13">
        <f ca="1">L241-O242*Prices!Q242</f>
        <v>4.4607410390853524</v>
      </c>
      <c r="M242" s="4">
        <f t="shared" ref="M242" ca="1" si="85">M241+O242</f>
        <v>2.7371706357585533E-2</v>
      </c>
      <c r="N242" s="13">
        <f ca="1">IF(Prices!P241&gt;OFFSET(Prices!P241,-$N$3,0),1,-1)</f>
        <v>-1</v>
      </c>
      <c r="O242" s="4">
        <f ca="1">IF(N242=1,O$3*L241/Prices!Q241,-O$3*M241)</f>
        <v>-2.7648188239985389E-4</v>
      </c>
      <c r="P242" s="22"/>
      <c r="Q242" s="13">
        <f ca="1">Q241-T242*Prices!Q242</f>
        <v>1</v>
      </c>
      <c r="R242" s="4">
        <f t="shared" ca="1" si="27"/>
        <v>0.01</v>
      </c>
      <c r="S242" s="13">
        <f ca="1">IF(Prices!D241&gt;OFFSET(Prices!D241,-S$3,0),1,-1)</f>
        <v>-1</v>
      </c>
      <c r="T242" s="4">
        <f ca="1">IF(S242=1,T$3*Q241/Prices!Q241,-T$3*R241)</f>
        <v>0</v>
      </c>
      <c r="V242" s="13"/>
      <c r="W242" s="4"/>
      <c r="X242" s="4"/>
      <c r="Y242" s="4"/>
      <c r="Z242" s="4"/>
      <c r="AA242" s="4"/>
      <c r="AB242" s="4"/>
      <c r="AC242" s="4"/>
      <c r="AD242" s="4"/>
      <c r="AE242" s="52"/>
    </row>
    <row r="243" spans="1:31" x14ac:dyDescent="0.2">
      <c r="A243" s="66">
        <v>43896</v>
      </c>
      <c r="B243" s="13">
        <f ca="1">Prices!Q242*(1+J243/(50*(ABS(O243)+ABS(T243)+0.0001)))</f>
        <v>223.43882908535809</v>
      </c>
      <c r="C243" s="62">
        <f t="shared" ca="1" si="45"/>
        <v>0</v>
      </c>
      <c r="D243" s="13">
        <f ca="1">D242+C243*(Prices!Q243-Prices!Q242)/Prices!Q242</f>
        <v>6.7473421771380719</v>
      </c>
      <c r="E243" s="13">
        <f t="shared" ref="E243" ca="1" si="86">F243-D243</f>
        <v>6.5502240592159922E-2</v>
      </c>
      <c r="F243" s="13">
        <f t="shared" ref="F243" ca="1" si="87">MAX(F242,D243)</f>
        <v>6.8128444177302319</v>
      </c>
      <c r="G243" s="21">
        <f ca="1">IF((Prices!Q243-Prices!Q242)*C243&gt;0,1,0)</f>
        <v>0</v>
      </c>
      <c r="H243" s="13">
        <f>ABS(Prices!Q243-Prices!Q242)/Prices!Q242</f>
        <v>7.3931752434235595E-2</v>
      </c>
      <c r="I243" s="21"/>
      <c r="J243" s="4">
        <f t="shared" ref="J243" ca="1" si="88">O243+T243</f>
        <v>-2.7371706357585534E-4</v>
      </c>
      <c r="K243" s="13"/>
      <c r="L243" s="13">
        <f ca="1">L242-O243*Prices!Q243</f>
        <v>4.5273980688340645</v>
      </c>
      <c r="M243" s="4">
        <f t="shared" ref="M243" ca="1" si="89">M242+O243</f>
        <v>2.7097989294009677E-2</v>
      </c>
      <c r="N243" s="13">
        <f ca="1">IF(Prices!P242&gt;OFFSET(Prices!P242,-$N$3,0),1,-1)</f>
        <v>-1</v>
      </c>
      <c r="O243" s="4">
        <f ca="1">IF(N243=1,O$3*L242/Prices!Q242,-O$3*M242)</f>
        <v>-2.7371706357585534E-4</v>
      </c>
      <c r="P243" s="22"/>
      <c r="Q243" s="13">
        <f ca="1">Q242-T243*Prices!Q243</f>
        <v>1</v>
      </c>
      <c r="R243" s="4">
        <f t="shared" ca="1" si="27"/>
        <v>0.01</v>
      </c>
      <c r="S243" s="13">
        <f ca="1">IF(Prices!D242&gt;OFFSET(Prices!D242,-S$3,0),1,-1)</f>
        <v>-1</v>
      </c>
      <c r="T243" s="4">
        <f ca="1">IF(S243=1,T$3*Q242/Prices!Q242,-T$3*R242)</f>
        <v>0</v>
      </c>
      <c r="V243" s="13"/>
      <c r="W243" s="4"/>
      <c r="X243" s="4"/>
      <c r="Y243" s="4"/>
      <c r="Z243" s="4"/>
      <c r="AA243" s="4"/>
      <c r="AB243" s="4"/>
      <c r="AC243" s="4"/>
      <c r="AD243" s="4"/>
      <c r="AE243" s="52"/>
    </row>
    <row r="244" spans="1:31" x14ac:dyDescent="0.2">
      <c r="A244" s="66">
        <v>43903</v>
      </c>
      <c r="B244" s="13">
        <f ca="1">Prices!Q243*(1+J244/(50*(ABS(O244)+ABS(T244)+0.0001)))</f>
        <v>239.96766902020588</v>
      </c>
      <c r="C244" s="62">
        <f t="shared" ca="1" si="45"/>
        <v>0</v>
      </c>
      <c r="D244" s="13">
        <f ca="1">D243+C244*(Prices!Q244-Prices!Q243)/Prices!Q243</f>
        <v>6.7473421771380719</v>
      </c>
      <c r="E244" s="13">
        <f t="shared" ref="E244" ca="1" si="90">F244-D244</f>
        <v>6.5502240592159922E-2</v>
      </c>
      <c r="F244" s="13">
        <f t="shared" ref="F244" ca="1" si="91">MAX(F243,D244)</f>
        <v>6.8128444177302319</v>
      </c>
      <c r="G244" s="21">
        <f ca="1">IF((Prices!Q244-Prices!Q243)*C244&gt;0,1,0)</f>
        <v>0</v>
      </c>
      <c r="H244" s="13">
        <f>ABS(Prices!Q244-Prices!Q243)/Prices!Q243</f>
        <v>0.45302679620157249</v>
      </c>
      <c r="I244" s="21"/>
      <c r="J244" s="4">
        <f t="shared" ref="J244" ca="1" si="92">O244+T244</f>
        <v>-2.7097989294009678E-4</v>
      </c>
      <c r="K244" s="13"/>
      <c r="L244" s="13">
        <f ca="1">L243-O244*Prices!Q244</f>
        <v>4.5634930818602308</v>
      </c>
      <c r="M244" s="4">
        <f t="shared" ref="M244" ca="1" si="93">M243+O244</f>
        <v>2.6827009401069579E-2</v>
      </c>
      <c r="N244" s="13">
        <f ca="1">IF(Prices!P243&gt;OFFSET(Prices!P243,-$N$3,0),1,-1)</f>
        <v>-1</v>
      </c>
      <c r="O244" s="4">
        <f ca="1">IF(N244=1,O$3*L243/Prices!Q243,-O$3*M243)</f>
        <v>-2.7097989294009678E-4</v>
      </c>
      <c r="P244" s="22"/>
      <c r="Q244" s="13">
        <f ca="1">Q243-T244*Prices!Q244</f>
        <v>1</v>
      </c>
      <c r="R244" s="4">
        <f t="shared" ca="1" si="27"/>
        <v>0.01</v>
      </c>
      <c r="S244" s="13">
        <f ca="1">IF(Prices!D243&gt;OFFSET(Prices!D243,-S$3,0),1,-1)</f>
        <v>-1</v>
      </c>
      <c r="T244" s="4">
        <f ca="1">IF(S244=1,T$3*Q243/Prices!Q243,-T$3*R243)</f>
        <v>0</v>
      </c>
      <c r="V244" s="13"/>
      <c r="W244" s="4"/>
      <c r="X244" s="4"/>
      <c r="Y244" s="4"/>
      <c r="Z244" s="4"/>
      <c r="AA244" s="4"/>
      <c r="AB244" s="4"/>
      <c r="AC244" s="4"/>
      <c r="AD244" s="4"/>
      <c r="AE244" s="52"/>
    </row>
    <row r="245" spans="1:31" x14ac:dyDescent="0.2">
      <c r="A245" s="66">
        <v>43910</v>
      </c>
      <c r="B245" s="13">
        <f ca="1">Prices!Q244*(1+J245/(50*(ABS(O245)+ABS(T245)+0.0001)))</f>
        <v>131.26116870240099</v>
      </c>
      <c r="C245" s="62">
        <f t="shared" ca="1" si="45"/>
        <v>0</v>
      </c>
      <c r="D245" s="13">
        <f ca="1">D244+C245*(Prices!Q245-Prices!Q244)/Prices!Q244</f>
        <v>6.7473421771380719</v>
      </c>
      <c r="E245" s="13">
        <f t="shared" ref="E245:E246" ca="1" si="94">F245-D245</f>
        <v>6.5502240592159922E-2</v>
      </c>
      <c r="F245" s="13">
        <f t="shared" ref="F245" ca="1" si="95">MAX(F244,D245)</f>
        <v>6.8128444177302319</v>
      </c>
      <c r="G245" s="21">
        <f ca="1">IF((Prices!Q245-Prices!Q244)*C245&gt;0,1,0)</f>
        <v>0</v>
      </c>
      <c r="H245" s="13">
        <f>ABS(Prices!Q245-Prices!Q244)/Prices!Q244</f>
        <v>3.4882858538868968E-3</v>
      </c>
      <c r="I245" s="21"/>
      <c r="J245" s="4">
        <f t="shared" ref="J245" ca="1" si="96">O245+T245</f>
        <v>-2.682700940106958E-4</v>
      </c>
      <c r="K245" s="13"/>
      <c r="L245" s="13">
        <f ca="1">L244-O245*Prices!Q245</f>
        <v>4.599102494130034</v>
      </c>
      <c r="M245" s="4">
        <f t="shared" ref="M245" ca="1" si="97">M244+O245</f>
        <v>2.6558739307058883E-2</v>
      </c>
      <c r="N245" s="13">
        <f ca="1">IF(Prices!P244&gt;OFFSET(Prices!P244,-$N$3,0),1,-1)</f>
        <v>-1</v>
      </c>
      <c r="O245" s="4">
        <f ca="1">IF(N245=1,O$3*L244/Prices!Q244,-O$3*M244)</f>
        <v>-2.682700940106958E-4</v>
      </c>
      <c r="P245" s="22"/>
      <c r="Q245" s="13">
        <f ca="1">Q244-T245*Prices!Q245</f>
        <v>1</v>
      </c>
      <c r="R245" s="4">
        <f t="shared" ca="1" si="27"/>
        <v>0.01</v>
      </c>
      <c r="S245" s="13">
        <f ca="1">IF(Prices!D244&gt;OFFSET(Prices!D244,-S$3,0),1,-1)</f>
        <v>-1</v>
      </c>
      <c r="T245" s="4">
        <f ca="1">IF(S245=1,T$3*Q244/Prices!Q244,-T$3*R244)</f>
        <v>0</v>
      </c>
      <c r="V245" s="13"/>
      <c r="W245" s="4"/>
      <c r="X245" s="4"/>
      <c r="Y245" s="4"/>
      <c r="Z245" s="4"/>
      <c r="AA245" s="4"/>
      <c r="AB245" s="4"/>
      <c r="AC245" s="4"/>
      <c r="AD245" s="4"/>
      <c r="AE245" s="52"/>
    </row>
    <row r="246" spans="1:31" x14ac:dyDescent="0.2">
      <c r="A246" s="66">
        <v>43917</v>
      </c>
      <c r="B246" s="13">
        <f ca="1">Prices!Q245*(1+J246/(50*(ABS(O246)+ABS(T246)+0.0001)))</f>
        <v>130.80858199869508</v>
      </c>
      <c r="C246" s="62">
        <f t="shared" ca="1" si="45"/>
        <v>0</v>
      </c>
      <c r="D246" s="13">
        <f ca="1">D245+C246*(Prices!Q246-Prices!Q245)/Prices!Q245</f>
        <v>6.7473421771380719</v>
      </c>
      <c r="E246" s="13">
        <f t="shared" ca="1" si="94"/>
        <v>6.5502240592159922E-2</v>
      </c>
      <c r="F246" s="13">
        <f t="shared" ref="F246" ca="1" si="98">MAX(F245,D246)</f>
        <v>6.8128444177302319</v>
      </c>
      <c r="G246" s="21">
        <f ca="1">IF((Prices!Q246-Prices!Q245)*C246&gt;0,1,0)</f>
        <v>0</v>
      </c>
      <c r="H246" s="13">
        <f>ABS(Prices!Q246-Prices!Q245)/Prices!Q245</f>
        <v>9.0462681036426705E-3</v>
      </c>
      <c r="I246" s="21"/>
      <c r="J246" s="4">
        <f t="shared" ref="J246" ca="1" si="99">O246+T246</f>
        <v>-2.6558739307058884E-4</v>
      </c>
      <c r="K246" s="13"/>
      <c r="L246" s="13">
        <f ca="1">L245-O246*Prices!Q246</f>
        <v>4.6346747232446415</v>
      </c>
      <c r="M246" s="4">
        <f t="shared" ref="M246" ca="1" si="100">M245+O246</f>
        <v>2.6293151913988295E-2</v>
      </c>
      <c r="N246" s="13">
        <f ca="1">IF(Prices!P245&gt;OFFSET(Prices!P245,-$N$3,0),1,-1)</f>
        <v>-1</v>
      </c>
      <c r="O246" s="4">
        <f ca="1">IF(N246=1,O$3*L245/Prices!Q245,-O$3*M245)</f>
        <v>-2.6558739307058884E-4</v>
      </c>
      <c r="P246" s="22"/>
      <c r="Q246" s="13">
        <f ca="1">Q245-T246*Prices!Q246</f>
        <v>1</v>
      </c>
      <c r="R246" s="4">
        <f t="shared" ca="1" si="27"/>
        <v>0.01</v>
      </c>
      <c r="S246" s="13">
        <f ca="1">IF(Prices!D245&gt;OFFSET(Prices!D245,-S$3,0),1,-1)</f>
        <v>-1</v>
      </c>
      <c r="T246" s="4">
        <f ca="1">IF(S246=1,T$3*Q245/Prices!Q245,-T$3*R245)</f>
        <v>0</v>
      </c>
      <c r="V246" s="13"/>
      <c r="W246" s="4"/>
      <c r="X246" s="4"/>
      <c r="Y246" s="4"/>
      <c r="Z246" s="4"/>
      <c r="AA246" s="4"/>
      <c r="AB246" s="4"/>
      <c r="AC246" s="4"/>
      <c r="AD246" s="4"/>
      <c r="AE246" s="52"/>
    </row>
    <row r="247" spans="1:31" x14ac:dyDescent="0.2">
      <c r="A247" s="66">
        <v>43924</v>
      </c>
      <c r="B247" s="13">
        <f ca="1">Prices!Q246*(1+J247/(50*(ABS(O247)+ABS(T247)+0.0001)))</f>
        <v>136.01612569798687</v>
      </c>
      <c r="C247" s="62">
        <f t="shared" ca="1" si="45"/>
        <v>1</v>
      </c>
      <c r="D247" s="13">
        <f ca="1">D246+C247*(Prices!Q247-Prices!Q246)/Prices!Q246</f>
        <v>6.8082163836353304</v>
      </c>
      <c r="E247" s="13">
        <f t="shared" ref="E247" ca="1" si="101">F247-D247</f>
        <v>4.6280340949014231E-3</v>
      </c>
      <c r="F247" s="13">
        <f t="shared" ref="F247" ca="1" si="102">MAX(F246,D247)</f>
        <v>6.8128444177302319</v>
      </c>
      <c r="G247" s="21">
        <f ca="1">IF((Prices!Q247-Prices!Q246)*C247&gt;0,1,0)</f>
        <v>1</v>
      </c>
      <c r="H247" s="13">
        <f>ABS(Prices!Q247-Prices!Q246)/Prices!Q246</f>
        <v>6.0874206497258256E-2</v>
      </c>
      <c r="I247" s="21"/>
      <c r="J247" s="4">
        <f t="shared" ref="J247" ca="1" si="103">O247+T247</f>
        <v>3.460314993223871E-4</v>
      </c>
      <c r="K247" s="13"/>
      <c r="L247" s="13">
        <f ca="1">L246-O247*Prices!Q247</f>
        <v>4.5855066545506906</v>
      </c>
      <c r="M247" s="4">
        <f t="shared" ref="M247" ca="1" si="104">M246+O247</f>
        <v>2.6639183413310681E-2</v>
      </c>
      <c r="N247" s="13">
        <f ca="1">IF(Prices!P246&gt;OFFSET(Prices!P246,-$N$3,0),1,-1)</f>
        <v>1</v>
      </c>
      <c r="O247" s="4">
        <f ca="1">IF(N247=1,O$3*L246/Prices!Q246,-O$3*M246)</f>
        <v>3.460314993223871E-4</v>
      </c>
      <c r="P247" s="22"/>
      <c r="Q247" s="13">
        <f ca="1">Q246-T247*Prices!Q247</f>
        <v>1</v>
      </c>
      <c r="R247" s="4">
        <f t="shared" ca="1" si="27"/>
        <v>0.01</v>
      </c>
      <c r="S247" s="13">
        <f ca="1">IF(Prices!D246&gt;OFFSET(Prices!D246,-S$3,0),1,-1)</f>
        <v>-1</v>
      </c>
      <c r="T247" s="4">
        <f ca="1">IF(S247=1,T$3*Q246/Prices!Q246,-T$3*R246)</f>
        <v>0</v>
      </c>
      <c r="V247" s="13"/>
      <c r="W247" s="4"/>
      <c r="X247" s="4"/>
      <c r="Y247" s="4"/>
      <c r="Z247" s="4"/>
      <c r="AA247" s="4"/>
      <c r="AB247" s="4"/>
      <c r="AC247" s="4"/>
      <c r="AD247" s="4"/>
      <c r="AE247" s="52"/>
    </row>
    <row r="248" spans="1:31" x14ac:dyDescent="0.2">
      <c r="A248" s="66">
        <v>43931</v>
      </c>
      <c r="B248" s="13">
        <f ca="1">Prices!Q247*(1+J248/(50*(ABS(O248)+ABS(T248)+0.0001)))</f>
        <v>144.26085648646878</v>
      </c>
      <c r="C248" s="62">
        <f t="shared" ca="1" si="45"/>
        <v>1</v>
      </c>
      <c r="D248" s="13">
        <f ca="1">D247+C248*(Prices!Q248-Prices!Q247)/Prices!Q247</f>
        <v>6.9230801013029604</v>
      </c>
      <c r="E248" s="13">
        <f t="shared" ref="E248" ca="1" si="105">F248-D248</f>
        <v>0</v>
      </c>
      <c r="F248" s="13">
        <f t="shared" ref="F248" ca="1" si="106">MAX(F247,D248)</f>
        <v>6.9230801013029604</v>
      </c>
      <c r="G248" s="21">
        <f ca="1">IF((Prices!Q248-Prices!Q247)*C248&gt;0,1,0)</f>
        <v>1</v>
      </c>
      <c r="H248" s="13">
        <f>ABS(Prices!Q248-Prices!Q247)/Prices!Q247</f>
        <v>0.11486371766763016</v>
      </c>
      <c r="I248" s="21"/>
      <c r="J248" s="4">
        <f t="shared" ref="J248" ca="1" si="107">O248+T248</f>
        <v>3.2271549096297584E-4</v>
      </c>
      <c r="K248" s="13"/>
      <c r="L248" s="13">
        <f ca="1">L247-O248*Prices!Q248</f>
        <v>4.5343845045878703</v>
      </c>
      <c r="M248" s="4">
        <f t="shared" ref="M248" ca="1" si="108">M247+O248</f>
        <v>2.6961898904273657E-2</v>
      </c>
      <c r="N248" s="13">
        <f ca="1">IF(Prices!P247&gt;OFFSET(Prices!P247,-$N$3,0),1,-1)</f>
        <v>1</v>
      </c>
      <c r="O248" s="4">
        <f ca="1">IF(N248=1,O$3*L247/Prices!Q247,-O$3*M247)</f>
        <v>3.2271549096297584E-4</v>
      </c>
      <c r="P248" s="22"/>
      <c r="Q248" s="13">
        <f ca="1">Q247-T248*Prices!Q248</f>
        <v>1</v>
      </c>
      <c r="R248" s="4">
        <f t="shared" ca="1" si="27"/>
        <v>0.01</v>
      </c>
      <c r="S248" s="13">
        <f ca="1">IF(Prices!D247&gt;OFFSET(Prices!D247,-S$3,0),1,-1)</f>
        <v>-1</v>
      </c>
      <c r="T248" s="4">
        <f ca="1">IF(S248=1,T$3*Q247/Prices!Q247,-T$3*R247)</f>
        <v>0</v>
      </c>
      <c r="V248" s="13"/>
      <c r="W248" s="4"/>
      <c r="X248" s="4"/>
      <c r="Y248" s="4"/>
      <c r="Z248" s="4"/>
      <c r="AA248" s="4"/>
      <c r="AB248" s="4"/>
      <c r="AC248" s="4"/>
      <c r="AD248" s="4"/>
      <c r="AE248" s="52"/>
    </row>
    <row r="249" spans="1:31" x14ac:dyDescent="0.2">
      <c r="A249" s="66">
        <v>43938</v>
      </c>
      <c r="B249" s="13">
        <f ca="1">Prices!Q248*(1+J249/(50*(ABS(O249)+ABS(T249)+0.0001)))</f>
        <v>160.76041226219797</v>
      </c>
      <c r="C249" s="62">
        <f t="shared" ca="1" si="45"/>
        <v>1</v>
      </c>
      <c r="D249" s="13">
        <f ca="1">D248+C249*(Prices!Q249-Prices!Q248)/Prices!Q248</f>
        <v>7.009846857538558</v>
      </c>
      <c r="E249" s="13">
        <f t="shared" ref="E249" ca="1" si="109">F249-D249</f>
        <v>0</v>
      </c>
      <c r="F249" s="13">
        <f t="shared" ref="F249" ca="1" si="110">MAX(F248,D249)</f>
        <v>7.009846857538558</v>
      </c>
      <c r="G249" s="21">
        <f ca="1">IF((Prices!Q249-Prices!Q248)*C249&gt;0,1,0)</f>
        <v>1</v>
      </c>
      <c r="H249" s="13">
        <f>ABS(Prices!Q249-Prices!Q248)/Prices!Q248</f>
        <v>8.6766756235597528E-2</v>
      </c>
      <c r="I249" s="21"/>
      <c r="J249" s="4">
        <f t="shared" ref="J249" ca="1" si="111">O249+T249</f>
        <v>2.8623915908802941E-4</v>
      </c>
      <c r="K249" s="13"/>
      <c r="L249" s="13">
        <f ca="1">L248-O249*Prices!Q249</f>
        <v>4.4851063211921112</v>
      </c>
      <c r="M249" s="4">
        <f t="shared" ref="M249" ca="1" si="112">M248+O249</f>
        <v>2.7248138063361686E-2</v>
      </c>
      <c r="N249" s="13">
        <f ca="1">IF(Prices!P248&gt;OFFSET(Prices!P248,-$N$3,0),1,-1)</f>
        <v>1</v>
      </c>
      <c r="O249" s="4">
        <f ca="1">IF(N249=1,O$3*L248/Prices!Q248,-O$3*M248)</f>
        <v>2.8623915908802941E-4</v>
      </c>
      <c r="P249" s="22"/>
      <c r="Q249" s="13">
        <f ca="1">Q248-T249*Prices!Q249</f>
        <v>1</v>
      </c>
      <c r="R249" s="4">
        <f t="shared" ca="1" si="27"/>
        <v>0.01</v>
      </c>
      <c r="S249" s="13">
        <f ca="1">IF(Prices!D248&gt;OFFSET(Prices!D248,-S$3,0),1,-1)</f>
        <v>-1</v>
      </c>
      <c r="T249" s="4">
        <f ca="1">IF(S249=1,T$3*Q248/Prices!Q248,-T$3*R248)</f>
        <v>0</v>
      </c>
      <c r="V249" s="13"/>
      <c r="W249" s="4"/>
      <c r="X249" s="4"/>
      <c r="Y249" s="4"/>
      <c r="Z249" s="4"/>
      <c r="AA249" s="4"/>
      <c r="AB249" s="4"/>
      <c r="AC249" s="4"/>
      <c r="AD249" s="4"/>
      <c r="AE249" s="52"/>
    </row>
    <row r="250" spans="1:31" x14ac:dyDescent="0.2">
      <c r="A250" s="66">
        <v>43945</v>
      </c>
      <c r="B250" s="13">
        <f ca="1">Prices!Q249*(1+J250/(50*(ABS(O250)+ABS(T250)+0.0001)))</f>
        <v>174.64548579770783</v>
      </c>
      <c r="C250" s="62">
        <f t="shared" ca="1" si="45"/>
        <v>1</v>
      </c>
      <c r="D250" s="13">
        <f ca="1">D249+C250*(Prices!Q250-Prices!Q249)/Prices!Q249</f>
        <v>7.1090558435210873</v>
      </c>
      <c r="E250" s="13">
        <f t="shared" ref="E250" ca="1" si="113">F250-D250</f>
        <v>0</v>
      </c>
      <c r="F250" s="13">
        <f t="shared" ref="F250" ca="1" si="114">MAX(F249,D250)</f>
        <v>7.1090558435210873</v>
      </c>
      <c r="G250" s="21">
        <f ca="1">IF((Prices!Q250-Prices!Q249)*C250&gt;0,1,0)</f>
        <v>1</v>
      </c>
      <c r="H250" s="13">
        <f>ABS(Prices!Q250-Prices!Q249)/Prices!Q249</f>
        <v>9.9208985982529502E-2</v>
      </c>
      <c r="I250" s="21"/>
      <c r="J250" s="4">
        <f t="shared" ref="J250" ca="1" si="115">O250+T250</f>
        <v>2.6052361782251057E-4</v>
      </c>
      <c r="K250" s="13"/>
      <c r="L250" s="13">
        <f ca="1">L249-O250*Prices!Q250</f>
        <v>4.4358056294786969</v>
      </c>
      <c r="M250" s="4">
        <f t="shared" ref="M250" ca="1" si="116">M249+O250</f>
        <v>2.7508661681184196E-2</v>
      </c>
      <c r="N250" s="13">
        <f ca="1">IF(Prices!P249&gt;OFFSET(Prices!P249,-$N$3,0),1,-1)</f>
        <v>1</v>
      </c>
      <c r="O250" s="4">
        <f ca="1">IF(N250=1,O$3*L249/Prices!Q249,-O$3*M249)</f>
        <v>2.6052361782251057E-4</v>
      </c>
      <c r="P250" s="22"/>
      <c r="Q250" s="13">
        <f ca="1">Q249-T250*Prices!Q250</f>
        <v>1</v>
      </c>
      <c r="R250" s="4">
        <f t="shared" ca="1" si="27"/>
        <v>0.01</v>
      </c>
      <c r="S250" s="13">
        <f ca="1">IF(Prices!D249&gt;OFFSET(Prices!D249,-S$3,0),1,-1)</f>
        <v>-1</v>
      </c>
      <c r="T250" s="4">
        <f ca="1">IF(S250=1,T$3*Q249/Prices!Q249,-T$3*R249)</f>
        <v>0</v>
      </c>
      <c r="V250" s="13"/>
      <c r="W250" s="4"/>
      <c r="X250" s="4"/>
      <c r="Y250" s="4"/>
      <c r="Z250" s="4"/>
      <c r="AA250" s="4"/>
      <c r="AB250" s="4"/>
      <c r="AC250" s="4"/>
      <c r="AD250" s="4"/>
      <c r="AE250" s="52"/>
    </row>
    <row r="251" spans="1:31" x14ac:dyDescent="0.2">
      <c r="A251" s="66">
        <v>43952</v>
      </c>
      <c r="B251" s="13">
        <f ca="1">Prices!Q250*(1+J251/(50*(ABS(O251)+ABS(T251)+0.0001)))</f>
        <v>191.88989331058602</v>
      </c>
      <c r="C251" s="62">
        <f t="shared" ca="1" si="45"/>
        <v>1</v>
      </c>
      <c r="D251" s="13">
        <f ca="1">D250+C251*(Prices!Q251-Prices!Q250)/Prices!Q250</f>
        <v>7.2410711005001449</v>
      </c>
      <c r="E251" s="13">
        <f t="shared" ref="E251" ca="1" si="117">F251-D251</f>
        <v>0</v>
      </c>
      <c r="F251" s="13">
        <f t="shared" ref="F251" ca="1" si="118">MAX(F250,D251)</f>
        <v>7.2410711005001449</v>
      </c>
      <c r="G251" s="21">
        <f ca="1">IF((Prices!Q251-Prices!Q250)*C251&gt;0,1,0)</f>
        <v>1</v>
      </c>
      <c r="H251" s="13">
        <f>ABS(Prices!Q251-Prices!Q250)/Prices!Q250</f>
        <v>0.13201525697905758</v>
      </c>
      <c r="I251" s="21"/>
      <c r="J251" s="4">
        <f t="shared" ref="J251" ca="1" si="119">O251+T251</f>
        <v>2.344048512071516E-4</v>
      </c>
      <c r="K251" s="13"/>
      <c r="L251" s="13">
        <f ca="1">L250-O251*Prices!Q251</f>
        <v>4.3855916329830622</v>
      </c>
      <c r="M251" s="4">
        <f t="shared" ref="M251" ca="1" si="120">M250+O251</f>
        <v>2.7743066532391347E-2</v>
      </c>
      <c r="N251" s="13">
        <f ca="1">IF(Prices!P250&gt;OFFSET(Prices!P250,-$N$3,0),1,-1)</f>
        <v>1</v>
      </c>
      <c r="O251" s="4">
        <f ca="1">IF(N251=1,O$3*L250/Prices!Q250,-O$3*M250)</f>
        <v>2.344048512071516E-4</v>
      </c>
      <c r="P251" s="22"/>
      <c r="Q251" s="13">
        <f ca="1">Q250-T251*Prices!Q251</f>
        <v>1</v>
      </c>
      <c r="R251" s="4">
        <f t="shared" ca="1" si="27"/>
        <v>0.01</v>
      </c>
      <c r="S251" s="13">
        <f ca="1">IF(Prices!D250&gt;OFFSET(Prices!D250,-S$3,0),1,-1)</f>
        <v>-1</v>
      </c>
      <c r="T251" s="4">
        <f ca="1">IF(S251=1,T$3*Q250/Prices!Q250,-T$3*R250)</f>
        <v>0</v>
      </c>
      <c r="V251" s="13"/>
      <c r="W251" s="4"/>
      <c r="X251" s="4"/>
      <c r="Y251" s="4"/>
      <c r="Z251" s="4"/>
      <c r="AA251" s="4"/>
      <c r="AB251" s="4"/>
      <c r="AC251" s="4"/>
      <c r="AD251" s="4"/>
      <c r="AE251" s="52"/>
    </row>
    <row r="252" spans="1:31" x14ac:dyDescent="0.2">
      <c r="A252" s="66">
        <v>43959</v>
      </c>
      <c r="B252" s="13">
        <f ca="1">Prices!Q251*(1+J252/(50*(ABS(O252)+ABS(T252)+0.0001)))</f>
        <v>217.09749799436264</v>
      </c>
      <c r="C252" s="62">
        <f t="shared" ca="1" si="45"/>
        <v>1</v>
      </c>
      <c r="D252" s="13">
        <f ca="1">D251+C252*(Prices!Q252-Prices!Q251)/Prices!Q251</f>
        <v>7.2353408738570968</v>
      </c>
      <c r="E252" s="13">
        <f t="shared" ref="E252" ca="1" si="121">F252-D252</f>
        <v>5.7302266430481197E-3</v>
      </c>
      <c r="F252" s="13">
        <f t="shared" ref="F252" ca="1" si="122">MAX(F251,D252)</f>
        <v>7.2410711005001449</v>
      </c>
      <c r="G252" s="21">
        <f ca="1">IF((Prices!Q252-Prices!Q251)*C252&gt;0,1,0)</f>
        <v>0</v>
      </c>
      <c r="H252" s="13">
        <f>ABS(Prices!Q252-Prices!Q251)/Prices!Q251</f>
        <v>5.7302266430479904E-3</v>
      </c>
      <c r="I252" s="21"/>
      <c r="J252" s="4">
        <f t="shared" ref="J252" ca="1" si="123">O252+T252</f>
        <v>2.047245839661638E-4</v>
      </c>
      <c r="K252" s="13"/>
      <c r="L252" s="13">
        <f ca="1">L251-O252*Prices!Q252</f>
        <v>4.3419870209934404</v>
      </c>
      <c r="M252" s="4">
        <f t="shared" ref="M252" ca="1" si="124">M251+O252</f>
        <v>2.794779111635751E-2</v>
      </c>
      <c r="N252" s="13">
        <f ca="1">IF(Prices!P251&gt;OFFSET(Prices!P251,-$N$3,0),1,-1)</f>
        <v>1</v>
      </c>
      <c r="O252" s="4">
        <f ca="1">IF(N252=1,O$3*L251/Prices!Q251,-O$3*M251)</f>
        <v>2.047245839661638E-4</v>
      </c>
      <c r="P252" s="22"/>
      <c r="Q252" s="13">
        <f ca="1">Q251-T252*Prices!Q252</f>
        <v>1</v>
      </c>
      <c r="R252" s="4">
        <f t="shared" ca="1" si="27"/>
        <v>0.01</v>
      </c>
      <c r="S252" s="13">
        <f ca="1">IF(Prices!D251&gt;OFFSET(Prices!D251,-S$3,0),1,-1)</f>
        <v>-1</v>
      </c>
      <c r="T252" s="4">
        <f ca="1">IF(S252=1,T$3*Q251/Prices!Q251,-T$3*R251)</f>
        <v>0</v>
      </c>
      <c r="V252" s="13"/>
      <c r="W252" s="4"/>
      <c r="X252" s="4"/>
      <c r="Y252" s="4"/>
      <c r="Z252" s="4"/>
      <c r="AA252" s="4"/>
      <c r="AB252" s="4"/>
      <c r="AC252" s="4"/>
      <c r="AD252" s="4"/>
      <c r="AE252" s="52"/>
    </row>
    <row r="253" spans="1:31" x14ac:dyDescent="0.2">
      <c r="A253" s="66">
        <v>43966</v>
      </c>
      <c r="B253" s="13">
        <f ca="1">Prices!Q252*(1+J253/(50*(ABS(O253)+ABS(T253)+0.0001)))</f>
        <v>215.84948971216843</v>
      </c>
      <c r="C253" s="62">
        <f t="shared" ca="1" si="45"/>
        <v>1</v>
      </c>
      <c r="D253" s="13">
        <f ca="1">D252+C253*(Prices!Q253-Prices!Q252)/Prices!Q252</f>
        <v>7.1537934613037821</v>
      </c>
      <c r="E253" s="13">
        <f t="shared" ref="E253" ca="1" si="125">F253-D253</f>
        <v>8.7277639196362777E-2</v>
      </c>
      <c r="F253" s="13">
        <f t="shared" ref="F253" ca="1" si="126">MAX(F252,D253)</f>
        <v>7.2410711005001449</v>
      </c>
      <c r="G253" s="21">
        <f ca="1">IF((Prices!Q253-Prices!Q252)*C253&gt;0,1,0)</f>
        <v>0</v>
      </c>
      <c r="H253" s="13">
        <f>ABS(Prices!Q253-Prices!Q252)/Prices!Q252</f>
        <v>8.1547412553314227E-2</v>
      </c>
      <c r="I253" s="21"/>
      <c r="J253" s="4">
        <f t="shared" ref="J253" ca="1" si="127">O253+T253</f>
        <v>2.0385721736749431E-4</v>
      </c>
      <c r="K253" s="13"/>
      <c r="L253" s="13">
        <f ca="1">L252-O253*Prices!Q253</f>
        <v>4.3021079288525268</v>
      </c>
      <c r="M253" s="4">
        <f t="shared" ref="M253" ca="1" si="128">M252+O253</f>
        <v>2.8151648333725004E-2</v>
      </c>
      <c r="N253" s="13">
        <f ca="1">IF(Prices!P252&gt;OFFSET(Prices!P252,-$N$3,0),1,-1)</f>
        <v>1</v>
      </c>
      <c r="O253" s="4">
        <f ca="1">IF(N253=1,O$3*L252/Prices!Q252,-O$3*M252)</f>
        <v>2.0385721736749431E-4</v>
      </c>
      <c r="P253" s="22"/>
      <c r="Q253" s="13">
        <f ca="1">Q252-T253*Prices!Q253</f>
        <v>1</v>
      </c>
      <c r="R253" s="4">
        <f t="shared" ca="1" si="27"/>
        <v>0.01</v>
      </c>
      <c r="S253" s="13">
        <f ca="1">IF(Prices!D252&gt;OFFSET(Prices!D252,-S$3,0),1,-1)</f>
        <v>-1</v>
      </c>
      <c r="T253" s="4">
        <f ca="1">IF(S253=1,T$3*Q252/Prices!Q252,-T$3*R252)</f>
        <v>0</v>
      </c>
      <c r="V253" s="13"/>
      <c r="W253" s="4"/>
      <c r="X253" s="4"/>
      <c r="Y253" s="4"/>
      <c r="Z253" s="4"/>
      <c r="AA253" s="4"/>
      <c r="AB253" s="4"/>
      <c r="AC253" s="4"/>
      <c r="AD253" s="4"/>
      <c r="AE253" s="52"/>
    </row>
    <row r="254" spans="1:31" x14ac:dyDescent="0.2">
      <c r="A254" s="66">
        <v>43973</v>
      </c>
      <c r="B254" s="13">
        <f ca="1">Prices!Q253*(1+J254/(50*(ABS(O254)+ABS(T254)+0.0001)))</f>
        <v>198.31216588096464</v>
      </c>
      <c r="C254" s="62">
        <f t="shared" ca="1" si="45"/>
        <v>1</v>
      </c>
      <c r="D254" s="13">
        <f ca="1">D253+C254*(Prices!Q254-Prices!Q253)/Prices!Q253</f>
        <v>7.212817930682113</v>
      </c>
      <c r="E254" s="13">
        <f t="shared" ref="E254" ca="1" si="129">F254-D254</f>
        <v>2.8253169818031942E-2</v>
      </c>
      <c r="F254" s="13">
        <f t="shared" ref="F254" ca="1" si="130">MAX(F253,D254)</f>
        <v>7.2410711005001449</v>
      </c>
      <c r="G254" s="21">
        <f ca="1">IF((Prices!Q254-Prices!Q253)*C254&gt;0,1,0)</f>
        <v>1</v>
      </c>
      <c r="H254" s="13">
        <f>ABS(Prices!Q254-Prices!Q253)/Prices!Q253</f>
        <v>5.9024469378330863E-2</v>
      </c>
      <c r="I254" s="21"/>
      <c r="J254" s="4">
        <f t="shared" ref="J254" ca="1" si="131">O254+T254</f>
        <v>2.1991868523274266E-4</v>
      </c>
      <c r="K254" s="13"/>
      <c r="L254" s="13">
        <f ca="1">L253-O254*Prices!Q254</f>
        <v>4.2565475531869135</v>
      </c>
      <c r="M254" s="4">
        <f t="shared" ref="M254" ca="1" si="132">M253+O254</f>
        <v>2.8371567018957745E-2</v>
      </c>
      <c r="N254" s="13">
        <f ca="1">IF(Prices!P253&gt;OFFSET(Prices!P253,-$N$3,0),1,-1)</f>
        <v>1</v>
      </c>
      <c r="O254" s="4">
        <f ca="1">IF(N254=1,O$3*L253/Prices!Q253,-O$3*M253)</f>
        <v>2.1991868523274266E-4</v>
      </c>
      <c r="P254" s="22"/>
      <c r="Q254" s="13">
        <f ca="1">Q253-T254*Prices!Q254</f>
        <v>1</v>
      </c>
      <c r="R254" s="4">
        <f t="shared" ca="1" si="27"/>
        <v>0.01</v>
      </c>
      <c r="S254" s="13">
        <f ca="1">IF(Prices!D253&gt;OFFSET(Prices!D253,-S$3,0),1,-1)</f>
        <v>-1</v>
      </c>
      <c r="T254" s="4">
        <f ca="1">IF(S254=1,T$3*Q253/Prices!Q253,-T$3*R253)</f>
        <v>0</v>
      </c>
      <c r="V254" s="13"/>
      <c r="W254" s="4"/>
      <c r="X254" s="4"/>
      <c r="Y254" s="4"/>
      <c r="Z254" s="4"/>
      <c r="AA254" s="4"/>
      <c r="AB254" s="4"/>
      <c r="AC254" s="4"/>
      <c r="AD254" s="4"/>
      <c r="AE254" s="52"/>
    </row>
    <row r="255" spans="1:31" x14ac:dyDescent="0.2">
      <c r="A255" s="66">
        <v>43980</v>
      </c>
      <c r="B255" s="13">
        <f ca="1">Prices!Q254*(1+J255/(50*(ABS(O255)+ABS(T255)+0.0001)))</f>
        <v>204.1056109464518</v>
      </c>
      <c r="C255" s="62">
        <f t="shared" ca="1" si="45"/>
        <v>0</v>
      </c>
      <c r="D255" s="13">
        <f ca="1">D254+C255*(Prices!Q255-Prices!Q254)/Prices!Q254</f>
        <v>7.212817930682113</v>
      </c>
      <c r="E255" s="13">
        <f t="shared" ref="E255" ca="1" si="133">F255-D255</f>
        <v>2.8253169818031942E-2</v>
      </c>
      <c r="F255" s="13">
        <f t="shared" ref="F255" ca="1" si="134">MAX(F254,D255)</f>
        <v>7.2410711005001449</v>
      </c>
      <c r="G255" s="21">
        <f ca="1">IF((Prices!Q255-Prices!Q254)*C255&gt;0,1,0)</f>
        <v>0</v>
      </c>
      <c r="H255" s="13">
        <f>ABS(Prices!Q255-Prices!Q254)/Prices!Q254</f>
        <v>6.5192783083202685E-2</v>
      </c>
      <c r="I255" s="21"/>
      <c r="J255" s="4">
        <f t="shared" ref="J255" ca="1" si="135">O255+T255</f>
        <v>-2.8371567018957748E-4</v>
      </c>
      <c r="K255" s="13"/>
      <c r="L255" s="13">
        <f ca="1">L254-O255*Prices!Q255</f>
        <v>4.3191565441704576</v>
      </c>
      <c r="M255" s="4">
        <f t="shared" ref="M255" ca="1" si="136">M254+O255</f>
        <v>2.8087851348768168E-2</v>
      </c>
      <c r="N255" s="13">
        <f ca="1">IF(Prices!P254&gt;OFFSET(Prices!P254,-$N$3,0),1,-1)</f>
        <v>-1</v>
      </c>
      <c r="O255" s="4">
        <f ca="1">IF(N255=1,O$3*L254/Prices!Q254,-O$3*M254)</f>
        <v>-2.8371567018957748E-4</v>
      </c>
      <c r="P255" s="22"/>
      <c r="Q255" s="13">
        <f ca="1">Q254-T255*Prices!Q255</f>
        <v>1</v>
      </c>
      <c r="R255" s="4">
        <f t="shared" ca="1" si="27"/>
        <v>0.01</v>
      </c>
      <c r="S255" s="13">
        <f ca="1">IF(Prices!D254&gt;OFFSET(Prices!D254,-S$3,0),1,-1)</f>
        <v>-1</v>
      </c>
      <c r="T255" s="4">
        <f ca="1">IF(S255=1,T$3*Q254/Prices!Q254,-T$3*R254)</f>
        <v>0</v>
      </c>
      <c r="V255" s="13"/>
      <c r="W255" s="4"/>
      <c r="X255" s="4"/>
      <c r="Y255" s="4"/>
      <c r="Z255" s="4"/>
      <c r="AA255" s="4"/>
      <c r="AB255" s="4"/>
      <c r="AC255" s="4"/>
      <c r="AD255" s="4"/>
      <c r="AE255" s="52"/>
    </row>
    <row r="256" spans="1:31" x14ac:dyDescent="0.2">
      <c r="A256" s="66">
        <v>43987</v>
      </c>
      <c r="B256" s="13">
        <f ca="1">Prices!Q255*(1+J256/(50*(ABS(O256)+ABS(T256)+0.0001)))</f>
        <v>223.59619112701702</v>
      </c>
      <c r="C256" s="62">
        <f t="shared" ca="1" si="45"/>
        <v>1</v>
      </c>
      <c r="D256" s="13">
        <f ca="1">D255+C256*(Prices!Q256-Prices!Q255)/Prices!Q255</f>
        <v>7.3059270203450284</v>
      </c>
      <c r="E256" s="13">
        <f t="shared" ref="E256" ca="1" si="137">F256-D256</f>
        <v>0</v>
      </c>
      <c r="F256" s="13">
        <f t="shared" ref="F256" ca="1" si="138">MAX(F255,D256)</f>
        <v>7.3059270203450284</v>
      </c>
      <c r="G256" s="21">
        <f ca="1">IF((Prices!Q256-Prices!Q255)*C256&gt;0,1,0)</f>
        <v>1</v>
      </c>
      <c r="H256" s="13">
        <f>ABS(Prices!Q256-Prices!Q255)/Prices!Q255</f>
        <v>9.3109089662915021E-2</v>
      </c>
      <c r="I256" s="21"/>
      <c r="J256" s="4">
        <f t="shared" ref="J256" ca="1" si="139">O256+T256</f>
        <v>1.9572466738924279E-4</v>
      </c>
      <c r="K256" s="13"/>
      <c r="L256" s="13">
        <f ca="1">L255-O256*Prices!Q256</f>
        <v>4.2719434513893599</v>
      </c>
      <c r="M256" s="4">
        <f t="shared" ref="M256" ca="1" si="140">M255+O256</f>
        <v>2.828357601615741E-2</v>
      </c>
      <c r="N256" s="13">
        <f ca="1">IF(Prices!P255&gt;OFFSET(Prices!P255,-$N$3,0),1,-1)</f>
        <v>1</v>
      </c>
      <c r="O256" s="4">
        <f ca="1">IF(N256=1,O$3*L255/Prices!Q255,-O$3*M255)</f>
        <v>1.9572466738924279E-4</v>
      </c>
      <c r="P256" s="22"/>
      <c r="Q256" s="13">
        <f ca="1">Q255-T256*Prices!Q256</f>
        <v>1</v>
      </c>
      <c r="R256" s="4">
        <f t="shared" ca="1" si="27"/>
        <v>0.01</v>
      </c>
      <c r="S256" s="13">
        <f ca="1">IF(Prices!D255&gt;OFFSET(Prices!D255,-S$3,0),1,-1)</f>
        <v>1</v>
      </c>
      <c r="T256" s="4">
        <f ca="1">IF(S256=1,T$3*Q255/Prices!Q255,-T$3*R255)</f>
        <v>0</v>
      </c>
      <c r="V256" s="13"/>
      <c r="W256" s="4"/>
      <c r="X256" s="4"/>
      <c r="Y256" s="4"/>
      <c r="Z256" s="4"/>
      <c r="AA256" s="4"/>
      <c r="AB256" s="4"/>
      <c r="AC256" s="4"/>
      <c r="AD256" s="4"/>
      <c r="AE256" s="52"/>
    </row>
    <row r="257" spans="1:31" x14ac:dyDescent="0.2">
      <c r="A257" s="66">
        <v>43994</v>
      </c>
      <c r="B257" s="13">
        <f ca="1">Prices!Q256*(1+J257/(50*(ABS(O257)+ABS(T257)+0.0001)))</f>
        <v>244.3053527535607</v>
      </c>
      <c r="C257" s="62">
        <f t="shared" ca="1" si="45"/>
        <v>1</v>
      </c>
      <c r="D257" s="13">
        <f ca="1">D256+C257*(Prices!Q257-Prices!Q256)/Prices!Q256</f>
        <v>7.2904691631352057</v>
      </c>
      <c r="E257" s="13">
        <f t="shared" ref="E257" ca="1" si="141">F257-D257</f>
        <v>1.5457857209822734E-2</v>
      </c>
      <c r="F257" s="13">
        <f t="shared" ref="F257" ca="1" si="142">MAX(F256,D257)</f>
        <v>7.3059270203450284</v>
      </c>
      <c r="G257" s="21">
        <f ca="1">IF((Prices!Q257-Prices!Q256)*C257&gt;0,1,0)</f>
        <v>0</v>
      </c>
      <c r="H257" s="13">
        <f>ABS(Prices!Q257-Prices!Q256)/Prices!Q256</f>
        <v>1.5457857209822665E-2</v>
      </c>
      <c r="I257" s="21"/>
      <c r="J257" s="4">
        <f t="shared" ref="J257" ca="1" si="143">O257+T257</f>
        <v>1.7709594137488589E-4</v>
      </c>
      <c r="K257" s="13"/>
      <c r="L257" s="13">
        <f ca="1">L256-O257*Prices!Q257</f>
        <v>4.2298843677942664</v>
      </c>
      <c r="M257" s="4">
        <f t="shared" ref="M257" ca="1" si="144">M256+O257</f>
        <v>2.8460671957532296E-2</v>
      </c>
      <c r="N257" s="13">
        <f ca="1">IF(Prices!P256&gt;OFFSET(Prices!P256,-$N$3,0),1,-1)</f>
        <v>1</v>
      </c>
      <c r="O257" s="4">
        <f ca="1">IF(N257=1,O$3*L256/Prices!Q256,-O$3*M256)</f>
        <v>1.7709594137488589E-4</v>
      </c>
      <c r="P257" s="22"/>
      <c r="Q257" s="13">
        <f ca="1">Q256-T257*Prices!Q257</f>
        <v>1</v>
      </c>
      <c r="R257" s="4">
        <f t="shared" ca="1" si="27"/>
        <v>0.01</v>
      </c>
      <c r="S257" s="13">
        <f ca="1">IF(Prices!D256&gt;OFFSET(Prices!D256,-S$3,0),1,-1)</f>
        <v>1</v>
      </c>
      <c r="T257" s="4">
        <f ca="1">IF(S257=1,T$3*Q256/Prices!Q256,-T$3*R256)</f>
        <v>0</v>
      </c>
      <c r="V257" s="13"/>
      <c r="W257" s="4"/>
      <c r="X257" s="4"/>
      <c r="Y257" s="4"/>
      <c r="Z257" s="4"/>
      <c r="AA257" s="4"/>
      <c r="AB257" s="4"/>
      <c r="AC257" s="4"/>
      <c r="AD257" s="4"/>
      <c r="AE257" s="52"/>
    </row>
    <row r="258" spans="1:31" x14ac:dyDescent="0.2">
      <c r="A258" s="66">
        <v>44001</v>
      </c>
      <c r="B258" s="13">
        <f ca="1">Prices!Q257*(1+J258/(50*(ABS(O258)+ABS(T258)+0.0001)))</f>
        <v>240.53513802732567</v>
      </c>
      <c r="C258" s="62">
        <f t="shared" ca="1" si="45"/>
        <v>1</v>
      </c>
      <c r="D258" s="13">
        <f ca="1">D257+C258*(Prices!Q258-Prices!Q257)/Prices!Q257</f>
        <v>7.2468682534502511</v>
      </c>
      <c r="E258" s="13">
        <f ca="1">F258-D258</f>
        <v>5.9058766894777293E-2</v>
      </c>
      <c r="F258" s="13">
        <f t="shared" ref="F258" ca="1" si="145">MAX(F257,D258)</f>
        <v>7.3059270203450284</v>
      </c>
      <c r="G258" s="21">
        <f ca="1">IF((Prices!Q258-Prices!Q257)*C258&gt;0,1,0)</f>
        <v>0</v>
      </c>
      <c r="H258" s="13">
        <f>ABS(Prices!Q258-Prices!Q257)/Prices!Q257</f>
        <v>4.3600909684954753E-2</v>
      </c>
      <c r="I258" s="21"/>
      <c r="J258" s="4">
        <f t="shared" ref="J258" ca="1" si="146">O258+T258</f>
        <v>1.7810548637555852E-4</v>
      </c>
      <c r="K258" s="13"/>
      <c r="L258" s="13">
        <f ca="1">L257-O258*Prices!Q258</f>
        <v>4.189429792179304</v>
      </c>
      <c r="M258" s="4">
        <f t="shared" ref="M258" ca="1" si="147">M257+O258</f>
        <v>2.8638777443907856E-2</v>
      </c>
      <c r="N258" s="13">
        <f ca="1">IF(Prices!P257&gt;OFFSET(Prices!P257,-$N$3,0),1,-1)</f>
        <v>1</v>
      </c>
      <c r="O258" s="4">
        <f ca="1">IF(N258=1,O$3*L257/Prices!Q257,-O$3*M257)</f>
        <v>1.7810548637555852E-4</v>
      </c>
      <c r="P258" s="22"/>
      <c r="Q258" s="13">
        <f ca="1">Q257-T258*Prices!Q258</f>
        <v>1</v>
      </c>
      <c r="R258" s="4">
        <f t="shared" ca="1" si="27"/>
        <v>0.01</v>
      </c>
      <c r="S258" s="13">
        <f ca="1">IF(Prices!D257&gt;OFFSET(Prices!D257,-S$3,0),1,-1)</f>
        <v>1</v>
      </c>
      <c r="T258" s="4">
        <f ca="1">IF(S258=1,T$3*Q257/Prices!Q257,-T$3*R257)</f>
        <v>0</v>
      </c>
      <c r="V258" s="13"/>
      <c r="W258" s="4"/>
      <c r="X258" s="4"/>
      <c r="Y258" s="4"/>
      <c r="Z258" s="4"/>
      <c r="AA258" s="4"/>
      <c r="AB258" s="4"/>
      <c r="AC258" s="4"/>
      <c r="AD258" s="4"/>
      <c r="AE258" s="52"/>
    </row>
    <row r="259" spans="1:31" x14ac:dyDescent="0.2">
      <c r="A259" s="66">
        <v>44008</v>
      </c>
      <c r="B259" s="13">
        <f ca="1">Prices!Q258*(1+J259/(50*(ABS(O259)+ABS(T259)+0.0001)))</f>
        <v>223.77122542569091</v>
      </c>
      <c r="C259" s="62">
        <f t="shared" ca="1" si="45"/>
        <v>0</v>
      </c>
      <c r="D259" s="13">
        <f ca="1">D258+C259*(Prices!Q259-Prices!Q258)/Prices!Q258</f>
        <v>7.2468682534502511</v>
      </c>
      <c r="E259" s="13">
        <f ca="1">F259-D259</f>
        <v>5.9058766894777293E-2</v>
      </c>
      <c r="F259" s="13">
        <f t="shared" ref="F259" ca="1" si="148">MAX(F258,D259)</f>
        <v>7.3059270203450284</v>
      </c>
      <c r="G259" s="21">
        <f ca="1">IF((Prices!Q259-Prices!Q258)*C259&gt;0,1,0)</f>
        <v>0</v>
      </c>
      <c r="H259" s="13">
        <f>ABS(Prices!Q259-Prices!Q258)/Prices!Q258</f>
        <v>1.1137510104527045E-2</v>
      </c>
      <c r="I259" s="21"/>
      <c r="J259" s="4">
        <f t="shared" ref="J259" ca="1" si="149">O259+T259</f>
        <v>-2.8638777443907855E-4</v>
      </c>
      <c r="K259" s="13"/>
      <c r="L259" s="13">
        <f ca="1">L258-O259*Prices!Q259</f>
        <v>4.2552039124466283</v>
      </c>
      <c r="M259" s="4">
        <f t="shared" ref="M259" ca="1" si="150">M258+O259</f>
        <v>2.8352389669468778E-2</v>
      </c>
      <c r="N259" s="13">
        <f ca="1">IF(Prices!P258&gt;OFFSET(Prices!P258,-$N$3,0),1,-1)</f>
        <v>-1</v>
      </c>
      <c r="O259" s="4">
        <f ca="1">IF(N259=1,O$3*L258/Prices!Q258,-O$3*M258)</f>
        <v>-2.8638777443907855E-4</v>
      </c>
      <c r="P259" s="22"/>
      <c r="Q259" s="13">
        <f ca="1">Q258-T259*Prices!Q259</f>
        <v>1</v>
      </c>
      <c r="R259" s="4">
        <f t="shared" ca="1" si="27"/>
        <v>0.01</v>
      </c>
      <c r="S259" s="13">
        <f ca="1">IF(Prices!D258&gt;OFFSET(Prices!D258,-S$3,0),1,-1)</f>
        <v>1</v>
      </c>
      <c r="T259" s="4">
        <f ca="1">IF(S259=1,T$3*Q258/Prices!Q258,-T$3*R258)</f>
        <v>0</v>
      </c>
      <c r="V259" s="13"/>
      <c r="W259" s="4"/>
      <c r="X259" s="4"/>
      <c r="Y259" s="4"/>
      <c r="Z259" s="4"/>
      <c r="AA259" s="4"/>
      <c r="AB259" s="4"/>
      <c r="AC259" s="4"/>
      <c r="AD259" s="4"/>
      <c r="AE259" s="52"/>
    </row>
    <row r="260" spans="1:31" x14ac:dyDescent="0.2">
      <c r="A260" s="66">
        <v>44015</v>
      </c>
      <c r="B260" s="13">
        <f ca="1">Prices!Q259*(1+J260/(50*(ABS(O260)+ABS(T260)+0.0001)))</f>
        <v>226.27235677166058</v>
      </c>
      <c r="C260" s="62">
        <f t="shared" ca="1" si="45"/>
        <v>0</v>
      </c>
      <c r="D260" s="13">
        <f ca="1">D259+C260*(Prices!Q260-Prices!Q259)/Prices!Q259</f>
        <v>7.2468682534502511</v>
      </c>
      <c r="E260" s="13">
        <f t="shared" ref="E260" ca="1" si="151">F260-D260</f>
        <v>5.9058766894777293E-2</v>
      </c>
      <c r="F260" s="13">
        <f t="shared" ref="F260" ca="1" si="152">MAX(F259,D260)</f>
        <v>7.3059270203450284</v>
      </c>
      <c r="G260" s="21">
        <f ca="1">IF((Prices!Q260-Prices!Q259)*C260&gt;0,1,0)</f>
        <v>0</v>
      </c>
      <c r="H260" s="13">
        <f>ABS(Prices!Q260-Prices!Q259)/Prices!Q259</f>
        <v>1.8639837335664228E-2</v>
      </c>
      <c r="I260" s="21"/>
      <c r="J260" s="4">
        <f t="shared" ref="J260" ca="1" si="153">O260+T260</f>
        <v>-2.8352389669468778E-4</v>
      </c>
      <c r="K260" s="13"/>
      <c r="L260" s="13">
        <f ca="1">L259-O260*Prices!Q260</f>
        <v>4.319106532797627</v>
      </c>
      <c r="M260" s="4">
        <f t="shared" ref="M260" ca="1" si="154">M259+O260</f>
        <v>2.806886577277409E-2</v>
      </c>
      <c r="N260" s="13">
        <f ca="1">IF(Prices!P259&gt;OFFSET(Prices!P259,-$N$3,0),1,-1)</f>
        <v>-1</v>
      </c>
      <c r="O260" s="4">
        <f ca="1">IF(N260=1,O$3*L259/Prices!Q259,-O$3*M259)</f>
        <v>-2.8352389669468778E-4</v>
      </c>
      <c r="P260" s="22"/>
      <c r="Q260" s="13">
        <f ca="1">Q259-T260*Prices!Q260</f>
        <v>1</v>
      </c>
      <c r="R260" s="4">
        <f t="shared" ca="1" si="27"/>
        <v>0.01</v>
      </c>
      <c r="S260" s="13">
        <f ca="1">IF(Prices!D259&gt;OFFSET(Prices!D259,-S$3,0),1,-1)</f>
        <v>1</v>
      </c>
      <c r="T260" s="4">
        <f ca="1">IF(S260=1,T$3*Q259/Prices!Q259,-T$3*R259)</f>
        <v>0</v>
      </c>
      <c r="V260" s="13"/>
      <c r="W260" s="4"/>
      <c r="X260" s="4"/>
      <c r="Y260" s="4"/>
      <c r="Z260" s="4"/>
      <c r="AA260" s="4"/>
      <c r="AB260" s="4"/>
      <c r="AC260" s="4"/>
      <c r="AD260" s="4"/>
      <c r="AE260" s="52"/>
    </row>
    <row r="261" spans="1:31" x14ac:dyDescent="0.2">
      <c r="A261" s="66">
        <v>44022</v>
      </c>
      <c r="B261" s="13">
        <f ca="1">Prices!Q260*(1+J261/(50*(ABS(O261)+ABS(T261)+0.0001)))</f>
        <v>222.06343043978316</v>
      </c>
      <c r="C261" s="62">
        <f t="shared" ca="1" si="45"/>
        <v>0</v>
      </c>
      <c r="D261" s="13">
        <f ca="1">D260+C261*(Prices!Q261-Prices!Q260)/Prices!Q260</f>
        <v>7.2468682534502511</v>
      </c>
      <c r="E261" s="13">
        <f t="shared" ref="E261" ca="1" si="155">F261-D261</f>
        <v>5.9058766894777293E-2</v>
      </c>
      <c r="F261" s="13">
        <f t="shared" ref="F261" ca="1" si="156">MAX(F260,D261)</f>
        <v>7.3059270203450284</v>
      </c>
      <c r="G261" s="21">
        <f ca="1">IF((Prices!Q261-Prices!Q260)*C261&gt;0,1,0)</f>
        <v>0</v>
      </c>
      <c r="H261" s="13">
        <f>ABS(Prices!Q261-Prices!Q260)/Prices!Q260</f>
        <v>6.9205012514693062E-2</v>
      </c>
      <c r="I261" s="21"/>
      <c r="J261" s="4">
        <f t="shared" ref="J261" ca="1" si="157">O261+T261</f>
        <v>-2.8068865772774089E-4</v>
      </c>
      <c r="K261" s="13"/>
      <c r="L261" s="13">
        <f ca="1">L260-O261*Prices!Q261</f>
        <v>4.3867482847698165</v>
      </c>
      <c r="M261" s="4">
        <f t="shared" ref="M261" ca="1" si="158">M260+O261</f>
        <v>2.7788177115046348E-2</v>
      </c>
      <c r="N261" s="13">
        <f ca="1">IF(Prices!P260&gt;OFFSET(Prices!P260,-$N$3,0),1,-1)</f>
        <v>-1</v>
      </c>
      <c r="O261" s="4">
        <f ca="1">IF(N261=1,O$3*L260/Prices!Q260,-O$3*M260)</f>
        <v>-2.8068865772774089E-4</v>
      </c>
      <c r="P261" s="22"/>
      <c r="Q261" s="13">
        <f ca="1">Q260-T261*Prices!Q261</f>
        <v>1</v>
      </c>
      <c r="R261" s="4">
        <f t="shared" ca="1" si="27"/>
        <v>0.01</v>
      </c>
      <c r="S261" s="13">
        <f ca="1">IF(Prices!D260&gt;OFFSET(Prices!D260,-S$3,0),1,-1)</f>
        <v>1</v>
      </c>
      <c r="T261" s="4">
        <f ca="1">IF(S261=1,T$3*Q260/Prices!Q260,-T$3*R260)</f>
        <v>0</v>
      </c>
      <c r="V261" s="13"/>
      <c r="W261" s="4"/>
      <c r="X261" s="4"/>
      <c r="Y261" s="4"/>
      <c r="Z261" s="4"/>
      <c r="AA261" s="4"/>
      <c r="AB261" s="4"/>
      <c r="AC261" s="4"/>
      <c r="AD261" s="4"/>
      <c r="AE261" s="52"/>
    </row>
    <row r="262" spans="1:31" x14ac:dyDescent="0.2">
      <c r="A262" s="66">
        <v>44029</v>
      </c>
      <c r="B262" s="13">
        <f ca="1">Prices!Q261*(1+J262/(50*(ABS(O262)+ABS(T262)+0.0001)))</f>
        <v>244.09577792505448</v>
      </c>
      <c r="C262" s="62">
        <f t="shared" ca="1" si="45"/>
        <v>1</v>
      </c>
      <c r="D262" s="13">
        <f ca="1">D261+C262*(Prices!Q262-Prices!Q261)/Prices!Q261</f>
        <v>7.2127918648320968</v>
      </c>
      <c r="E262" s="13">
        <f t="shared" ref="E262" ca="1" si="159">F262-D262</f>
        <v>9.3135155512931611E-2</v>
      </c>
      <c r="F262" s="13">
        <f t="shared" ref="F262" ca="1" si="160">MAX(F261,D262)</f>
        <v>7.3059270203450284</v>
      </c>
      <c r="G262" s="21">
        <f ca="1">IF((Prices!Q262-Prices!Q261)*C262&gt;0,1,0)</f>
        <v>0</v>
      </c>
      <c r="H262" s="13">
        <f>ABS(Prices!Q262-Prices!Q261)/Prices!Q261</f>
        <v>3.4076388618153909E-2</v>
      </c>
      <c r="I262" s="21"/>
      <c r="J262" s="4">
        <f t="shared" ref="J262" ca="1" si="161">O262+T262</f>
        <v>1.8203409165802663E-4</v>
      </c>
      <c r="K262" s="13"/>
      <c r="L262" s="13">
        <f ca="1">L261-O262*Prices!Q262</f>
        <v>4.3443756473153368</v>
      </c>
      <c r="M262" s="4">
        <f t="shared" ref="M262" ca="1" si="162">M261+O262</f>
        <v>2.7970211206704374E-2</v>
      </c>
      <c r="N262" s="13">
        <f ca="1">IF(Prices!P261&gt;OFFSET(Prices!P261,-$N$3,0),1,-1)</f>
        <v>1</v>
      </c>
      <c r="O262" s="4">
        <f ca="1">IF(N262=1,O$3*L261/Prices!Q261,-O$3*M261)</f>
        <v>1.8203409165802663E-4</v>
      </c>
      <c r="P262" s="22"/>
      <c r="Q262" s="13">
        <f ca="1">Q261-T262*Prices!Q262</f>
        <v>1</v>
      </c>
      <c r="R262" s="4">
        <f t="shared" ca="1" si="27"/>
        <v>0.01</v>
      </c>
      <c r="S262" s="13">
        <f ca="1">IF(Prices!D261&gt;OFFSET(Prices!D261,-S$3,0),1,-1)</f>
        <v>1</v>
      </c>
      <c r="T262" s="4">
        <f ca="1">IF(S262=1,T$3*Q261/Prices!Q261,-T$3*R261)</f>
        <v>0</v>
      </c>
      <c r="V262" s="13"/>
      <c r="W262" s="4"/>
      <c r="X262" s="4"/>
      <c r="Y262" s="4"/>
      <c r="Z262" s="4"/>
      <c r="AA262" s="4"/>
      <c r="AB262" s="4"/>
      <c r="AC262" s="4"/>
      <c r="AD262" s="4"/>
      <c r="AE262" s="52"/>
    </row>
    <row r="263" spans="1:31" x14ac:dyDescent="0.2">
      <c r="A263" s="66">
        <v>44036</v>
      </c>
      <c r="B263" s="13">
        <f ca="1">Prices!Q262*(1+J263/(50*(ABS(O263)+ABS(T263)+0.0001)))</f>
        <v>235.80437472866205</v>
      </c>
      <c r="C263" s="62">
        <f t="shared" ca="1" si="45"/>
        <v>1</v>
      </c>
      <c r="D263" s="13">
        <f ca="1">D262+C263*(Prices!Q263-Prices!Q262)/Prices!Q262</f>
        <v>7.4123095049448473</v>
      </c>
      <c r="E263" s="13">
        <f t="shared" ref="E263" ca="1" si="163">F263-D263</f>
        <v>0</v>
      </c>
      <c r="F263" s="13">
        <f t="shared" ref="F263" ca="1" si="164">MAX(F262,D263)</f>
        <v>7.4123095049448473</v>
      </c>
      <c r="G263" s="21">
        <f ca="1">IF((Prices!Q263-Prices!Q262)*C263&gt;0,1,0)</f>
        <v>1</v>
      </c>
      <c r="H263" s="13">
        <f>ABS(Prices!Q263-Prices!Q262)/Prices!Q262</f>
        <v>0.19951764011275058</v>
      </c>
      <c r="I263" s="21"/>
      <c r="J263" s="4">
        <f t="shared" ref="J263" ca="1" si="165">O263+T263</f>
        <v>1.8663565033681651E-4</v>
      </c>
      <c r="K263" s="13"/>
      <c r="L263" s="13">
        <f ca="1">L262-O263*Prices!Q263</f>
        <v>4.2922640950730271</v>
      </c>
      <c r="M263" s="4">
        <f t="shared" ref="M263" ca="1" si="166">M262+O263</f>
        <v>2.8156846857041191E-2</v>
      </c>
      <c r="N263" s="13">
        <f ca="1">IF(Prices!P262&gt;OFFSET(Prices!P262,-$N$3,0),1,-1)</f>
        <v>1</v>
      </c>
      <c r="O263" s="4">
        <f ca="1">IF(N263=1,O$3*L262/Prices!Q262,-O$3*M262)</f>
        <v>1.8663565033681651E-4</v>
      </c>
      <c r="P263" s="22"/>
      <c r="Q263" s="13">
        <f ca="1">Q262-T263*Prices!Q263</f>
        <v>1</v>
      </c>
      <c r="R263" s="4">
        <f t="shared" ca="1" si="27"/>
        <v>0.01</v>
      </c>
      <c r="S263" s="13">
        <f ca="1">IF(Prices!D262&gt;OFFSET(Prices!D262,-S$3,0),1,-1)</f>
        <v>1</v>
      </c>
      <c r="T263" s="4">
        <f ca="1">IF(S263=1,T$3*Q262/Prices!Q262,-T$3*R262)</f>
        <v>0</v>
      </c>
      <c r="V263" s="13"/>
      <c r="W263" s="4"/>
      <c r="X263" s="4"/>
      <c r="Y263" s="4"/>
      <c r="Z263" s="4"/>
      <c r="AA263" s="4"/>
      <c r="AB263" s="4"/>
      <c r="AC263" s="4"/>
      <c r="AD263" s="4"/>
      <c r="AE263" s="52"/>
    </row>
    <row r="264" spans="1:31" x14ac:dyDescent="0.2">
      <c r="A264" s="66">
        <v>44043</v>
      </c>
      <c r="B264" s="13">
        <f ca="1">Prices!Q263*(1+J264/(50*(ABS(O264)+ABS(T264)+0.0001)))</f>
        <v>282.59881070174941</v>
      </c>
      <c r="C264" s="62">
        <f t="shared" ca="1" si="45"/>
        <v>1</v>
      </c>
      <c r="D264" s="13">
        <f ca="1">D263+C264*(Prices!Q264-Prices!Q263)/Prices!Q263</f>
        <v>7.6499010822640141</v>
      </c>
      <c r="E264" s="13">
        <f t="shared" ref="E264" ca="1" si="167">F264-D264</f>
        <v>0</v>
      </c>
      <c r="F264" s="13">
        <f t="shared" ref="F264" ca="1" si="168">MAX(F263,D264)</f>
        <v>7.6499010822640141</v>
      </c>
      <c r="G264" s="21">
        <f ca="1">IF((Prices!Q264-Prices!Q263)*C264&gt;0,1,0)</f>
        <v>1</v>
      </c>
      <c r="H264" s="13">
        <f>ABS(Prices!Q264-Prices!Q263)/Prices!Q263</f>
        <v>0.23759157731916716</v>
      </c>
      <c r="I264" s="21"/>
      <c r="J264" s="4">
        <f t="shared" ref="J264" ca="1" si="169">O264+T264</f>
        <v>1.5372589499472019E-4</v>
      </c>
      <c r="K264" s="13"/>
      <c r="L264" s="13">
        <f ca="1">L263-O264*Prices!Q264</f>
        <v>4.2391433961561082</v>
      </c>
      <c r="M264" s="4">
        <f t="shared" ref="M264" ca="1" si="170">M263+O264</f>
        <v>2.8310572752035912E-2</v>
      </c>
      <c r="N264" s="13">
        <f ca="1">IF(Prices!P263&gt;OFFSET(Prices!P263,-$N$3,0),1,-1)</f>
        <v>1</v>
      </c>
      <c r="O264" s="4">
        <f ca="1">IF(N264=1,O$3*L263/Prices!Q263,-O$3*M263)</f>
        <v>1.5372589499472019E-4</v>
      </c>
      <c r="P264" s="22"/>
      <c r="Q264" s="13">
        <f ca="1">Q263-T264*Prices!Q264</f>
        <v>1</v>
      </c>
      <c r="R264" s="4">
        <f t="shared" ca="1" si="27"/>
        <v>0.01</v>
      </c>
      <c r="S264" s="13">
        <f ca="1">IF(Prices!D263&gt;OFFSET(Prices!D263,-S$3,0),1,-1)</f>
        <v>1</v>
      </c>
      <c r="T264" s="4">
        <f ca="1">IF(S264=1,T$3*Q263/Prices!Q263,-T$3*R263)</f>
        <v>0</v>
      </c>
      <c r="V264" s="13"/>
      <c r="W264" s="4"/>
      <c r="X264" s="4"/>
      <c r="Y264" s="4"/>
      <c r="Z264" s="4"/>
      <c r="AA264" s="4"/>
      <c r="AB264" s="4"/>
      <c r="AC264" s="4"/>
      <c r="AD264" s="4"/>
      <c r="AE264" s="52"/>
    </row>
    <row r="265" spans="1:31" x14ac:dyDescent="0.2">
      <c r="A265" s="66">
        <v>44050</v>
      </c>
      <c r="B265" s="13">
        <f ca="1">Prices!Q264*(1+J265/(50*(ABS(O265)+ABS(T265)+0.0001)))</f>
        <v>349.36210278059798</v>
      </c>
      <c r="C265" s="62">
        <f t="shared" ca="1" si="45"/>
        <v>1</v>
      </c>
      <c r="D265" s="13">
        <f ca="1">D264+C265*(Prices!Q265-Prices!Q264)/Prices!Q264</f>
        <v>7.7481726300845954</v>
      </c>
      <c r="E265" s="13">
        <f t="shared" ref="E265" ca="1" si="171">F265-D265</f>
        <v>0</v>
      </c>
      <c r="F265" s="13">
        <f t="shared" ref="F265" ca="1" si="172">MAX(F264,D265)</f>
        <v>7.7481726300845954</v>
      </c>
      <c r="G265" s="21">
        <f ca="1">IF((Prices!Q265-Prices!Q264)*C265&gt;0,1,0)</f>
        <v>1</v>
      </c>
      <c r="H265" s="13">
        <f>ABS(Prices!Q265-Prices!Q264)/Prices!Q264</f>
        <v>9.827154782058109E-2</v>
      </c>
      <c r="I265" s="21"/>
      <c r="J265" s="4">
        <f t="shared" ref="J265" ca="1" si="173">O265+T265</f>
        <v>1.2267649444979432E-4</v>
      </c>
      <c r="K265" s="13"/>
      <c r="L265" s="13">
        <f ca="1">L264-O265*Prices!Q265</f>
        <v>4.1925860903648102</v>
      </c>
      <c r="M265" s="4">
        <f t="shared" ref="M265" ca="1" si="174">M264+O265</f>
        <v>2.8433249246485708E-2</v>
      </c>
      <c r="N265" s="13">
        <f ca="1">IF(Prices!P264&gt;OFFSET(Prices!P264,-$N$3,0),1,-1)</f>
        <v>1</v>
      </c>
      <c r="O265" s="4">
        <f ca="1">IF(N265=1,O$3*L264/Prices!Q264,-O$3*M264)</f>
        <v>1.2267649444979432E-4</v>
      </c>
      <c r="P265" s="22"/>
      <c r="Q265" s="13">
        <f ca="1">Q264-T265*Prices!Q265</f>
        <v>1</v>
      </c>
      <c r="R265" s="4">
        <f t="shared" ca="1" si="27"/>
        <v>0.01</v>
      </c>
      <c r="S265" s="13">
        <f ca="1">IF(Prices!D264&gt;OFFSET(Prices!D264,-S$3,0),1,-1)</f>
        <v>-1</v>
      </c>
      <c r="T265" s="4">
        <f ca="1">IF(S265=1,T$3*Q264/Prices!Q264,-T$3*R264)</f>
        <v>0</v>
      </c>
      <c r="V265" s="13"/>
      <c r="W265" s="4"/>
      <c r="X265" s="4"/>
      <c r="Y265" s="4"/>
      <c r="Z265" s="4"/>
      <c r="AA265" s="4"/>
      <c r="AB265" s="4"/>
      <c r="AC265" s="4"/>
      <c r="AD265" s="4"/>
      <c r="AE265" s="52"/>
    </row>
    <row r="266" spans="1:31" x14ac:dyDescent="0.2">
      <c r="A266" s="66">
        <v>44057</v>
      </c>
      <c r="B266" s="13">
        <f ca="1">Prices!Q265*(1+J266/(50*(ABS(O266)+ABS(T266)+0.0001)))</f>
        <v>383.49681681516728</v>
      </c>
      <c r="C266" s="62">
        <f t="shared" ca="1" si="45"/>
        <v>1</v>
      </c>
      <c r="D266" s="13">
        <f ca="1">D265+C266*(Prices!Q266-Prices!Q265)/Prices!Q265</f>
        <v>7.9006970552919338</v>
      </c>
      <c r="E266" s="13">
        <f t="shared" ref="E266" ca="1" si="175">F266-D266</f>
        <v>0</v>
      </c>
      <c r="F266" s="13">
        <f t="shared" ref="F266" ca="1" si="176">MAX(F265,D266)</f>
        <v>7.9006970552919338</v>
      </c>
      <c r="G266" s="21">
        <f ca="1">IF((Prices!Q266-Prices!Q265)*C266&gt;0,1,0)</f>
        <v>1</v>
      </c>
      <c r="H266" s="13">
        <f>ABS(Prices!Q266-Prices!Q265)/Prices!Q265</f>
        <v>0.15252442520733839</v>
      </c>
      <c r="I266" s="21"/>
      <c r="J266" s="4">
        <f t="shared" ref="J266" ca="1" si="177">O266+T266</f>
        <v>1.1047283675531348E-4</v>
      </c>
      <c r="K266" s="13"/>
      <c r="L266" s="13">
        <f ca="1">L265-O266*Prices!Q266</f>
        <v>4.1442655116255107</v>
      </c>
      <c r="M266" s="4">
        <f t="shared" ref="M266" ca="1" si="178">M265+O266</f>
        <v>2.8543722083241022E-2</v>
      </c>
      <c r="N266" s="13">
        <f ca="1">IF(Prices!P265&gt;OFFSET(Prices!P265,-$N$3,0),1,-1)</f>
        <v>1</v>
      </c>
      <c r="O266" s="4">
        <f ca="1">IF(N266=1,O$3*L265/Prices!Q265,-O$3*M265)</f>
        <v>1.1047283675531348E-4</v>
      </c>
      <c r="P266" s="22"/>
      <c r="Q266" s="13">
        <f ca="1">Q265-T266*Prices!Q266</f>
        <v>1</v>
      </c>
      <c r="R266" s="4">
        <f t="shared" ca="1" si="27"/>
        <v>0.01</v>
      </c>
      <c r="S266" s="13">
        <f ca="1">IF(Prices!D265&gt;OFFSET(Prices!D265,-S$3,0),1,-1)</f>
        <v>1</v>
      </c>
      <c r="T266" s="4">
        <f ca="1">IF(S266=1,T$3*Q265/Prices!Q265,-T$3*R265)</f>
        <v>0</v>
      </c>
      <c r="V266" s="13"/>
      <c r="W266" s="4"/>
      <c r="X266" s="4"/>
      <c r="Y266" s="4"/>
      <c r="Z266" s="4"/>
      <c r="AA266" s="4"/>
      <c r="AB266" s="4"/>
      <c r="AC266" s="4"/>
      <c r="AD266" s="4"/>
      <c r="AE266" s="52"/>
    </row>
    <row r="267" spans="1:31" x14ac:dyDescent="0.2">
      <c r="A267" s="66">
        <v>44064</v>
      </c>
      <c r="B267" s="13">
        <f ca="1">Prices!Q266*(1+J267/(50*(ABS(O267)+ABS(T267)+0.0001)))</f>
        <v>441.65385154159895</v>
      </c>
      <c r="C267" s="62">
        <f t="shared" ca="1" si="45"/>
        <v>1</v>
      </c>
      <c r="D267" s="13">
        <f ca="1">D266+C267*(Prices!Q267-Prices!Q266)/Prices!Q266</f>
        <v>7.7903364612965733</v>
      </c>
      <c r="E267" s="13">
        <f t="shared" ref="E267" ca="1" si="179">F267-D267</f>
        <v>0.11036059399536047</v>
      </c>
      <c r="F267" s="13">
        <f t="shared" ref="F267" ca="1" si="180">MAX(F266,D267)</f>
        <v>7.9006970552919338</v>
      </c>
      <c r="G267" s="21">
        <f ca="1">IF((Prices!Q267-Prices!Q266)*C267&gt;0,1,0)</f>
        <v>0</v>
      </c>
      <c r="H267" s="13">
        <f>ABS(Prices!Q267-Prices!Q266)/Prices!Q266</f>
        <v>0.11036059399536062</v>
      </c>
      <c r="I267" s="21"/>
      <c r="J267" s="4">
        <f t="shared" ref="J267" ca="1" si="181">O267+T267</f>
        <v>9.4748196168462233E-5</v>
      </c>
      <c r="K267" s="13"/>
      <c r="L267" s="13">
        <f ca="1">L266-O267*Prices!Q267</f>
        <v>4.1073964925446305</v>
      </c>
      <c r="M267" s="4">
        <f t="shared" ref="M267" ca="1" si="182">M266+O267</f>
        <v>2.8638470279409484E-2</v>
      </c>
      <c r="N267" s="13">
        <f ca="1">IF(Prices!P266&gt;OFFSET(Prices!P266,-$N$3,0),1,-1)</f>
        <v>1</v>
      </c>
      <c r="O267" s="4">
        <f ca="1">IF(N267=1,O$3*L266/Prices!Q266,-O$3*M266)</f>
        <v>9.4748196168462233E-5</v>
      </c>
      <c r="P267" s="22"/>
      <c r="Q267" s="13">
        <f ca="1">Q266-T267*Prices!Q267</f>
        <v>1</v>
      </c>
      <c r="R267" s="4">
        <f t="shared" ca="1" si="27"/>
        <v>0.01</v>
      </c>
      <c r="S267" s="13">
        <f ca="1">IF(Prices!D266&gt;OFFSET(Prices!D266,-S$3,0),1,-1)</f>
        <v>1</v>
      </c>
      <c r="T267" s="4">
        <f ca="1">IF(S267=1,T$3*Q266/Prices!Q266,-T$3*R266)</f>
        <v>0</v>
      </c>
      <c r="V267" s="13"/>
      <c r="W267" s="4"/>
      <c r="X267" s="4"/>
      <c r="Y267" s="4"/>
      <c r="Z267" s="4"/>
      <c r="AA267" s="4"/>
      <c r="AB267" s="4"/>
      <c r="AC267" s="4"/>
      <c r="AD267" s="4"/>
      <c r="AE267" s="52"/>
    </row>
    <row r="268" spans="1:31" x14ac:dyDescent="0.2">
      <c r="A268" s="66">
        <v>44071</v>
      </c>
      <c r="B268" s="13">
        <f ca="1">Prices!Q267*(1+J268/(50*(ABS(O268)+ABS(T268)+0.0001)))</f>
        <v>393.12275287833489</v>
      </c>
      <c r="C268" s="62">
        <f t="shared" ca="1" si="45"/>
        <v>1</v>
      </c>
      <c r="D268" s="13">
        <f ca="1">D267+C268*(Prices!Q268-Prices!Q267)/Prices!Q267</f>
        <v>7.8076786976200596</v>
      </c>
      <c r="E268" s="13">
        <f t="shared" ref="E268" ca="1" si="183">F268-D268</f>
        <v>9.3018357671874163E-2</v>
      </c>
      <c r="F268" s="13">
        <f t="shared" ref="F268" ca="1" si="184">MAX(F267,D268)</f>
        <v>7.9006970552919338</v>
      </c>
      <c r="G268" s="21">
        <f ca="1">IF((Prices!Q268-Prices!Q267)*C268&gt;0,1,0)</f>
        <v>1</v>
      </c>
      <c r="H268" s="13">
        <f>ABS(Prices!Q268-Prices!Q267)/Prices!Q267</f>
        <v>1.7342236323486266E-2</v>
      </c>
      <c r="I268" s="21"/>
      <c r="J268" s="4">
        <f t="shared" ref="J268" ca="1" si="185">O268+T268</f>
        <v>1.0555431587793146E-4</v>
      </c>
      <c r="K268" s="13"/>
      <c r="L268" s="13">
        <f ca="1">L267-O268*Prices!Q268</f>
        <v>4.0656102132127048</v>
      </c>
      <c r="M268" s="4">
        <f t="shared" ref="M268" ca="1" si="186">M267+O268</f>
        <v>2.8744024595287417E-2</v>
      </c>
      <c r="N268" s="13">
        <f ca="1">IF(Prices!P267&gt;OFFSET(Prices!P267,-$N$3,0),1,-1)</f>
        <v>1</v>
      </c>
      <c r="O268" s="4">
        <f ca="1">IF(N268=1,O$3*L267/Prices!Q267,-O$3*M267)</f>
        <v>1.0555431587793146E-4</v>
      </c>
      <c r="P268" s="22"/>
      <c r="Q268" s="13">
        <f ca="1">Q267-T268*Prices!Q268</f>
        <v>1</v>
      </c>
      <c r="R268" s="4">
        <f t="shared" ca="1" si="27"/>
        <v>0.01</v>
      </c>
      <c r="S268" s="13">
        <f ca="1">IF(Prices!D267&gt;OFFSET(Prices!D267,-S$3,0),1,-1)</f>
        <v>1</v>
      </c>
      <c r="T268" s="4">
        <f ca="1">IF(S268=1,T$3*Q267/Prices!Q267,-T$3*R267)</f>
        <v>0</v>
      </c>
      <c r="V268" s="13"/>
      <c r="W268" s="4"/>
      <c r="X268" s="4"/>
      <c r="Y268" s="4"/>
      <c r="Z268" s="4"/>
      <c r="AA268" s="4"/>
      <c r="AB268" s="4"/>
      <c r="AC268" s="4"/>
      <c r="AD268" s="4"/>
      <c r="AE268" s="52"/>
    </row>
    <row r="269" spans="1:31" x14ac:dyDescent="0.2">
      <c r="A269" s="66">
        <v>44078</v>
      </c>
      <c r="B269" s="13">
        <f ca="1">Prices!Q268*(1+J269/(50*(ABS(O269)+ABS(T269)+0.0001)))</f>
        <v>390.00070991416078</v>
      </c>
      <c r="C269" s="62">
        <f t="shared" ca="1" si="45"/>
        <v>0</v>
      </c>
      <c r="D269" s="13">
        <f ca="1">D268+C269*(Prices!Q269-Prices!Q268)/Prices!Q268</f>
        <v>7.8076786976200596</v>
      </c>
      <c r="E269" s="13">
        <f t="shared" ref="E269" ca="1" si="187">F269-D269</f>
        <v>9.3018357671874163E-2</v>
      </c>
      <c r="F269" s="13">
        <f t="shared" ref="F269" ca="1" si="188">MAX(F268,D269)</f>
        <v>7.9006970552919338</v>
      </c>
      <c r="G269" s="21">
        <f ca="1">IF((Prices!Q269-Prices!Q268)*C269&gt;0,1,0)</f>
        <v>0</v>
      </c>
      <c r="H269" s="13">
        <f>ABS(Prices!Q269-Prices!Q268)/Prices!Q268</f>
        <v>1.9282653562290086E-2</v>
      </c>
      <c r="I269" s="21"/>
      <c r="J269" s="4">
        <f t="shared" ref="J269" ca="1" si="189">O269+T269</f>
        <v>-2.874402459528742E-4</v>
      </c>
      <c r="K269" s="13"/>
      <c r="L269" s="13">
        <f ca="1">L268-O269*Prices!Q269</f>
        <v>4.1772063448577317</v>
      </c>
      <c r="M269" s="4">
        <f t="shared" ref="M269" ca="1" si="190">M268+O269</f>
        <v>2.8456584349334544E-2</v>
      </c>
      <c r="N269" s="13">
        <f ca="1">IF(Prices!P268&gt;OFFSET(Prices!P268,-$N$3,0),1,-1)</f>
        <v>-1</v>
      </c>
      <c r="O269" s="4">
        <f ca="1">IF(N269=1,O$3*L268/Prices!Q268,-O$3*M268)</f>
        <v>-2.874402459528742E-4</v>
      </c>
      <c r="P269" s="22"/>
      <c r="Q269" s="13">
        <f ca="1">Q268-T269*Prices!Q269</f>
        <v>1</v>
      </c>
      <c r="R269" s="4">
        <f t="shared" ca="1" si="27"/>
        <v>0.01</v>
      </c>
      <c r="S269" s="13">
        <f ca="1">IF(Prices!D268&gt;OFFSET(Prices!D268,-S$3,0),1,-1)</f>
        <v>1</v>
      </c>
      <c r="T269" s="4">
        <f ca="1">IF(S269=1,T$3*Q268/Prices!Q268,-T$3*R268)</f>
        <v>0</v>
      </c>
      <c r="V269" s="13"/>
      <c r="W269" s="4"/>
      <c r="X269" s="4"/>
      <c r="Y269" s="4"/>
      <c r="Z269" s="4"/>
      <c r="AA269" s="4"/>
      <c r="AB269" s="4"/>
      <c r="AC269" s="4"/>
      <c r="AD269" s="4"/>
      <c r="AE269" s="52"/>
    </row>
    <row r="270" spans="1:31" x14ac:dyDescent="0.2">
      <c r="A270" s="66">
        <v>44085</v>
      </c>
      <c r="B270" s="13">
        <f ca="1">Prices!Q269*(1+J270/(50*(ABS(O270)+ABS(T270)+0.0001)))</f>
        <v>382.49544105585721</v>
      </c>
      <c r="C270" s="62">
        <f t="shared" ca="1" si="45"/>
        <v>0</v>
      </c>
      <c r="D270" s="13">
        <f ca="1">D269+C270*(Prices!Q270-Prices!Q269)/Prices!Q269</f>
        <v>7.8076786976200596</v>
      </c>
      <c r="E270" s="13">
        <f t="shared" ref="E270" ca="1" si="191">F270-D270</f>
        <v>9.3018357671874163E-2</v>
      </c>
      <c r="F270" s="13">
        <f t="shared" ref="F270" ca="1" si="192">MAX(F269,D270)</f>
        <v>7.9006970552919338</v>
      </c>
      <c r="G270" s="21">
        <f ca="1">IF((Prices!Q270-Prices!Q269)*C270&gt;0,1,0)</f>
        <v>0</v>
      </c>
      <c r="H270" s="13">
        <f>ABS(Prices!Q270-Prices!Q269)/Prices!Q269</f>
        <v>3.4889560264284233E-2</v>
      </c>
      <c r="I270" s="21"/>
      <c r="J270" s="4">
        <f t="shared" ref="J270" ca="1" si="193">O270+T270</f>
        <v>-2.8456584349334545E-4</v>
      </c>
      <c r="K270" s="13"/>
      <c r="L270" s="13">
        <f ca="1">L269-O270*Prices!Q270</f>
        <v>4.2838319106256213</v>
      </c>
      <c r="M270" s="4">
        <f t="shared" ref="M270" ca="1" si="194">M269+O270</f>
        <v>2.8172018505841199E-2</v>
      </c>
      <c r="N270" s="13">
        <f ca="1">IF(Prices!P269&gt;OFFSET(Prices!P269,-$N$3,0),1,-1)</f>
        <v>-1</v>
      </c>
      <c r="O270" s="4">
        <f ca="1">IF(N270=1,O$3*L269/Prices!Q269,-O$3*M269)</f>
        <v>-2.8456584349334545E-4</v>
      </c>
      <c r="P270" s="22"/>
      <c r="Q270" s="13">
        <f ca="1">Q269-T270*Prices!Q270</f>
        <v>1</v>
      </c>
      <c r="R270" s="4">
        <f t="shared" ca="1" si="27"/>
        <v>0.01</v>
      </c>
      <c r="S270" s="13">
        <f ca="1">IF(Prices!D269&gt;OFFSET(Prices!D269,-S$3,0),1,-1)</f>
        <v>1</v>
      </c>
      <c r="T270" s="4">
        <f ca="1">IF(S270=1,T$3*Q269/Prices!Q269,-T$3*R269)</f>
        <v>0</v>
      </c>
      <c r="V270" s="13"/>
      <c r="W270" s="4"/>
      <c r="X270" s="4"/>
      <c r="Y270" s="4"/>
      <c r="Z270" s="4"/>
      <c r="AA270" s="4"/>
      <c r="AB270" s="4"/>
      <c r="AC270" s="4"/>
      <c r="AD270" s="4"/>
      <c r="AE270" s="52"/>
    </row>
    <row r="271" spans="1:31" x14ac:dyDescent="0.2">
      <c r="A271" s="66">
        <v>44092</v>
      </c>
      <c r="B271" s="13">
        <f ca="1">Prices!Q270*(1+J271/(50*(ABS(O271)+ABS(T271)+0.0001)))</f>
        <v>369.16487030006664</v>
      </c>
      <c r="C271" s="62">
        <f t="shared" ca="1" si="45"/>
        <v>0</v>
      </c>
      <c r="D271" s="13">
        <f ca="1">D270+C271*(Prices!Q271-Prices!Q270)/Prices!Q270</f>
        <v>7.8076786976200596</v>
      </c>
      <c r="E271" s="13">
        <f t="shared" ref="E271" ca="1" si="195">F271-D271</f>
        <v>9.3018357671874163E-2</v>
      </c>
      <c r="F271" s="13">
        <f t="shared" ref="F271" ca="1" si="196">MAX(F270,D271)</f>
        <v>7.9006970552919338</v>
      </c>
      <c r="G271" s="21">
        <f ca="1">IF((Prices!Q271-Prices!Q270)*C271&gt;0,1,0)</f>
        <v>0</v>
      </c>
      <c r="H271" s="13">
        <f>ABS(Prices!Q271-Prices!Q270)/Prices!Q270</f>
        <v>2.5804800844905624E-2</v>
      </c>
      <c r="I271" s="21"/>
      <c r="J271" s="4">
        <f t="shared" ref="J271" ca="1" si="197">O271+T271</f>
        <v>-2.8172018505841201E-4</v>
      </c>
      <c r="K271" s="13"/>
      <c r="L271" s="13">
        <f ca="1">L270-O271*Prices!Q271</f>
        <v>4.3921151577105508</v>
      </c>
      <c r="M271" s="4">
        <f t="shared" ref="M271" ca="1" si="198">M270+O271</f>
        <v>2.7890298320782787E-2</v>
      </c>
      <c r="N271" s="13">
        <f ca="1">IF(Prices!P270&gt;OFFSET(Prices!P270,-$N$3,0),1,-1)</f>
        <v>-1</v>
      </c>
      <c r="O271" s="4">
        <f ca="1">IF(N271=1,O$3*L270/Prices!Q270,-O$3*M270)</f>
        <v>-2.8172018505841201E-4</v>
      </c>
      <c r="P271" s="22"/>
      <c r="Q271" s="13">
        <f ca="1">Q270-T271*Prices!Q271</f>
        <v>1</v>
      </c>
      <c r="R271" s="4">
        <f t="shared" ca="1" si="27"/>
        <v>0.01</v>
      </c>
      <c r="S271" s="13">
        <f ca="1">IF(Prices!D270&gt;OFFSET(Prices!D270,-S$3,0),1,-1)</f>
        <v>1</v>
      </c>
      <c r="T271" s="4">
        <f ca="1">IF(S271=1,T$3*Q270/Prices!Q270,-T$3*R270)</f>
        <v>0</v>
      </c>
      <c r="V271" s="13"/>
      <c r="W271" s="4"/>
      <c r="X271" s="4"/>
      <c r="Y271" s="4"/>
      <c r="Z271" s="4"/>
      <c r="AA271" s="4"/>
      <c r="AB271" s="4"/>
      <c r="AC271" s="4"/>
      <c r="AD271" s="4"/>
      <c r="AE271" s="52"/>
    </row>
    <row r="272" spans="1:31" x14ac:dyDescent="0.2">
      <c r="A272" s="66">
        <v>44099</v>
      </c>
      <c r="B272" s="13">
        <f ca="1">Prices!Q271*(1+J272/(50*(ABS(O272)+ABS(T272)+0.0001)))</f>
        <v>388.46414925247456</v>
      </c>
      <c r="C272" s="62">
        <f t="shared" ca="1" si="45"/>
        <v>1</v>
      </c>
      <c r="D272" s="13">
        <f ca="1">D271+C272*(Prices!Q272-Prices!Q271)/Prices!Q271</f>
        <v>7.723897119667388</v>
      </c>
      <c r="E272" s="13">
        <f t="shared" ref="E272" ca="1" si="199">F272-D272</f>
        <v>0.17679993562454577</v>
      </c>
      <c r="F272" s="13">
        <f t="shared" ref="F272" ca="1" si="200">MAX(F271,D272)</f>
        <v>7.9006970552919338</v>
      </c>
      <c r="G272" s="21">
        <f ca="1">IF((Prices!Q272-Prices!Q271)*C272&gt;0,1,0)</f>
        <v>0</v>
      </c>
      <c r="H272" s="13">
        <f>ABS(Prices!Q272-Prices!Q271)/Prices!Q271</f>
        <v>8.3781577952671299E-2</v>
      </c>
      <c r="I272" s="21"/>
      <c r="J272" s="4">
        <f t="shared" ref="J272" ca="1" si="201">O272+T272</f>
        <v>1.1426952260284388E-4</v>
      </c>
      <c r="K272" s="13"/>
      <c r="L272" s="13">
        <f ca="1">L271-O272*Prices!Q272</f>
        <v>4.3518737895180735</v>
      </c>
      <c r="M272" s="4">
        <f t="shared" ref="M272" ca="1" si="202">M271+O272</f>
        <v>2.800456784338563E-2</v>
      </c>
      <c r="N272" s="13">
        <f ca="1">IF(Prices!P271&gt;OFFSET(Prices!P271,-$N$3,0),1,-1)</f>
        <v>1</v>
      </c>
      <c r="O272" s="4">
        <f ca="1">IF(N272=1,O$3*L271/Prices!Q271,-O$3*M271)</f>
        <v>1.1426952260284388E-4</v>
      </c>
      <c r="P272" s="22"/>
      <c r="Q272" s="13">
        <f ca="1">Q271-T272*Prices!Q272</f>
        <v>1</v>
      </c>
      <c r="R272" s="4">
        <f t="shared" ca="1" si="27"/>
        <v>0.01</v>
      </c>
      <c r="S272" s="13">
        <f ca="1">IF(Prices!D271&gt;OFFSET(Prices!D271,-S$3,0),1,-1)</f>
        <v>1</v>
      </c>
      <c r="T272" s="4">
        <f ca="1">IF(S272=1,T$3*Q271/Prices!Q271,-T$3*R271)</f>
        <v>0</v>
      </c>
      <c r="V272" s="13"/>
      <c r="W272" s="4"/>
      <c r="X272" s="4"/>
      <c r="Y272" s="4"/>
      <c r="Z272" s="4"/>
      <c r="AA272" s="4"/>
      <c r="AB272" s="4"/>
      <c r="AC272" s="4"/>
      <c r="AD272" s="4"/>
      <c r="AE272" s="52"/>
    </row>
    <row r="273" spans="1:31" x14ac:dyDescent="0.2">
      <c r="A273" s="66">
        <v>44106</v>
      </c>
      <c r="B273" s="13">
        <f ca="1">Prices!Q272*(1+J273/(50*(ABS(O273)+ABS(T273)+0.0001)))</f>
        <v>356.05483626207723</v>
      </c>
      <c r="C273" s="62">
        <f t="shared" ca="1" si="45"/>
        <v>1</v>
      </c>
      <c r="D273" s="13">
        <f ca="1">D272+C273*(Prices!Q273-Prices!Q272)/Prices!Q272</f>
        <v>7.7079123934392939</v>
      </c>
      <c r="E273" s="13">
        <f t="shared" ref="E273" ca="1" si="203">F273-D273</f>
        <v>0.19278466185263987</v>
      </c>
      <c r="F273" s="13">
        <f t="shared" ref="F273" ca="1" si="204">MAX(F272,D273)</f>
        <v>7.9006970552919338</v>
      </c>
      <c r="G273" s="21">
        <f ca="1">IF((Prices!Q273-Prices!Q272)*C273&gt;0,1,0)</f>
        <v>0</v>
      </c>
      <c r="H273" s="13">
        <f>ABS(Prices!Q273-Prices!Q272)/Prices!Q272</f>
        <v>1.5984726228094E-2</v>
      </c>
      <c r="I273" s="21"/>
      <c r="J273" s="4">
        <f t="shared" ref="J273" ca="1" si="205">O273+T273</f>
        <v>1.2357595248190981E-4</v>
      </c>
      <c r="K273" s="13"/>
      <c r="L273" s="13">
        <f ca="1">L272-O273*Prices!Q273</f>
        <v>4.3090506867339391</v>
      </c>
      <c r="M273" s="4">
        <f t="shared" ref="M273" ca="1" si="206">M272+O273</f>
        <v>2.812814379586754E-2</v>
      </c>
      <c r="N273" s="13">
        <f ca="1">IF(Prices!P272&gt;OFFSET(Prices!P272,-$N$3,0),1,-1)</f>
        <v>1</v>
      </c>
      <c r="O273" s="4">
        <f ca="1">IF(N273=1,O$3*L272/Prices!Q272,-O$3*M272)</f>
        <v>1.2357595248190981E-4</v>
      </c>
      <c r="P273" s="22"/>
      <c r="Q273" s="13">
        <f ca="1">Q272-T273*Prices!Q273</f>
        <v>1</v>
      </c>
      <c r="R273" s="4">
        <f t="shared" ca="1" si="27"/>
        <v>0.01</v>
      </c>
      <c r="S273" s="13">
        <f ca="1">IF(Prices!D272&gt;OFFSET(Prices!D272,-S$3,0),1,-1)</f>
        <v>1</v>
      </c>
      <c r="T273" s="4">
        <f ca="1">IF(S273=1,T$3*Q272/Prices!Q272,-T$3*R272)</f>
        <v>0</v>
      </c>
      <c r="V273" s="13"/>
      <c r="W273" s="4"/>
      <c r="X273" s="4"/>
      <c r="Y273" s="4"/>
      <c r="Z273" s="4"/>
      <c r="AA273" s="4"/>
      <c r="AB273" s="4"/>
      <c r="AC273" s="4"/>
      <c r="AD273" s="4"/>
      <c r="AE273" s="52"/>
    </row>
    <row r="274" spans="1:31" x14ac:dyDescent="0.2">
      <c r="A274" s="66">
        <v>44113</v>
      </c>
      <c r="B274" s="13">
        <f ca="1">Prices!Q273*(1+J274/(50*(ABS(O274)+ABS(T274)+0.0001)))</f>
        <v>341.41972724759302</v>
      </c>
      <c r="C274" s="62">
        <f t="shared" ca="1" si="45"/>
        <v>0</v>
      </c>
      <c r="D274" s="13">
        <f ca="1">D273+C274*(Prices!Q274-Prices!Q273)/Prices!Q273</f>
        <v>7.7079123934392939</v>
      </c>
      <c r="E274" s="13">
        <f t="shared" ref="E274" ca="1" si="207">F274-D274</f>
        <v>0.19278466185263987</v>
      </c>
      <c r="F274" s="13">
        <f t="shared" ref="F274" ca="1" si="208">MAX(F273,D274)</f>
        <v>7.9006970552919338</v>
      </c>
      <c r="G274" s="21">
        <f ca="1">IF((Prices!Q274-Prices!Q273)*C274&gt;0,1,0)</f>
        <v>0</v>
      </c>
      <c r="H274" s="13">
        <f>ABS(Prices!Q274-Prices!Q273)/Prices!Q273</f>
        <v>1.4206464941107827E-2</v>
      </c>
      <c r="I274" s="21"/>
      <c r="J274" s="4">
        <f t="shared" ref="J274" ca="1" si="209">O274+T274</f>
        <v>-2.8128143795867538E-4</v>
      </c>
      <c r="K274" s="13"/>
      <c r="L274" s="13">
        <f ca="1">L273-O274*Prices!Q274</f>
        <v>4.4079086395948917</v>
      </c>
      <c r="M274" s="4">
        <f t="shared" ref="M274" ca="1" si="210">M273+O274</f>
        <v>2.7846862357908866E-2</v>
      </c>
      <c r="N274" s="13">
        <f ca="1">IF(Prices!P273&gt;OFFSET(Prices!P273,-$N$3,0),1,-1)</f>
        <v>-1</v>
      </c>
      <c r="O274" s="4">
        <f ca="1">IF(N274=1,O$3*L273/Prices!Q273,-O$3*M273)</f>
        <v>-2.8128143795867538E-4</v>
      </c>
      <c r="P274" s="22"/>
      <c r="Q274" s="13">
        <f ca="1">Q273-T274*Prices!Q274</f>
        <v>1</v>
      </c>
      <c r="R274" s="4">
        <f t="shared" ref="R274:R330" ca="1" si="211">R273+T274</f>
        <v>0.01</v>
      </c>
      <c r="S274" s="13">
        <f ca="1">IF(Prices!D273&gt;OFFSET(Prices!D273,-S$3,0),1,-1)</f>
        <v>1</v>
      </c>
      <c r="T274" s="4">
        <f ca="1">IF(S274=1,T$3*Q273/Prices!Q273,-T$3*R273)</f>
        <v>0</v>
      </c>
      <c r="V274" s="13"/>
      <c r="W274" s="4"/>
      <c r="X274" s="4"/>
      <c r="Y274" s="4"/>
      <c r="Z274" s="4"/>
      <c r="AA274" s="4"/>
      <c r="AB274" s="4"/>
      <c r="AC274" s="4"/>
      <c r="AD274" s="4"/>
      <c r="AE274" s="52"/>
    </row>
    <row r="275" spans="1:31" x14ac:dyDescent="0.2">
      <c r="A275" s="66">
        <v>44120</v>
      </c>
      <c r="B275" s="13">
        <f ca="1">Prices!Q274*(1+J275/(50*(ABS(O275)+ABS(T275)+0.0001)))</f>
        <v>355.36652258164833</v>
      </c>
      <c r="C275" s="62">
        <f t="shared" ca="1" si="45"/>
        <v>1</v>
      </c>
      <c r="D275" s="13">
        <f ca="1">D274+C275*(Prices!Q275-Prices!Q274)/Prices!Q274</f>
        <v>7.7499471300091063</v>
      </c>
      <c r="E275" s="13">
        <f t="shared" ref="E275" ca="1" si="212">F275-D275</f>
        <v>0.15074992528282749</v>
      </c>
      <c r="F275" s="13">
        <f t="shared" ref="F275" ca="1" si="213">MAX(F274,D275)</f>
        <v>7.9006970552919338</v>
      </c>
      <c r="G275" s="21">
        <f ca="1">IF((Prices!Q275-Prices!Q274)*C275&gt;0,1,0)</f>
        <v>1</v>
      </c>
      <c r="H275" s="13">
        <f>ABS(Prices!Q275-Prices!Q274)/Prices!Q274</f>
        <v>4.203473656981202E-2</v>
      </c>
      <c r="I275" s="21"/>
      <c r="J275" s="4">
        <f t="shared" ref="J275" ca="1" si="214">O275+T275</f>
        <v>1.2541862790539827E-4</v>
      </c>
      <c r="K275" s="13"/>
      <c r="L275" s="13">
        <f ca="1">L274-O275*Prices!Q275</f>
        <v>4.3619767004140506</v>
      </c>
      <c r="M275" s="4">
        <f t="shared" ref="M275" ca="1" si="215">M274+O275</f>
        <v>2.7972280985814266E-2</v>
      </c>
      <c r="N275" s="13">
        <f ca="1">IF(Prices!P274&gt;OFFSET(Prices!P274,-$N$3,0),1,-1)</f>
        <v>1</v>
      </c>
      <c r="O275" s="4">
        <f ca="1">IF(N275=1,O$3*L274/Prices!Q274,-O$3*M274)</f>
        <v>1.2541862790539827E-4</v>
      </c>
      <c r="P275" s="22"/>
      <c r="Q275" s="13">
        <f ca="1">Q274-T275*Prices!Q275</f>
        <v>1</v>
      </c>
      <c r="R275" s="4">
        <f t="shared" ca="1" si="211"/>
        <v>0.01</v>
      </c>
      <c r="S275" s="13">
        <f ca="1">IF(Prices!D274&gt;OFFSET(Prices!D274,-S$3,0),1,-1)</f>
        <v>-1</v>
      </c>
      <c r="T275" s="4">
        <f ca="1">IF(S275=1,T$3*Q274/Prices!Q274,-T$3*R274)</f>
        <v>0</v>
      </c>
      <c r="V275" s="13"/>
      <c r="W275" s="4"/>
      <c r="X275" s="4"/>
      <c r="Y275" s="4"/>
      <c r="Z275" s="4"/>
      <c r="AA275" s="4"/>
      <c r="AB275" s="4"/>
      <c r="AC275" s="4"/>
      <c r="AD275" s="4"/>
      <c r="AE275" s="52"/>
    </row>
    <row r="276" spans="1:31" x14ac:dyDescent="0.2">
      <c r="A276" s="66">
        <v>44127</v>
      </c>
      <c r="B276" s="13">
        <f ca="1">Prices!Q275*(1+J276/(50*(ABS(O276)+ABS(T276)+0.0001)))</f>
        <v>370.21063231357078</v>
      </c>
      <c r="C276" s="62">
        <f t="shared" ca="1" si="45"/>
        <v>1</v>
      </c>
      <c r="D276" s="13">
        <f ca="1">D275+C276*(Prices!Q276-Prices!Q275)/Prices!Q275</f>
        <v>7.8688281812761431</v>
      </c>
      <c r="E276" s="13">
        <f t="shared" ref="E276" ca="1" si="216">F276-D276</f>
        <v>3.1868874015790638E-2</v>
      </c>
      <c r="F276" s="13">
        <f t="shared" ref="F276" ca="1" si="217">MAX(F275,D276)</f>
        <v>7.9006970552919338</v>
      </c>
      <c r="G276" s="21">
        <f ca="1">IF((Prices!Q276-Prices!Q275)*C276&gt;0,1,0)</f>
        <v>1</v>
      </c>
      <c r="H276" s="13">
        <f>ABS(Prices!Q276-Prices!Q275)/Prices!Q275</f>
        <v>0.11888105126703728</v>
      </c>
      <c r="I276" s="21"/>
      <c r="J276" s="4">
        <f t="shared" ref="J276" ca="1" si="218">O276+T276</f>
        <v>1.1910516788053332E-4</v>
      </c>
      <c r="K276" s="13"/>
      <c r="L276" s="13">
        <f ca="1">L275-O276*Prices!Q276</f>
        <v>4.3131713696524345</v>
      </c>
      <c r="M276" s="4">
        <f t="shared" ref="M276" ca="1" si="219">M275+O276</f>
        <v>2.8091386153694799E-2</v>
      </c>
      <c r="N276" s="13">
        <f ca="1">IF(Prices!P275&gt;OFFSET(Prices!P275,-$N$3,0),1,-1)</f>
        <v>1</v>
      </c>
      <c r="O276" s="4">
        <f ca="1">IF(N276=1,O$3*L275/Prices!Q275,-O$3*M275)</f>
        <v>1.1910516788053332E-4</v>
      </c>
      <c r="P276" s="22"/>
      <c r="Q276" s="13">
        <f ca="1">Q275-T276*Prices!Q276</f>
        <v>1</v>
      </c>
      <c r="R276" s="4">
        <f t="shared" ca="1" si="211"/>
        <v>0.01</v>
      </c>
      <c r="S276" s="13">
        <f ca="1">IF(Prices!D275&gt;OFFSET(Prices!D275,-S$3,0),1,-1)</f>
        <v>-1</v>
      </c>
      <c r="T276" s="4">
        <f ca="1">IF(S276=1,T$3*Q275/Prices!Q275,-T$3*R275)</f>
        <v>0</v>
      </c>
      <c r="V276" s="13"/>
      <c r="W276" s="4"/>
      <c r="X276" s="4"/>
      <c r="Y276" s="4"/>
      <c r="Z276" s="4"/>
      <c r="AA276" s="4"/>
      <c r="AB276" s="4"/>
      <c r="AC276" s="4"/>
      <c r="AD276" s="4"/>
      <c r="AE276" s="52"/>
    </row>
    <row r="277" spans="1:31" x14ac:dyDescent="0.2">
      <c r="A277" s="66">
        <v>44134</v>
      </c>
      <c r="B277" s="13">
        <f ca="1">Prices!Q276*(1+J277/(50*(ABS(O277)+ABS(T277)+0.0001)))</f>
        <v>413.9693512975868</v>
      </c>
      <c r="C277" s="62">
        <f t="shared" ca="1" si="45"/>
        <v>1</v>
      </c>
      <c r="D277" s="13">
        <f ca="1">D276+C277*(Prices!Q277-Prices!Q276)/Prices!Q276</f>
        <v>7.8030670629121381</v>
      </c>
      <c r="E277" s="13">
        <f t="shared" ref="E277" ca="1" si="220">F277-D277</f>
        <v>9.7629992379795638E-2</v>
      </c>
      <c r="F277" s="13">
        <f t="shared" ref="F277" ca="1" si="221">MAX(F276,D277)</f>
        <v>7.9006970552919338</v>
      </c>
      <c r="G277" s="21">
        <f ca="1">IF((Prices!Q277-Prices!Q276)*C277&gt;0,1,0)</f>
        <v>0</v>
      </c>
      <c r="H277" s="13">
        <f>ABS(Prices!Q277-Prices!Q276)/Prices!Q276</f>
        <v>6.5761118364005208E-2</v>
      </c>
      <c r="I277" s="21"/>
      <c r="J277" s="4">
        <f t="shared" ref="J277" ca="1" si="222">O277+T277</f>
        <v>1.0525919854721903E-4</v>
      </c>
      <c r="K277" s="13"/>
      <c r="L277" s="13">
        <f ca="1">L276-O277*Prices!Q277</f>
        <v>4.2728760456855497</v>
      </c>
      <c r="M277" s="4">
        <f t="shared" ref="M277" ca="1" si="223">M276+O277</f>
        <v>2.819664535224202E-2</v>
      </c>
      <c r="N277" s="13">
        <f ca="1">IF(Prices!P276&gt;OFFSET(Prices!P276,-$N$3,0),1,-1)</f>
        <v>1</v>
      </c>
      <c r="O277" s="4">
        <f ca="1">IF(N277=1,O$3*L276/Prices!Q276,-O$3*M276)</f>
        <v>1.0525919854721903E-4</v>
      </c>
      <c r="P277" s="22"/>
      <c r="Q277" s="13">
        <f ca="1">Q276-T277*Prices!Q277</f>
        <v>1</v>
      </c>
      <c r="R277" s="4">
        <f t="shared" ca="1" si="211"/>
        <v>0.01</v>
      </c>
      <c r="S277" s="13">
        <f ca="1">IF(Prices!D276&gt;OFFSET(Prices!D276,-S$3,0),1,-1)</f>
        <v>-1</v>
      </c>
      <c r="T277" s="4">
        <f ca="1">IF(S277=1,T$3*Q276/Prices!Q276,-T$3*R276)</f>
        <v>0</v>
      </c>
      <c r="V277" s="13"/>
      <c r="W277" s="4"/>
      <c r="X277" s="4"/>
      <c r="Y277" s="4"/>
      <c r="Z277" s="4"/>
      <c r="AA277" s="4"/>
      <c r="AB277" s="4"/>
      <c r="AC277" s="4"/>
      <c r="AD277" s="4"/>
      <c r="AE277" s="52"/>
    </row>
    <row r="278" spans="1:31" x14ac:dyDescent="0.2">
      <c r="A278" s="66">
        <v>44141</v>
      </c>
      <c r="B278" s="13">
        <f ca="1">Prices!Q277*(1+J278/(50*(ABS(O278)+ABS(T278)+0.0001)))</f>
        <v>386.85831054174025</v>
      </c>
      <c r="C278" s="62">
        <f t="shared" ca="1" si="45"/>
        <v>1</v>
      </c>
      <c r="D278" s="13">
        <f ca="1">D277+C278*(Prices!Q278-Prices!Q277)/Prices!Q277</f>
        <v>7.9908820316173896</v>
      </c>
      <c r="E278" s="13">
        <f t="shared" ref="E278" ca="1" si="224">F278-D278</f>
        <v>0</v>
      </c>
      <c r="F278" s="13">
        <f t="shared" ref="F278" ca="1" si="225">MAX(F277,D278)</f>
        <v>7.9908820316173896</v>
      </c>
      <c r="G278" s="21">
        <f ca="1">IF((Prices!Q278-Prices!Q277)*C278&gt;0,1,0)</f>
        <v>1</v>
      </c>
      <c r="H278" s="13">
        <f>ABS(Prices!Q278-Prices!Q277)/Prices!Q277</f>
        <v>0.18781496870525119</v>
      </c>
      <c r="I278" s="21"/>
      <c r="J278" s="4">
        <f t="shared" ref="J278" ca="1" si="226">O278+T278</f>
        <v>1.1161580644694385E-4</v>
      </c>
      <c r="K278" s="13"/>
      <c r="L278" s="13">
        <f ca="1">L277-O278*Prices!Q278</f>
        <v>4.2221221844206758</v>
      </c>
      <c r="M278" s="4">
        <f t="shared" ref="M278" ca="1" si="227">M277+O278</f>
        <v>2.8308261158688963E-2</v>
      </c>
      <c r="N278" s="13">
        <f ca="1">IF(Prices!P277&gt;OFFSET(Prices!P277,-$N$3,0),1,-1)</f>
        <v>1</v>
      </c>
      <c r="O278" s="4">
        <f ca="1">IF(N278=1,O$3*L277/Prices!Q277,-O$3*M277)</f>
        <v>1.1161580644694385E-4</v>
      </c>
      <c r="P278" s="22"/>
      <c r="Q278" s="13">
        <f ca="1">Q277-T278*Prices!Q278</f>
        <v>1</v>
      </c>
      <c r="R278" s="4">
        <f t="shared" ca="1" si="211"/>
        <v>0.01</v>
      </c>
      <c r="S278" s="13">
        <f ca="1">IF(Prices!D277&gt;OFFSET(Prices!D277,-S$3,0),1,-1)</f>
        <v>-1</v>
      </c>
      <c r="T278" s="4">
        <f ca="1">IF(S278=1,T$3*Q277/Prices!Q277,-T$3*R277)</f>
        <v>0</v>
      </c>
      <c r="V278" s="13"/>
      <c r="W278" s="4"/>
      <c r="X278" s="4"/>
      <c r="Y278" s="4"/>
      <c r="Z278" s="4"/>
      <c r="AA278" s="4"/>
      <c r="AB278" s="4"/>
      <c r="AC278" s="4"/>
      <c r="AD278" s="4"/>
      <c r="AE278" s="52"/>
    </row>
    <row r="279" spans="1:31" x14ac:dyDescent="0.2">
      <c r="A279" s="66">
        <v>44148</v>
      </c>
      <c r="B279" s="13">
        <f ca="1">Prices!Q278*(1+J279/(50*(ABS(O279)+ABS(T279)+0.0001)))</f>
        <v>459.09793154269209</v>
      </c>
      <c r="C279" s="62">
        <f t="shared" ca="1" si="45"/>
        <v>1</v>
      </c>
      <c r="D279" s="13">
        <f ca="1">D278+C279*(Prices!Q279-Prices!Q278)/Prices!Q278</f>
        <v>8.0346609850151864</v>
      </c>
      <c r="E279" s="13">
        <f t="shared" ref="E279" ca="1" si="228">F279-D279</f>
        <v>0</v>
      </c>
      <c r="F279" s="13">
        <f t="shared" ref="F279" ca="1" si="229">MAX(F278,D279)</f>
        <v>8.0346609850151864</v>
      </c>
      <c r="G279" s="21">
        <f ca="1">IF((Prices!Q279-Prices!Q278)*C279&gt;0,1,0)</f>
        <v>1</v>
      </c>
      <c r="H279" s="13">
        <f>ABS(Prices!Q279-Prices!Q278)/Prices!Q278</f>
        <v>4.3778953397797263E-2</v>
      </c>
      <c r="I279" s="21"/>
      <c r="J279" s="4">
        <f t="shared" ref="J279" ca="1" si="230">O279+T279</f>
        <v>9.2851176400601289E-5</v>
      </c>
      <c r="K279" s="13"/>
      <c r="L279" s="13">
        <f ca="1">L278-O279*Prices!Q279</f>
        <v>4.1780525616729536</v>
      </c>
      <c r="M279" s="4">
        <f t="shared" ref="M279" ca="1" si="231">M278+O279</f>
        <v>2.8401112335089563E-2</v>
      </c>
      <c r="N279" s="13">
        <f ca="1">IF(Prices!P278&gt;OFFSET(Prices!P278,-$N$3,0),1,-1)</f>
        <v>1</v>
      </c>
      <c r="O279" s="4">
        <f ca="1">IF(N279=1,O$3*L278/Prices!Q278,-O$3*M278)</f>
        <v>9.2851176400601289E-5</v>
      </c>
      <c r="P279" s="22"/>
      <c r="Q279" s="13">
        <f ca="1">Q278-T279*Prices!Q279</f>
        <v>1</v>
      </c>
      <c r="R279" s="4">
        <f t="shared" ca="1" si="211"/>
        <v>0.01</v>
      </c>
      <c r="S279" s="13">
        <f ca="1">IF(Prices!D278&gt;OFFSET(Prices!D278,-S$3,0),1,-1)</f>
        <v>-1</v>
      </c>
      <c r="T279" s="4">
        <f ca="1">IF(S279=1,T$3*Q278/Prices!Q278,-T$3*R278)</f>
        <v>0</v>
      </c>
      <c r="V279" s="13"/>
      <c r="W279" s="4"/>
      <c r="X279" s="4"/>
      <c r="Y279" s="4"/>
      <c r="Z279" s="4"/>
      <c r="AA279" s="4"/>
      <c r="AB279" s="4"/>
      <c r="AC279" s="4"/>
      <c r="AD279" s="4"/>
      <c r="AE279" s="52"/>
    </row>
    <row r="280" spans="1:31" x14ac:dyDescent="0.2">
      <c r="A280" s="66">
        <v>44155</v>
      </c>
      <c r="B280" s="13">
        <f ca="1">Prices!Q279*(1+J280/(50*(ABS(O280)+ABS(T280)+0.0001)))</f>
        <v>479.07050341228108</v>
      </c>
      <c r="C280" s="62">
        <f t="shared" ca="1" si="45"/>
        <v>1</v>
      </c>
      <c r="D280" s="13">
        <f ca="1">D279+C280*(Prices!Q280-Prices!Q279)/Prices!Q279</f>
        <v>8.1086520893538889</v>
      </c>
      <c r="E280" s="13">
        <f t="shared" ref="E280" ca="1" si="232">F280-D280</f>
        <v>0</v>
      </c>
      <c r="F280" s="13">
        <f t="shared" ref="F280" ca="1" si="233">MAX(F279,D280)</f>
        <v>8.1086520893538889</v>
      </c>
      <c r="G280" s="21">
        <f ca="1">IF((Prices!Q280-Prices!Q279)*C280&gt;0,1,0)</f>
        <v>1</v>
      </c>
      <c r="H280" s="13">
        <f>ABS(Prices!Q280-Prices!Q279)/Prices!Q279</f>
        <v>7.3991104338701874E-2</v>
      </c>
      <c r="I280" s="21"/>
      <c r="J280" s="4">
        <f t="shared" ref="J280" ca="1" si="234">O280+T280</f>
        <v>8.8028231518031151E-5</v>
      </c>
      <c r="K280" s="13"/>
      <c r="L280" s="13">
        <f ca="1">L279-O280*Prices!Q280</f>
        <v>4.1331806488259906</v>
      </c>
      <c r="M280" s="4">
        <f t="shared" ref="M280" ca="1" si="235">M279+O280</f>
        <v>2.8489140566607594E-2</v>
      </c>
      <c r="N280" s="13">
        <f ca="1">IF(Prices!P279&gt;OFFSET(Prices!P279,-$N$3,0),1,-1)</f>
        <v>1</v>
      </c>
      <c r="O280" s="4">
        <f ca="1">IF(N280=1,O$3*L279/Prices!Q279,-O$3*M279)</f>
        <v>8.8028231518031151E-5</v>
      </c>
      <c r="P280" s="22"/>
      <c r="Q280" s="13">
        <f ca="1">Q279-T280*Prices!Q280</f>
        <v>1</v>
      </c>
      <c r="R280" s="4">
        <f t="shared" ca="1" si="211"/>
        <v>0.01</v>
      </c>
      <c r="S280" s="13">
        <f ca="1">IF(Prices!D279&gt;OFFSET(Prices!D279,-S$3,0),1,-1)</f>
        <v>1</v>
      </c>
      <c r="T280" s="4">
        <f ca="1">IF(S280=1,T$3*Q279/Prices!Q279,-T$3*R279)</f>
        <v>0</v>
      </c>
      <c r="V280" s="13"/>
      <c r="W280" s="4"/>
      <c r="X280" s="4"/>
      <c r="Y280" s="4"/>
      <c r="Z280" s="4"/>
      <c r="AA280" s="4"/>
      <c r="AB280" s="4"/>
      <c r="AC280" s="4"/>
      <c r="AD280" s="4"/>
      <c r="AE280" s="52"/>
    </row>
    <row r="281" spans="1:31" x14ac:dyDescent="0.2">
      <c r="A281" s="66">
        <v>44162</v>
      </c>
      <c r="B281" s="13">
        <f ca="1">Prices!Q280*(1+J281/(50*(ABS(O281)+ABS(T281)+0.0001)))</f>
        <v>514.30951583614478</v>
      </c>
      <c r="C281" s="62">
        <f t="shared" ca="1" si="45"/>
        <v>1</v>
      </c>
      <c r="D281" s="13">
        <f ca="1">D280+C281*(Prices!Q281-Prices!Q280)/Prices!Q280</f>
        <v>8.1238541051995981</v>
      </c>
      <c r="E281" s="13">
        <f t="shared" ref="E281" ca="1" si="236">F281-D281</f>
        <v>0</v>
      </c>
      <c r="F281" s="13">
        <f t="shared" ref="F281" ca="1" si="237">MAX(F280,D281)</f>
        <v>8.1238541051995981</v>
      </c>
      <c r="G281" s="21">
        <f ca="1">IF((Prices!Q281-Prices!Q280)*C281&gt;0,1,0)</f>
        <v>1</v>
      </c>
      <c r="H281" s="13">
        <f>ABS(Prices!Q281-Prices!Q280)/Prices!Q280</f>
        <v>1.5202015845708711E-2</v>
      </c>
      <c r="I281" s="21"/>
      <c r="J281" s="4">
        <f t="shared" ref="J281" ca="1" si="238">O281+T281</f>
        <v>8.1083368186593216E-5</v>
      </c>
      <c r="K281" s="13"/>
      <c r="L281" s="13">
        <f ca="1">L280-O281*Prices!Q281</f>
        <v>4.0912205155605648</v>
      </c>
      <c r="M281" s="4">
        <f t="shared" ref="M281" ca="1" si="239">M280+O281</f>
        <v>2.8570223934794185E-2</v>
      </c>
      <c r="N281" s="13">
        <f ca="1">IF(Prices!P280&gt;OFFSET(Prices!P280,-$N$3,0),1,-1)</f>
        <v>1</v>
      </c>
      <c r="O281" s="4">
        <f ca="1">IF(N281=1,O$3*L280/Prices!Q280,-O$3*M280)</f>
        <v>8.1083368186593216E-5</v>
      </c>
      <c r="P281" s="22"/>
      <c r="Q281" s="13">
        <f ca="1">Q280-T281*Prices!Q281</f>
        <v>1</v>
      </c>
      <c r="R281" s="4">
        <f t="shared" ca="1" si="211"/>
        <v>0.01</v>
      </c>
      <c r="S281" s="13">
        <f ca="1">IF(Prices!D280&gt;OFFSET(Prices!D280,-S$3,0),1,-1)</f>
        <v>1</v>
      </c>
      <c r="T281" s="4">
        <f ca="1">IF(S281=1,T$3*Q280/Prices!Q280,-T$3*R280)</f>
        <v>0</v>
      </c>
      <c r="V281" s="13"/>
      <c r="W281" s="4"/>
      <c r="X281" s="4"/>
      <c r="Y281" s="4"/>
      <c r="Z281" s="4"/>
      <c r="AA281" s="4"/>
      <c r="AB281" s="4"/>
      <c r="AC281" s="4"/>
      <c r="AD281" s="4"/>
      <c r="AE281" s="52"/>
    </row>
    <row r="282" spans="1:31" x14ac:dyDescent="0.2">
      <c r="A282" s="66">
        <v>44169</v>
      </c>
      <c r="B282" s="13">
        <f ca="1">Prices!Q281*(1+J282/(50*(ABS(O282)+ABS(T282)+0.0001)))</f>
        <v>522.06341918520297</v>
      </c>
      <c r="C282" s="62">
        <f t="shared" ca="1" si="45"/>
        <v>1</v>
      </c>
      <c r="D282" s="13">
        <f ca="1">D281+C282*(Prices!Q282-Prices!Q281)/Prices!Q281</f>
        <v>8.2240687990155976</v>
      </c>
      <c r="E282" s="13">
        <f t="shared" ref="E282" ca="1" si="240">F282-D282</f>
        <v>0</v>
      </c>
      <c r="F282" s="13">
        <f t="shared" ref="F282" ca="1" si="241">MAX(F281,D282)</f>
        <v>8.2240687990155976</v>
      </c>
      <c r="G282" s="21">
        <f ca="1">IF((Prices!Q282-Prices!Q281)*C282&gt;0,1,0)</f>
        <v>1</v>
      </c>
      <c r="H282" s="13">
        <f>ABS(Prices!Q282-Prices!Q281)/Prices!Q281</f>
        <v>0.10021469381600018</v>
      </c>
      <c r="I282" s="21"/>
      <c r="J282" s="4">
        <f t="shared" ref="J282" ca="1" si="242">O282+T282</f>
        <v>7.9058361730484732E-5</v>
      </c>
      <c r="K282" s="13"/>
      <c r="L282" s="13">
        <f ca="1">L281-O282*Prices!Q282</f>
        <v>4.0462083062919527</v>
      </c>
      <c r="M282" s="4">
        <f t="shared" ref="M282" ca="1" si="243">M281+O282</f>
        <v>2.8649282296524671E-2</v>
      </c>
      <c r="N282" s="13">
        <f ca="1">IF(Prices!P281&gt;OFFSET(Prices!P281,-$N$3,0),1,-1)</f>
        <v>1</v>
      </c>
      <c r="O282" s="4">
        <f ca="1">IF(N282=1,O$3*L281/Prices!Q281,-O$3*M281)</f>
        <v>7.9058361730484732E-5</v>
      </c>
      <c r="P282" s="22"/>
      <c r="Q282" s="13">
        <f ca="1">Q281-T282*Prices!Q282</f>
        <v>1</v>
      </c>
      <c r="R282" s="4">
        <f t="shared" ca="1" si="211"/>
        <v>0.01</v>
      </c>
      <c r="S282" s="13">
        <f ca="1">IF(Prices!D281&gt;OFFSET(Prices!D281,-S$3,0),1,-1)</f>
        <v>1</v>
      </c>
      <c r="T282" s="4">
        <f ca="1">IF(S282=1,T$3*Q281/Prices!Q281,-T$3*R281)</f>
        <v>0</v>
      </c>
      <c r="V282" s="13"/>
      <c r="W282" s="4"/>
      <c r="X282" s="4"/>
      <c r="Y282" s="4"/>
      <c r="Z282" s="4"/>
      <c r="AA282" s="4"/>
      <c r="AB282" s="4"/>
      <c r="AC282" s="4"/>
      <c r="AD282" s="4"/>
      <c r="AE282" s="52"/>
    </row>
    <row r="283" spans="1:31" x14ac:dyDescent="0.2">
      <c r="A283" s="66">
        <v>44176</v>
      </c>
      <c r="B283" s="13">
        <f ca="1">Prices!Q282*(1+J283/(50*(ABS(O283)+ABS(T283)+0.0001)))</f>
        <v>574.08475112939448</v>
      </c>
      <c r="C283" s="62">
        <f t="shared" ca="1" si="45"/>
        <v>1</v>
      </c>
      <c r="D283" s="13">
        <f ca="1">D282+C283*(Prices!Q283-Prices!Q282)/Prices!Q282</f>
        <v>8.182694159928241</v>
      </c>
      <c r="E283" s="13">
        <f t="shared" ref="E283" ca="1" si="244">F283-D283</f>
        <v>4.1374639087356613E-2</v>
      </c>
      <c r="F283" s="13">
        <f t="shared" ref="F283" ca="1" si="245">MAX(F282,D283)</f>
        <v>8.2240687990155976</v>
      </c>
      <c r="G283" s="21">
        <f ca="1">IF((Prices!Q283-Prices!Q282)*C283&gt;0,1,0)</f>
        <v>0</v>
      </c>
      <c r="H283" s="13">
        <f>ABS(Prices!Q283-Prices!Q282)/Prices!Q282</f>
        <v>4.1374639087356016E-2</v>
      </c>
      <c r="I283" s="21"/>
      <c r="J283" s="4">
        <f t="shared" ref="J283" ca="1" si="246">O283+T283</f>
        <v>7.1066629501961531E-5</v>
      </c>
      <c r="K283" s="13"/>
      <c r="L283" s="13">
        <f ca="1">L282-O283*Prices!Q283</f>
        <v>4.0074203273124844</v>
      </c>
      <c r="M283" s="4">
        <f t="shared" ref="M283" ca="1" si="247">M282+O283</f>
        <v>2.8720348926026634E-2</v>
      </c>
      <c r="N283" s="13">
        <f ca="1">IF(Prices!P282&gt;OFFSET(Prices!P282,-$N$3,0),1,-1)</f>
        <v>1</v>
      </c>
      <c r="O283" s="4">
        <f ca="1">IF(N283=1,O$3*L282/Prices!Q282,-O$3*M282)</f>
        <v>7.1066629501961531E-5</v>
      </c>
      <c r="P283" s="22"/>
      <c r="Q283" s="13">
        <f ca="1">Q282-T283*Prices!Q283</f>
        <v>1</v>
      </c>
      <c r="R283" s="4">
        <f t="shared" ca="1" si="211"/>
        <v>0.01</v>
      </c>
      <c r="S283" s="13">
        <f ca="1">IF(Prices!D282&gt;OFFSET(Prices!D282,-S$3,0),1,-1)</f>
        <v>1</v>
      </c>
      <c r="T283" s="4">
        <f ca="1">IF(S283=1,T$3*Q282/Prices!Q282,-T$3*R282)</f>
        <v>0</v>
      </c>
      <c r="V283" s="13"/>
      <c r="W283" s="4"/>
      <c r="X283" s="4"/>
      <c r="Y283" s="4"/>
      <c r="Z283" s="4"/>
      <c r="AA283" s="4"/>
      <c r="AB283" s="4"/>
      <c r="AC283" s="4"/>
      <c r="AD283" s="4"/>
      <c r="AE283" s="52"/>
    </row>
    <row r="284" spans="1:31" x14ac:dyDescent="0.2">
      <c r="A284" s="66">
        <v>44183</v>
      </c>
      <c r="B284" s="13">
        <f ca="1">Prices!Q283*(1+J284/(50*(ABS(O284)+ABS(T284)+0.0001)))</f>
        <v>550.4189127356874</v>
      </c>
      <c r="C284" s="62">
        <f t="shared" ca="1" si="45"/>
        <v>1</v>
      </c>
      <c r="D284" s="13">
        <f ca="1">D283+C284*(Prices!Q284-Prices!Q283)/Prices!Q283</f>
        <v>8.382428704999688</v>
      </c>
      <c r="E284" s="13">
        <f t="shared" ref="E284" ca="1" si="248">F284-D284</f>
        <v>0</v>
      </c>
      <c r="F284" s="13">
        <f t="shared" ref="F284" ca="1" si="249">MAX(F283,D284)</f>
        <v>8.382428704999688</v>
      </c>
      <c r="G284" s="21">
        <f ca="1">IF((Prices!Q284-Prices!Q283)*C284&gt;0,1,0)</f>
        <v>1</v>
      </c>
      <c r="H284" s="13">
        <f>ABS(Prices!Q284-Prices!Q283)/Prices!Q283</f>
        <v>0.19973454507144622</v>
      </c>
      <c r="I284" s="21"/>
      <c r="J284" s="4">
        <f t="shared" ref="J284" ca="1" si="250">O284+T284</f>
        <v>7.342322625535449E-5</v>
      </c>
      <c r="K284" s="13"/>
      <c r="L284" s="13">
        <f ca="1">L283-O284*Prices!Q284</f>
        <v>3.9593419212795014</v>
      </c>
      <c r="M284" s="4">
        <f t="shared" ref="M284" ca="1" si="251">M283+O284</f>
        <v>2.8793772152281988E-2</v>
      </c>
      <c r="N284" s="13">
        <f ca="1">IF(Prices!P283&gt;OFFSET(Prices!P283,-$N$3,0),1,-1)</f>
        <v>1</v>
      </c>
      <c r="O284" s="4">
        <f ca="1">IF(N284=1,O$3*L283/Prices!Q283,-O$3*M283)</f>
        <v>7.342322625535449E-5</v>
      </c>
      <c r="P284" s="22"/>
      <c r="Q284" s="13">
        <f ca="1">Q283-T284*Prices!Q284</f>
        <v>1</v>
      </c>
      <c r="R284" s="4">
        <f t="shared" ca="1" si="211"/>
        <v>0.01</v>
      </c>
      <c r="S284" s="13">
        <f ca="1">IF(Prices!D283&gt;OFFSET(Prices!D283,-S$3,0),1,-1)</f>
        <v>1</v>
      </c>
      <c r="T284" s="4">
        <f ca="1">IF(S284=1,T$3*Q283/Prices!Q283,-T$3*R283)</f>
        <v>0</v>
      </c>
      <c r="V284" s="13"/>
      <c r="W284" s="4"/>
      <c r="X284" s="4"/>
      <c r="Y284" s="4"/>
      <c r="Z284" s="4"/>
      <c r="AA284" s="4"/>
      <c r="AB284" s="4"/>
      <c r="AC284" s="4"/>
      <c r="AD284" s="4"/>
      <c r="AE284" s="52"/>
    </row>
    <row r="285" spans="1:31" x14ac:dyDescent="0.2">
      <c r="A285" s="66">
        <v>44190</v>
      </c>
      <c r="B285" s="13">
        <f ca="1">Prices!Q284*(1+J285/(50*(ABS(O285)+ABS(T285)+0.0001)))</f>
        <v>659.74677645732913</v>
      </c>
      <c r="C285" s="62">
        <f t="shared" ca="1" si="45"/>
        <v>1</v>
      </c>
      <c r="D285" s="13">
        <f ca="1">D284+C285*(Prices!Q285-Prices!Q284)/Prices!Q284</f>
        <v>8.3390555732835878</v>
      </c>
      <c r="E285" s="13">
        <f t="shared" ref="E285" ca="1" si="252">F285-D285</f>
        <v>4.3373131716100133E-2</v>
      </c>
      <c r="F285" s="13">
        <f t="shared" ref="F285" ca="1" si="253">MAX(F284,D285)</f>
        <v>8.382428704999688</v>
      </c>
      <c r="G285" s="21">
        <f ca="1">IF((Prices!Q285-Prices!Q284)*C285&gt;0,1,0)</f>
        <v>0</v>
      </c>
      <c r="H285" s="13">
        <f>ABS(Prices!Q285-Prices!Q284)/Prices!Q284</f>
        <v>4.337313171610091E-2</v>
      </c>
      <c r="I285" s="21"/>
      <c r="J285" s="4">
        <f t="shared" ref="J285" ca="1" si="254">O285+T285</f>
        <v>6.0465327720927643E-5</v>
      </c>
      <c r="K285" s="13"/>
      <c r="L285" s="13">
        <f ca="1">L284-O285*Prices!Q285</f>
        <v>3.9214657926533136</v>
      </c>
      <c r="M285" s="4">
        <f t="shared" ref="M285" ca="1" si="255">M284+O285</f>
        <v>2.8854237480002914E-2</v>
      </c>
      <c r="N285" s="13">
        <f ca="1">IF(Prices!P284&gt;OFFSET(Prices!P284,-$N$3,0),1,-1)</f>
        <v>1</v>
      </c>
      <c r="O285" s="4">
        <f ca="1">IF(N285=1,O$3*L284/Prices!Q284,-O$3*M284)</f>
        <v>6.0465327720927643E-5</v>
      </c>
      <c r="P285" s="22"/>
      <c r="Q285" s="13">
        <f ca="1">Q284-T285*Prices!Q285</f>
        <v>1</v>
      </c>
      <c r="R285" s="4">
        <f t="shared" ca="1" si="211"/>
        <v>0.01</v>
      </c>
      <c r="S285" s="13">
        <f ca="1">IF(Prices!D284&gt;OFFSET(Prices!D284,-S$3,0),1,-1)</f>
        <v>1</v>
      </c>
      <c r="T285" s="4">
        <f ca="1">IF(S285=1,T$3*Q284/Prices!Q284,-T$3*R284)</f>
        <v>0</v>
      </c>
      <c r="V285" s="13"/>
      <c r="W285" s="4"/>
      <c r="X285" s="4"/>
      <c r="Y285" s="4"/>
      <c r="Z285" s="4"/>
      <c r="AA285" s="4"/>
      <c r="AB285" s="4"/>
      <c r="AC285" s="4"/>
      <c r="AD285" s="4"/>
      <c r="AE285" s="52"/>
    </row>
    <row r="286" spans="1:31" x14ac:dyDescent="0.2">
      <c r="A286" s="66">
        <v>44197</v>
      </c>
      <c r="B286" s="13">
        <f ca="1">Prices!Q285*(1+J286/(50*(ABS(O286)+ABS(T286)+0.0001)))</f>
        <v>631.23409333670907</v>
      </c>
      <c r="C286" s="62">
        <f t="shared" ca="1" si="45"/>
        <v>1</v>
      </c>
      <c r="D286" s="13">
        <f ca="1">D285+C286*(Prices!Q286-Prices!Q285)/Prices!Q285</f>
        <v>8.5050119450445774</v>
      </c>
      <c r="E286" s="13">
        <f t="shared" ref="E286" ca="1" si="256">F286-D286</f>
        <v>0</v>
      </c>
      <c r="F286" s="13">
        <f t="shared" ref="F286" ca="1" si="257">MAX(F285,D286)</f>
        <v>8.5050119450445774</v>
      </c>
      <c r="G286" s="21">
        <f ca="1">IF((Prices!Q286-Prices!Q285)*C286&gt;0,1,0)</f>
        <v>1</v>
      </c>
      <c r="H286" s="13">
        <f>ABS(Prices!Q286-Prices!Q285)/Prices!Q285</f>
        <v>0.16595637176098973</v>
      </c>
      <c r="I286" s="21"/>
      <c r="J286" s="4">
        <f t="shared" ref="J286" ca="1" si="258">O286+T286</f>
        <v>6.2602151513248773E-5</v>
      </c>
      <c r="K286" s="13"/>
      <c r="L286" s="13">
        <f ca="1">L285-O286*Prices!Q286</f>
        <v>3.8757432123774449</v>
      </c>
      <c r="M286" s="4">
        <f t="shared" ref="M286" ca="1" si="259">M285+O286</f>
        <v>2.8916839631516162E-2</v>
      </c>
      <c r="N286" s="13">
        <f ca="1">IF(Prices!P285&gt;OFFSET(Prices!P285,-$N$3,0),1,-1)</f>
        <v>1</v>
      </c>
      <c r="O286" s="4">
        <f ca="1">IF(N286=1,O$3*L285/Prices!Q285,-O$3*M285)</f>
        <v>6.2602151513248773E-5</v>
      </c>
      <c r="P286" s="22"/>
      <c r="Q286" s="13">
        <f ca="1">Q285-T286*Prices!Q286</f>
        <v>1</v>
      </c>
      <c r="R286" s="4">
        <f t="shared" ca="1" si="211"/>
        <v>0.01</v>
      </c>
      <c r="S286" s="13">
        <f ca="1">IF(Prices!D285&gt;OFFSET(Prices!D285,-S$3,0),1,-1)</f>
        <v>1</v>
      </c>
      <c r="T286" s="4">
        <f ca="1">IF(S286=1,T$3*Q285/Prices!Q285,-T$3*R285)</f>
        <v>0</v>
      </c>
      <c r="V286" s="13"/>
      <c r="W286" s="4"/>
      <c r="X286" s="4"/>
      <c r="Y286" s="4"/>
      <c r="Z286" s="4"/>
      <c r="AA286" s="4"/>
      <c r="AB286" s="4"/>
      <c r="AC286" s="4"/>
      <c r="AD286" s="4"/>
      <c r="AE286" s="52"/>
    </row>
    <row r="287" spans="1:31" x14ac:dyDescent="0.2">
      <c r="A287" s="66">
        <v>44204</v>
      </c>
      <c r="B287" s="13">
        <f ca="1">Prices!Q286*(1+J287/(50*(ABS(O287)+ABS(T287)+0.0001)))</f>
        <v>735.431711900614</v>
      </c>
      <c r="C287" s="62">
        <f t="shared" ca="1" si="45"/>
        <v>1</v>
      </c>
      <c r="D287" s="13">
        <f ca="1">D286+C287*(Prices!Q287-Prices!Q286)/Prices!Q286</f>
        <v>9.1811504006693454</v>
      </c>
      <c r="E287" s="13">
        <f t="shared" ref="E287" ca="1" si="260">F287-D287</f>
        <v>0</v>
      </c>
      <c r="F287" s="13">
        <f t="shared" ref="F287" ca="1" si="261">MAX(F286,D287)</f>
        <v>9.1811504006693454</v>
      </c>
      <c r="G287" s="21">
        <f ca="1">IF((Prices!Q287-Prices!Q286)*C287&gt;0,1,0)</f>
        <v>1</v>
      </c>
      <c r="H287" s="13">
        <f>ABS(Prices!Q287-Prices!Q286)/Prices!Q286</f>
        <v>0.67613845562476882</v>
      </c>
      <c r="I287" s="21"/>
      <c r="J287" s="4">
        <f t="shared" ref="J287" ca="1" si="262">O287+T287</f>
        <v>5.3065654288052409E-5</v>
      </c>
      <c r="K287" s="13"/>
      <c r="L287" s="13">
        <f ca="1">L286-O287*Prices!Q287</f>
        <v>3.81078038995352</v>
      </c>
      <c r="M287" s="4">
        <f t="shared" ref="M287" ca="1" si="263">M286+O287</f>
        <v>2.8969905285804214E-2</v>
      </c>
      <c r="N287" s="13">
        <f ca="1">IF(Prices!P286&gt;OFFSET(Prices!P286,-$N$3,0),1,-1)</f>
        <v>1</v>
      </c>
      <c r="O287" s="4">
        <f ca="1">IF(N287=1,O$3*L286/Prices!Q286,-O$3*M286)</f>
        <v>5.3065654288052409E-5</v>
      </c>
      <c r="P287" s="22"/>
      <c r="Q287" s="13">
        <f ca="1">Q286-T287*Prices!Q287</f>
        <v>1</v>
      </c>
      <c r="R287" s="4">
        <f t="shared" ca="1" si="211"/>
        <v>0.01</v>
      </c>
      <c r="S287" s="13">
        <f ca="1">IF(Prices!D286&gt;OFFSET(Prices!D286,-S$3,0),1,-1)</f>
        <v>1</v>
      </c>
      <c r="T287" s="4">
        <f ca="1">IF(S287=1,T$3*Q286/Prices!Q286,-T$3*R286)</f>
        <v>0</v>
      </c>
      <c r="V287" s="13"/>
      <c r="W287" s="4"/>
      <c r="X287" s="4"/>
      <c r="Y287" s="4"/>
      <c r="Z287" s="4"/>
      <c r="AA287" s="4"/>
      <c r="AB287" s="4"/>
      <c r="AC287" s="4"/>
      <c r="AD287" s="4"/>
      <c r="AE287" s="52"/>
    </row>
    <row r="288" spans="1:31" x14ac:dyDescent="0.2">
      <c r="A288" s="66">
        <v>44211</v>
      </c>
      <c r="B288" s="13">
        <f ca="1">Prices!Q287*(1+J288/(50*(ABS(O288)+ABS(T288)+0.0001)))</f>
        <v>1230.0094140945109</v>
      </c>
      <c r="C288" s="62">
        <f t="shared" ca="1" si="45"/>
        <v>1</v>
      </c>
      <c r="D288" s="13">
        <f ca="1">D287+C288*(Prices!Q288-Prices!Q287)/Prices!Q287</f>
        <v>9.1383774296191866</v>
      </c>
      <c r="E288" s="13">
        <f t="shared" ref="E288" ca="1" si="264">F288-D288</f>
        <v>4.2772971050158759E-2</v>
      </c>
      <c r="F288" s="13">
        <f t="shared" ref="F288" ca="1" si="265">MAX(F287,D288)</f>
        <v>9.1811504006693454</v>
      </c>
      <c r="G288" s="21">
        <f ca="1">IF((Prices!Q288-Prices!Q287)*C288&gt;0,1,0)</f>
        <v>0</v>
      </c>
      <c r="H288" s="13">
        <f>ABS(Prices!Q288-Prices!Q287)/Prices!Q287</f>
        <v>4.2772971050159501E-2</v>
      </c>
      <c r="I288" s="21"/>
      <c r="J288" s="4">
        <f t="shared" ref="J288" ca="1" si="266">O288+T288</f>
        <v>3.1128812941859958E-5</v>
      </c>
      <c r="K288" s="13"/>
      <c r="L288" s="13">
        <f ca="1">L287-O288*Prices!Q288</f>
        <v>3.7743025700469648</v>
      </c>
      <c r="M288" s="4">
        <f t="shared" ref="M288" ca="1" si="267">M287+O288</f>
        <v>2.9001034098746076E-2</v>
      </c>
      <c r="N288" s="13">
        <f ca="1">IF(Prices!P287&gt;OFFSET(Prices!P287,-$N$3,0),1,-1)</f>
        <v>1</v>
      </c>
      <c r="O288" s="4">
        <f ca="1">IF(N288=1,O$3*L287/Prices!Q287,-O$3*M287)</f>
        <v>3.1128812941859958E-5</v>
      </c>
      <c r="P288" s="22"/>
      <c r="Q288" s="13">
        <f ca="1">Q287-T288*Prices!Q288</f>
        <v>1</v>
      </c>
      <c r="R288" s="4">
        <f t="shared" ca="1" si="211"/>
        <v>0.01</v>
      </c>
      <c r="S288" s="13">
        <f ca="1">IF(Prices!D287&gt;OFFSET(Prices!D287,-S$3,0),1,-1)</f>
        <v>1</v>
      </c>
      <c r="T288" s="4">
        <f ca="1">IF(S288=1,T$3*Q287/Prices!Q287,-T$3*R287)</f>
        <v>0</v>
      </c>
      <c r="V288" s="13"/>
      <c r="W288" s="4"/>
      <c r="X288" s="4"/>
      <c r="Y288" s="4"/>
      <c r="Z288" s="4"/>
      <c r="AA288" s="4"/>
      <c r="AB288" s="4"/>
      <c r="AC288" s="4"/>
      <c r="AD288" s="4"/>
      <c r="AE288" s="52"/>
    </row>
    <row r="289" spans="1:31" x14ac:dyDescent="0.2">
      <c r="A289" s="66">
        <v>44218</v>
      </c>
      <c r="B289" s="13">
        <f ca="1">Prices!Q288*(1+J289/(50*(ABS(O289)+ABS(T289)+0.0001)))</f>
        <v>1177.5442169769724</v>
      </c>
      <c r="C289" s="62">
        <f t="shared" ca="1" si="45"/>
        <v>1</v>
      </c>
      <c r="D289" s="13">
        <f ca="1">D288+C289*(Prices!Q289-Prices!Q288)/Prices!Q288</f>
        <v>9.1935708948709962</v>
      </c>
      <c r="E289" s="13">
        <f t="shared" ref="E289" ca="1" si="268">F289-D289</f>
        <v>0</v>
      </c>
      <c r="F289" s="13">
        <f t="shared" ref="F289" ca="1" si="269">MAX(F288,D289)</f>
        <v>9.1935708948709962</v>
      </c>
      <c r="G289" s="21">
        <f ca="1">IF((Prices!Q289-Prices!Q288)*C289&gt;0,1,0)</f>
        <v>1</v>
      </c>
      <c r="H289" s="13">
        <f>ABS(Prices!Q289-Prices!Q288)/Prices!Q288</f>
        <v>5.5193465251808814E-2</v>
      </c>
      <c r="I289" s="21"/>
      <c r="J289" s="4">
        <f t="shared" ref="J289" ca="1" si="270">O289+T289</f>
        <v>3.2208492445531226E-5</v>
      </c>
      <c r="K289" s="13"/>
      <c r="L289" s="13">
        <f ca="1">L288-O289*Prices!Q289</f>
        <v>3.7344763759689981</v>
      </c>
      <c r="M289" s="4">
        <f t="shared" ref="M289" ca="1" si="271">M288+O289</f>
        <v>2.9033242591191607E-2</v>
      </c>
      <c r="N289" s="13">
        <f ca="1">IF(Prices!P288&gt;OFFSET(Prices!P288,-$N$3,0),1,-1)</f>
        <v>1</v>
      </c>
      <c r="O289" s="4">
        <f ca="1">IF(N289=1,O$3*L288/Prices!Q288,-O$3*M288)</f>
        <v>3.2208492445531226E-5</v>
      </c>
      <c r="P289" s="22"/>
      <c r="Q289" s="13">
        <f ca="1">Q288-T289*Prices!Q289</f>
        <v>1</v>
      </c>
      <c r="R289" s="4">
        <f t="shared" ca="1" si="211"/>
        <v>0.01</v>
      </c>
      <c r="S289" s="13">
        <f ca="1">IF(Prices!D288&gt;OFFSET(Prices!D288,-S$3,0),1,-1)</f>
        <v>-1</v>
      </c>
      <c r="T289" s="4">
        <f ca="1">IF(S289=1,T$3*Q288/Prices!Q288,-T$3*R288)</f>
        <v>0</v>
      </c>
      <c r="V289" s="13"/>
      <c r="W289" s="4"/>
      <c r="X289" s="4"/>
      <c r="Y289" s="4"/>
      <c r="Z289" s="4"/>
      <c r="AA289" s="4"/>
      <c r="AB289" s="4"/>
      <c r="AC289" s="4"/>
      <c r="AD289" s="4"/>
      <c r="AE289" s="52"/>
    </row>
    <row r="290" spans="1:31" x14ac:dyDescent="0.2">
      <c r="A290" s="66">
        <v>44225</v>
      </c>
      <c r="B290" s="13">
        <f ca="1">Prices!Q289*(1+J290/(50*(ABS(O290)+ABS(T290)+0.0001)))</f>
        <v>1218.1176507245743</v>
      </c>
      <c r="C290" s="62">
        <f t="shared" ca="1" si="45"/>
        <v>0</v>
      </c>
      <c r="D290" s="13">
        <f ca="1">D289+C290*(Prices!Q290-Prices!Q289)/Prices!Q289</f>
        <v>9.1935708948709962</v>
      </c>
      <c r="E290" s="13">
        <f t="shared" ref="E290" ca="1" si="272">F290-D290</f>
        <v>0</v>
      </c>
      <c r="F290" s="13">
        <f t="shared" ref="F290" ca="1" si="273">MAX(F289,D290)</f>
        <v>9.1935708948709962</v>
      </c>
      <c r="G290" s="21">
        <f ca="1">IF((Prices!Q290-Prices!Q289)*C290&gt;0,1,0)</f>
        <v>0</v>
      </c>
      <c r="H290" s="13">
        <f>ABS(Prices!Q290-Prices!Q289)/Prices!Q289</f>
        <v>0.11808263531360351</v>
      </c>
      <c r="I290" s="21"/>
      <c r="J290" s="4">
        <f t="shared" ref="J290" ca="1" si="274">O290+T290</f>
        <v>-2.9033242591191606E-4</v>
      </c>
      <c r="K290" s="13"/>
      <c r="L290" s="13">
        <f ca="1">L289-O290*Prices!Q290</f>
        <v>4.1358675822105084</v>
      </c>
      <c r="M290" s="4">
        <f t="shared" ref="M290" ca="1" si="275">M289+O290</f>
        <v>2.8742910165279689E-2</v>
      </c>
      <c r="N290" s="13">
        <f ca="1">IF(Prices!P289&gt;OFFSET(Prices!P289,-$N$3,0),1,-1)</f>
        <v>-1</v>
      </c>
      <c r="O290" s="4">
        <f ca="1">IF(N290=1,O$3*L289/Prices!Q289,-O$3*M289)</f>
        <v>-2.9033242591191606E-4</v>
      </c>
      <c r="P290" s="22"/>
      <c r="Q290" s="13">
        <f ca="1">Q289-T290*Prices!Q290</f>
        <v>1</v>
      </c>
      <c r="R290" s="4">
        <f t="shared" ca="1" si="211"/>
        <v>0.01</v>
      </c>
      <c r="S290" s="13">
        <f ca="1">IF(Prices!D289&gt;OFFSET(Prices!D289,-S$3,0),1,-1)</f>
        <v>-1</v>
      </c>
      <c r="T290" s="4">
        <f ca="1">IF(S290=1,T$3*Q289/Prices!Q289,-T$3*R289)</f>
        <v>0</v>
      </c>
      <c r="V290" s="13"/>
      <c r="W290" s="4"/>
      <c r="X290" s="4"/>
      <c r="Y290" s="4"/>
      <c r="Z290" s="4"/>
      <c r="AA290" s="4"/>
      <c r="AB290" s="4"/>
      <c r="AC290" s="4"/>
      <c r="AD290" s="4"/>
      <c r="AE290" s="52"/>
    </row>
    <row r="291" spans="1:31" x14ac:dyDescent="0.2">
      <c r="A291" s="66">
        <v>44232</v>
      </c>
      <c r="B291" s="13">
        <f ca="1">Prices!Q290*(1+J291/(50*(ABS(O291)+ABS(T291)+0.0001)))</f>
        <v>1362.0092779411473</v>
      </c>
      <c r="C291" s="62">
        <f t="shared" ca="1" si="45"/>
        <v>0</v>
      </c>
      <c r="D291" s="13">
        <f ca="1">D290+C291*(Prices!Q291-Prices!Q290)/Prices!Q290</f>
        <v>9.1935708948709962</v>
      </c>
      <c r="E291" s="13">
        <f t="shared" ref="E291" ca="1" si="276">F291-D291</f>
        <v>0</v>
      </c>
      <c r="F291" s="13">
        <f t="shared" ref="F291" ca="1" si="277">MAX(F290,D291)</f>
        <v>9.1935708948709962</v>
      </c>
      <c r="G291" s="21">
        <f ca="1">IF((Prices!Q291-Prices!Q290)*C291&gt;0,1,0)</f>
        <v>0</v>
      </c>
      <c r="H291" s="13">
        <f>ABS(Prices!Q291-Prices!Q290)/Prices!Q290</f>
        <v>0.24312658383325197</v>
      </c>
      <c r="I291" s="21"/>
      <c r="J291" s="4">
        <f t="shared" ref="J291" ca="1" si="278">O291+T291</f>
        <v>-2.8742910165279687E-4</v>
      </c>
      <c r="K291" s="13"/>
      <c r="L291" s="13">
        <f ca="1">L290-O291*Prices!Q291</f>
        <v>4.6298578604162683</v>
      </c>
      <c r="M291" s="4">
        <f t="shared" ref="M291" ca="1" si="279">M290+O291</f>
        <v>2.8455481063626893E-2</v>
      </c>
      <c r="N291" s="13">
        <f ca="1">IF(Prices!P290&gt;OFFSET(Prices!P290,-$N$3,0),1,-1)</f>
        <v>-1</v>
      </c>
      <c r="O291" s="4">
        <f ca="1">IF(N291=1,O$3*L290/Prices!Q290,-O$3*M290)</f>
        <v>-2.8742910165279687E-4</v>
      </c>
      <c r="P291" s="22"/>
      <c r="Q291" s="13">
        <f ca="1">Q290-T291*Prices!Q291</f>
        <v>1</v>
      </c>
      <c r="R291" s="4">
        <f t="shared" ca="1" si="211"/>
        <v>0.01</v>
      </c>
      <c r="S291" s="13">
        <f ca="1">IF(Prices!D290&gt;OFFSET(Prices!D290,-S$3,0),1,-1)</f>
        <v>-1</v>
      </c>
      <c r="T291" s="4">
        <f ca="1">IF(S291=1,T$3*Q290/Prices!Q290,-T$3*R290)</f>
        <v>0</v>
      </c>
      <c r="V291" s="13"/>
      <c r="W291" s="4"/>
      <c r="X291" s="4"/>
      <c r="Y291" s="4"/>
      <c r="Z291" s="4"/>
      <c r="AA291" s="4"/>
      <c r="AB291" s="4"/>
      <c r="AC291" s="4"/>
      <c r="AD291" s="4"/>
      <c r="AE291" s="52"/>
    </row>
    <row r="292" spans="1:31" x14ac:dyDescent="0.2">
      <c r="A292" s="66">
        <v>44239</v>
      </c>
      <c r="B292" s="13">
        <f ca="1">Prices!Q291*(1+J292/(50*(ABS(O292)+ABS(T292)+0.0001)))</f>
        <v>1725.9455027189297</v>
      </c>
      <c r="C292" s="62">
        <f t="shared" ca="1" si="45"/>
        <v>1</v>
      </c>
      <c r="D292" s="13">
        <f ca="1">D291+C292*(Prices!Q292-Prices!Q291)/Prices!Q291</f>
        <v>9.2662335371364595</v>
      </c>
      <c r="E292" s="13">
        <f t="shared" ref="E292" ca="1" si="280">F292-D292</f>
        <v>0</v>
      </c>
      <c r="F292" s="13">
        <f t="shared" ref="F292" ca="1" si="281">MAX(F291,D292)</f>
        <v>9.2662335371364595</v>
      </c>
      <c r="G292" s="21">
        <f ca="1">IF((Prices!Q292-Prices!Q291)*C292&gt;0,1,0)</f>
        <v>1</v>
      </c>
      <c r="H292" s="13">
        <f>ABS(Prices!Q292-Prices!Q291)/Prices!Q291</f>
        <v>7.266264226546261E-2</v>
      </c>
      <c r="I292" s="21"/>
      <c r="J292" s="4">
        <f t="shared" ref="J292" ca="1" si="282">O292+T292</f>
        <v>2.6938908401863207E-5</v>
      </c>
      <c r="K292" s="13"/>
      <c r="L292" s="13">
        <f ca="1">L291-O292*Prices!Q292</f>
        <v>4.5801951047575917</v>
      </c>
      <c r="M292" s="4">
        <f t="shared" ref="M292" ca="1" si="283">M291+O292</f>
        <v>2.8482419972028758E-2</v>
      </c>
      <c r="N292" s="13">
        <f ca="1">IF(Prices!P291&gt;OFFSET(Prices!P291,-$N$3,0),1,-1)</f>
        <v>1</v>
      </c>
      <c r="O292" s="4">
        <f ca="1">IF(N292=1,O$3*L291/Prices!Q291,-O$3*M291)</f>
        <v>2.6938908401863207E-5</v>
      </c>
      <c r="P292" s="22"/>
      <c r="Q292" s="13">
        <f ca="1">Q291-T292*Prices!Q292</f>
        <v>1</v>
      </c>
      <c r="R292" s="4">
        <f t="shared" ca="1" si="211"/>
        <v>0.01</v>
      </c>
      <c r="S292" s="13">
        <f ca="1">IF(Prices!D291&gt;OFFSET(Prices!D291,-S$3,0),1,-1)</f>
        <v>1</v>
      </c>
      <c r="T292" s="4">
        <f ca="1">IF(S292=1,T$3*Q291/Prices!Q291,-T$3*R291)</f>
        <v>0</v>
      </c>
      <c r="V292" s="13"/>
      <c r="W292" s="4"/>
      <c r="X292" s="4"/>
      <c r="Y292" s="4"/>
      <c r="Z292" s="4"/>
      <c r="AA292" s="4"/>
      <c r="AB292" s="4"/>
      <c r="AC292" s="4"/>
      <c r="AD292" s="4"/>
      <c r="AE292" s="52"/>
    </row>
    <row r="293" spans="1:31" x14ac:dyDescent="0.2">
      <c r="A293" s="66">
        <v>44246</v>
      </c>
      <c r="B293" s="13">
        <f ca="1">Prices!Q292*(1+J293/(50*(ABS(O293)+ABS(T293)+0.0001)))</f>
        <v>1850.870023202139</v>
      </c>
      <c r="C293" s="62">
        <f t="shared" ca="1" si="45"/>
        <v>1</v>
      </c>
      <c r="D293" s="13">
        <f ca="1">D292+C293*(Prices!Q293-Prices!Q292)/Prices!Q292</f>
        <v>9.3294991405995393</v>
      </c>
      <c r="E293" s="13">
        <f t="shared" ref="E293" ca="1" si="284">F293-D293</f>
        <v>0</v>
      </c>
      <c r="F293" s="13">
        <f t="shared" ref="F293" ca="1" si="285">MAX(F292,D293)</f>
        <v>9.3294991405995393</v>
      </c>
      <c r="G293" s="21">
        <f ca="1">IF((Prices!Q293-Prices!Q292)*C293&gt;0,1,0)</f>
        <v>1</v>
      </c>
      <c r="H293" s="13">
        <f>ABS(Prices!Q293-Prices!Q292)/Prices!Q292</f>
        <v>6.3265603463079106E-2</v>
      </c>
      <c r="I293" s="21"/>
      <c r="J293" s="4">
        <f t="shared" ref="J293" ca="1" si="286">O293+T293</f>
        <v>2.4844665736580183E-5</v>
      </c>
      <c r="K293" s="13"/>
      <c r="L293" s="13">
        <f ca="1">L292-O293*Prices!Q293</f>
        <v>4.5314954656372048</v>
      </c>
      <c r="M293" s="4">
        <f t="shared" ref="M293" ca="1" si="287">M292+O293</f>
        <v>2.8507264637765338E-2</v>
      </c>
      <c r="N293" s="13">
        <f ca="1">IF(Prices!P292&gt;OFFSET(Prices!P292,-$N$3,0),1,-1)</f>
        <v>1</v>
      </c>
      <c r="O293" s="4">
        <f ca="1">IF(N293=1,O$3*L292/Prices!Q292,-O$3*M292)</f>
        <v>2.4844665736580183E-5</v>
      </c>
      <c r="P293" s="22"/>
      <c r="Q293" s="13">
        <f ca="1">Q292-T293*Prices!Q293</f>
        <v>1</v>
      </c>
      <c r="R293" s="4">
        <f t="shared" ca="1" si="211"/>
        <v>0.01</v>
      </c>
      <c r="S293" s="13">
        <f ca="1">IF(Prices!D292&gt;OFFSET(Prices!D292,-S$3,0),1,-1)</f>
        <v>-1</v>
      </c>
      <c r="T293" s="4">
        <f ca="1">IF(S293=1,T$3*Q292/Prices!Q292,-T$3*R292)</f>
        <v>0</v>
      </c>
      <c r="V293" s="13"/>
      <c r="W293" s="4"/>
      <c r="X293" s="4"/>
      <c r="Y293" s="4"/>
      <c r="Z293" s="4"/>
      <c r="AA293" s="4"/>
      <c r="AB293" s="4"/>
      <c r="AC293" s="4"/>
      <c r="AD293" s="4"/>
      <c r="AE293" s="52"/>
    </row>
    <row r="294" spans="1:31" x14ac:dyDescent="0.2">
      <c r="A294" s="66">
        <v>44253</v>
      </c>
      <c r="B294" s="13">
        <f ca="1">Prices!Q293*(1+J294/(50*(ABS(O294)+ABS(T294)+0.0001)))</f>
        <v>1967.5260224434905</v>
      </c>
      <c r="C294" s="62">
        <f t="shared" ca="1" si="45"/>
        <v>1</v>
      </c>
      <c r="D294" s="13">
        <f ca="1">D293+C294*(Prices!Q294-Prices!Q293)/Prices!Q293</f>
        <v>9.0672094059244497</v>
      </c>
      <c r="E294" s="13">
        <f t="shared" ref="E294" ca="1" si="288">F294-D294</f>
        <v>0.26228973467508965</v>
      </c>
      <c r="F294" s="13">
        <f t="shared" ref="F294" ca="1" si="289">MAX(F293,D294)</f>
        <v>9.3294991405995393</v>
      </c>
      <c r="G294" s="21">
        <f ca="1">IF((Prices!Q294-Prices!Q293)*C294&gt;0,1,0)</f>
        <v>0</v>
      </c>
      <c r="H294" s="13">
        <f>ABS(Prices!Q294-Prices!Q293)/Prices!Q293</f>
        <v>0.26228973467508881</v>
      </c>
      <c r="I294" s="21"/>
      <c r="J294" s="4">
        <f t="shared" ref="J294" ca="1" si="290">O294+T294</f>
        <v>2.3117931090264302E-5</v>
      </c>
      <c r="K294" s="13"/>
      <c r="L294" s="13">
        <f ca="1">L293-O294*Prices!Q294</f>
        <v>4.4980661584144661</v>
      </c>
      <c r="M294" s="4">
        <f t="shared" ref="M294" ca="1" si="291">M293+O294</f>
        <v>2.8530382568855601E-2</v>
      </c>
      <c r="N294" s="13">
        <f ca="1">IF(Prices!P293&gt;OFFSET(Prices!P293,-$N$3,0),1,-1)</f>
        <v>1</v>
      </c>
      <c r="O294" s="4">
        <f ca="1">IF(N294=1,O$3*L293/Prices!Q293,-O$3*M293)</f>
        <v>2.3117931090264302E-5</v>
      </c>
      <c r="P294" s="22"/>
      <c r="Q294" s="13">
        <f ca="1">Q293-T294*Prices!Q294</f>
        <v>1</v>
      </c>
      <c r="R294" s="4">
        <f t="shared" ca="1" si="211"/>
        <v>0.01</v>
      </c>
      <c r="S294" s="13">
        <f ca="1">IF(Prices!D293&gt;OFFSET(Prices!D293,-S$3,0),1,-1)</f>
        <v>1</v>
      </c>
      <c r="T294" s="4">
        <f ca="1">IF(S294=1,T$3*Q293/Prices!Q293,-T$3*R293)</f>
        <v>0</v>
      </c>
      <c r="V294" s="13"/>
      <c r="W294" s="4"/>
      <c r="X294" s="4"/>
      <c r="Y294" s="4"/>
      <c r="Z294" s="4"/>
      <c r="AA294" s="4"/>
      <c r="AB294" s="4"/>
      <c r="AC294" s="4"/>
      <c r="AD294" s="4"/>
      <c r="AE294" s="52"/>
    </row>
    <row r="295" spans="1:31" x14ac:dyDescent="0.2">
      <c r="A295" s="66">
        <v>44260</v>
      </c>
      <c r="B295" s="13">
        <f ca="1">Prices!Q294*(1+J295/(50*(ABS(O295)+ABS(T295)+0.0001)))</f>
        <v>1424.6189571400607</v>
      </c>
      <c r="C295" s="62">
        <f t="shared" ca="1" si="45"/>
        <v>0</v>
      </c>
      <c r="D295" s="13">
        <f ca="1">D294+C295*(Prices!Q295-Prices!Q294)/Prices!Q294</f>
        <v>9.0672094059244497</v>
      </c>
      <c r="E295" s="13">
        <f t="shared" ref="E295" ca="1" si="292">F295-D295</f>
        <v>0.26228973467508965</v>
      </c>
      <c r="F295" s="13">
        <f t="shared" ref="F295" ca="1" si="293">MAX(F294,D295)</f>
        <v>9.3294991405995393</v>
      </c>
      <c r="G295" s="21">
        <f ca="1">IF((Prices!Q295-Prices!Q294)*C295&gt;0,1,0)</f>
        <v>0</v>
      </c>
      <c r="H295" s="13">
        <f>ABS(Prices!Q295-Prices!Q294)/Prices!Q294</f>
        <v>6.0331466371069453E-2</v>
      </c>
      <c r="I295" s="21"/>
      <c r="J295" s="4">
        <f t="shared" ref="J295" ca="1" si="294">O295+T295</f>
        <v>-2.8530382568855604E-4</v>
      </c>
      <c r="K295" s="13"/>
      <c r="L295" s="13">
        <f ca="1">L294-O295*Prices!Q295</f>
        <v>4.9355153885943785</v>
      </c>
      <c r="M295" s="4">
        <f t="shared" ref="M295" ca="1" si="295">M294+O295</f>
        <v>2.8245078743167045E-2</v>
      </c>
      <c r="N295" s="13">
        <f ca="1">IF(Prices!P294&gt;OFFSET(Prices!P294,-$N$3,0),1,-1)</f>
        <v>-1</v>
      </c>
      <c r="O295" s="4">
        <f ca="1">IF(N295=1,O$3*L294/Prices!Q294,-O$3*M294)</f>
        <v>-2.8530382568855604E-4</v>
      </c>
      <c r="P295" s="22"/>
      <c r="Q295" s="13">
        <f ca="1">Q294-T295*Prices!Q295</f>
        <v>1</v>
      </c>
      <c r="R295" s="4">
        <f t="shared" ca="1" si="211"/>
        <v>0.01</v>
      </c>
      <c r="S295" s="13">
        <f ca="1">IF(Prices!D294&gt;OFFSET(Prices!D294,-S$3,0),1,-1)</f>
        <v>1</v>
      </c>
      <c r="T295" s="4">
        <f ca="1">IF(S295=1,T$3*Q294/Prices!Q294,-T$3*R294)</f>
        <v>0</v>
      </c>
      <c r="V295" s="13"/>
      <c r="W295" s="4"/>
      <c r="X295" s="4"/>
      <c r="Y295" s="4"/>
      <c r="Z295" s="4"/>
      <c r="AA295" s="4"/>
      <c r="AB295" s="4"/>
      <c r="AC295" s="4"/>
      <c r="AD295" s="4"/>
      <c r="AE295" s="52"/>
    </row>
    <row r="296" spans="1:31" x14ac:dyDescent="0.2">
      <c r="A296" s="66">
        <v>44267</v>
      </c>
      <c r="B296" s="13">
        <f ca="1">Prices!Q295*(1+J296/(50*(ABS(O296)+ABS(T296)+0.0001)))</f>
        <v>1510.6276794469188</v>
      </c>
      <c r="C296" s="62">
        <f t="shared" ca="1" si="45"/>
        <v>0</v>
      </c>
      <c r="D296" s="13">
        <f ca="1">D295+C296*(Prices!Q296-Prices!Q295)/Prices!Q295</f>
        <v>9.0672094059244497</v>
      </c>
      <c r="E296" s="13">
        <f t="shared" ref="E296" ca="1" si="296">F296-D296</f>
        <v>0.26228973467508965</v>
      </c>
      <c r="F296" s="13">
        <f t="shared" ref="F296" ca="1" si="297">MAX(F295,D296)</f>
        <v>9.3294991405995393</v>
      </c>
      <c r="G296" s="21">
        <f ca="1">IF((Prices!Q296-Prices!Q295)*C296&gt;0,1,0)</f>
        <v>0</v>
      </c>
      <c r="H296" s="13">
        <f>ABS(Prices!Q296-Prices!Q295)/Prices!Q295</f>
        <v>0.15576291875996803</v>
      </c>
      <c r="I296" s="21"/>
      <c r="J296" s="4">
        <f t="shared" ref="J296" ca="1" si="298">O296+T296</f>
        <v>-2.8245078743167044E-4</v>
      </c>
      <c r="K296" s="13"/>
      <c r="L296" s="13">
        <f ca="1">L295-O296*Prices!Q296</f>
        <v>5.4360471116855953</v>
      </c>
      <c r="M296" s="4">
        <f t="shared" ref="M296" ca="1" si="299">M295+O296</f>
        <v>2.7962627955735373E-2</v>
      </c>
      <c r="N296" s="13">
        <f ca="1">IF(Prices!P295&gt;OFFSET(Prices!P295,-$N$3,0),1,-1)</f>
        <v>-1</v>
      </c>
      <c r="O296" s="4">
        <f ca="1">IF(N296=1,O$3*L295/Prices!Q295,-O$3*M295)</f>
        <v>-2.8245078743167044E-4</v>
      </c>
      <c r="P296" s="22"/>
      <c r="Q296" s="13">
        <f ca="1">Q295-T296*Prices!Q296</f>
        <v>1</v>
      </c>
      <c r="R296" s="4">
        <f t="shared" ca="1" si="211"/>
        <v>0.01</v>
      </c>
      <c r="S296" s="13">
        <f ca="1">IF(Prices!D295&gt;OFFSET(Prices!D295,-S$3,0),1,-1)</f>
        <v>1</v>
      </c>
      <c r="T296" s="4">
        <f ca="1">IF(S296=1,T$3*Q295/Prices!Q295,-T$3*R295)</f>
        <v>0</v>
      </c>
      <c r="V296" s="13"/>
      <c r="W296" s="4"/>
      <c r="X296" s="4"/>
      <c r="Y296" s="4"/>
      <c r="Z296" s="4"/>
      <c r="AA296" s="4"/>
      <c r="AB296" s="4"/>
      <c r="AC296" s="4"/>
      <c r="AD296" s="4"/>
      <c r="AE296" s="52"/>
    </row>
    <row r="297" spans="1:31" x14ac:dyDescent="0.2">
      <c r="A297" s="66">
        <v>44274</v>
      </c>
      <c r="B297" s="13">
        <f ca="1">Prices!Q296*(1+J297/(50*(ABS(O297)+ABS(T297)+0.0001)))</f>
        <v>1780.4223224909526</v>
      </c>
      <c r="C297" s="62">
        <f t="shared" ref="C297:C329" ca="1" si="300">IF(J297&gt;0,1,IF(J297&lt;0,0,0))</f>
        <v>1</v>
      </c>
      <c r="D297" s="13">
        <f ca="1">D296+C297*(Prices!Q297-Prices!Q296)/Prices!Q296</f>
        <v>9.0928973845442549</v>
      </c>
      <c r="E297" s="13">
        <f t="shared" ref="E297" ca="1" si="301">F297-D297</f>
        <v>0.23660175605528444</v>
      </c>
      <c r="F297" s="13">
        <f t="shared" ref="F297" ca="1" si="302">MAX(F296,D297)</f>
        <v>9.3294991405995393</v>
      </c>
      <c r="G297" s="21">
        <f ca="1">IF((Prices!Q297-Prices!Q296)*C297&gt;0,1,0)</f>
        <v>1</v>
      </c>
      <c r="H297" s="13">
        <f>ABS(Prices!Q297-Prices!Q296)/Prices!Q296</f>
        <v>2.5687978619804597E-2</v>
      </c>
      <c r="I297" s="21"/>
      <c r="J297" s="4">
        <f t="shared" ref="J297" ca="1" si="303">O297+T297</f>
        <v>3.0675693794765562E-5</v>
      </c>
      <c r="K297" s="13"/>
      <c r="L297" s="13">
        <f ca="1">L296-O297*Prices!Q297</f>
        <v>5.380290229948927</v>
      </c>
      <c r="M297" s="4">
        <f t="shared" ref="M297" ca="1" si="304">M296+O297</f>
        <v>2.7993303649530139E-2</v>
      </c>
      <c r="N297" s="13">
        <f ca="1">IF(Prices!P296&gt;OFFSET(Prices!P296,-$N$3,0),1,-1)</f>
        <v>1</v>
      </c>
      <c r="O297" s="4">
        <f ca="1">IF(N297=1,O$3*L296/Prices!Q296,-O$3*M296)</f>
        <v>3.0675693794765562E-5</v>
      </c>
      <c r="P297" s="22"/>
      <c r="Q297" s="13">
        <f ca="1">Q296-T297*Prices!Q297</f>
        <v>1</v>
      </c>
      <c r="R297" s="4">
        <f t="shared" ca="1" si="211"/>
        <v>0.01</v>
      </c>
      <c r="S297" s="13">
        <f ca="1">IF(Prices!D296&gt;OFFSET(Prices!D296,-S$3,0),1,-1)</f>
        <v>1</v>
      </c>
      <c r="T297" s="4">
        <f ca="1">IF(S297=1,T$3*Q296/Prices!Q296,-T$3*R296)</f>
        <v>0</v>
      </c>
      <c r="V297" s="13"/>
      <c r="W297" s="4"/>
      <c r="X297" s="4"/>
      <c r="Y297" s="4"/>
      <c r="Z297" s="4"/>
      <c r="AA297" s="4"/>
      <c r="AB297" s="4"/>
      <c r="AC297" s="4"/>
      <c r="AD297" s="4"/>
      <c r="AE297" s="52"/>
    </row>
    <row r="298" spans="1:31" x14ac:dyDescent="0.2">
      <c r="A298" s="66">
        <v>44281</v>
      </c>
      <c r="B298" s="13">
        <f ca="1">Prices!Q297*(1+J298/(50*(ABS(O298)+ABS(T298)+0.0001)))</f>
        <v>1825.9270197533683</v>
      </c>
      <c r="C298" s="62">
        <f t="shared" ca="1" si="300"/>
        <v>1</v>
      </c>
      <c r="D298" s="13">
        <f ca="1">D297+C298*(Prices!Q298-Prices!Q297)/Prices!Q297</f>
        <v>9.0297478575902925</v>
      </c>
      <c r="E298" s="13">
        <f t="shared" ref="E298" ca="1" si="305">F298-D298</f>
        <v>0.29975128300924681</v>
      </c>
      <c r="F298" s="13">
        <f t="shared" ref="F298" ca="1" si="306">MAX(F297,D298)</f>
        <v>9.3294991405995393</v>
      </c>
      <c r="G298" s="21">
        <f ca="1">IF((Prices!Q298-Prices!Q297)*C298&gt;0,1,0)</f>
        <v>0</v>
      </c>
      <c r="H298" s="13">
        <f>ABS(Prices!Q298-Prices!Q297)/Prices!Q297</f>
        <v>6.3149526953962462E-2</v>
      </c>
      <c r="I298" s="21"/>
      <c r="J298" s="4">
        <f t="shared" ref="J298" ca="1" si="307">O298+T298</f>
        <v>2.9600675374989913E-5</v>
      </c>
      <c r="K298" s="13"/>
      <c r="L298" s="13">
        <f ca="1">L297-O298*Prices!Q298</f>
        <v>5.3298849554784011</v>
      </c>
      <c r="M298" s="4">
        <f t="shared" ref="M298" ca="1" si="308">M297+O298</f>
        <v>2.8022904324905128E-2</v>
      </c>
      <c r="N298" s="13">
        <f ca="1">IF(Prices!P297&gt;OFFSET(Prices!P297,-$N$3,0),1,-1)</f>
        <v>1</v>
      </c>
      <c r="O298" s="4">
        <f ca="1">IF(N298=1,O$3*L297/Prices!Q297,-O$3*M297)</f>
        <v>2.9600675374989913E-5</v>
      </c>
      <c r="P298" s="22"/>
      <c r="Q298" s="13">
        <f ca="1">Q297-T298*Prices!Q298</f>
        <v>1</v>
      </c>
      <c r="R298" s="4">
        <f t="shared" ca="1" si="211"/>
        <v>0.01</v>
      </c>
      <c r="S298" s="13">
        <f ca="1">IF(Prices!D297&gt;OFFSET(Prices!D297,-S$3,0),1,-1)</f>
        <v>1</v>
      </c>
      <c r="T298" s="4">
        <f ca="1">IF(S298=1,T$3*Q297/Prices!Q297,-T$3*R297)</f>
        <v>0</v>
      </c>
      <c r="V298" s="13"/>
      <c r="W298" s="4"/>
      <c r="X298" s="4"/>
      <c r="Y298" s="4"/>
      <c r="Z298" s="4"/>
      <c r="AA298" s="4"/>
      <c r="AB298" s="4"/>
      <c r="AC298" s="4"/>
      <c r="AD298" s="4"/>
      <c r="AE298" s="52"/>
    </row>
    <row r="299" spans="1:31" x14ac:dyDescent="0.2">
      <c r="A299" s="66">
        <v>44288</v>
      </c>
      <c r="B299" s="13">
        <f ca="1">Prices!Q298*(1+J299/(50*(ABS(O299)+ABS(T299)+0.0001)))</f>
        <v>1677.7421279646283</v>
      </c>
      <c r="C299" s="62">
        <f t="shared" ca="1" si="300"/>
        <v>0</v>
      </c>
      <c r="D299" s="13">
        <f ca="1">D298+C299*(Prices!Q299-Prices!Q298)/Prices!Q298</f>
        <v>9.0297478575902925</v>
      </c>
      <c r="E299" s="13">
        <f t="shared" ref="E299" ca="1" si="309">F299-D299</f>
        <v>0.29975128300924681</v>
      </c>
      <c r="F299" s="13">
        <f t="shared" ref="F299" ca="1" si="310">MAX(F298,D299)</f>
        <v>9.3294991405995393</v>
      </c>
      <c r="G299" s="21">
        <f ca="1">IF((Prices!Q299-Prices!Q298)*C299&gt;0,1,0)</f>
        <v>0</v>
      </c>
      <c r="H299" s="13">
        <f>ABS(Prices!Q299-Prices!Q298)/Prices!Q298</f>
        <v>0.2586167914561136</v>
      </c>
      <c r="I299" s="21"/>
      <c r="J299" s="4">
        <f t="shared" ref="J299" ca="1" si="311">O299+T299</f>
        <v>-2.8022904324905132E-4</v>
      </c>
      <c r="K299" s="13"/>
      <c r="L299" s="13">
        <f ca="1">L298-O299*Prices!Q299</f>
        <v>5.9304790109100685</v>
      </c>
      <c r="M299" s="4">
        <f t="shared" ref="M299" ca="1" si="312">M298+O299</f>
        <v>2.7742675281656078E-2</v>
      </c>
      <c r="N299" s="13">
        <f ca="1">IF(Prices!P298&gt;OFFSET(Prices!P298,-$N$3,0),1,-1)</f>
        <v>-1</v>
      </c>
      <c r="O299" s="4">
        <f ca="1">IF(N299=1,O$3*L298/Prices!Q298,-O$3*M298)</f>
        <v>-2.8022904324905132E-4</v>
      </c>
      <c r="P299" s="22"/>
      <c r="Q299" s="13">
        <f ca="1">Q298-T299*Prices!Q299</f>
        <v>1</v>
      </c>
      <c r="R299" s="4">
        <f t="shared" ca="1" si="211"/>
        <v>0.01</v>
      </c>
      <c r="S299" s="13">
        <f ca="1">IF(Prices!D298&gt;OFFSET(Prices!D298,-S$3,0),1,-1)</f>
        <v>1</v>
      </c>
      <c r="T299" s="4">
        <f ca="1">IF(S299=1,T$3*Q298/Prices!Q298,-T$3*R298)</f>
        <v>0</v>
      </c>
      <c r="V299" s="13"/>
      <c r="W299" s="4"/>
      <c r="X299" s="4"/>
      <c r="Y299" s="4"/>
      <c r="Z299" s="4"/>
      <c r="AA299" s="4"/>
      <c r="AB299" s="4"/>
      <c r="AC299" s="4"/>
      <c r="AD299" s="4"/>
      <c r="AE299" s="52"/>
    </row>
    <row r="300" spans="1:31" x14ac:dyDescent="0.2">
      <c r="A300" s="66">
        <v>44295</v>
      </c>
      <c r="B300" s="13">
        <f ca="1">Prices!Q299*(1+J300/(50*(ABS(O300)+ABS(T300)+0.0001)))</f>
        <v>2152.5158520595751</v>
      </c>
      <c r="C300" s="62">
        <f t="shared" ca="1" si="300"/>
        <v>1</v>
      </c>
      <c r="D300" s="13">
        <f ca="1">D299+C300*(Prices!Q300-Prices!Q299)/Prices!Q299</f>
        <v>8.996565770056181</v>
      </c>
      <c r="E300" s="13">
        <f t="shared" ref="E300" ca="1" si="313">F300-D300</f>
        <v>0.33293337054335836</v>
      </c>
      <c r="F300" s="13">
        <f t="shared" ref="F300" ca="1" si="314">MAX(F299,D300)</f>
        <v>9.3294991405995393</v>
      </c>
      <c r="G300" s="21">
        <f ca="1">IF((Prices!Q300-Prices!Q299)*C300&gt;0,1,0)</f>
        <v>0</v>
      </c>
      <c r="H300" s="13">
        <f>ABS(Prices!Q300-Prices!Q299)/Prices!Q299</f>
        <v>3.3182087534111844E-2</v>
      </c>
      <c r="I300" s="21"/>
      <c r="J300" s="4">
        <f t="shared" ref="J300" ca="1" si="315">O300+T300</f>
        <v>2.7670810994648456E-5</v>
      </c>
      <c r="K300" s="13"/>
      <c r="L300" s="13">
        <f ca="1">L299-O300*Prices!Q300</f>
        <v>5.87314207753756</v>
      </c>
      <c r="M300" s="4">
        <f t="shared" ref="M300" ca="1" si="316">M299+O300</f>
        <v>2.7770346092650725E-2</v>
      </c>
      <c r="N300" s="13">
        <f ca="1">IF(Prices!P299&gt;OFFSET(Prices!P299,-$N$3,0),1,-1)</f>
        <v>1</v>
      </c>
      <c r="O300" s="4">
        <f ca="1">IF(N300=1,O$3*L299/Prices!Q299,-O$3*M299)</f>
        <v>2.7670810994648456E-5</v>
      </c>
      <c r="P300" s="22"/>
      <c r="Q300" s="13">
        <f ca="1">Q299-T300*Prices!Q300</f>
        <v>1</v>
      </c>
      <c r="R300" s="4">
        <f t="shared" ca="1" si="211"/>
        <v>0.01</v>
      </c>
      <c r="S300" s="13">
        <f ca="1">IF(Prices!D299&gt;OFFSET(Prices!D299,-S$3,0),1,-1)</f>
        <v>1</v>
      </c>
      <c r="T300" s="4">
        <f ca="1">IF(S300=1,T$3*Q299/Prices!Q299,-T$3*R299)</f>
        <v>0</v>
      </c>
      <c r="V300" s="13"/>
      <c r="W300" s="4"/>
      <c r="X300" s="4"/>
      <c r="Y300" s="4"/>
      <c r="Z300" s="4"/>
      <c r="AA300" s="4"/>
      <c r="AB300" s="4"/>
      <c r="AC300" s="4"/>
      <c r="AD300" s="4"/>
      <c r="AE300" s="52"/>
    </row>
    <row r="301" spans="1:31" x14ac:dyDescent="0.2">
      <c r="A301" s="66">
        <v>44302</v>
      </c>
      <c r="B301" s="13">
        <f ca="1">Prices!Q300*(1+J301/(50*(ABS(O301)+ABS(T301)+0.0001)))</f>
        <v>2081.2610899100869</v>
      </c>
      <c r="C301" s="62">
        <f t="shared" ca="1" si="300"/>
        <v>1</v>
      </c>
      <c r="D301" s="13">
        <f ca="1">D300+C301*(Prices!Q301-Prices!Q300)/Prices!Q300</f>
        <v>9.1702234616270974</v>
      </c>
      <c r="E301" s="13">
        <f t="shared" ref="E301" ca="1" si="317">F301-D301</f>
        <v>0.15927567897244188</v>
      </c>
      <c r="F301" s="13">
        <f t="shared" ref="F301" ca="1" si="318">MAX(F300,D301)</f>
        <v>9.3294991405995393</v>
      </c>
      <c r="G301" s="21">
        <f ca="1">IF((Prices!Q301-Prices!Q300)*C301&gt;0,1,0)</f>
        <v>1</v>
      </c>
      <c r="H301" s="13">
        <f>ABS(Prices!Q301-Prices!Q300)/Prices!Q300</f>
        <v>0.17365769157091598</v>
      </c>
      <c r="I301" s="21"/>
      <c r="J301" s="4">
        <f t="shared" ref="J301" ca="1" si="319">O301+T301</f>
        <v>2.8343790784280153E-5</v>
      </c>
      <c r="K301" s="13"/>
      <c r="L301" s="13">
        <f ca="1">L300-O301*Prices!Q301</f>
        <v>5.804211493807653</v>
      </c>
      <c r="M301" s="4">
        <f t="shared" ref="M301" ca="1" si="320">M300+O301</f>
        <v>2.7798689883435004E-2</v>
      </c>
      <c r="N301" s="13">
        <f ca="1">IF(Prices!P300&gt;OFFSET(Prices!P300,-$N$3,0),1,-1)</f>
        <v>1</v>
      </c>
      <c r="O301" s="4">
        <f ca="1">IF(N301=1,O$3*L300/Prices!Q300,-O$3*M300)</f>
        <v>2.8343790784280153E-5</v>
      </c>
      <c r="P301" s="22"/>
      <c r="Q301" s="13">
        <f ca="1">Q300-T301*Prices!Q301</f>
        <v>1</v>
      </c>
      <c r="R301" s="4">
        <f t="shared" ca="1" si="211"/>
        <v>0.01</v>
      </c>
      <c r="S301" s="13">
        <f ca="1">IF(Prices!D300&gt;OFFSET(Prices!D300,-S$3,0),1,-1)</f>
        <v>1</v>
      </c>
      <c r="T301" s="4">
        <f ca="1">IF(S301=1,T$3*Q300/Prices!Q300,-T$3*R300)</f>
        <v>0</v>
      </c>
      <c r="V301" s="13"/>
      <c r="W301" s="4"/>
      <c r="X301" s="4"/>
      <c r="Y301" s="4"/>
      <c r="Z301" s="4"/>
      <c r="AA301" s="4"/>
      <c r="AB301" s="4"/>
      <c r="AC301" s="4"/>
      <c r="AD301" s="4"/>
      <c r="AE301" s="52"/>
    </row>
    <row r="302" spans="1:31" x14ac:dyDescent="0.2">
      <c r="A302" s="66">
        <v>44309</v>
      </c>
      <c r="B302" s="13">
        <f ca="1">Prices!Q301*(1+J302/(50*(ABS(O302)+ABS(T302)+0.0001)))</f>
        <v>2441.3182521973117</v>
      </c>
      <c r="C302" s="62">
        <f t="shared" ca="1" si="300"/>
        <v>1</v>
      </c>
      <c r="D302" s="13">
        <f ca="1">D301+C302*(Prices!Q302-Prices!Q301)/Prices!Q301</f>
        <v>9.1421141466925828</v>
      </c>
      <c r="E302" s="13">
        <f t="shared" ref="E302" ca="1" si="321">F302-D302</f>
        <v>0.18738499390695651</v>
      </c>
      <c r="F302" s="13">
        <f t="shared" ref="F302" ca="1" si="322">MAX(F301,D302)</f>
        <v>9.3294991405995393</v>
      </c>
      <c r="G302" s="21">
        <f ca="1">IF((Prices!Q302-Prices!Q301)*C302&gt;0,1,0)</f>
        <v>0</v>
      </c>
      <c r="H302" s="13">
        <f>ABS(Prices!Q302-Prices!Q301)/Prices!Q301</f>
        <v>2.8109314934515385E-2</v>
      </c>
      <c r="I302" s="21"/>
      <c r="J302" s="4">
        <f t="shared" ref="J302" ca="1" si="323">O302+T302</f>
        <v>2.3866525908559741E-5</v>
      </c>
      <c r="K302" s="13"/>
      <c r="L302" s="13">
        <f ca="1">L301-O302*Prices!Q302</f>
        <v>5.7478009029578363</v>
      </c>
      <c r="M302" s="4">
        <f t="shared" ref="M302" ca="1" si="324">M301+O302</f>
        <v>2.7822556409343564E-2</v>
      </c>
      <c r="N302" s="13">
        <f ca="1">IF(Prices!P301&gt;OFFSET(Prices!P301,-$N$3,0),1,-1)</f>
        <v>1</v>
      </c>
      <c r="O302" s="4">
        <f ca="1">IF(N302=1,O$3*L301/Prices!Q301,-O$3*M301)</f>
        <v>2.3866525908559741E-5</v>
      </c>
      <c r="P302" s="22"/>
      <c r="Q302" s="13">
        <f ca="1">Q301-T302*Prices!Q302</f>
        <v>1</v>
      </c>
      <c r="R302" s="4">
        <f t="shared" ca="1" si="211"/>
        <v>0.01</v>
      </c>
      <c r="S302" s="13">
        <f ca="1">IF(Prices!D301&gt;OFFSET(Prices!D301,-S$3,0),1,-1)</f>
        <v>1</v>
      </c>
      <c r="T302" s="4">
        <f ca="1">IF(S302=1,T$3*Q301/Prices!Q301,-T$3*R301)</f>
        <v>0</v>
      </c>
      <c r="V302" s="13"/>
      <c r="W302" s="4"/>
      <c r="X302" s="4"/>
      <c r="Y302" s="4"/>
      <c r="Z302" s="4"/>
      <c r="AA302" s="4"/>
      <c r="AB302" s="4"/>
      <c r="AC302" s="4"/>
      <c r="AD302" s="4"/>
      <c r="AE302" s="52"/>
    </row>
    <row r="303" spans="1:31" x14ac:dyDescent="0.2">
      <c r="A303" s="66">
        <v>44316</v>
      </c>
      <c r="B303" s="13">
        <f ca="1">Prices!Q302*(1+J303/(50*(ABS(O303)+ABS(T303)+0.0001)))</f>
        <v>2328.812747245709</v>
      </c>
      <c r="C303" s="62">
        <f t="shared" ca="1" si="300"/>
        <v>0</v>
      </c>
      <c r="D303" s="13">
        <f ca="1">D302+C303*(Prices!Q303-Prices!Q302)/Prices!Q302</f>
        <v>9.1421141466925828</v>
      </c>
      <c r="E303" s="13">
        <f t="shared" ref="E303" ca="1" si="325">F303-D303</f>
        <v>0.18738499390695651</v>
      </c>
      <c r="F303" s="13">
        <f t="shared" ref="F303" ca="1" si="326">MAX(F302,D303)</f>
        <v>9.3294991405995393</v>
      </c>
      <c r="G303" s="21">
        <f ca="1">IF((Prices!Q303-Prices!Q302)*C303&gt;0,1,0)</f>
        <v>0</v>
      </c>
      <c r="H303" s="13">
        <f>ABS(Prices!Q303-Prices!Q302)/Prices!Q302</f>
        <v>0.17330480780412683</v>
      </c>
      <c r="I303" s="21"/>
      <c r="J303" s="4">
        <f t="shared" ref="J303" ca="1" si="327">O303+T303</f>
        <v>-2.7822556409343564E-4</v>
      </c>
      <c r="K303" s="13"/>
      <c r="L303" s="13">
        <f ca="1">L302-O303*Prices!Q303</f>
        <v>6.5193779935056932</v>
      </c>
      <c r="M303" s="4">
        <f t="shared" ref="M303" ca="1" si="328">M302+O303</f>
        <v>2.7544330845250129E-2</v>
      </c>
      <c r="N303" s="13">
        <f ca="1">IF(Prices!P302&gt;OFFSET(Prices!P302,-$N$3,0),1,-1)</f>
        <v>-1</v>
      </c>
      <c r="O303" s="4">
        <f ca="1">IF(N303=1,O$3*L302/Prices!Q302,-O$3*M302)</f>
        <v>-2.7822556409343564E-4</v>
      </c>
      <c r="P303" s="22"/>
      <c r="Q303" s="13">
        <f ca="1">Q302-T303*Prices!Q303</f>
        <v>1</v>
      </c>
      <c r="R303" s="4">
        <f t="shared" ca="1" si="211"/>
        <v>0.01</v>
      </c>
      <c r="S303" s="13">
        <f ca="1">IF(Prices!D302&gt;OFFSET(Prices!D302,-S$3,0),1,-1)</f>
        <v>1</v>
      </c>
      <c r="T303" s="4">
        <f ca="1">IF(S303=1,T$3*Q302/Prices!Q302,-T$3*R302)</f>
        <v>0</v>
      </c>
      <c r="V303" s="13"/>
      <c r="W303" s="4"/>
      <c r="X303" s="4"/>
      <c r="Y303" s="4"/>
      <c r="Z303" s="4"/>
      <c r="AA303" s="4"/>
      <c r="AB303" s="4"/>
      <c r="AC303" s="4"/>
      <c r="AD303" s="4"/>
      <c r="AE303" s="52"/>
    </row>
    <row r="304" spans="1:31" x14ac:dyDescent="0.2">
      <c r="A304" s="66">
        <v>44323</v>
      </c>
      <c r="B304" s="13">
        <f ca="1">Prices!Q303*(1+J304/(50*(ABS(O304)+ABS(T304)+0.0001)))</f>
        <v>2732.5158639212282</v>
      </c>
      <c r="C304" s="62">
        <f t="shared" ca="1" si="300"/>
        <v>0</v>
      </c>
      <c r="D304" s="13">
        <f ca="1">D303+C304*(Prices!Q304-Prices!Q303)/Prices!Q303</f>
        <v>9.1421141466925828</v>
      </c>
      <c r="E304" s="13">
        <f t="shared" ref="E304" ca="1" si="329">F304-D304</f>
        <v>0.18738499390695651</v>
      </c>
      <c r="F304" s="13">
        <f t="shared" ref="F304" ca="1" si="330">MAX(F303,D304)</f>
        <v>9.3294991405995393</v>
      </c>
      <c r="G304" s="21">
        <f ca="1">IF((Prices!Q304-Prices!Q303)*C304&gt;0,1,0)</f>
        <v>0</v>
      </c>
      <c r="H304" s="13">
        <f>ABS(Prices!Q304-Prices!Q303)/Prices!Q303</f>
        <v>0.25657008836568174</v>
      </c>
      <c r="I304" s="21"/>
      <c r="J304" s="4">
        <f t="shared" ref="J304" ca="1" si="331">O304+T304</f>
        <v>-2.7544330845250128E-4</v>
      </c>
      <c r="K304" s="13"/>
      <c r="L304" s="13">
        <f ca="1">L303-O304*Prices!Q304</f>
        <v>7.4792232794278428</v>
      </c>
      <c r="M304" s="4">
        <f t="shared" ref="M304" ca="1" si="332">M303+O304</f>
        <v>2.7268887536797629E-2</v>
      </c>
      <c r="N304" s="13">
        <f ca="1">IF(Prices!P303&gt;OFFSET(Prices!P303,-$N$3,0),1,-1)</f>
        <v>-1</v>
      </c>
      <c r="O304" s="4">
        <f ca="1">IF(N304=1,O$3*L303/Prices!Q303,-O$3*M303)</f>
        <v>-2.7544330845250128E-4</v>
      </c>
      <c r="P304" s="22"/>
      <c r="Q304" s="13">
        <f ca="1">Q303-T304*Prices!Q304</f>
        <v>1</v>
      </c>
      <c r="R304" s="4">
        <f t="shared" ca="1" si="211"/>
        <v>0.01</v>
      </c>
      <c r="S304" s="13">
        <f ca="1">IF(Prices!D303&gt;OFFSET(Prices!D303,-S$3,0),1,-1)</f>
        <v>-1</v>
      </c>
      <c r="T304" s="4">
        <f ca="1">IF(S304=1,T$3*Q303/Prices!Q303,-T$3*R303)</f>
        <v>0</v>
      </c>
      <c r="V304" s="13"/>
      <c r="W304" s="4"/>
      <c r="X304" s="4"/>
      <c r="Y304" s="4"/>
      <c r="Z304" s="4"/>
      <c r="AA304" s="4"/>
      <c r="AB304" s="4"/>
      <c r="AC304" s="4"/>
      <c r="AD304" s="4"/>
      <c r="AE304" s="52"/>
    </row>
    <row r="305" spans="1:31" x14ac:dyDescent="0.2">
      <c r="A305" s="66">
        <v>44330</v>
      </c>
      <c r="B305" s="13">
        <f ca="1">Prices!Q304*(1+J305/(50*(ABS(O305)+ABS(T305)+0.0001)))</f>
        <v>3497.0442476830895</v>
      </c>
      <c r="C305" s="62">
        <f t="shared" ca="1" si="300"/>
        <v>1</v>
      </c>
      <c r="D305" s="13">
        <f ca="1">D304+C305*(Prices!Q305-Prices!Q304)/Prices!Q304</f>
        <v>9.3126663957534976</v>
      </c>
      <c r="E305" s="13">
        <f t="shared" ref="E305" ca="1" si="333">F305-D305</f>
        <v>1.6832744846041692E-2</v>
      </c>
      <c r="F305" s="13">
        <f t="shared" ref="F305" ca="1" si="334">MAX(F304,D305)</f>
        <v>9.3294991405995393</v>
      </c>
      <c r="G305" s="21">
        <f ca="1">IF((Prices!Q305-Prices!Q304)*C305&gt;0,1,0)</f>
        <v>1</v>
      </c>
      <c r="H305" s="13">
        <f>ABS(Prices!Q305-Prices!Q304)/Prices!Q304</f>
        <v>0.17055224906091446</v>
      </c>
      <c r="I305" s="21"/>
      <c r="J305" s="4">
        <f t="shared" ref="J305" ca="1" si="335">O305+T305</f>
        <v>2.1462854847084814E-5</v>
      </c>
      <c r="K305" s="13"/>
      <c r="L305" s="13">
        <f ca="1">L304-O305*Prices!Q305</f>
        <v>7.3916750631182131</v>
      </c>
      <c r="M305" s="4">
        <f t="shared" ref="M305" ca="1" si="336">M304+O305</f>
        <v>2.7290350391644715E-2</v>
      </c>
      <c r="N305" s="13">
        <f ca="1">IF(Prices!P304&gt;OFFSET(Prices!P304,-$N$3,0),1,-1)</f>
        <v>1</v>
      </c>
      <c r="O305" s="4">
        <f ca="1">IF(N305=1,O$3*L304/Prices!Q304,-O$3*M304)</f>
        <v>2.1462854847084814E-5</v>
      </c>
      <c r="P305" s="22"/>
      <c r="Q305" s="13">
        <f ca="1">Q304-T305*Prices!Q305</f>
        <v>1</v>
      </c>
      <c r="R305" s="4">
        <f t="shared" ca="1" si="211"/>
        <v>0.01</v>
      </c>
      <c r="S305" s="13">
        <f ca="1">IF(Prices!D304&gt;OFFSET(Prices!D304,-S$3,0),1,-1)</f>
        <v>-1</v>
      </c>
      <c r="T305" s="4">
        <f ca="1">IF(S305=1,T$3*Q304/Prices!Q304,-T$3*R304)</f>
        <v>0</v>
      </c>
      <c r="V305" s="13"/>
      <c r="W305" s="4"/>
      <c r="X305" s="4"/>
      <c r="Y305" s="4"/>
      <c r="Z305" s="4"/>
      <c r="AA305" s="4"/>
      <c r="AB305" s="4"/>
      <c r="AC305" s="4"/>
      <c r="AD305" s="4"/>
      <c r="AE305" s="52"/>
    </row>
    <row r="306" spans="1:31" x14ac:dyDescent="0.2">
      <c r="A306" s="66">
        <v>44337</v>
      </c>
      <c r="B306" s="13">
        <f ca="1">Prices!Q305*(1+J306/(50*(ABS(O306)+ABS(T306)+0.0001)))</f>
        <v>4019.3535065532351</v>
      </c>
      <c r="C306" s="62">
        <f t="shared" ca="1" si="300"/>
        <v>0</v>
      </c>
      <c r="D306" s="13">
        <f ca="1">D305+C306*(Prices!Q306-Prices!Q305)/Prices!Q305</f>
        <v>9.3126663957534976</v>
      </c>
      <c r="E306" s="13">
        <f t="shared" ref="E306" ca="1" si="337">F306-D306</f>
        <v>1.6832744846041692E-2</v>
      </c>
      <c r="F306" s="13">
        <f t="shared" ref="F306" ca="1" si="338">MAX(F305,D306)</f>
        <v>9.3294991405995393</v>
      </c>
      <c r="G306" s="21">
        <f ca="1">IF((Prices!Q306-Prices!Q305)*C306&gt;0,1,0)</f>
        <v>0</v>
      </c>
      <c r="H306" s="13">
        <f>ABS(Prices!Q306-Prices!Q305)/Prices!Q305</f>
        <v>0.40412180664858721</v>
      </c>
      <c r="I306" s="21"/>
      <c r="J306" s="4">
        <f t="shared" ref="J306" ca="1" si="339">O306+T306</f>
        <v>-2.7290350391644716E-4</v>
      </c>
      <c r="K306" s="13"/>
      <c r="L306" s="13">
        <f ca="1">L305-O306*Prices!Q306</f>
        <v>8.0550001429524958</v>
      </c>
      <c r="M306" s="4">
        <f t="shared" ref="M306" ca="1" si="340">M305+O306</f>
        <v>2.7017446887728266E-2</v>
      </c>
      <c r="N306" s="13">
        <f ca="1">IF(Prices!P305&gt;OFFSET(Prices!P305,-$N$3,0),1,-1)</f>
        <v>-1</v>
      </c>
      <c r="O306" s="4">
        <f ca="1">IF(N306=1,O$3*L305/Prices!Q305,-O$3*M305)</f>
        <v>-2.7290350391644716E-4</v>
      </c>
      <c r="P306" s="22"/>
      <c r="Q306" s="13">
        <f ca="1">Q305-T306*Prices!Q306</f>
        <v>1</v>
      </c>
      <c r="R306" s="4">
        <f t="shared" ca="1" si="211"/>
        <v>0.01</v>
      </c>
      <c r="S306" s="13">
        <f ca="1">IF(Prices!D305&gt;OFFSET(Prices!D305,-S$3,0),1,-1)</f>
        <v>-1</v>
      </c>
      <c r="T306" s="4">
        <f ca="1">IF(S306=1,T$3*Q305/Prices!Q305,-T$3*R305)</f>
        <v>0</v>
      </c>
      <c r="V306" s="13"/>
      <c r="W306" s="4"/>
      <c r="X306" s="4"/>
      <c r="Y306" s="4"/>
      <c r="Z306" s="4"/>
      <c r="AA306" s="4"/>
      <c r="AB306" s="4"/>
      <c r="AC306" s="4"/>
      <c r="AD306" s="4"/>
      <c r="AE306" s="52"/>
    </row>
    <row r="307" spans="1:31" x14ac:dyDescent="0.2">
      <c r="A307" s="66">
        <v>44344</v>
      </c>
      <c r="B307" s="13">
        <f ca="1">Prices!Q306*(1+J307/(50*(ABS(O307)+ABS(T307)+0.0001)))</f>
        <v>2395.1412125862917</v>
      </c>
      <c r="C307" s="62">
        <f t="shared" ca="1" si="300"/>
        <v>0</v>
      </c>
      <c r="D307" s="13">
        <f ca="1">D306+C307*(Prices!Q307-Prices!Q306)/Prices!Q306</f>
        <v>9.3126663957534976</v>
      </c>
      <c r="E307" s="13">
        <f t="shared" ref="E307" ca="1" si="341">F307-D307</f>
        <v>1.6832744846041692E-2</v>
      </c>
      <c r="F307" s="13">
        <f t="shared" ref="F307" ca="1" si="342">MAX(F306,D307)</f>
        <v>9.3294991405995393</v>
      </c>
      <c r="G307" s="21">
        <f ca="1">IF((Prices!Q307-Prices!Q306)*C307&gt;0,1,0)</f>
        <v>0</v>
      </c>
      <c r="H307" s="13">
        <f>ABS(Prices!Q307-Prices!Q306)/Prices!Q306</f>
        <v>4.4083740369105255E-3</v>
      </c>
      <c r="I307" s="21"/>
      <c r="J307" s="4">
        <f t="shared" ref="J307" ca="1" si="343">O307+T307</f>
        <v>-2.7017446887728268E-4</v>
      </c>
      <c r="K307" s="13"/>
      <c r="L307" s="13">
        <f ca="1">L306-O307*Prices!Q307</f>
        <v>8.7087970287790633</v>
      </c>
      <c r="M307" s="4">
        <f t="shared" ref="M307" ca="1" si="344">M306+O307</f>
        <v>2.6747272418850984E-2</v>
      </c>
      <c r="N307" s="13">
        <f ca="1">IF(Prices!P306&gt;OFFSET(Prices!P306,-$N$3,0),1,-1)</f>
        <v>-1</v>
      </c>
      <c r="O307" s="4">
        <f ca="1">IF(N307=1,O$3*L306/Prices!Q306,-O$3*M306)</f>
        <v>-2.7017446887728268E-4</v>
      </c>
      <c r="P307" s="22"/>
      <c r="Q307" s="13">
        <f ca="1">Q306-T307*Prices!Q307</f>
        <v>1</v>
      </c>
      <c r="R307" s="4">
        <f t="shared" ca="1" si="211"/>
        <v>0.01</v>
      </c>
      <c r="S307" s="13">
        <f ca="1">IF(Prices!D306&gt;OFFSET(Prices!D306,-S$3,0),1,-1)</f>
        <v>-1</v>
      </c>
      <c r="T307" s="4">
        <f ca="1">IF(S307=1,T$3*Q306/Prices!Q306,-T$3*R306)</f>
        <v>0</v>
      </c>
      <c r="V307" s="13"/>
      <c r="W307" s="4"/>
      <c r="X307" s="4"/>
      <c r="Y307" s="4"/>
      <c r="Z307" s="4"/>
      <c r="AA307" s="4"/>
      <c r="AB307" s="4"/>
      <c r="AC307" s="4"/>
      <c r="AD307" s="4"/>
      <c r="AE307" s="52"/>
    </row>
    <row r="308" spans="1:31" x14ac:dyDescent="0.2">
      <c r="A308" s="66">
        <v>44351</v>
      </c>
      <c r="B308" s="13">
        <f ca="1">Prices!Q307*(1+J308/(50*(ABS(O308)+ABS(T308)+0.0001)))</f>
        <v>2384.6786603388819</v>
      </c>
      <c r="C308" s="62">
        <f t="shared" ca="1" si="300"/>
        <v>0</v>
      </c>
      <c r="D308" s="13">
        <f ca="1">D307+C308*(Prices!Q308-Prices!Q307)/Prices!Q307</f>
        <v>9.3126663957534976</v>
      </c>
      <c r="E308" s="13">
        <f t="shared" ref="E308:E309" ca="1" si="345">F308-D308</f>
        <v>1.6832744846041692E-2</v>
      </c>
      <c r="F308" s="13">
        <f t="shared" ref="F308:F309" ca="1" si="346">MAX(F307,D308)</f>
        <v>9.3294991405995393</v>
      </c>
      <c r="G308" s="21">
        <f ca="1">IF((Prices!Q308-Prices!Q307)*C308&gt;0,1,0)</f>
        <v>0</v>
      </c>
      <c r="H308" s="13">
        <f>ABS(Prices!Q308-Prices!Q307)/Prices!Q307</f>
        <v>0.11086744290197192</v>
      </c>
      <c r="I308" s="21"/>
      <c r="J308" s="4">
        <f t="shared" ref="J308:J309" ca="1" si="347">O308+T308</f>
        <v>-2.6747272418850982E-4</v>
      </c>
      <c r="K308" s="13"/>
      <c r="L308" s="13">
        <f ca="1">L307-O308*Prices!Q308</f>
        <v>9.4278158867671404</v>
      </c>
      <c r="M308" s="4">
        <f t="shared" ref="M308:M309" ca="1" si="348">M307+O308</f>
        <v>2.6479799694662475E-2</v>
      </c>
      <c r="N308" s="13">
        <f ca="1">IF(Prices!P307&gt;OFFSET(Prices!P307,-$N$3,0),1,-1)</f>
        <v>-1</v>
      </c>
      <c r="O308" s="4">
        <f ca="1">IF(N308=1,O$3*L307/Prices!Q307,-O$3*M307)</f>
        <v>-2.6747272418850982E-4</v>
      </c>
      <c r="P308" s="22"/>
      <c r="Q308" s="13">
        <f ca="1">Q307-T308*Prices!Q308</f>
        <v>1</v>
      </c>
      <c r="R308" s="4">
        <f t="shared" ca="1" si="211"/>
        <v>0.01</v>
      </c>
      <c r="S308" s="13">
        <f ca="1">IF(Prices!D307&gt;OFFSET(Prices!D307,-S$3,0),1,-1)</f>
        <v>-1</v>
      </c>
      <c r="T308" s="4">
        <f ca="1">IF(S308=1,T$3*Q307/Prices!Q307,-T$3*R307)</f>
        <v>0</v>
      </c>
      <c r="V308" s="13"/>
      <c r="W308" s="4"/>
      <c r="X308" s="4"/>
      <c r="Y308" s="4"/>
      <c r="Z308" s="4"/>
      <c r="AA308" s="4"/>
      <c r="AB308" s="4"/>
      <c r="AC308" s="4"/>
      <c r="AD308" s="4"/>
      <c r="AE308" s="52"/>
    </row>
    <row r="309" spans="1:31" x14ac:dyDescent="0.2">
      <c r="A309" s="66">
        <v>44358</v>
      </c>
      <c r="B309" s="13">
        <f ca="1">Prices!Q308*(1+J309/(50*(ABS(O309)+ABS(T309)+0.0001)))</f>
        <v>2702.154842774215</v>
      </c>
      <c r="C309" s="62">
        <f t="shared" ca="1" si="300"/>
        <v>1</v>
      </c>
      <c r="D309" s="13">
        <f ca="1">D308+C309*(Prices!Q309-Prices!Q308)/Prices!Q308</f>
        <v>9.1882608892554849</v>
      </c>
      <c r="E309" s="13">
        <f t="shared" ca="1" si="345"/>
        <v>0.14123825134405443</v>
      </c>
      <c r="F309" s="13">
        <f t="shared" ca="1" si="346"/>
        <v>9.3294991405995393</v>
      </c>
      <c r="G309" s="21">
        <f ca="1">IF((Prices!Q309-Prices!Q308)*C309&gt;0,1,0)</f>
        <v>0</v>
      </c>
      <c r="H309" s="13">
        <f>ABS(Prices!Q309-Prices!Q308)/Prices!Q308</f>
        <v>0.12440550649801284</v>
      </c>
      <c r="I309" s="21"/>
      <c r="J309" s="4">
        <f t="shared" ca="1" si="347"/>
        <v>3.5071174703781359E-5</v>
      </c>
      <c r="K309" s="13"/>
      <c r="L309" s="13">
        <f ca="1">L308-O309*Prices!Q309</f>
        <v>9.3452664500051021</v>
      </c>
      <c r="M309" s="4">
        <f t="shared" ca="1" si="348"/>
        <v>2.6514870869366255E-2</v>
      </c>
      <c r="N309" s="13">
        <f ca="1">IF(Prices!P308&gt;OFFSET(Prices!P308,-$N$3,0),1,-1)</f>
        <v>1</v>
      </c>
      <c r="O309" s="4">
        <f ca="1">IF(N309=1,O$3*L308/Prices!Q308,-O$3*M308)</f>
        <v>3.5071174703781359E-5</v>
      </c>
      <c r="P309" s="22"/>
      <c r="Q309" s="13">
        <f ca="1">Q308-T309*Prices!Q309</f>
        <v>1</v>
      </c>
      <c r="R309" s="4">
        <f t="shared" ca="1" si="211"/>
        <v>0.01</v>
      </c>
      <c r="S309" s="13">
        <f ca="1">IF(Prices!D308&gt;OFFSET(Prices!D308,-S$3,0),1,-1)</f>
        <v>-1</v>
      </c>
      <c r="T309" s="4">
        <f ca="1">IF(S309=1,T$3*Q308/Prices!Q308,-T$3*R308)</f>
        <v>0</v>
      </c>
      <c r="V309" s="13"/>
      <c r="W309" s="4"/>
      <c r="X309" s="4"/>
      <c r="Y309" s="4"/>
      <c r="Z309" s="4"/>
      <c r="AA309" s="4"/>
      <c r="AB309" s="4"/>
      <c r="AC309" s="4"/>
      <c r="AD309" s="4"/>
      <c r="AE309" s="52"/>
    </row>
    <row r="310" spans="1:31" x14ac:dyDescent="0.2">
      <c r="A310" s="66">
        <v>44365</v>
      </c>
      <c r="B310" s="13">
        <f ca="1">Prices!Q309*(1+J310/(50*(ABS(O310)+ABS(T310)+0.0001)))</f>
        <v>2367.1475217838642</v>
      </c>
      <c r="C310" s="62">
        <f t="shared" ca="1" si="300"/>
        <v>1</v>
      </c>
      <c r="D310" s="13">
        <f ca="1">D309+C310*(Prices!Q310-Prices!Q309)/Prices!Q309</f>
        <v>9.1364139767414585</v>
      </c>
      <c r="E310" s="13">
        <f t="shared" ref="E310" ca="1" si="349">F310-D310</f>
        <v>0.19308516385808083</v>
      </c>
      <c r="F310" s="13">
        <f t="shared" ref="F310" ca="1" si="350">MAX(F309,D310)</f>
        <v>9.3294991405995393</v>
      </c>
      <c r="G310" s="21">
        <f ca="1">IF((Prices!Q310-Prices!Q309)*C310&gt;0,1,0)</f>
        <v>0</v>
      </c>
      <c r="H310" s="13">
        <f>ABS(Prices!Q310-Prices!Q309)/Prices!Q309</f>
        <v>5.1846912514027226E-2</v>
      </c>
      <c r="I310" s="21"/>
      <c r="J310" s="4">
        <f t="shared" ref="J310" ca="1" si="351">O310+T310</f>
        <v>3.9703417149447488E-5</v>
      </c>
      <c r="K310" s="13"/>
      <c r="L310" s="13">
        <f ca="1">L309-O310*Prices!Q310</f>
        <v>9.2566590176255872</v>
      </c>
      <c r="M310" s="4">
        <f t="shared" ref="M310" ca="1" si="352">M309+O310</f>
        <v>2.6554574286515704E-2</v>
      </c>
      <c r="N310" s="13">
        <f ca="1">IF(Prices!P309&gt;OFFSET(Prices!P309,-$N$3,0),1,-1)</f>
        <v>1</v>
      </c>
      <c r="O310" s="4">
        <f ca="1">IF(N310=1,O$3*L309/Prices!Q309,-O$3*M309)</f>
        <v>3.9703417149447488E-5</v>
      </c>
      <c r="P310" s="22"/>
      <c r="Q310" s="13">
        <f ca="1">Q309-T310*Prices!Q310</f>
        <v>1</v>
      </c>
      <c r="R310" s="4">
        <f t="shared" ca="1" si="211"/>
        <v>0.01</v>
      </c>
      <c r="S310" s="13">
        <f ca="1">IF(Prices!D309&gt;OFFSET(Prices!D309,-S$3,0),1,-1)</f>
        <v>-1</v>
      </c>
      <c r="T310" s="4">
        <f ca="1">IF(S310=1,T$3*Q309/Prices!Q309,-T$3*R309)</f>
        <v>0</v>
      </c>
      <c r="V310" s="13"/>
      <c r="W310" s="4"/>
      <c r="X310" s="4"/>
      <c r="Y310" s="4"/>
      <c r="Z310" s="4"/>
      <c r="AA310" s="4"/>
      <c r="AB310" s="4"/>
      <c r="AC310" s="4"/>
      <c r="AD310" s="4"/>
      <c r="AE310" s="52"/>
    </row>
    <row r="311" spans="1:31" x14ac:dyDescent="0.2">
      <c r="A311" s="66">
        <v>44372</v>
      </c>
      <c r="B311" s="13">
        <f ca="1">Prices!Q310*(1+J311/(50*(ABS(O311)+ABS(T311)+0.0001)))</f>
        <v>2199.3089088912648</v>
      </c>
      <c r="C311" s="62">
        <f t="shared" ca="1" si="300"/>
        <v>0</v>
      </c>
      <c r="D311" s="13">
        <f ca="1">D310+C311*(Prices!Q311-Prices!Q310)/Prices!Q310</f>
        <v>9.1364139767414585</v>
      </c>
      <c r="E311" s="13">
        <f t="shared" ref="E311" ca="1" si="353">F311-D311</f>
        <v>0.19308516385808083</v>
      </c>
      <c r="F311" s="13">
        <f t="shared" ref="F311" ca="1" si="354">MAX(F310,D311)</f>
        <v>9.3294991405995393</v>
      </c>
      <c r="G311" s="21">
        <f ca="1">IF((Prices!Q311-Prices!Q310)*C311&gt;0,1,0)</f>
        <v>0</v>
      </c>
      <c r="H311" s="13">
        <f>ABS(Prices!Q311-Prices!Q310)/Prices!Q310</f>
        <v>0.18752952979610574</v>
      </c>
      <c r="I311" s="21"/>
      <c r="J311" s="4">
        <f t="shared" ref="J311" ca="1" si="355">O311+T311</f>
        <v>-2.6554574286515704E-4</v>
      </c>
      <c r="K311" s="13"/>
      <c r="L311" s="13">
        <f ca="1">L310-O311*Prices!Q311</f>
        <v>9.738151148546855</v>
      </c>
      <c r="M311" s="4">
        <f t="shared" ref="M311" ca="1" si="356">M310+O311</f>
        <v>2.6289028543650547E-2</v>
      </c>
      <c r="N311" s="13">
        <f ca="1">IF(Prices!P310&gt;OFFSET(Prices!P310,-$N$3,0),1,-1)</f>
        <v>-1</v>
      </c>
      <c r="O311" s="4">
        <f ca="1">IF(N311=1,O$3*L310/Prices!Q310,-O$3*M310)</f>
        <v>-2.6554574286515704E-4</v>
      </c>
      <c r="P311" s="22"/>
      <c r="Q311" s="13">
        <f ca="1">Q310-T311*Prices!Q311</f>
        <v>1</v>
      </c>
      <c r="R311" s="4">
        <f t="shared" ca="1" si="211"/>
        <v>0.01</v>
      </c>
      <c r="S311" s="13">
        <f ca="1">IF(Prices!D310&gt;OFFSET(Prices!D310,-S$3,0),1,-1)</f>
        <v>-1</v>
      </c>
      <c r="T311" s="4">
        <f ca="1">IF(S311=1,T$3*Q310/Prices!Q310,-T$3*R310)</f>
        <v>0</v>
      </c>
      <c r="V311" s="13"/>
      <c r="W311" s="4"/>
      <c r="X311" s="4"/>
      <c r="Y311" s="4"/>
      <c r="Z311" s="4"/>
      <c r="AA311" s="4"/>
      <c r="AB311" s="4"/>
      <c r="AC311" s="4"/>
      <c r="AD311" s="4"/>
      <c r="AE311" s="52"/>
    </row>
    <row r="312" spans="1:31" x14ac:dyDescent="0.2">
      <c r="A312" s="66">
        <v>44379</v>
      </c>
      <c r="B312" s="13">
        <f ca="1">Prices!Q311*(1+J312/(50*(ABS(O312)+ABS(T312)+0.0001)))</f>
        <v>1786.9461375627693</v>
      </c>
      <c r="C312" s="62">
        <f t="shared" ca="1" si="300"/>
        <v>0</v>
      </c>
      <c r="D312" s="13">
        <f ca="1">D311+C312*(Prices!Q312-Prices!Q311)/Prices!Q311</f>
        <v>9.1364139767414585</v>
      </c>
      <c r="E312" s="13">
        <f t="shared" ref="E312" ca="1" si="357">F312-D312</f>
        <v>0.19308516385808083</v>
      </c>
      <c r="F312" s="13">
        <f t="shared" ref="F312" ca="1" si="358">MAX(F311,D312)</f>
        <v>9.3294991405995393</v>
      </c>
      <c r="G312" s="21">
        <f ca="1">IF((Prices!Q312-Prices!Q311)*C312&gt;0,1,0)</f>
        <v>0</v>
      </c>
      <c r="H312" s="13">
        <f>ABS(Prices!Q312-Prices!Q311)/Prices!Q311</f>
        <v>0.185759864957387</v>
      </c>
      <c r="I312" s="21"/>
      <c r="J312" s="4">
        <f t="shared" ref="J312" ca="1" si="359">O312+T312</f>
        <v>-2.6289028543650548E-4</v>
      </c>
      <c r="K312" s="13"/>
      <c r="L312" s="13">
        <f ca="1">L311-O312*Prices!Q312</f>
        <v>10.303375852244709</v>
      </c>
      <c r="M312" s="4">
        <f t="shared" ref="M312" ca="1" si="360">M311+O312</f>
        <v>2.6026138258214041E-2</v>
      </c>
      <c r="N312" s="13">
        <f ca="1">IF(Prices!P311&gt;OFFSET(Prices!P311,-$N$3,0),1,-1)</f>
        <v>-1</v>
      </c>
      <c r="O312" s="4">
        <f ca="1">IF(N312=1,O$3*L311/Prices!Q311,-O$3*M311)</f>
        <v>-2.6289028543650548E-4</v>
      </c>
      <c r="P312" s="22"/>
      <c r="Q312" s="13">
        <f ca="1">Q311-T312*Prices!Q312</f>
        <v>1</v>
      </c>
      <c r="R312" s="4">
        <f t="shared" ca="1" si="211"/>
        <v>0.01</v>
      </c>
      <c r="S312" s="13">
        <f ca="1">IF(Prices!D311&gt;OFFSET(Prices!D311,-S$3,0),1,-1)</f>
        <v>-1</v>
      </c>
      <c r="T312" s="4">
        <f ca="1">IF(S312=1,T$3*Q311/Prices!Q311,-T$3*R311)</f>
        <v>0</v>
      </c>
      <c r="V312" s="13"/>
      <c r="W312" s="4"/>
      <c r="X312" s="4"/>
      <c r="Y312" s="4"/>
      <c r="Z312" s="4"/>
      <c r="AA312" s="4"/>
      <c r="AB312" s="4"/>
      <c r="AC312" s="4"/>
      <c r="AD312" s="4"/>
      <c r="AE312" s="52"/>
    </row>
    <row r="313" spans="1:31" x14ac:dyDescent="0.2">
      <c r="A313" s="66">
        <v>44386</v>
      </c>
      <c r="B313" s="13">
        <f ca="1">Prices!Q312*(1+J313/(50*(ABS(O313)+ABS(T313)+0.0001)))</f>
        <v>2118.9754792927474</v>
      </c>
      <c r="C313" s="62">
        <f t="shared" ca="1" si="300"/>
        <v>0</v>
      </c>
      <c r="D313" s="13">
        <f ca="1">D312+C313*(Prices!Q313-Prices!Q312)/Prices!Q312</f>
        <v>9.1364139767414585</v>
      </c>
      <c r="E313" s="13">
        <f t="shared" ref="E313" ca="1" si="361">F313-D313</f>
        <v>0.19308516385808083</v>
      </c>
      <c r="F313" s="13">
        <f t="shared" ref="F313" ca="1" si="362">MAX(F312,D313)</f>
        <v>9.3294991405995393</v>
      </c>
      <c r="G313" s="21">
        <f ca="1">IF((Prices!Q313-Prices!Q312)*C313&gt;0,1,0)</f>
        <v>0</v>
      </c>
      <c r="H313" s="13">
        <f>ABS(Prices!Q313-Prices!Q312)/Prices!Q312</f>
        <v>1.5571336158075855E-3</v>
      </c>
      <c r="I313" s="21"/>
      <c r="J313" s="4">
        <f t="shared" ref="J313:J314" ca="1" si="363">O313+T313</f>
        <v>-2.6026138258214041E-4</v>
      </c>
      <c r="K313" s="13"/>
      <c r="L313" s="13">
        <f ca="1">L312-O313*Prices!Q313</f>
        <v>10.86207697982284</v>
      </c>
      <c r="M313" s="4">
        <f t="shared" ref="M313:M314" ca="1" si="364">M312+O313</f>
        <v>2.57658768756319E-2</v>
      </c>
      <c r="N313" s="13">
        <f ca="1">IF(Prices!P312&gt;OFFSET(Prices!P312,-$N$3,0),1,-1)</f>
        <v>-1</v>
      </c>
      <c r="O313" s="4">
        <f ca="1">IF(N313=1,O$3*L312/Prices!Q312,-O$3*M312)</f>
        <v>-2.6026138258214041E-4</v>
      </c>
      <c r="P313" s="22"/>
      <c r="Q313" s="13">
        <f ca="1">Q312-T313*Prices!Q313</f>
        <v>1</v>
      </c>
      <c r="R313" s="4">
        <f t="shared" ca="1" si="211"/>
        <v>0.01</v>
      </c>
      <c r="S313" s="13">
        <f ca="1">IF(Prices!D312&gt;OFFSET(Prices!D312,-S$3,0),1,-1)</f>
        <v>-1</v>
      </c>
      <c r="T313" s="4">
        <f ca="1">IF(S313=1,T$3*Q312/Prices!Q312,-T$3*R312)</f>
        <v>0</v>
      </c>
      <c r="V313" s="13"/>
      <c r="W313" s="4"/>
      <c r="X313" s="4"/>
      <c r="Y313" s="4"/>
      <c r="Z313" s="4"/>
      <c r="AA313" s="4"/>
      <c r="AB313" s="4"/>
      <c r="AC313" s="4"/>
      <c r="AD313" s="4"/>
      <c r="AE313" s="52"/>
    </row>
    <row r="314" spans="1:31" x14ac:dyDescent="0.2">
      <c r="A314" s="66">
        <v>44393</v>
      </c>
      <c r="B314" s="13">
        <f ca="1">Prices!Q313*(1+J314/(50*(ABS(O314)+ABS(T314)+0.0001)))</f>
        <v>2161.1175352361065</v>
      </c>
      <c r="C314" s="62">
        <f t="shared" ca="1" si="300"/>
        <v>1</v>
      </c>
      <c r="D314" s="13">
        <f ca="1">D313+C314*(Prices!Q314-Prices!Q313)/Prices!Q313</f>
        <v>9.0123582666131945</v>
      </c>
      <c r="E314" s="13">
        <f t="shared" ref="E314:E318" ca="1" si="365">F314-D314</f>
        <v>0.31714087398634483</v>
      </c>
      <c r="F314" s="13">
        <f t="shared" ref="F314:F318" ca="1" si="366">MAX(F313,D314)</f>
        <v>9.3294991405995393</v>
      </c>
      <c r="G314" s="21">
        <f ca="1">IF((Prices!Q314-Prices!Q313)*C314&gt;0,1,0)</f>
        <v>0</v>
      </c>
      <c r="H314" s="13">
        <f>ABS(Prices!Q314-Prices!Q313)/Prices!Q313</f>
        <v>0.12405571012826386</v>
      </c>
      <c r="I314" s="21"/>
      <c r="J314" s="4">
        <f t="shared" ca="1" si="363"/>
        <v>5.0599131323338937E-5</v>
      </c>
      <c r="K314" s="13"/>
      <c r="L314" s="13">
        <f ca="1">L313-O314*Prices!Q314</f>
        <v>10.766931236756609</v>
      </c>
      <c r="M314" s="4">
        <f t="shared" ca="1" si="364"/>
        <v>2.581647600695524E-2</v>
      </c>
      <c r="N314" s="13">
        <f ca="1">IF(Prices!P313&gt;OFFSET(Prices!P313,-$N$3,0),1,-1)</f>
        <v>1</v>
      </c>
      <c r="O314" s="4">
        <f ca="1">IF(N314=1,O$3*L313/Prices!Q313,-O$3*M313)</f>
        <v>5.0599131323338937E-5</v>
      </c>
      <c r="P314" s="22"/>
      <c r="Q314" s="13">
        <f ca="1">Q313-T314*Prices!Q314</f>
        <v>1</v>
      </c>
      <c r="R314" s="4">
        <f t="shared" ca="1" si="211"/>
        <v>0.01</v>
      </c>
      <c r="S314" s="13">
        <f ca="1">IF(Prices!D313&gt;OFFSET(Prices!D313,-S$3,0),1,-1)</f>
        <v>-1</v>
      </c>
      <c r="T314" s="4">
        <f ca="1">IF(S314=1,T$3*Q313/Prices!Q313,-T$3*R313)</f>
        <v>0</v>
      </c>
      <c r="V314" s="13"/>
      <c r="W314" s="4"/>
      <c r="X314" s="4"/>
      <c r="Y314" s="4"/>
      <c r="Z314" s="4"/>
      <c r="AA314" s="4"/>
      <c r="AB314" s="4"/>
      <c r="AC314" s="4"/>
      <c r="AD314" s="4"/>
      <c r="AE314" s="52"/>
    </row>
    <row r="315" spans="1:31" x14ac:dyDescent="0.2">
      <c r="A315" s="66">
        <v>44400</v>
      </c>
      <c r="B315" s="13">
        <f ca="1">Prices!Q314*(1+J315/(50*(ABS(O315)+ABS(T315)+0.0001)))</f>
        <v>1853.275376503241</v>
      </c>
      <c r="C315" s="62">
        <f t="shared" ca="1" si="300"/>
        <v>0</v>
      </c>
      <c r="D315" s="13">
        <f ca="1">D314+C315*(Prices!Q315-Prices!Q314)/Prices!Q314</f>
        <v>9.0123582666131945</v>
      </c>
      <c r="E315" s="13">
        <f t="shared" ca="1" si="365"/>
        <v>0.31714087398634483</v>
      </c>
      <c r="F315" s="13">
        <f t="shared" ca="1" si="366"/>
        <v>9.3294991405995393</v>
      </c>
      <c r="G315" s="21">
        <f ca="1">IF((Prices!Q315-Prices!Q314)*C315&gt;0,1,0)</f>
        <v>0</v>
      </c>
      <c r="H315" s="13">
        <f>ABS(Prices!Q315-Prices!Q314)/Prices!Q314</f>
        <v>0.129970162699865</v>
      </c>
      <c r="I315" s="21"/>
      <c r="J315" s="4">
        <f t="shared" ref="J315:J319" ca="1" si="367">O315+T315</f>
        <v>-2.581647600695524E-4</v>
      </c>
      <c r="K315" s="13"/>
      <c r="L315" s="13">
        <f ca="1">L314-O315*Prices!Q315</f>
        <v>11.315473680736821</v>
      </c>
      <c r="M315" s="4">
        <f t="shared" ref="M315:M319" ca="1" si="368">M314+O315</f>
        <v>2.5558311246885686E-2</v>
      </c>
      <c r="N315" s="13">
        <f ca="1">IF(Prices!P314&gt;OFFSET(Prices!P314,-$N$3,0),1,-1)</f>
        <v>-1</v>
      </c>
      <c r="O315" s="4">
        <f ca="1">IF(N315=1,O$3*L314/Prices!Q314,-O$3*M314)</f>
        <v>-2.581647600695524E-4</v>
      </c>
      <c r="P315" s="22"/>
      <c r="Q315" s="13">
        <f ca="1">Q314-T315*Prices!Q315</f>
        <v>1</v>
      </c>
      <c r="R315" s="4">
        <f t="shared" ca="1" si="211"/>
        <v>0.01</v>
      </c>
      <c r="S315" s="13">
        <f ca="1">IF(Prices!D314&gt;OFFSET(Prices!D314,-S$3,0),1,-1)</f>
        <v>-1</v>
      </c>
      <c r="T315" s="4">
        <f ca="1">IF(S315=1,T$3*Q314/Prices!Q314,-T$3*R314)</f>
        <v>0</v>
      </c>
      <c r="V315" s="13"/>
      <c r="W315" s="4"/>
      <c r="X315" s="4"/>
      <c r="Y315" s="4"/>
      <c r="Z315" s="4"/>
      <c r="AA315" s="4"/>
      <c r="AB315" s="4"/>
      <c r="AC315" s="4"/>
      <c r="AD315" s="4"/>
      <c r="AE315" s="52"/>
    </row>
    <row r="316" spans="1:31" x14ac:dyDescent="0.2">
      <c r="A316" s="66">
        <v>44407</v>
      </c>
      <c r="B316" s="13">
        <f ca="1">Prices!Q315*(1+J316/(50*(ABS(O316)+ABS(T316)+0.0001)))</f>
        <v>2094.2320209732184</v>
      </c>
      <c r="C316" s="62">
        <f t="shared" ca="1" si="300"/>
        <v>0</v>
      </c>
      <c r="D316" s="13">
        <f ca="1">D315+C316*(Prices!Q316-Prices!Q315)/Prices!Q315</f>
        <v>9.0123582666131945</v>
      </c>
      <c r="E316" s="13">
        <f t="shared" ca="1" si="365"/>
        <v>0.31714087398634483</v>
      </c>
      <c r="F316" s="13">
        <f t="shared" ca="1" si="366"/>
        <v>9.3294991405995393</v>
      </c>
      <c r="G316" s="21">
        <f ca="1">IF((Prices!Q316-Prices!Q315)*C316&gt;0,1,0)</f>
        <v>0</v>
      </c>
      <c r="H316" s="13">
        <f>ABS(Prices!Q316-Prices!Q315)/Prices!Q315</f>
        <v>0.16104507797596426</v>
      </c>
      <c r="I316" s="21"/>
      <c r="J316" s="4">
        <f t="shared" ca="1" si="367"/>
        <v>-2.5558311246885686E-4</v>
      </c>
      <c r="K316" s="13"/>
      <c r="L316" s="13">
        <f ca="1">L315-O316*Prices!Q316</f>
        <v>11.945987360334509</v>
      </c>
      <c r="M316" s="4">
        <f t="shared" ca="1" si="368"/>
        <v>2.5302728134416828E-2</v>
      </c>
      <c r="N316" s="13">
        <f ca="1">IF(Prices!P315&gt;OFFSET(Prices!P315,-$N$3,0),1,-1)</f>
        <v>-1</v>
      </c>
      <c r="O316" s="4">
        <f ca="1">IF(N316=1,O$3*L315/Prices!Q315,-O$3*M315)</f>
        <v>-2.5558311246885686E-4</v>
      </c>
      <c r="P316" s="22"/>
      <c r="Q316" s="13">
        <f ca="1">Q315-T316*Prices!Q316</f>
        <v>1</v>
      </c>
      <c r="R316" s="4">
        <f t="shared" ca="1" si="211"/>
        <v>0.01</v>
      </c>
      <c r="S316" s="13">
        <f ca="1">IF(Prices!D315&gt;OFFSET(Prices!D315,-S$3,0),1,-1)</f>
        <v>-1</v>
      </c>
      <c r="T316" s="4">
        <f ca="1">IF(S316=1,T$3*Q315/Prices!Q315,-T$3*R315)</f>
        <v>0</v>
      </c>
      <c r="V316" s="13"/>
      <c r="W316" s="4"/>
      <c r="X316" s="4"/>
      <c r="Y316" s="4"/>
      <c r="Z316" s="4"/>
      <c r="AA316" s="4"/>
      <c r="AB316" s="4"/>
      <c r="AC316" s="4"/>
      <c r="AD316" s="4"/>
      <c r="AE316" s="52"/>
    </row>
    <row r="317" spans="1:31" x14ac:dyDescent="0.2">
      <c r="A317" s="66">
        <v>44414</v>
      </c>
      <c r="B317" s="13">
        <f ca="1">Prices!Q316*(1+J317/(50*(ABS(O317)+ABS(T317)+0.0001)))</f>
        <v>2483.0585478329303</v>
      </c>
      <c r="C317" s="62">
        <f t="shared" ca="1" si="300"/>
        <v>1</v>
      </c>
      <c r="D317" s="13">
        <f ca="1">D316+C317*(Prices!Q317-Prices!Q316)/Prices!Q316</f>
        <v>9.1842216040499114</v>
      </c>
      <c r="E317" s="13">
        <f t="shared" ca="1" si="365"/>
        <v>0.14527753654962794</v>
      </c>
      <c r="F317" s="13">
        <f t="shared" ca="1" si="366"/>
        <v>9.3294991405995393</v>
      </c>
      <c r="G317" s="21">
        <f ca="1">IF((Prices!Q317-Prices!Q316)*C317&gt;0,1,0)</f>
        <v>1</v>
      </c>
      <c r="H317" s="13">
        <f>ABS(Prices!Q317-Prices!Q316)/Prices!Q316</f>
        <v>0.17186333743671611</v>
      </c>
      <c r="I317" s="21"/>
      <c r="J317" s="4">
        <f t="shared" ca="1" si="367"/>
        <v>4.8423891976714313E-5</v>
      </c>
      <c r="K317" s="13"/>
      <c r="L317" s="13">
        <f ca="1">L316-O317*Prices!Q317</f>
        <v>11.805996714163925</v>
      </c>
      <c r="M317" s="4">
        <f t="shared" ca="1" si="368"/>
        <v>2.5351152026393542E-2</v>
      </c>
      <c r="N317" s="13">
        <f ca="1">IF(Prices!P316&gt;OFFSET(Prices!P316,-$N$3,0),1,-1)</f>
        <v>1</v>
      </c>
      <c r="O317" s="4">
        <f ca="1">IF(N317=1,O$3*L316/Prices!Q316,-O$3*M316)</f>
        <v>4.8423891976714313E-5</v>
      </c>
      <c r="P317" s="22"/>
      <c r="Q317" s="13">
        <f ca="1">Q316-T317*Prices!Q317</f>
        <v>1</v>
      </c>
      <c r="R317" s="4">
        <f t="shared" ca="1" si="211"/>
        <v>0.01</v>
      </c>
      <c r="S317" s="13">
        <f ca="1">IF(Prices!D316&gt;OFFSET(Prices!D316,-S$3,0),1,-1)</f>
        <v>-1</v>
      </c>
      <c r="T317" s="4">
        <f ca="1">IF(S317=1,T$3*Q316/Prices!Q316,-T$3*R316)</f>
        <v>0</v>
      </c>
      <c r="V317" s="13"/>
      <c r="W317" s="4"/>
      <c r="X317" s="4"/>
      <c r="Y317" s="4"/>
      <c r="Z317" s="4"/>
      <c r="AA317" s="4"/>
      <c r="AB317" s="4"/>
      <c r="AC317" s="4"/>
      <c r="AD317" s="4"/>
      <c r="AE317" s="52"/>
    </row>
    <row r="318" spans="1:31" x14ac:dyDescent="0.2">
      <c r="A318" s="66">
        <v>44421</v>
      </c>
      <c r="B318" s="13">
        <f ca="1">Prices!Q317*(1+J318/(50*(ABS(O318)+ABS(T318)+0.0001)))</f>
        <v>2907.7070196359227</v>
      </c>
      <c r="C318" s="62">
        <f t="shared" ca="1" si="300"/>
        <v>1</v>
      </c>
      <c r="D318" s="13">
        <f ca="1">D317+C318*(Prices!Q318-Prices!Q317)/Prices!Q317</f>
        <v>9.3334013773601061</v>
      </c>
      <c r="E318" s="13">
        <f t="shared" ca="1" si="365"/>
        <v>0</v>
      </c>
      <c r="F318" s="13">
        <f t="shared" ca="1" si="366"/>
        <v>9.3334013773601061</v>
      </c>
      <c r="G318" s="21">
        <f ca="1">IF((Prices!Q318-Prices!Q317)*C318&gt;0,1,0)</f>
        <v>1</v>
      </c>
      <c r="H318" s="13">
        <f>ABS(Prices!Q318-Prices!Q317)/Prices!Q317</f>
        <v>0.14917977331019458</v>
      </c>
      <c r="I318" s="21"/>
      <c r="J318" s="4">
        <f t="shared" ca="1" si="367"/>
        <v>4.0837893473788806E-5</v>
      </c>
      <c r="K318" s="13"/>
      <c r="L318" s="13">
        <f ca="1">L317-O318*Prices!Q318</f>
        <v>11.670324587887087</v>
      </c>
      <c r="M318" s="4">
        <f t="shared" ca="1" si="368"/>
        <v>2.5391989919867332E-2</v>
      </c>
      <c r="N318" s="13">
        <f ca="1">IF(Prices!P317&gt;OFFSET(Prices!P317,-$N$3,0),1,-1)</f>
        <v>1</v>
      </c>
      <c r="O318" s="4">
        <f ca="1">IF(N318=1,O$3*L317/Prices!Q317,-O$3*M317)</f>
        <v>4.0837893473788806E-5</v>
      </c>
      <c r="P318" s="22"/>
      <c r="Q318" s="13">
        <f ca="1">Q317-T318*Prices!Q318</f>
        <v>1</v>
      </c>
      <c r="R318" s="4">
        <f t="shared" ca="1" si="211"/>
        <v>0.01</v>
      </c>
      <c r="S318" s="13">
        <f ca="1">IF(Prices!D317&gt;OFFSET(Prices!D317,-S$3,0),1,-1)</f>
        <v>-1</v>
      </c>
      <c r="T318" s="4">
        <f ca="1">IF(S318=1,T$3*Q317/Prices!Q317,-T$3*R317)</f>
        <v>0</v>
      </c>
      <c r="V318" s="13"/>
      <c r="W318" s="4"/>
      <c r="X318" s="4"/>
      <c r="Y318" s="4"/>
      <c r="Z318" s="4"/>
      <c r="AA318" s="4"/>
      <c r="AB318" s="4"/>
      <c r="AC318" s="4"/>
      <c r="AD318" s="4"/>
      <c r="AE318" s="52"/>
    </row>
    <row r="319" spans="1:31" x14ac:dyDescent="0.2">
      <c r="A319" s="66">
        <v>44428</v>
      </c>
      <c r="B319" s="13">
        <f ca="1">Prices!Q318*(1+J319/(50*(ABS(O319)+ABS(T319)+0.0001)))</f>
        <v>3339.4846395362006</v>
      </c>
      <c r="C319" s="62">
        <f t="shared" ca="1" si="300"/>
        <v>1</v>
      </c>
      <c r="D319" s="13">
        <f ca="1">D318+C319*(Prices!Q319-Prices!Q318)/Prices!Q318</f>
        <v>9.3227830391854045</v>
      </c>
      <c r="E319" s="13">
        <f t="shared" ref="E319" ca="1" si="369">F319-D319</f>
        <v>1.0618338174701591E-2</v>
      </c>
      <c r="F319" s="13">
        <f t="shared" ref="F319" ca="1" si="370">MAX(F318,D319)</f>
        <v>9.3334013773601061</v>
      </c>
      <c r="G319" s="21">
        <f ca="1">IF((Prices!Q319-Prices!Q318)*C319&gt;0,1,0)</f>
        <v>0</v>
      </c>
      <c r="H319" s="13">
        <f>ABS(Prices!Q319-Prices!Q318)/Prices!Q318</f>
        <v>1.0618338174701534E-2</v>
      </c>
      <c r="I319" s="21"/>
      <c r="J319" s="4">
        <f t="shared" ca="1" si="367"/>
        <v>3.512817889742434E-5</v>
      </c>
      <c r="K319" s="13"/>
      <c r="L319" s="13">
        <f ca="1">L318-O319*Prices!Q319</f>
        <v>11.554860536539044</v>
      </c>
      <c r="M319" s="4">
        <f t="shared" ca="1" si="368"/>
        <v>2.5427118098764755E-2</v>
      </c>
      <c r="N319" s="13">
        <f ca="1">IF(Prices!P318&gt;OFFSET(Prices!P318,-$N$3,0),1,-1)</f>
        <v>1</v>
      </c>
      <c r="O319" s="4">
        <f ca="1">IF(N319=1,O$3*L318/Prices!Q318,-O$3*M318)</f>
        <v>3.512817889742434E-5</v>
      </c>
      <c r="P319" s="22"/>
      <c r="Q319" s="13">
        <f ca="1">Q318-T319*Prices!Q319</f>
        <v>1</v>
      </c>
      <c r="R319" s="4">
        <f t="shared" ca="1" si="211"/>
        <v>0.01</v>
      </c>
      <c r="S319" s="13">
        <f ca="1">IF(Prices!D318&gt;OFFSET(Prices!D318,-S$3,0),1,-1)</f>
        <v>-1</v>
      </c>
      <c r="T319" s="4">
        <f ca="1">IF(S319=1,T$3*Q318/Prices!Q318,-T$3*R318)</f>
        <v>0</v>
      </c>
      <c r="V319" s="13"/>
      <c r="W319" s="4"/>
      <c r="X319" s="4"/>
      <c r="Y319" s="4"/>
      <c r="Z319" s="4"/>
      <c r="AA319" s="4"/>
      <c r="AB319" s="4"/>
      <c r="AC319" s="4"/>
      <c r="AD319" s="4"/>
      <c r="AE319" s="52"/>
    </row>
    <row r="320" spans="1:31" x14ac:dyDescent="0.2">
      <c r="A320" s="66">
        <v>44435</v>
      </c>
      <c r="B320" s="13">
        <f ca="1">Prices!Q319*(1+J320/(50*(ABS(O320)+ABS(T320)+0.0001)))</f>
        <v>3304.0341218510775</v>
      </c>
      <c r="C320" s="62">
        <f t="shared" ca="1" si="300"/>
        <v>1</v>
      </c>
      <c r="D320" s="13">
        <f ca="1">D319+C320*(Prices!Q320-Prices!Q319)/Prices!Q319</f>
        <v>9.3178135245785629</v>
      </c>
      <c r="E320" s="13">
        <f t="shared" ref="E320" ca="1" si="371">F320-D320</f>
        <v>1.5587852781543177E-2</v>
      </c>
      <c r="F320" s="13">
        <f t="shared" ref="F320" ca="1" si="372">MAX(F319,D320)</f>
        <v>9.3334013773601061</v>
      </c>
      <c r="G320" s="21">
        <f ca="1">IF((Prices!Q320-Prices!Q319)*C320&gt;0,1,0)</f>
        <v>0</v>
      </c>
      <c r="H320" s="13">
        <f>ABS(Prices!Q320-Prices!Q319)/Prices!Q319</f>
        <v>4.9695146068411506E-3</v>
      </c>
      <c r="I320" s="21"/>
      <c r="J320" s="4">
        <f t="shared" ref="J320" ca="1" si="373">O320+T320</f>
        <v>3.5153903169292298E-5</v>
      </c>
      <c r="K320" s="13"/>
      <c r="L320" s="13">
        <f ca="1">L319-O320*Prices!Q320</f>
        <v>11.439886151655816</v>
      </c>
      <c r="M320" s="4">
        <f t="shared" ref="M320" ca="1" si="374">M319+O320</f>
        <v>2.5462272001934048E-2</v>
      </c>
      <c r="N320" s="13">
        <f ca="1">IF(Prices!P319&gt;OFFSET(Prices!P319,-$N$3,0),1,-1)</f>
        <v>1</v>
      </c>
      <c r="O320" s="4">
        <f ca="1">IF(N320=1,O$3*L319/Prices!Q319,-O$3*M319)</f>
        <v>3.5153903169292298E-5</v>
      </c>
      <c r="P320" s="22"/>
      <c r="Q320" s="13">
        <f ca="1">Q319-T320*Prices!Q320</f>
        <v>1</v>
      </c>
      <c r="R320" s="4">
        <f t="shared" ca="1" si="211"/>
        <v>0.01</v>
      </c>
      <c r="S320" s="13">
        <f ca="1">IF(Prices!D319&gt;OFFSET(Prices!D319,-S$3,0),1,-1)</f>
        <v>-1</v>
      </c>
      <c r="T320" s="4">
        <f ca="1">IF(S320=1,T$3*Q319/Prices!Q319,-T$3*R319)</f>
        <v>0</v>
      </c>
      <c r="V320" s="13"/>
      <c r="W320" s="4"/>
      <c r="X320" s="4"/>
      <c r="Y320" s="4"/>
      <c r="Z320" s="4"/>
      <c r="AA320" s="4"/>
      <c r="AB320" s="4"/>
      <c r="AC320" s="4"/>
      <c r="AD320" s="4"/>
      <c r="AE320" s="52"/>
    </row>
    <row r="321" spans="1:31" x14ac:dyDescent="0.2">
      <c r="A321" s="66">
        <v>44442</v>
      </c>
      <c r="B321" s="13">
        <f ca="1">Prices!Q320*(1+J321/(50*(ABS(O321)+ABS(T321)+0.0001)))</f>
        <v>3287.5515800561279</v>
      </c>
      <c r="C321" s="62">
        <f t="shared" ca="1" si="300"/>
        <v>1</v>
      </c>
      <c r="D321" s="13">
        <f ca="1">D320+C321*(Prices!Q321-Prices!Q320)/Prices!Q320</f>
        <v>9.5226731056849498</v>
      </c>
      <c r="E321" s="13">
        <f t="shared" ref="E321" ca="1" si="375">F321-D321</f>
        <v>0</v>
      </c>
      <c r="F321" s="13">
        <f t="shared" ref="F321" ca="1" si="376">MAX(F320,D321)</f>
        <v>9.5226731056849498</v>
      </c>
      <c r="G321" s="21">
        <f ca="1">IF((Prices!Q321-Prices!Q320)*C321&gt;0,1,0)</f>
        <v>1</v>
      </c>
      <c r="H321" s="13">
        <f>ABS(Prices!Q321-Prices!Q320)/Prices!Q320</f>
        <v>0.20485958110638661</v>
      </c>
      <c r="I321" s="21"/>
      <c r="J321" s="4">
        <f t="shared" ref="J321" ca="1" si="377">O321+T321</f>
        <v>3.4977934472229117E-5</v>
      </c>
      <c r="K321" s="13"/>
      <c r="L321" s="13">
        <f ca="1">L320-O321*Prices!Q321</f>
        <v>11.302051587289929</v>
      </c>
      <c r="M321" s="4">
        <f t="shared" ref="M321" ca="1" si="378">M320+O321</f>
        <v>2.5497249936406279E-2</v>
      </c>
      <c r="N321" s="13">
        <f ca="1">IF(Prices!P320&gt;OFFSET(Prices!P320,-$N$3,0),1,-1)</f>
        <v>1</v>
      </c>
      <c r="O321" s="4">
        <f ca="1">IF(N321=1,O$3*L320/Prices!Q320,-O$3*M320)</f>
        <v>3.4977934472229117E-5</v>
      </c>
      <c r="P321" s="22"/>
      <c r="Q321" s="13">
        <f ca="1">Q320-T321*Prices!Q321</f>
        <v>1</v>
      </c>
      <c r="R321" s="4">
        <f t="shared" ca="1" si="211"/>
        <v>0.01</v>
      </c>
      <c r="S321" s="13">
        <f ca="1">IF(Prices!D320&gt;OFFSET(Prices!D320,-S$3,0),1,-1)</f>
        <v>-1</v>
      </c>
      <c r="T321" s="4">
        <f ca="1">IF(S321=1,T$3*Q320/Prices!Q320,-T$3*R320)</f>
        <v>0</v>
      </c>
      <c r="V321" s="13"/>
      <c r="W321" s="4"/>
      <c r="X321" s="4"/>
      <c r="Y321" s="4"/>
      <c r="Z321" s="4"/>
      <c r="AA321" s="4"/>
      <c r="AB321" s="4"/>
      <c r="AC321" s="4"/>
      <c r="AD321" s="4"/>
      <c r="AE321" s="52"/>
    </row>
    <row r="322" spans="1:31" x14ac:dyDescent="0.2">
      <c r="A322" s="66">
        <v>44449</v>
      </c>
      <c r="B322" s="13">
        <f ca="1">Prices!Q321*(1+J322/(50*(ABS(O322)+ABS(T322)+0.0001)))</f>
        <v>3958.1807538573853</v>
      </c>
      <c r="C322" s="62">
        <f t="shared" ca="1" si="300"/>
        <v>1</v>
      </c>
      <c r="D322" s="13">
        <f ca="1">D321+C322*(Prices!Q322-Prices!Q321)/Prices!Q321</f>
        <v>9.3376489574248094</v>
      </c>
      <c r="E322" s="13">
        <f t="shared" ref="E322" ca="1" si="379">F322-D322</f>
        <v>0.18502414826014046</v>
      </c>
      <c r="F322" s="13">
        <f t="shared" ref="F322" ca="1" si="380">MAX(F321,D322)</f>
        <v>9.5226731056849498</v>
      </c>
      <c r="G322" s="21">
        <f ca="1">IF((Prices!Q322-Prices!Q321)*C322&gt;0,1,0)</f>
        <v>0</v>
      </c>
      <c r="H322" s="13">
        <f>ABS(Prices!Q322-Prices!Q321)/Prices!Q321</f>
        <v>0.1850241482601406</v>
      </c>
      <c r="I322" s="21"/>
      <c r="J322" s="4">
        <f t="shared" ref="J322" ca="1" si="381">O322+T322</f>
        <v>2.868093512252702E-5</v>
      </c>
      <c r="K322" s="13"/>
      <c r="L322" s="13">
        <f ca="1">L321-O322*Prices!Q322</f>
        <v>11.209942596102335</v>
      </c>
      <c r="M322" s="4">
        <f t="shared" ref="M322" ca="1" si="382">M321+O322</f>
        <v>2.5525930871528806E-2</v>
      </c>
      <c r="N322" s="13">
        <f ca="1">IF(Prices!P321&gt;OFFSET(Prices!P321,-$N$3,0),1,-1)</f>
        <v>1</v>
      </c>
      <c r="O322" s="4">
        <f ca="1">IF(N322=1,O$3*L321/Prices!Q321,-O$3*M321)</f>
        <v>2.868093512252702E-5</v>
      </c>
      <c r="P322" s="22"/>
      <c r="Q322" s="13">
        <f ca="1">Q321-T322*Prices!Q322</f>
        <v>1</v>
      </c>
      <c r="R322" s="4">
        <f t="shared" ca="1" si="211"/>
        <v>0.01</v>
      </c>
      <c r="S322" s="13">
        <f ca="1">IF(Prices!D321&gt;OFFSET(Prices!D321,-S$3,0),1,-1)</f>
        <v>-1</v>
      </c>
      <c r="T322" s="4">
        <f ca="1">IF(S322=1,T$3*Q321/Prices!Q321,-T$3*R321)</f>
        <v>0</v>
      </c>
      <c r="V322" s="13"/>
      <c r="W322" s="4"/>
      <c r="X322" s="4"/>
      <c r="Y322" s="4"/>
      <c r="Z322" s="4"/>
      <c r="AA322" s="4"/>
      <c r="AB322" s="4"/>
      <c r="AC322" s="4"/>
      <c r="AD322" s="4"/>
      <c r="AE322" s="52"/>
    </row>
    <row r="323" spans="1:31" x14ac:dyDescent="0.2">
      <c r="A323" s="66">
        <v>44456</v>
      </c>
      <c r="B323" s="13">
        <f ca="1">Prices!Q322*(1+J323/(50*(ABS(O323)+ABS(T323)+0.0001)))</f>
        <v>3165.35552624909</v>
      </c>
      <c r="C323" s="62">
        <f t="shared" ca="1" si="300"/>
        <v>0</v>
      </c>
      <c r="D323" s="13">
        <f ca="1">D322+C323*(Prices!Q323-Prices!Q322)/Prices!Q322</f>
        <v>9.3376489574248094</v>
      </c>
      <c r="E323" s="13">
        <f t="shared" ref="E323:E328" ca="1" si="383">F323-D323</f>
        <v>0.18502414826014046</v>
      </c>
      <c r="F323" s="13">
        <f t="shared" ref="F323:F328" ca="1" si="384">MAX(F322,D323)</f>
        <v>9.5226731056849498</v>
      </c>
      <c r="G323" s="21">
        <f ca="1">IF((Prices!Q323-Prices!Q322)*C323&gt;0,1,0)</f>
        <v>0</v>
      </c>
      <c r="H323" s="13">
        <f>ABS(Prices!Q323-Prices!Q322)/Prices!Q322</f>
        <v>5.8238398810905027E-2</v>
      </c>
      <c r="I323" s="21"/>
      <c r="J323" s="4">
        <f t="shared" ref="J323" ca="1" si="385">O323+T323</f>
        <v>-2.5525930871528806E-4</v>
      </c>
      <c r="K323" s="13"/>
      <c r="L323" s="13">
        <f ca="1">L322-O323*Prices!Q323</f>
        <v>12.077451265427088</v>
      </c>
      <c r="M323" s="4">
        <f t="shared" ref="M323" ca="1" si="386">M322+O323</f>
        <v>2.527067156281352E-2</v>
      </c>
      <c r="N323" s="13">
        <f ca="1">IF(Prices!P322&gt;OFFSET(Prices!P322,-$N$3,0),1,-1)</f>
        <v>-1</v>
      </c>
      <c r="O323" s="4">
        <f ca="1">IF(N323=1,O$3*L322/Prices!Q322,-O$3*M322)</f>
        <v>-2.5525930871528806E-4</v>
      </c>
      <c r="P323" s="22"/>
      <c r="Q323" s="13">
        <f ca="1">Q322-T323*Prices!Q323</f>
        <v>1</v>
      </c>
      <c r="R323" s="4">
        <f t="shared" ca="1" si="211"/>
        <v>0.01</v>
      </c>
      <c r="S323" s="13">
        <f ca="1">IF(Prices!D322&gt;OFFSET(Prices!D322,-S$3,0),1,-1)</f>
        <v>-1</v>
      </c>
      <c r="T323" s="4">
        <f ca="1">IF(S323=1,T$3*Q322/Prices!Q322,-T$3*R322)</f>
        <v>0</v>
      </c>
      <c r="V323" s="13"/>
      <c r="W323" s="4"/>
      <c r="X323" s="4"/>
      <c r="Y323" s="4"/>
      <c r="Z323" s="4"/>
      <c r="AA323" s="4"/>
      <c r="AB323" s="4"/>
      <c r="AC323" s="4"/>
      <c r="AD323" s="4"/>
      <c r="AE323" s="52"/>
    </row>
    <row r="324" spans="1:31" x14ac:dyDescent="0.2">
      <c r="A324" s="66">
        <v>44463</v>
      </c>
      <c r="B324" s="13">
        <f ca="1">Prices!Q323*(1+J324/(50*(ABS(O324)+ABS(T324)+0.0001)))</f>
        <v>3349.8392302361544</v>
      </c>
      <c r="C324" s="62">
        <f t="shared" ca="1" si="300"/>
        <v>0</v>
      </c>
      <c r="D324" s="13">
        <f ca="1">D323+C324*(Prices!Q324-Prices!Q323)/Prices!Q323</f>
        <v>9.3376489574248094</v>
      </c>
      <c r="E324" s="13">
        <f t="shared" ca="1" si="383"/>
        <v>0.18502414826014046</v>
      </c>
      <c r="F324" s="13">
        <f t="shared" ca="1" si="384"/>
        <v>9.5226731056849498</v>
      </c>
      <c r="G324" s="21">
        <f ca="1">IF((Prices!Q324-Prices!Q323)*C324&gt;0,1,0)</f>
        <v>0</v>
      </c>
      <c r="H324" s="13">
        <f>ABS(Prices!Q324-Prices!Q323)/Prices!Q323</f>
        <v>0.13737363437700767</v>
      </c>
      <c r="I324" s="21"/>
      <c r="J324" s="4">
        <f t="shared" ref="J324:J329" ca="1" si="387">O324+T324</f>
        <v>-2.527067156281352E-4</v>
      </c>
      <c r="K324" s="13"/>
      <c r="L324" s="13">
        <f ca="1">L323-O324*Prices!Q324</f>
        <v>12.818303757487477</v>
      </c>
      <c r="M324" s="4">
        <f t="shared" ref="M324:M329" ca="1" si="388">M323+O324</f>
        <v>2.5017964847185385E-2</v>
      </c>
      <c r="N324" s="13">
        <f ca="1">IF(Prices!P323&gt;OFFSET(Prices!P323,-$N$3,0),1,-1)</f>
        <v>-1</v>
      </c>
      <c r="O324" s="4">
        <f ca="1">IF(N324=1,O$3*L323/Prices!Q323,-O$3*M323)</f>
        <v>-2.527067156281352E-4</v>
      </c>
      <c r="P324" s="22"/>
      <c r="Q324" s="13">
        <f ca="1">Q323-T324*Prices!Q324</f>
        <v>1</v>
      </c>
      <c r="R324" s="4">
        <f t="shared" ca="1" si="211"/>
        <v>0.01</v>
      </c>
      <c r="S324" s="13">
        <f ca="1">IF(Prices!D323&gt;OFFSET(Prices!D323,-S$3,0),1,-1)</f>
        <v>1</v>
      </c>
      <c r="T324" s="4">
        <f ca="1">IF(S324=1,T$3*Q323/Prices!Q323,-T$3*R323)</f>
        <v>0</v>
      </c>
      <c r="V324" s="13"/>
      <c r="W324" s="4"/>
      <c r="X324" s="4"/>
      <c r="Y324" s="4"/>
      <c r="Z324" s="4"/>
      <c r="AA324" s="4"/>
      <c r="AB324" s="4"/>
      <c r="AC324" s="4"/>
      <c r="AD324" s="4"/>
      <c r="AE324" s="52"/>
    </row>
    <row r="325" spans="1:31" x14ac:dyDescent="0.2">
      <c r="A325" s="66">
        <v>44470</v>
      </c>
      <c r="B325" s="13">
        <f ca="1">Prices!Q324*(1+J325/(50*(ABS(O325)+ABS(T325)+0.0001)))</f>
        <v>2889.7796063049204</v>
      </c>
      <c r="C325" s="62">
        <f t="shared" ca="1" si="300"/>
        <v>0</v>
      </c>
      <c r="D325" s="13">
        <f ca="1">D324+C325*(Prices!Q325-Prices!Q324)/Prices!Q324</f>
        <v>9.3376489574248094</v>
      </c>
      <c r="E325" s="13">
        <f t="shared" ca="1" si="383"/>
        <v>0.18502414826014046</v>
      </c>
      <c r="F325" s="13">
        <f t="shared" ca="1" si="384"/>
        <v>9.5226731056849498</v>
      </c>
      <c r="G325" s="21">
        <f ca="1">IF((Prices!Q325-Prices!Q324)*C325&gt;0,1,0)</f>
        <v>0</v>
      </c>
      <c r="H325" s="13">
        <f>ABS(Prices!Q325-Prices!Q324)/Prices!Q324</f>
        <v>0.12820236519530442</v>
      </c>
      <c r="I325" s="21"/>
      <c r="J325" s="4">
        <f t="shared" ca="1" si="387"/>
        <v>-2.5017964847185386E-4</v>
      </c>
      <c r="K325" s="13"/>
      <c r="L325" s="13">
        <f ca="1">L324-O325*Prices!Q325</f>
        <v>13.64577697595281</v>
      </c>
      <c r="M325" s="4">
        <f t="shared" ca="1" si="388"/>
        <v>2.4767785198713532E-2</v>
      </c>
      <c r="N325" s="13">
        <f ca="1">IF(Prices!P324&gt;OFFSET(Prices!P324,-$N$3,0),1,-1)</f>
        <v>-1</v>
      </c>
      <c r="O325" s="4">
        <f ca="1">IF(N325=1,O$3*L324/Prices!Q324,-O$3*M324)</f>
        <v>-2.5017964847185386E-4</v>
      </c>
      <c r="P325" s="22"/>
      <c r="Q325" s="13">
        <f ca="1">Q324-T325*Prices!Q325</f>
        <v>1</v>
      </c>
      <c r="R325" s="4">
        <f t="shared" ca="1" si="211"/>
        <v>0.01</v>
      </c>
      <c r="S325" s="13">
        <f ca="1">IF(Prices!D324&gt;OFFSET(Prices!D324,-S$3,0),1,-1)</f>
        <v>1</v>
      </c>
      <c r="T325" s="4">
        <f ca="1">IF(S325=1,T$3*Q324/Prices!Q324,-T$3*R324)</f>
        <v>0</v>
      </c>
      <c r="V325" s="13"/>
      <c r="W325" s="4"/>
      <c r="X325" s="4"/>
      <c r="Y325" s="4"/>
      <c r="Z325" s="4"/>
      <c r="AA325" s="4"/>
      <c r="AB325" s="4"/>
      <c r="AC325" s="4"/>
      <c r="AD325" s="4"/>
      <c r="AE325" s="52"/>
    </row>
    <row r="326" spans="1:31" x14ac:dyDescent="0.2">
      <c r="A326" s="66">
        <v>44477</v>
      </c>
      <c r="B326" s="13">
        <f ca="1">Prices!Q325*(1+J326/(50*(ABS(O326)+ABS(T326)+0.0001)))</f>
        <v>3326.8366271215341</v>
      </c>
      <c r="C326" s="62">
        <f t="shared" ca="1" si="300"/>
        <v>1</v>
      </c>
      <c r="D326" s="13">
        <f ca="1">D325+C326*(Prices!Q326-Prices!Q325)/Prices!Q325</f>
        <v>9.4151219478035557</v>
      </c>
      <c r="E326" s="13">
        <f t="shared" ca="1" si="383"/>
        <v>0.10755115788139413</v>
      </c>
      <c r="F326" s="13">
        <f t="shared" ca="1" si="384"/>
        <v>9.5226731056849498</v>
      </c>
      <c r="G326" s="21">
        <f ca="1">IF((Prices!Q326-Prices!Q325)*C326&gt;0,1,0)</f>
        <v>1</v>
      </c>
      <c r="H326" s="13">
        <f>ABS(Prices!Q326-Prices!Q325)/Prices!Q325</f>
        <v>7.7472990378747095E-2</v>
      </c>
      <c r="I326" s="21"/>
      <c r="J326" s="4">
        <f t="shared" ca="1" si="387"/>
        <v>4.1256872256249569E-5</v>
      </c>
      <c r="K326" s="13"/>
      <c r="L326" s="13">
        <f ca="1">L325-O326*Prices!Q326</f>
        <v>13.498747414709596</v>
      </c>
      <c r="M326" s="4">
        <f t="shared" ca="1" si="388"/>
        <v>2.4809042070969782E-2</v>
      </c>
      <c r="N326" s="13">
        <f ca="1">IF(Prices!P325&gt;OFFSET(Prices!P325,-$N$3,0),1,-1)</f>
        <v>1</v>
      </c>
      <c r="O326" s="4">
        <f ca="1">IF(N326=1,O$3*L325/Prices!Q325,-O$3*M325)</f>
        <v>4.1256872256249569E-5</v>
      </c>
      <c r="P326" s="22"/>
      <c r="Q326" s="13">
        <f ca="1">Q325-T326*Prices!Q326</f>
        <v>1</v>
      </c>
      <c r="R326" s="4">
        <f t="shared" ca="1" si="211"/>
        <v>0.01</v>
      </c>
      <c r="S326" s="13">
        <f ca="1">IF(Prices!D325&gt;OFFSET(Prices!D325,-S$3,0),1,-1)</f>
        <v>1</v>
      </c>
      <c r="T326" s="4">
        <f ca="1">IF(S326=1,T$3*Q325/Prices!Q325,-T$3*R325)</f>
        <v>0</v>
      </c>
      <c r="V326" s="13"/>
      <c r="W326" s="4"/>
      <c r="X326" s="4"/>
      <c r="Y326" s="4"/>
      <c r="Z326" s="4"/>
      <c r="AA326" s="4"/>
      <c r="AB326" s="4"/>
      <c r="AC326" s="4"/>
      <c r="AD326" s="4"/>
      <c r="AE326" s="52"/>
    </row>
    <row r="327" spans="1:31" x14ac:dyDescent="0.2">
      <c r="A327" s="66">
        <v>44484</v>
      </c>
      <c r="B327" s="13">
        <f ca="1">Prices!Q326*(1+J327/(50*(ABS(O327)+ABS(T327)+0.0001)))</f>
        <v>3583.3400134350759</v>
      </c>
      <c r="C327" s="62">
        <f t="shared" ca="1" si="300"/>
        <v>1</v>
      </c>
      <c r="D327" s="13">
        <f ca="1">D326+C327*(Prices!Q327-Prices!Q326)/Prices!Q326</f>
        <v>9.4989871771216237</v>
      </c>
      <c r="E327" s="13">
        <f t="shared" ca="1" si="383"/>
        <v>2.3685928563326186E-2</v>
      </c>
      <c r="F327" s="13">
        <f t="shared" ca="1" si="384"/>
        <v>9.5226731056849498</v>
      </c>
      <c r="G327" s="21">
        <f ca="1">IF((Prices!Q327-Prices!Q326)*C327&gt;0,1,0)</f>
        <v>1</v>
      </c>
      <c r="H327" s="13">
        <f>ABS(Prices!Q327-Prices!Q326)/Prices!Q326</f>
        <v>8.3865229318068779E-2</v>
      </c>
      <c r="I327" s="21"/>
      <c r="J327" s="4">
        <f t="shared" ca="1" si="387"/>
        <v>3.7877831709421593E-5</v>
      </c>
      <c r="K327" s="13"/>
      <c r="L327" s="13">
        <f ca="1">L326-O327*Prices!Q327</f>
        <v>13.352439185088087</v>
      </c>
      <c r="M327" s="4">
        <f t="shared" ca="1" si="388"/>
        <v>2.4846919902679204E-2</v>
      </c>
      <c r="N327" s="13">
        <f ca="1">IF(Prices!P326&gt;OFFSET(Prices!P326,-$N$3,0),1,-1)</f>
        <v>1</v>
      </c>
      <c r="O327" s="4">
        <f ca="1">IF(N327=1,O$3*L326/Prices!Q326,-O$3*M326)</f>
        <v>3.7877831709421593E-5</v>
      </c>
      <c r="P327" s="22"/>
      <c r="Q327" s="13">
        <f ca="1">Q326-T327*Prices!Q327</f>
        <v>1</v>
      </c>
      <c r="R327" s="4">
        <f t="shared" ca="1" si="211"/>
        <v>0.01</v>
      </c>
      <c r="S327" s="13">
        <f ca="1">IF(Prices!D326&gt;OFFSET(Prices!D326,-S$3,0),1,-1)</f>
        <v>-1</v>
      </c>
      <c r="T327" s="4">
        <f ca="1">IF(S327=1,T$3*Q326/Prices!Q326,-T$3*R326)</f>
        <v>0</v>
      </c>
      <c r="V327" s="13"/>
      <c r="W327" s="4"/>
      <c r="X327" s="4"/>
      <c r="Y327" s="4"/>
      <c r="Z327" s="4"/>
      <c r="AA327" s="4"/>
      <c r="AB327" s="4"/>
      <c r="AC327" s="4"/>
      <c r="AD327" s="4"/>
      <c r="AE327" s="52"/>
    </row>
    <row r="328" spans="1:31" x14ac:dyDescent="0.2">
      <c r="A328" s="66">
        <v>44491</v>
      </c>
      <c r="B328" s="13">
        <f ca="1">Prices!Q327*(1+J328/(50*(ABS(O328)+ABS(T328)+0.0001)))</f>
        <v>3882.4796292365868</v>
      </c>
      <c r="C328" s="62">
        <f t="shared" ca="1" si="300"/>
        <v>1</v>
      </c>
      <c r="D328" s="13">
        <f ca="1">D327+C328*(Prices!Q328-Prices!Q327)/Prices!Q327</f>
        <v>9.5285305434798602</v>
      </c>
      <c r="E328" s="13">
        <f t="shared" ca="1" si="383"/>
        <v>0</v>
      </c>
      <c r="F328" s="13">
        <f t="shared" ca="1" si="384"/>
        <v>9.5285305434798602</v>
      </c>
      <c r="G328" s="21">
        <f ca="1">IF((Prices!Q328-Prices!Q327)*C328&gt;0,1,0)</f>
        <v>1</v>
      </c>
      <c r="H328" s="13">
        <f>ABS(Prices!Q328-Prices!Q327)/Prices!Q327</f>
        <v>2.9543366358236695E-2</v>
      </c>
      <c r="I328" s="21"/>
      <c r="J328" s="4">
        <f t="shared" ca="1" si="387"/>
        <v>3.4568215723163947E-5</v>
      </c>
      <c r="K328" s="13"/>
      <c r="L328" s="13">
        <f ca="1">L327-O328*Prices!Q328</f>
        <v>13.214970033210996</v>
      </c>
      <c r="M328" s="4">
        <f t="shared" ca="1" si="388"/>
        <v>2.4881488118402368E-2</v>
      </c>
      <c r="N328" s="13">
        <f ca="1">IF(Prices!P327&gt;OFFSET(Prices!P327,-$N$3,0),1,-1)</f>
        <v>1</v>
      </c>
      <c r="O328" s="4">
        <f ca="1">IF(N328=1,O$3*L327/Prices!Q327,-O$3*M327)</f>
        <v>3.4568215723163947E-5</v>
      </c>
      <c r="P328" s="22"/>
      <c r="Q328" s="13">
        <f ca="1">Q327-T328*Prices!Q328</f>
        <v>1</v>
      </c>
      <c r="R328" s="4">
        <f t="shared" ca="1" si="211"/>
        <v>0.01</v>
      </c>
      <c r="S328" s="13">
        <f ca="1">IF(Prices!D327&gt;OFFSET(Prices!D327,-S$3,0),1,-1)</f>
        <v>-1</v>
      </c>
      <c r="T328" s="4">
        <f ca="1">IF(S328=1,T$3*Q327/Prices!Q327,-T$3*R327)</f>
        <v>0</v>
      </c>
      <c r="V328" s="13"/>
      <c r="W328" s="4"/>
      <c r="X328" s="4"/>
      <c r="Y328" s="4"/>
      <c r="Z328" s="4"/>
      <c r="AA328" s="4"/>
      <c r="AB328" s="4"/>
      <c r="AC328" s="4"/>
      <c r="AD328" s="4"/>
      <c r="AE328" s="52"/>
    </row>
    <row r="329" spans="1:31" x14ac:dyDescent="0.2">
      <c r="A329" s="66">
        <v>44498</v>
      </c>
      <c r="B329" s="13">
        <f ca="1">Prices!Q328*(1+J329/(50*(ABS(O329)+ABS(T329)+0.0001)))</f>
        <v>3996.5877433315704</v>
      </c>
      <c r="C329" s="62">
        <f t="shared" ca="1" si="300"/>
        <v>1</v>
      </c>
      <c r="D329" s="13">
        <f ca="1">D328+C329*(Prices!Q329-Prices!Q328)/Prices!Q328</f>
        <v>9.6356954394376153</v>
      </c>
      <c r="E329" s="13">
        <f t="shared" ref="E329" ca="1" si="389">F329-D329</f>
        <v>0</v>
      </c>
      <c r="F329" s="13">
        <f t="shared" ref="F329" ca="1" si="390">MAX(F328,D329)</f>
        <v>9.6356954394376153</v>
      </c>
      <c r="G329" s="21">
        <f ca="1">IF((Prices!Q329-Prices!Q328)*C329&gt;0,1,0)</f>
        <v>1</v>
      </c>
      <c r="H329" s="13">
        <f>ABS(Prices!Q329-Prices!Q328)/Prices!Q328</f>
        <v>0.10716489595775436</v>
      </c>
      <c r="I329" s="21"/>
      <c r="J329" s="4">
        <f t="shared" ca="1" si="387"/>
        <v>3.3230577816586399E-5</v>
      </c>
      <c r="K329" s="13"/>
      <c r="L329" s="13">
        <f ca="1">L328-O329*Prices!Q329</f>
        <v>13.068658523991948</v>
      </c>
      <c r="M329" s="4">
        <f t="shared" ca="1" si="388"/>
        <v>2.4914718696218953E-2</v>
      </c>
      <c r="N329" s="13">
        <f ca="1">IF(Prices!P328&gt;OFFSET(Prices!P328,-$N$3,0),1,-1)</f>
        <v>1</v>
      </c>
      <c r="O329" s="4">
        <f ca="1">IF(N329=1,O$3*L328/Prices!Q328,-O$3*M328)</f>
        <v>3.3230577816586399E-5</v>
      </c>
      <c r="P329" s="22"/>
      <c r="Q329" s="13">
        <f ca="1">Q328-T329*Prices!Q329</f>
        <v>1</v>
      </c>
      <c r="R329" s="4">
        <f t="shared" ca="1" si="211"/>
        <v>0.01</v>
      </c>
      <c r="S329" s="13">
        <f ca="1">IF(Prices!D328&gt;OFFSET(Prices!D328,-S$3,0),1,-1)</f>
        <v>-1</v>
      </c>
      <c r="T329" s="4">
        <f ca="1">IF(S329=1,T$3*Q328/Prices!Q328,-T$3*R328)</f>
        <v>0</v>
      </c>
      <c r="V329" s="13"/>
      <c r="W329" s="4"/>
      <c r="X329" s="4"/>
      <c r="Y329" s="4"/>
      <c r="Z329" s="4"/>
      <c r="AA329" s="4"/>
      <c r="AB329" s="4"/>
      <c r="AC329" s="4"/>
      <c r="AD329" s="4"/>
      <c r="AE329" s="52"/>
    </row>
    <row r="330" spans="1:31" x14ac:dyDescent="0.2">
      <c r="B330" s="13">
        <f ca="1">Prices!Q329*(1+J330/(50*(ABS(O330)+ABS(T330)+0.0001)))</f>
        <v>4340.0806250997703</v>
      </c>
      <c r="C330" s="62">
        <f ca="1">IF(J330&gt;0,1,IF(J330&lt;0,0,0))</f>
        <v>0</v>
      </c>
      <c r="D330" s="13"/>
      <c r="E330" s="13"/>
      <c r="F330" s="13"/>
      <c r="G330" s="21"/>
      <c r="H330" s="13"/>
      <c r="I330" s="21"/>
      <c r="J330" s="4">
        <f t="shared" ref="J330" ca="1" si="391">O330+T330</f>
        <v>-2.4914718696218951E-4</v>
      </c>
      <c r="K330" s="13"/>
      <c r="L330" s="13">
        <f ca="1">L329-O330*Prices!Q330</f>
        <v>13.068658523991948</v>
      </c>
      <c r="M330" s="4">
        <f t="shared" ref="M330" ca="1" si="392">M329+O330</f>
        <v>2.4665571509256762E-2</v>
      </c>
      <c r="N330" s="13">
        <f ca="1">IF(Prices!P329&gt;OFFSET(Prices!P329,-$N$3,0),1,-1)</f>
        <v>-1</v>
      </c>
      <c r="O330" s="4">
        <f ca="1">IF(N330=1,O$3*L329/Prices!Q329,-O$3*M329)</f>
        <v>-2.4914718696218951E-4</v>
      </c>
      <c r="P330" s="22"/>
      <c r="Q330" s="13">
        <f ca="1">Q329-T330*Prices!Q330</f>
        <v>1</v>
      </c>
      <c r="R330" s="4">
        <f t="shared" ca="1" si="211"/>
        <v>0.01</v>
      </c>
      <c r="S330" s="13">
        <f ca="1">IF(Prices!D329&gt;OFFSET(Prices!D329,-S$3,0),1,-1)</f>
        <v>-1</v>
      </c>
      <c r="T330" s="4">
        <f ca="1">IF(S330=1,T$3*Q329/Prices!Q329,-T$3*R329)</f>
        <v>0</v>
      </c>
      <c r="V330" s="13"/>
      <c r="W330" s="4"/>
      <c r="X330" s="4"/>
      <c r="Y330" s="4"/>
      <c r="Z330" s="4"/>
      <c r="AA330" s="4"/>
      <c r="AB330" s="4"/>
      <c r="AC330" s="4"/>
      <c r="AD330" s="4"/>
      <c r="AE330" s="52"/>
    </row>
    <row r="331" spans="1:31" x14ac:dyDescent="0.2">
      <c r="B331" s="13"/>
      <c r="C331" s="62"/>
      <c r="D331" s="13"/>
      <c r="E331" s="13"/>
      <c r="F331" s="13"/>
      <c r="G331" s="21"/>
      <c r="H331" s="13"/>
      <c r="I331" s="21"/>
      <c r="J331" s="4"/>
      <c r="K331" s="13"/>
      <c r="L331" s="13"/>
      <c r="M331" s="4"/>
      <c r="N331" s="13"/>
      <c r="O331" s="4"/>
      <c r="P331" s="22"/>
      <c r="Q331" s="13"/>
      <c r="R331" s="4"/>
      <c r="S331" s="13"/>
      <c r="T331" s="4"/>
      <c r="V331" s="13"/>
      <c r="W331" s="4"/>
      <c r="X331" s="4"/>
      <c r="Y331" s="4"/>
      <c r="Z331" s="4"/>
      <c r="AA331" s="4"/>
      <c r="AB331" s="4"/>
      <c r="AC331" s="4"/>
      <c r="AD331" s="4"/>
      <c r="AE331" s="52"/>
    </row>
    <row r="332" spans="1:31" x14ac:dyDescent="0.2">
      <c r="B332" s="13"/>
      <c r="C332" s="62"/>
      <c r="D332" s="13"/>
      <c r="E332" s="13"/>
      <c r="F332" s="13"/>
      <c r="G332" s="21"/>
      <c r="H332" s="13"/>
      <c r="I332" s="21"/>
      <c r="J332" s="4"/>
      <c r="K332" s="13"/>
      <c r="L332" s="13"/>
      <c r="M332" s="4"/>
      <c r="N332" s="13"/>
      <c r="O332" s="4"/>
      <c r="P332" s="22"/>
      <c r="Q332" s="13"/>
      <c r="R332" s="4"/>
      <c r="S332" s="13"/>
      <c r="T332" s="4"/>
      <c r="V332" s="13"/>
      <c r="W332" s="4"/>
      <c r="X332" s="4"/>
      <c r="Y332" s="4"/>
      <c r="Z332" s="4"/>
      <c r="AA332" s="4"/>
      <c r="AB332" s="4"/>
      <c r="AC332" s="4"/>
      <c r="AD332" s="4"/>
      <c r="AE332" s="52"/>
    </row>
    <row r="333" spans="1:31" x14ac:dyDescent="0.2">
      <c r="B333" s="13"/>
      <c r="C333" s="62"/>
      <c r="D333" s="13"/>
      <c r="E333" s="13"/>
      <c r="F333" s="13"/>
      <c r="G333" s="21"/>
      <c r="H333" s="13"/>
      <c r="I333" s="21"/>
      <c r="J333" s="4"/>
      <c r="K333" s="13"/>
      <c r="L333" s="13"/>
      <c r="M333" s="4"/>
      <c r="N333" s="13"/>
      <c r="O333" s="4"/>
      <c r="P333" s="22"/>
      <c r="Q333" s="13"/>
      <c r="R333" s="4"/>
      <c r="S333" s="13"/>
      <c r="T333" s="4"/>
      <c r="V333" s="13"/>
      <c r="W333" s="4"/>
      <c r="X333" s="4"/>
      <c r="Y333" s="4"/>
      <c r="Z333" s="4"/>
      <c r="AA333" s="4"/>
      <c r="AB333" s="4"/>
      <c r="AC333" s="4"/>
      <c r="AD333" s="4"/>
      <c r="AE333" s="52"/>
    </row>
    <row r="334" spans="1:31" x14ac:dyDescent="0.2">
      <c r="B334" s="13"/>
      <c r="C334" s="62"/>
      <c r="D334" s="13"/>
      <c r="E334" s="13"/>
      <c r="F334" s="13"/>
      <c r="G334" s="21"/>
      <c r="H334" s="13"/>
      <c r="I334" s="21"/>
      <c r="J334" s="4"/>
      <c r="K334" s="13"/>
      <c r="L334" s="13"/>
      <c r="M334" s="4"/>
      <c r="N334" s="13"/>
      <c r="O334" s="4"/>
      <c r="P334" s="22"/>
      <c r="Q334" s="13"/>
      <c r="R334" s="4"/>
      <c r="S334" s="13"/>
      <c r="T334" s="4"/>
      <c r="V334" s="13"/>
      <c r="W334" s="4"/>
      <c r="X334" s="4"/>
      <c r="Y334" s="4"/>
      <c r="Z334" s="4"/>
      <c r="AA334" s="4"/>
      <c r="AB334" s="4"/>
      <c r="AC334" s="4"/>
      <c r="AD334" s="4"/>
      <c r="AE334" s="52"/>
    </row>
    <row r="335" spans="1:31" x14ac:dyDescent="0.2">
      <c r="B335" s="13"/>
      <c r="C335" s="62"/>
      <c r="D335" s="13"/>
      <c r="E335" s="13"/>
      <c r="F335" s="13"/>
      <c r="G335" s="21"/>
      <c r="H335" s="13"/>
      <c r="I335" s="21"/>
      <c r="J335" s="4"/>
      <c r="K335" s="13"/>
      <c r="L335" s="13"/>
      <c r="M335" s="4"/>
      <c r="N335" s="13"/>
      <c r="O335" s="4"/>
      <c r="P335" s="22"/>
      <c r="Q335" s="13"/>
      <c r="R335" s="4"/>
      <c r="S335" s="13"/>
      <c r="T335" s="4"/>
      <c r="V335" s="13"/>
      <c r="W335" s="4"/>
      <c r="X335" s="4"/>
      <c r="Y335" s="4"/>
      <c r="Z335" s="4"/>
      <c r="AA335" s="4"/>
      <c r="AB335" s="4"/>
      <c r="AC335" s="4"/>
      <c r="AD335" s="4"/>
      <c r="AE335" s="52"/>
    </row>
    <row r="336" spans="1:31" x14ac:dyDescent="0.2">
      <c r="B336" s="13"/>
      <c r="C336" s="62"/>
      <c r="D336" s="13"/>
      <c r="E336" s="13"/>
      <c r="F336" s="13"/>
      <c r="G336" s="21"/>
      <c r="H336" s="13"/>
      <c r="I336" s="21"/>
      <c r="J336" s="4"/>
      <c r="K336" s="13"/>
      <c r="L336" s="13"/>
      <c r="M336" s="4"/>
      <c r="N336" s="13"/>
      <c r="O336" s="4"/>
      <c r="P336" s="22"/>
      <c r="Q336" s="13"/>
      <c r="R336" s="4"/>
      <c r="S336" s="13"/>
      <c r="T336" s="4"/>
      <c r="V336" s="13"/>
      <c r="W336" s="4"/>
      <c r="X336" s="4"/>
      <c r="Y336" s="4"/>
      <c r="Z336" s="4"/>
      <c r="AA336" s="4"/>
      <c r="AB336" s="4"/>
      <c r="AC336" s="4"/>
      <c r="AD336" s="4"/>
      <c r="AE336" s="52"/>
    </row>
    <row r="337" spans="2:31" x14ac:dyDescent="0.2">
      <c r="B337" s="13"/>
      <c r="C337" s="62"/>
      <c r="D337" s="13"/>
      <c r="E337" s="13"/>
      <c r="F337" s="13"/>
      <c r="G337" s="21"/>
      <c r="H337" s="13"/>
      <c r="I337" s="21"/>
      <c r="J337" s="4"/>
      <c r="K337" s="13"/>
      <c r="L337" s="13"/>
      <c r="M337" s="4"/>
      <c r="N337" s="13"/>
      <c r="O337" s="4"/>
      <c r="P337" s="22"/>
      <c r="Q337" s="13"/>
      <c r="R337" s="4"/>
      <c r="S337" s="13"/>
      <c r="T337" s="4"/>
      <c r="V337" s="13"/>
      <c r="W337" s="4"/>
      <c r="X337" s="4"/>
      <c r="Y337" s="4"/>
      <c r="Z337" s="4"/>
      <c r="AA337" s="4"/>
      <c r="AB337" s="4"/>
      <c r="AC337" s="4"/>
      <c r="AD337" s="4"/>
      <c r="AE337" s="52"/>
    </row>
    <row r="338" spans="2:31" x14ac:dyDescent="0.2">
      <c r="B338" s="13"/>
      <c r="C338" s="62"/>
      <c r="D338" s="13"/>
      <c r="E338" s="13"/>
      <c r="F338" s="13"/>
      <c r="G338" s="21"/>
      <c r="H338" s="13"/>
      <c r="I338" s="21"/>
      <c r="J338" s="4"/>
      <c r="K338" s="13"/>
      <c r="L338" s="13"/>
      <c r="M338" s="4"/>
      <c r="N338" s="13"/>
      <c r="O338" s="4"/>
      <c r="P338" s="22"/>
      <c r="Q338" s="13"/>
      <c r="R338" s="4"/>
      <c r="S338" s="13"/>
      <c r="T338" s="4"/>
      <c r="V338" s="13"/>
      <c r="W338" s="4"/>
      <c r="X338" s="4"/>
      <c r="Y338" s="4"/>
      <c r="Z338" s="4"/>
      <c r="AA338" s="4"/>
      <c r="AB338" s="4"/>
      <c r="AC338" s="4"/>
      <c r="AD338" s="4"/>
      <c r="AE338" s="52"/>
    </row>
    <row r="339" spans="2:31" x14ac:dyDescent="0.2">
      <c r="B339" s="13"/>
      <c r="C339" s="62"/>
      <c r="D339" s="13"/>
      <c r="E339" s="13"/>
      <c r="F339" s="13"/>
      <c r="G339" s="21"/>
      <c r="H339" s="13"/>
      <c r="I339" s="21"/>
      <c r="J339" s="4"/>
      <c r="K339" s="13"/>
      <c r="L339" s="13"/>
      <c r="M339" s="4"/>
      <c r="N339" s="13"/>
      <c r="O339" s="4"/>
      <c r="P339" s="22"/>
      <c r="Q339" s="13"/>
      <c r="R339" s="4"/>
      <c r="S339" s="13"/>
      <c r="T339" s="4"/>
      <c r="V339" s="13"/>
      <c r="W339" s="4"/>
      <c r="X339" s="4"/>
      <c r="Y339" s="4"/>
      <c r="Z339" s="4"/>
      <c r="AA339" s="4"/>
      <c r="AB339" s="4"/>
      <c r="AC339" s="4"/>
      <c r="AD339" s="4"/>
      <c r="AE339" s="52"/>
    </row>
    <row r="340" spans="2:31" x14ac:dyDescent="0.2">
      <c r="B340" s="13"/>
      <c r="C340" s="62"/>
      <c r="D340" s="13"/>
      <c r="E340" s="13"/>
      <c r="F340" s="13"/>
      <c r="G340" s="21"/>
      <c r="H340" s="13"/>
      <c r="I340" s="21"/>
      <c r="J340" s="4"/>
      <c r="K340" s="13"/>
      <c r="L340" s="13"/>
      <c r="M340" s="4"/>
      <c r="N340" s="13"/>
      <c r="O340" s="4"/>
      <c r="P340" s="22"/>
      <c r="Q340" s="13"/>
      <c r="R340" s="4"/>
      <c r="S340" s="13"/>
      <c r="T340" s="4"/>
      <c r="V340" s="13"/>
      <c r="W340" s="4"/>
      <c r="X340" s="4"/>
      <c r="Y340" s="4"/>
      <c r="Z340" s="4"/>
      <c r="AA340" s="4"/>
      <c r="AB340" s="4"/>
      <c r="AC340" s="4"/>
      <c r="AD340" s="4"/>
      <c r="AE340" s="52"/>
    </row>
    <row r="341" spans="2:31" x14ac:dyDescent="0.2">
      <c r="B341" s="13"/>
      <c r="C341" s="62"/>
      <c r="D341" s="13"/>
      <c r="E341" s="13"/>
      <c r="F341" s="13"/>
      <c r="G341" s="21"/>
      <c r="H341" s="13"/>
      <c r="I341" s="21"/>
      <c r="J341" s="4"/>
      <c r="K341" s="13"/>
      <c r="L341" s="13"/>
      <c r="M341" s="4"/>
      <c r="N341" s="13"/>
      <c r="O341" s="4"/>
      <c r="P341" s="22"/>
      <c r="Q341" s="13"/>
      <c r="R341" s="4"/>
      <c r="S341" s="13"/>
      <c r="T341" s="4"/>
      <c r="V341" s="13"/>
      <c r="W341" s="4"/>
      <c r="X341" s="4"/>
      <c r="Y341" s="4"/>
      <c r="Z341" s="4"/>
      <c r="AA341" s="4"/>
      <c r="AB341" s="4"/>
      <c r="AC341" s="4"/>
      <c r="AD341" s="4"/>
      <c r="AE341" s="52"/>
    </row>
    <row r="342" spans="2:31" x14ac:dyDescent="0.2">
      <c r="B342" s="13"/>
      <c r="C342" s="62"/>
      <c r="D342" s="13"/>
      <c r="E342" s="13"/>
      <c r="F342" s="13"/>
      <c r="G342" s="21"/>
      <c r="H342" s="13"/>
      <c r="I342" s="21"/>
      <c r="J342" s="4"/>
      <c r="K342" s="13"/>
      <c r="L342" s="13"/>
      <c r="M342" s="4"/>
      <c r="N342" s="13"/>
      <c r="O342" s="4"/>
      <c r="P342" s="22"/>
      <c r="Q342" s="13"/>
      <c r="R342" s="4"/>
      <c r="S342" s="13"/>
      <c r="T342" s="4"/>
      <c r="V342" s="13"/>
      <c r="W342" s="4"/>
      <c r="X342" s="4"/>
      <c r="Y342" s="4"/>
      <c r="Z342" s="4"/>
      <c r="AA342" s="4"/>
      <c r="AB342" s="4"/>
      <c r="AC342" s="4"/>
      <c r="AD342" s="4"/>
      <c r="AE342" s="52"/>
    </row>
    <row r="343" spans="2:31" x14ac:dyDescent="0.2">
      <c r="B343" s="13"/>
      <c r="C343" s="62"/>
      <c r="D343" s="13"/>
      <c r="E343" s="13"/>
      <c r="F343" s="13"/>
      <c r="G343" s="21"/>
      <c r="H343" s="13"/>
      <c r="I343" s="21"/>
      <c r="J343" s="4"/>
      <c r="K343" s="13"/>
      <c r="L343" s="13"/>
      <c r="M343" s="4"/>
      <c r="N343" s="13"/>
      <c r="O343" s="4"/>
      <c r="P343" s="22"/>
      <c r="Q343" s="13"/>
      <c r="R343" s="4"/>
      <c r="S343" s="13"/>
      <c r="T343" s="4"/>
      <c r="V343" s="13"/>
      <c r="W343" s="4"/>
      <c r="X343" s="4"/>
      <c r="Y343" s="4"/>
      <c r="Z343" s="4"/>
      <c r="AA343" s="4"/>
      <c r="AB343" s="4"/>
      <c r="AC343" s="4"/>
      <c r="AD343" s="4"/>
      <c r="AE343" s="52"/>
    </row>
    <row r="344" spans="2:31" x14ac:dyDescent="0.2">
      <c r="B344" s="13"/>
      <c r="C344" s="62"/>
      <c r="D344" s="13"/>
      <c r="E344" s="13"/>
      <c r="F344" s="13"/>
      <c r="G344" s="21"/>
      <c r="H344" s="13"/>
      <c r="I344" s="21"/>
      <c r="J344" s="4"/>
      <c r="K344" s="13"/>
      <c r="L344" s="13"/>
      <c r="M344" s="4"/>
      <c r="N344" s="13"/>
      <c r="O344" s="4"/>
      <c r="P344" s="22"/>
      <c r="Q344" s="13"/>
      <c r="R344" s="4"/>
      <c r="S344" s="13"/>
      <c r="T344" s="4"/>
      <c r="V344" s="13"/>
      <c r="W344" s="4"/>
      <c r="X344" s="4"/>
      <c r="Y344" s="4"/>
      <c r="Z344" s="4"/>
      <c r="AA344" s="4"/>
      <c r="AB344" s="4"/>
      <c r="AC344" s="4"/>
      <c r="AD344" s="4"/>
      <c r="AE344" s="52"/>
    </row>
    <row r="345" spans="2:31" x14ac:dyDescent="0.2">
      <c r="B345" s="13"/>
      <c r="C345" s="62"/>
      <c r="D345" s="13"/>
      <c r="E345" s="13"/>
      <c r="F345" s="13"/>
      <c r="G345" s="21"/>
      <c r="H345" s="13"/>
      <c r="I345" s="21"/>
      <c r="J345" s="4"/>
      <c r="K345" s="13"/>
      <c r="L345" s="13"/>
      <c r="M345" s="4"/>
      <c r="N345" s="13"/>
      <c r="O345" s="4"/>
      <c r="P345" s="22"/>
      <c r="Q345" s="13"/>
      <c r="R345" s="4"/>
      <c r="S345" s="13"/>
      <c r="T345" s="4"/>
      <c r="V345" s="13"/>
      <c r="W345" s="4"/>
      <c r="X345" s="4"/>
      <c r="Y345" s="4"/>
      <c r="Z345" s="4"/>
      <c r="AA345" s="4"/>
      <c r="AB345" s="4"/>
      <c r="AC345" s="4"/>
      <c r="AD345" s="4"/>
      <c r="AE345" s="52"/>
    </row>
    <row r="346" spans="2:31" x14ac:dyDescent="0.2">
      <c r="B346" s="13"/>
      <c r="C346" s="62"/>
      <c r="D346" s="13"/>
      <c r="E346" s="13"/>
      <c r="F346" s="13"/>
      <c r="G346" s="21"/>
      <c r="H346" s="13"/>
      <c r="I346" s="21"/>
      <c r="J346" s="4"/>
      <c r="K346" s="13"/>
      <c r="L346" s="13"/>
      <c r="M346" s="4"/>
      <c r="N346" s="13"/>
      <c r="O346" s="4"/>
      <c r="P346" s="22"/>
      <c r="Q346" s="13"/>
      <c r="R346" s="4"/>
      <c r="S346" s="13"/>
      <c r="T346" s="4"/>
      <c r="V346" s="13"/>
      <c r="W346" s="4"/>
      <c r="X346" s="4"/>
      <c r="Y346" s="4"/>
      <c r="Z346" s="4"/>
      <c r="AA346" s="4"/>
      <c r="AB346" s="4"/>
      <c r="AC346" s="4"/>
      <c r="AD346" s="4"/>
      <c r="AE346" s="52"/>
    </row>
    <row r="347" spans="2:31" x14ac:dyDescent="0.2">
      <c r="B347" s="13"/>
      <c r="C347" s="62"/>
      <c r="D347" s="13"/>
      <c r="E347" s="13"/>
      <c r="F347" s="13"/>
      <c r="G347" s="21"/>
      <c r="H347" s="13"/>
      <c r="I347" s="21"/>
      <c r="J347" s="4"/>
      <c r="K347" s="13"/>
      <c r="L347" s="13"/>
      <c r="M347" s="4"/>
      <c r="N347" s="13"/>
      <c r="O347" s="4"/>
      <c r="P347" s="22"/>
      <c r="Q347" s="13"/>
      <c r="R347" s="4"/>
      <c r="S347" s="13"/>
      <c r="T347" s="4"/>
      <c r="V347" s="13"/>
      <c r="W347" s="4"/>
      <c r="X347" s="4"/>
      <c r="Y347" s="4"/>
      <c r="Z347" s="4"/>
      <c r="AA347" s="4"/>
      <c r="AB347" s="4"/>
      <c r="AC347" s="4"/>
      <c r="AD347" s="4"/>
      <c r="AE347" s="52"/>
    </row>
    <row r="348" spans="2:31" x14ac:dyDescent="0.2">
      <c r="B348" s="13"/>
      <c r="C348" s="62"/>
      <c r="D348" s="13"/>
      <c r="E348" s="13"/>
      <c r="F348" s="13"/>
      <c r="G348" s="21"/>
      <c r="H348" s="13"/>
      <c r="I348" s="21"/>
      <c r="J348" s="4"/>
      <c r="K348" s="13"/>
      <c r="L348" s="13"/>
      <c r="M348" s="4"/>
      <c r="N348" s="13"/>
      <c r="O348" s="4"/>
      <c r="P348" s="22"/>
      <c r="Q348" s="13"/>
      <c r="R348" s="4"/>
      <c r="S348" s="13"/>
      <c r="T348" s="4"/>
      <c r="V348" s="13"/>
      <c r="W348" s="4"/>
      <c r="X348" s="4"/>
      <c r="Y348" s="4"/>
      <c r="Z348" s="4"/>
      <c r="AA348" s="4"/>
      <c r="AB348" s="4"/>
      <c r="AC348" s="4"/>
      <c r="AD348" s="4"/>
      <c r="AE348" s="52"/>
    </row>
    <row r="349" spans="2:31" x14ac:dyDescent="0.2">
      <c r="B349" s="13"/>
      <c r="C349" s="62"/>
      <c r="D349" s="13"/>
      <c r="E349" s="13"/>
      <c r="F349" s="13"/>
      <c r="G349" s="21"/>
      <c r="H349" s="13"/>
      <c r="I349" s="21"/>
      <c r="J349" s="4"/>
      <c r="K349" s="13"/>
      <c r="L349" s="13"/>
      <c r="M349" s="4"/>
      <c r="N349" s="13"/>
      <c r="O349" s="4"/>
      <c r="P349" s="22"/>
      <c r="Q349" s="13"/>
      <c r="R349" s="4"/>
      <c r="S349" s="13"/>
      <c r="T349" s="4"/>
      <c r="V349" s="13"/>
      <c r="W349" s="4"/>
      <c r="X349" s="4"/>
      <c r="Y349" s="4"/>
      <c r="Z349" s="4"/>
      <c r="AA349" s="4"/>
      <c r="AB349" s="4"/>
      <c r="AC349" s="4"/>
      <c r="AD349" s="4"/>
      <c r="AE349" s="52"/>
    </row>
    <row r="350" spans="2:31" x14ac:dyDescent="0.2">
      <c r="B350" s="13"/>
      <c r="C350" s="62"/>
      <c r="D350" s="13"/>
      <c r="E350" s="13"/>
      <c r="F350" s="13"/>
      <c r="G350" s="21"/>
      <c r="H350" s="13"/>
      <c r="I350" s="21"/>
      <c r="J350" s="4"/>
      <c r="K350" s="13"/>
      <c r="L350" s="13"/>
      <c r="M350" s="4"/>
      <c r="N350" s="13"/>
      <c r="O350" s="4"/>
      <c r="P350" s="22"/>
      <c r="Q350" s="13"/>
      <c r="R350" s="4"/>
      <c r="S350" s="13"/>
      <c r="T350" s="4"/>
      <c r="V350" s="13"/>
      <c r="W350" s="4"/>
      <c r="X350" s="4"/>
      <c r="Y350" s="4"/>
      <c r="Z350" s="4"/>
      <c r="AA350" s="4"/>
      <c r="AB350" s="4"/>
      <c r="AC350" s="4"/>
      <c r="AD350" s="4"/>
      <c r="AE350" s="52"/>
    </row>
    <row r="351" spans="2:31" x14ac:dyDescent="0.2">
      <c r="B351" s="13"/>
      <c r="C351" s="62"/>
      <c r="D351" s="13"/>
      <c r="E351" s="13"/>
      <c r="F351" s="13"/>
      <c r="G351" s="21"/>
      <c r="H351" s="13"/>
      <c r="I351" s="21"/>
      <c r="J351" s="4"/>
      <c r="K351" s="13"/>
      <c r="L351" s="13"/>
      <c r="M351" s="4"/>
      <c r="N351" s="13"/>
      <c r="O351" s="4"/>
      <c r="P351" s="22"/>
      <c r="Q351" s="13"/>
      <c r="R351" s="4"/>
      <c r="S351" s="13"/>
      <c r="T351" s="4"/>
      <c r="V351" s="13"/>
      <c r="W351" s="4"/>
      <c r="X351" s="4"/>
      <c r="Y351" s="4"/>
      <c r="Z351" s="4"/>
      <c r="AA351" s="4"/>
      <c r="AB351" s="4"/>
      <c r="AC351" s="4"/>
      <c r="AD351" s="4"/>
      <c r="AE351" s="52"/>
    </row>
    <row r="352" spans="2:31" x14ac:dyDescent="0.2">
      <c r="B352" s="13"/>
      <c r="C352" s="62"/>
      <c r="D352" s="13"/>
      <c r="E352" s="13"/>
      <c r="F352" s="13"/>
      <c r="G352" s="21"/>
      <c r="H352" s="13"/>
      <c r="I352" s="21"/>
      <c r="J352" s="4"/>
      <c r="K352" s="13"/>
      <c r="L352" s="13"/>
      <c r="M352" s="4"/>
      <c r="N352" s="13"/>
      <c r="O352" s="4"/>
      <c r="P352" s="22"/>
      <c r="Q352" s="13"/>
      <c r="R352" s="4"/>
      <c r="S352" s="13"/>
      <c r="T352" s="4"/>
      <c r="V352" s="13"/>
      <c r="W352" s="4"/>
      <c r="X352" s="4"/>
      <c r="Y352" s="4"/>
      <c r="Z352" s="4"/>
      <c r="AA352" s="4"/>
      <c r="AB352" s="4"/>
      <c r="AC352" s="4"/>
      <c r="AD352" s="4"/>
      <c r="AE352" s="52"/>
    </row>
    <row r="353" spans="1:31" x14ac:dyDescent="0.2">
      <c r="B353" s="13"/>
      <c r="C353" s="62"/>
      <c r="D353" s="13"/>
      <c r="E353" s="13"/>
      <c r="F353" s="13"/>
      <c r="G353" s="21"/>
      <c r="H353" s="13"/>
      <c r="I353" s="21"/>
      <c r="J353" s="4"/>
      <c r="K353" s="13"/>
      <c r="L353" s="13"/>
      <c r="M353" s="4"/>
      <c r="N353" s="13"/>
      <c r="O353" s="4"/>
      <c r="P353" s="22"/>
      <c r="Q353" s="13"/>
      <c r="R353" s="4"/>
      <c r="S353" s="13"/>
      <c r="T353" s="4"/>
      <c r="V353" s="13"/>
      <c r="W353" s="4"/>
      <c r="X353" s="4"/>
      <c r="Y353" s="4"/>
      <c r="Z353" s="4"/>
      <c r="AA353" s="4"/>
      <c r="AB353" s="4"/>
      <c r="AC353" s="4"/>
      <c r="AD353" s="4"/>
      <c r="AE353" s="52"/>
    </row>
    <row r="354" spans="1:31" x14ac:dyDescent="0.2">
      <c r="B354" s="13"/>
      <c r="C354" s="62"/>
      <c r="D354" s="13"/>
      <c r="E354" s="13"/>
      <c r="F354" s="13"/>
      <c r="G354" s="21"/>
      <c r="H354" s="13"/>
      <c r="I354" s="21"/>
      <c r="J354" s="4"/>
      <c r="K354" s="13"/>
      <c r="L354" s="13"/>
      <c r="M354" s="4"/>
      <c r="N354" s="13"/>
      <c r="O354" s="4"/>
      <c r="P354" s="22"/>
      <c r="Q354" s="13"/>
      <c r="R354" s="4"/>
      <c r="S354" s="13"/>
      <c r="T354" s="4"/>
      <c r="V354" s="13"/>
      <c r="W354" s="4"/>
      <c r="X354" s="4"/>
      <c r="Y354" s="4"/>
      <c r="Z354" s="4"/>
      <c r="AA354" s="4"/>
      <c r="AB354" s="4"/>
      <c r="AC354" s="4"/>
      <c r="AD354" s="4"/>
      <c r="AE354" s="52"/>
    </row>
    <row r="355" spans="1:31" x14ac:dyDescent="0.2">
      <c r="B355" s="13"/>
      <c r="C355" s="62"/>
      <c r="D355" s="13"/>
      <c r="E355" s="13"/>
      <c r="F355" s="13"/>
      <c r="G355" s="21"/>
      <c r="H355" s="13"/>
      <c r="I355" s="21"/>
      <c r="J355" s="4"/>
      <c r="K355" s="13"/>
      <c r="L355" s="13"/>
      <c r="M355" s="4"/>
      <c r="N355" s="13"/>
      <c r="O355" s="4"/>
      <c r="P355" s="22"/>
      <c r="Q355" s="13"/>
      <c r="R355" s="4"/>
      <c r="S355" s="13"/>
      <c r="T355" s="4"/>
      <c r="V355" s="13"/>
      <c r="W355" s="4"/>
      <c r="X355" s="4"/>
      <c r="Y355" s="4"/>
      <c r="Z355" s="4"/>
      <c r="AA355" s="4"/>
      <c r="AB355" s="4"/>
      <c r="AC355" s="4"/>
      <c r="AD355" s="4"/>
      <c r="AE355" s="52"/>
    </row>
    <row r="356" spans="1:31" x14ac:dyDescent="0.2">
      <c r="A356" s="58"/>
      <c r="B356" s="13"/>
      <c r="C356" s="62"/>
      <c r="D356" s="13"/>
      <c r="E356" s="13"/>
      <c r="F356" s="13"/>
      <c r="G356" s="21"/>
      <c r="H356" s="13"/>
      <c r="I356" s="21"/>
      <c r="J356" s="4"/>
      <c r="K356" s="13"/>
      <c r="L356" s="13"/>
      <c r="M356" s="4"/>
      <c r="N356" s="13"/>
      <c r="O356" s="4"/>
      <c r="P356" s="22"/>
      <c r="Q356" s="13"/>
      <c r="R356" s="4"/>
      <c r="S356" s="13"/>
      <c r="T356" s="4"/>
      <c r="V356" s="13"/>
      <c r="W356" s="4"/>
      <c r="X356" s="4"/>
      <c r="Y356" s="4"/>
      <c r="Z356" s="4"/>
      <c r="AA356" s="4"/>
      <c r="AB356" s="4"/>
      <c r="AC356" s="4"/>
      <c r="AD356" s="4"/>
      <c r="AE356" s="52"/>
    </row>
    <row r="357" spans="1:31" x14ac:dyDescent="0.2">
      <c r="A357" s="58"/>
      <c r="B357" s="13"/>
      <c r="C357" s="62"/>
      <c r="D357" s="13"/>
      <c r="E357" s="13"/>
      <c r="F357" s="13"/>
      <c r="G357" s="21"/>
      <c r="H357" s="13"/>
      <c r="I357" s="21"/>
      <c r="J357" s="4"/>
      <c r="K357" s="13"/>
      <c r="L357" s="13"/>
      <c r="M357" s="4"/>
      <c r="N357" s="13"/>
      <c r="O357" s="4"/>
      <c r="P357" s="22"/>
      <c r="Q357" s="13"/>
      <c r="R357" s="4"/>
      <c r="S357" s="13"/>
      <c r="T357" s="4"/>
      <c r="V357" s="13"/>
      <c r="W357" s="4"/>
      <c r="X357" s="4"/>
      <c r="Y357" s="4"/>
      <c r="Z357" s="4"/>
      <c r="AA357" s="4"/>
      <c r="AB357" s="4"/>
      <c r="AC357" s="4"/>
      <c r="AD357" s="4"/>
      <c r="AE357" s="52"/>
    </row>
    <row r="358" spans="1:31" x14ac:dyDescent="0.2">
      <c r="B358" s="13"/>
      <c r="C358" s="62"/>
      <c r="D358" s="13"/>
      <c r="E358" s="13"/>
      <c r="F358" s="13"/>
      <c r="G358" s="21"/>
      <c r="H358" s="13"/>
      <c r="I358" s="21"/>
      <c r="J358" s="4"/>
      <c r="K358" s="13"/>
      <c r="L358" s="13"/>
      <c r="M358" s="4"/>
      <c r="N358" s="13"/>
      <c r="O358" s="4"/>
      <c r="P358" s="22"/>
      <c r="Q358" s="13"/>
      <c r="R358" s="4"/>
      <c r="S358" s="13"/>
      <c r="T358" s="4"/>
      <c r="V358" s="13"/>
      <c r="W358" s="4"/>
      <c r="X358" s="4"/>
      <c r="Y358" s="4"/>
      <c r="Z358" s="4"/>
      <c r="AA358" s="4"/>
      <c r="AB358" s="4"/>
      <c r="AC358" s="4"/>
      <c r="AD358" s="4"/>
      <c r="AE358" s="52"/>
    </row>
    <row r="359" spans="1:31" x14ac:dyDescent="0.2">
      <c r="B359" s="13"/>
      <c r="C359" s="62"/>
      <c r="D359" s="13"/>
      <c r="E359" s="13"/>
      <c r="F359" s="13"/>
      <c r="G359" s="21"/>
      <c r="H359" s="13"/>
      <c r="I359" s="21"/>
      <c r="J359" s="4"/>
      <c r="K359" s="13"/>
      <c r="L359" s="13"/>
      <c r="M359" s="4"/>
      <c r="N359" s="13"/>
      <c r="O359" s="4"/>
      <c r="P359" s="22"/>
      <c r="Q359" s="13"/>
      <c r="R359" s="4"/>
      <c r="S359" s="13"/>
      <c r="T359" s="4"/>
      <c r="V359" s="13"/>
      <c r="W359" s="4"/>
      <c r="X359" s="4"/>
      <c r="Y359" s="4"/>
      <c r="Z359" s="4"/>
      <c r="AA359" s="4"/>
      <c r="AB359" s="4"/>
      <c r="AC359" s="4"/>
      <c r="AD359" s="4"/>
      <c r="AE359" s="52"/>
    </row>
    <row r="360" spans="1:31" x14ac:dyDescent="0.2">
      <c r="B360" s="13"/>
      <c r="C360" s="62"/>
      <c r="D360" s="13"/>
      <c r="E360" s="13"/>
      <c r="F360" s="13"/>
      <c r="G360" s="21"/>
      <c r="H360" s="13"/>
      <c r="I360" s="21"/>
      <c r="J360" s="4"/>
      <c r="K360" s="13"/>
      <c r="L360" s="13"/>
      <c r="M360" s="4"/>
      <c r="N360" s="13"/>
      <c r="O360" s="4"/>
      <c r="P360" s="22"/>
      <c r="Q360" s="13"/>
      <c r="R360" s="4"/>
      <c r="S360" s="13"/>
      <c r="T360" s="4"/>
      <c r="V360" s="13"/>
      <c r="W360" s="4"/>
      <c r="X360" s="4"/>
      <c r="Y360" s="4"/>
      <c r="Z360" s="4"/>
      <c r="AA360" s="4"/>
      <c r="AB360" s="4"/>
      <c r="AC360" s="4"/>
      <c r="AD360" s="4"/>
      <c r="AE360" s="52"/>
    </row>
    <row r="361" spans="1:31" x14ac:dyDescent="0.2">
      <c r="B361" s="13"/>
      <c r="C361" s="62"/>
      <c r="D361" s="13"/>
      <c r="E361" s="13"/>
      <c r="F361" s="13"/>
      <c r="G361" s="21"/>
      <c r="H361" s="13"/>
      <c r="I361" s="21"/>
      <c r="J361" s="4"/>
      <c r="K361" s="13"/>
      <c r="L361" s="13"/>
      <c r="M361" s="4"/>
      <c r="N361" s="13"/>
      <c r="O361" s="4"/>
      <c r="P361" s="22"/>
      <c r="Q361" s="13"/>
      <c r="R361" s="4"/>
      <c r="S361" s="13"/>
      <c r="T361" s="4"/>
      <c r="V361" s="13"/>
      <c r="W361" s="4"/>
      <c r="X361" s="4"/>
      <c r="Y361" s="4"/>
      <c r="Z361" s="4"/>
      <c r="AA361" s="4"/>
      <c r="AB361" s="4"/>
      <c r="AC361" s="4"/>
      <c r="AD361" s="4"/>
      <c r="AE361" s="52"/>
    </row>
    <row r="362" spans="1:31" x14ac:dyDescent="0.2">
      <c r="B362" s="13"/>
      <c r="C362" s="62"/>
      <c r="D362" s="13"/>
      <c r="E362" s="13"/>
      <c r="F362" s="13"/>
      <c r="G362" s="21"/>
      <c r="H362" s="13"/>
      <c r="I362" s="21"/>
      <c r="J362" s="4"/>
      <c r="K362" s="13"/>
      <c r="L362" s="13"/>
      <c r="M362" s="4"/>
      <c r="N362" s="13"/>
      <c r="O362" s="4"/>
      <c r="P362" s="22"/>
      <c r="Q362" s="13"/>
      <c r="R362" s="4"/>
      <c r="S362" s="13"/>
      <c r="T362" s="4"/>
      <c r="V362" s="13"/>
      <c r="W362" s="4"/>
      <c r="X362" s="4"/>
      <c r="Y362" s="4"/>
      <c r="Z362" s="4"/>
      <c r="AA362" s="4"/>
      <c r="AB362" s="4"/>
      <c r="AC362" s="4"/>
      <c r="AD362" s="4"/>
      <c r="AE362" s="52"/>
    </row>
    <row r="363" spans="1:31" x14ac:dyDescent="0.2">
      <c r="B363" s="13"/>
      <c r="C363" s="62"/>
      <c r="D363" s="13"/>
      <c r="E363" s="13"/>
      <c r="F363" s="13"/>
      <c r="G363" s="21"/>
      <c r="H363" s="13"/>
      <c r="I363" s="21"/>
      <c r="J363" s="4"/>
      <c r="K363" s="13"/>
      <c r="L363" s="13"/>
      <c r="M363" s="4"/>
      <c r="N363" s="13"/>
      <c r="O363" s="4"/>
      <c r="P363" s="22"/>
      <c r="Q363" s="13"/>
      <c r="R363" s="4"/>
      <c r="S363" s="13"/>
      <c r="T363" s="4"/>
      <c r="V363" s="13"/>
      <c r="W363" s="4"/>
      <c r="X363" s="4"/>
      <c r="Y363" s="4"/>
      <c r="Z363" s="4"/>
      <c r="AA363" s="4"/>
      <c r="AB363" s="4"/>
      <c r="AC363" s="4"/>
      <c r="AD363" s="4"/>
      <c r="AE363" s="52"/>
    </row>
    <row r="364" spans="1:31" x14ac:dyDescent="0.2">
      <c r="B364" s="13"/>
      <c r="C364" s="62"/>
      <c r="D364" s="13"/>
      <c r="E364" s="13"/>
      <c r="F364" s="13"/>
      <c r="G364" s="21"/>
      <c r="H364" s="13"/>
      <c r="I364" s="21"/>
      <c r="J364" s="4"/>
      <c r="K364" s="13"/>
      <c r="L364" s="13"/>
      <c r="M364" s="4"/>
      <c r="N364" s="13"/>
      <c r="O364" s="4"/>
      <c r="P364" s="22"/>
      <c r="Q364" s="13"/>
      <c r="R364" s="4"/>
      <c r="S364" s="13"/>
      <c r="T364" s="4"/>
      <c r="V364" s="13"/>
      <c r="W364" s="4"/>
      <c r="X364" s="4"/>
      <c r="Y364" s="4"/>
      <c r="Z364" s="4"/>
      <c r="AA364" s="4"/>
      <c r="AB364" s="4"/>
      <c r="AC364" s="4"/>
      <c r="AD364" s="4"/>
      <c r="AE364" s="52"/>
    </row>
    <row r="365" spans="1:31" x14ac:dyDescent="0.2">
      <c r="B365" s="13"/>
      <c r="C365" s="62"/>
      <c r="D365" s="13"/>
      <c r="E365" s="13"/>
      <c r="F365" s="13"/>
      <c r="G365" s="21"/>
      <c r="H365" s="13"/>
      <c r="I365" s="21"/>
      <c r="J365" s="4"/>
      <c r="K365" s="13"/>
      <c r="L365" s="13"/>
      <c r="M365" s="4"/>
      <c r="N365" s="13"/>
      <c r="O365" s="4"/>
      <c r="P365" s="22"/>
      <c r="Q365" s="13"/>
      <c r="R365" s="4"/>
      <c r="S365" s="13"/>
      <c r="T365" s="4"/>
      <c r="V365" s="13"/>
      <c r="W365" s="4"/>
      <c r="X365" s="4"/>
      <c r="Y365" s="4"/>
      <c r="Z365" s="4"/>
      <c r="AA365" s="4"/>
      <c r="AB365" s="4"/>
      <c r="AC365" s="4"/>
      <c r="AD365" s="4"/>
      <c r="AE365" s="52"/>
    </row>
    <row r="366" spans="1:31" x14ac:dyDescent="0.2">
      <c r="B366" s="13"/>
      <c r="C366" s="62"/>
      <c r="D366" s="13"/>
      <c r="E366" s="13"/>
      <c r="F366" s="13"/>
      <c r="G366" s="21"/>
      <c r="H366" s="13"/>
      <c r="I366" s="21"/>
      <c r="J366" s="4"/>
      <c r="K366" s="13"/>
      <c r="L366" s="13"/>
      <c r="M366" s="4"/>
      <c r="N366" s="13"/>
      <c r="O366" s="4"/>
      <c r="P366" s="22"/>
      <c r="Q366" s="13"/>
      <c r="R366" s="4"/>
      <c r="S366" s="13"/>
      <c r="T366" s="4"/>
      <c r="V366" s="13"/>
      <c r="W366" s="4"/>
      <c r="X366" s="4"/>
      <c r="Y366" s="4"/>
      <c r="Z366" s="4"/>
      <c r="AA366" s="4"/>
      <c r="AB366" s="4"/>
      <c r="AC366" s="4"/>
      <c r="AD366" s="4"/>
      <c r="AE366" s="52"/>
    </row>
    <row r="367" spans="1:31" x14ac:dyDescent="0.2">
      <c r="B367" s="13"/>
      <c r="C367" s="62"/>
      <c r="D367" s="13"/>
      <c r="E367" s="13"/>
      <c r="F367" s="13"/>
      <c r="G367" s="21"/>
      <c r="H367" s="13"/>
      <c r="I367" s="21"/>
      <c r="J367" s="4"/>
      <c r="K367" s="13"/>
      <c r="L367" s="13"/>
      <c r="M367" s="4"/>
      <c r="N367" s="13"/>
      <c r="O367" s="4"/>
      <c r="P367" s="22"/>
      <c r="Q367" s="13"/>
      <c r="R367" s="4"/>
      <c r="S367" s="13"/>
      <c r="T367" s="4"/>
      <c r="V367" s="13"/>
      <c r="W367" s="4"/>
      <c r="X367" s="4"/>
      <c r="Y367" s="4"/>
      <c r="Z367" s="4"/>
      <c r="AA367" s="4"/>
      <c r="AB367" s="4"/>
      <c r="AC367" s="4"/>
      <c r="AD367" s="4"/>
      <c r="AE367" s="52"/>
    </row>
    <row r="368" spans="1:31" x14ac:dyDescent="0.2">
      <c r="B368" s="13"/>
      <c r="C368" s="62"/>
      <c r="D368" s="13"/>
      <c r="E368" s="13"/>
      <c r="F368" s="13"/>
      <c r="G368" s="21"/>
      <c r="H368" s="13"/>
      <c r="I368" s="21"/>
      <c r="J368" s="4"/>
      <c r="K368" s="13"/>
      <c r="L368" s="13"/>
      <c r="M368" s="4"/>
      <c r="N368" s="13"/>
      <c r="O368" s="4"/>
      <c r="P368" s="22"/>
      <c r="Q368" s="13"/>
      <c r="R368" s="4"/>
      <c r="S368" s="13"/>
      <c r="T368" s="4"/>
      <c r="V368" s="13"/>
      <c r="W368" s="4"/>
      <c r="X368" s="4"/>
      <c r="Y368" s="4"/>
      <c r="Z368" s="4"/>
      <c r="AA368" s="4"/>
      <c r="AB368" s="4"/>
      <c r="AC368" s="4"/>
      <c r="AD368" s="4"/>
      <c r="AE368" s="52"/>
    </row>
    <row r="369" spans="2:31" x14ac:dyDescent="0.2">
      <c r="B369" s="13"/>
      <c r="C369" s="62"/>
      <c r="D369" s="13"/>
      <c r="E369" s="13"/>
      <c r="F369" s="13"/>
      <c r="G369" s="21"/>
      <c r="H369" s="13"/>
      <c r="I369" s="21"/>
      <c r="J369" s="4"/>
      <c r="K369" s="13"/>
      <c r="L369" s="13"/>
      <c r="M369" s="4"/>
      <c r="N369" s="13"/>
      <c r="O369" s="4"/>
      <c r="P369" s="22"/>
      <c r="Q369" s="13"/>
      <c r="R369" s="4"/>
      <c r="S369" s="13"/>
      <c r="T369" s="4"/>
      <c r="V369" s="13"/>
      <c r="W369" s="4"/>
      <c r="X369" s="4"/>
      <c r="Y369" s="4"/>
      <c r="Z369" s="4"/>
      <c r="AA369" s="4"/>
      <c r="AB369" s="4"/>
      <c r="AC369" s="4"/>
      <c r="AD369" s="4"/>
      <c r="AE369" s="52"/>
    </row>
    <row r="370" spans="2:31" x14ac:dyDescent="0.2">
      <c r="B370" s="13"/>
      <c r="C370" s="62"/>
      <c r="D370" s="13"/>
      <c r="E370" s="13"/>
      <c r="F370" s="13"/>
      <c r="G370" s="21"/>
      <c r="H370" s="13"/>
      <c r="I370" s="21"/>
      <c r="J370" s="4"/>
      <c r="K370" s="13"/>
      <c r="L370" s="13"/>
      <c r="M370" s="4"/>
      <c r="N370" s="13"/>
      <c r="O370" s="4"/>
      <c r="P370" s="22"/>
      <c r="Q370" s="13"/>
      <c r="R370" s="4"/>
      <c r="S370" s="13"/>
      <c r="T370" s="4"/>
      <c r="V370" s="13"/>
      <c r="W370" s="4"/>
      <c r="X370" s="4"/>
      <c r="Y370" s="4"/>
      <c r="Z370" s="4"/>
      <c r="AA370" s="4"/>
      <c r="AB370" s="4"/>
      <c r="AC370" s="4"/>
      <c r="AD370" s="4"/>
      <c r="AE370" s="52"/>
    </row>
    <row r="371" spans="2:31" x14ac:dyDescent="0.2">
      <c r="B371" s="13"/>
      <c r="C371" s="62"/>
      <c r="D371" s="13"/>
      <c r="E371" s="13"/>
      <c r="F371" s="13"/>
      <c r="G371" s="21"/>
      <c r="H371" s="13"/>
      <c r="I371" s="21"/>
      <c r="J371" s="4"/>
      <c r="K371" s="13"/>
      <c r="L371" s="13"/>
      <c r="M371" s="4"/>
      <c r="N371" s="13"/>
      <c r="O371" s="4"/>
      <c r="P371" s="22"/>
      <c r="Q371" s="13"/>
      <c r="R371" s="4"/>
      <c r="S371" s="13"/>
      <c r="T371" s="4"/>
      <c r="V371" s="13"/>
      <c r="W371" s="4"/>
      <c r="X371" s="4"/>
      <c r="Y371" s="4"/>
      <c r="Z371" s="4"/>
      <c r="AA371" s="4"/>
      <c r="AB371" s="4"/>
      <c r="AC371" s="4"/>
      <c r="AD371" s="4"/>
      <c r="AE371" s="52"/>
    </row>
    <row r="372" spans="2:31" x14ac:dyDescent="0.2">
      <c r="B372" s="13"/>
      <c r="C372" s="62"/>
      <c r="D372" s="13"/>
      <c r="E372" s="13"/>
      <c r="F372" s="13"/>
      <c r="G372" s="21"/>
      <c r="H372" s="13"/>
      <c r="I372" s="21"/>
      <c r="J372" s="4"/>
      <c r="K372" s="13"/>
      <c r="L372" s="13"/>
      <c r="M372" s="4"/>
      <c r="N372" s="13"/>
      <c r="O372" s="4"/>
      <c r="P372" s="22"/>
      <c r="Q372" s="13"/>
      <c r="R372" s="4"/>
      <c r="S372" s="13"/>
      <c r="T372" s="4"/>
      <c r="V372" s="13"/>
      <c r="W372" s="4"/>
      <c r="X372" s="4"/>
      <c r="Y372" s="4"/>
      <c r="Z372" s="4"/>
      <c r="AA372" s="4"/>
      <c r="AB372" s="4"/>
      <c r="AC372" s="4"/>
      <c r="AD372" s="4"/>
      <c r="AE372" s="52"/>
    </row>
    <row r="373" spans="2:31" x14ac:dyDescent="0.2">
      <c r="B373" s="13"/>
      <c r="C373" s="62"/>
      <c r="D373" s="13"/>
      <c r="E373" s="13"/>
      <c r="F373" s="13"/>
      <c r="G373" s="21"/>
      <c r="H373" s="13"/>
      <c r="I373" s="21"/>
      <c r="J373" s="4"/>
      <c r="K373" s="13"/>
      <c r="L373" s="13"/>
      <c r="M373" s="4"/>
      <c r="N373" s="13"/>
      <c r="O373" s="4"/>
      <c r="P373" s="22"/>
      <c r="Q373" s="13"/>
      <c r="R373" s="4"/>
      <c r="S373" s="13"/>
      <c r="T373" s="4"/>
      <c r="V373" s="13"/>
      <c r="W373" s="4"/>
      <c r="X373" s="4"/>
      <c r="Y373" s="4"/>
      <c r="Z373" s="4"/>
      <c r="AA373" s="4"/>
      <c r="AB373" s="4"/>
      <c r="AC373" s="4"/>
      <c r="AD373" s="4"/>
      <c r="AE373" s="52"/>
    </row>
    <row r="374" spans="2:31" x14ac:dyDescent="0.2">
      <c r="B374" s="13"/>
      <c r="C374" s="62"/>
      <c r="D374" s="13"/>
      <c r="E374" s="13"/>
      <c r="F374" s="13"/>
      <c r="G374" s="21"/>
      <c r="H374" s="13"/>
      <c r="I374" s="21"/>
      <c r="J374" s="4"/>
      <c r="K374" s="13"/>
      <c r="L374" s="13"/>
      <c r="M374" s="4"/>
      <c r="N374" s="13"/>
      <c r="O374" s="4"/>
      <c r="P374" s="22"/>
      <c r="Q374" s="13"/>
      <c r="R374" s="4"/>
      <c r="S374" s="13"/>
      <c r="T374" s="4"/>
      <c r="V374" s="13"/>
      <c r="W374" s="4"/>
      <c r="X374" s="4"/>
      <c r="Y374" s="4"/>
      <c r="Z374" s="4"/>
      <c r="AA374" s="4"/>
      <c r="AB374" s="4"/>
      <c r="AC374" s="4"/>
      <c r="AD374" s="4"/>
      <c r="AE374" s="52"/>
    </row>
    <row r="375" spans="2:31" x14ac:dyDescent="0.2">
      <c r="B375" s="13"/>
      <c r="C375" s="62"/>
      <c r="D375" s="13"/>
      <c r="E375" s="13"/>
      <c r="F375" s="13"/>
      <c r="G375" s="21"/>
      <c r="H375" s="13"/>
      <c r="I375" s="21"/>
      <c r="J375" s="4"/>
      <c r="K375" s="13"/>
      <c r="L375" s="13"/>
      <c r="M375" s="4"/>
      <c r="N375" s="13"/>
      <c r="O375" s="4"/>
      <c r="P375" s="22"/>
      <c r="Q375" s="13"/>
      <c r="R375" s="4"/>
      <c r="S375" s="13"/>
      <c r="T375" s="4"/>
      <c r="V375" s="13"/>
      <c r="W375" s="4"/>
      <c r="X375" s="4"/>
      <c r="Y375" s="4"/>
      <c r="Z375" s="4"/>
      <c r="AA375" s="4"/>
      <c r="AB375" s="4"/>
      <c r="AC375" s="4"/>
      <c r="AD375" s="4"/>
      <c r="AE375" s="52"/>
    </row>
    <row r="376" spans="2:31" x14ac:dyDescent="0.2">
      <c r="B376" s="13"/>
      <c r="C376" s="62"/>
      <c r="D376" s="13"/>
      <c r="E376" s="13"/>
      <c r="F376" s="13"/>
      <c r="G376" s="21"/>
      <c r="H376" s="13"/>
      <c r="I376" s="21"/>
      <c r="J376" s="4"/>
      <c r="K376" s="13"/>
      <c r="L376" s="13"/>
      <c r="M376" s="4"/>
      <c r="N376" s="13"/>
      <c r="O376" s="4"/>
      <c r="P376" s="22"/>
      <c r="Q376" s="13"/>
      <c r="R376" s="4"/>
      <c r="S376" s="13"/>
      <c r="T376" s="4"/>
      <c r="V376" s="13"/>
      <c r="W376" s="4"/>
      <c r="X376" s="4"/>
      <c r="Y376" s="4"/>
      <c r="Z376" s="4"/>
      <c r="AA376" s="4"/>
      <c r="AB376" s="4"/>
      <c r="AC376" s="4"/>
      <c r="AD376" s="4"/>
      <c r="AE376" s="52"/>
    </row>
    <row r="377" spans="2:31" x14ac:dyDescent="0.2">
      <c r="B377" s="13"/>
      <c r="C377" s="62"/>
      <c r="D377" s="13"/>
      <c r="E377" s="13"/>
      <c r="F377" s="13"/>
      <c r="G377" s="21"/>
      <c r="H377" s="13"/>
      <c r="I377" s="21"/>
      <c r="J377" s="4"/>
      <c r="K377" s="13"/>
      <c r="L377" s="13"/>
      <c r="M377" s="4"/>
      <c r="N377" s="13"/>
      <c r="O377" s="4"/>
      <c r="P377" s="22"/>
      <c r="Q377" s="13"/>
      <c r="R377" s="4"/>
      <c r="S377" s="13"/>
      <c r="T377" s="4"/>
      <c r="V377" s="13"/>
      <c r="W377" s="4"/>
      <c r="X377" s="4"/>
      <c r="Y377" s="4"/>
      <c r="Z377" s="4"/>
      <c r="AA377" s="4"/>
      <c r="AB377" s="4"/>
      <c r="AC377" s="4"/>
      <c r="AD377" s="4"/>
      <c r="AE377" s="52"/>
    </row>
    <row r="378" spans="2:31" x14ac:dyDescent="0.2">
      <c r="B378" s="13"/>
      <c r="C378" s="62"/>
      <c r="D378" s="13"/>
      <c r="E378" s="13"/>
      <c r="F378" s="13"/>
      <c r="G378" s="21"/>
      <c r="H378" s="13"/>
      <c r="I378" s="21"/>
      <c r="J378" s="4"/>
      <c r="K378" s="13"/>
      <c r="L378" s="13"/>
      <c r="M378" s="4"/>
      <c r="N378" s="13"/>
      <c r="O378" s="4"/>
      <c r="P378" s="22"/>
      <c r="Q378" s="13"/>
      <c r="R378" s="4"/>
      <c r="S378" s="13"/>
      <c r="T378" s="4"/>
      <c r="V378" s="13"/>
      <c r="W378" s="4"/>
      <c r="X378" s="4"/>
      <c r="Y378" s="4"/>
      <c r="Z378" s="4"/>
      <c r="AA378" s="4"/>
      <c r="AB378" s="4"/>
      <c r="AC378" s="4"/>
      <c r="AD378" s="4"/>
      <c r="AE378" s="52"/>
    </row>
    <row r="379" spans="2:31" x14ac:dyDescent="0.2">
      <c r="B379" s="13"/>
      <c r="C379" s="62"/>
      <c r="D379" s="13"/>
      <c r="E379" s="13"/>
      <c r="F379" s="13"/>
      <c r="G379" s="21"/>
      <c r="H379" s="13"/>
      <c r="I379" s="21"/>
      <c r="J379" s="4"/>
      <c r="K379" s="13"/>
      <c r="L379" s="13"/>
      <c r="M379" s="4"/>
      <c r="N379" s="13"/>
      <c r="O379" s="4"/>
      <c r="P379" s="22"/>
      <c r="Q379" s="13"/>
      <c r="R379" s="4"/>
      <c r="S379" s="13"/>
      <c r="T379" s="4"/>
      <c r="V379" s="13"/>
      <c r="W379" s="4"/>
      <c r="X379" s="4"/>
      <c r="Y379" s="4"/>
      <c r="Z379" s="4"/>
      <c r="AA379" s="4"/>
      <c r="AB379" s="4"/>
      <c r="AC379" s="4"/>
      <c r="AD379" s="4"/>
      <c r="AE379" s="52"/>
    </row>
    <row r="380" spans="2:31" x14ac:dyDescent="0.2">
      <c r="B380" s="13"/>
      <c r="C380" s="62"/>
      <c r="D380" s="13"/>
      <c r="E380" s="13"/>
      <c r="F380" s="13"/>
      <c r="G380" s="21"/>
      <c r="H380" s="13"/>
      <c r="I380" s="21"/>
      <c r="J380" s="4"/>
      <c r="K380" s="13"/>
      <c r="L380" s="13"/>
      <c r="M380" s="4"/>
      <c r="N380" s="13"/>
      <c r="O380" s="4"/>
      <c r="P380" s="22"/>
      <c r="Q380" s="13"/>
      <c r="R380" s="4"/>
      <c r="S380" s="13"/>
      <c r="T380" s="4"/>
      <c r="V380" s="13"/>
      <c r="W380" s="4"/>
      <c r="X380" s="4"/>
      <c r="Y380" s="4"/>
      <c r="Z380" s="4"/>
      <c r="AA380" s="4"/>
      <c r="AB380" s="4"/>
      <c r="AC380" s="4"/>
      <c r="AD380" s="4"/>
      <c r="AE380" s="52"/>
    </row>
    <row r="381" spans="2:31" x14ac:dyDescent="0.2">
      <c r="B381" s="13"/>
      <c r="C381" s="62"/>
      <c r="D381" s="13"/>
      <c r="E381" s="13"/>
      <c r="F381" s="13"/>
      <c r="G381" s="21"/>
      <c r="H381" s="13"/>
      <c r="I381" s="21"/>
      <c r="J381" s="4"/>
      <c r="K381" s="13"/>
      <c r="L381" s="13"/>
      <c r="M381" s="4"/>
      <c r="N381" s="13"/>
      <c r="O381" s="4"/>
      <c r="P381" s="22"/>
      <c r="Q381" s="13"/>
      <c r="R381" s="4"/>
      <c r="S381" s="13"/>
      <c r="T381" s="4"/>
      <c r="V381" s="13"/>
      <c r="W381" s="4"/>
      <c r="X381" s="4"/>
      <c r="Y381" s="4"/>
      <c r="Z381" s="4"/>
      <c r="AA381" s="4"/>
      <c r="AB381" s="4"/>
      <c r="AC381" s="4"/>
      <c r="AD381" s="4"/>
      <c r="AE381" s="52"/>
    </row>
    <row r="382" spans="2:31" x14ac:dyDescent="0.2">
      <c r="B382" s="13"/>
      <c r="C382" s="62"/>
      <c r="D382" s="13"/>
      <c r="E382" s="13"/>
      <c r="F382" s="13"/>
      <c r="G382" s="21"/>
      <c r="H382" s="13"/>
      <c r="I382" s="21"/>
      <c r="J382" s="4"/>
      <c r="K382" s="13"/>
      <c r="L382" s="13"/>
      <c r="M382" s="4"/>
      <c r="N382" s="13"/>
      <c r="O382" s="4"/>
      <c r="P382" s="22"/>
      <c r="Q382" s="13"/>
      <c r="R382" s="4"/>
      <c r="S382" s="13"/>
      <c r="T382" s="4"/>
      <c r="V382" s="13"/>
      <c r="W382" s="4"/>
      <c r="X382" s="4"/>
      <c r="Y382" s="4"/>
      <c r="Z382" s="4"/>
      <c r="AA382" s="4"/>
      <c r="AB382" s="4"/>
      <c r="AC382" s="4"/>
      <c r="AD382" s="4"/>
      <c r="AE382" s="52"/>
    </row>
    <row r="383" spans="2:31" x14ac:dyDescent="0.2">
      <c r="B383" s="13"/>
      <c r="C383" s="62"/>
      <c r="D383" s="13"/>
      <c r="E383" s="13"/>
      <c r="F383" s="13"/>
      <c r="G383" s="21"/>
      <c r="H383" s="13"/>
      <c r="I383" s="21"/>
      <c r="J383" s="4"/>
      <c r="K383" s="13"/>
      <c r="L383" s="13"/>
      <c r="M383" s="4"/>
      <c r="N383" s="13"/>
      <c r="O383" s="4"/>
      <c r="P383" s="22"/>
      <c r="Q383" s="13"/>
      <c r="R383" s="4"/>
      <c r="S383" s="13"/>
      <c r="T383" s="4"/>
      <c r="V383" s="13"/>
      <c r="W383" s="4"/>
      <c r="X383" s="4"/>
      <c r="Y383" s="4"/>
      <c r="Z383" s="4"/>
      <c r="AA383" s="4"/>
      <c r="AB383" s="4"/>
      <c r="AC383" s="4"/>
      <c r="AD383" s="4"/>
      <c r="AE383" s="52"/>
    </row>
    <row r="384" spans="2:31" x14ac:dyDescent="0.2">
      <c r="B384" s="13"/>
      <c r="C384" s="62"/>
      <c r="D384" s="13"/>
      <c r="E384" s="13"/>
      <c r="F384" s="13"/>
      <c r="G384" s="21"/>
      <c r="H384" s="13"/>
      <c r="I384" s="21"/>
      <c r="J384" s="4"/>
      <c r="K384" s="13"/>
      <c r="L384" s="13"/>
      <c r="M384" s="4"/>
      <c r="N384" s="13"/>
      <c r="O384" s="4"/>
      <c r="P384" s="22"/>
      <c r="Q384" s="13"/>
      <c r="R384" s="4"/>
      <c r="S384" s="13"/>
      <c r="T384" s="4"/>
      <c r="V384" s="13"/>
      <c r="W384" s="4"/>
      <c r="X384" s="4"/>
      <c r="Y384" s="4"/>
      <c r="Z384" s="4"/>
      <c r="AA384" s="4"/>
      <c r="AB384" s="4"/>
      <c r="AC384" s="4"/>
      <c r="AD384" s="4"/>
      <c r="AE384" s="52"/>
    </row>
    <row r="385" spans="1:31" x14ac:dyDescent="0.2">
      <c r="B385" s="13"/>
      <c r="C385" s="62"/>
      <c r="D385" s="13"/>
      <c r="E385" s="13"/>
      <c r="F385" s="13"/>
      <c r="G385" s="21"/>
      <c r="H385" s="13"/>
      <c r="I385" s="21"/>
      <c r="J385" s="4"/>
      <c r="K385" s="13"/>
      <c r="L385" s="13"/>
      <c r="M385" s="4"/>
      <c r="N385" s="13"/>
      <c r="O385" s="4"/>
      <c r="P385" s="22"/>
      <c r="Q385" s="13"/>
      <c r="R385" s="4"/>
      <c r="S385" s="13"/>
      <c r="T385" s="4"/>
      <c r="V385" s="13"/>
      <c r="W385" s="4"/>
      <c r="X385" s="4"/>
      <c r="Y385" s="4"/>
      <c r="Z385" s="4"/>
      <c r="AA385" s="4"/>
      <c r="AB385" s="4"/>
      <c r="AC385" s="4"/>
      <c r="AD385" s="4"/>
      <c r="AE385" s="52"/>
    </row>
    <row r="386" spans="1:31" x14ac:dyDescent="0.2">
      <c r="B386" s="13"/>
      <c r="C386" s="62"/>
      <c r="D386" s="13"/>
      <c r="E386" s="13"/>
      <c r="F386" s="13"/>
      <c r="G386" s="21"/>
      <c r="H386" s="13"/>
      <c r="I386" s="21"/>
      <c r="J386" s="4"/>
      <c r="K386" s="13"/>
      <c r="L386" s="13"/>
      <c r="M386" s="4"/>
      <c r="N386" s="13"/>
      <c r="O386" s="4"/>
      <c r="P386" s="22"/>
      <c r="Q386" s="13"/>
      <c r="R386" s="4"/>
      <c r="S386" s="13"/>
      <c r="T386" s="4"/>
      <c r="V386" s="13"/>
      <c r="W386" s="4"/>
      <c r="X386" s="4"/>
      <c r="Y386" s="4"/>
      <c r="Z386" s="4"/>
      <c r="AA386" s="4"/>
      <c r="AB386" s="4"/>
      <c r="AC386" s="4"/>
      <c r="AD386" s="4"/>
      <c r="AE386" s="52"/>
    </row>
    <row r="387" spans="1:31" x14ac:dyDescent="0.2">
      <c r="B387" s="13"/>
      <c r="C387" s="62"/>
      <c r="D387" s="13"/>
      <c r="E387" s="13"/>
      <c r="F387" s="13"/>
      <c r="G387" s="21"/>
      <c r="H387" s="13"/>
      <c r="I387" s="21"/>
      <c r="J387" s="4"/>
      <c r="K387" s="13"/>
      <c r="L387" s="13"/>
      <c r="M387" s="4"/>
      <c r="N387" s="13"/>
      <c r="O387" s="4"/>
      <c r="P387" s="22"/>
      <c r="Q387" s="13"/>
      <c r="R387" s="4"/>
      <c r="S387" s="13"/>
      <c r="T387" s="4"/>
      <c r="V387" s="13"/>
      <c r="W387" s="4"/>
      <c r="X387" s="4"/>
      <c r="Y387" s="4"/>
      <c r="Z387" s="4"/>
      <c r="AA387" s="4"/>
      <c r="AB387" s="4"/>
      <c r="AC387" s="4"/>
      <c r="AD387" s="4"/>
      <c r="AE387" s="52"/>
    </row>
    <row r="388" spans="1:31" x14ac:dyDescent="0.2">
      <c r="A388" s="58"/>
      <c r="B388" s="13"/>
      <c r="C388" s="62"/>
      <c r="D388" s="13"/>
      <c r="E388" s="13"/>
      <c r="F388" s="13"/>
      <c r="G388" s="21"/>
      <c r="H388" s="13"/>
      <c r="I388" s="21"/>
      <c r="J388" s="4"/>
      <c r="K388" s="13"/>
      <c r="L388" s="13"/>
      <c r="M388" s="4"/>
      <c r="N388" s="13"/>
      <c r="O388" s="4"/>
      <c r="P388" s="22"/>
      <c r="Q388" s="13"/>
      <c r="R388" s="4"/>
      <c r="S388" s="13"/>
      <c r="T388" s="4"/>
      <c r="V388" s="13"/>
      <c r="W388" s="4"/>
      <c r="X388" s="4"/>
      <c r="Y388" s="4"/>
      <c r="Z388" s="4"/>
      <c r="AA388" s="4"/>
      <c r="AB388" s="4"/>
      <c r="AC388" s="4"/>
      <c r="AD388" s="4"/>
      <c r="AE388" s="52"/>
    </row>
    <row r="389" spans="1:31" x14ac:dyDescent="0.2">
      <c r="B389" s="13"/>
      <c r="C389" s="62"/>
      <c r="D389" s="13"/>
      <c r="E389" s="13"/>
      <c r="F389" s="13"/>
      <c r="G389" s="21"/>
      <c r="H389" s="13"/>
      <c r="I389" s="21"/>
      <c r="J389" s="4"/>
      <c r="K389" s="13"/>
      <c r="L389" s="13"/>
      <c r="M389" s="4"/>
      <c r="N389" s="13"/>
      <c r="O389" s="4"/>
      <c r="P389" s="22"/>
      <c r="Q389" s="13"/>
      <c r="R389" s="4"/>
      <c r="S389" s="13"/>
      <c r="T389" s="4"/>
      <c r="V389" s="13"/>
      <c r="W389" s="4"/>
      <c r="X389" s="4"/>
      <c r="Y389" s="4"/>
      <c r="Z389" s="4"/>
      <c r="AA389" s="4"/>
      <c r="AB389" s="4"/>
      <c r="AC389" s="4"/>
      <c r="AD389" s="4"/>
      <c r="AE389" s="52"/>
    </row>
    <row r="390" spans="1:31" x14ac:dyDescent="0.2">
      <c r="B390" s="13"/>
      <c r="C390" s="62"/>
      <c r="D390" s="13"/>
      <c r="E390" s="13"/>
      <c r="F390" s="13"/>
      <c r="G390" s="21"/>
      <c r="H390" s="13"/>
      <c r="I390" s="21"/>
      <c r="J390" s="4"/>
      <c r="K390" s="13"/>
      <c r="L390" s="13"/>
      <c r="M390" s="4"/>
      <c r="N390" s="13"/>
      <c r="O390" s="4"/>
      <c r="P390" s="22"/>
      <c r="Q390" s="13"/>
      <c r="R390" s="4"/>
      <c r="S390" s="13"/>
      <c r="T390" s="4"/>
      <c r="V390" s="13"/>
      <c r="W390" s="4"/>
      <c r="X390" s="4"/>
      <c r="Y390" s="4"/>
      <c r="Z390" s="4"/>
      <c r="AA390" s="4"/>
      <c r="AB390" s="4"/>
      <c r="AC390" s="4"/>
      <c r="AD390" s="4"/>
      <c r="AE390" s="52"/>
    </row>
    <row r="391" spans="1:31" x14ac:dyDescent="0.2">
      <c r="A391" s="58"/>
      <c r="B391" s="13"/>
      <c r="C391" s="62"/>
      <c r="D391" s="13"/>
      <c r="E391" s="13"/>
      <c r="F391" s="13"/>
      <c r="G391" s="21"/>
      <c r="H391" s="13"/>
      <c r="I391" s="21"/>
      <c r="J391" s="4"/>
      <c r="K391" s="13"/>
      <c r="L391" s="13"/>
      <c r="M391" s="4"/>
      <c r="N391" s="13"/>
      <c r="O391" s="4"/>
      <c r="P391" s="22"/>
      <c r="Q391" s="13"/>
      <c r="R391" s="4"/>
      <c r="S391" s="13"/>
      <c r="T391" s="4"/>
      <c r="V391" s="13"/>
      <c r="W391" s="4"/>
      <c r="X391" s="4"/>
      <c r="Y391" s="4"/>
      <c r="Z391" s="4"/>
      <c r="AA391" s="4"/>
      <c r="AB391" s="4"/>
      <c r="AC391" s="4"/>
      <c r="AD391" s="4"/>
      <c r="AE391" s="52"/>
    </row>
    <row r="392" spans="1:31" x14ac:dyDescent="0.2">
      <c r="B392" s="13"/>
      <c r="C392" s="62"/>
      <c r="D392" s="13"/>
      <c r="E392" s="13"/>
      <c r="F392" s="13"/>
      <c r="G392" s="21"/>
      <c r="H392" s="13"/>
      <c r="I392" s="21"/>
      <c r="J392" s="4"/>
      <c r="K392" s="13"/>
      <c r="L392" s="13"/>
      <c r="M392" s="4"/>
      <c r="N392" s="13"/>
      <c r="O392" s="4"/>
      <c r="P392" s="22"/>
      <c r="Q392" s="13"/>
      <c r="R392" s="4"/>
      <c r="S392" s="13"/>
      <c r="T392" s="4"/>
      <c r="V392" s="13"/>
      <c r="W392" s="4"/>
      <c r="X392" s="4"/>
      <c r="Y392" s="4"/>
      <c r="Z392" s="4"/>
      <c r="AA392" s="4"/>
      <c r="AB392" s="4"/>
      <c r="AC392" s="4"/>
      <c r="AD392" s="4"/>
      <c r="AE392" s="52"/>
    </row>
    <row r="393" spans="1:31" x14ac:dyDescent="0.2">
      <c r="B393" s="13"/>
      <c r="C393" s="62"/>
      <c r="D393" s="13"/>
      <c r="E393" s="13"/>
      <c r="F393" s="13"/>
      <c r="G393" s="21"/>
      <c r="H393" s="13"/>
      <c r="I393" s="21"/>
      <c r="J393" s="4"/>
      <c r="K393" s="13"/>
      <c r="L393" s="13"/>
      <c r="M393" s="4"/>
      <c r="N393" s="13"/>
      <c r="O393" s="4"/>
      <c r="P393" s="22"/>
      <c r="Q393" s="13"/>
      <c r="R393" s="4"/>
      <c r="S393" s="13"/>
      <c r="T393" s="4"/>
      <c r="V393" s="13"/>
      <c r="W393" s="4"/>
      <c r="X393" s="4"/>
      <c r="Y393" s="4"/>
      <c r="Z393" s="4"/>
      <c r="AA393" s="4"/>
      <c r="AB393" s="4"/>
      <c r="AC393" s="4"/>
      <c r="AD393" s="4"/>
      <c r="AE393" s="52"/>
    </row>
    <row r="394" spans="1:31" x14ac:dyDescent="0.2">
      <c r="B394" s="13"/>
      <c r="C394" s="62"/>
      <c r="D394" s="13"/>
      <c r="E394" s="13"/>
      <c r="F394" s="13"/>
      <c r="G394" s="21"/>
      <c r="H394" s="13"/>
      <c r="I394" s="21"/>
      <c r="J394" s="4"/>
      <c r="K394" s="13"/>
      <c r="L394" s="13"/>
      <c r="M394" s="4"/>
      <c r="N394" s="13"/>
      <c r="O394" s="4"/>
      <c r="P394" s="22"/>
      <c r="Q394" s="13"/>
      <c r="R394" s="4"/>
      <c r="S394" s="13"/>
      <c r="T394" s="4"/>
      <c r="V394" s="13"/>
      <c r="W394" s="4"/>
      <c r="X394" s="4"/>
      <c r="Y394" s="4"/>
      <c r="Z394" s="4"/>
      <c r="AA394" s="4"/>
      <c r="AB394" s="4"/>
      <c r="AC394" s="4"/>
      <c r="AD394" s="4"/>
      <c r="AE394" s="52"/>
    </row>
    <row r="395" spans="1:31" x14ac:dyDescent="0.2">
      <c r="B395" s="13"/>
      <c r="C395" s="62"/>
      <c r="D395" s="13"/>
      <c r="E395" s="13"/>
      <c r="F395" s="13"/>
      <c r="G395" s="21"/>
      <c r="H395" s="13"/>
      <c r="I395" s="21"/>
      <c r="J395" s="4"/>
      <c r="K395" s="13"/>
      <c r="L395" s="13"/>
      <c r="M395" s="4"/>
      <c r="N395" s="13"/>
      <c r="O395" s="4"/>
      <c r="P395" s="22"/>
      <c r="Q395" s="13"/>
      <c r="R395" s="4"/>
      <c r="S395" s="13"/>
      <c r="T395" s="4"/>
      <c r="V395" s="13"/>
      <c r="W395" s="4"/>
      <c r="X395" s="4"/>
      <c r="Y395" s="4"/>
      <c r="Z395" s="4"/>
      <c r="AA395" s="4"/>
      <c r="AB395" s="4"/>
      <c r="AC395" s="4"/>
      <c r="AD395" s="4"/>
      <c r="AE395" s="52"/>
    </row>
    <row r="396" spans="1:31" x14ac:dyDescent="0.2">
      <c r="B396" s="13"/>
      <c r="C396" s="62"/>
      <c r="D396" s="13"/>
      <c r="E396" s="13"/>
      <c r="F396" s="13"/>
      <c r="G396" s="21"/>
      <c r="H396" s="13"/>
      <c r="I396" s="21"/>
      <c r="J396" s="4"/>
      <c r="K396" s="13"/>
      <c r="L396" s="13"/>
      <c r="M396" s="4"/>
      <c r="N396" s="13"/>
      <c r="O396" s="4"/>
      <c r="P396" s="22"/>
      <c r="Q396" s="13"/>
      <c r="R396" s="4"/>
      <c r="S396" s="13"/>
      <c r="T396" s="4"/>
      <c r="V396" s="13"/>
      <c r="W396" s="4"/>
      <c r="X396" s="4"/>
      <c r="Y396" s="4"/>
      <c r="Z396" s="4"/>
      <c r="AA396" s="4"/>
      <c r="AB396" s="4"/>
      <c r="AC396" s="4"/>
      <c r="AD396" s="4"/>
      <c r="AE396" s="52"/>
    </row>
    <row r="397" spans="1:31" x14ac:dyDescent="0.2">
      <c r="B397" s="13"/>
      <c r="C397" s="62"/>
      <c r="D397" s="13"/>
      <c r="E397" s="13"/>
      <c r="F397" s="13"/>
      <c r="G397" s="21"/>
      <c r="H397" s="13"/>
      <c r="I397" s="21"/>
      <c r="J397" s="4"/>
      <c r="K397" s="13"/>
      <c r="L397" s="13"/>
      <c r="M397" s="4"/>
      <c r="N397" s="13"/>
      <c r="O397" s="4"/>
      <c r="P397" s="22"/>
      <c r="Q397" s="13"/>
      <c r="R397" s="4"/>
      <c r="S397" s="13"/>
      <c r="T397" s="4"/>
      <c r="V397" s="13"/>
      <c r="W397" s="4"/>
      <c r="X397" s="4"/>
      <c r="Y397" s="4"/>
      <c r="Z397" s="4"/>
      <c r="AA397" s="4"/>
      <c r="AB397" s="4"/>
      <c r="AC397" s="4"/>
      <c r="AD397" s="4"/>
      <c r="AE397" s="52"/>
    </row>
    <row r="398" spans="1:31" x14ac:dyDescent="0.2">
      <c r="A398" s="58"/>
      <c r="B398" s="13"/>
      <c r="C398" s="62"/>
      <c r="D398" s="13"/>
      <c r="E398" s="13"/>
      <c r="F398" s="13"/>
      <c r="G398" s="21"/>
      <c r="H398" s="13"/>
      <c r="I398" s="21"/>
      <c r="J398" s="4"/>
      <c r="K398" s="13"/>
      <c r="L398" s="13"/>
      <c r="M398" s="4"/>
      <c r="N398" s="13"/>
      <c r="O398" s="4"/>
      <c r="P398" s="22"/>
      <c r="Q398" s="13"/>
      <c r="R398" s="4"/>
      <c r="S398" s="13"/>
      <c r="T398" s="4"/>
      <c r="V398" s="13"/>
      <c r="W398" s="4"/>
      <c r="X398" s="4"/>
      <c r="Y398" s="4"/>
      <c r="Z398" s="4"/>
      <c r="AA398" s="4"/>
      <c r="AB398" s="4"/>
      <c r="AC398" s="4"/>
      <c r="AD398" s="4"/>
      <c r="AE398" s="52"/>
    </row>
    <row r="399" spans="1:31" x14ac:dyDescent="0.2">
      <c r="B399" s="13"/>
      <c r="C399" s="62"/>
      <c r="D399" s="13"/>
      <c r="E399" s="13"/>
      <c r="F399" s="13"/>
      <c r="G399" s="21"/>
      <c r="H399" s="13"/>
      <c r="I399" s="21"/>
      <c r="J399" s="4"/>
      <c r="K399" s="13"/>
      <c r="L399" s="13"/>
      <c r="M399" s="4"/>
      <c r="N399" s="13"/>
      <c r="O399" s="4"/>
      <c r="P399" s="22"/>
      <c r="Q399" s="13"/>
      <c r="R399" s="4"/>
      <c r="S399" s="13"/>
      <c r="T399" s="4"/>
      <c r="V399" s="13"/>
      <c r="W399" s="4"/>
      <c r="X399" s="4"/>
      <c r="Y399" s="4"/>
      <c r="Z399" s="4"/>
      <c r="AA399" s="4"/>
      <c r="AB399" s="4"/>
      <c r="AC399" s="4"/>
      <c r="AD399" s="4"/>
      <c r="AE399" s="52"/>
    </row>
    <row r="400" spans="1:31" x14ac:dyDescent="0.2">
      <c r="B400" s="13"/>
      <c r="C400" s="62"/>
      <c r="D400" s="13"/>
      <c r="E400" s="13"/>
      <c r="F400" s="13"/>
      <c r="G400" s="21"/>
      <c r="H400" s="13"/>
      <c r="I400" s="21"/>
      <c r="J400" s="4"/>
      <c r="K400" s="13"/>
      <c r="L400" s="13"/>
      <c r="M400" s="4"/>
      <c r="N400" s="13"/>
      <c r="O400" s="4"/>
      <c r="P400" s="22"/>
      <c r="Q400" s="13"/>
      <c r="R400" s="4"/>
      <c r="S400" s="13"/>
      <c r="T400" s="4"/>
      <c r="V400" s="13"/>
      <c r="W400" s="4"/>
      <c r="X400" s="4"/>
      <c r="Y400" s="4"/>
      <c r="Z400" s="4"/>
      <c r="AA400" s="4"/>
      <c r="AB400" s="4"/>
      <c r="AC400" s="4"/>
      <c r="AD400" s="4"/>
      <c r="AE400" s="52"/>
    </row>
    <row r="401" spans="1:31" x14ac:dyDescent="0.2">
      <c r="B401" s="13"/>
      <c r="C401" s="62"/>
      <c r="D401" s="13"/>
      <c r="E401" s="13"/>
      <c r="F401" s="13"/>
      <c r="G401" s="21"/>
      <c r="H401" s="13"/>
      <c r="I401" s="21"/>
      <c r="J401" s="4"/>
      <c r="K401" s="13"/>
      <c r="L401" s="13"/>
      <c r="M401" s="4"/>
      <c r="N401" s="13"/>
      <c r="O401" s="4"/>
      <c r="P401" s="22"/>
      <c r="Q401" s="13"/>
      <c r="R401" s="4"/>
      <c r="S401" s="13"/>
      <c r="T401" s="4"/>
      <c r="V401" s="13"/>
      <c r="W401" s="4"/>
      <c r="X401" s="4"/>
      <c r="Y401" s="4"/>
      <c r="Z401" s="4"/>
      <c r="AA401" s="4"/>
      <c r="AB401" s="4"/>
      <c r="AC401" s="4"/>
      <c r="AD401" s="4"/>
      <c r="AE401" s="52"/>
    </row>
    <row r="402" spans="1:31" x14ac:dyDescent="0.2">
      <c r="B402" s="13"/>
      <c r="C402" s="62"/>
      <c r="D402" s="13"/>
      <c r="E402" s="13"/>
      <c r="F402" s="13"/>
      <c r="G402" s="21"/>
      <c r="H402" s="13"/>
      <c r="I402" s="21"/>
      <c r="J402" s="4"/>
      <c r="K402" s="13"/>
      <c r="L402" s="13"/>
      <c r="M402" s="4"/>
      <c r="N402" s="13"/>
      <c r="O402" s="4"/>
      <c r="P402" s="22"/>
      <c r="Q402" s="13"/>
      <c r="R402" s="4"/>
      <c r="S402" s="13"/>
      <c r="T402" s="4"/>
      <c r="V402" s="13"/>
      <c r="W402" s="4"/>
      <c r="X402" s="4"/>
      <c r="Y402" s="4"/>
      <c r="Z402" s="4"/>
      <c r="AA402" s="4"/>
      <c r="AB402" s="4"/>
      <c r="AC402" s="4"/>
      <c r="AD402" s="4"/>
      <c r="AE402" s="52"/>
    </row>
    <row r="403" spans="1:31" x14ac:dyDescent="0.2">
      <c r="B403" s="13"/>
      <c r="C403" s="62"/>
      <c r="D403" s="13"/>
      <c r="E403" s="13"/>
      <c r="F403" s="13"/>
      <c r="G403" s="21"/>
      <c r="H403" s="13"/>
      <c r="I403" s="21"/>
      <c r="J403" s="4"/>
      <c r="K403" s="13"/>
      <c r="L403" s="13"/>
      <c r="M403" s="4"/>
      <c r="N403" s="13"/>
      <c r="O403" s="4"/>
      <c r="P403" s="22"/>
      <c r="Q403" s="13"/>
      <c r="R403" s="4"/>
      <c r="S403" s="13"/>
      <c r="T403" s="4"/>
      <c r="V403" s="13"/>
      <c r="W403" s="4"/>
      <c r="X403" s="4"/>
      <c r="Y403" s="4"/>
      <c r="Z403" s="4"/>
      <c r="AA403" s="4"/>
      <c r="AB403" s="4"/>
      <c r="AC403" s="4"/>
      <c r="AD403" s="4"/>
      <c r="AE403" s="52"/>
    </row>
    <row r="404" spans="1:31" x14ac:dyDescent="0.2">
      <c r="B404" s="13"/>
      <c r="C404" s="62"/>
      <c r="D404" s="13"/>
      <c r="E404" s="13"/>
      <c r="F404" s="13"/>
      <c r="G404" s="21"/>
      <c r="H404" s="13"/>
      <c r="I404" s="21"/>
      <c r="J404" s="4"/>
      <c r="K404" s="13"/>
      <c r="L404" s="13"/>
      <c r="M404" s="4"/>
      <c r="N404" s="13"/>
      <c r="O404" s="4"/>
      <c r="P404" s="22"/>
      <c r="Q404" s="13"/>
      <c r="R404" s="4"/>
      <c r="S404" s="13"/>
      <c r="T404" s="4"/>
      <c r="V404" s="13"/>
      <c r="W404" s="4"/>
      <c r="X404" s="4"/>
      <c r="Y404" s="4"/>
      <c r="Z404" s="4"/>
      <c r="AA404" s="4"/>
      <c r="AB404" s="4"/>
      <c r="AC404" s="4"/>
      <c r="AD404" s="4"/>
      <c r="AE404" s="52"/>
    </row>
    <row r="405" spans="1:31" x14ac:dyDescent="0.2">
      <c r="B405" s="13"/>
      <c r="C405" s="62"/>
      <c r="D405" s="13"/>
      <c r="E405" s="13"/>
      <c r="F405" s="13"/>
      <c r="G405" s="21"/>
      <c r="H405" s="13"/>
      <c r="I405" s="21"/>
      <c r="J405" s="4"/>
      <c r="K405" s="13"/>
      <c r="L405" s="13"/>
      <c r="M405" s="4"/>
      <c r="N405" s="13"/>
      <c r="O405" s="4"/>
      <c r="P405" s="22"/>
      <c r="Q405" s="13"/>
      <c r="R405" s="4"/>
      <c r="S405" s="13"/>
      <c r="T405" s="4"/>
      <c r="V405" s="13"/>
      <c r="W405" s="4"/>
      <c r="X405" s="4"/>
      <c r="Y405" s="4"/>
      <c r="Z405" s="4"/>
      <c r="AA405" s="4"/>
      <c r="AB405" s="4"/>
      <c r="AC405" s="4"/>
      <c r="AD405" s="4"/>
      <c r="AE405" s="52"/>
    </row>
    <row r="406" spans="1:31" x14ac:dyDescent="0.2">
      <c r="B406" s="13"/>
      <c r="C406" s="62"/>
      <c r="D406" s="13"/>
      <c r="E406" s="13"/>
      <c r="F406" s="13"/>
      <c r="G406" s="21"/>
      <c r="H406" s="13"/>
      <c r="I406" s="21"/>
      <c r="J406" s="4"/>
      <c r="K406" s="13"/>
      <c r="L406" s="13"/>
      <c r="M406" s="4"/>
      <c r="N406" s="13"/>
      <c r="O406" s="4"/>
      <c r="P406" s="22"/>
      <c r="Q406" s="13"/>
      <c r="R406" s="4"/>
      <c r="S406" s="13"/>
      <c r="T406" s="4"/>
      <c r="V406" s="13"/>
      <c r="W406" s="4"/>
      <c r="X406" s="4"/>
      <c r="Y406" s="4"/>
      <c r="Z406" s="4"/>
      <c r="AA406" s="4"/>
      <c r="AB406" s="4"/>
      <c r="AC406" s="4"/>
      <c r="AD406" s="4"/>
      <c r="AE406" s="52"/>
    </row>
    <row r="407" spans="1:31" x14ac:dyDescent="0.2">
      <c r="A407" s="58"/>
      <c r="B407" s="13"/>
      <c r="C407" s="62"/>
      <c r="D407" s="13"/>
      <c r="E407" s="13"/>
      <c r="F407" s="13"/>
      <c r="G407" s="21"/>
      <c r="H407" s="13"/>
      <c r="I407" s="21"/>
      <c r="J407" s="4"/>
      <c r="K407" s="13"/>
      <c r="L407" s="13"/>
      <c r="M407" s="4"/>
      <c r="N407" s="13"/>
      <c r="O407" s="4"/>
      <c r="P407" s="22"/>
      <c r="Q407" s="13"/>
      <c r="R407" s="4"/>
      <c r="S407" s="13"/>
      <c r="T407" s="4"/>
      <c r="V407" s="13"/>
      <c r="W407" s="4"/>
      <c r="X407" s="4"/>
      <c r="Y407" s="4"/>
      <c r="Z407" s="4"/>
      <c r="AA407" s="4"/>
      <c r="AB407" s="4"/>
      <c r="AC407" s="4"/>
      <c r="AD407" s="4"/>
      <c r="AE407" s="52"/>
    </row>
    <row r="408" spans="1:31" x14ac:dyDescent="0.2">
      <c r="B408" s="13"/>
      <c r="C408" s="62"/>
      <c r="D408" s="13"/>
      <c r="E408" s="13"/>
      <c r="F408" s="13"/>
      <c r="G408" s="21"/>
      <c r="H408" s="13"/>
      <c r="I408" s="21"/>
      <c r="J408" s="4"/>
      <c r="K408" s="13"/>
      <c r="L408" s="13"/>
      <c r="M408" s="4"/>
      <c r="N408" s="13"/>
      <c r="O408" s="4"/>
      <c r="P408" s="22"/>
      <c r="Q408" s="13"/>
      <c r="R408" s="4"/>
      <c r="S408" s="13"/>
      <c r="T408" s="4"/>
      <c r="V408" s="13"/>
      <c r="W408" s="4"/>
      <c r="X408" s="4"/>
      <c r="Y408" s="4"/>
      <c r="Z408" s="4"/>
      <c r="AA408" s="4"/>
      <c r="AB408" s="4"/>
      <c r="AC408" s="4"/>
      <c r="AD408" s="4"/>
      <c r="AE408" s="52"/>
    </row>
    <row r="409" spans="1:31" x14ac:dyDescent="0.2">
      <c r="A409" s="58"/>
      <c r="B409" s="13"/>
      <c r="C409" s="62"/>
      <c r="D409" s="13"/>
      <c r="E409" s="13"/>
      <c r="F409" s="13"/>
      <c r="G409" s="21"/>
      <c r="H409" s="13"/>
      <c r="I409" s="21"/>
      <c r="J409" s="4"/>
      <c r="K409" s="13"/>
      <c r="L409" s="13"/>
      <c r="M409" s="4"/>
      <c r="N409" s="13"/>
      <c r="O409" s="4"/>
      <c r="P409" s="22"/>
      <c r="Q409" s="13"/>
      <c r="R409" s="4"/>
      <c r="S409" s="13"/>
      <c r="T409" s="4"/>
      <c r="V409" s="13"/>
      <c r="W409" s="4"/>
      <c r="X409" s="4"/>
      <c r="Y409" s="4"/>
      <c r="Z409" s="4"/>
      <c r="AA409" s="4"/>
      <c r="AB409" s="4"/>
      <c r="AC409" s="4"/>
      <c r="AD409" s="4"/>
      <c r="AE409" s="52"/>
    </row>
    <row r="410" spans="1:31" x14ac:dyDescent="0.2">
      <c r="B410" s="13"/>
      <c r="C410" s="62"/>
      <c r="D410" s="13"/>
      <c r="E410" s="13"/>
      <c r="F410" s="13"/>
      <c r="G410" s="21"/>
      <c r="H410" s="13"/>
      <c r="I410" s="21"/>
      <c r="J410" s="4"/>
      <c r="K410" s="13"/>
      <c r="L410" s="13"/>
      <c r="M410" s="4"/>
      <c r="N410" s="13"/>
      <c r="O410" s="4"/>
      <c r="P410" s="22"/>
      <c r="Q410" s="13"/>
      <c r="R410" s="4"/>
      <c r="S410" s="13"/>
      <c r="T410" s="4"/>
      <c r="V410" s="13"/>
      <c r="W410" s="4"/>
      <c r="X410" s="4"/>
      <c r="Y410" s="4"/>
      <c r="Z410" s="4"/>
      <c r="AA410" s="4"/>
      <c r="AB410" s="4"/>
      <c r="AC410" s="4"/>
      <c r="AD410" s="4"/>
      <c r="AE410" s="52"/>
    </row>
    <row r="411" spans="1:31" x14ac:dyDescent="0.2">
      <c r="B411" s="13"/>
      <c r="C411" s="62"/>
      <c r="D411" s="13"/>
      <c r="E411" s="13"/>
      <c r="F411" s="13"/>
      <c r="G411" s="21"/>
      <c r="H411" s="13"/>
      <c r="I411" s="21"/>
      <c r="J411" s="4"/>
      <c r="K411" s="13"/>
      <c r="L411" s="13"/>
      <c r="M411" s="4"/>
      <c r="N411" s="13"/>
      <c r="O411" s="4"/>
      <c r="P411" s="22"/>
      <c r="Q411" s="13"/>
      <c r="R411" s="4"/>
      <c r="S411" s="13"/>
      <c r="T411" s="4"/>
      <c r="V411" s="13"/>
      <c r="W411" s="4"/>
      <c r="X411" s="4"/>
      <c r="Y411" s="4"/>
      <c r="Z411" s="4"/>
      <c r="AA411" s="4"/>
      <c r="AB411" s="4"/>
      <c r="AC411" s="4"/>
      <c r="AD411" s="4"/>
      <c r="AE411" s="52"/>
    </row>
    <row r="412" spans="1:31" x14ac:dyDescent="0.2">
      <c r="B412" s="13"/>
      <c r="C412" s="62"/>
      <c r="D412" s="13"/>
      <c r="E412" s="13"/>
      <c r="F412" s="13"/>
      <c r="G412" s="21"/>
      <c r="H412" s="13"/>
      <c r="I412" s="21"/>
      <c r="J412" s="4"/>
      <c r="K412" s="13"/>
      <c r="L412" s="13"/>
      <c r="M412" s="4"/>
      <c r="N412" s="13"/>
      <c r="O412" s="4"/>
      <c r="P412" s="22"/>
      <c r="Q412" s="13"/>
      <c r="R412" s="4"/>
      <c r="S412" s="13"/>
      <c r="T412" s="4"/>
      <c r="V412" s="13"/>
      <c r="W412" s="4"/>
      <c r="X412" s="4"/>
      <c r="Y412" s="4"/>
      <c r="Z412" s="4"/>
      <c r="AA412" s="4"/>
      <c r="AB412" s="4"/>
      <c r="AC412" s="4"/>
      <c r="AD412" s="4"/>
      <c r="AE412" s="52"/>
    </row>
    <row r="413" spans="1:31" x14ac:dyDescent="0.2">
      <c r="B413" s="13"/>
      <c r="C413" s="62"/>
      <c r="D413" s="13"/>
      <c r="E413" s="13"/>
      <c r="F413" s="13"/>
      <c r="G413" s="21"/>
      <c r="H413" s="13"/>
      <c r="I413" s="21"/>
      <c r="J413" s="4"/>
      <c r="K413" s="13"/>
      <c r="L413" s="13"/>
      <c r="M413" s="4"/>
      <c r="N413" s="13"/>
      <c r="O413" s="4"/>
      <c r="P413" s="22"/>
      <c r="Q413" s="13"/>
      <c r="R413" s="4"/>
      <c r="S413" s="13"/>
      <c r="T413" s="4"/>
      <c r="V413" s="13"/>
      <c r="W413" s="4"/>
      <c r="X413" s="4"/>
      <c r="Y413" s="4"/>
      <c r="Z413" s="4"/>
      <c r="AA413" s="4"/>
      <c r="AB413" s="4"/>
      <c r="AC413" s="4"/>
      <c r="AD413" s="4"/>
      <c r="AE413" s="52"/>
    </row>
    <row r="414" spans="1:31" x14ac:dyDescent="0.2">
      <c r="A414" s="58"/>
      <c r="B414" s="13"/>
      <c r="C414" s="62"/>
      <c r="D414" s="13"/>
      <c r="E414" s="13"/>
      <c r="F414" s="13"/>
      <c r="G414" s="21"/>
      <c r="H414" s="13"/>
      <c r="I414" s="21"/>
      <c r="J414" s="4"/>
      <c r="K414" s="13"/>
      <c r="L414" s="13"/>
      <c r="M414" s="4"/>
      <c r="N414" s="13"/>
      <c r="O414" s="4"/>
      <c r="P414" s="22"/>
      <c r="Q414" s="13"/>
      <c r="R414" s="4"/>
      <c r="S414" s="13"/>
      <c r="T414" s="4"/>
      <c r="V414" s="13"/>
      <c r="W414" s="4"/>
      <c r="X414" s="4"/>
      <c r="Y414" s="4"/>
      <c r="Z414" s="4"/>
      <c r="AA414" s="4"/>
      <c r="AB414" s="4"/>
      <c r="AC414" s="4"/>
      <c r="AD414" s="4"/>
      <c r="AE414" s="52"/>
    </row>
    <row r="415" spans="1:31" x14ac:dyDescent="0.2">
      <c r="B415" s="13"/>
      <c r="C415" s="62"/>
      <c r="D415" s="13"/>
      <c r="E415" s="13"/>
      <c r="F415" s="13"/>
      <c r="G415" s="21"/>
      <c r="H415" s="13"/>
      <c r="I415" s="21"/>
      <c r="J415" s="4"/>
      <c r="K415" s="13"/>
      <c r="L415" s="13"/>
      <c r="M415" s="4"/>
      <c r="N415" s="13"/>
      <c r="O415" s="4"/>
      <c r="P415" s="22"/>
      <c r="Q415" s="13"/>
      <c r="R415" s="4"/>
      <c r="S415" s="13"/>
      <c r="T415" s="4"/>
      <c r="V415" s="13"/>
      <c r="W415" s="4"/>
      <c r="X415" s="4"/>
      <c r="Y415" s="4"/>
      <c r="Z415" s="4"/>
      <c r="AA415" s="4"/>
      <c r="AB415" s="4"/>
      <c r="AC415" s="4"/>
      <c r="AD415" s="4"/>
      <c r="AE415" s="52"/>
    </row>
    <row r="416" spans="1:31" x14ac:dyDescent="0.2">
      <c r="A416" s="58"/>
      <c r="B416" s="13"/>
      <c r="C416" s="62"/>
      <c r="D416" s="13"/>
      <c r="E416" s="13"/>
      <c r="F416" s="13"/>
      <c r="G416" s="21"/>
      <c r="H416" s="13"/>
      <c r="I416" s="21"/>
      <c r="J416" s="4"/>
      <c r="K416" s="13"/>
      <c r="L416" s="13"/>
      <c r="M416" s="4"/>
      <c r="N416" s="13"/>
      <c r="O416" s="4"/>
      <c r="P416" s="22"/>
      <c r="Q416" s="13"/>
      <c r="R416" s="4"/>
      <c r="S416" s="13"/>
      <c r="T416" s="4"/>
      <c r="W416" s="4"/>
      <c r="X416" s="4"/>
      <c r="Y416" s="4"/>
      <c r="Z416" s="4"/>
      <c r="AA416" s="4"/>
      <c r="AB416" s="4"/>
      <c r="AC416" s="4"/>
      <c r="AD416" s="4"/>
      <c r="AE416" s="52"/>
    </row>
    <row r="417" spans="2:31" x14ac:dyDescent="0.2">
      <c r="B417" s="13"/>
      <c r="C417" s="62"/>
      <c r="D417" s="13"/>
      <c r="E417" s="13"/>
      <c r="F417" s="13"/>
      <c r="G417" s="21"/>
      <c r="H417" s="13"/>
      <c r="I417" s="21"/>
      <c r="J417" s="4"/>
      <c r="K417" s="13"/>
      <c r="L417" s="13"/>
      <c r="M417" s="4"/>
      <c r="N417" s="13"/>
      <c r="O417" s="4"/>
      <c r="P417" s="22"/>
      <c r="Q417" s="13"/>
      <c r="R417" s="4"/>
      <c r="S417" s="13"/>
      <c r="T417" s="4"/>
      <c r="W417" s="4"/>
      <c r="X417" s="4"/>
      <c r="Y417" s="4"/>
      <c r="Z417" s="4"/>
      <c r="AA417" s="4"/>
      <c r="AB417" s="4"/>
      <c r="AC417" s="4"/>
      <c r="AD417" s="4"/>
      <c r="AE417" s="52"/>
    </row>
    <row r="418" spans="2:31" x14ac:dyDescent="0.2">
      <c r="B418" s="13"/>
      <c r="C418" s="62"/>
      <c r="D418" s="13"/>
      <c r="E418" s="13"/>
      <c r="F418" s="13"/>
      <c r="G418" s="21"/>
      <c r="H418" s="13"/>
      <c r="I418" s="21"/>
      <c r="J418" s="4"/>
      <c r="K418" s="13"/>
      <c r="L418" s="13"/>
      <c r="M418" s="4"/>
      <c r="N418" s="13"/>
      <c r="O418" s="4"/>
      <c r="P418" s="22"/>
      <c r="Q418" s="13"/>
      <c r="R418" s="4"/>
      <c r="S418" s="13"/>
      <c r="T418" s="4"/>
      <c r="W418" s="4"/>
      <c r="X418" s="4"/>
      <c r="Y418" s="4"/>
      <c r="Z418" s="4"/>
      <c r="AA418" s="4"/>
      <c r="AB418" s="4"/>
      <c r="AC418" s="4"/>
      <c r="AD418" s="4"/>
      <c r="AE418" s="52"/>
    </row>
    <row r="419" spans="2:31" x14ac:dyDescent="0.2">
      <c r="B419" s="13"/>
      <c r="C419" s="62"/>
      <c r="D419" s="13"/>
      <c r="E419" s="13"/>
      <c r="F419" s="13"/>
      <c r="G419" s="21"/>
      <c r="H419" s="13"/>
      <c r="I419" s="21"/>
      <c r="J419" s="4"/>
      <c r="K419" s="13"/>
      <c r="L419" s="13"/>
      <c r="M419" s="4"/>
      <c r="N419" s="13"/>
      <c r="O419" s="4"/>
      <c r="P419" s="22"/>
      <c r="Q419" s="13"/>
      <c r="R419" s="4"/>
      <c r="S419" s="13"/>
      <c r="T419" s="4"/>
      <c r="W419" s="4"/>
      <c r="X419" s="4"/>
      <c r="Y419" s="4"/>
      <c r="Z419" s="4"/>
      <c r="AA419" s="4"/>
      <c r="AB419" s="4"/>
      <c r="AC419" s="4"/>
      <c r="AD419" s="4"/>
      <c r="AE419" s="52"/>
    </row>
    <row r="420" spans="2:31" x14ac:dyDescent="0.2">
      <c r="B420" s="13"/>
      <c r="C420" s="62"/>
      <c r="D420" s="13"/>
      <c r="E420" s="13"/>
      <c r="F420" s="13"/>
      <c r="G420" s="21"/>
      <c r="H420" s="13"/>
      <c r="I420" s="21"/>
      <c r="J420" s="4"/>
      <c r="K420" s="13"/>
      <c r="L420" s="13"/>
      <c r="M420" s="4"/>
      <c r="N420" s="13"/>
      <c r="O420" s="4"/>
      <c r="P420" s="22"/>
      <c r="Q420" s="13"/>
      <c r="R420" s="4"/>
      <c r="S420" s="13"/>
      <c r="T420" s="4"/>
      <c r="W420" s="4"/>
      <c r="X420" s="4"/>
      <c r="Y420" s="4"/>
      <c r="Z420" s="4"/>
      <c r="AA420" s="4"/>
      <c r="AB420" s="4"/>
      <c r="AC420" s="4"/>
      <c r="AD420" s="4"/>
      <c r="AE420" s="52"/>
    </row>
    <row r="421" spans="2:31" x14ac:dyDescent="0.2">
      <c r="B421" s="13"/>
      <c r="C421" s="62"/>
      <c r="D421" s="13"/>
      <c r="E421" s="13"/>
      <c r="F421" s="13"/>
      <c r="G421" s="21"/>
      <c r="H421" s="13"/>
      <c r="I421" s="21"/>
      <c r="J421" s="4"/>
      <c r="K421" s="13"/>
      <c r="L421" s="13"/>
      <c r="M421" s="4"/>
      <c r="N421" s="13"/>
      <c r="O421" s="4"/>
      <c r="P421" s="22"/>
      <c r="Q421" s="13"/>
      <c r="R421" s="4"/>
      <c r="S421" s="13"/>
      <c r="T421" s="4"/>
      <c r="W421" s="4"/>
      <c r="X421" s="4"/>
      <c r="Y421" s="4"/>
      <c r="Z421" s="4"/>
      <c r="AA421" s="4"/>
      <c r="AB421" s="4"/>
      <c r="AC421" s="4"/>
      <c r="AD421" s="4"/>
      <c r="AE421" s="52"/>
    </row>
    <row r="422" spans="2:31" x14ac:dyDescent="0.2">
      <c r="B422" s="13"/>
      <c r="C422" s="62"/>
      <c r="D422" s="13"/>
      <c r="E422" s="13"/>
      <c r="F422" s="13"/>
      <c r="G422" s="21"/>
      <c r="H422" s="13"/>
      <c r="I422" s="21"/>
      <c r="J422" s="4"/>
      <c r="K422" s="13"/>
      <c r="L422" s="13"/>
      <c r="M422" s="4"/>
      <c r="N422" s="13"/>
      <c r="O422" s="4"/>
      <c r="P422" s="22"/>
      <c r="Q422" s="13"/>
      <c r="R422" s="4"/>
      <c r="S422" s="13"/>
      <c r="T422" s="4"/>
      <c r="W422" s="4"/>
      <c r="X422" s="4"/>
      <c r="Y422" s="4"/>
      <c r="Z422" s="4"/>
      <c r="AA422" s="4"/>
      <c r="AB422" s="4"/>
      <c r="AC422" s="4"/>
      <c r="AD422" s="4"/>
      <c r="AE422" s="52"/>
    </row>
    <row r="423" spans="2:31" x14ac:dyDescent="0.2">
      <c r="B423" s="13"/>
      <c r="C423" s="62"/>
      <c r="D423" s="13"/>
      <c r="E423" s="13"/>
      <c r="F423" s="13"/>
      <c r="G423" s="21"/>
      <c r="H423" s="13"/>
      <c r="I423" s="21"/>
      <c r="J423" s="4"/>
      <c r="K423" s="13"/>
      <c r="L423" s="13"/>
      <c r="M423" s="4"/>
      <c r="N423" s="13"/>
      <c r="O423" s="4"/>
      <c r="P423" s="22"/>
      <c r="Q423" s="13"/>
      <c r="R423" s="4"/>
      <c r="S423" s="13"/>
      <c r="T423" s="4"/>
      <c r="W423" s="4"/>
      <c r="X423" s="4"/>
      <c r="Y423" s="4"/>
      <c r="Z423" s="4"/>
      <c r="AA423" s="4"/>
      <c r="AB423" s="4"/>
      <c r="AC423" s="4"/>
      <c r="AD423" s="4"/>
      <c r="AE423" s="52"/>
    </row>
    <row r="424" spans="2:31" x14ac:dyDescent="0.2">
      <c r="B424" s="13"/>
      <c r="C424" s="62"/>
      <c r="D424" s="13"/>
      <c r="E424" s="13"/>
      <c r="F424" s="13"/>
      <c r="G424" s="21"/>
      <c r="H424" s="13"/>
      <c r="I424" s="21"/>
      <c r="J424" s="4"/>
      <c r="K424" s="13"/>
      <c r="L424" s="13"/>
      <c r="M424" s="4"/>
      <c r="N424" s="13"/>
      <c r="O424" s="4"/>
      <c r="P424" s="22"/>
      <c r="Q424" s="13"/>
      <c r="R424" s="4"/>
      <c r="S424" s="13"/>
      <c r="T424" s="4"/>
      <c r="W424" s="4"/>
      <c r="X424" s="4"/>
      <c r="Y424" s="4"/>
      <c r="Z424" s="4"/>
      <c r="AA424" s="4"/>
      <c r="AB424" s="4"/>
      <c r="AC424" s="4"/>
      <c r="AD424" s="4"/>
      <c r="AE424" s="52"/>
    </row>
    <row r="425" spans="2:31" x14ac:dyDescent="0.2">
      <c r="B425" s="13"/>
      <c r="C425" s="62"/>
      <c r="D425" s="13"/>
      <c r="E425" s="13"/>
      <c r="F425" s="13"/>
      <c r="G425" s="21"/>
      <c r="H425" s="13"/>
      <c r="I425" s="21"/>
      <c r="J425" s="4"/>
      <c r="K425" s="13"/>
      <c r="L425" s="13"/>
      <c r="M425" s="4"/>
      <c r="N425" s="13"/>
      <c r="O425" s="4"/>
      <c r="P425" s="22"/>
      <c r="Q425" s="13"/>
      <c r="R425" s="4"/>
      <c r="S425" s="13"/>
      <c r="T425" s="4"/>
      <c r="W425" s="4"/>
      <c r="X425" s="4"/>
      <c r="Y425" s="4"/>
      <c r="Z425" s="4"/>
      <c r="AA425" s="4"/>
      <c r="AB425" s="4"/>
      <c r="AC425" s="4"/>
      <c r="AD425" s="4"/>
      <c r="AE425" s="52"/>
    </row>
    <row r="426" spans="2:31" x14ac:dyDescent="0.2">
      <c r="B426" s="13"/>
      <c r="C426" s="62"/>
      <c r="D426" s="13"/>
      <c r="E426" s="13"/>
      <c r="F426" s="13"/>
      <c r="G426" s="21"/>
      <c r="H426" s="13"/>
      <c r="I426" s="21"/>
      <c r="J426" s="4"/>
      <c r="K426" s="13"/>
      <c r="L426" s="13"/>
      <c r="M426" s="4"/>
      <c r="N426" s="13"/>
      <c r="O426" s="4"/>
      <c r="P426" s="22"/>
      <c r="Q426" s="13"/>
      <c r="R426" s="4"/>
      <c r="S426" s="13"/>
      <c r="T426" s="4"/>
      <c r="W426" s="4"/>
      <c r="X426" s="4"/>
      <c r="Y426" s="4"/>
      <c r="Z426" s="4"/>
      <c r="AA426" s="4"/>
      <c r="AB426" s="4"/>
      <c r="AC426" s="4"/>
      <c r="AD426" s="4"/>
      <c r="AE426" s="52"/>
    </row>
    <row r="427" spans="2:31" x14ac:dyDescent="0.2">
      <c r="B427" s="13"/>
      <c r="C427" s="62"/>
      <c r="D427" s="13"/>
      <c r="E427" s="13"/>
      <c r="F427" s="13"/>
      <c r="G427" s="21"/>
      <c r="H427" s="13"/>
      <c r="I427" s="21"/>
      <c r="J427" s="4"/>
      <c r="K427" s="13"/>
      <c r="L427" s="13"/>
      <c r="M427" s="4"/>
      <c r="N427" s="13"/>
      <c r="O427" s="4"/>
      <c r="P427" s="22"/>
      <c r="Q427" s="13"/>
      <c r="R427" s="4"/>
      <c r="S427" s="13"/>
      <c r="T427" s="4"/>
      <c r="W427" s="4"/>
      <c r="X427" s="4"/>
      <c r="Y427" s="4"/>
      <c r="Z427" s="4"/>
      <c r="AA427" s="4"/>
      <c r="AB427" s="4"/>
      <c r="AC427" s="4"/>
      <c r="AD427" s="4"/>
      <c r="AE427" s="52"/>
    </row>
    <row r="428" spans="2:31" x14ac:dyDescent="0.2">
      <c r="B428" s="13"/>
      <c r="C428" s="62"/>
      <c r="D428" s="13"/>
      <c r="E428" s="13"/>
      <c r="F428" s="13"/>
      <c r="G428" s="21"/>
      <c r="H428" s="13"/>
      <c r="I428" s="21"/>
      <c r="J428" s="4"/>
      <c r="K428" s="13"/>
      <c r="L428" s="13"/>
      <c r="M428" s="4"/>
      <c r="N428" s="13"/>
      <c r="O428" s="4"/>
      <c r="P428" s="22"/>
      <c r="Q428" s="13"/>
      <c r="R428" s="4"/>
      <c r="S428" s="13"/>
      <c r="T428" s="4"/>
      <c r="W428" s="13"/>
      <c r="X428" s="4"/>
      <c r="Y428" s="13"/>
      <c r="Z428" s="4"/>
      <c r="AA428" s="53"/>
      <c r="AB428" s="52"/>
      <c r="AC428" s="52"/>
      <c r="AD428" s="52"/>
      <c r="AE428" s="52"/>
    </row>
    <row r="429" spans="2:31" x14ac:dyDescent="0.2">
      <c r="B429" s="13"/>
      <c r="C429" s="62"/>
      <c r="D429" s="13"/>
      <c r="E429" s="13"/>
      <c r="F429" s="13"/>
      <c r="G429" s="21"/>
      <c r="H429" s="13"/>
      <c r="I429" s="21"/>
      <c r="J429" s="4"/>
      <c r="K429" s="13"/>
      <c r="L429" s="13"/>
      <c r="M429" s="4"/>
      <c r="N429" s="13"/>
      <c r="O429" s="4"/>
      <c r="P429" s="22"/>
      <c r="Q429" s="13"/>
      <c r="R429" s="4"/>
      <c r="S429" s="13"/>
      <c r="T429" s="4"/>
      <c r="W429" s="13"/>
      <c r="X429" s="4"/>
      <c r="Y429" s="13"/>
      <c r="Z429" s="4"/>
      <c r="AA429" s="4"/>
      <c r="AB429" s="4"/>
      <c r="AC429" s="4"/>
    </row>
    <row r="430" spans="2:31" x14ac:dyDescent="0.2">
      <c r="B430" s="13"/>
      <c r="C430" s="62"/>
      <c r="D430" s="13"/>
      <c r="E430" s="13"/>
      <c r="F430" s="13"/>
      <c r="G430" s="21"/>
      <c r="H430" s="13"/>
      <c r="I430" s="21"/>
      <c r="J430" s="4"/>
      <c r="K430" s="13"/>
      <c r="L430" s="13"/>
      <c r="M430" s="4"/>
      <c r="N430" s="13"/>
      <c r="O430" s="4"/>
      <c r="P430" s="22"/>
      <c r="Q430" s="13"/>
      <c r="R430" s="4"/>
      <c r="S430" s="13"/>
      <c r="T430" s="4"/>
    </row>
    <row r="431" spans="2:31" x14ac:dyDescent="0.2">
      <c r="B431" s="13"/>
      <c r="C431" s="62"/>
      <c r="D431" s="13"/>
      <c r="E431" s="13"/>
      <c r="F431" s="13"/>
      <c r="G431" s="21"/>
      <c r="H431" s="13"/>
      <c r="I431" s="21"/>
      <c r="J431" s="4"/>
      <c r="K431" s="13"/>
      <c r="L431" s="13"/>
      <c r="M431" s="4"/>
      <c r="N431" s="13"/>
      <c r="O431" s="4"/>
      <c r="P431" s="22"/>
      <c r="Q431" s="13"/>
      <c r="R431" s="4"/>
      <c r="S431" s="13"/>
      <c r="T431" s="4"/>
    </row>
    <row r="432" spans="2:31" x14ac:dyDescent="0.2">
      <c r="B432" s="13"/>
      <c r="C432" s="62"/>
      <c r="D432" s="13"/>
      <c r="E432" s="13"/>
      <c r="F432" s="13"/>
      <c r="G432" s="21"/>
      <c r="H432" s="13"/>
      <c r="I432" s="21"/>
      <c r="J432" s="4"/>
      <c r="K432" s="13"/>
      <c r="L432" s="13"/>
      <c r="M432" s="4"/>
      <c r="N432" s="13"/>
      <c r="O432" s="4"/>
      <c r="P432" s="22"/>
      <c r="Q432" s="13"/>
      <c r="R432" s="4"/>
      <c r="S432" s="13"/>
      <c r="T432" s="4"/>
      <c r="Y432" s="13"/>
      <c r="Z432" s="13"/>
    </row>
    <row r="433" spans="2:20" x14ac:dyDescent="0.2">
      <c r="B433" s="13"/>
      <c r="C433" s="62"/>
      <c r="D433" s="13"/>
      <c r="E433" s="13"/>
      <c r="F433" s="13"/>
      <c r="G433" s="21"/>
      <c r="H433" s="13"/>
      <c r="I433" s="21"/>
      <c r="J433" s="4"/>
      <c r="K433" s="13"/>
      <c r="L433" s="13"/>
      <c r="M433" s="4"/>
      <c r="N433" s="13"/>
      <c r="O433" s="4"/>
      <c r="P433" s="22"/>
      <c r="Q433" s="13"/>
      <c r="R433" s="4"/>
      <c r="S433" s="13"/>
      <c r="T433" s="4"/>
    </row>
    <row r="434" spans="2:20" x14ac:dyDescent="0.2">
      <c r="B434" s="13"/>
      <c r="C434" s="62"/>
      <c r="D434" s="13"/>
      <c r="E434" s="13"/>
      <c r="F434" s="13"/>
      <c r="G434" s="21"/>
      <c r="H434" s="13"/>
      <c r="I434" s="21"/>
      <c r="J434" s="4"/>
      <c r="K434" s="13"/>
      <c r="L434" s="13"/>
      <c r="M434" s="4"/>
      <c r="N434" s="13"/>
      <c r="O434" s="4"/>
      <c r="P434" s="22"/>
      <c r="Q434" s="13"/>
      <c r="R434" s="4"/>
      <c r="S434" s="13"/>
      <c r="T434" s="4"/>
    </row>
    <row r="435" spans="2:20" x14ac:dyDescent="0.2">
      <c r="B435" s="13"/>
      <c r="C435" s="62"/>
      <c r="D435" s="13"/>
      <c r="E435" s="13"/>
      <c r="F435" s="13"/>
      <c r="G435" s="21"/>
      <c r="H435" s="13"/>
      <c r="I435" s="21"/>
      <c r="J435" s="4"/>
      <c r="K435" s="13"/>
      <c r="L435" s="13"/>
      <c r="M435" s="4"/>
      <c r="N435" s="13"/>
      <c r="O435" s="4"/>
      <c r="P435" s="22"/>
      <c r="Q435" s="13"/>
      <c r="R435" s="4"/>
      <c r="S435" s="13"/>
      <c r="T435" s="4"/>
    </row>
    <row r="436" spans="2:20" x14ac:dyDescent="0.2">
      <c r="B436" s="13"/>
      <c r="C436" s="62"/>
      <c r="D436" s="13"/>
      <c r="E436" s="13"/>
      <c r="F436" s="13"/>
      <c r="G436" s="21"/>
      <c r="H436" s="13"/>
      <c r="I436" s="21"/>
      <c r="J436" s="4"/>
      <c r="K436" s="13"/>
      <c r="L436" s="13"/>
      <c r="M436" s="4"/>
      <c r="N436" s="13"/>
      <c r="O436" s="4"/>
      <c r="P436" s="22"/>
      <c r="Q436" s="13"/>
      <c r="R436" s="4"/>
      <c r="S436" s="13"/>
      <c r="T436" s="4"/>
    </row>
    <row r="437" spans="2:20" x14ac:dyDescent="0.2">
      <c r="B437" s="13"/>
      <c r="C437" s="62"/>
      <c r="D437" s="13"/>
      <c r="E437" s="13"/>
      <c r="F437" s="13"/>
      <c r="G437" s="21"/>
      <c r="H437" s="13"/>
      <c r="I437" s="21"/>
      <c r="J437" s="4"/>
      <c r="K437" s="13"/>
      <c r="L437" s="13"/>
      <c r="M437" s="4"/>
      <c r="N437" s="13"/>
      <c r="O437" s="4"/>
      <c r="P437" s="22"/>
      <c r="Q437" s="13"/>
      <c r="R437" s="4"/>
      <c r="S437" s="13"/>
      <c r="T437" s="4"/>
    </row>
    <row r="438" spans="2:20" x14ac:dyDescent="0.2">
      <c r="B438" s="13"/>
      <c r="C438" s="62"/>
      <c r="D438" s="13"/>
      <c r="E438" s="13"/>
      <c r="F438" s="13"/>
      <c r="G438" s="21"/>
      <c r="H438" s="13"/>
      <c r="I438" s="21"/>
      <c r="J438" s="4"/>
      <c r="K438" s="13"/>
      <c r="L438" s="13"/>
      <c r="M438" s="4"/>
      <c r="N438" s="13"/>
      <c r="O438" s="4"/>
      <c r="P438" s="22"/>
      <c r="Q438" s="13"/>
      <c r="R438" s="4"/>
      <c r="S438" s="13"/>
      <c r="T438" s="4"/>
    </row>
    <row r="439" spans="2:20" x14ac:dyDescent="0.2">
      <c r="B439" s="13"/>
      <c r="C439" s="62"/>
      <c r="D439" s="13"/>
      <c r="E439" s="13"/>
      <c r="F439" s="13"/>
      <c r="G439" s="21"/>
      <c r="H439" s="13"/>
      <c r="I439" s="21"/>
      <c r="J439" s="4"/>
      <c r="K439" s="13"/>
      <c r="L439" s="13"/>
      <c r="M439" s="4"/>
      <c r="N439" s="13"/>
      <c r="O439" s="4"/>
      <c r="P439" s="22"/>
      <c r="Q439" s="13"/>
      <c r="R439" s="4"/>
      <c r="S439" s="13"/>
      <c r="T439" s="4"/>
    </row>
    <row r="440" spans="2:20" x14ac:dyDescent="0.2">
      <c r="B440" s="13"/>
      <c r="C440" s="62"/>
      <c r="D440" s="13"/>
      <c r="E440" s="13"/>
      <c r="F440" s="13"/>
      <c r="G440" s="21"/>
      <c r="H440" s="13"/>
      <c r="I440" s="21"/>
      <c r="J440" s="4"/>
      <c r="K440" s="13"/>
      <c r="L440" s="13"/>
      <c r="M440" s="4"/>
      <c r="N440" s="13"/>
      <c r="O440" s="4"/>
      <c r="P440" s="22"/>
      <c r="Q440" s="13"/>
      <c r="R440" s="4"/>
      <c r="S440" s="13"/>
      <c r="T440" s="4"/>
    </row>
    <row r="441" spans="2:20" x14ac:dyDescent="0.2">
      <c r="B441" s="13"/>
      <c r="C441" s="62"/>
      <c r="D441" s="13"/>
      <c r="E441" s="13"/>
      <c r="F441" s="13"/>
      <c r="G441" s="21"/>
      <c r="H441" s="13"/>
      <c r="I441" s="21"/>
      <c r="J441" s="4"/>
      <c r="K441" s="13"/>
      <c r="L441" s="13"/>
      <c r="M441" s="4"/>
      <c r="N441" s="13"/>
      <c r="O441" s="4"/>
      <c r="P441" s="22"/>
      <c r="Q441" s="13"/>
      <c r="R441" s="4"/>
      <c r="S441" s="13"/>
      <c r="T441" s="4"/>
    </row>
    <row r="442" spans="2:20" x14ac:dyDescent="0.2">
      <c r="B442" s="13"/>
      <c r="C442" s="62"/>
      <c r="D442" s="13"/>
      <c r="E442" s="13"/>
      <c r="F442" s="13"/>
      <c r="G442" s="21"/>
      <c r="H442" s="13"/>
      <c r="I442" s="21"/>
      <c r="J442" s="4"/>
      <c r="K442" s="13"/>
      <c r="L442" s="13"/>
      <c r="M442" s="4"/>
      <c r="N442" s="13"/>
      <c r="O442" s="4"/>
      <c r="P442" s="22"/>
      <c r="Q442" s="13"/>
      <c r="R442" s="4"/>
      <c r="S442" s="13"/>
      <c r="T442" s="4"/>
    </row>
    <row r="443" spans="2:20" x14ac:dyDescent="0.2">
      <c r="B443" s="13"/>
      <c r="C443" s="62"/>
      <c r="D443" s="13"/>
      <c r="E443" s="13"/>
      <c r="F443" s="13"/>
      <c r="G443" s="21"/>
      <c r="H443" s="13"/>
      <c r="I443" s="21"/>
      <c r="J443" s="4"/>
      <c r="K443" s="13"/>
      <c r="L443" s="13"/>
      <c r="M443" s="4"/>
      <c r="N443" s="13"/>
      <c r="O443" s="4"/>
      <c r="P443" s="22"/>
      <c r="Q443" s="13"/>
      <c r="R443" s="4"/>
      <c r="S443" s="13"/>
      <c r="T443" s="4"/>
    </row>
    <row r="444" spans="2:20" x14ac:dyDescent="0.2">
      <c r="B444" s="13"/>
      <c r="C444" s="62"/>
      <c r="D444" s="13"/>
      <c r="E444" s="13"/>
      <c r="F444" s="13"/>
      <c r="G444" s="21"/>
      <c r="H444" s="13"/>
      <c r="I444" s="21"/>
      <c r="J444" s="4"/>
      <c r="K444" s="13"/>
      <c r="L444" s="13"/>
      <c r="M444" s="4"/>
      <c r="N444" s="13"/>
      <c r="O444" s="4"/>
      <c r="P444" s="22"/>
      <c r="Q444" s="13"/>
      <c r="R444" s="4"/>
      <c r="S444" s="13"/>
      <c r="T444" s="4"/>
    </row>
    <row r="445" spans="2:20" x14ac:dyDescent="0.2">
      <c r="B445" s="13"/>
      <c r="C445" s="62"/>
      <c r="D445" s="13"/>
      <c r="E445" s="13"/>
      <c r="F445" s="13"/>
      <c r="G445" s="21"/>
      <c r="H445" s="13"/>
      <c r="I445" s="21"/>
      <c r="J445" s="4"/>
      <c r="K445" s="13"/>
      <c r="L445" s="13"/>
      <c r="M445" s="4"/>
      <c r="N445" s="13"/>
      <c r="O445" s="4"/>
      <c r="P445" s="22"/>
      <c r="Q445" s="13"/>
      <c r="R445" s="4"/>
      <c r="S445" s="13"/>
      <c r="T445" s="4"/>
    </row>
    <row r="446" spans="2:20" x14ac:dyDescent="0.2">
      <c r="B446" s="13"/>
      <c r="C446" s="62"/>
      <c r="D446" s="13"/>
      <c r="E446" s="13"/>
      <c r="F446" s="13"/>
      <c r="G446" s="21"/>
      <c r="H446" s="13"/>
      <c r="I446" s="21"/>
      <c r="J446" s="4"/>
      <c r="K446" s="13"/>
      <c r="L446" s="13"/>
      <c r="M446" s="4"/>
      <c r="N446" s="13"/>
      <c r="O446" s="4"/>
      <c r="P446" s="22"/>
      <c r="Q446" s="13"/>
      <c r="R446" s="4"/>
      <c r="S446" s="13"/>
      <c r="T446" s="4"/>
    </row>
    <row r="447" spans="2:20" x14ac:dyDescent="0.2">
      <c r="B447" s="13"/>
      <c r="C447" s="62"/>
      <c r="D447" s="13"/>
      <c r="E447" s="13"/>
      <c r="F447" s="13"/>
      <c r="G447" s="21"/>
      <c r="H447" s="13"/>
      <c r="I447" s="21"/>
      <c r="J447" s="4"/>
      <c r="K447" s="13"/>
      <c r="L447" s="13"/>
      <c r="M447" s="4"/>
      <c r="N447" s="13"/>
      <c r="O447" s="4"/>
      <c r="P447" s="22"/>
      <c r="Q447" s="13"/>
      <c r="R447" s="4"/>
      <c r="S447" s="13"/>
      <c r="T447" s="4"/>
    </row>
    <row r="448" spans="2:20" x14ac:dyDescent="0.2">
      <c r="B448" s="13"/>
      <c r="C448" s="62"/>
      <c r="D448" s="13"/>
      <c r="E448" s="13"/>
      <c r="F448" s="13"/>
      <c r="G448" s="21"/>
      <c r="H448" s="13"/>
      <c r="I448" s="21"/>
      <c r="J448" s="4"/>
      <c r="K448" s="13"/>
      <c r="L448" s="13"/>
      <c r="M448" s="4"/>
      <c r="N448" s="13"/>
      <c r="O448" s="4"/>
      <c r="P448" s="22"/>
      <c r="Q448" s="13"/>
      <c r="R448" s="4"/>
      <c r="S448" s="13"/>
      <c r="T448" s="4"/>
    </row>
    <row r="449" spans="2:20" x14ac:dyDescent="0.2">
      <c r="B449" s="13"/>
      <c r="C449" s="62"/>
      <c r="D449" s="13"/>
      <c r="E449" s="13"/>
      <c r="F449" s="13"/>
      <c r="G449" s="21"/>
      <c r="H449" s="13"/>
      <c r="I449" s="21"/>
      <c r="J449" s="4"/>
      <c r="K449" s="13"/>
      <c r="L449" s="13"/>
      <c r="M449" s="4"/>
      <c r="N449" s="13"/>
      <c r="O449" s="4"/>
      <c r="P449" s="22"/>
      <c r="Q449" s="13"/>
      <c r="R449" s="4"/>
      <c r="S449" s="13"/>
      <c r="T449" s="4"/>
    </row>
    <row r="450" spans="2:20" x14ac:dyDescent="0.2">
      <c r="B450" s="13"/>
      <c r="C450" s="62"/>
      <c r="D450" s="13"/>
      <c r="E450" s="13"/>
      <c r="F450" s="13"/>
      <c r="G450" s="21"/>
      <c r="H450" s="13"/>
      <c r="I450" s="21"/>
      <c r="J450" s="4"/>
      <c r="K450" s="13"/>
      <c r="L450" s="13"/>
      <c r="M450" s="4"/>
      <c r="N450" s="13"/>
      <c r="O450" s="4"/>
      <c r="P450" s="22"/>
      <c r="Q450" s="13"/>
      <c r="R450" s="4"/>
      <c r="S450" s="13"/>
      <c r="T450" s="4"/>
    </row>
    <row r="451" spans="2:20" x14ac:dyDescent="0.2">
      <c r="B451" s="13"/>
      <c r="C451" s="62"/>
      <c r="D451" s="13"/>
      <c r="E451" s="13"/>
      <c r="F451" s="13"/>
      <c r="G451" s="21"/>
      <c r="H451" s="13"/>
      <c r="I451" s="21"/>
      <c r="J451" s="4"/>
      <c r="K451" s="13"/>
      <c r="L451" s="13"/>
      <c r="M451" s="4"/>
      <c r="N451" s="13"/>
      <c r="O451" s="4"/>
      <c r="P451" s="22"/>
      <c r="Q451" s="13"/>
      <c r="R451" s="4"/>
      <c r="S451" s="13"/>
      <c r="T451" s="4"/>
    </row>
  </sheetData>
  <mergeCells count="3">
    <mergeCell ref="L1:O1"/>
    <mergeCell ref="Q1:T1"/>
    <mergeCell ref="W1:Z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V444"/>
  <sheetViews>
    <sheetView zoomScaleNormal="100" workbookViewId="0">
      <pane ySplit="750" activePane="bottomLeft"/>
      <selection activeCell="R1" sqref="R1:V1048576"/>
      <selection pane="bottomLeft" activeCell="D4" sqref="D4"/>
    </sheetView>
  </sheetViews>
  <sheetFormatPr defaultColWidth="11.42578125" defaultRowHeight="11.25" x14ac:dyDescent="0.2"/>
  <cols>
    <col min="1" max="1" width="9.7109375" style="7" customWidth="1"/>
    <col min="2" max="6" width="9.140625" style="13" customWidth="1"/>
    <col min="7" max="8" width="9.140625" style="15" customWidth="1"/>
    <col min="9" max="9" width="9.140625" style="3" customWidth="1"/>
    <col min="10" max="230" width="11.42578125" style="15"/>
    <col min="231" max="231" width="9.7109375" style="15" customWidth="1"/>
    <col min="232" max="245" width="9.140625" style="15" customWidth="1"/>
    <col min="246" max="246" width="11.42578125" style="15"/>
    <col min="247" max="250" width="6.28515625" style="15" customWidth="1"/>
    <col min="251" max="486" width="11.42578125" style="15"/>
    <col min="487" max="487" width="9.7109375" style="15" customWidth="1"/>
    <col min="488" max="501" width="9.140625" style="15" customWidth="1"/>
    <col min="502" max="502" width="11.42578125" style="15"/>
    <col min="503" max="506" width="6.28515625" style="15" customWidth="1"/>
    <col min="507" max="742" width="11.42578125" style="15"/>
    <col min="743" max="743" width="9.7109375" style="15" customWidth="1"/>
    <col min="744" max="757" width="9.140625" style="15" customWidth="1"/>
    <col min="758" max="758" width="11.42578125" style="15"/>
    <col min="759" max="762" width="6.28515625" style="15" customWidth="1"/>
    <col min="763" max="998" width="11.42578125" style="15"/>
    <col min="999" max="999" width="9.7109375" style="15" customWidth="1"/>
    <col min="1000" max="1013" width="9.140625" style="15" customWidth="1"/>
    <col min="1014" max="1014" width="11.42578125" style="15"/>
    <col min="1015" max="1018" width="6.28515625" style="15" customWidth="1"/>
    <col min="1019" max="1254" width="11.42578125" style="15"/>
    <col min="1255" max="1255" width="9.7109375" style="15" customWidth="1"/>
    <col min="1256" max="1269" width="9.140625" style="15" customWidth="1"/>
    <col min="1270" max="1270" width="11.42578125" style="15"/>
    <col min="1271" max="1274" width="6.28515625" style="15" customWidth="1"/>
    <col min="1275" max="1510" width="11.42578125" style="15"/>
    <col min="1511" max="1511" width="9.7109375" style="15" customWidth="1"/>
    <col min="1512" max="1525" width="9.140625" style="15" customWidth="1"/>
    <col min="1526" max="1526" width="11.42578125" style="15"/>
    <col min="1527" max="1530" width="6.28515625" style="15" customWidth="1"/>
    <col min="1531" max="1766" width="11.42578125" style="15"/>
    <col min="1767" max="1767" width="9.7109375" style="15" customWidth="1"/>
    <col min="1768" max="1781" width="9.140625" style="15" customWidth="1"/>
    <col min="1782" max="1782" width="11.42578125" style="15"/>
    <col min="1783" max="1786" width="6.28515625" style="15" customWidth="1"/>
    <col min="1787" max="2022" width="11.42578125" style="15"/>
    <col min="2023" max="2023" width="9.7109375" style="15" customWidth="1"/>
    <col min="2024" max="2037" width="9.140625" style="15" customWidth="1"/>
    <col min="2038" max="2038" width="11.42578125" style="15"/>
    <col min="2039" max="2042" width="6.28515625" style="15" customWidth="1"/>
    <col min="2043" max="2278" width="11.42578125" style="15"/>
    <col min="2279" max="2279" width="9.7109375" style="15" customWidth="1"/>
    <col min="2280" max="2293" width="9.140625" style="15" customWidth="1"/>
    <col min="2294" max="2294" width="11.42578125" style="15"/>
    <col min="2295" max="2298" width="6.28515625" style="15" customWidth="1"/>
    <col min="2299" max="2534" width="11.42578125" style="15"/>
    <col min="2535" max="2535" width="9.7109375" style="15" customWidth="1"/>
    <col min="2536" max="2549" width="9.140625" style="15" customWidth="1"/>
    <col min="2550" max="2550" width="11.42578125" style="15"/>
    <col min="2551" max="2554" width="6.28515625" style="15" customWidth="1"/>
    <col min="2555" max="2790" width="11.42578125" style="15"/>
    <col min="2791" max="2791" width="9.7109375" style="15" customWidth="1"/>
    <col min="2792" max="2805" width="9.140625" style="15" customWidth="1"/>
    <col min="2806" max="2806" width="11.42578125" style="15"/>
    <col min="2807" max="2810" width="6.28515625" style="15" customWidth="1"/>
    <col min="2811" max="3046" width="11.42578125" style="15"/>
    <col min="3047" max="3047" width="9.7109375" style="15" customWidth="1"/>
    <col min="3048" max="3061" width="9.140625" style="15" customWidth="1"/>
    <col min="3062" max="3062" width="11.42578125" style="15"/>
    <col min="3063" max="3066" width="6.28515625" style="15" customWidth="1"/>
    <col min="3067" max="3302" width="11.42578125" style="15"/>
    <col min="3303" max="3303" width="9.7109375" style="15" customWidth="1"/>
    <col min="3304" max="3317" width="9.140625" style="15" customWidth="1"/>
    <col min="3318" max="3318" width="11.42578125" style="15"/>
    <col min="3319" max="3322" width="6.28515625" style="15" customWidth="1"/>
    <col min="3323" max="3558" width="11.42578125" style="15"/>
    <col min="3559" max="3559" width="9.7109375" style="15" customWidth="1"/>
    <col min="3560" max="3573" width="9.140625" style="15" customWidth="1"/>
    <col min="3574" max="3574" width="11.42578125" style="15"/>
    <col min="3575" max="3578" width="6.28515625" style="15" customWidth="1"/>
    <col min="3579" max="3814" width="11.42578125" style="15"/>
    <col min="3815" max="3815" width="9.7109375" style="15" customWidth="1"/>
    <col min="3816" max="3829" width="9.140625" style="15" customWidth="1"/>
    <col min="3830" max="3830" width="11.42578125" style="15"/>
    <col min="3831" max="3834" width="6.28515625" style="15" customWidth="1"/>
    <col min="3835" max="4070" width="11.42578125" style="15"/>
    <col min="4071" max="4071" width="9.7109375" style="15" customWidth="1"/>
    <col min="4072" max="4085" width="9.140625" style="15" customWidth="1"/>
    <col min="4086" max="4086" width="11.42578125" style="15"/>
    <col min="4087" max="4090" width="6.28515625" style="15" customWidth="1"/>
    <col min="4091" max="4326" width="11.42578125" style="15"/>
    <col min="4327" max="4327" width="9.7109375" style="15" customWidth="1"/>
    <col min="4328" max="4341" width="9.140625" style="15" customWidth="1"/>
    <col min="4342" max="4342" width="11.42578125" style="15"/>
    <col min="4343" max="4346" width="6.28515625" style="15" customWidth="1"/>
    <col min="4347" max="4582" width="11.42578125" style="15"/>
    <col min="4583" max="4583" width="9.7109375" style="15" customWidth="1"/>
    <col min="4584" max="4597" width="9.140625" style="15" customWidth="1"/>
    <col min="4598" max="4598" width="11.42578125" style="15"/>
    <col min="4599" max="4602" width="6.28515625" style="15" customWidth="1"/>
    <col min="4603" max="4838" width="11.42578125" style="15"/>
    <col min="4839" max="4839" width="9.7109375" style="15" customWidth="1"/>
    <col min="4840" max="4853" width="9.140625" style="15" customWidth="1"/>
    <col min="4854" max="4854" width="11.42578125" style="15"/>
    <col min="4855" max="4858" width="6.28515625" style="15" customWidth="1"/>
    <col min="4859" max="5094" width="11.42578125" style="15"/>
    <col min="5095" max="5095" width="9.7109375" style="15" customWidth="1"/>
    <col min="5096" max="5109" width="9.140625" style="15" customWidth="1"/>
    <col min="5110" max="5110" width="11.42578125" style="15"/>
    <col min="5111" max="5114" width="6.28515625" style="15" customWidth="1"/>
    <col min="5115" max="5350" width="11.42578125" style="15"/>
    <col min="5351" max="5351" width="9.7109375" style="15" customWidth="1"/>
    <col min="5352" max="5365" width="9.140625" style="15" customWidth="1"/>
    <col min="5366" max="5366" width="11.42578125" style="15"/>
    <col min="5367" max="5370" width="6.28515625" style="15" customWidth="1"/>
    <col min="5371" max="5606" width="11.42578125" style="15"/>
    <col min="5607" max="5607" width="9.7109375" style="15" customWidth="1"/>
    <col min="5608" max="5621" width="9.140625" style="15" customWidth="1"/>
    <col min="5622" max="5622" width="11.42578125" style="15"/>
    <col min="5623" max="5626" width="6.28515625" style="15" customWidth="1"/>
    <col min="5627" max="5862" width="11.42578125" style="15"/>
    <col min="5863" max="5863" width="9.7109375" style="15" customWidth="1"/>
    <col min="5864" max="5877" width="9.140625" style="15" customWidth="1"/>
    <col min="5878" max="5878" width="11.42578125" style="15"/>
    <col min="5879" max="5882" width="6.28515625" style="15" customWidth="1"/>
    <col min="5883" max="6118" width="11.42578125" style="15"/>
    <col min="6119" max="6119" width="9.7109375" style="15" customWidth="1"/>
    <col min="6120" max="6133" width="9.140625" style="15" customWidth="1"/>
    <col min="6134" max="6134" width="11.42578125" style="15"/>
    <col min="6135" max="6138" width="6.28515625" style="15" customWidth="1"/>
    <col min="6139" max="6374" width="11.42578125" style="15"/>
    <col min="6375" max="6375" width="9.7109375" style="15" customWidth="1"/>
    <col min="6376" max="6389" width="9.140625" style="15" customWidth="1"/>
    <col min="6390" max="6390" width="11.42578125" style="15"/>
    <col min="6391" max="6394" width="6.28515625" style="15" customWidth="1"/>
    <col min="6395" max="6630" width="11.42578125" style="15"/>
    <col min="6631" max="6631" width="9.7109375" style="15" customWidth="1"/>
    <col min="6632" max="6645" width="9.140625" style="15" customWidth="1"/>
    <col min="6646" max="6646" width="11.42578125" style="15"/>
    <col min="6647" max="6650" width="6.28515625" style="15" customWidth="1"/>
    <col min="6651" max="6886" width="11.42578125" style="15"/>
    <col min="6887" max="6887" width="9.7109375" style="15" customWidth="1"/>
    <col min="6888" max="6901" width="9.140625" style="15" customWidth="1"/>
    <col min="6902" max="6902" width="11.42578125" style="15"/>
    <col min="6903" max="6906" width="6.28515625" style="15" customWidth="1"/>
    <col min="6907" max="7142" width="11.42578125" style="15"/>
    <col min="7143" max="7143" width="9.7109375" style="15" customWidth="1"/>
    <col min="7144" max="7157" width="9.140625" style="15" customWidth="1"/>
    <col min="7158" max="7158" width="11.42578125" style="15"/>
    <col min="7159" max="7162" width="6.28515625" style="15" customWidth="1"/>
    <col min="7163" max="7398" width="11.42578125" style="15"/>
    <col min="7399" max="7399" width="9.7109375" style="15" customWidth="1"/>
    <col min="7400" max="7413" width="9.140625" style="15" customWidth="1"/>
    <col min="7414" max="7414" width="11.42578125" style="15"/>
    <col min="7415" max="7418" width="6.28515625" style="15" customWidth="1"/>
    <col min="7419" max="7654" width="11.42578125" style="15"/>
    <col min="7655" max="7655" width="9.7109375" style="15" customWidth="1"/>
    <col min="7656" max="7669" width="9.140625" style="15" customWidth="1"/>
    <col min="7670" max="7670" width="11.42578125" style="15"/>
    <col min="7671" max="7674" width="6.28515625" style="15" customWidth="1"/>
    <col min="7675" max="7910" width="11.42578125" style="15"/>
    <col min="7911" max="7911" width="9.7109375" style="15" customWidth="1"/>
    <col min="7912" max="7925" width="9.140625" style="15" customWidth="1"/>
    <col min="7926" max="7926" width="11.42578125" style="15"/>
    <col min="7927" max="7930" width="6.28515625" style="15" customWidth="1"/>
    <col min="7931" max="8166" width="11.42578125" style="15"/>
    <col min="8167" max="8167" width="9.7109375" style="15" customWidth="1"/>
    <col min="8168" max="8181" width="9.140625" style="15" customWidth="1"/>
    <col min="8182" max="8182" width="11.42578125" style="15"/>
    <col min="8183" max="8186" width="6.28515625" style="15" customWidth="1"/>
    <col min="8187" max="8422" width="11.42578125" style="15"/>
    <col min="8423" max="8423" width="9.7109375" style="15" customWidth="1"/>
    <col min="8424" max="8437" width="9.140625" style="15" customWidth="1"/>
    <col min="8438" max="8438" width="11.42578125" style="15"/>
    <col min="8439" max="8442" width="6.28515625" style="15" customWidth="1"/>
    <col min="8443" max="8678" width="11.42578125" style="15"/>
    <col min="8679" max="8679" width="9.7109375" style="15" customWidth="1"/>
    <col min="8680" max="8693" width="9.140625" style="15" customWidth="1"/>
    <col min="8694" max="8694" width="11.42578125" style="15"/>
    <col min="8695" max="8698" width="6.28515625" style="15" customWidth="1"/>
    <col min="8699" max="8934" width="11.42578125" style="15"/>
    <col min="8935" max="8935" width="9.7109375" style="15" customWidth="1"/>
    <col min="8936" max="8949" width="9.140625" style="15" customWidth="1"/>
    <col min="8950" max="8950" width="11.42578125" style="15"/>
    <col min="8951" max="8954" width="6.28515625" style="15" customWidth="1"/>
    <col min="8955" max="9190" width="11.42578125" style="15"/>
    <col min="9191" max="9191" width="9.7109375" style="15" customWidth="1"/>
    <col min="9192" max="9205" width="9.140625" style="15" customWidth="1"/>
    <col min="9206" max="9206" width="11.42578125" style="15"/>
    <col min="9207" max="9210" width="6.28515625" style="15" customWidth="1"/>
    <col min="9211" max="9446" width="11.42578125" style="15"/>
    <col min="9447" max="9447" width="9.7109375" style="15" customWidth="1"/>
    <col min="9448" max="9461" width="9.140625" style="15" customWidth="1"/>
    <col min="9462" max="9462" width="11.42578125" style="15"/>
    <col min="9463" max="9466" width="6.28515625" style="15" customWidth="1"/>
    <col min="9467" max="9702" width="11.42578125" style="15"/>
    <col min="9703" max="9703" width="9.7109375" style="15" customWidth="1"/>
    <col min="9704" max="9717" width="9.140625" style="15" customWidth="1"/>
    <col min="9718" max="9718" width="11.42578125" style="15"/>
    <col min="9719" max="9722" width="6.28515625" style="15" customWidth="1"/>
    <col min="9723" max="9958" width="11.42578125" style="15"/>
    <col min="9959" max="9959" width="9.7109375" style="15" customWidth="1"/>
    <col min="9960" max="9973" width="9.140625" style="15" customWidth="1"/>
    <col min="9974" max="9974" width="11.42578125" style="15"/>
    <col min="9975" max="9978" width="6.28515625" style="15" customWidth="1"/>
    <col min="9979" max="10214" width="11.42578125" style="15"/>
    <col min="10215" max="10215" width="9.7109375" style="15" customWidth="1"/>
    <col min="10216" max="10229" width="9.140625" style="15" customWidth="1"/>
    <col min="10230" max="10230" width="11.42578125" style="15"/>
    <col min="10231" max="10234" width="6.28515625" style="15" customWidth="1"/>
    <col min="10235" max="10470" width="11.42578125" style="15"/>
    <col min="10471" max="10471" width="9.7109375" style="15" customWidth="1"/>
    <col min="10472" max="10485" width="9.140625" style="15" customWidth="1"/>
    <col min="10486" max="10486" width="11.42578125" style="15"/>
    <col min="10487" max="10490" width="6.28515625" style="15" customWidth="1"/>
    <col min="10491" max="10726" width="11.42578125" style="15"/>
    <col min="10727" max="10727" width="9.7109375" style="15" customWidth="1"/>
    <col min="10728" max="10741" width="9.140625" style="15" customWidth="1"/>
    <col min="10742" max="10742" width="11.42578125" style="15"/>
    <col min="10743" max="10746" width="6.28515625" style="15" customWidth="1"/>
    <col min="10747" max="10982" width="11.42578125" style="15"/>
    <col min="10983" max="10983" width="9.7109375" style="15" customWidth="1"/>
    <col min="10984" max="10997" width="9.140625" style="15" customWidth="1"/>
    <col min="10998" max="10998" width="11.42578125" style="15"/>
    <col min="10999" max="11002" width="6.28515625" style="15" customWidth="1"/>
    <col min="11003" max="11238" width="11.42578125" style="15"/>
    <col min="11239" max="11239" width="9.7109375" style="15" customWidth="1"/>
    <col min="11240" max="11253" width="9.140625" style="15" customWidth="1"/>
    <col min="11254" max="11254" width="11.42578125" style="15"/>
    <col min="11255" max="11258" width="6.28515625" style="15" customWidth="1"/>
    <col min="11259" max="11494" width="11.42578125" style="15"/>
    <col min="11495" max="11495" width="9.7109375" style="15" customWidth="1"/>
    <col min="11496" max="11509" width="9.140625" style="15" customWidth="1"/>
    <col min="11510" max="11510" width="11.42578125" style="15"/>
    <col min="11511" max="11514" width="6.28515625" style="15" customWidth="1"/>
    <col min="11515" max="11750" width="11.42578125" style="15"/>
    <col min="11751" max="11751" width="9.7109375" style="15" customWidth="1"/>
    <col min="11752" max="11765" width="9.140625" style="15" customWidth="1"/>
    <col min="11766" max="11766" width="11.42578125" style="15"/>
    <col min="11767" max="11770" width="6.28515625" style="15" customWidth="1"/>
    <col min="11771" max="12006" width="11.42578125" style="15"/>
    <col min="12007" max="12007" width="9.7109375" style="15" customWidth="1"/>
    <col min="12008" max="12021" width="9.140625" style="15" customWidth="1"/>
    <col min="12022" max="12022" width="11.42578125" style="15"/>
    <col min="12023" max="12026" width="6.28515625" style="15" customWidth="1"/>
    <col min="12027" max="12262" width="11.42578125" style="15"/>
    <col min="12263" max="12263" width="9.7109375" style="15" customWidth="1"/>
    <col min="12264" max="12277" width="9.140625" style="15" customWidth="1"/>
    <col min="12278" max="12278" width="11.42578125" style="15"/>
    <col min="12279" max="12282" width="6.28515625" style="15" customWidth="1"/>
    <col min="12283" max="12518" width="11.42578125" style="15"/>
    <col min="12519" max="12519" width="9.7109375" style="15" customWidth="1"/>
    <col min="12520" max="12533" width="9.140625" style="15" customWidth="1"/>
    <col min="12534" max="12534" width="11.42578125" style="15"/>
    <col min="12535" max="12538" width="6.28515625" style="15" customWidth="1"/>
    <col min="12539" max="12774" width="11.42578125" style="15"/>
    <col min="12775" max="12775" width="9.7109375" style="15" customWidth="1"/>
    <col min="12776" max="12789" width="9.140625" style="15" customWidth="1"/>
    <col min="12790" max="12790" width="11.42578125" style="15"/>
    <col min="12791" max="12794" width="6.28515625" style="15" customWidth="1"/>
    <col min="12795" max="13030" width="11.42578125" style="15"/>
    <col min="13031" max="13031" width="9.7109375" style="15" customWidth="1"/>
    <col min="13032" max="13045" width="9.140625" style="15" customWidth="1"/>
    <col min="13046" max="13046" width="11.42578125" style="15"/>
    <col min="13047" max="13050" width="6.28515625" style="15" customWidth="1"/>
    <col min="13051" max="13286" width="11.42578125" style="15"/>
    <col min="13287" max="13287" width="9.7109375" style="15" customWidth="1"/>
    <col min="13288" max="13301" width="9.140625" style="15" customWidth="1"/>
    <col min="13302" max="13302" width="11.42578125" style="15"/>
    <col min="13303" max="13306" width="6.28515625" style="15" customWidth="1"/>
    <col min="13307" max="13542" width="11.42578125" style="15"/>
    <col min="13543" max="13543" width="9.7109375" style="15" customWidth="1"/>
    <col min="13544" max="13557" width="9.140625" style="15" customWidth="1"/>
    <col min="13558" max="13558" width="11.42578125" style="15"/>
    <col min="13559" max="13562" width="6.28515625" style="15" customWidth="1"/>
    <col min="13563" max="13798" width="11.42578125" style="15"/>
    <col min="13799" max="13799" width="9.7109375" style="15" customWidth="1"/>
    <col min="13800" max="13813" width="9.140625" style="15" customWidth="1"/>
    <col min="13814" max="13814" width="11.42578125" style="15"/>
    <col min="13815" max="13818" width="6.28515625" style="15" customWidth="1"/>
    <col min="13819" max="14054" width="11.42578125" style="15"/>
    <col min="14055" max="14055" width="9.7109375" style="15" customWidth="1"/>
    <col min="14056" max="14069" width="9.140625" style="15" customWidth="1"/>
    <col min="14070" max="14070" width="11.42578125" style="15"/>
    <col min="14071" max="14074" width="6.28515625" style="15" customWidth="1"/>
    <col min="14075" max="14310" width="11.42578125" style="15"/>
    <col min="14311" max="14311" width="9.7109375" style="15" customWidth="1"/>
    <col min="14312" max="14325" width="9.140625" style="15" customWidth="1"/>
    <col min="14326" max="14326" width="11.42578125" style="15"/>
    <col min="14327" max="14330" width="6.28515625" style="15" customWidth="1"/>
    <col min="14331" max="14566" width="11.42578125" style="15"/>
    <col min="14567" max="14567" width="9.7109375" style="15" customWidth="1"/>
    <col min="14568" max="14581" width="9.140625" style="15" customWidth="1"/>
    <col min="14582" max="14582" width="11.42578125" style="15"/>
    <col min="14583" max="14586" width="6.28515625" style="15" customWidth="1"/>
    <col min="14587" max="14822" width="11.42578125" style="15"/>
    <col min="14823" max="14823" width="9.7109375" style="15" customWidth="1"/>
    <col min="14824" max="14837" width="9.140625" style="15" customWidth="1"/>
    <col min="14838" max="14838" width="11.42578125" style="15"/>
    <col min="14839" max="14842" width="6.28515625" style="15" customWidth="1"/>
    <col min="14843" max="15078" width="11.42578125" style="15"/>
    <col min="15079" max="15079" width="9.7109375" style="15" customWidth="1"/>
    <col min="15080" max="15093" width="9.140625" style="15" customWidth="1"/>
    <col min="15094" max="15094" width="11.42578125" style="15"/>
    <col min="15095" max="15098" width="6.28515625" style="15" customWidth="1"/>
    <col min="15099" max="15334" width="11.42578125" style="15"/>
    <col min="15335" max="15335" width="9.7109375" style="15" customWidth="1"/>
    <col min="15336" max="15349" width="9.140625" style="15" customWidth="1"/>
    <col min="15350" max="15350" width="11.42578125" style="15"/>
    <col min="15351" max="15354" width="6.28515625" style="15" customWidth="1"/>
    <col min="15355" max="15590" width="11.42578125" style="15"/>
    <col min="15591" max="15591" width="9.7109375" style="15" customWidth="1"/>
    <col min="15592" max="15605" width="9.140625" style="15" customWidth="1"/>
    <col min="15606" max="15606" width="11.42578125" style="15"/>
    <col min="15607" max="15610" width="6.28515625" style="15" customWidth="1"/>
    <col min="15611" max="15846" width="11.42578125" style="15"/>
    <col min="15847" max="15847" width="9.7109375" style="15" customWidth="1"/>
    <col min="15848" max="15861" width="9.140625" style="15" customWidth="1"/>
    <col min="15862" max="15862" width="11.42578125" style="15"/>
    <col min="15863" max="15866" width="6.28515625" style="15" customWidth="1"/>
    <col min="15867" max="16102" width="11.42578125" style="15"/>
    <col min="16103" max="16103" width="9.7109375" style="15" customWidth="1"/>
    <col min="16104" max="16117" width="9.140625" style="15" customWidth="1"/>
    <col min="16118" max="16118" width="11.42578125" style="15"/>
    <col min="16119" max="16122" width="6.28515625" style="15" customWidth="1"/>
    <col min="16123" max="16384" width="11.42578125" style="15"/>
  </cols>
  <sheetData>
    <row r="1" spans="1:22" s="6" customFormat="1" x14ac:dyDescent="0.2">
      <c r="A1" s="70" t="s">
        <v>48</v>
      </c>
      <c r="B1" s="71" t="s">
        <v>59</v>
      </c>
      <c r="C1" s="71" t="s">
        <v>81</v>
      </c>
      <c r="D1" s="71" t="s">
        <v>58</v>
      </c>
      <c r="E1" s="76" t="s">
        <v>82</v>
      </c>
      <c r="F1" s="76"/>
      <c r="G1" s="76"/>
      <c r="H1" s="76"/>
      <c r="I1" s="71" t="s">
        <v>51</v>
      </c>
      <c r="J1" s="71" t="s">
        <v>60</v>
      </c>
      <c r="K1" s="72" t="s">
        <v>61</v>
      </c>
      <c r="L1" s="71" t="s">
        <v>62</v>
      </c>
      <c r="M1" s="71" t="s">
        <v>63</v>
      </c>
      <c r="N1" s="71" t="s">
        <v>83</v>
      </c>
      <c r="O1" s="71" t="s">
        <v>84</v>
      </c>
      <c r="P1" s="71" t="s">
        <v>31</v>
      </c>
      <c r="Q1" s="71" t="s">
        <v>32</v>
      </c>
    </row>
    <row r="2" spans="1:22" s="6" customFormat="1" x14ac:dyDescent="0.25">
      <c r="A2" s="7"/>
      <c r="B2" s="8"/>
      <c r="C2" s="8"/>
      <c r="D2" s="9"/>
      <c r="E2" s="9"/>
      <c r="F2" s="9"/>
      <c r="I2" s="1"/>
    </row>
    <row r="3" spans="1:22" s="11" customFormat="1" ht="12" x14ac:dyDescent="0.25">
      <c r="A3" s="7"/>
      <c r="B3" s="9"/>
      <c r="C3" s="9"/>
      <c r="D3" s="9"/>
      <c r="E3" s="9"/>
      <c r="F3" s="9"/>
      <c r="I3" s="2"/>
    </row>
    <row r="4" spans="1:22" ht="12" x14ac:dyDescent="0.2">
      <c r="A4" s="66">
        <v>42223</v>
      </c>
      <c r="B4" s="67">
        <v>1.0967</v>
      </c>
      <c r="C4" s="68">
        <v>124.24</v>
      </c>
      <c r="D4" s="67">
        <v>1.07734</v>
      </c>
      <c r="E4" s="68">
        <v>2.1749999999999998</v>
      </c>
      <c r="F4" s="68">
        <v>0.72099999999999997</v>
      </c>
      <c r="G4" s="68">
        <v>0.42</v>
      </c>
      <c r="H4" s="68">
        <v>-8.2000000000000003E-2</v>
      </c>
      <c r="I4" s="60">
        <v>2077.570068</v>
      </c>
      <c r="J4" s="68">
        <v>11490.830078000001</v>
      </c>
      <c r="K4" s="68">
        <v>20724.560547000001</v>
      </c>
      <c r="L4" s="69">
        <v>9545.16</v>
      </c>
      <c r="M4" s="68">
        <v>1093.5</v>
      </c>
      <c r="N4" s="68">
        <v>47.54</v>
      </c>
      <c r="O4" s="68">
        <v>2124.2600000000002</v>
      </c>
      <c r="P4" s="68">
        <v>279.66000000000003</v>
      </c>
      <c r="Q4" s="68">
        <v>2.7721200000000001</v>
      </c>
      <c r="R4" s="11"/>
      <c r="S4" s="11"/>
      <c r="T4" s="11"/>
      <c r="U4" s="11"/>
      <c r="V4" s="11"/>
    </row>
    <row r="5" spans="1:22" x14ac:dyDescent="0.2">
      <c r="A5" s="66">
        <v>42230</v>
      </c>
      <c r="B5" s="67">
        <v>1.1109</v>
      </c>
      <c r="C5" s="68">
        <v>124.31</v>
      </c>
      <c r="D5" s="67">
        <v>1.08426</v>
      </c>
      <c r="E5" s="68">
        <v>2.1960000000000002</v>
      </c>
      <c r="F5" s="68">
        <v>0.61599999999999999</v>
      </c>
      <c r="G5" s="68">
        <v>0.38400000000000001</v>
      </c>
      <c r="H5" s="68">
        <v>-0.154</v>
      </c>
      <c r="I5" s="60">
        <v>2091.540039</v>
      </c>
      <c r="J5" s="68">
        <v>10985.139648</v>
      </c>
      <c r="K5" s="68">
        <v>20519.449218999998</v>
      </c>
      <c r="L5" s="69">
        <v>9485.2099999999991</v>
      </c>
      <c r="M5" s="68">
        <v>1118.25</v>
      </c>
      <c r="N5" s="68">
        <v>47.79</v>
      </c>
      <c r="O5" s="68">
        <v>2159.3200000000002</v>
      </c>
      <c r="P5" s="68">
        <v>266.56</v>
      </c>
      <c r="Q5" s="68">
        <v>1.8278700000000001</v>
      </c>
    </row>
    <row r="6" spans="1:22" x14ac:dyDescent="0.2">
      <c r="A6" s="66">
        <v>42237</v>
      </c>
      <c r="B6" s="67">
        <v>1.1386000000000001</v>
      </c>
      <c r="C6" s="68">
        <v>122.04</v>
      </c>
      <c r="D6" s="67">
        <v>1.0773900000000001</v>
      </c>
      <c r="E6" s="68">
        <v>2.0539999999999998</v>
      </c>
      <c r="F6" s="68">
        <v>0.57799999999999996</v>
      </c>
      <c r="G6" s="68">
        <v>0.36599999999999999</v>
      </c>
      <c r="H6" s="68">
        <v>-0.20799999999999999</v>
      </c>
      <c r="I6" s="60">
        <v>1970.8900149999999</v>
      </c>
      <c r="J6" s="68">
        <v>10124.519531</v>
      </c>
      <c r="K6" s="68">
        <v>19435.830077999999</v>
      </c>
      <c r="L6" s="69">
        <v>8953.4</v>
      </c>
      <c r="M6" s="68">
        <v>1156.5</v>
      </c>
      <c r="N6" s="68">
        <v>43.84</v>
      </c>
      <c r="O6" s="68">
        <v>2072.27</v>
      </c>
      <c r="P6" s="68">
        <v>233.14</v>
      </c>
      <c r="Q6" s="68">
        <v>1.3952899999999999</v>
      </c>
    </row>
    <row r="7" spans="1:22" x14ac:dyDescent="0.2">
      <c r="A7" s="66">
        <v>42244</v>
      </c>
      <c r="B7" s="67">
        <v>1.1185</v>
      </c>
      <c r="C7" s="68">
        <v>121.71</v>
      </c>
      <c r="D7" s="67">
        <v>1.0764499999999999</v>
      </c>
      <c r="E7" s="68">
        <v>2.1859999999999999</v>
      </c>
      <c r="F7" s="68">
        <v>0.71399999999999997</v>
      </c>
      <c r="G7" s="68">
        <v>0.379</v>
      </c>
      <c r="H7" s="68">
        <v>-0.11600000000000001</v>
      </c>
      <c r="I7" s="60">
        <v>1988.869995</v>
      </c>
      <c r="J7" s="68">
        <v>10298.530273</v>
      </c>
      <c r="K7" s="68">
        <v>19136.320313</v>
      </c>
      <c r="L7" s="69">
        <v>8943.2099999999991</v>
      </c>
      <c r="M7" s="68">
        <v>1135</v>
      </c>
      <c r="N7" s="68">
        <v>47.97</v>
      </c>
      <c r="O7" s="68">
        <v>2037.78</v>
      </c>
      <c r="P7" s="68">
        <v>233.59</v>
      </c>
      <c r="Q7" s="68">
        <v>1.1913800000000001</v>
      </c>
    </row>
    <row r="8" spans="1:22" x14ac:dyDescent="0.2">
      <c r="A8" s="66">
        <v>42251</v>
      </c>
      <c r="B8" s="67">
        <v>1.1149</v>
      </c>
      <c r="C8" s="68">
        <v>118.99</v>
      </c>
      <c r="D8" s="67">
        <v>1.0836999999999999</v>
      </c>
      <c r="E8" s="68">
        <v>2.1280000000000001</v>
      </c>
      <c r="F8" s="68">
        <v>0.69699999999999995</v>
      </c>
      <c r="G8" s="68">
        <v>0.36</v>
      </c>
      <c r="H8" s="68">
        <v>-0.11899999999999999</v>
      </c>
      <c r="I8" s="60">
        <v>1921.219971</v>
      </c>
      <c r="J8" s="68">
        <v>10038.040039</v>
      </c>
      <c r="K8" s="68">
        <v>17792.160156000002</v>
      </c>
      <c r="L8" s="69">
        <v>8819.2099999999991</v>
      </c>
      <c r="M8" s="68">
        <v>1118.25</v>
      </c>
      <c r="N8" s="68">
        <v>48.59</v>
      </c>
      <c r="O8" s="68">
        <v>2020.68</v>
      </c>
      <c r="P8" s="68">
        <v>231.09</v>
      </c>
      <c r="Q8" s="68">
        <v>1.27441</v>
      </c>
    </row>
    <row r="9" spans="1:22" x14ac:dyDescent="0.2">
      <c r="A9" s="66">
        <v>42258</v>
      </c>
      <c r="B9" s="67">
        <v>1.1337999999999999</v>
      </c>
      <c r="C9" s="68">
        <v>120.59</v>
      </c>
      <c r="D9" s="67">
        <v>1.09944</v>
      </c>
      <c r="E9" s="68">
        <v>2.1829999999999998</v>
      </c>
      <c r="F9" s="68">
        <v>0.67400000000000004</v>
      </c>
      <c r="G9" s="68">
        <v>0.34499999999999997</v>
      </c>
      <c r="H9" s="68">
        <v>-7.5999999999999998E-2</v>
      </c>
      <c r="I9" s="60">
        <v>1961.0500489999999</v>
      </c>
      <c r="J9" s="68">
        <v>10123.559569999999</v>
      </c>
      <c r="K9" s="68">
        <v>18264.220702999999</v>
      </c>
      <c r="L9" s="69">
        <v>8940.52</v>
      </c>
      <c r="M9" s="68">
        <v>1100.25</v>
      </c>
      <c r="N9" s="68">
        <v>46.87</v>
      </c>
      <c r="O9" s="68">
        <v>2007.17</v>
      </c>
      <c r="P9" s="68">
        <v>239.9</v>
      </c>
      <c r="Q9" s="68">
        <v>0.98297800000000002</v>
      </c>
    </row>
    <row r="10" spans="1:22" x14ac:dyDescent="0.2">
      <c r="A10" s="66">
        <v>42265</v>
      </c>
      <c r="B10" s="67">
        <v>1.1297999999999999</v>
      </c>
      <c r="C10" s="68">
        <v>119.98</v>
      </c>
      <c r="D10" s="67">
        <v>1.0945</v>
      </c>
      <c r="E10" s="68">
        <v>2.13</v>
      </c>
      <c r="F10" s="68">
        <v>0.67900000000000005</v>
      </c>
      <c r="G10" s="68">
        <v>0.314</v>
      </c>
      <c r="H10" s="68">
        <v>-2.1000000000000001E-2</v>
      </c>
      <c r="I10" s="60">
        <v>1958.030029</v>
      </c>
      <c r="J10" s="68">
        <v>9916.1601559999999</v>
      </c>
      <c r="K10" s="68">
        <v>18070.210938</v>
      </c>
      <c r="L10" s="69">
        <v>8915.5400000000009</v>
      </c>
      <c r="M10" s="68">
        <v>1141.5</v>
      </c>
      <c r="N10" s="68">
        <v>47.28</v>
      </c>
      <c r="O10" s="68">
        <v>1988.94</v>
      </c>
      <c r="P10" s="68">
        <v>233.24</v>
      </c>
      <c r="Q10" s="68">
        <v>0.85368500000000003</v>
      </c>
    </row>
    <row r="11" spans="1:22" x14ac:dyDescent="0.2">
      <c r="A11" s="66">
        <v>42272</v>
      </c>
      <c r="B11" s="67">
        <v>1.1194999999999999</v>
      </c>
      <c r="C11" s="68">
        <v>120.59</v>
      </c>
      <c r="D11" s="67">
        <v>1.0959399999999999</v>
      </c>
      <c r="E11" s="68">
        <v>2.1680000000000001</v>
      </c>
      <c r="F11" s="68">
        <v>0.64</v>
      </c>
      <c r="G11" s="68">
        <v>0.32400000000000001</v>
      </c>
      <c r="H11" s="68">
        <v>-6.8000000000000005E-2</v>
      </c>
      <c r="I11" s="60">
        <v>1931.339966</v>
      </c>
      <c r="J11" s="68">
        <v>9688.5302730000003</v>
      </c>
      <c r="K11" s="68">
        <v>17880.509765999999</v>
      </c>
      <c r="L11" s="69">
        <v>8681.18</v>
      </c>
      <c r="M11" s="68">
        <v>1146.6500000000001</v>
      </c>
      <c r="N11" s="68">
        <v>47.28</v>
      </c>
      <c r="O11" s="68">
        <v>1972.62</v>
      </c>
      <c r="P11" s="68">
        <v>234.61</v>
      </c>
      <c r="Q11" s="68">
        <v>0.73622299999999996</v>
      </c>
    </row>
    <row r="12" spans="1:22" x14ac:dyDescent="0.2">
      <c r="A12" s="66">
        <v>42279</v>
      </c>
      <c r="B12" s="67">
        <v>1.1215999999999999</v>
      </c>
      <c r="C12" s="68">
        <v>119.91</v>
      </c>
      <c r="D12" s="67">
        <v>1.09005</v>
      </c>
      <c r="E12" s="68">
        <v>1.9890000000000001</v>
      </c>
      <c r="F12" s="68">
        <v>0.56599999999999995</v>
      </c>
      <c r="G12" s="68">
        <v>0.317</v>
      </c>
      <c r="H12" s="68">
        <v>-0.155</v>
      </c>
      <c r="I12" s="60">
        <v>1951.3599850000001</v>
      </c>
      <c r="J12" s="68">
        <v>9553.0703130000002</v>
      </c>
      <c r="K12" s="68">
        <v>17725.130859000001</v>
      </c>
      <c r="L12" s="69">
        <v>8688.23</v>
      </c>
      <c r="M12" s="68">
        <v>1140.75</v>
      </c>
      <c r="N12" s="68">
        <v>46.55</v>
      </c>
      <c r="O12" s="68">
        <v>1968.24</v>
      </c>
      <c r="P12" s="68">
        <v>237.6</v>
      </c>
      <c r="Q12" s="68">
        <v>0.67857400000000001</v>
      </c>
    </row>
    <row r="13" spans="1:22" x14ac:dyDescent="0.2">
      <c r="A13" s="66">
        <v>42286</v>
      </c>
      <c r="B13" s="67">
        <v>1.1357999999999999</v>
      </c>
      <c r="C13" s="68">
        <v>120.27</v>
      </c>
      <c r="D13" s="67">
        <v>1.09216</v>
      </c>
      <c r="E13" s="68">
        <v>2.0990000000000002</v>
      </c>
      <c r="F13" s="68">
        <v>0.60599999999999998</v>
      </c>
      <c r="G13" s="68">
        <v>0.32</v>
      </c>
      <c r="H13" s="68">
        <v>-0.17299999999999999</v>
      </c>
      <c r="I13" s="60">
        <v>2014.8900149999999</v>
      </c>
      <c r="J13" s="68">
        <v>10096.599609000001</v>
      </c>
      <c r="K13" s="68">
        <v>18438.669922000001</v>
      </c>
      <c r="L13" s="69">
        <v>8877.94</v>
      </c>
      <c r="M13" s="68">
        <v>1151.55</v>
      </c>
      <c r="N13" s="68">
        <v>52.08</v>
      </c>
      <c r="O13" s="68">
        <v>2037.93</v>
      </c>
      <c r="P13" s="68">
        <v>244.49</v>
      </c>
      <c r="Q13" s="68">
        <v>0.65062799999999998</v>
      </c>
    </row>
    <row r="14" spans="1:22" x14ac:dyDescent="0.2">
      <c r="A14" s="66">
        <v>42293</v>
      </c>
      <c r="B14" s="67">
        <v>1.1348</v>
      </c>
      <c r="C14" s="68">
        <v>119.44</v>
      </c>
      <c r="D14" s="67">
        <v>1.0829</v>
      </c>
      <c r="E14" s="68">
        <v>2.0230000000000001</v>
      </c>
      <c r="F14" s="68">
        <v>0.54500000000000004</v>
      </c>
      <c r="G14" s="68">
        <v>0.32</v>
      </c>
      <c r="H14" s="68">
        <v>-0.20599999999999999</v>
      </c>
      <c r="I14" s="60">
        <v>2033.1099850000001</v>
      </c>
      <c r="J14" s="68">
        <v>10104.429688</v>
      </c>
      <c r="K14" s="68">
        <v>18291.800781000002</v>
      </c>
      <c r="L14" s="69">
        <v>8899.93</v>
      </c>
      <c r="M14" s="68">
        <v>1180.8499999999999</v>
      </c>
      <c r="N14" s="68">
        <v>48.96</v>
      </c>
      <c r="O14" s="68">
        <v>2038.29</v>
      </c>
      <c r="P14" s="68">
        <v>260.48</v>
      </c>
      <c r="Q14" s="68">
        <v>0.53649500000000006</v>
      </c>
    </row>
    <row r="15" spans="1:22" x14ac:dyDescent="0.2">
      <c r="A15" s="66">
        <v>42300</v>
      </c>
      <c r="B15" s="67">
        <v>1.1017999999999999</v>
      </c>
      <c r="C15" s="68">
        <v>121.47</v>
      </c>
      <c r="D15" s="67">
        <v>1.07823</v>
      </c>
      <c r="E15" s="68">
        <v>2.0830000000000002</v>
      </c>
      <c r="F15" s="68">
        <v>0.51</v>
      </c>
      <c r="G15" s="68">
        <v>0.30299999999999999</v>
      </c>
      <c r="H15" s="68">
        <v>-0.28399999999999997</v>
      </c>
      <c r="I15" s="60">
        <v>2075.1499020000001</v>
      </c>
      <c r="J15" s="68">
        <v>10794.540039</v>
      </c>
      <c r="K15" s="68">
        <v>18825.300781000002</v>
      </c>
      <c r="L15" s="69">
        <v>9108.52</v>
      </c>
      <c r="M15" s="68">
        <v>1161.25</v>
      </c>
      <c r="N15" s="68">
        <v>46.3</v>
      </c>
      <c r="O15" s="68">
        <v>2099.73</v>
      </c>
      <c r="P15" s="68">
        <v>278.11</v>
      </c>
      <c r="Q15" s="68">
        <v>0.53965700000000005</v>
      </c>
    </row>
    <row r="16" spans="1:22" x14ac:dyDescent="0.2">
      <c r="A16" s="66">
        <v>42307</v>
      </c>
      <c r="B16" s="67">
        <v>1.1006</v>
      </c>
      <c r="C16" s="68">
        <v>120.62</v>
      </c>
      <c r="D16" s="67">
        <v>1.08728</v>
      </c>
      <c r="E16" s="68">
        <v>2.1509999999999998</v>
      </c>
      <c r="F16" s="68">
        <v>0.50900000000000001</v>
      </c>
      <c r="G16" s="68">
        <v>0.309</v>
      </c>
      <c r="H16" s="68">
        <v>-0.27200000000000002</v>
      </c>
      <c r="I16" s="60">
        <v>2079.360107</v>
      </c>
      <c r="J16" s="68">
        <v>10850.139648</v>
      </c>
      <c r="K16" s="68">
        <v>19083.099609000001</v>
      </c>
      <c r="L16" s="69">
        <v>9133.48</v>
      </c>
      <c r="M16" s="68">
        <v>1142.3499999999999</v>
      </c>
      <c r="N16" s="68">
        <v>48</v>
      </c>
      <c r="O16" s="68">
        <v>2087.9499999999998</v>
      </c>
      <c r="P16" s="68">
        <v>323.22000000000003</v>
      </c>
      <c r="Q16" s="68">
        <v>1.04122</v>
      </c>
    </row>
    <row r="17" spans="1:17" x14ac:dyDescent="0.2">
      <c r="A17" s="66">
        <v>42314</v>
      </c>
      <c r="B17" s="67">
        <v>1.0741000000000001</v>
      </c>
      <c r="C17" s="68">
        <v>123.13</v>
      </c>
      <c r="D17" s="67">
        <v>1.0804800000000001</v>
      </c>
      <c r="E17" s="68">
        <v>2.3330000000000002</v>
      </c>
      <c r="F17" s="68">
        <v>0.626</v>
      </c>
      <c r="G17" s="68">
        <v>0.32400000000000001</v>
      </c>
      <c r="H17" s="68">
        <v>-0.32600000000000001</v>
      </c>
      <c r="I17" s="60">
        <v>2099.1999510000001</v>
      </c>
      <c r="J17" s="68">
        <v>10988.030273</v>
      </c>
      <c r="K17" s="68">
        <v>19265.599609000001</v>
      </c>
      <c r="L17" s="69">
        <v>9188.52</v>
      </c>
      <c r="M17" s="68">
        <v>1088.9000000000001</v>
      </c>
      <c r="N17" s="68">
        <v>46.09</v>
      </c>
      <c r="O17" s="68">
        <v>2083.52</v>
      </c>
      <c r="P17" s="68">
        <v>370.07</v>
      </c>
      <c r="Q17" s="68">
        <v>0.92603199999999997</v>
      </c>
    </row>
    <row r="18" spans="1:17" x14ac:dyDescent="0.2">
      <c r="A18" s="66">
        <v>42321</v>
      </c>
      <c r="B18" s="67">
        <v>1.0772999999999999</v>
      </c>
      <c r="C18" s="68">
        <v>122.61</v>
      </c>
      <c r="D18" s="67">
        <v>1.08338</v>
      </c>
      <c r="E18" s="68">
        <v>2.2799999999999998</v>
      </c>
      <c r="F18" s="68">
        <v>0.59599999999999997</v>
      </c>
      <c r="G18" s="68">
        <v>0.30499999999999999</v>
      </c>
      <c r="H18" s="68">
        <v>-0.29199999999999998</v>
      </c>
      <c r="I18" s="60">
        <v>2023.040039</v>
      </c>
      <c r="J18" s="68">
        <v>10708.400390999999</v>
      </c>
      <c r="K18" s="68">
        <v>19596.910156000002</v>
      </c>
      <c r="L18" s="69">
        <v>8978.4599999999991</v>
      </c>
      <c r="M18" s="68">
        <v>1081.5</v>
      </c>
      <c r="N18" s="68">
        <v>41.98</v>
      </c>
      <c r="O18" s="68">
        <v>2055.17</v>
      </c>
      <c r="P18" s="68">
        <v>332.93</v>
      </c>
      <c r="Q18" s="68">
        <v>0.90409600000000001</v>
      </c>
    </row>
    <row r="19" spans="1:17" x14ac:dyDescent="0.2">
      <c r="A19" s="66">
        <v>42328</v>
      </c>
      <c r="B19" s="67">
        <v>1.0646</v>
      </c>
      <c r="C19" s="68">
        <v>122.81</v>
      </c>
      <c r="D19" s="67">
        <v>1.0844</v>
      </c>
      <c r="E19" s="68">
        <v>2.262</v>
      </c>
      <c r="F19" s="68">
        <v>0.51100000000000001</v>
      </c>
      <c r="G19" s="68">
        <v>0.32400000000000001</v>
      </c>
      <c r="H19" s="68">
        <v>-0.29699999999999999</v>
      </c>
      <c r="I19" s="60">
        <v>2089.169922</v>
      </c>
      <c r="J19" s="68">
        <v>11119.830078000001</v>
      </c>
      <c r="K19" s="68">
        <v>19879.810547000001</v>
      </c>
      <c r="L19" s="69">
        <v>9237.18</v>
      </c>
      <c r="M19" s="68">
        <v>1081.75</v>
      </c>
      <c r="N19" s="68">
        <v>42.49</v>
      </c>
      <c r="O19" s="68">
        <v>2113.66</v>
      </c>
      <c r="P19" s="68">
        <v>321.27</v>
      </c>
      <c r="Q19" s="68">
        <v>0.92491999999999996</v>
      </c>
    </row>
    <row r="20" spans="1:17" x14ac:dyDescent="0.2">
      <c r="A20" s="66">
        <v>42335</v>
      </c>
      <c r="B20" s="67">
        <v>1.0592999999999999</v>
      </c>
      <c r="C20" s="68">
        <v>122.8</v>
      </c>
      <c r="D20" s="67">
        <v>1.0908</v>
      </c>
      <c r="E20" s="68">
        <v>2.2250000000000001</v>
      </c>
      <c r="F20" s="68">
        <v>0.47599999999999998</v>
      </c>
      <c r="G20" s="68">
        <v>0.308</v>
      </c>
      <c r="H20" s="68">
        <v>-0.314</v>
      </c>
      <c r="I20" s="60">
        <v>2090.110107</v>
      </c>
      <c r="J20" s="68">
        <v>11293.759765999999</v>
      </c>
      <c r="K20" s="68">
        <v>19883.939452999999</v>
      </c>
      <c r="L20" s="69">
        <v>9231.0499999999993</v>
      </c>
      <c r="M20" s="68">
        <v>1057.4000000000001</v>
      </c>
      <c r="N20" s="68">
        <v>43.07</v>
      </c>
      <c r="O20" s="68">
        <v>2106.79</v>
      </c>
      <c r="P20" s="68">
        <v>359.56</v>
      </c>
      <c r="Q20" s="68">
        <v>0.86795100000000003</v>
      </c>
    </row>
    <row r="21" spans="1:17" x14ac:dyDescent="0.2">
      <c r="A21" s="66">
        <v>42342</v>
      </c>
      <c r="B21" s="67">
        <v>1.0881000000000001</v>
      </c>
      <c r="C21" s="68">
        <v>123.11</v>
      </c>
      <c r="D21" s="67">
        <v>1.0854600000000001</v>
      </c>
      <c r="E21" s="68">
        <v>2.2749999999999999</v>
      </c>
      <c r="F21" s="68">
        <v>0.67300000000000004</v>
      </c>
      <c r="G21" s="68">
        <v>0.34100000000000003</v>
      </c>
      <c r="H21" s="68">
        <v>-0.20599999999999999</v>
      </c>
      <c r="I21" s="60">
        <v>2091.6899410000001</v>
      </c>
      <c r="J21" s="68">
        <v>10752.099609000001</v>
      </c>
      <c r="K21" s="68">
        <v>19504.480468999998</v>
      </c>
      <c r="L21" s="69">
        <v>9060.2000000000007</v>
      </c>
      <c r="M21" s="68">
        <v>1079.25</v>
      </c>
      <c r="N21" s="68">
        <v>41.44</v>
      </c>
      <c r="O21" s="68">
        <v>2072.44</v>
      </c>
      <c r="P21" s="68">
        <v>362.4</v>
      </c>
      <c r="Q21" s="68">
        <v>0.84004100000000004</v>
      </c>
    </row>
    <row r="22" spans="1:17" x14ac:dyDescent="0.2">
      <c r="A22" s="66">
        <v>42349</v>
      </c>
      <c r="B22" s="67">
        <v>1.0986</v>
      </c>
      <c r="C22" s="68">
        <v>121.01</v>
      </c>
      <c r="D22" s="67">
        <v>1.0809500000000001</v>
      </c>
      <c r="E22" s="68">
        <v>2.1389999999999998</v>
      </c>
      <c r="F22" s="68">
        <v>0.59199999999999997</v>
      </c>
      <c r="G22" s="68">
        <v>0.32200000000000001</v>
      </c>
      <c r="H22" s="68">
        <v>-0.17199999999999999</v>
      </c>
      <c r="I22" s="60">
        <v>2012.369995</v>
      </c>
      <c r="J22" s="68">
        <v>10340.059569999999</v>
      </c>
      <c r="K22" s="68">
        <v>19230.480468999998</v>
      </c>
      <c r="L22" s="69">
        <v>8759.2900000000009</v>
      </c>
      <c r="M22" s="68">
        <v>1072.5</v>
      </c>
      <c r="N22" s="68">
        <v>36.99</v>
      </c>
      <c r="O22" s="68">
        <v>2037.41</v>
      </c>
      <c r="P22" s="68">
        <v>450.55</v>
      </c>
      <c r="Q22" s="68">
        <v>0.92976199999999998</v>
      </c>
    </row>
    <row r="23" spans="1:17" x14ac:dyDescent="0.2">
      <c r="A23" s="66">
        <v>42356</v>
      </c>
      <c r="B23" s="67">
        <v>1.0868</v>
      </c>
      <c r="C23" s="68">
        <v>121.16</v>
      </c>
      <c r="D23" s="67">
        <v>1.0783400000000001</v>
      </c>
      <c r="E23" s="68">
        <v>2.1989999999999998</v>
      </c>
      <c r="F23" s="68">
        <v>0.59499999999999997</v>
      </c>
      <c r="G23" s="68">
        <v>0.27</v>
      </c>
      <c r="H23" s="68">
        <v>-0.14399999999999999</v>
      </c>
      <c r="I23" s="60">
        <v>2005.5500489999999</v>
      </c>
      <c r="J23" s="68">
        <v>10608.190430000001</v>
      </c>
      <c r="K23" s="68">
        <v>18986.800781000002</v>
      </c>
      <c r="L23" s="69">
        <v>8879.82</v>
      </c>
      <c r="M23" s="68">
        <v>1062.5</v>
      </c>
      <c r="N23" s="68">
        <v>36.76</v>
      </c>
      <c r="O23" s="68">
        <v>2105.17</v>
      </c>
      <c r="P23" s="68">
        <v>461.66</v>
      </c>
      <c r="Q23" s="68">
        <v>0.92012700000000003</v>
      </c>
    </row>
    <row r="24" spans="1:17" x14ac:dyDescent="0.2">
      <c r="A24" s="66">
        <v>42363</v>
      </c>
      <c r="B24" s="67">
        <v>1.0960000000000001</v>
      </c>
      <c r="C24" s="68">
        <v>120.33</v>
      </c>
      <c r="D24" s="67">
        <v>1.08274</v>
      </c>
      <c r="E24" s="68">
        <v>2.2429999999999999</v>
      </c>
      <c r="F24" s="68">
        <v>0.64</v>
      </c>
      <c r="G24" s="68">
        <v>0.27900000000000003</v>
      </c>
      <c r="H24" s="68">
        <v>-6.7000000000000004E-2</v>
      </c>
      <c r="I24" s="60">
        <v>2060.98999</v>
      </c>
      <c r="J24" s="68">
        <v>10727.639648</v>
      </c>
      <c r="K24" s="68">
        <v>18769.060547000001</v>
      </c>
      <c r="L24" s="69">
        <v>8976.74</v>
      </c>
      <c r="M24" s="68">
        <v>1068.25</v>
      </c>
      <c r="N24" s="68">
        <v>37.22</v>
      </c>
      <c r="O24" s="68">
        <v>2130.63</v>
      </c>
      <c r="P24" s="68">
        <v>455.88</v>
      </c>
      <c r="Q24" s="68">
        <v>0.870363</v>
      </c>
    </row>
    <row r="25" spans="1:17" x14ac:dyDescent="0.2">
      <c r="A25" s="66">
        <v>42370</v>
      </c>
      <c r="B25" s="67">
        <v>1.0855999999999999</v>
      </c>
      <c r="C25" s="68">
        <v>120.55</v>
      </c>
      <c r="D25" s="67">
        <v>1.0873299999999999</v>
      </c>
      <c r="E25" s="68">
        <v>2.2690000000000001</v>
      </c>
      <c r="F25" s="68">
        <v>0.69599999999999995</v>
      </c>
      <c r="G25" s="68">
        <v>0.26500000000000001</v>
      </c>
      <c r="H25" s="68">
        <v>-3.9E-2</v>
      </c>
      <c r="I25" s="60">
        <v>2043.9399410000001</v>
      </c>
      <c r="J25" s="68">
        <v>10743.009765999999</v>
      </c>
      <c r="K25" s="68">
        <v>19033.710938</v>
      </c>
      <c r="L25" s="69">
        <v>9093.9699999999993</v>
      </c>
      <c r="M25" s="68">
        <v>1060</v>
      </c>
      <c r="N25" s="68">
        <v>36.61</v>
      </c>
      <c r="O25" s="68">
        <v>2147.89</v>
      </c>
      <c r="P25" s="68">
        <v>434.34</v>
      </c>
      <c r="Q25" s="68">
        <v>0.94802399999999998</v>
      </c>
    </row>
    <row r="26" spans="1:17" x14ac:dyDescent="0.2">
      <c r="A26" s="66">
        <v>42377</v>
      </c>
      <c r="B26" s="67">
        <v>1.0922000000000001</v>
      </c>
      <c r="C26" s="68">
        <v>117.26</v>
      </c>
      <c r="D26" s="67">
        <v>1.0866500000000001</v>
      </c>
      <c r="E26" s="68">
        <v>2.13</v>
      </c>
      <c r="F26" s="68">
        <v>0.59599999999999997</v>
      </c>
      <c r="G26" s="68">
        <v>0.22900000000000001</v>
      </c>
      <c r="H26" s="68">
        <v>-0.112</v>
      </c>
      <c r="I26" s="60">
        <v>1922.030029</v>
      </c>
      <c r="J26" s="68">
        <v>9849.3398440000001</v>
      </c>
      <c r="K26" s="68">
        <v>17697.960938</v>
      </c>
      <c r="L26" s="69">
        <v>8527.36</v>
      </c>
      <c r="M26" s="68">
        <v>1101.8499999999999</v>
      </c>
      <c r="N26" s="68">
        <v>31.67</v>
      </c>
      <c r="O26" s="68">
        <v>2077.58</v>
      </c>
      <c r="P26" s="68">
        <v>452.42</v>
      </c>
      <c r="Q26" s="68">
        <v>0.98678900000000003</v>
      </c>
    </row>
    <row r="27" spans="1:17" x14ac:dyDescent="0.2">
      <c r="A27" s="66">
        <v>42384</v>
      </c>
      <c r="B27" s="67">
        <v>1.0915999999999999</v>
      </c>
      <c r="C27" s="68">
        <v>116.98</v>
      </c>
      <c r="D27" s="67">
        <v>1.0924800000000001</v>
      </c>
      <c r="E27" s="68">
        <v>2.0329999999999999</v>
      </c>
      <c r="F27" s="68">
        <v>0.53200000000000003</v>
      </c>
      <c r="G27" s="68">
        <v>0.221</v>
      </c>
      <c r="H27" s="68">
        <v>-0.20300000000000001</v>
      </c>
      <c r="I27" s="60">
        <v>1880.329956</v>
      </c>
      <c r="J27" s="68">
        <v>9545.2695309999999</v>
      </c>
      <c r="K27" s="68">
        <v>17147.109375</v>
      </c>
      <c r="L27" s="69">
        <v>8364.6200000000008</v>
      </c>
      <c r="M27" s="68">
        <v>1093.75</v>
      </c>
      <c r="N27" s="68">
        <v>28.8</v>
      </c>
      <c r="O27" s="68">
        <v>2071.59</v>
      </c>
      <c r="P27" s="68">
        <v>387.31</v>
      </c>
      <c r="Q27" s="68">
        <v>1.20801</v>
      </c>
    </row>
    <row r="28" spans="1:17" x14ac:dyDescent="0.2">
      <c r="A28" s="66">
        <v>42391</v>
      </c>
      <c r="B28" s="67">
        <v>1.0796000000000001</v>
      </c>
      <c r="C28" s="68">
        <v>118.78</v>
      </c>
      <c r="D28" s="67">
        <v>1.09663</v>
      </c>
      <c r="E28" s="68">
        <v>2.048</v>
      </c>
      <c r="F28" s="68">
        <v>0.47199999999999998</v>
      </c>
      <c r="G28" s="68">
        <v>0.24</v>
      </c>
      <c r="H28" s="68">
        <v>-0.23799999999999999</v>
      </c>
      <c r="I28" s="60">
        <v>1906.900024</v>
      </c>
      <c r="J28" s="68">
        <v>9764.8798829999996</v>
      </c>
      <c r="K28" s="68">
        <v>16958.529297000001</v>
      </c>
      <c r="L28" s="69">
        <v>8526.14</v>
      </c>
      <c r="M28" s="68">
        <v>1096.25</v>
      </c>
      <c r="N28" s="68">
        <v>30.46</v>
      </c>
      <c r="O28" s="68">
        <v>2105.27</v>
      </c>
      <c r="P28" s="68">
        <v>379.03</v>
      </c>
      <c r="Q28" s="68">
        <v>1.5012700000000001</v>
      </c>
    </row>
    <row r="29" spans="1:17" x14ac:dyDescent="0.2">
      <c r="A29" s="66">
        <v>42398</v>
      </c>
      <c r="B29" s="67">
        <v>1.0831</v>
      </c>
      <c r="C29" s="68">
        <v>121.14</v>
      </c>
      <c r="D29" s="67">
        <v>1.1077600000000001</v>
      </c>
      <c r="E29" s="68">
        <v>1.931</v>
      </c>
      <c r="F29" s="68">
        <v>0.34100000000000003</v>
      </c>
      <c r="G29" s="68">
        <v>0.1</v>
      </c>
      <c r="H29" s="68">
        <v>-0.29899999999999999</v>
      </c>
      <c r="I29" s="60">
        <v>1940.23999</v>
      </c>
      <c r="J29" s="68">
        <v>9798.1103519999997</v>
      </c>
      <c r="K29" s="68">
        <v>17518.300781000002</v>
      </c>
      <c r="L29" s="69">
        <v>8610.7000000000007</v>
      </c>
      <c r="M29" s="68">
        <v>1111.8</v>
      </c>
      <c r="N29" s="68">
        <v>33.14</v>
      </c>
      <c r="O29" s="68">
        <v>2178.9699999999998</v>
      </c>
      <c r="P29" s="68">
        <v>375.2</v>
      </c>
      <c r="Q29" s="68">
        <v>2.4949599999999998</v>
      </c>
    </row>
    <row r="30" spans="1:17" x14ac:dyDescent="0.2">
      <c r="A30" s="66">
        <v>42405</v>
      </c>
      <c r="B30" s="67">
        <v>1.1157999999999999</v>
      </c>
      <c r="C30" s="68">
        <v>116.87</v>
      </c>
      <c r="D30" s="67">
        <v>1.1047</v>
      </c>
      <c r="E30" s="68">
        <v>1.8480000000000001</v>
      </c>
      <c r="F30" s="68">
        <v>0.29599999999999999</v>
      </c>
      <c r="G30" s="68">
        <v>2.7E-2</v>
      </c>
      <c r="H30" s="68">
        <v>-0.31900000000000001</v>
      </c>
      <c r="I30" s="60">
        <v>1880.0500489999999</v>
      </c>
      <c r="J30" s="68">
        <v>9286.2304690000001</v>
      </c>
      <c r="K30" s="68">
        <v>16819.589843999998</v>
      </c>
      <c r="L30" s="69">
        <v>8266.5</v>
      </c>
      <c r="M30" s="68">
        <v>1150.3499999999999</v>
      </c>
      <c r="N30" s="68">
        <v>32.35</v>
      </c>
      <c r="O30" s="68">
        <v>2125.21</v>
      </c>
      <c r="P30" s="68">
        <v>384.88</v>
      </c>
      <c r="Q30" s="68">
        <v>2.5389900000000001</v>
      </c>
    </row>
    <row r="31" spans="1:17" x14ac:dyDescent="0.2">
      <c r="A31" s="66">
        <v>42412</v>
      </c>
      <c r="B31" s="67">
        <v>1.1255999999999999</v>
      </c>
      <c r="C31" s="68">
        <v>113.25</v>
      </c>
      <c r="D31" s="67">
        <v>1.10059</v>
      </c>
      <c r="E31" s="68">
        <v>1.748</v>
      </c>
      <c r="F31" s="68">
        <v>0.187</v>
      </c>
      <c r="G31" s="68">
        <v>0.09</v>
      </c>
      <c r="H31" s="68">
        <v>-0.33100000000000002</v>
      </c>
      <c r="I31" s="60">
        <v>1864.780029</v>
      </c>
      <c r="J31" s="68">
        <v>8967.5097659999992</v>
      </c>
      <c r="K31" s="68">
        <v>14952.610352</v>
      </c>
      <c r="L31" s="69">
        <v>7941.01</v>
      </c>
      <c r="M31" s="68">
        <v>1239.75</v>
      </c>
      <c r="N31" s="68">
        <v>31.8</v>
      </c>
      <c r="O31" s="68">
        <v>2097.29</v>
      </c>
      <c r="P31" s="68">
        <v>381.61</v>
      </c>
      <c r="Q31" s="68">
        <v>5.5469799999999996</v>
      </c>
    </row>
    <row r="32" spans="1:17" x14ac:dyDescent="0.2">
      <c r="A32" s="66">
        <v>42419</v>
      </c>
      <c r="B32" s="67">
        <v>1.113</v>
      </c>
      <c r="C32" s="68">
        <v>112.63</v>
      </c>
      <c r="D32" s="67">
        <v>1.10188</v>
      </c>
      <c r="E32" s="68">
        <v>1.748</v>
      </c>
      <c r="F32" s="68">
        <v>0.17699999999999999</v>
      </c>
      <c r="G32" s="68">
        <v>1.2999999999999999E-2</v>
      </c>
      <c r="H32" s="68">
        <v>-0.35199999999999998</v>
      </c>
      <c r="I32" s="60">
        <v>1917.780029</v>
      </c>
      <c r="J32" s="68">
        <v>9388.0498050000006</v>
      </c>
      <c r="K32" s="68">
        <v>15967.169921999999</v>
      </c>
      <c r="L32" s="69">
        <v>8188.54</v>
      </c>
      <c r="M32" s="68">
        <v>1231.1500000000001</v>
      </c>
      <c r="N32" s="68">
        <v>31.66</v>
      </c>
      <c r="O32" s="68">
        <v>2187.2600000000002</v>
      </c>
      <c r="P32" s="68">
        <v>418.69</v>
      </c>
      <c r="Q32" s="68">
        <v>4.7378900000000002</v>
      </c>
    </row>
    <row r="33" spans="1:17" x14ac:dyDescent="0.2">
      <c r="A33" s="66">
        <v>42426</v>
      </c>
      <c r="B33" s="67">
        <v>1.0933999999999999</v>
      </c>
      <c r="C33" s="68">
        <v>114</v>
      </c>
      <c r="D33" s="67">
        <v>1.0902799999999999</v>
      </c>
      <c r="E33" s="68">
        <v>1.762</v>
      </c>
      <c r="F33" s="68">
        <v>0.13900000000000001</v>
      </c>
      <c r="G33" s="68">
        <v>-6.5000000000000002E-2</v>
      </c>
      <c r="H33" s="68">
        <v>-0.433</v>
      </c>
      <c r="I33" s="60">
        <v>1948.0500489999999</v>
      </c>
      <c r="J33" s="68">
        <v>9513.2998050000006</v>
      </c>
      <c r="K33" s="68">
        <v>16188.410156</v>
      </c>
      <c r="L33" s="69">
        <v>8276.36</v>
      </c>
      <c r="M33" s="68">
        <v>1226.5</v>
      </c>
      <c r="N33" s="68">
        <v>35.76</v>
      </c>
      <c r="O33" s="68">
        <v>2193.0100000000002</v>
      </c>
      <c r="P33" s="68">
        <v>423.96</v>
      </c>
      <c r="Q33" s="68">
        <v>5.9216699999999998</v>
      </c>
    </row>
    <row r="34" spans="1:17" x14ac:dyDescent="0.2">
      <c r="A34" s="66">
        <v>42433</v>
      </c>
      <c r="B34" s="67">
        <v>1.1005</v>
      </c>
      <c r="C34" s="68">
        <v>113.74</v>
      </c>
      <c r="D34" s="67">
        <v>1.0931500000000001</v>
      </c>
      <c r="E34" s="68">
        <v>1.883</v>
      </c>
      <c r="F34" s="68">
        <v>0.184</v>
      </c>
      <c r="G34" s="68">
        <v>-4.3999999999999997E-2</v>
      </c>
      <c r="H34" s="68">
        <v>-0.44400000000000001</v>
      </c>
      <c r="I34" s="60">
        <v>1999.98999</v>
      </c>
      <c r="J34" s="68">
        <v>9824.1699219999991</v>
      </c>
      <c r="K34" s="68">
        <v>17014.779297000001</v>
      </c>
      <c r="L34" s="69">
        <v>8443.82</v>
      </c>
      <c r="M34" s="68">
        <v>1277.5</v>
      </c>
      <c r="N34" s="68">
        <v>37.61</v>
      </c>
      <c r="O34" s="68">
        <v>2220.6999999999998</v>
      </c>
      <c r="P34" s="68">
        <v>411.29</v>
      </c>
      <c r="Q34" s="68">
        <v>10.406000000000001</v>
      </c>
    </row>
    <row r="35" spans="1:17" x14ac:dyDescent="0.2">
      <c r="A35" s="66">
        <v>42440</v>
      </c>
      <c r="B35" s="67">
        <v>1.1155999999999999</v>
      </c>
      <c r="C35" s="68">
        <v>113.86</v>
      </c>
      <c r="D35" s="67">
        <v>1.09582</v>
      </c>
      <c r="E35" s="68">
        <v>1.9770000000000001</v>
      </c>
      <c r="F35" s="68">
        <v>0.26100000000000001</v>
      </c>
      <c r="G35" s="68">
        <v>-5.0000000000000001E-3</v>
      </c>
      <c r="H35" s="68">
        <v>-0.32400000000000001</v>
      </c>
      <c r="I35" s="60">
        <v>2022.1899410000001</v>
      </c>
      <c r="J35" s="68">
        <v>9831.1298829999996</v>
      </c>
      <c r="K35" s="68">
        <v>16938.869140999999</v>
      </c>
      <c r="L35" s="69">
        <v>8468.81</v>
      </c>
      <c r="M35" s="68">
        <v>1264.75</v>
      </c>
      <c r="N35" s="68">
        <v>39.409999999999997</v>
      </c>
      <c r="O35" s="68">
        <v>2253.21</v>
      </c>
      <c r="P35" s="68">
        <v>418.65</v>
      </c>
      <c r="Q35" s="68">
        <v>11.082800000000001</v>
      </c>
    </row>
    <row r="36" spans="1:17" x14ac:dyDescent="0.2">
      <c r="A36" s="66">
        <v>42447</v>
      </c>
      <c r="B36" s="67">
        <v>1.127</v>
      </c>
      <c r="C36" s="68">
        <v>111.55</v>
      </c>
      <c r="D36" s="67">
        <v>1.0925499999999999</v>
      </c>
      <c r="E36" s="68">
        <v>1.871</v>
      </c>
      <c r="F36" s="68">
        <v>0.19</v>
      </c>
      <c r="G36" s="68">
        <v>-9.2999999999999999E-2</v>
      </c>
      <c r="H36" s="68">
        <v>-0.36099999999999999</v>
      </c>
      <c r="I36" s="60">
        <v>2049.580078</v>
      </c>
      <c r="J36" s="68">
        <v>9950.7998050000006</v>
      </c>
      <c r="K36" s="68">
        <v>16724.810547000001</v>
      </c>
      <c r="L36" s="69">
        <v>8310.11</v>
      </c>
      <c r="M36" s="68">
        <v>1252.0999999999999</v>
      </c>
      <c r="N36" s="68">
        <v>39.26</v>
      </c>
      <c r="O36" s="68">
        <v>2256.3000000000002</v>
      </c>
      <c r="P36" s="68">
        <v>405.77</v>
      </c>
      <c r="Q36" s="68">
        <v>10.998100000000001</v>
      </c>
    </row>
    <row r="37" spans="1:17" x14ac:dyDescent="0.2">
      <c r="A37" s="66">
        <v>42454</v>
      </c>
      <c r="B37" s="67">
        <v>1.1167</v>
      </c>
      <c r="C37" s="68">
        <v>113.08</v>
      </c>
      <c r="D37" s="67">
        <v>1.0913900000000001</v>
      </c>
      <c r="E37" s="68">
        <v>1.9</v>
      </c>
      <c r="F37" s="68">
        <v>0.161</v>
      </c>
      <c r="G37" s="68">
        <v>-9.2999999999999999E-2</v>
      </c>
      <c r="H37" s="68">
        <v>-0.36799999999999999</v>
      </c>
      <c r="I37" s="60">
        <v>2035.9399410000001</v>
      </c>
      <c r="J37" s="68">
        <v>9851.3496090000008</v>
      </c>
      <c r="K37" s="68">
        <v>17002.75</v>
      </c>
      <c r="L37" s="69">
        <v>8264.02</v>
      </c>
      <c r="M37" s="68">
        <v>1221</v>
      </c>
      <c r="N37" s="68">
        <v>38.33</v>
      </c>
      <c r="O37" s="68">
        <v>2241.33</v>
      </c>
      <c r="P37" s="68">
        <v>415.92</v>
      </c>
      <c r="Q37" s="68">
        <v>10.7432</v>
      </c>
    </row>
    <row r="38" spans="1:17" x14ac:dyDescent="0.2">
      <c r="A38" s="66">
        <v>42461</v>
      </c>
      <c r="B38" s="67">
        <v>1.1391</v>
      </c>
      <c r="C38" s="68">
        <v>111.69</v>
      </c>
      <c r="D38" s="67">
        <v>1.0915699999999999</v>
      </c>
      <c r="E38" s="68">
        <v>1.792</v>
      </c>
      <c r="F38" s="68">
        <v>0.14399999999999999</v>
      </c>
      <c r="G38" s="68">
        <v>-5.8999999999999997E-2</v>
      </c>
      <c r="H38" s="68">
        <v>-0.38300000000000001</v>
      </c>
      <c r="I38" s="60">
        <v>2072.780029</v>
      </c>
      <c r="J38" s="68">
        <v>9794.6396480000003</v>
      </c>
      <c r="K38" s="68">
        <v>16164.160156</v>
      </c>
      <c r="L38" s="69">
        <v>8223.59</v>
      </c>
      <c r="M38" s="68">
        <v>1213.5999999999999</v>
      </c>
      <c r="N38" s="68">
        <v>36.42</v>
      </c>
      <c r="O38" s="68">
        <v>2286.5100000000002</v>
      </c>
      <c r="P38" s="68">
        <v>416.64</v>
      </c>
      <c r="Q38" s="68">
        <v>11.663600000000001</v>
      </c>
    </row>
    <row r="39" spans="1:17" x14ac:dyDescent="0.2">
      <c r="A39" s="66">
        <v>42468</v>
      </c>
      <c r="B39" s="67">
        <v>1.1398999999999999</v>
      </c>
      <c r="C39" s="68">
        <v>108.07</v>
      </c>
      <c r="D39" s="67">
        <v>1.0866500000000001</v>
      </c>
      <c r="E39" s="68">
        <v>1.72</v>
      </c>
      <c r="F39" s="68">
        <v>9.0999999999999998E-2</v>
      </c>
      <c r="G39" s="68">
        <v>-7.4999999999999997E-2</v>
      </c>
      <c r="H39" s="68">
        <v>-0.36199999999999999</v>
      </c>
      <c r="I39" s="60">
        <v>2047.599976</v>
      </c>
      <c r="J39" s="68">
        <v>9622.2597659999992</v>
      </c>
      <c r="K39" s="68">
        <v>15821.519531</v>
      </c>
      <c r="L39" s="69">
        <v>8356.3799999999992</v>
      </c>
      <c r="M39" s="68">
        <v>1239.5</v>
      </c>
      <c r="N39" s="68">
        <v>40.71</v>
      </c>
      <c r="O39" s="68">
        <v>2340.0500000000002</v>
      </c>
      <c r="P39" s="68">
        <v>419.34</v>
      </c>
      <c r="Q39" s="68">
        <v>9.7195900000000002</v>
      </c>
    </row>
    <row r="40" spans="1:17" x14ac:dyDescent="0.2">
      <c r="A40" s="66">
        <v>42475</v>
      </c>
      <c r="B40" s="67">
        <v>1.1284000000000001</v>
      </c>
      <c r="C40" s="68">
        <v>108.76</v>
      </c>
      <c r="D40" s="67">
        <v>1.09236</v>
      </c>
      <c r="E40" s="68">
        <v>1.752</v>
      </c>
      <c r="F40" s="68">
        <v>0.13600000000000001</v>
      </c>
      <c r="G40" s="68">
        <v>-0.115</v>
      </c>
      <c r="H40" s="68">
        <v>-0.33400000000000002</v>
      </c>
      <c r="I40" s="60">
        <v>2080.7299800000001</v>
      </c>
      <c r="J40" s="68">
        <v>10051.570313</v>
      </c>
      <c r="K40" s="68">
        <v>16848.029297000001</v>
      </c>
      <c r="L40" s="69">
        <v>8595.82</v>
      </c>
      <c r="M40" s="68">
        <v>1227.0999999999999</v>
      </c>
      <c r="N40" s="68">
        <v>41.32</v>
      </c>
      <c r="O40" s="68">
        <v>2346.7800000000002</v>
      </c>
      <c r="P40" s="68">
        <v>429.79</v>
      </c>
      <c r="Q40" s="68">
        <v>8.2427799999999998</v>
      </c>
    </row>
    <row r="41" spans="1:17" x14ac:dyDescent="0.2">
      <c r="A41" s="66">
        <v>42482</v>
      </c>
      <c r="B41" s="67">
        <v>1.1222000000000001</v>
      </c>
      <c r="C41" s="68">
        <v>111.79</v>
      </c>
      <c r="D41" s="67">
        <v>1.0987499999999999</v>
      </c>
      <c r="E41" s="68">
        <v>1.8879999999999999</v>
      </c>
      <c r="F41" s="68">
        <v>0.22</v>
      </c>
      <c r="G41" s="68">
        <v>-0.11</v>
      </c>
      <c r="H41" s="68">
        <v>-0.23799999999999999</v>
      </c>
      <c r="I41" s="60">
        <v>2091.580078</v>
      </c>
      <c r="J41" s="68">
        <v>10373.490234000001</v>
      </c>
      <c r="K41" s="68">
        <v>17572.490234000001</v>
      </c>
      <c r="L41" s="69">
        <v>8682</v>
      </c>
      <c r="M41" s="68">
        <v>1243.25</v>
      </c>
      <c r="N41" s="68">
        <v>43.97</v>
      </c>
      <c r="O41" s="68">
        <v>2330.11</v>
      </c>
      <c r="P41" s="68">
        <v>448.56</v>
      </c>
      <c r="Q41" s="68">
        <v>7.8212599999999997</v>
      </c>
    </row>
    <row r="42" spans="1:17" x14ac:dyDescent="0.2">
      <c r="A42" s="66">
        <v>42489</v>
      </c>
      <c r="B42" s="67">
        <v>1.1451</v>
      </c>
      <c r="C42" s="68">
        <v>106.5</v>
      </c>
      <c r="D42" s="67">
        <v>1.09812</v>
      </c>
      <c r="E42" s="68">
        <v>1.819</v>
      </c>
      <c r="F42" s="68">
        <v>0.248</v>
      </c>
      <c r="G42" s="68">
        <v>-7.4999999999999997E-2</v>
      </c>
      <c r="H42" s="68">
        <v>-0.245</v>
      </c>
      <c r="I42" s="60">
        <v>2065.3000489999999</v>
      </c>
      <c r="J42" s="68">
        <v>10038.969727</v>
      </c>
      <c r="K42" s="68">
        <v>16666.050781000002</v>
      </c>
      <c r="L42" s="69">
        <v>8566.82</v>
      </c>
      <c r="M42" s="68">
        <v>1285.6500000000001</v>
      </c>
      <c r="N42" s="68">
        <v>45.64</v>
      </c>
      <c r="O42" s="68">
        <v>2350.3000000000002</v>
      </c>
      <c r="P42" s="68">
        <v>455.15</v>
      </c>
      <c r="Q42" s="68">
        <v>7.4572900000000004</v>
      </c>
    </row>
    <row r="43" spans="1:17" x14ac:dyDescent="0.2">
      <c r="A43" s="66">
        <v>42496</v>
      </c>
      <c r="B43" s="67">
        <v>1.1404000000000001</v>
      </c>
      <c r="C43" s="68">
        <v>107.12</v>
      </c>
      <c r="D43" s="67">
        <v>1.10897</v>
      </c>
      <c r="E43" s="68">
        <v>1.7789999999999999</v>
      </c>
      <c r="F43" s="68">
        <v>0.153</v>
      </c>
      <c r="G43" s="68">
        <v>-0.114</v>
      </c>
      <c r="H43" s="68">
        <v>-0.27100000000000002</v>
      </c>
      <c r="I43" s="60">
        <v>2057.139893</v>
      </c>
      <c r="J43" s="68">
        <v>9869.9501949999994</v>
      </c>
      <c r="K43" s="68">
        <v>16106.719727</v>
      </c>
      <c r="L43" s="69">
        <v>8368.9699999999993</v>
      </c>
      <c r="M43" s="68">
        <v>1289</v>
      </c>
      <c r="N43" s="68">
        <v>44.6</v>
      </c>
      <c r="O43" s="68">
        <v>2370.63</v>
      </c>
      <c r="P43" s="68">
        <v>462.1</v>
      </c>
      <c r="Q43" s="68">
        <v>9.3466400000000007</v>
      </c>
    </row>
    <row r="44" spans="1:17" x14ac:dyDescent="0.2">
      <c r="A44" s="66">
        <v>42503</v>
      </c>
      <c r="B44" s="67">
        <v>1.1309</v>
      </c>
      <c r="C44" s="68">
        <v>108.63</v>
      </c>
      <c r="D44" s="67">
        <v>1.10253</v>
      </c>
      <c r="E44" s="68">
        <v>1.7050000000000001</v>
      </c>
      <c r="F44" s="68">
        <v>0.129</v>
      </c>
      <c r="G44" s="68">
        <v>-0.109</v>
      </c>
      <c r="H44" s="68">
        <v>-0.308</v>
      </c>
      <c r="I44" s="60">
        <v>2046.6099850000001</v>
      </c>
      <c r="J44" s="68">
        <v>9952.9003909999992</v>
      </c>
      <c r="K44" s="68">
        <v>16412.210938</v>
      </c>
      <c r="L44" s="69">
        <v>8571.08</v>
      </c>
      <c r="M44" s="68">
        <v>1265.9000000000001</v>
      </c>
      <c r="N44" s="68">
        <v>47.05</v>
      </c>
      <c r="O44" s="68">
        <v>2353.04</v>
      </c>
      <c r="P44" s="68">
        <v>456.15</v>
      </c>
      <c r="Q44" s="68">
        <v>10.506600000000001</v>
      </c>
    </row>
    <row r="45" spans="1:17" x14ac:dyDescent="0.2">
      <c r="A45" s="66">
        <v>42510</v>
      </c>
      <c r="B45" s="67">
        <v>1.1224000000000001</v>
      </c>
      <c r="C45" s="68">
        <v>110.15</v>
      </c>
      <c r="D45" s="67">
        <v>1.1114200000000001</v>
      </c>
      <c r="E45" s="68">
        <v>1.849</v>
      </c>
      <c r="F45" s="68">
        <v>0.16600000000000001</v>
      </c>
      <c r="G45" s="68">
        <v>-0.113</v>
      </c>
      <c r="H45" s="68">
        <v>-0.29499999999999998</v>
      </c>
      <c r="I45" s="60">
        <v>2052.320068</v>
      </c>
      <c r="J45" s="68">
        <v>9916.0195309999999</v>
      </c>
      <c r="K45" s="68">
        <v>16736.349609000001</v>
      </c>
      <c r="L45" s="69">
        <v>8664.6</v>
      </c>
      <c r="M45" s="68">
        <v>1254.2</v>
      </c>
      <c r="N45" s="68">
        <v>48.54</v>
      </c>
      <c r="O45" s="68">
        <v>2351.52</v>
      </c>
      <c r="P45" s="68">
        <v>441.56</v>
      </c>
      <c r="Q45" s="68">
        <v>13.6356</v>
      </c>
    </row>
    <row r="46" spans="1:17" x14ac:dyDescent="0.2">
      <c r="A46" s="66">
        <v>42517</v>
      </c>
      <c r="B46" s="67">
        <v>1.1114999999999999</v>
      </c>
      <c r="C46" s="68">
        <v>110.31</v>
      </c>
      <c r="D46" s="67">
        <v>1.1053500000000001</v>
      </c>
      <c r="E46" s="68">
        <v>1.851</v>
      </c>
      <c r="F46" s="68">
        <v>0.126</v>
      </c>
      <c r="G46" s="68">
        <v>-0.113</v>
      </c>
      <c r="H46" s="68">
        <v>-0.30099999999999999</v>
      </c>
      <c r="I46" s="60">
        <v>2099.0600589999999</v>
      </c>
      <c r="J46" s="68">
        <v>10286.309569999999</v>
      </c>
      <c r="K46" s="68">
        <v>16834.839843999998</v>
      </c>
      <c r="L46" s="69">
        <v>8953.9500000000007</v>
      </c>
      <c r="M46" s="68">
        <v>1216.25</v>
      </c>
      <c r="N46" s="68">
        <v>49.09</v>
      </c>
      <c r="O46" s="68">
        <v>2380.16</v>
      </c>
      <c r="P46" s="68">
        <v>470.89</v>
      </c>
      <c r="Q46" s="68">
        <v>11.2958</v>
      </c>
    </row>
    <row r="47" spans="1:17" x14ac:dyDescent="0.2">
      <c r="A47" s="66">
        <v>42524</v>
      </c>
      <c r="B47" s="67">
        <v>1.1367</v>
      </c>
      <c r="C47" s="68">
        <v>106.53</v>
      </c>
      <c r="D47" s="67">
        <v>1.1092500000000001</v>
      </c>
      <c r="E47" s="68">
        <v>1.704</v>
      </c>
      <c r="F47" s="68">
        <v>0.10199999999999999</v>
      </c>
      <c r="G47" s="68">
        <v>-9.5000000000000001E-2</v>
      </c>
      <c r="H47" s="68">
        <v>-0.38500000000000001</v>
      </c>
      <c r="I47" s="60">
        <v>2099.1298830000001</v>
      </c>
      <c r="J47" s="68">
        <v>10103.259765999999</v>
      </c>
      <c r="K47" s="68">
        <v>16642.230468999998</v>
      </c>
      <c r="L47" s="69">
        <v>8818.74</v>
      </c>
      <c r="M47" s="68">
        <v>1240.5</v>
      </c>
      <c r="N47" s="68">
        <v>48.5</v>
      </c>
      <c r="O47" s="68">
        <v>2375.85</v>
      </c>
      <c r="P47" s="68">
        <v>576.54999999999995</v>
      </c>
      <c r="Q47" s="68">
        <v>13.8467</v>
      </c>
    </row>
    <row r="48" spans="1:17" x14ac:dyDescent="0.2">
      <c r="A48" s="66">
        <v>42531</v>
      </c>
      <c r="B48" s="67">
        <v>1.1251</v>
      </c>
      <c r="C48" s="68">
        <v>106.97</v>
      </c>
      <c r="D48" s="67">
        <v>1.08599</v>
      </c>
      <c r="E48" s="68">
        <v>1.639</v>
      </c>
      <c r="F48" s="68">
        <v>1.6E-2</v>
      </c>
      <c r="G48" s="68">
        <v>-0.14000000000000001</v>
      </c>
      <c r="H48" s="68">
        <v>-0.44600000000000001</v>
      </c>
      <c r="I48" s="60">
        <v>2096.070068</v>
      </c>
      <c r="J48" s="68">
        <v>9834.6201170000004</v>
      </c>
      <c r="K48" s="68">
        <v>16601.359375</v>
      </c>
      <c r="L48" s="69">
        <v>8586.33</v>
      </c>
      <c r="M48" s="68">
        <v>1275.5</v>
      </c>
      <c r="N48" s="68">
        <v>49.7</v>
      </c>
      <c r="O48" s="68">
        <v>2365.6799999999998</v>
      </c>
      <c r="P48" s="68">
        <v>578.98</v>
      </c>
      <c r="Q48" s="68">
        <v>13.9086</v>
      </c>
    </row>
    <row r="49" spans="1:17" x14ac:dyDescent="0.2">
      <c r="A49" s="66">
        <v>42538</v>
      </c>
      <c r="B49" s="67">
        <v>1.1276999999999999</v>
      </c>
      <c r="C49" s="68">
        <v>104.16</v>
      </c>
      <c r="D49" s="67">
        <v>1.08236</v>
      </c>
      <c r="E49" s="68">
        <v>1.6180000000000001</v>
      </c>
      <c r="F49" s="68">
        <v>-3.3000000000000002E-2</v>
      </c>
      <c r="G49" s="68">
        <v>-0.15</v>
      </c>
      <c r="H49" s="68">
        <v>-0.5</v>
      </c>
      <c r="I49" s="60">
        <v>2071.219971</v>
      </c>
      <c r="J49" s="68">
        <v>9631.3603519999997</v>
      </c>
      <c r="K49" s="68">
        <v>15599.660156</v>
      </c>
      <c r="L49" s="69">
        <v>8359.9599999999991</v>
      </c>
      <c r="M49" s="68">
        <v>1290.7</v>
      </c>
      <c r="N49" s="68">
        <v>46.57</v>
      </c>
      <c r="O49" s="68">
        <v>2338.62</v>
      </c>
      <c r="P49" s="68">
        <v>754.37</v>
      </c>
      <c r="Q49" s="68">
        <v>15.376799999999999</v>
      </c>
    </row>
    <row r="50" spans="1:17" x14ac:dyDescent="0.2">
      <c r="A50" s="66">
        <v>42545</v>
      </c>
      <c r="B50" s="67">
        <v>1.1116999999999999</v>
      </c>
      <c r="C50" s="68">
        <v>102.22</v>
      </c>
      <c r="D50" s="67">
        <v>1.08155</v>
      </c>
      <c r="E50" s="68">
        <v>1.579</v>
      </c>
      <c r="F50" s="68">
        <v>-0.111</v>
      </c>
      <c r="G50" s="68">
        <v>-0.17</v>
      </c>
      <c r="H50" s="68">
        <v>-0.5</v>
      </c>
      <c r="I50" s="60">
        <v>2037.410034</v>
      </c>
      <c r="J50" s="68">
        <v>9557.1601559999999</v>
      </c>
      <c r="K50" s="68">
        <v>14952.019531</v>
      </c>
      <c r="L50" s="69">
        <v>8395.77</v>
      </c>
      <c r="M50" s="68">
        <v>1315.5</v>
      </c>
      <c r="N50" s="68">
        <v>46.69</v>
      </c>
      <c r="O50" s="68">
        <v>2387.06</v>
      </c>
      <c r="P50" s="68">
        <v>657.05</v>
      </c>
      <c r="Q50" s="68">
        <v>14.332100000000001</v>
      </c>
    </row>
    <row r="51" spans="1:17" x14ac:dyDescent="0.2">
      <c r="A51" s="66">
        <v>42552</v>
      </c>
      <c r="B51" s="67">
        <v>1.1135999999999999</v>
      </c>
      <c r="C51" s="68">
        <v>102.52</v>
      </c>
      <c r="D51" s="67">
        <v>1.08399</v>
      </c>
      <c r="E51" s="68">
        <v>1.456</v>
      </c>
      <c r="F51" s="68">
        <v>-0.16700000000000001</v>
      </c>
      <c r="G51" s="68">
        <v>-0.253</v>
      </c>
      <c r="H51" s="68">
        <v>-0.56499999999999995</v>
      </c>
      <c r="I51" s="60">
        <v>2102.9499510000001</v>
      </c>
      <c r="J51" s="68">
        <v>9776.1201170000004</v>
      </c>
      <c r="K51" s="68">
        <v>15682.480469</v>
      </c>
      <c r="L51" s="69">
        <v>8736.59</v>
      </c>
      <c r="M51" s="68">
        <v>1340</v>
      </c>
      <c r="N51" s="68">
        <v>47.65</v>
      </c>
      <c r="O51" s="68">
        <v>2449.0300000000002</v>
      </c>
      <c r="P51" s="68">
        <v>677.36</v>
      </c>
      <c r="Q51" s="68">
        <v>12.1995</v>
      </c>
    </row>
    <row r="52" spans="1:17" x14ac:dyDescent="0.2">
      <c r="A52" s="66">
        <v>42559</v>
      </c>
      <c r="B52" s="67">
        <v>1.1051</v>
      </c>
      <c r="C52" s="68">
        <v>100.54</v>
      </c>
      <c r="D52" s="67">
        <v>1.08646</v>
      </c>
      <c r="E52" s="68">
        <v>1.3660000000000001</v>
      </c>
      <c r="F52" s="68">
        <v>-0.20300000000000001</v>
      </c>
      <c r="G52" s="68">
        <v>-0.28199999999999997</v>
      </c>
      <c r="H52" s="68">
        <v>-0.57599999999999996</v>
      </c>
      <c r="I52" s="60">
        <v>2129.8999020000001</v>
      </c>
      <c r="J52" s="68">
        <v>9629.6601559999999</v>
      </c>
      <c r="K52" s="68">
        <v>15106.980469</v>
      </c>
      <c r="L52" s="69">
        <v>8674.36</v>
      </c>
      <c r="M52" s="68">
        <v>1354.25</v>
      </c>
      <c r="N52" s="68">
        <v>44.53</v>
      </c>
      <c r="O52" s="68">
        <v>2415.73</v>
      </c>
      <c r="P52" s="68">
        <v>660.7</v>
      </c>
      <c r="Q52" s="68">
        <v>11.394600000000001</v>
      </c>
    </row>
    <row r="53" spans="1:17" x14ac:dyDescent="0.2">
      <c r="A53" s="66">
        <v>42566</v>
      </c>
      <c r="B53" s="67">
        <v>1.1034999999999999</v>
      </c>
      <c r="C53" s="68">
        <v>104.88</v>
      </c>
      <c r="D53" s="67">
        <v>1.0855399999999999</v>
      </c>
      <c r="E53" s="68">
        <v>1.5940000000000001</v>
      </c>
      <c r="F53" s="68">
        <v>-0.114</v>
      </c>
      <c r="G53" s="68">
        <v>-0.22500000000000001</v>
      </c>
      <c r="H53" s="68">
        <v>-0.55500000000000005</v>
      </c>
      <c r="I53" s="60">
        <v>2161.73999</v>
      </c>
      <c r="J53" s="68">
        <v>10066.900390999999</v>
      </c>
      <c r="K53" s="68">
        <v>16497.849609000001</v>
      </c>
      <c r="L53" s="69">
        <v>8823.0300000000007</v>
      </c>
      <c r="M53" s="68">
        <v>1327</v>
      </c>
      <c r="N53" s="68">
        <v>46.25</v>
      </c>
      <c r="O53" s="68">
        <v>2459.67</v>
      </c>
      <c r="P53" s="68">
        <v>669.01</v>
      </c>
      <c r="Q53" s="68">
        <v>11.951599999999999</v>
      </c>
    </row>
    <row r="54" spans="1:17" x14ac:dyDescent="0.2">
      <c r="A54" s="66">
        <v>42573</v>
      </c>
      <c r="B54" s="67">
        <v>1.0976999999999999</v>
      </c>
      <c r="C54" s="68">
        <v>106.13</v>
      </c>
      <c r="D54" s="67">
        <v>1.08403</v>
      </c>
      <c r="E54" s="68">
        <v>1.57</v>
      </c>
      <c r="F54" s="68">
        <v>-8.2000000000000003E-2</v>
      </c>
      <c r="G54" s="68">
        <v>-0.22</v>
      </c>
      <c r="H54" s="68">
        <v>-0.51100000000000001</v>
      </c>
      <c r="I54" s="60">
        <v>2175.030029</v>
      </c>
      <c r="J54" s="68">
        <v>10147.459961</v>
      </c>
      <c r="K54" s="68">
        <v>16627.25</v>
      </c>
      <c r="L54" s="69">
        <v>8877.17</v>
      </c>
      <c r="M54" s="68">
        <v>1320.75</v>
      </c>
      <c r="N54" s="68">
        <v>44.24</v>
      </c>
      <c r="O54" s="68">
        <v>2501.69</v>
      </c>
      <c r="P54" s="68">
        <v>657.65</v>
      </c>
      <c r="Q54" s="68">
        <v>14.661899999999999</v>
      </c>
    </row>
    <row r="55" spans="1:17" x14ac:dyDescent="0.2">
      <c r="A55" s="66">
        <v>42580</v>
      </c>
      <c r="B55" s="67">
        <v>1.1173999999999999</v>
      </c>
      <c r="C55" s="68">
        <v>102.06</v>
      </c>
      <c r="D55" s="67">
        <v>1.0832299999999999</v>
      </c>
      <c r="E55" s="68">
        <v>1.458</v>
      </c>
      <c r="F55" s="68">
        <v>-0.151</v>
      </c>
      <c r="G55" s="68">
        <v>-0.19</v>
      </c>
      <c r="H55" s="68">
        <v>-0.54300000000000004</v>
      </c>
      <c r="I55" s="60">
        <v>2173.6000979999999</v>
      </c>
      <c r="J55" s="68">
        <v>10337.5</v>
      </c>
      <c r="K55" s="68">
        <v>16569.269531000002</v>
      </c>
      <c r="L55" s="69">
        <v>8828.2000000000007</v>
      </c>
      <c r="M55" s="68">
        <v>1342</v>
      </c>
      <c r="N55" s="68">
        <v>40.76</v>
      </c>
      <c r="O55" s="68">
        <v>2491.7199999999998</v>
      </c>
      <c r="P55" s="68">
        <v>657.67</v>
      </c>
      <c r="Q55" s="68">
        <v>12.794600000000001</v>
      </c>
    </row>
    <row r="56" spans="1:17" x14ac:dyDescent="0.2">
      <c r="A56" s="66">
        <v>42587</v>
      </c>
      <c r="B56" s="67">
        <v>1.1086</v>
      </c>
      <c r="C56" s="68">
        <v>101.82</v>
      </c>
      <c r="D56" s="67">
        <v>1.08728</v>
      </c>
      <c r="E56" s="68">
        <v>1.5820000000000001</v>
      </c>
      <c r="F56" s="68">
        <v>-0.159</v>
      </c>
      <c r="G56" s="68">
        <v>-9.2999999999999999E-2</v>
      </c>
      <c r="H56" s="68">
        <v>-0.52800000000000002</v>
      </c>
      <c r="I56" s="60">
        <v>2182.8701169999999</v>
      </c>
      <c r="J56" s="68">
        <v>10367.209961</v>
      </c>
      <c r="K56" s="68">
        <v>16254.450194999999</v>
      </c>
      <c r="L56" s="69">
        <v>8898.06</v>
      </c>
      <c r="M56" s="68">
        <v>1340.4</v>
      </c>
      <c r="N56" s="68">
        <v>42.47</v>
      </c>
      <c r="O56" s="68">
        <v>2496.6999999999998</v>
      </c>
      <c r="P56" s="68">
        <v>577.23</v>
      </c>
      <c r="Q56" s="68">
        <v>10.9254</v>
      </c>
    </row>
    <row r="57" spans="1:17" x14ac:dyDescent="0.2">
      <c r="A57" s="66">
        <v>42594</v>
      </c>
      <c r="B57" s="67">
        <v>1.1162000000000001</v>
      </c>
      <c r="C57" s="68">
        <v>101.3</v>
      </c>
      <c r="D57" s="67">
        <v>1.0887899999999999</v>
      </c>
      <c r="E57" s="68">
        <v>1.5149999999999999</v>
      </c>
      <c r="F57" s="68">
        <v>-0.16800000000000001</v>
      </c>
      <c r="G57" s="68">
        <v>-0.10199999999999999</v>
      </c>
      <c r="H57" s="68">
        <v>-0.51800000000000002</v>
      </c>
      <c r="I57" s="60">
        <v>2184.0500489999999</v>
      </c>
      <c r="J57" s="68">
        <v>10713.429688</v>
      </c>
      <c r="K57" s="68">
        <v>16919.919922000001</v>
      </c>
      <c r="L57" s="69">
        <v>9021.82</v>
      </c>
      <c r="M57" s="68">
        <v>1352.2</v>
      </c>
      <c r="N57" s="68">
        <v>45.12</v>
      </c>
      <c r="O57" s="68">
        <v>2532.41</v>
      </c>
      <c r="P57" s="68">
        <v>586.46</v>
      </c>
      <c r="Q57" s="68">
        <v>11.778499999999999</v>
      </c>
    </row>
    <row r="58" spans="1:17" x14ac:dyDescent="0.2">
      <c r="A58" s="66">
        <v>42601</v>
      </c>
      <c r="B58" s="67">
        <v>1.1325000000000001</v>
      </c>
      <c r="C58" s="68">
        <v>100.22</v>
      </c>
      <c r="D58" s="67">
        <v>1.0866100000000001</v>
      </c>
      <c r="E58" s="68">
        <v>1.5780000000000001</v>
      </c>
      <c r="F58" s="68">
        <v>-0.16200000000000001</v>
      </c>
      <c r="G58" s="68">
        <v>-7.8E-2</v>
      </c>
      <c r="H58" s="68">
        <v>-0.503</v>
      </c>
      <c r="I58" s="60">
        <v>2183.8701169999999</v>
      </c>
      <c r="J58" s="68">
        <v>10544.360352</v>
      </c>
      <c r="K58" s="68">
        <v>16545.820313</v>
      </c>
      <c r="L58" s="69">
        <v>8846.36</v>
      </c>
      <c r="M58" s="68">
        <v>1346.4</v>
      </c>
      <c r="N58" s="68">
        <v>49.39</v>
      </c>
      <c r="O58" s="68">
        <v>2487.11</v>
      </c>
      <c r="P58" s="68">
        <v>575.4</v>
      </c>
      <c r="Q58" s="68">
        <v>10.748699999999999</v>
      </c>
    </row>
    <row r="59" spans="1:17" x14ac:dyDescent="0.2">
      <c r="A59" s="66">
        <v>42608</v>
      </c>
      <c r="B59" s="67">
        <v>1.1197999999999999</v>
      </c>
      <c r="C59" s="68">
        <v>101.84</v>
      </c>
      <c r="D59" s="67">
        <v>1.0952200000000001</v>
      </c>
      <c r="E59" s="68">
        <v>1.635</v>
      </c>
      <c r="F59" s="68">
        <v>-0.14399999999999999</v>
      </c>
      <c r="G59" s="68">
        <v>-7.0000000000000007E-2</v>
      </c>
      <c r="H59" s="68">
        <v>-0.501</v>
      </c>
      <c r="I59" s="60">
        <v>2169.040039</v>
      </c>
      <c r="J59" s="68">
        <v>10587.769531</v>
      </c>
      <c r="K59" s="68">
        <v>16360.709961</v>
      </c>
      <c r="L59" s="69">
        <v>8888.07</v>
      </c>
      <c r="M59" s="68">
        <v>1318.75</v>
      </c>
      <c r="N59" s="68">
        <v>49.66</v>
      </c>
      <c r="O59" s="68">
        <v>2465.7399999999998</v>
      </c>
      <c r="P59" s="68">
        <v>577.83000000000004</v>
      </c>
      <c r="Q59" s="68">
        <v>11.295400000000001</v>
      </c>
    </row>
    <row r="60" spans="1:17" x14ac:dyDescent="0.2">
      <c r="A60" s="66">
        <v>42615</v>
      </c>
      <c r="B60" s="67">
        <v>1.1155999999999999</v>
      </c>
      <c r="C60" s="68">
        <v>103.92</v>
      </c>
      <c r="D60" s="67">
        <v>1.09345</v>
      </c>
      <c r="E60" s="68">
        <v>1.5960000000000001</v>
      </c>
      <c r="F60" s="68">
        <v>-0.121</v>
      </c>
      <c r="G60" s="68">
        <v>-3.3000000000000002E-2</v>
      </c>
      <c r="H60" s="68">
        <v>-0.44600000000000001</v>
      </c>
      <c r="I60" s="60">
        <v>2179.9799800000001</v>
      </c>
      <c r="J60" s="68">
        <v>10683.820313</v>
      </c>
      <c r="K60" s="68">
        <v>16925.679688</v>
      </c>
      <c r="L60" s="69">
        <v>9013.26</v>
      </c>
      <c r="M60" s="68">
        <v>1324.7</v>
      </c>
      <c r="N60" s="68">
        <v>45.96</v>
      </c>
      <c r="O60" s="68">
        <v>2488.7199999999998</v>
      </c>
      <c r="P60" s="68">
        <v>574.23</v>
      </c>
      <c r="Q60" s="68">
        <v>12.113</v>
      </c>
    </row>
    <row r="61" spans="1:17" x14ac:dyDescent="0.2">
      <c r="A61" s="66">
        <v>42622</v>
      </c>
      <c r="B61" s="67">
        <v>1.1233</v>
      </c>
      <c r="C61" s="68">
        <v>102.69</v>
      </c>
      <c r="D61" s="67">
        <v>1.0954600000000001</v>
      </c>
      <c r="E61" s="68">
        <v>1.6719999999999999</v>
      </c>
      <c r="F61" s="68">
        <v>-9.1999999999999998E-2</v>
      </c>
      <c r="G61" s="68">
        <v>-1.4999999999999999E-2</v>
      </c>
      <c r="H61" s="68">
        <v>-0.441</v>
      </c>
      <c r="I61" s="60">
        <v>2127.8100589999999</v>
      </c>
      <c r="J61" s="68">
        <v>10573.440430000001</v>
      </c>
      <c r="K61" s="68">
        <v>16965.759765999999</v>
      </c>
      <c r="L61" s="69">
        <v>8978.18</v>
      </c>
      <c r="M61" s="68">
        <v>1330.85</v>
      </c>
      <c r="N61" s="68">
        <v>48.37</v>
      </c>
      <c r="O61" s="68">
        <v>2458.6799999999998</v>
      </c>
      <c r="P61" s="68">
        <v>620.83000000000004</v>
      </c>
      <c r="Q61" s="68">
        <v>11.652799999999999</v>
      </c>
    </row>
    <row r="62" spans="1:17" x14ac:dyDescent="0.2">
      <c r="A62" s="66">
        <v>42629</v>
      </c>
      <c r="B62" s="67">
        <v>1.1154999999999999</v>
      </c>
      <c r="C62" s="68">
        <v>102.29</v>
      </c>
      <c r="D62" s="67">
        <v>1.09368</v>
      </c>
      <c r="E62" s="68">
        <v>1.7010000000000001</v>
      </c>
      <c r="F62" s="68">
        <v>-0.06</v>
      </c>
      <c r="G62" s="68">
        <v>-3.9E-2</v>
      </c>
      <c r="H62" s="68">
        <v>-0.35399999999999998</v>
      </c>
      <c r="I62" s="60">
        <v>2139.1599120000001</v>
      </c>
      <c r="J62" s="68">
        <v>10276.169921999999</v>
      </c>
      <c r="K62" s="68">
        <v>16519.289063</v>
      </c>
      <c r="L62" s="69">
        <v>8850.9699999999993</v>
      </c>
      <c r="M62" s="68">
        <v>1308.3499999999999</v>
      </c>
      <c r="N62" s="68">
        <v>45.26</v>
      </c>
      <c r="O62" s="68">
        <v>2436.66</v>
      </c>
      <c r="P62" s="68">
        <v>606.86</v>
      </c>
      <c r="Q62" s="68">
        <v>12.5558</v>
      </c>
    </row>
    <row r="63" spans="1:17" x14ac:dyDescent="0.2">
      <c r="A63" s="66">
        <v>42636</v>
      </c>
      <c r="B63" s="67">
        <v>1.1226</v>
      </c>
      <c r="C63" s="68">
        <v>101.02</v>
      </c>
      <c r="D63" s="67">
        <v>1.0890599999999999</v>
      </c>
      <c r="E63" s="68">
        <v>1.615</v>
      </c>
      <c r="F63" s="68">
        <v>-0.14399999999999999</v>
      </c>
      <c r="G63" s="68">
        <v>-4.4999999999999998E-2</v>
      </c>
      <c r="H63" s="68">
        <v>-0.42799999999999999</v>
      </c>
      <c r="I63" s="60">
        <v>2164.6899410000001</v>
      </c>
      <c r="J63" s="68">
        <v>10626.969727</v>
      </c>
      <c r="K63" s="68">
        <v>16754.019531000002</v>
      </c>
      <c r="L63" s="69">
        <v>9009.2099999999991</v>
      </c>
      <c r="M63" s="68">
        <v>1338.65</v>
      </c>
      <c r="N63" s="68">
        <v>46.71</v>
      </c>
      <c r="O63" s="68">
        <v>2435.7199999999998</v>
      </c>
      <c r="P63" s="68">
        <v>602</v>
      </c>
      <c r="Q63" s="68">
        <v>13.331300000000001</v>
      </c>
    </row>
    <row r="64" spans="1:17" x14ac:dyDescent="0.2">
      <c r="A64" s="66">
        <v>42643</v>
      </c>
      <c r="B64" s="67">
        <v>1.1234999999999999</v>
      </c>
      <c r="C64" s="68">
        <v>101.35</v>
      </c>
      <c r="D64" s="67">
        <v>1.0914999999999999</v>
      </c>
      <c r="E64" s="68">
        <v>1.6080000000000001</v>
      </c>
      <c r="F64" s="68">
        <v>-0.20799999999999999</v>
      </c>
      <c r="G64" s="68">
        <v>-8.8999999999999996E-2</v>
      </c>
      <c r="H64" s="68">
        <v>-0.52200000000000002</v>
      </c>
      <c r="I64" s="60">
        <v>2168.2700199999999</v>
      </c>
      <c r="J64" s="68">
        <v>10511.019531</v>
      </c>
      <c r="K64" s="68">
        <v>16449.839843999998</v>
      </c>
      <c r="L64" s="69">
        <v>8883.25</v>
      </c>
      <c r="M64" s="68">
        <v>1322.5</v>
      </c>
      <c r="N64" s="68">
        <v>48.24</v>
      </c>
      <c r="O64" s="68">
        <v>2434.23</v>
      </c>
      <c r="P64" s="68">
        <v>605.99</v>
      </c>
      <c r="Q64" s="68">
        <v>13.2248</v>
      </c>
    </row>
    <row r="65" spans="1:17" x14ac:dyDescent="0.2">
      <c r="A65" s="66">
        <v>42650</v>
      </c>
      <c r="B65" s="67">
        <v>1.1201000000000001</v>
      </c>
      <c r="C65" s="68">
        <v>102.98</v>
      </c>
      <c r="D65" s="67">
        <v>1.09423</v>
      </c>
      <c r="E65" s="68">
        <v>1.736</v>
      </c>
      <c r="F65" s="68">
        <v>-0.03</v>
      </c>
      <c r="G65" s="68">
        <v>-5.8999999999999997E-2</v>
      </c>
      <c r="H65" s="68">
        <v>-0.45600000000000002</v>
      </c>
      <c r="I65" s="60">
        <v>2153.73999</v>
      </c>
      <c r="J65" s="68">
        <v>10490.860352</v>
      </c>
      <c r="K65" s="68">
        <v>16860.089843999998</v>
      </c>
      <c r="L65" s="69">
        <v>8867.0499999999993</v>
      </c>
      <c r="M65" s="68">
        <v>1258.75</v>
      </c>
      <c r="N65" s="68">
        <v>50.49</v>
      </c>
      <c r="O65" s="68">
        <v>2354.61</v>
      </c>
      <c r="P65" s="68">
        <v>617.94000000000005</v>
      </c>
      <c r="Q65" s="68">
        <v>12.6671</v>
      </c>
    </row>
    <row r="66" spans="1:17" x14ac:dyDescent="0.2">
      <c r="A66" s="66">
        <v>42657</v>
      </c>
      <c r="B66" s="67">
        <v>1.0972</v>
      </c>
      <c r="C66" s="68">
        <v>104.18</v>
      </c>
      <c r="D66" s="67">
        <v>1.08673</v>
      </c>
      <c r="E66" s="68">
        <v>1.794</v>
      </c>
      <c r="F66" s="68">
        <v>7.0000000000000001E-3</v>
      </c>
      <c r="G66" s="68">
        <v>-5.3999999999999999E-2</v>
      </c>
      <c r="H66" s="68">
        <v>-0.435</v>
      </c>
      <c r="I66" s="60">
        <v>2132.9799800000001</v>
      </c>
      <c r="J66" s="68">
        <v>10580.379883</v>
      </c>
      <c r="K66" s="68">
        <v>16856.369140999999</v>
      </c>
      <c r="L66" s="69">
        <v>8836.42</v>
      </c>
      <c r="M66" s="68">
        <v>1251.75</v>
      </c>
      <c r="N66" s="68">
        <v>48.87</v>
      </c>
      <c r="O66" s="68">
        <v>2356.34</v>
      </c>
      <c r="P66" s="68">
        <v>638.58000000000004</v>
      </c>
      <c r="Q66" s="68">
        <v>11.9382</v>
      </c>
    </row>
    <row r="67" spans="1:17" x14ac:dyDescent="0.2">
      <c r="A67" s="66">
        <v>42664</v>
      </c>
      <c r="B67" s="67">
        <v>1.0884</v>
      </c>
      <c r="C67" s="68">
        <v>103.8</v>
      </c>
      <c r="D67" s="67">
        <v>1.0816399999999999</v>
      </c>
      <c r="E67" s="68">
        <v>1.74</v>
      </c>
      <c r="F67" s="68">
        <v>-4.4999999999999998E-2</v>
      </c>
      <c r="G67" s="68">
        <v>-5.1999999999999998E-2</v>
      </c>
      <c r="H67" s="68">
        <v>-0.45500000000000002</v>
      </c>
      <c r="I67" s="60">
        <v>2141.1599120000001</v>
      </c>
      <c r="J67" s="68">
        <v>10710.730469</v>
      </c>
      <c r="K67" s="68">
        <v>17184.589843999998</v>
      </c>
      <c r="L67" s="69">
        <v>8781.74</v>
      </c>
      <c r="M67" s="68">
        <v>1266.05</v>
      </c>
      <c r="N67" s="68">
        <v>50.28</v>
      </c>
      <c r="O67" s="68">
        <v>2364.64</v>
      </c>
      <c r="P67" s="68">
        <v>630.53</v>
      </c>
      <c r="Q67" s="68">
        <v>12.1754</v>
      </c>
    </row>
    <row r="68" spans="1:17" x14ac:dyDescent="0.2">
      <c r="A68" s="66">
        <v>42671</v>
      </c>
      <c r="B68" s="67">
        <v>1.0985</v>
      </c>
      <c r="C68" s="68">
        <v>104.74</v>
      </c>
      <c r="D68" s="67">
        <v>1.08456</v>
      </c>
      <c r="E68" s="68">
        <v>1.845</v>
      </c>
      <c r="F68" s="68">
        <v>0.13700000000000001</v>
      </c>
      <c r="G68" s="68">
        <v>-4.2000000000000003E-2</v>
      </c>
      <c r="H68" s="68">
        <v>-0.33900000000000002</v>
      </c>
      <c r="I68" s="60">
        <v>2126.4099120000001</v>
      </c>
      <c r="J68" s="68">
        <v>10696.190430000001</v>
      </c>
      <c r="K68" s="68">
        <v>17446.410156000002</v>
      </c>
      <c r="L68" s="69">
        <v>8649.34</v>
      </c>
      <c r="M68" s="68">
        <v>1273</v>
      </c>
      <c r="N68" s="68">
        <v>47.78</v>
      </c>
      <c r="O68" s="68">
        <v>2335.79</v>
      </c>
      <c r="P68" s="68">
        <v>688.36</v>
      </c>
      <c r="Q68" s="68">
        <v>11.085100000000001</v>
      </c>
    </row>
    <row r="69" spans="1:17" x14ac:dyDescent="0.2">
      <c r="A69" s="66">
        <v>42678</v>
      </c>
      <c r="B69" s="67">
        <v>1.1141000000000001</v>
      </c>
      <c r="C69" s="68">
        <v>103.12</v>
      </c>
      <c r="D69" s="67">
        <v>1.0786899999999999</v>
      </c>
      <c r="E69" s="68">
        <v>1.7829999999999999</v>
      </c>
      <c r="F69" s="68">
        <v>0.112</v>
      </c>
      <c r="G69" s="68">
        <v>-6.2E-2</v>
      </c>
      <c r="H69" s="68">
        <v>-0.29799999999999999</v>
      </c>
      <c r="I69" s="60">
        <v>2085.179932</v>
      </c>
      <c r="J69" s="68">
        <v>10259.129883</v>
      </c>
      <c r="K69" s="68">
        <v>16905.359375</v>
      </c>
      <c r="L69" s="69">
        <v>8332.7099999999991</v>
      </c>
      <c r="M69" s="68">
        <v>1302.8</v>
      </c>
      <c r="N69" s="68">
        <v>43.06</v>
      </c>
      <c r="O69" s="68">
        <v>2304.16</v>
      </c>
      <c r="P69" s="68">
        <v>698.86</v>
      </c>
      <c r="Q69" s="68">
        <v>11.0907</v>
      </c>
    </row>
    <row r="70" spans="1:17" x14ac:dyDescent="0.2">
      <c r="A70" s="66">
        <v>42685</v>
      </c>
      <c r="B70" s="67">
        <v>1.0854999999999999</v>
      </c>
      <c r="C70" s="68">
        <v>106.65</v>
      </c>
      <c r="D70" s="67">
        <v>1.0722499999999999</v>
      </c>
      <c r="E70" s="68">
        <v>2.117</v>
      </c>
      <c r="F70" s="68">
        <v>0.29499999999999998</v>
      </c>
      <c r="G70" s="68">
        <v>-2.1999999999999999E-2</v>
      </c>
      <c r="H70" s="68">
        <v>-0.14699999999999999</v>
      </c>
      <c r="I70" s="60">
        <v>2164.4499510000001</v>
      </c>
      <c r="J70" s="68">
        <v>10667.950194999999</v>
      </c>
      <c r="K70" s="68">
        <v>17374.789063</v>
      </c>
      <c r="L70" s="69">
        <v>8601.43</v>
      </c>
      <c r="M70" s="68">
        <v>1236.45</v>
      </c>
      <c r="N70" s="68">
        <v>41.61</v>
      </c>
      <c r="O70" s="68">
        <v>2306.69</v>
      </c>
      <c r="P70" s="68">
        <v>714.94</v>
      </c>
      <c r="Q70" s="68">
        <v>10.289899999999999</v>
      </c>
    </row>
    <row r="71" spans="1:17" x14ac:dyDescent="0.2">
      <c r="A71" s="66">
        <v>42692</v>
      </c>
      <c r="B71" s="67">
        <v>1.0588</v>
      </c>
      <c r="C71" s="68">
        <v>110.91</v>
      </c>
      <c r="D71" s="67">
        <v>1.0703400000000001</v>
      </c>
      <c r="E71" s="68">
        <v>2.335</v>
      </c>
      <c r="F71" s="68">
        <v>0.29599999999999999</v>
      </c>
      <c r="G71" s="68">
        <v>0.04</v>
      </c>
      <c r="H71" s="68">
        <v>-5.1999999999999998E-2</v>
      </c>
      <c r="I71" s="60">
        <v>2181.8999020000001</v>
      </c>
      <c r="J71" s="68">
        <v>10664.559569999999</v>
      </c>
      <c r="K71" s="68">
        <v>17967.410156000002</v>
      </c>
      <c r="L71" s="69">
        <v>8648.15</v>
      </c>
      <c r="M71" s="68">
        <v>1211</v>
      </c>
      <c r="N71" s="68">
        <v>44.41</v>
      </c>
      <c r="O71" s="68">
        <v>2353.27</v>
      </c>
      <c r="P71" s="68">
        <v>743.26</v>
      </c>
      <c r="Q71" s="68">
        <v>9.4761600000000001</v>
      </c>
    </row>
    <row r="72" spans="1:17" x14ac:dyDescent="0.2">
      <c r="A72" s="66">
        <v>42699</v>
      </c>
      <c r="B72" s="67">
        <v>1.0589</v>
      </c>
      <c r="C72" s="68">
        <v>113.22</v>
      </c>
      <c r="D72" s="67">
        <v>1.07416</v>
      </c>
      <c r="E72" s="68">
        <v>2.3719999999999999</v>
      </c>
      <c r="F72" s="68">
        <v>0.24199999999999999</v>
      </c>
      <c r="G72" s="68">
        <v>4.2000000000000003E-2</v>
      </c>
      <c r="H72" s="68">
        <v>-0.13400000000000001</v>
      </c>
      <c r="I72" s="60">
        <v>2213.3500979999999</v>
      </c>
      <c r="J72" s="68">
        <v>10699.269531</v>
      </c>
      <c r="K72" s="68">
        <v>18381.220702999999</v>
      </c>
      <c r="L72" s="69">
        <v>8628.02</v>
      </c>
      <c r="M72" s="68">
        <v>1187.7</v>
      </c>
      <c r="N72" s="68">
        <v>46.32</v>
      </c>
      <c r="O72" s="68">
        <v>2361.5300000000002</v>
      </c>
      <c r="P72" s="68">
        <v>737.69</v>
      </c>
      <c r="Q72" s="68">
        <v>9.4020499999999991</v>
      </c>
    </row>
    <row r="73" spans="1:17" x14ac:dyDescent="0.2">
      <c r="A73" s="66">
        <v>42706</v>
      </c>
      <c r="B73" s="67">
        <v>1.0664</v>
      </c>
      <c r="C73" s="68">
        <v>113.51</v>
      </c>
      <c r="D73" s="67">
        <v>1.0781700000000001</v>
      </c>
      <c r="E73" s="68">
        <v>2.39</v>
      </c>
      <c r="F73" s="68">
        <v>0.34300000000000003</v>
      </c>
      <c r="G73" s="68">
        <v>0.04</v>
      </c>
      <c r="H73" s="68">
        <v>-7.3999999999999996E-2</v>
      </c>
      <c r="I73" s="60">
        <v>2191.9499510000001</v>
      </c>
      <c r="J73" s="68">
        <v>10513.349609000001</v>
      </c>
      <c r="K73" s="68">
        <v>18426.080077999999</v>
      </c>
      <c r="L73" s="69">
        <v>8526.58</v>
      </c>
      <c r="M73" s="68">
        <v>1173.5</v>
      </c>
      <c r="N73" s="68">
        <v>52.35</v>
      </c>
      <c r="O73" s="68">
        <v>2328.7600000000002</v>
      </c>
      <c r="P73" s="68">
        <v>774</v>
      </c>
      <c r="Q73" s="68">
        <v>7.7599600000000004</v>
      </c>
    </row>
    <row r="74" spans="1:17" x14ac:dyDescent="0.2">
      <c r="A74" s="66">
        <v>42713</v>
      </c>
      <c r="B74" s="67">
        <v>1.0561</v>
      </c>
      <c r="C74" s="68">
        <v>115.32</v>
      </c>
      <c r="D74" s="67">
        <v>1.0739399999999999</v>
      </c>
      <c r="E74" s="68">
        <v>2.464</v>
      </c>
      <c r="F74" s="68">
        <v>0.40799999999999997</v>
      </c>
      <c r="G74" s="68">
        <v>6.0999999999999999E-2</v>
      </c>
      <c r="H74" s="68">
        <v>-3.6999999999999998E-2</v>
      </c>
      <c r="I74" s="60">
        <v>2259.530029</v>
      </c>
      <c r="J74" s="68">
        <v>11203.629883</v>
      </c>
      <c r="K74" s="68">
        <v>18996.369140999999</v>
      </c>
      <c r="L74" s="69">
        <v>8827.99</v>
      </c>
      <c r="M74" s="68">
        <v>1163.5999999999999</v>
      </c>
      <c r="N74" s="68">
        <v>52.19</v>
      </c>
      <c r="O74" s="68">
        <v>2347.25</v>
      </c>
      <c r="P74" s="68">
        <v>771.14</v>
      </c>
      <c r="Q74" s="68">
        <v>8.4460099999999994</v>
      </c>
    </row>
    <row r="75" spans="1:17" x14ac:dyDescent="0.2">
      <c r="A75" s="66">
        <v>42720</v>
      </c>
      <c r="B75" s="67">
        <v>1.0450999999999999</v>
      </c>
      <c r="C75" s="68">
        <v>117.93</v>
      </c>
      <c r="D75" s="67">
        <v>1.0730599999999999</v>
      </c>
      <c r="E75" s="68">
        <v>2.597</v>
      </c>
      <c r="F75" s="68">
        <v>0.34399999999999997</v>
      </c>
      <c r="G75" s="68">
        <v>8.1000000000000003E-2</v>
      </c>
      <c r="H75" s="68">
        <v>-2.5000000000000001E-2</v>
      </c>
      <c r="I75" s="60">
        <v>2258.070068</v>
      </c>
      <c r="J75" s="68">
        <v>11404.009765999999</v>
      </c>
      <c r="K75" s="68">
        <v>19401.150390999999</v>
      </c>
      <c r="L75" s="69">
        <v>8945.48</v>
      </c>
      <c r="M75" s="68">
        <v>1131.5999999999999</v>
      </c>
      <c r="N75" s="68">
        <v>54.15</v>
      </c>
      <c r="O75" s="68">
        <v>2330.15</v>
      </c>
      <c r="P75" s="68">
        <v>780.68</v>
      </c>
      <c r="Q75" s="68">
        <v>7.8582099999999997</v>
      </c>
    </row>
    <row r="76" spans="1:17" x14ac:dyDescent="0.2">
      <c r="A76" s="66">
        <v>42727</v>
      </c>
      <c r="B76" s="67">
        <v>1.0456000000000001</v>
      </c>
      <c r="C76" s="68">
        <v>117.33</v>
      </c>
      <c r="D76" s="67">
        <v>1.07342</v>
      </c>
      <c r="E76" s="68">
        <v>2.5430000000000001</v>
      </c>
      <c r="F76" s="68">
        <v>0.27900000000000003</v>
      </c>
      <c r="G76" s="68">
        <v>5.6000000000000001E-2</v>
      </c>
      <c r="H76" s="68">
        <v>-7.2999999999999995E-2</v>
      </c>
      <c r="I76" s="60">
        <v>2263.790039</v>
      </c>
      <c r="J76" s="68">
        <v>11449.929688</v>
      </c>
      <c r="K76" s="68">
        <v>19427.669922000001</v>
      </c>
      <c r="L76" s="69">
        <v>8964.8700000000008</v>
      </c>
      <c r="M76" s="68">
        <v>1131.3499999999999</v>
      </c>
      <c r="N76" s="68">
        <v>53.93</v>
      </c>
      <c r="O76" s="68">
        <v>2370.89</v>
      </c>
      <c r="P76" s="68">
        <v>904.48</v>
      </c>
      <c r="Q76" s="68">
        <v>7.16615</v>
      </c>
    </row>
    <row r="77" spans="1:17" x14ac:dyDescent="0.2">
      <c r="A77" s="66">
        <v>42734</v>
      </c>
      <c r="B77" s="67">
        <v>1.0517000000000001</v>
      </c>
      <c r="C77" s="68">
        <v>116.96</v>
      </c>
      <c r="D77" s="67">
        <v>1.07209</v>
      </c>
      <c r="E77" s="68">
        <v>2.4460000000000002</v>
      </c>
      <c r="F77" s="68">
        <v>0.221</v>
      </c>
      <c r="G77" s="68">
        <v>4.5999999999999999E-2</v>
      </c>
      <c r="H77" s="68">
        <v>-0.13500000000000001</v>
      </c>
      <c r="I77" s="60">
        <v>2238.830078</v>
      </c>
      <c r="J77" s="68">
        <v>11481.059569999999</v>
      </c>
      <c r="K77" s="68">
        <v>19114.369140999999</v>
      </c>
      <c r="L77" s="69">
        <v>8965.7000000000007</v>
      </c>
      <c r="M77" s="68">
        <v>1145.9000000000001</v>
      </c>
      <c r="N77" s="68">
        <v>54.96</v>
      </c>
      <c r="O77" s="68">
        <v>2393.4299999999998</v>
      </c>
      <c r="P77" s="68">
        <v>952.01</v>
      </c>
      <c r="Q77" s="68">
        <v>8.1599799999999991</v>
      </c>
    </row>
    <row r="78" spans="1:17" x14ac:dyDescent="0.2">
      <c r="A78" s="66">
        <v>42741</v>
      </c>
      <c r="B78" s="67">
        <v>1.0531999999999999</v>
      </c>
      <c r="C78" s="68">
        <v>117.02</v>
      </c>
      <c r="D78" s="67">
        <v>1.0715399999999999</v>
      </c>
      <c r="E78" s="68">
        <v>2.4180000000000001</v>
      </c>
      <c r="F78" s="68">
        <v>0.27800000000000002</v>
      </c>
      <c r="G78" s="68">
        <v>5.8999999999999997E-2</v>
      </c>
      <c r="H78" s="68">
        <v>-0.16200000000000001</v>
      </c>
      <c r="I78" s="60">
        <v>2276.9799800000001</v>
      </c>
      <c r="J78" s="68">
        <v>11599.009765999999</v>
      </c>
      <c r="K78" s="68">
        <v>19454.330077999999</v>
      </c>
      <c r="L78" s="69">
        <v>9166.0499999999993</v>
      </c>
      <c r="M78" s="68">
        <v>1175.8499999999999</v>
      </c>
      <c r="N78" s="68">
        <v>55.9</v>
      </c>
      <c r="O78" s="68">
        <v>2419.4499999999998</v>
      </c>
      <c r="P78" s="68">
        <v>898.16</v>
      </c>
      <c r="Q78" s="68">
        <v>10.2547</v>
      </c>
    </row>
    <row r="79" spans="1:17" x14ac:dyDescent="0.2">
      <c r="A79" s="66">
        <v>42748</v>
      </c>
      <c r="B79" s="67">
        <v>1.0643</v>
      </c>
      <c r="C79" s="68">
        <v>114.49</v>
      </c>
      <c r="D79" s="67">
        <v>1.0733699999999999</v>
      </c>
      <c r="E79" s="68">
        <v>2.38</v>
      </c>
      <c r="F79" s="68">
        <v>0.28299999999999997</v>
      </c>
      <c r="G79" s="68">
        <v>0.05</v>
      </c>
      <c r="H79" s="68">
        <v>-0.185</v>
      </c>
      <c r="I79" s="60">
        <v>2274.639893</v>
      </c>
      <c r="J79" s="68">
        <v>11629.179688</v>
      </c>
      <c r="K79" s="68">
        <v>19287.279297000001</v>
      </c>
      <c r="L79" s="69">
        <v>9205.2199999999993</v>
      </c>
      <c r="M79" s="68">
        <v>1190.3499999999999</v>
      </c>
      <c r="N79" s="68">
        <v>54.37</v>
      </c>
      <c r="O79" s="68">
        <v>2403.14</v>
      </c>
      <c r="P79" s="68">
        <v>830.7</v>
      </c>
      <c r="Q79" s="68">
        <v>9.7695000000000007</v>
      </c>
    </row>
    <row r="80" spans="1:17" x14ac:dyDescent="0.2">
      <c r="A80" s="66">
        <v>42755</v>
      </c>
      <c r="B80" s="67">
        <v>1.0703</v>
      </c>
      <c r="C80" s="68">
        <v>114.62</v>
      </c>
      <c r="D80" s="67">
        <v>1.0724899999999999</v>
      </c>
      <c r="E80" s="68">
        <v>2.4670000000000001</v>
      </c>
      <c r="F80" s="68">
        <v>0.374</v>
      </c>
      <c r="G80" s="68">
        <v>6.6000000000000003E-2</v>
      </c>
      <c r="H80" s="68">
        <v>-0.108</v>
      </c>
      <c r="I80" s="60">
        <v>2271.3100589999999</v>
      </c>
      <c r="J80" s="68">
        <v>11630.129883</v>
      </c>
      <c r="K80" s="68">
        <v>19137.910156000002</v>
      </c>
      <c r="L80" s="69">
        <v>9045.41</v>
      </c>
      <c r="M80" s="68">
        <v>1200.55</v>
      </c>
      <c r="N80" s="68">
        <v>55.04</v>
      </c>
      <c r="O80" s="68">
        <v>2375.41</v>
      </c>
      <c r="P80" s="68">
        <v>898.85</v>
      </c>
      <c r="Q80" s="68">
        <v>10.6006</v>
      </c>
    </row>
    <row r="81" spans="1:17" x14ac:dyDescent="0.2">
      <c r="A81" s="66">
        <v>42762</v>
      </c>
      <c r="B81" s="67">
        <v>1.0699000000000001</v>
      </c>
      <c r="C81" s="68">
        <v>115.1</v>
      </c>
      <c r="D81" s="67">
        <v>1.0690299999999999</v>
      </c>
      <c r="E81" s="68">
        <v>2.4809999999999999</v>
      </c>
      <c r="F81" s="68">
        <v>0.44600000000000001</v>
      </c>
      <c r="G81" s="68">
        <v>8.4000000000000005E-2</v>
      </c>
      <c r="H81" s="68">
        <v>-5.6000000000000001E-2</v>
      </c>
      <c r="I81" s="60">
        <v>2294.6899410000001</v>
      </c>
      <c r="J81" s="68">
        <v>11814.269531</v>
      </c>
      <c r="K81" s="68">
        <v>19467.400390999999</v>
      </c>
      <c r="L81" s="69">
        <v>9152.0300000000007</v>
      </c>
      <c r="M81" s="68">
        <v>1184.8499999999999</v>
      </c>
      <c r="N81" s="68">
        <v>54.8</v>
      </c>
      <c r="O81" s="68">
        <v>2395.54</v>
      </c>
      <c r="P81" s="68">
        <v>919.95</v>
      </c>
      <c r="Q81" s="68">
        <v>10.5373</v>
      </c>
    </row>
    <row r="82" spans="1:17" x14ac:dyDescent="0.2">
      <c r="A82" s="66">
        <v>42769</v>
      </c>
      <c r="B82" s="67">
        <v>1.0783</v>
      </c>
      <c r="C82" s="68">
        <v>112.61</v>
      </c>
      <c r="D82" s="67">
        <v>1.07029</v>
      </c>
      <c r="E82" s="68">
        <v>2.4910000000000001</v>
      </c>
      <c r="F82" s="68">
        <v>0.42399999999999999</v>
      </c>
      <c r="G82" s="68">
        <v>0.1</v>
      </c>
      <c r="H82" s="68">
        <v>-4.4999999999999998E-2</v>
      </c>
      <c r="I82" s="60">
        <v>2297.419922</v>
      </c>
      <c r="J82" s="68">
        <v>11651.490234000001</v>
      </c>
      <c r="K82" s="68">
        <v>18918.199218999998</v>
      </c>
      <c r="L82" s="69">
        <v>9132.14</v>
      </c>
      <c r="M82" s="68">
        <v>1215.2</v>
      </c>
      <c r="N82" s="68">
        <v>55.92</v>
      </c>
      <c r="O82" s="68">
        <v>2415.9299999999998</v>
      </c>
      <c r="P82" s="68">
        <v>1011.66</v>
      </c>
      <c r="Q82" s="68">
        <v>11.1145</v>
      </c>
    </row>
    <row r="83" spans="1:17" x14ac:dyDescent="0.2">
      <c r="A83" s="66">
        <v>42776</v>
      </c>
      <c r="B83" s="67">
        <v>1.0643</v>
      </c>
      <c r="C83" s="68">
        <v>113.22</v>
      </c>
      <c r="D83" s="67">
        <v>1.06711</v>
      </c>
      <c r="E83" s="68">
        <v>2.4089999999999998</v>
      </c>
      <c r="F83" s="68">
        <v>0.30499999999999999</v>
      </c>
      <c r="G83" s="68">
        <v>9.1999999999999998E-2</v>
      </c>
      <c r="H83" s="68">
        <v>-0.13100000000000001</v>
      </c>
      <c r="I83" s="60">
        <v>2316.1000979999999</v>
      </c>
      <c r="J83" s="68">
        <v>11666.969727</v>
      </c>
      <c r="K83" s="68">
        <v>19378.929688</v>
      </c>
      <c r="L83" s="69">
        <v>9256.15</v>
      </c>
      <c r="M83" s="68">
        <v>1228.3</v>
      </c>
      <c r="N83" s="68">
        <v>55.2</v>
      </c>
      <c r="O83" s="68">
        <v>2479.17</v>
      </c>
      <c r="P83" s="68">
        <v>1004.03</v>
      </c>
      <c r="Q83" s="68">
        <v>11.2789</v>
      </c>
    </row>
    <row r="84" spans="1:17" x14ac:dyDescent="0.2">
      <c r="A84" s="66">
        <v>42783</v>
      </c>
      <c r="B84" s="67">
        <v>1.0616000000000001</v>
      </c>
      <c r="C84" s="68">
        <v>112.84</v>
      </c>
      <c r="D84" s="67">
        <v>1.06437</v>
      </c>
      <c r="E84" s="68">
        <v>2.4249999999999998</v>
      </c>
      <c r="F84" s="68">
        <v>0.27300000000000002</v>
      </c>
      <c r="G84" s="68">
        <v>9.4E-2</v>
      </c>
      <c r="H84" s="68">
        <v>-0.13500000000000001</v>
      </c>
      <c r="I84" s="60">
        <v>2351.1599120000001</v>
      </c>
      <c r="J84" s="68">
        <v>11757.019531</v>
      </c>
      <c r="K84" s="68">
        <v>19234.619140999999</v>
      </c>
      <c r="L84" s="69">
        <v>9308.74</v>
      </c>
      <c r="M84" s="68">
        <v>1241.95</v>
      </c>
      <c r="N84" s="68">
        <v>54.48</v>
      </c>
      <c r="O84" s="68">
        <v>2482.46</v>
      </c>
      <c r="P84" s="68">
        <v>1058.8599999999999</v>
      </c>
      <c r="Q84" s="68">
        <v>12.676500000000001</v>
      </c>
    </row>
    <row r="85" spans="1:17" x14ac:dyDescent="0.2">
      <c r="A85" s="66">
        <v>42790</v>
      </c>
      <c r="B85" s="67">
        <v>1.0563</v>
      </c>
      <c r="C85" s="68">
        <v>112.12</v>
      </c>
      <c r="D85" s="67">
        <v>1.06423</v>
      </c>
      <c r="E85" s="68">
        <v>2.3170000000000002</v>
      </c>
      <c r="F85" s="68">
        <v>0.186</v>
      </c>
      <c r="G85" s="68">
        <v>6.8000000000000005E-2</v>
      </c>
      <c r="H85" s="68">
        <v>-0.20399999999999999</v>
      </c>
      <c r="I85" s="60">
        <v>2367.3400879999999</v>
      </c>
      <c r="J85" s="68">
        <v>11804.030273</v>
      </c>
      <c r="K85" s="68">
        <v>19283.539063</v>
      </c>
      <c r="L85" s="69">
        <v>9335.19</v>
      </c>
      <c r="M85" s="68">
        <v>1253.6500000000001</v>
      </c>
      <c r="N85" s="68">
        <v>54.69</v>
      </c>
      <c r="O85" s="68">
        <v>2502.63</v>
      </c>
      <c r="P85" s="68">
        <v>1177.28</v>
      </c>
      <c r="Q85" s="68">
        <v>13.0692</v>
      </c>
    </row>
    <row r="86" spans="1:17" x14ac:dyDescent="0.2">
      <c r="A86" s="66">
        <v>42797</v>
      </c>
      <c r="B86" s="67">
        <v>1.0622</v>
      </c>
      <c r="C86" s="68">
        <v>114.04</v>
      </c>
      <c r="D86" s="67">
        <v>1.0702400000000001</v>
      </c>
      <c r="E86" s="68">
        <v>2.492</v>
      </c>
      <c r="F86" s="68">
        <v>0.28399999999999997</v>
      </c>
      <c r="G86" s="68">
        <v>7.8E-2</v>
      </c>
      <c r="H86" s="68">
        <v>-0.16800000000000001</v>
      </c>
      <c r="I86" s="60">
        <v>2383.1201169999999</v>
      </c>
      <c r="J86" s="68">
        <v>12027.360352</v>
      </c>
      <c r="K86" s="68">
        <v>19469.169922000001</v>
      </c>
      <c r="L86" s="69">
        <v>9541.35</v>
      </c>
      <c r="M86" s="68">
        <v>1226.5</v>
      </c>
      <c r="N86" s="68">
        <v>54.12</v>
      </c>
      <c r="O86" s="68">
        <v>2506.87</v>
      </c>
      <c r="P86" s="68">
        <v>1277.3900000000001</v>
      </c>
      <c r="Q86" s="68">
        <v>19.459</v>
      </c>
    </row>
    <row r="87" spans="1:17" x14ac:dyDescent="0.2">
      <c r="A87" s="66">
        <v>42804</v>
      </c>
      <c r="B87" s="67">
        <v>1.0672999999999999</v>
      </c>
      <c r="C87" s="68">
        <v>114.79</v>
      </c>
      <c r="D87" s="67">
        <v>1.0786899999999999</v>
      </c>
      <c r="E87" s="68">
        <v>2.5819999999999999</v>
      </c>
      <c r="F87" s="68">
        <v>0.434</v>
      </c>
      <c r="G87" s="68">
        <v>8.8999999999999996E-2</v>
      </c>
      <c r="H87" s="68">
        <v>1E-3</v>
      </c>
      <c r="I87" s="60">
        <v>2372.6000979999999</v>
      </c>
      <c r="J87" s="68">
        <v>11963.179688</v>
      </c>
      <c r="K87" s="68">
        <v>19604.609375</v>
      </c>
      <c r="L87" s="69">
        <v>9557.65</v>
      </c>
      <c r="M87" s="68">
        <v>1202.6500000000001</v>
      </c>
      <c r="N87" s="68">
        <v>50.63</v>
      </c>
      <c r="O87" s="68">
        <v>2474.87</v>
      </c>
      <c r="P87" s="68">
        <v>1100.56</v>
      </c>
      <c r="Q87" s="68">
        <v>19.3323</v>
      </c>
    </row>
    <row r="88" spans="1:17" x14ac:dyDescent="0.2">
      <c r="A88" s="66">
        <v>42811</v>
      </c>
      <c r="B88" s="67">
        <v>1.0738000000000001</v>
      </c>
      <c r="C88" s="68">
        <v>112.7</v>
      </c>
      <c r="D88" s="67">
        <v>1.07226</v>
      </c>
      <c r="E88" s="68">
        <v>2.5009999999999999</v>
      </c>
      <c r="F88" s="68">
        <v>0.45600000000000002</v>
      </c>
      <c r="G88" s="68">
        <v>7.4999999999999997E-2</v>
      </c>
      <c r="H88" s="68">
        <v>8.9999999999999993E-3</v>
      </c>
      <c r="I88" s="60">
        <v>2378.25</v>
      </c>
      <c r="J88" s="68">
        <v>12095.240234000001</v>
      </c>
      <c r="K88" s="68">
        <v>19521.589843999998</v>
      </c>
      <c r="L88" s="69">
        <v>9637.68</v>
      </c>
      <c r="M88" s="68">
        <v>1229.5999999999999</v>
      </c>
      <c r="N88" s="68">
        <v>50.58</v>
      </c>
      <c r="O88" s="68">
        <v>2508.87</v>
      </c>
      <c r="P88" s="68">
        <v>1096.9100000000001</v>
      </c>
      <c r="Q88" s="68">
        <v>46.827998999999998</v>
      </c>
    </row>
    <row r="89" spans="1:17" x14ac:dyDescent="0.2">
      <c r="A89" s="66">
        <v>42818</v>
      </c>
      <c r="B89" s="67">
        <v>1.0798000000000001</v>
      </c>
      <c r="C89" s="68">
        <v>111.34</v>
      </c>
      <c r="D89" s="67">
        <v>1.07063</v>
      </c>
      <c r="E89" s="68">
        <v>2.4</v>
      </c>
      <c r="F89" s="68">
        <v>0.40799999999999997</v>
      </c>
      <c r="G89" s="68">
        <v>6.5000000000000002E-2</v>
      </c>
      <c r="H89" s="68">
        <v>-6.0000000000000001E-3</v>
      </c>
      <c r="I89" s="60">
        <v>2343.9799800000001</v>
      </c>
      <c r="J89" s="68">
        <v>12064.269531</v>
      </c>
      <c r="K89" s="68">
        <v>19262.529297000001</v>
      </c>
      <c r="L89" s="69">
        <v>9560.7199999999993</v>
      </c>
      <c r="M89" s="68">
        <v>1247.5</v>
      </c>
      <c r="N89" s="68">
        <v>49.97</v>
      </c>
      <c r="O89" s="68">
        <v>2483.52</v>
      </c>
      <c r="P89" s="68">
        <v>960.74</v>
      </c>
      <c r="Q89" s="68">
        <v>53.107498</v>
      </c>
    </row>
    <row r="90" spans="1:17" x14ac:dyDescent="0.2">
      <c r="A90" s="66">
        <v>42825</v>
      </c>
      <c r="B90" s="67">
        <v>1.0651999999999999</v>
      </c>
      <c r="C90" s="68">
        <v>111.39</v>
      </c>
      <c r="D90" s="67">
        <v>1.06898</v>
      </c>
      <c r="E90" s="68">
        <v>2.3959999999999999</v>
      </c>
      <c r="F90" s="68">
        <v>0.33200000000000002</v>
      </c>
      <c r="G90" s="68">
        <v>7.0000000000000007E-2</v>
      </c>
      <c r="H90" s="68">
        <v>-0.1</v>
      </c>
      <c r="I90" s="60">
        <v>2362.719971</v>
      </c>
      <c r="J90" s="68">
        <v>12312.870117</v>
      </c>
      <c r="K90" s="68">
        <v>18909.259765999999</v>
      </c>
      <c r="L90" s="69">
        <v>9637.82</v>
      </c>
      <c r="M90" s="68">
        <v>1244.8499999999999</v>
      </c>
      <c r="N90" s="68">
        <v>52.2</v>
      </c>
      <c r="O90" s="68">
        <v>2516.41</v>
      </c>
      <c r="P90" s="68">
        <v>1074.69</v>
      </c>
      <c r="Q90" s="68">
        <v>50.037300000000002</v>
      </c>
    </row>
    <row r="91" spans="1:17" x14ac:dyDescent="0.2">
      <c r="A91" s="66">
        <v>42832</v>
      </c>
      <c r="B91" s="67">
        <v>1.0590999999999999</v>
      </c>
      <c r="C91" s="68">
        <v>111.09</v>
      </c>
      <c r="D91" s="67">
        <v>1.0688599999999999</v>
      </c>
      <c r="E91" s="68">
        <v>2.3730000000000002</v>
      </c>
      <c r="F91" s="68">
        <v>0.252</v>
      </c>
      <c r="G91" s="68">
        <v>6.0999999999999999E-2</v>
      </c>
      <c r="H91" s="68">
        <v>-0.14199999999999999</v>
      </c>
      <c r="I91" s="60">
        <v>2355.540039</v>
      </c>
      <c r="J91" s="68">
        <v>12225.059569999999</v>
      </c>
      <c r="K91" s="68">
        <v>18664.630859000001</v>
      </c>
      <c r="L91" s="69">
        <v>9638.15</v>
      </c>
      <c r="M91" s="68">
        <v>1266.45</v>
      </c>
      <c r="N91" s="68">
        <v>54.24</v>
      </c>
      <c r="O91" s="68">
        <v>2516.5500000000002</v>
      </c>
      <c r="P91" s="68">
        <v>1199.24</v>
      </c>
      <c r="Q91" s="68">
        <v>42.162601000000002</v>
      </c>
    </row>
    <row r="92" spans="1:17" x14ac:dyDescent="0.2">
      <c r="A92" s="66">
        <v>42839</v>
      </c>
      <c r="B92" s="67">
        <v>1.0618000000000001</v>
      </c>
      <c r="C92" s="68">
        <v>108.64</v>
      </c>
      <c r="D92" s="67">
        <v>1.0672600000000001</v>
      </c>
      <c r="E92" s="68">
        <v>2.2320000000000002</v>
      </c>
      <c r="F92" s="68">
        <v>0.16700000000000001</v>
      </c>
      <c r="G92" s="68">
        <v>0.01</v>
      </c>
      <c r="H92" s="68">
        <v>-0.185</v>
      </c>
      <c r="I92" s="60">
        <v>2328.9499510000001</v>
      </c>
      <c r="J92" s="68">
        <v>12109</v>
      </c>
      <c r="K92" s="68">
        <v>18335.630859000001</v>
      </c>
      <c r="L92" s="69">
        <v>9705.9699999999993</v>
      </c>
      <c r="M92" s="68">
        <v>1284.1500000000001</v>
      </c>
      <c r="N92" s="68">
        <v>55.05</v>
      </c>
      <c r="O92" s="68">
        <v>2554.7800000000002</v>
      </c>
      <c r="P92" s="68">
        <v>1183.5899999999999</v>
      </c>
      <c r="Q92" s="68">
        <v>47.574100000000001</v>
      </c>
    </row>
    <row r="93" spans="1:17" x14ac:dyDescent="0.2">
      <c r="A93" s="66">
        <v>42846</v>
      </c>
      <c r="B93" s="67">
        <v>1.0728</v>
      </c>
      <c r="C93" s="68">
        <v>109.09</v>
      </c>
      <c r="D93" s="67">
        <v>1.0690299999999999</v>
      </c>
      <c r="E93" s="68">
        <v>2.2370000000000001</v>
      </c>
      <c r="F93" s="68">
        <v>0.22600000000000001</v>
      </c>
      <c r="G93" s="68">
        <v>1.6E-2</v>
      </c>
      <c r="H93" s="68">
        <v>-0.193</v>
      </c>
      <c r="I93" s="60">
        <v>2348.6899410000001</v>
      </c>
      <c r="J93" s="68">
        <v>12048.570313</v>
      </c>
      <c r="K93" s="68">
        <v>18620.75</v>
      </c>
      <c r="L93" s="69">
        <v>9646.64</v>
      </c>
      <c r="M93" s="68">
        <v>1281.8499999999999</v>
      </c>
      <c r="N93" s="68">
        <v>49.93</v>
      </c>
      <c r="O93" s="68">
        <v>2545.4499999999998</v>
      </c>
      <c r="P93" s="68">
        <v>1242.73</v>
      </c>
      <c r="Q93" s="68">
        <v>48.224400000000003</v>
      </c>
    </row>
    <row r="94" spans="1:17" x14ac:dyDescent="0.2">
      <c r="A94" s="66">
        <v>42853</v>
      </c>
      <c r="B94" s="67">
        <v>1.0894999999999999</v>
      </c>
      <c r="C94" s="68">
        <v>111.49</v>
      </c>
      <c r="D94" s="67">
        <v>1.0842499999999999</v>
      </c>
      <c r="E94" s="68">
        <v>2.282</v>
      </c>
      <c r="F94" s="68">
        <v>0.33700000000000002</v>
      </c>
      <c r="G94" s="68">
        <v>1.7999999999999999E-2</v>
      </c>
      <c r="H94" s="68">
        <v>-9.6000000000000002E-2</v>
      </c>
      <c r="I94" s="60">
        <v>2384.1999510000001</v>
      </c>
      <c r="J94" s="68">
        <v>12438.009765999999</v>
      </c>
      <c r="K94" s="68">
        <v>19196.740234000001</v>
      </c>
      <c r="L94" s="69">
        <v>9976.11</v>
      </c>
      <c r="M94" s="68">
        <v>1266.45</v>
      </c>
      <c r="N94" s="68">
        <v>49.46</v>
      </c>
      <c r="O94" s="68">
        <v>2585.92</v>
      </c>
      <c r="P94" s="68">
        <v>1304.9100000000001</v>
      </c>
      <c r="Q94" s="68">
        <v>70.159203000000005</v>
      </c>
    </row>
    <row r="95" spans="1:17" x14ac:dyDescent="0.2">
      <c r="A95" s="66">
        <v>42860</v>
      </c>
      <c r="B95" s="67">
        <v>1.0998000000000001</v>
      </c>
      <c r="C95" s="68">
        <v>112.71</v>
      </c>
      <c r="D95" s="67">
        <v>1.08589</v>
      </c>
      <c r="E95" s="68">
        <v>2.3519999999999999</v>
      </c>
      <c r="F95" s="68">
        <v>0.38500000000000001</v>
      </c>
      <c r="G95" s="68">
        <v>2.1000000000000001E-2</v>
      </c>
      <c r="H95" s="68">
        <v>-5.7000000000000002E-2</v>
      </c>
      <c r="I95" s="60">
        <v>2399.290039</v>
      </c>
      <c r="J95" s="68">
        <v>12716.889648</v>
      </c>
      <c r="K95" s="68">
        <v>19445.699218999998</v>
      </c>
      <c r="L95" s="69">
        <v>10203.58</v>
      </c>
      <c r="M95" s="68">
        <v>1228.05</v>
      </c>
      <c r="N95" s="68">
        <v>47.45</v>
      </c>
      <c r="O95" s="68">
        <v>2617.7399999999998</v>
      </c>
      <c r="P95" s="68">
        <v>1529.41</v>
      </c>
      <c r="Q95" s="68">
        <v>94.398499000000001</v>
      </c>
    </row>
    <row r="96" spans="1:17" x14ac:dyDescent="0.2">
      <c r="A96" s="66">
        <v>42867</v>
      </c>
      <c r="B96" s="67">
        <v>1.0931</v>
      </c>
      <c r="C96" s="68">
        <v>113.38</v>
      </c>
      <c r="D96" s="67">
        <v>1.09412</v>
      </c>
      <c r="E96" s="68">
        <v>2.335</v>
      </c>
      <c r="F96" s="68">
        <v>0.43</v>
      </c>
      <c r="G96" s="68">
        <v>4.7E-2</v>
      </c>
      <c r="H96" s="68">
        <v>-5.3999999999999999E-2</v>
      </c>
      <c r="I96" s="60">
        <v>2390.8999020000001</v>
      </c>
      <c r="J96" s="68">
        <v>12770.410156</v>
      </c>
      <c r="K96" s="68">
        <v>19883.900390999999</v>
      </c>
      <c r="L96" s="69">
        <v>10358.969999999999</v>
      </c>
      <c r="M96" s="68">
        <v>1231.25</v>
      </c>
      <c r="N96" s="68">
        <v>49.08</v>
      </c>
      <c r="O96" s="68">
        <v>2650.91</v>
      </c>
      <c r="P96" s="68">
        <v>1691.8</v>
      </c>
      <c r="Q96" s="68">
        <v>88.655403000000007</v>
      </c>
    </row>
    <row r="97" spans="1:17" x14ac:dyDescent="0.2">
      <c r="A97" s="66">
        <v>42874</v>
      </c>
      <c r="B97" s="67">
        <v>1.1206</v>
      </c>
      <c r="C97" s="68">
        <v>111.26</v>
      </c>
      <c r="D97" s="67">
        <v>1.09073</v>
      </c>
      <c r="E97" s="68">
        <v>2.2450000000000001</v>
      </c>
      <c r="F97" s="68">
        <v>0.38700000000000001</v>
      </c>
      <c r="G97" s="68">
        <v>0.04</v>
      </c>
      <c r="H97" s="68">
        <v>-9.7000000000000003E-2</v>
      </c>
      <c r="I97" s="60">
        <v>2381.7299800000001</v>
      </c>
      <c r="J97" s="68">
        <v>12638.690430000001</v>
      </c>
      <c r="K97" s="68">
        <v>19590.759765999999</v>
      </c>
      <c r="L97" s="69">
        <v>10238.219999999999</v>
      </c>
      <c r="M97" s="68">
        <v>1252</v>
      </c>
      <c r="N97" s="68">
        <v>52.78</v>
      </c>
      <c r="O97" s="68">
        <v>2610.7399999999998</v>
      </c>
      <c r="P97" s="68">
        <v>1938.04</v>
      </c>
      <c r="Q97" s="68">
        <v>129.526993</v>
      </c>
    </row>
    <row r="98" spans="1:17" x14ac:dyDescent="0.2">
      <c r="A98" s="66">
        <v>42881</v>
      </c>
      <c r="B98" s="67">
        <v>1.1183000000000001</v>
      </c>
      <c r="C98" s="68">
        <v>111.33</v>
      </c>
      <c r="D98" s="67">
        <v>1.0888199999999999</v>
      </c>
      <c r="E98" s="68">
        <v>2.25</v>
      </c>
      <c r="F98" s="68">
        <v>0.374</v>
      </c>
      <c r="G98" s="68">
        <v>4.2000000000000003E-2</v>
      </c>
      <c r="H98" s="68">
        <v>-0.104</v>
      </c>
      <c r="I98" s="60">
        <v>2415.820068</v>
      </c>
      <c r="J98" s="68">
        <v>12602.179688</v>
      </c>
      <c r="K98" s="68">
        <v>19686.839843999998</v>
      </c>
      <c r="L98" s="69">
        <v>10285.32</v>
      </c>
      <c r="M98" s="68">
        <v>1265.05</v>
      </c>
      <c r="N98" s="68">
        <v>50.84</v>
      </c>
      <c r="O98" s="68">
        <v>2665.24</v>
      </c>
      <c r="P98" s="68">
        <v>2268.6999999999998</v>
      </c>
      <c r="Q98" s="68">
        <v>160.40299999999999</v>
      </c>
    </row>
    <row r="99" spans="1:17" x14ac:dyDescent="0.2">
      <c r="A99" s="66">
        <v>42888</v>
      </c>
      <c r="B99" s="67">
        <v>1.1278999999999999</v>
      </c>
      <c r="C99" s="68">
        <v>110.4</v>
      </c>
      <c r="D99" s="67">
        <v>1.0861499999999999</v>
      </c>
      <c r="E99" s="68">
        <v>2.1589999999999998</v>
      </c>
      <c r="F99" s="68">
        <v>0.32500000000000001</v>
      </c>
      <c r="G99" s="68">
        <v>5.5E-2</v>
      </c>
      <c r="H99" s="68">
        <v>-0.16300000000000001</v>
      </c>
      <c r="I99" s="60">
        <v>2439.070068</v>
      </c>
      <c r="J99" s="68">
        <v>12822.940430000001</v>
      </c>
      <c r="K99" s="68">
        <v>20177.279297000001</v>
      </c>
      <c r="L99" s="69">
        <v>10290.1</v>
      </c>
      <c r="M99" s="68">
        <v>1274.95</v>
      </c>
      <c r="N99" s="68">
        <v>48.46</v>
      </c>
      <c r="O99" s="68">
        <v>2688.98</v>
      </c>
      <c r="P99" s="68">
        <v>2430.83</v>
      </c>
      <c r="Q99" s="68">
        <v>223.77499399999999</v>
      </c>
    </row>
    <row r="100" spans="1:17" x14ac:dyDescent="0.2">
      <c r="A100" s="66">
        <v>42895</v>
      </c>
      <c r="B100" s="67">
        <v>1.1194999999999999</v>
      </c>
      <c r="C100" s="68">
        <v>110.32</v>
      </c>
      <c r="D100" s="67">
        <v>1.0854900000000001</v>
      </c>
      <c r="E100" s="68">
        <v>2.1989999999999998</v>
      </c>
      <c r="F100" s="68">
        <v>0.29299999999999998</v>
      </c>
      <c r="G100" s="68">
        <v>5.6000000000000001E-2</v>
      </c>
      <c r="H100" s="68">
        <v>-0.159</v>
      </c>
      <c r="I100" s="60">
        <v>2431.7700199999999</v>
      </c>
      <c r="J100" s="68">
        <v>12815.719727</v>
      </c>
      <c r="K100" s="68">
        <v>20013.259765999999</v>
      </c>
      <c r="L100" s="69">
        <v>10096.02</v>
      </c>
      <c r="M100" s="68">
        <v>1266.55</v>
      </c>
      <c r="N100" s="68">
        <v>46.64</v>
      </c>
      <c r="O100" s="68">
        <v>2695.9</v>
      </c>
      <c r="P100" s="68">
        <v>2834.48</v>
      </c>
      <c r="Q100" s="68">
        <v>281.73700000000002</v>
      </c>
    </row>
    <row r="101" spans="1:17" x14ac:dyDescent="0.2">
      <c r="A101" s="66">
        <v>42902</v>
      </c>
      <c r="B101" s="67">
        <v>1.1197999999999999</v>
      </c>
      <c r="C101" s="68">
        <v>110.88</v>
      </c>
      <c r="D101" s="67">
        <v>1.09015</v>
      </c>
      <c r="E101" s="68">
        <v>2.157</v>
      </c>
      <c r="F101" s="68">
        <v>0.34499999999999997</v>
      </c>
      <c r="G101" s="68">
        <v>5.6000000000000001E-2</v>
      </c>
      <c r="H101" s="68">
        <v>-0.129</v>
      </c>
      <c r="I101" s="60">
        <v>2433.1499020000001</v>
      </c>
      <c r="J101" s="68">
        <v>12752.730469</v>
      </c>
      <c r="K101" s="68">
        <v>19943.259765999999</v>
      </c>
      <c r="L101" s="69">
        <v>10215.31</v>
      </c>
      <c r="M101" s="68">
        <v>1255.4000000000001</v>
      </c>
      <c r="N101" s="68">
        <v>45.7</v>
      </c>
      <c r="O101" s="68">
        <v>2706.1</v>
      </c>
      <c r="P101" s="68">
        <v>2484.65</v>
      </c>
      <c r="Q101" s="68">
        <v>370.22699</v>
      </c>
    </row>
    <row r="102" spans="1:17" x14ac:dyDescent="0.2">
      <c r="A102" s="66">
        <v>42909</v>
      </c>
      <c r="B102" s="67">
        <v>1.1194</v>
      </c>
      <c r="C102" s="68">
        <v>111.28</v>
      </c>
      <c r="D102" s="67">
        <v>1.0852299999999999</v>
      </c>
      <c r="E102" s="68">
        <v>2.1440000000000001</v>
      </c>
      <c r="F102" s="68">
        <v>0.29699999999999999</v>
      </c>
      <c r="G102" s="68">
        <v>5.7000000000000002E-2</v>
      </c>
      <c r="H102" s="68">
        <v>-0.14499999999999999</v>
      </c>
      <c r="I102" s="60">
        <v>2438.3000489999999</v>
      </c>
      <c r="J102" s="68">
        <v>12733.410156</v>
      </c>
      <c r="K102" s="68">
        <v>20132.669922000001</v>
      </c>
      <c r="L102" s="69">
        <v>10275.66</v>
      </c>
      <c r="M102" s="68">
        <v>1255.7</v>
      </c>
      <c r="N102" s="68">
        <v>44.14</v>
      </c>
      <c r="O102" s="68">
        <v>2619.2199999999998</v>
      </c>
      <c r="P102" s="68">
        <v>2707.64</v>
      </c>
      <c r="Q102" s="68">
        <v>341.739014</v>
      </c>
    </row>
    <row r="103" spans="1:17" x14ac:dyDescent="0.2">
      <c r="A103" s="66">
        <v>42916</v>
      </c>
      <c r="B103" s="67">
        <v>1.1426000000000001</v>
      </c>
      <c r="C103" s="68">
        <v>112.39</v>
      </c>
      <c r="D103" s="67">
        <v>1.09504</v>
      </c>
      <c r="E103" s="68">
        <v>2.302</v>
      </c>
      <c r="F103" s="68">
        <v>0.47799999999999998</v>
      </c>
      <c r="G103" s="68">
        <v>8.5999999999999993E-2</v>
      </c>
      <c r="H103" s="68">
        <v>-2.5000000000000001E-2</v>
      </c>
      <c r="I103" s="60">
        <v>2423.4099120000001</v>
      </c>
      <c r="J103" s="68">
        <v>12325.120117</v>
      </c>
      <c r="K103" s="68">
        <v>20033.429688</v>
      </c>
      <c r="L103" s="69">
        <v>10128.34</v>
      </c>
      <c r="M103" s="68">
        <v>1242.25</v>
      </c>
      <c r="N103" s="68">
        <v>47.08</v>
      </c>
      <c r="O103" s="68">
        <v>2601.81</v>
      </c>
      <c r="P103" s="68">
        <v>2502.5</v>
      </c>
      <c r="Q103" s="68">
        <v>294.91598499999998</v>
      </c>
    </row>
    <row r="104" spans="1:17" x14ac:dyDescent="0.2">
      <c r="A104" s="66">
        <v>42923</v>
      </c>
      <c r="B104" s="67">
        <v>1.1400999999999999</v>
      </c>
      <c r="C104" s="68">
        <v>113.92</v>
      </c>
      <c r="D104" s="67">
        <v>1.0986199999999999</v>
      </c>
      <c r="E104" s="68">
        <v>2.3929999999999998</v>
      </c>
      <c r="F104" s="68">
        <v>0.61099999999999999</v>
      </c>
      <c r="G104" s="68">
        <v>8.6999999999999994E-2</v>
      </c>
      <c r="H104" s="68">
        <v>4.4999999999999998E-2</v>
      </c>
      <c r="I104" s="60">
        <v>2425.179932</v>
      </c>
      <c r="J104" s="68">
        <v>12388.679688</v>
      </c>
      <c r="K104" s="68">
        <v>19929.089843999998</v>
      </c>
      <c r="L104" s="69">
        <v>10110.24</v>
      </c>
      <c r="M104" s="68">
        <v>1215.6500000000001</v>
      </c>
      <c r="N104" s="68">
        <v>46.47</v>
      </c>
      <c r="O104" s="68">
        <v>2594.66</v>
      </c>
      <c r="P104" s="68">
        <v>2514.87</v>
      </c>
      <c r="Q104" s="68">
        <v>245.99099699999999</v>
      </c>
    </row>
    <row r="105" spans="1:17" x14ac:dyDescent="0.2">
      <c r="A105" s="66">
        <v>42930</v>
      </c>
      <c r="B105" s="67">
        <v>1.147</v>
      </c>
      <c r="C105" s="68">
        <v>112.53</v>
      </c>
      <c r="D105" s="67">
        <v>1.1050800000000001</v>
      </c>
      <c r="E105" s="68">
        <v>2.319</v>
      </c>
      <c r="F105" s="68">
        <v>0.57199999999999995</v>
      </c>
      <c r="G105" s="68">
        <v>8.3000000000000004E-2</v>
      </c>
      <c r="H105" s="68">
        <v>4.2000000000000003E-2</v>
      </c>
      <c r="I105" s="60">
        <v>2459.2700199999999</v>
      </c>
      <c r="J105" s="68">
        <v>12631.719727</v>
      </c>
      <c r="K105" s="68">
        <v>20118.859375</v>
      </c>
      <c r="L105" s="69">
        <v>10278.86</v>
      </c>
      <c r="M105" s="68">
        <v>1230.3</v>
      </c>
      <c r="N105" s="68">
        <v>47.89</v>
      </c>
      <c r="O105" s="68">
        <v>2639.25</v>
      </c>
      <c r="P105" s="68">
        <v>2159.04</v>
      </c>
      <c r="Q105" s="68">
        <v>199.662003</v>
      </c>
    </row>
    <row r="106" spans="1:17" x14ac:dyDescent="0.2">
      <c r="A106" s="66">
        <v>42937</v>
      </c>
      <c r="B106" s="67">
        <v>1.1663000000000001</v>
      </c>
      <c r="C106" s="68">
        <v>111.13</v>
      </c>
      <c r="D106" s="67">
        <v>1.10297</v>
      </c>
      <c r="E106" s="68">
        <v>2.2320000000000002</v>
      </c>
      <c r="F106" s="68">
        <v>0.50700000000000001</v>
      </c>
      <c r="G106" s="68">
        <v>6.7000000000000004E-2</v>
      </c>
      <c r="H106" s="68">
        <v>5.0000000000000001E-3</v>
      </c>
      <c r="I106" s="60">
        <v>2472.540039</v>
      </c>
      <c r="J106" s="68">
        <v>12240.059569999999</v>
      </c>
      <c r="K106" s="68">
        <v>20099.75</v>
      </c>
      <c r="L106" s="69">
        <v>10184.450000000001</v>
      </c>
      <c r="M106" s="68">
        <v>1248.55</v>
      </c>
      <c r="N106" s="68">
        <v>47.47</v>
      </c>
      <c r="O106" s="68">
        <v>2607.67</v>
      </c>
      <c r="P106" s="68">
        <v>2640.5</v>
      </c>
      <c r="Q106" s="68">
        <v>218.304993</v>
      </c>
    </row>
    <row r="107" spans="1:17" x14ac:dyDescent="0.2">
      <c r="A107" s="66">
        <v>42944</v>
      </c>
      <c r="B107" s="67">
        <v>1.1751</v>
      </c>
      <c r="C107" s="68">
        <v>110.68</v>
      </c>
      <c r="D107" s="67">
        <v>1.1380600000000001</v>
      </c>
      <c r="E107" s="68">
        <v>2.2890000000000001</v>
      </c>
      <c r="F107" s="68">
        <v>0.56699999999999995</v>
      </c>
      <c r="G107" s="68">
        <v>7.5999999999999998E-2</v>
      </c>
      <c r="H107" s="68">
        <v>5.3999999999999999E-2</v>
      </c>
      <c r="I107" s="60">
        <v>2472.1000979999999</v>
      </c>
      <c r="J107" s="68">
        <v>12162.700194999999</v>
      </c>
      <c r="K107" s="68">
        <v>19959.839843999998</v>
      </c>
      <c r="L107" s="69">
        <v>10263.549999999999</v>
      </c>
      <c r="M107" s="68">
        <v>1264.9000000000001</v>
      </c>
      <c r="N107" s="68">
        <v>52</v>
      </c>
      <c r="O107" s="68">
        <v>2607.36</v>
      </c>
      <c r="P107" s="68">
        <v>2755.65</v>
      </c>
      <c r="Q107" s="68">
        <v>193.12300099999999</v>
      </c>
    </row>
    <row r="108" spans="1:17" x14ac:dyDescent="0.2">
      <c r="A108" s="66">
        <v>42951</v>
      </c>
      <c r="B108" s="67">
        <v>1.1773</v>
      </c>
      <c r="C108" s="68">
        <v>110.69</v>
      </c>
      <c r="D108" s="67">
        <v>1.14533</v>
      </c>
      <c r="E108" s="68">
        <v>2.2669999999999999</v>
      </c>
      <c r="F108" s="68">
        <v>0.45200000000000001</v>
      </c>
      <c r="G108" s="68">
        <v>6.5000000000000002E-2</v>
      </c>
      <c r="H108" s="68">
        <v>-4.9000000000000002E-2</v>
      </c>
      <c r="I108" s="60">
        <v>2476.830078</v>
      </c>
      <c r="J108" s="68">
        <v>12297.719727</v>
      </c>
      <c r="K108" s="68">
        <v>19952.330077999999</v>
      </c>
      <c r="L108" s="69">
        <v>10448.959999999999</v>
      </c>
      <c r="M108" s="68">
        <v>1257.7</v>
      </c>
      <c r="N108" s="68">
        <v>52.48</v>
      </c>
      <c r="O108" s="68">
        <v>2636.9</v>
      </c>
      <c r="P108" s="68">
        <v>2832</v>
      </c>
      <c r="Q108" s="68">
        <v>223.07299800000001</v>
      </c>
    </row>
    <row r="109" spans="1:17" x14ac:dyDescent="0.2">
      <c r="A109" s="66">
        <v>42958</v>
      </c>
      <c r="B109" s="67">
        <v>1.1820999999999999</v>
      </c>
      <c r="C109" s="68">
        <v>109.19</v>
      </c>
      <c r="D109" s="67">
        <v>1.13689</v>
      </c>
      <c r="E109" s="68">
        <v>2.1890000000000001</v>
      </c>
      <c r="F109" s="68">
        <v>0.36799999999999999</v>
      </c>
      <c r="G109" s="68">
        <v>6.3E-2</v>
      </c>
      <c r="H109" s="68">
        <v>-0.161</v>
      </c>
      <c r="I109" s="60">
        <v>2441.320068</v>
      </c>
      <c r="J109" s="68">
        <v>12014.059569999999</v>
      </c>
      <c r="K109" s="68">
        <v>19729.740234000001</v>
      </c>
      <c r="L109" s="69">
        <v>10112.23</v>
      </c>
      <c r="M109" s="68">
        <v>1286.0999999999999</v>
      </c>
      <c r="N109" s="68">
        <v>51.47</v>
      </c>
      <c r="O109" s="68">
        <v>2562.54</v>
      </c>
      <c r="P109" s="68">
        <v>3588.05</v>
      </c>
      <c r="Q109" s="68">
        <v>308.864014</v>
      </c>
    </row>
    <row r="110" spans="1:17" x14ac:dyDescent="0.2">
      <c r="A110" s="66">
        <v>42965</v>
      </c>
      <c r="B110" s="67">
        <v>1.1760999999999999</v>
      </c>
      <c r="C110" s="68">
        <v>109.18</v>
      </c>
      <c r="D110" s="67">
        <v>1.13459</v>
      </c>
      <c r="E110" s="68">
        <v>2.194</v>
      </c>
      <c r="F110" s="68">
        <v>0.38800000000000001</v>
      </c>
      <c r="G110" s="68">
        <v>3.3000000000000002E-2</v>
      </c>
      <c r="H110" s="68">
        <v>-8.4000000000000005E-2</v>
      </c>
      <c r="I110" s="60">
        <v>2425.5500489999999</v>
      </c>
      <c r="J110" s="68">
        <v>12165.190430000001</v>
      </c>
      <c r="K110" s="68">
        <v>19470.410156000002</v>
      </c>
      <c r="L110" s="69">
        <v>10123.34</v>
      </c>
      <c r="M110" s="68">
        <v>1295.8</v>
      </c>
      <c r="N110" s="68">
        <v>50.96</v>
      </c>
      <c r="O110" s="68">
        <v>2574.8000000000002</v>
      </c>
      <c r="P110" s="68">
        <v>4022.75</v>
      </c>
      <c r="Q110" s="68">
        <v>295.58999599999999</v>
      </c>
    </row>
    <row r="111" spans="1:17" x14ac:dyDescent="0.2">
      <c r="A111" s="66">
        <v>42972</v>
      </c>
      <c r="B111" s="67">
        <v>1.1923999999999999</v>
      </c>
      <c r="C111" s="68">
        <v>109.36</v>
      </c>
      <c r="D111" s="67">
        <v>1.13937</v>
      </c>
      <c r="E111" s="68">
        <v>2.169</v>
      </c>
      <c r="F111" s="68">
        <v>0.38800000000000001</v>
      </c>
      <c r="G111" s="68">
        <v>1.9E-2</v>
      </c>
      <c r="H111" s="68">
        <v>-9.9000000000000005E-2</v>
      </c>
      <c r="I111" s="60">
        <v>2443.0500489999999</v>
      </c>
      <c r="J111" s="68">
        <v>12167.940430000001</v>
      </c>
      <c r="K111" s="68">
        <v>19452.609375</v>
      </c>
      <c r="L111" s="69">
        <v>10165.549999999999</v>
      </c>
      <c r="M111" s="68">
        <v>1285.3</v>
      </c>
      <c r="N111" s="68">
        <v>51.87</v>
      </c>
      <c r="O111" s="68">
        <v>2578.9499999999998</v>
      </c>
      <c r="P111" s="68">
        <v>4329.03</v>
      </c>
      <c r="Q111" s="68">
        <v>331.915009</v>
      </c>
    </row>
    <row r="112" spans="1:17" x14ac:dyDescent="0.2">
      <c r="A112" s="66">
        <v>42979</v>
      </c>
      <c r="B112" s="67">
        <v>1.1859999999999999</v>
      </c>
      <c r="C112" s="68">
        <v>110.25</v>
      </c>
      <c r="D112" s="67">
        <v>1.14408</v>
      </c>
      <c r="E112" s="68">
        <v>2.157</v>
      </c>
      <c r="F112" s="68">
        <v>0.35399999999999998</v>
      </c>
      <c r="G112" s="68">
        <v>-1E-3</v>
      </c>
      <c r="H112" s="68">
        <v>-0.11799999999999999</v>
      </c>
      <c r="I112" s="60">
        <v>2476.5500489999999</v>
      </c>
      <c r="J112" s="68">
        <v>12142.639648</v>
      </c>
      <c r="K112" s="68">
        <v>19691.470702999999</v>
      </c>
      <c r="L112" s="69">
        <v>10200.85</v>
      </c>
      <c r="M112" s="68">
        <v>1320.4</v>
      </c>
      <c r="N112" s="68">
        <v>53.15</v>
      </c>
      <c r="O112" s="68">
        <v>2586.7800000000002</v>
      </c>
      <c r="P112" s="68">
        <v>4880.8500000000004</v>
      </c>
      <c r="Q112" s="68">
        <v>387.74099699999999</v>
      </c>
    </row>
    <row r="113" spans="1:17" x14ac:dyDescent="0.2">
      <c r="A113" s="66">
        <v>42986</v>
      </c>
      <c r="B113" s="67">
        <v>1.2036</v>
      </c>
      <c r="C113" s="68">
        <v>107.84</v>
      </c>
      <c r="D113" s="67">
        <v>1.13659</v>
      </c>
      <c r="E113" s="68">
        <v>2.0609999999999999</v>
      </c>
      <c r="F113" s="68">
        <v>0.31900000000000001</v>
      </c>
      <c r="G113" s="68">
        <v>4.0000000000000001E-3</v>
      </c>
      <c r="H113" s="68">
        <v>-0.13100000000000001</v>
      </c>
      <c r="I113" s="60">
        <v>2461.429932</v>
      </c>
      <c r="J113" s="68">
        <v>12303.980469</v>
      </c>
      <c r="K113" s="68">
        <v>19274.820313</v>
      </c>
      <c r="L113" s="69">
        <v>10175.26</v>
      </c>
      <c r="M113" s="68">
        <v>1346.25</v>
      </c>
      <c r="N113" s="68">
        <v>54.55</v>
      </c>
      <c r="O113" s="68">
        <v>2597.3200000000002</v>
      </c>
      <c r="P113" s="68">
        <v>4247.55</v>
      </c>
      <c r="Q113" s="68">
        <v>296.49700899999999</v>
      </c>
    </row>
    <row r="114" spans="1:17" x14ac:dyDescent="0.2">
      <c r="A114" s="66">
        <v>42993</v>
      </c>
      <c r="B114" s="67">
        <v>1.1945000000000001</v>
      </c>
      <c r="C114" s="68">
        <v>110.83</v>
      </c>
      <c r="D114" s="67">
        <v>1.14649</v>
      </c>
      <c r="E114" s="68">
        <v>2.202</v>
      </c>
      <c r="F114" s="68">
        <v>0.42699999999999999</v>
      </c>
      <c r="G114" s="68">
        <v>2.9000000000000001E-2</v>
      </c>
      <c r="H114" s="68">
        <v>-0.05</v>
      </c>
      <c r="I114" s="60">
        <v>2500.2299800000001</v>
      </c>
      <c r="J114" s="68">
        <v>12518.809569999999</v>
      </c>
      <c r="K114" s="68">
        <v>19909.5</v>
      </c>
      <c r="L114" s="69">
        <v>10306.4</v>
      </c>
      <c r="M114" s="68">
        <v>1322.85</v>
      </c>
      <c r="N114" s="68">
        <v>56.18</v>
      </c>
      <c r="O114" s="68">
        <v>2584.5500000000002</v>
      </c>
      <c r="P114" s="68">
        <v>3722.68</v>
      </c>
      <c r="Q114" s="68">
        <v>250.46400499999999</v>
      </c>
    </row>
    <row r="115" spans="1:17" x14ac:dyDescent="0.2">
      <c r="A115" s="66">
        <v>43000</v>
      </c>
      <c r="B115" s="67">
        <v>1.1951000000000001</v>
      </c>
      <c r="C115" s="68">
        <v>111.99</v>
      </c>
      <c r="D115" s="67">
        <v>1.15808</v>
      </c>
      <c r="E115" s="68">
        <v>2.262</v>
      </c>
      <c r="F115" s="68">
        <v>0.47099999999999997</v>
      </c>
      <c r="G115" s="68">
        <v>3.4000000000000002E-2</v>
      </c>
      <c r="H115" s="68">
        <v>1E-3</v>
      </c>
      <c r="I115" s="60">
        <v>2502.219971</v>
      </c>
      <c r="J115" s="68">
        <v>12592.349609000001</v>
      </c>
      <c r="K115" s="68">
        <v>20296.449218999998</v>
      </c>
      <c r="L115" s="69">
        <v>10421.040000000001</v>
      </c>
      <c r="M115" s="68">
        <v>1294.8</v>
      </c>
      <c r="N115" s="68">
        <v>58.16</v>
      </c>
      <c r="O115" s="68">
        <v>2564.69</v>
      </c>
      <c r="P115" s="68">
        <v>3615.1</v>
      </c>
      <c r="Q115" s="68">
        <v>264.30999800000001</v>
      </c>
    </row>
    <row r="116" spans="1:17" x14ac:dyDescent="0.2">
      <c r="A116" s="66">
        <v>43007</v>
      </c>
      <c r="B116" s="67">
        <v>1.1814</v>
      </c>
      <c r="C116" s="68">
        <v>112.51</v>
      </c>
      <c r="D116" s="67">
        <v>1.1439900000000001</v>
      </c>
      <c r="E116" s="68">
        <v>2.3260000000000001</v>
      </c>
      <c r="F116" s="68">
        <v>0.45600000000000002</v>
      </c>
      <c r="G116" s="68">
        <v>6.8000000000000005E-2</v>
      </c>
      <c r="H116" s="68">
        <v>1.7000000000000001E-2</v>
      </c>
      <c r="I116" s="60">
        <v>2519.360107</v>
      </c>
      <c r="J116" s="68">
        <v>12828.860352</v>
      </c>
      <c r="K116" s="68">
        <v>20356.279297000001</v>
      </c>
      <c r="L116" s="69">
        <v>10447.33</v>
      </c>
      <c r="M116" s="68">
        <v>1283.0999999999999</v>
      </c>
      <c r="N116" s="68">
        <v>57.02</v>
      </c>
      <c r="O116" s="68">
        <v>2580.15</v>
      </c>
      <c r="P116" s="68">
        <v>4171.25</v>
      </c>
      <c r="Q116" s="68">
        <v>291.46701000000002</v>
      </c>
    </row>
    <row r="117" spans="1:17" x14ac:dyDescent="0.2">
      <c r="A117" s="66">
        <v>43014</v>
      </c>
      <c r="B117" s="67">
        <v>1.173</v>
      </c>
      <c r="C117" s="68">
        <v>112.65</v>
      </c>
      <c r="D117" s="67">
        <v>1.14855</v>
      </c>
      <c r="E117" s="68">
        <v>2.37</v>
      </c>
      <c r="F117" s="68">
        <v>0.495</v>
      </c>
      <c r="G117" s="68">
        <v>5.6000000000000001E-2</v>
      </c>
      <c r="H117" s="68">
        <v>2.3E-2</v>
      </c>
      <c r="I117" s="60">
        <v>2549.330078</v>
      </c>
      <c r="J117" s="68">
        <v>12955.940430000001</v>
      </c>
      <c r="K117" s="68">
        <v>20690.710938</v>
      </c>
      <c r="L117" s="69">
        <v>10558.31</v>
      </c>
      <c r="M117" s="68">
        <v>1261.8</v>
      </c>
      <c r="N117" s="68">
        <v>55.5</v>
      </c>
      <c r="O117" s="68">
        <v>2561.9499999999998</v>
      </c>
      <c r="P117" s="68">
        <v>4339.3999999999996</v>
      </c>
      <c r="Q117" s="68">
        <v>308.58801299999999</v>
      </c>
    </row>
    <row r="118" spans="1:17" x14ac:dyDescent="0.2">
      <c r="A118" s="66">
        <v>43021</v>
      </c>
      <c r="B118" s="67">
        <v>1.1819999999999999</v>
      </c>
      <c r="C118" s="68">
        <v>111.82</v>
      </c>
      <c r="D118" s="67">
        <v>1.15191</v>
      </c>
      <c r="E118" s="68">
        <v>2.2799999999999998</v>
      </c>
      <c r="F118" s="68">
        <v>0.441</v>
      </c>
      <c r="G118" s="68">
        <v>6.4000000000000001E-2</v>
      </c>
      <c r="H118" s="68">
        <v>-6.0000000000000001E-3</v>
      </c>
      <c r="I118" s="60">
        <v>2553.169922</v>
      </c>
      <c r="J118" s="68">
        <v>12991.870117</v>
      </c>
      <c r="K118" s="68">
        <v>21155.179688</v>
      </c>
      <c r="L118" s="69">
        <v>10643.34</v>
      </c>
      <c r="M118" s="68">
        <v>1299.5999999999999</v>
      </c>
      <c r="N118" s="68">
        <v>56.86</v>
      </c>
      <c r="O118" s="68">
        <v>2561.63</v>
      </c>
      <c r="P118" s="68">
        <v>5614.63</v>
      </c>
      <c r="Q118" s="68">
        <v>338.75698899999998</v>
      </c>
    </row>
    <row r="119" spans="1:17" x14ac:dyDescent="0.2">
      <c r="A119" s="66">
        <v>43028</v>
      </c>
      <c r="B119" s="67">
        <v>1.1783999999999999</v>
      </c>
      <c r="C119" s="68">
        <v>113.52</v>
      </c>
      <c r="D119" s="67">
        <v>1.16018</v>
      </c>
      <c r="E119" s="68">
        <v>2.3809999999999998</v>
      </c>
      <c r="F119" s="68">
        <v>0.45700000000000002</v>
      </c>
      <c r="G119" s="68">
        <v>7.4999999999999997E-2</v>
      </c>
      <c r="H119" s="68">
        <v>-6.0000000000000001E-3</v>
      </c>
      <c r="I119" s="60">
        <v>2575.209961</v>
      </c>
      <c r="J119" s="68">
        <v>12991.280273</v>
      </c>
      <c r="K119" s="68">
        <v>21457.640625</v>
      </c>
      <c r="L119" s="69">
        <v>10554.08</v>
      </c>
      <c r="M119" s="68">
        <v>1281.2</v>
      </c>
      <c r="N119" s="68">
        <v>57.89</v>
      </c>
      <c r="O119" s="68">
        <v>2538.37</v>
      </c>
      <c r="P119" s="68">
        <v>5973.19</v>
      </c>
      <c r="Q119" s="68">
        <v>304.006012</v>
      </c>
    </row>
    <row r="120" spans="1:17" x14ac:dyDescent="0.2">
      <c r="A120" s="66">
        <v>43035</v>
      </c>
      <c r="B120" s="67">
        <v>1.1608000000000001</v>
      </c>
      <c r="C120" s="68">
        <v>113.67</v>
      </c>
      <c r="D120" s="67">
        <v>1.1586000000000001</v>
      </c>
      <c r="E120" s="68">
        <v>2.4279999999999999</v>
      </c>
      <c r="F120" s="68">
        <v>0.439</v>
      </c>
      <c r="G120" s="68">
        <v>7.2999999999999995E-2</v>
      </c>
      <c r="H120" s="68">
        <v>5.0000000000000001E-3</v>
      </c>
      <c r="I120" s="60">
        <v>2581.070068</v>
      </c>
      <c r="J120" s="68">
        <v>13217.540039</v>
      </c>
      <c r="K120" s="68">
        <v>22008.449218999998</v>
      </c>
      <c r="L120" s="69">
        <v>10531.06</v>
      </c>
      <c r="M120" s="68">
        <v>1266.45</v>
      </c>
      <c r="N120" s="68">
        <v>60.15</v>
      </c>
      <c r="O120" s="68">
        <v>2520.9</v>
      </c>
      <c r="P120" s="68">
        <v>5753.71</v>
      </c>
      <c r="Q120" s="68">
        <v>297.42300399999999</v>
      </c>
    </row>
    <row r="121" spans="1:17" x14ac:dyDescent="0.2">
      <c r="A121" s="66">
        <v>43042</v>
      </c>
      <c r="B121" s="67">
        <v>1.1608000000000001</v>
      </c>
      <c r="C121" s="68">
        <v>114.07</v>
      </c>
      <c r="D121" s="67">
        <v>1.16167</v>
      </c>
      <c r="E121" s="68">
        <v>2.343</v>
      </c>
      <c r="F121" s="68">
        <v>0.39500000000000002</v>
      </c>
      <c r="G121" s="68">
        <v>5.5E-2</v>
      </c>
      <c r="H121" s="68">
        <v>-4.4999999999999998E-2</v>
      </c>
      <c r="I121" s="60">
        <v>2587.8400879999999</v>
      </c>
      <c r="J121" s="68">
        <v>13478.860352</v>
      </c>
      <c r="K121" s="68">
        <v>22539.119140999999</v>
      </c>
      <c r="L121" s="69">
        <v>10691.91</v>
      </c>
      <c r="M121" s="68">
        <v>1267.2</v>
      </c>
      <c r="N121" s="68">
        <v>61.42</v>
      </c>
      <c r="O121" s="68">
        <v>2565.9</v>
      </c>
      <c r="P121" s="68">
        <v>7228.65</v>
      </c>
      <c r="Q121" s="68">
        <v>305.71099900000002</v>
      </c>
    </row>
    <row r="122" spans="1:17" x14ac:dyDescent="0.2">
      <c r="A122" s="66">
        <v>43049</v>
      </c>
      <c r="B122" s="67">
        <v>1.1665000000000001</v>
      </c>
      <c r="C122" s="68">
        <v>113.53</v>
      </c>
      <c r="D122" s="67">
        <v>1.16184</v>
      </c>
      <c r="E122" s="68">
        <v>2.4</v>
      </c>
      <c r="F122" s="68">
        <v>0.432</v>
      </c>
      <c r="G122" s="68">
        <v>4.2999999999999997E-2</v>
      </c>
      <c r="H122" s="68">
        <v>-3.2000000000000001E-2</v>
      </c>
      <c r="I122" s="60">
        <v>2582.3000489999999</v>
      </c>
      <c r="J122" s="68">
        <v>13127.469727</v>
      </c>
      <c r="K122" s="68">
        <v>22681.419922000001</v>
      </c>
      <c r="L122" s="69">
        <v>10483.15</v>
      </c>
      <c r="M122" s="68">
        <v>1284.3</v>
      </c>
      <c r="N122" s="68">
        <v>64.349999999999994</v>
      </c>
      <c r="O122" s="68">
        <v>2533.69</v>
      </c>
      <c r="P122" s="68">
        <v>6581.82</v>
      </c>
      <c r="Q122" s="68">
        <v>299.25299100000001</v>
      </c>
    </row>
    <row r="123" spans="1:17" x14ac:dyDescent="0.2">
      <c r="A123" s="66">
        <v>43056</v>
      </c>
      <c r="B123" s="67">
        <v>1.179</v>
      </c>
      <c r="C123" s="68">
        <v>112.1</v>
      </c>
      <c r="D123" s="67">
        <v>1.1659299999999999</v>
      </c>
      <c r="E123" s="68">
        <v>2.3540000000000001</v>
      </c>
      <c r="F123" s="68">
        <v>0.41799999999999998</v>
      </c>
      <c r="G123" s="68">
        <v>3.5999999999999997E-2</v>
      </c>
      <c r="H123" s="68">
        <v>-5.6000000000000001E-2</v>
      </c>
      <c r="I123" s="60">
        <v>2578.8500979999999</v>
      </c>
      <c r="J123" s="68">
        <v>12993.730469</v>
      </c>
      <c r="K123" s="68">
        <v>22396.800781000002</v>
      </c>
      <c r="L123" s="69">
        <v>10533.22</v>
      </c>
      <c r="M123" s="68">
        <v>1284.3499999999999</v>
      </c>
      <c r="N123" s="68">
        <v>61.34</v>
      </c>
      <c r="O123" s="68">
        <v>2538.59</v>
      </c>
      <c r="P123" s="68">
        <v>7701.88</v>
      </c>
      <c r="Q123" s="68">
        <v>332.39401199999998</v>
      </c>
    </row>
    <row r="124" spans="1:17" x14ac:dyDescent="0.2">
      <c r="A124" s="66">
        <v>43063</v>
      </c>
      <c r="B124" s="67">
        <v>1.1933</v>
      </c>
      <c r="C124" s="68">
        <v>111.53</v>
      </c>
      <c r="D124" s="67">
        <v>1.1689099999999999</v>
      </c>
      <c r="E124" s="68">
        <v>2.3220000000000001</v>
      </c>
      <c r="F124" s="68">
        <v>0.41199999999999998</v>
      </c>
      <c r="G124" s="68">
        <v>2.9000000000000001E-2</v>
      </c>
      <c r="H124" s="68">
        <v>-7.0000000000000007E-2</v>
      </c>
      <c r="I124" s="60">
        <v>2602.419922</v>
      </c>
      <c r="J124" s="68">
        <v>13059.839844</v>
      </c>
      <c r="K124" s="68">
        <v>22550.849609000001</v>
      </c>
      <c r="L124" s="69">
        <v>10688.03</v>
      </c>
      <c r="M124" s="68">
        <v>1290.5</v>
      </c>
      <c r="N124" s="68">
        <v>63.58</v>
      </c>
      <c r="O124" s="68">
        <v>2536.34</v>
      </c>
      <c r="P124" s="68">
        <v>8249.34</v>
      </c>
      <c r="Q124" s="68">
        <v>474.91101099999997</v>
      </c>
    </row>
    <row r="125" spans="1:17" x14ac:dyDescent="0.2">
      <c r="A125" s="66">
        <v>43070</v>
      </c>
      <c r="B125" s="67">
        <v>1.1896</v>
      </c>
      <c r="C125" s="68">
        <v>112.17</v>
      </c>
      <c r="D125" s="67">
        <v>1.1613800000000001</v>
      </c>
      <c r="E125" s="68">
        <v>2.3620000000000001</v>
      </c>
      <c r="F125" s="68">
        <v>0.38400000000000001</v>
      </c>
      <c r="G125" s="68">
        <v>3.5000000000000003E-2</v>
      </c>
      <c r="H125" s="68">
        <v>-7.9000000000000001E-2</v>
      </c>
      <c r="I125" s="60">
        <v>2642.219971</v>
      </c>
      <c r="J125" s="68">
        <v>12861.490234000001</v>
      </c>
      <c r="K125" s="68">
        <v>22819.029297000001</v>
      </c>
      <c r="L125" s="69">
        <v>10618.31</v>
      </c>
      <c r="M125" s="68">
        <v>1275.5</v>
      </c>
      <c r="N125" s="68">
        <v>64.569999999999993</v>
      </c>
      <c r="O125" s="68">
        <v>2507.61</v>
      </c>
      <c r="P125" s="68">
        <v>10899.25</v>
      </c>
      <c r="Q125" s="68">
        <v>466.540009</v>
      </c>
    </row>
    <row r="126" spans="1:17" x14ac:dyDescent="0.2">
      <c r="A126" s="66">
        <v>43077</v>
      </c>
      <c r="B126" s="67">
        <v>1.1773</v>
      </c>
      <c r="C126" s="68">
        <v>113.48</v>
      </c>
      <c r="D126" s="67">
        <v>1.1691100000000001</v>
      </c>
      <c r="E126" s="68">
        <v>2.383</v>
      </c>
      <c r="F126" s="68">
        <v>0.35699999999999998</v>
      </c>
      <c r="G126" s="68">
        <v>5.2999999999999999E-2</v>
      </c>
      <c r="H126" s="68">
        <v>-0.12</v>
      </c>
      <c r="I126" s="60">
        <v>2651.5</v>
      </c>
      <c r="J126" s="68">
        <v>13153.700194999999</v>
      </c>
      <c r="K126" s="68">
        <v>22811.080077999999</v>
      </c>
      <c r="L126" s="69">
        <v>10690.2</v>
      </c>
      <c r="M126" s="68">
        <v>1250.6500000000001</v>
      </c>
      <c r="N126" s="68">
        <v>63.86</v>
      </c>
      <c r="O126" s="68">
        <v>2549.1</v>
      </c>
      <c r="P126" s="68">
        <v>15644</v>
      </c>
      <c r="Q126" s="68">
        <v>456.03100599999999</v>
      </c>
    </row>
    <row r="127" spans="1:17" x14ac:dyDescent="0.2">
      <c r="A127" s="66">
        <v>43084</v>
      </c>
      <c r="B127" s="67">
        <v>1.1749000000000001</v>
      </c>
      <c r="C127" s="68">
        <v>112.6</v>
      </c>
      <c r="D127" s="67">
        <v>1.1644700000000001</v>
      </c>
      <c r="E127" s="68">
        <v>2.355</v>
      </c>
      <c r="F127" s="68">
        <v>0.34399999999999997</v>
      </c>
      <c r="G127" s="68">
        <v>4.5999999999999999E-2</v>
      </c>
      <c r="H127" s="68">
        <v>-0.14699999999999999</v>
      </c>
      <c r="I127" s="60">
        <v>2675.8100589999999</v>
      </c>
      <c r="J127" s="68">
        <v>13103.559569999999</v>
      </c>
      <c r="K127" s="68">
        <v>22553.220702999999</v>
      </c>
      <c r="L127" s="69">
        <v>10748.35</v>
      </c>
      <c r="M127" s="68">
        <v>1254.5999999999999</v>
      </c>
      <c r="N127" s="68">
        <v>63.81</v>
      </c>
      <c r="O127" s="68">
        <v>2586.5300000000002</v>
      </c>
      <c r="P127" s="68">
        <v>17630.12</v>
      </c>
      <c r="Q127" s="68">
        <v>684.44799799999998</v>
      </c>
    </row>
    <row r="128" spans="1:17" x14ac:dyDescent="0.2">
      <c r="A128" s="66">
        <v>43091</v>
      </c>
      <c r="B128" s="67">
        <v>1.1861999999999999</v>
      </c>
      <c r="C128" s="68">
        <v>113.29</v>
      </c>
      <c r="D128" s="67">
        <v>1.1727400000000001</v>
      </c>
      <c r="E128" s="68">
        <v>2.4849999999999999</v>
      </c>
      <c r="F128" s="68">
        <v>0.46400000000000002</v>
      </c>
      <c r="G128" s="68">
        <v>4.8000000000000001E-2</v>
      </c>
      <c r="H128" s="68">
        <v>-8.5999999999999993E-2</v>
      </c>
      <c r="I128" s="60">
        <v>2683.3400879999999</v>
      </c>
      <c r="J128" s="68">
        <v>13072.790039</v>
      </c>
      <c r="K128" s="68">
        <v>22902.759765999999</v>
      </c>
      <c r="L128" s="69">
        <v>10756.39</v>
      </c>
      <c r="M128" s="68">
        <v>1264.55</v>
      </c>
      <c r="N128" s="68">
        <v>64.61</v>
      </c>
      <c r="O128" s="68">
        <v>2590.4</v>
      </c>
      <c r="P128" s="68">
        <v>14239.65</v>
      </c>
      <c r="Q128" s="68">
        <v>674.85998500000005</v>
      </c>
    </row>
    <row r="129" spans="1:17" x14ac:dyDescent="0.2">
      <c r="A129" s="66">
        <v>43098</v>
      </c>
      <c r="B129" s="67">
        <v>1.2004999999999999</v>
      </c>
      <c r="C129" s="68">
        <v>112.69</v>
      </c>
      <c r="D129" s="67">
        <v>1.1702900000000001</v>
      </c>
      <c r="E129" s="68">
        <v>2.4049999999999998</v>
      </c>
      <c r="F129" s="68">
        <v>0.47799999999999998</v>
      </c>
      <c r="G129" s="68">
        <v>4.8000000000000001E-2</v>
      </c>
      <c r="H129" s="68">
        <v>-9.5000000000000001E-2</v>
      </c>
      <c r="I129" s="60">
        <v>2673.610107</v>
      </c>
      <c r="J129" s="68">
        <v>12917.639648</v>
      </c>
      <c r="K129" s="68">
        <v>22764.939452999999</v>
      </c>
      <c r="L129" s="69">
        <v>10751.51</v>
      </c>
      <c r="M129" s="68">
        <v>1291</v>
      </c>
      <c r="N129" s="68">
        <v>66.73</v>
      </c>
      <c r="O129" s="68">
        <v>2629.5</v>
      </c>
      <c r="P129" s="68">
        <v>14310.94</v>
      </c>
      <c r="Q129" s="68">
        <v>753.59198000000004</v>
      </c>
    </row>
    <row r="130" spans="1:17" x14ac:dyDescent="0.2">
      <c r="A130" s="66">
        <v>43105</v>
      </c>
      <c r="B130" s="67">
        <v>1.2029000000000001</v>
      </c>
      <c r="C130" s="68">
        <v>113.05</v>
      </c>
      <c r="D130" s="67">
        <v>1.1726000000000001</v>
      </c>
      <c r="E130" s="68">
        <v>2.476</v>
      </c>
      <c r="F130" s="68">
        <v>0.48899999999999999</v>
      </c>
      <c r="G130" s="68">
        <v>6.3E-2</v>
      </c>
      <c r="H130" s="68">
        <v>-0.106</v>
      </c>
      <c r="I130" s="60">
        <v>2743.1499020000001</v>
      </c>
      <c r="J130" s="68">
        <v>13319.639648</v>
      </c>
      <c r="K130" s="68">
        <v>23714.529297000001</v>
      </c>
      <c r="L130" s="69">
        <v>10955.4</v>
      </c>
      <c r="M130" s="68">
        <v>1317.15</v>
      </c>
      <c r="N130" s="68">
        <v>68.010000000000005</v>
      </c>
      <c r="O130" s="68">
        <v>2653.29</v>
      </c>
      <c r="P130" s="68">
        <v>16753.23</v>
      </c>
      <c r="Q130" s="68">
        <v>997.71997099999999</v>
      </c>
    </row>
    <row r="131" spans="1:17" x14ac:dyDescent="0.2">
      <c r="A131" s="66">
        <v>43112</v>
      </c>
      <c r="B131" s="67">
        <v>1.2202</v>
      </c>
      <c r="C131" s="68">
        <v>111.06</v>
      </c>
      <c r="D131" s="67">
        <v>1.1799599999999999</v>
      </c>
      <c r="E131" s="68">
        <v>2.552</v>
      </c>
      <c r="F131" s="68">
        <v>0.58299999999999996</v>
      </c>
      <c r="G131" s="68">
        <v>7.8E-2</v>
      </c>
      <c r="H131" s="68">
        <v>1.9E-2</v>
      </c>
      <c r="I131" s="60">
        <v>2786.23999</v>
      </c>
      <c r="J131" s="68">
        <v>13245.030273</v>
      </c>
      <c r="K131" s="68">
        <v>23653.820313</v>
      </c>
      <c r="L131" s="69">
        <v>10951.73</v>
      </c>
      <c r="M131" s="68">
        <v>1326.8</v>
      </c>
      <c r="N131" s="68">
        <v>69.64</v>
      </c>
      <c r="O131" s="68">
        <v>2621.3200000000002</v>
      </c>
      <c r="P131" s="68">
        <v>13746.58</v>
      </c>
      <c r="Q131" s="68">
        <v>1273.1999510000001</v>
      </c>
    </row>
    <row r="132" spans="1:17" x14ac:dyDescent="0.2">
      <c r="A132" s="66">
        <v>43119</v>
      </c>
      <c r="B132" s="67">
        <v>1.2222</v>
      </c>
      <c r="C132" s="68">
        <v>110.77</v>
      </c>
      <c r="D132" s="67">
        <v>1.1777299999999999</v>
      </c>
      <c r="E132" s="68">
        <v>2.637</v>
      </c>
      <c r="F132" s="68">
        <v>0.58899999999999997</v>
      </c>
      <c r="G132" s="68">
        <v>8.5000000000000006E-2</v>
      </c>
      <c r="H132" s="68">
        <v>2.1999999999999999E-2</v>
      </c>
      <c r="I132" s="60">
        <v>2810.3000489999999</v>
      </c>
      <c r="J132" s="68">
        <v>13434.450194999999</v>
      </c>
      <c r="K132" s="68">
        <v>23808.060547000001</v>
      </c>
      <c r="L132" s="69">
        <v>10935.16</v>
      </c>
      <c r="M132" s="68">
        <v>1334.95</v>
      </c>
      <c r="N132" s="68">
        <v>68.56</v>
      </c>
      <c r="O132" s="68">
        <v>2630.16</v>
      </c>
      <c r="P132" s="68">
        <v>11366.61</v>
      </c>
      <c r="Q132" s="68">
        <v>1039.099976</v>
      </c>
    </row>
    <row r="133" spans="1:17" x14ac:dyDescent="0.2">
      <c r="A133" s="66">
        <v>43126</v>
      </c>
      <c r="B133" s="67">
        <v>1.2426999999999999</v>
      </c>
      <c r="C133" s="68">
        <v>108.58</v>
      </c>
      <c r="D133" s="67">
        <v>1.16096</v>
      </c>
      <c r="E133" s="68">
        <v>2.6619999999999999</v>
      </c>
      <c r="F133" s="68">
        <v>0.60199999999999998</v>
      </c>
      <c r="G133" s="68">
        <v>7.8E-2</v>
      </c>
      <c r="H133" s="68">
        <v>6.3E-2</v>
      </c>
      <c r="I133" s="60">
        <v>2872.8701169999999</v>
      </c>
      <c r="J133" s="68">
        <v>13340.169921999999</v>
      </c>
      <c r="K133" s="68">
        <v>23631.880859000001</v>
      </c>
      <c r="L133" s="69">
        <v>10922.9</v>
      </c>
      <c r="M133" s="68">
        <v>1353.15</v>
      </c>
      <c r="N133" s="68">
        <v>70.08</v>
      </c>
      <c r="O133" s="68">
        <v>2633.71</v>
      </c>
      <c r="P133" s="68">
        <v>10874.79</v>
      </c>
      <c r="Q133" s="68">
        <v>1055.170044</v>
      </c>
    </row>
    <row r="134" spans="1:17" x14ac:dyDescent="0.2">
      <c r="A134" s="66">
        <v>43133</v>
      </c>
      <c r="B134" s="67">
        <v>1.2463</v>
      </c>
      <c r="C134" s="68">
        <v>110.17</v>
      </c>
      <c r="D134" s="67">
        <v>1.1608000000000001</v>
      </c>
      <c r="E134" s="68">
        <v>2.8540000000000001</v>
      </c>
      <c r="F134" s="68">
        <v>0.755</v>
      </c>
      <c r="G134" s="68">
        <v>8.5999999999999993E-2</v>
      </c>
      <c r="H134" s="68">
        <v>0.17499999999999999</v>
      </c>
      <c r="I134" s="60">
        <v>2762.1298830000001</v>
      </c>
      <c r="J134" s="68">
        <v>12785.160156</v>
      </c>
      <c r="K134" s="68">
        <v>23274.529297000001</v>
      </c>
      <c r="L134" s="69">
        <v>10604.43</v>
      </c>
      <c r="M134" s="68">
        <v>1331.15</v>
      </c>
      <c r="N134" s="68">
        <v>67.45</v>
      </c>
      <c r="O134" s="68">
        <v>2590.29</v>
      </c>
      <c r="P134" s="68">
        <v>8570</v>
      </c>
      <c r="Q134" s="68">
        <v>915.78497300000004</v>
      </c>
    </row>
    <row r="135" spans="1:17" x14ac:dyDescent="0.2">
      <c r="A135" s="66">
        <v>43140</v>
      </c>
      <c r="B135" s="67">
        <v>1.2252000000000001</v>
      </c>
      <c r="C135" s="68">
        <v>108.8</v>
      </c>
      <c r="D135" s="67">
        <v>1.1511899999999999</v>
      </c>
      <c r="E135" s="68">
        <v>2.8290000000000002</v>
      </c>
      <c r="F135" s="68">
        <v>0.77</v>
      </c>
      <c r="G135" s="68">
        <v>6.6000000000000003E-2</v>
      </c>
      <c r="H135" s="68">
        <v>0.214</v>
      </c>
      <c r="I135" s="60">
        <v>2619.5500489999999</v>
      </c>
      <c r="J135" s="68">
        <v>12107.480469</v>
      </c>
      <c r="K135" s="68">
        <v>21382.619140999999</v>
      </c>
      <c r="L135" s="69">
        <v>10007.049999999999</v>
      </c>
      <c r="M135" s="68">
        <v>1314.1</v>
      </c>
      <c r="N135" s="68">
        <v>63.04</v>
      </c>
      <c r="O135" s="68">
        <v>2480.79</v>
      </c>
      <c r="P135" s="68">
        <v>8552.65</v>
      </c>
      <c r="Q135" s="68">
        <v>883.86499000000003</v>
      </c>
    </row>
    <row r="136" spans="1:17" x14ac:dyDescent="0.2">
      <c r="A136" s="66">
        <v>43147</v>
      </c>
      <c r="B136" s="67">
        <v>1.2405999999999999</v>
      </c>
      <c r="C136" s="68">
        <v>106.21</v>
      </c>
      <c r="D136" s="67">
        <v>1.1511199999999999</v>
      </c>
      <c r="E136" s="68">
        <v>2.8769999999999998</v>
      </c>
      <c r="F136" s="68">
        <v>0.77800000000000002</v>
      </c>
      <c r="G136" s="68">
        <v>5.8999999999999997E-2</v>
      </c>
      <c r="H136" s="68">
        <v>0.20499999999999999</v>
      </c>
      <c r="I136" s="60">
        <v>2732.219971</v>
      </c>
      <c r="J136" s="68">
        <v>12451.959961</v>
      </c>
      <c r="K136" s="68">
        <v>21720.25</v>
      </c>
      <c r="L136" s="69">
        <v>10353.58</v>
      </c>
      <c r="M136" s="68">
        <v>1352.1</v>
      </c>
      <c r="N136" s="68">
        <v>64.3</v>
      </c>
      <c r="O136" s="68">
        <v>2554.75</v>
      </c>
      <c r="P136" s="68">
        <v>10088.200000000001</v>
      </c>
      <c r="Q136" s="68">
        <v>944.21002199999998</v>
      </c>
    </row>
    <row r="137" spans="1:17" x14ac:dyDescent="0.2">
      <c r="A137" s="66">
        <v>43154</v>
      </c>
      <c r="B137" s="67">
        <v>1.2295</v>
      </c>
      <c r="C137" s="68">
        <v>106.89</v>
      </c>
      <c r="D137" s="67">
        <v>1.1511499999999999</v>
      </c>
      <c r="E137" s="68">
        <v>2.871</v>
      </c>
      <c r="F137" s="68">
        <v>0.70499999999999996</v>
      </c>
      <c r="G137" s="68">
        <v>5.2999999999999999E-2</v>
      </c>
      <c r="H137" s="68">
        <v>0.14399999999999999</v>
      </c>
      <c r="I137" s="60">
        <v>2747.3000489999999</v>
      </c>
      <c r="J137" s="68">
        <v>12483.790039</v>
      </c>
      <c r="K137" s="68">
        <v>21892.779297000001</v>
      </c>
      <c r="L137" s="69">
        <v>10305.94</v>
      </c>
      <c r="M137" s="68">
        <v>1327.95</v>
      </c>
      <c r="N137" s="68">
        <v>67.040000000000006</v>
      </c>
      <c r="O137" s="68">
        <v>2571.15</v>
      </c>
      <c r="P137" s="68">
        <v>9920.01</v>
      </c>
      <c r="Q137" s="68">
        <v>864.18902600000001</v>
      </c>
    </row>
    <row r="138" spans="1:17" x14ac:dyDescent="0.2">
      <c r="A138" s="66">
        <v>43161</v>
      </c>
      <c r="B138" s="67">
        <v>1.2317</v>
      </c>
      <c r="C138" s="68">
        <v>105.75</v>
      </c>
      <c r="D138" s="67">
        <v>1.15524</v>
      </c>
      <c r="E138" s="68">
        <v>2.8570000000000002</v>
      </c>
      <c r="F138" s="68">
        <v>0.64100000000000001</v>
      </c>
      <c r="G138" s="68">
        <v>6.8000000000000005E-2</v>
      </c>
      <c r="H138" s="68">
        <v>7.3999999999999996E-2</v>
      </c>
      <c r="I138" s="60">
        <v>2691.25</v>
      </c>
      <c r="J138" s="68">
        <v>11913.709961</v>
      </c>
      <c r="K138" s="68">
        <v>21181.640625</v>
      </c>
      <c r="L138" s="69">
        <v>9940.31</v>
      </c>
      <c r="M138" s="68">
        <v>1322.3</v>
      </c>
      <c r="N138" s="68">
        <v>64.260000000000005</v>
      </c>
      <c r="O138" s="68">
        <v>2528.87</v>
      </c>
      <c r="P138" s="68">
        <v>11029.95</v>
      </c>
      <c r="Q138" s="68">
        <v>856.853027</v>
      </c>
    </row>
    <row r="139" spans="1:17" x14ac:dyDescent="0.2">
      <c r="A139" s="66">
        <v>43168</v>
      </c>
      <c r="B139" s="67">
        <v>1.2306999999999999</v>
      </c>
      <c r="C139" s="68">
        <v>106.82</v>
      </c>
      <c r="D139" s="67">
        <v>1.17116</v>
      </c>
      <c r="E139" s="68">
        <v>2.8940000000000001</v>
      </c>
      <c r="F139" s="68">
        <v>0.67400000000000004</v>
      </c>
      <c r="G139" s="68">
        <v>5.2999999999999999E-2</v>
      </c>
      <c r="H139" s="68">
        <v>0.11799999999999999</v>
      </c>
      <c r="I139" s="60">
        <v>2786.570068</v>
      </c>
      <c r="J139" s="68">
        <v>12346.679688</v>
      </c>
      <c r="K139" s="68">
        <v>21469.199218999998</v>
      </c>
      <c r="L139" s="69">
        <v>10353.92</v>
      </c>
      <c r="M139" s="68">
        <v>1320.6</v>
      </c>
      <c r="N139" s="68">
        <v>65.19</v>
      </c>
      <c r="O139" s="68">
        <v>2623.59</v>
      </c>
      <c r="P139" s="68">
        <v>9004.84</v>
      </c>
      <c r="Q139" s="68">
        <v>728.91601600000001</v>
      </c>
    </row>
    <row r="140" spans="1:17" x14ac:dyDescent="0.2">
      <c r="A140" s="66">
        <v>43175</v>
      </c>
      <c r="B140" s="67">
        <v>1.2290000000000001</v>
      </c>
      <c r="C140" s="68">
        <v>106.01</v>
      </c>
      <c r="D140" s="67">
        <v>1.1701299999999999</v>
      </c>
      <c r="E140" s="68">
        <v>2.8479999999999999</v>
      </c>
      <c r="F140" s="68">
        <v>0.59099999999999997</v>
      </c>
      <c r="G140" s="68">
        <v>3.7999999999999999E-2</v>
      </c>
      <c r="H140" s="68">
        <v>0.111</v>
      </c>
      <c r="I140" s="60">
        <v>2752.01001</v>
      </c>
      <c r="J140" s="68">
        <v>12389.580078000001</v>
      </c>
      <c r="K140" s="68">
        <v>21676.509765999999</v>
      </c>
      <c r="L140" s="69">
        <v>10347.08</v>
      </c>
      <c r="M140" s="68">
        <v>1310.0999999999999</v>
      </c>
      <c r="N140" s="68">
        <v>64.680000000000007</v>
      </c>
      <c r="O140" s="68">
        <v>2607.27</v>
      </c>
      <c r="P140" s="68">
        <v>8524.17</v>
      </c>
      <c r="Q140" s="68">
        <v>601.66601600000001</v>
      </c>
    </row>
    <row r="141" spans="1:17" x14ac:dyDescent="0.2">
      <c r="A141" s="66">
        <v>43182</v>
      </c>
      <c r="B141" s="67">
        <v>1.2353000000000001</v>
      </c>
      <c r="C141" s="68">
        <v>104.74</v>
      </c>
      <c r="D141" s="67">
        <v>1.17011</v>
      </c>
      <c r="E141" s="68">
        <v>2.83</v>
      </c>
      <c r="F141" s="68">
        <v>0.54400000000000004</v>
      </c>
      <c r="G141" s="68">
        <v>2.4E-2</v>
      </c>
      <c r="H141" s="68">
        <v>7.3999999999999996E-2</v>
      </c>
      <c r="I141" s="60">
        <v>2588.26001</v>
      </c>
      <c r="J141" s="68">
        <v>11886.309569999999</v>
      </c>
      <c r="K141" s="68">
        <v>20617.859375</v>
      </c>
      <c r="L141" s="69">
        <v>10006.379999999999</v>
      </c>
      <c r="M141" s="68">
        <v>1346.6</v>
      </c>
      <c r="N141" s="68">
        <v>69.03</v>
      </c>
      <c r="O141" s="68">
        <v>2593.2199999999998</v>
      </c>
      <c r="P141" s="68">
        <v>8616.25</v>
      </c>
      <c r="Q141" s="68">
        <v>539.61901899999998</v>
      </c>
    </row>
    <row r="142" spans="1:17" x14ac:dyDescent="0.2">
      <c r="A142" s="66">
        <v>43189</v>
      </c>
      <c r="B142" s="67">
        <v>1.2323999999999999</v>
      </c>
      <c r="C142" s="68">
        <v>106.28</v>
      </c>
      <c r="D142" s="67">
        <v>1.17536</v>
      </c>
      <c r="E142" s="68">
        <v>2.7410000000000001</v>
      </c>
      <c r="F142" s="68">
        <v>0.53100000000000003</v>
      </c>
      <c r="G142" s="68">
        <v>4.9000000000000002E-2</v>
      </c>
      <c r="H142" s="68">
        <v>5.3999999999999999E-2</v>
      </c>
      <c r="I142" s="60">
        <v>2640.8701169999999</v>
      </c>
      <c r="J142" s="68">
        <v>12096.730469</v>
      </c>
      <c r="K142" s="68">
        <v>21454.300781000002</v>
      </c>
      <c r="L142" s="69">
        <v>10189.89</v>
      </c>
      <c r="M142" s="68">
        <v>1323.85</v>
      </c>
      <c r="N142" s="68">
        <v>69.02</v>
      </c>
      <c r="O142" s="68">
        <v>2641.86</v>
      </c>
      <c r="P142" s="68">
        <v>6852.51</v>
      </c>
      <c r="Q142" s="68">
        <v>394.64498900000001</v>
      </c>
    </row>
    <row r="143" spans="1:17" x14ac:dyDescent="0.2">
      <c r="A143" s="66">
        <v>43196</v>
      </c>
      <c r="B143" s="67">
        <v>1.2281</v>
      </c>
      <c r="C143" s="68">
        <v>106.93</v>
      </c>
      <c r="D143" s="67">
        <v>1.17787</v>
      </c>
      <c r="E143" s="68">
        <v>2.7749999999999999</v>
      </c>
      <c r="F143" s="68">
        <v>0.53900000000000003</v>
      </c>
      <c r="G143" s="68">
        <v>4.5999999999999999E-2</v>
      </c>
      <c r="H143" s="68">
        <v>4.7E-2</v>
      </c>
      <c r="I143" s="60">
        <v>2604.469971</v>
      </c>
      <c r="J143" s="68">
        <v>12241.269531</v>
      </c>
      <c r="K143" s="68">
        <v>21567.519531000002</v>
      </c>
      <c r="L143" s="69">
        <v>10166.27</v>
      </c>
      <c r="M143" s="68">
        <v>1331.2</v>
      </c>
      <c r="N143" s="68">
        <v>66.510000000000005</v>
      </c>
      <c r="O143" s="68">
        <v>2665.76</v>
      </c>
      <c r="P143" s="68">
        <v>6604.48</v>
      </c>
      <c r="Q143" s="68">
        <v>370.28500400000001</v>
      </c>
    </row>
    <row r="144" spans="1:17" x14ac:dyDescent="0.2">
      <c r="A144" s="66">
        <v>43203</v>
      </c>
      <c r="B144" s="67">
        <v>1.2331000000000001</v>
      </c>
      <c r="C144" s="68">
        <v>107.35</v>
      </c>
      <c r="D144" s="67">
        <v>1.1868099999999999</v>
      </c>
      <c r="E144" s="68">
        <v>2.8290000000000002</v>
      </c>
      <c r="F144" s="68">
        <v>0.54700000000000004</v>
      </c>
      <c r="G144" s="68">
        <v>3.7999999999999999E-2</v>
      </c>
      <c r="H144" s="68">
        <v>5.0999999999999997E-2</v>
      </c>
      <c r="I144" s="60">
        <v>2656.3000489999999</v>
      </c>
      <c r="J144" s="68">
        <v>12442.400390999999</v>
      </c>
      <c r="K144" s="68">
        <v>21778.740234000001</v>
      </c>
      <c r="L144" s="69">
        <v>10295.280000000001</v>
      </c>
      <c r="M144" s="68">
        <v>1343.7</v>
      </c>
      <c r="N144" s="68">
        <v>73.180000000000007</v>
      </c>
      <c r="O144" s="68">
        <v>2676.54</v>
      </c>
      <c r="P144" s="68">
        <v>7903.91</v>
      </c>
      <c r="Q144" s="68">
        <v>492.73498499999999</v>
      </c>
    </row>
    <row r="145" spans="1:17" x14ac:dyDescent="0.2">
      <c r="A145" s="66">
        <v>43210</v>
      </c>
      <c r="B145" s="67">
        <v>1.2288000000000001</v>
      </c>
      <c r="C145" s="68">
        <v>107.66</v>
      </c>
      <c r="D145" s="67">
        <v>1.1980999999999999</v>
      </c>
      <c r="E145" s="68">
        <v>2.9510000000000001</v>
      </c>
      <c r="F145" s="68">
        <v>0.61799999999999999</v>
      </c>
      <c r="G145" s="68">
        <v>0.06</v>
      </c>
      <c r="H145" s="68">
        <v>0.13600000000000001</v>
      </c>
      <c r="I145" s="60">
        <v>2670.139893</v>
      </c>
      <c r="J145" s="68">
        <v>12540.5</v>
      </c>
      <c r="K145" s="68">
        <v>22162.240234000001</v>
      </c>
      <c r="L145" s="69">
        <v>10409.15</v>
      </c>
      <c r="M145" s="68">
        <v>1336.75</v>
      </c>
      <c r="N145" s="68">
        <v>74.62</v>
      </c>
      <c r="O145" s="68">
        <v>2725.1</v>
      </c>
      <c r="P145" s="68">
        <v>8524.52</v>
      </c>
      <c r="Q145" s="68">
        <v>615.71801800000003</v>
      </c>
    </row>
    <row r="146" spans="1:17" x14ac:dyDescent="0.2">
      <c r="A146" s="66">
        <v>43217</v>
      </c>
      <c r="B146" s="67">
        <v>1.2130000000000001</v>
      </c>
      <c r="C146" s="68">
        <v>109.05</v>
      </c>
      <c r="D146" s="67">
        <v>1.1978200000000001</v>
      </c>
      <c r="E146" s="68">
        <v>2.9569999999999999</v>
      </c>
      <c r="F146" s="68">
        <v>0.59799999999999998</v>
      </c>
      <c r="G146" s="68">
        <v>5.5E-2</v>
      </c>
      <c r="H146" s="68">
        <v>0.123</v>
      </c>
      <c r="I146" s="60">
        <v>2669.9099120000001</v>
      </c>
      <c r="J146" s="68">
        <v>12580.870117</v>
      </c>
      <c r="K146" s="68">
        <v>22467.869140999999</v>
      </c>
      <c r="L146" s="69">
        <v>10485.83</v>
      </c>
      <c r="M146" s="68">
        <v>1321.5</v>
      </c>
      <c r="N146" s="68">
        <v>75.33</v>
      </c>
      <c r="O146" s="68">
        <v>2737.19</v>
      </c>
      <c r="P146" s="68">
        <v>8977.07</v>
      </c>
      <c r="Q146" s="68">
        <v>647.03198199999997</v>
      </c>
    </row>
    <row r="147" spans="1:17" x14ac:dyDescent="0.2">
      <c r="A147" s="66">
        <v>43224</v>
      </c>
      <c r="B147" s="67">
        <v>1.196</v>
      </c>
      <c r="C147" s="68">
        <v>109.12</v>
      </c>
      <c r="D147" s="67">
        <v>1.1960299999999999</v>
      </c>
      <c r="E147" s="68">
        <v>2.944</v>
      </c>
      <c r="F147" s="68">
        <v>0.56699999999999995</v>
      </c>
      <c r="G147" s="68">
        <v>4.4999999999999998E-2</v>
      </c>
      <c r="H147" s="68">
        <v>5.6000000000000001E-2</v>
      </c>
      <c r="I147" s="60">
        <v>2663.419922</v>
      </c>
      <c r="J147" s="68">
        <v>12819.599609000001</v>
      </c>
      <c r="K147" s="68">
        <v>22472.779297000001</v>
      </c>
      <c r="L147" s="69">
        <v>10558.86</v>
      </c>
      <c r="M147" s="68">
        <v>1309.4000000000001</v>
      </c>
      <c r="N147" s="68">
        <v>74.75</v>
      </c>
      <c r="O147" s="68">
        <v>2754.1</v>
      </c>
      <c r="P147" s="68">
        <v>9683.5400000000009</v>
      </c>
      <c r="Q147" s="68">
        <v>785.62402299999997</v>
      </c>
    </row>
    <row r="148" spans="1:17" x14ac:dyDescent="0.2">
      <c r="A148" s="66">
        <v>43231</v>
      </c>
      <c r="B148" s="67">
        <v>1.1942999999999999</v>
      </c>
      <c r="C148" s="68">
        <v>109.39</v>
      </c>
      <c r="D148" s="67">
        <v>1.19482</v>
      </c>
      <c r="E148" s="68">
        <v>2.9710000000000001</v>
      </c>
      <c r="F148" s="68">
        <v>0.57099999999999995</v>
      </c>
      <c r="G148" s="68">
        <v>4.7E-2</v>
      </c>
      <c r="H148" s="68">
        <v>6.9000000000000006E-2</v>
      </c>
      <c r="I148" s="60">
        <v>2727.719971</v>
      </c>
      <c r="J148" s="68">
        <v>13001.240234000001</v>
      </c>
      <c r="K148" s="68">
        <v>22758.480468999998</v>
      </c>
      <c r="L148" s="69">
        <v>10723.13</v>
      </c>
      <c r="M148" s="68">
        <v>1324.35</v>
      </c>
      <c r="N148" s="68">
        <v>77.37</v>
      </c>
      <c r="O148" s="68">
        <v>2778.14</v>
      </c>
      <c r="P148" s="68">
        <v>8432.01</v>
      </c>
      <c r="Q148" s="68">
        <v>679.58599900000002</v>
      </c>
    </row>
    <row r="149" spans="1:17" x14ac:dyDescent="0.2">
      <c r="A149" s="66">
        <v>43238</v>
      </c>
      <c r="B149" s="67">
        <v>1.1772</v>
      </c>
      <c r="C149" s="68">
        <v>110.78</v>
      </c>
      <c r="D149" s="67">
        <v>1.17404</v>
      </c>
      <c r="E149" s="68">
        <v>3.0670000000000002</v>
      </c>
      <c r="F149" s="68">
        <v>0.66600000000000004</v>
      </c>
      <c r="G149" s="68">
        <v>6.0999999999999999E-2</v>
      </c>
      <c r="H149" s="68">
        <v>0.155</v>
      </c>
      <c r="I149" s="60">
        <v>2712.969971</v>
      </c>
      <c r="J149" s="68">
        <v>13077.719727</v>
      </c>
      <c r="K149" s="68">
        <v>22930.359375</v>
      </c>
      <c r="L149" s="69">
        <v>10662.39</v>
      </c>
      <c r="M149" s="68">
        <v>1288.3</v>
      </c>
      <c r="N149" s="68">
        <v>78.38</v>
      </c>
      <c r="O149" s="68">
        <v>2723.17</v>
      </c>
      <c r="P149" s="68">
        <v>8229.58</v>
      </c>
      <c r="Q149" s="68">
        <v>694.36700399999995</v>
      </c>
    </row>
    <row r="150" spans="1:17" x14ac:dyDescent="0.2">
      <c r="A150" s="66">
        <v>43245</v>
      </c>
      <c r="B150" s="67">
        <v>1.1651</v>
      </c>
      <c r="C150" s="68">
        <v>109.41</v>
      </c>
      <c r="D150" s="67">
        <v>1.1537999999999999</v>
      </c>
      <c r="E150" s="68">
        <v>2.931</v>
      </c>
      <c r="F150" s="68">
        <v>0.48899999999999999</v>
      </c>
      <c r="G150" s="68">
        <v>4.1000000000000002E-2</v>
      </c>
      <c r="H150" s="68">
        <v>6.3E-2</v>
      </c>
      <c r="I150" s="60">
        <v>2721.330078</v>
      </c>
      <c r="J150" s="68">
        <v>12938.009765999999</v>
      </c>
      <c r="K150" s="68">
        <v>22450.789063</v>
      </c>
      <c r="L150" s="69">
        <v>10480.92</v>
      </c>
      <c r="M150" s="68">
        <v>1303.5</v>
      </c>
      <c r="N150" s="68">
        <v>76.599999999999994</v>
      </c>
      <c r="O150" s="68">
        <v>2717.6</v>
      </c>
      <c r="P150" s="68">
        <v>7448.08</v>
      </c>
      <c r="Q150" s="68">
        <v>586.73400900000001</v>
      </c>
    </row>
    <row r="151" spans="1:17" x14ac:dyDescent="0.2">
      <c r="A151" s="66">
        <v>43252</v>
      </c>
      <c r="B151" s="67">
        <v>1.1658999999999999</v>
      </c>
      <c r="C151" s="68">
        <v>109.54</v>
      </c>
      <c r="D151" s="67">
        <v>1.1519300000000001</v>
      </c>
      <c r="E151" s="68">
        <v>2.895</v>
      </c>
      <c r="F151" s="68">
        <v>0.41699999999999998</v>
      </c>
      <c r="G151" s="68">
        <v>4.8000000000000001E-2</v>
      </c>
      <c r="H151" s="68">
        <v>-0.03</v>
      </c>
      <c r="I151" s="60">
        <v>2734.6201169999999</v>
      </c>
      <c r="J151" s="68">
        <v>12724.269531</v>
      </c>
      <c r="K151" s="68">
        <v>22171.349609000001</v>
      </c>
      <c r="L151" s="69">
        <v>10333.98</v>
      </c>
      <c r="M151" s="68">
        <v>1294.5999999999999</v>
      </c>
      <c r="N151" s="68">
        <v>74.540000000000006</v>
      </c>
      <c r="O151" s="68">
        <v>2691.65</v>
      </c>
      <c r="P151" s="68">
        <v>7437.74</v>
      </c>
      <c r="Q151" s="68">
        <v>580.04303000000004</v>
      </c>
    </row>
    <row r="152" spans="1:17" x14ac:dyDescent="0.2">
      <c r="A152" s="66">
        <v>43259</v>
      </c>
      <c r="B152" s="67">
        <v>1.1769000000000001</v>
      </c>
      <c r="C152" s="68">
        <v>109.55</v>
      </c>
      <c r="D152" s="67">
        <v>1.15907</v>
      </c>
      <c r="E152" s="68">
        <v>2.9369999999999998</v>
      </c>
      <c r="F152" s="68">
        <v>0.45</v>
      </c>
      <c r="G152" s="68">
        <v>4.7E-2</v>
      </c>
      <c r="H152" s="68">
        <v>0.05</v>
      </c>
      <c r="I152" s="60">
        <v>2779.030029</v>
      </c>
      <c r="J152" s="68">
        <v>12766.549805000001</v>
      </c>
      <c r="K152" s="68">
        <v>22694.5</v>
      </c>
      <c r="L152" s="69">
        <v>10250.69</v>
      </c>
      <c r="M152" s="68">
        <v>1298.25</v>
      </c>
      <c r="N152" s="68">
        <v>75.11</v>
      </c>
      <c r="O152" s="68">
        <v>2692.23</v>
      </c>
      <c r="P152" s="68">
        <v>7646.28</v>
      </c>
      <c r="Q152" s="68">
        <v>601.07702600000005</v>
      </c>
    </row>
    <row r="153" spans="1:17" x14ac:dyDescent="0.2">
      <c r="A153" s="66">
        <v>43266</v>
      </c>
      <c r="B153" s="67">
        <v>1.161</v>
      </c>
      <c r="C153" s="68">
        <v>110.66</v>
      </c>
      <c r="D153" s="67">
        <v>1.1574599999999999</v>
      </c>
      <c r="E153" s="68">
        <v>2.9239999999999999</v>
      </c>
      <c r="F153" s="68">
        <v>0.443</v>
      </c>
      <c r="G153" s="68">
        <v>3.7999999999999999E-2</v>
      </c>
      <c r="H153" s="68">
        <v>6.0000000000000001E-3</v>
      </c>
      <c r="I153" s="60">
        <v>2779.6599120000001</v>
      </c>
      <c r="J153" s="68">
        <v>13010.549805000001</v>
      </c>
      <c r="K153" s="68">
        <v>22851.75</v>
      </c>
      <c r="L153" s="69">
        <v>10399.709999999999</v>
      </c>
      <c r="M153" s="68">
        <v>1285.25</v>
      </c>
      <c r="N153" s="68">
        <v>72.02</v>
      </c>
      <c r="O153" s="68">
        <v>2719.53</v>
      </c>
      <c r="P153" s="68">
        <v>6497.97</v>
      </c>
      <c r="Q153" s="68">
        <v>491.00399800000002</v>
      </c>
    </row>
    <row r="154" spans="1:17" x14ac:dyDescent="0.2">
      <c r="A154" s="66">
        <v>43273</v>
      </c>
      <c r="B154" s="67">
        <v>1.1651</v>
      </c>
      <c r="C154" s="68">
        <v>109.97</v>
      </c>
      <c r="D154" s="67">
        <v>1.15167</v>
      </c>
      <c r="E154" s="68">
        <v>2.9</v>
      </c>
      <c r="F154" s="68">
        <v>0.39800000000000002</v>
      </c>
      <c r="G154" s="68">
        <v>3.5000000000000003E-2</v>
      </c>
      <c r="H154" s="68">
        <v>5.0000000000000001E-3</v>
      </c>
      <c r="I154" s="60">
        <v>2754.8798830000001</v>
      </c>
      <c r="J154" s="68">
        <v>12579.719727</v>
      </c>
      <c r="K154" s="68">
        <v>22516.830077999999</v>
      </c>
      <c r="L154" s="69">
        <v>10335.43</v>
      </c>
      <c r="M154" s="68">
        <v>1269.1500000000001</v>
      </c>
      <c r="N154" s="68">
        <v>73.67</v>
      </c>
      <c r="O154" s="68">
        <v>2706.07</v>
      </c>
      <c r="P154" s="68">
        <v>6070.19</v>
      </c>
      <c r="Q154" s="68">
        <v>465.81698599999999</v>
      </c>
    </row>
    <row r="155" spans="1:17" x14ac:dyDescent="0.2">
      <c r="A155" s="66">
        <v>43280</v>
      </c>
      <c r="B155" s="67">
        <v>1.1684000000000001</v>
      </c>
      <c r="C155" s="68">
        <v>110.76</v>
      </c>
      <c r="D155" s="67">
        <v>1.1570400000000001</v>
      </c>
      <c r="E155" s="68">
        <v>2.8490000000000002</v>
      </c>
      <c r="F155" s="68">
        <v>0.375</v>
      </c>
      <c r="G155" s="68">
        <v>3.5999999999999997E-2</v>
      </c>
      <c r="H155" s="68">
        <v>-1.2E-2</v>
      </c>
      <c r="I155" s="60">
        <v>2718.3701169999999</v>
      </c>
      <c r="J155" s="68">
        <v>12306</v>
      </c>
      <c r="K155" s="68">
        <v>22304.509765999999</v>
      </c>
      <c r="L155" s="69">
        <v>10327.290000000001</v>
      </c>
      <c r="M155" s="68">
        <v>1250.45</v>
      </c>
      <c r="N155" s="68">
        <v>77.44</v>
      </c>
      <c r="O155" s="68">
        <v>2710.1</v>
      </c>
      <c r="P155" s="68">
        <v>5899.63</v>
      </c>
      <c r="Q155" s="68">
        <v>436.00900300000001</v>
      </c>
    </row>
    <row r="156" spans="1:17" x14ac:dyDescent="0.2">
      <c r="A156" s="66">
        <v>43287</v>
      </c>
      <c r="B156" s="67">
        <v>1.1746000000000001</v>
      </c>
      <c r="C156" s="68">
        <v>110.47</v>
      </c>
      <c r="D156" s="67">
        <v>1.1625700000000001</v>
      </c>
      <c r="E156" s="68">
        <v>2.831</v>
      </c>
      <c r="F156" s="68">
        <v>0.33600000000000002</v>
      </c>
      <c r="G156" s="68">
        <v>3.3000000000000002E-2</v>
      </c>
      <c r="H156" s="68">
        <v>-5.3999999999999999E-2</v>
      </c>
      <c r="I156" s="60">
        <v>2759.820068</v>
      </c>
      <c r="J156" s="68">
        <v>12496.169921999999</v>
      </c>
      <c r="K156" s="68">
        <v>21788.140625</v>
      </c>
      <c r="L156" s="69">
        <v>10417.280000000001</v>
      </c>
      <c r="M156" s="68">
        <v>1255.3499999999999</v>
      </c>
      <c r="N156" s="68">
        <v>74.98</v>
      </c>
      <c r="O156" s="68">
        <v>2700.09</v>
      </c>
      <c r="P156" s="68">
        <v>6570.76</v>
      </c>
      <c r="Q156" s="68">
        <v>474.01199300000002</v>
      </c>
    </row>
    <row r="157" spans="1:17" x14ac:dyDescent="0.2">
      <c r="A157" s="66">
        <v>43294</v>
      </c>
      <c r="B157" s="67">
        <v>1.1685000000000001</v>
      </c>
      <c r="C157" s="68">
        <v>112.38</v>
      </c>
      <c r="D157" s="67">
        <v>1.1706300000000001</v>
      </c>
      <c r="E157" s="68">
        <v>2.831</v>
      </c>
      <c r="F157" s="68">
        <v>0.308</v>
      </c>
      <c r="G157" s="68">
        <v>0.04</v>
      </c>
      <c r="H157" s="68">
        <v>-1.7000000000000001E-2</v>
      </c>
      <c r="I157" s="60">
        <v>2801.3100589999999</v>
      </c>
      <c r="J157" s="68">
        <v>12540.730469</v>
      </c>
      <c r="K157" s="68">
        <v>22597.349609000001</v>
      </c>
      <c r="L157" s="69">
        <v>10606.14</v>
      </c>
      <c r="M157" s="68">
        <v>1241.7</v>
      </c>
      <c r="N157" s="68">
        <v>74.11</v>
      </c>
      <c r="O157" s="68">
        <v>2690.93</v>
      </c>
      <c r="P157" s="68">
        <v>6185.23</v>
      </c>
      <c r="Q157" s="68">
        <v>434.02700800000002</v>
      </c>
    </row>
    <row r="158" spans="1:17" x14ac:dyDescent="0.2">
      <c r="A158" s="66">
        <v>43301</v>
      </c>
      <c r="B158" s="67">
        <v>1.1724000000000001</v>
      </c>
      <c r="C158" s="68">
        <v>111.41</v>
      </c>
      <c r="D158" s="67">
        <v>1.16306</v>
      </c>
      <c r="E158" s="68">
        <v>2.895</v>
      </c>
      <c r="F158" s="68">
        <v>0.314</v>
      </c>
      <c r="G158" s="68">
        <v>3.5000000000000003E-2</v>
      </c>
      <c r="H158" s="68">
        <v>-1.4999999999999999E-2</v>
      </c>
      <c r="I158" s="60">
        <v>2801.830078</v>
      </c>
      <c r="J158" s="68">
        <v>12561.419921999999</v>
      </c>
      <c r="K158" s="68">
        <v>22697.880859000001</v>
      </c>
      <c r="L158" s="69">
        <v>10731.47</v>
      </c>
      <c r="M158" s="68">
        <v>1228.75</v>
      </c>
      <c r="N158" s="68">
        <v>71.989999999999995</v>
      </c>
      <c r="O158" s="68">
        <v>2701.66</v>
      </c>
      <c r="P158" s="68">
        <v>7351.07</v>
      </c>
      <c r="Q158" s="68">
        <v>450.69799799999998</v>
      </c>
    </row>
    <row r="159" spans="1:17" x14ac:dyDescent="0.2">
      <c r="A159" s="66">
        <v>43308</v>
      </c>
      <c r="B159" s="67">
        <v>1.1657</v>
      </c>
      <c r="C159" s="68">
        <v>111.05</v>
      </c>
      <c r="D159" s="67">
        <v>1.1591</v>
      </c>
      <c r="E159" s="68">
        <v>2.96</v>
      </c>
      <c r="F159" s="68">
        <v>0.39900000000000002</v>
      </c>
      <c r="G159" s="68">
        <v>0.104</v>
      </c>
      <c r="H159" s="68">
        <v>0.02</v>
      </c>
      <c r="I159" s="60">
        <v>2818.820068</v>
      </c>
      <c r="J159" s="68">
        <v>12860.400390999999</v>
      </c>
      <c r="K159" s="68">
        <v>22712.75</v>
      </c>
      <c r="L159" s="69">
        <v>10919.28</v>
      </c>
      <c r="M159" s="68">
        <v>1223.95</v>
      </c>
      <c r="N159" s="68">
        <v>74.84</v>
      </c>
      <c r="O159" s="68">
        <v>2719.91</v>
      </c>
      <c r="P159" s="68">
        <v>8225.1200000000008</v>
      </c>
      <c r="Q159" s="68">
        <v>469.66598499999998</v>
      </c>
    </row>
    <row r="160" spans="1:17" x14ac:dyDescent="0.2">
      <c r="A160" s="66">
        <v>43315</v>
      </c>
      <c r="B160" s="67">
        <v>1.1568000000000001</v>
      </c>
      <c r="C160" s="68">
        <v>111.25</v>
      </c>
      <c r="D160" s="67">
        <v>1.15022</v>
      </c>
      <c r="E160" s="68">
        <v>2.9529999999999998</v>
      </c>
      <c r="F160" s="68">
        <v>0.41399999999999998</v>
      </c>
      <c r="G160" s="68">
        <v>0.11</v>
      </c>
      <c r="H160" s="68">
        <v>3.3000000000000002E-2</v>
      </c>
      <c r="I160" s="60">
        <v>2840.3500979999999</v>
      </c>
      <c r="J160" s="68">
        <v>12615.759765999999</v>
      </c>
      <c r="K160" s="68">
        <v>22525.179688</v>
      </c>
      <c r="L160" s="69">
        <v>10891.76</v>
      </c>
      <c r="M160" s="68">
        <v>1216.3</v>
      </c>
      <c r="N160" s="68">
        <v>72.48</v>
      </c>
      <c r="O160" s="68">
        <v>2717.16</v>
      </c>
      <c r="P160" s="68">
        <v>7388.58</v>
      </c>
      <c r="Q160" s="68">
        <v>418.26199300000002</v>
      </c>
    </row>
    <row r="161" spans="1:17" x14ac:dyDescent="0.2">
      <c r="A161" s="66">
        <v>43322</v>
      </c>
      <c r="B161" s="67">
        <v>1.1413</v>
      </c>
      <c r="C161" s="68">
        <v>110.83</v>
      </c>
      <c r="D161" s="67">
        <v>1.1358999999999999</v>
      </c>
      <c r="E161" s="68">
        <v>2.8570000000000002</v>
      </c>
      <c r="F161" s="68">
        <v>0.33300000000000002</v>
      </c>
      <c r="G161" s="68">
        <v>0.10100000000000001</v>
      </c>
      <c r="H161" s="68">
        <v>-0.01</v>
      </c>
      <c r="I161" s="60">
        <v>2833.280029</v>
      </c>
      <c r="J161" s="68">
        <v>12424.349609000001</v>
      </c>
      <c r="K161" s="68">
        <v>22298.080077999999</v>
      </c>
      <c r="L161" s="69">
        <v>10767.08</v>
      </c>
      <c r="M161" s="68">
        <v>1214.4000000000001</v>
      </c>
      <c r="N161" s="68">
        <v>71</v>
      </c>
      <c r="O161" s="68">
        <v>2671.39</v>
      </c>
      <c r="P161" s="68">
        <v>6191.24</v>
      </c>
      <c r="Q161" s="68">
        <v>334.175995</v>
      </c>
    </row>
    <row r="162" spans="1:17" x14ac:dyDescent="0.2">
      <c r="A162" s="66">
        <v>43329</v>
      </c>
      <c r="B162" s="67">
        <v>1.1437999999999999</v>
      </c>
      <c r="C162" s="68">
        <v>110.5</v>
      </c>
      <c r="D162" s="67">
        <v>1.1386700000000001</v>
      </c>
      <c r="E162" s="68">
        <v>2.8730000000000002</v>
      </c>
      <c r="F162" s="68">
        <v>0.29199999999999998</v>
      </c>
      <c r="G162" s="68">
        <v>9.8000000000000004E-2</v>
      </c>
      <c r="H162" s="68">
        <v>-5.2999999999999999E-2</v>
      </c>
      <c r="I162" s="60">
        <v>2850.1298830000001</v>
      </c>
      <c r="J162" s="68">
        <v>12210.549805000001</v>
      </c>
      <c r="K162" s="68">
        <v>22270.380859000001</v>
      </c>
      <c r="L162" s="69">
        <v>10721.58</v>
      </c>
      <c r="M162" s="68">
        <v>1178.4000000000001</v>
      </c>
      <c r="N162" s="68">
        <v>70.14</v>
      </c>
      <c r="O162" s="68">
        <v>2672.48</v>
      </c>
      <c r="P162" s="68">
        <v>6480.85</v>
      </c>
      <c r="Q162" s="68">
        <v>315.72900399999997</v>
      </c>
    </row>
    <row r="163" spans="1:17" x14ac:dyDescent="0.2">
      <c r="A163" s="66">
        <v>43336</v>
      </c>
      <c r="B163" s="67">
        <v>1.1621999999999999</v>
      </c>
      <c r="C163" s="68">
        <v>111.24</v>
      </c>
      <c r="D163" s="67">
        <v>1.14253</v>
      </c>
      <c r="E163" s="68">
        <v>2.8260000000000001</v>
      </c>
      <c r="F163" s="68">
        <v>0.33600000000000002</v>
      </c>
      <c r="G163" s="68">
        <v>0.10100000000000001</v>
      </c>
      <c r="H163" s="68">
        <v>-4.2000000000000003E-2</v>
      </c>
      <c r="I163" s="60">
        <v>2874.6899410000001</v>
      </c>
      <c r="J163" s="68">
        <v>12394.519531</v>
      </c>
      <c r="K163" s="68">
        <v>22601.769531000002</v>
      </c>
      <c r="L163" s="69">
        <v>10804.53</v>
      </c>
      <c r="M163" s="68">
        <v>1197.7</v>
      </c>
      <c r="N163" s="68">
        <v>74.41</v>
      </c>
      <c r="O163" s="68">
        <v>2691.38</v>
      </c>
      <c r="P163" s="68">
        <v>6611.44</v>
      </c>
      <c r="Q163" s="68">
        <v>282.96701000000002</v>
      </c>
    </row>
    <row r="164" spans="1:17" x14ac:dyDescent="0.2">
      <c r="A164" s="66">
        <v>43343</v>
      </c>
      <c r="B164" s="67">
        <v>1.1602000000000001</v>
      </c>
      <c r="C164" s="68">
        <v>111.03</v>
      </c>
      <c r="D164" s="67">
        <v>1.1242399999999999</v>
      </c>
      <c r="E164" s="68">
        <v>2.8530000000000002</v>
      </c>
      <c r="F164" s="68">
        <v>0.35299999999999998</v>
      </c>
      <c r="G164" s="68">
        <v>0.107</v>
      </c>
      <c r="H164" s="68">
        <v>-3.2000000000000001E-2</v>
      </c>
      <c r="I164" s="60">
        <v>2901.5200199999999</v>
      </c>
      <c r="J164" s="68">
        <v>12364.059569999999</v>
      </c>
      <c r="K164" s="68">
        <v>22865.150390999999</v>
      </c>
      <c r="L164" s="69">
        <v>10740.34</v>
      </c>
      <c r="M164" s="68">
        <v>1202.45</v>
      </c>
      <c r="N164" s="68">
        <v>76.94</v>
      </c>
      <c r="O164" s="68">
        <v>2727.52</v>
      </c>
      <c r="P164" s="68">
        <v>7044.6</v>
      </c>
      <c r="Q164" s="68">
        <v>283.00399800000002</v>
      </c>
    </row>
    <row r="165" spans="1:17" x14ac:dyDescent="0.2">
      <c r="A165" s="66">
        <v>43350</v>
      </c>
      <c r="B165" s="67">
        <v>1.1553</v>
      </c>
      <c r="C165" s="68">
        <v>110.99</v>
      </c>
      <c r="D165" s="67">
        <v>1.11995</v>
      </c>
      <c r="E165" s="68">
        <v>2.9420000000000002</v>
      </c>
      <c r="F165" s="68">
        <v>0.36599999999999999</v>
      </c>
      <c r="G165" s="68">
        <v>0.113</v>
      </c>
      <c r="H165" s="68">
        <v>-0.02</v>
      </c>
      <c r="I165" s="60">
        <v>2871.679932</v>
      </c>
      <c r="J165" s="68">
        <v>11959.629883</v>
      </c>
      <c r="K165" s="68">
        <v>22307.060547000001</v>
      </c>
      <c r="L165" s="69">
        <v>10552.68</v>
      </c>
      <c r="M165" s="68">
        <v>1198.9000000000001</v>
      </c>
      <c r="N165" s="68">
        <v>75.55</v>
      </c>
      <c r="O165" s="68">
        <v>2694.24</v>
      </c>
      <c r="P165" s="68">
        <v>6446.92</v>
      </c>
      <c r="Q165" s="68">
        <v>217.203003</v>
      </c>
    </row>
    <row r="166" spans="1:17" x14ac:dyDescent="0.2">
      <c r="A166" s="66">
        <v>43357</v>
      </c>
      <c r="B166" s="67">
        <v>1.1625000000000001</v>
      </c>
      <c r="C166" s="68">
        <v>112.06</v>
      </c>
      <c r="D166" s="67">
        <v>1.1254299999999999</v>
      </c>
      <c r="E166" s="68">
        <v>2.9940000000000002</v>
      </c>
      <c r="F166" s="68">
        <v>0.43099999999999999</v>
      </c>
      <c r="G166" s="68">
        <v>0.11799999999999999</v>
      </c>
      <c r="H166" s="68">
        <v>3.4000000000000002E-2</v>
      </c>
      <c r="I166" s="60">
        <v>2904.9799800000001</v>
      </c>
      <c r="J166" s="68">
        <v>12124.330078000001</v>
      </c>
      <c r="K166" s="68">
        <v>23094.669922000001</v>
      </c>
      <c r="L166" s="69">
        <v>10710.03</v>
      </c>
      <c r="M166" s="68">
        <v>1201.95</v>
      </c>
      <c r="N166" s="68">
        <v>77.87</v>
      </c>
      <c r="O166" s="68">
        <v>2674.75</v>
      </c>
      <c r="P166" s="68">
        <v>6535.01</v>
      </c>
      <c r="Q166" s="68">
        <v>211.74899300000001</v>
      </c>
    </row>
    <row r="167" spans="1:17" x14ac:dyDescent="0.2">
      <c r="A167" s="66">
        <v>43364</v>
      </c>
      <c r="B167" s="67">
        <v>1.1749000000000001</v>
      </c>
      <c r="C167" s="68">
        <v>112.59</v>
      </c>
      <c r="D167" s="67">
        <v>1.12612</v>
      </c>
      <c r="E167" s="68">
        <v>3.0680000000000001</v>
      </c>
      <c r="F167" s="68">
        <v>0.46400000000000002</v>
      </c>
      <c r="G167" s="68">
        <v>0.13300000000000001</v>
      </c>
      <c r="H167" s="68">
        <v>8.5999999999999993E-2</v>
      </c>
      <c r="I167" s="60">
        <v>2929.669922</v>
      </c>
      <c r="J167" s="68">
        <v>12430.879883</v>
      </c>
      <c r="K167" s="68">
        <v>23869.929688</v>
      </c>
      <c r="L167" s="68">
        <v>10717.95</v>
      </c>
      <c r="M167" s="68">
        <v>1198.7</v>
      </c>
      <c r="N167" s="68">
        <v>78.900000000000006</v>
      </c>
      <c r="O167" s="68">
        <v>2620.6</v>
      </c>
      <c r="P167" s="68">
        <v>6708.69</v>
      </c>
      <c r="Q167" s="68">
        <v>246.584</v>
      </c>
    </row>
    <row r="168" spans="1:17" x14ac:dyDescent="0.2">
      <c r="A168" s="66">
        <v>43371</v>
      </c>
      <c r="B168" s="67">
        <v>1.1604000000000001</v>
      </c>
      <c r="C168" s="68">
        <v>113.7</v>
      </c>
      <c r="D168" s="67">
        <v>1.1397999999999999</v>
      </c>
      <c r="E168" s="68">
        <v>3.056</v>
      </c>
      <c r="F168" s="68">
        <v>0.49199999999999999</v>
      </c>
      <c r="G168" s="68">
        <v>0.13</v>
      </c>
      <c r="H168" s="68">
        <v>0.113</v>
      </c>
      <c r="I168" s="60">
        <v>2913.9799800000001</v>
      </c>
      <c r="J168" s="68">
        <v>12246.730469</v>
      </c>
      <c r="K168" s="68">
        <v>24120.039063</v>
      </c>
      <c r="L168" s="68">
        <v>10807.82</v>
      </c>
      <c r="M168" s="68">
        <v>1187.25</v>
      </c>
      <c r="N168" s="68">
        <v>82.72</v>
      </c>
      <c r="O168" s="68">
        <v>2630.48</v>
      </c>
      <c r="P168" s="68">
        <v>6643.42</v>
      </c>
      <c r="Q168" s="68">
        <v>222.401993</v>
      </c>
    </row>
    <row r="169" spans="1:17" x14ac:dyDescent="0.2">
      <c r="A169" s="66">
        <v>43378</v>
      </c>
      <c r="B169" s="67">
        <v>1.1524000000000001</v>
      </c>
      <c r="C169" s="68">
        <v>113.72</v>
      </c>
      <c r="D169" s="67">
        <v>1.1436600000000001</v>
      </c>
      <c r="E169" s="68">
        <v>3.2250000000000001</v>
      </c>
      <c r="F169" s="68">
        <v>0.55600000000000005</v>
      </c>
      <c r="G169" s="68">
        <v>0.155</v>
      </c>
      <c r="H169" s="68">
        <v>0.14799999999999999</v>
      </c>
      <c r="I169" s="60">
        <v>2885.570068</v>
      </c>
      <c r="J169" s="68">
        <v>12111.900390999999</v>
      </c>
      <c r="K169" s="68">
        <v>23783.720702999999</v>
      </c>
      <c r="L169" s="68">
        <v>10698.23</v>
      </c>
      <c r="M169" s="68">
        <v>1203.8</v>
      </c>
      <c r="N169" s="68">
        <v>85.12</v>
      </c>
      <c r="O169" s="68">
        <v>2560.06</v>
      </c>
      <c r="P169" s="68">
        <v>6539.04</v>
      </c>
      <c r="Q169" s="68">
        <v>227.600998</v>
      </c>
    </row>
    <row r="170" spans="1:17" x14ac:dyDescent="0.2">
      <c r="A170" s="66">
        <v>43385</v>
      </c>
      <c r="B170" s="67">
        <v>1.1559999999999999</v>
      </c>
      <c r="C170" s="68">
        <v>112.21</v>
      </c>
      <c r="D170" s="67">
        <v>1.1474500000000001</v>
      </c>
      <c r="E170" s="68">
        <v>3.141</v>
      </c>
      <c r="F170" s="68">
        <v>0.54</v>
      </c>
      <c r="G170" s="68">
        <v>0.15</v>
      </c>
      <c r="H170" s="68">
        <v>0.17299999999999999</v>
      </c>
      <c r="I170" s="60">
        <v>2767.1298830000001</v>
      </c>
      <c r="J170" s="68">
        <v>11523.809569999999</v>
      </c>
      <c r="K170" s="68">
        <v>22694.660156000002</v>
      </c>
      <c r="L170" s="68">
        <v>10232.379999999999</v>
      </c>
      <c r="M170" s="68">
        <v>1219.75</v>
      </c>
      <c r="N170" s="68">
        <v>80.709999999999994</v>
      </c>
      <c r="O170" s="68">
        <v>2496.11</v>
      </c>
      <c r="P170" s="68">
        <v>6214.23</v>
      </c>
      <c r="Q170" s="68">
        <v>196.72700499999999</v>
      </c>
    </row>
    <row r="171" spans="1:17" x14ac:dyDescent="0.2">
      <c r="A171" s="66">
        <v>43392</v>
      </c>
      <c r="B171" s="67">
        <v>1.1514</v>
      </c>
      <c r="C171" s="68">
        <v>112.55</v>
      </c>
      <c r="D171" s="67">
        <v>1.1468700000000001</v>
      </c>
      <c r="E171" s="68">
        <v>3.198</v>
      </c>
      <c r="F171" s="68">
        <v>0.41599999999999998</v>
      </c>
      <c r="G171" s="68">
        <v>0.14899999999999999</v>
      </c>
      <c r="H171" s="68">
        <v>7.8E-2</v>
      </c>
      <c r="I171" s="60">
        <v>2767.780029</v>
      </c>
      <c r="J171" s="68">
        <v>11553.830078000001</v>
      </c>
      <c r="K171" s="68">
        <v>22532.080077999999</v>
      </c>
      <c r="L171" s="68">
        <v>10468.58</v>
      </c>
      <c r="M171" s="68">
        <v>1227.8499999999999</v>
      </c>
      <c r="N171" s="68">
        <v>80.38</v>
      </c>
      <c r="O171" s="68">
        <v>2574.8200000000002</v>
      </c>
      <c r="P171" s="68">
        <v>6384.37</v>
      </c>
      <c r="Q171" s="68">
        <v>203.72700499999999</v>
      </c>
    </row>
    <row r="172" spans="1:17" x14ac:dyDescent="0.2">
      <c r="A172" s="66">
        <v>43399</v>
      </c>
      <c r="B172" s="67">
        <v>1.1403000000000001</v>
      </c>
      <c r="C172" s="68">
        <v>111.91</v>
      </c>
      <c r="D172" s="67">
        <v>1.1375899999999999</v>
      </c>
      <c r="E172" s="68">
        <v>3.077</v>
      </c>
      <c r="F172" s="68">
        <v>0.371</v>
      </c>
      <c r="G172" s="68">
        <v>0.113</v>
      </c>
      <c r="H172" s="68">
        <v>5.8999999999999997E-2</v>
      </c>
      <c r="I172" s="60">
        <v>2658.6899410000001</v>
      </c>
      <c r="J172" s="68">
        <v>11200.620117</v>
      </c>
      <c r="K172" s="68">
        <v>21184.599609000001</v>
      </c>
      <c r="L172" s="68">
        <v>10222.780000000001</v>
      </c>
      <c r="M172" s="68">
        <v>1233.8499999999999</v>
      </c>
      <c r="N172" s="68">
        <v>77.400000000000006</v>
      </c>
      <c r="O172" s="68">
        <v>2535.52</v>
      </c>
      <c r="P172" s="68">
        <v>6401.99</v>
      </c>
      <c r="Q172" s="68">
        <v>203.32899499999999</v>
      </c>
    </row>
    <row r="173" spans="1:17" x14ac:dyDescent="0.2">
      <c r="A173" s="66">
        <v>43406</v>
      </c>
      <c r="B173" s="67">
        <v>1.1388</v>
      </c>
      <c r="C173" s="68">
        <v>113.2</v>
      </c>
      <c r="D173" s="67">
        <v>1.1425799999999999</v>
      </c>
      <c r="E173" s="68">
        <v>3.214</v>
      </c>
      <c r="F173" s="68">
        <v>0.44</v>
      </c>
      <c r="G173" s="68">
        <v>0.129</v>
      </c>
      <c r="H173" s="68">
        <v>9.5000000000000001E-2</v>
      </c>
      <c r="I173" s="60">
        <v>2723.0600589999999</v>
      </c>
      <c r="J173" s="68">
        <v>11518.990234000001</v>
      </c>
      <c r="K173" s="68">
        <v>22243.660156000002</v>
      </c>
      <c r="L173" s="68">
        <v>10616.04</v>
      </c>
      <c r="M173" s="68">
        <v>1232.0999999999999</v>
      </c>
      <c r="N173" s="68">
        <v>71.11</v>
      </c>
      <c r="O173" s="68">
        <v>2605.1</v>
      </c>
      <c r="P173" s="68">
        <v>6351.1</v>
      </c>
      <c r="Q173" s="68">
        <v>200.634995</v>
      </c>
    </row>
    <row r="174" spans="1:17" x14ac:dyDescent="0.2">
      <c r="A174" s="66">
        <v>43413</v>
      </c>
      <c r="B174" s="67">
        <v>1.1335999999999999</v>
      </c>
      <c r="C174" s="68">
        <v>113.83</v>
      </c>
      <c r="D174" s="67">
        <v>1.1395599999999999</v>
      </c>
      <c r="E174" s="68">
        <v>3.1890000000000001</v>
      </c>
      <c r="F174" s="68">
        <v>0.441</v>
      </c>
      <c r="G174" s="68">
        <v>0.123</v>
      </c>
      <c r="H174" s="68">
        <v>9.2999999999999999E-2</v>
      </c>
      <c r="I174" s="60">
        <v>2781.01001</v>
      </c>
      <c r="J174" s="68">
        <v>11529.160156</v>
      </c>
      <c r="K174" s="68">
        <v>22250.25</v>
      </c>
      <c r="L174" s="68">
        <v>10677.08</v>
      </c>
      <c r="M174" s="68">
        <v>1211.4000000000001</v>
      </c>
      <c r="N174" s="68">
        <v>69.010000000000005</v>
      </c>
      <c r="O174" s="68">
        <v>2633.01</v>
      </c>
      <c r="P174" s="68">
        <v>6326.2</v>
      </c>
      <c r="Q174" s="68">
        <v>210.074005</v>
      </c>
    </row>
    <row r="175" spans="1:17" x14ac:dyDescent="0.2">
      <c r="A175" s="66">
        <v>43420</v>
      </c>
      <c r="B175" s="67">
        <v>1.1415</v>
      </c>
      <c r="C175" s="68">
        <v>112.83</v>
      </c>
      <c r="D175" s="67">
        <v>1.1415999999999999</v>
      </c>
      <c r="E175" s="68">
        <v>3.0739999999999998</v>
      </c>
      <c r="F175" s="68">
        <v>0.38500000000000001</v>
      </c>
      <c r="G175" s="68">
        <v>0.104</v>
      </c>
      <c r="H175" s="68">
        <v>5.7000000000000002E-2</v>
      </c>
      <c r="I175" s="60">
        <v>2736.2700199999999</v>
      </c>
      <c r="J175" s="68">
        <v>11341</v>
      </c>
      <c r="K175" s="68">
        <v>21680.339843999998</v>
      </c>
      <c r="L175" s="68">
        <v>10432.299999999999</v>
      </c>
      <c r="M175" s="68">
        <v>1222.4000000000001</v>
      </c>
      <c r="N175" s="68">
        <v>65.290000000000006</v>
      </c>
      <c r="O175" s="68">
        <v>2613.59</v>
      </c>
      <c r="P175" s="68">
        <v>5451.72</v>
      </c>
      <c r="Q175" s="68">
        <v>175.17700199999999</v>
      </c>
    </row>
    <row r="176" spans="1:17" x14ac:dyDescent="0.2">
      <c r="A176" s="66">
        <v>43427</v>
      </c>
      <c r="B176" s="67">
        <v>1.1336999999999999</v>
      </c>
      <c r="C176" s="68">
        <v>112.96</v>
      </c>
      <c r="D176" s="67">
        <v>1.1311199999999999</v>
      </c>
      <c r="E176" s="68">
        <v>3.0609999999999999</v>
      </c>
      <c r="F176" s="68">
        <v>0.36899999999999999</v>
      </c>
      <c r="G176" s="68">
        <v>0.1</v>
      </c>
      <c r="H176" s="68">
        <v>3.0000000000000001E-3</v>
      </c>
      <c r="I176" s="60">
        <v>2632.5600589999999</v>
      </c>
      <c r="J176" s="68">
        <v>11192.690430000001</v>
      </c>
      <c r="K176" s="68">
        <v>21646.550781000002</v>
      </c>
      <c r="L176" s="68">
        <v>10358.24</v>
      </c>
      <c r="M176" s="68">
        <v>1223.6500000000001</v>
      </c>
      <c r="N176" s="68">
        <v>57.69</v>
      </c>
      <c r="O176" s="68">
        <v>2603.65</v>
      </c>
      <c r="P176" s="68">
        <v>4260.57</v>
      </c>
      <c r="Q176" s="68">
        <v>123.295998</v>
      </c>
    </row>
    <row r="177" spans="1:17" x14ac:dyDescent="0.2">
      <c r="A177" s="66">
        <v>43434</v>
      </c>
      <c r="B177" s="67">
        <v>1.1316999999999999</v>
      </c>
      <c r="C177" s="68">
        <v>113.57</v>
      </c>
      <c r="D177" s="67">
        <v>1.13087</v>
      </c>
      <c r="E177" s="68">
        <v>3.0129999999999999</v>
      </c>
      <c r="F177" s="68">
        <v>0.33200000000000002</v>
      </c>
      <c r="G177" s="68">
        <v>9.1999999999999998E-2</v>
      </c>
      <c r="H177" s="68">
        <v>-1.4999999999999999E-2</v>
      </c>
      <c r="I177" s="60">
        <v>2760.169922</v>
      </c>
      <c r="J177" s="68">
        <v>11257.240234000001</v>
      </c>
      <c r="K177" s="68">
        <v>22351.060547000001</v>
      </c>
      <c r="L177" s="68">
        <v>10540.95</v>
      </c>
      <c r="M177" s="68">
        <v>1217.55</v>
      </c>
      <c r="N177" s="68">
        <v>57.71</v>
      </c>
      <c r="O177" s="68">
        <v>2629.57</v>
      </c>
      <c r="P177" s="68">
        <v>3930.38</v>
      </c>
      <c r="Q177" s="68">
        <v>113.17141700000001</v>
      </c>
    </row>
    <row r="178" spans="1:17" x14ac:dyDescent="0.2">
      <c r="A178" s="66">
        <v>43441</v>
      </c>
      <c r="B178" s="67">
        <v>1.1378999999999999</v>
      </c>
      <c r="C178" s="68">
        <v>112.69</v>
      </c>
      <c r="D178" s="67">
        <v>1.12825</v>
      </c>
      <c r="E178" s="68">
        <v>2.85</v>
      </c>
      <c r="F178" s="68">
        <v>0.27300000000000002</v>
      </c>
      <c r="G178" s="68">
        <v>5.8999999999999997E-2</v>
      </c>
      <c r="H178" s="68">
        <v>-8.7999999999999995E-2</v>
      </c>
      <c r="I178" s="60">
        <v>2633.080078</v>
      </c>
      <c r="J178" s="68">
        <v>10788.089844</v>
      </c>
      <c r="K178" s="68">
        <v>21678.679688</v>
      </c>
      <c r="L178" s="68">
        <v>10220.83</v>
      </c>
      <c r="M178" s="68">
        <v>1243.3</v>
      </c>
      <c r="N178" s="68">
        <v>61.71</v>
      </c>
      <c r="O178" s="68">
        <v>2632.02</v>
      </c>
      <c r="P178" s="68">
        <v>3388.91</v>
      </c>
      <c r="Q178" s="68">
        <v>93.294562999999997</v>
      </c>
    </row>
    <row r="179" spans="1:17" x14ac:dyDescent="0.2">
      <c r="A179" s="66">
        <v>43448</v>
      </c>
      <c r="B179" s="67">
        <v>1.1306</v>
      </c>
      <c r="C179" s="68">
        <v>113.39</v>
      </c>
      <c r="D179" s="67">
        <v>1.1281099999999999</v>
      </c>
      <c r="E179" s="68">
        <v>2.891</v>
      </c>
      <c r="F179" s="68">
        <v>0.26900000000000002</v>
      </c>
      <c r="G179" s="68">
        <v>3.5000000000000003E-2</v>
      </c>
      <c r="H179" s="68">
        <v>-7.9000000000000001E-2</v>
      </c>
      <c r="I179" s="60">
        <v>2599.9499510000001</v>
      </c>
      <c r="J179" s="68">
        <v>10865.769531</v>
      </c>
      <c r="K179" s="68">
        <v>21374.830077999999</v>
      </c>
      <c r="L179" s="68">
        <v>10175.98</v>
      </c>
      <c r="M179" s="68">
        <v>1235.3499999999999</v>
      </c>
      <c r="N179" s="68">
        <v>58.56</v>
      </c>
      <c r="O179" s="68">
        <v>2635.68</v>
      </c>
      <c r="P179" s="68">
        <v>3156.89</v>
      </c>
      <c r="Q179" s="68">
        <v>84.308295999999999</v>
      </c>
    </row>
    <row r="180" spans="1:17" x14ac:dyDescent="0.2">
      <c r="A180" s="66">
        <v>43455</v>
      </c>
      <c r="B180" s="67">
        <v>1.1372</v>
      </c>
      <c r="C180" s="68">
        <v>111.22</v>
      </c>
      <c r="D180" s="67">
        <v>1.13002</v>
      </c>
      <c r="E180" s="68">
        <v>2.7919999999999998</v>
      </c>
      <c r="F180" s="68">
        <v>0.25700000000000001</v>
      </c>
      <c r="G180" s="68">
        <v>4.7E-2</v>
      </c>
      <c r="H180" s="68">
        <v>-0.153</v>
      </c>
      <c r="I180" s="60">
        <v>2416.6201169999999</v>
      </c>
      <c r="J180" s="68">
        <v>10633.820313</v>
      </c>
      <c r="K180" s="68">
        <v>20166.189452999999</v>
      </c>
      <c r="L180" s="68">
        <v>9812.59</v>
      </c>
      <c r="M180" s="68">
        <v>1258.1500000000001</v>
      </c>
      <c r="N180" s="68">
        <v>51.93</v>
      </c>
      <c r="O180" s="68">
        <v>2595.41</v>
      </c>
      <c r="P180" s="68">
        <v>3848.6</v>
      </c>
      <c r="Q180" s="68">
        <v>109.49623099999999</v>
      </c>
    </row>
    <row r="181" spans="1:17" x14ac:dyDescent="0.2">
      <c r="A181" s="66">
        <v>43462</v>
      </c>
      <c r="B181" s="67">
        <v>1.1444000000000001</v>
      </c>
      <c r="C181" s="68">
        <v>110.27</v>
      </c>
      <c r="D181" s="67">
        <v>1.12588</v>
      </c>
      <c r="E181" s="68">
        <v>2.7360000000000002</v>
      </c>
      <c r="F181" s="68">
        <v>0.249</v>
      </c>
      <c r="G181" s="68">
        <v>3.0000000000000001E-3</v>
      </c>
      <c r="H181" s="68">
        <v>-0.154</v>
      </c>
      <c r="I181" s="60">
        <v>2485.73999</v>
      </c>
      <c r="J181" s="68">
        <v>10558.959961</v>
      </c>
      <c r="K181" s="68">
        <v>20014.769531000002</v>
      </c>
      <c r="L181" s="68">
        <v>9830.06</v>
      </c>
      <c r="M181" s="68">
        <v>1279</v>
      </c>
      <c r="N181" s="68">
        <v>50.57</v>
      </c>
      <c r="O181" s="68">
        <v>2577.12</v>
      </c>
      <c r="P181" s="68">
        <v>3892.14</v>
      </c>
      <c r="Q181" s="68">
        <v>137.647018</v>
      </c>
    </row>
    <row r="182" spans="1:17" x14ac:dyDescent="0.2">
      <c r="A182" s="66">
        <v>43469</v>
      </c>
      <c r="B182" s="67">
        <v>1.1395</v>
      </c>
      <c r="C182" s="68">
        <v>108.51</v>
      </c>
      <c r="D182" s="67">
        <v>1.1243700000000001</v>
      </c>
      <c r="E182" s="68">
        <v>2.6589999999999998</v>
      </c>
      <c r="F182" s="68">
        <v>0.20699999999999999</v>
      </c>
      <c r="G182" s="68">
        <v>-3.7999999999999999E-2</v>
      </c>
      <c r="H182" s="68">
        <v>-0.20499999999999999</v>
      </c>
      <c r="I182" s="60">
        <v>2531.9399410000001</v>
      </c>
      <c r="J182" s="68">
        <v>10767.690430000001</v>
      </c>
      <c r="K182" s="68">
        <v>19561.960938</v>
      </c>
      <c r="L182" s="68">
        <v>10033.299999999999</v>
      </c>
      <c r="M182" s="68">
        <v>1279.9000000000001</v>
      </c>
      <c r="N182" s="68">
        <v>55.64</v>
      </c>
      <c r="O182" s="68">
        <v>2633.78</v>
      </c>
      <c r="P182" s="68">
        <v>3833.53</v>
      </c>
      <c r="Q182" s="68">
        <v>154.58194</v>
      </c>
    </row>
    <row r="183" spans="1:17" x14ac:dyDescent="0.2">
      <c r="A183" s="66">
        <v>43476</v>
      </c>
      <c r="B183" s="67">
        <v>1.1469</v>
      </c>
      <c r="C183" s="68">
        <v>108.48</v>
      </c>
      <c r="D183" s="67">
        <v>1.1284000000000001</v>
      </c>
      <c r="E183" s="68">
        <v>2.7010000000000001</v>
      </c>
      <c r="F183" s="68">
        <v>0.22</v>
      </c>
      <c r="G183" s="68">
        <v>1.7000000000000001E-2</v>
      </c>
      <c r="H183" s="68">
        <v>-0.152</v>
      </c>
      <c r="I183" s="60">
        <v>2596.26001</v>
      </c>
      <c r="J183" s="68">
        <v>10887.459961</v>
      </c>
      <c r="K183" s="68">
        <v>20359.699218999998</v>
      </c>
      <c r="L183" s="68">
        <v>10293.34</v>
      </c>
      <c r="M183" s="68">
        <v>1288.95</v>
      </c>
      <c r="N183" s="68">
        <v>59.24</v>
      </c>
      <c r="O183" s="68">
        <v>2699.37</v>
      </c>
      <c r="P183" s="68">
        <v>3649.21</v>
      </c>
      <c r="Q183" s="68">
        <v>127.54832500000001</v>
      </c>
    </row>
    <row r="184" spans="1:17" x14ac:dyDescent="0.2">
      <c r="A184" s="66">
        <v>43483</v>
      </c>
      <c r="B184" s="67">
        <v>1.1363000000000001</v>
      </c>
      <c r="C184" s="68">
        <v>109.78</v>
      </c>
      <c r="D184" s="67">
        <v>1.13096</v>
      </c>
      <c r="E184" s="68">
        <v>2.7839999999999998</v>
      </c>
      <c r="F184" s="68">
        <v>0.251</v>
      </c>
      <c r="G184" s="68">
        <v>1.6E-2</v>
      </c>
      <c r="H184" s="68">
        <v>-9.9000000000000005E-2</v>
      </c>
      <c r="I184" s="60">
        <v>2670.709961</v>
      </c>
      <c r="J184" s="68">
        <v>11205.540039</v>
      </c>
      <c r="K184" s="68">
        <v>20666.070313</v>
      </c>
      <c r="L184" s="68">
        <v>10525.14</v>
      </c>
      <c r="M184" s="68">
        <v>1284.2</v>
      </c>
      <c r="N184" s="68">
        <v>62.04</v>
      </c>
      <c r="O184" s="68">
        <v>2707.97</v>
      </c>
      <c r="P184" s="68">
        <v>3612.39</v>
      </c>
      <c r="Q184" s="68">
        <v>121.010262</v>
      </c>
    </row>
    <row r="185" spans="1:17" x14ac:dyDescent="0.2">
      <c r="A185" s="66">
        <v>43490</v>
      </c>
      <c r="B185" s="67">
        <v>1.1406000000000001</v>
      </c>
      <c r="C185" s="68">
        <v>109.55</v>
      </c>
      <c r="D185" s="67">
        <v>1.1329400000000001</v>
      </c>
      <c r="E185" s="68">
        <v>2.7530000000000001</v>
      </c>
      <c r="F185" s="68">
        <v>0.153</v>
      </c>
      <c r="G185" s="68">
        <v>-3.0000000000000001E-3</v>
      </c>
      <c r="H185" s="68">
        <v>-0.18099999999999999</v>
      </c>
      <c r="I185" s="60">
        <v>2664.76001</v>
      </c>
      <c r="J185" s="68">
        <v>11281.790039</v>
      </c>
      <c r="K185" s="68">
        <v>20773.560547000001</v>
      </c>
      <c r="L185" s="68">
        <v>10434.48</v>
      </c>
      <c r="M185" s="68">
        <v>1293.9000000000001</v>
      </c>
      <c r="N185" s="68">
        <v>61.49</v>
      </c>
      <c r="O185" s="68">
        <v>2686.47</v>
      </c>
      <c r="P185" s="68">
        <v>3558.51</v>
      </c>
      <c r="Q185" s="68">
        <v>116.378342</v>
      </c>
    </row>
    <row r="186" spans="1:17" x14ac:dyDescent="0.2">
      <c r="A186" s="66">
        <v>43497</v>
      </c>
      <c r="B186" s="67">
        <v>1.1456</v>
      </c>
      <c r="C186" s="68">
        <v>109.5</v>
      </c>
      <c r="D186" s="67">
        <v>1.1405000000000001</v>
      </c>
      <c r="E186" s="68">
        <v>2.6909999999999998</v>
      </c>
      <c r="F186" s="68">
        <v>0.14099999999999999</v>
      </c>
      <c r="G186" s="68">
        <v>-1.2E-2</v>
      </c>
      <c r="H186" s="68">
        <v>-0.23300000000000001</v>
      </c>
      <c r="I186" s="60">
        <v>2706.530029</v>
      </c>
      <c r="J186" s="68">
        <v>11180.660156</v>
      </c>
      <c r="K186" s="68">
        <v>20788.390625</v>
      </c>
      <c r="L186" s="68">
        <v>10530.31</v>
      </c>
      <c r="M186" s="68">
        <v>1318.7</v>
      </c>
      <c r="N186" s="68">
        <v>61.86</v>
      </c>
      <c r="O186" s="68">
        <v>2720.54</v>
      </c>
      <c r="P186" s="68">
        <v>3448.51</v>
      </c>
      <c r="Q186" s="68">
        <v>107.609787</v>
      </c>
    </row>
    <row r="187" spans="1:17" x14ac:dyDescent="0.2">
      <c r="A187" s="66">
        <v>43504</v>
      </c>
      <c r="B187" s="67">
        <v>1.1323000000000001</v>
      </c>
      <c r="C187" s="68">
        <v>109.73</v>
      </c>
      <c r="D187" s="67">
        <v>1.1329199999999999</v>
      </c>
      <c r="E187" s="68">
        <v>2.6320000000000001</v>
      </c>
      <c r="F187" s="68">
        <v>8.5000000000000006E-2</v>
      </c>
      <c r="G187" s="68">
        <v>-2.9000000000000001E-2</v>
      </c>
      <c r="H187" s="68">
        <v>-0.247</v>
      </c>
      <c r="I187" s="60">
        <v>2707.8798830000001</v>
      </c>
      <c r="J187" s="68">
        <v>10906.780273</v>
      </c>
      <c r="K187" s="68">
        <v>20333.169922000001</v>
      </c>
      <c r="L187" s="68">
        <v>10527.03</v>
      </c>
      <c r="M187" s="68">
        <v>1314.85</v>
      </c>
      <c r="N187" s="68">
        <v>61.37</v>
      </c>
      <c r="O187" s="68">
        <v>2714.92</v>
      </c>
      <c r="P187" s="68">
        <v>3594.91</v>
      </c>
      <c r="Q187" s="68">
        <v>119.267746</v>
      </c>
    </row>
    <row r="188" spans="1:17" x14ac:dyDescent="0.2">
      <c r="A188" s="66">
        <v>43511</v>
      </c>
      <c r="B188" s="67">
        <v>1.1295999999999999</v>
      </c>
      <c r="C188" s="68">
        <v>110.47</v>
      </c>
      <c r="D188" s="67">
        <v>1.1353200000000001</v>
      </c>
      <c r="E188" s="68">
        <v>2.6659999999999999</v>
      </c>
      <c r="F188" s="68">
        <v>9.1999999999999998E-2</v>
      </c>
      <c r="G188" s="68">
        <v>-2.1000000000000001E-2</v>
      </c>
      <c r="H188" s="68">
        <v>-0.247</v>
      </c>
      <c r="I188" s="60">
        <v>2775.6000979999999</v>
      </c>
      <c r="J188" s="68">
        <v>11299.799805000001</v>
      </c>
      <c r="K188" s="68">
        <v>20900.630859000001</v>
      </c>
      <c r="L188" s="68">
        <v>10805.32</v>
      </c>
      <c r="M188" s="68">
        <v>1316.55</v>
      </c>
      <c r="N188" s="68">
        <v>65.650000000000006</v>
      </c>
      <c r="O188" s="68">
        <v>2711.3</v>
      </c>
      <c r="P188" s="68">
        <v>3564.79</v>
      </c>
      <c r="Q188" s="68">
        <v>122.100388</v>
      </c>
    </row>
    <row r="189" spans="1:17" x14ac:dyDescent="0.2">
      <c r="A189" s="66">
        <v>43518</v>
      </c>
      <c r="B189" s="67">
        <v>1.1335</v>
      </c>
      <c r="C189" s="68">
        <v>110.69</v>
      </c>
      <c r="D189" s="67">
        <v>1.13384</v>
      </c>
      <c r="E189" s="68">
        <v>2.6549999999999998</v>
      </c>
      <c r="F189" s="68">
        <v>9.1999999999999998E-2</v>
      </c>
      <c r="G189" s="68">
        <v>-3.6999999999999998E-2</v>
      </c>
      <c r="H189" s="68">
        <v>-0.25700000000000001</v>
      </c>
      <c r="I189" s="60">
        <v>2792.669922</v>
      </c>
      <c r="J189" s="68">
        <v>11457.700194999999</v>
      </c>
      <c r="K189" s="68">
        <v>21425.509765999999</v>
      </c>
      <c r="L189" s="68">
        <v>10936.6</v>
      </c>
      <c r="M189" s="68">
        <v>1329.05</v>
      </c>
      <c r="N189" s="68">
        <v>66.91</v>
      </c>
      <c r="O189" s="68">
        <v>2712.59</v>
      </c>
      <c r="P189" s="68">
        <v>3941.75</v>
      </c>
      <c r="Q189" s="68">
        <v>149.09245300000001</v>
      </c>
    </row>
    <row r="190" spans="1:17" x14ac:dyDescent="0.2">
      <c r="A190" s="66">
        <v>43525</v>
      </c>
      <c r="B190" s="67">
        <v>1.1365000000000001</v>
      </c>
      <c r="C190" s="68">
        <v>111.89</v>
      </c>
      <c r="D190" s="67">
        <v>1.13584</v>
      </c>
      <c r="E190" s="68">
        <v>2.7549999999999999</v>
      </c>
      <c r="F190" s="68">
        <v>0.17299999999999999</v>
      </c>
      <c r="G190" s="68">
        <v>-7.0000000000000001E-3</v>
      </c>
      <c r="H190" s="68">
        <v>-0.21199999999999999</v>
      </c>
      <c r="I190" s="60">
        <v>2803.6899410000001</v>
      </c>
      <c r="J190" s="68">
        <v>11601.679688</v>
      </c>
      <c r="K190" s="68">
        <v>21602.689452999999</v>
      </c>
      <c r="L190" s="68">
        <v>11003.17</v>
      </c>
      <c r="M190" s="68">
        <v>1311.95</v>
      </c>
      <c r="N190" s="68">
        <v>63.71</v>
      </c>
      <c r="O190" s="68">
        <v>2685.87</v>
      </c>
      <c r="P190" s="68">
        <v>3828.22</v>
      </c>
      <c r="Q190" s="68">
        <v>136.44361900000001</v>
      </c>
    </row>
    <row r="191" spans="1:17" x14ac:dyDescent="0.2">
      <c r="A191" s="66">
        <v>43532</v>
      </c>
      <c r="B191" s="67">
        <v>1.1234999999999999</v>
      </c>
      <c r="C191" s="68">
        <v>111.17</v>
      </c>
      <c r="D191" s="67">
        <v>1.1323799999999999</v>
      </c>
      <c r="E191" s="68">
        <v>2.625</v>
      </c>
      <c r="F191" s="68">
        <v>4.5999999999999999E-2</v>
      </c>
      <c r="G191" s="68">
        <v>-3.3000000000000002E-2</v>
      </c>
      <c r="H191" s="68">
        <v>-0.30399999999999999</v>
      </c>
      <c r="I191" s="60">
        <v>2743.070068</v>
      </c>
      <c r="J191" s="68">
        <v>11457.839844</v>
      </c>
      <c r="K191" s="68">
        <v>21025.560547000001</v>
      </c>
      <c r="L191" s="68">
        <v>10973.77</v>
      </c>
      <c r="M191" s="68">
        <v>1296.75</v>
      </c>
      <c r="N191" s="68">
        <v>65.66</v>
      </c>
      <c r="O191" s="68">
        <v>2730.63</v>
      </c>
      <c r="P191" s="68">
        <v>3868.84</v>
      </c>
      <c r="Q191" s="68">
        <v>135.12707499999999</v>
      </c>
    </row>
    <row r="192" spans="1:17" x14ac:dyDescent="0.2">
      <c r="A192" s="66">
        <v>43539</v>
      </c>
      <c r="B192" s="67">
        <v>1.1326000000000001</v>
      </c>
      <c r="C192" s="68">
        <v>111.48</v>
      </c>
      <c r="D192" s="67">
        <v>1.13487</v>
      </c>
      <c r="E192" s="68">
        <v>2.593</v>
      </c>
      <c r="F192" s="68">
        <v>7.1999999999999995E-2</v>
      </c>
      <c r="G192" s="68">
        <v>-3.4000000000000002E-2</v>
      </c>
      <c r="H192" s="68">
        <v>-0.28100000000000003</v>
      </c>
      <c r="I192" s="60">
        <v>2822.4799800000001</v>
      </c>
      <c r="J192" s="68">
        <v>11685.690430000001</v>
      </c>
      <c r="K192" s="68">
        <v>21450.849609000001</v>
      </c>
      <c r="L192" s="68">
        <v>11232.13</v>
      </c>
      <c r="M192" s="68">
        <v>1303.5</v>
      </c>
      <c r="N192" s="68">
        <v>66.11</v>
      </c>
      <c r="O192" s="68">
        <v>2804.66</v>
      </c>
      <c r="P192" s="68">
        <v>3897.41</v>
      </c>
      <c r="Q192" s="68">
        <v>137.691788</v>
      </c>
    </row>
    <row r="193" spans="1:17" x14ac:dyDescent="0.2">
      <c r="A193" s="66">
        <v>43546</v>
      </c>
      <c r="B193" s="67">
        <v>1.1302000000000001</v>
      </c>
      <c r="C193" s="68">
        <v>109.92</v>
      </c>
      <c r="D193" s="67">
        <v>1.12279</v>
      </c>
      <c r="E193" s="68">
        <v>2.4550000000000001</v>
      </c>
      <c r="F193" s="68">
        <v>-1.2E-2</v>
      </c>
      <c r="G193" s="68">
        <v>-6.9000000000000006E-2</v>
      </c>
      <c r="H193" s="68">
        <v>-0.38</v>
      </c>
      <c r="I193" s="60">
        <v>2800.709961</v>
      </c>
      <c r="J193" s="68">
        <v>11364.169921999999</v>
      </c>
      <c r="K193" s="68">
        <v>21627.339843999998</v>
      </c>
      <c r="L193" s="68">
        <v>11061.88</v>
      </c>
      <c r="M193" s="68">
        <v>1311.3</v>
      </c>
      <c r="N193" s="68">
        <v>66.290000000000006</v>
      </c>
      <c r="O193" s="68">
        <v>2812.68</v>
      </c>
      <c r="P193" s="68">
        <v>3977.74</v>
      </c>
      <c r="Q193" s="68">
        <v>137.181442</v>
      </c>
    </row>
    <row r="194" spans="1:17" x14ac:dyDescent="0.2">
      <c r="A194" s="66">
        <v>43553</v>
      </c>
      <c r="B194" s="67">
        <v>1.1217999999999999</v>
      </c>
      <c r="C194" s="68">
        <v>110.86</v>
      </c>
      <c r="D194" s="67">
        <v>1.11635</v>
      </c>
      <c r="E194" s="68">
        <v>2.4140000000000001</v>
      </c>
      <c r="F194" s="68">
        <v>-6.6000000000000003E-2</v>
      </c>
      <c r="G194" s="68">
        <v>-8.1000000000000003E-2</v>
      </c>
      <c r="H194" s="68">
        <v>-0.35199999999999998</v>
      </c>
      <c r="I194" s="60">
        <v>2834.3999020000001</v>
      </c>
      <c r="J194" s="68">
        <v>11526.040039</v>
      </c>
      <c r="K194" s="68">
        <v>21205.810547000001</v>
      </c>
      <c r="L194" s="68">
        <v>11241.19</v>
      </c>
      <c r="M194" s="68">
        <v>1295.4000000000001</v>
      </c>
      <c r="N194" s="68">
        <v>67.930000000000007</v>
      </c>
      <c r="O194" s="68">
        <v>2831.2</v>
      </c>
      <c r="P194" s="68">
        <v>4072.16</v>
      </c>
      <c r="Q194" s="68">
        <v>142.497421</v>
      </c>
    </row>
    <row r="195" spans="1:17" x14ac:dyDescent="0.2">
      <c r="A195" s="66">
        <v>43560</v>
      </c>
      <c r="B195" s="67">
        <v>1.1215999999999999</v>
      </c>
      <c r="C195" s="68">
        <v>111.73</v>
      </c>
      <c r="D195" s="67">
        <v>1.1221000000000001</v>
      </c>
      <c r="E195" s="68">
        <v>2.5009999999999999</v>
      </c>
      <c r="F195" s="68">
        <v>2E-3</v>
      </c>
      <c r="G195" s="68">
        <v>-2.9000000000000001E-2</v>
      </c>
      <c r="H195" s="68">
        <v>-0.27100000000000002</v>
      </c>
      <c r="I195" s="60">
        <v>2892.73999</v>
      </c>
      <c r="J195" s="68">
        <v>12009.75</v>
      </c>
      <c r="K195" s="68">
        <v>21807.5</v>
      </c>
      <c r="L195" s="68">
        <v>11385.65</v>
      </c>
      <c r="M195" s="68">
        <v>1288.45</v>
      </c>
      <c r="N195" s="68">
        <v>69.930000000000007</v>
      </c>
      <c r="O195" s="68">
        <v>2819.91</v>
      </c>
      <c r="P195" s="68">
        <v>4999.01</v>
      </c>
      <c r="Q195" s="68">
        <v>165.514847</v>
      </c>
    </row>
    <row r="196" spans="1:17" x14ac:dyDescent="0.2">
      <c r="A196" s="66">
        <v>43567</v>
      </c>
      <c r="B196" s="67">
        <v>1.1298999999999999</v>
      </c>
      <c r="C196" s="68">
        <v>112.02</v>
      </c>
      <c r="D196" s="67">
        <v>1.13269</v>
      </c>
      <c r="E196" s="68">
        <v>2.56</v>
      </c>
      <c r="F196" s="68">
        <v>1.0999999999999999E-2</v>
      </c>
      <c r="G196" s="68">
        <v>-5.6000000000000001E-2</v>
      </c>
      <c r="H196" s="68">
        <v>-0.26500000000000001</v>
      </c>
      <c r="I196" s="60">
        <v>2907.4099120000001</v>
      </c>
      <c r="J196" s="68">
        <v>11999.929688</v>
      </c>
      <c r="K196" s="68">
        <v>21870.560547000001</v>
      </c>
      <c r="L196" s="68">
        <v>11344.22</v>
      </c>
      <c r="M196" s="68">
        <v>1294.3</v>
      </c>
      <c r="N196" s="68">
        <v>71.569999999999993</v>
      </c>
      <c r="O196" s="68">
        <v>2798.73</v>
      </c>
      <c r="P196" s="68">
        <v>5042.54</v>
      </c>
      <c r="Q196" s="68">
        <v>164.73632799999999</v>
      </c>
    </row>
    <row r="197" spans="1:17" x14ac:dyDescent="0.2">
      <c r="A197" s="66">
        <v>43574</v>
      </c>
      <c r="B197" s="67">
        <v>1.1245000000000001</v>
      </c>
      <c r="C197" s="68">
        <v>111.92</v>
      </c>
      <c r="D197" s="67">
        <v>1.1406399999999999</v>
      </c>
      <c r="E197" s="68">
        <v>2.56</v>
      </c>
      <c r="F197" s="68">
        <v>3.9E-2</v>
      </c>
      <c r="G197" s="68">
        <v>-0.03</v>
      </c>
      <c r="H197" s="68">
        <v>-0.22600000000000001</v>
      </c>
      <c r="I197" s="60">
        <v>2905.030029</v>
      </c>
      <c r="J197" s="68">
        <v>12222.389648</v>
      </c>
      <c r="K197" s="68">
        <v>22200.560547000001</v>
      </c>
      <c r="L197" s="68">
        <v>11479.28</v>
      </c>
      <c r="M197" s="68">
        <v>1275.7</v>
      </c>
      <c r="N197" s="68">
        <v>70.709999999999994</v>
      </c>
      <c r="O197" s="68">
        <v>2795.97</v>
      </c>
      <c r="P197" s="68">
        <v>5269.97</v>
      </c>
      <c r="Q197" s="68">
        <v>173.70843500000001</v>
      </c>
    </row>
    <row r="198" spans="1:17" x14ac:dyDescent="0.2">
      <c r="A198" s="66">
        <v>43581</v>
      </c>
      <c r="B198" s="67">
        <v>1.1151</v>
      </c>
      <c r="C198" s="68">
        <v>111.58</v>
      </c>
      <c r="D198" s="67">
        <v>1.13683</v>
      </c>
      <c r="E198" s="68">
        <v>2.5049999999999999</v>
      </c>
      <c r="F198" s="68">
        <v>-3.6999999999999998E-2</v>
      </c>
      <c r="G198" s="68">
        <v>-0.04</v>
      </c>
      <c r="H198" s="68">
        <v>-0.27700000000000002</v>
      </c>
      <c r="I198" s="60">
        <v>2939.8798830000001</v>
      </c>
      <c r="J198" s="68">
        <v>12315.179688</v>
      </c>
      <c r="K198" s="68">
        <v>22258.730468999998</v>
      </c>
      <c r="L198" s="68">
        <v>11691.5</v>
      </c>
      <c r="M198" s="68">
        <v>1284.2</v>
      </c>
      <c r="N198" s="68">
        <v>71.03</v>
      </c>
      <c r="O198" s="68">
        <v>2807.71</v>
      </c>
      <c r="P198" s="68">
        <v>5097.5200000000004</v>
      </c>
      <c r="Q198" s="68">
        <v>156.347092</v>
      </c>
    </row>
    <row r="199" spans="1:17" x14ac:dyDescent="0.2">
      <c r="A199" s="66">
        <v>43588</v>
      </c>
      <c r="B199" s="67">
        <v>1.1197999999999999</v>
      </c>
      <c r="C199" s="68">
        <v>111.1</v>
      </c>
      <c r="D199" s="67">
        <v>1.13876</v>
      </c>
      <c r="E199" s="68">
        <v>2.5310000000000001</v>
      </c>
      <c r="F199" s="68">
        <v>3.6999999999999998E-2</v>
      </c>
      <c r="G199" s="68">
        <v>-0.04</v>
      </c>
      <c r="H199" s="68">
        <v>-0.23</v>
      </c>
      <c r="I199" s="60">
        <v>2945.639893</v>
      </c>
      <c r="J199" s="68">
        <v>12412.75</v>
      </c>
      <c r="K199" s="68">
        <v>22258.730468999998</v>
      </c>
      <c r="L199" s="68">
        <v>11721.89</v>
      </c>
      <c r="M199" s="68">
        <v>1278.55</v>
      </c>
      <c r="N199" s="68">
        <v>71.95</v>
      </c>
      <c r="O199" s="68">
        <v>2796.61</v>
      </c>
      <c r="P199" s="68">
        <v>5689.05</v>
      </c>
      <c r="Q199" s="68">
        <v>167.95240799999999</v>
      </c>
    </row>
    <row r="200" spans="1:17" x14ac:dyDescent="0.2">
      <c r="A200" s="66">
        <v>43595</v>
      </c>
      <c r="B200" s="67">
        <v>1.1233</v>
      </c>
      <c r="C200" s="68">
        <v>109.95</v>
      </c>
      <c r="D200" s="67">
        <v>1.13689</v>
      </c>
      <c r="E200" s="68">
        <v>2.4550000000000001</v>
      </c>
      <c r="F200" s="68">
        <v>-3.7999999999999999E-2</v>
      </c>
      <c r="G200" s="68">
        <v>-4.9000000000000002E-2</v>
      </c>
      <c r="H200" s="68">
        <v>-0.30499999999999999</v>
      </c>
      <c r="I200" s="60">
        <v>2881.3999020000001</v>
      </c>
      <c r="J200" s="68">
        <v>12059.830078000001</v>
      </c>
      <c r="K200" s="68">
        <v>21344.919922000001</v>
      </c>
      <c r="L200" s="68">
        <v>11465.43</v>
      </c>
      <c r="M200" s="68">
        <v>1287.0999999999999</v>
      </c>
      <c r="N200" s="68">
        <v>71.63</v>
      </c>
      <c r="O200" s="68">
        <v>2841.87</v>
      </c>
      <c r="P200" s="68">
        <v>6291.33</v>
      </c>
      <c r="Q200" s="68">
        <v>173.14274599999999</v>
      </c>
    </row>
    <row r="201" spans="1:17" x14ac:dyDescent="0.2">
      <c r="A201" s="66">
        <v>43602</v>
      </c>
      <c r="B201" s="67">
        <v>1.1157999999999999</v>
      </c>
      <c r="C201" s="68">
        <v>110.08</v>
      </c>
      <c r="D201" s="67">
        <v>1.1280300000000001</v>
      </c>
      <c r="E201" s="68">
        <v>2.3929999999999998</v>
      </c>
      <c r="F201" s="68">
        <v>-9.9000000000000005E-2</v>
      </c>
      <c r="G201" s="68">
        <v>-5.1999999999999998E-2</v>
      </c>
      <c r="H201" s="68">
        <v>-0.34100000000000003</v>
      </c>
      <c r="I201" s="60">
        <v>2859.530029</v>
      </c>
      <c r="J201" s="68">
        <v>12238.940430000001</v>
      </c>
      <c r="K201" s="68">
        <v>21250.089843999998</v>
      </c>
      <c r="L201" s="68">
        <v>11672.21</v>
      </c>
      <c r="M201" s="68">
        <v>1280.8</v>
      </c>
      <c r="N201" s="68">
        <v>73.94</v>
      </c>
      <c r="O201" s="68">
        <v>2857.97</v>
      </c>
      <c r="P201" s="68">
        <v>7106.31</v>
      </c>
      <c r="Q201" s="68">
        <v>243.76458700000001</v>
      </c>
    </row>
    <row r="202" spans="1:17" x14ac:dyDescent="0.2">
      <c r="A202" s="66">
        <v>43609</v>
      </c>
      <c r="B202" s="67">
        <v>1.1203000000000001</v>
      </c>
      <c r="C202" s="68">
        <v>109.31</v>
      </c>
      <c r="D202" s="67">
        <v>1.1226400000000001</v>
      </c>
      <c r="E202" s="68">
        <v>2.3239999999999998</v>
      </c>
      <c r="F202" s="68">
        <v>-9.2999999999999999E-2</v>
      </c>
      <c r="G202" s="68">
        <v>-7.0000000000000007E-2</v>
      </c>
      <c r="H202" s="68">
        <v>-0.377</v>
      </c>
      <c r="I202" s="60">
        <v>2826.0600589999999</v>
      </c>
      <c r="J202" s="68">
        <v>12011.040039</v>
      </c>
      <c r="K202" s="68">
        <v>21117.220702999999</v>
      </c>
      <c r="L202" s="68">
        <v>11685.87</v>
      </c>
      <c r="M202" s="68">
        <v>1282.5</v>
      </c>
      <c r="N202" s="68">
        <v>67.98</v>
      </c>
      <c r="O202" s="68">
        <v>2866.25</v>
      </c>
      <c r="P202" s="68">
        <v>8112.36</v>
      </c>
      <c r="Q202" s="68">
        <v>249.48498499999999</v>
      </c>
    </row>
    <row r="203" spans="1:17" x14ac:dyDescent="0.2">
      <c r="A203" s="66">
        <v>43616</v>
      </c>
      <c r="B203" s="67">
        <v>1.1169</v>
      </c>
      <c r="C203" s="68">
        <v>108.29</v>
      </c>
      <c r="D203" s="67">
        <v>1.11781</v>
      </c>
      <c r="E203" s="68">
        <v>2.1419999999999999</v>
      </c>
      <c r="F203" s="68">
        <v>-0.19900000000000001</v>
      </c>
      <c r="G203" s="68">
        <v>-9.4E-2</v>
      </c>
      <c r="H203" s="68">
        <v>-0.44500000000000001</v>
      </c>
      <c r="I203" s="60">
        <v>2752.0600589999999</v>
      </c>
      <c r="J203" s="68">
        <v>11726.839844</v>
      </c>
      <c r="K203" s="68">
        <v>20601.189452999999</v>
      </c>
      <c r="L203" s="68">
        <v>11544.54</v>
      </c>
      <c r="M203" s="68">
        <v>1295.55</v>
      </c>
      <c r="N203" s="68">
        <v>66.78</v>
      </c>
      <c r="O203" s="68">
        <v>2867</v>
      </c>
      <c r="P203" s="68">
        <v>8503.3799999999992</v>
      </c>
      <c r="Q203" s="68">
        <v>268.11355600000002</v>
      </c>
    </row>
    <row r="204" spans="1:17" x14ac:dyDescent="0.2">
      <c r="A204" s="66">
        <v>43623</v>
      </c>
      <c r="B204" s="67">
        <v>1.1334</v>
      </c>
      <c r="C204" s="68">
        <v>108.19</v>
      </c>
      <c r="D204" s="67">
        <v>1.1195299999999999</v>
      </c>
      <c r="E204" s="68">
        <v>2.0840000000000001</v>
      </c>
      <c r="F204" s="68">
        <v>-0.23</v>
      </c>
      <c r="G204" s="68">
        <v>-0.12</v>
      </c>
      <c r="H204" s="68">
        <v>-0.45900000000000002</v>
      </c>
      <c r="I204" s="60">
        <v>2873.3400879999999</v>
      </c>
      <c r="J204" s="68">
        <v>12045.379883</v>
      </c>
      <c r="K204" s="68">
        <v>20884.710938</v>
      </c>
      <c r="L204" s="68">
        <v>11782.3</v>
      </c>
      <c r="M204" s="68">
        <v>1340.65</v>
      </c>
      <c r="N204" s="68">
        <v>64.099999999999994</v>
      </c>
      <c r="O204" s="68">
        <v>2896.01</v>
      </c>
      <c r="P204" s="68">
        <v>7898.63</v>
      </c>
      <c r="Q204" s="68">
        <v>250.93035900000001</v>
      </c>
    </row>
    <row r="205" spans="1:17" x14ac:dyDescent="0.2">
      <c r="A205" s="66">
        <v>43630</v>
      </c>
      <c r="B205" s="67">
        <v>1.1208</v>
      </c>
      <c r="C205" s="68">
        <v>108.56</v>
      </c>
      <c r="D205" s="67">
        <v>1.1195900000000001</v>
      </c>
      <c r="E205" s="68">
        <v>2.093</v>
      </c>
      <c r="F205" s="68">
        <v>-0.25800000000000001</v>
      </c>
      <c r="G205" s="68">
        <v>-0.129</v>
      </c>
      <c r="H205" s="68">
        <v>-0.443</v>
      </c>
      <c r="I205" s="60">
        <v>2886.9799800000001</v>
      </c>
      <c r="J205" s="68">
        <v>12096.400390999999</v>
      </c>
      <c r="K205" s="68">
        <v>21116.890625</v>
      </c>
      <c r="L205" s="68">
        <v>11891.1</v>
      </c>
      <c r="M205" s="68">
        <v>1351.25</v>
      </c>
      <c r="N205" s="68">
        <v>63.13</v>
      </c>
      <c r="O205" s="68">
        <v>2928.98</v>
      </c>
      <c r="P205" s="68">
        <v>8452.83</v>
      </c>
      <c r="Q205" s="68">
        <v>264.08746300000001</v>
      </c>
    </row>
    <row r="206" spans="1:17" x14ac:dyDescent="0.2">
      <c r="A206" s="66">
        <v>43637</v>
      </c>
      <c r="B206" s="67">
        <v>1.1369</v>
      </c>
      <c r="C206" s="68">
        <v>107.32</v>
      </c>
      <c r="D206" s="67">
        <v>1.1102400000000001</v>
      </c>
      <c r="E206" s="68">
        <v>2.0680000000000001</v>
      </c>
      <c r="F206" s="68">
        <v>-0.28699999999999998</v>
      </c>
      <c r="G206" s="68">
        <v>-0.156</v>
      </c>
      <c r="H206" s="68">
        <v>-0.46100000000000002</v>
      </c>
      <c r="I206" s="60">
        <v>2950.459961</v>
      </c>
      <c r="J206" s="68">
        <v>12339.919921999999</v>
      </c>
      <c r="K206" s="68">
        <v>21258.640625</v>
      </c>
      <c r="L206" s="68">
        <v>11983.34</v>
      </c>
      <c r="M206" s="68">
        <v>1397.15</v>
      </c>
      <c r="N206" s="68">
        <v>65.989999999999995</v>
      </c>
      <c r="O206" s="68">
        <v>2929.57</v>
      </c>
      <c r="P206" s="68">
        <v>9939.81</v>
      </c>
      <c r="Q206" s="68">
        <v>294.91027800000001</v>
      </c>
    </row>
    <row r="207" spans="1:17" x14ac:dyDescent="0.2">
      <c r="A207" s="66">
        <v>43644</v>
      </c>
      <c r="B207" s="67">
        <v>1.1373</v>
      </c>
      <c r="C207" s="68">
        <v>107.85</v>
      </c>
      <c r="D207" s="67">
        <v>1.11039</v>
      </c>
      <c r="E207" s="68">
        <v>2</v>
      </c>
      <c r="F207" s="68">
        <v>-0.31</v>
      </c>
      <c r="G207" s="68">
        <v>-0.158</v>
      </c>
      <c r="H207" s="68">
        <v>-0.48199999999999998</v>
      </c>
      <c r="I207" s="60">
        <v>2941.76001</v>
      </c>
      <c r="J207" s="68">
        <v>12398.799805000001</v>
      </c>
      <c r="K207" s="68">
        <v>21275.919922000001</v>
      </c>
      <c r="L207" s="68">
        <v>11977.38</v>
      </c>
      <c r="M207" s="68">
        <v>1409</v>
      </c>
      <c r="N207" s="68">
        <v>67.52</v>
      </c>
      <c r="O207" s="68">
        <v>2967.19</v>
      </c>
      <c r="P207" s="68">
        <v>12212.7</v>
      </c>
      <c r="Q207" s="68">
        <v>311.22610500000002</v>
      </c>
    </row>
    <row r="208" spans="1:17" x14ac:dyDescent="0.2">
      <c r="A208" s="66">
        <v>43651</v>
      </c>
      <c r="B208" s="67">
        <v>1.1225000000000001</v>
      </c>
      <c r="C208" s="68">
        <v>108.47</v>
      </c>
      <c r="D208" s="67">
        <v>1.11311</v>
      </c>
      <c r="E208" s="68">
        <v>2.048</v>
      </c>
      <c r="F208" s="68">
        <v>-0.38600000000000001</v>
      </c>
      <c r="G208" s="68">
        <v>-0.155</v>
      </c>
      <c r="H208" s="68">
        <v>-0.60199999999999998</v>
      </c>
      <c r="I208" s="60">
        <v>2990.4099120000001</v>
      </c>
      <c r="J208" s="68">
        <v>12568.530273</v>
      </c>
      <c r="K208" s="68">
        <v>21746.380859000001</v>
      </c>
      <c r="L208" s="68">
        <v>12069.25</v>
      </c>
      <c r="M208" s="68">
        <v>1388.65</v>
      </c>
      <c r="N208" s="68">
        <v>64.23</v>
      </c>
      <c r="O208" s="68">
        <v>3028.28</v>
      </c>
      <c r="P208" s="68">
        <v>11034</v>
      </c>
      <c r="Q208" s="68">
        <v>287.99752799999999</v>
      </c>
    </row>
    <row r="209" spans="1:17" x14ac:dyDescent="0.2">
      <c r="A209" s="66">
        <v>43658</v>
      </c>
      <c r="B209" s="67">
        <v>1.127</v>
      </c>
      <c r="C209" s="68">
        <v>107.91</v>
      </c>
      <c r="D209" s="67">
        <v>1.1092</v>
      </c>
      <c r="E209" s="68">
        <v>2.1059999999999999</v>
      </c>
      <c r="F209" s="68">
        <v>-0.223</v>
      </c>
      <c r="G209" s="68">
        <v>-0.114</v>
      </c>
      <c r="H209" s="68">
        <v>-0.438</v>
      </c>
      <c r="I209" s="60">
        <v>3013.7700199999999</v>
      </c>
      <c r="J209" s="68">
        <v>12323.320313</v>
      </c>
      <c r="K209" s="68">
        <v>21685.900390999999</v>
      </c>
      <c r="L209" s="68">
        <v>11838.27</v>
      </c>
      <c r="M209" s="68">
        <v>1407.6</v>
      </c>
      <c r="N209" s="68">
        <v>66.650000000000006</v>
      </c>
      <c r="O209" s="68">
        <v>3051.12</v>
      </c>
      <c r="P209" s="68">
        <v>11907.36</v>
      </c>
      <c r="Q209" s="68">
        <v>276.276703</v>
      </c>
    </row>
    <row r="210" spans="1:17" x14ac:dyDescent="0.2">
      <c r="A210" s="66">
        <v>43665</v>
      </c>
      <c r="B210" s="67">
        <v>1.1221000000000001</v>
      </c>
      <c r="C210" s="68">
        <v>107.71</v>
      </c>
      <c r="D210" s="67">
        <v>1.10206</v>
      </c>
      <c r="E210" s="68">
        <v>2.048</v>
      </c>
      <c r="F210" s="68">
        <v>-0.34799999999999998</v>
      </c>
      <c r="G210" s="68">
        <v>-0.13200000000000001</v>
      </c>
      <c r="H210" s="68">
        <v>-0.55800000000000005</v>
      </c>
      <c r="I210" s="60">
        <v>2976.610107</v>
      </c>
      <c r="J210" s="68">
        <v>12260.070313</v>
      </c>
      <c r="K210" s="68">
        <v>21466.990234000001</v>
      </c>
      <c r="L210" s="68">
        <v>12028.67</v>
      </c>
      <c r="M210" s="68">
        <v>1439.7</v>
      </c>
      <c r="N210" s="68">
        <v>61.04</v>
      </c>
      <c r="O210" s="68">
        <v>3077.85</v>
      </c>
      <c r="P210" s="68">
        <v>10529.52</v>
      </c>
      <c r="Q210" s="68">
        <v>221.33341999999999</v>
      </c>
    </row>
    <row r="211" spans="1:17" x14ac:dyDescent="0.2">
      <c r="A211" s="66">
        <v>43672</v>
      </c>
      <c r="B211" s="67">
        <v>1.1128</v>
      </c>
      <c r="C211" s="68">
        <v>108.68</v>
      </c>
      <c r="D211" s="67">
        <v>1.1055900000000001</v>
      </c>
      <c r="E211" s="68">
        <v>2.081</v>
      </c>
      <c r="F211" s="68">
        <v>-0.38500000000000001</v>
      </c>
      <c r="G211" s="68">
        <v>-0.14799999999999999</v>
      </c>
      <c r="H211" s="68">
        <v>-0.625</v>
      </c>
      <c r="I211" s="60">
        <v>3025.860107</v>
      </c>
      <c r="J211" s="68">
        <v>12419.900390999999</v>
      </c>
      <c r="K211" s="68">
        <v>21658.150390999999</v>
      </c>
      <c r="L211" s="68">
        <v>12094.91</v>
      </c>
      <c r="M211" s="68">
        <v>1420.4</v>
      </c>
      <c r="N211" s="68">
        <v>62.46</v>
      </c>
      <c r="O211" s="68">
        <v>3072.59</v>
      </c>
      <c r="P211" s="68">
        <v>9834.23</v>
      </c>
      <c r="Q211" s="68">
        <v>219.62960799999999</v>
      </c>
    </row>
    <row r="212" spans="1:17" x14ac:dyDescent="0.2">
      <c r="A212" s="66">
        <v>43679</v>
      </c>
      <c r="B212" s="67">
        <v>1.1108</v>
      </c>
      <c r="C212" s="68">
        <v>106.59</v>
      </c>
      <c r="D212" s="67">
        <v>1.09124</v>
      </c>
      <c r="E212" s="68">
        <v>1.855</v>
      </c>
      <c r="F212" s="68">
        <v>-0.51300000000000001</v>
      </c>
      <c r="G212" s="68">
        <v>-0.16300000000000001</v>
      </c>
      <c r="H212" s="68">
        <v>-0.77200000000000002</v>
      </c>
      <c r="I212" s="60">
        <v>2932.0500489999999</v>
      </c>
      <c r="J212" s="68">
        <v>11872.440430000001</v>
      </c>
      <c r="K212" s="68">
        <v>21087.160156000002</v>
      </c>
      <c r="L212" s="68">
        <v>11937.15</v>
      </c>
      <c r="M212" s="68">
        <v>1441.75</v>
      </c>
      <c r="N212" s="68">
        <v>61.12</v>
      </c>
      <c r="O212" s="68">
        <v>3088</v>
      </c>
      <c r="P212" s="68">
        <v>10399.379999999999</v>
      </c>
      <c r="Q212" s="68">
        <v>217.871567</v>
      </c>
    </row>
    <row r="213" spans="1:17" x14ac:dyDescent="0.2">
      <c r="A213" s="66">
        <v>43686</v>
      </c>
      <c r="B213" s="67">
        <v>1.1200000000000001</v>
      </c>
      <c r="C213" s="68">
        <v>105.69</v>
      </c>
      <c r="D213" s="67">
        <v>1.0898600000000001</v>
      </c>
      <c r="E213" s="68">
        <v>1.734</v>
      </c>
      <c r="F213" s="68">
        <v>-0.60499999999999998</v>
      </c>
      <c r="G213" s="68">
        <v>-0.217</v>
      </c>
      <c r="H213" s="68">
        <v>-0.90800000000000003</v>
      </c>
      <c r="I213" s="60">
        <v>2918.6499020000001</v>
      </c>
      <c r="J213" s="68">
        <v>11693.799805000001</v>
      </c>
      <c r="K213" s="68">
        <v>20684.820313</v>
      </c>
      <c r="L213" s="68">
        <v>11869.44</v>
      </c>
      <c r="M213" s="68">
        <v>1497.7</v>
      </c>
      <c r="N213" s="68">
        <v>57.37</v>
      </c>
      <c r="O213" s="68">
        <v>3159.88</v>
      </c>
      <c r="P213" s="68">
        <v>11864.63</v>
      </c>
      <c r="Q213" s="68">
        <v>210.48890700000001</v>
      </c>
    </row>
    <row r="214" spans="1:17" x14ac:dyDescent="0.2">
      <c r="A214" s="66">
        <v>43693</v>
      </c>
      <c r="B214" s="67">
        <v>1.109</v>
      </c>
      <c r="C214" s="68">
        <v>106.38</v>
      </c>
      <c r="D214" s="67">
        <v>1.0852999999999999</v>
      </c>
      <c r="E214" s="68">
        <v>1.5389999999999999</v>
      </c>
      <c r="F214" s="68">
        <v>-0.72699999999999998</v>
      </c>
      <c r="G214" s="68">
        <v>-0.22800000000000001</v>
      </c>
      <c r="H214" s="68">
        <v>-1.0720000000000001</v>
      </c>
      <c r="I214" s="60">
        <v>2888.679932</v>
      </c>
      <c r="J214" s="68">
        <v>11562.740234000001</v>
      </c>
      <c r="K214" s="68">
        <v>20418.810547000001</v>
      </c>
      <c r="L214" s="68">
        <v>11826.61</v>
      </c>
      <c r="M214" s="68">
        <v>1515.25</v>
      </c>
      <c r="N214" s="68">
        <v>59</v>
      </c>
      <c r="O214" s="68">
        <v>3306.31</v>
      </c>
      <c r="P214" s="68">
        <v>10395.4</v>
      </c>
      <c r="Q214" s="68">
        <v>185.440079</v>
      </c>
    </row>
    <row r="215" spans="1:17" x14ac:dyDescent="0.2">
      <c r="A215" s="66">
        <v>43700</v>
      </c>
      <c r="B215" s="67">
        <v>1.1144000000000001</v>
      </c>
      <c r="C215" s="68">
        <v>105.39</v>
      </c>
      <c r="D215" s="67">
        <v>1.08653</v>
      </c>
      <c r="E215" s="68">
        <v>1.528</v>
      </c>
      <c r="F215" s="68">
        <v>-0.63200000000000001</v>
      </c>
      <c r="G215" s="68">
        <v>-0.23100000000000001</v>
      </c>
      <c r="H215" s="68">
        <v>-0.86299999999999999</v>
      </c>
      <c r="I215" s="60">
        <v>2847.110107</v>
      </c>
      <c r="J215" s="68">
        <v>11611.509765999999</v>
      </c>
      <c r="K215" s="68">
        <v>20710.910156000002</v>
      </c>
      <c r="L215" s="68">
        <v>11869</v>
      </c>
      <c r="M215" s="68">
        <v>1503.8</v>
      </c>
      <c r="N215" s="68">
        <v>58.64</v>
      </c>
      <c r="O215" s="68">
        <v>3353.32</v>
      </c>
      <c r="P215" s="68">
        <v>10361.52</v>
      </c>
      <c r="Q215" s="68">
        <v>194.70620700000001</v>
      </c>
    </row>
    <row r="216" spans="1:17" x14ac:dyDescent="0.2">
      <c r="A216" s="66">
        <v>43707</v>
      </c>
      <c r="B216" s="67">
        <v>1.0982000000000001</v>
      </c>
      <c r="C216" s="68">
        <v>106.28</v>
      </c>
      <c r="D216" s="67">
        <v>1.0888</v>
      </c>
      <c r="E216" s="68">
        <v>1.506</v>
      </c>
      <c r="F216" s="68">
        <v>-0.70499999999999996</v>
      </c>
      <c r="G216" s="68">
        <v>-0.26900000000000002</v>
      </c>
      <c r="H216" s="68">
        <v>-0.97499999999999998</v>
      </c>
      <c r="I216" s="60">
        <v>2926.459961</v>
      </c>
      <c r="J216" s="68">
        <v>11939.280273</v>
      </c>
      <c r="K216" s="68">
        <v>20704.369140999999</v>
      </c>
      <c r="L216" s="68">
        <v>12060.92</v>
      </c>
      <c r="M216" s="68">
        <v>1528.4</v>
      </c>
      <c r="N216" s="68">
        <v>61.04</v>
      </c>
      <c r="O216" s="68">
        <v>3378.78</v>
      </c>
      <c r="P216" s="68">
        <v>9626.18</v>
      </c>
      <c r="Q216" s="68">
        <v>168.834869</v>
      </c>
    </row>
    <row r="217" spans="1:17" x14ac:dyDescent="0.2">
      <c r="A217" s="66">
        <v>43714</v>
      </c>
      <c r="B217" s="67">
        <v>1.1029</v>
      </c>
      <c r="C217" s="68">
        <v>106.92</v>
      </c>
      <c r="D217" s="67">
        <v>1.08918</v>
      </c>
      <c r="E217" s="68">
        <v>1.55</v>
      </c>
      <c r="F217" s="68">
        <v>-0.60399999999999998</v>
      </c>
      <c r="G217" s="68">
        <v>-0.23699999999999999</v>
      </c>
      <c r="H217" s="68">
        <v>-0.84299999999999997</v>
      </c>
      <c r="I217" s="60">
        <v>2978.709961</v>
      </c>
      <c r="J217" s="68">
        <v>12191.730469</v>
      </c>
      <c r="K217" s="68">
        <v>21199.570313</v>
      </c>
      <c r="L217" s="68">
        <v>12266.71</v>
      </c>
      <c r="M217" s="68">
        <v>1523.7</v>
      </c>
      <c r="N217" s="68">
        <v>61.28</v>
      </c>
      <c r="O217" s="68">
        <v>3367.03</v>
      </c>
      <c r="P217" s="68">
        <v>10356.879999999999</v>
      </c>
      <c r="Q217" s="68">
        <v>169.956177</v>
      </c>
    </row>
    <row r="218" spans="1:17" x14ac:dyDescent="0.2">
      <c r="A218" s="66">
        <v>43721</v>
      </c>
      <c r="B218" s="67">
        <v>1.1073</v>
      </c>
      <c r="C218" s="68">
        <v>108.09</v>
      </c>
      <c r="D218" s="67">
        <v>1.0967899999999999</v>
      </c>
      <c r="E218" s="68">
        <v>1.903</v>
      </c>
      <c r="F218" s="68">
        <v>-0.51</v>
      </c>
      <c r="G218" s="68">
        <v>-0.153</v>
      </c>
      <c r="H218" s="68">
        <v>-0.67100000000000004</v>
      </c>
      <c r="I218" s="60">
        <v>3007.389893</v>
      </c>
      <c r="J218" s="68">
        <v>12468.530273</v>
      </c>
      <c r="K218" s="68">
        <v>21988.289063</v>
      </c>
      <c r="L218" s="68">
        <v>12170.68</v>
      </c>
      <c r="M218" s="68">
        <v>1503.1</v>
      </c>
      <c r="N218" s="68">
        <v>61.25</v>
      </c>
      <c r="O218" s="68">
        <v>3274.55</v>
      </c>
      <c r="P218" s="68">
        <v>10270.67</v>
      </c>
      <c r="Q218" s="68">
        <v>181.10972599999999</v>
      </c>
    </row>
    <row r="219" spans="1:17" x14ac:dyDescent="0.2">
      <c r="A219" s="66">
        <v>43728</v>
      </c>
      <c r="B219" s="67">
        <v>1.1016999999999999</v>
      </c>
      <c r="C219" s="68">
        <v>107.56</v>
      </c>
      <c r="D219" s="67">
        <v>1.0921400000000001</v>
      </c>
      <c r="E219" s="68">
        <v>1.7549999999999999</v>
      </c>
      <c r="F219" s="68">
        <v>-0.52800000000000002</v>
      </c>
      <c r="G219" s="68">
        <v>-0.20699999999999999</v>
      </c>
      <c r="H219" s="68">
        <v>-0.70499999999999996</v>
      </c>
      <c r="I219" s="60">
        <v>2992.070068</v>
      </c>
      <c r="J219" s="68">
        <v>12468.009765999999</v>
      </c>
      <c r="K219" s="68">
        <v>22079.089843999998</v>
      </c>
      <c r="L219" s="68">
        <v>12186.86</v>
      </c>
      <c r="M219" s="68">
        <v>1501.9</v>
      </c>
      <c r="N219" s="68">
        <v>65.23</v>
      </c>
      <c r="O219" s="68">
        <v>3303.29</v>
      </c>
      <c r="P219" s="68">
        <v>10135.94</v>
      </c>
      <c r="Q219" s="68">
        <v>218.050049</v>
      </c>
    </row>
    <row r="220" spans="1:17" x14ac:dyDescent="0.2">
      <c r="A220" s="66">
        <v>43735</v>
      </c>
      <c r="B220" s="67">
        <v>1.0940000000000001</v>
      </c>
      <c r="C220" s="68">
        <v>107.92</v>
      </c>
      <c r="D220" s="67">
        <v>1.0840700000000001</v>
      </c>
      <c r="E220" s="68">
        <v>1.675</v>
      </c>
      <c r="F220" s="68">
        <v>-0.59599999999999997</v>
      </c>
      <c r="G220" s="68">
        <v>-0.23499999999999999</v>
      </c>
      <c r="H220" s="68">
        <v>-0.746</v>
      </c>
      <c r="I220" s="60">
        <v>2961.790039</v>
      </c>
      <c r="J220" s="68">
        <v>12380.940430000001</v>
      </c>
      <c r="K220" s="68">
        <v>21878.900390999999</v>
      </c>
      <c r="L220" s="68">
        <v>12188.31</v>
      </c>
      <c r="M220" s="68">
        <v>1489.9</v>
      </c>
      <c r="N220" s="68">
        <v>62.48</v>
      </c>
      <c r="O220" s="68">
        <v>3324.94</v>
      </c>
      <c r="P220" s="68">
        <v>8060.97</v>
      </c>
      <c r="Q220" s="68">
        <v>174.71099899999999</v>
      </c>
    </row>
    <row r="221" spans="1:17" x14ac:dyDescent="0.2">
      <c r="A221" s="66">
        <v>43742</v>
      </c>
      <c r="B221" s="67">
        <v>1.0979000000000001</v>
      </c>
      <c r="C221" s="68">
        <v>106.94</v>
      </c>
      <c r="D221" s="67">
        <v>1.09273</v>
      </c>
      <c r="E221" s="68">
        <v>1.5149999999999999</v>
      </c>
      <c r="F221" s="68">
        <v>-0.60799999999999998</v>
      </c>
      <c r="G221" s="68">
        <v>-0.21099999999999999</v>
      </c>
      <c r="H221" s="68">
        <v>-0.752</v>
      </c>
      <c r="I221" s="60">
        <v>2952.01001</v>
      </c>
      <c r="J221" s="68">
        <v>12012.809569999999</v>
      </c>
      <c r="K221" s="68">
        <v>21410.199218999998</v>
      </c>
      <c r="L221" s="68">
        <v>11970.07</v>
      </c>
      <c r="M221" s="68">
        <v>1499.15</v>
      </c>
      <c r="N221" s="68">
        <v>59.13</v>
      </c>
      <c r="O221" s="68">
        <v>3361.06</v>
      </c>
      <c r="P221" s="68">
        <v>8170.58</v>
      </c>
      <c r="Q221" s="68">
        <v>176.98500100000001</v>
      </c>
    </row>
    <row r="222" spans="1:17" x14ac:dyDescent="0.2">
      <c r="A222" s="66">
        <v>43749</v>
      </c>
      <c r="B222" s="67">
        <v>1.1042000000000001</v>
      </c>
      <c r="C222" s="68">
        <v>108.29</v>
      </c>
      <c r="D222" s="67">
        <v>1.10057</v>
      </c>
      <c r="E222" s="68">
        <v>1.752</v>
      </c>
      <c r="F222" s="68">
        <v>-0.48799999999999999</v>
      </c>
      <c r="G222" s="68">
        <v>-0.17899999999999999</v>
      </c>
      <c r="H222" s="68">
        <v>-0.66600000000000004</v>
      </c>
      <c r="I222" s="60">
        <v>2970.2700199999999</v>
      </c>
      <c r="J222" s="68">
        <v>12511.650390999999</v>
      </c>
      <c r="K222" s="68">
        <v>21798.869140999999</v>
      </c>
      <c r="L222" s="68">
        <v>12178.19</v>
      </c>
      <c r="M222" s="68">
        <v>1479.15</v>
      </c>
      <c r="N222" s="68">
        <v>60.59</v>
      </c>
      <c r="O222" s="68">
        <v>3395.33</v>
      </c>
      <c r="P222" s="68">
        <v>8342.92</v>
      </c>
      <c r="Q222" s="68">
        <v>182.56968699999999</v>
      </c>
    </row>
    <row r="223" spans="1:17" x14ac:dyDescent="0.2">
      <c r="A223" s="66">
        <v>43756</v>
      </c>
      <c r="B223" s="67">
        <v>1.1167</v>
      </c>
      <c r="C223" s="68">
        <v>108.45</v>
      </c>
      <c r="D223" s="67">
        <v>1.0993200000000001</v>
      </c>
      <c r="E223" s="68">
        <v>1.7470000000000001</v>
      </c>
      <c r="F223" s="68">
        <v>-0.39600000000000002</v>
      </c>
      <c r="G223" s="68">
        <v>-0.13100000000000001</v>
      </c>
      <c r="H223" s="68">
        <v>-0.56299999999999994</v>
      </c>
      <c r="I223" s="60">
        <v>2986.1999510000001</v>
      </c>
      <c r="J223" s="68">
        <v>12633.599609000001</v>
      </c>
      <c r="K223" s="68">
        <v>22492.679688</v>
      </c>
      <c r="L223" s="68">
        <v>12062.18</v>
      </c>
      <c r="M223" s="68">
        <v>1492.65</v>
      </c>
      <c r="N223" s="68">
        <v>59.96</v>
      </c>
      <c r="O223" s="68">
        <v>3408.37</v>
      </c>
      <c r="P223" s="68">
        <v>7947.7</v>
      </c>
      <c r="Q223" s="68">
        <v>173.62133800000001</v>
      </c>
    </row>
    <row r="224" spans="1:17" x14ac:dyDescent="0.2">
      <c r="A224" s="66">
        <v>43763</v>
      </c>
      <c r="B224" s="67">
        <v>1.1080000000000001</v>
      </c>
      <c r="C224" s="68">
        <v>108.67</v>
      </c>
      <c r="D224" s="67">
        <v>1.1019000000000001</v>
      </c>
      <c r="E224" s="68">
        <v>1.8009999999999999</v>
      </c>
      <c r="F224" s="68">
        <v>-0.39200000000000002</v>
      </c>
      <c r="G224" s="68">
        <v>-0.13600000000000001</v>
      </c>
      <c r="H224" s="68">
        <v>-0.53900000000000003</v>
      </c>
      <c r="I224" s="60">
        <v>3022.5500489999999</v>
      </c>
      <c r="J224" s="68">
        <v>12894.509765999999</v>
      </c>
      <c r="K224" s="68">
        <v>22799.810547000001</v>
      </c>
      <c r="L224" s="68">
        <v>12306.45</v>
      </c>
      <c r="M224" s="68">
        <v>1513.45</v>
      </c>
      <c r="N224" s="68">
        <v>62.06</v>
      </c>
      <c r="O224" s="68">
        <v>3394.03</v>
      </c>
      <c r="P224" s="68">
        <v>8574.4</v>
      </c>
      <c r="Q224" s="68">
        <v>181.52320900000001</v>
      </c>
    </row>
    <row r="225" spans="1:17" x14ac:dyDescent="0.2">
      <c r="A225" s="66">
        <v>43770</v>
      </c>
      <c r="B225" s="67">
        <v>1.1166</v>
      </c>
      <c r="C225" s="68">
        <v>108.19</v>
      </c>
      <c r="D225" s="67">
        <v>1.1005799999999999</v>
      </c>
      <c r="E225" s="68">
        <v>1.728</v>
      </c>
      <c r="F225" s="68">
        <v>-0.41</v>
      </c>
      <c r="G225" s="68">
        <v>-0.17599999999999999</v>
      </c>
      <c r="H225" s="68">
        <v>-0.50900000000000001</v>
      </c>
      <c r="I225" s="60">
        <v>3066.9099120000001</v>
      </c>
      <c r="J225" s="68">
        <v>12961.049805000001</v>
      </c>
      <c r="K225" s="68">
        <v>22850.769531000002</v>
      </c>
      <c r="L225" s="68">
        <v>12371.58</v>
      </c>
      <c r="M225" s="68">
        <v>1508.8</v>
      </c>
      <c r="N225" s="68">
        <v>60.17</v>
      </c>
      <c r="O225" s="68">
        <v>3411.13</v>
      </c>
      <c r="P225" s="68">
        <v>9212.68</v>
      </c>
      <c r="Q225" s="68">
        <v>183.96989400000001</v>
      </c>
    </row>
    <row r="226" spans="1:17" x14ac:dyDescent="0.2">
      <c r="A226" s="66">
        <v>43777</v>
      </c>
      <c r="B226" s="67">
        <v>1.1017999999999999</v>
      </c>
      <c r="C226" s="68">
        <v>109.26</v>
      </c>
      <c r="D226" s="67">
        <v>1.09921</v>
      </c>
      <c r="E226" s="68">
        <v>1.9330000000000001</v>
      </c>
      <c r="F226" s="68">
        <v>-0.255</v>
      </c>
      <c r="G226" s="68">
        <v>-0.05</v>
      </c>
      <c r="H226" s="68">
        <v>-0.35899999999999999</v>
      </c>
      <c r="I226" s="60">
        <v>3093.080078</v>
      </c>
      <c r="J226" s="68">
        <v>13228.559569999999</v>
      </c>
      <c r="K226" s="68">
        <v>23391.869140999999</v>
      </c>
      <c r="L226" s="68">
        <v>12451.14</v>
      </c>
      <c r="M226" s="68">
        <v>1464.15</v>
      </c>
      <c r="N226" s="68">
        <v>62</v>
      </c>
      <c r="O226" s="68">
        <v>3423.76</v>
      </c>
      <c r="P226" s="68">
        <v>8866.5499999999993</v>
      </c>
      <c r="Q226" s="68">
        <v>184.21147199999999</v>
      </c>
    </row>
    <row r="227" spans="1:17" x14ac:dyDescent="0.2">
      <c r="A227" s="66">
        <v>43784</v>
      </c>
      <c r="B227" s="67">
        <v>1.1051</v>
      </c>
      <c r="C227" s="68">
        <v>108.8</v>
      </c>
      <c r="D227" s="67">
        <v>1.0938699999999999</v>
      </c>
      <c r="E227" s="68">
        <v>1.8340000000000001</v>
      </c>
      <c r="F227" s="68">
        <v>-0.33</v>
      </c>
      <c r="G227" s="68">
        <v>-6.8000000000000005E-2</v>
      </c>
      <c r="H227" s="68">
        <v>-0.46800000000000003</v>
      </c>
      <c r="I227" s="60">
        <v>3120.459961</v>
      </c>
      <c r="J227" s="68">
        <v>13241.75</v>
      </c>
      <c r="K227" s="68">
        <v>23303.320313</v>
      </c>
      <c r="L227" s="68">
        <v>12460.67</v>
      </c>
      <c r="M227" s="68">
        <v>1466.9</v>
      </c>
      <c r="N227" s="68">
        <v>63.32</v>
      </c>
      <c r="O227" s="68">
        <v>3455.9</v>
      </c>
      <c r="P227" s="68">
        <v>8453.89</v>
      </c>
      <c r="Q227" s="68">
        <v>180.52117899999999</v>
      </c>
    </row>
    <row r="228" spans="1:17" x14ac:dyDescent="0.2">
      <c r="A228" s="66">
        <v>43791</v>
      </c>
      <c r="B228" s="67">
        <v>1.1021000000000001</v>
      </c>
      <c r="C228" s="68">
        <v>108.66</v>
      </c>
      <c r="D228" s="67">
        <v>1.0993999999999999</v>
      </c>
      <c r="E228" s="68">
        <v>1.774</v>
      </c>
      <c r="F228" s="68">
        <v>-0.34899999999999998</v>
      </c>
      <c r="G228" s="68">
        <v>-7.3999999999999996E-2</v>
      </c>
      <c r="H228" s="68">
        <v>-0.51700000000000002</v>
      </c>
      <c r="I228" s="60">
        <v>3110.290039</v>
      </c>
      <c r="J228" s="68">
        <v>13163.879883</v>
      </c>
      <c r="K228" s="68">
        <v>23112.880859000001</v>
      </c>
      <c r="L228" s="68">
        <v>12515.59</v>
      </c>
      <c r="M228" s="68">
        <v>1464.45</v>
      </c>
      <c r="N228" s="68">
        <v>64.83</v>
      </c>
      <c r="O228" s="68">
        <v>3462.35</v>
      </c>
      <c r="P228" s="68">
        <v>7343.85</v>
      </c>
      <c r="Q228" s="68">
        <v>150.26817299999999</v>
      </c>
    </row>
    <row r="229" spans="1:17" x14ac:dyDescent="0.2">
      <c r="A229" s="66">
        <v>43798</v>
      </c>
      <c r="B229" s="67">
        <v>1.1017999999999999</v>
      </c>
      <c r="C229" s="68">
        <v>109.49</v>
      </c>
      <c r="D229" s="67">
        <v>1.1018699999999999</v>
      </c>
      <c r="E229" s="68">
        <v>1.7669999999999999</v>
      </c>
      <c r="F229" s="68">
        <v>-0.36899999999999999</v>
      </c>
      <c r="G229" s="68">
        <v>-7.2999999999999995E-2</v>
      </c>
      <c r="H229" s="68">
        <v>-0.57999999999999996</v>
      </c>
      <c r="I229" s="60">
        <v>3140.9799800000001</v>
      </c>
      <c r="J229" s="68">
        <v>13236.379883</v>
      </c>
      <c r="K229" s="68">
        <v>23293.910156000002</v>
      </c>
      <c r="L229" s="68">
        <v>12676.11</v>
      </c>
      <c r="M229" s="68">
        <v>1460.15</v>
      </c>
      <c r="N229" s="68">
        <v>64.5</v>
      </c>
      <c r="O229" s="68">
        <v>3489.97</v>
      </c>
      <c r="P229" s="68">
        <v>7710.34</v>
      </c>
      <c r="Q229" s="68">
        <v>155.30415300000001</v>
      </c>
    </row>
    <row r="230" spans="1:17" x14ac:dyDescent="0.2">
      <c r="A230" s="66">
        <v>43805</v>
      </c>
      <c r="B230" s="67">
        <v>1.1060000000000001</v>
      </c>
      <c r="C230" s="68">
        <v>108.58</v>
      </c>
      <c r="D230" s="67">
        <v>1.09537</v>
      </c>
      <c r="E230" s="68">
        <v>1.8420000000000001</v>
      </c>
      <c r="F230" s="68">
        <v>-0.29799999999999999</v>
      </c>
      <c r="G230" s="68">
        <v>-6.0000000000000001E-3</v>
      </c>
      <c r="H230" s="68">
        <v>-0.56499999999999995</v>
      </c>
      <c r="I230" s="60">
        <v>3145.9099120000001</v>
      </c>
      <c r="J230" s="68">
        <v>13166.580078000001</v>
      </c>
      <c r="K230" s="68">
        <v>23354.400390999999</v>
      </c>
      <c r="L230" s="68">
        <v>12652.97</v>
      </c>
      <c r="M230" s="68">
        <v>1459.65</v>
      </c>
      <c r="N230" s="68">
        <v>66.5</v>
      </c>
      <c r="O230" s="68">
        <v>3514.81</v>
      </c>
      <c r="P230" s="68">
        <v>7469.48</v>
      </c>
      <c r="Q230" s="68">
        <v>149.19444300000001</v>
      </c>
    </row>
    <row r="231" spans="1:17" x14ac:dyDescent="0.2">
      <c r="A231" s="66">
        <v>43812</v>
      </c>
      <c r="B231" s="67">
        <v>1.1121000000000001</v>
      </c>
      <c r="C231" s="68">
        <v>109.38</v>
      </c>
      <c r="D231" s="67">
        <v>1.0942400000000001</v>
      </c>
      <c r="E231" s="68">
        <v>1.819</v>
      </c>
      <c r="F231" s="68">
        <v>-0.23300000000000001</v>
      </c>
      <c r="G231" s="68">
        <v>-1.7999999999999999E-2</v>
      </c>
      <c r="H231" s="68">
        <v>-0.49</v>
      </c>
      <c r="I231" s="60">
        <v>3168.8000489999999</v>
      </c>
      <c r="J231" s="68">
        <v>13282.719727</v>
      </c>
      <c r="K231" s="68">
        <v>24023.099609000001</v>
      </c>
      <c r="L231" s="68">
        <v>12614.74</v>
      </c>
      <c r="M231" s="68">
        <v>1466.6</v>
      </c>
      <c r="N231" s="68">
        <v>67.44</v>
      </c>
      <c r="O231" s="68">
        <v>3483.39</v>
      </c>
      <c r="P231" s="68">
        <v>7240.62</v>
      </c>
      <c r="Q231" s="68">
        <v>144.944748</v>
      </c>
    </row>
    <row r="232" spans="1:17" x14ac:dyDescent="0.2">
      <c r="A232" s="66">
        <v>43819</v>
      </c>
      <c r="B232" s="67">
        <v>1.1078999999999999</v>
      </c>
      <c r="C232" s="68">
        <v>109.44</v>
      </c>
      <c r="D232" s="67">
        <v>1.0884</v>
      </c>
      <c r="E232" s="68">
        <v>1.917</v>
      </c>
      <c r="F232" s="68">
        <v>-0.21299999999999999</v>
      </c>
      <c r="G232" s="68">
        <v>1.4E-2</v>
      </c>
      <c r="H232" s="68">
        <v>-0.46800000000000003</v>
      </c>
      <c r="I232" s="60">
        <v>3221.219971</v>
      </c>
      <c r="J232" s="68">
        <v>13318.900390999999</v>
      </c>
      <c r="K232" s="68">
        <v>23816.630859000001</v>
      </c>
      <c r="L232" s="68">
        <v>12895.69</v>
      </c>
      <c r="M232" s="68">
        <v>1479</v>
      </c>
      <c r="N232" s="68">
        <v>68.66</v>
      </c>
      <c r="O232" s="68">
        <v>3598.57</v>
      </c>
      <c r="P232" s="68">
        <v>7198.73</v>
      </c>
      <c r="Q232" s="68">
        <v>129.06605500000001</v>
      </c>
    </row>
    <row r="233" spans="1:17" x14ac:dyDescent="0.2">
      <c r="A233" s="66">
        <v>43826</v>
      </c>
      <c r="B233" s="67">
        <v>1.1176999999999999</v>
      </c>
      <c r="C233" s="68">
        <v>109.44</v>
      </c>
      <c r="D233" s="67">
        <v>1.08921</v>
      </c>
      <c r="E233" s="68">
        <v>1.8740000000000001</v>
      </c>
      <c r="F233" s="68">
        <v>-0.23499999999999999</v>
      </c>
      <c r="G233" s="68">
        <v>-1.0999999999999999E-2</v>
      </c>
      <c r="H233" s="68">
        <v>-0.48399999999999999</v>
      </c>
      <c r="I233" s="60">
        <v>3240.0200199999999</v>
      </c>
      <c r="J233" s="68">
        <v>13337.110352</v>
      </c>
      <c r="K233" s="68">
        <v>23837.720702999999</v>
      </c>
      <c r="L233" s="68">
        <v>12972.24</v>
      </c>
      <c r="M233" s="68">
        <v>1511.5</v>
      </c>
      <c r="N233" s="68">
        <v>68.91</v>
      </c>
      <c r="O233" s="68">
        <v>3653.71</v>
      </c>
      <c r="P233" s="68">
        <v>7219.5</v>
      </c>
      <c r="Q233" s="68">
        <v>127.214607</v>
      </c>
    </row>
    <row r="234" spans="1:17" x14ac:dyDescent="0.2">
      <c r="A234" s="66">
        <v>43833</v>
      </c>
      <c r="B234" s="67">
        <v>1.1161000000000001</v>
      </c>
      <c r="C234" s="68">
        <v>108.09</v>
      </c>
      <c r="D234" s="67">
        <v>1.08517</v>
      </c>
      <c r="E234" s="68">
        <v>1.788</v>
      </c>
      <c r="F234" s="68">
        <v>-0.27800000000000002</v>
      </c>
      <c r="G234" s="68">
        <v>-1.0999999999999999E-2</v>
      </c>
      <c r="H234" s="68">
        <v>-0.50900000000000001</v>
      </c>
      <c r="I234" s="60">
        <v>3234.8500979999999</v>
      </c>
      <c r="J234" s="68">
        <v>13219.139648</v>
      </c>
      <c r="K234" s="68">
        <v>23656.619140999999</v>
      </c>
      <c r="L234" s="68">
        <v>12938.67</v>
      </c>
      <c r="M234" s="68">
        <v>1552.2</v>
      </c>
      <c r="N234" s="68">
        <v>69.08</v>
      </c>
      <c r="O234" s="68">
        <v>3695.03</v>
      </c>
      <c r="P234" s="68">
        <v>7269.82</v>
      </c>
      <c r="Q234" s="68">
        <v>134.171707</v>
      </c>
    </row>
    <row r="235" spans="1:17" x14ac:dyDescent="0.2">
      <c r="A235" s="66">
        <v>43840</v>
      </c>
      <c r="B235" s="67">
        <v>1.1121000000000001</v>
      </c>
      <c r="C235" s="68">
        <v>109.45</v>
      </c>
      <c r="D235" s="67">
        <v>1.08162</v>
      </c>
      <c r="E235" s="68">
        <v>1.825</v>
      </c>
      <c r="F235" s="68">
        <v>-0.19900000000000001</v>
      </c>
      <c r="G235" s="68">
        <v>0.01</v>
      </c>
      <c r="H235" s="68">
        <v>-0.48799999999999999</v>
      </c>
      <c r="I235" s="60">
        <v>3265.3500979999999</v>
      </c>
      <c r="J235" s="68">
        <v>13483.309569999999</v>
      </c>
      <c r="K235" s="68">
        <v>23850.570313</v>
      </c>
      <c r="L235" s="68">
        <v>12866.5</v>
      </c>
      <c r="M235" s="68">
        <v>1562.34</v>
      </c>
      <c r="N235" s="68">
        <v>66.77</v>
      </c>
      <c r="O235" s="68">
        <v>3689.55</v>
      </c>
      <c r="P235" s="68">
        <v>8043.69</v>
      </c>
      <c r="Q235" s="68">
        <v>143.963776</v>
      </c>
    </row>
    <row r="236" spans="1:17" x14ac:dyDescent="0.2">
      <c r="A236" s="66">
        <v>43847</v>
      </c>
      <c r="B236" s="67">
        <v>1.1092</v>
      </c>
      <c r="C236" s="68">
        <v>110.14</v>
      </c>
      <c r="D236" s="67">
        <v>1.07372</v>
      </c>
      <c r="E236" s="68">
        <v>1.8360000000000001</v>
      </c>
      <c r="F236" s="68">
        <v>-0.215</v>
      </c>
      <c r="G236" s="68">
        <v>3.0000000000000001E-3</v>
      </c>
      <c r="H236" s="68">
        <v>-0.55400000000000005</v>
      </c>
      <c r="I236" s="60">
        <v>3329.6201169999999</v>
      </c>
      <c r="J236" s="68">
        <v>13526.129883</v>
      </c>
      <c r="K236" s="68">
        <v>24041.259765999999</v>
      </c>
      <c r="L236" s="68">
        <v>13117.25</v>
      </c>
      <c r="M236" s="68">
        <v>1557.24</v>
      </c>
      <c r="N236" s="68">
        <v>64.05</v>
      </c>
      <c r="O236" s="68">
        <v>3799.95</v>
      </c>
      <c r="P236" s="68">
        <v>8906.32</v>
      </c>
      <c r="Q236" s="68">
        <v>170.77995300000001</v>
      </c>
    </row>
    <row r="237" spans="1:17" x14ac:dyDescent="0.2">
      <c r="A237" s="66">
        <v>43854</v>
      </c>
      <c r="B237" s="67">
        <v>1.1025</v>
      </c>
      <c r="C237" s="68">
        <v>109.28</v>
      </c>
      <c r="D237" s="67">
        <v>1.0709200000000001</v>
      </c>
      <c r="E237" s="68">
        <v>1.681</v>
      </c>
      <c r="F237" s="68">
        <v>-0.33500000000000002</v>
      </c>
      <c r="G237" s="68">
        <v>-0.02</v>
      </c>
      <c r="H237" s="68">
        <v>-0.64100000000000001</v>
      </c>
      <c r="I237" s="60">
        <v>3295.469971</v>
      </c>
      <c r="J237" s="68">
        <v>13576.679688</v>
      </c>
      <c r="K237" s="68">
        <v>23827.179688</v>
      </c>
      <c r="L237" s="68">
        <v>13149.91</v>
      </c>
      <c r="M237" s="68">
        <v>1571.53</v>
      </c>
      <c r="N237" s="68">
        <v>59.34</v>
      </c>
      <c r="O237" s="68">
        <v>3872.55</v>
      </c>
      <c r="P237" s="68">
        <v>8497.52</v>
      </c>
      <c r="Q237" s="68">
        <v>163.05117799999999</v>
      </c>
    </row>
    <row r="238" spans="1:17" x14ac:dyDescent="0.2">
      <c r="A238" s="66">
        <v>43861</v>
      </c>
      <c r="B238" s="67">
        <v>1.1093</v>
      </c>
      <c r="C238" s="68">
        <v>108.35</v>
      </c>
      <c r="D238" s="67">
        <v>1.0688800000000001</v>
      </c>
      <c r="E238" s="68">
        <v>1.52</v>
      </c>
      <c r="F238" s="68">
        <v>-0.434</v>
      </c>
      <c r="G238" s="68">
        <v>-6.6000000000000003E-2</v>
      </c>
      <c r="H238" s="68">
        <v>-0.69799999999999995</v>
      </c>
      <c r="I238" s="60">
        <v>3225.5200199999999</v>
      </c>
      <c r="J238" s="68">
        <v>12981.969727</v>
      </c>
      <c r="K238" s="68">
        <v>23205.179688</v>
      </c>
      <c r="L238" s="68">
        <v>12870.99</v>
      </c>
      <c r="M238" s="68">
        <v>1589.16</v>
      </c>
      <c r="N238" s="68">
        <v>57.77</v>
      </c>
      <c r="O238" s="68">
        <v>3850.14</v>
      </c>
      <c r="P238" s="68">
        <v>9354.31</v>
      </c>
      <c r="Q238" s="68">
        <v>180.16017199999999</v>
      </c>
    </row>
    <row r="239" spans="1:17" x14ac:dyDescent="0.2">
      <c r="A239" s="66">
        <v>43868</v>
      </c>
      <c r="B239" s="67">
        <v>1.0946</v>
      </c>
      <c r="C239" s="68">
        <v>109.75</v>
      </c>
      <c r="D239" s="67">
        <v>1.0701000000000001</v>
      </c>
      <c r="E239" s="68">
        <v>1.5780000000000001</v>
      </c>
      <c r="F239" s="68">
        <v>-0.38600000000000001</v>
      </c>
      <c r="G239" s="68">
        <v>-3.7999999999999999E-2</v>
      </c>
      <c r="H239" s="68">
        <v>-0.65800000000000003</v>
      </c>
      <c r="I239" s="60">
        <v>3327.709961</v>
      </c>
      <c r="J239" s="68">
        <v>13513.809569999999</v>
      </c>
      <c r="K239" s="68">
        <v>23827.980468999998</v>
      </c>
      <c r="L239" s="68">
        <v>13280.42</v>
      </c>
      <c r="M239" s="68">
        <v>1570.44</v>
      </c>
      <c r="N239" s="68">
        <v>54.53</v>
      </c>
      <c r="O239" s="68">
        <v>3902.69</v>
      </c>
      <c r="P239" s="68">
        <v>9744.4599999999991</v>
      </c>
      <c r="Q239" s="68">
        <v>222.72605899999999</v>
      </c>
    </row>
    <row r="240" spans="1:17" x14ac:dyDescent="0.2">
      <c r="A240" s="66">
        <v>43875</v>
      </c>
      <c r="B240" s="67">
        <v>1.0831</v>
      </c>
      <c r="C240" s="68">
        <v>109.78</v>
      </c>
      <c r="D240" s="67">
        <v>1.0644</v>
      </c>
      <c r="E240" s="68">
        <v>1.5880000000000001</v>
      </c>
      <c r="F240" s="68">
        <v>-0.40100000000000002</v>
      </c>
      <c r="G240" s="68">
        <v>-2.7E-2</v>
      </c>
      <c r="H240" s="68">
        <v>-0.67900000000000005</v>
      </c>
      <c r="I240" s="60">
        <v>3380.1599120000001</v>
      </c>
      <c r="J240" s="68">
        <v>13744.209961</v>
      </c>
      <c r="K240" s="68">
        <v>23687.589843999998</v>
      </c>
      <c r="L240" s="68">
        <v>13419.95</v>
      </c>
      <c r="M240" s="68">
        <v>1584.06</v>
      </c>
      <c r="N240" s="68">
        <v>57.37</v>
      </c>
      <c r="O240" s="68">
        <v>4031.99</v>
      </c>
      <c r="P240" s="68">
        <v>10344.549999999999</v>
      </c>
      <c r="Q240" s="68">
        <v>284.21749899999998</v>
      </c>
    </row>
    <row r="241" spans="1:17" x14ac:dyDescent="0.2">
      <c r="A241" s="66">
        <v>43882</v>
      </c>
      <c r="B241" s="67">
        <v>1.0847</v>
      </c>
      <c r="C241" s="68">
        <v>111.61</v>
      </c>
      <c r="D241" s="67">
        <v>1.06158</v>
      </c>
      <c r="E241" s="68">
        <v>1.4710000000000001</v>
      </c>
      <c r="F241" s="68">
        <v>-0.43099999999999999</v>
      </c>
      <c r="G241" s="68">
        <v>-5.6000000000000001E-2</v>
      </c>
      <c r="H241" s="68">
        <v>-0.74</v>
      </c>
      <c r="I241" s="60">
        <v>3337.75</v>
      </c>
      <c r="J241" s="68">
        <v>13579.330078000001</v>
      </c>
      <c r="K241" s="68">
        <v>23386.740234000001</v>
      </c>
      <c r="L241" s="68">
        <v>13400.18</v>
      </c>
      <c r="M241" s="68">
        <v>1643.41</v>
      </c>
      <c r="N241" s="68">
        <v>58.6</v>
      </c>
      <c r="O241" s="68">
        <v>4038.18</v>
      </c>
      <c r="P241" s="68">
        <v>9674.01</v>
      </c>
      <c r="Q241" s="68">
        <v>265.600616</v>
      </c>
    </row>
    <row r="242" spans="1:17" x14ac:dyDescent="0.2">
      <c r="A242" s="66">
        <v>43889</v>
      </c>
      <c r="B242" s="67">
        <v>1.1026</v>
      </c>
      <c r="C242" s="68">
        <v>107.89</v>
      </c>
      <c r="D242" s="67">
        <v>1.0645800000000001</v>
      </c>
      <c r="E242" s="68">
        <v>1.127</v>
      </c>
      <c r="F242" s="68">
        <v>-0.60699999999999998</v>
      </c>
      <c r="G242" s="68">
        <v>-0.153</v>
      </c>
      <c r="H242" s="68">
        <v>-0.83199999999999996</v>
      </c>
      <c r="I242" s="60">
        <v>2954.219971</v>
      </c>
      <c r="J242" s="68">
        <v>11890.349609000001</v>
      </c>
      <c r="K242" s="68">
        <v>21142.960938</v>
      </c>
      <c r="L242" s="68">
        <v>11897.75</v>
      </c>
      <c r="M242" s="68">
        <v>1585.69</v>
      </c>
      <c r="N242" s="68">
        <v>51.31</v>
      </c>
      <c r="O242" s="68">
        <v>3794</v>
      </c>
      <c r="P242" s="68">
        <v>8671.27</v>
      </c>
      <c r="Q242" s="68">
        <v>226.76049800000001</v>
      </c>
    </row>
    <row r="243" spans="1:17" x14ac:dyDescent="0.2">
      <c r="A243" s="66">
        <v>43896</v>
      </c>
      <c r="B243" s="67">
        <v>1.1284000000000001</v>
      </c>
      <c r="C243" s="68">
        <v>105.39</v>
      </c>
      <c r="D243" s="67">
        <v>1.0586500000000001</v>
      </c>
      <c r="E243" s="68">
        <v>0.70599999999999996</v>
      </c>
      <c r="F243" s="68">
        <v>-0.71</v>
      </c>
      <c r="G243" s="68">
        <v>-0.121</v>
      </c>
      <c r="H243" s="68">
        <v>-0.81100000000000005</v>
      </c>
      <c r="I243" s="60">
        <v>2972.3701169999999</v>
      </c>
      <c r="J243" s="68">
        <v>11541.870117</v>
      </c>
      <c r="K243" s="68">
        <v>20749.75</v>
      </c>
      <c r="L243" s="68">
        <v>11880.22</v>
      </c>
      <c r="M243" s="68">
        <v>1673.83</v>
      </c>
      <c r="N243" s="68">
        <v>45.6</v>
      </c>
      <c r="O243" s="68">
        <v>3886.66</v>
      </c>
      <c r="P243" s="68">
        <v>9138.35</v>
      </c>
      <c r="Q243" s="68">
        <v>243.52529899999999</v>
      </c>
    </row>
    <row r="244" spans="1:17" x14ac:dyDescent="0.2">
      <c r="A244" s="66">
        <v>43903</v>
      </c>
      <c r="B244" s="67">
        <v>1.1107</v>
      </c>
      <c r="C244" s="68">
        <v>107.62</v>
      </c>
      <c r="D244" s="67">
        <v>1.05711</v>
      </c>
      <c r="E244" s="68">
        <v>0.95099999999999996</v>
      </c>
      <c r="F244" s="68">
        <v>-0.54400000000000004</v>
      </c>
      <c r="G244" s="68">
        <v>5.3999999999999999E-2</v>
      </c>
      <c r="H244" s="68">
        <v>-0.66100000000000003</v>
      </c>
      <c r="I244" s="60">
        <v>2711.0200199999999</v>
      </c>
      <c r="J244" s="68">
        <v>9232.0800780000009</v>
      </c>
      <c r="K244" s="68">
        <v>17431.050781000002</v>
      </c>
      <c r="L244" s="68">
        <v>10227.06</v>
      </c>
      <c r="M244" s="68">
        <v>1529.83</v>
      </c>
      <c r="N244" s="68">
        <v>32.25</v>
      </c>
      <c r="O244" s="68">
        <v>3395.8</v>
      </c>
      <c r="P244" s="68">
        <v>5434.1</v>
      </c>
      <c r="Q244" s="68">
        <v>133.20181299999999</v>
      </c>
    </row>
    <row r="245" spans="1:17" x14ac:dyDescent="0.2">
      <c r="A245" s="66">
        <v>43910</v>
      </c>
      <c r="B245" s="67">
        <v>1.0688</v>
      </c>
      <c r="C245" s="68">
        <v>110.93</v>
      </c>
      <c r="D245" s="67">
        <v>1.0546899999999999</v>
      </c>
      <c r="E245" s="68">
        <v>0.93799999999999994</v>
      </c>
      <c r="F245" s="68">
        <v>-0.32100000000000001</v>
      </c>
      <c r="G245" s="68">
        <v>8.3000000000000004E-2</v>
      </c>
      <c r="H245" s="68">
        <v>-0.33400000000000002</v>
      </c>
      <c r="I245" s="60">
        <v>2304.919922</v>
      </c>
      <c r="J245" s="68">
        <v>8928.9501949999994</v>
      </c>
      <c r="K245" s="68">
        <v>16552.830077999999</v>
      </c>
      <c r="L245" s="68">
        <v>10528.85</v>
      </c>
      <c r="M245" s="68">
        <v>1498.65</v>
      </c>
      <c r="N245" s="68">
        <v>25.55</v>
      </c>
      <c r="O245" s="68">
        <v>3041.98</v>
      </c>
      <c r="P245" s="68">
        <v>5971.92</v>
      </c>
      <c r="Q245" s="68">
        <v>132.737167</v>
      </c>
    </row>
    <row r="246" spans="1:17" x14ac:dyDescent="0.2">
      <c r="A246" s="66">
        <v>43917</v>
      </c>
      <c r="B246" s="67">
        <v>1.1141000000000001</v>
      </c>
      <c r="C246" s="68">
        <v>107.94</v>
      </c>
      <c r="D246" s="67">
        <v>1.0599700000000001</v>
      </c>
      <c r="E246" s="68">
        <v>0.749</v>
      </c>
      <c r="F246" s="68">
        <v>-0.47399999999999998</v>
      </c>
      <c r="G246" s="68">
        <v>1.7000000000000001E-2</v>
      </c>
      <c r="H246" s="68">
        <v>-0.32</v>
      </c>
      <c r="I246" s="60">
        <v>2541.469971</v>
      </c>
      <c r="J246" s="68">
        <v>9632.5195309999999</v>
      </c>
      <c r="K246" s="68">
        <v>19389.429688</v>
      </c>
      <c r="L246" s="68">
        <v>10932.18</v>
      </c>
      <c r="M246" s="68">
        <v>1628.16</v>
      </c>
      <c r="N246" s="68">
        <v>22.39</v>
      </c>
      <c r="O246" s="68">
        <v>3112.91</v>
      </c>
      <c r="P246" s="68">
        <v>6683.67</v>
      </c>
      <c r="Q246" s="68">
        <v>133.93794299999999</v>
      </c>
    </row>
    <row r="247" spans="1:17" x14ac:dyDescent="0.2">
      <c r="A247" s="66">
        <v>43924</v>
      </c>
      <c r="B247" s="67">
        <v>1.0801000000000001</v>
      </c>
      <c r="C247" s="68">
        <v>108.55</v>
      </c>
      <c r="D247" s="67">
        <v>1.0562</v>
      </c>
      <c r="E247" s="68">
        <v>0.58699999999999997</v>
      </c>
      <c r="F247" s="68">
        <v>-0.441</v>
      </c>
      <c r="G247" s="68">
        <v>-8.0000000000000002E-3</v>
      </c>
      <c r="H247" s="68">
        <v>-0.32400000000000001</v>
      </c>
      <c r="I247" s="60">
        <v>2488.6499020000001</v>
      </c>
      <c r="J247" s="68">
        <v>9525.7695309999999</v>
      </c>
      <c r="K247" s="68">
        <v>17820.189452999999</v>
      </c>
      <c r="L247" s="68">
        <v>11291.93</v>
      </c>
      <c r="M247" s="68">
        <v>1620.81</v>
      </c>
      <c r="N247" s="68">
        <v>24.33</v>
      </c>
      <c r="O247" s="68">
        <v>3042.79</v>
      </c>
      <c r="P247" s="68">
        <v>6703.55</v>
      </c>
      <c r="Q247" s="68">
        <v>142.091309</v>
      </c>
    </row>
    <row r="248" spans="1:17" x14ac:dyDescent="0.2">
      <c r="A248" s="66">
        <v>43931</v>
      </c>
      <c r="B248" s="67">
        <v>1.0937000000000001</v>
      </c>
      <c r="C248" s="68">
        <v>108.47</v>
      </c>
      <c r="D248" s="67">
        <v>1.0569599999999999</v>
      </c>
      <c r="E248" s="68">
        <v>0.72899999999999998</v>
      </c>
      <c r="F248" s="68">
        <v>-0.34699999999999998</v>
      </c>
      <c r="G248" s="68">
        <v>1.7999999999999999E-2</v>
      </c>
      <c r="H248" s="68">
        <v>-0.25900000000000001</v>
      </c>
      <c r="I248" s="60">
        <v>2789.820068</v>
      </c>
      <c r="J248" s="68">
        <v>10564.740234000001</v>
      </c>
      <c r="K248" s="68">
        <v>19498.5</v>
      </c>
      <c r="L248" s="68">
        <v>11561.53</v>
      </c>
      <c r="M248" s="68">
        <v>1696.65</v>
      </c>
      <c r="N248" s="68">
        <v>20.23</v>
      </c>
      <c r="O248" s="68">
        <v>3179.74</v>
      </c>
      <c r="P248" s="68">
        <v>6920.1</v>
      </c>
      <c r="Q248" s="68">
        <v>158.41244499999999</v>
      </c>
    </row>
    <row r="249" spans="1:17" x14ac:dyDescent="0.2">
      <c r="A249" s="66">
        <v>43938</v>
      </c>
      <c r="B249" s="67">
        <v>1.0874999999999999</v>
      </c>
      <c r="C249" s="68">
        <v>107.54</v>
      </c>
      <c r="D249" s="67">
        <v>1.05196</v>
      </c>
      <c r="E249" s="68">
        <v>0.65400000000000003</v>
      </c>
      <c r="F249" s="68">
        <v>-0.47199999999999998</v>
      </c>
      <c r="G249" s="68">
        <v>2.7E-2</v>
      </c>
      <c r="H249" s="68">
        <v>-0.41899999999999998</v>
      </c>
      <c r="I249" s="60">
        <v>2874.5600589999999</v>
      </c>
      <c r="J249" s="68">
        <v>10625.780273</v>
      </c>
      <c r="K249" s="68">
        <v>19897.259765999999</v>
      </c>
      <c r="L249" s="68">
        <v>11824.11</v>
      </c>
      <c r="M249" s="68">
        <v>1682.82</v>
      </c>
      <c r="N249" s="68">
        <v>19.75</v>
      </c>
      <c r="O249" s="68">
        <v>3194.59</v>
      </c>
      <c r="P249" s="68">
        <v>7060.14</v>
      </c>
      <c r="Q249" s="68">
        <v>172.15737899999999</v>
      </c>
    </row>
    <row r="250" spans="1:17" x14ac:dyDescent="0.2">
      <c r="A250" s="66">
        <v>43945</v>
      </c>
      <c r="B250" s="67">
        <v>1.0823</v>
      </c>
      <c r="C250" s="68">
        <v>107.51</v>
      </c>
      <c r="D250" s="67">
        <v>1.05304</v>
      </c>
      <c r="E250" s="68">
        <v>0.59599999999999997</v>
      </c>
      <c r="F250" s="68">
        <v>-0.47299999999999998</v>
      </c>
      <c r="G250" s="68">
        <v>-1.6E-2</v>
      </c>
      <c r="H250" s="68">
        <v>-0.42499999999999999</v>
      </c>
      <c r="I250" s="60">
        <v>2836.73999</v>
      </c>
      <c r="J250" s="68">
        <v>10336.089844</v>
      </c>
      <c r="K250" s="68">
        <v>19262</v>
      </c>
      <c r="L250" s="68">
        <v>11905.12</v>
      </c>
      <c r="M250" s="68">
        <v>1729.6</v>
      </c>
      <c r="N250" s="68">
        <v>15.87</v>
      </c>
      <c r="O250" s="68">
        <v>3160.76</v>
      </c>
      <c r="P250" s="68">
        <v>7533.88</v>
      </c>
      <c r="Q250" s="68">
        <v>189.23693800000001</v>
      </c>
    </row>
    <row r="251" spans="1:17" x14ac:dyDescent="0.2">
      <c r="A251" s="66">
        <v>43952</v>
      </c>
      <c r="B251" s="67">
        <v>1.0981000000000001</v>
      </c>
      <c r="C251" s="68">
        <v>106.91</v>
      </c>
      <c r="D251" s="67">
        <v>1.0556000000000001</v>
      </c>
      <c r="E251" s="68">
        <v>0.64200000000000002</v>
      </c>
      <c r="F251" s="68">
        <v>-0.58599999999999997</v>
      </c>
      <c r="G251" s="68">
        <v>-1.9E-2</v>
      </c>
      <c r="H251" s="68">
        <v>-0.48699999999999999</v>
      </c>
      <c r="I251" s="60">
        <v>2830.709961</v>
      </c>
      <c r="J251" s="68">
        <v>10861.639648</v>
      </c>
      <c r="K251" s="68">
        <v>19619.349609000001</v>
      </c>
      <c r="L251" s="68">
        <v>11905.85</v>
      </c>
      <c r="M251" s="68">
        <v>1700.42</v>
      </c>
      <c r="N251" s="68">
        <v>18.489999999999998</v>
      </c>
      <c r="O251" s="68">
        <v>3187.6</v>
      </c>
      <c r="P251" s="68">
        <v>8734.1</v>
      </c>
      <c r="Q251" s="68">
        <v>214.21910099999999</v>
      </c>
    </row>
    <row r="252" spans="1:17" x14ac:dyDescent="0.2">
      <c r="A252" s="66">
        <v>43959</v>
      </c>
      <c r="B252" s="67">
        <v>1.0839000000000001</v>
      </c>
      <c r="C252" s="68">
        <v>106.65</v>
      </c>
      <c r="D252" s="67">
        <v>1.05233</v>
      </c>
      <c r="E252" s="68">
        <v>0.68200000000000005</v>
      </c>
      <c r="F252" s="68">
        <v>-0.53700000000000003</v>
      </c>
      <c r="G252" s="68">
        <v>-1E-3</v>
      </c>
      <c r="H252" s="68">
        <v>-0.52900000000000003</v>
      </c>
      <c r="I252" s="60">
        <v>2929.8000489999999</v>
      </c>
      <c r="J252" s="68">
        <v>10904.480469</v>
      </c>
      <c r="K252" s="68">
        <v>20179.089843999998</v>
      </c>
      <c r="L252" s="68">
        <v>12037.15</v>
      </c>
      <c r="M252" s="68">
        <v>1702.7</v>
      </c>
      <c r="N252" s="68">
        <v>24.23</v>
      </c>
      <c r="O252" s="68">
        <v>3249.95</v>
      </c>
      <c r="P252" s="68">
        <v>9998.9</v>
      </c>
      <c r="Q252" s="68">
        <v>212.99157700000001</v>
      </c>
    </row>
    <row r="253" spans="1:17" x14ac:dyDescent="0.2">
      <c r="A253" s="66">
        <v>43966</v>
      </c>
      <c r="B253" s="67">
        <v>1.0820000000000001</v>
      </c>
      <c r="C253" s="68">
        <v>107.06</v>
      </c>
      <c r="D253" s="67">
        <v>1.0517099999999999</v>
      </c>
      <c r="E253" s="68">
        <v>0.64</v>
      </c>
      <c r="F253" s="68">
        <v>-0.53100000000000003</v>
      </c>
      <c r="G253" s="68">
        <v>1E-3</v>
      </c>
      <c r="H253" s="68">
        <v>-0.52400000000000002</v>
      </c>
      <c r="I253" s="60">
        <v>2863.6999510000001</v>
      </c>
      <c r="J253" s="68">
        <v>10465.169921999999</v>
      </c>
      <c r="K253" s="68">
        <v>20037.470702999999</v>
      </c>
      <c r="L253" s="68">
        <v>11852.02</v>
      </c>
      <c r="M253" s="68">
        <v>1743.67</v>
      </c>
      <c r="N253" s="68">
        <v>30.95</v>
      </c>
      <c r="O253" s="68">
        <v>3010.82</v>
      </c>
      <c r="P253" s="68">
        <v>9241.91</v>
      </c>
      <c r="Q253" s="68">
        <v>195.62266500000001</v>
      </c>
    </row>
    <row r="254" spans="1:17" x14ac:dyDescent="0.2">
      <c r="A254" s="66">
        <v>43973</v>
      </c>
      <c r="B254" s="67">
        <v>1.0901000000000001</v>
      </c>
      <c r="C254" s="68">
        <v>107.64</v>
      </c>
      <c r="D254" s="67">
        <v>1.0591900000000001</v>
      </c>
      <c r="E254" s="68">
        <v>0.65700000000000003</v>
      </c>
      <c r="F254" s="68">
        <v>-0.48699999999999999</v>
      </c>
      <c r="G254" s="68">
        <v>1E-3</v>
      </c>
      <c r="H254" s="68">
        <v>-0.51400000000000001</v>
      </c>
      <c r="I254" s="60">
        <v>2955.4499510000001</v>
      </c>
      <c r="J254" s="68">
        <v>11073.870117</v>
      </c>
      <c r="K254" s="68">
        <v>20388.160156000002</v>
      </c>
      <c r="L254" s="68">
        <v>12083.85</v>
      </c>
      <c r="M254" s="68">
        <v>1734.68</v>
      </c>
      <c r="N254" s="68">
        <v>33.799999999999997</v>
      </c>
      <c r="O254" s="68">
        <v>3114.15</v>
      </c>
      <c r="P254" s="68">
        <v>9181</v>
      </c>
      <c r="Q254" s="68">
        <v>207.16918899999999</v>
      </c>
    </row>
    <row r="255" spans="1:17" x14ac:dyDescent="0.2">
      <c r="A255" s="66">
        <v>43980</v>
      </c>
      <c r="B255" s="67">
        <v>1.1101000000000001</v>
      </c>
      <c r="C255" s="68">
        <v>107.83</v>
      </c>
      <c r="D255" s="67">
        <v>1.06745</v>
      </c>
      <c r="E255" s="68">
        <v>0.64800000000000002</v>
      </c>
      <c r="F255" s="68">
        <v>-0.44700000000000001</v>
      </c>
      <c r="G255" s="68">
        <v>5.0000000000000001E-3</v>
      </c>
      <c r="H255" s="68">
        <v>-0.47099999999999997</v>
      </c>
      <c r="I255" s="60">
        <v>3044.3100589999999</v>
      </c>
      <c r="J255" s="68">
        <v>11586.849609000001</v>
      </c>
      <c r="K255" s="68">
        <v>21877.890625</v>
      </c>
      <c r="L255" s="68">
        <v>12246.05</v>
      </c>
      <c r="M255" s="68">
        <v>1730.27</v>
      </c>
      <c r="N255" s="68">
        <v>34.15</v>
      </c>
      <c r="O255" s="68">
        <v>3167.42</v>
      </c>
      <c r="P255" s="68">
        <v>9415.9599999999991</v>
      </c>
      <c r="Q255" s="68">
        <v>220.67512500000001</v>
      </c>
    </row>
    <row r="256" spans="1:17" x14ac:dyDescent="0.2">
      <c r="A256" s="66">
        <v>43987</v>
      </c>
      <c r="B256" s="67">
        <v>1.1292</v>
      </c>
      <c r="C256" s="68">
        <v>109.59</v>
      </c>
      <c r="D256" s="67">
        <v>1.08646</v>
      </c>
      <c r="E256" s="68">
        <v>0.90400000000000003</v>
      </c>
      <c r="F256" s="68">
        <v>-0.27700000000000002</v>
      </c>
      <c r="G256" s="68">
        <v>0.05</v>
      </c>
      <c r="H256" s="68">
        <v>-0.33400000000000002</v>
      </c>
      <c r="I256" s="60">
        <v>3193.929932</v>
      </c>
      <c r="J256" s="68">
        <v>12847.679688</v>
      </c>
      <c r="K256" s="68">
        <v>22863.730468999998</v>
      </c>
      <c r="L256" s="68">
        <v>12563.68</v>
      </c>
      <c r="M256" s="68">
        <v>1685.06</v>
      </c>
      <c r="N256" s="68">
        <v>41</v>
      </c>
      <c r="O256" s="68">
        <v>3315.21</v>
      </c>
      <c r="P256" s="68">
        <v>9712.33</v>
      </c>
      <c r="Q256" s="68">
        <v>241.22198499999999</v>
      </c>
    </row>
    <row r="257" spans="1:17" x14ac:dyDescent="0.2">
      <c r="A257" s="66">
        <v>43994</v>
      </c>
      <c r="B257" s="67">
        <v>1.1255999999999999</v>
      </c>
      <c r="C257" s="68">
        <v>107.38</v>
      </c>
      <c r="D257" s="67">
        <v>1.0719799999999999</v>
      </c>
      <c r="E257" s="68">
        <v>0.69899999999999995</v>
      </c>
      <c r="F257" s="68">
        <v>-0.439</v>
      </c>
      <c r="G257" s="68">
        <v>1.2999999999999999E-2</v>
      </c>
      <c r="H257" s="68">
        <v>-0.437</v>
      </c>
      <c r="I257" s="60">
        <v>3041.3100589999999</v>
      </c>
      <c r="J257" s="68">
        <v>11949.280273</v>
      </c>
      <c r="K257" s="68">
        <v>22305.480468999998</v>
      </c>
      <c r="L257" s="68">
        <v>12124.97</v>
      </c>
      <c r="M257" s="68">
        <v>1730.75</v>
      </c>
      <c r="N257" s="68">
        <v>38.54</v>
      </c>
      <c r="O257" s="68">
        <v>3150.68</v>
      </c>
      <c r="P257" s="68">
        <v>9463.2999999999993</v>
      </c>
      <c r="Q257" s="68">
        <v>237.49321</v>
      </c>
    </row>
    <row r="258" spans="1:17" x14ac:dyDescent="0.2">
      <c r="A258" s="66">
        <v>44001</v>
      </c>
      <c r="B258" s="67">
        <v>1.1177999999999999</v>
      </c>
      <c r="C258" s="68">
        <v>106.87</v>
      </c>
      <c r="D258" s="67">
        <v>1.0644400000000001</v>
      </c>
      <c r="E258" s="68">
        <v>0.69699999999999995</v>
      </c>
      <c r="F258" s="68">
        <v>-0.41499999999999998</v>
      </c>
      <c r="G258" s="68">
        <v>1.7999999999999999E-2</v>
      </c>
      <c r="H258" s="68">
        <v>-0.39900000000000002</v>
      </c>
      <c r="I258" s="60">
        <v>3097.73999</v>
      </c>
      <c r="J258" s="68">
        <v>12330.759765999999</v>
      </c>
      <c r="K258" s="68">
        <v>22478.789063</v>
      </c>
      <c r="L258" s="68">
        <v>12689.3</v>
      </c>
      <c r="M258" s="68">
        <v>1743.87</v>
      </c>
      <c r="N258" s="68">
        <v>42.33</v>
      </c>
      <c r="O258" s="68">
        <v>3217.94</v>
      </c>
      <c r="P258" s="68">
        <v>9315.3700000000008</v>
      </c>
      <c r="Q258" s="68">
        <v>227.13829000000001</v>
      </c>
    </row>
    <row r="259" spans="1:17" x14ac:dyDescent="0.2">
      <c r="A259" s="66">
        <v>44008</v>
      </c>
      <c r="B259" s="67">
        <v>1.1218999999999999</v>
      </c>
      <c r="C259" s="68">
        <v>107.22</v>
      </c>
      <c r="D259" s="67">
        <v>1.06358</v>
      </c>
      <c r="E259" s="68">
        <v>0.63600000000000001</v>
      </c>
      <c r="F259" s="68">
        <v>-0.48199999999999998</v>
      </c>
      <c r="G259" s="68">
        <v>1.2E-2</v>
      </c>
      <c r="H259" s="68">
        <v>-0.43</v>
      </c>
      <c r="I259" s="60">
        <v>3009.0500489999999</v>
      </c>
      <c r="J259" s="68">
        <v>12089.389648</v>
      </c>
      <c r="K259" s="68">
        <v>22512.080077999999</v>
      </c>
      <c r="L259" s="68">
        <v>12427.07</v>
      </c>
      <c r="M259" s="68">
        <v>1771.29</v>
      </c>
      <c r="N259" s="68">
        <v>40.97</v>
      </c>
      <c r="O259" s="68">
        <v>3109.64</v>
      </c>
      <c r="P259" s="68">
        <v>9190.26</v>
      </c>
      <c r="Q259" s="68">
        <v>229.66804500000001</v>
      </c>
    </row>
    <row r="260" spans="1:17" x14ac:dyDescent="0.2">
      <c r="A260" s="66">
        <v>44015</v>
      </c>
      <c r="B260" s="67">
        <v>1.1248</v>
      </c>
      <c r="C260" s="68">
        <v>107.51</v>
      </c>
      <c r="D260" s="67">
        <v>1.06288</v>
      </c>
      <c r="E260" s="68">
        <v>0.66900000000000004</v>
      </c>
      <c r="F260" s="68">
        <v>-0.432</v>
      </c>
      <c r="G260" s="68">
        <v>2.8000000000000001E-2</v>
      </c>
      <c r="H260" s="68">
        <v>-0.39900000000000002</v>
      </c>
      <c r="I260" s="60">
        <v>3130.01001</v>
      </c>
      <c r="J260" s="68">
        <v>12528.179688</v>
      </c>
      <c r="K260" s="68">
        <v>22306.480468999998</v>
      </c>
      <c r="L260" s="68">
        <v>12521.87</v>
      </c>
      <c r="M260" s="68">
        <v>1775.95</v>
      </c>
      <c r="N260" s="68">
        <v>42.92</v>
      </c>
      <c r="O260" s="68">
        <v>3146.41</v>
      </c>
      <c r="P260" s="68">
        <v>9092.7000000000007</v>
      </c>
      <c r="Q260" s="68">
        <v>225.38706999999999</v>
      </c>
    </row>
    <row r="261" spans="1:17" x14ac:dyDescent="0.2">
      <c r="A261" s="66">
        <v>44022</v>
      </c>
      <c r="B261" s="67">
        <v>1.1299999999999999</v>
      </c>
      <c r="C261" s="68">
        <v>106.93</v>
      </c>
      <c r="D261" s="67">
        <v>1.06355</v>
      </c>
      <c r="E261" s="68">
        <v>0.63300000000000001</v>
      </c>
      <c r="F261" s="68">
        <v>-0.46500000000000002</v>
      </c>
      <c r="G261" s="68">
        <v>2.7E-2</v>
      </c>
      <c r="H261" s="68">
        <v>-0.44800000000000001</v>
      </c>
      <c r="I261" s="60">
        <v>3185.040039</v>
      </c>
      <c r="J261" s="68">
        <v>12633.709961</v>
      </c>
      <c r="K261" s="68">
        <v>22290.810547000001</v>
      </c>
      <c r="L261" s="68">
        <v>12670.41</v>
      </c>
      <c r="M261" s="68">
        <v>1798.7</v>
      </c>
      <c r="N261" s="68">
        <v>43.27</v>
      </c>
      <c r="O261" s="68">
        <v>3122.1</v>
      </c>
      <c r="P261" s="68">
        <v>9235.1</v>
      </c>
      <c r="Q261" s="68">
        <v>240.98498499999999</v>
      </c>
    </row>
    <row r="262" spans="1:17" x14ac:dyDescent="0.2">
      <c r="A262" s="66">
        <v>44029</v>
      </c>
      <c r="B262" s="67">
        <v>1.1428</v>
      </c>
      <c r="C262" s="68">
        <v>107.02</v>
      </c>
      <c r="D262" s="67">
        <v>1.0726800000000001</v>
      </c>
      <c r="E262" s="68">
        <v>0.628</v>
      </c>
      <c r="F262" s="68">
        <v>-0.44700000000000001</v>
      </c>
      <c r="G262" s="68">
        <v>2.4E-2</v>
      </c>
      <c r="H262" s="68">
        <v>-0.44500000000000001</v>
      </c>
      <c r="I262" s="60">
        <v>3224.7299800000001</v>
      </c>
      <c r="J262" s="68">
        <v>12919.610352</v>
      </c>
      <c r="K262" s="68">
        <v>22696.419922000001</v>
      </c>
      <c r="L262" s="68">
        <v>12880.8</v>
      </c>
      <c r="M262" s="68">
        <v>1810.42</v>
      </c>
      <c r="N262" s="68">
        <v>43.53</v>
      </c>
      <c r="O262" s="68">
        <v>3058.88</v>
      </c>
      <c r="P262" s="68">
        <v>9157.69</v>
      </c>
      <c r="Q262" s="68">
        <v>232.773087</v>
      </c>
    </row>
    <row r="263" spans="1:17" x14ac:dyDescent="0.2">
      <c r="A263" s="66">
        <v>44036</v>
      </c>
      <c r="B263" s="67">
        <v>1.1656</v>
      </c>
      <c r="C263" s="68">
        <v>106.14</v>
      </c>
      <c r="D263" s="67">
        <v>1.0731299999999999</v>
      </c>
      <c r="E263" s="68">
        <v>0.58899999999999997</v>
      </c>
      <c r="F263" s="68">
        <v>-0.44800000000000001</v>
      </c>
      <c r="G263" s="68">
        <v>1.9E-2</v>
      </c>
      <c r="H263" s="68">
        <v>-0.48599999999999999</v>
      </c>
      <c r="I263" s="60">
        <v>3215.6298830000001</v>
      </c>
      <c r="J263" s="68">
        <v>12838.059569999999</v>
      </c>
      <c r="K263" s="68">
        <v>22751.609375</v>
      </c>
      <c r="L263" s="68">
        <v>12646.71</v>
      </c>
      <c r="M263" s="68">
        <v>1902.02</v>
      </c>
      <c r="N263" s="68">
        <v>43.29</v>
      </c>
      <c r="O263" s="68">
        <v>3003.49</v>
      </c>
      <c r="P263" s="68">
        <v>9629.44</v>
      </c>
      <c r="Q263" s="68">
        <v>279.21542399999998</v>
      </c>
    </row>
    <row r="264" spans="1:17" x14ac:dyDescent="0.2">
      <c r="A264" s="66">
        <v>44043</v>
      </c>
      <c r="B264" s="67">
        <v>1.1778</v>
      </c>
      <c r="C264" s="68">
        <v>105.83</v>
      </c>
      <c r="D264" s="67">
        <v>1.0758399999999999</v>
      </c>
      <c r="E264" s="68">
        <v>0.53600000000000003</v>
      </c>
      <c r="F264" s="68">
        <v>-0.52400000000000002</v>
      </c>
      <c r="G264" s="68">
        <v>0.02</v>
      </c>
      <c r="H264" s="68">
        <v>-0.52900000000000003</v>
      </c>
      <c r="I264" s="60">
        <v>3271.1201169999999</v>
      </c>
      <c r="J264" s="68">
        <v>12313.360352</v>
      </c>
      <c r="K264" s="68">
        <v>21710</v>
      </c>
      <c r="L264" s="68">
        <v>12407.39</v>
      </c>
      <c r="M264" s="68">
        <v>1975.86</v>
      </c>
      <c r="N264" s="68">
        <v>43.13</v>
      </c>
      <c r="O264" s="68">
        <v>2998.77</v>
      </c>
      <c r="P264" s="68">
        <v>11345.65</v>
      </c>
      <c r="Q264" s="68">
        <v>345.55465700000002</v>
      </c>
    </row>
    <row r="265" spans="1:17" x14ac:dyDescent="0.2">
      <c r="A265" s="66">
        <v>44050</v>
      </c>
      <c r="B265" s="67">
        <v>1.1787000000000001</v>
      </c>
      <c r="C265" s="68">
        <v>105.92</v>
      </c>
      <c r="D265" s="67">
        <v>1.0755699999999999</v>
      </c>
      <c r="E265" s="68">
        <v>0.56200000000000006</v>
      </c>
      <c r="F265" s="68">
        <v>-0.50900000000000001</v>
      </c>
      <c r="G265" s="68">
        <v>1.2E-2</v>
      </c>
      <c r="H265" s="68">
        <v>-0.51200000000000001</v>
      </c>
      <c r="I265" s="60">
        <v>3351.280029</v>
      </c>
      <c r="J265" s="68">
        <v>12674.879883</v>
      </c>
      <c r="K265" s="68">
        <v>22329.939452999999</v>
      </c>
      <c r="L265" s="68">
        <v>12498.53</v>
      </c>
      <c r="M265" s="68">
        <v>2035.55</v>
      </c>
      <c r="N265" s="68">
        <v>44.07</v>
      </c>
      <c r="O265" s="68">
        <v>2987.23</v>
      </c>
      <c r="P265" s="68">
        <v>11575.83</v>
      </c>
      <c r="Q265" s="68">
        <v>379.51284800000002</v>
      </c>
    </row>
    <row r="266" spans="1:17" x14ac:dyDescent="0.2">
      <c r="A266" s="66">
        <v>44057</v>
      </c>
      <c r="B266" s="67">
        <v>1.1841999999999999</v>
      </c>
      <c r="C266" s="68">
        <v>106.6</v>
      </c>
      <c r="D266" s="67">
        <v>1.0765100000000001</v>
      </c>
      <c r="E266" s="68">
        <v>0.70899999999999996</v>
      </c>
      <c r="F266" s="68">
        <v>-0.42099999999999999</v>
      </c>
      <c r="G266" s="68">
        <v>5.0999999999999997E-2</v>
      </c>
      <c r="H266" s="68">
        <v>-0.42199999999999999</v>
      </c>
      <c r="I266" s="60">
        <v>3372.8500979999999</v>
      </c>
      <c r="J266" s="68">
        <v>12901.339844</v>
      </c>
      <c r="K266" s="68">
        <v>23289.359375</v>
      </c>
      <c r="L266" s="68">
        <v>12633.19</v>
      </c>
      <c r="M266" s="68">
        <v>1945.12</v>
      </c>
      <c r="N266" s="68">
        <v>44.86</v>
      </c>
      <c r="O266" s="68">
        <v>3050.47</v>
      </c>
      <c r="P266" s="68">
        <v>11770.13</v>
      </c>
      <c r="Q266" s="68">
        <v>437.39782700000001</v>
      </c>
    </row>
    <row r="267" spans="1:17" x14ac:dyDescent="0.2">
      <c r="A267" s="66">
        <v>44064</v>
      </c>
      <c r="B267" s="67">
        <v>1.1797</v>
      </c>
      <c r="C267" s="68">
        <v>105.8</v>
      </c>
      <c r="D267" s="67">
        <v>1.0753200000000001</v>
      </c>
      <c r="E267" s="68">
        <v>0.64</v>
      </c>
      <c r="F267" s="68">
        <v>-0.50700000000000001</v>
      </c>
      <c r="G267" s="68">
        <v>3.4000000000000002E-2</v>
      </c>
      <c r="H267" s="68">
        <v>-0.498</v>
      </c>
      <c r="I267" s="60">
        <v>3397.1599120000001</v>
      </c>
      <c r="J267" s="68">
        <v>12764.799805000001</v>
      </c>
      <c r="K267" s="68">
        <v>22920.300781000002</v>
      </c>
      <c r="L267" s="68">
        <v>12725.02</v>
      </c>
      <c r="M267" s="68">
        <v>1940.48</v>
      </c>
      <c r="N267" s="68">
        <v>43.94</v>
      </c>
      <c r="O267" s="68">
        <v>3133.45</v>
      </c>
      <c r="P267" s="68">
        <v>11621.41</v>
      </c>
      <c r="Q267" s="68">
        <v>389.12634300000002</v>
      </c>
    </row>
    <row r="268" spans="1:17" x14ac:dyDescent="0.2">
      <c r="A268" s="66">
        <v>44071</v>
      </c>
      <c r="B268" s="67">
        <v>1.1902999999999999</v>
      </c>
      <c r="C268" s="68">
        <v>105.37</v>
      </c>
      <c r="D268" s="67">
        <v>1.0763499999999999</v>
      </c>
      <c r="E268" s="68">
        <v>0.72899999999999998</v>
      </c>
      <c r="F268" s="68">
        <v>-0.40899999999999997</v>
      </c>
      <c r="G268" s="68">
        <v>5.8999999999999997E-2</v>
      </c>
      <c r="H268" s="68">
        <v>-0.38900000000000001</v>
      </c>
      <c r="I268" s="60">
        <v>3508.01001</v>
      </c>
      <c r="J268" s="68">
        <v>13033.200194999999</v>
      </c>
      <c r="K268" s="68">
        <v>22882.650390999999</v>
      </c>
      <c r="L268" s="68">
        <v>12675.56</v>
      </c>
      <c r="M268" s="68">
        <v>1964.83</v>
      </c>
      <c r="N268" s="68">
        <v>45.22</v>
      </c>
      <c r="O268" s="68">
        <v>3065.86</v>
      </c>
      <c r="P268" s="68">
        <v>11502.58</v>
      </c>
      <c r="Q268" s="68">
        <v>395.874664</v>
      </c>
    </row>
    <row r="269" spans="1:17" x14ac:dyDescent="0.2">
      <c r="A269" s="66">
        <v>44078</v>
      </c>
      <c r="B269" s="67">
        <v>1.1838</v>
      </c>
      <c r="C269" s="68">
        <v>106.24</v>
      </c>
      <c r="D269" s="67">
        <v>1.0813699999999999</v>
      </c>
      <c r="E269" s="68">
        <v>0.72099999999999997</v>
      </c>
      <c r="F269" s="68">
        <v>-0.47199999999999998</v>
      </c>
      <c r="G269" s="68">
        <v>4.1000000000000002E-2</v>
      </c>
      <c r="H269" s="68">
        <v>-0.47</v>
      </c>
      <c r="I269" s="60">
        <v>3426.959961</v>
      </c>
      <c r="J269" s="68">
        <v>12842.660156</v>
      </c>
      <c r="K269" s="68">
        <v>23205.429688</v>
      </c>
      <c r="L269" s="68">
        <v>12626.52</v>
      </c>
      <c r="M269" s="68">
        <v>1933.94</v>
      </c>
      <c r="N269" s="68">
        <v>41.1</v>
      </c>
      <c r="O269" s="68">
        <v>3069.62</v>
      </c>
      <c r="P269" s="68">
        <v>10606.46</v>
      </c>
      <c r="Q269" s="68">
        <v>388.24115</v>
      </c>
    </row>
    <row r="270" spans="1:17" x14ac:dyDescent="0.2">
      <c r="A270" s="66">
        <v>44085</v>
      </c>
      <c r="B270" s="67">
        <v>1.1846000000000001</v>
      </c>
      <c r="C270" s="68">
        <v>106.16</v>
      </c>
      <c r="D270" s="67">
        <v>1.07667</v>
      </c>
      <c r="E270" s="68">
        <v>0.66900000000000004</v>
      </c>
      <c r="F270" s="68">
        <v>-0.48099999999999998</v>
      </c>
      <c r="G270" s="68">
        <v>2.7E-2</v>
      </c>
      <c r="H270" s="68">
        <v>-0.443</v>
      </c>
      <c r="I270" s="60">
        <v>3340.969971</v>
      </c>
      <c r="J270" s="68">
        <v>13202.839844</v>
      </c>
      <c r="K270" s="68">
        <v>23406.490234000001</v>
      </c>
      <c r="L270" s="68">
        <v>12944.12</v>
      </c>
      <c r="M270" s="68">
        <v>1940.55</v>
      </c>
      <c r="N270" s="68">
        <v>38.799999999999997</v>
      </c>
      <c r="O270" s="68">
        <v>3166.74</v>
      </c>
      <c r="P270" s="68">
        <v>10329.82</v>
      </c>
      <c r="Q270" s="68">
        <v>374.69558699999999</v>
      </c>
    </row>
    <row r="271" spans="1:17" x14ac:dyDescent="0.2">
      <c r="A271" s="66">
        <v>44092</v>
      </c>
      <c r="B271" s="67">
        <v>1.1839999999999999</v>
      </c>
      <c r="C271" s="68">
        <v>104.57</v>
      </c>
      <c r="D271" s="67">
        <v>1.07927</v>
      </c>
      <c r="E271" s="68">
        <v>0.69399999999999995</v>
      </c>
      <c r="F271" s="68">
        <v>-0.48499999999999999</v>
      </c>
      <c r="G271" s="68">
        <v>1.4999999999999999E-2</v>
      </c>
      <c r="H271" s="68">
        <v>-0.47599999999999998</v>
      </c>
      <c r="I271" s="60">
        <v>3319.469971</v>
      </c>
      <c r="J271" s="68">
        <v>13116.25</v>
      </c>
      <c r="K271" s="68">
        <v>23360.300781000002</v>
      </c>
      <c r="L271" s="68">
        <v>13070.79</v>
      </c>
      <c r="M271" s="68">
        <v>1950.86</v>
      </c>
      <c r="N271" s="68">
        <v>42.16</v>
      </c>
      <c r="O271" s="68">
        <v>3190.1</v>
      </c>
      <c r="P271" s="68">
        <v>10890.68</v>
      </c>
      <c r="Q271" s="68">
        <v>384.364532</v>
      </c>
    </row>
    <row r="272" spans="1:17" x14ac:dyDescent="0.2">
      <c r="A272" s="66">
        <v>44099</v>
      </c>
      <c r="B272" s="67">
        <v>1.1631</v>
      </c>
      <c r="C272" s="68">
        <v>105.58</v>
      </c>
      <c r="D272" s="67">
        <v>1.08016</v>
      </c>
      <c r="E272" s="68">
        <v>0.65900000000000003</v>
      </c>
      <c r="F272" s="68">
        <v>-0.52900000000000003</v>
      </c>
      <c r="G272" s="68">
        <v>1.0999999999999999E-2</v>
      </c>
      <c r="H272" s="68">
        <v>-0.48399999999999999</v>
      </c>
      <c r="I272" s="60">
        <v>3298.459961</v>
      </c>
      <c r="J272" s="68">
        <v>12469.200194999999</v>
      </c>
      <c r="K272" s="68">
        <v>23204.619140999999</v>
      </c>
      <c r="L272" s="68">
        <v>12715.68</v>
      </c>
      <c r="M272" s="68">
        <v>1861.58</v>
      </c>
      <c r="N272" s="68">
        <v>40.909999999999997</v>
      </c>
      <c r="O272" s="68">
        <v>3162.85</v>
      </c>
      <c r="P272" s="68">
        <v>10717.58</v>
      </c>
      <c r="Q272" s="68">
        <v>352.16186499999998</v>
      </c>
    </row>
    <row r="273" spans="1:17" x14ac:dyDescent="0.2">
      <c r="A273" s="66">
        <v>44106</v>
      </c>
      <c r="B273" s="67">
        <v>1.1716</v>
      </c>
      <c r="C273" s="68">
        <v>105.29</v>
      </c>
      <c r="D273" s="67">
        <v>1.0784799999999999</v>
      </c>
      <c r="E273" s="68">
        <v>0.69599999999999995</v>
      </c>
      <c r="F273" s="68">
        <v>-0.53600000000000003</v>
      </c>
      <c r="G273" s="68">
        <v>2.1999999999999999E-2</v>
      </c>
      <c r="H273" s="68">
        <v>-0.504</v>
      </c>
      <c r="I273" s="60">
        <v>3348.419922</v>
      </c>
      <c r="J273" s="68">
        <v>12689.040039</v>
      </c>
      <c r="K273" s="68">
        <v>23029.900390999999</v>
      </c>
      <c r="L273" s="68">
        <v>12805.42</v>
      </c>
      <c r="M273" s="68">
        <v>1899.84</v>
      </c>
      <c r="N273" s="68">
        <v>38</v>
      </c>
      <c r="O273" s="68">
        <v>3169.83</v>
      </c>
      <c r="P273" s="68">
        <v>10547.65</v>
      </c>
      <c r="Q273" s="68">
        <v>346.53265399999998</v>
      </c>
    </row>
    <row r="274" spans="1:17" x14ac:dyDescent="0.2">
      <c r="A274" s="66">
        <v>44113</v>
      </c>
      <c r="B274" s="67">
        <v>1.1826000000000001</v>
      </c>
      <c r="C274" s="68">
        <v>105.62</v>
      </c>
      <c r="D274" s="67">
        <v>1.0762400000000001</v>
      </c>
      <c r="E274" s="68">
        <v>0.77500000000000002</v>
      </c>
      <c r="F274" s="68">
        <v>-0.52700000000000002</v>
      </c>
      <c r="G274" s="68">
        <v>3.5999999999999997E-2</v>
      </c>
      <c r="H274" s="68">
        <v>-0.495</v>
      </c>
      <c r="I274" s="60">
        <v>3477.139893</v>
      </c>
      <c r="J274" s="68">
        <v>13051.230469</v>
      </c>
      <c r="K274" s="68">
        <v>23619.689452999999</v>
      </c>
      <c r="L274" s="68">
        <v>12884.56</v>
      </c>
      <c r="M274" s="68">
        <v>1930.4</v>
      </c>
      <c r="N274" s="68">
        <v>41.63</v>
      </c>
      <c r="O274" s="68">
        <v>3185.65</v>
      </c>
      <c r="P274" s="68">
        <v>11041.96</v>
      </c>
      <c r="Q274" s="68">
        <v>351.45565800000003</v>
      </c>
    </row>
    <row r="275" spans="1:17" x14ac:dyDescent="0.2">
      <c r="A275" s="66">
        <v>44120</v>
      </c>
      <c r="B275" s="67">
        <v>1.1718</v>
      </c>
      <c r="C275" s="68">
        <v>105.4</v>
      </c>
      <c r="D275" s="67">
        <v>1.07212</v>
      </c>
      <c r="E275" s="68">
        <v>0.74399999999999999</v>
      </c>
      <c r="F275" s="68">
        <v>-0.622</v>
      </c>
      <c r="G275" s="68">
        <v>2.3E-2</v>
      </c>
      <c r="H275" s="68">
        <v>-0.52800000000000002</v>
      </c>
      <c r="I275" s="60">
        <v>3483.8100589999999</v>
      </c>
      <c r="J275" s="68">
        <v>12908.990234000001</v>
      </c>
      <c r="K275" s="68">
        <v>23410.630859000001</v>
      </c>
      <c r="L275" s="68">
        <v>12737.19</v>
      </c>
      <c r="M275" s="68">
        <v>1899.29</v>
      </c>
      <c r="N275" s="68">
        <v>41.34</v>
      </c>
      <c r="O275" s="68">
        <v>3117.4</v>
      </c>
      <c r="P275" s="68">
        <v>11319.41</v>
      </c>
      <c r="Q275" s="68">
        <v>366.22900399999997</v>
      </c>
    </row>
    <row r="276" spans="1:17" x14ac:dyDescent="0.2">
      <c r="A276" s="66">
        <v>44127</v>
      </c>
      <c r="B276" s="67">
        <v>1.1859999999999999</v>
      </c>
      <c r="C276" s="68">
        <v>104.71</v>
      </c>
      <c r="D276" s="67">
        <v>1.0727599999999999</v>
      </c>
      <c r="E276" s="68">
        <v>0.84099999999999997</v>
      </c>
      <c r="F276" s="68">
        <v>-0.57399999999999995</v>
      </c>
      <c r="G276" s="68">
        <v>4.1000000000000002E-2</v>
      </c>
      <c r="H276" s="68">
        <v>-0.48899999999999999</v>
      </c>
      <c r="I276" s="60">
        <v>3465.389893</v>
      </c>
      <c r="J276" s="68">
        <v>12645.75</v>
      </c>
      <c r="K276" s="68">
        <v>23516.589843999998</v>
      </c>
      <c r="L276" s="68">
        <v>12507.62</v>
      </c>
      <c r="M276" s="68">
        <v>1902.05</v>
      </c>
      <c r="N276" s="68">
        <v>40.71</v>
      </c>
      <c r="O276" s="68">
        <v>3085.07</v>
      </c>
      <c r="P276" s="68">
        <v>12942.9</v>
      </c>
      <c r="Q276" s="68">
        <v>409.76669299999998</v>
      </c>
    </row>
    <row r="277" spans="1:17" x14ac:dyDescent="0.2">
      <c r="A277" s="66">
        <v>44134</v>
      </c>
      <c r="B277" s="67">
        <v>1.1647000000000001</v>
      </c>
      <c r="C277" s="68">
        <v>104.66</v>
      </c>
      <c r="D277" s="67">
        <v>1.06806</v>
      </c>
      <c r="E277" s="68">
        <v>0.86</v>
      </c>
      <c r="F277" s="68">
        <v>-0.627</v>
      </c>
      <c r="G277" s="68">
        <v>4.2000000000000003E-2</v>
      </c>
      <c r="H277" s="68">
        <v>-0.51800000000000002</v>
      </c>
      <c r="I277" s="60">
        <v>3269.959961</v>
      </c>
      <c r="J277" s="68">
        <v>11556.480469</v>
      </c>
      <c r="K277" s="68">
        <v>22977.130859000001</v>
      </c>
      <c r="L277" s="68">
        <v>11994.43</v>
      </c>
      <c r="M277" s="68">
        <v>1878.81</v>
      </c>
      <c r="N277" s="68">
        <v>36.33</v>
      </c>
      <c r="O277" s="68">
        <v>3034.79</v>
      </c>
      <c r="P277" s="68">
        <v>13639.39</v>
      </c>
      <c r="Q277" s="68">
        <v>382.81997699999999</v>
      </c>
    </row>
    <row r="278" spans="1:17" x14ac:dyDescent="0.2">
      <c r="A278" s="66">
        <v>44141</v>
      </c>
      <c r="B278" s="67">
        <v>1.1874</v>
      </c>
      <c r="C278" s="68">
        <v>103.35</v>
      </c>
      <c r="D278" s="67">
        <v>1.0686800000000001</v>
      </c>
      <c r="E278" s="68">
        <v>0.82</v>
      </c>
      <c r="F278" s="68">
        <v>-0.621</v>
      </c>
      <c r="G278" s="68">
        <v>2.1000000000000001E-2</v>
      </c>
      <c r="H278" s="68">
        <v>-0.51600000000000001</v>
      </c>
      <c r="I278" s="60">
        <v>3509.4399410000001</v>
      </c>
      <c r="J278" s="68">
        <v>12480.019531</v>
      </c>
      <c r="K278" s="68">
        <v>24325.230468999998</v>
      </c>
      <c r="L278" s="68">
        <v>12834.6</v>
      </c>
      <c r="M278" s="68">
        <v>1951.35</v>
      </c>
      <c r="N278" s="68">
        <v>38.08</v>
      </c>
      <c r="O278" s="68">
        <v>3114.28</v>
      </c>
      <c r="P278" s="68">
        <v>15553.33</v>
      </c>
      <c r="Q278" s="68">
        <v>454.71929899999998</v>
      </c>
    </row>
    <row r="279" spans="1:17" x14ac:dyDescent="0.2">
      <c r="A279" s="66">
        <v>44148</v>
      </c>
      <c r="B279" s="67">
        <v>1.1834</v>
      </c>
      <c r="C279" s="68">
        <v>104.63</v>
      </c>
      <c r="D279" s="67">
        <v>1.0800799999999999</v>
      </c>
      <c r="E279" s="68">
        <v>0.89300000000000002</v>
      </c>
      <c r="F279" s="68">
        <v>-0.54700000000000004</v>
      </c>
      <c r="G279" s="68">
        <v>2.5000000000000001E-2</v>
      </c>
      <c r="H279" s="68">
        <v>-0.48</v>
      </c>
      <c r="I279" s="68">
        <v>3585.15</v>
      </c>
      <c r="J279" s="68">
        <v>13076.719727</v>
      </c>
      <c r="K279" s="68">
        <v>25385.869140999999</v>
      </c>
      <c r="L279" s="68">
        <v>13016.98</v>
      </c>
      <c r="M279" s="68">
        <v>1889.2</v>
      </c>
      <c r="N279" s="68">
        <v>42.78</v>
      </c>
      <c r="O279" s="68">
        <v>3195.01</v>
      </c>
      <c r="P279" s="68">
        <v>16294.47</v>
      </c>
      <c r="Q279" s="68">
        <v>474.62643400000002</v>
      </c>
    </row>
    <row r="280" spans="1:17" x14ac:dyDescent="0.2">
      <c r="A280" s="66">
        <v>44155</v>
      </c>
      <c r="B280" s="67">
        <v>1.1857</v>
      </c>
      <c r="C280" s="68">
        <v>103.86</v>
      </c>
      <c r="D280" s="67">
        <v>1.08036</v>
      </c>
      <c r="E280" s="68">
        <v>0.82899999999999996</v>
      </c>
      <c r="F280" s="68">
        <v>-0.58299999999999996</v>
      </c>
      <c r="G280" s="68">
        <v>1.2E-2</v>
      </c>
      <c r="H280" s="68">
        <v>-0.496</v>
      </c>
      <c r="I280" s="68">
        <v>3557.54</v>
      </c>
      <c r="J280" s="68">
        <v>13137.25</v>
      </c>
      <c r="K280" s="68">
        <v>25527.37</v>
      </c>
      <c r="L280" s="68">
        <v>13018.47</v>
      </c>
      <c r="M280" s="68">
        <v>1870.99</v>
      </c>
      <c r="N280" s="68">
        <v>44.96</v>
      </c>
      <c r="O280" s="68">
        <v>3204.35</v>
      </c>
      <c r="P280" s="68">
        <v>18589.490000000002</v>
      </c>
      <c r="Q280" s="68">
        <v>509.74456800000002</v>
      </c>
    </row>
    <row r="281" spans="1:17" x14ac:dyDescent="0.2">
      <c r="A281" s="66">
        <v>44162</v>
      </c>
      <c r="B281" s="67">
        <v>1.1962999999999999</v>
      </c>
      <c r="C281" s="68">
        <v>104.09</v>
      </c>
      <c r="D281" s="67">
        <v>1.08205</v>
      </c>
      <c r="E281" s="68">
        <v>0.878</v>
      </c>
      <c r="F281" s="68">
        <v>-0.58799999999999997</v>
      </c>
      <c r="G281" s="68">
        <v>3.1E-2</v>
      </c>
      <c r="H281" s="68">
        <v>-0.51400000000000001</v>
      </c>
      <c r="I281" s="68">
        <v>3638.35</v>
      </c>
      <c r="J281" s="68">
        <v>13335.68</v>
      </c>
      <c r="K281" s="68">
        <v>26644.71</v>
      </c>
      <c r="L281" s="68">
        <v>13040.78</v>
      </c>
      <c r="M281" s="68">
        <v>1787.79</v>
      </c>
      <c r="N281" s="68">
        <v>48.18</v>
      </c>
      <c r="O281" s="68">
        <v>3104.36</v>
      </c>
      <c r="P281" s="68">
        <v>17005.849999999999</v>
      </c>
      <c r="Q281" s="68">
        <v>517.49371299999996</v>
      </c>
    </row>
    <row r="282" spans="1:17" x14ac:dyDescent="0.2">
      <c r="A282" s="66">
        <v>44169</v>
      </c>
      <c r="B282" s="67">
        <v>1.2121</v>
      </c>
      <c r="C282" s="68">
        <v>104.17</v>
      </c>
      <c r="D282" s="67">
        <v>1.0810599999999999</v>
      </c>
      <c r="E282" s="68">
        <v>0.96899999999999997</v>
      </c>
      <c r="F282" s="68">
        <v>-0.54700000000000004</v>
      </c>
      <c r="G282" s="68">
        <v>2.4E-2</v>
      </c>
      <c r="H282" s="68">
        <v>-0.51600000000000001</v>
      </c>
      <c r="I282" s="68">
        <v>3699.12</v>
      </c>
      <c r="J282" s="68">
        <v>13298.96</v>
      </c>
      <c r="K282" s="68">
        <v>26751.24</v>
      </c>
      <c r="L282" s="68">
        <v>12889.33</v>
      </c>
      <c r="M282" s="68">
        <v>1838.86</v>
      </c>
      <c r="N282" s="68">
        <v>49.25</v>
      </c>
      <c r="O282" s="68">
        <v>3080.63</v>
      </c>
      <c r="P282" s="68">
        <v>18825.45</v>
      </c>
      <c r="Q282" s="68">
        <v>569.35418700000002</v>
      </c>
    </row>
    <row r="283" spans="1:17" x14ac:dyDescent="0.2">
      <c r="A283" s="66">
        <v>44176</v>
      </c>
      <c r="B283" s="67">
        <v>1.2112000000000001</v>
      </c>
      <c r="C283" s="68">
        <v>104.04</v>
      </c>
      <c r="D283" s="67">
        <v>1.07789</v>
      </c>
      <c r="E283" s="68">
        <v>0.89300000000000002</v>
      </c>
      <c r="F283" s="68">
        <v>-0.63600000000000001</v>
      </c>
      <c r="G283" s="68">
        <v>1.4E-2</v>
      </c>
      <c r="H283" s="68">
        <v>-0.58699999999999997</v>
      </c>
      <c r="I283" s="68">
        <v>3663.46</v>
      </c>
      <c r="J283" s="68">
        <v>13114.3</v>
      </c>
      <c r="K283" s="68">
        <v>26652.52</v>
      </c>
      <c r="L283" s="68">
        <v>12924.5</v>
      </c>
      <c r="M283" s="68">
        <v>1839.85</v>
      </c>
      <c r="N283" s="68">
        <v>49.97</v>
      </c>
      <c r="O283" s="68">
        <v>3237.53</v>
      </c>
      <c r="P283" s="68">
        <v>18101.38</v>
      </c>
      <c r="Q283" s="68">
        <v>545.79736300000002</v>
      </c>
    </row>
    <row r="284" spans="1:17" x14ac:dyDescent="0.2">
      <c r="A284" s="66">
        <v>44183</v>
      </c>
      <c r="B284" s="67">
        <v>1.2257</v>
      </c>
      <c r="C284" s="68">
        <v>103.3</v>
      </c>
      <c r="D284" s="67">
        <v>1.0821499999999999</v>
      </c>
      <c r="E284" s="68">
        <v>0.94799999999999995</v>
      </c>
      <c r="F284" s="68">
        <v>-0.57099999999999995</v>
      </c>
      <c r="G284" s="68">
        <v>0.01</v>
      </c>
      <c r="H284" s="68">
        <v>-0.55600000000000005</v>
      </c>
      <c r="I284" s="68">
        <v>3709.41</v>
      </c>
      <c r="J284" s="68">
        <v>13630.51</v>
      </c>
      <c r="K284" s="68">
        <v>26763.39</v>
      </c>
      <c r="L284" s="68">
        <v>13104.43</v>
      </c>
      <c r="M284" s="68">
        <v>1881.35</v>
      </c>
      <c r="N284" s="68">
        <v>52.26</v>
      </c>
      <c r="O284" s="68">
        <v>3281.29</v>
      </c>
      <c r="P284" s="68">
        <v>22901.200000000001</v>
      </c>
      <c r="Q284" s="68">
        <v>654.81195100000002</v>
      </c>
    </row>
    <row r="285" spans="1:17" x14ac:dyDescent="0.2">
      <c r="A285" s="66">
        <v>44190</v>
      </c>
      <c r="B285" s="67">
        <v>1.2193000000000001</v>
      </c>
      <c r="C285" s="68">
        <v>103.43</v>
      </c>
      <c r="D285" s="67">
        <v>1.0861700000000001</v>
      </c>
      <c r="E285" s="68">
        <v>0.95499999999999996</v>
      </c>
      <c r="F285" s="68">
        <v>-0.54800000000000004</v>
      </c>
      <c r="G285" s="68">
        <v>0.02</v>
      </c>
      <c r="H285" s="68">
        <v>-0.51600000000000001</v>
      </c>
      <c r="I285" s="68">
        <v>3703.06</v>
      </c>
      <c r="J285" s="68">
        <v>13587.23</v>
      </c>
      <c r="K285" s="68">
        <v>26656.61</v>
      </c>
      <c r="L285" s="68">
        <v>12995.26</v>
      </c>
      <c r="M285" s="68">
        <v>1883.46</v>
      </c>
      <c r="N285" s="68">
        <v>51.29</v>
      </c>
      <c r="O285" s="68">
        <v>3229.95</v>
      </c>
      <c r="P285" s="68">
        <v>24411.43</v>
      </c>
      <c r="Q285" s="68">
        <v>626.410706</v>
      </c>
    </row>
    <row r="286" spans="1:17" x14ac:dyDescent="0.2">
      <c r="A286" s="66">
        <v>44197</v>
      </c>
      <c r="B286" s="67">
        <v>1.2215</v>
      </c>
      <c r="C286" s="68">
        <v>103.2</v>
      </c>
      <c r="D286" s="67">
        <v>1.0812599999999999</v>
      </c>
      <c r="E286" s="68">
        <v>0.91700000000000004</v>
      </c>
      <c r="F286" s="68">
        <v>-0.56899999999999995</v>
      </c>
      <c r="G286" s="68">
        <v>2.1000000000000001E-2</v>
      </c>
      <c r="H286" s="68">
        <v>-0.55000000000000004</v>
      </c>
      <c r="I286" s="68">
        <v>3756.07</v>
      </c>
      <c r="J286" s="68">
        <v>13718.78</v>
      </c>
      <c r="K286" s="68">
        <v>27444.17</v>
      </c>
      <c r="L286" s="68">
        <v>13327.88</v>
      </c>
      <c r="M286" s="68">
        <v>1898.67</v>
      </c>
      <c r="N286" s="68">
        <v>51.8</v>
      </c>
      <c r="O286" s="68">
        <v>3301.33</v>
      </c>
      <c r="P286" s="68">
        <v>29250.89</v>
      </c>
      <c r="Q286" s="68">
        <v>730.36755400000004</v>
      </c>
    </row>
    <row r="287" spans="1:17" x14ac:dyDescent="0.2">
      <c r="A287" s="66">
        <v>44204</v>
      </c>
      <c r="B287" s="67">
        <v>1.2218</v>
      </c>
      <c r="C287" s="68">
        <v>103.94</v>
      </c>
      <c r="D287" s="67">
        <v>1.0823499999999999</v>
      </c>
      <c r="E287" s="68">
        <v>1.105</v>
      </c>
      <c r="F287" s="68">
        <v>-0.51900000000000002</v>
      </c>
      <c r="G287" s="68">
        <v>3.5000000000000003E-2</v>
      </c>
      <c r="H287" s="68">
        <v>-0.48599999999999999</v>
      </c>
      <c r="I287" s="68">
        <v>3824.68</v>
      </c>
      <c r="J287" s="68">
        <v>14049.53</v>
      </c>
      <c r="K287" s="68">
        <v>28139.03</v>
      </c>
      <c r="L287" s="68">
        <v>13426.94</v>
      </c>
      <c r="M287" s="68">
        <v>1849.01</v>
      </c>
      <c r="N287" s="68">
        <v>55.99</v>
      </c>
      <c r="O287" s="68">
        <v>3265.81</v>
      </c>
      <c r="P287" s="68">
        <v>40040.699999999997</v>
      </c>
      <c r="Q287" s="68">
        <v>1224.197144</v>
      </c>
    </row>
    <row r="288" spans="1:17" x14ac:dyDescent="0.2">
      <c r="A288" s="66">
        <v>44211</v>
      </c>
      <c r="B288" s="67">
        <v>1.2081999999999999</v>
      </c>
      <c r="C288" s="68">
        <v>103.85</v>
      </c>
      <c r="D288" s="67">
        <v>1.0760799999999999</v>
      </c>
      <c r="E288" s="68">
        <v>1.097</v>
      </c>
      <c r="F288" s="68">
        <v>-0.54300000000000004</v>
      </c>
      <c r="G288" s="68">
        <v>4.2999999999999997E-2</v>
      </c>
      <c r="H288" s="68">
        <v>-0.46600000000000003</v>
      </c>
      <c r="I288" s="68">
        <v>3768.25</v>
      </c>
      <c r="J288" s="68">
        <v>13787.73</v>
      </c>
      <c r="K288" s="68">
        <v>28519.18</v>
      </c>
      <c r="L288" s="68">
        <v>13489.01</v>
      </c>
      <c r="M288" s="68">
        <v>1828.45</v>
      </c>
      <c r="N288" s="68">
        <v>55.1</v>
      </c>
      <c r="O288" s="68">
        <v>3296.07</v>
      </c>
      <c r="P288" s="68">
        <v>36261.519999999997</v>
      </c>
      <c r="Q288" s="68">
        <v>1171.834595</v>
      </c>
    </row>
    <row r="289" spans="1:17" x14ac:dyDescent="0.2">
      <c r="A289" s="66">
        <v>44218</v>
      </c>
      <c r="B289" s="67">
        <v>1.2171000000000001</v>
      </c>
      <c r="C289" s="68">
        <v>103.78</v>
      </c>
      <c r="D289" s="67">
        <v>1.0775999999999999</v>
      </c>
      <c r="E289" s="68">
        <v>1.091</v>
      </c>
      <c r="F289" s="68">
        <v>-0.51200000000000001</v>
      </c>
      <c r="G289" s="68">
        <v>4.9000000000000002E-2</v>
      </c>
      <c r="H289" s="68">
        <v>-0.42399999999999999</v>
      </c>
      <c r="I289" s="68">
        <v>3841.47</v>
      </c>
      <c r="J289" s="68">
        <v>13873.97</v>
      </c>
      <c r="K289" s="68">
        <v>28631.45</v>
      </c>
      <c r="L289" s="68">
        <v>13563.86</v>
      </c>
      <c r="M289" s="68">
        <v>1855.61</v>
      </c>
      <c r="N289" s="68">
        <v>55.41</v>
      </c>
      <c r="O289" s="68">
        <v>3227.35</v>
      </c>
      <c r="P289" s="68">
        <v>33322.33</v>
      </c>
      <c r="Q289" s="68">
        <v>1236.512207</v>
      </c>
    </row>
    <row r="290" spans="1:17" x14ac:dyDescent="0.2">
      <c r="A290" s="66">
        <v>44225</v>
      </c>
      <c r="B290" s="67">
        <v>1.2136</v>
      </c>
      <c r="C290" s="68">
        <v>104.68</v>
      </c>
      <c r="D290" s="67">
        <v>1.0810200000000001</v>
      </c>
      <c r="E290" s="68">
        <v>1.093</v>
      </c>
      <c r="F290" s="68">
        <v>-0.51800000000000002</v>
      </c>
      <c r="G290" s="68">
        <v>5.3999999999999999E-2</v>
      </c>
      <c r="H290" s="68">
        <v>-0.41899999999999998</v>
      </c>
      <c r="I290" s="68">
        <v>3714.24</v>
      </c>
      <c r="J290" s="68">
        <v>13432.87</v>
      </c>
      <c r="K290" s="68">
        <v>27663.39</v>
      </c>
      <c r="L290" s="68">
        <v>13192.93</v>
      </c>
      <c r="M290" s="68">
        <v>1847.65</v>
      </c>
      <c r="N290" s="68">
        <v>55.88</v>
      </c>
      <c r="O290" s="68">
        <v>3227.62</v>
      </c>
      <c r="P290" s="68">
        <v>34641.089999999997</v>
      </c>
      <c r="Q290" s="68">
        <v>1382.522827</v>
      </c>
    </row>
    <row r="291" spans="1:17" x14ac:dyDescent="0.2">
      <c r="A291" s="66">
        <v>44232</v>
      </c>
      <c r="B291" s="67">
        <v>1.2046000000000001</v>
      </c>
      <c r="C291" s="68">
        <v>105.39</v>
      </c>
      <c r="D291" s="67">
        <v>1.0829500000000001</v>
      </c>
      <c r="E291" s="68">
        <v>1.17</v>
      </c>
      <c r="F291" s="68">
        <v>-0.44800000000000001</v>
      </c>
      <c r="G291" s="68">
        <v>0.06</v>
      </c>
      <c r="H291" s="68">
        <v>-0.34799999999999998</v>
      </c>
      <c r="I291" s="68">
        <v>3886.83</v>
      </c>
      <c r="J291" s="68">
        <v>14056.72</v>
      </c>
      <c r="K291" s="68">
        <v>28779.19</v>
      </c>
      <c r="L291" s="68">
        <v>13429.3</v>
      </c>
      <c r="M291" s="68">
        <v>1814.11</v>
      </c>
      <c r="N291" s="68">
        <v>59.34</v>
      </c>
      <c r="O291" s="68">
        <v>3270.15</v>
      </c>
      <c r="P291" s="68">
        <v>37858.839999999997</v>
      </c>
      <c r="Q291" s="68">
        <v>1718.650879</v>
      </c>
    </row>
    <row r="292" spans="1:17" x14ac:dyDescent="0.2">
      <c r="A292" s="66">
        <v>44239</v>
      </c>
      <c r="B292" s="67">
        <v>1.212</v>
      </c>
      <c r="C292" s="68">
        <v>104.94</v>
      </c>
      <c r="D292" s="67">
        <v>1.08094</v>
      </c>
      <c r="E292" s="68">
        <v>1.2</v>
      </c>
      <c r="F292" s="68">
        <v>-0.42799999999999999</v>
      </c>
      <c r="G292" s="68">
        <v>6.8000000000000005E-2</v>
      </c>
      <c r="H292" s="68">
        <v>-0.31900000000000001</v>
      </c>
      <c r="I292" s="68">
        <v>3934.83</v>
      </c>
      <c r="J292" s="68">
        <v>14049.89</v>
      </c>
      <c r="K292" s="68">
        <v>29520.07</v>
      </c>
      <c r="L292" s="68">
        <v>13575.82</v>
      </c>
      <c r="M292" s="68">
        <v>1824.23</v>
      </c>
      <c r="N292" s="68">
        <v>62.43</v>
      </c>
      <c r="O292" s="68">
        <v>3237.68</v>
      </c>
      <c r="P292" s="68">
        <v>47947.16</v>
      </c>
      <c r="Q292" s="68">
        <v>1843.5325929999999</v>
      </c>
    </row>
    <row r="293" spans="1:17" x14ac:dyDescent="0.2">
      <c r="A293" s="66">
        <v>44246</v>
      </c>
      <c r="B293" s="67">
        <v>1.2119</v>
      </c>
      <c r="C293" s="68">
        <v>105.45</v>
      </c>
      <c r="D293" s="67">
        <v>1.0862499999999999</v>
      </c>
      <c r="E293" s="68">
        <v>1.345</v>
      </c>
      <c r="F293" s="68">
        <v>-0.30499999999999999</v>
      </c>
      <c r="G293" s="68">
        <v>0.109</v>
      </c>
      <c r="H293" s="68">
        <v>-0.23300000000000001</v>
      </c>
      <c r="I293" s="68">
        <v>3906.71</v>
      </c>
      <c r="J293" s="68">
        <v>13993.23</v>
      </c>
      <c r="K293" s="68">
        <v>30017.919999999998</v>
      </c>
      <c r="L293" s="68">
        <v>13404.24</v>
      </c>
      <c r="M293" s="68">
        <v>1784.25</v>
      </c>
      <c r="N293" s="68">
        <v>62.91</v>
      </c>
      <c r="O293" s="68">
        <v>3233.09</v>
      </c>
      <c r="P293" s="68">
        <v>55628.98</v>
      </c>
      <c r="Q293" s="68">
        <v>1960.1647949999999</v>
      </c>
    </row>
    <row r="294" spans="1:17" x14ac:dyDescent="0.2">
      <c r="A294" s="66">
        <v>44253</v>
      </c>
      <c r="B294" s="67">
        <v>1.2075</v>
      </c>
      <c r="C294" s="68">
        <v>106.57</v>
      </c>
      <c r="D294" s="67">
        <v>1.09714</v>
      </c>
      <c r="E294" s="68">
        <v>1.46</v>
      </c>
      <c r="F294" s="68">
        <v>-0.26</v>
      </c>
      <c r="G294" s="68">
        <v>0.16200000000000001</v>
      </c>
      <c r="H294" s="68">
        <v>-0.19400000000000001</v>
      </c>
      <c r="I294" s="68">
        <v>3811.15</v>
      </c>
      <c r="J294" s="68">
        <v>13786.29</v>
      </c>
      <c r="K294" s="68">
        <v>28966.01</v>
      </c>
      <c r="L294" s="68">
        <v>13134.38</v>
      </c>
      <c r="M294" s="68">
        <v>1734.04</v>
      </c>
      <c r="N294" s="68">
        <v>66.13</v>
      </c>
      <c r="O294" s="68">
        <v>3129.77</v>
      </c>
      <c r="P294" s="68">
        <v>45672.05</v>
      </c>
      <c r="Q294" s="68">
        <v>1446.0336910000001</v>
      </c>
    </row>
    <row r="295" spans="1:17" x14ac:dyDescent="0.2">
      <c r="A295" s="66">
        <v>44260</v>
      </c>
      <c r="B295" s="67">
        <v>1.1915</v>
      </c>
      <c r="C295" s="68">
        <v>108.31</v>
      </c>
      <c r="D295" s="67">
        <v>1.1087</v>
      </c>
      <c r="E295" s="68">
        <v>1.554</v>
      </c>
      <c r="F295" s="68">
        <v>-0.30199999999999999</v>
      </c>
      <c r="G295" s="68">
        <v>9.6000000000000002E-2</v>
      </c>
      <c r="H295" s="68">
        <v>-0.251</v>
      </c>
      <c r="I295" s="68">
        <v>3841.94</v>
      </c>
      <c r="J295" s="68">
        <v>13920.69</v>
      </c>
      <c r="K295" s="68">
        <v>28864.32</v>
      </c>
      <c r="L295" s="68">
        <v>13311.13</v>
      </c>
      <c r="M295" s="68">
        <v>1700.64</v>
      </c>
      <c r="N295" s="68">
        <v>69.36</v>
      </c>
      <c r="O295" s="68">
        <v>3136.74</v>
      </c>
      <c r="P295" s="68">
        <v>49053.13</v>
      </c>
      <c r="Q295" s="68">
        <v>1533.275024</v>
      </c>
    </row>
    <row r="296" spans="1:17" x14ac:dyDescent="0.2">
      <c r="A296" s="66">
        <v>44267</v>
      </c>
      <c r="B296" s="67">
        <v>1.1953</v>
      </c>
      <c r="C296" s="68">
        <v>109.03</v>
      </c>
      <c r="D296" s="67">
        <v>1.1111599999999999</v>
      </c>
      <c r="E296" s="68">
        <v>1.635</v>
      </c>
      <c r="F296" s="68">
        <v>-0.30599999999999999</v>
      </c>
      <c r="G296" s="68">
        <v>0.123</v>
      </c>
      <c r="H296" s="68">
        <v>-0.23100000000000001</v>
      </c>
      <c r="I296" s="68">
        <v>3943.34</v>
      </c>
      <c r="J296" s="68">
        <v>14502.39</v>
      </c>
      <c r="K296" s="68">
        <v>29717.83</v>
      </c>
      <c r="L296" s="68">
        <v>13628.25</v>
      </c>
      <c r="M296" s="68">
        <v>1727.11</v>
      </c>
      <c r="N296" s="68">
        <v>69.22</v>
      </c>
      <c r="O296" s="68">
        <v>3215.99</v>
      </c>
      <c r="P296" s="68">
        <v>56965.95</v>
      </c>
      <c r="Q296" s="68">
        <v>1772.1024170000001</v>
      </c>
    </row>
    <row r="297" spans="1:17" x14ac:dyDescent="0.2">
      <c r="A297" s="66">
        <v>44274</v>
      </c>
      <c r="B297" s="67">
        <v>1.1903999999999999</v>
      </c>
      <c r="C297" s="68">
        <v>108.88</v>
      </c>
      <c r="D297" s="67">
        <v>1.1061099999999999</v>
      </c>
      <c r="E297" s="68">
        <v>1.732</v>
      </c>
      <c r="F297" s="68">
        <v>-0.29399999999999998</v>
      </c>
      <c r="G297" s="68">
        <v>0.113</v>
      </c>
      <c r="H297" s="68">
        <v>-0.23899999999999999</v>
      </c>
      <c r="I297" s="68">
        <v>3913.1</v>
      </c>
      <c r="J297" s="68">
        <v>14621</v>
      </c>
      <c r="K297" s="68">
        <v>29792.05</v>
      </c>
      <c r="L297" s="68">
        <v>13862.45</v>
      </c>
      <c r="M297" s="68">
        <v>1745.23</v>
      </c>
      <c r="N297" s="68">
        <v>64.53</v>
      </c>
      <c r="O297" s="68">
        <v>3297.71</v>
      </c>
      <c r="P297" s="68">
        <v>58410</v>
      </c>
      <c r="Q297" s="68">
        <v>1817.6241460000001</v>
      </c>
    </row>
    <row r="298" spans="1:17" x14ac:dyDescent="0.2">
      <c r="A298" s="66">
        <v>44281</v>
      </c>
      <c r="B298" s="67">
        <v>1.1794</v>
      </c>
      <c r="C298" s="68">
        <v>109.64</v>
      </c>
      <c r="D298" s="67">
        <v>1.10754</v>
      </c>
      <c r="E298" s="68">
        <v>1.66</v>
      </c>
      <c r="F298" s="68">
        <v>-0.34599999999999997</v>
      </c>
      <c r="G298" s="68">
        <v>8.3000000000000004E-2</v>
      </c>
      <c r="H298" s="68">
        <v>-0.31</v>
      </c>
      <c r="I298" s="68">
        <v>3974.54</v>
      </c>
      <c r="J298" s="68">
        <v>14748.94</v>
      </c>
      <c r="K298" s="68">
        <v>29176.7</v>
      </c>
      <c r="L298" s="68">
        <v>14035.61</v>
      </c>
      <c r="M298" s="68">
        <v>1732.52</v>
      </c>
      <c r="N298" s="68">
        <v>64.569999999999993</v>
      </c>
      <c r="O298" s="68">
        <v>3314.08</v>
      </c>
      <c r="P298" s="68">
        <v>54002.49</v>
      </c>
      <c r="Q298" s="68">
        <v>1702.8420410000001</v>
      </c>
    </row>
    <row r="299" spans="1:17" x14ac:dyDescent="0.2">
      <c r="A299" s="66">
        <v>44288</v>
      </c>
      <c r="B299" s="67">
        <v>1.1758999999999999</v>
      </c>
      <c r="C299" s="68">
        <v>110.69</v>
      </c>
      <c r="D299" s="67">
        <v>1.10833</v>
      </c>
      <c r="E299" s="68">
        <v>1.679</v>
      </c>
      <c r="F299" s="68">
        <v>-0.32800000000000001</v>
      </c>
      <c r="G299" s="68">
        <v>0.126</v>
      </c>
      <c r="H299" s="68">
        <v>-0.307</v>
      </c>
      <c r="I299" s="68">
        <v>4019.87</v>
      </c>
      <c r="J299" s="68">
        <v>15107.17</v>
      </c>
      <c r="K299" s="68">
        <v>29854</v>
      </c>
      <c r="L299" s="68">
        <v>14123.88</v>
      </c>
      <c r="M299" s="68">
        <v>1728.87</v>
      </c>
      <c r="N299" s="68">
        <v>64.86</v>
      </c>
      <c r="O299" s="68">
        <v>3337.13</v>
      </c>
      <c r="P299" s="68">
        <v>58674.25</v>
      </c>
      <c r="Q299" s="68">
        <v>2143.225586</v>
      </c>
    </row>
    <row r="300" spans="1:17" x14ac:dyDescent="0.2">
      <c r="A300" s="66">
        <v>44295</v>
      </c>
      <c r="B300" s="67">
        <v>1.1899</v>
      </c>
      <c r="C300" s="68">
        <v>109.67</v>
      </c>
      <c r="D300" s="67">
        <v>1.09992</v>
      </c>
      <c r="E300" s="68">
        <v>1.6659999999999999</v>
      </c>
      <c r="F300" s="68">
        <v>-0.30299999999999999</v>
      </c>
      <c r="G300" s="68">
        <v>0.11</v>
      </c>
      <c r="H300" s="68">
        <v>-0.25600000000000001</v>
      </c>
      <c r="I300" s="68">
        <v>4128.8</v>
      </c>
      <c r="J300" s="68">
        <v>15234.16</v>
      </c>
      <c r="K300" s="68">
        <v>29768.06</v>
      </c>
      <c r="L300" s="68">
        <v>14329.31</v>
      </c>
      <c r="M300" s="68">
        <v>1743.88</v>
      </c>
      <c r="N300" s="68">
        <v>62.95</v>
      </c>
      <c r="O300" s="68">
        <v>3384.64</v>
      </c>
      <c r="P300" s="68">
        <v>58333.59</v>
      </c>
      <c r="Q300" s="68">
        <v>2072.1088869999999</v>
      </c>
    </row>
    <row r="301" spans="1:17" x14ac:dyDescent="0.2">
      <c r="A301" s="66">
        <v>44302</v>
      </c>
      <c r="B301" s="67">
        <v>1.1982999999999999</v>
      </c>
      <c r="C301" s="68">
        <v>108.8</v>
      </c>
      <c r="D301" s="67">
        <v>1.1026400000000001</v>
      </c>
      <c r="E301" s="68">
        <v>1.573</v>
      </c>
      <c r="F301" s="68">
        <v>-0.26200000000000001</v>
      </c>
      <c r="G301" s="68">
        <v>9.2999999999999999E-2</v>
      </c>
      <c r="H301" s="68">
        <v>-0.22500000000000001</v>
      </c>
      <c r="I301" s="68">
        <v>4185.47</v>
      </c>
      <c r="J301" s="68">
        <v>15459.75</v>
      </c>
      <c r="K301" s="68">
        <v>29683.37</v>
      </c>
      <c r="L301" s="68">
        <v>14398.22</v>
      </c>
      <c r="M301" s="68">
        <v>1776.51</v>
      </c>
      <c r="N301" s="68">
        <v>66.77</v>
      </c>
      <c r="O301" s="68">
        <v>3384.78</v>
      </c>
      <c r="P301" s="68">
        <v>62005.41</v>
      </c>
      <c r="Q301" s="68">
        <v>2431.9465329999998</v>
      </c>
    </row>
    <row r="302" spans="1:17" x14ac:dyDescent="0.2">
      <c r="A302" s="66">
        <v>44309</v>
      </c>
      <c r="B302" s="67">
        <v>1.2097</v>
      </c>
      <c r="C302" s="68">
        <v>107.88</v>
      </c>
      <c r="D302" s="67">
        <v>1.1052999999999999</v>
      </c>
      <c r="E302" s="68">
        <v>1.5669999999999999</v>
      </c>
      <c r="F302" s="68">
        <v>-0.25700000000000001</v>
      </c>
      <c r="G302" s="68">
        <v>7.0999999999999994E-2</v>
      </c>
      <c r="H302" s="68">
        <v>-0.251</v>
      </c>
      <c r="I302" s="68">
        <v>4180.17</v>
      </c>
      <c r="J302" s="68">
        <v>15279.62</v>
      </c>
      <c r="K302" s="68">
        <v>29020.63</v>
      </c>
      <c r="L302" s="68">
        <v>14418.02</v>
      </c>
      <c r="M302" s="68">
        <v>1777.2</v>
      </c>
      <c r="N302" s="68">
        <v>66.11</v>
      </c>
      <c r="O302" s="68">
        <v>3386.44</v>
      </c>
      <c r="P302" s="68">
        <v>50567.71</v>
      </c>
      <c r="Q302" s="68">
        <v>2363.586182</v>
      </c>
    </row>
    <row r="303" spans="1:17" x14ac:dyDescent="0.2">
      <c r="A303" s="66">
        <v>44316</v>
      </c>
      <c r="B303" s="67">
        <v>1.202</v>
      </c>
      <c r="C303" s="68">
        <v>109.31</v>
      </c>
      <c r="D303" s="67">
        <v>1.09781</v>
      </c>
      <c r="E303" s="68">
        <v>1.631</v>
      </c>
      <c r="F303" s="68">
        <v>-0.20200000000000001</v>
      </c>
      <c r="G303" s="68">
        <v>9.7000000000000003E-2</v>
      </c>
      <c r="H303" s="68">
        <v>-0.2</v>
      </c>
      <c r="I303" s="68">
        <v>4181.17</v>
      </c>
      <c r="J303" s="68">
        <v>15135.91</v>
      </c>
      <c r="K303" s="68">
        <v>28812.63</v>
      </c>
      <c r="L303" s="68">
        <v>14179.11</v>
      </c>
      <c r="M303" s="68">
        <v>1769.13</v>
      </c>
      <c r="N303" s="68">
        <v>67.25</v>
      </c>
      <c r="O303" s="68">
        <v>3334.27</v>
      </c>
      <c r="P303" s="68">
        <v>56814.44</v>
      </c>
      <c r="Q303" s="68">
        <v>2773.2070309999999</v>
      </c>
    </row>
    <row r="304" spans="1:17" x14ac:dyDescent="0.2">
      <c r="A304" s="66">
        <v>44323</v>
      </c>
      <c r="B304" s="67">
        <v>1.2165999999999999</v>
      </c>
      <c r="C304" s="68">
        <v>108.6</v>
      </c>
      <c r="D304" s="67">
        <v>1.09548</v>
      </c>
      <c r="E304" s="68">
        <v>1.577</v>
      </c>
      <c r="F304" s="68">
        <v>-0.215</v>
      </c>
      <c r="G304" s="68">
        <v>8.7999999999999995E-2</v>
      </c>
      <c r="H304" s="68">
        <v>-0.20599999999999999</v>
      </c>
      <c r="I304" s="68">
        <v>4232.6000000000004</v>
      </c>
      <c r="J304" s="68">
        <v>15399.65</v>
      </c>
      <c r="K304" s="68">
        <v>29357.82</v>
      </c>
      <c r="L304" s="68">
        <v>14362.75</v>
      </c>
      <c r="M304" s="68">
        <v>1831.24</v>
      </c>
      <c r="N304" s="68">
        <v>68.28</v>
      </c>
      <c r="O304" s="68">
        <v>3375.2</v>
      </c>
      <c r="P304" s="68">
        <v>57684.38</v>
      </c>
      <c r="Q304" s="68">
        <v>3484.7290039999998</v>
      </c>
    </row>
    <row r="305" spans="1:17" x14ac:dyDescent="0.2">
      <c r="A305" s="66">
        <v>44330</v>
      </c>
      <c r="B305" s="67">
        <v>1.2141</v>
      </c>
      <c r="C305" s="68">
        <v>109.35</v>
      </c>
      <c r="D305" s="67">
        <v>1.0947100000000001</v>
      </c>
      <c r="E305" s="68">
        <v>1.635</v>
      </c>
      <c r="F305" s="68">
        <v>-0.129</v>
      </c>
      <c r="G305" s="68">
        <v>8.8999999999999996E-2</v>
      </c>
      <c r="H305" s="68">
        <v>-0.123</v>
      </c>
      <c r="I305" s="68">
        <v>4173.8500000000004</v>
      </c>
      <c r="J305" s="68">
        <v>15416.64</v>
      </c>
      <c r="K305" s="68">
        <v>28084.47</v>
      </c>
      <c r="L305" s="68">
        <v>14265.7</v>
      </c>
      <c r="M305" s="68">
        <v>1843.43</v>
      </c>
      <c r="N305" s="68">
        <v>68.709999999999994</v>
      </c>
      <c r="O305" s="68">
        <v>3373.16</v>
      </c>
      <c r="P305" s="68">
        <v>49193.55</v>
      </c>
      <c r="Q305" s="68">
        <v>4079.0573730000001</v>
      </c>
    </row>
    <row r="306" spans="1:17" x14ac:dyDescent="0.2">
      <c r="A306" s="66">
        <v>44337</v>
      </c>
      <c r="B306" s="67">
        <v>1.2181999999999999</v>
      </c>
      <c r="C306" s="68">
        <v>108.96</v>
      </c>
      <c r="D306" s="67">
        <v>1.0936900000000001</v>
      </c>
      <c r="E306" s="68">
        <v>1.6319999999999999</v>
      </c>
      <c r="F306" s="68">
        <v>-0.13</v>
      </c>
      <c r="G306" s="68">
        <v>8.5999999999999993E-2</v>
      </c>
      <c r="H306" s="68">
        <v>-0.14699999999999999</v>
      </c>
      <c r="I306" s="68">
        <v>4155.8599999999997</v>
      </c>
      <c r="J306" s="68">
        <v>15437.51</v>
      </c>
      <c r="K306" s="68">
        <v>28317.83</v>
      </c>
      <c r="L306" s="68">
        <v>14454.16</v>
      </c>
      <c r="M306" s="68">
        <v>1881.25</v>
      </c>
      <c r="N306" s="68">
        <v>66.44</v>
      </c>
      <c r="O306" s="68">
        <v>3373.73</v>
      </c>
      <c r="P306" s="68">
        <v>35251.35</v>
      </c>
      <c r="Q306" s="68">
        <v>2430.6213379999999</v>
      </c>
    </row>
    <row r="307" spans="1:17" x14ac:dyDescent="0.2">
      <c r="A307" s="66">
        <v>44344</v>
      </c>
      <c r="B307" s="67">
        <v>1.2192000000000001</v>
      </c>
      <c r="C307" s="68">
        <v>109.85</v>
      </c>
      <c r="D307" s="67">
        <v>1.09711</v>
      </c>
      <c r="E307" s="68">
        <v>1.581</v>
      </c>
      <c r="F307" s="68">
        <v>-0.183</v>
      </c>
      <c r="G307" s="68">
        <v>8.8999999999999996E-2</v>
      </c>
      <c r="H307" s="68">
        <v>-0.14599999999999999</v>
      </c>
      <c r="I307" s="68">
        <v>4204.1099999999997</v>
      </c>
      <c r="J307" s="68">
        <v>15519.98</v>
      </c>
      <c r="K307" s="68">
        <v>29149.41</v>
      </c>
      <c r="L307" s="68">
        <v>14731.05</v>
      </c>
      <c r="M307" s="68">
        <v>1903.77</v>
      </c>
      <c r="N307" s="68">
        <v>69.63</v>
      </c>
      <c r="O307" s="68">
        <v>3444.24</v>
      </c>
      <c r="P307" s="68">
        <v>35218.35</v>
      </c>
      <c r="Q307" s="68">
        <v>2419.90625</v>
      </c>
    </row>
    <row r="308" spans="1:17" x14ac:dyDescent="0.2">
      <c r="A308" s="66">
        <v>44351</v>
      </c>
      <c r="B308" s="67">
        <v>1.2166999999999999</v>
      </c>
      <c r="C308" s="68">
        <v>109.52</v>
      </c>
      <c r="D308" s="67">
        <v>1.0940000000000001</v>
      </c>
      <c r="E308" s="68">
        <v>1.56</v>
      </c>
      <c r="F308" s="68">
        <v>-0.21299999999999999</v>
      </c>
      <c r="G308" s="68">
        <v>9.1999999999999998E-2</v>
      </c>
      <c r="H308" s="68">
        <v>-0.14099999999999999</v>
      </c>
      <c r="I308" s="68">
        <v>4229.8900000000003</v>
      </c>
      <c r="J308" s="68">
        <v>15692.9</v>
      </c>
      <c r="K308" s="68">
        <v>28941.52</v>
      </c>
      <c r="L308" s="68">
        <v>14918.59</v>
      </c>
      <c r="M308" s="68">
        <v>1891.59</v>
      </c>
      <c r="N308" s="68">
        <v>71.89</v>
      </c>
      <c r="O308" s="68">
        <v>3455.9</v>
      </c>
      <c r="P308" s="68">
        <v>37056.800000000003</v>
      </c>
      <c r="Q308" s="68">
        <v>2688.195068</v>
      </c>
    </row>
    <row r="309" spans="1:17" x14ac:dyDescent="0.2">
      <c r="A309" s="66">
        <v>44358</v>
      </c>
      <c r="B309" s="67">
        <v>1.2109000000000001</v>
      </c>
      <c r="C309" s="68">
        <v>109.66</v>
      </c>
      <c r="D309" s="67">
        <v>1.0873599999999999</v>
      </c>
      <c r="E309" s="68">
        <v>1.462</v>
      </c>
      <c r="F309" s="68">
        <v>-0.27400000000000002</v>
      </c>
      <c r="G309" s="68">
        <v>0.04</v>
      </c>
      <c r="H309" s="68">
        <v>-0.23599999999999999</v>
      </c>
      <c r="I309" s="68">
        <v>4247.4399999999996</v>
      </c>
      <c r="J309" s="68">
        <v>15693.27</v>
      </c>
      <c r="K309" s="68">
        <v>28948.73</v>
      </c>
      <c r="L309" s="68">
        <v>15203.04</v>
      </c>
      <c r="M309" s="68">
        <v>1877.53</v>
      </c>
      <c r="N309" s="68">
        <v>72.69</v>
      </c>
      <c r="O309" s="68">
        <v>3492.68</v>
      </c>
      <c r="P309" s="68">
        <v>37152.14</v>
      </c>
      <c r="Q309" s="68">
        <v>2353.7687989999999</v>
      </c>
    </row>
    <row r="310" spans="1:17" x14ac:dyDescent="0.2">
      <c r="A310" s="66">
        <v>44365</v>
      </c>
      <c r="B310" s="67">
        <v>1.1863999999999999</v>
      </c>
      <c r="C310" s="68">
        <v>110.21</v>
      </c>
      <c r="D310" s="67">
        <v>1.0946</v>
      </c>
      <c r="E310" s="68">
        <v>1.45</v>
      </c>
      <c r="F310" s="68">
        <v>-0.2</v>
      </c>
      <c r="G310" s="68">
        <v>6.6000000000000003E-2</v>
      </c>
      <c r="H310" s="68">
        <v>-0.214</v>
      </c>
      <c r="I310" s="68">
        <v>4166.45</v>
      </c>
      <c r="J310" s="68">
        <v>15448.04</v>
      </c>
      <c r="K310" s="68">
        <v>28964.080000000002</v>
      </c>
      <c r="L310" s="68">
        <v>15309.6</v>
      </c>
      <c r="M310" s="68">
        <v>1764.16</v>
      </c>
      <c r="N310" s="68">
        <v>73.510000000000005</v>
      </c>
      <c r="O310" s="68">
        <v>3456.03</v>
      </c>
      <c r="P310" s="68">
        <v>35517.300000000003</v>
      </c>
      <c r="Q310" s="68">
        <v>2231.733154</v>
      </c>
    </row>
    <row r="311" spans="1:17" x14ac:dyDescent="0.2">
      <c r="A311" s="66">
        <v>44372</v>
      </c>
      <c r="B311" s="67">
        <v>1.1935</v>
      </c>
      <c r="C311" s="68">
        <v>110.75</v>
      </c>
      <c r="D311" s="67">
        <v>1.0944499999999999</v>
      </c>
      <c r="E311" s="68">
        <v>1.536</v>
      </c>
      <c r="F311" s="68">
        <v>-0.155</v>
      </c>
      <c r="G311" s="68">
        <v>5.8999999999999997E-2</v>
      </c>
      <c r="H311" s="68">
        <v>-0.17599999999999999</v>
      </c>
      <c r="I311" s="68">
        <v>4280.7</v>
      </c>
      <c r="J311" s="68">
        <v>15607.97</v>
      </c>
      <c r="K311" s="68">
        <v>29066.18</v>
      </c>
      <c r="L311" s="68">
        <v>15420.47</v>
      </c>
      <c r="M311" s="68">
        <v>1781.44</v>
      </c>
      <c r="N311" s="68">
        <v>76.180000000000007</v>
      </c>
      <c r="O311" s="68">
        <v>3474.77</v>
      </c>
      <c r="P311" s="68">
        <v>32215.31</v>
      </c>
      <c r="Q311" s="68">
        <v>1813.2172849999999</v>
      </c>
    </row>
    <row r="312" spans="1:17" x14ac:dyDescent="0.2">
      <c r="A312" s="66">
        <v>44379</v>
      </c>
      <c r="B312" s="67">
        <v>1.1865000000000001</v>
      </c>
      <c r="C312" s="68">
        <v>111.05</v>
      </c>
      <c r="D312" s="67">
        <v>1.0925499999999999</v>
      </c>
      <c r="E312" s="68">
        <v>1.431</v>
      </c>
      <c r="F312" s="68">
        <v>-0.23499999999999999</v>
      </c>
      <c r="G312" s="68">
        <v>4.2000000000000003E-2</v>
      </c>
      <c r="H312" s="68">
        <v>-0.24</v>
      </c>
      <c r="I312" s="68">
        <v>4352.34</v>
      </c>
      <c r="J312" s="68">
        <v>15650.09</v>
      </c>
      <c r="K312" s="68">
        <v>28783.279999999999</v>
      </c>
      <c r="L312" s="68">
        <v>15393.77</v>
      </c>
      <c r="M312" s="68">
        <v>1787.3</v>
      </c>
      <c r="N312" s="68">
        <v>76.17</v>
      </c>
      <c r="O312" s="68">
        <v>3417.89</v>
      </c>
      <c r="P312" s="68">
        <v>33142.639999999999</v>
      </c>
      <c r="Q312" s="68">
        <v>2150.0402829999998</v>
      </c>
    </row>
    <row r="313" spans="1:17" x14ac:dyDescent="0.2">
      <c r="A313" s="66">
        <v>44386</v>
      </c>
      <c r="B313" s="67">
        <v>1.1876</v>
      </c>
      <c r="C313" s="68">
        <v>110.14</v>
      </c>
      <c r="D313" s="67">
        <v>1.0856600000000001</v>
      </c>
      <c r="E313" s="68">
        <v>1.3560000000000001</v>
      </c>
      <c r="F313" s="68">
        <v>-0.29299999999999998</v>
      </c>
      <c r="G313" s="68">
        <v>2.9000000000000001E-2</v>
      </c>
      <c r="H313" s="68">
        <v>-0.28799999999999998</v>
      </c>
      <c r="I313" s="68">
        <v>4369.55</v>
      </c>
      <c r="J313" s="68">
        <v>15687.93</v>
      </c>
      <c r="K313" s="68">
        <v>27940.42</v>
      </c>
      <c r="L313" s="68">
        <v>15408.93</v>
      </c>
      <c r="M313" s="68">
        <v>1808.32</v>
      </c>
      <c r="N313" s="68">
        <v>75.55</v>
      </c>
      <c r="O313" s="68">
        <v>3550.79</v>
      </c>
      <c r="P313" s="68">
        <v>33522.57</v>
      </c>
      <c r="Q313" s="68">
        <v>2146.6923830000001</v>
      </c>
    </row>
    <row r="314" spans="1:17" x14ac:dyDescent="0.2">
      <c r="A314" s="66">
        <v>44393</v>
      </c>
      <c r="B314" s="67">
        <v>1.1806000000000001</v>
      </c>
      <c r="C314" s="68">
        <v>110.07</v>
      </c>
      <c r="D314" s="67">
        <v>1.08562</v>
      </c>
      <c r="E314" s="68">
        <v>1.3</v>
      </c>
      <c r="F314" s="68">
        <v>-0.35299999999999998</v>
      </c>
      <c r="G314" s="68">
        <v>1.9E-2</v>
      </c>
      <c r="H314" s="68">
        <v>-0.30399999999999999</v>
      </c>
      <c r="I314" s="68">
        <v>4327.16</v>
      </c>
      <c r="J314" s="68">
        <v>15540.31</v>
      </c>
      <c r="K314" s="68">
        <v>28003.08</v>
      </c>
      <c r="L314" s="68">
        <v>15460.32</v>
      </c>
      <c r="M314" s="68">
        <v>1812.05</v>
      </c>
      <c r="N314" s="68">
        <v>73.59</v>
      </c>
      <c r="O314" s="68">
        <v>3557.94</v>
      </c>
      <c r="P314" s="68">
        <v>31842.51</v>
      </c>
      <c r="Q314" s="68">
        <v>1880.3829350000001</v>
      </c>
    </row>
    <row r="315" spans="1:17" x14ac:dyDescent="0.2">
      <c r="A315" s="66">
        <v>44400</v>
      </c>
      <c r="B315" s="67">
        <v>1.1771</v>
      </c>
      <c r="C315" s="68">
        <v>110.55</v>
      </c>
      <c r="D315" s="67">
        <v>1.08226</v>
      </c>
      <c r="E315" s="68">
        <v>1.286</v>
      </c>
      <c r="F315" s="68">
        <v>-0.42</v>
      </c>
      <c r="G315" s="68">
        <v>1.4999999999999999E-2</v>
      </c>
      <c r="H315" s="68">
        <v>-0.35799999999999998</v>
      </c>
      <c r="I315" s="68">
        <v>4411.79</v>
      </c>
      <c r="J315" s="68">
        <v>15669.29</v>
      </c>
      <c r="K315" s="68">
        <v>27548</v>
      </c>
      <c r="L315" s="68">
        <v>15597.54</v>
      </c>
      <c r="M315" s="68">
        <v>1802.15</v>
      </c>
      <c r="N315" s="68">
        <v>74.099999999999994</v>
      </c>
      <c r="O315" s="68">
        <v>3540.1</v>
      </c>
      <c r="P315" s="68">
        <v>32500.7</v>
      </c>
      <c r="Q315" s="68">
        <v>2124.7766109999998</v>
      </c>
    </row>
    <row r="316" spans="1:17" x14ac:dyDescent="0.2">
      <c r="A316" s="66">
        <v>44407</v>
      </c>
      <c r="B316" s="67">
        <v>1.1870000000000001</v>
      </c>
      <c r="C316" s="68">
        <v>109.72</v>
      </c>
      <c r="D316" s="67">
        <v>1.07474</v>
      </c>
      <c r="E316" s="68">
        <v>1.2390000000000001</v>
      </c>
      <c r="F316" s="68">
        <v>-0.46100000000000002</v>
      </c>
      <c r="G316" s="68">
        <v>2.1999999999999999E-2</v>
      </c>
      <c r="H316" s="68">
        <v>-0.373</v>
      </c>
      <c r="I316" s="68">
        <v>4395.26</v>
      </c>
      <c r="J316" s="68">
        <v>15544.39</v>
      </c>
      <c r="K316" s="68">
        <v>27283.59</v>
      </c>
      <c r="L316" s="68">
        <v>15578.26</v>
      </c>
      <c r="M316" s="68">
        <v>1814.19</v>
      </c>
      <c r="N316" s="68">
        <v>76.33</v>
      </c>
      <c r="O316" s="68">
        <v>3589.46</v>
      </c>
      <c r="P316" s="68">
        <v>40689.269999999997</v>
      </c>
      <c r="Q316" s="68">
        <v>2466.9614259999998</v>
      </c>
    </row>
    <row r="317" spans="1:17" x14ac:dyDescent="0.2">
      <c r="A317" s="66">
        <v>44414</v>
      </c>
      <c r="B317" s="67">
        <v>1.1761999999999999</v>
      </c>
      <c r="C317" s="68">
        <v>110.25</v>
      </c>
      <c r="D317" s="67">
        <v>1.07599</v>
      </c>
      <c r="E317" s="68">
        <v>1.29</v>
      </c>
      <c r="F317" s="68">
        <v>-0.45600000000000002</v>
      </c>
      <c r="G317" s="68">
        <v>1.7000000000000001E-2</v>
      </c>
      <c r="H317" s="68">
        <v>-0.38600000000000001</v>
      </c>
      <c r="I317" s="68">
        <v>4436.5200000000004</v>
      </c>
      <c r="J317" s="68">
        <v>15761.45</v>
      </c>
      <c r="K317" s="68">
        <v>27820.04</v>
      </c>
      <c r="L317" s="68">
        <v>15644.02</v>
      </c>
      <c r="M317" s="68">
        <v>1763.03</v>
      </c>
      <c r="N317" s="68">
        <v>70.7</v>
      </c>
      <c r="O317" s="68">
        <v>3614.56</v>
      </c>
      <c r="P317" s="68">
        <v>42719.5</v>
      </c>
      <c r="Q317" s="68">
        <v>2890.9416500000002</v>
      </c>
    </row>
    <row r="318" spans="1:17" x14ac:dyDescent="0.2">
      <c r="A318" s="66">
        <v>44421</v>
      </c>
      <c r="B318" s="67">
        <v>1.1797</v>
      </c>
      <c r="C318" s="68">
        <v>109.59</v>
      </c>
      <c r="D318" s="67">
        <v>1.08019</v>
      </c>
      <c r="E318" s="68">
        <v>1.2969999999999999</v>
      </c>
      <c r="F318" s="68">
        <v>-0.46700000000000003</v>
      </c>
      <c r="G318" s="68">
        <v>2.9000000000000001E-2</v>
      </c>
      <c r="H318" s="68">
        <v>-0.38500000000000001</v>
      </c>
      <c r="I318" s="68">
        <v>4468</v>
      </c>
      <c r="J318" s="68">
        <v>15977.44</v>
      </c>
      <c r="K318" s="68">
        <v>27977.15</v>
      </c>
      <c r="L318" s="68">
        <v>15953.85</v>
      </c>
      <c r="M318" s="68">
        <v>1779.74</v>
      </c>
      <c r="N318" s="68">
        <v>70.59</v>
      </c>
      <c r="O318" s="68">
        <v>3671.96</v>
      </c>
      <c r="P318" s="68">
        <v>47609.87</v>
      </c>
      <c r="Q318" s="68">
        <v>3322.2116700000001</v>
      </c>
    </row>
    <row r="319" spans="1:17" x14ac:dyDescent="0.2">
      <c r="A319" s="66">
        <v>44428</v>
      </c>
      <c r="B319" s="67">
        <v>1.1698</v>
      </c>
      <c r="C319" s="68">
        <v>109.78</v>
      </c>
      <c r="D319" s="67">
        <v>1.07277</v>
      </c>
      <c r="E319" s="68">
        <v>1.26</v>
      </c>
      <c r="F319" s="68">
        <v>-0.495</v>
      </c>
      <c r="G319" s="68">
        <v>1.2999999999999999E-2</v>
      </c>
      <c r="H319" s="68">
        <v>-0.39100000000000001</v>
      </c>
      <c r="I319" s="68">
        <v>4441.67</v>
      </c>
      <c r="J319" s="68">
        <v>15808.04</v>
      </c>
      <c r="K319" s="68">
        <v>27013.25</v>
      </c>
      <c r="L319" s="68">
        <v>15917.89</v>
      </c>
      <c r="M319" s="68">
        <v>1781.11</v>
      </c>
      <c r="N319" s="68">
        <v>65.180000000000007</v>
      </c>
      <c r="O319" s="68">
        <v>3644.04</v>
      </c>
      <c r="P319" s="68">
        <v>48668.02</v>
      </c>
      <c r="Q319" s="68">
        <v>3286.9353030000002</v>
      </c>
    </row>
    <row r="320" spans="1:17" x14ac:dyDescent="0.2">
      <c r="A320" s="66">
        <v>44435</v>
      </c>
      <c r="B320" s="67">
        <v>1.1795</v>
      </c>
      <c r="C320" s="68">
        <v>109.84</v>
      </c>
      <c r="D320" s="67">
        <v>1.0745899999999999</v>
      </c>
      <c r="E320" s="68">
        <v>1.3120000000000001</v>
      </c>
      <c r="F320" s="68">
        <v>-0.42299999999999999</v>
      </c>
      <c r="G320" s="68">
        <v>2.9000000000000001E-2</v>
      </c>
      <c r="H320" s="68">
        <v>-0.34200000000000003</v>
      </c>
      <c r="I320" s="68">
        <v>4509.37</v>
      </c>
      <c r="J320" s="68">
        <v>15851.75</v>
      </c>
      <c r="K320" s="68">
        <v>27641.14</v>
      </c>
      <c r="L320" s="68">
        <v>15982.28</v>
      </c>
      <c r="M320" s="68">
        <v>1817.57</v>
      </c>
      <c r="N320" s="68">
        <v>72.7</v>
      </c>
      <c r="O320" s="68">
        <v>3670.93</v>
      </c>
      <c r="P320" s="68">
        <v>48921.81</v>
      </c>
      <c r="Q320" s="68">
        <v>3270.6008299999999</v>
      </c>
    </row>
    <row r="321" spans="1:17" x14ac:dyDescent="0.2">
      <c r="A321" s="66">
        <v>44442</v>
      </c>
      <c r="B321" s="67">
        <v>1.1879999999999999</v>
      </c>
      <c r="C321" s="68">
        <v>109.71</v>
      </c>
      <c r="D321" s="67">
        <v>1.08565</v>
      </c>
      <c r="E321" s="68">
        <v>1.3220000000000001</v>
      </c>
      <c r="F321" s="68">
        <v>-0.36099999999999999</v>
      </c>
      <c r="G321" s="68">
        <v>4.5999999999999999E-2</v>
      </c>
      <c r="H321" s="68">
        <v>-0.32400000000000001</v>
      </c>
      <c r="I321" s="68">
        <v>4535.43</v>
      </c>
      <c r="J321" s="68">
        <v>15781.2</v>
      </c>
      <c r="K321" s="68">
        <v>29128.11</v>
      </c>
      <c r="L321" s="68">
        <v>15911.62</v>
      </c>
      <c r="M321" s="68">
        <v>1827.73</v>
      </c>
      <c r="N321" s="68">
        <v>72.61</v>
      </c>
      <c r="O321" s="68">
        <v>3632.7</v>
      </c>
      <c r="P321" s="68">
        <v>50152.09</v>
      </c>
      <c r="Q321" s="68">
        <v>3940.6147460000002</v>
      </c>
    </row>
    <row r="322" spans="1:17" x14ac:dyDescent="0.2">
      <c r="A322" s="66">
        <v>44449</v>
      </c>
      <c r="B322" s="67">
        <v>1.1814</v>
      </c>
      <c r="C322" s="68">
        <v>109.94</v>
      </c>
      <c r="D322" s="67">
        <v>1.0844</v>
      </c>
      <c r="E322" s="68">
        <v>1.341</v>
      </c>
      <c r="F322" s="68">
        <v>-0.33</v>
      </c>
      <c r="G322" s="68">
        <v>5.0999999999999997E-2</v>
      </c>
      <c r="H322" s="68">
        <v>-0.26600000000000001</v>
      </c>
      <c r="I322" s="68">
        <v>4458.58</v>
      </c>
      <c r="J322" s="68">
        <v>15609.81</v>
      </c>
      <c r="K322" s="68">
        <v>30381.84</v>
      </c>
      <c r="L322" s="68">
        <v>15592.35</v>
      </c>
      <c r="M322" s="68">
        <v>1787.58</v>
      </c>
      <c r="N322" s="68">
        <v>72.92</v>
      </c>
      <c r="O322" s="68">
        <v>3483.81</v>
      </c>
      <c r="P322" s="68">
        <v>45077.8</v>
      </c>
      <c r="Q322" s="68">
        <v>3211.5058589999999</v>
      </c>
    </row>
    <row r="323" spans="1:17" x14ac:dyDescent="0.2">
      <c r="A323" s="66">
        <v>44456</v>
      </c>
      <c r="B323" s="67">
        <v>1.1724999999999999</v>
      </c>
      <c r="C323" s="68">
        <v>109.93</v>
      </c>
      <c r="D323" s="67">
        <v>1.09318</v>
      </c>
      <c r="E323" s="68">
        <v>1.37</v>
      </c>
      <c r="F323" s="68">
        <v>-0.28000000000000003</v>
      </c>
      <c r="G323" s="68">
        <v>5.7000000000000002E-2</v>
      </c>
      <c r="H323" s="68">
        <v>-0.19</v>
      </c>
      <c r="I323" s="68">
        <v>4432.99</v>
      </c>
      <c r="J323" s="68">
        <v>15490.17</v>
      </c>
      <c r="K323" s="68">
        <v>30500.05</v>
      </c>
      <c r="L323" s="68">
        <v>15474.81</v>
      </c>
      <c r="M323" s="68">
        <v>1754.34</v>
      </c>
      <c r="N323" s="68">
        <v>75.34</v>
      </c>
      <c r="O323" s="68">
        <v>3461.9</v>
      </c>
      <c r="P323" s="68">
        <v>46990.34</v>
      </c>
      <c r="Q323" s="68">
        <v>3398.538818</v>
      </c>
    </row>
    <row r="324" spans="1:17" x14ac:dyDescent="0.2">
      <c r="A324" s="66">
        <v>44463</v>
      </c>
      <c r="B324" s="67">
        <v>1.1719999999999999</v>
      </c>
      <c r="C324" s="68">
        <v>110.73</v>
      </c>
      <c r="D324" s="67">
        <v>1.08338</v>
      </c>
      <c r="E324" s="68">
        <v>1.46</v>
      </c>
      <c r="F324" s="68">
        <v>-0.22800000000000001</v>
      </c>
      <c r="G324" s="68">
        <v>6.3E-2</v>
      </c>
      <c r="H324" s="68">
        <v>-0.155</v>
      </c>
      <c r="I324" s="68">
        <v>4455.4799999999996</v>
      </c>
      <c r="J324" s="68">
        <v>15531.75</v>
      </c>
      <c r="K324" s="68">
        <v>30248.81</v>
      </c>
      <c r="L324" s="68">
        <v>15338.57</v>
      </c>
      <c r="M324" s="68">
        <v>1750.42</v>
      </c>
      <c r="N324" s="68">
        <v>78.09</v>
      </c>
      <c r="O324" s="68">
        <v>3468.01</v>
      </c>
      <c r="P324" s="68">
        <v>42981.54</v>
      </c>
      <c r="Q324" s="68">
        <v>2931.6691890000002</v>
      </c>
    </row>
    <row r="325" spans="1:17" x14ac:dyDescent="0.2">
      <c r="A325" s="66">
        <v>44470</v>
      </c>
      <c r="B325" s="67">
        <v>1.1596</v>
      </c>
      <c r="C325" s="68">
        <v>111.05</v>
      </c>
      <c r="D325" s="67">
        <v>1.0788199999999999</v>
      </c>
      <c r="E325" s="68">
        <v>1.4790000000000001</v>
      </c>
      <c r="F325" s="68">
        <v>-0.224</v>
      </c>
      <c r="G325" s="68">
        <v>6.4000000000000001E-2</v>
      </c>
      <c r="H325" s="68">
        <v>-0.17699999999999999</v>
      </c>
      <c r="I325" s="68">
        <v>4357.04</v>
      </c>
      <c r="J325" s="68">
        <v>15156.44</v>
      </c>
      <c r="K325" s="68">
        <v>28771.07</v>
      </c>
      <c r="L325" s="68">
        <v>14960.93</v>
      </c>
      <c r="M325" s="68">
        <v>1760.98</v>
      </c>
      <c r="N325" s="68">
        <v>79.28</v>
      </c>
      <c r="O325" s="68">
        <v>3430.87</v>
      </c>
      <c r="P325" s="68">
        <v>48132.89</v>
      </c>
      <c r="Q325" s="68">
        <v>3307.5161130000001</v>
      </c>
    </row>
    <row r="326" spans="1:17" x14ac:dyDescent="0.2">
      <c r="A326" s="66">
        <v>44477</v>
      </c>
      <c r="B326" s="67">
        <v>1.1569</v>
      </c>
      <c r="C326" s="68">
        <v>112.24</v>
      </c>
      <c r="D326" s="67">
        <v>1.0731600000000001</v>
      </c>
      <c r="E326" s="68">
        <v>1.605</v>
      </c>
      <c r="F326" s="68">
        <v>-0.151</v>
      </c>
      <c r="G326" s="68">
        <v>8.3000000000000004E-2</v>
      </c>
      <c r="H326" s="68">
        <v>-9.9000000000000005E-2</v>
      </c>
      <c r="I326" s="68">
        <v>4391.34</v>
      </c>
      <c r="J326" s="68">
        <v>15206.13</v>
      </c>
      <c r="K326" s="68">
        <v>28048.94</v>
      </c>
      <c r="L326" s="68">
        <v>15131.97</v>
      </c>
      <c r="M326" s="68">
        <v>1757.13</v>
      </c>
      <c r="N326" s="68">
        <v>82.39</v>
      </c>
      <c r="O326" s="68">
        <v>3405.87</v>
      </c>
      <c r="P326" s="68">
        <v>53993.3</v>
      </c>
      <c r="Q326" s="68">
        <v>3563.7592770000001</v>
      </c>
    </row>
    <row r="327" spans="1:17" x14ac:dyDescent="0.2">
      <c r="A327" s="66">
        <v>44484</v>
      </c>
      <c r="B327" s="67">
        <v>1.1600999999999999</v>
      </c>
      <c r="C327" s="68">
        <v>114.22</v>
      </c>
      <c r="D327" s="67">
        <v>1.0707899999999999</v>
      </c>
      <c r="E327" s="68">
        <v>1.5760000000000001</v>
      </c>
      <c r="F327" s="68">
        <v>-0.16700000000000001</v>
      </c>
      <c r="G327" s="68">
        <v>7.9000000000000001E-2</v>
      </c>
      <c r="H327" s="68">
        <v>-0.11700000000000001</v>
      </c>
      <c r="I327" s="68">
        <v>4471.37</v>
      </c>
      <c r="J327" s="68">
        <v>15587.36</v>
      </c>
      <c r="K327" s="68">
        <v>29068.63</v>
      </c>
      <c r="L327" s="68">
        <v>15436.66</v>
      </c>
      <c r="M327" s="68">
        <v>1767.62</v>
      </c>
      <c r="N327" s="68">
        <v>84.86</v>
      </c>
      <c r="O327" s="68">
        <v>3511.64</v>
      </c>
      <c r="P327" s="68">
        <v>62526.66</v>
      </c>
      <c r="Q327" s="68">
        <v>3862.6347660000001</v>
      </c>
    </row>
    <row r="328" spans="1:17" x14ac:dyDescent="0.2">
      <c r="A328" s="66">
        <v>44491</v>
      </c>
      <c r="B328" s="67">
        <v>1.1642999999999999</v>
      </c>
      <c r="C328" s="68">
        <v>113.5</v>
      </c>
      <c r="D328" s="67">
        <v>1.06664</v>
      </c>
      <c r="E328" s="68">
        <v>1.655</v>
      </c>
      <c r="F328" s="68">
        <v>-0.105</v>
      </c>
      <c r="G328" s="68">
        <v>9.5000000000000001E-2</v>
      </c>
      <c r="H328" s="68">
        <v>-4.3999999999999997E-2</v>
      </c>
      <c r="I328" s="68">
        <v>4544.8999999999996</v>
      </c>
      <c r="J328" s="68">
        <v>15542.98</v>
      </c>
      <c r="K328" s="68">
        <v>28804.85</v>
      </c>
      <c r="L328" s="68">
        <v>15543.14</v>
      </c>
      <c r="M328" s="68">
        <v>1792.65</v>
      </c>
      <c r="N328" s="68">
        <v>85.53</v>
      </c>
      <c r="O328" s="68">
        <v>3515.64</v>
      </c>
      <c r="P328" s="68">
        <v>60726</v>
      </c>
      <c r="Q328" s="68">
        <v>3976.75</v>
      </c>
    </row>
    <row r="329" spans="1:17" x14ac:dyDescent="0.2">
      <c r="A329" s="66">
        <v>44498</v>
      </c>
      <c r="B329" s="67">
        <v>1.1557999999999999</v>
      </c>
      <c r="C329" s="68">
        <v>113.95</v>
      </c>
      <c r="D329" s="67">
        <v>1.0583800000000001</v>
      </c>
      <c r="E329" s="68">
        <v>1.5569999999999999</v>
      </c>
      <c r="F329" s="68">
        <v>-0.106</v>
      </c>
      <c r="G329" s="68">
        <v>0.10100000000000001</v>
      </c>
      <c r="H329" s="68">
        <v>-3.4000000000000002E-2</v>
      </c>
      <c r="I329" s="68">
        <v>4605.38</v>
      </c>
      <c r="J329" s="68">
        <v>15688.77</v>
      </c>
      <c r="K329" s="68">
        <v>28892.69</v>
      </c>
      <c r="L329" s="68">
        <v>15613.26</v>
      </c>
      <c r="M329" s="68">
        <v>1783.38</v>
      </c>
      <c r="N329" s="68">
        <v>84.38</v>
      </c>
      <c r="O329" s="68">
        <v>3465.69</v>
      </c>
      <c r="P329" s="68">
        <v>62395.65</v>
      </c>
      <c r="Q329" s="68">
        <v>4402.9179999999997</v>
      </c>
    </row>
    <row r="330" spans="1:17" x14ac:dyDescent="0.2">
      <c r="B330" s="14"/>
      <c r="C330" s="12"/>
      <c r="D330" s="14"/>
      <c r="E330" s="16"/>
      <c r="F330" s="16"/>
      <c r="G330" s="7"/>
      <c r="H330" s="13"/>
    </row>
    <row r="331" spans="1:17" x14ac:dyDescent="0.2">
      <c r="B331" s="14"/>
      <c r="C331" s="12"/>
      <c r="D331" s="14"/>
      <c r="E331" s="16"/>
      <c r="F331" s="16"/>
      <c r="G331" s="7"/>
      <c r="H331" s="13"/>
    </row>
    <row r="332" spans="1:17" x14ac:dyDescent="0.2">
      <c r="B332" s="14"/>
      <c r="C332" s="12"/>
      <c r="D332" s="14"/>
      <c r="E332" s="16"/>
      <c r="F332" s="16"/>
      <c r="G332" s="7"/>
      <c r="H332" s="13"/>
    </row>
    <row r="333" spans="1:17" x14ac:dyDescent="0.2">
      <c r="B333" s="14"/>
      <c r="C333" s="12"/>
      <c r="D333" s="14"/>
      <c r="E333" s="16"/>
      <c r="F333" s="16"/>
      <c r="G333" s="7"/>
      <c r="H333" s="13"/>
    </row>
    <row r="334" spans="1:17" x14ac:dyDescent="0.2">
      <c r="B334" s="14"/>
      <c r="C334" s="12"/>
      <c r="D334" s="14"/>
      <c r="E334" s="16"/>
      <c r="F334" s="16"/>
      <c r="G334" s="7"/>
      <c r="H334" s="13"/>
    </row>
    <row r="335" spans="1:17" x14ac:dyDescent="0.2">
      <c r="B335" s="14"/>
      <c r="C335" s="12"/>
      <c r="D335" s="14"/>
      <c r="E335" s="16"/>
      <c r="F335" s="16"/>
      <c r="G335" s="13"/>
      <c r="H335" s="13"/>
    </row>
    <row r="336" spans="1:17" x14ac:dyDescent="0.2">
      <c r="B336" s="14"/>
      <c r="C336" s="12"/>
      <c r="D336" s="14"/>
      <c r="E336" s="16"/>
      <c r="F336" s="16"/>
      <c r="G336" s="13"/>
      <c r="H336" s="13"/>
    </row>
    <row r="337" spans="2:8" x14ac:dyDescent="0.2">
      <c r="B337" s="14"/>
      <c r="C337" s="12"/>
      <c r="D337" s="14"/>
      <c r="E337" s="16"/>
      <c r="F337" s="16"/>
      <c r="G337" s="13"/>
      <c r="H337" s="13"/>
    </row>
    <row r="338" spans="2:8" x14ac:dyDescent="0.2">
      <c r="B338" s="14"/>
      <c r="C338" s="12"/>
      <c r="D338" s="14"/>
      <c r="E338" s="16"/>
      <c r="F338" s="16"/>
      <c r="G338" s="13"/>
      <c r="H338" s="13"/>
    </row>
    <row r="339" spans="2:8" x14ac:dyDescent="0.2">
      <c r="B339" s="14"/>
      <c r="C339" s="12"/>
      <c r="D339" s="14"/>
      <c r="E339" s="16"/>
      <c r="F339" s="16"/>
      <c r="G339" s="13"/>
      <c r="H339" s="13"/>
    </row>
    <row r="340" spans="2:8" x14ac:dyDescent="0.2">
      <c r="B340" s="14"/>
      <c r="C340" s="12"/>
      <c r="D340" s="14"/>
      <c r="E340" s="16"/>
      <c r="F340" s="16"/>
      <c r="G340" s="13"/>
      <c r="H340" s="13"/>
    </row>
    <row r="341" spans="2:8" x14ac:dyDescent="0.2">
      <c r="B341" s="14"/>
      <c r="C341" s="12"/>
      <c r="D341" s="14"/>
      <c r="E341" s="16"/>
      <c r="F341" s="16"/>
      <c r="G341" s="18"/>
      <c r="H341" s="13"/>
    </row>
    <row r="342" spans="2:8" x14ac:dyDescent="0.2">
      <c r="B342" s="14"/>
      <c r="C342" s="12"/>
      <c r="D342" s="14"/>
      <c r="E342" s="16"/>
      <c r="F342" s="16"/>
      <c r="G342" s="18"/>
      <c r="H342" s="13"/>
    </row>
    <row r="343" spans="2:8" x14ac:dyDescent="0.2">
      <c r="B343" s="14"/>
      <c r="C343" s="12"/>
      <c r="D343" s="14"/>
      <c r="E343" s="16"/>
      <c r="F343" s="16"/>
      <c r="G343" s="18"/>
      <c r="H343" s="13"/>
    </row>
    <row r="344" spans="2:8" x14ac:dyDescent="0.2">
      <c r="B344" s="14"/>
      <c r="C344" s="12"/>
      <c r="D344" s="14"/>
      <c r="E344" s="16"/>
      <c r="F344" s="16"/>
      <c r="G344" s="18"/>
      <c r="H344" s="13"/>
    </row>
    <row r="345" spans="2:8" x14ac:dyDescent="0.2">
      <c r="B345" s="14"/>
      <c r="C345" s="12"/>
      <c r="D345" s="14"/>
      <c r="E345" s="16"/>
      <c r="F345" s="16"/>
      <c r="G345" s="18"/>
      <c r="H345" s="13"/>
    </row>
    <row r="346" spans="2:8" x14ac:dyDescent="0.2">
      <c r="B346" s="14"/>
      <c r="C346" s="12"/>
      <c r="D346" s="14"/>
      <c r="E346" s="16"/>
      <c r="F346" s="16"/>
      <c r="G346" s="18"/>
      <c r="H346" s="13"/>
    </row>
    <row r="347" spans="2:8" x14ac:dyDescent="0.2">
      <c r="B347" s="14"/>
      <c r="C347" s="12"/>
      <c r="D347" s="14"/>
      <c r="E347" s="16"/>
      <c r="F347" s="16"/>
      <c r="G347" s="18"/>
      <c r="H347" s="13"/>
    </row>
    <row r="348" spans="2:8" x14ac:dyDescent="0.2">
      <c r="B348" s="14"/>
      <c r="C348" s="12"/>
      <c r="D348" s="14"/>
      <c r="E348" s="16"/>
      <c r="F348" s="16"/>
      <c r="G348" s="18"/>
      <c r="H348" s="13"/>
    </row>
    <row r="349" spans="2:8" x14ac:dyDescent="0.2">
      <c r="B349" s="14"/>
      <c r="C349" s="12"/>
      <c r="D349" s="14"/>
      <c r="E349" s="16"/>
      <c r="F349" s="16"/>
      <c r="G349" s="18"/>
      <c r="H349" s="13"/>
    </row>
    <row r="350" spans="2:8" x14ac:dyDescent="0.2">
      <c r="B350" s="14"/>
      <c r="C350" s="12"/>
      <c r="D350" s="14"/>
      <c r="E350" s="16"/>
      <c r="F350" s="16"/>
      <c r="G350" s="18"/>
      <c r="H350" s="13"/>
    </row>
    <row r="351" spans="2:8" x14ac:dyDescent="0.2">
      <c r="B351" s="14"/>
      <c r="C351" s="12"/>
      <c r="D351" s="14"/>
      <c r="E351" s="16"/>
      <c r="F351" s="16"/>
      <c r="G351" s="18"/>
      <c r="H351" s="13"/>
    </row>
    <row r="352" spans="2:8" x14ac:dyDescent="0.2">
      <c r="B352" s="14"/>
      <c r="C352" s="12"/>
      <c r="D352" s="14"/>
      <c r="E352" s="16"/>
      <c r="F352" s="16"/>
      <c r="G352" s="18"/>
      <c r="H352" s="13"/>
    </row>
    <row r="353" spans="1:8" x14ac:dyDescent="0.2">
      <c r="B353" s="14"/>
      <c r="C353" s="12"/>
      <c r="D353" s="14"/>
      <c r="E353" s="16"/>
      <c r="F353" s="16"/>
      <c r="G353" s="18"/>
      <c r="H353" s="13"/>
    </row>
    <row r="354" spans="1:8" x14ac:dyDescent="0.2">
      <c r="B354" s="14"/>
      <c r="C354" s="12"/>
      <c r="D354" s="14"/>
      <c r="E354" s="16"/>
      <c r="F354" s="16"/>
      <c r="G354" s="18"/>
      <c r="H354" s="13"/>
    </row>
    <row r="355" spans="1:8" x14ac:dyDescent="0.2">
      <c r="B355" s="14"/>
      <c r="C355" s="12"/>
      <c r="D355" s="14"/>
      <c r="E355" s="16"/>
      <c r="F355" s="16"/>
      <c r="G355" s="18"/>
      <c r="H355" s="13"/>
    </row>
    <row r="356" spans="1:8" x14ac:dyDescent="0.2">
      <c r="A356" s="58"/>
      <c r="B356" s="59"/>
      <c r="C356" s="60"/>
      <c r="D356" s="14"/>
      <c r="E356" s="16"/>
      <c r="F356" s="16"/>
      <c r="G356" s="18"/>
      <c r="H356" s="13"/>
    </row>
    <row r="357" spans="1:8" x14ac:dyDescent="0.2">
      <c r="A357" s="58"/>
      <c r="B357" s="59"/>
      <c r="C357" s="60"/>
      <c r="D357" s="14"/>
      <c r="E357" s="16"/>
      <c r="F357" s="16"/>
      <c r="G357" s="18"/>
      <c r="H357" s="13"/>
    </row>
    <row r="358" spans="1:8" x14ac:dyDescent="0.2">
      <c r="B358" s="59"/>
      <c r="C358" s="60"/>
      <c r="D358" s="14"/>
      <c r="E358" s="16"/>
      <c r="F358" s="16"/>
      <c r="G358" s="18"/>
      <c r="H358" s="13"/>
    </row>
    <row r="359" spans="1:8" x14ac:dyDescent="0.2">
      <c r="B359" s="59"/>
      <c r="C359" s="60"/>
      <c r="D359" s="14"/>
      <c r="E359" s="16"/>
      <c r="F359" s="16"/>
      <c r="G359" s="18"/>
      <c r="H359" s="13"/>
    </row>
    <row r="360" spans="1:8" x14ac:dyDescent="0.2">
      <c r="B360" s="59"/>
      <c r="C360" s="60"/>
      <c r="D360" s="14"/>
      <c r="E360" s="16"/>
      <c r="F360" s="16"/>
      <c r="G360" s="18"/>
      <c r="H360" s="13"/>
    </row>
    <row r="361" spans="1:8" x14ac:dyDescent="0.2">
      <c r="B361" s="59"/>
      <c r="C361" s="60"/>
      <c r="D361" s="14"/>
      <c r="E361" s="16"/>
      <c r="F361" s="16"/>
      <c r="G361" s="18"/>
      <c r="H361" s="13"/>
    </row>
    <row r="362" spans="1:8" x14ac:dyDescent="0.2">
      <c r="B362" s="59"/>
      <c r="C362" s="60"/>
      <c r="D362" s="14"/>
      <c r="E362" s="16"/>
      <c r="F362" s="16"/>
      <c r="G362" s="18"/>
      <c r="H362" s="13"/>
    </row>
    <row r="363" spans="1:8" x14ac:dyDescent="0.2">
      <c r="B363" s="59"/>
      <c r="C363" s="60"/>
      <c r="D363" s="14"/>
      <c r="E363" s="16"/>
      <c r="F363" s="16"/>
      <c r="G363" s="18"/>
      <c r="H363" s="13"/>
    </row>
    <row r="364" spans="1:8" x14ac:dyDescent="0.2">
      <c r="B364" s="59"/>
      <c r="C364" s="60"/>
      <c r="D364" s="14"/>
      <c r="E364" s="16"/>
      <c r="F364" s="16"/>
      <c r="G364" s="18"/>
      <c r="H364" s="13"/>
    </row>
    <row r="365" spans="1:8" x14ac:dyDescent="0.2">
      <c r="B365" s="59"/>
      <c r="C365" s="60"/>
      <c r="D365" s="14"/>
      <c r="E365" s="16"/>
      <c r="F365" s="16"/>
      <c r="G365" s="18"/>
      <c r="H365" s="13"/>
    </row>
    <row r="366" spans="1:8" x14ac:dyDescent="0.2">
      <c r="B366" s="59"/>
      <c r="C366" s="60"/>
      <c r="D366" s="14"/>
      <c r="E366" s="16"/>
      <c r="F366" s="16"/>
      <c r="G366" s="18"/>
      <c r="H366" s="13"/>
    </row>
    <row r="367" spans="1:8" x14ac:dyDescent="0.2">
      <c r="B367" s="59"/>
      <c r="C367" s="60"/>
      <c r="D367" s="14"/>
      <c r="E367" s="16"/>
      <c r="F367" s="16"/>
      <c r="G367" s="18"/>
      <c r="H367" s="13"/>
    </row>
    <row r="368" spans="1:8" x14ac:dyDescent="0.2">
      <c r="B368" s="59"/>
      <c r="C368" s="60"/>
      <c r="D368" s="14"/>
      <c r="E368" s="16"/>
      <c r="F368" s="16"/>
      <c r="G368" s="18"/>
      <c r="H368" s="13"/>
    </row>
    <row r="369" spans="2:8" x14ac:dyDescent="0.2">
      <c r="B369" s="59"/>
      <c r="C369" s="60"/>
      <c r="D369" s="14"/>
      <c r="E369" s="16"/>
      <c r="F369" s="16"/>
      <c r="G369" s="18"/>
      <c r="H369" s="18"/>
    </row>
    <row r="370" spans="2:8" x14ac:dyDescent="0.2">
      <c r="B370" s="59"/>
      <c r="C370" s="60"/>
      <c r="D370" s="14"/>
      <c r="E370" s="16"/>
      <c r="F370" s="16"/>
      <c r="G370" s="18"/>
      <c r="H370" s="18"/>
    </row>
    <row r="371" spans="2:8" x14ac:dyDescent="0.2">
      <c r="B371" s="59"/>
      <c r="C371" s="60"/>
      <c r="D371" s="14"/>
      <c r="E371" s="16"/>
      <c r="F371" s="16"/>
      <c r="G371" s="18"/>
      <c r="H371" s="18"/>
    </row>
    <row r="372" spans="2:8" x14ac:dyDescent="0.2">
      <c r="B372" s="59"/>
      <c r="C372" s="60"/>
      <c r="D372" s="14"/>
      <c r="E372" s="16"/>
      <c r="F372" s="16"/>
      <c r="G372" s="18"/>
      <c r="H372" s="18"/>
    </row>
    <row r="373" spans="2:8" x14ac:dyDescent="0.2">
      <c r="B373" s="59"/>
      <c r="C373" s="60"/>
      <c r="D373" s="14"/>
      <c r="E373" s="16"/>
      <c r="F373" s="16"/>
      <c r="G373" s="18"/>
      <c r="H373" s="18"/>
    </row>
    <row r="374" spans="2:8" x14ac:dyDescent="0.2">
      <c r="B374" s="59"/>
      <c r="C374" s="60"/>
      <c r="D374" s="14"/>
      <c r="E374" s="16"/>
      <c r="F374" s="16"/>
      <c r="G374" s="18"/>
      <c r="H374" s="18"/>
    </row>
    <row r="375" spans="2:8" x14ac:dyDescent="0.2">
      <c r="B375" s="59"/>
      <c r="C375" s="60"/>
      <c r="D375" s="14"/>
      <c r="E375" s="16"/>
      <c r="F375" s="16"/>
      <c r="G375" s="18"/>
      <c r="H375" s="18"/>
    </row>
    <row r="376" spans="2:8" x14ac:dyDescent="0.2">
      <c r="B376" s="59"/>
      <c r="C376" s="60"/>
      <c r="D376" s="14"/>
      <c r="E376" s="16"/>
      <c r="F376" s="16"/>
      <c r="G376" s="18"/>
      <c r="H376" s="18"/>
    </row>
    <row r="377" spans="2:8" x14ac:dyDescent="0.2">
      <c r="B377" s="59"/>
      <c r="C377" s="60"/>
      <c r="D377" s="14"/>
      <c r="E377" s="16"/>
      <c r="F377" s="16"/>
      <c r="G377" s="18"/>
      <c r="H377" s="18"/>
    </row>
    <row r="378" spans="2:8" x14ac:dyDescent="0.2">
      <c r="B378" s="59"/>
      <c r="C378" s="60"/>
      <c r="D378" s="14"/>
      <c r="E378" s="16"/>
      <c r="F378" s="16"/>
      <c r="G378" s="18"/>
      <c r="H378" s="18"/>
    </row>
    <row r="379" spans="2:8" x14ac:dyDescent="0.2">
      <c r="B379" s="59"/>
      <c r="C379" s="60"/>
      <c r="D379" s="14"/>
      <c r="E379" s="16"/>
      <c r="F379" s="16"/>
      <c r="G379" s="18"/>
      <c r="H379" s="18"/>
    </row>
    <row r="380" spans="2:8" x14ac:dyDescent="0.2">
      <c r="B380" s="59"/>
      <c r="C380" s="60"/>
      <c r="D380" s="14"/>
      <c r="E380" s="16"/>
      <c r="F380" s="16"/>
      <c r="G380" s="18"/>
      <c r="H380" s="18"/>
    </row>
    <row r="381" spans="2:8" x14ac:dyDescent="0.2">
      <c r="B381" s="59"/>
      <c r="C381" s="60"/>
      <c r="D381" s="14"/>
      <c r="E381" s="16"/>
      <c r="F381" s="16"/>
      <c r="G381" s="18"/>
      <c r="H381" s="18"/>
    </row>
    <row r="382" spans="2:8" x14ac:dyDescent="0.2">
      <c r="B382" s="59"/>
      <c r="C382" s="60"/>
      <c r="D382" s="14"/>
      <c r="E382" s="16"/>
      <c r="F382" s="16"/>
      <c r="G382" s="18"/>
      <c r="H382" s="18"/>
    </row>
    <row r="383" spans="2:8" x14ac:dyDescent="0.2">
      <c r="B383" s="59"/>
      <c r="C383" s="60"/>
      <c r="D383" s="14"/>
      <c r="E383" s="16"/>
      <c r="F383" s="16"/>
      <c r="G383" s="18"/>
      <c r="H383" s="18"/>
    </row>
    <row r="384" spans="2:8" x14ac:dyDescent="0.2">
      <c r="B384" s="59"/>
      <c r="C384" s="60"/>
      <c r="D384" s="14"/>
      <c r="E384" s="16"/>
      <c r="F384" s="16"/>
      <c r="G384" s="18"/>
      <c r="H384" s="18"/>
    </row>
    <row r="385" spans="1:9" x14ac:dyDescent="0.2">
      <c r="B385" s="59"/>
      <c r="C385" s="60"/>
      <c r="D385" s="14"/>
      <c r="E385" s="16"/>
      <c r="F385" s="16"/>
      <c r="G385" s="18"/>
      <c r="H385" s="18"/>
    </row>
    <row r="386" spans="1:9" x14ac:dyDescent="0.2">
      <c r="B386" s="59"/>
      <c r="C386" s="60"/>
      <c r="D386" s="14"/>
      <c r="E386" s="16"/>
      <c r="F386" s="16"/>
      <c r="G386" s="18"/>
      <c r="H386" s="18"/>
    </row>
    <row r="387" spans="1:9" x14ac:dyDescent="0.2">
      <c r="B387" s="59"/>
      <c r="C387" s="60"/>
      <c r="D387" s="14"/>
      <c r="E387" s="16"/>
      <c r="F387" s="16"/>
      <c r="G387" s="18"/>
      <c r="H387" s="18"/>
    </row>
    <row r="388" spans="1:9" x14ac:dyDescent="0.2">
      <c r="A388" s="58"/>
      <c r="B388" s="14"/>
      <c r="C388" s="60"/>
      <c r="D388" s="14"/>
      <c r="E388" s="16"/>
      <c r="F388" s="16"/>
      <c r="G388" s="18"/>
      <c r="H388" s="18"/>
    </row>
    <row r="389" spans="1:9" x14ac:dyDescent="0.2">
      <c r="A389" s="58"/>
      <c r="B389" s="14"/>
      <c r="C389" s="60"/>
      <c r="D389" s="14"/>
      <c r="E389" s="16"/>
      <c r="F389" s="16"/>
      <c r="G389" s="18"/>
      <c r="H389" s="18"/>
    </row>
    <row r="390" spans="1:9" x14ac:dyDescent="0.2">
      <c r="A390" s="58"/>
      <c r="B390" s="14"/>
      <c r="C390" s="60"/>
      <c r="D390" s="14"/>
      <c r="E390" s="16"/>
      <c r="F390" s="16"/>
      <c r="G390" s="18"/>
      <c r="H390" s="18"/>
    </row>
    <row r="391" spans="1:9" x14ac:dyDescent="0.2">
      <c r="A391" s="58"/>
      <c r="B391" s="14"/>
      <c r="C391" s="60"/>
      <c r="D391" s="14"/>
      <c r="E391" s="16"/>
      <c r="F391" s="16"/>
      <c r="G391" s="18"/>
      <c r="H391" s="18"/>
    </row>
    <row r="392" spans="1:9" x14ac:dyDescent="0.2">
      <c r="B392" s="14"/>
      <c r="C392" s="60"/>
      <c r="D392" s="14"/>
      <c r="E392" s="16"/>
      <c r="F392" s="16"/>
      <c r="G392" s="18"/>
      <c r="H392" s="18"/>
    </row>
    <row r="393" spans="1:9" x14ac:dyDescent="0.2">
      <c r="B393" s="14"/>
      <c r="C393" s="60"/>
      <c r="D393" s="14"/>
      <c r="E393" s="16"/>
      <c r="F393" s="16"/>
      <c r="G393" s="18"/>
      <c r="H393" s="18"/>
    </row>
    <row r="394" spans="1:9" x14ac:dyDescent="0.2">
      <c r="B394" s="14"/>
      <c r="C394" s="60"/>
      <c r="D394" s="14"/>
      <c r="E394" s="16"/>
      <c r="F394" s="16"/>
      <c r="G394" s="18"/>
      <c r="H394" s="18"/>
    </row>
    <row r="395" spans="1:9" x14ac:dyDescent="0.2">
      <c r="B395" s="14"/>
      <c r="C395" s="60"/>
      <c r="D395" s="14"/>
      <c r="E395" s="16"/>
      <c r="F395" s="16"/>
      <c r="G395" s="18"/>
      <c r="H395" s="18"/>
    </row>
    <row r="396" spans="1:9" x14ac:dyDescent="0.2">
      <c r="B396" s="14"/>
      <c r="C396" s="60"/>
      <c r="D396" s="14"/>
      <c r="E396" s="16"/>
      <c r="F396" s="16"/>
      <c r="G396" s="18"/>
      <c r="H396" s="18"/>
    </row>
    <row r="397" spans="1:9" x14ac:dyDescent="0.2">
      <c r="B397" s="14"/>
      <c r="C397" s="60"/>
      <c r="D397" s="14"/>
      <c r="E397" s="16"/>
      <c r="F397" s="16"/>
      <c r="G397" s="18"/>
      <c r="H397" s="18"/>
      <c r="I397" s="35"/>
    </row>
    <row r="398" spans="1:9" x14ac:dyDescent="0.2">
      <c r="A398" s="58"/>
      <c r="B398" s="14"/>
      <c r="C398" s="60"/>
      <c r="D398" s="14"/>
      <c r="E398" s="16"/>
      <c r="F398" s="16"/>
      <c r="G398" s="18"/>
      <c r="H398" s="18"/>
      <c r="I398" s="35"/>
    </row>
    <row r="399" spans="1:9" x14ac:dyDescent="0.2">
      <c r="B399" s="14"/>
      <c r="C399" s="60"/>
      <c r="D399" s="14"/>
      <c r="E399" s="16"/>
      <c r="F399" s="16"/>
      <c r="G399" s="18"/>
      <c r="H399" s="18"/>
      <c r="I399" s="35"/>
    </row>
    <row r="400" spans="1:9" x14ac:dyDescent="0.2">
      <c r="B400" s="14"/>
      <c r="C400" s="60"/>
      <c r="D400" s="14"/>
      <c r="E400" s="16"/>
      <c r="F400" s="16"/>
      <c r="G400" s="18"/>
      <c r="H400" s="18"/>
      <c r="I400" s="35"/>
    </row>
    <row r="401" spans="1:9" x14ac:dyDescent="0.2">
      <c r="B401" s="14"/>
      <c r="C401" s="60"/>
      <c r="D401" s="14"/>
      <c r="E401" s="16"/>
      <c r="F401" s="16"/>
      <c r="G401" s="18"/>
      <c r="H401" s="18"/>
      <c r="I401" s="35"/>
    </row>
    <row r="402" spans="1:9" x14ac:dyDescent="0.2">
      <c r="B402" s="14"/>
      <c r="C402" s="60"/>
      <c r="D402" s="14"/>
      <c r="E402" s="16"/>
      <c r="F402" s="16"/>
      <c r="G402" s="18"/>
      <c r="H402" s="18"/>
      <c r="I402" s="35"/>
    </row>
    <row r="403" spans="1:9" x14ac:dyDescent="0.2">
      <c r="B403" s="14"/>
      <c r="C403" s="60"/>
      <c r="D403" s="14"/>
      <c r="E403" s="16"/>
      <c r="F403" s="16"/>
      <c r="G403" s="18"/>
      <c r="H403" s="18"/>
      <c r="I403" s="35"/>
    </row>
    <row r="404" spans="1:9" x14ac:dyDescent="0.2">
      <c r="B404" s="14"/>
      <c r="C404" s="60"/>
      <c r="D404" s="14"/>
      <c r="E404" s="16"/>
      <c r="F404" s="16"/>
      <c r="G404" s="18"/>
      <c r="H404" s="18"/>
      <c r="I404" s="35"/>
    </row>
    <row r="405" spans="1:9" x14ac:dyDescent="0.2">
      <c r="B405" s="14"/>
      <c r="C405" s="60"/>
      <c r="D405" s="14"/>
      <c r="E405" s="16"/>
      <c r="F405" s="16"/>
      <c r="G405" s="18"/>
      <c r="H405" s="18"/>
      <c r="I405" s="35"/>
    </row>
    <row r="406" spans="1:9" x14ac:dyDescent="0.2">
      <c r="B406" s="14"/>
      <c r="C406" s="60"/>
      <c r="D406" s="14"/>
      <c r="E406" s="16"/>
      <c r="F406" s="16"/>
      <c r="G406" s="18"/>
      <c r="H406" s="18"/>
    </row>
    <row r="407" spans="1:9" x14ac:dyDescent="0.2">
      <c r="A407" s="58"/>
      <c r="B407" s="14"/>
      <c r="C407" s="60"/>
      <c r="D407" s="14"/>
      <c r="E407" s="16"/>
      <c r="F407" s="16"/>
      <c r="G407" s="18"/>
      <c r="H407" s="18"/>
    </row>
    <row r="408" spans="1:9" x14ac:dyDescent="0.2">
      <c r="B408" s="14"/>
      <c r="C408" s="60"/>
      <c r="D408" s="14"/>
      <c r="E408" s="16"/>
      <c r="F408" s="16"/>
      <c r="G408" s="18"/>
      <c r="H408" s="18"/>
      <c r="I408" s="13"/>
    </row>
    <row r="409" spans="1:9" x14ac:dyDescent="0.2">
      <c r="A409" s="58"/>
      <c r="B409" s="14"/>
      <c r="C409" s="60"/>
      <c r="D409" s="14"/>
      <c r="E409" s="16"/>
      <c r="F409" s="16"/>
      <c r="G409" s="18"/>
      <c r="H409" s="18"/>
      <c r="I409" s="13"/>
    </row>
    <row r="410" spans="1:9" x14ac:dyDescent="0.2">
      <c r="B410" s="14"/>
      <c r="C410" s="60"/>
      <c r="D410" s="14"/>
      <c r="E410" s="16"/>
      <c r="F410" s="16"/>
      <c r="G410" s="18"/>
      <c r="H410" s="18"/>
      <c r="I410" s="13"/>
    </row>
    <row r="411" spans="1:9" x14ac:dyDescent="0.2">
      <c r="B411" s="14"/>
      <c r="C411" s="60"/>
      <c r="D411" s="14"/>
      <c r="E411" s="16"/>
      <c r="F411" s="16"/>
      <c r="G411" s="18"/>
      <c r="H411" s="18"/>
      <c r="I411" s="13"/>
    </row>
    <row r="412" spans="1:9" x14ac:dyDescent="0.2">
      <c r="B412" s="14"/>
      <c r="C412" s="60"/>
      <c r="D412" s="14"/>
      <c r="G412" s="18"/>
      <c r="H412" s="18"/>
      <c r="I412" s="13"/>
    </row>
    <row r="413" spans="1:9" x14ac:dyDescent="0.2">
      <c r="B413" s="14"/>
      <c r="C413" s="60"/>
      <c r="D413" s="14"/>
      <c r="G413" s="18"/>
      <c r="H413" s="18"/>
    </row>
    <row r="414" spans="1:9" x14ac:dyDescent="0.2">
      <c r="A414" s="58"/>
      <c r="B414" s="14"/>
      <c r="C414" s="60"/>
      <c r="G414" s="18"/>
      <c r="H414" s="18"/>
    </row>
    <row r="415" spans="1:9" x14ac:dyDescent="0.2">
      <c r="B415" s="14"/>
      <c r="C415" s="60"/>
      <c r="G415" s="16"/>
    </row>
    <row r="416" spans="1:9" x14ac:dyDescent="0.2">
      <c r="A416" s="58"/>
      <c r="B416" s="14"/>
      <c r="C416" s="60"/>
      <c r="G416" s="16"/>
    </row>
    <row r="417" spans="2:7" x14ac:dyDescent="0.2">
      <c r="B417" s="14"/>
      <c r="C417" s="60"/>
      <c r="G417" s="16"/>
    </row>
    <row r="418" spans="2:7" x14ac:dyDescent="0.2">
      <c r="B418" s="14"/>
      <c r="C418" s="60"/>
      <c r="G418" s="16"/>
    </row>
    <row r="419" spans="2:7" x14ac:dyDescent="0.2">
      <c r="B419" s="14"/>
      <c r="C419" s="60"/>
      <c r="G419" s="16"/>
    </row>
    <row r="420" spans="2:7" x14ac:dyDescent="0.2">
      <c r="B420" s="14"/>
      <c r="C420" s="60"/>
      <c r="D420" s="14"/>
      <c r="G420" s="16"/>
    </row>
    <row r="421" spans="2:7" x14ac:dyDescent="0.2">
      <c r="B421" s="14"/>
      <c r="C421" s="60"/>
      <c r="D421" s="14"/>
      <c r="G421" s="16"/>
    </row>
    <row r="422" spans="2:7" x14ac:dyDescent="0.2">
      <c r="B422" s="14"/>
      <c r="C422" s="60"/>
      <c r="D422" s="14"/>
      <c r="G422" s="16"/>
    </row>
    <row r="423" spans="2:7" x14ac:dyDescent="0.2">
      <c r="B423" s="14"/>
      <c r="C423" s="60"/>
      <c r="D423" s="14"/>
      <c r="G423" s="16"/>
    </row>
    <row r="424" spans="2:7" x14ac:dyDescent="0.2">
      <c r="B424" s="14"/>
      <c r="C424" s="60"/>
      <c r="G424" s="16"/>
    </row>
    <row r="425" spans="2:7" x14ac:dyDescent="0.2">
      <c r="B425" s="14"/>
      <c r="C425" s="60"/>
      <c r="G425" s="16"/>
    </row>
    <row r="426" spans="2:7" x14ac:dyDescent="0.2">
      <c r="B426" s="14"/>
      <c r="C426" s="60"/>
      <c r="G426" s="16"/>
    </row>
    <row r="427" spans="2:7" x14ac:dyDescent="0.2">
      <c r="B427" s="14"/>
      <c r="C427" s="60"/>
      <c r="G427" s="16"/>
    </row>
    <row r="428" spans="2:7" x14ac:dyDescent="0.2">
      <c r="B428" s="14"/>
      <c r="C428" s="60"/>
      <c r="G428" s="16"/>
    </row>
    <row r="429" spans="2:7" x14ac:dyDescent="0.2">
      <c r="B429" s="14"/>
      <c r="C429" s="60"/>
      <c r="G429" s="16"/>
    </row>
    <row r="430" spans="2:7" x14ac:dyDescent="0.2">
      <c r="B430" s="14"/>
      <c r="C430" s="60"/>
      <c r="G430" s="16"/>
    </row>
    <row r="431" spans="2:7" x14ac:dyDescent="0.2">
      <c r="B431" s="14"/>
      <c r="C431" s="60"/>
      <c r="G431" s="16"/>
    </row>
    <row r="432" spans="2:7" x14ac:dyDescent="0.2">
      <c r="B432" s="14"/>
      <c r="C432" s="60"/>
      <c r="G432" s="16"/>
    </row>
    <row r="433" spans="1:7" x14ac:dyDescent="0.2">
      <c r="B433" s="14"/>
      <c r="C433" s="60"/>
      <c r="G433" s="16"/>
    </row>
    <row r="434" spans="1:7" x14ac:dyDescent="0.2">
      <c r="B434" s="14"/>
      <c r="C434" s="60"/>
      <c r="G434" s="16"/>
    </row>
    <row r="435" spans="1:7" x14ac:dyDescent="0.2">
      <c r="B435" s="14"/>
      <c r="C435" s="60"/>
      <c r="G435" s="16"/>
    </row>
    <row r="436" spans="1:7" x14ac:dyDescent="0.2">
      <c r="B436" s="14"/>
      <c r="C436" s="60"/>
      <c r="G436" s="16"/>
    </row>
    <row r="437" spans="1:7" x14ac:dyDescent="0.2">
      <c r="B437" s="14"/>
      <c r="C437" s="60"/>
      <c r="G437" s="16"/>
    </row>
    <row r="438" spans="1:7" x14ac:dyDescent="0.2">
      <c r="B438" s="14"/>
      <c r="C438" s="60"/>
      <c r="G438" s="16"/>
    </row>
    <row r="439" spans="1:7" x14ac:dyDescent="0.2">
      <c r="A439" s="58"/>
      <c r="B439" s="14"/>
      <c r="C439" s="60"/>
      <c r="G439" s="16"/>
    </row>
    <row r="440" spans="1:7" x14ac:dyDescent="0.2">
      <c r="A440" s="58"/>
      <c r="B440" s="14"/>
      <c r="C440" s="60"/>
      <c r="G440" s="16"/>
    </row>
    <row r="441" spans="1:7" x14ac:dyDescent="0.2">
      <c r="A441" s="58"/>
      <c r="B441" s="14"/>
      <c r="C441" s="60"/>
      <c r="G441" s="16"/>
    </row>
    <row r="442" spans="1:7" x14ac:dyDescent="0.2">
      <c r="A442" s="58"/>
      <c r="B442" s="14"/>
      <c r="C442" s="60"/>
      <c r="G442" s="16"/>
    </row>
    <row r="443" spans="1:7" x14ac:dyDescent="0.2">
      <c r="B443" s="14"/>
      <c r="C443" s="60"/>
      <c r="G443" s="16"/>
    </row>
    <row r="444" spans="1:7" x14ac:dyDescent="0.2">
      <c r="G444" s="16"/>
    </row>
  </sheetData>
  <mergeCells count="1">
    <mergeCell ref="E1:H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V362"/>
  <sheetViews>
    <sheetView tabSelected="1" topLeftCell="B1" workbookViewId="0">
      <pane ySplit="810" topLeftCell="A27" activePane="bottomLeft"/>
      <selection activeCell="B1" sqref="B1"/>
      <selection pane="bottomLeft" activeCell="C55" sqref="C55"/>
    </sheetView>
  </sheetViews>
  <sheetFormatPr defaultColWidth="8.85546875" defaultRowHeight="11.25" x14ac:dyDescent="0.2"/>
  <cols>
    <col min="1" max="1" width="8.85546875" style="15"/>
    <col min="2" max="2" width="54" style="15" customWidth="1"/>
    <col min="3" max="3" width="13.5703125" style="15" customWidth="1"/>
    <col min="4" max="4" width="9.7109375" style="15" customWidth="1"/>
    <col min="5" max="6" width="9.140625" style="16" customWidth="1"/>
    <col min="7" max="8" width="9.140625" style="28" customWidth="1"/>
    <col min="9" max="9" width="9.140625" style="15" customWidth="1"/>
    <col min="10" max="11" width="9.140625" style="29" customWidth="1"/>
    <col min="12" max="14" width="9.7109375" style="21" customWidth="1"/>
    <col min="15" max="15" width="8.7109375" style="21" customWidth="1"/>
    <col min="16" max="16" width="8.7109375" style="13" customWidth="1"/>
    <col min="17" max="17" width="8.7109375" style="21" customWidth="1"/>
    <col min="18" max="18" width="11.42578125" style="29" customWidth="1"/>
    <col min="19" max="22" width="9.140625" style="29" customWidth="1"/>
    <col min="23" max="257" width="9.140625" style="15"/>
    <col min="258" max="258" width="61.7109375" style="15" customWidth="1"/>
    <col min="259" max="259" width="13.5703125" style="15" customWidth="1"/>
    <col min="260" max="260" width="4" style="15" customWidth="1"/>
    <col min="261" max="267" width="9.140625" style="15" customWidth="1"/>
    <col min="268" max="270" width="9.7109375" style="15" customWidth="1"/>
    <col min="271" max="273" width="8.7109375" style="15" customWidth="1"/>
    <col min="274" max="274" width="11.42578125" style="15" customWidth="1"/>
    <col min="275" max="278" width="9.140625" style="15" customWidth="1"/>
    <col min="279" max="513" width="9.140625" style="15"/>
    <col min="514" max="514" width="61.7109375" style="15" customWidth="1"/>
    <col min="515" max="515" width="13.5703125" style="15" customWidth="1"/>
    <col min="516" max="516" width="4" style="15" customWidth="1"/>
    <col min="517" max="523" width="9.140625" style="15" customWidth="1"/>
    <col min="524" max="526" width="9.7109375" style="15" customWidth="1"/>
    <col min="527" max="529" width="8.7109375" style="15" customWidth="1"/>
    <col min="530" max="530" width="11.42578125" style="15" customWidth="1"/>
    <col min="531" max="534" width="9.140625" style="15" customWidth="1"/>
    <col min="535" max="769" width="9.140625" style="15"/>
    <col min="770" max="770" width="61.7109375" style="15" customWidth="1"/>
    <col min="771" max="771" width="13.5703125" style="15" customWidth="1"/>
    <col min="772" max="772" width="4" style="15" customWidth="1"/>
    <col min="773" max="779" width="9.140625" style="15" customWidth="1"/>
    <col min="780" max="782" width="9.7109375" style="15" customWidth="1"/>
    <col min="783" max="785" width="8.7109375" style="15" customWidth="1"/>
    <col min="786" max="786" width="11.42578125" style="15" customWidth="1"/>
    <col min="787" max="790" width="9.140625" style="15" customWidth="1"/>
    <col min="791" max="1025" width="9.140625" style="15"/>
    <col min="1026" max="1026" width="61.7109375" style="15" customWidth="1"/>
    <col min="1027" max="1027" width="13.5703125" style="15" customWidth="1"/>
    <col min="1028" max="1028" width="4" style="15" customWidth="1"/>
    <col min="1029" max="1035" width="9.140625" style="15" customWidth="1"/>
    <col min="1036" max="1038" width="9.7109375" style="15" customWidth="1"/>
    <col min="1039" max="1041" width="8.7109375" style="15" customWidth="1"/>
    <col min="1042" max="1042" width="11.42578125" style="15" customWidth="1"/>
    <col min="1043" max="1046" width="9.140625" style="15" customWidth="1"/>
    <col min="1047" max="1281" width="9.140625" style="15"/>
    <col min="1282" max="1282" width="61.7109375" style="15" customWidth="1"/>
    <col min="1283" max="1283" width="13.5703125" style="15" customWidth="1"/>
    <col min="1284" max="1284" width="4" style="15" customWidth="1"/>
    <col min="1285" max="1291" width="9.140625" style="15" customWidth="1"/>
    <col min="1292" max="1294" width="9.7109375" style="15" customWidth="1"/>
    <col min="1295" max="1297" width="8.7109375" style="15" customWidth="1"/>
    <col min="1298" max="1298" width="11.42578125" style="15" customWidth="1"/>
    <col min="1299" max="1302" width="9.140625" style="15" customWidth="1"/>
    <col min="1303" max="1537" width="9.140625" style="15"/>
    <col min="1538" max="1538" width="61.7109375" style="15" customWidth="1"/>
    <col min="1539" max="1539" width="13.5703125" style="15" customWidth="1"/>
    <col min="1540" max="1540" width="4" style="15" customWidth="1"/>
    <col min="1541" max="1547" width="9.140625" style="15" customWidth="1"/>
    <col min="1548" max="1550" width="9.7109375" style="15" customWidth="1"/>
    <col min="1551" max="1553" width="8.7109375" style="15" customWidth="1"/>
    <col min="1554" max="1554" width="11.42578125" style="15" customWidth="1"/>
    <col min="1555" max="1558" width="9.140625" style="15" customWidth="1"/>
    <col min="1559" max="1793" width="9.140625" style="15"/>
    <col min="1794" max="1794" width="61.7109375" style="15" customWidth="1"/>
    <col min="1795" max="1795" width="13.5703125" style="15" customWidth="1"/>
    <col min="1796" max="1796" width="4" style="15" customWidth="1"/>
    <col min="1797" max="1803" width="9.140625" style="15" customWidth="1"/>
    <col min="1804" max="1806" width="9.7109375" style="15" customWidth="1"/>
    <col min="1807" max="1809" width="8.7109375" style="15" customWidth="1"/>
    <col min="1810" max="1810" width="11.42578125" style="15" customWidth="1"/>
    <col min="1811" max="1814" width="9.140625" style="15" customWidth="1"/>
    <col min="1815" max="2049" width="9.140625" style="15"/>
    <col min="2050" max="2050" width="61.7109375" style="15" customWidth="1"/>
    <col min="2051" max="2051" width="13.5703125" style="15" customWidth="1"/>
    <col min="2052" max="2052" width="4" style="15" customWidth="1"/>
    <col min="2053" max="2059" width="9.140625" style="15" customWidth="1"/>
    <col min="2060" max="2062" width="9.7109375" style="15" customWidth="1"/>
    <col min="2063" max="2065" width="8.7109375" style="15" customWidth="1"/>
    <col min="2066" max="2066" width="11.42578125" style="15" customWidth="1"/>
    <col min="2067" max="2070" width="9.140625" style="15" customWidth="1"/>
    <col min="2071" max="2305" width="9.140625" style="15"/>
    <col min="2306" max="2306" width="61.7109375" style="15" customWidth="1"/>
    <col min="2307" max="2307" width="13.5703125" style="15" customWidth="1"/>
    <col min="2308" max="2308" width="4" style="15" customWidth="1"/>
    <col min="2309" max="2315" width="9.140625" style="15" customWidth="1"/>
    <col min="2316" max="2318" width="9.7109375" style="15" customWidth="1"/>
    <col min="2319" max="2321" width="8.7109375" style="15" customWidth="1"/>
    <col min="2322" max="2322" width="11.42578125" style="15" customWidth="1"/>
    <col min="2323" max="2326" width="9.140625" style="15" customWidth="1"/>
    <col min="2327" max="2561" width="9.140625" style="15"/>
    <col min="2562" max="2562" width="61.7109375" style="15" customWidth="1"/>
    <col min="2563" max="2563" width="13.5703125" style="15" customWidth="1"/>
    <col min="2564" max="2564" width="4" style="15" customWidth="1"/>
    <col min="2565" max="2571" width="9.140625" style="15" customWidth="1"/>
    <col min="2572" max="2574" width="9.7109375" style="15" customWidth="1"/>
    <col min="2575" max="2577" width="8.7109375" style="15" customWidth="1"/>
    <col min="2578" max="2578" width="11.42578125" style="15" customWidth="1"/>
    <col min="2579" max="2582" width="9.140625" style="15" customWidth="1"/>
    <col min="2583" max="2817" width="9.140625" style="15"/>
    <col min="2818" max="2818" width="61.7109375" style="15" customWidth="1"/>
    <col min="2819" max="2819" width="13.5703125" style="15" customWidth="1"/>
    <col min="2820" max="2820" width="4" style="15" customWidth="1"/>
    <col min="2821" max="2827" width="9.140625" style="15" customWidth="1"/>
    <col min="2828" max="2830" width="9.7109375" style="15" customWidth="1"/>
    <col min="2831" max="2833" width="8.7109375" style="15" customWidth="1"/>
    <col min="2834" max="2834" width="11.42578125" style="15" customWidth="1"/>
    <col min="2835" max="2838" width="9.140625" style="15" customWidth="1"/>
    <col min="2839" max="3073" width="9.140625" style="15"/>
    <col min="3074" max="3074" width="61.7109375" style="15" customWidth="1"/>
    <col min="3075" max="3075" width="13.5703125" style="15" customWidth="1"/>
    <col min="3076" max="3076" width="4" style="15" customWidth="1"/>
    <col min="3077" max="3083" width="9.140625" style="15" customWidth="1"/>
    <col min="3084" max="3086" width="9.7109375" style="15" customWidth="1"/>
    <col min="3087" max="3089" width="8.7109375" style="15" customWidth="1"/>
    <col min="3090" max="3090" width="11.42578125" style="15" customWidth="1"/>
    <col min="3091" max="3094" width="9.140625" style="15" customWidth="1"/>
    <col min="3095" max="3329" width="9.140625" style="15"/>
    <col min="3330" max="3330" width="61.7109375" style="15" customWidth="1"/>
    <col min="3331" max="3331" width="13.5703125" style="15" customWidth="1"/>
    <col min="3332" max="3332" width="4" style="15" customWidth="1"/>
    <col min="3333" max="3339" width="9.140625" style="15" customWidth="1"/>
    <col min="3340" max="3342" width="9.7109375" style="15" customWidth="1"/>
    <col min="3343" max="3345" width="8.7109375" style="15" customWidth="1"/>
    <col min="3346" max="3346" width="11.42578125" style="15" customWidth="1"/>
    <col min="3347" max="3350" width="9.140625" style="15" customWidth="1"/>
    <col min="3351" max="3585" width="9.140625" style="15"/>
    <col min="3586" max="3586" width="61.7109375" style="15" customWidth="1"/>
    <col min="3587" max="3587" width="13.5703125" style="15" customWidth="1"/>
    <col min="3588" max="3588" width="4" style="15" customWidth="1"/>
    <col min="3589" max="3595" width="9.140625" style="15" customWidth="1"/>
    <col min="3596" max="3598" width="9.7109375" style="15" customWidth="1"/>
    <col min="3599" max="3601" width="8.7109375" style="15" customWidth="1"/>
    <col min="3602" max="3602" width="11.42578125" style="15" customWidth="1"/>
    <col min="3603" max="3606" width="9.140625" style="15" customWidth="1"/>
    <col min="3607" max="3841" width="9.140625" style="15"/>
    <col min="3842" max="3842" width="61.7109375" style="15" customWidth="1"/>
    <col min="3843" max="3843" width="13.5703125" style="15" customWidth="1"/>
    <col min="3844" max="3844" width="4" style="15" customWidth="1"/>
    <col min="3845" max="3851" width="9.140625" style="15" customWidth="1"/>
    <col min="3852" max="3854" width="9.7109375" style="15" customWidth="1"/>
    <col min="3855" max="3857" width="8.7109375" style="15" customWidth="1"/>
    <col min="3858" max="3858" width="11.42578125" style="15" customWidth="1"/>
    <col min="3859" max="3862" width="9.140625" style="15" customWidth="1"/>
    <col min="3863" max="4097" width="9.140625" style="15"/>
    <col min="4098" max="4098" width="61.7109375" style="15" customWidth="1"/>
    <col min="4099" max="4099" width="13.5703125" style="15" customWidth="1"/>
    <col min="4100" max="4100" width="4" style="15" customWidth="1"/>
    <col min="4101" max="4107" width="9.140625" style="15" customWidth="1"/>
    <col min="4108" max="4110" width="9.7109375" style="15" customWidth="1"/>
    <col min="4111" max="4113" width="8.7109375" style="15" customWidth="1"/>
    <col min="4114" max="4114" width="11.42578125" style="15" customWidth="1"/>
    <col min="4115" max="4118" width="9.140625" style="15" customWidth="1"/>
    <col min="4119" max="4353" width="9.140625" style="15"/>
    <col min="4354" max="4354" width="61.7109375" style="15" customWidth="1"/>
    <col min="4355" max="4355" width="13.5703125" style="15" customWidth="1"/>
    <col min="4356" max="4356" width="4" style="15" customWidth="1"/>
    <col min="4357" max="4363" width="9.140625" style="15" customWidth="1"/>
    <col min="4364" max="4366" width="9.7109375" style="15" customWidth="1"/>
    <col min="4367" max="4369" width="8.7109375" style="15" customWidth="1"/>
    <col min="4370" max="4370" width="11.42578125" style="15" customWidth="1"/>
    <col min="4371" max="4374" width="9.140625" style="15" customWidth="1"/>
    <col min="4375" max="4609" width="9.140625" style="15"/>
    <col min="4610" max="4610" width="61.7109375" style="15" customWidth="1"/>
    <col min="4611" max="4611" width="13.5703125" style="15" customWidth="1"/>
    <col min="4612" max="4612" width="4" style="15" customWidth="1"/>
    <col min="4613" max="4619" width="9.140625" style="15" customWidth="1"/>
    <col min="4620" max="4622" width="9.7109375" style="15" customWidth="1"/>
    <col min="4623" max="4625" width="8.7109375" style="15" customWidth="1"/>
    <col min="4626" max="4626" width="11.42578125" style="15" customWidth="1"/>
    <col min="4627" max="4630" width="9.140625" style="15" customWidth="1"/>
    <col min="4631" max="4865" width="9.140625" style="15"/>
    <col min="4866" max="4866" width="61.7109375" style="15" customWidth="1"/>
    <col min="4867" max="4867" width="13.5703125" style="15" customWidth="1"/>
    <col min="4868" max="4868" width="4" style="15" customWidth="1"/>
    <col min="4869" max="4875" width="9.140625" style="15" customWidth="1"/>
    <col min="4876" max="4878" width="9.7109375" style="15" customWidth="1"/>
    <col min="4879" max="4881" width="8.7109375" style="15" customWidth="1"/>
    <col min="4882" max="4882" width="11.42578125" style="15" customWidth="1"/>
    <col min="4883" max="4886" width="9.140625" style="15" customWidth="1"/>
    <col min="4887" max="5121" width="9.140625" style="15"/>
    <col min="5122" max="5122" width="61.7109375" style="15" customWidth="1"/>
    <col min="5123" max="5123" width="13.5703125" style="15" customWidth="1"/>
    <col min="5124" max="5124" width="4" style="15" customWidth="1"/>
    <col min="5125" max="5131" width="9.140625" style="15" customWidth="1"/>
    <col min="5132" max="5134" width="9.7109375" style="15" customWidth="1"/>
    <col min="5135" max="5137" width="8.7109375" style="15" customWidth="1"/>
    <col min="5138" max="5138" width="11.42578125" style="15" customWidth="1"/>
    <col min="5139" max="5142" width="9.140625" style="15" customWidth="1"/>
    <col min="5143" max="5377" width="9.140625" style="15"/>
    <col min="5378" max="5378" width="61.7109375" style="15" customWidth="1"/>
    <col min="5379" max="5379" width="13.5703125" style="15" customWidth="1"/>
    <col min="5380" max="5380" width="4" style="15" customWidth="1"/>
    <col min="5381" max="5387" width="9.140625" style="15" customWidth="1"/>
    <col min="5388" max="5390" width="9.7109375" style="15" customWidth="1"/>
    <col min="5391" max="5393" width="8.7109375" style="15" customWidth="1"/>
    <col min="5394" max="5394" width="11.42578125" style="15" customWidth="1"/>
    <col min="5395" max="5398" width="9.140625" style="15" customWidth="1"/>
    <col min="5399" max="5633" width="9.140625" style="15"/>
    <col min="5634" max="5634" width="61.7109375" style="15" customWidth="1"/>
    <col min="5635" max="5635" width="13.5703125" style="15" customWidth="1"/>
    <col min="5636" max="5636" width="4" style="15" customWidth="1"/>
    <col min="5637" max="5643" width="9.140625" style="15" customWidth="1"/>
    <col min="5644" max="5646" width="9.7109375" style="15" customWidth="1"/>
    <col min="5647" max="5649" width="8.7109375" style="15" customWidth="1"/>
    <col min="5650" max="5650" width="11.42578125" style="15" customWidth="1"/>
    <col min="5651" max="5654" width="9.140625" style="15" customWidth="1"/>
    <col min="5655" max="5889" width="9.140625" style="15"/>
    <col min="5890" max="5890" width="61.7109375" style="15" customWidth="1"/>
    <col min="5891" max="5891" width="13.5703125" style="15" customWidth="1"/>
    <col min="5892" max="5892" width="4" style="15" customWidth="1"/>
    <col min="5893" max="5899" width="9.140625" style="15" customWidth="1"/>
    <col min="5900" max="5902" width="9.7109375" style="15" customWidth="1"/>
    <col min="5903" max="5905" width="8.7109375" style="15" customWidth="1"/>
    <col min="5906" max="5906" width="11.42578125" style="15" customWidth="1"/>
    <col min="5907" max="5910" width="9.140625" style="15" customWidth="1"/>
    <col min="5911" max="6145" width="9.140625" style="15"/>
    <col min="6146" max="6146" width="61.7109375" style="15" customWidth="1"/>
    <col min="6147" max="6147" width="13.5703125" style="15" customWidth="1"/>
    <col min="6148" max="6148" width="4" style="15" customWidth="1"/>
    <col min="6149" max="6155" width="9.140625" style="15" customWidth="1"/>
    <col min="6156" max="6158" width="9.7109375" style="15" customWidth="1"/>
    <col min="6159" max="6161" width="8.7109375" style="15" customWidth="1"/>
    <col min="6162" max="6162" width="11.42578125" style="15" customWidth="1"/>
    <col min="6163" max="6166" width="9.140625" style="15" customWidth="1"/>
    <col min="6167" max="6401" width="9.140625" style="15"/>
    <col min="6402" max="6402" width="61.7109375" style="15" customWidth="1"/>
    <col min="6403" max="6403" width="13.5703125" style="15" customWidth="1"/>
    <col min="6404" max="6404" width="4" style="15" customWidth="1"/>
    <col min="6405" max="6411" width="9.140625" style="15" customWidth="1"/>
    <col min="6412" max="6414" width="9.7109375" style="15" customWidth="1"/>
    <col min="6415" max="6417" width="8.7109375" style="15" customWidth="1"/>
    <col min="6418" max="6418" width="11.42578125" style="15" customWidth="1"/>
    <col min="6419" max="6422" width="9.140625" style="15" customWidth="1"/>
    <col min="6423" max="6657" width="9.140625" style="15"/>
    <col min="6658" max="6658" width="61.7109375" style="15" customWidth="1"/>
    <col min="6659" max="6659" width="13.5703125" style="15" customWidth="1"/>
    <col min="6660" max="6660" width="4" style="15" customWidth="1"/>
    <col min="6661" max="6667" width="9.140625" style="15" customWidth="1"/>
    <col min="6668" max="6670" width="9.7109375" style="15" customWidth="1"/>
    <col min="6671" max="6673" width="8.7109375" style="15" customWidth="1"/>
    <col min="6674" max="6674" width="11.42578125" style="15" customWidth="1"/>
    <col min="6675" max="6678" width="9.140625" style="15" customWidth="1"/>
    <col min="6679" max="6913" width="9.140625" style="15"/>
    <col min="6914" max="6914" width="61.7109375" style="15" customWidth="1"/>
    <col min="6915" max="6915" width="13.5703125" style="15" customWidth="1"/>
    <col min="6916" max="6916" width="4" style="15" customWidth="1"/>
    <col min="6917" max="6923" width="9.140625" style="15" customWidth="1"/>
    <col min="6924" max="6926" width="9.7109375" style="15" customWidth="1"/>
    <col min="6927" max="6929" width="8.7109375" style="15" customWidth="1"/>
    <col min="6930" max="6930" width="11.42578125" style="15" customWidth="1"/>
    <col min="6931" max="6934" width="9.140625" style="15" customWidth="1"/>
    <col min="6935" max="7169" width="9.140625" style="15"/>
    <col min="7170" max="7170" width="61.7109375" style="15" customWidth="1"/>
    <col min="7171" max="7171" width="13.5703125" style="15" customWidth="1"/>
    <col min="7172" max="7172" width="4" style="15" customWidth="1"/>
    <col min="7173" max="7179" width="9.140625" style="15" customWidth="1"/>
    <col min="7180" max="7182" width="9.7109375" style="15" customWidth="1"/>
    <col min="7183" max="7185" width="8.7109375" style="15" customWidth="1"/>
    <col min="7186" max="7186" width="11.42578125" style="15" customWidth="1"/>
    <col min="7187" max="7190" width="9.140625" style="15" customWidth="1"/>
    <col min="7191" max="7425" width="9.140625" style="15"/>
    <col min="7426" max="7426" width="61.7109375" style="15" customWidth="1"/>
    <col min="7427" max="7427" width="13.5703125" style="15" customWidth="1"/>
    <col min="7428" max="7428" width="4" style="15" customWidth="1"/>
    <col min="7429" max="7435" width="9.140625" style="15" customWidth="1"/>
    <col min="7436" max="7438" width="9.7109375" style="15" customWidth="1"/>
    <col min="7439" max="7441" width="8.7109375" style="15" customWidth="1"/>
    <col min="7442" max="7442" width="11.42578125" style="15" customWidth="1"/>
    <col min="7443" max="7446" width="9.140625" style="15" customWidth="1"/>
    <col min="7447" max="7681" width="9.140625" style="15"/>
    <col min="7682" max="7682" width="61.7109375" style="15" customWidth="1"/>
    <col min="7683" max="7683" width="13.5703125" style="15" customWidth="1"/>
    <col min="7684" max="7684" width="4" style="15" customWidth="1"/>
    <col min="7685" max="7691" width="9.140625" style="15" customWidth="1"/>
    <col min="7692" max="7694" width="9.7109375" style="15" customWidth="1"/>
    <col min="7695" max="7697" width="8.7109375" style="15" customWidth="1"/>
    <col min="7698" max="7698" width="11.42578125" style="15" customWidth="1"/>
    <col min="7699" max="7702" width="9.140625" style="15" customWidth="1"/>
    <col min="7703" max="7937" width="9.140625" style="15"/>
    <col min="7938" max="7938" width="61.7109375" style="15" customWidth="1"/>
    <col min="7939" max="7939" width="13.5703125" style="15" customWidth="1"/>
    <col min="7940" max="7940" width="4" style="15" customWidth="1"/>
    <col min="7941" max="7947" width="9.140625" style="15" customWidth="1"/>
    <col min="7948" max="7950" width="9.7109375" style="15" customWidth="1"/>
    <col min="7951" max="7953" width="8.7109375" style="15" customWidth="1"/>
    <col min="7954" max="7954" width="11.42578125" style="15" customWidth="1"/>
    <col min="7955" max="7958" width="9.140625" style="15" customWidth="1"/>
    <col min="7959" max="8193" width="9.140625" style="15"/>
    <col min="8194" max="8194" width="61.7109375" style="15" customWidth="1"/>
    <col min="8195" max="8195" width="13.5703125" style="15" customWidth="1"/>
    <col min="8196" max="8196" width="4" style="15" customWidth="1"/>
    <col min="8197" max="8203" width="9.140625" style="15" customWidth="1"/>
    <col min="8204" max="8206" width="9.7109375" style="15" customWidth="1"/>
    <col min="8207" max="8209" width="8.7109375" style="15" customWidth="1"/>
    <col min="8210" max="8210" width="11.42578125" style="15" customWidth="1"/>
    <col min="8211" max="8214" width="9.140625" style="15" customWidth="1"/>
    <col min="8215" max="8449" width="9.140625" style="15"/>
    <col min="8450" max="8450" width="61.7109375" style="15" customWidth="1"/>
    <col min="8451" max="8451" width="13.5703125" style="15" customWidth="1"/>
    <col min="8452" max="8452" width="4" style="15" customWidth="1"/>
    <col min="8453" max="8459" width="9.140625" style="15" customWidth="1"/>
    <col min="8460" max="8462" width="9.7109375" style="15" customWidth="1"/>
    <col min="8463" max="8465" width="8.7109375" style="15" customWidth="1"/>
    <col min="8466" max="8466" width="11.42578125" style="15" customWidth="1"/>
    <col min="8467" max="8470" width="9.140625" style="15" customWidth="1"/>
    <col min="8471" max="8705" width="9.140625" style="15"/>
    <col min="8706" max="8706" width="61.7109375" style="15" customWidth="1"/>
    <col min="8707" max="8707" width="13.5703125" style="15" customWidth="1"/>
    <col min="8708" max="8708" width="4" style="15" customWidth="1"/>
    <col min="8709" max="8715" width="9.140625" style="15" customWidth="1"/>
    <col min="8716" max="8718" width="9.7109375" style="15" customWidth="1"/>
    <col min="8719" max="8721" width="8.7109375" style="15" customWidth="1"/>
    <col min="8722" max="8722" width="11.42578125" style="15" customWidth="1"/>
    <col min="8723" max="8726" width="9.140625" style="15" customWidth="1"/>
    <col min="8727" max="8961" width="9.140625" style="15"/>
    <col min="8962" max="8962" width="61.7109375" style="15" customWidth="1"/>
    <col min="8963" max="8963" width="13.5703125" style="15" customWidth="1"/>
    <col min="8964" max="8964" width="4" style="15" customWidth="1"/>
    <col min="8965" max="8971" width="9.140625" style="15" customWidth="1"/>
    <col min="8972" max="8974" width="9.7109375" style="15" customWidth="1"/>
    <col min="8975" max="8977" width="8.7109375" style="15" customWidth="1"/>
    <col min="8978" max="8978" width="11.42578125" style="15" customWidth="1"/>
    <col min="8979" max="8982" width="9.140625" style="15" customWidth="1"/>
    <col min="8983" max="9217" width="9.140625" style="15"/>
    <col min="9218" max="9218" width="61.7109375" style="15" customWidth="1"/>
    <col min="9219" max="9219" width="13.5703125" style="15" customWidth="1"/>
    <col min="9220" max="9220" width="4" style="15" customWidth="1"/>
    <col min="9221" max="9227" width="9.140625" style="15" customWidth="1"/>
    <col min="9228" max="9230" width="9.7109375" style="15" customWidth="1"/>
    <col min="9231" max="9233" width="8.7109375" style="15" customWidth="1"/>
    <col min="9234" max="9234" width="11.42578125" style="15" customWidth="1"/>
    <col min="9235" max="9238" width="9.140625" style="15" customWidth="1"/>
    <col min="9239" max="9473" width="9.140625" style="15"/>
    <col min="9474" max="9474" width="61.7109375" style="15" customWidth="1"/>
    <col min="9475" max="9475" width="13.5703125" style="15" customWidth="1"/>
    <col min="9476" max="9476" width="4" style="15" customWidth="1"/>
    <col min="9477" max="9483" width="9.140625" style="15" customWidth="1"/>
    <col min="9484" max="9486" width="9.7109375" style="15" customWidth="1"/>
    <col min="9487" max="9489" width="8.7109375" style="15" customWidth="1"/>
    <col min="9490" max="9490" width="11.42578125" style="15" customWidth="1"/>
    <col min="9491" max="9494" width="9.140625" style="15" customWidth="1"/>
    <col min="9495" max="9729" width="9.140625" style="15"/>
    <col min="9730" max="9730" width="61.7109375" style="15" customWidth="1"/>
    <col min="9731" max="9731" width="13.5703125" style="15" customWidth="1"/>
    <col min="9732" max="9732" width="4" style="15" customWidth="1"/>
    <col min="9733" max="9739" width="9.140625" style="15" customWidth="1"/>
    <col min="9740" max="9742" width="9.7109375" style="15" customWidth="1"/>
    <col min="9743" max="9745" width="8.7109375" style="15" customWidth="1"/>
    <col min="9746" max="9746" width="11.42578125" style="15" customWidth="1"/>
    <col min="9747" max="9750" width="9.140625" style="15" customWidth="1"/>
    <col min="9751" max="9985" width="9.140625" style="15"/>
    <col min="9986" max="9986" width="61.7109375" style="15" customWidth="1"/>
    <col min="9987" max="9987" width="13.5703125" style="15" customWidth="1"/>
    <col min="9988" max="9988" width="4" style="15" customWidth="1"/>
    <col min="9989" max="9995" width="9.140625" style="15" customWidth="1"/>
    <col min="9996" max="9998" width="9.7109375" style="15" customWidth="1"/>
    <col min="9999" max="10001" width="8.7109375" style="15" customWidth="1"/>
    <col min="10002" max="10002" width="11.42578125" style="15" customWidth="1"/>
    <col min="10003" max="10006" width="9.140625" style="15" customWidth="1"/>
    <col min="10007" max="10241" width="9.140625" style="15"/>
    <col min="10242" max="10242" width="61.7109375" style="15" customWidth="1"/>
    <col min="10243" max="10243" width="13.5703125" style="15" customWidth="1"/>
    <col min="10244" max="10244" width="4" style="15" customWidth="1"/>
    <col min="10245" max="10251" width="9.140625" style="15" customWidth="1"/>
    <col min="10252" max="10254" width="9.7109375" style="15" customWidth="1"/>
    <col min="10255" max="10257" width="8.7109375" style="15" customWidth="1"/>
    <col min="10258" max="10258" width="11.42578125" style="15" customWidth="1"/>
    <col min="10259" max="10262" width="9.140625" style="15" customWidth="1"/>
    <col min="10263" max="10497" width="9.140625" style="15"/>
    <col min="10498" max="10498" width="61.7109375" style="15" customWidth="1"/>
    <col min="10499" max="10499" width="13.5703125" style="15" customWidth="1"/>
    <col min="10500" max="10500" width="4" style="15" customWidth="1"/>
    <col min="10501" max="10507" width="9.140625" style="15" customWidth="1"/>
    <col min="10508" max="10510" width="9.7109375" style="15" customWidth="1"/>
    <col min="10511" max="10513" width="8.7109375" style="15" customWidth="1"/>
    <col min="10514" max="10514" width="11.42578125" style="15" customWidth="1"/>
    <col min="10515" max="10518" width="9.140625" style="15" customWidth="1"/>
    <col min="10519" max="10753" width="9.140625" style="15"/>
    <col min="10754" max="10754" width="61.7109375" style="15" customWidth="1"/>
    <col min="10755" max="10755" width="13.5703125" style="15" customWidth="1"/>
    <col min="10756" max="10756" width="4" style="15" customWidth="1"/>
    <col min="10757" max="10763" width="9.140625" style="15" customWidth="1"/>
    <col min="10764" max="10766" width="9.7109375" style="15" customWidth="1"/>
    <col min="10767" max="10769" width="8.7109375" style="15" customWidth="1"/>
    <col min="10770" max="10770" width="11.42578125" style="15" customWidth="1"/>
    <col min="10771" max="10774" width="9.140625" style="15" customWidth="1"/>
    <col min="10775" max="11009" width="9.140625" style="15"/>
    <col min="11010" max="11010" width="61.7109375" style="15" customWidth="1"/>
    <col min="11011" max="11011" width="13.5703125" style="15" customWidth="1"/>
    <col min="11012" max="11012" width="4" style="15" customWidth="1"/>
    <col min="11013" max="11019" width="9.140625" style="15" customWidth="1"/>
    <col min="11020" max="11022" width="9.7109375" style="15" customWidth="1"/>
    <col min="11023" max="11025" width="8.7109375" style="15" customWidth="1"/>
    <col min="11026" max="11026" width="11.42578125" style="15" customWidth="1"/>
    <col min="11027" max="11030" width="9.140625" style="15" customWidth="1"/>
    <col min="11031" max="11265" width="9.140625" style="15"/>
    <col min="11266" max="11266" width="61.7109375" style="15" customWidth="1"/>
    <col min="11267" max="11267" width="13.5703125" style="15" customWidth="1"/>
    <col min="11268" max="11268" width="4" style="15" customWidth="1"/>
    <col min="11269" max="11275" width="9.140625" style="15" customWidth="1"/>
    <col min="11276" max="11278" width="9.7109375" style="15" customWidth="1"/>
    <col min="11279" max="11281" width="8.7109375" style="15" customWidth="1"/>
    <col min="11282" max="11282" width="11.42578125" style="15" customWidth="1"/>
    <col min="11283" max="11286" width="9.140625" style="15" customWidth="1"/>
    <col min="11287" max="11521" width="9.140625" style="15"/>
    <col min="11522" max="11522" width="61.7109375" style="15" customWidth="1"/>
    <col min="11523" max="11523" width="13.5703125" style="15" customWidth="1"/>
    <col min="11524" max="11524" width="4" style="15" customWidth="1"/>
    <col min="11525" max="11531" width="9.140625" style="15" customWidth="1"/>
    <col min="11532" max="11534" width="9.7109375" style="15" customWidth="1"/>
    <col min="11535" max="11537" width="8.7109375" style="15" customWidth="1"/>
    <col min="11538" max="11538" width="11.42578125" style="15" customWidth="1"/>
    <col min="11539" max="11542" width="9.140625" style="15" customWidth="1"/>
    <col min="11543" max="11777" width="9.140625" style="15"/>
    <col min="11778" max="11778" width="61.7109375" style="15" customWidth="1"/>
    <col min="11779" max="11779" width="13.5703125" style="15" customWidth="1"/>
    <col min="11780" max="11780" width="4" style="15" customWidth="1"/>
    <col min="11781" max="11787" width="9.140625" style="15" customWidth="1"/>
    <col min="11788" max="11790" width="9.7109375" style="15" customWidth="1"/>
    <col min="11791" max="11793" width="8.7109375" style="15" customWidth="1"/>
    <col min="11794" max="11794" width="11.42578125" style="15" customWidth="1"/>
    <col min="11795" max="11798" width="9.140625" style="15" customWidth="1"/>
    <col min="11799" max="12033" width="9.140625" style="15"/>
    <col min="12034" max="12034" width="61.7109375" style="15" customWidth="1"/>
    <col min="12035" max="12035" width="13.5703125" style="15" customWidth="1"/>
    <col min="12036" max="12036" width="4" style="15" customWidth="1"/>
    <col min="12037" max="12043" width="9.140625" style="15" customWidth="1"/>
    <col min="12044" max="12046" width="9.7109375" style="15" customWidth="1"/>
    <col min="12047" max="12049" width="8.7109375" style="15" customWidth="1"/>
    <col min="12050" max="12050" width="11.42578125" style="15" customWidth="1"/>
    <col min="12051" max="12054" width="9.140625" style="15" customWidth="1"/>
    <col min="12055" max="12289" width="9.140625" style="15"/>
    <col min="12290" max="12290" width="61.7109375" style="15" customWidth="1"/>
    <col min="12291" max="12291" width="13.5703125" style="15" customWidth="1"/>
    <col min="12292" max="12292" width="4" style="15" customWidth="1"/>
    <col min="12293" max="12299" width="9.140625" style="15" customWidth="1"/>
    <col min="12300" max="12302" width="9.7109375" style="15" customWidth="1"/>
    <col min="12303" max="12305" width="8.7109375" style="15" customWidth="1"/>
    <col min="12306" max="12306" width="11.42578125" style="15" customWidth="1"/>
    <col min="12307" max="12310" width="9.140625" style="15" customWidth="1"/>
    <col min="12311" max="12545" width="9.140625" style="15"/>
    <col min="12546" max="12546" width="61.7109375" style="15" customWidth="1"/>
    <col min="12547" max="12547" width="13.5703125" style="15" customWidth="1"/>
    <col min="12548" max="12548" width="4" style="15" customWidth="1"/>
    <col min="12549" max="12555" width="9.140625" style="15" customWidth="1"/>
    <col min="12556" max="12558" width="9.7109375" style="15" customWidth="1"/>
    <col min="12559" max="12561" width="8.7109375" style="15" customWidth="1"/>
    <col min="12562" max="12562" width="11.42578125" style="15" customWidth="1"/>
    <col min="12563" max="12566" width="9.140625" style="15" customWidth="1"/>
    <col min="12567" max="12801" width="9.140625" style="15"/>
    <col min="12802" max="12802" width="61.7109375" style="15" customWidth="1"/>
    <col min="12803" max="12803" width="13.5703125" style="15" customWidth="1"/>
    <col min="12804" max="12804" width="4" style="15" customWidth="1"/>
    <col min="12805" max="12811" width="9.140625" style="15" customWidth="1"/>
    <col min="12812" max="12814" width="9.7109375" style="15" customWidth="1"/>
    <col min="12815" max="12817" width="8.7109375" style="15" customWidth="1"/>
    <col min="12818" max="12818" width="11.42578125" style="15" customWidth="1"/>
    <col min="12819" max="12822" width="9.140625" style="15" customWidth="1"/>
    <col min="12823" max="13057" width="9.140625" style="15"/>
    <col min="13058" max="13058" width="61.7109375" style="15" customWidth="1"/>
    <col min="13059" max="13059" width="13.5703125" style="15" customWidth="1"/>
    <col min="13060" max="13060" width="4" style="15" customWidth="1"/>
    <col min="13061" max="13067" width="9.140625" style="15" customWidth="1"/>
    <col min="13068" max="13070" width="9.7109375" style="15" customWidth="1"/>
    <col min="13071" max="13073" width="8.7109375" style="15" customWidth="1"/>
    <col min="13074" max="13074" width="11.42578125" style="15" customWidth="1"/>
    <col min="13075" max="13078" width="9.140625" style="15" customWidth="1"/>
    <col min="13079" max="13313" width="9.140625" style="15"/>
    <col min="13314" max="13314" width="61.7109375" style="15" customWidth="1"/>
    <col min="13315" max="13315" width="13.5703125" style="15" customWidth="1"/>
    <col min="13316" max="13316" width="4" style="15" customWidth="1"/>
    <col min="13317" max="13323" width="9.140625" style="15" customWidth="1"/>
    <col min="13324" max="13326" width="9.7109375" style="15" customWidth="1"/>
    <col min="13327" max="13329" width="8.7109375" style="15" customWidth="1"/>
    <col min="13330" max="13330" width="11.42578125" style="15" customWidth="1"/>
    <col min="13331" max="13334" width="9.140625" style="15" customWidth="1"/>
    <col min="13335" max="13569" width="9.140625" style="15"/>
    <col min="13570" max="13570" width="61.7109375" style="15" customWidth="1"/>
    <col min="13571" max="13571" width="13.5703125" style="15" customWidth="1"/>
    <col min="13572" max="13572" width="4" style="15" customWidth="1"/>
    <col min="13573" max="13579" width="9.140625" style="15" customWidth="1"/>
    <col min="13580" max="13582" width="9.7109375" style="15" customWidth="1"/>
    <col min="13583" max="13585" width="8.7109375" style="15" customWidth="1"/>
    <col min="13586" max="13586" width="11.42578125" style="15" customWidth="1"/>
    <col min="13587" max="13590" width="9.140625" style="15" customWidth="1"/>
    <col min="13591" max="13825" width="9.140625" style="15"/>
    <col min="13826" max="13826" width="61.7109375" style="15" customWidth="1"/>
    <col min="13827" max="13827" width="13.5703125" style="15" customWidth="1"/>
    <col min="13828" max="13828" width="4" style="15" customWidth="1"/>
    <col min="13829" max="13835" width="9.140625" style="15" customWidth="1"/>
    <col min="13836" max="13838" width="9.7109375" style="15" customWidth="1"/>
    <col min="13839" max="13841" width="8.7109375" style="15" customWidth="1"/>
    <col min="13842" max="13842" width="11.42578125" style="15" customWidth="1"/>
    <col min="13843" max="13846" width="9.140625" style="15" customWidth="1"/>
    <col min="13847" max="14081" width="9.140625" style="15"/>
    <col min="14082" max="14082" width="61.7109375" style="15" customWidth="1"/>
    <col min="14083" max="14083" width="13.5703125" style="15" customWidth="1"/>
    <col min="14084" max="14084" width="4" style="15" customWidth="1"/>
    <col min="14085" max="14091" width="9.140625" style="15" customWidth="1"/>
    <col min="14092" max="14094" width="9.7109375" style="15" customWidth="1"/>
    <col min="14095" max="14097" width="8.7109375" style="15" customWidth="1"/>
    <col min="14098" max="14098" width="11.42578125" style="15" customWidth="1"/>
    <col min="14099" max="14102" width="9.140625" style="15" customWidth="1"/>
    <col min="14103" max="14337" width="9.140625" style="15"/>
    <col min="14338" max="14338" width="61.7109375" style="15" customWidth="1"/>
    <col min="14339" max="14339" width="13.5703125" style="15" customWidth="1"/>
    <col min="14340" max="14340" width="4" style="15" customWidth="1"/>
    <col min="14341" max="14347" width="9.140625" style="15" customWidth="1"/>
    <col min="14348" max="14350" width="9.7109375" style="15" customWidth="1"/>
    <col min="14351" max="14353" width="8.7109375" style="15" customWidth="1"/>
    <col min="14354" max="14354" width="11.42578125" style="15" customWidth="1"/>
    <col min="14355" max="14358" width="9.140625" style="15" customWidth="1"/>
    <col min="14359" max="14593" width="9.140625" style="15"/>
    <col min="14594" max="14594" width="61.7109375" style="15" customWidth="1"/>
    <col min="14595" max="14595" width="13.5703125" style="15" customWidth="1"/>
    <col min="14596" max="14596" width="4" style="15" customWidth="1"/>
    <col min="14597" max="14603" width="9.140625" style="15" customWidth="1"/>
    <col min="14604" max="14606" width="9.7109375" style="15" customWidth="1"/>
    <col min="14607" max="14609" width="8.7109375" style="15" customWidth="1"/>
    <col min="14610" max="14610" width="11.42578125" style="15" customWidth="1"/>
    <col min="14611" max="14614" width="9.140625" style="15" customWidth="1"/>
    <col min="14615" max="14849" width="9.140625" style="15"/>
    <col min="14850" max="14850" width="61.7109375" style="15" customWidth="1"/>
    <col min="14851" max="14851" width="13.5703125" style="15" customWidth="1"/>
    <col min="14852" max="14852" width="4" style="15" customWidth="1"/>
    <col min="14853" max="14859" width="9.140625" style="15" customWidth="1"/>
    <col min="14860" max="14862" width="9.7109375" style="15" customWidth="1"/>
    <col min="14863" max="14865" width="8.7109375" style="15" customWidth="1"/>
    <col min="14866" max="14866" width="11.42578125" style="15" customWidth="1"/>
    <col min="14867" max="14870" width="9.140625" style="15" customWidth="1"/>
    <col min="14871" max="15105" width="9.140625" style="15"/>
    <col min="15106" max="15106" width="61.7109375" style="15" customWidth="1"/>
    <col min="15107" max="15107" width="13.5703125" style="15" customWidth="1"/>
    <col min="15108" max="15108" width="4" style="15" customWidth="1"/>
    <col min="15109" max="15115" width="9.140625" style="15" customWidth="1"/>
    <col min="15116" max="15118" width="9.7109375" style="15" customWidth="1"/>
    <col min="15119" max="15121" width="8.7109375" style="15" customWidth="1"/>
    <col min="15122" max="15122" width="11.42578125" style="15" customWidth="1"/>
    <col min="15123" max="15126" width="9.140625" style="15" customWidth="1"/>
    <col min="15127" max="15361" width="9.140625" style="15"/>
    <col min="15362" max="15362" width="61.7109375" style="15" customWidth="1"/>
    <col min="15363" max="15363" width="13.5703125" style="15" customWidth="1"/>
    <col min="15364" max="15364" width="4" style="15" customWidth="1"/>
    <col min="15365" max="15371" width="9.140625" style="15" customWidth="1"/>
    <col min="15372" max="15374" width="9.7109375" style="15" customWidth="1"/>
    <col min="15375" max="15377" width="8.7109375" style="15" customWidth="1"/>
    <col min="15378" max="15378" width="11.42578125" style="15" customWidth="1"/>
    <col min="15379" max="15382" width="9.140625" style="15" customWidth="1"/>
    <col min="15383" max="15617" width="9.140625" style="15"/>
    <col min="15618" max="15618" width="61.7109375" style="15" customWidth="1"/>
    <col min="15619" max="15619" width="13.5703125" style="15" customWidth="1"/>
    <col min="15620" max="15620" width="4" style="15" customWidth="1"/>
    <col min="15621" max="15627" width="9.140625" style="15" customWidth="1"/>
    <col min="15628" max="15630" width="9.7109375" style="15" customWidth="1"/>
    <col min="15631" max="15633" width="8.7109375" style="15" customWidth="1"/>
    <col min="15634" max="15634" width="11.42578125" style="15" customWidth="1"/>
    <col min="15635" max="15638" width="9.140625" style="15" customWidth="1"/>
    <col min="15639" max="15873" width="9.140625" style="15"/>
    <col min="15874" max="15874" width="61.7109375" style="15" customWidth="1"/>
    <col min="15875" max="15875" width="13.5703125" style="15" customWidth="1"/>
    <col min="15876" max="15876" width="4" style="15" customWidth="1"/>
    <col min="15877" max="15883" width="9.140625" style="15" customWidth="1"/>
    <col min="15884" max="15886" width="9.7109375" style="15" customWidth="1"/>
    <col min="15887" max="15889" width="8.7109375" style="15" customWidth="1"/>
    <col min="15890" max="15890" width="11.42578125" style="15" customWidth="1"/>
    <col min="15891" max="15894" width="9.140625" style="15" customWidth="1"/>
    <col min="15895" max="16129" width="9.140625" style="15"/>
    <col min="16130" max="16130" width="61.7109375" style="15" customWidth="1"/>
    <col min="16131" max="16131" width="13.5703125" style="15" customWidth="1"/>
    <col min="16132" max="16132" width="4" style="15" customWidth="1"/>
    <col min="16133" max="16139" width="9.140625" style="15" customWidth="1"/>
    <col min="16140" max="16142" width="9.7109375" style="15" customWidth="1"/>
    <col min="16143" max="16145" width="8.7109375" style="15" customWidth="1"/>
    <col min="16146" max="16146" width="11.42578125" style="15" customWidth="1"/>
    <col min="16147" max="16150" width="9.140625" style="15" customWidth="1"/>
    <col min="16151" max="16384" width="9.140625" style="15"/>
  </cols>
  <sheetData>
    <row r="1" spans="1:22" x14ac:dyDescent="0.2">
      <c r="A1" s="56" t="s">
        <v>48</v>
      </c>
      <c r="B1" s="39" t="s">
        <v>13</v>
      </c>
      <c r="C1" s="39" t="s">
        <v>14</v>
      </c>
      <c r="D1" s="39" t="s">
        <v>20</v>
      </c>
      <c r="E1" s="39" t="s">
        <v>15</v>
      </c>
      <c r="F1" s="39" t="s">
        <v>16</v>
      </c>
      <c r="G1" s="39" t="s">
        <v>5</v>
      </c>
      <c r="H1" s="39" t="s">
        <v>6</v>
      </c>
      <c r="L1" s="27"/>
      <c r="M1" s="27"/>
      <c r="N1" s="27"/>
      <c r="O1" s="40"/>
      <c r="P1" s="24"/>
      <c r="Q1" s="25"/>
      <c r="R1" s="26"/>
    </row>
    <row r="2" spans="1:22" x14ac:dyDescent="0.2">
      <c r="N2" s="41"/>
      <c r="R2" s="21"/>
      <c r="S2" s="41"/>
      <c r="T2" s="41"/>
      <c r="U2" s="41"/>
      <c r="V2" s="41"/>
    </row>
    <row r="3" spans="1:22" x14ac:dyDescent="0.2">
      <c r="B3" s="15" t="s">
        <v>21</v>
      </c>
      <c r="C3" s="15" t="s">
        <v>17</v>
      </c>
      <c r="D3" s="15" t="s">
        <v>31</v>
      </c>
      <c r="E3" s="30">
        <v>5.13</v>
      </c>
      <c r="F3" s="13">
        <v>1.26</v>
      </c>
      <c r="G3" s="20">
        <v>0.53080568720379151</v>
      </c>
      <c r="H3" s="20">
        <v>0.27487642231977388</v>
      </c>
      <c r="N3" s="41"/>
      <c r="R3" s="21"/>
    </row>
    <row r="4" spans="1:22" x14ac:dyDescent="0.2">
      <c r="B4" s="15" t="s">
        <v>33</v>
      </c>
      <c r="C4" s="15" t="s">
        <v>18</v>
      </c>
      <c r="D4" s="15" t="s">
        <v>31</v>
      </c>
      <c r="E4" s="30">
        <v>3.88</v>
      </c>
      <c r="F4" s="13">
        <v>0.83</v>
      </c>
      <c r="G4" s="50">
        <v>0.57345971563981046</v>
      </c>
      <c r="H4" s="50">
        <v>0.24747772378326641</v>
      </c>
      <c r="N4" s="41"/>
      <c r="R4" s="21"/>
    </row>
    <row r="5" spans="1:22" x14ac:dyDescent="0.2">
      <c r="B5" s="15" t="s">
        <v>34</v>
      </c>
      <c r="C5" s="15" t="s">
        <v>17</v>
      </c>
      <c r="D5" s="15" t="s">
        <v>31</v>
      </c>
      <c r="E5" s="13">
        <v>5.21</v>
      </c>
      <c r="F5" s="13">
        <v>0.47</v>
      </c>
      <c r="G5" s="50">
        <v>0.61611374407582942</v>
      </c>
      <c r="H5" s="50">
        <v>0.29967032502353297</v>
      </c>
      <c r="N5" s="41"/>
      <c r="R5" s="21"/>
    </row>
    <row r="6" spans="1:22" x14ac:dyDescent="0.2">
      <c r="B6" s="15" t="s">
        <v>35</v>
      </c>
      <c r="C6" s="15" t="s">
        <v>17</v>
      </c>
      <c r="D6" s="15" t="s">
        <v>31</v>
      </c>
      <c r="E6" s="13">
        <v>5.01</v>
      </c>
      <c r="F6" s="13">
        <v>0.61</v>
      </c>
      <c r="G6" s="50">
        <v>0.61032863849765262</v>
      </c>
      <c r="H6" s="50">
        <v>0.28522959147929455</v>
      </c>
      <c r="N6" s="41"/>
      <c r="R6" s="21"/>
    </row>
    <row r="7" spans="1:22" x14ac:dyDescent="0.2">
      <c r="B7" s="15" t="s">
        <v>36</v>
      </c>
      <c r="C7" s="15" t="s">
        <v>17</v>
      </c>
      <c r="D7" s="15" t="s">
        <v>31</v>
      </c>
      <c r="E7" s="13">
        <v>5.41</v>
      </c>
      <c r="F7" s="13">
        <v>0.61</v>
      </c>
      <c r="G7" s="50">
        <v>0.63380281690140849</v>
      </c>
      <c r="H7" s="50">
        <v>0.307571356981651</v>
      </c>
      <c r="N7" s="41"/>
      <c r="R7" s="21"/>
    </row>
    <row r="8" spans="1:22" x14ac:dyDescent="0.2">
      <c r="B8" s="15" t="s">
        <v>37</v>
      </c>
      <c r="C8" s="15" t="s">
        <v>17</v>
      </c>
      <c r="D8" s="15" t="s">
        <v>31</v>
      </c>
      <c r="E8" s="13">
        <v>5.45</v>
      </c>
      <c r="F8" s="13">
        <v>0.57999999999999996</v>
      </c>
      <c r="G8" s="50">
        <v>0.568075117370892</v>
      </c>
      <c r="H8" s="50">
        <v>0.31027891843178806</v>
      </c>
      <c r="N8" s="41"/>
      <c r="R8" s="21"/>
    </row>
    <row r="9" spans="1:22" x14ac:dyDescent="0.2">
      <c r="B9" s="15" t="s">
        <v>41</v>
      </c>
      <c r="C9" s="15" t="s">
        <v>17</v>
      </c>
      <c r="D9" s="15" t="s">
        <v>31</v>
      </c>
      <c r="E9" s="13">
        <v>7.29</v>
      </c>
      <c r="F9" s="13">
        <v>0.57999999999999996</v>
      </c>
      <c r="G9" s="50">
        <v>0.58369098712446355</v>
      </c>
      <c r="H9" s="50">
        <v>0.34906316529450426</v>
      </c>
      <c r="N9" s="41"/>
      <c r="R9" s="21"/>
    </row>
    <row r="10" spans="1:22" x14ac:dyDescent="0.2">
      <c r="B10" s="15" t="s">
        <v>42</v>
      </c>
      <c r="C10" s="15" t="s">
        <v>17</v>
      </c>
      <c r="D10" s="15" t="s">
        <v>31</v>
      </c>
      <c r="E10" s="13">
        <v>6.5204608039243341</v>
      </c>
      <c r="F10" s="13">
        <v>1.0493158227700183</v>
      </c>
      <c r="G10" s="50">
        <v>0.56846473029045641</v>
      </c>
      <c r="H10" s="50">
        <v>0.29300237635919629</v>
      </c>
      <c r="N10" s="41"/>
      <c r="R10" s="21"/>
    </row>
    <row r="11" spans="1:22" x14ac:dyDescent="0.2">
      <c r="B11" s="15" t="s">
        <v>43</v>
      </c>
      <c r="C11" s="15" t="s">
        <v>17</v>
      </c>
      <c r="D11" s="15" t="s">
        <v>31</v>
      </c>
      <c r="E11" s="13">
        <v>6.5417106621590166</v>
      </c>
      <c r="F11" s="13">
        <v>0.82680327541142917</v>
      </c>
      <c r="G11" s="50">
        <v>0.58921161825726143</v>
      </c>
      <c r="H11" s="50">
        <v>0.29395725656586985</v>
      </c>
      <c r="N11" s="41"/>
      <c r="R11" s="21"/>
    </row>
    <row r="12" spans="1:22" x14ac:dyDescent="0.2">
      <c r="A12" s="57">
        <v>43555</v>
      </c>
      <c r="B12" s="15" t="s">
        <v>45</v>
      </c>
      <c r="C12" s="15" t="s">
        <v>17</v>
      </c>
      <c r="D12" s="15" t="s">
        <v>31</v>
      </c>
      <c r="E12" s="13">
        <v>6.49</v>
      </c>
      <c r="F12" s="13">
        <v>0.83</v>
      </c>
      <c r="G12" s="50">
        <v>0.57190635451505012</v>
      </c>
      <c r="H12" s="50">
        <v>0.2435625693982951</v>
      </c>
      <c r="N12" s="41"/>
      <c r="R12" s="21"/>
    </row>
    <row r="13" spans="1:22" x14ac:dyDescent="0.2">
      <c r="A13" s="57">
        <v>43555</v>
      </c>
      <c r="B13" s="15" t="s">
        <v>46</v>
      </c>
      <c r="C13" s="15" t="s">
        <v>17</v>
      </c>
      <c r="D13" s="15" t="s">
        <v>31</v>
      </c>
      <c r="E13" s="13">
        <v>6.8873793634389955</v>
      </c>
      <c r="F13" s="13">
        <v>0.71379615755984105</v>
      </c>
      <c r="G13" s="50">
        <v>0.57190635451505012</v>
      </c>
      <c r="H13" s="50">
        <v>0.25849912799559555</v>
      </c>
      <c r="N13" s="41"/>
      <c r="R13" s="21"/>
    </row>
    <row r="14" spans="1:22" x14ac:dyDescent="0.2">
      <c r="A14" s="57">
        <v>43573</v>
      </c>
      <c r="B14" s="15" t="s">
        <v>49</v>
      </c>
      <c r="C14" s="15" t="s">
        <v>18</v>
      </c>
      <c r="D14" s="15" t="s">
        <v>31</v>
      </c>
      <c r="E14" s="13">
        <v>5.44</v>
      </c>
      <c r="F14" s="13">
        <v>1.18</v>
      </c>
      <c r="G14" s="50">
        <v>0.56999999999999995</v>
      </c>
      <c r="H14" s="50">
        <v>0.19969999999999999</v>
      </c>
      <c r="N14" s="41"/>
      <c r="R14" s="21"/>
    </row>
    <row r="15" spans="1:22" x14ac:dyDescent="0.2">
      <c r="A15" s="57">
        <v>43575</v>
      </c>
      <c r="B15" s="15" t="s">
        <v>50</v>
      </c>
      <c r="C15" s="15" t="s">
        <v>18</v>
      </c>
      <c r="D15" s="15" t="s">
        <v>31</v>
      </c>
      <c r="E15" s="13">
        <v>6.36</v>
      </c>
      <c r="F15" s="13">
        <v>4.09</v>
      </c>
      <c r="G15" s="50">
        <v>0.54210000000000003</v>
      </c>
      <c r="H15" s="50">
        <v>0.12</v>
      </c>
      <c r="N15" s="41"/>
      <c r="R15" s="21"/>
    </row>
    <row r="16" spans="1:22" x14ac:dyDescent="0.2">
      <c r="A16" s="57">
        <v>43597</v>
      </c>
      <c r="B16" s="15" t="s">
        <v>46</v>
      </c>
      <c r="C16" s="15" t="s">
        <v>17</v>
      </c>
      <c r="D16" s="15" t="s">
        <v>31</v>
      </c>
      <c r="E16" s="13">
        <v>7.47</v>
      </c>
      <c r="F16" s="13">
        <v>0.71379615755984105</v>
      </c>
      <c r="G16" s="50">
        <v>0.57377049180327866</v>
      </c>
      <c r="H16" s="50">
        <v>0.27414100149309534</v>
      </c>
      <c r="N16" s="41"/>
      <c r="R16" s="21"/>
    </row>
    <row r="17" spans="1:18" x14ac:dyDescent="0.2">
      <c r="A17" s="57">
        <v>43597</v>
      </c>
      <c r="B17" s="15" t="s">
        <v>53</v>
      </c>
      <c r="C17" s="15" t="s">
        <v>17</v>
      </c>
      <c r="D17" s="15" t="s">
        <v>31</v>
      </c>
      <c r="E17" s="13">
        <v>9.1999999999999993</v>
      </c>
      <c r="F17" s="13">
        <v>0.71</v>
      </c>
      <c r="G17" s="50">
        <v>0.6143790849673203</v>
      </c>
      <c r="H17" s="50">
        <v>0.33538067881786632</v>
      </c>
      <c r="N17" s="41"/>
      <c r="R17" s="21"/>
    </row>
    <row r="18" spans="1:18" x14ac:dyDescent="0.2">
      <c r="A18" s="57">
        <v>43660</v>
      </c>
      <c r="B18" s="15" t="s">
        <v>54</v>
      </c>
      <c r="C18" s="15" t="s">
        <v>17</v>
      </c>
      <c r="D18" s="15" t="s">
        <v>31</v>
      </c>
      <c r="E18" s="13">
        <v>9.65</v>
      </c>
      <c r="F18" s="13">
        <v>0.71</v>
      </c>
      <c r="G18" s="50">
        <v>0.61464968152866239</v>
      </c>
      <c r="H18" s="50">
        <v>0.34262109959726506</v>
      </c>
      <c r="N18" s="41"/>
      <c r="R18" s="21"/>
    </row>
    <row r="19" spans="1:18" x14ac:dyDescent="0.2">
      <c r="A19" s="57">
        <v>43688</v>
      </c>
      <c r="B19" s="15" t="s">
        <v>56</v>
      </c>
      <c r="C19" s="15" t="s">
        <v>17</v>
      </c>
      <c r="D19" s="15" t="s">
        <v>31</v>
      </c>
      <c r="E19" s="13">
        <v>8.69</v>
      </c>
      <c r="F19" s="13">
        <v>0.71</v>
      </c>
      <c r="G19" s="50">
        <v>0.60443037974683544</v>
      </c>
      <c r="H19" s="50">
        <v>0.30528891754147147</v>
      </c>
      <c r="N19" s="41"/>
      <c r="R19" s="21"/>
    </row>
    <row r="20" spans="1:18" x14ac:dyDescent="0.2">
      <c r="A20" s="57">
        <v>43692</v>
      </c>
      <c r="B20" s="15" t="s">
        <v>57</v>
      </c>
      <c r="C20" s="15" t="s">
        <v>17</v>
      </c>
      <c r="D20" s="15" t="s">
        <v>31</v>
      </c>
      <c r="E20" s="13">
        <v>9.5442804545214415</v>
      </c>
      <c r="F20" s="13">
        <v>0.71</v>
      </c>
      <c r="G20" s="50">
        <v>0.59493670886075944</v>
      </c>
      <c r="H20" s="50">
        <v>0.33592766901460663</v>
      </c>
      <c r="N20" s="41"/>
      <c r="R20" s="21"/>
    </row>
    <row r="21" spans="1:18" x14ac:dyDescent="0.2">
      <c r="A21" s="57">
        <v>44230</v>
      </c>
      <c r="B21" s="15" t="s">
        <v>67</v>
      </c>
      <c r="C21" s="15" t="s">
        <v>17</v>
      </c>
      <c r="D21" s="15" t="s">
        <v>68</v>
      </c>
      <c r="E21" s="13">
        <v>10.108543467910321</v>
      </c>
      <c r="F21" s="13">
        <v>0.71379615755984105</v>
      </c>
      <c r="G21" s="50">
        <v>0.58015267175572516</v>
      </c>
      <c r="H21" s="50">
        <v>0.30512842996221712</v>
      </c>
      <c r="J21" s="64"/>
      <c r="L21" s="63"/>
      <c r="N21" s="41"/>
      <c r="R21" s="21"/>
    </row>
    <row r="22" spans="1:18" x14ac:dyDescent="0.2">
      <c r="A22" s="57">
        <v>44230</v>
      </c>
      <c r="B22" s="15" t="s">
        <v>69</v>
      </c>
      <c r="C22" s="15" t="s">
        <v>17</v>
      </c>
      <c r="D22" s="15" t="s">
        <v>68</v>
      </c>
      <c r="E22" s="13">
        <v>9.36</v>
      </c>
      <c r="F22" s="13">
        <v>0.61451064233164221</v>
      </c>
      <c r="G22" s="50">
        <v>0.34860050890585242</v>
      </c>
      <c r="H22" s="50">
        <v>0.28247706371835596</v>
      </c>
      <c r="J22" s="64"/>
      <c r="L22" s="63"/>
      <c r="N22" s="41"/>
      <c r="R22" s="21"/>
    </row>
    <row r="23" spans="1:18" x14ac:dyDescent="0.2">
      <c r="A23" s="57">
        <v>44332</v>
      </c>
      <c r="B23" s="15" t="s">
        <v>71</v>
      </c>
      <c r="C23" s="15" t="s">
        <v>17</v>
      </c>
      <c r="D23" s="15" t="s">
        <v>31</v>
      </c>
      <c r="E23" s="13">
        <v>9.8662424846838253</v>
      </c>
      <c r="F23" s="13">
        <v>0.61451064233164221</v>
      </c>
      <c r="G23" s="50">
        <v>0.35380835380835379</v>
      </c>
      <c r="H23" s="50">
        <v>0.283874266618377</v>
      </c>
      <c r="J23" s="64">
        <v>1.83</v>
      </c>
      <c r="L23" s="63"/>
      <c r="N23" s="41"/>
      <c r="R23" s="21"/>
    </row>
    <row r="24" spans="1:18" x14ac:dyDescent="0.2">
      <c r="A24" s="57"/>
      <c r="B24" s="15" t="s">
        <v>70</v>
      </c>
      <c r="D24" s="15" t="s">
        <v>31</v>
      </c>
      <c r="E24" s="13">
        <v>8.6036682853322972</v>
      </c>
      <c r="F24" s="13">
        <v>0.82680327541142939</v>
      </c>
      <c r="G24" s="50">
        <v>0.5626535626535627</v>
      </c>
      <c r="H24" s="50">
        <v>0.22926352948764003</v>
      </c>
      <c r="J24" s="64"/>
      <c r="L24" s="63"/>
      <c r="N24" s="41"/>
      <c r="R24" s="21"/>
    </row>
    <row r="25" spans="1:18" x14ac:dyDescent="0.2">
      <c r="A25" s="57"/>
      <c r="B25" s="15" t="s">
        <v>72</v>
      </c>
      <c r="C25" s="15" t="s">
        <v>17</v>
      </c>
      <c r="D25" s="15" t="s">
        <v>31</v>
      </c>
      <c r="E25" s="13">
        <v>8.9517044311156244</v>
      </c>
      <c r="F25" s="13">
        <v>0.71007127700639661</v>
      </c>
      <c r="G25" s="50">
        <v>0.35135135135135137</v>
      </c>
      <c r="H25" s="50">
        <v>0.23846358445104224</v>
      </c>
      <c r="J25" s="64">
        <v>2.23</v>
      </c>
      <c r="L25" s="63"/>
      <c r="N25" s="41"/>
      <c r="R25" s="21"/>
    </row>
    <row r="26" spans="1:18" x14ac:dyDescent="0.2">
      <c r="A26" s="57"/>
      <c r="B26" s="15" t="s">
        <v>74</v>
      </c>
      <c r="D26" s="15" t="s">
        <v>31</v>
      </c>
      <c r="E26" s="13">
        <v>9.1</v>
      </c>
      <c r="F26" s="13">
        <v>0.71379615755984105</v>
      </c>
      <c r="G26" s="50">
        <v>0.5724815724815725</v>
      </c>
      <c r="H26" s="50">
        <v>0.25247069067768274</v>
      </c>
      <c r="J26" s="64"/>
      <c r="L26" s="63"/>
      <c r="N26" s="41"/>
      <c r="R26" s="21"/>
    </row>
    <row r="27" spans="1:18" x14ac:dyDescent="0.2">
      <c r="A27" s="57"/>
      <c r="B27" s="15" t="s">
        <v>73</v>
      </c>
      <c r="C27" s="15" t="s">
        <v>17</v>
      </c>
      <c r="D27" s="15" t="s">
        <v>31</v>
      </c>
      <c r="E27" s="13">
        <v>9.1993657128973947</v>
      </c>
      <c r="F27" s="13">
        <v>0.46963481212957436</v>
      </c>
      <c r="G27" s="50">
        <v>0.34643734643734642</v>
      </c>
      <c r="H27" s="50">
        <v>0.25006716504606363</v>
      </c>
      <c r="J27" s="64">
        <v>2.12</v>
      </c>
      <c r="L27" s="63"/>
      <c r="N27" s="41"/>
      <c r="R27" s="21"/>
    </row>
    <row r="28" spans="1:18" x14ac:dyDescent="0.2">
      <c r="A28" s="57"/>
      <c r="E28" s="13"/>
      <c r="F28" s="13"/>
      <c r="G28" s="50"/>
      <c r="H28" s="50"/>
      <c r="J28" s="64"/>
      <c r="L28" s="63"/>
      <c r="N28" s="41"/>
      <c r="R28" s="21"/>
    </row>
    <row r="29" spans="1:18" x14ac:dyDescent="0.2">
      <c r="A29" s="57"/>
      <c r="E29" s="13"/>
      <c r="F29" s="13"/>
      <c r="G29" s="50"/>
      <c r="H29" s="50"/>
      <c r="J29" s="64"/>
      <c r="L29" s="63"/>
      <c r="N29" s="41"/>
      <c r="R29" s="21"/>
    </row>
    <row r="30" spans="1:18" x14ac:dyDescent="0.2">
      <c r="A30" s="57"/>
      <c r="E30" s="13"/>
      <c r="F30" s="13"/>
      <c r="G30" s="50"/>
      <c r="H30" s="50"/>
      <c r="J30" s="64"/>
      <c r="L30" s="63"/>
      <c r="N30" s="41"/>
      <c r="R30" s="21"/>
    </row>
    <row r="31" spans="1:18" x14ac:dyDescent="0.2">
      <c r="A31" s="57"/>
      <c r="E31" s="13"/>
      <c r="F31" s="13"/>
      <c r="G31" s="50"/>
      <c r="H31" s="50"/>
      <c r="J31" s="64"/>
      <c r="L31" s="63"/>
      <c r="N31" s="41"/>
      <c r="R31" s="21"/>
    </row>
    <row r="32" spans="1:18" x14ac:dyDescent="0.2">
      <c r="E32" s="13"/>
      <c r="F32" s="13"/>
      <c r="G32" s="50"/>
      <c r="H32" s="50"/>
      <c r="N32" s="41"/>
      <c r="R32" s="21"/>
    </row>
    <row r="33" spans="1:18" x14ac:dyDescent="0.2">
      <c r="B33" s="15" t="s">
        <v>21</v>
      </c>
      <c r="C33" s="15" t="s">
        <v>17</v>
      </c>
      <c r="D33" s="15" t="s">
        <v>32</v>
      </c>
      <c r="E33" s="13">
        <v>7.92</v>
      </c>
      <c r="F33" s="13">
        <v>0.75</v>
      </c>
      <c r="G33" s="50">
        <v>0.5714285714285714</v>
      </c>
      <c r="H33" s="50">
        <v>0.49860580915561803</v>
      </c>
      <c r="N33" s="41"/>
      <c r="R33" s="21"/>
    </row>
    <row r="34" spans="1:18" x14ac:dyDescent="0.2">
      <c r="B34" s="15" t="s">
        <v>38</v>
      </c>
      <c r="C34" s="15" t="s">
        <v>17</v>
      </c>
      <c r="D34" s="15" t="s">
        <v>32</v>
      </c>
      <c r="E34" s="13">
        <v>7.99</v>
      </c>
      <c r="F34" s="13">
        <v>0.56000000000000005</v>
      </c>
      <c r="G34" s="50">
        <v>0.58163265306122447</v>
      </c>
      <c r="H34" s="50">
        <v>0.50309779160543888</v>
      </c>
      <c r="N34" s="41"/>
      <c r="R34" s="21"/>
    </row>
    <row r="35" spans="1:18" x14ac:dyDescent="0.2">
      <c r="B35" s="15" t="s">
        <v>39</v>
      </c>
      <c r="C35" s="15" t="s">
        <v>17</v>
      </c>
      <c r="D35" s="15" t="s">
        <v>32</v>
      </c>
      <c r="E35" s="13">
        <v>7.9</v>
      </c>
      <c r="F35" s="13">
        <v>0.7</v>
      </c>
      <c r="G35" s="50">
        <v>0.57627118644067798</v>
      </c>
      <c r="H35" s="50">
        <v>0.43250428232233523</v>
      </c>
      <c r="N35" s="41"/>
      <c r="R35" s="21"/>
    </row>
    <row r="36" spans="1:18" x14ac:dyDescent="0.2">
      <c r="B36" s="15" t="s">
        <v>40</v>
      </c>
      <c r="C36" s="15" t="s">
        <v>17</v>
      </c>
      <c r="D36" s="15" t="s">
        <v>32</v>
      </c>
      <c r="E36" s="13">
        <v>9.1199999999999992</v>
      </c>
      <c r="F36" s="13">
        <v>0.56000000000000005</v>
      </c>
      <c r="G36" s="50">
        <v>0.59322033898305082</v>
      </c>
      <c r="H36" s="50">
        <v>0.49945551529427379</v>
      </c>
      <c r="N36" s="41"/>
      <c r="R36" s="21"/>
    </row>
    <row r="37" spans="1:18" x14ac:dyDescent="0.2">
      <c r="B37" s="15" t="s">
        <v>44</v>
      </c>
      <c r="C37" s="15" t="s">
        <v>17</v>
      </c>
      <c r="D37" s="15" t="s">
        <v>32</v>
      </c>
      <c r="E37" s="13">
        <v>9.9513304044980959</v>
      </c>
      <c r="F37" s="13">
        <v>0.55726778491803719</v>
      </c>
      <c r="G37" s="50">
        <v>0.60317460317460314</v>
      </c>
      <c r="H37" s="50">
        <v>0.50252275180192563</v>
      </c>
      <c r="N37" s="41"/>
      <c r="R37" s="21"/>
    </row>
    <row r="38" spans="1:18" x14ac:dyDescent="0.2">
      <c r="A38" s="57">
        <v>43555</v>
      </c>
      <c r="B38" s="15" t="s">
        <v>44</v>
      </c>
      <c r="C38" s="15" t="s">
        <v>17</v>
      </c>
      <c r="D38" s="15" t="s">
        <v>32</v>
      </c>
      <c r="E38" s="13">
        <v>11.024511273391454</v>
      </c>
      <c r="F38" s="13">
        <v>0.80438971841618034</v>
      </c>
      <c r="G38" s="50">
        <v>0.59239130434782605</v>
      </c>
      <c r="H38" s="50">
        <v>0.42275496784050137</v>
      </c>
      <c r="N38" s="41"/>
      <c r="R38" s="21"/>
    </row>
    <row r="39" spans="1:18" x14ac:dyDescent="0.2">
      <c r="A39" s="57">
        <v>43555</v>
      </c>
      <c r="B39" s="15" t="s">
        <v>47</v>
      </c>
      <c r="C39" s="15" t="s">
        <v>17</v>
      </c>
      <c r="D39" s="15" t="s">
        <v>32</v>
      </c>
      <c r="E39" s="13">
        <v>11.08</v>
      </c>
      <c r="F39" s="13">
        <v>0.8</v>
      </c>
      <c r="G39" s="50">
        <v>0.59239130434782605</v>
      </c>
      <c r="H39" s="50">
        <v>0.42492798722338154</v>
      </c>
      <c r="N39" s="41"/>
      <c r="R39" s="21"/>
    </row>
    <row r="40" spans="1:18" x14ac:dyDescent="0.2">
      <c r="A40" s="57">
        <v>43660</v>
      </c>
      <c r="B40" s="15" t="s">
        <v>55</v>
      </c>
      <c r="C40" s="15" t="s">
        <v>17</v>
      </c>
      <c r="D40" s="15" t="s">
        <v>32</v>
      </c>
      <c r="E40" s="13">
        <v>11.26</v>
      </c>
      <c r="F40" s="13">
        <v>0.8</v>
      </c>
      <c r="G40" s="50">
        <v>0.59296482412060303</v>
      </c>
      <c r="H40" s="50">
        <v>0.40441512004891383</v>
      </c>
      <c r="N40" s="41"/>
      <c r="R40" s="21"/>
    </row>
    <row r="41" spans="1:18" x14ac:dyDescent="0.2">
      <c r="A41" s="57">
        <v>44230</v>
      </c>
      <c r="B41" s="15" t="s">
        <v>55</v>
      </c>
      <c r="C41" s="15" t="s">
        <v>18</v>
      </c>
      <c r="D41" s="15" t="s">
        <v>32</v>
      </c>
      <c r="E41" s="13">
        <v>12.22</v>
      </c>
      <c r="F41" s="13">
        <v>1.4503432873617736</v>
      </c>
      <c r="G41" s="50">
        <v>0.56428571428571428</v>
      </c>
      <c r="H41" s="50">
        <v>0.29538591790571117</v>
      </c>
      <c r="N41" s="41"/>
      <c r="R41" s="21"/>
    </row>
    <row r="42" spans="1:18" x14ac:dyDescent="0.2">
      <c r="A42" s="57">
        <v>44230</v>
      </c>
      <c r="B42" s="15" t="s">
        <v>66</v>
      </c>
      <c r="C42" s="15" t="s">
        <v>18</v>
      </c>
      <c r="D42" s="15" t="s">
        <v>32</v>
      </c>
      <c r="E42" s="13">
        <v>11.41</v>
      </c>
      <c r="F42" s="13">
        <v>2.1692954655467966</v>
      </c>
      <c r="G42" s="50">
        <v>0.56785714285714284</v>
      </c>
      <c r="H42" s="50">
        <v>0.27227860398169618</v>
      </c>
      <c r="N42" s="41"/>
      <c r="R42" s="21"/>
    </row>
    <row r="43" spans="1:18" x14ac:dyDescent="0.2">
      <c r="A43" s="57">
        <v>44235</v>
      </c>
      <c r="B43" s="15" t="s">
        <v>79</v>
      </c>
      <c r="C43" s="15" t="s">
        <v>17</v>
      </c>
      <c r="D43" s="15" t="s">
        <v>32</v>
      </c>
      <c r="E43" s="13">
        <v>12.492596277769007</v>
      </c>
      <c r="F43" s="13">
        <v>1.2712757314136771</v>
      </c>
      <c r="G43" s="50">
        <v>0.5658362989323843</v>
      </c>
      <c r="H43" s="50">
        <v>0.29033900272323004</v>
      </c>
      <c r="N43" s="41"/>
      <c r="R43" s="21"/>
    </row>
    <row r="44" spans="1:18" x14ac:dyDescent="0.2">
      <c r="A44" s="57"/>
      <c r="B44" s="15" t="s">
        <v>75</v>
      </c>
      <c r="C44" s="15" t="s">
        <v>18</v>
      </c>
      <c r="D44" s="15" t="s">
        <v>32</v>
      </c>
      <c r="E44" s="16">
        <v>11.071828587901816</v>
      </c>
      <c r="F44" s="13">
        <v>1.4503432873617736</v>
      </c>
      <c r="G44" s="50">
        <v>0.54804270462633453</v>
      </c>
      <c r="H44" s="50">
        <v>0.25421465630714207</v>
      </c>
      <c r="N44" s="41"/>
      <c r="R44" s="21"/>
    </row>
    <row r="45" spans="1:18" x14ac:dyDescent="0.2">
      <c r="A45" s="57">
        <v>44235</v>
      </c>
      <c r="B45" s="15" t="s">
        <v>76</v>
      </c>
      <c r="C45" s="15" t="s">
        <v>17</v>
      </c>
      <c r="D45" s="15" t="s">
        <v>32</v>
      </c>
      <c r="E45" s="16">
        <v>12.07</v>
      </c>
      <c r="F45" s="13">
        <v>0.64712784793888645</v>
      </c>
      <c r="G45" s="50">
        <v>0.3487544483985765</v>
      </c>
      <c r="H45" s="50">
        <v>0.28042361090122697</v>
      </c>
      <c r="N45" s="41"/>
      <c r="R45" s="21"/>
    </row>
    <row r="46" spans="1:18" x14ac:dyDescent="0.2">
      <c r="A46" s="57">
        <v>44458</v>
      </c>
      <c r="B46" s="15" t="s">
        <v>77</v>
      </c>
      <c r="C46" s="15" t="s">
        <v>17</v>
      </c>
      <c r="D46" s="15" t="s">
        <v>32</v>
      </c>
      <c r="E46" s="13">
        <v>11.972392971019726</v>
      </c>
      <c r="F46" s="13">
        <v>0.89335979114581399</v>
      </c>
      <c r="G46" s="50">
        <v>0.34504792332268369</v>
      </c>
      <c r="H46" s="50">
        <v>0.30501819303117722</v>
      </c>
      <c r="N46" s="41"/>
      <c r="R46" s="21"/>
    </row>
    <row r="47" spans="1:18" x14ac:dyDescent="0.2">
      <c r="A47" s="57">
        <v>44445</v>
      </c>
      <c r="B47" s="15" t="s">
        <v>78</v>
      </c>
      <c r="C47" s="15" t="s">
        <v>17</v>
      </c>
      <c r="D47" s="15" t="s">
        <v>32</v>
      </c>
      <c r="E47" s="13">
        <v>9.6199999999999992</v>
      </c>
      <c r="F47" s="13">
        <v>0.73747944197544779</v>
      </c>
      <c r="G47" s="50">
        <v>0.37543859649122807</v>
      </c>
      <c r="H47" s="50">
        <v>0.28771742220055613</v>
      </c>
      <c r="N47" s="41"/>
      <c r="R47" s="21"/>
    </row>
    <row r="48" spans="1:18" x14ac:dyDescent="0.2">
      <c r="A48" s="57">
        <v>44521</v>
      </c>
      <c r="B48" s="15" t="s">
        <v>85</v>
      </c>
      <c r="E48" s="13"/>
      <c r="F48" s="13"/>
      <c r="G48" s="50"/>
      <c r="H48" s="50"/>
      <c r="N48" s="41"/>
      <c r="R48" s="21"/>
    </row>
    <row r="49" spans="1:22" x14ac:dyDescent="0.2">
      <c r="B49" s="15" t="s">
        <v>86</v>
      </c>
      <c r="C49" s="15" t="s">
        <v>18</v>
      </c>
      <c r="D49" s="15" t="s">
        <v>32</v>
      </c>
      <c r="E49" s="13">
        <v>9.33</v>
      </c>
      <c r="F49" s="13">
        <v>1.5628755741700049</v>
      </c>
      <c r="G49" s="50">
        <v>0.56055363321799312</v>
      </c>
      <c r="H49" s="50">
        <v>0.27806963676938823</v>
      </c>
      <c r="N49" s="41"/>
      <c r="R49" s="21"/>
    </row>
    <row r="50" spans="1:22" x14ac:dyDescent="0.2">
      <c r="B50" s="15" t="s">
        <v>88</v>
      </c>
      <c r="C50" s="15" t="s">
        <v>18</v>
      </c>
      <c r="D50" s="15" t="s">
        <v>32</v>
      </c>
      <c r="E50" s="13">
        <v>10.35</v>
      </c>
      <c r="F50" s="13">
        <v>2.3059011115848627</v>
      </c>
      <c r="G50" s="50">
        <v>0.54671280276816614</v>
      </c>
      <c r="H50" s="50">
        <v>0.3084727035883772</v>
      </c>
      <c r="J50" s="28"/>
      <c r="K50" s="28"/>
      <c r="N50" s="41"/>
      <c r="R50" s="21"/>
    </row>
    <row r="51" spans="1:22" x14ac:dyDescent="0.2">
      <c r="B51" s="15" t="s">
        <v>89</v>
      </c>
      <c r="C51" s="15" t="s">
        <v>18</v>
      </c>
      <c r="D51" s="15" t="s">
        <v>32</v>
      </c>
      <c r="E51" s="13">
        <v>10.49</v>
      </c>
      <c r="F51" s="13">
        <v>1.6906660095612338</v>
      </c>
      <c r="G51" s="50">
        <v>0.54325259515570934</v>
      </c>
      <c r="H51" s="50">
        <v>0.31241302367669216</v>
      </c>
      <c r="J51" s="28"/>
      <c r="K51" s="28"/>
      <c r="N51" s="41"/>
      <c r="R51" s="21"/>
    </row>
    <row r="52" spans="1:22" x14ac:dyDescent="0.2">
      <c r="B52" s="15" t="s">
        <v>76</v>
      </c>
      <c r="C52" s="15" t="s">
        <v>17</v>
      </c>
      <c r="D52" s="15" t="s">
        <v>32</v>
      </c>
      <c r="E52" s="13">
        <v>9.6356954394376153</v>
      </c>
      <c r="F52" s="13">
        <v>0.96288888646299142</v>
      </c>
      <c r="G52" s="50">
        <v>0.35294117647058826</v>
      </c>
      <c r="H52" s="50">
        <v>0.28709331468398225</v>
      </c>
      <c r="J52" s="28"/>
      <c r="K52" s="28"/>
      <c r="N52" s="41"/>
      <c r="R52" s="21"/>
    </row>
    <row r="53" spans="1:22" x14ac:dyDescent="0.2">
      <c r="B53" s="15" t="s">
        <v>90</v>
      </c>
      <c r="C53" s="15" t="s">
        <v>18</v>
      </c>
      <c r="D53" s="15" t="s">
        <v>32</v>
      </c>
      <c r="E53" s="13">
        <v>10.15</v>
      </c>
      <c r="F53" s="13">
        <v>0.45302679620157171</v>
      </c>
      <c r="G53" s="50">
        <v>0.29065743944636679</v>
      </c>
      <c r="H53" s="50">
        <v>0.30229484809347668</v>
      </c>
      <c r="J53" s="28"/>
      <c r="K53" s="28"/>
      <c r="N53" s="41"/>
      <c r="R53" s="21"/>
    </row>
    <row r="54" spans="1:22" x14ac:dyDescent="0.2">
      <c r="B54" s="15" t="s">
        <v>91</v>
      </c>
      <c r="C54" s="15" t="s">
        <v>18</v>
      </c>
      <c r="D54" s="15" t="s">
        <v>32</v>
      </c>
      <c r="E54" s="13">
        <v>10.210000000000001</v>
      </c>
      <c r="F54" s="13">
        <v>0.51852903679373163</v>
      </c>
      <c r="G54" s="50">
        <v>0.29411764705882354</v>
      </c>
      <c r="H54" s="50">
        <v>0.3042650081376343</v>
      </c>
      <c r="J54" s="28"/>
      <c r="K54" s="28"/>
      <c r="N54" s="41"/>
      <c r="R54" s="21"/>
    </row>
    <row r="55" spans="1:22" x14ac:dyDescent="0.2">
      <c r="A55" s="57"/>
      <c r="E55" s="13"/>
      <c r="F55" s="13"/>
      <c r="G55" s="50"/>
      <c r="H55" s="50"/>
      <c r="J55" s="28"/>
      <c r="K55" s="28"/>
      <c r="N55" s="41"/>
      <c r="R55" s="21"/>
    </row>
    <row r="56" spans="1:22" x14ac:dyDescent="0.2">
      <c r="A56" s="57"/>
      <c r="E56" s="13"/>
      <c r="F56" s="13"/>
      <c r="G56" s="50"/>
      <c r="H56" s="50"/>
      <c r="J56" s="28"/>
      <c r="K56" s="28"/>
      <c r="N56" s="41"/>
      <c r="R56" s="21"/>
    </row>
    <row r="57" spans="1:22" x14ac:dyDescent="0.2">
      <c r="A57" s="57"/>
      <c r="E57" s="13"/>
      <c r="F57" s="13"/>
      <c r="G57" s="50"/>
      <c r="H57" s="50"/>
      <c r="J57" s="28"/>
      <c r="K57" s="28"/>
      <c r="N57" s="41"/>
      <c r="R57" s="21"/>
    </row>
    <row r="58" spans="1:22" x14ac:dyDescent="0.2">
      <c r="E58" s="4"/>
      <c r="F58" s="13"/>
      <c r="G58" s="50"/>
      <c r="H58" s="50"/>
      <c r="J58" s="28"/>
      <c r="K58" s="28"/>
      <c r="N58" s="41"/>
      <c r="R58" s="21"/>
    </row>
    <row r="59" spans="1:22" x14ac:dyDescent="0.2">
      <c r="E59" s="4"/>
      <c r="F59" s="13"/>
      <c r="H59" s="50"/>
      <c r="J59" s="28"/>
      <c r="K59" s="28"/>
      <c r="N59" s="41"/>
      <c r="R59" s="21"/>
    </row>
    <row r="60" spans="1:22" x14ac:dyDescent="0.2">
      <c r="E60" s="4"/>
      <c r="F60" s="13"/>
      <c r="J60" s="28"/>
      <c r="K60" s="28"/>
      <c r="N60" s="41"/>
      <c r="R60" s="21"/>
    </row>
    <row r="61" spans="1:22" x14ac:dyDescent="0.2">
      <c r="N61" s="41"/>
      <c r="R61" s="21"/>
    </row>
    <row r="62" spans="1:22" s="43" customFormat="1" x14ac:dyDescent="0.2">
      <c r="B62" s="42"/>
      <c r="C62" s="42"/>
      <c r="D62" s="42"/>
      <c r="E62" s="31"/>
      <c r="F62" s="32"/>
      <c r="G62" s="50"/>
      <c r="H62" s="50"/>
      <c r="J62" s="44"/>
      <c r="K62" s="44"/>
      <c r="L62" s="45"/>
      <c r="M62" s="45"/>
      <c r="N62" s="46"/>
      <c r="O62" s="45"/>
      <c r="P62" s="3"/>
      <c r="Q62" s="34"/>
      <c r="R62" s="34"/>
      <c r="S62" s="47"/>
      <c r="T62" s="47"/>
      <c r="U62" s="47"/>
      <c r="V62" s="47"/>
    </row>
    <row r="63" spans="1:22" s="43" customFormat="1" x14ac:dyDescent="0.2">
      <c r="B63" s="42"/>
      <c r="C63" s="42"/>
      <c r="D63" s="42"/>
      <c r="E63" s="31"/>
      <c r="F63" s="32"/>
      <c r="G63" s="50"/>
      <c r="H63" s="50"/>
      <c r="J63" s="44"/>
      <c r="K63" s="44"/>
      <c r="L63" s="45"/>
      <c r="M63" s="45"/>
      <c r="N63" s="46"/>
      <c r="O63" s="45"/>
      <c r="P63" s="3"/>
      <c r="Q63" s="34"/>
      <c r="R63" s="34"/>
      <c r="S63" s="47"/>
      <c r="T63" s="47"/>
      <c r="U63" s="47"/>
      <c r="V63" s="47"/>
    </row>
    <row r="64" spans="1:22" s="43" customFormat="1" x14ac:dyDescent="0.2">
      <c r="B64" s="42"/>
      <c r="C64" s="42"/>
      <c r="D64" s="42"/>
      <c r="E64" s="31"/>
      <c r="F64" s="32"/>
      <c r="G64" s="50"/>
      <c r="H64" s="50"/>
      <c r="J64" s="44"/>
      <c r="K64" s="44"/>
      <c r="L64" s="45"/>
      <c r="M64" s="45"/>
      <c r="N64" s="46"/>
      <c r="O64" s="45"/>
      <c r="P64" s="3"/>
      <c r="Q64" s="34"/>
      <c r="R64" s="34"/>
      <c r="S64" s="47"/>
      <c r="T64" s="47"/>
      <c r="U64" s="47"/>
      <c r="V64" s="47"/>
    </row>
    <row r="65" spans="2:22" s="43" customFormat="1" x14ac:dyDescent="0.2">
      <c r="B65" s="42"/>
      <c r="C65" s="42"/>
      <c r="D65" s="42"/>
      <c r="E65" s="31"/>
      <c r="F65" s="32"/>
      <c r="G65" s="50"/>
      <c r="H65" s="50"/>
      <c r="J65" s="44"/>
      <c r="K65" s="44"/>
      <c r="L65" s="45"/>
      <c r="M65" s="45"/>
      <c r="N65" s="46"/>
      <c r="O65" s="45"/>
      <c r="P65" s="3"/>
      <c r="Q65" s="34"/>
      <c r="R65" s="34"/>
      <c r="S65" s="47"/>
      <c r="T65" s="47"/>
      <c r="U65" s="47"/>
      <c r="V65" s="47"/>
    </row>
    <row r="66" spans="2:22" s="43" customFormat="1" x14ac:dyDescent="0.2">
      <c r="B66" s="42"/>
      <c r="C66" s="42"/>
      <c r="D66" s="42"/>
      <c r="E66" s="31"/>
      <c r="F66" s="32"/>
      <c r="G66" s="50"/>
      <c r="H66" s="50"/>
      <c r="J66" s="44"/>
      <c r="K66" s="44"/>
      <c r="L66" s="45"/>
      <c r="M66" s="45"/>
      <c r="N66" s="46"/>
      <c r="O66" s="45"/>
      <c r="P66" s="3"/>
      <c r="Q66" s="34"/>
      <c r="R66" s="34"/>
      <c r="S66" s="47"/>
      <c r="T66" s="47"/>
      <c r="U66" s="47"/>
      <c r="V66" s="47"/>
    </row>
    <row r="67" spans="2:22" s="43" customFormat="1" x14ac:dyDescent="0.2">
      <c r="B67" s="42"/>
      <c r="C67" s="42"/>
      <c r="D67" s="42"/>
      <c r="E67" s="31"/>
      <c r="F67" s="32"/>
      <c r="G67" s="50"/>
      <c r="H67" s="50"/>
      <c r="J67" s="44"/>
      <c r="K67" s="44"/>
      <c r="L67" s="45"/>
      <c r="M67" s="45"/>
      <c r="N67" s="46"/>
      <c r="O67" s="45"/>
      <c r="P67" s="3"/>
      <c r="Q67" s="34"/>
      <c r="R67" s="34"/>
      <c r="S67" s="47"/>
      <c r="T67" s="47"/>
      <c r="U67" s="47"/>
      <c r="V67" s="47"/>
    </row>
    <row r="68" spans="2:22" s="43" customFormat="1" x14ac:dyDescent="0.2">
      <c r="B68" s="42"/>
      <c r="C68" s="42"/>
      <c r="D68" s="42"/>
      <c r="E68" s="31"/>
      <c r="F68" s="32"/>
      <c r="G68" s="50"/>
      <c r="H68" s="50"/>
      <c r="J68" s="44"/>
      <c r="K68" s="44"/>
      <c r="L68" s="45"/>
      <c r="M68" s="45"/>
      <c r="N68" s="46"/>
      <c r="O68" s="45"/>
      <c r="P68" s="3"/>
      <c r="Q68" s="34"/>
      <c r="R68" s="34"/>
      <c r="S68" s="47"/>
      <c r="T68" s="47"/>
      <c r="U68" s="47"/>
      <c r="V68" s="47"/>
    </row>
    <row r="69" spans="2:22" s="43" customFormat="1" x14ac:dyDescent="0.2">
      <c r="B69" s="42"/>
      <c r="C69" s="42"/>
      <c r="D69" s="42"/>
      <c r="E69" s="31"/>
      <c r="F69" s="32"/>
      <c r="G69" s="50"/>
      <c r="H69" s="50"/>
      <c r="J69" s="44"/>
      <c r="K69" s="44"/>
      <c r="L69" s="45"/>
      <c r="M69" s="45"/>
      <c r="N69" s="46"/>
      <c r="O69" s="45"/>
      <c r="P69" s="3"/>
      <c r="Q69" s="34"/>
      <c r="R69" s="34"/>
      <c r="S69" s="47"/>
      <c r="T69" s="47"/>
      <c r="U69" s="47"/>
      <c r="V69" s="47"/>
    </row>
    <row r="70" spans="2:22" x14ac:dyDescent="0.2">
      <c r="G70" s="50"/>
      <c r="H70" s="50"/>
      <c r="R70" s="21"/>
    </row>
    <row r="71" spans="2:22" x14ac:dyDescent="0.2">
      <c r="G71" s="50"/>
      <c r="H71" s="50"/>
      <c r="R71" s="21"/>
    </row>
    <row r="72" spans="2:22" x14ac:dyDescent="0.2">
      <c r="G72" s="50"/>
      <c r="H72" s="50"/>
      <c r="R72" s="21"/>
    </row>
    <row r="73" spans="2:22" x14ac:dyDescent="0.2">
      <c r="G73" s="50"/>
      <c r="H73" s="50"/>
      <c r="R73" s="21"/>
    </row>
    <row r="74" spans="2:22" x14ac:dyDescent="0.2">
      <c r="G74" s="50"/>
      <c r="H74" s="50"/>
      <c r="R74" s="21"/>
    </row>
    <row r="75" spans="2:22" x14ac:dyDescent="0.2">
      <c r="G75" s="50"/>
      <c r="H75" s="50"/>
      <c r="R75" s="21"/>
    </row>
    <row r="76" spans="2:22" x14ac:dyDescent="0.2">
      <c r="G76" s="50"/>
      <c r="H76" s="50"/>
      <c r="R76" s="21"/>
    </row>
    <row r="77" spans="2:22" x14ac:dyDescent="0.2">
      <c r="R77" s="21"/>
    </row>
    <row r="78" spans="2:22" x14ac:dyDescent="0.2">
      <c r="R78" s="21"/>
    </row>
    <row r="79" spans="2:22" x14ac:dyDescent="0.2">
      <c r="R79" s="21"/>
    </row>
    <row r="80" spans="2:22" x14ac:dyDescent="0.2">
      <c r="R80" s="21"/>
    </row>
    <row r="81" spans="2:18" x14ac:dyDescent="0.2">
      <c r="B81" s="15" t="s">
        <v>21</v>
      </c>
      <c r="C81" s="15" t="s">
        <v>17</v>
      </c>
      <c r="D81" s="15" t="s">
        <v>22</v>
      </c>
      <c r="E81" s="32">
        <v>1.6011501176797021</v>
      </c>
      <c r="F81" s="32">
        <v>0.1262926772789357</v>
      </c>
      <c r="G81" s="33">
        <v>0.61244019138755978</v>
      </c>
      <c r="H81" s="33">
        <v>0.32782066186282133</v>
      </c>
      <c r="R81" s="21"/>
    </row>
    <row r="82" spans="2:18" x14ac:dyDescent="0.2">
      <c r="B82" s="15" t="s">
        <v>23</v>
      </c>
      <c r="C82" s="15" t="s">
        <v>18</v>
      </c>
      <c r="D82" s="15" t="s">
        <v>22</v>
      </c>
      <c r="E82" s="32">
        <v>1.2327443771374225</v>
      </c>
      <c r="F82" s="32">
        <v>0.11271958390635484</v>
      </c>
      <c r="G82" s="32">
        <v>0.62200956937799046</v>
      </c>
      <c r="H82" s="33">
        <v>0.25239299748263966</v>
      </c>
      <c r="R82" s="21"/>
    </row>
    <row r="83" spans="2:18" x14ac:dyDescent="0.2">
      <c r="B83" s="15" t="s">
        <v>24</v>
      </c>
      <c r="C83" s="15" t="s">
        <v>17</v>
      </c>
      <c r="D83" s="15" t="s">
        <v>22</v>
      </c>
      <c r="E83" s="32">
        <v>1.8160255343977187</v>
      </c>
      <c r="F83" s="20">
        <v>8.4718766058083927E-2</v>
      </c>
      <c r="G83" s="20">
        <v>0.63397129186602874</v>
      </c>
      <c r="H83" s="20">
        <v>0.3718144139468722</v>
      </c>
      <c r="R83" s="21"/>
    </row>
    <row r="84" spans="2:18" x14ac:dyDescent="0.2">
      <c r="B84" s="15" t="s">
        <v>19</v>
      </c>
      <c r="C84" s="15" t="s">
        <v>17</v>
      </c>
      <c r="D84" s="15" t="s">
        <v>22</v>
      </c>
      <c r="E84" s="16">
        <v>1.81</v>
      </c>
      <c r="F84" s="16">
        <v>8.4700000000000006</v>
      </c>
      <c r="G84" s="51">
        <v>63.33</v>
      </c>
      <c r="H84" s="51">
        <v>36.880000000000003</v>
      </c>
      <c r="R84" s="21"/>
    </row>
    <row r="85" spans="2:18" x14ac:dyDescent="0.2">
      <c r="E85" s="32"/>
      <c r="F85" s="32"/>
      <c r="G85" s="33"/>
      <c r="H85" s="33"/>
      <c r="R85" s="21"/>
    </row>
    <row r="86" spans="2:18" x14ac:dyDescent="0.2">
      <c r="E86" s="32"/>
      <c r="F86" s="32"/>
      <c r="G86" s="33"/>
      <c r="H86" s="33"/>
      <c r="R86" s="21"/>
    </row>
    <row r="87" spans="2:18" x14ac:dyDescent="0.2">
      <c r="E87" s="32"/>
      <c r="F87" s="32"/>
      <c r="G87" s="33"/>
      <c r="H87" s="33"/>
      <c r="R87" s="21"/>
    </row>
    <row r="88" spans="2:18" x14ac:dyDescent="0.2">
      <c r="E88" s="32"/>
      <c r="F88" s="32"/>
      <c r="G88" s="33"/>
      <c r="H88" s="33"/>
      <c r="R88" s="21"/>
    </row>
    <row r="89" spans="2:18" x14ac:dyDescent="0.2">
      <c r="E89" s="32"/>
      <c r="F89" s="32"/>
      <c r="G89" s="33"/>
      <c r="H89" s="33"/>
      <c r="R89" s="21"/>
    </row>
    <row r="90" spans="2:18" x14ac:dyDescent="0.2">
      <c r="E90" s="32"/>
      <c r="F90" s="32"/>
      <c r="G90" s="33"/>
      <c r="H90" s="33"/>
      <c r="R90" s="21"/>
    </row>
    <row r="91" spans="2:18" x14ac:dyDescent="0.2">
      <c r="E91" s="32"/>
      <c r="F91" s="32"/>
      <c r="G91" s="33"/>
      <c r="H91" s="33"/>
      <c r="R91" s="21"/>
    </row>
    <row r="92" spans="2:18" x14ac:dyDescent="0.2">
      <c r="E92" s="32"/>
      <c r="F92" s="32"/>
      <c r="G92" s="33"/>
      <c r="H92" s="33"/>
      <c r="R92" s="21"/>
    </row>
    <row r="93" spans="2:18" x14ac:dyDescent="0.2">
      <c r="E93" s="32"/>
      <c r="F93" s="32"/>
      <c r="G93" s="33"/>
      <c r="H93" s="33"/>
      <c r="R93" s="21"/>
    </row>
    <row r="94" spans="2:18" x14ac:dyDescent="0.2">
      <c r="E94" s="32"/>
      <c r="F94" s="32"/>
      <c r="G94" s="33"/>
      <c r="H94" s="33"/>
      <c r="R94" s="21"/>
    </row>
    <row r="95" spans="2:18" x14ac:dyDescent="0.2">
      <c r="E95" s="32"/>
      <c r="F95" s="32"/>
      <c r="G95" s="33"/>
      <c r="H95" s="33"/>
      <c r="R95" s="21"/>
    </row>
    <row r="96" spans="2:18" x14ac:dyDescent="0.2">
      <c r="E96" s="32"/>
      <c r="F96" s="32"/>
      <c r="G96" s="33"/>
      <c r="H96" s="33"/>
      <c r="R96" s="21"/>
    </row>
    <row r="97" spans="5:18" x14ac:dyDescent="0.2">
      <c r="E97" s="32"/>
      <c r="F97" s="32"/>
      <c r="G97" s="33"/>
      <c r="H97" s="33"/>
      <c r="R97" s="21"/>
    </row>
    <row r="98" spans="5:18" x14ac:dyDescent="0.2">
      <c r="E98" s="32"/>
      <c r="F98" s="32"/>
      <c r="G98" s="33"/>
      <c r="H98" s="33"/>
      <c r="R98" s="21"/>
    </row>
    <row r="99" spans="5:18" x14ac:dyDescent="0.2">
      <c r="E99" s="32"/>
      <c r="F99" s="32"/>
      <c r="G99" s="33"/>
      <c r="H99" s="33"/>
      <c r="R99" s="21"/>
    </row>
    <row r="100" spans="5:18" x14ac:dyDescent="0.2">
      <c r="E100" s="32"/>
      <c r="F100" s="32"/>
      <c r="G100" s="33"/>
      <c r="H100" s="33"/>
      <c r="R100" s="21"/>
    </row>
    <row r="101" spans="5:18" x14ac:dyDescent="0.2">
      <c r="E101" s="32"/>
      <c r="F101" s="32"/>
      <c r="G101" s="33"/>
      <c r="H101" s="33"/>
      <c r="R101" s="21"/>
    </row>
    <row r="102" spans="5:18" x14ac:dyDescent="0.2">
      <c r="E102" s="32"/>
      <c r="F102" s="32"/>
      <c r="G102" s="33"/>
      <c r="H102" s="33"/>
      <c r="R102" s="21"/>
    </row>
    <row r="103" spans="5:18" x14ac:dyDescent="0.2">
      <c r="E103" s="32"/>
      <c r="F103" s="32"/>
      <c r="G103" s="33"/>
      <c r="H103" s="33"/>
      <c r="R103" s="21"/>
    </row>
    <row r="104" spans="5:18" x14ac:dyDescent="0.2">
      <c r="E104" s="32"/>
      <c r="F104" s="32"/>
      <c r="G104" s="33"/>
      <c r="H104" s="33"/>
      <c r="R104" s="21"/>
    </row>
    <row r="105" spans="5:18" x14ac:dyDescent="0.2">
      <c r="E105" s="32"/>
      <c r="F105" s="32"/>
      <c r="G105" s="33"/>
      <c r="H105" s="33"/>
      <c r="R105" s="21"/>
    </row>
    <row r="106" spans="5:18" x14ac:dyDescent="0.2">
      <c r="E106" s="32"/>
      <c r="F106" s="32"/>
      <c r="G106" s="33"/>
      <c r="H106" s="33"/>
      <c r="R106" s="21"/>
    </row>
    <row r="107" spans="5:18" x14ac:dyDescent="0.2">
      <c r="E107" s="32"/>
      <c r="F107" s="32"/>
      <c r="G107" s="33"/>
      <c r="H107" s="33"/>
      <c r="R107" s="21"/>
    </row>
    <row r="108" spans="5:18" x14ac:dyDescent="0.2">
      <c r="E108" s="32"/>
      <c r="F108" s="32"/>
      <c r="G108" s="33"/>
      <c r="H108" s="33"/>
      <c r="R108" s="21"/>
    </row>
    <row r="109" spans="5:18" x14ac:dyDescent="0.2">
      <c r="E109" s="32"/>
      <c r="F109" s="32"/>
      <c r="G109" s="33"/>
      <c r="H109" s="33"/>
      <c r="R109" s="21"/>
    </row>
    <row r="110" spans="5:18" x14ac:dyDescent="0.2">
      <c r="E110" s="32"/>
      <c r="F110" s="32"/>
      <c r="G110" s="33"/>
      <c r="H110" s="33"/>
      <c r="R110" s="21"/>
    </row>
    <row r="111" spans="5:18" x14ac:dyDescent="0.2">
      <c r="E111" s="32"/>
      <c r="F111" s="32"/>
      <c r="G111" s="33"/>
      <c r="H111" s="33"/>
      <c r="R111" s="21"/>
    </row>
    <row r="112" spans="5:18" x14ac:dyDescent="0.2">
      <c r="R112" s="21"/>
    </row>
    <row r="113" spans="18:18" x14ac:dyDescent="0.2">
      <c r="R113" s="21"/>
    </row>
    <row r="114" spans="18:18" x14ac:dyDescent="0.2">
      <c r="R114" s="21"/>
    </row>
    <row r="115" spans="18:18" x14ac:dyDescent="0.2">
      <c r="R115" s="21"/>
    </row>
    <row r="116" spans="18:18" x14ac:dyDescent="0.2">
      <c r="R116" s="21"/>
    </row>
    <row r="117" spans="18:18" x14ac:dyDescent="0.2">
      <c r="R117" s="21"/>
    </row>
    <row r="118" spans="18:18" x14ac:dyDescent="0.2">
      <c r="R118" s="21"/>
    </row>
    <row r="119" spans="18:18" x14ac:dyDescent="0.2">
      <c r="R119" s="21"/>
    </row>
    <row r="120" spans="18:18" x14ac:dyDescent="0.2">
      <c r="R120" s="21"/>
    </row>
    <row r="121" spans="18:18" x14ac:dyDescent="0.2">
      <c r="R121" s="21"/>
    </row>
    <row r="122" spans="18:18" x14ac:dyDescent="0.2">
      <c r="R122" s="21"/>
    </row>
    <row r="123" spans="18:18" x14ac:dyDescent="0.2">
      <c r="R123" s="21"/>
    </row>
    <row r="124" spans="18:18" x14ac:dyDescent="0.2">
      <c r="R124" s="21"/>
    </row>
    <row r="125" spans="18:18" x14ac:dyDescent="0.2">
      <c r="R125" s="21"/>
    </row>
    <row r="126" spans="18:18" x14ac:dyDescent="0.2">
      <c r="R126" s="21"/>
    </row>
    <row r="127" spans="18:18" x14ac:dyDescent="0.2">
      <c r="R127" s="21"/>
    </row>
    <row r="128" spans="18:18" x14ac:dyDescent="0.2">
      <c r="R128" s="21"/>
    </row>
    <row r="129" spans="14:18" x14ac:dyDescent="0.2">
      <c r="R129" s="21"/>
    </row>
    <row r="130" spans="14:18" x14ac:dyDescent="0.2">
      <c r="R130" s="21"/>
    </row>
    <row r="131" spans="14:18" x14ac:dyDescent="0.2">
      <c r="R131" s="21"/>
    </row>
    <row r="132" spans="14:18" x14ac:dyDescent="0.2">
      <c r="R132" s="21"/>
    </row>
    <row r="133" spans="14:18" x14ac:dyDescent="0.2">
      <c r="R133" s="21"/>
    </row>
    <row r="134" spans="14:18" x14ac:dyDescent="0.2">
      <c r="R134" s="21"/>
    </row>
    <row r="135" spans="14:18" x14ac:dyDescent="0.2">
      <c r="R135" s="21"/>
    </row>
    <row r="136" spans="14:18" x14ac:dyDescent="0.2">
      <c r="R136" s="21"/>
    </row>
    <row r="137" spans="14:18" x14ac:dyDescent="0.2">
      <c r="R137" s="21"/>
    </row>
    <row r="138" spans="14:18" x14ac:dyDescent="0.2">
      <c r="R138" s="21"/>
    </row>
    <row r="139" spans="14:18" x14ac:dyDescent="0.2">
      <c r="R139" s="21"/>
    </row>
    <row r="140" spans="14:18" x14ac:dyDescent="0.2">
      <c r="R140" s="21"/>
    </row>
    <row r="141" spans="14:18" x14ac:dyDescent="0.2">
      <c r="N141" s="48"/>
      <c r="R141" s="21"/>
    </row>
    <row r="142" spans="14:18" x14ac:dyDescent="0.2">
      <c r="N142" s="48"/>
      <c r="R142" s="21"/>
    </row>
    <row r="143" spans="14:18" x14ac:dyDescent="0.2">
      <c r="N143" s="48"/>
      <c r="R143" s="21"/>
    </row>
    <row r="144" spans="14:18" x14ac:dyDescent="0.2">
      <c r="N144" s="48"/>
      <c r="R144" s="21"/>
    </row>
    <row r="145" spans="14:18" x14ac:dyDescent="0.2">
      <c r="N145" s="48"/>
      <c r="R145" s="21"/>
    </row>
    <row r="146" spans="14:18" x14ac:dyDescent="0.2">
      <c r="N146" s="48"/>
      <c r="R146" s="21"/>
    </row>
    <row r="147" spans="14:18" x14ac:dyDescent="0.2">
      <c r="N147" s="48"/>
      <c r="R147" s="21"/>
    </row>
    <row r="148" spans="14:18" x14ac:dyDescent="0.2">
      <c r="N148" s="48"/>
      <c r="R148" s="21"/>
    </row>
    <row r="149" spans="14:18" x14ac:dyDescent="0.2">
      <c r="N149" s="48"/>
      <c r="R149" s="21"/>
    </row>
    <row r="150" spans="14:18" x14ac:dyDescent="0.2">
      <c r="N150" s="48"/>
      <c r="R150" s="21"/>
    </row>
    <row r="151" spans="14:18" x14ac:dyDescent="0.2">
      <c r="N151" s="48"/>
      <c r="R151" s="21"/>
    </row>
    <row r="152" spans="14:18" x14ac:dyDescent="0.2">
      <c r="N152" s="48"/>
      <c r="R152" s="21"/>
    </row>
    <row r="153" spans="14:18" x14ac:dyDescent="0.2">
      <c r="N153" s="41"/>
      <c r="P153" s="17"/>
      <c r="R153" s="21"/>
    </row>
    <row r="154" spans="14:18" x14ac:dyDescent="0.2">
      <c r="N154" s="41"/>
      <c r="P154" s="17"/>
      <c r="R154" s="21"/>
    </row>
    <row r="155" spans="14:18" x14ac:dyDescent="0.2">
      <c r="N155" s="41"/>
      <c r="P155" s="17"/>
      <c r="R155" s="21"/>
    </row>
    <row r="156" spans="14:18" x14ac:dyDescent="0.2">
      <c r="N156" s="41"/>
      <c r="P156" s="17"/>
      <c r="R156" s="21"/>
    </row>
    <row r="157" spans="14:18" x14ac:dyDescent="0.2">
      <c r="N157" s="41"/>
      <c r="P157" s="17"/>
      <c r="R157" s="21"/>
    </row>
    <row r="158" spans="14:18" x14ac:dyDescent="0.2">
      <c r="N158" s="41"/>
      <c r="R158" s="21"/>
    </row>
    <row r="159" spans="14:18" x14ac:dyDescent="0.2">
      <c r="N159" s="41"/>
      <c r="R159" s="21"/>
    </row>
    <row r="160" spans="14:18" x14ac:dyDescent="0.2">
      <c r="N160" s="41"/>
      <c r="R160" s="21"/>
    </row>
    <row r="161" spans="14:18" x14ac:dyDescent="0.2">
      <c r="N161" s="41"/>
      <c r="R161" s="21"/>
    </row>
    <row r="162" spans="14:18" x14ac:dyDescent="0.2">
      <c r="N162" s="41"/>
      <c r="R162" s="21"/>
    </row>
    <row r="163" spans="14:18" x14ac:dyDescent="0.2">
      <c r="N163" s="41"/>
      <c r="R163" s="21"/>
    </row>
    <row r="164" spans="14:18" x14ac:dyDescent="0.2">
      <c r="N164" s="41"/>
      <c r="R164" s="21"/>
    </row>
    <row r="165" spans="14:18" x14ac:dyDescent="0.2">
      <c r="N165" s="41"/>
      <c r="R165" s="21"/>
    </row>
    <row r="166" spans="14:18" x14ac:dyDescent="0.2">
      <c r="N166" s="41"/>
      <c r="R166" s="21"/>
    </row>
    <row r="167" spans="14:18" x14ac:dyDescent="0.2">
      <c r="N167" s="41"/>
      <c r="R167" s="21"/>
    </row>
    <row r="168" spans="14:18" x14ac:dyDescent="0.2">
      <c r="N168" s="41"/>
      <c r="R168" s="21"/>
    </row>
    <row r="169" spans="14:18" x14ac:dyDescent="0.2">
      <c r="N169" s="41"/>
      <c r="R169" s="21"/>
    </row>
    <row r="170" spans="14:18" x14ac:dyDescent="0.2">
      <c r="R170" s="21"/>
    </row>
    <row r="171" spans="14:18" x14ac:dyDescent="0.2">
      <c r="R171" s="21"/>
    </row>
    <row r="172" spans="14:18" x14ac:dyDescent="0.2">
      <c r="R172" s="21"/>
    </row>
    <row r="173" spans="14:18" x14ac:dyDescent="0.2">
      <c r="R173" s="21"/>
    </row>
    <row r="174" spans="14:18" x14ac:dyDescent="0.2">
      <c r="R174" s="21"/>
    </row>
    <row r="175" spans="14:18" x14ac:dyDescent="0.2">
      <c r="R175" s="21"/>
    </row>
    <row r="176" spans="14:18" x14ac:dyDescent="0.2">
      <c r="R176" s="21"/>
    </row>
    <row r="177" spans="15:18" x14ac:dyDescent="0.2">
      <c r="R177" s="21"/>
    </row>
    <row r="178" spans="15:18" x14ac:dyDescent="0.2">
      <c r="R178" s="21"/>
    </row>
    <row r="179" spans="15:18" x14ac:dyDescent="0.2">
      <c r="R179" s="21"/>
    </row>
    <row r="180" spans="15:18" x14ac:dyDescent="0.2">
      <c r="R180" s="21"/>
    </row>
    <row r="181" spans="15:18" x14ac:dyDescent="0.2">
      <c r="R181" s="21"/>
    </row>
    <row r="182" spans="15:18" x14ac:dyDescent="0.2">
      <c r="R182" s="21"/>
    </row>
    <row r="183" spans="15:18" x14ac:dyDescent="0.2">
      <c r="R183" s="21"/>
    </row>
    <row r="184" spans="15:18" x14ac:dyDescent="0.2">
      <c r="R184" s="21"/>
    </row>
    <row r="185" spans="15:18" x14ac:dyDescent="0.2">
      <c r="R185" s="21"/>
    </row>
    <row r="186" spans="15:18" x14ac:dyDescent="0.2">
      <c r="R186" s="21"/>
    </row>
    <row r="187" spans="15:18" x14ac:dyDescent="0.2">
      <c r="R187" s="21"/>
    </row>
    <row r="188" spans="15:18" x14ac:dyDescent="0.2">
      <c r="R188" s="21"/>
    </row>
    <row r="189" spans="15:18" x14ac:dyDescent="0.2">
      <c r="R189" s="21"/>
    </row>
    <row r="190" spans="15:18" x14ac:dyDescent="0.2">
      <c r="R190" s="21"/>
    </row>
    <row r="191" spans="15:18" x14ac:dyDescent="0.2">
      <c r="R191" s="21"/>
    </row>
    <row r="192" spans="15:18" x14ac:dyDescent="0.2">
      <c r="O192" s="41"/>
      <c r="R192" s="21"/>
    </row>
    <row r="193" spans="18:18" x14ac:dyDescent="0.2">
      <c r="R193" s="21"/>
    </row>
    <row r="194" spans="18:18" x14ac:dyDescent="0.2">
      <c r="R194" s="21"/>
    </row>
    <row r="195" spans="18:18" x14ac:dyDescent="0.2">
      <c r="R195" s="21"/>
    </row>
    <row r="196" spans="18:18" x14ac:dyDescent="0.2">
      <c r="R196" s="21"/>
    </row>
    <row r="197" spans="18:18" x14ac:dyDescent="0.2">
      <c r="R197" s="21"/>
    </row>
    <row r="198" spans="18:18" x14ac:dyDescent="0.2">
      <c r="R198" s="21"/>
    </row>
    <row r="199" spans="18:18" x14ac:dyDescent="0.2">
      <c r="R199" s="21"/>
    </row>
    <row r="200" spans="18:18" x14ac:dyDescent="0.2">
      <c r="R200" s="21"/>
    </row>
    <row r="201" spans="18:18" x14ac:dyDescent="0.2">
      <c r="R201" s="21"/>
    </row>
    <row r="202" spans="18:18" x14ac:dyDescent="0.2">
      <c r="R202" s="21"/>
    </row>
    <row r="203" spans="18:18" x14ac:dyDescent="0.2">
      <c r="R203" s="21"/>
    </row>
    <row r="204" spans="18:18" x14ac:dyDescent="0.2">
      <c r="R204" s="21"/>
    </row>
    <row r="205" spans="18:18" x14ac:dyDescent="0.2">
      <c r="R205" s="21"/>
    </row>
    <row r="206" spans="18:18" x14ac:dyDescent="0.2">
      <c r="R206" s="21"/>
    </row>
    <row r="207" spans="18:18" x14ac:dyDescent="0.2">
      <c r="R207" s="21"/>
    </row>
    <row r="208" spans="18:18" x14ac:dyDescent="0.2">
      <c r="R208" s="21"/>
    </row>
    <row r="209" spans="18:18" x14ac:dyDescent="0.2">
      <c r="R209" s="21"/>
    </row>
    <row r="210" spans="18:18" x14ac:dyDescent="0.2">
      <c r="R210" s="21"/>
    </row>
    <row r="211" spans="18:18" x14ac:dyDescent="0.2">
      <c r="R211" s="21"/>
    </row>
    <row r="212" spans="18:18" x14ac:dyDescent="0.2">
      <c r="R212" s="21"/>
    </row>
    <row r="213" spans="18:18" x14ac:dyDescent="0.2">
      <c r="R213" s="21"/>
    </row>
    <row r="214" spans="18:18" x14ac:dyDescent="0.2">
      <c r="R214" s="21"/>
    </row>
    <row r="215" spans="18:18" x14ac:dyDescent="0.2">
      <c r="R215" s="21"/>
    </row>
    <row r="216" spans="18:18" x14ac:dyDescent="0.2">
      <c r="R216" s="21"/>
    </row>
    <row r="217" spans="18:18" x14ac:dyDescent="0.2">
      <c r="R217" s="21"/>
    </row>
    <row r="218" spans="18:18" x14ac:dyDescent="0.2">
      <c r="R218" s="21"/>
    </row>
    <row r="219" spans="18:18" x14ac:dyDescent="0.2">
      <c r="R219" s="21"/>
    </row>
    <row r="220" spans="18:18" x14ac:dyDescent="0.2">
      <c r="R220" s="21"/>
    </row>
    <row r="221" spans="18:18" x14ac:dyDescent="0.2">
      <c r="R221" s="21"/>
    </row>
    <row r="222" spans="18:18" x14ac:dyDescent="0.2">
      <c r="R222" s="21"/>
    </row>
    <row r="223" spans="18:18" x14ac:dyDescent="0.2">
      <c r="R223" s="21"/>
    </row>
    <row r="224" spans="18:18" x14ac:dyDescent="0.2">
      <c r="R224" s="21"/>
    </row>
    <row r="225" spans="18:18" x14ac:dyDescent="0.2">
      <c r="R225" s="21"/>
    </row>
    <row r="226" spans="18:18" x14ac:dyDescent="0.2">
      <c r="R226" s="21"/>
    </row>
    <row r="227" spans="18:18" x14ac:dyDescent="0.2">
      <c r="R227" s="21"/>
    </row>
    <row r="228" spans="18:18" x14ac:dyDescent="0.2">
      <c r="R228" s="21"/>
    </row>
    <row r="229" spans="18:18" x14ac:dyDescent="0.2">
      <c r="R229" s="21"/>
    </row>
    <row r="230" spans="18:18" x14ac:dyDescent="0.2">
      <c r="R230" s="21"/>
    </row>
    <row r="231" spans="18:18" x14ac:dyDescent="0.2">
      <c r="R231" s="21"/>
    </row>
    <row r="232" spans="18:18" x14ac:dyDescent="0.2">
      <c r="R232" s="21"/>
    </row>
    <row r="233" spans="18:18" x14ac:dyDescent="0.2">
      <c r="R233" s="21"/>
    </row>
    <row r="234" spans="18:18" x14ac:dyDescent="0.2">
      <c r="R234" s="21"/>
    </row>
    <row r="235" spans="18:18" x14ac:dyDescent="0.2">
      <c r="R235" s="21"/>
    </row>
    <row r="236" spans="18:18" x14ac:dyDescent="0.2">
      <c r="R236" s="21"/>
    </row>
    <row r="237" spans="18:18" x14ac:dyDescent="0.2">
      <c r="R237" s="21"/>
    </row>
    <row r="238" spans="18:18" x14ac:dyDescent="0.2">
      <c r="R238" s="21"/>
    </row>
    <row r="239" spans="18:18" x14ac:dyDescent="0.2">
      <c r="R239" s="21"/>
    </row>
    <row r="240" spans="18:18" x14ac:dyDescent="0.2">
      <c r="R240" s="21"/>
    </row>
    <row r="241" spans="18:18" x14ac:dyDescent="0.2">
      <c r="R241" s="21"/>
    </row>
    <row r="242" spans="18:18" x14ac:dyDescent="0.2">
      <c r="R242" s="21"/>
    </row>
    <row r="243" spans="18:18" x14ac:dyDescent="0.2">
      <c r="R243" s="21"/>
    </row>
    <row r="244" spans="18:18" x14ac:dyDescent="0.2">
      <c r="R244" s="21"/>
    </row>
    <row r="245" spans="18:18" x14ac:dyDescent="0.2">
      <c r="R245" s="21"/>
    </row>
    <row r="246" spans="18:18" x14ac:dyDescent="0.2">
      <c r="R246" s="21"/>
    </row>
    <row r="247" spans="18:18" x14ac:dyDescent="0.2">
      <c r="R247" s="21"/>
    </row>
    <row r="248" spans="18:18" x14ac:dyDescent="0.2">
      <c r="R248" s="21"/>
    </row>
    <row r="249" spans="18:18" x14ac:dyDescent="0.2">
      <c r="R249" s="21"/>
    </row>
    <row r="250" spans="18:18" x14ac:dyDescent="0.2">
      <c r="R250" s="21"/>
    </row>
    <row r="251" spans="18:18" x14ac:dyDescent="0.2">
      <c r="R251" s="21"/>
    </row>
    <row r="252" spans="18:18" x14ac:dyDescent="0.2">
      <c r="R252" s="21"/>
    </row>
    <row r="253" spans="18:18" x14ac:dyDescent="0.2">
      <c r="R253" s="21"/>
    </row>
    <row r="254" spans="18:18" x14ac:dyDescent="0.2">
      <c r="R254" s="21"/>
    </row>
    <row r="255" spans="18:18" x14ac:dyDescent="0.2">
      <c r="R255" s="21"/>
    </row>
    <row r="256" spans="18:18" x14ac:dyDescent="0.2">
      <c r="R256" s="21"/>
    </row>
    <row r="257" spans="18:18" x14ac:dyDescent="0.2">
      <c r="R257" s="21"/>
    </row>
    <row r="258" spans="18:18" x14ac:dyDescent="0.2">
      <c r="R258" s="21"/>
    </row>
    <row r="259" spans="18:18" x14ac:dyDescent="0.2">
      <c r="R259" s="21"/>
    </row>
    <row r="260" spans="18:18" x14ac:dyDescent="0.2">
      <c r="R260" s="21"/>
    </row>
    <row r="261" spans="18:18" x14ac:dyDescent="0.2">
      <c r="R261" s="21"/>
    </row>
    <row r="262" spans="18:18" x14ac:dyDescent="0.2">
      <c r="R262" s="21"/>
    </row>
    <row r="263" spans="18:18" x14ac:dyDescent="0.2">
      <c r="R263" s="21"/>
    </row>
    <row r="264" spans="18:18" x14ac:dyDescent="0.2">
      <c r="R264" s="21"/>
    </row>
    <row r="265" spans="18:18" x14ac:dyDescent="0.2">
      <c r="R265" s="21"/>
    </row>
    <row r="266" spans="18:18" x14ac:dyDescent="0.2">
      <c r="R266" s="21"/>
    </row>
    <row r="267" spans="18:18" x14ac:dyDescent="0.2">
      <c r="R267" s="21"/>
    </row>
    <row r="268" spans="18:18" x14ac:dyDescent="0.2">
      <c r="R268" s="21"/>
    </row>
    <row r="269" spans="18:18" x14ac:dyDescent="0.2">
      <c r="R269" s="21"/>
    </row>
    <row r="270" spans="18:18" x14ac:dyDescent="0.2">
      <c r="R270" s="21"/>
    </row>
    <row r="271" spans="18:18" x14ac:dyDescent="0.2">
      <c r="R271" s="21"/>
    </row>
    <row r="272" spans="18:18" x14ac:dyDescent="0.2">
      <c r="R272" s="21"/>
    </row>
    <row r="273" spans="18:18" x14ac:dyDescent="0.2">
      <c r="R273" s="21"/>
    </row>
    <row r="274" spans="18:18" x14ac:dyDescent="0.2">
      <c r="R274" s="21"/>
    </row>
    <row r="275" spans="18:18" x14ac:dyDescent="0.2">
      <c r="R275" s="21"/>
    </row>
    <row r="276" spans="18:18" x14ac:dyDescent="0.2">
      <c r="R276" s="21"/>
    </row>
    <row r="277" spans="18:18" x14ac:dyDescent="0.2">
      <c r="R277" s="21"/>
    </row>
    <row r="278" spans="18:18" x14ac:dyDescent="0.2">
      <c r="R278" s="21"/>
    </row>
    <row r="279" spans="18:18" x14ac:dyDescent="0.2">
      <c r="R279" s="21"/>
    </row>
    <row r="280" spans="18:18" x14ac:dyDescent="0.2">
      <c r="R280" s="21"/>
    </row>
    <row r="281" spans="18:18" x14ac:dyDescent="0.2">
      <c r="R281" s="21"/>
    </row>
    <row r="282" spans="18:18" x14ac:dyDescent="0.2">
      <c r="R282" s="21"/>
    </row>
    <row r="283" spans="18:18" x14ac:dyDescent="0.2">
      <c r="R283" s="21"/>
    </row>
    <row r="284" spans="18:18" x14ac:dyDescent="0.2">
      <c r="R284" s="21"/>
    </row>
    <row r="285" spans="18:18" x14ac:dyDescent="0.2">
      <c r="R285" s="21"/>
    </row>
    <row r="286" spans="18:18" x14ac:dyDescent="0.2">
      <c r="R286" s="21"/>
    </row>
    <row r="287" spans="18:18" x14ac:dyDescent="0.2">
      <c r="R287" s="21"/>
    </row>
    <row r="288" spans="18:18" x14ac:dyDescent="0.2">
      <c r="R288" s="21"/>
    </row>
    <row r="289" spans="18:18" x14ac:dyDescent="0.2">
      <c r="R289" s="21"/>
    </row>
    <row r="290" spans="18:18" x14ac:dyDescent="0.2">
      <c r="R290" s="21"/>
    </row>
    <row r="291" spans="18:18" x14ac:dyDescent="0.2">
      <c r="R291" s="21"/>
    </row>
    <row r="292" spans="18:18" x14ac:dyDescent="0.2">
      <c r="R292" s="21"/>
    </row>
    <row r="293" spans="18:18" x14ac:dyDescent="0.2">
      <c r="R293" s="21"/>
    </row>
    <row r="294" spans="18:18" x14ac:dyDescent="0.2">
      <c r="R294" s="21"/>
    </row>
    <row r="295" spans="18:18" x14ac:dyDescent="0.2">
      <c r="R295" s="21"/>
    </row>
    <row r="296" spans="18:18" x14ac:dyDescent="0.2">
      <c r="R296" s="21"/>
    </row>
    <row r="297" spans="18:18" x14ac:dyDescent="0.2">
      <c r="R297" s="21"/>
    </row>
    <row r="298" spans="18:18" x14ac:dyDescent="0.2">
      <c r="R298" s="21"/>
    </row>
    <row r="299" spans="18:18" x14ac:dyDescent="0.2">
      <c r="R299" s="21"/>
    </row>
    <row r="300" spans="18:18" x14ac:dyDescent="0.2">
      <c r="R300" s="21"/>
    </row>
    <row r="301" spans="18:18" x14ac:dyDescent="0.2">
      <c r="R301" s="21"/>
    </row>
    <row r="302" spans="18:18" x14ac:dyDescent="0.2">
      <c r="R302" s="21"/>
    </row>
    <row r="303" spans="18:18" x14ac:dyDescent="0.2">
      <c r="R303" s="21"/>
    </row>
    <row r="304" spans="18:18" x14ac:dyDescent="0.2">
      <c r="R304" s="21"/>
    </row>
    <row r="305" spans="18:18" x14ac:dyDescent="0.2">
      <c r="R305" s="21"/>
    </row>
    <row r="306" spans="18:18" x14ac:dyDescent="0.2">
      <c r="R306" s="21"/>
    </row>
    <row r="307" spans="18:18" x14ac:dyDescent="0.2">
      <c r="R307" s="21"/>
    </row>
    <row r="308" spans="18:18" x14ac:dyDescent="0.2">
      <c r="R308" s="21"/>
    </row>
    <row r="309" spans="18:18" x14ac:dyDescent="0.2">
      <c r="R309" s="21"/>
    </row>
    <row r="310" spans="18:18" x14ac:dyDescent="0.2">
      <c r="R310" s="21"/>
    </row>
    <row r="311" spans="18:18" x14ac:dyDescent="0.2">
      <c r="R311" s="21"/>
    </row>
    <row r="312" spans="18:18" x14ac:dyDescent="0.2">
      <c r="R312" s="21"/>
    </row>
    <row r="313" spans="18:18" x14ac:dyDescent="0.2">
      <c r="R313" s="21"/>
    </row>
    <row r="314" spans="18:18" x14ac:dyDescent="0.2">
      <c r="R314" s="21"/>
    </row>
    <row r="315" spans="18:18" x14ac:dyDescent="0.2">
      <c r="R315" s="21"/>
    </row>
    <row r="316" spans="18:18" x14ac:dyDescent="0.2">
      <c r="R316" s="21"/>
    </row>
    <row r="317" spans="18:18" x14ac:dyDescent="0.2">
      <c r="R317" s="21"/>
    </row>
    <row r="318" spans="18:18" x14ac:dyDescent="0.2">
      <c r="R318" s="21"/>
    </row>
    <row r="319" spans="18:18" x14ac:dyDescent="0.2">
      <c r="R319" s="21"/>
    </row>
    <row r="320" spans="18:18" x14ac:dyDescent="0.2">
      <c r="R320" s="21"/>
    </row>
    <row r="321" spans="18:18" x14ac:dyDescent="0.2">
      <c r="R321" s="21"/>
    </row>
    <row r="322" spans="18:18" x14ac:dyDescent="0.2">
      <c r="R322" s="21"/>
    </row>
    <row r="323" spans="18:18" x14ac:dyDescent="0.2">
      <c r="R323" s="21"/>
    </row>
    <row r="324" spans="18:18" x14ac:dyDescent="0.2">
      <c r="R324" s="21"/>
    </row>
    <row r="325" spans="18:18" x14ac:dyDescent="0.2">
      <c r="R325" s="21"/>
    </row>
    <row r="326" spans="18:18" x14ac:dyDescent="0.2">
      <c r="R326" s="21"/>
    </row>
    <row r="327" spans="18:18" x14ac:dyDescent="0.2">
      <c r="R327" s="21"/>
    </row>
    <row r="328" spans="18:18" x14ac:dyDescent="0.2">
      <c r="R328" s="21"/>
    </row>
    <row r="329" spans="18:18" x14ac:dyDescent="0.2">
      <c r="R329" s="21"/>
    </row>
    <row r="330" spans="18:18" x14ac:dyDescent="0.2">
      <c r="R330" s="21"/>
    </row>
    <row r="331" spans="18:18" x14ac:dyDescent="0.2">
      <c r="R331" s="21"/>
    </row>
    <row r="332" spans="18:18" x14ac:dyDescent="0.2">
      <c r="R332" s="21"/>
    </row>
    <row r="333" spans="18:18" x14ac:dyDescent="0.2">
      <c r="R333" s="21"/>
    </row>
    <row r="334" spans="18:18" x14ac:dyDescent="0.2">
      <c r="R334" s="21"/>
    </row>
    <row r="335" spans="18:18" x14ac:dyDescent="0.2">
      <c r="R335" s="21"/>
    </row>
    <row r="336" spans="18:18" x14ac:dyDescent="0.2">
      <c r="R336" s="21"/>
    </row>
    <row r="337" spans="18:18" x14ac:dyDescent="0.2">
      <c r="R337" s="21"/>
    </row>
    <row r="338" spans="18:18" x14ac:dyDescent="0.2">
      <c r="R338" s="21"/>
    </row>
    <row r="339" spans="18:18" x14ac:dyDescent="0.2">
      <c r="R339" s="21"/>
    </row>
    <row r="340" spans="18:18" x14ac:dyDescent="0.2">
      <c r="R340" s="21"/>
    </row>
    <row r="341" spans="18:18" x14ac:dyDescent="0.2">
      <c r="R341" s="21"/>
    </row>
    <row r="342" spans="18:18" x14ac:dyDescent="0.2">
      <c r="R342" s="21"/>
    </row>
    <row r="343" spans="18:18" x14ac:dyDescent="0.2">
      <c r="R343" s="21"/>
    </row>
    <row r="344" spans="18:18" x14ac:dyDescent="0.2">
      <c r="R344" s="21"/>
    </row>
    <row r="345" spans="18:18" x14ac:dyDescent="0.2">
      <c r="R345" s="21"/>
    </row>
    <row r="346" spans="18:18" x14ac:dyDescent="0.2">
      <c r="R346" s="21"/>
    </row>
    <row r="347" spans="18:18" x14ac:dyDescent="0.2">
      <c r="R347" s="21"/>
    </row>
    <row r="348" spans="18:18" x14ac:dyDescent="0.2">
      <c r="R348" s="21"/>
    </row>
    <row r="349" spans="18:18" x14ac:dyDescent="0.2">
      <c r="R349" s="21"/>
    </row>
    <row r="350" spans="18:18" x14ac:dyDescent="0.2">
      <c r="R350" s="21"/>
    </row>
    <row r="351" spans="18:18" x14ac:dyDescent="0.2">
      <c r="R351" s="21"/>
    </row>
    <row r="352" spans="18:18" x14ac:dyDescent="0.2">
      <c r="R352" s="21"/>
    </row>
    <row r="353" spans="18:18" x14ac:dyDescent="0.2">
      <c r="R353" s="21"/>
    </row>
    <row r="354" spans="18:18" x14ac:dyDescent="0.2">
      <c r="R354" s="21"/>
    </row>
    <row r="355" spans="18:18" x14ac:dyDescent="0.2">
      <c r="R355" s="21"/>
    </row>
    <row r="356" spans="18:18" x14ac:dyDescent="0.2">
      <c r="R356" s="21"/>
    </row>
    <row r="357" spans="18:18" x14ac:dyDescent="0.2">
      <c r="R357" s="21"/>
    </row>
    <row r="358" spans="18:18" x14ac:dyDescent="0.2">
      <c r="R358" s="21"/>
    </row>
    <row r="359" spans="18:18" x14ac:dyDescent="0.2">
      <c r="R359" s="21"/>
    </row>
    <row r="360" spans="18:18" x14ac:dyDescent="0.2">
      <c r="R360" s="21"/>
    </row>
    <row r="361" spans="18:18" x14ac:dyDescent="0.2">
      <c r="R361" s="21"/>
    </row>
    <row r="362" spans="18:18" x14ac:dyDescent="0.2">
      <c r="R362" s="21"/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0812"/>
  <sheetViews>
    <sheetView workbookViewId="0">
      <selection activeCell="A4" sqref="A4"/>
    </sheetView>
  </sheetViews>
  <sheetFormatPr defaultColWidth="9.140625" defaultRowHeight="11.25" x14ac:dyDescent="0.2"/>
  <cols>
    <col min="1" max="7" width="13.140625" style="38" customWidth="1"/>
    <col min="8" max="16384" width="9.140625" style="37"/>
  </cols>
  <sheetData>
    <row r="1" spans="1:9" x14ac:dyDescent="0.2">
      <c r="A1" s="36" t="s">
        <v>6</v>
      </c>
      <c r="B1" s="36" t="s">
        <v>16</v>
      </c>
      <c r="C1" s="36"/>
      <c r="D1" s="36" t="s">
        <v>25</v>
      </c>
      <c r="E1" s="36" t="s">
        <v>26</v>
      </c>
      <c r="F1" s="36" t="s">
        <v>27</v>
      </c>
      <c r="G1" s="36" t="s">
        <v>28</v>
      </c>
      <c r="H1" s="36" t="s">
        <v>29</v>
      </c>
      <c r="I1" s="36" t="s">
        <v>30</v>
      </c>
    </row>
    <row r="2" spans="1:9" x14ac:dyDescent="0.2">
      <c r="A2" s="49">
        <v>0.33754362791461234</v>
      </c>
      <c r="B2" s="49">
        <v>0.71379615755984105</v>
      </c>
      <c r="D2" s="38">
        <v>6</v>
      </c>
      <c r="E2" s="38">
        <v>0.09</v>
      </c>
      <c r="F2" s="38">
        <v>12</v>
      </c>
      <c r="G2" s="38">
        <v>0.09</v>
      </c>
    </row>
    <row r="3" spans="1:9" x14ac:dyDescent="0.2">
      <c r="A3" s="49">
        <v>0.31486739854188456</v>
      </c>
      <c r="B3" s="49">
        <v>0.60852240124594292</v>
      </c>
      <c r="D3" s="38">
        <v>6</v>
      </c>
      <c r="E3" s="38">
        <v>0.01</v>
      </c>
      <c r="F3" s="38">
        <v>5</v>
      </c>
      <c r="G3" s="38">
        <v>0.03</v>
      </c>
    </row>
    <row r="4" spans="1:9" x14ac:dyDescent="0.2">
      <c r="A4" s="49">
        <v>0.2830526721685529</v>
      </c>
      <c r="B4" s="49">
        <v>0.55933183147175347</v>
      </c>
      <c r="D4" s="38">
        <v>6</v>
      </c>
      <c r="E4" s="38">
        <v>6.0000000000000005E-2</v>
      </c>
      <c r="F4" s="38">
        <v>5</v>
      </c>
      <c r="G4" s="38">
        <v>9.9999999999999992E-2</v>
      </c>
    </row>
    <row r="5" spans="1:9" x14ac:dyDescent="0.2">
      <c r="A5" s="49"/>
      <c r="B5" s="49"/>
    </row>
    <row r="6" spans="1:9" x14ac:dyDescent="0.2">
      <c r="A6" s="49"/>
      <c r="B6" s="49"/>
    </row>
    <row r="7" spans="1:9" x14ac:dyDescent="0.2">
      <c r="A7" s="49"/>
      <c r="B7" s="49"/>
    </row>
    <row r="8" spans="1:9" x14ac:dyDescent="0.2">
      <c r="A8" s="49"/>
      <c r="B8" s="49"/>
    </row>
    <row r="9" spans="1:9" x14ac:dyDescent="0.2">
      <c r="A9" s="49"/>
      <c r="B9" s="49"/>
    </row>
    <row r="10" spans="1:9" x14ac:dyDescent="0.2">
      <c r="A10" s="49"/>
      <c r="B10" s="49"/>
    </row>
    <row r="11" spans="1:9" x14ac:dyDescent="0.2">
      <c r="A11" s="49"/>
      <c r="B11" s="49"/>
    </row>
    <row r="12" spans="1:9" x14ac:dyDescent="0.2">
      <c r="A12" s="49"/>
      <c r="B12" s="49"/>
    </row>
    <row r="13" spans="1:9" x14ac:dyDescent="0.2">
      <c r="A13" s="49"/>
      <c r="B13" s="49"/>
    </row>
    <row r="14" spans="1:9" x14ac:dyDescent="0.2">
      <c r="A14" s="49"/>
      <c r="B14" s="49"/>
    </row>
    <row r="15" spans="1:9" x14ac:dyDescent="0.2">
      <c r="A15" s="49"/>
      <c r="B15" s="49"/>
    </row>
    <row r="16" spans="1:9" x14ac:dyDescent="0.2">
      <c r="A16" s="49"/>
      <c r="B16" s="49"/>
    </row>
    <row r="17" spans="1:2" x14ac:dyDescent="0.2">
      <c r="A17" s="49"/>
      <c r="B17" s="49"/>
    </row>
    <row r="18" spans="1:2" x14ac:dyDescent="0.2">
      <c r="A18" s="49"/>
      <c r="B18" s="49"/>
    </row>
    <row r="19" spans="1:2" x14ac:dyDescent="0.2">
      <c r="A19" s="49"/>
      <c r="B19" s="49"/>
    </row>
    <row r="20" spans="1:2" x14ac:dyDescent="0.2">
      <c r="A20" s="49"/>
      <c r="B20" s="49"/>
    </row>
    <row r="21" spans="1:2" x14ac:dyDescent="0.2">
      <c r="A21" s="49"/>
      <c r="B21" s="49"/>
    </row>
    <row r="22" spans="1:2" x14ac:dyDescent="0.2">
      <c r="A22" s="49"/>
      <c r="B22" s="49"/>
    </row>
    <row r="23" spans="1:2" x14ac:dyDescent="0.2">
      <c r="A23" s="49"/>
      <c r="B23" s="49"/>
    </row>
    <row r="24" spans="1:2" x14ac:dyDescent="0.2">
      <c r="A24" s="49"/>
      <c r="B24" s="49"/>
    </row>
    <row r="25" spans="1:2" x14ac:dyDescent="0.2">
      <c r="A25" s="49"/>
      <c r="B25" s="49"/>
    </row>
    <row r="26" spans="1:2" x14ac:dyDescent="0.2">
      <c r="A26" s="49"/>
      <c r="B26" s="49"/>
    </row>
    <row r="27" spans="1:2" x14ac:dyDescent="0.2">
      <c r="A27" s="49"/>
      <c r="B27" s="49"/>
    </row>
    <row r="28" spans="1:2" x14ac:dyDescent="0.2">
      <c r="A28" s="49"/>
      <c r="B28" s="49"/>
    </row>
    <row r="29" spans="1:2" x14ac:dyDescent="0.2">
      <c r="A29" s="49"/>
      <c r="B29" s="49"/>
    </row>
    <row r="30" spans="1:2" x14ac:dyDescent="0.2">
      <c r="A30" s="49"/>
      <c r="B30" s="49"/>
    </row>
    <row r="31" spans="1:2" x14ac:dyDescent="0.2">
      <c r="A31" s="49"/>
      <c r="B31" s="49"/>
    </row>
    <row r="32" spans="1:2" x14ac:dyDescent="0.2">
      <c r="A32" s="49"/>
      <c r="B32" s="49"/>
    </row>
    <row r="33" spans="1:2" x14ac:dyDescent="0.2">
      <c r="A33" s="49"/>
      <c r="B33" s="49"/>
    </row>
    <row r="34" spans="1:2" x14ac:dyDescent="0.2">
      <c r="A34" s="49"/>
      <c r="B34" s="49"/>
    </row>
    <row r="35" spans="1:2" x14ac:dyDescent="0.2">
      <c r="A35" s="49"/>
      <c r="B35" s="49"/>
    </row>
    <row r="36" spans="1:2" x14ac:dyDescent="0.2">
      <c r="A36" s="49"/>
      <c r="B36" s="49"/>
    </row>
    <row r="37" spans="1:2" x14ac:dyDescent="0.2">
      <c r="A37" s="49"/>
      <c r="B37" s="49"/>
    </row>
    <row r="38" spans="1:2" x14ac:dyDescent="0.2">
      <c r="A38" s="49"/>
      <c r="B38" s="49"/>
    </row>
    <row r="39" spans="1:2" x14ac:dyDescent="0.2">
      <c r="A39" s="49"/>
      <c r="B39" s="49"/>
    </row>
    <row r="40" spans="1:2" x14ac:dyDescent="0.2">
      <c r="A40" s="49"/>
      <c r="B40" s="49"/>
    </row>
    <row r="41" spans="1:2" x14ac:dyDescent="0.2">
      <c r="A41" s="49"/>
      <c r="B41" s="49"/>
    </row>
    <row r="42" spans="1:2" x14ac:dyDescent="0.2">
      <c r="A42" s="49"/>
      <c r="B42" s="49"/>
    </row>
    <row r="43" spans="1:2" x14ac:dyDescent="0.2">
      <c r="A43" s="49"/>
      <c r="B43" s="49"/>
    </row>
    <row r="44" spans="1:2" x14ac:dyDescent="0.2">
      <c r="A44" s="49"/>
      <c r="B44" s="49"/>
    </row>
    <row r="45" spans="1:2" x14ac:dyDescent="0.2">
      <c r="A45" s="49"/>
      <c r="B45" s="49"/>
    </row>
    <row r="46" spans="1:2" x14ac:dyDescent="0.2">
      <c r="A46" s="49"/>
      <c r="B46" s="49"/>
    </row>
    <row r="47" spans="1:2" x14ac:dyDescent="0.2">
      <c r="A47" s="49"/>
      <c r="B47" s="49"/>
    </row>
    <row r="48" spans="1:2" x14ac:dyDescent="0.2">
      <c r="A48" s="49"/>
      <c r="B48" s="49"/>
    </row>
    <row r="49" spans="1:7" x14ac:dyDescent="0.2">
      <c r="A49" s="49"/>
      <c r="B49" s="49"/>
    </row>
    <row r="50" spans="1:7" x14ac:dyDescent="0.2">
      <c r="A50" s="49"/>
      <c r="B50" s="49"/>
    </row>
    <row r="51" spans="1:7" x14ac:dyDescent="0.2">
      <c r="A51" s="49"/>
      <c r="B51" s="49"/>
      <c r="C51" s="49"/>
      <c r="D51" s="49"/>
      <c r="E51" s="49"/>
      <c r="F51" s="49"/>
      <c r="G51" s="49"/>
    </row>
    <row r="52" spans="1:7" x14ac:dyDescent="0.2">
      <c r="A52" s="49"/>
      <c r="B52" s="49"/>
    </row>
    <row r="53" spans="1:7" x14ac:dyDescent="0.2">
      <c r="A53" s="49"/>
      <c r="B53" s="49"/>
    </row>
    <row r="54" spans="1:7" x14ac:dyDescent="0.2">
      <c r="A54" s="49"/>
      <c r="B54" s="49"/>
    </row>
    <row r="55" spans="1:7" x14ac:dyDescent="0.2">
      <c r="A55" s="49"/>
      <c r="B55" s="49"/>
    </row>
    <row r="56" spans="1:7" x14ac:dyDescent="0.2">
      <c r="A56" s="49"/>
      <c r="B56" s="49"/>
    </row>
    <row r="57" spans="1:7" x14ac:dyDescent="0.2">
      <c r="A57" s="49"/>
      <c r="B57" s="49"/>
    </row>
    <row r="58" spans="1:7" x14ac:dyDescent="0.2">
      <c r="A58" s="49"/>
      <c r="B58" s="49"/>
    </row>
    <row r="59" spans="1:7" x14ac:dyDescent="0.2">
      <c r="A59" s="49"/>
      <c r="B59" s="49"/>
    </row>
    <row r="60" spans="1:7" x14ac:dyDescent="0.2">
      <c r="A60" s="49"/>
      <c r="B60" s="49"/>
    </row>
    <row r="61" spans="1:7" x14ac:dyDescent="0.2">
      <c r="A61" s="49"/>
      <c r="B61" s="49"/>
    </row>
    <row r="62" spans="1:7" x14ac:dyDescent="0.2">
      <c r="A62" s="49"/>
      <c r="B62" s="49"/>
    </row>
    <row r="63" spans="1:7" x14ac:dyDescent="0.2">
      <c r="A63" s="49"/>
      <c r="B63" s="49"/>
    </row>
    <row r="64" spans="1:7" x14ac:dyDescent="0.2">
      <c r="A64" s="49"/>
      <c r="B64" s="49"/>
    </row>
    <row r="65" spans="1:2" x14ac:dyDescent="0.2">
      <c r="A65" s="49"/>
      <c r="B65" s="49"/>
    </row>
    <row r="66" spans="1:2" x14ac:dyDescent="0.2">
      <c r="A66" s="49"/>
      <c r="B66" s="49"/>
    </row>
    <row r="67" spans="1:2" x14ac:dyDescent="0.2">
      <c r="A67" s="49"/>
      <c r="B67" s="49"/>
    </row>
    <row r="68" spans="1:2" x14ac:dyDescent="0.2">
      <c r="A68" s="49"/>
      <c r="B68" s="49"/>
    </row>
    <row r="69" spans="1:2" x14ac:dyDescent="0.2">
      <c r="A69" s="49"/>
      <c r="B69" s="49"/>
    </row>
    <row r="70" spans="1:2" x14ac:dyDescent="0.2">
      <c r="A70" s="49"/>
      <c r="B70" s="49"/>
    </row>
    <row r="71" spans="1:2" x14ac:dyDescent="0.2">
      <c r="A71" s="49"/>
      <c r="B71" s="49"/>
    </row>
    <row r="72" spans="1:2" x14ac:dyDescent="0.2">
      <c r="A72" s="49"/>
      <c r="B72" s="49"/>
    </row>
    <row r="73" spans="1:2" x14ac:dyDescent="0.2">
      <c r="A73" s="49"/>
      <c r="B73" s="49"/>
    </row>
    <row r="74" spans="1:2" x14ac:dyDescent="0.2">
      <c r="A74" s="49"/>
      <c r="B74" s="49"/>
    </row>
    <row r="75" spans="1:2" x14ac:dyDescent="0.2">
      <c r="A75" s="49"/>
      <c r="B75" s="49"/>
    </row>
    <row r="76" spans="1:2" x14ac:dyDescent="0.2">
      <c r="A76" s="49"/>
      <c r="B76" s="49"/>
    </row>
    <row r="77" spans="1:2" x14ac:dyDescent="0.2">
      <c r="A77" s="49"/>
      <c r="B77" s="49"/>
    </row>
    <row r="78" spans="1:2" x14ac:dyDescent="0.2">
      <c r="A78" s="49"/>
      <c r="B78" s="49"/>
    </row>
    <row r="79" spans="1:2" x14ac:dyDescent="0.2">
      <c r="A79" s="49"/>
      <c r="B79" s="49"/>
    </row>
    <row r="80" spans="1:2" x14ac:dyDescent="0.2">
      <c r="A80" s="49"/>
      <c r="B80" s="49"/>
    </row>
    <row r="81" spans="1:2" x14ac:dyDescent="0.2">
      <c r="A81" s="49"/>
      <c r="B81" s="49"/>
    </row>
    <row r="82" spans="1:2" x14ac:dyDescent="0.2">
      <c r="A82" s="49"/>
      <c r="B82" s="49"/>
    </row>
    <row r="83" spans="1:2" x14ac:dyDescent="0.2">
      <c r="A83" s="49"/>
      <c r="B83" s="49"/>
    </row>
    <row r="84" spans="1:2" x14ac:dyDescent="0.2">
      <c r="A84" s="49"/>
      <c r="B84" s="49"/>
    </row>
    <row r="85" spans="1:2" x14ac:dyDescent="0.2">
      <c r="A85" s="49"/>
      <c r="B85" s="49"/>
    </row>
    <row r="86" spans="1:2" x14ac:dyDescent="0.2">
      <c r="A86" s="49"/>
      <c r="B86" s="49"/>
    </row>
    <row r="87" spans="1:2" x14ac:dyDescent="0.2">
      <c r="A87" s="49"/>
      <c r="B87" s="49"/>
    </row>
    <row r="88" spans="1:2" x14ac:dyDescent="0.2">
      <c r="A88" s="49"/>
      <c r="B88" s="49"/>
    </row>
    <row r="89" spans="1:2" x14ac:dyDescent="0.2">
      <c r="A89" s="49"/>
      <c r="B89" s="49"/>
    </row>
    <row r="90" spans="1:2" x14ac:dyDescent="0.2">
      <c r="A90" s="49"/>
      <c r="B90" s="49"/>
    </row>
    <row r="91" spans="1:2" x14ac:dyDescent="0.2">
      <c r="A91" s="49"/>
      <c r="B91" s="49"/>
    </row>
    <row r="92" spans="1:2" x14ac:dyDescent="0.2">
      <c r="A92" s="49"/>
      <c r="B92" s="49"/>
    </row>
    <row r="93" spans="1:2" x14ac:dyDescent="0.2">
      <c r="A93" s="49"/>
      <c r="B93" s="49"/>
    </row>
    <row r="94" spans="1:2" x14ac:dyDescent="0.2">
      <c r="A94" s="49"/>
      <c r="B94" s="49"/>
    </row>
    <row r="95" spans="1:2" x14ac:dyDescent="0.2">
      <c r="A95" s="49"/>
      <c r="B95" s="49"/>
    </row>
    <row r="96" spans="1:2" x14ac:dyDescent="0.2">
      <c r="A96" s="49"/>
      <c r="B96" s="49"/>
    </row>
    <row r="97" spans="1:2" x14ac:dyDescent="0.2">
      <c r="A97" s="49"/>
      <c r="B97" s="49"/>
    </row>
    <row r="98" spans="1:2" x14ac:dyDescent="0.2">
      <c r="A98" s="49"/>
      <c r="B98" s="49"/>
    </row>
    <row r="99" spans="1:2" x14ac:dyDescent="0.2">
      <c r="A99" s="49"/>
      <c r="B99" s="49"/>
    </row>
    <row r="100" spans="1:2" x14ac:dyDescent="0.2">
      <c r="A100" s="49"/>
      <c r="B100" s="49"/>
    </row>
    <row r="101" spans="1:2" x14ac:dyDescent="0.2">
      <c r="A101" s="49"/>
      <c r="B101" s="49"/>
    </row>
    <row r="102" spans="1:2" x14ac:dyDescent="0.2">
      <c r="A102" s="49"/>
      <c r="B102" s="49"/>
    </row>
    <row r="103" spans="1:2" x14ac:dyDescent="0.2">
      <c r="A103" s="49"/>
      <c r="B103" s="49"/>
    </row>
    <row r="104" spans="1:2" x14ac:dyDescent="0.2">
      <c r="A104" s="49"/>
      <c r="B104" s="49"/>
    </row>
    <row r="105" spans="1:2" x14ac:dyDescent="0.2">
      <c r="A105" s="49"/>
      <c r="B105" s="49"/>
    </row>
    <row r="106" spans="1:2" x14ac:dyDescent="0.2">
      <c r="A106" s="49"/>
      <c r="B106" s="49"/>
    </row>
    <row r="107" spans="1:2" x14ac:dyDescent="0.2">
      <c r="A107" s="49"/>
      <c r="B107" s="49"/>
    </row>
    <row r="108" spans="1:2" x14ac:dyDescent="0.2">
      <c r="A108" s="49"/>
      <c r="B108" s="49"/>
    </row>
    <row r="109" spans="1:2" x14ac:dyDescent="0.2">
      <c r="A109" s="49"/>
      <c r="B109" s="49"/>
    </row>
    <row r="110" spans="1:2" x14ac:dyDescent="0.2">
      <c r="A110" s="49"/>
      <c r="B110" s="49"/>
    </row>
    <row r="111" spans="1:2" x14ac:dyDescent="0.2">
      <c r="A111" s="49"/>
      <c r="B111" s="49"/>
    </row>
    <row r="112" spans="1:2" x14ac:dyDescent="0.2">
      <c r="A112" s="49"/>
      <c r="B112" s="49"/>
    </row>
    <row r="113" spans="1:2" x14ac:dyDescent="0.2">
      <c r="A113" s="49"/>
      <c r="B113" s="49"/>
    </row>
    <row r="114" spans="1:2" x14ac:dyDescent="0.2">
      <c r="A114" s="49"/>
      <c r="B114" s="49"/>
    </row>
    <row r="115" spans="1:2" x14ac:dyDescent="0.2">
      <c r="A115" s="49"/>
      <c r="B115" s="49"/>
    </row>
    <row r="116" spans="1:2" x14ac:dyDescent="0.2">
      <c r="A116" s="49"/>
      <c r="B116" s="49"/>
    </row>
    <row r="117" spans="1:2" x14ac:dyDescent="0.2">
      <c r="A117" s="49"/>
      <c r="B117" s="49"/>
    </row>
    <row r="118" spans="1:2" x14ac:dyDescent="0.2">
      <c r="A118" s="49"/>
      <c r="B118" s="49"/>
    </row>
    <row r="119" spans="1:2" x14ac:dyDescent="0.2">
      <c r="A119" s="49"/>
      <c r="B119" s="49"/>
    </row>
    <row r="120" spans="1:2" x14ac:dyDescent="0.2">
      <c r="A120" s="49"/>
      <c r="B120" s="49"/>
    </row>
    <row r="121" spans="1:2" x14ac:dyDescent="0.2">
      <c r="A121" s="49"/>
      <c r="B121" s="49"/>
    </row>
    <row r="122" spans="1:2" x14ac:dyDescent="0.2">
      <c r="A122" s="49"/>
      <c r="B122" s="49"/>
    </row>
    <row r="123" spans="1:2" x14ac:dyDescent="0.2">
      <c r="A123" s="49"/>
      <c r="B123" s="49"/>
    </row>
    <row r="124" spans="1:2" x14ac:dyDescent="0.2">
      <c r="A124" s="49"/>
      <c r="B124" s="49"/>
    </row>
    <row r="125" spans="1:2" x14ac:dyDescent="0.2">
      <c r="A125" s="49"/>
      <c r="B125" s="49"/>
    </row>
    <row r="126" spans="1:2" x14ac:dyDescent="0.2">
      <c r="A126" s="49"/>
      <c r="B126" s="49"/>
    </row>
    <row r="127" spans="1:2" x14ac:dyDescent="0.2">
      <c r="A127" s="49"/>
      <c r="B127" s="49"/>
    </row>
    <row r="128" spans="1:2" x14ac:dyDescent="0.2">
      <c r="A128" s="49"/>
      <c r="B128" s="49"/>
    </row>
    <row r="129" spans="1:2" x14ac:dyDescent="0.2">
      <c r="A129" s="49"/>
      <c r="B129" s="49"/>
    </row>
    <row r="130" spans="1:2" x14ac:dyDescent="0.2">
      <c r="A130" s="49"/>
      <c r="B130" s="49"/>
    </row>
    <row r="131" spans="1:2" x14ac:dyDescent="0.2">
      <c r="A131" s="49"/>
      <c r="B131" s="49"/>
    </row>
    <row r="132" spans="1:2" x14ac:dyDescent="0.2">
      <c r="A132" s="49"/>
      <c r="B132" s="49"/>
    </row>
    <row r="133" spans="1:2" x14ac:dyDescent="0.2">
      <c r="A133" s="49"/>
      <c r="B133" s="49"/>
    </row>
    <row r="134" spans="1:2" x14ac:dyDescent="0.2">
      <c r="A134" s="49"/>
      <c r="B134" s="49"/>
    </row>
    <row r="135" spans="1:2" x14ac:dyDescent="0.2">
      <c r="A135" s="49"/>
      <c r="B135" s="49"/>
    </row>
    <row r="136" spans="1:2" x14ac:dyDescent="0.2">
      <c r="A136" s="49"/>
      <c r="B136" s="49"/>
    </row>
    <row r="137" spans="1:2" x14ac:dyDescent="0.2">
      <c r="A137" s="49"/>
      <c r="B137" s="49"/>
    </row>
    <row r="138" spans="1:2" x14ac:dyDescent="0.2">
      <c r="A138" s="49"/>
      <c r="B138" s="49"/>
    </row>
    <row r="139" spans="1:2" x14ac:dyDescent="0.2">
      <c r="A139" s="49"/>
      <c r="B139" s="49"/>
    </row>
    <row r="140" spans="1:2" x14ac:dyDescent="0.2">
      <c r="A140" s="49"/>
      <c r="B140" s="49"/>
    </row>
    <row r="141" spans="1:2" x14ac:dyDescent="0.2">
      <c r="A141" s="49"/>
      <c r="B141" s="49"/>
    </row>
    <row r="142" spans="1:2" x14ac:dyDescent="0.2">
      <c r="A142" s="49"/>
      <c r="B142" s="49"/>
    </row>
    <row r="143" spans="1:2" x14ac:dyDescent="0.2">
      <c r="A143" s="49"/>
      <c r="B143" s="49"/>
    </row>
    <row r="144" spans="1:2" x14ac:dyDescent="0.2">
      <c r="A144" s="49"/>
      <c r="B144" s="49"/>
    </row>
    <row r="145" spans="1:2" x14ac:dyDescent="0.2">
      <c r="A145" s="49"/>
      <c r="B145" s="49"/>
    </row>
    <row r="146" spans="1:2" x14ac:dyDescent="0.2">
      <c r="A146" s="49"/>
      <c r="B146" s="49"/>
    </row>
    <row r="147" spans="1:2" x14ac:dyDescent="0.2">
      <c r="A147" s="49"/>
      <c r="B147" s="49"/>
    </row>
    <row r="148" spans="1:2" x14ac:dyDescent="0.2">
      <c r="A148" s="49"/>
      <c r="B148" s="49"/>
    </row>
    <row r="149" spans="1:2" x14ac:dyDescent="0.2">
      <c r="A149" s="49"/>
      <c r="B149" s="49"/>
    </row>
    <row r="150" spans="1:2" x14ac:dyDescent="0.2">
      <c r="A150" s="49"/>
      <c r="B150" s="49"/>
    </row>
    <row r="151" spans="1:2" x14ac:dyDescent="0.2">
      <c r="A151" s="49"/>
      <c r="B151" s="49"/>
    </row>
    <row r="152" spans="1:2" x14ac:dyDescent="0.2">
      <c r="A152" s="49"/>
      <c r="B152" s="49"/>
    </row>
    <row r="153" spans="1:2" x14ac:dyDescent="0.2">
      <c r="A153" s="49"/>
      <c r="B153" s="49"/>
    </row>
    <row r="154" spans="1:2" x14ac:dyDescent="0.2">
      <c r="A154" s="49"/>
      <c r="B154" s="49"/>
    </row>
    <row r="155" spans="1:2" x14ac:dyDescent="0.2">
      <c r="A155" s="49"/>
      <c r="B155" s="49"/>
    </row>
    <row r="156" spans="1:2" x14ac:dyDescent="0.2">
      <c r="A156" s="49"/>
      <c r="B156" s="49"/>
    </row>
    <row r="157" spans="1:2" x14ac:dyDescent="0.2">
      <c r="A157" s="49"/>
      <c r="B157" s="49"/>
    </row>
    <row r="158" spans="1:2" x14ac:dyDescent="0.2">
      <c r="A158" s="49"/>
      <c r="B158" s="49"/>
    </row>
    <row r="159" spans="1:2" x14ac:dyDescent="0.2">
      <c r="A159" s="49"/>
      <c r="B159" s="49"/>
    </row>
    <row r="160" spans="1:2" x14ac:dyDescent="0.2">
      <c r="A160" s="49"/>
      <c r="B160" s="49"/>
    </row>
    <row r="161" spans="1:2" x14ac:dyDescent="0.2">
      <c r="A161" s="49"/>
      <c r="B161" s="49"/>
    </row>
    <row r="162" spans="1:2" x14ac:dyDescent="0.2">
      <c r="A162" s="49"/>
      <c r="B162" s="49"/>
    </row>
    <row r="163" spans="1:2" x14ac:dyDescent="0.2">
      <c r="A163" s="49"/>
      <c r="B163" s="49"/>
    </row>
    <row r="164" spans="1:2" x14ac:dyDescent="0.2">
      <c r="A164" s="49"/>
      <c r="B164" s="49"/>
    </row>
    <row r="165" spans="1:2" x14ac:dyDescent="0.2">
      <c r="A165" s="49"/>
      <c r="B165" s="49"/>
    </row>
    <row r="166" spans="1:2" x14ac:dyDescent="0.2">
      <c r="A166" s="49"/>
      <c r="B166" s="49"/>
    </row>
    <row r="167" spans="1:2" x14ac:dyDescent="0.2">
      <c r="A167" s="49"/>
      <c r="B167" s="49"/>
    </row>
    <row r="168" spans="1:2" x14ac:dyDescent="0.2">
      <c r="A168" s="49"/>
      <c r="B168" s="49"/>
    </row>
    <row r="169" spans="1:2" x14ac:dyDescent="0.2">
      <c r="A169" s="49"/>
      <c r="B169" s="49"/>
    </row>
    <row r="170" spans="1:2" x14ac:dyDescent="0.2">
      <c r="A170" s="49"/>
      <c r="B170" s="49"/>
    </row>
    <row r="171" spans="1:2" x14ac:dyDescent="0.2">
      <c r="A171" s="49"/>
      <c r="B171" s="49"/>
    </row>
    <row r="172" spans="1:2" x14ac:dyDescent="0.2">
      <c r="A172" s="49"/>
      <c r="B172" s="49"/>
    </row>
    <row r="173" spans="1:2" x14ac:dyDescent="0.2">
      <c r="A173" s="49"/>
      <c r="B173" s="49"/>
    </row>
    <row r="174" spans="1:2" x14ac:dyDescent="0.2">
      <c r="A174" s="49"/>
      <c r="B174" s="49"/>
    </row>
    <row r="175" spans="1:2" x14ac:dyDescent="0.2">
      <c r="A175" s="49"/>
      <c r="B175" s="49"/>
    </row>
    <row r="176" spans="1:2" x14ac:dyDescent="0.2">
      <c r="A176" s="49"/>
      <c r="B176" s="49"/>
    </row>
    <row r="177" spans="1:2" x14ac:dyDescent="0.2">
      <c r="A177" s="49"/>
      <c r="B177" s="49"/>
    </row>
    <row r="178" spans="1:2" x14ac:dyDescent="0.2">
      <c r="A178" s="49"/>
      <c r="B178" s="49"/>
    </row>
    <row r="179" spans="1:2" x14ac:dyDescent="0.2">
      <c r="A179" s="49"/>
      <c r="B179" s="49"/>
    </row>
    <row r="180" spans="1:2" x14ac:dyDescent="0.2">
      <c r="A180" s="49"/>
      <c r="B180" s="49"/>
    </row>
    <row r="181" spans="1:2" x14ac:dyDescent="0.2">
      <c r="A181" s="49"/>
      <c r="B181" s="49"/>
    </row>
    <row r="182" spans="1:2" x14ac:dyDescent="0.2">
      <c r="A182" s="49"/>
      <c r="B182" s="49"/>
    </row>
    <row r="183" spans="1:2" x14ac:dyDescent="0.2">
      <c r="A183" s="49"/>
      <c r="B183" s="49"/>
    </row>
    <row r="184" spans="1:2" x14ac:dyDescent="0.2">
      <c r="A184" s="49"/>
      <c r="B184" s="49"/>
    </row>
    <row r="185" spans="1:2" x14ac:dyDescent="0.2">
      <c r="A185" s="49"/>
      <c r="B185" s="49"/>
    </row>
    <row r="186" spans="1:2" x14ac:dyDescent="0.2">
      <c r="A186" s="49"/>
      <c r="B186" s="49"/>
    </row>
    <row r="187" spans="1:2" x14ac:dyDescent="0.2">
      <c r="A187" s="49"/>
      <c r="B187" s="49"/>
    </row>
    <row r="188" spans="1:2" x14ac:dyDescent="0.2">
      <c r="A188" s="49"/>
      <c r="B188" s="49"/>
    </row>
    <row r="189" spans="1:2" x14ac:dyDescent="0.2">
      <c r="A189" s="49"/>
      <c r="B189" s="49"/>
    </row>
    <row r="190" spans="1:2" x14ac:dyDescent="0.2">
      <c r="A190" s="49"/>
      <c r="B190" s="49"/>
    </row>
    <row r="191" spans="1:2" x14ac:dyDescent="0.2">
      <c r="A191" s="49"/>
      <c r="B191" s="49"/>
    </row>
    <row r="192" spans="1:2" x14ac:dyDescent="0.2">
      <c r="A192" s="49"/>
      <c r="B192" s="49"/>
    </row>
    <row r="193" spans="1:2" x14ac:dyDescent="0.2">
      <c r="A193" s="49"/>
      <c r="B193" s="49"/>
    </row>
    <row r="194" spans="1:2" x14ac:dyDescent="0.2">
      <c r="A194" s="49"/>
      <c r="B194" s="49"/>
    </row>
    <row r="195" spans="1:2" x14ac:dyDescent="0.2">
      <c r="A195" s="49"/>
      <c r="B195" s="49"/>
    </row>
    <row r="196" spans="1:2" x14ac:dyDescent="0.2">
      <c r="A196" s="49"/>
      <c r="B196" s="49"/>
    </row>
    <row r="197" spans="1:2" x14ac:dyDescent="0.2">
      <c r="A197" s="49"/>
      <c r="B197" s="49"/>
    </row>
    <row r="198" spans="1:2" x14ac:dyDescent="0.2">
      <c r="A198" s="49"/>
      <c r="B198" s="49"/>
    </row>
    <row r="199" spans="1:2" x14ac:dyDescent="0.2">
      <c r="A199" s="49"/>
      <c r="B199" s="49"/>
    </row>
    <row r="200" spans="1:2" x14ac:dyDescent="0.2">
      <c r="A200" s="49"/>
      <c r="B200" s="49"/>
    </row>
    <row r="201" spans="1:2" x14ac:dyDescent="0.2">
      <c r="A201" s="49"/>
      <c r="B201" s="49"/>
    </row>
    <row r="202" spans="1:2" x14ac:dyDescent="0.2">
      <c r="A202" s="49"/>
      <c r="B202" s="49"/>
    </row>
    <row r="203" spans="1:2" x14ac:dyDescent="0.2">
      <c r="A203" s="49"/>
      <c r="B203" s="49"/>
    </row>
    <row r="204" spans="1:2" x14ac:dyDescent="0.2">
      <c r="A204" s="49"/>
      <c r="B204" s="49"/>
    </row>
    <row r="205" spans="1:2" x14ac:dyDescent="0.2">
      <c r="A205" s="49"/>
      <c r="B205" s="49"/>
    </row>
    <row r="206" spans="1:2" x14ac:dyDescent="0.2">
      <c r="A206" s="49"/>
      <c r="B206" s="49"/>
    </row>
    <row r="207" spans="1:2" x14ac:dyDescent="0.2">
      <c r="A207" s="49"/>
      <c r="B207" s="49"/>
    </row>
    <row r="208" spans="1:2" x14ac:dyDescent="0.2">
      <c r="A208" s="49"/>
      <c r="B208" s="49"/>
    </row>
    <row r="209" spans="1:2" x14ac:dyDescent="0.2">
      <c r="A209" s="49"/>
      <c r="B209" s="49"/>
    </row>
    <row r="210" spans="1:2" x14ac:dyDescent="0.2">
      <c r="A210" s="49"/>
      <c r="B210" s="49"/>
    </row>
    <row r="211" spans="1:2" x14ac:dyDescent="0.2">
      <c r="A211" s="49"/>
      <c r="B211" s="49"/>
    </row>
    <row r="212" spans="1:2" x14ac:dyDescent="0.2">
      <c r="A212" s="49"/>
      <c r="B212" s="49"/>
    </row>
    <row r="213" spans="1:2" x14ac:dyDescent="0.2">
      <c r="A213" s="49"/>
      <c r="B213" s="49"/>
    </row>
    <row r="214" spans="1:2" x14ac:dyDescent="0.2">
      <c r="A214" s="49"/>
      <c r="B214" s="49"/>
    </row>
    <row r="215" spans="1:2" x14ac:dyDescent="0.2">
      <c r="A215" s="49"/>
      <c r="B215" s="49"/>
    </row>
    <row r="216" spans="1:2" x14ac:dyDescent="0.2">
      <c r="A216" s="49"/>
      <c r="B216" s="49"/>
    </row>
    <row r="217" spans="1:2" x14ac:dyDescent="0.2">
      <c r="A217" s="49"/>
      <c r="B217" s="49"/>
    </row>
    <row r="218" spans="1:2" x14ac:dyDescent="0.2">
      <c r="A218" s="49"/>
      <c r="B218" s="49"/>
    </row>
    <row r="219" spans="1:2" x14ac:dyDescent="0.2">
      <c r="A219" s="49"/>
      <c r="B219" s="49"/>
    </row>
    <row r="220" spans="1:2" x14ac:dyDescent="0.2">
      <c r="A220" s="49"/>
      <c r="B220" s="49"/>
    </row>
    <row r="221" spans="1:2" x14ac:dyDescent="0.2">
      <c r="A221" s="49"/>
      <c r="B221" s="49"/>
    </row>
    <row r="222" spans="1:2" x14ac:dyDescent="0.2">
      <c r="A222" s="49"/>
      <c r="B222" s="49"/>
    </row>
    <row r="223" spans="1:2" x14ac:dyDescent="0.2">
      <c r="A223" s="49"/>
      <c r="B223" s="49"/>
    </row>
    <row r="224" spans="1:2" x14ac:dyDescent="0.2">
      <c r="A224" s="49"/>
      <c r="B224" s="49"/>
    </row>
    <row r="225" spans="1:2" x14ac:dyDescent="0.2">
      <c r="A225" s="49"/>
      <c r="B225" s="49"/>
    </row>
    <row r="226" spans="1:2" x14ac:dyDescent="0.2">
      <c r="A226" s="49"/>
      <c r="B226" s="49"/>
    </row>
    <row r="227" spans="1:2" x14ac:dyDescent="0.2">
      <c r="A227" s="49"/>
      <c r="B227" s="49"/>
    </row>
    <row r="228" spans="1:2" x14ac:dyDescent="0.2">
      <c r="A228" s="49"/>
      <c r="B228" s="49"/>
    </row>
    <row r="229" spans="1:2" x14ac:dyDescent="0.2">
      <c r="A229" s="49"/>
      <c r="B229" s="49"/>
    </row>
    <row r="230" spans="1:2" x14ac:dyDescent="0.2">
      <c r="A230" s="49"/>
      <c r="B230" s="49"/>
    </row>
    <row r="231" spans="1:2" x14ac:dyDescent="0.2">
      <c r="A231" s="49"/>
      <c r="B231" s="49"/>
    </row>
    <row r="232" spans="1:2" x14ac:dyDescent="0.2">
      <c r="A232" s="49"/>
      <c r="B232" s="49"/>
    </row>
    <row r="233" spans="1:2" x14ac:dyDescent="0.2">
      <c r="A233" s="49"/>
      <c r="B233" s="49"/>
    </row>
    <row r="234" spans="1:2" x14ac:dyDescent="0.2">
      <c r="A234" s="49"/>
      <c r="B234" s="49"/>
    </row>
    <row r="235" spans="1:2" x14ac:dyDescent="0.2">
      <c r="A235" s="49"/>
      <c r="B235" s="49"/>
    </row>
    <row r="236" spans="1:2" x14ac:dyDescent="0.2">
      <c r="A236" s="49"/>
      <c r="B236" s="49"/>
    </row>
    <row r="237" spans="1:2" x14ac:dyDescent="0.2">
      <c r="A237" s="49"/>
      <c r="B237" s="49"/>
    </row>
    <row r="238" spans="1:2" x14ac:dyDescent="0.2">
      <c r="A238" s="49"/>
      <c r="B238" s="49"/>
    </row>
    <row r="239" spans="1:2" x14ac:dyDescent="0.2">
      <c r="A239" s="49"/>
      <c r="B239" s="49"/>
    </row>
    <row r="240" spans="1:2" x14ac:dyDescent="0.2">
      <c r="A240" s="49"/>
      <c r="B240" s="49"/>
    </row>
    <row r="241" spans="1:7" x14ac:dyDescent="0.2">
      <c r="A241" s="49"/>
      <c r="B241" s="49"/>
    </row>
    <row r="242" spans="1:7" x14ac:dyDescent="0.2">
      <c r="A242" s="49"/>
      <c r="B242" s="49"/>
    </row>
    <row r="243" spans="1:7" x14ac:dyDescent="0.2">
      <c r="A243" s="49"/>
      <c r="B243" s="49"/>
    </row>
    <row r="244" spans="1:7" x14ac:dyDescent="0.2">
      <c r="A244" s="49"/>
      <c r="B244" s="49"/>
    </row>
    <row r="245" spans="1:7" x14ac:dyDescent="0.2">
      <c r="A245" s="49"/>
      <c r="B245" s="49"/>
    </row>
    <row r="246" spans="1:7" x14ac:dyDescent="0.2">
      <c r="A246" s="49"/>
      <c r="B246" s="49"/>
    </row>
    <row r="247" spans="1:7" x14ac:dyDescent="0.2">
      <c r="A247" s="49"/>
      <c r="B247" s="49"/>
    </row>
    <row r="248" spans="1:7" x14ac:dyDescent="0.2">
      <c r="A248" s="49"/>
      <c r="B248" s="49"/>
      <c r="C248" s="49"/>
      <c r="D248" s="49"/>
      <c r="E248" s="49"/>
      <c r="F248" s="49"/>
      <c r="G248" s="49"/>
    </row>
    <row r="249" spans="1:7" x14ac:dyDescent="0.2">
      <c r="A249" s="49"/>
      <c r="B249" s="49"/>
    </row>
    <row r="250" spans="1:7" x14ac:dyDescent="0.2">
      <c r="A250" s="49"/>
      <c r="B250" s="49"/>
    </row>
    <row r="251" spans="1:7" x14ac:dyDescent="0.2">
      <c r="A251" s="49"/>
      <c r="B251" s="49"/>
    </row>
    <row r="252" spans="1:7" x14ac:dyDescent="0.2">
      <c r="A252" s="49"/>
      <c r="B252" s="49"/>
    </row>
    <row r="253" spans="1:7" x14ac:dyDescent="0.2">
      <c r="A253" s="49"/>
      <c r="B253" s="49"/>
    </row>
    <row r="254" spans="1:7" x14ac:dyDescent="0.2">
      <c r="A254" s="49"/>
      <c r="B254" s="49"/>
    </row>
    <row r="255" spans="1:7" x14ac:dyDescent="0.2">
      <c r="A255" s="49"/>
      <c r="B255" s="49"/>
    </row>
    <row r="256" spans="1:7" x14ac:dyDescent="0.2">
      <c r="A256" s="49"/>
      <c r="B256" s="49"/>
    </row>
    <row r="257" spans="1:7" x14ac:dyDescent="0.2">
      <c r="A257" s="49"/>
      <c r="B257" s="49"/>
    </row>
    <row r="258" spans="1:7" x14ac:dyDescent="0.2">
      <c r="A258" s="49"/>
      <c r="B258" s="49"/>
    </row>
    <row r="259" spans="1:7" x14ac:dyDescent="0.2">
      <c r="A259" s="49"/>
      <c r="B259" s="49"/>
      <c r="C259" s="49"/>
      <c r="D259" s="49"/>
      <c r="E259" s="49"/>
      <c r="F259" s="49"/>
      <c r="G259" s="49"/>
    </row>
    <row r="260" spans="1:7" x14ac:dyDescent="0.2">
      <c r="A260" s="49"/>
      <c r="B260" s="49"/>
    </row>
    <row r="261" spans="1:7" x14ac:dyDescent="0.2">
      <c r="A261" s="49"/>
      <c r="B261" s="49"/>
    </row>
    <row r="262" spans="1:7" x14ac:dyDescent="0.2">
      <c r="A262" s="49"/>
      <c r="B262" s="49"/>
    </row>
    <row r="263" spans="1:7" x14ac:dyDescent="0.2">
      <c r="A263" s="49"/>
      <c r="B263" s="49"/>
    </row>
    <row r="264" spans="1:7" x14ac:dyDescent="0.2">
      <c r="A264" s="49"/>
      <c r="B264" s="49"/>
    </row>
    <row r="265" spans="1:7" x14ac:dyDescent="0.2">
      <c r="A265" s="49"/>
      <c r="B265" s="49"/>
    </row>
    <row r="266" spans="1:7" x14ac:dyDescent="0.2">
      <c r="A266" s="49"/>
      <c r="B266" s="49"/>
    </row>
    <row r="267" spans="1:7" x14ac:dyDescent="0.2">
      <c r="A267" s="49"/>
      <c r="B267" s="49"/>
    </row>
    <row r="268" spans="1:7" x14ac:dyDescent="0.2">
      <c r="A268" s="49"/>
      <c r="B268" s="49"/>
    </row>
    <row r="269" spans="1:7" x14ac:dyDescent="0.2">
      <c r="A269" s="49"/>
      <c r="B269" s="49"/>
    </row>
    <row r="270" spans="1:7" x14ac:dyDescent="0.2">
      <c r="A270" s="49"/>
      <c r="B270" s="49"/>
    </row>
    <row r="271" spans="1:7" x14ac:dyDescent="0.2">
      <c r="A271" s="49"/>
      <c r="B271" s="49"/>
    </row>
    <row r="272" spans="1:7" x14ac:dyDescent="0.2">
      <c r="A272" s="49"/>
      <c r="B272" s="49"/>
    </row>
    <row r="273" spans="1:2" x14ac:dyDescent="0.2">
      <c r="A273" s="49"/>
      <c r="B273" s="49"/>
    </row>
    <row r="274" spans="1:2" x14ac:dyDescent="0.2">
      <c r="A274" s="49"/>
      <c r="B274" s="49"/>
    </row>
    <row r="275" spans="1:2" x14ac:dyDescent="0.2">
      <c r="A275" s="49"/>
      <c r="B275" s="49"/>
    </row>
    <row r="276" spans="1:2" x14ac:dyDescent="0.2">
      <c r="A276" s="49"/>
      <c r="B276" s="49"/>
    </row>
    <row r="277" spans="1:2" x14ac:dyDescent="0.2">
      <c r="A277" s="49"/>
      <c r="B277" s="49"/>
    </row>
    <row r="278" spans="1:2" x14ac:dyDescent="0.2">
      <c r="A278" s="49"/>
      <c r="B278" s="49"/>
    </row>
    <row r="279" spans="1:2" x14ac:dyDescent="0.2">
      <c r="A279" s="49"/>
      <c r="B279" s="49"/>
    </row>
    <row r="280" spans="1:2" x14ac:dyDescent="0.2">
      <c r="A280" s="49"/>
      <c r="B280" s="49"/>
    </row>
    <row r="281" spans="1:2" x14ac:dyDescent="0.2">
      <c r="A281" s="49"/>
      <c r="B281" s="49"/>
    </row>
    <row r="282" spans="1:2" x14ac:dyDescent="0.2">
      <c r="A282" s="49"/>
      <c r="B282" s="49"/>
    </row>
    <row r="283" spans="1:2" x14ac:dyDescent="0.2">
      <c r="A283" s="49"/>
      <c r="B283" s="49"/>
    </row>
    <row r="284" spans="1:2" x14ac:dyDescent="0.2">
      <c r="A284" s="49"/>
      <c r="B284" s="49"/>
    </row>
    <row r="285" spans="1:2" x14ac:dyDescent="0.2">
      <c r="A285" s="49"/>
      <c r="B285" s="49"/>
    </row>
    <row r="286" spans="1:2" x14ac:dyDescent="0.2">
      <c r="A286" s="49"/>
      <c r="B286" s="49"/>
    </row>
    <row r="287" spans="1:2" x14ac:dyDescent="0.2">
      <c r="A287" s="49"/>
      <c r="B287" s="49"/>
    </row>
    <row r="288" spans="1:2" x14ac:dyDescent="0.2">
      <c r="A288" s="49"/>
      <c r="B288" s="49"/>
    </row>
    <row r="289" spans="1:7" x14ac:dyDescent="0.2">
      <c r="A289" s="49"/>
      <c r="B289" s="49"/>
    </row>
    <row r="290" spans="1:7" x14ac:dyDescent="0.2">
      <c r="A290" s="49"/>
      <c r="B290" s="49"/>
    </row>
    <row r="291" spans="1:7" x14ac:dyDescent="0.2">
      <c r="A291" s="49"/>
      <c r="B291" s="49"/>
    </row>
    <row r="292" spans="1:7" x14ac:dyDescent="0.2">
      <c r="A292" s="49"/>
      <c r="B292" s="49"/>
    </row>
    <row r="293" spans="1:7" x14ac:dyDescent="0.2">
      <c r="A293" s="49"/>
      <c r="B293" s="49"/>
    </row>
    <row r="294" spans="1:7" x14ac:dyDescent="0.2">
      <c r="A294" s="49"/>
      <c r="B294" s="49"/>
    </row>
    <row r="295" spans="1:7" x14ac:dyDescent="0.2">
      <c r="A295" s="49"/>
      <c r="B295" s="49"/>
    </row>
    <row r="296" spans="1:7" x14ac:dyDescent="0.2">
      <c r="A296" s="49"/>
      <c r="B296" s="49"/>
      <c r="C296" s="49"/>
      <c r="D296" s="49"/>
      <c r="E296" s="49"/>
      <c r="F296" s="49"/>
      <c r="G296" s="49"/>
    </row>
    <row r="297" spans="1:7" x14ac:dyDescent="0.2">
      <c r="A297" s="49"/>
      <c r="B297" s="49"/>
      <c r="C297" s="49"/>
      <c r="D297" s="49"/>
      <c r="E297" s="49"/>
      <c r="F297" s="49"/>
      <c r="G297" s="49"/>
    </row>
    <row r="298" spans="1:7" x14ac:dyDescent="0.2">
      <c r="A298" s="49"/>
      <c r="B298" s="49"/>
    </row>
    <row r="299" spans="1:7" x14ac:dyDescent="0.2">
      <c r="A299" s="49"/>
      <c r="B299" s="49"/>
    </row>
    <row r="300" spans="1:7" x14ac:dyDescent="0.2">
      <c r="A300" s="49"/>
      <c r="B300" s="49"/>
    </row>
    <row r="301" spans="1:7" x14ac:dyDescent="0.2">
      <c r="A301" s="49"/>
      <c r="B301" s="49"/>
    </row>
    <row r="302" spans="1:7" x14ac:dyDescent="0.2">
      <c r="A302" s="49"/>
      <c r="B302" s="49"/>
    </row>
    <row r="303" spans="1:7" x14ac:dyDescent="0.2">
      <c r="A303" s="49"/>
      <c r="B303" s="49"/>
    </row>
    <row r="304" spans="1:7" x14ac:dyDescent="0.2">
      <c r="A304" s="49"/>
      <c r="B304" s="49"/>
    </row>
    <row r="305" spans="1:2" x14ac:dyDescent="0.2">
      <c r="A305" s="49"/>
      <c r="B305" s="49"/>
    </row>
    <row r="306" spans="1:2" x14ac:dyDescent="0.2">
      <c r="A306" s="49"/>
      <c r="B306" s="49"/>
    </row>
    <row r="307" spans="1:2" x14ac:dyDescent="0.2">
      <c r="A307" s="49"/>
      <c r="B307" s="49"/>
    </row>
    <row r="308" spans="1:2" x14ac:dyDescent="0.2">
      <c r="A308" s="49"/>
      <c r="B308" s="49"/>
    </row>
    <row r="309" spans="1:2" x14ac:dyDescent="0.2">
      <c r="A309" s="49"/>
      <c r="B309" s="49"/>
    </row>
    <row r="310" spans="1:2" x14ac:dyDescent="0.2">
      <c r="A310" s="49"/>
      <c r="B310" s="49"/>
    </row>
    <row r="311" spans="1:2" x14ac:dyDescent="0.2">
      <c r="A311" s="49"/>
      <c r="B311" s="49"/>
    </row>
    <row r="312" spans="1:2" x14ac:dyDescent="0.2">
      <c r="A312" s="49"/>
      <c r="B312" s="49"/>
    </row>
    <row r="313" spans="1:2" x14ac:dyDescent="0.2">
      <c r="A313" s="49"/>
      <c r="B313" s="49"/>
    </row>
    <row r="314" spans="1:2" x14ac:dyDescent="0.2">
      <c r="A314" s="49"/>
      <c r="B314" s="49"/>
    </row>
    <row r="315" spans="1:2" x14ac:dyDescent="0.2">
      <c r="A315" s="49"/>
      <c r="B315" s="49"/>
    </row>
    <row r="316" spans="1:2" x14ac:dyDescent="0.2">
      <c r="A316" s="49"/>
      <c r="B316" s="49"/>
    </row>
    <row r="317" spans="1:2" x14ac:dyDescent="0.2">
      <c r="A317" s="49"/>
      <c r="B317" s="49"/>
    </row>
    <row r="318" spans="1:2" x14ac:dyDescent="0.2">
      <c r="A318" s="49"/>
      <c r="B318" s="49"/>
    </row>
    <row r="319" spans="1:2" x14ac:dyDescent="0.2">
      <c r="A319" s="49"/>
      <c r="B319" s="49"/>
    </row>
    <row r="320" spans="1:2" x14ac:dyDescent="0.2">
      <c r="A320" s="49"/>
      <c r="B320" s="49"/>
    </row>
    <row r="321" spans="1:2" x14ac:dyDescent="0.2">
      <c r="A321" s="49"/>
      <c r="B321" s="49"/>
    </row>
    <row r="322" spans="1:2" x14ac:dyDescent="0.2">
      <c r="A322" s="49"/>
      <c r="B322" s="49"/>
    </row>
    <row r="323" spans="1:2" x14ac:dyDescent="0.2">
      <c r="A323" s="49"/>
      <c r="B323" s="49"/>
    </row>
    <row r="324" spans="1:2" x14ac:dyDescent="0.2">
      <c r="A324" s="49"/>
      <c r="B324" s="49"/>
    </row>
    <row r="325" spans="1:2" x14ac:dyDescent="0.2">
      <c r="A325" s="49"/>
      <c r="B325" s="49"/>
    </row>
    <row r="326" spans="1:2" x14ac:dyDescent="0.2">
      <c r="A326" s="49"/>
      <c r="B326" s="49"/>
    </row>
    <row r="327" spans="1:2" x14ac:dyDescent="0.2">
      <c r="A327" s="49"/>
      <c r="B327" s="49"/>
    </row>
    <row r="328" spans="1:2" x14ac:dyDescent="0.2">
      <c r="A328" s="49"/>
      <c r="B328" s="49"/>
    </row>
    <row r="329" spans="1:2" x14ac:dyDescent="0.2">
      <c r="A329" s="49"/>
      <c r="B329" s="49"/>
    </row>
    <row r="330" spans="1:2" x14ac:dyDescent="0.2">
      <c r="A330" s="49"/>
      <c r="B330" s="49"/>
    </row>
    <row r="331" spans="1:2" x14ac:dyDescent="0.2">
      <c r="A331" s="49"/>
      <c r="B331" s="49"/>
    </row>
    <row r="332" spans="1:2" x14ac:dyDescent="0.2">
      <c r="A332" s="49"/>
      <c r="B332" s="49"/>
    </row>
    <row r="333" spans="1:2" x14ac:dyDescent="0.2">
      <c r="A333" s="49"/>
      <c r="B333" s="49"/>
    </row>
    <row r="334" spans="1:2" x14ac:dyDescent="0.2">
      <c r="A334" s="49"/>
      <c r="B334" s="49"/>
    </row>
    <row r="335" spans="1:2" x14ac:dyDescent="0.2">
      <c r="A335" s="49"/>
      <c r="B335" s="49"/>
    </row>
    <row r="336" spans="1:2" x14ac:dyDescent="0.2">
      <c r="A336" s="49"/>
      <c r="B336" s="49"/>
    </row>
    <row r="337" spans="1:2" x14ac:dyDescent="0.2">
      <c r="A337" s="49"/>
      <c r="B337" s="49"/>
    </row>
    <row r="338" spans="1:2" x14ac:dyDescent="0.2">
      <c r="A338" s="49"/>
      <c r="B338" s="49"/>
    </row>
    <row r="339" spans="1:2" x14ac:dyDescent="0.2">
      <c r="A339" s="49"/>
      <c r="B339" s="49"/>
    </row>
    <row r="340" spans="1:2" x14ac:dyDescent="0.2">
      <c r="A340" s="49"/>
      <c r="B340" s="49"/>
    </row>
    <row r="341" spans="1:2" x14ac:dyDescent="0.2">
      <c r="A341" s="49"/>
      <c r="B341" s="49"/>
    </row>
    <row r="342" spans="1:2" x14ac:dyDescent="0.2">
      <c r="A342" s="49"/>
      <c r="B342" s="49"/>
    </row>
    <row r="343" spans="1:2" x14ac:dyDescent="0.2">
      <c r="A343" s="49"/>
      <c r="B343" s="49"/>
    </row>
    <row r="344" spans="1:2" x14ac:dyDescent="0.2">
      <c r="A344" s="49"/>
      <c r="B344" s="49"/>
    </row>
    <row r="345" spans="1:2" x14ac:dyDescent="0.2">
      <c r="A345" s="49"/>
      <c r="B345" s="49"/>
    </row>
    <row r="346" spans="1:2" x14ac:dyDescent="0.2">
      <c r="A346" s="49"/>
      <c r="B346" s="49"/>
    </row>
    <row r="347" spans="1:2" x14ac:dyDescent="0.2">
      <c r="A347" s="49"/>
      <c r="B347" s="49"/>
    </row>
    <row r="348" spans="1:2" x14ac:dyDescent="0.2">
      <c r="A348" s="49"/>
      <c r="B348" s="49"/>
    </row>
    <row r="349" spans="1:2" x14ac:dyDescent="0.2">
      <c r="A349" s="49"/>
      <c r="B349" s="49"/>
    </row>
    <row r="350" spans="1:2" x14ac:dyDescent="0.2">
      <c r="A350" s="49"/>
      <c r="B350" s="49"/>
    </row>
    <row r="351" spans="1:2" x14ac:dyDescent="0.2">
      <c r="A351" s="49"/>
      <c r="B351" s="49"/>
    </row>
    <row r="352" spans="1:2" x14ac:dyDescent="0.2">
      <c r="A352" s="49"/>
      <c r="B352" s="49"/>
    </row>
    <row r="353" spans="1:7" x14ac:dyDescent="0.2">
      <c r="A353" s="49"/>
      <c r="B353" s="49"/>
    </row>
    <row r="354" spans="1:7" x14ac:dyDescent="0.2">
      <c r="A354" s="49"/>
      <c r="B354" s="49"/>
    </row>
    <row r="355" spans="1:7" x14ac:dyDescent="0.2">
      <c r="A355" s="49"/>
      <c r="B355" s="49"/>
    </row>
    <row r="356" spans="1:7" x14ac:dyDescent="0.2">
      <c r="A356" s="49"/>
      <c r="B356" s="49"/>
      <c r="C356" s="49"/>
      <c r="D356" s="49"/>
      <c r="E356" s="49"/>
      <c r="F356" s="49"/>
      <c r="G356" s="49"/>
    </row>
    <row r="357" spans="1:7" x14ac:dyDescent="0.2">
      <c r="A357" s="49"/>
      <c r="B357" s="49"/>
      <c r="C357" s="49"/>
      <c r="D357" s="49"/>
      <c r="E357" s="49"/>
      <c r="F357" s="49"/>
      <c r="G357" s="49"/>
    </row>
    <row r="358" spans="1:7" x14ac:dyDescent="0.2">
      <c r="A358" s="49"/>
      <c r="B358" s="49"/>
    </row>
    <row r="359" spans="1:7" x14ac:dyDescent="0.2">
      <c r="A359" s="49"/>
      <c r="B359" s="49"/>
    </row>
    <row r="360" spans="1:7" x14ac:dyDescent="0.2">
      <c r="A360" s="49"/>
      <c r="B360" s="49"/>
    </row>
    <row r="361" spans="1:7" x14ac:dyDescent="0.2">
      <c r="A361" s="49"/>
      <c r="B361" s="49"/>
    </row>
    <row r="362" spans="1:7" x14ac:dyDescent="0.2">
      <c r="A362" s="49"/>
      <c r="B362" s="49"/>
    </row>
    <row r="363" spans="1:7" x14ac:dyDescent="0.2">
      <c r="A363" s="49"/>
      <c r="B363" s="49"/>
    </row>
    <row r="364" spans="1:7" x14ac:dyDescent="0.2">
      <c r="A364" s="49"/>
      <c r="B364" s="49"/>
    </row>
    <row r="365" spans="1:7" x14ac:dyDescent="0.2">
      <c r="A365" s="49"/>
      <c r="B365" s="49"/>
    </row>
    <row r="366" spans="1:7" x14ac:dyDescent="0.2">
      <c r="A366" s="49"/>
      <c r="B366" s="49"/>
    </row>
    <row r="367" spans="1:7" x14ac:dyDescent="0.2">
      <c r="A367" s="49"/>
      <c r="B367" s="49"/>
    </row>
    <row r="368" spans="1:7" x14ac:dyDescent="0.2">
      <c r="A368" s="49"/>
      <c r="B368" s="49"/>
    </row>
    <row r="369" spans="1:2" x14ac:dyDescent="0.2">
      <c r="A369" s="49"/>
      <c r="B369" s="49"/>
    </row>
    <row r="370" spans="1:2" x14ac:dyDescent="0.2">
      <c r="A370" s="49"/>
      <c r="B370" s="49"/>
    </row>
    <row r="371" spans="1:2" x14ac:dyDescent="0.2">
      <c r="A371" s="49"/>
      <c r="B371" s="49"/>
    </row>
    <row r="372" spans="1:2" x14ac:dyDescent="0.2">
      <c r="A372" s="49"/>
      <c r="B372" s="49"/>
    </row>
    <row r="373" spans="1:2" x14ac:dyDescent="0.2">
      <c r="A373" s="49"/>
      <c r="B373" s="49"/>
    </row>
    <row r="374" spans="1:2" x14ac:dyDescent="0.2">
      <c r="A374" s="49"/>
      <c r="B374" s="49"/>
    </row>
    <row r="375" spans="1:2" x14ac:dyDescent="0.2">
      <c r="A375" s="49"/>
      <c r="B375" s="49"/>
    </row>
    <row r="376" spans="1:2" x14ac:dyDescent="0.2">
      <c r="A376" s="49"/>
      <c r="B376" s="49"/>
    </row>
    <row r="377" spans="1:2" x14ac:dyDescent="0.2">
      <c r="A377" s="49"/>
      <c r="B377" s="49"/>
    </row>
    <row r="378" spans="1:2" x14ac:dyDescent="0.2">
      <c r="A378" s="49"/>
      <c r="B378" s="49"/>
    </row>
    <row r="379" spans="1:2" x14ac:dyDescent="0.2">
      <c r="A379" s="49"/>
      <c r="B379" s="49"/>
    </row>
    <row r="380" spans="1:2" x14ac:dyDescent="0.2">
      <c r="A380" s="49"/>
      <c r="B380" s="49"/>
    </row>
    <row r="381" spans="1:2" x14ac:dyDescent="0.2">
      <c r="A381" s="49"/>
      <c r="B381" s="49"/>
    </row>
    <row r="382" spans="1:2" x14ac:dyDescent="0.2">
      <c r="A382" s="49"/>
      <c r="B382" s="49"/>
    </row>
    <row r="383" spans="1:2" x14ac:dyDescent="0.2">
      <c r="A383" s="49"/>
      <c r="B383" s="49"/>
    </row>
    <row r="384" spans="1:2" x14ac:dyDescent="0.2">
      <c r="A384" s="49"/>
      <c r="B384" s="49"/>
    </row>
    <row r="385" spans="1:2" x14ac:dyDescent="0.2">
      <c r="A385" s="49"/>
      <c r="B385" s="49"/>
    </row>
    <row r="386" spans="1:2" x14ac:dyDescent="0.2">
      <c r="A386" s="49"/>
      <c r="B386" s="49"/>
    </row>
    <row r="387" spans="1:2" x14ac:dyDescent="0.2">
      <c r="A387" s="49"/>
      <c r="B387" s="49"/>
    </row>
    <row r="388" spans="1:2" x14ac:dyDescent="0.2">
      <c r="A388" s="49"/>
      <c r="B388" s="49"/>
    </row>
    <row r="389" spans="1:2" x14ac:dyDescent="0.2">
      <c r="A389" s="49"/>
      <c r="B389" s="49"/>
    </row>
    <row r="390" spans="1:2" x14ac:dyDescent="0.2">
      <c r="A390" s="49"/>
      <c r="B390" s="49"/>
    </row>
    <row r="391" spans="1:2" x14ac:dyDescent="0.2">
      <c r="A391" s="49"/>
      <c r="B391" s="49"/>
    </row>
    <row r="392" spans="1:2" x14ac:dyDescent="0.2">
      <c r="A392" s="49"/>
      <c r="B392" s="49"/>
    </row>
    <row r="393" spans="1:2" x14ac:dyDescent="0.2">
      <c r="A393" s="49"/>
      <c r="B393" s="49"/>
    </row>
    <row r="394" spans="1:2" x14ac:dyDescent="0.2">
      <c r="A394" s="49"/>
      <c r="B394" s="49"/>
    </row>
    <row r="395" spans="1:2" x14ac:dyDescent="0.2">
      <c r="A395" s="49"/>
      <c r="B395" s="49"/>
    </row>
    <row r="396" spans="1:2" x14ac:dyDescent="0.2">
      <c r="A396" s="49"/>
      <c r="B396" s="49"/>
    </row>
    <row r="397" spans="1:2" x14ac:dyDescent="0.2">
      <c r="A397" s="49"/>
      <c r="B397" s="49"/>
    </row>
    <row r="398" spans="1:2" x14ac:dyDescent="0.2">
      <c r="A398" s="49"/>
      <c r="B398" s="49"/>
    </row>
    <row r="399" spans="1:2" x14ac:dyDescent="0.2">
      <c r="A399" s="49"/>
      <c r="B399" s="49"/>
    </row>
    <row r="400" spans="1:2" x14ac:dyDescent="0.2">
      <c r="A400" s="49"/>
      <c r="B400" s="49"/>
    </row>
    <row r="401" spans="1:2" x14ac:dyDescent="0.2">
      <c r="A401" s="49"/>
      <c r="B401" s="49"/>
    </row>
    <row r="402" spans="1:2" x14ac:dyDescent="0.2">
      <c r="A402" s="49"/>
      <c r="B402" s="49"/>
    </row>
    <row r="403" spans="1:2" x14ac:dyDescent="0.2">
      <c r="A403" s="49"/>
      <c r="B403" s="49"/>
    </row>
    <row r="404" spans="1:2" x14ac:dyDescent="0.2">
      <c r="A404" s="49"/>
      <c r="B404" s="49"/>
    </row>
    <row r="405" spans="1:2" x14ac:dyDescent="0.2">
      <c r="A405" s="49"/>
      <c r="B405" s="49"/>
    </row>
    <row r="406" spans="1:2" x14ac:dyDescent="0.2">
      <c r="A406" s="49"/>
      <c r="B406" s="49"/>
    </row>
    <row r="407" spans="1:2" x14ac:dyDescent="0.2">
      <c r="A407" s="49"/>
      <c r="B407" s="49"/>
    </row>
    <row r="408" spans="1:2" x14ac:dyDescent="0.2">
      <c r="A408" s="49"/>
      <c r="B408" s="49"/>
    </row>
    <row r="409" spans="1:2" x14ac:dyDescent="0.2">
      <c r="A409" s="49"/>
      <c r="B409" s="49"/>
    </row>
    <row r="410" spans="1:2" x14ac:dyDescent="0.2">
      <c r="A410" s="49"/>
      <c r="B410" s="49"/>
    </row>
    <row r="411" spans="1:2" x14ac:dyDescent="0.2">
      <c r="A411" s="49"/>
      <c r="B411" s="49"/>
    </row>
    <row r="412" spans="1:2" x14ac:dyDescent="0.2">
      <c r="A412" s="49"/>
      <c r="B412" s="49"/>
    </row>
    <row r="413" spans="1:2" x14ac:dyDescent="0.2">
      <c r="A413" s="49"/>
      <c r="B413" s="49"/>
    </row>
    <row r="414" spans="1:2" x14ac:dyDescent="0.2">
      <c r="A414" s="49"/>
      <c r="B414" s="49"/>
    </row>
    <row r="415" spans="1:2" x14ac:dyDescent="0.2">
      <c r="A415" s="49"/>
      <c r="B415" s="49"/>
    </row>
    <row r="416" spans="1:2" x14ac:dyDescent="0.2">
      <c r="A416" s="49"/>
      <c r="B416" s="49"/>
    </row>
    <row r="417" spans="1:2" x14ac:dyDescent="0.2">
      <c r="A417" s="49"/>
      <c r="B417" s="49"/>
    </row>
    <row r="418" spans="1:2" x14ac:dyDescent="0.2">
      <c r="A418" s="49"/>
      <c r="B418" s="49"/>
    </row>
    <row r="419" spans="1:2" x14ac:dyDescent="0.2">
      <c r="A419" s="49"/>
      <c r="B419" s="49"/>
    </row>
    <row r="420" spans="1:2" x14ac:dyDescent="0.2">
      <c r="A420" s="49"/>
      <c r="B420" s="49"/>
    </row>
    <row r="421" spans="1:2" x14ac:dyDescent="0.2">
      <c r="A421" s="49"/>
      <c r="B421" s="49"/>
    </row>
    <row r="422" spans="1:2" x14ac:dyDescent="0.2">
      <c r="A422" s="49"/>
      <c r="B422" s="49"/>
    </row>
    <row r="423" spans="1:2" x14ac:dyDescent="0.2">
      <c r="A423" s="49"/>
      <c r="B423" s="49"/>
    </row>
    <row r="424" spans="1:2" x14ac:dyDescent="0.2">
      <c r="A424" s="49"/>
      <c r="B424" s="49"/>
    </row>
    <row r="425" spans="1:2" x14ac:dyDescent="0.2">
      <c r="A425" s="49"/>
      <c r="B425" s="49"/>
    </row>
    <row r="426" spans="1:2" x14ac:dyDescent="0.2">
      <c r="A426" s="49"/>
      <c r="B426" s="49"/>
    </row>
    <row r="427" spans="1:2" x14ac:dyDescent="0.2">
      <c r="A427" s="49"/>
      <c r="B427" s="49"/>
    </row>
    <row r="428" spans="1:2" x14ac:dyDescent="0.2">
      <c r="A428" s="49"/>
      <c r="B428" s="49"/>
    </row>
    <row r="429" spans="1:2" x14ac:dyDescent="0.2">
      <c r="A429" s="49"/>
      <c r="B429" s="49"/>
    </row>
    <row r="430" spans="1:2" x14ac:dyDescent="0.2">
      <c r="A430" s="49"/>
      <c r="B430" s="49"/>
    </row>
    <row r="431" spans="1:2" x14ac:dyDescent="0.2">
      <c r="A431" s="49"/>
      <c r="B431" s="49"/>
    </row>
    <row r="432" spans="1:2" x14ac:dyDescent="0.2">
      <c r="A432" s="49"/>
      <c r="B432" s="49"/>
    </row>
    <row r="433" spans="1:2" x14ac:dyDescent="0.2">
      <c r="A433" s="49"/>
      <c r="B433" s="49"/>
    </row>
    <row r="434" spans="1:2" x14ac:dyDescent="0.2">
      <c r="A434" s="49"/>
      <c r="B434" s="49"/>
    </row>
    <row r="435" spans="1:2" x14ac:dyDescent="0.2">
      <c r="A435" s="49"/>
      <c r="B435" s="49"/>
    </row>
    <row r="436" spans="1:2" x14ac:dyDescent="0.2">
      <c r="A436" s="49"/>
      <c r="B436" s="49"/>
    </row>
    <row r="437" spans="1:2" x14ac:dyDescent="0.2">
      <c r="A437" s="49"/>
      <c r="B437" s="49"/>
    </row>
    <row r="438" spans="1:2" x14ac:dyDescent="0.2">
      <c r="A438" s="49"/>
      <c r="B438" s="49"/>
    </row>
    <row r="439" spans="1:2" x14ac:dyDescent="0.2">
      <c r="A439" s="49"/>
      <c r="B439" s="49"/>
    </row>
    <row r="440" spans="1:2" x14ac:dyDescent="0.2">
      <c r="A440" s="49"/>
      <c r="B440" s="49"/>
    </row>
    <row r="441" spans="1:2" x14ac:dyDescent="0.2">
      <c r="A441" s="49"/>
      <c r="B441" s="49"/>
    </row>
    <row r="442" spans="1:2" x14ac:dyDescent="0.2">
      <c r="A442" s="49"/>
      <c r="B442" s="49"/>
    </row>
    <row r="443" spans="1:2" x14ac:dyDescent="0.2">
      <c r="A443" s="49"/>
      <c r="B443" s="49"/>
    </row>
    <row r="444" spans="1:2" x14ac:dyDescent="0.2">
      <c r="A444" s="49"/>
      <c r="B444" s="49"/>
    </row>
    <row r="445" spans="1:2" x14ac:dyDescent="0.2">
      <c r="A445" s="49"/>
      <c r="B445" s="49"/>
    </row>
    <row r="446" spans="1:2" x14ac:dyDescent="0.2">
      <c r="A446" s="49"/>
      <c r="B446" s="49"/>
    </row>
    <row r="447" spans="1:2" x14ac:dyDescent="0.2">
      <c r="A447" s="49"/>
      <c r="B447" s="49"/>
    </row>
    <row r="448" spans="1:2" x14ac:dyDescent="0.2">
      <c r="A448" s="49"/>
      <c r="B448" s="49"/>
    </row>
    <row r="449" spans="1:2" x14ac:dyDescent="0.2">
      <c r="A449" s="49"/>
      <c r="B449" s="49"/>
    </row>
    <row r="450" spans="1:2" x14ac:dyDescent="0.2">
      <c r="A450" s="49"/>
      <c r="B450" s="49"/>
    </row>
    <row r="451" spans="1:2" x14ac:dyDescent="0.2">
      <c r="A451" s="49"/>
      <c r="B451" s="49"/>
    </row>
    <row r="452" spans="1:2" x14ac:dyDescent="0.2">
      <c r="A452" s="49"/>
      <c r="B452" s="49"/>
    </row>
    <row r="453" spans="1:2" x14ac:dyDescent="0.2">
      <c r="A453" s="49"/>
      <c r="B453" s="49"/>
    </row>
    <row r="454" spans="1:2" x14ac:dyDescent="0.2">
      <c r="A454" s="49"/>
      <c r="B454" s="49"/>
    </row>
    <row r="455" spans="1:2" x14ac:dyDescent="0.2">
      <c r="A455" s="49"/>
      <c r="B455" s="49"/>
    </row>
    <row r="456" spans="1:2" x14ac:dyDescent="0.2">
      <c r="A456" s="49"/>
      <c r="B456" s="49"/>
    </row>
    <row r="457" spans="1:2" x14ac:dyDescent="0.2">
      <c r="A457" s="49"/>
      <c r="B457" s="49"/>
    </row>
    <row r="458" spans="1:2" x14ac:dyDescent="0.2">
      <c r="A458" s="49"/>
      <c r="B458" s="49"/>
    </row>
    <row r="459" spans="1:2" x14ac:dyDescent="0.2">
      <c r="A459" s="49"/>
      <c r="B459" s="49"/>
    </row>
    <row r="460" spans="1:2" x14ac:dyDescent="0.2">
      <c r="A460" s="49"/>
      <c r="B460" s="49"/>
    </row>
    <row r="461" spans="1:2" x14ac:dyDescent="0.2">
      <c r="A461" s="49"/>
      <c r="B461" s="49"/>
    </row>
    <row r="462" spans="1:2" x14ac:dyDescent="0.2">
      <c r="A462" s="49"/>
      <c r="B462" s="49"/>
    </row>
    <row r="463" spans="1:2" x14ac:dyDescent="0.2">
      <c r="A463" s="49"/>
      <c r="B463" s="49"/>
    </row>
    <row r="464" spans="1:2" x14ac:dyDescent="0.2">
      <c r="A464" s="49"/>
      <c r="B464" s="49"/>
    </row>
    <row r="465" spans="1:2" x14ac:dyDescent="0.2">
      <c r="A465" s="49"/>
      <c r="B465" s="49"/>
    </row>
    <row r="466" spans="1:2" x14ac:dyDescent="0.2">
      <c r="A466" s="49"/>
      <c r="B466" s="49"/>
    </row>
    <row r="467" spans="1:2" x14ac:dyDescent="0.2">
      <c r="A467" s="49"/>
      <c r="B467" s="49"/>
    </row>
    <row r="468" spans="1:2" x14ac:dyDescent="0.2">
      <c r="A468" s="49"/>
      <c r="B468" s="49"/>
    </row>
    <row r="469" spans="1:2" x14ac:dyDescent="0.2">
      <c r="A469" s="49"/>
      <c r="B469" s="49"/>
    </row>
    <row r="470" spans="1:2" x14ac:dyDescent="0.2">
      <c r="A470" s="49"/>
      <c r="B470" s="49"/>
    </row>
    <row r="471" spans="1:2" x14ac:dyDescent="0.2">
      <c r="A471" s="49"/>
      <c r="B471" s="49"/>
    </row>
    <row r="472" spans="1:2" x14ac:dyDescent="0.2">
      <c r="A472" s="49"/>
      <c r="B472" s="49"/>
    </row>
    <row r="473" spans="1:2" x14ac:dyDescent="0.2">
      <c r="A473" s="49"/>
      <c r="B473" s="49"/>
    </row>
    <row r="474" spans="1:2" x14ac:dyDescent="0.2">
      <c r="A474" s="49"/>
      <c r="B474" s="49"/>
    </row>
    <row r="475" spans="1:2" x14ac:dyDescent="0.2">
      <c r="A475" s="49"/>
      <c r="B475" s="49"/>
    </row>
    <row r="476" spans="1:2" x14ac:dyDescent="0.2">
      <c r="A476" s="49"/>
      <c r="B476" s="49"/>
    </row>
    <row r="477" spans="1:2" x14ac:dyDescent="0.2">
      <c r="A477" s="49"/>
      <c r="B477" s="49"/>
    </row>
    <row r="478" spans="1:2" x14ac:dyDescent="0.2">
      <c r="A478" s="49"/>
      <c r="B478" s="49"/>
    </row>
    <row r="479" spans="1:2" x14ac:dyDescent="0.2">
      <c r="A479" s="49"/>
      <c r="B479" s="49"/>
    </row>
    <row r="480" spans="1:2" x14ac:dyDescent="0.2">
      <c r="A480" s="49"/>
      <c r="B480" s="49"/>
    </row>
    <row r="481" spans="1:2" x14ac:dyDescent="0.2">
      <c r="A481" s="49"/>
      <c r="B481" s="49"/>
    </row>
    <row r="482" spans="1:2" x14ac:dyDescent="0.2">
      <c r="A482" s="49"/>
      <c r="B482" s="49"/>
    </row>
    <row r="483" spans="1:2" x14ac:dyDescent="0.2">
      <c r="A483" s="49"/>
      <c r="B483" s="49"/>
    </row>
    <row r="484" spans="1:2" x14ac:dyDescent="0.2">
      <c r="A484" s="49"/>
      <c r="B484" s="49"/>
    </row>
    <row r="485" spans="1:2" x14ac:dyDescent="0.2">
      <c r="A485" s="49"/>
      <c r="B485" s="49"/>
    </row>
    <row r="486" spans="1:2" x14ac:dyDescent="0.2">
      <c r="A486" s="49"/>
      <c r="B486" s="49"/>
    </row>
    <row r="487" spans="1:2" x14ac:dyDescent="0.2">
      <c r="A487" s="49"/>
      <c r="B487" s="49"/>
    </row>
    <row r="488" spans="1:2" x14ac:dyDescent="0.2">
      <c r="A488" s="49"/>
      <c r="B488" s="49"/>
    </row>
    <row r="489" spans="1:2" x14ac:dyDescent="0.2">
      <c r="A489" s="49"/>
      <c r="B489" s="49"/>
    </row>
    <row r="490" spans="1:2" x14ac:dyDescent="0.2">
      <c r="A490" s="49"/>
      <c r="B490" s="49"/>
    </row>
    <row r="491" spans="1:2" x14ac:dyDescent="0.2">
      <c r="A491" s="49"/>
      <c r="B491" s="49"/>
    </row>
    <row r="492" spans="1:2" x14ac:dyDescent="0.2">
      <c r="A492" s="49"/>
      <c r="B492" s="49"/>
    </row>
    <row r="493" spans="1:2" x14ac:dyDescent="0.2">
      <c r="A493" s="49"/>
      <c r="B493" s="49"/>
    </row>
    <row r="494" spans="1:2" x14ac:dyDescent="0.2">
      <c r="A494" s="49"/>
      <c r="B494" s="49"/>
    </row>
    <row r="495" spans="1:2" x14ac:dyDescent="0.2">
      <c r="A495" s="49"/>
      <c r="B495" s="49"/>
    </row>
    <row r="496" spans="1:2" x14ac:dyDescent="0.2">
      <c r="A496" s="49"/>
      <c r="B496" s="49"/>
    </row>
    <row r="497" spans="1:2" x14ac:dyDescent="0.2">
      <c r="A497" s="49"/>
      <c r="B497" s="49"/>
    </row>
    <row r="498" spans="1:2" x14ac:dyDescent="0.2">
      <c r="A498" s="49"/>
      <c r="B498" s="49"/>
    </row>
    <row r="499" spans="1:2" x14ac:dyDescent="0.2">
      <c r="A499" s="49"/>
      <c r="B499" s="49"/>
    </row>
    <row r="500" spans="1:2" x14ac:dyDescent="0.2">
      <c r="A500" s="49"/>
      <c r="B500" s="49"/>
    </row>
    <row r="501" spans="1:2" x14ac:dyDescent="0.2">
      <c r="A501" s="49"/>
      <c r="B501" s="49"/>
    </row>
    <row r="502" spans="1:2" x14ac:dyDescent="0.2">
      <c r="A502" s="49"/>
      <c r="B502" s="49"/>
    </row>
    <row r="503" spans="1:2" x14ac:dyDescent="0.2">
      <c r="A503" s="49"/>
      <c r="B503" s="49"/>
    </row>
    <row r="504" spans="1:2" x14ac:dyDescent="0.2">
      <c r="A504" s="49"/>
      <c r="B504" s="49"/>
    </row>
    <row r="505" spans="1:2" x14ac:dyDescent="0.2">
      <c r="A505" s="49"/>
      <c r="B505" s="49"/>
    </row>
    <row r="506" spans="1:2" x14ac:dyDescent="0.2">
      <c r="A506" s="49"/>
      <c r="B506" s="49"/>
    </row>
    <row r="507" spans="1:2" x14ac:dyDescent="0.2">
      <c r="A507" s="49"/>
      <c r="B507" s="49"/>
    </row>
    <row r="508" spans="1:2" x14ac:dyDescent="0.2">
      <c r="A508" s="49"/>
      <c r="B508" s="49"/>
    </row>
    <row r="509" spans="1:2" x14ac:dyDescent="0.2">
      <c r="A509" s="49"/>
      <c r="B509" s="49"/>
    </row>
    <row r="510" spans="1:2" x14ac:dyDescent="0.2">
      <c r="A510" s="49"/>
      <c r="B510" s="49"/>
    </row>
    <row r="511" spans="1:2" x14ac:dyDescent="0.2">
      <c r="A511" s="49"/>
      <c r="B511" s="49"/>
    </row>
    <row r="512" spans="1:2" x14ac:dyDescent="0.2">
      <c r="A512" s="49"/>
      <c r="B512" s="49"/>
    </row>
    <row r="513" spans="1:2" x14ac:dyDescent="0.2">
      <c r="A513" s="49"/>
      <c r="B513" s="49"/>
    </row>
    <row r="514" spans="1:2" x14ac:dyDescent="0.2">
      <c r="A514" s="49"/>
      <c r="B514" s="49"/>
    </row>
    <row r="515" spans="1:2" x14ac:dyDescent="0.2">
      <c r="A515" s="49"/>
      <c r="B515" s="49"/>
    </row>
    <row r="516" spans="1:2" x14ac:dyDescent="0.2">
      <c r="A516" s="49"/>
      <c r="B516" s="49"/>
    </row>
    <row r="517" spans="1:2" x14ac:dyDescent="0.2">
      <c r="A517" s="49"/>
      <c r="B517" s="49"/>
    </row>
    <row r="518" spans="1:2" x14ac:dyDescent="0.2">
      <c r="A518" s="49"/>
      <c r="B518" s="49"/>
    </row>
    <row r="519" spans="1:2" x14ac:dyDescent="0.2">
      <c r="A519" s="49"/>
      <c r="B519" s="49"/>
    </row>
    <row r="520" spans="1:2" x14ac:dyDescent="0.2">
      <c r="A520" s="49"/>
      <c r="B520" s="49"/>
    </row>
    <row r="521" spans="1:2" x14ac:dyDescent="0.2">
      <c r="A521" s="49"/>
      <c r="B521" s="49"/>
    </row>
    <row r="522" spans="1:2" x14ac:dyDescent="0.2">
      <c r="A522" s="49"/>
      <c r="B522" s="49"/>
    </row>
    <row r="523" spans="1:2" x14ac:dyDescent="0.2">
      <c r="A523" s="49"/>
      <c r="B523" s="49"/>
    </row>
    <row r="524" spans="1:2" x14ac:dyDescent="0.2">
      <c r="A524" s="49"/>
      <c r="B524" s="49"/>
    </row>
    <row r="525" spans="1:2" x14ac:dyDescent="0.2">
      <c r="A525" s="49"/>
      <c r="B525" s="49"/>
    </row>
    <row r="526" spans="1:2" x14ac:dyDescent="0.2">
      <c r="A526" s="49"/>
      <c r="B526" s="49"/>
    </row>
    <row r="527" spans="1:2" x14ac:dyDescent="0.2">
      <c r="A527" s="49"/>
      <c r="B527" s="49"/>
    </row>
    <row r="528" spans="1:2" x14ac:dyDescent="0.2">
      <c r="A528" s="49"/>
      <c r="B528" s="49"/>
    </row>
    <row r="529" spans="1:2" x14ac:dyDescent="0.2">
      <c r="A529" s="49"/>
      <c r="B529" s="49"/>
    </row>
    <row r="530" spans="1:2" x14ac:dyDescent="0.2">
      <c r="A530" s="49"/>
      <c r="B530" s="49"/>
    </row>
    <row r="531" spans="1:2" x14ac:dyDescent="0.2">
      <c r="A531" s="49"/>
      <c r="B531" s="49"/>
    </row>
    <row r="532" spans="1:2" x14ac:dyDescent="0.2">
      <c r="A532" s="49"/>
      <c r="B532" s="49"/>
    </row>
    <row r="533" spans="1:2" x14ac:dyDescent="0.2">
      <c r="A533" s="49"/>
      <c r="B533" s="49"/>
    </row>
    <row r="534" spans="1:2" x14ac:dyDescent="0.2">
      <c r="A534" s="49"/>
      <c r="B534" s="49"/>
    </row>
    <row r="535" spans="1:2" x14ac:dyDescent="0.2">
      <c r="A535" s="49"/>
      <c r="B535" s="49"/>
    </row>
    <row r="536" spans="1:2" x14ac:dyDescent="0.2">
      <c r="A536" s="49"/>
      <c r="B536" s="49"/>
    </row>
    <row r="537" spans="1:2" x14ac:dyDescent="0.2">
      <c r="A537" s="49"/>
      <c r="B537" s="49"/>
    </row>
    <row r="538" spans="1:2" x14ac:dyDescent="0.2">
      <c r="A538" s="49"/>
      <c r="B538" s="49"/>
    </row>
    <row r="539" spans="1:2" x14ac:dyDescent="0.2">
      <c r="A539" s="49"/>
      <c r="B539" s="49"/>
    </row>
    <row r="540" spans="1:2" x14ac:dyDescent="0.2">
      <c r="A540" s="49"/>
      <c r="B540" s="49"/>
    </row>
    <row r="541" spans="1:2" x14ac:dyDescent="0.2">
      <c r="A541" s="49"/>
      <c r="B541" s="49"/>
    </row>
    <row r="542" spans="1:2" x14ac:dyDescent="0.2">
      <c r="A542" s="49"/>
      <c r="B542" s="49"/>
    </row>
    <row r="543" spans="1:2" x14ac:dyDescent="0.2">
      <c r="A543" s="49"/>
      <c r="B543" s="49"/>
    </row>
    <row r="544" spans="1:2" x14ac:dyDescent="0.2">
      <c r="A544" s="49"/>
      <c r="B544" s="49"/>
    </row>
    <row r="545" spans="1:2" x14ac:dyDescent="0.2">
      <c r="A545" s="49"/>
      <c r="B545" s="49"/>
    </row>
    <row r="546" spans="1:2" x14ac:dyDescent="0.2">
      <c r="A546" s="49"/>
      <c r="B546" s="49"/>
    </row>
    <row r="547" spans="1:2" x14ac:dyDescent="0.2">
      <c r="A547" s="49"/>
      <c r="B547" s="49"/>
    </row>
    <row r="548" spans="1:2" x14ac:dyDescent="0.2">
      <c r="A548" s="49"/>
      <c r="B548" s="49"/>
    </row>
    <row r="549" spans="1:2" x14ac:dyDescent="0.2">
      <c r="A549" s="49"/>
      <c r="B549" s="49"/>
    </row>
    <row r="550" spans="1:2" x14ac:dyDescent="0.2">
      <c r="A550" s="49"/>
      <c r="B550" s="49"/>
    </row>
    <row r="551" spans="1:2" x14ac:dyDescent="0.2">
      <c r="A551" s="49"/>
      <c r="B551" s="49"/>
    </row>
    <row r="552" spans="1:2" x14ac:dyDescent="0.2">
      <c r="A552" s="49"/>
      <c r="B552" s="49"/>
    </row>
    <row r="553" spans="1:2" x14ac:dyDescent="0.2">
      <c r="A553" s="49"/>
      <c r="B553" s="49"/>
    </row>
    <row r="554" spans="1:2" x14ac:dyDescent="0.2">
      <c r="A554" s="49"/>
      <c r="B554" s="49"/>
    </row>
    <row r="555" spans="1:2" x14ac:dyDescent="0.2">
      <c r="A555" s="49"/>
      <c r="B555" s="49"/>
    </row>
    <row r="556" spans="1:2" x14ac:dyDescent="0.2">
      <c r="A556" s="49"/>
      <c r="B556" s="49"/>
    </row>
    <row r="557" spans="1:2" x14ac:dyDescent="0.2">
      <c r="A557" s="49"/>
      <c r="B557" s="49"/>
    </row>
    <row r="558" spans="1:2" x14ac:dyDescent="0.2">
      <c r="A558" s="49"/>
      <c r="B558" s="49"/>
    </row>
    <row r="559" spans="1:2" x14ac:dyDescent="0.2">
      <c r="A559" s="49"/>
      <c r="B559" s="49"/>
    </row>
    <row r="560" spans="1:2" x14ac:dyDescent="0.2">
      <c r="A560" s="49"/>
      <c r="B560" s="49"/>
    </row>
    <row r="561" spans="1:2" x14ac:dyDescent="0.2">
      <c r="A561" s="49"/>
      <c r="B561" s="49"/>
    </row>
    <row r="562" spans="1:2" x14ac:dyDescent="0.2">
      <c r="A562" s="49"/>
      <c r="B562" s="49"/>
    </row>
    <row r="563" spans="1:2" x14ac:dyDescent="0.2">
      <c r="A563" s="49"/>
      <c r="B563" s="49"/>
    </row>
    <row r="564" spans="1:2" x14ac:dyDescent="0.2">
      <c r="A564" s="49"/>
      <c r="B564" s="49"/>
    </row>
    <row r="565" spans="1:2" x14ac:dyDescent="0.2">
      <c r="A565" s="49"/>
      <c r="B565" s="49"/>
    </row>
    <row r="566" spans="1:2" x14ac:dyDescent="0.2">
      <c r="A566" s="49"/>
      <c r="B566" s="49"/>
    </row>
    <row r="567" spans="1:2" x14ac:dyDescent="0.2">
      <c r="A567" s="49"/>
      <c r="B567" s="49"/>
    </row>
    <row r="568" spans="1:2" x14ac:dyDescent="0.2">
      <c r="A568" s="49"/>
      <c r="B568" s="49"/>
    </row>
    <row r="569" spans="1:2" x14ac:dyDescent="0.2">
      <c r="A569" s="49"/>
      <c r="B569" s="49"/>
    </row>
    <row r="570" spans="1:2" x14ac:dyDescent="0.2">
      <c r="A570" s="49"/>
      <c r="B570" s="49"/>
    </row>
    <row r="571" spans="1:2" x14ac:dyDescent="0.2">
      <c r="A571" s="49"/>
      <c r="B571" s="49"/>
    </row>
    <row r="572" spans="1:2" x14ac:dyDescent="0.2">
      <c r="A572" s="49"/>
      <c r="B572" s="49"/>
    </row>
    <row r="573" spans="1:2" x14ac:dyDescent="0.2">
      <c r="A573" s="49"/>
      <c r="B573" s="49"/>
    </row>
    <row r="574" spans="1:2" x14ac:dyDescent="0.2">
      <c r="A574" s="49"/>
      <c r="B574" s="49"/>
    </row>
    <row r="575" spans="1:2" x14ac:dyDescent="0.2">
      <c r="A575" s="49"/>
      <c r="B575" s="49"/>
    </row>
    <row r="576" spans="1:2" x14ac:dyDescent="0.2">
      <c r="A576" s="49"/>
      <c r="B576" s="49"/>
    </row>
    <row r="577" spans="1:2" x14ac:dyDescent="0.2">
      <c r="A577" s="49"/>
      <c r="B577" s="49"/>
    </row>
    <row r="578" spans="1:2" x14ac:dyDescent="0.2">
      <c r="A578" s="49"/>
      <c r="B578" s="49"/>
    </row>
    <row r="579" spans="1:2" x14ac:dyDescent="0.2">
      <c r="A579" s="49"/>
      <c r="B579" s="49"/>
    </row>
    <row r="580" spans="1:2" x14ac:dyDescent="0.2">
      <c r="A580" s="49"/>
      <c r="B580" s="49"/>
    </row>
    <row r="581" spans="1:2" x14ac:dyDescent="0.2">
      <c r="A581" s="49"/>
      <c r="B581" s="49"/>
    </row>
    <row r="582" spans="1:2" x14ac:dyDescent="0.2">
      <c r="A582" s="49"/>
      <c r="B582" s="49"/>
    </row>
    <row r="583" spans="1:2" x14ac:dyDescent="0.2">
      <c r="A583" s="49"/>
      <c r="B583" s="49"/>
    </row>
    <row r="584" spans="1:2" x14ac:dyDescent="0.2">
      <c r="A584" s="49"/>
      <c r="B584" s="49"/>
    </row>
    <row r="585" spans="1:2" x14ac:dyDescent="0.2">
      <c r="A585" s="49"/>
      <c r="B585" s="49"/>
    </row>
    <row r="586" spans="1:2" x14ac:dyDescent="0.2">
      <c r="A586" s="49"/>
      <c r="B586" s="49"/>
    </row>
    <row r="587" spans="1:2" x14ac:dyDescent="0.2">
      <c r="A587" s="49"/>
      <c r="B587" s="49"/>
    </row>
    <row r="588" spans="1:2" x14ac:dyDescent="0.2">
      <c r="A588" s="49"/>
      <c r="B588" s="49"/>
    </row>
    <row r="589" spans="1:2" x14ac:dyDescent="0.2">
      <c r="A589" s="49"/>
      <c r="B589" s="49"/>
    </row>
    <row r="590" spans="1:2" x14ac:dyDescent="0.2">
      <c r="A590" s="49"/>
      <c r="B590" s="49"/>
    </row>
    <row r="591" spans="1:2" x14ac:dyDescent="0.2">
      <c r="A591" s="49"/>
      <c r="B591" s="49"/>
    </row>
    <row r="592" spans="1:2" x14ac:dyDescent="0.2">
      <c r="A592" s="49"/>
      <c r="B592" s="49"/>
    </row>
    <row r="593" spans="1:2" x14ac:dyDescent="0.2">
      <c r="A593" s="49"/>
      <c r="B593" s="49"/>
    </row>
    <row r="594" spans="1:2" x14ac:dyDescent="0.2">
      <c r="A594" s="49"/>
      <c r="B594" s="49"/>
    </row>
    <row r="595" spans="1:2" x14ac:dyDescent="0.2">
      <c r="A595" s="49"/>
      <c r="B595" s="49"/>
    </row>
    <row r="596" spans="1:2" x14ac:dyDescent="0.2">
      <c r="A596" s="49"/>
      <c r="B596" s="49"/>
    </row>
    <row r="597" spans="1:2" x14ac:dyDescent="0.2">
      <c r="A597" s="49"/>
      <c r="B597" s="49"/>
    </row>
    <row r="598" spans="1:2" x14ac:dyDescent="0.2">
      <c r="A598" s="49"/>
      <c r="B598" s="49"/>
    </row>
    <row r="599" spans="1:2" x14ac:dyDescent="0.2">
      <c r="A599" s="49"/>
      <c r="B599" s="49"/>
    </row>
    <row r="600" spans="1:2" x14ac:dyDescent="0.2">
      <c r="A600" s="49"/>
      <c r="B600" s="49"/>
    </row>
    <row r="601" spans="1:2" x14ac:dyDescent="0.2">
      <c r="A601" s="49"/>
      <c r="B601" s="49"/>
    </row>
    <row r="602" spans="1:2" x14ac:dyDescent="0.2">
      <c r="A602" s="49"/>
      <c r="B602" s="49"/>
    </row>
    <row r="603" spans="1:2" x14ac:dyDescent="0.2">
      <c r="A603" s="49"/>
      <c r="B603" s="49"/>
    </row>
    <row r="604" spans="1:2" x14ac:dyDescent="0.2">
      <c r="A604" s="49"/>
      <c r="B604" s="49"/>
    </row>
    <row r="605" spans="1:2" x14ac:dyDescent="0.2">
      <c r="A605" s="49"/>
      <c r="B605" s="49"/>
    </row>
    <row r="606" spans="1:2" x14ac:dyDescent="0.2">
      <c r="A606" s="49"/>
      <c r="B606" s="49"/>
    </row>
    <row r="607" spans="1:2" x14ac:dyDescent="0.2">
      <c r="A607" s="49"/>
      <c r="B607" s="49"/>
    </row>
    <row r="608" spans="1:2" x14ac:dyDescent="0.2">
      <c r="A608" s="49"/>
      <c r="B608" s="49"/>
    </row>
    <row r="609" spans="1:2" x14ac:dyDescent="0.2">
      <c r="A609" s="49"/>
      <c r="B609" s="49"/>
    </row>
    <row r="610" spans="1:2" x14ac:dyDescent="0.2">
      <c r="A610" s="49"/>
      <c r="B610" s="49"/>
    </row>
    <row r="611" spans="1:2" x14ac:dyDescent="0.2">
      <c r="A611" s="49"/>
      <c r="B611" s="49"/>
    </row>
    <row r="612" spans="1:2" x14ac:dyDescent="0.2">
      <c r="A612" s="49"/>
      <c r="B612" s="49"/>
    </row>
    <row r="613" spans="1:2" x14ac:dyDescent="0.2">
      <c r="A613" s="49"/>
      <c r="B613" s="49"/>
    </row>
    <row r="614" spans="1:2" x14ac:dyDescent="0.2">
      <c r="A614" s="49"/>
      <c r="B614" s="49"/>
    </row>
    <row r="615" spans="1:2" x14ac:dyDescent="0.2">
      <c r="A615" s="49"/>
      <c r="B615" s="49"/>
    </row>
    <row r="616" spans="1:2" x14ac:dyDescent="0.2">
      <c r="A616" s="49"/>
      <c r="B616" s="49"/>
    </row>
    <row r="617" spans="1:2" x14ac:dyDescent="0.2">
      <c r="A617" s="49"/>
      <c r="B617" s="49"/>
    </row>
    <row r="618" spans="1:2" x14ac:dyDescent="0.2">
      <c r="A618" s="49"/>
      <c r="B618" s="49"/>
    </row>
    <row r="619" spans="1:2" x14ac:dyDescent="0.2">
      <c r="A619" s="49"/>
      <c r="B619" s="49"/>
    </row>
    <row r="620" spans="1:2" x14ac:dyDescent="0.2">
      <c r="A620" s="49"/>
      <c r="B620" s="49"/>
    </row>
    <row r="621" spans="1:2" x14ac:dyDescent="0.2">
      <c r="A621" s="49"/>
      <c r="B621" s="49"/>
    </row>
    <row r="622" spans="1:2" x14ac:dyDescent="0.2">
      <c r="A622" s="49"/>
      <c r="B622" s="49"/>
    </row>
    <row r="623" spans="1:2" x14ac:dyDescent="0.2">
      <c r="A623" s="49"/>
      <c r="B623" s="49"/>
    </row>
    <row r="624" spans="1:2" x14ac:dyDescent="0.2">
      <c r="A624" s="49"/>
      <c r="B624" s="49"/>
    </row>
    <row r="625" spans="1:2" x14ac:dyDescent="0.2">
      <c r="A625" s="49"/>
      <c r="B625" s="49"/>
    </row>
    <row r="626" spans="1:2" x14ac:dyDescent="0.2">
      <c r="A626" s="49"/>
      <c r="B626" s="49"/>
    </row>
    <row r="627" spans="1:2" x14ac:dyDescent="0.2">
      <c r="A627" s="49"/>
      <c r="B627" s="49"/>
    </row>
    <row r="628" spans="1:2" x14ac:dyDescent="0.2">
      <c r="A628" s="49"/>
      <c r="B628" s="49"/>
    </row>
    <row r="629" spans="1:2" x14ac:dyDescent="0.2">
      <c r="A629" s="49"/>
      <c r="B629" s="49"/>
    </row>
    <row r="630" spans="1:2" x14ac:dyDescent="0.2">
      <c r="A630" s="49"/>
      <c r="B630" s="49"/>
    </row>
    <row r="631" spans="1:2" x14ac:dyDescent="0.2">
      <c r="A631" s="49"/>
      <c r="B631" s="49"/>
    </row>
    <row r="632" spans="1:2" x14ac:dyDescent="0.2">
      <c r="A632" s="49"/>
      <c r="B632" s="49"/>
    </row>
    <row r="633" spans="1:2" x14ac:dyDescent="0.2">
      <c r="A633" s="49"/>
      <c r="B633" s="49"/>
    </row>
    <row r="634" spans="1:2" x14ac:dyDescent="0.2">
      <c r="A634" s="49"/>
      <c r="B634" s="49"/>
    </row>
    <row r="635" spans="1:2" x14ac:dyDescent="0.2">
      <c r="A635" s="49"/>
      <c r="B635" s="49"/>
    </row>
    <row r="636" spans="1:2" x14ac:dyDescent="0.2">
      <c r="A636" s="49"/>
      <c r="B636" s="49"/>
    </row>
    <row r="637" spans="1:2" x14ac:dyDescent="0.2">
      <c r="A637" s="49"/>
      <c r="B637" s="49"/>
    </row>
    <row r="638" spans="1:2" x14ac:dyDescent="0.2">
      <c r="A638" s="49"/>
      <c r="B638" s="49"/>
    </row>
    <row r="639" spans="1:2" x14ac:dyDescent="0.2">
      <c r="A639" s="49"/>
      <c r="B639" s="49"/>
    </row>
    <row r="640" spans="1:2" x14ac:dyDescent="0.2">
      <c r="A640" s="49"/>
      <c r="B640" s="49"/>
    </row>
    <row r="641" spans="1:2" x14ac:dyDescent="0.2">
      <c r="A641" s="49"/>
      <c r="B641" s="49"/>
    </row>
    <row r="642" spans="1:2" x14ac:dyDescent="0.2">
      <c r="A642" s="49"/>
      <c r="B642" s="49"/>
    </row>
    <row r="643" spans="1:2" x14ac:dyDescent="0.2">
      <c r="A643" s="49"/>
      <c r="B643" s="49"/>
    </row>
    <row r="644" spans="1:2" x14ac:dyDescent="0.2">
      <c r="A644" s="49"/>
      <c r="B644" s="49"/>
    </row>
    <row r="645" spans="1:2" x14ac:dyDescent="0.2">
      <c r="A645" s="49"/>
      <c r="B645" s="49"/>
    </row>
    <row r="646" spans="1:2" x14ac:dyDescent="0.2">
      <c r="A646" s="49"/>
      <c r="B646" s="49"/>
    </row>
    <row r="647" spans="1:2" x14ac:dyDescent="0.2">
      <c r="A647" s="49"/>
      <c r="B647" s="49"/>
    </row>
    <row r="648" spans="1:2" x14ac:dyDescent="0.2">
      <c r="A648" s="49"/>
      <c r="B648" s="49"/>
    </row>
    <row r="649" spans="1:2" x14ac:dyDescent="0.2">
      <c r="A649" s="49"/>
      <c r="B649" s="49"/>
    </row>
    <row r="650" spans="1:2" x14ac:dyDescent="0.2">
      <c r="A650" s="49"/>
      <c r="B650" s="49"/>
    </row>
    <row r="651" spans="1:2" x14ac:dyDescent="0.2">
      <c r="A651" s="49"/>
      <c r="B651" s="49"/>
    </row>
    <row r="652" spans="1:2" x14ac:dyDescent="0.2">
      <c r="A652" s="49"/>
      <c r="B652" s="49"/>
    </row>
    <row r="653" spans="1:2" x14ac:dyDescent="0.2">
      <c r="A653" s="49"/>
      <c r="B653" s="49"/>
    </row>
    <row r="654" spans="1:2" x14ac:dyDescent="0.2">
      <c r="A654" s="49"/>
      <c r="B654" s="49"/>
    </row>
    <row r="655" spans="1:2" x14ac:dyDescent="0.2">
      <c r="A655" s="49"/>
      <c r="B655" s="49"/>
    </row>
    <row r="656" spans="1:2" x14ac:dyDescent="0.2">
      <c r="A656" s="49"/>
      <c r="B656" s="49"/>
    </row>
    <row r="657" spans="1:2" x14ac:dyDescent="0.2">
      <c r="A657" s="49"/>
      <c r="B657" s="49"/>
    </row>
    <row r="658" spans="1:2" x14ac:dyDescent="0.2">
      <c r="A658" s="49"/>
      <c r="B658" s="49"/>
    </row>
    <row r="659" spans="1:2" x14ac:dyDescent="0.2">
      <c r="A659" s="49"/>
      <c r="B659" s="49"/>
    </row>
    <row r="660" spans="1:2" x14ac:dyDescent="0.2">
      <c r="A660" s="49"/>
      <c r="B660" s="49"/>
    </row>
    <row r="661" spans="1:2" x14ac:dyDescent="0.2">
      <c r="A661" s="49"/>
      <c r="B661" s="49"/>
    </row>
    <row r="662" spans="1:2" x14ac:dyDescent="0.2">
      <c r="A662" s="49"/>
      <c r="B662" s="49"/>
    </row>
    <row r="663" spans="1:2" x14ac:dyDescent="0.2">
      <c r="A663" s="49"/>
      <c r="B663" s="49"/>
    </row>
    <row r="664" spans="1:2" x14ac:dyDescent="0.2">
      <c r="A664" s="49"/>
      <c r="B664" s="49"/>
    </row>
    <row r="665" spans="1:2" x14ac:dyDescent="0.2">
      <c r="A665" s="49"/>
      <c r="B665" s="49"/>
    </row>
    <row r="666" spans="1:2" x14ac:dyDescent="0.2">
      <c r="A666" s="49"/>
      <c r="B666" s="49"/>
    </row>
    <row r="667" spans="1:2" x14ac:dyDescent="0.2">
      <c r="A667" s="49"/>
      <c r="B667" s="49"/>
    </row>
    <row r="668" spans="1:2" x14ac:dyDescent="0.2">
      <c r="A668" s="49"/>
      <c r="B668" s="49"/>
    </row>
    <row r="669" spans="1:2" x14ac:dyDescent="0.2">
      <c r="A669" s="49"/>
      <c r="B669" s="49"/>
    </row>
    <row r="670" spans="1:2" x14ac:dyDescent="0.2">
      <c r="A670" s="49"/>
      <c r="B670" s="49"/>
    </row>
    <row r="671" spans="1:2" x14ac:dyDescent="0.2">
      <c r="A671" s="49"/>
      <c r="B671" s="49"/>
    </row>
    <row r="672" spans="1:2" x14ac:dyDescent="0.2">
      <c r="A672" s="49"/>
      <c r="B672" s="49"/>
    </row>
    <row r="673" spans="1:2" x14ac:dyDescent="0.2">
      <c r="A673" s="49"/>
      <c r="B673" s="49"/>
    </row>
    <row r="674" spans="1:2" x14ac:dyDescent="0.2">
      <c r="A674" s="49"/>
      <c r="B674" s="49"/>
    </row>
    <row r="675" spans="1:2" x14ac:dyDescent="0.2">
      <c r="A675" s="49"/>
      <c r="B675" s="49"/>
    </row>
    <row r="676" spans="1:2" x14ac:dyDescent="0.2">
      <c r="A676" s="49"/>
      <c r="B676" s="49"/>
    </row>
    <row r="677" spans="1:2" x14ac:dyDescent="0.2">
      <c r="A677" s="49"/>
      <c r="B677" s="49"/>
    </row>
    <row r="678" spans="1:2" x14ac:dyDescent="0.2">
      <c r="A678" s="49"/>
      <c r="B678" s="49"/>
    </row>
    <row r="679" spans="1:2" x14ac:dyDescent="0.2">
      <c r="A679" s="49"/>
      <c r="B679" s="49"/>
    </row>
    <row r="680" spans="1:2" x14ac:dyDescent="0.2">
      <c r="A680" s="49"/>
      <c r="B680" s="49"/>
    </row>
    <row r="681" spans="1:2" x14ac:dyDescent="0.2">
      <c r="A681" s="49"/>
      <c r="B681" s="49"/>
    </row>
    <row r="682" spans="1:2" x14ac:dyDescent="0.2">
      <c r="A682" s="49"/>
      <c r="B682" s="49"/>
    </row>
    <row r="683" spans="1:2" x14ac:dyDescent="0.2">
      <c r="A683" s="49"/>
      <c r="B683" s="49"/>
    </row>
    <row r="684" spans="1:2" x14ac:dyDescent="0.2">
      <c r="A684" s="49"/>
      <c r="B684" s="49"/>
    </row>
    <row r="685" spans="1:2" x14ac:dyDescent="0.2">
      <c r="A685" s="49"/>
      <c r="B685" s="49"/>
    </row>
    <row r="686" spans="1:2" x14ac:dyDescent="0.2">
      <c r="A686" s="49"/>
      <c r="B686" s="49"/>
    </row>
    <row r="687" spans="1:2" x14ac:dyDescent="0.2">
      <c r="A687" s="49"/>
      <c r="B687" s="49"/>
    </row>
    <row r="688" spans="1:2" x14ac:dyDescent="0.2">
      <c r="A688" s="49"/>
      <c r="B688" s="49"/>
    </row>
    <row r="689" spans="1:2" x14ac:dyDescent="0.2">
      <c r="A689" s="49"/>
      <c r="B689" s="49"/>
    </row>
    <row r="690" spans="1:2" x14ac:dyDescent="0.2">
      <c r="A690" s="49"/>
      <c r="B690" s="49"/>
    </row>
    <row r="691" spans="1:2" x14ac:dyDescent="0.2">
      <c r="A691" s="49"/>
      <c r="B691" s="49"/>
    </row>
    <row r="692" spans="1:2" x14ac:dyDescent="0.2">
      <c r="A692" s="49"/>
      <c r="B692" s="49"/>
    </row>
    <row r="693" spans="1:2" x14ac:dyDescent="0.2">
      <c r="A693" s="49"/>
      <c r="B693" s="49"/>
    </row>
    <row r="694" spans="1:2" x14ac:dyDescent="0.2">
      <c r="A694" s="49"/>
      <c r="B694" s="49"/>
    </row>
    <row r="695" spans="1:2" x14ac:dyDescent="0.2">
      <c r="A695" s="49"/>
      <c r="B695" s="49"/>
    </row>
    <row r="696" spans="1:2" x14ac:dyDescent="0.2">
      <c r="A696" s="49"/>
      <c r="B696" s="49"/>
    </row>
    <row r="697" spans="1:2" x14ac:dyDescent="0.2">
      <c r="A697" s="49"/>
      <c r="B697" s="49"/>
    </row>
    <row r="698" spans="1:2" x14ac:dyDescent="0.2">
      <c r="A698" s="49"/>
      <c r="B698" s="49"/>
    </row>
    <row r="699" spans="1:2" x14ac:dyDescent="0.2">
      <c r="A699" s="49"/>
      <c r="B699" s="49"/>
    </row>
    <row r="700" spans="1:2" x14ac:dyDescent="0.2">
      <c r="A700" s="49"/>
      <c r="B700" s="49"/>
    </row>
    <row r="701" spans="1:2" x14ac:dyDescent="0.2">
      <c r="A701" s="49"/>
      <c r="B701" s="49"/>
    </row>
    <row r="702" spans="1:2" x14ac:dyDescent="0.2">
      <c r="A702" s="49"/>
      <c r="B702" s="49"/>
    </row>
    <row r="703" spans="1:2" x14ac:dyDescent="0.2">
      <c r="A703" s="49"/>
      <c r="B703" s="49"/>
    </row>
    <row r="704" spans="1:2" x14ac:dyDescent="0.2">
      <c r="A704" s="49"/>
      <c r="B704" s="49"/>
    </row>
    <row r="705" spans="1:2" x14ac:dyDescent="0.2">
      <c r="A705" s="49"/>
      <c r="B705" s="49"/>
    </row>
    <row r="706" spans="1:2" x14ac:dyDescent="0.2">
      <c r="A706" s="49"/>
      <c r="B706" s="49"/>
    </row>
    <row r="707" spans="1:2" x14ac:dyDescent="0.2">
      <c r="A707" s="49"/>
      <c r="B707" s="49"/>
    </row>
    <row r="708" spans="1:2" x14ac:dyDescent="0.2">
      <c r="A708" s="49"/>
      <c r="B708" s="49"/>
    </row>
    <row r="709" spans="1:2" x14ac:dyDescent="0.2">
      <c r="A709" s="49"/>
      <c r="B709" s="49"/>
    </row>
    <row r="710" spans="1:2" x14ac:dyDescent="0.2">
      <c r="A710" s="49"/>
      <c r="B710" s="49"/>
    </row>
    <row r="711" spans="1:2" x14ac:dyDescent="0.2">
      <c r="A711" s="49"/>
      <c r="B711" s="49"/>
    </row>
    <row r="712" spans="1:2" x14ac:dyDescent="0.2">
      <c r="A712" s="49"/>
      <c r="B712" s="49"/>
    </row>
    <row r="713" spans="1:2" x14ac:dyDescent="0.2">
      <c r="A713" s="49"/>
      <c r="B713" s="49"/>
    </row>
    <row r="714" spans="1:2" x14ac:dyDescent="0.2">
      <c r="A714" s="49"/>
      <c r="B714" s="49"/>
    </row>
    <row r="715" spans="1:2" x14ac:dyDescent="0.2">
      <c r="A715" s="49"/>
      <c r="B715" s="49"/>
    </row>
    <row r="716" spans="1:2" x14ac:dyDescent="0.2">
      <c r="A716" s="49"/>
      <c r="B716" s="49"/>
    </row>
    <row r="717" spans="1:2" x14ac:dyDescent="0.2">
      <c r="A717" s="49"/>
      <c r="B717" s="49"/>
    </row>
    <row r="718" spans="1:2" x14ac:dyDescent="0.2">
      <c r="A718" s="49"/>
      <c r="B718" s="49"/>
    </row>
    <row r="719" spans="1:2" x14ac:dyDescent="0.2">
      <c r="A719" s="49"/>
      <c r="B719" s="49"/>
    </row>
    <row r="720" spans="1:2" x14ac:dyDescent="0.2">
      <c r="A720" s="49"/>
      <c r="B720" s="49"/>
    </row>
    <row r="721" spans="1:2" x14ac:dyDescent="0.2">
      <c r="A721" s="49"/>
      <c r="B721" s="49"/>
    </row>
    <row r="722" spans="1:2" x14ac:dyDescent="0.2">
      <c r="A722" s="49"/>
      <c r="B722" s="49"/>
    </row>
    <row r="723" spans="1:2" x14ac:dyDescent="0.2">
      <c r="A723" s="49"/>
      <c r="B723" s="49"/>
    </row>
    <row r="724" spans="1:2" x14ac:dyDescent="0.2">
      <c r="A724" s="49"/>
      <c r="B724" s="49"/>
    </row>
    <row r="725" spans="1:2" x14ac:dyDescent="0.2">
      <c r="A725" s="49"/>
      <c r="B725" s="49"/>
    </row>
    <row r="726" spans="1:2" x14ac:dyDescent="0.2">
      <c r="A726" s="49"/>
      <c r="B726" s="49"/>
    </row>
    <row r="727" spans="1:2" x14ac:dyDescent="0.2">
      <c r="A727" s="49"/>
      <c r="B727" s="49"/>
    </row>
    <row r="728" spans="1:2" x14ac:dyDescent="0.2">
      <c r="A728" s="49"/>
      <c r="B728" s="49"/>
    </row>
    <row r="729" spans="1:2" x14ac:dyDescent="0.2">
      <c r="A729" s="49"/>
      <c r="B729" s="49"/>
    </row>
    <row r="730" spans="1:2" x14ac:dyDescent="0.2">
      <c r="A730" s="49"/>
      <c r="B730" s="49"/>
    </row>
    <row r="731" spans="1:2" x14ac:dyDescent="0.2">
      <c r="A731" s="49"/>
      <c r="B731" s="49"/>
    </row>
    <row r="732" spans="1:2" x14ac:dyDescent="0.2">
      <c r="A732" s="49"/>
      <c r="B732" s="49"/>
    </row>
    <row r="733" spans="1:2" x14ac:dyDescent="0.2">
      <c r="A733" s="49"/>
      <c r="B733" s="49"/>
    </row>
    <row r="734" spans="1:2" x14ac:dyDescent="0.2">
      <c r="A734" s="49"/>
      <c r="B734" s="49"/>
    </row>
    <row r="735" spans="1:2" x14ac:dyDescent="0.2">
      <c r="A735" s="49"/>
      <c r="B735" s="49"/>
    </row>
    <row r="736" spans="1:2" x14ac:dyDescent="0.2">
      <c r="A736" s="49"/>
      <c r="B736" s="49"/>
    </row>
    <row r="737" spans="1:2" x14ac:dyDescent="0.2">
      <c r="A737" s="49"/>
      <c r="B737" s="49"/>
    </row>
    <row r="738" spans="1:2" x14ac:dyDescent="0.2">
      <c r="A738" s="49"/>
      <c r="B738" s="49"/>
    </row>
    <row r="739" spans="1:2" x14ac:dyDescent="0.2">
      <c r="A739" s="49"/>
      <c r="B739" s="49"/>
    </row>
    <row r="740" spans="1:2" x14ac:dyDescent="0.2">
      <c r="A740" s="49"/>
      <c r="B740" s="49"/>
    </row>
    <row r="741" spans="1:2" x14ac:dyDescent="0.2">
      <c r="A741" s="49"/>
      <c r="B741" s="49"/>
    </row>
    <row r="742" spans="1:2" x14ac:dyDescent="0.2">
      <c r="A742" s="49"/>
      <c r="B742" s="49"/>
    </row>
    <row r="743" spans="1:2" x14ac:dyDescent="0.2">
      <c r="A743" s="49"/>
      <c r="B743" s="49"/>
    </row>
    <row r="744" spans="1:2" x14ac:dyDescent="0.2">
      <c r="A744" s="49"/>
      <c r="B744" s="49"/>
    </row>
    <row r="745" spans="1:2" x14ac:dyDescent="0.2">
      <c r="A745" s="49"/>
      <c r="B745" s="49"/>
    </row>
    <row r="746" spans="1:2" x14ac:dyDescent="0.2">
      <c r="A746" s="49"/>
      <c r="B746" s="49"/>
    </row>
    <row r="747" spans="1:2" x14ac:dyDescent="0.2">
      <c r="A747" s="49"/>
      <c r="B747" s="49"/>
    </row>
    <row r="748" spans="1:2" x14ac:dyDescent="0.2">
      <c r="A748" s="49"/>
      <c r="B748" s="49"/>
    </row>
    <row r="749" spans="1:2" x14ac:dyDescent="0.2">
      <c r="A749" s="49"/>
      <c r="B749" s="49"/>
    </row>
    <row r="750" spans="1:2" x14ac:dyDescent="0.2">
      <c r="A750" s="49"/>
      <c r="B750" s="49"/>
    </row>
    <row r="751" spans="1:2" x14ac:dyDescent="0.2">
      <c r="A751" s="49"/>
      <c r="B751" s="49"/>
    </row>
    <row r="752" spans="1:2" x14ac:dyDescent="0.2">
      <c r="A752" s="49"/>
      <c r="B752" s="49"/>
    </row>
    <row r="753" spans="1:2" x14ac:dyDescent="0.2">
      <c r="A753" s="49"/>
      <c r="B753" s="49"/>
    </row>
    <row r="754" spans="1:2" x14ac:dyDescent="0.2">
      <c r="A754" s="49"/>
      <c r="B754" s="49"/>
    </row>
    <row r="755" spans="1:2" x14ac:dyDescent="0.2">
      <c r="A755" s="49"/>
      <c r="B755" s="49"/>
    </row>
    <row r="756" spans="1:2" x14ac:dyDescent="0.2">
      <c r="A756" s="49"/>
      <c r="B756" s="49"/>
    </row>
    <row r="757" spans="1:2" x14ac:dyDescent="0.2">
      <c r="A757" s="49"/>
      <c r="B757" s="49"/>
    </row>
    <row r="758" spans="1:2" x14ac:dyDescent="0.2">
      <c r="A758" s="49"/>
      <c r="B758" s="49"/>
    </row>
    <row r="759" spans="1:2" x14ac:dyDescent="0.2">
      <c r="A759" s="49"/>
      <c r="B759" s="49"/>
    </row>
    <row r="760" spans="1:2" x14ac:dyDescent="0.2">
      <c r="A760" s="49"/>
      <c r="B760" s="49"/>
    </row>
    <row r="761" spans="1:2" x14ac:dyDescent="0.2">
      <c r="A761" s="49"/>
      <c r="B761" s="49"/>
    </row>
    <row r="762" spans="1:2" x14ac:dyDescent="0.2">
      <c r="A762" s="49"/>
      <c r="B762" s="49"/>
    </row>
    <row r="763" spans="1:2" x14ac:dyDescent="0.2">
      <c r="A763" s="49"/>
      <c r="B763" s="49"/>
    </row>
    <row r="764" spans="1:2" x14ac:dyDescent="0.2">
      <c r="A764" s="49"/>
      <c r="B764" s="49"/>
    </row>
    <row r="765" spans="1:2" x14ac:dyDescent="0.2">
      <c r="A765" s="49"/>
      <c r="B765" s="49"/>
    </row>
    <row r="766" spans="1:2" x14ac:dyDescent="0.2">
      <c r="A766" s="49"/>
      <c r="B766" s="49"/>
    </row>
    <row r="767" spans="1:2" x14ac:dyDescent="0.2">
      <c r="A767" s="49"/>
      <c r="B767" s="49"/>
    </row>
    <row r="768" spans="1:2" x14ac:dyDescent="0.2">
      <c r="A768" s="49"/>
      <c r="B768" s="49"/>
    </row>
    <row r="769" spans="1:2" x14ac:dyDescent="0.2">
      <c r="A769" s="49"/>
      <c r="B769" s="49"/>
    </row>
    <row r="770" spans="1:2" x14ac:dyDescent="0.2">
      <c r="A770" s="49"/>
      <c r="B770" s="49"/>
    </row>
    <row r="771" spans="1:2" x14ac:dyDescent="0.2">
      <c r="A771" s="49"/>
      <c r="B771" s="49"/>
    </row>
    <row r="772" spans="1:2" x14ac:dyDescent="0.2">
      <c r="A772" s="49"/>
      <c r="B772" s="49"/>
    </row>
    <row r="773" spans="1:2" x14ac:dyDescent="0.2">
      <c r="A773" s="49"/>
      <c r="B773" s="49"/>
    </row>
    <row r="774" spans="1:2" x14ac:dyDescent="0.2">
      <c r="A774" s="49"/>
      <c r="B774" s="49"/>
    </row>
    <row r="775" spans="1:2" x14ac:dyDescent="0.2">
      <c r="A775" s="49"/>
      <c r="B775" s="49"/>
    </row>
    <row r="776" spans="1:2" x14ac:dyDescent="0.2">
      <c r="A776" s="49"/>
      <c r="B776" s="49"/>
    </row>
    <row r="777" spans="1:2" x14ac:dyDescent="0.2">
      <c r="A777" s="49"/>
      <c r="B777" s="49"/>
    </row>
    <row r="778" spans="1:2" x14ac:dyDescent="0.2">
      <c r="A778" s="49"/>
      <c r="B778" s="49"/>
    </row>
    <row r="779" spans="1:2" x14ac:dyDescent="0.2">
      <c r="A779" s="49"/>
      <c r="B779" s="49"/>
    </row>
    <row r="780" spans="1:2" x14ac:dyDescent="0.2">
      <c r="A780" s="49"/>
      <c r="B780" s="49"/>
    </row>
    <row r="781" spans="1:2" x14ac:dyDescent="0.2">
      <c r="A781" s="49"/>
      <c r="B781" s="49"/>
    </row>
    <row r="782" spans="1:2" x14ac:dyDescent="0.2">
      <c r="A782" s="49"/>
      <c r="B782" s="49"/>
    </row>
    <row r="783" spans="1:2" x14ac:dyDescent="0.2">
      <c r="A783" s="49"/>
      <c r="B783" s="49"/>
    </row>
    <row r="784" spans="1:2" x14ac:dyDescent="0.2">
      <c r="A784" s="49"/>
      <c r="B784" s="49"/>
    </row>
    <row r="785" spans="1:2" x14ac:dyDescent="0.2">
      <c r="A785" s="49"/>
      <c r="B785" s="49"/>
    </row>
    <row r="786" spans="1:2" x14ac:dyDescent="0.2">
      <c r="A786" s="49"/>
      <c r="B786" s="49"/>
    </row>
    <row r="787" spans="1:2" x14ac:dyDescent="0.2">
      <c r="A787" s="49"/>
      <c r="B787" s="49"/>
    </row>
    <row r="788" spans="1:2" x14ac:dyDescent="0.2">
      <c r="A788" s="49"/>
      <c r="B788" s="49"/>
    </row>
    <row r="789" spans="1:2" x14ac:dyDescent="0.2">
      <c r="A789" s="49"/>
      <c r="B789" s="49"/>
    </row>
    <row r="790" spans="1:2" x14ac:dyDescent="0.2">
      <c r="A790" s="49"/>
      <c r="B790" s="49"/>
    </row>
    <row r="791" spans="1:2" x14ac:dyDescent="0.2">
      <c r="A791" s="49"/>
      <c r="B791" s="49"/>
    </row>
    <row r="792" spans="1:2" x14ac:dyDescent="0.2">
      <c r="A792" s="49"/>
      <c r="B792" s="49"/>
    </row>
    <row r="793" spans="1:2" x14ac:dyDescent="0.2">
      <c r="A793" s="49"/>
      <c r="B793" s="49"/>
    </row>
    <row r="794" spans="1:2" x14ac:dyDescent="0.2">
      <c r="A794" s="49"/>
      <c r="B794" s="49"/>
    </row>
    <row r="795" spans="1:2" x14ac:dyDescent="0.2">
      <c r="A795" s="49"/>
      <c r="B795" s="49"/>
    </row>
    <row r="796" spans="1:2" x14ac:dyDescent="0.2">
      <c r="A796" s="49"/>
      <c r="B796" s="49"/>
    </row>
    <row r="797" spans="1:2" x14ac:dyDescent="0.2">
      <c r="A797" s="49"/>
      <c r="B797" s="49"/>
    </row>
    <row r="798" spans="1:2" x14ac:dyDescent="0.2">
      <c r="A798" s="49"/>
      <c r="B798" s="49"/>
    </row>
    <row r="799" spans="1:2" x14ac:dyDescent="0.2">
      <c r="A799" s="49"/>
      <c r="B799" s="49"/>
    </row>
    <row r="800" spans="1:2" x14ac:dyDescent="0.2">
      <c r="A800" s="49"/>
      <c r="B800" s="49"/>
    </row>
    <row r="801" spans="1:2" x14ac:dyDescent="0.2">
      <c r="A801" s="49"/>
      <c r="B801" s="49"/>
    </row>
    <row r="802" spans="1:2" x14ac:dyDescent="0.2">
      <c r="A802" s="49"/>
      <c r="B802" s="49"/>
    </row>
    <row r="803" spans="1:2" x14ac:dyDescent="0.2">
      <c r="A803" s="49"/>
      <c r="B803" s="49"/>
    </row>
    <row r="804" spans="1:2" x14ac:dyDescent="0.2">
      <c r="A804" s="49"/>
      <c r="B804" s="49"/>
    </row>
    <row r="805" spans="1:2" x14ac:dyDescent="0.2">
      <c r="A805" s="49"/>
      <c r="B805" s="49"/>
    </row>
    <row r="806" spans="1:2" x14ac:dyDescent="0.2">
      <c r="A806" s="49"/>
      <c r="B806" s="49"/>
    </row>
    <row r="807" spans="1:2" x14ac:dyDescent="0.2">
      <c r="A807" s="49"/>
      <c r="B807" s="49"/>
    </row>
    <row r="808" spans="1:2" x14ac:dyDescent="0.2">
      <c r="A808" s="49"/>
      <c r="B808" s="49"/>
    </row>
    <row r="809" spans="1:2" x14ac:dyDescent="0.2">
      <c r="A809" s="49"/>
      <c r="B809" s="49"/>
    </row>
    <row r="810" spans="1:2" x14ac:dyDescent="0.2">
      <c r="A810" s="49"/>
      <c r="B810" s="49"/>
    </row>
    <row r="811" spans="1:2" x14ac:dyDescent="0.2">
      <c r="A811" s="49"/>
      <c r="B811" s="49"/>
    </row>
    <row r="812" spans="1:2" x14ac:dyDescent="0.2">
      <c r="A812" s="49"/>
      <c r="B812" s="49"/>
    </row>
    <row r="813" spans="1:2" x14ac:dyDescent="0.2">
      <c r="A813" s="49"/>
      <c r="B813" s="49"/>
    </row>
    <row r="814" spans="1:2" x14ac:dyDescent="0.2">
      <c r="A814" s="49"/>
      <c r="B814" s="49"/>
    </row>
    <row r="815" spans="1:2" x14ac:dyDescent="0.2">
      <c r="A815" s="49"/>
      <c r="B815" s="49"/>
    </row>
    <row r="816" spans="1:2" x14ac:dyDescent="0.2">
      <c r="A816" s="49"/>
      <c r="B816" s="49"/>
    </row>
    <row r="817" spans="1:2" x14ac:dyDescent="0.2">
      <c r="A817" s="49"/>
      <c r="B817" s="49"/>
    </row>
    <row r="818" spans="1:2" x14ac:dyDescent="0.2">
      <c r="A818" s="49"/>
      <c r="B818" s="49"/>
    </row>
    <row r="819" spans="1:2" x14ac:dyDescent="0.2">
      <c r="A819" s="49"/>
      <c r="B819" s="49"/>
    </row>
    <row r="820" spans="1:2" x14ac:dyDescent="0.2">
      <c r="A820" s="49"/>
      <c r="B820" s="49"/>
    </row>
    <row r="821" spans="1:2" x14ac:dyDescent="0.2">
      <c r="A821" s="49"/>
      <c r="B821" s="49"/>
    </row>
    <row r="822" spans="1:2" x14ac:dyDescent="0.2">
      <c r="A822" s="49"/>
      <c r="B822" s="49"/>
    </row>
    <row r="823" spans="1:2" x14ac:dyDescent="0.2">
      <c r="A823" s="49"/>
      <c r="B823" s="49"/>
    </row>
    <row r="824" spans="1:2" x14ac:dyDescent="0.2">
      <c r="A824" s="49"/>
      <c r="B824" s="49"/>
    </row>
    <row r="825" spans="1:2" x14ac:dyDescent="0.2">
      <c r="A825" s="49"/>
      <c r="B825" s="49"/>
    </row>
    <row r="826" spans="1:2" x14ac:dyDescent="0.2">
      <c r="A826" s="49"/>
      <c r="B826" s="49"/>
    </row>
    <row r="827" spans="1:2" x14ac:dyDescent="0.2">
      <c r="A827" s="49"/>
      <c r="B827" s="49"/>
    </row>
    <row r="828" spans="1:2" x14ac:dyDescent="0.2">
      <c r="A828" s="49"/>
      <c r="B828" s="49"/>
    </row>
    <row r="829" spans="1:2" x14ac:dyDescent="0.2">
      <c r="A829" s="49"/>
      <c r="B829" s="49"/>
    </row>
    <row r="830" spans="1:2" x14ac:dyDescent="0.2">
      <c r="A830" s="49"/>
      <c r="B830" s="49"/>
    </row>
    <row r="831" spans="1:2" x14ac:dyDescent="0.2">
      <c r="A831" s="49"/>
      <c r="B831" s="49"/>
    </row>
    <row r="832" spans="1:2" x14ac:dyDescent="0.2">
      <c r="A832" s="49"/>
      <c r="B832" s="49"/>
    </row>
    <row r="833" spans="1:2" x14ac:dyDescent="0.2">
      <c r="A833" s="49"/>
      <c r="B833" s="49"/>
    </row>
    <row r="834" spans="1:2" x14ac:dyDescent="0.2">
      <c r="A834" s="49"/>
      <c r="B834" s="49"/>
    </row>
    <row r="835" spans="1:2" x14ac:dyDescent="0.2">
      <c r="A835" s="49"/>
      <c r="B835" s="49"/>
    </row>
    <row r="836" spans="1:2" x14ac:dyDescent="0.2">
      <c r="A836" s="49"/>
      <c r="B836" s="49"/>
    </row>
    <row r="837" spans="1:2" x14ac:dyDescent="0.2">
      <c r="A837" s="49"/>
      <c r="B837" s="49"/>
    </row>
    <row r="838" spans="1:2" x14ac:dyDescent="0.2">
      <c r="A838" s="49"/>
      <c r="B838" s="49"/>
    </row>
    <row r="839" spans="1:2" x14ac:dyDescent="0.2">
      <c r="A839" s="49"/>
      <c r="B839" s="49"/>
    </row>
    <row r="840" spans="1:2" x14ac:dyDescent="0.2">
      <c r="A840" s="49"/>
      <c r="B840" s="49"/>
    </row>
    <row r="841" spans="1:2" x14ac:dyDescent="0.2">
      <c r="A841" s="49"/>
      <c r="B841" s="49"/>
    </row>
    <row r="842" spans="1:2" x14ac:dyDescent="0.2">
      <c r="A842" s="49"/>
      <c r="B842" s="49"/>
    </row>
    <row r="843" spans="1:2" x14ac:dyDescent="0.2">
      <c r="A843" s="49"/>
      <c r="B843" s="49"/>
    </row>
    <row r="844" spans="1:2" x14ac:dyDescent="0.2">
      <c r="A844" s="49"/>
      <c r="B844" s="49"/>
    </row>
    <row r="845" spans="1:2" x14ac:dyDescent="0.2">
      <c r="A845" s="49"/>
      <c r="B845" s="49"/>
    </row>
    <row r="846" spans="1:2" x14ac:dyDescent="0.2">
      <c r="A846" s="49"/>
      <c r="B846" s="49"/>
    </row>
    <row r="847" spans="1:2" x14ac:dyDescent="0.2">
      <c r="A847" s="49"/>
      <c r="B847" s="49"/>
    </row>
    <row r="848" spans="1:2" x14ac:dyDescent="0.2">
      <c r="A848" s="49"/>
      <c r="B848" s="49"/>
    </row>
    <row r="849" spans="1:2" x14ac:dyDescent="0.2">
      <c r="A849" s="49"/>
      <c r="B849" s="49"/>
    </row>
    <row r="850" spans="1:2" x14ac:dyDescent="0.2">
      <c r="A850" s="49"/>
      <c r="B850" s="49"/>
    </row>
    <row r="851" spans="1:2" x14ac:dyDescent="0.2">
      <c r="A851" s="49"/>
      <c r="B851" s="49"/>
    </row>
    <row r="852" spans="1:2" x14ac:dyDescent="0.2">
      <c r="A852" s="49"/>
      <c r="B852" s="49"/>
    </row>
    <row r="853" spans="1:2" x14ac:dyDescent="0.2">
      <c r="A853" s="49"/>
      <c r="B853" s="49"/>
    </row>
    <row r="854" spans="1:2" x14ac:dyDescent="0.2">
      <c r="A854" s="49"/>
      <c r="B854" s="49"/>
    </row>
    <row r="855" spans="1:2" x14ac:dyDescent="0.2">
      <c r="A855" s="49"/>
      <c r="B855" s="49"/>
    </row>
    <row r="856" spans="1:2" x14ac:dyDescent="0.2">
      <c r="A856" s="49"/>
      <c r="B856" s="49"/>
    </row>
    <row r="857" spans="1:2" x14ac:dyDescent="0.2">
      <c r="A857" s="49"/>
      <c r="B857" s="49"/>
    </row>
    <row r="858" spans="1:2" x14ac:dyDescent="0.2">
      <c r="A858" s="49"/>
      <c r="B858" s="49"/>
    </row>
    <row r="859" spans="1:2" x14ac:dyDescent="0.2">
      <c r="A859" s="49"/>
      <c r="B859" s="49"/>
    </row>
    <row r="860" spans="1:2" x14ac:dyDescent="0.2">
      <c r="A860" s="49"/>
      <c r="B860" s="49"/>
    </row>
    <row r="861" spans="1:2" x14ac:dyDescent="0.2">
      <c r="A861" s="49"/>
      <c r="B861" s="49"/>
    </row>
    <row r="862" spans="1:2" x14ac:dyDescent="0.2">
      <c r="A862" s="49"/>
      <c r="B862" s="49"/>
    </row>
    <row r="863" spans="1:2" x14ac:dyDescent="0.2">
      <c r="A863" s="49"/>
      <c r="B863" s="49"/>
    </row>
    <row r="864" spans="1:2" x14ac:dyDescent="0.2">
      <c r="A864" s="49"/>
      <c r="B864" s="49"/>
    </row>
    <row r="865" spans="1:2" x14ac:dyDescent="0.2">
      <c r="A865" s="49"/>
      <c r="B865" s="49"/>
    </row>
    <row r="866" spans="1:2" x14ac:dyDescent="0.2">
      <c r="A866" s="49"/>
      <c r="B866" s="49"/>
    </row>
    <row r="867" spans="1:2" x14ac:dyDescent="0.2">
      <c r="A867" s="49"/>
      <c r="B867" s="49"/>
    </row>
    <row r="868" spans="1:2" x14ac:dyDescent="0.2">
      <c r="A868" s="49"/>
      <c r="B868" s="49"/>
    </row>
    <row r="869" spans="1:2" x14ac:dyDescent="0.2">
      <c r="A869" s="49"/>
      <c r="B869" s="49"/>
    </row>
    <row r="870" spans="1:2" x14ac:dyDescent="0.2">
      <c r="A870" s="49"/>
      <c r="B870" s="49"/>
    </row>
    <row r="871" spans="1:2" x14ac:dyDescent="0.2">
      <c r="A871" s="49"/>
      <c r="B871" s="49"/>
    </row>
    <row r="872" spans="1:2" x14ac:dyDescent="0.2">
      <c r="A872" s="49"/>
      <c r="B872" s="49"/>
    </row>
    <row r="873" spans="1:2" x14ac:dyDescent="0.2">
      <c r="A873" s="49"/>
      <c r="B873" s="49"/>
    </row>
    <row r="874" spans="1:2" x14ac:dyDescent="0.2">
      <c r="A874" s="49"/>
      <c r="B874" s="49"/>
    </row>
    <row r="875" spans="1:2" x14ac:dyDescent="0.2">
      <c r="A875" s="49"/>
      <c r="B875" s="49"/>
    </row>
    <row r="876" spans="1:2" x14ac:dyDescent="0.2">
      <c r="A876" s="49"/>
      <c r="B876" s="49"/>
    </row>
    <row r="877" spans="1:2" x14ac:dyDescent="0.2">
      <c r="A877" s="49"/>
      <c r="B877" s="49"/>
    </row>
    <row r="878" spans="1:2" x14ac:dyDescent="0.2">
      <c r="A878" s="49"/>
      <c r="B878" s="49"/>
    </row>
    <row r="879" spans="1:2" x14ac:dyDescent="0.2">
      <c r="A879" s="49"/>
      <c r="B879" s="49"/>
    </row>
    <row r="880" spans="1:2" x14ac:dyDescent="0.2">
      <c r="A880" s="49"/>
      <c r="B880" s="49"/>
    </row>
    <row r="881" spans="1:2" x14ac:dyDescent="0.2">
      <c r="A881" s="49"/>
      <c r="B881" s="49"/>
    </row>
    <row r="882" spans="1:2" x14ac:dyDescent="0.2">
      <c r="A882" s="49"/>
      <c r="B882" s="49"/>
    </row>
    <row r="883" spans="1:2" x14ac:dyDescent="0.2">
      <c r="A883" s="49"/>
      <c r="B883" s="49"/>
    </row>
    <row r="884" spans="1:2" x14ac:dyDescent="0.2">
      <c r="A884" s="49"/>
      <c r="B884" s="49"/>
    </row>
    <row r="885" spans="1:2" x14ac:dyDescent="0.2">
      <c r="A885" s="49"/>
      <c r="B885" s="49"/>
    </row>
    <row r="886" spans="1:2" x14ac:dyDescent="0.2">
      <c r="A886" s="49"/>
      <c r="B886" s="49"/>
    </row>
    <row r="887" spans="1:2" x14ac:dyDescent="0.2">
      <c r="A887" s="49"/>
      <c r="B887" s="49"/>
    </row>
    <row r="888" spans="1:2" x14ac:dyDescent="0.2">
      <c r="A888" s="49"/>
      <c r="B888" s="49"/>
    </row>
    <row r="889" spans="1:2" x14ac:dyDescent="0.2">
      <c r="A889" s="49"/>
      <c r="B889" s="49"/>
    </row>
    <row r="890" spans="1:2" x14ac:dyDescent="0.2">
      <c r="A890" s="49"/>
      <c r="B890" s="49"/>
    </row>
    <row r="891" spans="1:2" x14ac:dyDescent="0.2">
      <c r="A891" s="49"/>
      <c r="B891" s="49"/>
    </row>
    <row r="892" spans="1:2" x14ac:dyDescent="0.2">
      <c r="A892" s="49"/>
      <c r="B892" s="49"/>
    </row>
    <row r="893" spans="1:2" x14ac:dyDescent="0.2">
      <c r="A893" s="49"/>
      <c r="B893" s="49"/>
    </row>
    <row r="894" spans="1:2" x14ac:dyDescent="0.2">
      <c r="A894" s="49"/>
      <c r="B894" s="49"/>
    </row>
    <row r="895" spans="1:2" x14ac:dyDescent="0.2">
      <c r="A895" s="49"/>
      <c r="B895" s="49"/>
    </row>
    <row r="896" spans="1:2" x14ac:dyDescent="0.2">
      <c r="A896" s="49"/>
      <c r="B896" s="49"/>
    </row>
    <row r="897" spans="1:2" x14ac:dyDescent="0.2">
      <c r="A897" s="49"/>
      <c r="B897" s="49"/>
    </row>
    <row r="898" spans="1:2" x14ac:dyDescent="0.2">
      <c r="A898" s="49"/>
      <c r="B898" s="49"/>
    </row>
    <row r="899" spans="1:2" x14ac:dyDescent="0.2">
      <c r="A899" s="49"/>
      <c r="B899" s="49"/>
    </row>
    <row r="900" spans="1:2" x14ac:dyDescent="0.2">
      <c r="A900" s="49"/>
      <c r="B900" s="49"/>
    </row>
    <row r="901" spans="1:2" x14ac:dyDescent="0.2">
      <c r="A901" s="49"/>
      <c r="B901" s="49"/>
    </row>
    <row r="902" spans="1:2" x14ac:dyDescent="0.2">
      <c r="A902" s="49"/>
      <c r="B902" s="49"/>
    </row>
    <row r="903" spans="1:2" x14ac:dyDescent="0.2">
      <c r="A903" s="49"/>
      <c r="B903" s="49"/>
    </row>
    <row r="904" spans="1:2" x14ac:dyDescent="0.2">
      <c r="A904" s="49"/>
      <c r="B904" s="49"/>
    </row>
    <row r="905" spans="1:2" x14ac:dyDescent="0.2">
      <c r="A905" s="49"/>
      <c r="B905" s="49"/>
    </row>
    <row r="906" spans="1:2" x14ac:dyDescent="0.2">
      <c r="A906" s="49"/>
      <c r="B906" s="49"/>
    </row>
    <row r="907" spans="1:2" x14ac:dyDescent="0.2">
      <c r="A907" s="49"/>
      <c r="B907" s="49"/>
    </row>
    <row r="908" spans="1:2" x14ac:dyDescent="0.2">
      <c r="A908" s="49"/>
      <c r="B908" s="49"/>
    </row>
    <row r="909" spans="1:2" x14ac:dyDescent="0.2">
      <c r="A909" s="49"/>
      <c r="B909" s="49"/>
    </row>
    <row r="910" spans="1:2" x14ac:dyDescent="0.2">
      <c r="A910" s="49"/>
      <c r="B910" s="49"/>
    </row>
    <row r="911" spans="1:2" x14ac:dyDescent="0.2">
      <c r="A911" s="49"/>
      <c r="B911" s="49"/>
    </row>
    <row r="912" spans="1:2" x14ac:dyDescent="0.2">
      <c r="A912" s="49"/>
      <c r="B912" s="49"/>
    </row>
    <row r="913" spans="1:7" x14ac:dyDescent="0.2">
      <c r="A913" s="49"/>
      <c r="B913" s="49"/>
    </row>
    <row r="914" spans="1:7" x14ac:dyDescent="0.2">
      <c r="A914" s="49"/>
      <c r="B914" s="49"/>
    </row>
    <row r="915" spans="1:7" x14ac:dyDescent="0.2">
      <c r="A915" s="49"/>
      <c r="B915" s="49"/>
    </row>
    <row r="916" spans="1:7" x14ac:dyDescent="0.2">
      <c r="A916" s="49"/>
      <c r="B916" s="49"/>
    </row>
    <row r="917" spans="1:7" x14ac:dyDescent="0.2">
      <c r="A917" s="49"/>
      <c r="B917" s="49"/>
    </row>
    <row r="918" spans="1:7" x14ac:dyDescent="0.2">
      <c r="A918" s="49"/>
      <c r="B918" s="49"/>
    </row>
    <row r="919" spans="1:7" x14ac:dyDescent="0.2">
      <c r="A919" s="49"/>
      <c r="B919" s="49"/>
    </row>
    <row r="920" spans="1:7" x14ac:dyDescent="0.2">
      <c r="A920" s="49"/>
      <c r="B920" s="49"/>
    </row>
    <row r="921" spans="1:7" x14ac:dyDescent="0.2">
      <c r="A921" s="49"/>
      <c r="B921" s="49"/>
    </row>
    <row r="922" spans="1:7" x14ac:dyDescent="0.2">
      <c r="A922" s="49"/>
      <c r="B922" s="49"/>
    </row>
    <row r="923" spans="1:7" x14ac:dyDescent="0.2">
      <c r="A923" s="49"/>
      <c r="B923" s="49"/>
    </row>
    <row r="924" spans="1:7" x14ac:dyDescent="0.2">
      <c r="A924" s="49"/>
      <c r="B924" s="49"/>
    </row>
    <row r="925" spans="1:7" x14ac:dyDescent="0.2">
      <c r="A925" s="49"/>
      <c r="B925" s="49"/>
    </row>
    <row r="926" spans="1:7" x14ac:dyDescent="0.2">
      <c r="A926" s="49"/>
      <c r="B926" s="49"/>
    </row>
    <row r="927" spans="1:7" x14ac:dyDescent="0.2">
      <c r="A927" s="49"/>
      <c r="B927" s="49"/>
    </row>
    <row r="928" spans="1:7" x14ac:dyDescent="0.2">
      <c r="A928" s="49"/>
      <c r="B928" s="49"/>
      <c r="C928" s="49"/>
      <c r="D928" s="49"/>
      <c r="E928" s="49"/>
      <c r="F928" s="49"/>
      <c r="G928" s="49"/>
    </row>
    <row r="929" spans="1:7" x14ac:dyDescent="0.2">
      <c r="A929" s="49"/>
      <c r="B929" s="49"/>
    </row>
    <row r="930" spans="1:7" x14ac:dyDescent="0.2">
      <c r="A930" s="49"/>
      <c r="B930" s="49"/>
    </row>
    <row r="931" spans="1:7" x14ac:dyDescent="0.2">
      <c r="A931" s="49"/>
      <c r="B931" s="49"/>
    </row>
    <row r="932" spans="1:7" x14ac:dyDescent="0.2">
      <c r="A932" s="49"/>
      <c r="B932" s="49"/>
      <c r="C932" s="49"/>
      <c r="D932" s="49"/>
      <c r="E932" s="49"/>
      <c r="F932" s="49"/>
      <c r="G932" s="49"/>
    </row>
    <row r="933" spans="1:7" x14ac:dyDescent="0.2">
      <c r="A933" s="49"/>
      <c r="B933" s="49"/>
      <c r="C933" s="49"/>
      <c r="D933" s="49"/>
      <c r="E933" s="49"/>
      <c r="F933" s="49"/>
      <c r="G933" s="49"/>
    </row>
    <row r="934" spans="1:7" x14ac:dyDescent="0.2">
      <c r="A934" s="49"/>
      <c r="B934" s="49"/>
      <c r="C934" s="49"/>
      <c r="D934" s="49"/>
      <c r="E934" s="49"/>
      <c r="F934" s="49"/>
      <c r="G934" s="49"/>
    </row>
    <row r="935" spans="1:7" x14ac:dyDescent="0.2">
      <c r="A935" s="49"/>
      <c r="B935" s="49"/>
    </row>
    <row r="936" spans="1:7" x14ac:dyDescent="0.2">
      <c r="A936" s="49"/>
      <c r="B936" s="49"/>
    </row>
    <row r="937" spans="1:7" x14ac:dyDescent="0.2">
      <c r="A937" s="49"/>
      <c r="B937" s="49"/>
    </row>
    <row r="938" spans="1:7" x14ac:dyDescent="0.2">
      <c r="A938" s="49"/>
      <c r="B938" s="49"/>
    </row>
    <row r="939" spans="1:7" x14ac:dyDescent="0.2">
      <c r="A939" s="49"/>
      <c r="B939" s="49"/>
    </row>
    <row r="940" spans="1:7" x14ac:dyDescent="0.2">
      <c r="A940" s="49"/>
      <c r="B940" s="49"/>
    </row>
    <row r="941" spans="1:7" x14ac:dyDescent="0.2">
      <c r="A941" s="49"/>
      <c r="B941" s="49"/>
    </row>
    <row r="942" spans="1:7" x14ac:dyDescent="0.2">
      <c r="A942" s="49"/>
      <c r="B942" s="49"/>
    </row>
    <row r="943" spans="1:7" x14ac:dyDescent="0.2">
      <c r="A943" s="49"/>
      <c r="B943" s="49"/>
    </row>
    <row r="944" spans="1:7" x14ac:dyDescent="0.2">
      <c r="A944" s="49"/>
      <c r="B944" s="49"/>
    </row>
    <row r="945" spans="1:2" x14ac:dyDescent="0.2">
      <c r="A945" s="49"/>
      <c r="B945" s="49"/>
    </row>
    <row r="946" spans="1:2" x14ac:dyDescent="0.2">
      <c r="A946" s="49"/>
      <c r="B946" s="49"/>
    </row>
    <row r="947" spans="1:2" x14ac:dyDescent="0.2">
      <c r="A947" s="49"/>
      <c r="B947" s="49"/>
    </row>
    <row r="948" spans="1:2" x14ac:dyDescent="0.2">
      <c r="A948" s="49"/>
      <c r="B948" s="49"/>
    </row>
    <row r="949" spans="1:2" x14ac:dyDescent="0.2">
      <c r="A949" s="49"/>
      <c r="B949" s="49"/>
    </row>
    <row r="950" spans="1:2" x14ac:dyDescent="0.2">
      <c r="A950" s="49"/>
      <c r="B950" s="49"/>
    </row>
    <row r="951" spans="1:2" x14ac:dyDescent="0.2">
      <c r="A951" s="49"/>
      <c r="B951" s="49"/>
    </row>
    <row r="952" spans="1:2" x14ac:dyDescent="0.2">
      <c r="A952" s="49"/>
      <c r="B952" s="49"/>
    </row>
    <row r="953" spans="1:2" x14ac:dyDescent="0.2">
      <c r="A953" s="49"/>
      <c r="B953" s="49"/>
    </row>
    <row r="954" spans="1:2" x14ac:dyDescent="0.2">
      <c r="A954" s="49"/>
      <c r="B954" s="49"/>
    </row>
    <row r="955" spans="1:2" x14ac:dyDescent="0.2">
      <c r="A955" s="49"/>
      <c r="B955" s="49"/>
    </row>
    <row r="956" spans="1:2" x14ac:dyDescent="0.2">
      <c r="A956" s="49"/>
      <c r="B956" s="49"/>
    </row>
    <row r="957" spans="1:2" x14ac:dyDescent="0.2">
      <c r="A957" s="49"/>
      <c r="B957" s="49"/>
    </row>
    <row r="958" spans="1:2" x14ac:dyDescent="0.2">
      <c r="A958" s="49"/>
      <c r="B958" s="49"/>
    </row>
    <row r="959" spans="1:2" x14ac:dyDescent="0.2">
      <c r="A959" s="49"/>
      <c r="B959" s="49"/>
    </row>
    <row r="960" spans="1:2" x14ac:dyDescent="0.2">
      <c r="A960" s="49"/>
      <c r="B960" s="49"/>
    </row>
    <row r="961" spans="1:2" x14ac:dyDescent="0.2">
      <c r="A961" s="49"/>
      <c r="B961" s="49"/>
    </row>
    <row r="962" spans="1:2" x14ac:dyDescent="0.2">
      <c r="A962" s="49"/>
      <c r="B962" s="49"/>
    </row>
    <row r="963" spans="1:2" x14ac:dyDescent="0.2">
      <c r="A963" s="49"/>
      <c r="B963" s="49"/>
    </row>
    <row r="964" spans="1:2" x14ac:dyDescent="0.2">
      <c r="A964" s="49"/>
      <c r="B964" s="49"/>
    </row>
    <row r="965" spans="1:2" x14ac:dyDescent="0.2">
      <c r="A965" s="49"/>
      <c r="B965" s="49"/>
    </row>
    <row r="966" spans="1:2" x14ac:dyDescent="0.2">
      <c r="A966" s="49"/>
      <c r="B966" s="49"/>
    </row>
    <row r="967" spans="1:2" x14ac:dyDescent="0.2">
      <c r="A967" s="49"/>
      <c r="B967" s="49"/>
    </row>
    <row r="968" spans="1:2" x14ac:dyDescent="0.2">
      <c r="A968" s="49"/>
      <c r="B968" s="49"/>
    </row>
    <row r="969" spans="1:2" x14ac:dyDescent="0.2">
      <c r="A969" s="49"/>
      <c r="B969" s="49"/>
    </row>
    <row r="970" spans="1:2" x14ac:dyDescent="0.2">
      <c r="A970" s="49"/>
      <c r="B970" s="49"/>
    </row>
    <row r="971" spans="1:2" x14ac:dyDescent="0.2">
      <c r="A971" s="49"/>
      <c r="B971" s="49"/>
    </row>
    <row r="972" spans="1:2" x14ac:dyDescent="0.2">
      <c r="A972" s="49"/>
      <c r="B972" s="49"/>
    </row>
    <row r="973" spans="1:2" x14ac:dyDescent="0.2">
      <c r="A973" s="49"/>
      <c r="B973" s="49"/>
    </row>
    <row r="974" spans="1:2" x14ac:dyDescent="0.2">
      <c r="A974" s="49"/>
      <c r="B974" s="49"/>
    </row>
    <row r="975" spans="1:2" x14ac:dyDescent="0.2">
      <c r="A975" s="49"/>
      <c r="B975" s="49"/>
    </row>
    <row r="976" spans="1:2" x14ac:dyDescent="0.2">
      <c r="A976" s="49"/>
      <c r="B976" s="49"/>
    </row>
    <row r="977" spans="1:2" x14ac:dyDescent="0.2">
      <c r="A977" s="49"/>
      <c r="B977" s="49"/>
    </row>
    <row r="978" spans="1:2" x14ac:dyDescent="0.2">
      <c r="A978" s="49"/>
      <c r="B978" s="49"/>
    </row>
    <row r="979" spans="1:2" x14ac:dyDescent="0.2">
      <c r="A979" s="49"/>
      <c r="B979" s="49"/>
    </row>
    <row r="980" spans="1:2" x14ac:dyDescent="0.2">
      <c r="A980" s="49"/>
      <c r="B980" s="49"/>
    </row>
    <row r="981" spans="1:2" x14ac:dyDescent="0.2">
      <c r="A981" s="49"/>
      <c r="B981" s="49"/>
    </row>
    <row r="982" spans="1:2" x14ac:dyDescent="0.2">
      <c r="A982" s="49"/>
      <c r="B982" s="49"/>
    </row>
    <row r="983" spans="1:2" x14ac:dyDescent="0.2">
      <c r="A983" s="49"/>
      <c r="B983" s="49"/>
    </row>
    <row r="984" spans="1:2" x14ac:dyDescent="0.2">
      <c r="A984" s="49"/>
      <c r="B984" s="49"/>
    </row>
    <row r="985" spans="1:2" x14ac:dyDescent="0.2">
      <c r="A985" s="49"/>
      <c r="B985" s="49"/>
    </row>
    <row r="986" spans="1:2" x14ac:dyDescent="0.2">
      <c r="A986" s="49"/>
      <c r="B986" s="49"/>
    </row>
    <row r="987" spans="1:2" x14ac:dyDescent="0.2">
      <c r="A987" s="49"/>
      <c r="B987" s="49"/>
    </row>
    <row r="988" spans="1:2" x14ac:dyDescent="0.2">
      <c r="A988" s="49"/>
      <c r="B988" s="49"/>
    </row>
    <row r="989" spans="1:2" x14ac:dyDescent="0.2">
      <c r="A989" s="49"/>
      <c r="B989" s="49"/>
    </row>
    <row r="990" spans="1:2" x14ac:dyDescent="0.2">
      <c r="A990" s="49"/>
      <c r="B990" s="49"/>
    </row>
    <row r="991" spans="1:2" x14ac:dyDescent="0.2">
      <c r="A991" s="49"/>
      <c r="B991" s="49"/>
    </row>
    <row r="992" spans="1:2" x14ac:dyDescent="0.2">
      <c r="A992" s="49"/>
      <c r="B992" s="49"/>
    </row>
    <row r="993" spans="1:2" x14ac:dyDescent="0.2">
      <c r="A993" s="49"/>
      <c r="B993" s="49"/>
    </row>
    <row r="994" spans="1:2" x14ac:dyDescent="0.2">
      <c r="A994" s="49"/>
      <c r="B994" s="49"/>
    </row>
    <row r="995" spans="1:2" x14ac:dyDescent="0.2">
      <c r="A995" s="49"/>
      <c r="B995" s="49"/>
    </row>
    <row r="996" spans="1:2" x14ac:dyDescent="0.2">
      <c r="A996" s="49"/>
      <c r="B996" s="49"/>
    </row>
    <row r="997" spans="1:2" x14ac:dyDescent="0.2">
      <c r="A997" s="49"/>
      <c r="B997" s="49"/>
    </row>
    <row r="998" spans="1:2" x14ac:dyDescent="0.2">
      <c r="A998" s="49"/>
      <c r="B998" s="49"/>
    </row>
    <row r="999" spans="1:2" x14ac:dyDescent="0.2">
      <c r="A999" s="49"/>
      <c r="B999" s="49"/>
    </row>
    <row r="1000" spans="1:2" x14ac:dyDescent="0.2">
      <c r="A1000" s="49"/>
      <c r="B1000" s="49"/>
    </row>
    <row r="1001" spans="1:2" x14ac:dyDescent="0.2">
      <c r="A1001" s="49"/>
      <c r="B1001" s="49"/>
    </row>
    <row r="1002" spans="1:2" x14ac:dyDescent="0.2">
      <c r="A1002" s="49"/>
      <c r="B1002" s="49"/>
    </row>
    <row r="1003" spans="1:2" x14ac:dyDescent="0.2">
      <c r="A1003" s="49"/>
      <c r="B1003" s="49"/>
    </row>
    <row r="1004" spans="1:2" x14ac:dyDescent="0.2">
      <c r="A1004" s="49"/>
      <c r="B1004" s="49"/>
    </row>
    <row r="1005" spans="1:2" x14ac:dyDescent="0.2">
      <c r="A1005" s="49"/>
      <c r="B1005" s="49"/>
    </row>
    <row r="1006" spans="1:2" x14ac:dyDescent="0.2">
      <c r="A1006" s="49"/>
      <c r="B1006" s="49"/>
    </row>
    <row r="1007" spans="1:2" x14ac:dyDescent="0.2">
      <c r="A1007" s="49"/>
      <c r="B1007" s="49"/>
    </row>
    <row r="1008" spans="1:2" x14ac:dyDescent="0.2">
      <c r="A1008" s="49"/>
      <c r="B1008" s="49"/>
    </row>
    <row r="1009" spans="1:2" x14ac:dyDescent="0.2">
      <c r="A1009" s="49"/>
      <c r="B1009" s="49"/>
    </row>
    <row r="1010" spans="1:2" x14ac:dyDescent="0.2">
      <c r="A1010" s="49"/>
      <c r="B1010" s="49"/>
    </row>
    <row r="1011" spans="1:2" x14ac:dyDescent="0.2">
      <c r="A1011" s="49"/>
      <c r="B1011" s="49"/>
    </row>
    <row r="1012" spans="1:2" x14ac:dyDescent="0.2">
      <c r="A1012" s="49"/>
      <c r="B1012" s="49"/>
    </row>
    <row r="1013" spans="1:2" x14ac:dyDescent="0.2">
      <c r="A1013" s="49"/>
      <c r="B1013" s="49"/>
    </row>
    <row r="1014" spans="1:2" x14ac:dyDescent="0.2">
      <c r="A1014" s="49"/>
      <c r="B1014" s="49"/>
    </row>
    <row r="1015" spans="1:2" x14ac:dyDescent="0.2">
      <c r="A1015" s="49"/>
      <c r="B1015" s="49"/>
    </row>
    <row r="1016" spans="1:2" x14ac:dyDescent="0.2">
      <c r="A1016" s="49"/>
      <c r="B1016" s="49"/>
    </row>
    <row r="1017" spans="1:2" x14ac:dyDescent="0.2">
      <c r="A1017" s="49"/>
      <c r="B1017" s="49"/>
    </row>
    <row r="1018" spans="1:2" x14ac:dyDescent="0.2">
      <c r="A1018" s="49"/>
      <c r="B1018" s="49"/>
    </row>
    <row r="1019" spans="1:2" x14ac:dyDescent="0.2">
      <c r="A1019" s="49"/>
      <c r="B1019" s="49"/>
    </row>
    <row r="1020" spans="1:2" x14ac:dyDescent="0.2">
      <c r="A1020" s="49"/>
      <c r="B1020" s="49"/>
    </row>
    <row r="1021" spans="1:2" x14ac:dyDescent="0.2">
      <c r="A1021" s="49"/>
      <c r="B1021" s="49"/>
    </row>
    <row r="1022" spans="1:2" x14ac:dyDescent="0.2">
      <c r="A1022" s="49"/>
      <c r="B1022" s="49"/>
    </row>
    <row r="1023" spans="1:2" x14ac:dyDescent="0.2">
      <c r="A1023" s="49"/>
      <c r="B1023" s="49"/>
    </row>
    <row r="1024" spans="1:2" x14ac:dyDescent="0.2">
      <c r="A1024" s="49"/>
      <c r="B1024" s="49"/>
    </row>
    <row r="1025" spans="1:2" x14ac:dyDescent="0.2">
      <c r="A1025" s="49"/>
      <c r="B1025" s="49"/>
    </row>
    <row r="1026" spans="1:2" x14ac:dyDescent="0.2">
      <c r="A1026" s="49"/>
      <c r="B1026" s="49"/>
    </row>
    <row r="1027" spans="1:2" x14ac:dyDescent="0.2">
      <c r="A1027" s="49"/>
      <c r="B1027" s="49"/>
    </row>
    <row r="1028" spans="1:2" x14ac:dyDescent="0.2">
      <c r="A1028" s="49"/>
      <c r="B1028" s="49"/>
    </row>
    <row r="1029" spans="1:2" x14ac:dyDescent="0.2">
      <c r="A1029" s="49"/>
      <c r="B1029" s="49"/>
    </row>
    <row r="1030" spans="1:2" x14ac:dyDescent="0.2">
      <c r="A1030" s="49"/>
      <c r="B1030" s="49"/>
    </row>
    <row r="1031" spans="1:2" x14ac:dyDescent="0.2">
      <c r="A1031" s="49"/>
      <c r="B1031" s="49"/>
    </row>
    <row r="1032" spans="1:2" x14ac:dyDescent="0.2">
      <c r="A1032" s="49"/>
      <c r="B1032" s="49"/>
    </row>
    <row r="1033" spans="1:2" x14ac:dyDescent="0.2">
      <c r="A1033" s="49"/>
      <c r="B1033" s="49"/>
    </row>
    <row r="1034" spans="1:2" x14ac:dyDescent="0.2">
      <c r="A1034" s="49"/>
      <c r="B1034" s="49"/>
    </row>
    <row r="1035" spans="1:2" x14ac:dyDescent="0.2">
      <c r="A1035" s="49"/>
      <c r="B1035" s="49"/>
    </row>
    <row r="1036" spans="1:2" x14ac:dyDescent="0.2">
      <c r="A1036" s="49"/>
      <c r="B1036" s="49"/>
    </row>
    <row r="1037" spans="1:2" x14ac:dyDescent="0.2">
      <c r="A1037" s="49"/>
      <c r="B1037" s="49"/>
    </row>
    <row r="1038" spans="1:2" x14ac:dyDescent="0.2">
      <c r="A1038" s="49"/>
      <c r="B1038" s="49"/>
    </row>
    <row r="1039" spans="1:2" x14ac:dyDescent="0.2">
      <c r="A1039" s="49"/>
      <c r="B1039" s="49"/>
    </row>
    <row r="1040" spans="1:2" x14ac:dyDescent="0.2">
      <c r="A1040" s="49"/>
      <c r="B1040" s="49"/>
    </row>
    <row r="1041" spans="1:2" x14ac:dyDescent="0.2">
      <c r="A1041" s="49"/>
      <c r="B1041" s="49"/>
    </row>
    <row r="1042" spans="1:2" x14ac:dyDescent="0.2">
      <c r="A1042" s="49"/>
      <c r="B1042" s="49"/>
    </row>
    <row r="1043" spans="1:2" x14ac:dyDescent="0.2">
      <c r="A1043" s="49"/>
      <c r="B1043" s="49"/>
    </row>
    <row r="1044" spans="1:2" x14ac:dyDescent="0.2">
      <c r="A1044" s="49"/>
      <c r="B1044" s="49"/>
    </row>
    <row r="1045" spans="1:2" x14ac:dyDescent="0.2">
      <c r="A1045" s="49"/>
      <c r="B1045" s="49"/>
    </row>
    <row r="1046" spans="1:2" x14ac:dyDescent="0.2">
      <c r="A1046" s="49"/>
      <c r="B1046" s="49"/>
    </row>
    <row r="1047" spans="1:2" x14ac:dyDescent="0.2">
      <c r="A1047" s="49"/>
      <c r="B1047" s="49"/>
    </row>
    <row r="1048" spans="1:2" x14ac:dyDescent="0.2">
      <c r="A1048" s="49"/>
      <c r="B1048" s="49"/>
    </row>
    <row r="1049" spans="1:2" x14ac:dyDescent="0.2">
      <c r="A1049" s="49"/>
      <c r="B1049" s="49"/>
    </row>
    <row r="1050" spans="1:2" x14ac:dyDescent="0.2">
      <c r="A1050" s="49"/>
      <c r="B1050" s="49"/>
    </row>
    <row r="1051" spans="1:2" x14ac:dyDescent="0.2">
      <c r="A1051" s="49"/>
      <c r="B1051" s="49"/>
    </row>
    <row r="1052" spans="1:2" x14ac:dyDescent="0.2">
      <c r="A1052" s="49"/>
      <c r="B1052" s="49"/>
    </row>
    <row r="1053" spans="1:2" x14ac:dyDescent="0.2">
      <c r="A1053" s="49"/>
      <c r="B1053" s="49"/>
    </row>
    <row r="1054" spans="1:2" x14ac:dyDescent="0.2">
      <c r="A1054" s="49"/>
      <c r="B1054" s="49"/>
    </row>
    <row r="1055" spans="1:2" x14ac:dyDescent="0.2">
      <c r="A1055" s="49"/>
      <c r="B1055" s="49"/>
    </row>
    <row r="1056" spans="1:2" x14ac:dyDescent="0.2">
      <c r="A1056" s="49"/>
      <c r="B1056" s="49"/>
    </row>
    <row r="1057" spans="1:2" x14ac:dyDescent="0.2">
      <c r="A1057" s="49"/>
      <c r="B1057" s="49"/>
    </row>
    <row r="1058" spans="1:2" x14ac:dyDescent="0.2">
      <c r="A1058" s="49"/>
      <c r="B1058" s="49"/>
    </row>
    <row r="1059" spans="1:2" x14ac:dyDescent="0.2">
      <c r="A1059" s="49"/>
      <c r="B1059" s="49"/>
    </row>
    <row r="1060" spans="1:2" x14ac:dyDescent="0.2">
      <c r="A1060" s="49"/>
      <c r="B1060" s="49"/>
    </row>
    <row r="1061" spans="1:2" x14ac:dyDescent="0.2">
      <c r="A1061" s="49"/>
      <c r="B1061" s="49"/>
    </row>
    <row r="1062" spans="1:2" x14ac:dyDescent="0.2">
      <c r="A1062" s="49"/>
      <c r="B1062" s="49"/>
    </row>
    <row r="1063" spans="1:2" x14ac:dyDescent="0.2">
      <c r="A1063" s="49"/>
      <c r="B1063" s="49"/>
    </row>
    <row r="1064" spans="1:2" x14ac:dyDescent="0.2">
      <c r="A1064" s="49"/>
      <c r="B1064" s="49"/>
    </row>
    <row r="1065" spans="1:2" x14ac:dyDescent="0.2">
      <c r="A1065" s="49"/>
      <c r="B1065" s="49"/>
    </row>
    <row r="1066" spans="1:2" x14ac:dyDescent="0.2">
      <c r="A1066" s="49"/>
      <c r="B1066" s="49"/>
    </row>
    <row r="1067" spans="1:2" x14ac:dyDescent="0.2">
      <c r="A1067" s="49"/>
      <c r="B1067" s="49"/>
    </row>
    <row r="1068" spans="1:2" x14ac:dyDescent="0.2">
      <c r="A1068" s="49"/>
      <c r="B1068" s="49"/>
    </row>
    <row r="1069" spans="1:2" x14ac:dyDescent="0.2">
      <c r="A1069" s="49"/>
      <c r="B1069" s="49"/>
    </row>
    <row r="1070" spans="1:2" x14ac:dyDescent="0.2">
      <c r="A1070" s="49"/>
      <c r="B1070" s="49"/>
    </row>
    <row r="1071" spans="1:2" x14ac:dyDescent="0.2">
      <c r="A1071" s="49"/>
      <c r="B1071" s="49"/>
    </row>
    <row r="1072" spans="1:2" x14ac:dyDescent="0.2">
      <c r="A1072" s="49"/>
      <c r="B1072" s="49"/>
    </row>
    <row r="1073" spans="1:7" x14ac:dyDescent="0.2">
      <c r="A1073" s="49"/>
      <c r="B1073" s="49"/>
    </row>
    <row r="1074" spans="1:7" x14ac:dyDescent="0.2">
      <c r="A1074" s="49"/>
      <c r="B1074" s="49"/>
    </row>
    <row r="1075" spans="1:7" x14ac:dyDescent="0.2">
      <c r="A1075" s="49"/>
      <c r="B1075" s="49"/>
    </row>
    <row r="1076" spans="1:7" x14ac:dyDescent="0.2">
      <c r="A1076" s="49"/>
      <c r="B1076" s="49"/>
    </row>
    <row r="1077" spans="1:7" x14ac:dyDescent="0.2">
      <c r="A1077" s="49"/>
      <c r="B1077" s="49"/>
    </row>
    <row r="1078" spans="1:7" x14ac:dyDescent="0.2">
      <c r="A1078" s="49"/>
      <c r="B1078" s="49"/>
      <c r="C1078" s="49"/>
      <c r="D1078" s="49"/>
      <c r="E1078" s="49"/>
      <c r="F1078" s="49"/>
      <c r="G1078" s="49"/>
    </row>
    <row r="1079" spans="1:7" x14ac:dyDescent="0.2">
      <c r="A1079" s="49"/>
      <c r="B1079" s="49"/>
      <c r="C1079" s="49"/>
      <c r="D1079" s="49"/>
      <c r="E1079" s="49"/>
      <c r="F1079" s="49"/>
      <c r="G1079" s="49"/>
    </row>
    <row r="1080" spans="1:7" x14ac:dyDescent="0.2">
      <c r="A1080" s="49"/>
      <c r="B1080" s="49"/>
    </row>
    <row r="1081" spans="1:7" x14ac:dyDescent="0.2">
      <c r="A1081" s="49"/>
      <c r="B1081" s="49"/>
    </row>
    <row r="1082" spans="1:7" x14ac:dyDescent="0.2">
      <c r="A1082" s="49"/>
      <c r="B1082" s="49"/>
    </row>
    <row r="1083" spans="1:7" x14ac:dyDescent="0.2">
      <c r="A1083" s="49"/>
      <c r="B1083" s="49"/>
    </row>
    <row r="1084" spans="1:7" x14ac:dyDescent="0.2">
      <c r="A1084" s="49"/>
      <c r="B1084" s="49"/>
    </row>
    <row r="1085" spans="1:7" x14ac:dyDescent="0.2">
      <c r="A1085" s="49"/>
      <c r="B1085" s="49"/>
    </row>
    <row r="1086" spans="1:7" x14ac:dyDescent="0.2">
      <c r="A1086" s="49"/>
      <c r="B1086" s="49"/>
    </row>
    <row r="1087" spans="1:7" x14ac:dyDescent="0.2">
      <c r="A1087" s="49"/>
      <c r="B1087" s="49"/>
    </row>
    <row r="1088" spans="1:7" x14ac:dyDescent="0.2">
      <c r="A1088" s="49"/>
      <c r="B1088" s="49"/>
    </row>
    <row r="1089" spans="1:2" x14ac:dyDescent="0.2">
      <c r="A1089" s="49"/>
      <c r="B1089" s="49"/>
    </row>
    <row r="1090" spans="1:2" x14ac:dyDescent="0.2">
      <c r="A1090" s="49"/>
      <c r="B1090" s="49"/>
    </row>
    <row r="1091" spans="1:2" x14ac:dyDescent="0.2">
      <c r="A1091" s="49"/>
      <c r="B1091" s="49"/>
    </row>
    <row r="1092" spans="1:2" x14ac:dyDescent="0.2">
      <c r="A1092" s="49"/>
      <c r="B1092" s="49"/>
    </row>
    <row r="1093" spans="1:2" x14ac:dyDescent="0.2">
      <c r="A1093" s="49"/>
      <c r="B1093" s="49"/>
    </row>
    <row r="1094" spans="1:2" x14ac:dyDescent="0.2">
      <c r="A1094" s="49"/>
      <c r="B1094" s="49"/>
    </row>
    <row r="1095" spans="1:2" x14ac:dyDescent="0.2">
      <c r="A1095" s="49"/>
      <c r="B1095" s="49"/>
    </row>
    <row r="1096" spans="1:2" x14ac:dyDescent="0.2">
      <c r="A1096" s="49"/>
      <c r="B1096" s="49"/>
    </row>
    <row r="1097" spans="1:2" x14ac:dyDescent="0.2">
      <c r="A1097" s="49"/>
      <c r="B1097" s="49"/>
    </row>
    <row r="1098" spans="1:2" x14ac:dyDescent="0.2">
      <c r="A1098" s="49"/>
      <c r="B1098" s="49"/>
    </row>
    <row r="1099" spans="1:2" x14ac:dyDescent="0.2">
      <c r="A1099" s="49"/>
      <c r="B1099" s="49"/>
    </row>
    <row r="1100" spans="1:2" x14ac:dyDescent="0.2">
      <c r="A1100" s="49"/>
      <c r="B1100" s="49"/>
    </row>
    <row r="1101" spans="1:2" x14ac:dyDescent="0.2">
      <c r="A1101" s="49"/>
      <c r="B1101" s="49"/>
    </row>
    <row r="1102" spans="1:2" x14ac:dyDescent="0.2">
      <c r="A1102" s="49"/>
      <c r="B1102" s="49"/>
    </row>
    <row r="1103" spans="1:2" x14ac:dyDescent="0.2">
      <c r="A1103" s="49"/>
      <c r="B1103" s="49"/>
    </row>
    <row r="1104" spans="1:2" x14ac:dyDescent="0.2">
      <c r="A1104" s="49"/>
      <c r="B1104" s="49"/>
    </row>
    <row r="1105" spans="1:2" x14ac:dyDescent="0.2">
      <c r="A1105" s="49"/>
      <c r="B1105" s="49"/>
    </row>
    <row r="1106" spans="1:2" x14ac:dyDescent="0.2">
      <c r="A1106" s="49"/>
      <c r="B1106" s="49"/>
    </row>
    <row r="1107" spans="1:2" x14ac:dyDescent="0.2">
      <c r="A1107" s="49"/>
      <c r="B1107" s="49"/>
    </row>
    <row r="1108" spans="1:2" x14ac:dyDescent="0.2">
      <c r="A1108" s="49"/>
      <c r="B1108" s="49"/>
    </row>
    <row r="1109" spans="1:2" x14ac:dyDescent="0.2">
      <c r="A1109" s="49"/>
      <c r="B1109" s="49"/>
    </row>
    <row r="1110" spans="1:2" x14ac:dyDescent="0.2">
      <c r="A1110" s="49"/>
      <c r="B1110" s="49"/>
    </row>
    <row r="1111" spans="1:2" x14ac:dyDescent="0.2">
      <c r="A1111" s="49"/>
      <c r="B1111" s="49"/>
    </row>
    <row r="1112" spans="1:2" x14ac:dyDescent="0.2">
      <c r="A1112" s="49"/>
      <c r="B1112" s="49"/>
    </row>
    <row r="1113" spans="1:2" x14ac:dyDescent="0.2">
      <c r="A1113" s="49"/>
      <c r="B1113" s="49"/>
    </row>
    <row r="1114" spans="1:2" x14ac:dyDescent="0.2">
      <c r="A1114" s="49"/>
      <c r="B1114" s="49"/>
    </row>
    <row r="1115" spans="1:2" x14ac:dyDescent="0.2">
      <c r="A1115" s="49"/>
      <c r="B1115" s="49"/>
    </row>
    <row r="1116" spans="1:2" x14ac:dyDescent="0.2">
      <c r="A1116" s="49"/>
      <c r="B1116" s="49"/>
    </row>
    <row r="1117" spans="1:2" x14ac:dyDescent="0.2">
      <c r="A1117" s="49"/>
      <c r="B1117" s="49"/>
    </row>
    <row r="1118" spans="1:2" x14ac:dyDescent="0.2">
      <c r="A1118" s="49"/>
      <c r="B1118" s="49"/>
    </row>
    <row r="1119" spans="1:2" x14ac:dyDescent="0.2">
      <c r="A1119" s="49"/>
      <c r="B1119" s="49"/>
    </row>
    <row r="1120" spans="1:2" x14ac:dyDescent="0.2">
      <c r="A1120" s="49"/>
      <c r="B1120" s="49"/>
    </row>
    <row r="1121" spans="1:2" x14ac:dyDescent="0.2">
      <c r="A1121" s="49"/>
      <c r="B1121" s="49"/>
    </row>
    <row r="1122" spans="1:2" x14ac:dyDescent="0.2">
      <c r="A1122" s="49"/>
      <c r="B1122" s="49"/>
    </row>
    <row r="1123" spans="1:2" x14ac:dyDescent="0.2">
      <c r="A1123" s="49"/>
      <c r="B1123" s="49"/>
    </row>
    <row r="1124" spans="1:2" x14ac:dyDescent="0.2">
      <c r="A1124" s="49"/>
      <c r="B1124" s="49"/>
    </row>
    <row r="1125" spans="1:2" x14ac:dyDescent="0.2">
      <c r="A1125" s="49"/>
      <c r="B1125" s="49"/>
    </row>
    <row r="1126" spans="1:2" x14ac:dyDescent="0.2">
      <c r="A1126" s="49"/>
      <c r="B1126" s="49"/>
    </row>
    <row r="1127" spans="1:2" x14ac:dyDescent="0.2">
      <c r="A1127" s="49"/>
      <c r="B1127" s="49"/>
    </row>
    <row r="1128" spans="1:2" x14ac:dyDescent="0.2">
      <c r="A1128" s="49"/>
      <c r="B1128" s="49"/>
    </row>
    <row r="1129" spans="1:2" x14ac:dyDescent="0.2">
      <c r="A1129" s="49"/>
      <c r="B1129" s="49"/>
    </row>
    <row r="1130" spans="1:2" x14ac:dyDescent="0.2">
      <c r="A1130" s="49"/>
      <c r="B1130" s="49"/>
    </row>
    <row r="1131" spans="1:2" x14ac:dyDescent="0.2">
      <c r="A1131" s="49"/>
      <c r="B1131" s="49"/>
    </row>
    <row r="1132" spans="1:2" x14ac:dyDescent="0.2">
      <c r="A1132" s="49"/>
      <c r="B1132" s="49"/>
    </row>
    <row r="1133" spans="1:2" x14ac:dyDescent="0.2">
      <c r="A1133" s="49"/>
      <c r="B1133" s="49"/>
    </row>
    <row r="1134" spans="1:2" x14ac:dyDescent="0.2">
      <c r="A1134" s="49"/>
      <c r="B1134" s="49"/>
    </row>
    <row r="1135" spans="1:2" x14ac:dyDescent="0.2">
      <c r="A1135" s="49"/>
      <c r="B1135" s="49"/>
    </row>
    <row r="1136" spans="1:2" x14ac:dyDescent="0.2">
      <c r="A1136" s="49"/>
      <c r="B1136" s="49"/>
    </row>
    <row r="1137" spans="1:2" x14ac:dyDescent="0.2">
      <c r="A1137" s="49"/>
      <c r="B1137" s="49"/>
    </row>
    <row r="1138" spans="1:2" x14ac:dyDescent="0.2">
      <c r="A1138" s="49"/>
      <c r="B1138" s="49"/>
    </row>
    <row r="1139" spans="1:2" x14ac:dyDescent="0.2">
      <c r="A1139" s="49"/>
      <c r="B1139" s="49"/>
    </row>
    <row r="1140" spans="1:2" x14ac:dyDescent="0.2">
      <c r="A1140" s="49"/>
      <c r="B1140" s="49"/>
    </row>
    <row r="1141" spans="1:2" x14ac:dyDescent="0.2">
      <c r="A1141" s="49"/>
      <c r="B1141" s="49"/>
    </row>
    <row r="1142" spans="1:2" x14ac:dyDescent="0.2">
      <c r="A1142" s="49"/>
      <c r="B1142" s="49"/>
    </row>
    <row r="1143" spans="1:2" x14ac:dyDescent="0.2">
      <c r="A1143" s="49"/>
      <c r="B1143" s="49"/>
    </row>
    <row r="1144" spans="1:2" x14ac:dyDescent="0.2">
      <c r="A1144" s="49"/>
      <c r="B1144" s="49"/>
    </row>
    <row r="1145" spans="1:2" x14ac:dyDescent="0.2">
      <c r="A1145" s="49"/>
      <c r="B1145" s="49"/>
    </row>
    <row r="1146" spans="1:2" x14ac:dyDescent="0.2">
      <c r="A1146" s="49"/>
      <c r="B1146" s="49"/>
    </row>
    <row r="1147" spans="1:2" x14ac:dyDescent="0.2">
      <c r="A1147" s="49"/>
      <c r="B1147" s="49"/>
    </row>
    <row r="1148" spans="1:2" x14ac:dyDescent="0.2">
      <c r="A1148" s="49"/>
      <c r="B1148" s="49"/>
    </row>
    <row r="1149" spans="1:2" x14ac:dyDescent="0.2">
      <c r="A1149" s="49"/>
      <c r="B1149" s="49"/>
    </row>
    <row r="1150" spans="1:2" x14ac:dyDescent="0.2">
      <c r="A1150" s="49"/>
      <c r="B1150" s="49"/>
    </row>
    <row r="1151" spans="1:2" x14ac:dyDescent="0.2">
      <c r="A1151" s="49"/>
      <c r="B1151" s="49"/>
    </row>
    <row r="1152" spans="1:2" x14ac:dyDescent="0.2">
      <c r="A1152" s="49"/>
      <c r="B1152" s="49"/>
    </row>
    <row r="1153" spans="1:2" x14ac:dyDescent="0.2">
      <c r="A1153" s="49"/>
      <c r="B1153" s="49"/>
    </row>
    <row r="1154" spans="1:2" x14ac:dyDescent="0.2">
      <c r="A1154" s="49"/>
      <c r="B1154" s="49"/>
    </row>
    <row r="1155" spans="1:2" x14ac:dyDescent="0.2">
      <c r="A1155" s="49"/>
      <c r="B1155" s="49"/>
    </row>
    <row r="1156" spans="1:2" x14ac:dyDescent="0.2">
      <c r="A1156" s="49"/>
      <c r="B1156" s="49"/>
    </row>
    <row r="1157" spans="1:2" x14ac:dyDescent="0.2">
      <c r="A1157" s="49"/>
      <c r="B1157" s="49"/>
    </row>
    <row r="1158" spans="1:2" x14ac:dyDescent="0.2">
      <c r="A1158" s="49"/>
      <c r="B1158" s="49"/>
    </row>
    <row r="1159" spans="1:2" x14ac:dyDescent="0.2">
      <c r="A1159" s="49"/>
      <c r="B1159" s="49"/>
    </row>
    <row r="1160" spans="1:2" x14ac:dyDescent="0.2">
      <c r="A1160" s="49"/>
      <c r="B1160" s="49"/>
    </row>
    <row r="1161" spans="1:2" x14ac:dyDescent="0.2">
      <c r="A1161" s="49"/>
      <c r="B1161" s="49"/>
    </row>
    <row r="1162" spans="1:2" x14ac:dyDescent="0.2">
      <c r="A1162" s="49"/>
      <c r="B1162" s="49"/>
    </row>
    <row r="1163" spans="1:2" x14ac:dyDescent="0.2">
      <c r="A1163" s="49"/>
      <c r="B1163" s="49"/>
    </row>
    <row r="1164" spans="1:2" x14ac:dyDescent="0.2">
      <c r="A1164" s="49"/>
      <c r="B1164" s="49"/>
    </row>
    <row r="1165" spans="1:2" x14ac:dyDescent="0.2">
      <c r="A1165" s="49"/>
      <c r="B1165" s="49"/>
    </row>
    <row r="1166" spans="1:2" x14ac:dyDescent="0.2">
      <c r="A1166" s="49"/>
      <c r="B1166" s="49"/>
    </row>
    <row r="1167" spans="1:2" x14ac:dyDescent="0.2">
      <c r="A1167" s="49"/>
      <c r="B1167" s="49"/>
    </row>
    <row r="1168" spans="1:2" x14ac:dyDescent="0.2">
      <c r="A1168" s="49"/>
      <c r="B1168" s="49"/>
    </row>
    <row r="1169" spans="1:2" x14ac:dyDescent="0.2">
      <c r="A1169" s="49"/>
      <c r="B1169" s="49"/>
    </row>
    <row r="1170" spans="1:2" x14ac:dyDescent="0.2">
      <c r="A1170" s="49"/>
      <c r="B1170" s="49"/>
    </row>
    <row r="1171" spans="1:2" x14ac:dyDescent="0.2">
      <c r="A1171" s="49"/>
      <c r="B1171" s="49"/>
    </row>
    <row r="1172" spans="1:2" x14ac:dyDescent="0.2">
      <c r="A1172" s="49"/>
      <c r="B1172" s="49"/>
    </row>
    <row r="1173" spans="1:2" x14ac:dyDescent="0.2">
      <c r="A1173" s="49"/>
      <c r="B1173" s="49"/>
    </row>
    <row r="1174" spans="1:2" x14ac:dyDescent="0.2">
      <c r="A1174" s="49"/>
      <c r="B1174" s="49"/>
    </row>
    <row r="1175" spans="1:2" x14ac:dyDescent="0.2">
      <c r="A1175" s="49"/>
      <c r="B1175" s="49"/>
    </row>
    <row r="1176" spans="1:2" x14ac:dyDescent="0.2">
      <c r="A1176" s="49"/>
      <c r="B1176" s="49"/>
    </row>
    <row r="1177" spans="1:2" x14ac:dyDescent="0.2">
      <c r="A1177" s="49"/>
      <c r="B1177" s="49"/>
    </row>
    <row r="1178" spans="1:2" x14ac:dyDescent="0.2">
      <c r="A1178" s="49"/>
      <c r="B1178" s="49"/>
    </row>
    <row r="1179" spans="1:2" x14ac:dyDescent="0.2">
      <c r="A1179" s="49"/>
      <c r="B1179" s="49"/>
    </row>
    <row r="1180" spans="1:2" x14ac:dyDescent="0.2">
      <c r="A1180" s="49"/>
      <c r="B1180" s="49"/>
    </row>
    <row r="1181" spans="1:2" x14ac:dyDescent="0.2">
      <c r="A1181" s="49"/>
      <c r="B1181" s="49"/>
    </row>
    <row r="1182" spans="1:2" x14ac:dyDescent="0.2">
      <c r="A1182" s="49"/>
      <c r="B1182" s="49"/>
    </row>
    <row r="1183" spans="1:2" x14ac:dyDescent="0.2">
      <c r="A1183" s="49"/>
      <c r="B1183" s="49"/>
    </row>
    <row r="1184" spans="1:2" x14ac:dyDescent="0.2">
      <c r="A1184" s="49"/>
      <c r="B1184" s="49"/>
    </row>
    <row r="1185" spans="1:2" x14ac:dyDescent="0.2">
      <c r="A1185" s="49"/>
      <c r="B1185" s="49"/>
    </row>
    <row r="1186" spans="1:2" x14ac:dyDescent="0.2">
      <c r="A1186" s="49"/>
      <c r="B1186" s="49"/>
    </row>
    <row r="1187" spans="1:2" x14ac:dyDescent="0.2">
      <c r="A1187" s="49"/>
      <c r="B1187" s="49"/>
    </row>
    <row r="1188" spans="1:2" x14ac:dyDescent="0.2">
      <c r="A1188" s="49"/>
      <c r="B1188" s="49"/>
    </row>
    <row r="1189" spans="1:2" x14ac:dyDescent="0.2">
      <c r="A1189" s="49"/>
      <c r="B1189" s="49"/>
    </row>
    <row r="1190" spans="1:2" x14ac:dyDescent="0.2">
      <c r="A1190" s="49"/>
      <c r="B1190" s="49"/>
    </row>
    <row r="1191" spans="1:2" x14ac:dyDescent="0.2">
      <c r="A1191" s="49"/>
      <c r="B1191" s="49"/>
    </row>
    <row r="1192" spans="1:2" x14ac:dyDescent="0.2">
      <c r="A1192" s="49"/>
      <c r="B1192" s="49"/>
    </row>
    <row r="1193" spans="1:2" x14ac:dyDescent="0.2">
      <c r="A1193" s="49"/>
      <c r="B1193" s="49"/>
    </row>
    <row r="1194" spans="1:2" x14ac:dyDescent="0.2">
      <c r="A1194" s="49"/>
      <c r="B1194" s="49"/>
    </row>
    <row r="1195" spans="1:2" x14ac:dyDescent="0.2">
      <c r="A1195" s="49"/>
      <c r="B1195" s="49"/>
    </row>
    <row r="1196" spans="1:2" x14ac:dyDescent="0.2">
      <c r="A1196" s="49"/>
      <c r="B1196" s="49"/>
    </row>
    <row r="1197" spans="1:2" x14ac:dyDescent="0.2">
      <c r="A1197" s="49"/>
      <c r="B1197" s="49"/>
    </row>
    <row r="1198" spans="1:2" x14ac:dyDescent="0.2">
      <c r="A1198" s="49"/>
      <c r="B1198" s="49"/>
    </row>
    <row r="1199" spans="1:2" x14ac:dyDescent="0.2">
      <c r="A1199" s="49"/>
      <c r="B1199" s="49"/>
    </row>
    <row r="1200" spans="1:2" x14ac:dyDescent="0.2">
      <c r="A1200" s="49"/>
      <c r="B1200" s="49"/>
    </row>
    <row r="1201" spans="1:2" x14ac:dyDescent="0.2">
      <c r="A1201" s="49"/>
      <c r="B1201" s="49"/>
    </row>
    <row r="1202" spans="1:2" x14ac:dyDescent="0.2">
      <c r="A1202" s="49"/>
      <c r="B1202" s="49"/>
    </row>
    <row r="1203" spans="1:2" x14ac:dyDescent="0.2">
      <c r="A1203" s="49"/>
      <c r="B1203" s="49"/>
    </row>
    <row r="1204" spans="1:2" x14ac:dyDescent="0.2">
      <c r="A1204" s="49"/>
      <c r="B1204" s="49"/>
    </row>
    <row r="1205" spans="1:2" x14ac:dyDescent="0.2">
      <c r="A1205" s="49"/>
      <c r="B1205" s="49"/>
    </row>
    <row r="1206" spans="1:2" x14ac:dyDescent="0.2">
      <c r="A1206" s="49"/>
      <c r="B1206" s="49"/>
    </row>
    <row r="1207" spans="1:2" x14ac:dyDescent="0.2">
      <c r="A1207" s="49"/>
      <c r="B1207" s="49"/>
    </row>
    <row r="1208" spans="1:2" x14ac:dyDescent="0.2">
      <c r="A1208" s="49"/>
      <c r="B1208" s="49"/>
    </row>
    <row r="1209" spans="1:2" x14ac:dyDescent="0.2">
      <c r="A1209" s="49"/>
      <c r="B1209" s="49"/>
    </row>
    <row r="1210" spans="1:2" x14ac:dyDescent="0.2">
      <c r="A1210" s="49"/>
      <c r="B1210" s="49"/>
    </row>
    <row r="1211" spans="1:2" x14ac:dyDescent="0.2">
      <c r="A1211" s="49"/>
      <c r="B1211" s="49"/>
    </row>
    <row r="1212" spans="1:2" x14ac:dyDescent="0.2">
      <c r="A1212" s="49"/>
      <c r="B1212" s="49"/>
    </row>
    <row r="1213" spans="1:2" x14ac:dyDescent="0.2">
      <c r="A1213" s="49"/>
      <c r="B1213" s="49"/>
    </row>
    <row r="1214" spans="1:2" x14ac:dyDescent="0.2">
      <c r="A1214" s="49"/>
      <c r="B1214" s="49"/>
    </row>
    <row r="1215" spans="1:2" x14ac:dyDescent="0.2">
      <c r="A1215" s="49"/>
      <c r="B1215" s="49"/>
    </row>
    <row r="1216" spans="1:2" x14ac:dyDescent="0.2">
      <c r="A1216" s="49"/>
      <c r="B1216" s="49"/>
    </row>
    <row r="1217" spans="1:2" x14ac:dyDescent="0.2">
      <c r="A1217" s="49"/>
      <c r="B1217" s="49"/>
    </row>
    <row r="1218" spans="1:2" x14ac:dyDescent="0.2">
      <c r="A1218" s="49"/>
      <c r="B1218" s="49"/>
    </row>
    <row r="1219" spans="1:2" x14ac:dyDescent="0.2">
      <c r="A1219" s="49"/>
      <c r="B1219" s="49"/>
    </row>
    <row r="1220" spans="1:2" x14ac:dyDescent="0.2">
      <c r="A1220" s="49"/>
      <c r="B1220" s="49"/>
    </row>
    <row r="1221" spans="1:2" x14ac:dyDescent="0.2">
      <c r="A1221" s="49"/>
      <c r="B1221" s="49"/>
    </row>
    <row r="1222" spans="1:2" x14ac:dyDescent="0.2">
      <c r="A1222" s="49"/>
      <c r="B1222" s="49"/>
    </row>
    <row r="1223" spans="1:2" x14ac:dyDescent="0.2">
      <c r="A1223" s="49"/>
      <c r="B1223" s="49"/>
    </row>
    <row r="1224" spans="1:2" x14ac:dyDescent="0.2">
      <c r="A1224" s="49"/>
      <c r="B1224" s="49"/>
    </row>
    <row r="1225" spans="1:2" x14ac:dyDescent="0.2">
      <c r="A1225" s="49"/>
      <c r="B1225" s="49"/>
    </row>
    <row r="1226" spans="1:2" x14ac:dyDescent="0.2">
      <c r="A1226" s="49"/>
      <c r="B1226" s="49"/>
    </row>
    <row r="1227" spans="1:2" x14ac:dyDescent="0.2">
      <c r="A1227" s="49"/>
      <c r="B1227" s="49"/>
    </row>
    <row r="1228" spans="1:2" x14ac:dyDescent="0.2">
      <c r="A1228" s="49"/>
      <c r="B1228" s="49"/>
    </row>
    <row r="1229" spans="1:2" x14ac:dyDescent="0.2">
      <c r="A1229" s="49"/>
      <c r="B1229" s="49"/>
    </row>
    <row r="1230" spans="1:2" x14ac:dyDescent="0.2">
      <c r="A1230" s="49"/>
      <c r="B1230" s="49"/>
    </row>
    <row r="1231" spans="1:2" x14ac:dyDescent="0.2">
      <c r="A1231" s="49"/>
      <c r="B1231" s="49"/>
    </row>
    <row r="1232" spans="1:2" x14ac:dyDescent="0.2">
      <c r="A1232" s="49"/>
      <c r="B1232" s="49"/>
    </row>
    <row r="1233" spans="1:7" x14ac:dyDescent="0.2">
      <c r="A1233" s="49"/>
      <c r="B1233" s="49"/>
    </row>
    <row r="1234" spans="1:7" x14ac:dyDescent="0.2">
      <c r="A1234" s="49"/>
      <c r="B1234" s="49"/>
    </row>
    <row r="1235" spans="1:7" x14ac:dyDescent="0.2">
      <c r="A1235" s="49"/>
      <c r="B1235" s="49"/>
    </row>
    <row r="1236" spans="1:7" x14ac:dyDescent="0.2">
      <c r="A1236" s="49"/>
      <c r="B1236" s="49"/>
    </row>
    <row r="1237" spans="1:7" x14ac:dyDescent="0.2">
      <c r="A1237" s="49"/>
      <c r="B1237" s="49"/>
    </row>
    <row r="1238" spans="1:7" x14ac:dyDescent="0.2">
      <c r="A1238" s="49"/>
      <c r="B1238" s="49"/>
    </row>
    <row r="1239" spans="1:7" x14ac:dyDescent="0.2">
      <c r="A1239" s="49"/>
      <c r="B1239" s="49"/>
    </row>
    <row r="1240" spans="1:7" x14ac:dyDescent="0.2">
      <c r="A1240" s="49"/>
      <c r="B1240" s="49"/>
    </row>
    <row r="1241" spans="1:7" x14ac:dyDescent="0.2">
      <c r="A1241" s="49"/>
      <c r="B1241" s="49"/>
    </row>
    <row r="1242" spans="1:7" x14ac:dyDescent="0.2">
      <c r="A1242" s="49"/>
      <c r="B1242" s="49"/>
    </row>
    <row r="1243" spans="1:7" x14ac:dyDescent="0.2">
      <c r="A1243" s="49"/>
      <c r="B1243" s="49"/>
    </row>
    <row r="1244" spans="1:7" x14ac:dyDescent="0.2">
      <c r="A1244" s="49"/>
      <c r="B1244" s="49"/>
    </row>
    <row r="1245" spans="1:7" x14ac:dyDescent="0.2">
      <c r="A1245" s="49"/>
      <c r="B1245" s="49"/>
    </row>
    <row r="1246" spans="1:7" x14ac:dyDescent="0.2">
      <c r="A1246" s="49"/>
      <c r="B1246" s="49"/>
      <c r="C1246" s="49"/>
      <c r="D1246" s="49"/>
      <c r="E1246" s="49"/>
      <c r="F1246" s="49"/>
      <c r="G1246" s="49"/>
    </row>
    <row r="1247" spans="1:7" x14ac:dyDescent="0.2">
      <c r="A1247" s="49"/>
      <c r="B1247" s="49"/>
    </row>
    <row r="1248" spans="1:7" x14ac:dyDescent="0.2">
      <c r="A1248" s="49"/>
      <c r="B1248" s="49"/>
    </row>
    <row r="1249" spans="1:7" x14ac:dyDescent="0.2">
      <c r="A1249" s="49"/>
      <c r="B1249" s="49"/>
    </row>
    <row r="1250" spans="1:7" x14ac:dyDescent="0.2">
      <c r="A1250" s="49"/>
      <c r="B1250" s="49"/>
    </row>
    <row r="1251" spans="1:7" x14ac:dyDescent="0.2">
      <c r="A1251" s="49"/>
      <c r="B1251" s="49"/>
    </row>
    <row r="1252" spans="1:7" x14ac:dyDescent="0.2">
      <c r="A1252" s="49"/>
      <c r="B1252" s="49"/>
    </row>
    <row r="1253" spans="1:7" x14ac:dyDescent="0.2">
      <c r="A1253" s="49"/>
      <c r="B1253" s="49"/>
    </row>
    <row r="1254" spans="1:7" x14ac:dyDescent="0.2">
      <c r="A1254" s="49"/>
      <c r="B1254" s="49"/>
      <c r="C1254" s="49"/>
      <c r="D1254" s="49"/>
      <c r="E1254" s="49"/>
      <c r="F1254" s="49"/>
      <c r="G1254" s="49"/>
    </row>
    <row r="1255" spans="1:7" x14ac:dyDescent="0.2">
      <c r="A1255" s="49"/>
      <c r="B1255" s="49"/>
    </row>
    <row r="1256" spans="1:7" x14ac:dyDescent="0.2">
      <c r="A1256" s="49"/>
      <c r="B1256" s="49"/>
    </row>
    <row r="1257" spans="1:7" x14ac:dyDescent="0.2">
      <c r="A1257" s="49"/>
      <c r="B1257" s="49"/>
    </row>
    <row r="1258" spans="1:7" x14ac:dyDescent="0.2">
      <c r="A1258" s="49"/>
      <c r="B1258" s="49"/>
    </row>
    <row r="1259" spans="1:7" x14ac:dyDescent="0.2">
      <c r="A1259" s="49"/>
      <c r="B1259" s="49"/>
    </row>
    <row r="1260" spans="1:7" x14ac:dyDescent="0.2">
      <c r="A1260" s="49"/>
      <c r="B1260" s="49"/>
    </row>
    <row r="1261" spans="1:7" x14ac:dyDescent="0.2">
      <c r="A1261" s="49"/>
      <c r="B1261" s="49"/>
    </row>
    <row r="1262" spans="1:7" x14ac:dyDescent="0.2">
      <c r="A1262" s="49"/>
      <c r="B1262" s="49"/>
    </row>
    <row r="1263" spans="1:7" x14ac:dyDescent="0.2">
      <c r="A1263" s="49"/>
      <c r="B1263" s="49"/>
    </row>
    <row r="1264" spans="1:7" x14ac:dyDescent="0.2">
      <c r="A1264" s="49"/>
      <c r="B1264" s="49"/>
    </row>
    <row r="1265" spans="1:2" x14ac:dyDescent="0.2">
      <c r="A1265" s="49"/>
      <c r="B1265" s="49"/>
    </row>
    <row r="1266" spans="1:2" x14ac:dyDescent="0.2">
      <c r="A1266" s="49"/>
      <c r="B1266" s="49"/>
    </row>
    <row r="1267" spans="1:2" x14ac:dyDescent="0.2">
      <c r="A1267" s="49"/>
      <c r="B1267" s="49"/>
    </row>
    <row r="1268" spans="1:2" x14ac:dyDescent="0.2">
      <c r="A1268" s="49"/>
      <c r="B1268" s="49"/>
    </row>
    <row r="1269" spans="1:2" x14ac:dyDescent="0.2">
      <c r="A1269" s="49"/>
      <c r="B1269" s="49"/>
    </row>
    <row r="1270" spans="1:2" x14ac:dyDescent="0.2">
      <c r="A1270" s="49"/>
      <c r="B1270" s="49"/>
    </row>
    <row r="1271" spans="1:2" x14ac:dyDescent="0.2">
      <c r="A1271" s="49"/>
      <c r="B1271" s="49"/>
    </row>
    <row r="1272" spans="1:2" x14ac:dyDescent="0.2">
      <c r="A1272" s="49"/>
      <c r="B1272" s="49"/>
    </row>
    <row r="1273" spans="1:2" x14ac:dyDescent="0.2">
      <c r="A1273" s="49"/>
      <c r="B1273" s="49"/>
    </row>
    <row r="1274" spans="1:2" x14ac:dyDescent="0.2">
      <c r="A1274" s="49"/>
      <c r="B1274" s="49"/>
    </row>
    <row r="1275" spans="1:2" x14ac:dyDescent="0.2">
      <c r="A1275" s="49"/>
      <c r="B1275" s="49"/>
    </row>
    <row r="1276" spans="1:2" x14ac:dyDescent="0.2">
      <c r="A1276" s="49"/>
      <c r="B1276" s="49"/>
    </row>
    <row r="1277" spans="1:2" x14ac:dyDescent="0.2">
      <c r="A1277" s="49"/>
      <c r="B1277" s="49"/>
    </row>
    <row r="1278" spans="1:2" x14ac:dyDescent="0.2">
      <c r="A1278" s="49"/>
      <c r="B1278" s="49"/>
    </row>
    <row r="1279" spans="1:2" x14ac:dyDescent="0.2">
      <c r="A1279" s="49"/>
      <c r="B1279" s="49"/>
    </row>
    <row r="1280" spans="1:2" x14ac:dyDescent="0.2">
      <c r="A1280" s="49"/>
      <c r="B1280" s="49"/>
    </row>
    <row r="1281" spans="1:2" x14ac:dyDescent="0.2">
      <c r="A1281" s="49"/>
      <c r="B1281" s="49"/>
    </row>
    <row r="1282" spans="1:2" x14ac:dyDescent="0.2">
      <c r="A1282" s="49"/>
      <c r="B1282" s="49"/>
    </row>
    <row r="1283" spans="1:2" x14ac:dyDescent="0.2">
      <c r="A1283" s="49"/>
      <c r="B1283" s="49"/>
    </row>
    <row r="1284" spans="1:2" x14ac:dyDescent="0.2">
      <c r="A1284" s="49"/>
      <c r="B1284" s="49"/>
    </row>
    <row r="1285" spans="1:2" x14ac:dyDescent="0.2">
      <c r="A1285" s="49"/>
      <c r="B1285" s="49"/>
    </row>
    <row r="1286" spans="1:2" x14ac:dyDescent="0.2">
      <c r="A1286" s="49"/>
      <c r="B1286" s="49"/>
    </row>
    <row r="1287" spans="1:2" x14ac:dyDescent="0.2">
      <c r="A1287" s="49"/>
      <c r="B1287" s="49"/>
    </row>
    <row r="1288" spans="1:2" x14ac:dyDescent="0.2">
      <c r="A1288" s="49"/>
      <c r="B1288" s="49"/>
    </row>
    <row r="1289" spans="1:2" x14ac:dyDescent="0.2">
      <c r="A1289" s="49"/>
      <c r="B1289" s="49"/>
    </row>
    <row r="1290" spans="1:2" x14ac:dyDescent="0.2">
      <c r="A1290" s="49"/>
      <c r="B1290" s="49"/>
    </row>
    <row r="1291" spans="1:2" x14ac:dyDescent="0.2">
      <c r="A1291" s="49"/>
      <c r="B1291" s="49"/>
    </row>
    <row r="1292" spans="1:2" x14ac:dyDescent="0.2">
      <c r="A1292" s="49"/>
      <c r="B1292" s="49"/>
    </row>
    <row r="1293" spans="1:2" x14ac:dyDescent="0.2">
      <c r="A1293" s="49"/>
      <c r="B1293" s="49"/>
    </row>
    <row r="1294" spans="1:2" x14ac:dyDescent="0.2">
      <c r="A1294" s="49"/>
      <c r="B1294" s="49"/>
    </row>
    <row r="1295" spans="1:2" x14ac:dyDescent="0.2">
      <c r="A1295" s="49"/>
      <c r="B1295" s="49"/>
    </row>
    <row r="1296" spans="1:2" x14ac:dyDescent="0.2">
      <c r="A1296" s="49"/>
      <c r="B1296" s="49"/>
    </row>
    <row r="1297" spans="1:2" x14ac:dyDescent="0.2">
      <c r="A1297" s="49"/>
      <c r="B1297" s="49"/>
    </row>
    <row r="1298" spans="1:2" x14ac:dyDescent="0.2">
      <c r="A1298" s="49"/>
      <c r="B1298" s="49"/>
    </row>
    <row r="1299" spans="1:2" x14ac:dyDescent="0.2">
      <c r="A1299" s="49"/>
      <c r="B1299" s="49"/>
    </row>
    <row r="1300" spans="1:2" x14ac:dyDescent="0.2">
      <c r="A1300" s="49"/>
      <c r="B1300" s="49"/>
    </row>
    <row r="1301" spans="1:2" x14ac:dyDescent="0.2">
      <c r="A1301" s="49"/>
      <c r="B1301" s="49"/>
    </row>
    <row r="1302" spans="1:2" x14ac:dyDescent="0.2">
      <c r="A1302" s="49"/>
      <c r="B1302" s="49"/>
    </row>
    <row r="1303" spans="1:2" x14ac:dyDescent="0.2">
      <c r="A1303" s="49"/>
      <c r="B1303" s="49"/>
    </row>
    <row r="1304" spans="1:2" x14ac:dyDescent="0.2">
      <c r="A1304" s="49"/>
      <c r="B1304" s="49"/>
    </row>
    <row r="1305" spans="1:2" x14ac:dyDescent="0.2">
      <c r="A1305" s="49"/>
      <c r="B1305" s="49"/>
    </row>
    <row r="1306" spans="1:2" x14ac:dyDescent="0.2">
      <c r="A1306" s="49"/>
      <c r="B1306" s="49"/>
    </row>
    <row r="1307" spans="1:2" x14ac:dyDescent="0.2">
      <c r="A1307" s="49"/>
      <c r="B1307" s="49"/>
    </row>
    <row r="1308" spans="1:2" x14ac:dyDescent="0.2">
      <c r="A1308" s="49"/>
      <c r="B1308" s="49"/>
    </row>
    <row r="1309" spans="1:2" x14ac:dyDescent="0.2">
      <c r="A1309" s="49"/>
      <c r="B1309" s="49"/>
    </row>
    <row r="1310" spans="1:2" x14ac:dyDescent="0.2">
      <c r="A1310" s="49"/>
      <c r="B1310" s="49"/>
    </row>
    <row r="1311" spans="1:2" x14ac:dyDescent="0.2">
      <c r="A1311" s="49"/>
      <c r="B1311" s="49"/>
    </row>
    <row r="1312" spans="1:2" x14ac:dyDescent="0.2">
      <c r="A1312" s="49"/>
      <c r="B1312" s="49"/>
    </row>
    <row r="1313" spans="1:2" x14ac:dyDescent="0.2">
      <c r="A1313" s="49"/>
      <c r="B1313" s="49"/>
    </row>
    <row r="1314" spans="1:2" x14ac:dyDescent="0.2">
      <c r="A1314" s="49"/>
      <c r="B1314" s="49"/>
    </row>
    <row r="1315" spans="1:2" x14ac:dyDescent="0.2">
      <c r="A1315" s="49"/>
      <c r="B1315" s="49"/>
    </row>
    <row r="1316" spans="1:2" x14ac:dyDescent="0.2">
      <c r="A1316" s="49"/>
      <c r="B1316" s="49"/>
    </row>
    <row r="1317" spans="1:2" x14ac:dyDescent="0.2">
      <c r="A1317" s="49"/>
      <c r="B1317" s="49"/>
    </row>
    <row r="1318" spans="1:2" x14ac:dyDescent="0.2">
      <c r="A1318" s="49"/>
      <c r="B1318" s="49"/>
    </row>
    <row r="1319" spans="1:2" x14ac:dyDescent="0.2">
      <c r="A1319" s="49"/>
      <c r="B1319" s="49"/>
    </row>
    <row r="1320" spans="1:2" x14ac:dyDescent="0.2">
      <c r="A1320" s="49"/>
      <c r="B1320" s="49"/>
    </row>
    <row r="1321" spans="1:2" x14ac:dyDescent="0.2">
      <c r="A1321" s="49"/>
      <c r="B1321" s="49"/>
    </row>
    <row r="1322" spans="1:2" x14ac:dyDescent="0.2">
      <c r="A1322" s="49"/>
      <c r="B1322" s="49"/>
    </row>
    <row r="1323" spans="1:2" x14ac:dyDescent="0.2">
      <c r="A1323" s="49"/>
      <c r="B1323" s="49"/>
    </row>
    <row r="1324" spans="1:2" x14ac:dyDescent="0.2">
      <c r="A1324" s="49"/>
      <c r="B1324" s="49"/>
    </row>
    <row r="1325" spans="1:2" x14ac:dyDescent="0.2">
      <c r="A1325" s="49"/>
      <c r="B1325" s="49"/>
    </row>
    <row r="1326" spans="1:2" x14ac:dyDescent="0.2">
      <c r="A1326" s="49"/>
      <c r="B1326" s="49"/>
    </row>
    <row r="1327" spans="1:2" x14ac:dyDescent="0.2">
      <c r="A1327" s="49"/>
      <c r="B1327" s="49"/>
    </row>
    <row r="1328" spans="1:2" x14ac:dyDescent="0.2">
      <c r="A1328" s="49"/>
      <c r="B1328" s="49"/>
    </row>
    <row r="1329" spans="1:2" x14ac:dyDescent="0.2">
      <c r="A1329" s="49"/>
      <c r="B1329" s="49"/>
    </row>
    <row r="1330" spans="1:2" x14ac:dyDescent="0.2">
      <c r="A1330" s="49"/>
      <c r="B1330" s="49"/>
    </row>
    <row r="1331" spans="1:2" x14ac:dyDescent="0.2">
      <c r="A1331" s="49"/>
      <c r="B1331" s="49"/>
    </row>
    <row r="1332" spans="1:2" x14ac:dyDescent="0.2">
      <c r="A1332" s="49"/>
      <c r="B1332" s="49"/>
    </row>
    <row r="1333" spans="1:2" x14ac:dyDescent="0.2">
      <c r="A1333" s="49"/>
      <c r="B1333" s="49"/>
    </row>
    <row r="1334" spans="1:2" x14ac:dyDescent="0.2">
      <c r="A1334" s="49"/>
      <c r="B1334" s="49"/>
    </row>
    <row r="1335" spans="1:2" x14ac:dyDescent="0.2">
      <c r="A1335" s="49"/>
      <c r="B1335" s="49"/>
    </row>
    <row r="1336" spans="1:2" x14ac:dyDescent="0.2">
      <c r="A1336" s="49"/>
      <c r="B1336" s="49"/>
    </row>
    <row r="1337" spans="1:2" x14ac:dyDescent="0.2">
      <c r="A1337" s="49"/>
      <c r="B1337" s="49"/>
    </row>
    <row r="1338" spans="1:2" x14ac:dyDescent="0.2">
      <c r="A1338" s="49"/>
      <c r="B1338" s="49"/>
    </row>
    <row r="1339" spans="1:2" x14ac:dyDescent="0.2">
      <c r="A1339" s="49"/>
      <c r="B1339" s="49"/>
    </row>
    <row r="1340" spans="1:2" x14ac:dyDescent="0.2">
      <c r="A1340" s="49"/>
      <c r="B1340" s="49"/>
    </row>
    <row r="1341" spans="1:2" x14ac:dyDescent="0.2">
      <c r="A1341" s="49"/>
      <c r="B1341" s="49"/>
    </row>
    <row r="1342" spans="1:2" x14ac:dyDescent="0.2">
      <c r="A1342" s="49"/>
      <c r="B1342" s="49"/>
    </row>
    <row r="1343" spans="1:2" x14ac:dyDescent="0.2">
      <c r="A1343" s="49"/>
      <c r="B1343" s="49"/>
    </row>
    <row r="1344" spans="1:2" x14ac:dyDescent="0.2">
      <c r="A1344" s="49"/>
      <c r="B1344" s="49"/>
    </row>
    <row r="1345" spans="1:2" x14ac:dyDescent="0.2">
      <c r="A1345" s="49"/>
      <c r="B1345" s="49"/>
    </row>
    <row r="1346" spans="1:2" x14ac:dyDescent="0.2">
      <c r="A1346" s="49"/>
      <c r="B1346" s="49"/>
    </row>
    <row r="1347" spans="1:2" x14ac:dyDescent="0.2">
      <c r="A1347" s="49"/>
      <c r="B1347" s="49"/>
    </row>
    <row r="1348" spans="1:2" x14ac:dyDescent="0.2">
      <c r="A1348" s="49"/>
      <c r="B1348" s="49"/>
    </row>
    <row r="1349" spans="1:2" x14ac:dyDescent="0.2">
      <c r="A1349" s="49"/>
      <c r="B1349" s="49"/>
    </row>
    <row r="1350" spans="1:2" x14ac:dyDescent="0.2">
      <c r="A1350" s="49"/>
      <c r="B1350" s="49"/>
    </row>
    <row r="1351" spans="1:2" x14ac:dyDescent="0.2">
      <c r="A1351" s="49"/>
      <c r="B1351" s="49"/>
    </row>
    <row r="1352" spans="1:2" x14ac:dyDescent="0.2">
      <c r="A1352" s="49"/>
      <c r="B1352" s="49"/>
    </row>
    <row r="1353" spans="1:2" x14ac:dyDescent="0.2">
      <c r="A1353" s="49"/>
      <c r="B1353" s="49"/>
    </row>
    <row r="1354" spans="1:2" x14ac:dyDescent="0.2">
      <c r="A1354" s="49"/>
      <c r="B1354" s="49"/>
    </row>
    <row r="1355" spans="1:2" x14ac:dyDescent="0.2">
      <c r="A1355" s="49"/>
      <c r="B1355" s="49"/>
    </row>
    <row r="1356" spans="1:2" x14ac:dyDescent="0.2">
      <c r="A1356" s="49"/>
      <c r="B1356" s="49"/>
    </row>
    <row r="1357" spans="1:2" x14ac:dyDescent="0.2">
      <c r="A1357" s="49"/>
      <c r="B1357" s="49"/>
    </row>
    <row r="1358" spans="1:2" x14ac:dyDescent="0.2">
      <c r="A1358" s="49"/>
      <c r="B1358" s="49"/>
    </row>
    <row r="1359" spans="1:2" x14ac:dyDescent="0.2">
      <c r="A1359" s="49"/>
      <c r="B1359" s="49"/>
    </row>
    <row r="1360" spans="1:2" x14ac:dyDescent="0.2">
      <c r="A1360" s="49"/>
      <c r="B1360" s="49"/>
    </row>
    <row r="1361" spans="1:7" x14ac:dyDescent="0.2">
      <c r="A1361" s="49"/>
      <c r="B1361" s="49"/>
    </row>
    <row r="1362" spans="1:7" x14ac:dyDescent="0.2">
      <c r="A1362" s="49"/>
      <c r="B1362" s="49"/>
    </row>
    <row r="1363" spans="1:7" x14ac:dyDescent="0.2">
      <c r="A1363" s="49"/>
      <c r="B1363" s="49"/>
    </row>
    <row r="1364" spans="1:7" x14ac:dyDescent="0.2">
      <c r="A1364" s="49"/>
      <c r="B1364" s="49"/>
    </row>
    <row r="1365" spans="1:7" x14ac:dyDescent="0.2">
      <c r="A1365" s="49"/>
      <c r="B1365" s="49"/>
    </row>
    <row r="1366" spans="1:7" x14ac:dyDescent="0.2">
      <c r="A1366" s="49"/>
      <c r="B1366" s="49"/>
    </row>
    <row r="1367" spans="1:7" x14ac:dyDescent="0.2">
      <c r="A1367" s="49"/>
      <c r="B1367" s="49"/>
    </row>
    <row r="1368" spans="1:7" x14ac:dyDescent="0.2">
      <c r="A1368" s="49"/>
      <c r="B1368" s="49"/>
    </row>
    <row r="1369" spans="1:7" x14ac:dyDescent="0.2">
      <c r="A1369" s="49"/>
      <c r="B1369" s="49"/>
    </row>
    <row r="1370" spans="1:7" x14ac:dyDescent="0.2">
      <c r="A1370" s="49"/>
      <c r="B1370" s="49"/>
    </row>
    <row r="1371" spans="1:7" x14ac:dyDescent="0.2">
      <c r="A1371" s="49"/>
      <c r="B1371" s="49"/>
    </row>
    <row r="1372" spans="1:7" x14ac:dyDescent="0.2">
      <c r="A1372" s="49"/>
      <c r="B1372" s="49"/>
      <c r="C1372" s="49"/>
      <c r="D1372" s="49"/>
      <c r="E1372" s="49"/>
      <c r="F1372" s="49"/>
      <c r="G1372" s="49"/>
    </row>
    <row r="1373" spans="1:7" x14ac:dyDescent="0.2">
      <c r="A1373" s="49"/>
      <c r="B1373" s="49"/>
    </row>
    <row r="1374" spans="1:7" x14ac:dyDescent="0.2">
      <c r="A1374" s="49"/>
      <c r="B1374" s="49"/>
    </row>
    <row r="1375" spans="1:7" x14ac:dyDescent="0.2">
      <c r="A1375" s="49"/>
      <c r="B1375" s="49"/>
    </row>
    <row r="1376" spans="1:7" x14ac:dyDescent="0.2">
      <c r="A1376" s="49"/>
      <c r="B1376" s="49"/>
    </row>
    <row r="1377" spans="1:7" x14ac:dyDescent="0.2">
      <c r="A1377" s="49"/>
      <c r="B1377" s="49"/>
    </row>
    <row r="1378" spans="1:7" x14ac:dyDescent="0.2">
      <c r="A1378" s="49"/>
      <c r="B1378" s="49"/>
    </row>
    <row r="1379" spans="1:7" x14ac:dyDescent="0.2">
      <c r="A1379" s="49"/>
      <c r="B1379" s="49"/>
    </row>
    <row r="1380" spans="1:7" x14ac:dyDescent="0.2">
      <c r="A1380" s="49"/>
      <c r="B1380" s="49"/>
      <c r="C1380" s="49"/>
      <c r="D1380" s="49"/>
      <c r="E1380" s="49"/>
      <c r="F1380" s="49"/>
      <c r="G1380" s="49"/>
    </row>
    <row r="1381" spans="1:7" x14ac:dyDescent="0.2">
      <c r="A1381" s="49"/>
      <c r="B1381" s="49"/>
      <c r="C1381" s="49"/>
      <c r="D1381" s="49"/>
      <c r="E1381" s="49"/>
      <c r="F1381" s="49"/>
      <c r="G1381" s="49"/>
    </row>
    <row r="1382" spans="1:7" x14ac:dyDescent="0.2">
      <c r="A1382" s="49"/>
      <c r="B1382" s="49"/>
    </row>
    <row r="1383" spans="1:7" x14ac:dyDescent="0.2">
      <c r="A1383" s="49"/>
      <c r="B1383" s="49"/>
    </row>
    <row r="1384" spans="1:7" x14ac:dyDescent="0.2">
      <c r="A1384" s="49"/>
      <c r="B1384" s="49"/>
    </row>
    <row r="1385" spans="1:7" x14ac:dyDescent="0.2">
      <c r="A1385" s="49"/>
      <c r="B1385" s="49"/>
    </row>
    <row r="1386" spans="1:7" x14ac:dyDescent="0.2">
      <c r="A1386" s="49"/>
      <c r="B1386" s="49"/>
    </row>
    <row r="1387" spans="1:7" x14ac:dyDescent="0.2">
      <c r="A1387" s="49"/>
      <c r="B1387" s="49"/>
    </row>
    <row r="1388" spans="1:7" x14ac:dyDescent="0.2">
      <c r="A1388" s="49"/>
      <c r="B1388" s="49"/>
    </row>
    <row r="1389" spans="1:7" x14ac:dyDescent="0.2">
      <c r="A1389" s="49"/>
      <c r="B1389" s="49"/>
    </row>
    <row r="1390" spans="1:7" x14ac:dyDescent="0.2">
      <c r="A1390" s="49"/>
      <c r="B1390" s="49"/>
    </row>
    <row r="1391" spans="1:7" x14ac:dyDescent="0.2">
      <c r="A1391" s="49"/>
      <c r="B1391" s="49"/>
    </row>
    <row r="1392" spans="1:7" x14ac:dyDescent="0.2">
      <c r="A1392" s="49"/>
      <c r="B1392" s="49"/>
    </row>
    <row r="1393" spans="1:7" x14ac:dyDescent="0.2">
      <c r="A1393" s="49"/>
      <c r="B1393" s="49"/>
    </row>
    <row r="1394" spans="1:7" x14ac:dyDescent="0.2">
      <c r="A1394" s="49"/>
      <c r="B1394" s="49"/>
    </row>
    <row r="1395" spans="1:7" x14ac:dyDescent="0.2">
      <c r="A1395" s="49"/>
      <c r="B1395" s="49"/>
    </row>
    <row r="1396" spans="1:7" x14ac:dyDescent="0.2">
      <c r="A1396" s="49"/>
      <c r="B1396" s="49"/>
    </row>
    <row r="1397" spans="1:7" x14ac:dyDescent="0.2">
      <c r="A1397" s="49"/>
      <c r="B1397" s="49"/>
    </row>
    <row r="1398" spans="1:7" x14ac:dyDescent="0.2">
      <c r="A1398" s="49"/>
      <c r="B1398" s="49"/>
      <c r="C1398" s="49"/>
      <c r="D1398" s="49"/>
      <c r="E1398" s="49"/>
      <c r="F1398" s="49"/>
      <c r="G1398" s="49"/>
    </row>
    <row r="1399" spans="1:7" x14ac:dyDescent="0.2">
      <c r="A1399" s="49"/>
      <c r="B1399" s="49"/>
    </row>
    <row r="1400" spans="1:7" x14ac:dyDescent="0.2">
      <c r="A1400" s="49"/>
      <c r="B1400" s="49"/>
    </row>
    <row r="1401" spans="1:7" x14ac:dyDescent="0.2">
      <c r="A1401" s="49"/>
      <c r="B1401" s="49"/>
    </row>
    <row r="1402" spans="1:7" x14ac:dyDescent="0.2">
      <c r="A1402" s="49"/>
      <c r="B1402" s="49"/>
    </row>
    <row r="1403" spans="1:7" x14ac:dyDescent="0.2">
      <c r="A1403" s="49"/>
      <c r="B1403" s="49"/>
    </row>
    <row r="1404" spans="1:7" x14ac:dyDescent="0.2">
      <c r="A1404" s="49"/>
      <c r="B1404" s="49"/>
    </row>
    <row r="1405" spans="1:7" x14ac:dyDescent="0.2">
      <c r="A1405" s="49"/>
      <c r="B1405" s="49"/>
    </row>
    <row r="1406" spans="1:7" x14ac:dyDescent="0.2">
      <c r="A1406" s="49"/>
      <c r="B1406" s="49"/>
    </row>
    <row r="1407" spans="1:7" x14ac:dyDescent="0.2">
      <c r="A1407" s="49"/>
      <c r="B1407" s="49"/>
    </row>
    <row r="1408" spans="1:7" x14ac:dyDescent="0.2">
      <c r="A1408" s="49"/>
      <c r="B1408" s="49"/>
    </row>
    <row r="1409" spans="1:7" x14ac:dyDescent="0.2">
      <c r="A1409" s="49"/>
      <c r="B1409" s="49"/>
    </row>
    <row r="1410" spans="1:7" x14ac:dyDescent="0.2">
      <c r="A1410" s="49"/>
      <c r="B1410" s="49"/>
      <c r="C1410" s="49"/>
      <c r="D1410" s="49"/>
      <c r="E1410" s="49"/>
      <c r="F1410" s="49"/>
      <c r="G1410" s="49"/>
    </row>
    <row r="1411" spans="1:7" x14ac:dyDescent="0.2">
      <c r="A1411" s="49"/>
      <c r="B1411" s="49"/>
      <c r="C1411" s="49"/>
      <c r="D1411" s="49"/>
      <c r="E1411" s="49"/>
      <c r="F1411" s="49"/>
      <c r="G1411" s="49"/>
    </row>
    <row r="1412" spans="1:7" x14ac:dyDescent="0.2">
      <c r="A1412" s="49"/>
      <c r="B1412" s="49"/>
      <c r="C1412" s="49"/>
      <c r="D1412" s="49"/>
      <c r="E1412" s="49"/>
      <c r="F1412" s="49"/>
      <c r="G1412" s="49"/>
    </row>
    <row r="1413" spans="1:7" x14ac:dyDescent="0.2">
      <c r="A1413" s="49"/>
      <c r="B1413" s="49"/>
    </row>
    <row r="1414" spans="1:7" x14ac:dyDescent="0.2">
      <c r="A1414" s="49"/>
      <c r="B1414" s="49"/>
    </row>
    <row r="1415" spans="1:7" x14ac:dyDescent="0.2">
      <c r="A1415" s="49"/>
      <c r="B1415" s="49"/>
    </row>
    <row r="1416" spans="1:7" x14ac:dyDescent="0.2">
      <c r="A1416" s="49"/>
      <c r="B1416" s="49"/>
    </row>
    <row r="1417" spans="1:7" x14ac:dyDescent="0.2">
      <c r="A1417" s="49"/>
      <c r="B1417" s="49"/>
    </row>
    <row r="1418" spans="1:7" x14ac:dyDescent="0.2">
      <c r="A1418" s="49"/>
      <c r="B1418" s="49"/>
    </row>
    <row r="1419" spans="1:7" x14ac:dyDescent="0.2">
      <c r="A1419" s="49"/>
      <c r="B1419" s="49"/>
    </row>
    <row r="1420" spans="1:7" x14ac:dyDescent="0.2">
      <c r="A1420" s="49"/>
      <c r="B1420" s="49"/>
    </row>
    <row r="1421" spans="1:7" x14ac:dyDescent="0.2">
      <c r="A1421" s="49"/>
      <c r="B1421" s="49"/>
    </row>
    <row r="1422" spans="1:7" x14ac:dyDescent="0.2">
      <c r="A1422" s="49"/>
      <c r="B1422" s="49"/>
    </row>
    <row r="1423" spans="1:7" x14ac:dyDescent="0.2">
      <c r="A1423" s="49"/>
      <c r="B1423" s="49"/>
    </row>
    <row r="1424" spans="1:7" x14ac:dyDescent="0.2">
      <c r="A1424" s="49"/>
      <c r="B1424" s="49"/>
    </row>
    <row r="1425" spans="1:7" x14ac:dyDescent="0.2">
      <c r="A1425" s="49"/>
      <c r="B1425" s="49"/>
    </row>
    <row r="1426" spans="1:7" x14ac:dyDescent="0.2">
      <c r="A1426" s="49"/>
      <c r="B1426" s="49"/>
    </row>
    <row r="1427" spans="1:7" x14ac:dyDescent="0.2">
      <c r="A1427" s="49"/>
      <c r="B1427" s="49"/>
    </row>
    <row r="1428" spans="1:7" x14ac:dyDescent="0.2">
      <c r="A1428" s="49"/>
      <c r="B1428" s="49"/>
    </row>
    <row r="1429" spans="1:7" x14ac:dyDescent="0.2">
      <c r="A1429" s="49"/>
      <c r="B1429" s="49"/>
    </row>
    <row r="1430" spans="1:7" x14ac:dyDescent="0.2">
      <c r="A1430" s="49"/>
      <c r="B1430" s="49"/>
    </row>
    <row r="1431" spans="1:7" x14ac:dyDescent="0.2">
      <c r="A1431" s="49"/>
      <c r="B1431" s="49"/>
    </row>
    <row r="1432" spans="1:7" x14ac:dyDescent="0.2">
      <c r="A1432" s="49"/>
      <c r="B1432" s="49"/>
    </row>
    <row r="1433" spans="1:7" x14ac:dyDescent="0.2">
      <c r="A1433" s="49"/>
      <c r="B1433" s="49"/>
    </row>
    <row r="1434" spans="1:7" x14ac:dyDescent="0.2">
      <c r="A1434" s="49"/>
      <c r="B1434" s="49"/>
    </row>
    <row r="1435" spans="1:7" x14ac:dyDescent="0.2">
      <c r="A1435" s="49"/>
      <c r="B1435" s="49"/>
    </row>
    <row r="1436" spans="1:7" x14ac:dyDescent="0.2">
      <c r="A1436" s="49"/>
      <c r="B1436" s="49"/>
    </row>
    <row r="1437" spans="1:7" x14ac:dyDescent="0.2">
      <c r="A1437" s="49"/>
      <c r="B1437" s="49"/>
    </row>
    <row r="1438" spans="1:7" x14ac:dyDescent="0.2">
      <c r="A1438" s="49"/>
      <c r="B1438" s="49"/>
    </row>
    <row r="1439" spans="1:7" x14ac:dyDescent="0.2">
      <c r="A1439" s="49"/>
      <c r="B1439" s="49"/>
    </row>
    <row r="1440" spans="1:7" x14ac:dyDescent="0.2">
      <c r="A1440" s="49"/>
      <c r="B1440" s="49"/>
      <c r="C1440" s="49"/>
      <c r="D1440" s="49"/>
      <c r="E1440" s="49"/>
      <c r="F1440" s="49"/>
      <c r="G1440" s="49"/>
    </row>
    <row r="1441" spans="1:2" x14ac:dyDescent="0.2">
      <c r="A1441" s="49"/>
      <c r="B1441" s="49"/>
    </row>
    <row r="1442" spans="1:2" x14ac:dyDescent="0.2">
      <c r="A1442" s="49"/>
      <c r="B1442" s="49"/>
    </row>
    <row r="1443" spans="1:2" x14ac:dyDescent="0.2">
      <c r="A1443" s="49"/>
      <c r="B1443" s="49"/>
    </row>
    <row r="1444" spans="1:2" x14ac:dyDescent="0.2">
      <c r="A1444" s="49"/>
      <c r="B1444" s="49"/>
    </row>
    <row r="1445" spans="1:2" x14ac:dyDescent="0.2">
      <c r="A1445" s="49"/>
      <c r="B1445" s="49"/>
    </row>
    <row r="1446" spans="1:2" x14ac:dyDescent="0.2">
      <c r="A1446" s="49"/>
      <c r="B1446" s="49"/>
    </row>
    <row r="1447" spans="1:2" x14ac:dyDescent="0.2">
      <c r="A1447" s="49"/>
      <c r="B1447" s="49"/>
    </row>
    <row r="1448" spans="1:2" x14ac:dyDescent="0.2">
      <c r="A1448" s="49"/>
      <c r="B1448" s="49"/>
    </row>
    <row r="1449" spans="1:2" x14ac:dyDescent="0.2">
      <c r="A1449" s="49"/>
      <c r="B1449" s="49"/>
    </row>
    <row r="1450" spans="1:2" x14ac:dyDescent="0.2">
      <c r="A1450" s="49"/>
      <c r="B1450" s="49"/>
    </row>
    <row r="1451" spans="1:2" x14ac:dyDescent="0.2">
      <c r="A1451" s="49"/>
      <c r="B1451" s="49"/>
    </row>
    <row r="1452" spans="1:2" x14ac:dyDescent="0.2">
      <c r="A1452" s="49"/>
      <c r="B1452" s="49"/>
    </row>
    <row r="1453" spans="1:2" x14ac:dyDescent="0.2">
      <c r="A1453" s="49"/>
      <c r="B1453" s="49"/>
    </row>
    <row r="1454" spans="1:2" x14ac:dyDescent="0.2">
      <c r="A1454" s="49"/>
      <c r="B1454" s="49"/>
    </row>
    <row r="1455" spans="1:2" x14ac:dyDescent="0.2">
      <c r="A1455" s="49"/>
      <c r="B1455" s="49"/>
    </row>
    <row r="1456" spans="1:2" x14ac:dyDescent="0.2">
      <c r="A1456" s="49"/>
      <c r="B1456" s="49"/>
    </row>
    <row r="1457" spans="1:7" x14ac:dyDescent="0.2">
      <c r="A1457" s="49"/>
      <c r="B1457" s="49"/>
      <c r="C1457" s="49"/>
      <c r="D1457" s="49"/>
      <c r="E1457" s="49"/>
      <c r="F1457" s="49"/>
      <c r="G1457" s="49"/>
    </row>
    <row r="1458" spans="1:7" x14ac:dyDescent="0.2">
      <c r="A1458" s="49"/>
      <c r="B1458" s="49"/>
    </row>
    <row r="1459" spans="1:7" x14ac:dyDescent="0.2">
      <c r="A1459" s="49"/>
      <c r="B1459" s="49"/>
    </row>
    <row r="1460" spans="1:7" x14ac:dyDescent="0.2">
      <c r="A1460" s="49"/>
      <c r="B1460" s="49"/>
    </row>
    <row r="1461" spans="1:7" x14ac:dyDescent="0.2">
      <c r="A1461" s="49"/>
      <c r="B1461" s="49"/>
    </row>
    <row r="1462" spans="1:7" x14ac:dyDescent="0.2">
      <c r="A1462" s="49"/>
      <c r="B1462" s="49"/>
    </row>
    <row r="1463" spans="1:7" x14ac:dyDescent="0.2">
      <c r="A1463" s="49"/>
      <c r="B1463" s="49"/>
    </row>
    <row r="1464" spans="1:7" x14ac:dyDescent="0.2">
      <c r="A1464" s="49"/>
      <c r="B1464" s="49"/>
      <c r="C1464" s="49"/>
      <c r="D1464" s="49"/>
      <c r="E1464" s="49"/>
      <c r="F1464" s="49"/>
      <c r="G1464" s="49"/>
    </row>
    <row r="1465" spans="1:7" x14ac:dyDescent="0.2">
      <c r="A1465" s="49"/>
      <c r="B1465" s="49"/>
    </row>
    <row r="1466" spans="1:7" x14ac:dyDescent="0.2">
      <c r="A1466" s="49"/>
      <c r="B1466" s="49"/>
    </row>
    <row r="1467" spans="1:7" x14ac:dyDescent="0.2">
      <c r="A1467" s="49"/>
      <c r="B1467" s="49"/>
    </row>
    <row r="1468" spans="1:7" x14ac:dyDescent="0.2">
      <c r="A1468" s="49"/>
      <c r="B1468" s="49"/>
    </row>
    <row r="1469" spans="1:7" x14ac:dyDescent="0.2">
      <c r="A1469" s="49"/>
      <c r="B1469" s="49"/>
      <c r="C1469" s="49"/>
      <c r="D1469" s="49"/>
      <c r="E1469" s="49"/>
      <c r="F1469" s="49"/>
      <c r="G1469" s="49"/>
    </row>
    <row r="1470" spans="1:7" x14ac:dyDescent="0.2">
      <c r="A1470" s="49"/>
      <c r="B1470" s="49"/>
    </row>
    <row r="1471" spans="1:7" x14ac:dyDescent="0.2">
      <c r="A1471" s="49"/>
      <c r="B1471" s="49"/>
    </row>
    <row r="1472" spans="1:7" x14ac:dyDescent="0.2">
      <c r="A1472" s="49"/>
      <c r="B1472" s="49"/>
    </row>
    <row r="1473" spans="1:2" x14ac:dyDescent="0.2">
      <c r="A1473" s="49"/>
      <c r="B1473" s="49"/>
    </row>
    <row r="1474" spans="1:2" x14ac:dyDescent="0.2">
      <c r="A1474" s="49"/>
      <c r="B1474" s="49"/>
    </row>
    <row r="1475" spans="1:2" x14ac:dyDescent="0.2">
      <c r="A1475" s="49"/>
      <c r="B1475" s="49"/>
    </row>
    <row r="1476" spans="1:2" x14ac:dyDescent="0.2">
      <c r="A1476" s="49"/>
      <c r="B1476" s="49"/>
    </row>
    <row r="1477" spans="1:2" x14ac:dyDescent="0.2">
      <c r="A1477" s="49"/>
      <c r="B1477" s="49"/>
    </row>
    <row r="1478" spans="1:2" x14ac:dyDescent="0.2">
      <c r="A1478" s="49"/>
      <c r="B1478" s="49"/>
    </row>
    <row r="1479" spans="1:2" x14ac:dyDescent="0.2">
      <c r="A1479" s="49"/>
      <c r="B1479" s="49"/>
    </row>
    <row r="1480" spans="1:2" x14ac:dyDescent="0.2">
      <c r="A1480" s="49"/>
      <c r="B1480" s="49"/>
    </row>
    <row r="1481" spans="1:2" x14ac:dyDescent="0.2">
      <c r="A1481" s="49"/>
      <c r="B1481" s="49"/>
    </row>
    <row r="1482" spans="1:2" x14ac:dyDescent="0.2">
      <c r="A1482" s="49"/>
      <c r="B1482" s="49"/>
    </row>
    <row r="1483" spans="1:2" x14ac:dyDescent="0.2">
      <c r="A1483" s="49"/>
      <c r="B1483" s="49"/>
    </row>
    <row r="1484" spans="1:2" x14ac:dyDescent="0.2">
      <c r="A1484" s="49"/>
      <c r="B1484" s="49"/>
    </row>
    <row r="1485" spans="1:2" x14ac:dyDescent="0.2">
      <c r="A1485" s="49"/>
      <c r="B1485" s="49"/>
    </row>
    <row r="1486" spans="1:2" x14ac:dyDescent="0.2">
      <c r="A1486" s="49"/>
      <c r="B1486" s="49"/>
    </row>
    <row r="1487" spans="1:2" x14ac:dyDescent="0.2">
      <c r="A1487" s="49"/>
      <c r="B1487" s="49"/>
    </row>
    <row r="1488" spans="1:2" x14ac:dyDescent="0.2">
      <c r="A1488" s="49"/>
      <c r="B1488" s="49"/>
    </row>
    <row r="1489" spans="1:7" x14ac:dyDescent="0.2">
      <c r="A1489" s="49"/>
      <c r="B1489" s="49"/>
    </row>
    <row r="1490" spans="1:7" x14ac:dyDescent="0.2">
      <c r="A1490" s="49"/>
      <c r="B1490" s="49"/>
    </row>
    <row r="1491" spans="1:7" x14ac:dyDescent="0.2">
      <c r="A1491" s="49"/>
      <c r="B1491" s="49"/>
    </row>
    <row r="1492" spans="1:7" x14ac:dyDescent="0.2">
      <c r="A1492" s="49"/>
      <c r="B1492" s="49"/>
    </row>
    <row r="1493" spans="1:7" x14ac:dyDescent="0.2">
      <c r="A1493" s="49"/>
      <c r="B1493" s="49"/>
    </row>
    <row r="1494" spans="1:7" x14ac:dyDescent="0.2">
      <c r="A1494" s="49"/>
      <c r="B1494" s="49"/>
    </row>
    <row r="1495" spans="1:7" x14ac:dyDescent="0.2">
      <c r="A1495" s="49"/>
      <c r="B1495" s="49"/>
    </row>
    <row r="1496" spans="1:7" x14ac:dyDescent="0.2">
      <c r="A1496" s="49"/>
      <c r="B1496" s="49"/>
    </row>
    <row r="1497" spans="1:7" x14ac:dyDescent="0.2">
      <c r="A1497" s="49"/>
      <c r="B1497" s="49"/>
    </row>
    <row r="1498" spans="1:7" x14ac:dyDescent="0.2">
      <c r="A1498" s="49"/>
      <c r="B1498" s="49"/>
    </row>
    <row r="1499" spans="1:7" x14ac:dyDescent="0.2">
      <c r="A1499" s="49"/>
      <c r="B1499" s="49"/>
    </row>
    <row r="1500" spans="1:7" x14ac:dyDescent="0.2">
      <c r="A1500" s="49"/>
      <c r="B1500" s="49"/>
      <c r="C1500" s="49"/>
      <c r="D1500" s="49"/>
      <c r="E1500" s="49"/>
      <c r="F1500" s="49"/>
      <c r="G1500" s="49"/>
    </row>
    <row r="1501" spans="1:7" x14ac:dyDescent="0.2">
      <c r="A1501" s="49"/>
      <c r="B1501" s="49"/>
    </row>
    <row r="1502" spans="1:7" x14ac:dyDescent="0.2">
      <c r="A1502" s="49"/>
      <c r="B1502" s="49"/>
    </row>
    <row r="1503" spans="1:7" x14ac:dyDescent="0.2">
      <c r="A1503" s="49"/>
      <c r="B1503" s="49"/>
    </row>
    <row r="1504" spans="1:7" x14ac:dyDescent="0.2">
      <c r="A1504" s="49"/>
      <c r="B1504" s="49"/>
      <c r="C1504" s="49"/>
      <c r="D1504" s="49"/>
      <c r="E1504" s="49"/>
      <c r="F1504" s="49"/>
      <c r="G1504" s="49"/>
    </row>
    <row r="1505" spans="1:2" x14ac:dyDescent="0.2">
      <c r="A1505" s="49"/>
      <c r="B1505" s="49"/>
    </row>
    <row r="1506" spans="1:2" x14ac:dyDescent="0.2">
      <c r="A1506" s="49"/>
      <c r="B1506" s="49"/>
    </row>
    <row r="1507" spans="1:2" x14ac:dyDescent="0.2">
      <c r="A1507" s="49"/>
      <c r="B1507" s="49"/>
    </row>
    <row r="1508" spans="1:2" x14ac:dyDescent="0.2">
      <c r="A1508" s="49"/>
      <c r="B1508" s="49"/>
    </row>
    <row r="1509" spans="1:2" x14ac:dyDescent="0.2">
      <c r="A1509" s="49"/>
      <c r="B1509" s="49"/>
    </row>
    <row r="1510" spans="1:2" x14ac:dyDescent="0.2">
      <c r="A1510" s="49"/>
      <c r="B1510" s="49"/>
    </row>
    <row r="1511" spans="1:2" x14ac:dyDescent="0.2">
      <c r="A1511" s="49"/>
      <c r="B1511" s="49"/>
    </row>
    <row r="1512" spans="1:2" x14ac:dyDescent="0.2">
      <c r="A1512" s="49"/>
      <c r="B1512" s="49"/>
    </row>
    <row r="1513" spans="1:2" x14ac:dyDescent="0.2">
      <c r="A1513" s="49"/>
      <c r="B1513" s="49"/>
    </row>
    <row r="1514" spans="1:2" x14ac:dyDescent="0.2">
      <c r="A1514" s="49"/>
      <c r="B1514" s="49"/>
    </row>
    <row r="1515" spans="1:2" x14ac:dyDescent="0.2">
      <c r="A1515" s="49"/>
      <c r="B1515" s="49"/>
    </row>
    <row r="1516" spans="1:2" x14ac:dyDescent="0.2">
      <c r="A1516" s="49"/>
      <c r="B1516" s="49"/>
    </row>
    <row r="1517" spans="1:2" x14ac:dyDescent="0.2">
      <c r="A1517" s="49"/>
      <c r="B1517" s="49"/>
    </row>
    <row r="1518" spans="1:2" x14ac:dyDescent="0.2">
      <c r="A1518" s="49"/>
      <c r="B1518" s="49"/>
    </row>
    <row r="1519" spans="1:2" x14ac:dyDescent="0.2">
      <c r="A1519" s="49"/>
      <c r="B1519" s="49"/>
    </row>
    <row r="1520" spans="1:2" x14ac:dyDescent="0.2">
      <c r="A1520" s="49"/>
      <c r="B1520" s="49"/>
    </row>
    <row r="1521" spans="1:7" x14ac:dyDescent="0.2">
      <c r="A1521" s="49"/>
      <c r="B1521" s="49"/>
    </row>
    <row r="1522" spans="1:7" x14ac:dyDescent="0.2">
      <c r="A1522" s="49"/>
      <c r="B1522" s="49"/>
    </row>
    <row r="1523" spans="1:7" x14ac:dyDescent="0.2">
      <c r="A1523" s="49"/>
      <c r="B1523" s="49"/>
    </row>
    <row r="1524" spans="1:7" x14ac:dyDescent="0.2">
      <c r="A1524" s="49"/>
      <c r="B1524" s="49"/>
    </row>
    <row r="1525" spans="1:7" x14ac:dyDescent="0.2">
      <c r="A1525" s="49"/>
      <c r="B1525" s="49"/>
    </row>
    <row r="1526" spans="1:7" x14ac:dyDescent="0.2">
      <c r="A1526" s="49"/>
      <c r="B1526" s="49"/>
    </row>
    <row r="1527" spans="1:7" x14ac:dyDescent="0.2">
      <c r="A1527" s="49"/>
      <c r="B1527" s="49"/>
    </row>
    <row r="1528" spans="1:7" x14ac:dyDescent="0.2">
      <c r="A1528" s="49"/>
      <c r="B1528" s="49"/>
    </row>
    <row r="1529" spans="1:7" x14ac:dyDescent="0.2">
      <c r="A1529" s="49"/>
      <c r="B1529" s="49"/>
      <c r="C1529" s="49"/>
      <c r="D1529" s="49"/>
      <c r="E1529" s="49"/>
      <c r="F1529" s="49"/>
      <c r="G1529" s="49"/>
    </row>
    <row r="1530" spans="1:7" x14ac:dyDescent="0.2">
      <c r="A1530" s="49"/>
      <c r="B1530" s="49"/>
    </row>
    <row r="1531" spans="1:7" x14ac:dyDescent="0.2">
      <c r="A1531" s="49"/>
      <c r="B1531" s="49"/>
    </row>
    <row r="1532" spans="1:7" x14ac:dyDescent="0.2">
      <c r="A1532" s="49"/>
      <c r="B1532" s="49"/>
    </row>
    <row r="1533" spans="1:7" x14ac:dyDescent="0.2">
      <c r="A1533" s="49"/>
      <c r="B1533" s="49"/>
    </row>
    <row r="1534" spans="1:7" x14ac:dyDescent="0.2">
      <c r="A1534" s="49"/>
      <c r="B1534" s="49"/>
    </row>
    <row r="1535" spans="1:7" x14ac:dyDescent="0.2">
      <c r="A1535" s="49"/>
      <c r="B1535" s="49"/>
    </row>
    <row r="1536" spans="1:7" x14ac:dyDescent="0.2">
      <c r="A1536" s="49"/>
      <c r="B1536" s="49"/>
    </row>
    <row r="1537" spans="1:2" x14ac:dyDescent="0.2">
      <c r="A1537" s="49"/>
      <c r="B1537" s="49"/>
    </row>
    <row r="1538" spans="1:2" x14ac:dyDescent="0.2">
      <c r="A1538" s="49"/>
      <c r="B1538" s="49"/>
    </row>
    <row r="1539" spans="1:2" x14ac:dyDescent="0.2">
      <c r="A1539" s="49"/>
      <c r="B1539" s="49"/>
    </row>
    <row r="1540" spans="1:2" x14ac:dyDescent="0.2">
      <c r="A1540" s="49"/>
      <c r="B1540" s="49"/>
    </row>
    <row r="1541" spans="1:2" x14ac:dyDescent="0.2">
      <c r="A1541" s="49"/>
      <c r="B1541" s="49"/>
    </row>
    <row r="1542" spans="1:2" x14ac:dyDescent="0.2">
      <c r="A1542" s="49"/>
      <c r="B1542" s="49"/>
    </row>
    <row r="1543" spans="1:2" x14ac:dyDescent="0.2">
      <c r="A1543" s="49"/>
      <c r="B1543" s="49"/>
    </row>
    <row r="1544" spans="1:2" x14ac:dyDescent="0.2">
      <c r="A1544" s="49"/>
      <c r="B1544" s="49"/>
    </row>
    <row r="1545" spans="1:2" x14ac:dyDescent="0.2">
      <c r="A1545" s="49"/>
      <c r="B1545" s="49"/>
    </row>
    <row r="1546" spans="1:2" x14ac:dyDescent="0.2">
      <c r="A1546" s="49"/>
      <c r="B1546" s="49"/>
    </row>
    <row r="1547" spans="1:2" x14ac:dyDescent="0.2">
      <c r="A1547" s="49"/>
      <c r="B1547" s="49"/>
    </row>
    <row r="1548" spans="1:2" x14ac:dyDescent="0.2">
      <c r="A1548" s="49"/>
      <c r="B1548" s="49"/>
    </row>
    <row r="1549" spans="1:2" x14ac:dyDescent="0.2">
      <c r="A1549" s="49"/>
      <c r="B1549" s="49"/>
    </row>
    <row r="1550" spans="1:2" x14ac:dyDescent="0.2">
      <c r="A1550" s="49"/>
      <c r="B1550" s="49"/>
    </row>
    <row r="1551" spans="1:2" x14ac:dyDescent="0.2">
      <c r="A1551" s="49"/>
      <c r="B1551" s="49"/>
    </row>
    <row r="1552" spans="1:2" x14ac:dyDescent="0.2">
      <c r="A1552" s="49"/>
      <c r="B1552" s="49"/>
    </row>
    <row r="1553" spans="1:2" x14ac:dyDescent="0.2">
      <c r="A1553" s="49"/>
      <c r="B1553" s="49"/>
    </row>
    <row r="1554" spans="1:2" x14ac:dyDescent="0.2">
      <c r="A1554" s="49"/>
      <c r="B1554" s="49"/>
    </row>
    <row r="1555" spans="1:2" x14ac:dyDescent="0.2">
      <c r="A1555" s="49"/>
      <c r="B1555" s="49"/>
    </row>
    <row r="1556" spans="1:2" x14ac:dyDescent="0.2">
      <c r="A1556" s="49"/>
      <c r="B1556" s="49"/>
    </row>
    <row r="1557" spans="1:2" x14ac:dyDescent="0.2">
      <c r="A1557" s="49"/>
      <c r="B1557" s="49"/>
    </row>
    <row r="1558" spans="1:2" x14ac:dyDescent="0.2">
      <c r="A1558" s="49"/>
      <c r="B1558" s="49"/>
    </row>
    <row r="1559" spans="1:2" x14ac:dyDescent="0.2">
      <c r="A1559" s="49"/>
      <c r="B1559" s="49"/>
    </row>
    <row r="1560" spans="1:2" x14ac:dyDescent="0.2">
      <c r="A1560" s="49"/>
      <c r="B1560" s="49"/>
    </row>
    <row r="1561" spans="1:2" x14ac:dyDescent="0.2">
      <c r="A1561" s="49"/>
      <c r="B1561" s="49"/>
    </row>
    <row r="1562" spans="1:2" x14ac:dyDescent="0.2">
      <c r="A1562" s="49"/>
      <c r="B1562" s="49"/>
    </row>
    <row r="1563" spans="1:2" x14ac:dyDescent="0.2">
      <c r="A1563" s="49"/>
      <c r="B1563" s="49"/>
    </row>
    <row r="1564" spans="1:2" x14ac:dyDescent="0.2">
      <c r="A1564" s="49"/>
      <c r="B1564" s="49"/>
    </row>
    <row r="1565" spans="1:2" x14ac:dyDescent="0.2">
      <c r="A1565" s="49"/>
      <c r="B1565" s="49"/>
    </row>
    <row r="1566" spans="1:2" x14ac:dyDescent="0.2">
      <c r="A1566" s="49"/>
      <c r="B1566" s="49"/>
    </row>
    <row r="1567" spans="1:2" x14ac:dyDescent="0.2">
      <c r="A1567" s="49"/>
      <c r="B1567" s="49"/>
    </row>
    <row r="1568" spans="1:2" x14ac:dyDescent="0.2">
      <c r="A1568" s="49"/>
      <c r="B1568" s="49"/>
    </row>
    <row r="1569" spans="1:2" x14ac:dyDescent="0.2">
      <c r="A1569" s="49"/>
      <c r="B1569" s="49"/>
    </row>
    <row r="1570" spans="1:2" x14ac:dyDescent="0.2">
      <c r="A1570" s="49"/>
      <c r="B1570" s="49"/>
    </row>
    <row r="1571" spans="1:2" x14ac:dyDescent="0.2">
      <c r="A1571" s="49"/>
      <c r="B1571" s="49"/>
    </row>
    <row r="1572" spans="1:2" x14ac:dyDescent="0.2">
      <c r="A1572" s="49"/>
      <c r="B1572" s="49"/>
    </row>
    <row r="1573" spans="1:2" x14ac:dyDescent="0.2">
      <c r="A1573" s="49"/>
      <c r="B1573" s="49"/>
    </row>
    <row r="1574" spans="1:2" x14ac:dyDescent="0.2">
      <c r="A1574" s="49"/>
      <c r="B1574" s="49"/>
    </row>
    <row r="1575" spans="1:2" x14ac:dyDescent="0.2">
      <c r="A1575" s="49"/>
      <c r="B1575" s="49"/>
    </row>
    <row r="1576" spans="1:2" x14ac:dyDescent="0.2">
      <c r="A1576" s="49"/>
      <c r="B1576" s="49"/>
    </row>
    <row r="1577" spans="1:2" x14ac:dyDescent="0.2">
      <c r="A1577" s="49"/>
      <c r="B1577" s="49"/>
    </row>
    <row r="1578" spans="1:2" x14ac:dyDescent="0.2">
      <c r="A1578" s="49"/>
      <c r="B1578" s="49"/>
    </row>
    <row r="1579" spans="1:2" x14ac:dyDescent="0.2">
      <c r="A1579" s="49"/>
      <c r="B1579" s="49"/>
    </row>
    <row r="1580" spans="1:2" x14ac:dyDescent="0.2">
      <c r="A1580" s="49"/>
      <c r="B1580" s="49"/>
    </row>
    <row r="1581" spans="1:2" x14ac:dyDescent="0.2">
      <c r="A1581" s="49"/>
      <c r="B1581" s="49"/>
    </row>
    <row r="1582" spans="1:2" x14ac:dyDescent="0.2">
      <c r="A1582" s="49"/>
      <c r="B1582" s="49"/>
    </row>
    <row r="1583" spans="1:2" x14ac:dyDescent="0.2">
      <c r="A1583" s="49"/>
      <c r="B1583" s="49"/>
    </row>
    <row r="1584" spans="1:2" x14ac:dyDescent="0.2">
      <c r="A1584" s="49"/>
      <c r="B1584" s="49"/>
    </row>
    <row r="1585" spans="1:2" x14ac:dyDescent="0.2">
      <c r="A1585" s="49"/>
      <c r="B1585" s="49"/>
    </row>
    <row r="1586" spans="1:2" x14ac:dyDescent="0.2">
      <c r="A1586" s="49"/>
      <c r="B1586" s="49"/>
    </row>
    <row r="1587" spans="1:2" x14ac:dyDescent="0.2">
      <c r="A1587" s="49"/>
      <c r="B1587" s="49"/>
    </row>
    <row r="1588" spans="1:2" x14ac:dyDescent="0.2">
      <c r="A1588" s="49"/>
      <c r="B1588" s="49"/>
    </row>
    <row r="1589" spans="1:2" x14ac:dyDescent="0.2">
      <c r="A1589" s="49"/>
      <c r="B1589" s="49"/>
    </row>
    <row r="1590" spans="1:2" x14ac:dyDescent="0.2">
      <c r="A1590" s="49"/>
      <c r="B1590" s="49"/>
    </row>
    <row r="1591" spans="1:2" x14ac:dyDescent="0.2">
      <c r="A1591" s="49"/>
      <c r="B1591" s="49"/>
    </row>
    <row r="1592" spans="1:2" x14ac:dyDescent="0.2">
      <c r="A1592" s="49"/>
      <c r="B1592" s="49"/>
    </row>
    <row r="1593" spans="1:2" x14ac:dyDescent="0.2">
      <c r="A1593" s="49"/>
      <c r="B1593" s="49"/>
    </row>
    <row r="1594" spans="1:2" x14ac:dyDescent="0.2">
      <c r="A1594" s="49"/>
      <c r="B1594" s="49"/>
    </row>
    <row r="1595" spans="1:2" x14ac:dyDescent="0.2">
      <c r="A1595" s="49"/>
      <c r="B1595" s="49"/>
    </row>
    <row r="1596" spans="1:2" x14ac:dyDescent="0.2">
      <c r="A1596" s="49"/>
      <c r="B1596" s="49"/>
    </row>
    <row r="1597" spans="1:2" x14ac:dyDescent="0.2">
      <c r="A1597" s="49"/>
      <c r="B1597" s="49"/>
    </row>
    <row r="1598" spans="1:2" x14ac:dyDescent="0.2">
      <c r="A1598" s="49"/>
      <c r="B1598" s="49"/>
    </row>
    <row r="1599" spans="1:2" x14ac:dyDescent="0.2">
      <c r="A1599" s="49"/>
      <c r="B1599" s="49"/>
    </row>
    <row r="1600" spans="1:2" x14ac:dyDescent="0.2">
      <c r="A1600" s="49"/>
      <c r="B1600" s="49"/>
    </row>
    <row r="1601" spans="1:2" x14ac:dyDescent="0.2">
      <c r="A1601" s="49"/>
      <c r="B1601" s="49"/>
    </row>
    <row r="1602" spans="1:2" x14ac:dyDescent="0.2">
      <c r="A1602" s="49"/>
      <c r="B1602" s="49"/>
    </row>
    <row r="1603" spans="1:2" x14ac:dyDescent="0.2">
      <c r="A1603" s="49"/>
      <c r="B1603" s="49"/>
    </row>
    <row r="1604" spans="1:2" x14ac:dyDescent="0.2">
      <c r="A1604" s="49"/>
      <c r="B1604" s="49"/>
    </row>
    <row r="1605" spans="1:2" x14ac:dyDescent="0.2">
      <c r="A1605" s="49"/>
      <c r="B1605" s="49"/>
    </row>
    <row r="1606" spans="1:2" x14ac:dyDescent="0.2">
      <c r="A1606" s="49"/>
      <c r="B1606" s="49"/>
    </row>
    <row r="1607" spans="1:2" x14ac:dyDescent="0.2">
      <c r="A1607" s="49"/>
      <c r="B1607" s="49"/>
    </row>
    <row r="1608" spans="1:2" x14ac:dyDescent="0.2">
      <c r="A1608" s="49"/>
      <c r="B1608" s="49"/>
    </row>
    <row r="1609" spans="1:2" x14ac:dyDescent="0.2">
      <c r="A1609" s="49"/>
      <c r="B1609" s="49"/>
    </row>
    <row r="1610" spans="1:2" x14ac:dyDescent="0.2">
      <c r="A1610" s="49"/>
      <c r="B1610" s="49"/>
    </row>
    <row r="1611" spans="1:2" x14ac:dyDescent="0.2">
      <c r="A1611" s="49"/>
      <c r="B1611" s="49"/>
    </row>
    <row r="1612" spans="1:2" x14ac:dyDescent="0.2">
      <c r="A1612" s="49"/>
      <c r="B1612" s="49"/>
    </row>
    <row r="1613" spans="1:2" x14ac:dyDescent="0.2">
      <c r="A1613" s="49"/>
      <c r="B1613" s="49"/>
    </row>
    <row r="1614" spans="1:2" x14ac:dyDescent="0.2">
      <c r="A1614" s="49"/>
      <c r="B1614" s="49"/>
    </row>
    <row r="1615" spans="1:2" x14ac:dyDescent="0.2">
      <c r="A1615" s="49"/>
      <c r="B1615" s="49"/>
    </row>
    <row r="1616" spans="1:2" x14ac:dyDescent="0.2">
      <c r="A1616" s="49"/>
      <c r="B1616" s="49"/>
    </row>
    <row r="1617" spans="1:7" x14ac:dyDescent="0.2">
      <c r="A1617" s="49"/>
      <c r="B1617" s="49"/>
    </row>
    <row r="1618" spans="1:7" x14ac:dyDescent="0.2">
      <c r="A1618" s="49"/>
      <c r="B1618" s="49"/>
    </row>
    <row r="1619" spans="1:7" x14ac:dyDescent="0.2">
      <c r="A1619" s="49"/>
      <c r="B1619" s="49"/>
    </row>
    <row r="1620" spans="1:7" x14ac:dyDescent="0.2">
      <c r="A1620" s="49"/>
      <c r="B1620" s="49"/>
    </row>
    <row r="1621" spans="1:7" x14ac:dyDescent="0.2">
      <c r="A1621" s="49"/>
      <c r="B1621" s="49"/>
    </row>
    <row r="1622" spans="1:7" x14ac:dyDescent="0.2">
      <c r="A1622" s="49"/>
      <c r="B1622" s="49"/>
    </row>
    <row r="1623" spans="1:7" x14ac:dyDescent="0.2">
      <c r="A1623" s="49"/>
      <c r="B1623" s="49"/>
    </row>
    <row r="1624" spans="1:7" x14ac:dyDescent="0.2">
      <c r="A1624" s="49"/>
      <c r="B1624" s="49"/>
    </row>
    <row r="1625" spans="1:7" x14ac:dyDescent="0.2">
      <c r="A1625" s="49"/>
      <c r="B1625" s="49"/>
    </row>
    <row r="1626" spans="1:7" x14ac:dyDescent="0.2">
      <c r="A1626" s="49"/>
      <c r="B1626" s="49"/>
    </row>
    <row r="1627" spans="1:7" x14ac:dyDescent="0.2">
      <c r="A1627" s="49"/>
      <c r="B1627" s="49"/>
    </row>
    <row r="1628" spans="1:7" x14ac:dyDescent="0.2">
      <c r="A1628" s="49"/>
      <c r="B1628" s="49"/>
      <c r="C1628" s="49"/>
      <c r="D1628" s="49"/>
      <c r="E1628" s="49"/>
      <c r="F1628" s="49"/>
      <c r="G1628" s="49"/>
    </row>
    <row r="1629" spans="1:7" x14ac:dyDescent="0.2">
      <c r="A1629" s="49"/>
      <c r="B1629" s="49"/>
    </row>
    <row r="1630" spans="1:7" x14ac:dyDescent="0.2">
      <c r="A1630" s="49"/>
      <c r="B1630" s="49"/>
    </row>
    <row r="1631" spans="1:7" x14ac:dyDescent="0.2">
      <c r="A1631" s="49"/>
      <c r="B1631" s="49"/>
    </row>
    <row r="1632" spans="1:7" x14ac:dyDescent="0.2">
      <c r="A1632" s="49"/>
      <c r="B1632" s="49"/>
    </row>
    <row r="1633" spans="1:7" x14ac:dyDescent="0.2">
      <c r="A1633" s="49"/>
      <c r="B1633" s="49"/>
    </row>
    <row r="1634" spans="1:7" x14ac:dyDescent="0.2">
      <c r="A1634" s="49"/>
      <c r="B1634" s="49"/>
    </row>
    <row r="1635" spans="1:7" x14ac:dyDescent="0.2">
      <c r="A1635" s="49"/>
      <c r="B1635" s="49"/>
    </row>
    <row r="1636" spans="1:7" x14ac:dyDescent="0.2">
      <c r="A1636" s="49"/>
      <c r="B1636" s="49"/>
    </row>
    <row r="1637" spans="1:7" x14ac:dyDescent="0.2">
      <c r="A1637" s="49"/>
      <c r="B1637" s="49"/>
    </row>
    <row r="1638" spans="1:7" x14ac:dyDescent="0.2">
      <c r="A1638" s="49"/>
      <c r="B1638" s="49"/>
      <c r="C1638" s="49"/>
      <c r="D1638" s="49"/>
      <c r="E1638" s="49"/>
      <c r="F1638" s="49"/>
      <c r="G1638" s="49"/>
    </row>
    <row r="1639" spans="1:7" x14ac:dyDescent="0.2">
      <c r="A1639" s="49"/>
      <c r="B1639" s="49"/>
    </row>
    <row r="1640" spans="1:7" x14ac:dyDescent="0.2">
      <c r="A1640" s="49"/>
      <c r="B1640" s="49"/>
    </row>
    <row r="1641" spans="1:7" x14ac:dyDescent="0.2">
      <c r="A1641" s="49"/>
      <c r="B1641" s="49"/>
    </row>
    <row r="1642" spans="1:7" x14ac:dyDescent="0.2">
      <c r="A1642" s="49"/>
      <c r="B1642" s="49"/>
    </row>
    <row r="1643" spans="1:7" x14ac:dyDescent="0.2">
      <c r="A1643" s="49"/>
      <c r="B1643" s="49"/>
    </row>
    <row r="1644" spans="1:7" x14ac:dyDescent="0.2">
      <c r="A1644" s="49"/>
      <c r="B1644" s="49"/>
    </row>
    <row r="1645" spans="1:7" x14ac:dyDescent="0.2">
      <c r="A1645" s="49"/>
      <c r="B1645" s="49"/>
    </row>
    <row r="1646" spans="1:7" x14ac:dyDescent="0.2">
      <c r="A1646" s="49"/>
      <c r="B1646" s="49"/>
    </row>
    <row r="1647" spans="1:7" x14ac:dyDescent="0.2">
      <c r="A1647" s="49"/>
      <c r="B1647" s="49"/>
    </row>
    <row r="1648" spans="1:7" x14ac:dyDescent="0.2">
      <c r="A1648" s="49"/>
      <c r="B1648" s="49"/>
    </row>
    <row r="1649" spans="1:2" x14ac:dyDescent="0.2">
      <c r="A1649" s="49"/>
      <c r="B1649" s="49"/>
    </row>
    <row r="1650" spans="1:2" x14ac:dyDescent="0.2">
      <c r="A1650" s="49"/>
      <c r="B1650" s="49"/>
    </row>
    <row r="1651" spans="1:2" x14ac:dyDescent="0.2">
      <c r="A1651" s="49"/>
      <c r="B1651" s="49"/>
    </row>
    <row r="1652" spans="1:2" x14ac:dyDescent="0.2">
      <c r="A1652" s="49"/>
      <c r="B1652" s="49"/>
    </row>
    <row r="1653" spans="1:2" x14ac:dyDescent="0.2">
      <c r="A1653" s="49"/>
      <c r="B1653" s="49"/>
    </row>
    <row r="1654" spans="1:2" x14ac:dyDescent="0.2">
      <c r="A1654" s="49"/>
      <c r="B1654" s="49"/>
    </row>
    <row r="1655" spans="1:2" x14ac:dyDescent="0.2">
      <c r="A1655" s="49"/>
      <c r="B1655" s="49"/>
    </row>
    <row r="1656" spans="1:2" x14ac:dyDescent="0.2">
      <c r="A1656" s="49"/>
      <c r="B1656" s="49"/>
    </row>
    <row r="1657" spans="1:2" x14ac:dyDescent="0.2">
      <c r="A1657" s="49"/>
      <c r="B1657" s="49"/>
    </row>
    <row r="1658" spans="1:2" x14ac:dyDescent="0.2">
      <c r="A1658" s="49"/>
      <c r="B1658" s="49"/>
    </row>
    <row r="1659" spans="1:2" x14ac:dyDescent="0.2">
      <c r="A1659" s="49"/>
      <c r="B1659" s="49"/>
    </row>
    <row r="1660" spans="1:2" x14ac:dyDescent="0.2">
      <c r="A1660" s="49"/>
      <c r="B1660" s="49"/>
    </row>
    <row r="1661" spans="1:2" x14ac:dyDescent="0.2">
      <c r="A1661" s="49"/>
      <c r="B1661" s="49"/>
    </row>
    <row r="1662" spans="1:2" x14ac:dyDescent="0.2">
      <c r="A1662" s="49"/>
      <c r="B1662" s="49"/>
    </row>
    <row r="1663" spans="1:2" x14ac:dyDescent="0.2">
      <c r="A1663" s="49"/>
      <c r="B1663" s="49"/>
    </row>
    <row r="1664" spans="1:2" x14ac:dyDescent="0.2">
      <c r="A1664" s="49"/>
      <c r="B1664" s="49"/>
    </row>
    <row r="1665" spans="1:2" x14ac:dyDescent="0.2">
      <c r="A1665" s="49"/>
      <c r="B1665" s="49"/>
    </row>
    <row r="1666" spans="1:2" x14ac:dyDescent="0.2">
      <c r="A1666" s="49"/>
      <c r="B1666" s="49"/>
    </row>
    <row r="1667" spans="1:2" x14ac:dyDescent="0.2">
      <c r="A1667" s="49"/>
      <c r="B1667" s="49"/>
    </row>
    <row r="1668" spans="1:2" x14ac:dyDescent="0.2">
      <c r="A1668" s="49"/>
      <c r="B1668" s="49"/>
    </row>
    <row r="1669" spans="1:2" x14ac:dyDescent="0.2">
      <c r="A1669" s="49"/>
      <c r="B1669" s="49"/>
    </row>
    <row r="1670" spans="1:2" x14ac:dyDescent="0.2">
      <c r="A1670" s="49"/>
      <c r="B1670" s="49"/>
    </row>
    <row r="1671" spans="1:2" x14ac:dyDescent="0.2">
      <c r="A1671" s="49"/>
      <c r="B1671" s="49"/>
    </row>
    <row r="1672" spans="1:2" x14ac:dyDescent="0.2">
      <c r="A1672" s="49"/>
      <c r="B1672" s="49"/>
    </row>
    <row r="1673" spans="1:2" x14ac:dyDescent="0.2">
      <c r="A1673" s="49"/>
      <c r="B1673" s="49"/>
    </row>
    <row r="1674" spans="1:2" x14ac:dyDescent="0.2">
      <c r="A1674" s="49"/>
      <c r="B1674" s="49"/>
    </row>
    <row r="1675" spans="1:2" x14ac:dyDescent="0.2">
      <c r="A1675" s="49"/>
      <c r="B1675" s="49"/>
    </row>
    <row r="1676" spans="1:2" x14ac:dyDescent="0.2">
      <c r="A1676" s="49"/>
      <c r="B1676" s="49"/>
    </row>
    <row r="1677" spans="1:2" x14ac:dyDescent="0.2">
      <c r="A1677" s="49"/>
      <c r="B1677" s="49"/>
    </row>
    <row r="1678" spans="1:2" x14ac:dyDescent="0.2">
      <c r="A1678" s="49"/>
      <c r="B1678" s="49"/>
    </row>
    <row r="1679" spans="1:2" x14ac:dyDescent="0.2">
      <c r="A1679" s="49"/>
      <c r="B1679" s="49"/>
    </row>
    <row r="1680" spans="1:2" x14ac:dyDescent="0.2">
      <c r="A1680" s="49"/>
      <c r="B1680" s="49"/>
    </row>
    <row r="1681" spans="1:7" x14ac:dyDescent="0.2">
      <c r="A1681" s="49"/>
      <c r="B1681" s="49"/>
    </row>
    <row r="1682" spans="1:7" x14ac:dyDescent="0.2">
      <c r="A1682" s="49"/>
      <c r="B1682" s="49"/>
    </row>
    <row r="1683" spans="1:7" x14ac:dyDescent="0.2">
      <c r="A1683" s="49"/>
      <c r="B1683" s="49"/>
    </row>
    <row r="1684" spans="1:7" x14ac:dyDescent="0.2">
      <c r="A1684" s="49"/>
      <c r="B1684" s="49"/>
    </row>
    <row r="1685" spans="1:7" x14ac:dyDescent="0.2">
      <c r="A1685" s="49"/>
      <c r="B1685" s="49"/>
    </row>
    <row r="1686" spans="1:7" x14ac:dyDescent="0.2">
      <c r="A1686" s="49"/>
      <c r="B1686" s="49"/>
    </row>
    <row r="1687" spans="1:7" x14ac:dyDescent="0.2">
      <c r="A1687" s="49"/>
      <c r="B1687" s="49"/>
    </row>
    <row r="1688" spans="1:7" x14ac:dyDescent="0.2">
      <c r="A1688" s="49"/>
      <c r="B1688" s="49"/>
    </row>
    <row r="1689" spans="1:7" x14ac:dyDescent="0.2">
      <c r="A1689" s="49"/>
      <c r="B1689" s="49"/>
    </row>
    <row r="1690" spans="1:7" x14ac:dyDescent="0.2">
      <c r="A1690" s="49"/>
      <c r="B1690" s="49"/>
    </row>
    <row r="1691" spans="1:7" x14ac:dyDescent="0.2">
      <c r="A1691" s="49"/>
      <c r="B1691" s="49"/>
    </row>
    <row r="1692" spans="1:7" x14ac:dyDescent="0.2">
      <c r="A1692" s="49"/>
      <c r="B1692" s="49"/>
    </row>
    <row r="1693" spans="1:7" x14ac:dyDescent="0.2">
      <c r="A1693" s="49"/>
      <c r="B1693" s="49"/>
    </row>
    <row r="1694" spans="1:7" x14ac:dyDescent="0.2">
      <c r="A1694" s="49"/>
      <c r="B1694" s="49"/>
    </row>
    <row r="1695" spans="1:7" x14ac:dyDescent="0.2">
      <c r="A1695" s="49"/>
      <c r="B1695" s="49"/>
    </row>
    <row r="1696" spans="1:7" x14ac:dyDescent="0.2">
      <c r="A1696" s="49"/>
      <c r="B1696" s="49"/>
      <c r="C1696" s="49"/>
      <c r="D1696" s="49"/>
      <c r="E1696" s="49"/>
      <c r="F1696" s="49"/>
      <c r="G1696" s="49"/>
    </row>
    <row r="1697" spans="1:2" x14ac:dyDescent="0.2">
      <c r="A1697" s="49"/>
      <c r="B1697" s="49"/>
    </row>
    <row r="1698" spans="1:2" x14ac:dyDescent="0.2">
      <c r="A1698" s="49"/>
      <c r="B1698" s="49"/>
    </row>
    <row r="1699" spans="1:2" x14ac:dyDescent="0.2">
      <c r="A1699" s="49"/>
      <c r="B1699" s="49"/>
    </row>
    <row r="1700" spans="1:2" x14ac:dyDescent="0.2">
      <c r="A1700" s="49"/>
      <c r="B1700" s="49"/>
    </row>
    <row r="1701" spans="1:2" x14ac:dyDescent="0.2">
      <c r="A1701" s="49"/>
      <c r="B1701" s="49"/>
    </row>
    <row r="1702" spans="1:2" x14ac:dyDescent="0.2">
      <c r="A1702" s="49"/>
      <c r="B1702" s="49"/>
    </row>
    <row r="1703" spans="1:2" x14ac:dyDescent="0.2">
      <c r="A1703" s="49"/>
      <c r="B1703" s="49"/>
    </row>
    <row r="1704" spans="1:2" x14ac:dyDescent="0.2">
      <c r="A1704" s="49"/>
      <c r="B1704" s="49"/>
    </row>
    <row r="1705" spans="1:2" x14ac:dyDescent="0.2">
      <c r="A1705" s="49"/>
      <c r="B1705" s="49"/>
    </row>
    <row r="1706" spans="1:2" x14ac:dyDescent="0.2">
      <c r="A1706" s="49"/>
      <c r="B1706" s="49"/>
    </row>
    <row r="1707" spans="1:2" x14ac:dyDescent="0.2">
      <c r="A1707" s="49"/>
      <c r="B1707" s="49"/>
    </row>
    <row r="1708" spans="1:2" x14ac:dyDescent="0.2">
      <c r="A1708" s="49"/>
      <c r="B1708" s="49"/>
    </row>
    <row r="1709" spans="1:2" x14ac:dyDescent="0.2">
      <c r="A1709" s="49"/>
      <c r="B1709" s="49"/>
    </row>
    <row r="1710" spans="1:2" x14ac:dyDescent="0.2">
      <c r="A1710" s="49"/>
      <c r="B1710" s="49"/>
    </row>
    <row r="1711" spans="1:2" x14ac:dyDescent="0.2">
      <c r="A1711" s="49"/>
      <c r="B1711" s="49"/>
    </row>
    <row r="1712" spans="1:2" x14ac:dyDescent="0.2">
      <c r="A1712" s="49"/>
      <c r="B1712" s="49"/>
    </row>
    <row r="1713" spans="1:2" x14ac:dyDescent="0.2">
      <c r="A1713" s="49"/>
      <c r="B1713" s="49"/>
    </row>
    <row r="1714" spans="1:2" x14ac:dyDescent="0.2">
      <c r="A1714" s="49"/>
      <c r="B1714" s="49"/>
    </row>
    <row r="1715" spans="1:2" x14ac:dyDescent="0.2">
      <c r="A1715" s="49"/>
      <c r="B1715" s="49"/>
    </row>
    <row r="1716" spans="1:2" x14ac:dyDescent="0.2">
      <c r="A1716" s="49"/>
      <c r="B1716" s="49"/>
    </row>
    <row r="1717" spans="1:2" x14ac:dyDescent="0.2">
      <c r="A1717" s="49"/>
      <c r="B1717" s="49"/>
    </row>
    <row r="1718" spans="1:2" x14ac:dyDescent="0.2">
      <c r="A1718" s="49"/>
      <c r="B1718" s="49"/>
    </row>
    <row r="1719" spans="1:2" x14ac:dyDescent="0.2">
      <c r="A1719" s="49"/>
      <c r="B1719" s="49"/>
    </row>
    <row r="1720" spans="1:2" x14ac:dyDescent="0.2">
      <c r="A1720" s="49"/>
      <c r="B1720" s="49"/>
    </row>
    <row r="1721" spans="1:2" x14ac:dyDescent="0.2">
      <c r="A1721" s="49"/>
      <c r="B1721" s="49"/>
    </row>
    <row r="1722" spans="1:2" x14ac:dyDescent="0.2">
      <c r="A1722" s="49"/>
      <c r="B1722" s="49"/>
    </row>
    <row r="1723" spans="1:2" x14ac:dyDescent="0.2">
      <c r="A1723" s="49"/>
      <c r="B1723" s="49"/>
    </row>
    <row r="1724" spans="1:2" x14ac:dyDescent="0.2">
      <c r="A1724" s="49"/>
      <c r="B1724" s="49"/>
    </row>
    <row r="1725" spans="1:2" x14ac:dyDescent="0.2">
      <c r="A1725" s="49"/>
      <c r="B1725" s="49"/>
    </row>
    <row r="1726" spans="1:2" x14ac:dyDescent="0.2">
      <c r="A1726" s="49"/>
      <c r="B1726" s="49"/>
    </row>
    <row r="1727" spans="1:2" x14ac:dyDescent="0.2">
      <c r="A1727" s="49"/>
      <c r="B1727" s="49"/>
    </row>
    <row r="1728" spans="1:2" x14ac:dyDescent="0.2">
      <c r="A1728" s="49"/>
      <c r="B1728" s="49"/>
    </row>
    <row r="1729" spans="1:2" x14ac:dyDescent="0.2">
      <c r="A1729" s="49"/>
      <c r="B1729" s="49"/>
    </row>
    <row r="1730" spans="1:2" x14ac:dyDescent="0.2">
      <c r="A1730" s="49"/>
      <c r="B1730" s="49"/>
    </row>
    <row r="1731" spans="1:2" x14ac:dyDescent="0.2">
      <c r="A1731" s="49"/>
      <c r="B1731" s="49"/>
    </row>
    <row r="1732" spans="1:2" x14ac:dyDescent="0.2">
      <c r="A1732" s="49"/>
      <c r="B1732" s="49"/>
    </row>
    <row r="1733" spans="1:2" x14ac:dyDescent="0.2">
      <c r="A1733" s="49"/>
      <c r="B1733" s="49"/>
    </row>
    <row r="1734" spans="1:2" x14ac:dyDescent="0.2">
      <c r="A1734" s="49"/>
      <c r="B1734" s="49"/>
    </row>
    <row r="1735" spans="1:2" x14ac:dyDescent="0.2">
      <c r="A1735" s="49"/>
      <c r="B1735" s="49"/>
    </row>
    <row r="1736" spans="1:2" x14ac:dyDescent="0.2">
      <c r="A1736" s="49"/>
      <c r="B1736" s="49"/>
    </row>
    <row r="1737" spans="1:2" x14ac:dyDescent="0.2">
      <c r="A1737" s="49"/>
      <c r="B1737" s="49"/>
    </row>
    <row r="1738" spans="1:2" x14ac:dyDescent="0.2">
      <c r="A1738" s="49"/>
      <c r="B1738" s="49"/>
    </row>
    <row r="1739" spans="1:2" x14ac:dyDescent="0.2">
      <c r="A1739" s="49"/>
      <c r="B1739" s="49"/>
    </row>
    <row r="1740" spans="1:2" x14ac:dyDescent="0.2">
      <c r="A1740" s="49"/>
      <c r="B1740" s="49"/>
    </row>
    <row r="1741" spans="1:2" x14ac:dyDescent="0.2">
      <c r="A1741" s="49"/>
      <c r="B1741" s="49"/>
    </row>
    <row r="1742" spans="1:2" x14ac:dyDescent="0.2">
      <c r="A1742" s="49"/>
      <c r="B1742" s="49"/>
    </row>
    <row r="1743" spans="1:2" x14ac:dyDescent="0.2">
      <c r="A1743" s="49"/>
      <c r="B1743" s="49"/>
    </row>
    <row r="1744" spans="1:2" x14ac:dyDescent="0.2">
      <c r="A1744" s="49"/>
      <c r="B1744" s="49"/>
    </row>
    <row r="1745" spans="1:2" x14ac:dyDescent="0.2">
      <c r="A1745" s="49"/>
      <c r="B1745" s="49"/>
    </row>
    <row r="1746" spans="1:2" x14ac:dyDescent="0.2">
      <c r="A1746" s="49"/>
      <c r="B1746" s="49"/>
    </row>
    <row r="1747" spans="1:2" x14ac:dyDescent="0.2">
      <c r="A1747" s="49"/>
      <c r="B1747" s="49"/>
    </row>
    <row r="1748" spans="1:2" x14ac:dyDescent="0.2">
      <c r="A1748" s="49"/>
      <c r="B1748" s="49"/>
    </row>
    <row r="1749" spans="1:2" x14ac:dyDescent="0.2">
      <c r="A1749" s="49"/>
      <c r="B1749" s="49"/>
    </row>
    <row r="1750" spans="1:2" x14ac:dyDescent="0.2">
      <c r="A1750" s="49"/>
      <c r="B1750" s="49"/>
    </row>
    <row r="1751" spans="1:2" x14ac:dyDescent="0.2">
      <c r="A1751" s="49"/>
      <c r="B1751" s="49"/>
    </row>
    <row r="1752" spans="1:2" x14ac:dyDescent="0.2">
      <c r="A1752" s="49"/>
      <c r="B1752" s="49"/>
    </row>
    <row r="1753" spans="1:2" x14ac:dyDescent="0.2">
      <c r="A1753" s="49"/>
      <c r="B1753" s="49"/>
    </row>
    <row r="1754" spans="1:2" x14ac:dyDescent="0.2">
      <c r="A1754" s="49"/>
      <c r="B1754" s="49"/>
    </row>
    <row r="1755" spans="1:2" x14ac:dyDescent="0.2">
      <c r="A1755" s="49"/>
      <c r="B1755" s="49"/>
    </row>
    <row r="1756" spans="1:2" x14ac:dyDescent="0.2">
      <c r="A1756" s="49"/>
      <c r="B1756" s="49"/>
    </row>
    <row r="1757" spans="1:2" x14ac:dyDescent="0.2">
      <c r="A1757" s="49"/>
      <c r="B1757" s="49"/>
    </row>
    <row r="1758" spans="1:2" x14ac:dyDescent="0.2">
      <c r="A1758" s="49"/>
      <c r="B1758" s="49"/>
    </row>
    <row r="1759" spans="1:2" x14ac:dyDescent="0.2">
      <c r="A1759" s="49"/>
      <c r="B1759" s="49"/>
    </row>
    <row r="1760" spans="1:2" x14ac:dyDescent="0.2">
      <c r="A1760" s="49"/>
      <c r="B1760" s="49"/>
    </row>
    <row r="1761" spans="1:2" x14ac:dyDescent="0.2">
      <c r="A1761" s="49"/>
      <c r="B1761" s="49"/>
    </row>
    <row r="1762" spans="1:2" x14ac:dyDescent="0.2">
      <c r="A1762" s="49"/>
      <c r="B1762" s="49"/>
    </row>
    <row r="1763" spans="1:2" x14ac:dyDescent="0.2">
      <c r="A1763" s="49"/>
      <c r="B1763" s="49"/>
    </row>
    <row r="1764" spans="1:2" x14ac:dyDescent="0.2">
      <c r="A1764" s="49"/>
      <c r="B1764" s="49"/>
    </row>
    <row r="1765" spans="1:2" x14ac:dyDescent="0.2">
      <c r="A1765" s="49"/>
      <c r="B1765" s="49"/>
    </row>
    <row r="1766" spans="1:2" x14ac:dyDescent="0.2">
      <c r="A1766" s="49"/>
      <c r="B1766" s="49"/>
    </row>
    <row r="1767" spans="1:2" x14ac:dyDescent="0.2">
      <c r="A1767" s="49"/>
      <c r="B1767" s="49"/>
    </row>
    <row r="1768" spans="1:2" x14ac:dyDescent="0.2">
      <c r="A1768" s="49"/>
      <c r="B1768" s="49"/>
    </row>
    <row r="1769" spans="1:2" x14ac:dyDescent="0.2">
      <c r="A1769" s="49"/>
      <c r="B1769" s="49"/>
    </row>
    <row r="1770" spans="1:2" x14ac:dyDescent="0.2">
      <c r="A1770" s="49"/>
      <c r="B1770" s="49"/>
    </row>
    <row r="1771" spans="1:2" x14ac:dyDescent="0.2">
      <c r="A1771" s="49"/>
      <c r="B1771" s="49"/>
    </row>
    <row r="1772" spans="1:2" x14ac:dyDescent="0.2">
      <c r="A1772" s="49"/>
      <c r="B1772" s="49"/>
    </row>
    <row r="1773" spans="1:2" x14ac:dyDescent="0.2">
      <c r="A1773" s="49"/>
      <c r="B1773" s="49"/>
    </row>
    <row r="1774" spans="1:2" x14ac:dyDescent="0.2">
      <c r="A1774" s="49"/>
      <c r="B1774" s="49"/>
    </row>
    <row r="1775" spans="1:2" x14ac:dyDescent="0.2">
      <c r="A1775" s="49"/>
      <c r="B1775" s="49"/>
    </row>
    <row r="1776" spans="1:2" x14ac:dyDescent="0.2">
      <c r="A1776" s="49"/>
      <c r="B1776" s="49"/>
    </row>
    <row r="1777" spans="1:2" x14ac:dyDescent="0.2">
      <c r="A1777" s="49"/>
      <c r="B1777" s="49"/>
    </row>
    <row r="1778" spans="1:2" x14ac:dyDescent="0.2">
      <c r="A1778" s="49"/>
      <c r="B1778" s="49"/>
    </row>
    <row r="1779" spans="1:2" x14ac:dyDescent="0.2">
      <c r="A1779" s="49"/>
      <c r="B1779" s="49"/>
    </row>
    <row r="1780" spans="1:2" x14ac:dyDescent="0.2">
      <c r="A1780" s="49"/>
      <c r="B1780" s="49"/>
    </row>
    <row r="1781" spans="1:2" x14ac:dyDescent="0.2">
      <c r="A1781" s="49"/>
      <c r="B1781" s="49"/>
    </row>
    <row r="1782" spans="1:2" x14ac:dyDescent="0.2">
      <c r="A1782" s="49"/>
      <c r="B1782" s="49"/>
    </row>
    <row r="1783" spans="1:2" x14ac:dyDescent="0.2">
      <c r="A1783" s="49"/>
      <c r="B1783" s="49"/>
    </row>
    <row r="1784" spans="1:2" x14ac:dyDescent="0.2">
      <c r="A1784" s="49"/>
      <c r="B1784" s="49"/>
    </row>
    <row r="1785" spans="1:2" x14ac:dyDescent="0.2">
      <c r="A1785" s="49"/>
      <c r="B1785" s="49"/>
    </row>
    <row r="1786" spans="1:2" x14ac:dyDescent="0.2">
      <c r="A1786" s="49"/>
      <c r="B1786" s="49"/>
    </row>
    <row r="1787" spans="1:2" x14ac:dyDescent="0.2">
      <c r="A1787" s="49"/>
      <c r="B1787" s="49"/>
    </row>
    <row r="1788" spans="1:2" x14ac:dyDescent="0.2">
      <c r="A1788" s="49"/>
      <c r="B1788" s="49"/>
    </row>
    <row r="1789" spans="1:2" x14ac:dyDescent="0.2">
      <c r="A1789" s="49"/>
      <c r="B1789" s="49"/>
    </row>
    <row r="1790" spans="1:2" x14ac:dyDescent="0.2">
      <c r="A1790" s="49"/>
      <c r="B1790" s="49"/>
    </row>
    <row r="1791" spans="1:2" x14ac:dyDescent="0.2">
      <c r="A1791" s="49"/>
      <c r="B1791" s="49"/>
    </row>
    <row r="1792" spans="1:2" x14ac:dyDescent="0.2">
      <c r="A1792" s="49"/>
      <c r="B1792" s="49"/>
    </row>
    <row r="1793" spans="1:7" x14ac:dyDescent="0.2">
      <c r="A1793" s="49"/>
      <c r="B1793" s="49"/>
    </row>
    <row r="1794" spans="1:7" x14ac:dyDescent="0.2">
      <c r="A1794" s="49"/>
      <c r="B1794" s="49"/>
    </row>
    <row r="1795" spans="1:7" x14ac:dyDescent="0.2">
      <c r="A1795" s="49"/>
      <c r="B1795" s="49"/>
    </row>
    <row r="1796" spans="1:7" x14ac:dyDescent="0.2">
      <c r="A1796" s="49"/>
      <c r="B1796" s="49"/>
    </row>
    <row r="1797" spans="1:7" x14ac:dyDescent="0.2">
      <c r="A1797" s="49"/>
      <c r="B1797" s="49"/>
    </row>
    <row r="1798" spans="1:7" x14ac:dyDescent="0.2">
      <c r="A1798" s="49"/>
      <c r="B1798" s="49"/>
    </row>
    <row r="1799" spans="1:7" x14ac:dyDescent="0.2">
      <c r="A1799" s="49"/>
      <c r="B1799" s="49"/>
    </row>
    <row r="1800" spans="1:7" x14ac:dyDescent="0.2">
      <c r="A1800" s="49"/>
      <c r="B1800" s="49"/>
      <c r="C1800" s="49"/>
      <c r="D1800" s="49"/>
      <c r="E1800" s="49"/>
      <c r="F1800" s="49"/>
      <c r="G1800" s="49"/>
    </row>
    <row r="1801" spans="1:7" x14ac:dyDescent="0.2">
      <c r="A1801" s="49"/>
      <c r="B1801" s="49"/>
    </row>
    <row r="1802" spans="1:7" x14ac:dyDescent="0.2">
      <c r="A1802" s="49"/>
      <c r="B1802" s="49"/>
    </row>
    <row r="1803" spans="1:7" x14ac:dyDescent="0.2">
      <c r="A1803" s="49"/>
      <c r="B1803" s="49"/>
    </row>
    <row r="1804" spans="1:7" x14ac:dyDescent="0.2">
      <c r="A1804" s="49"/>
      <c r="B1804" s="49"/>
    </row>
    <row r="1805" spans="1:7" x14ac:dyDescent="0.2">
      <c r="A1805" s="49"/>
      <c r="B1805" s="49"/>
    </row>
    <row r="1806" spans="1:7" x14ac:dyDescent="0.2">
      <c r="A1806" s="49"/>
      <c r="B1806" s="49"/>
    </row>
    <row r="1807" spans="1:7" x14ac:dyDescent="0.2">
      <c r="A1807" s="49"/>
      <c r="B1807" s="49"/>
    </row>
    <row r="1808" spans="1:7" x14ac:dyDescent="0.2">
      <c r="A1808" s="49"/>
      <c r="B1808" s="49"/>
      <c r="C1808" s="49"/>
      <c r="D1808" s="49"/>
      <c r="E1808" s="49"/>
      <c r="F1808" s="49"/>
      <c r="G1808" s="49"/>
    </row>
    <row r="1809" spans="1:7" x14ac:dyDescent="0.2">
      <c r="A1809" s="49"/>
      <c r="B1809" s="49"/>
      <c r="C1809" s="49"/>
      <c r="D1809" s="49"/>
      <c r="E1809" s="49"/>
      <c r="F1809" s="49"/>
      <c r="G1809" s="49"/>
    </row>
    <row r="1810" spans="1:7" x14ac:dyDescent="0.2">
      <c r="A1810" s="49"/>
      <c r="B1810" s="49"/>
    </row>
    <row r="1811" spans="1:7" x14ac:dyDescent="0.2">
      <c r="A1811" s="49"/>
      <c r="B1811" s="49"/>
    </row>
    <row r="1812" spans="1:7" x14ac:dyDescent="0.2">
      <c r="A1812" s="49"/>
      <c r="B1812" s="49"/>
    </row>
    <row r="1813" spans="1:7" x14ac:dyDescent="0.2">
      <c r="A1813" s="49"/>
      <c r="B1813" s="49"/>
    </row>
    <row r="1814" spans="1:7" x14ac:dyDescent="0.2">
      <c r="A1814" s="49"/>
      <c r="B1814" s="49"/>
    </row>
    <row r="1815" spans="1:7" x14ac:dyDescent="0.2">
      <c r="A1815" s="49"/>
      <c r="B1815" s="49"/>
    </row>
    <row r="1816" spans="1:7" x14ac:dyDescent="0.2">
      <c r="A1816" s="49"/>
      <c r="B1816" s="49"/>
    </row>
    <row r="1817" spans="1:7" x14ac:dyDescent="0.2">
      <c r="A1817" s="49"/>
      <c r="B1817" s="49"/>
    </row>
    <row r="1818" spans="1:7" x14ac:dyDescent="0.2">
      <c r="A1818" s="49"/>
      <c r="B1818" s="49"/>
    </row>
    <row r="1819" spans="1:7" x14ac:dyDescent="0.2">
      <c r="A1819" s="49"/>
      <c r="B1819" s="49"/>
    </row>
    <row r="1820" spans="1:7" x14ac:dyDescent="0.2">
      <c r="A1820" s="49"/>
      <c r="B1820" s="49"/>
    </row>
    <row r="1821" spans="1:7" x14ac:dyDescent="0.2">
      <c r="A1821" s="49"/>
      <c r="B1821" s="49"/>
    </row>
    <row r="1822" spans="1:7" x14ac:dyDescent="0.2">
      <c r="A1822" s="49"/>
      <c r="B1822" s="49"/>
    </row>
    <row r="1823" spans="1:7" x14ac:dyDescent="0.2">
      <c r="A1823" s="49"/>
      <c r="B1823" s="49"/>
    </row>
    <row r="1824" spans="1:7" x14ac:dyDescent="0.2">
      <c r="A1824" s="49"/>
      <c r="B1824" s="49"/>
    </row>
    <row r="1825" spans="1:2" x14ac:dyDescent="0.2">
      <c r="A1825" s="49"/>
      <c r="B1825" s="49"/>
    </row>
    <row r="1826" spans="1:2" x14ac:dyDescent="0.2">
      <c r="A1826" s="49"/>
      <c r="B1826" s="49"/>
    </row>
    <row r="1827" spans="1:2" x14ac:dyDescent="0.2">
      <c r="A1827" s="49"/>
      <c r="B1827" s="49"/>
    </row>
    <row r="1828" spans="1:2" x14ac:dyDescent="0.2">
      <c r="A1828" s="49"/>
      <c r="B1828" s="49"/>
    </row>
    <row r="1829" spans="1:2" x14ac:dyDescent="0.2">
      <c r="A1829" s="49"/>
      <c r="B1829" s="49"/>
    </row>
    <row r="1830" spans="1:2" x14ac:dyDescent="0.2">
      <c r="A1830" s="49"/>
      <c r="B1830" s="49"/>
    </row>
    <row r="1831" spans="1:2" x14ac:dyDescent="0.2">
      <c r="A1831" s="49"/>
      <c r="B1831" s="49"/>
    </row>
    <row r="1832" spans="1:2" x14ac:dyDescent="0.2">
      <c r="A1832" s="49"/>
      <c r="B1832" s="49"/>
    </row>
    <row r="1833" spans="1:2" x14ac:dyDescent="0.2">
      <c r="A1833" s="49"/>
      <c r="B1833" s="49"/>
    </row>
    <row r="1834" spans="1:2" x14ac:dyDescent="0.2">
      <c r="A1834" s="49"/>
      <c r="B1834" s="49"/>
    </row>
    <row r="1835" spans="1:2" x14ac:dyDescent="0.2">
      <c r="A1835" s="49"/>
      <c r="B1835" s="49"/>
    </row>
    <row r="1836" spans="1:2" x14ac:dyDescent="0.2">
      <c r="A1836" s="49"/>
      <c r="B1836" s="49"/>
    </row>
    <row r="1837" spans="1:2" x14ac:dyDescent="0.2">
      <c r="A1837" s="49"/>
      <c r="B1837" s="49"/>
    </row>
    <row r="1838" spans="1:2" x14ac:dyDescent="0.2">
      <c r="A1838" s="49"/>
      <c r="B1838" s="49"/>
    </row>
    <row r="1839" spans="1:2" x14ac:dyDescent="0.2">
      <c r="A1839" s="49"/>
      <c r="B1839" s="49"/>
    </row>
    <row r="1840" spans="1:2" x14ac:dyDescent="0.2">
      <c r="A1840" s="49"/>
      <c r="B1840" s="49"/>
    </row>
    <row r="1841" spans="1:2" x14ac:dyDescent="0.2">
      <c r="A1841" s="49"/>
      <c r="B1841" s="49"/>
    </row>
    <row r="1842" spans="1:2" x14ac:dyDescent="0.2">
      <c r="A1842" s="49"/>
      <c r="B1842" s="49"/>
    </row>
    <row r="1843" spans="1:2" x14ac:dyDescent="0.2">
      <c r="A1843" s="49"/>
      <c r="B1843" s="49"/>
    </row>
    <row r="1844" spans="1:2" x14ac:dyDescent="0.2">
      <c r="A1844" s="49"/>
      <c r="B1844" s="49"/>
    </row>
    <row r="1845" spans="1:2" x14ac:dyDescent="0.2">
      <c r="A1845" s="49"/>
      <c r="B1845" s="49"/>
    </row>
    <row r="1846" spans="1:2" x14ac:dyDescent="0.2">
      <c r="A1846" s="49"/>
      <c r="B1846" s="49"/>
    </row>
    <row r="1847" spans="1:2" x14ac:dyDescent="0.2">
      <c r="A1847" s="49"/>
      <c r="B1847" s="49"/>
    </row>
    <row r="1848" spans="1:2" x14ac:dyDescent="0.2">
      <c r="A1848" s="49"/>
      <c r="B1848" s="49"/>
    </row>
    <row r="1849" spans="1:2" x14ac:dyDescent="0.2">
      <c r="A1849" s="49"/>
      <c r="B1849" s="49"/>
    </row>
    <row r="1850" spans="1:2" x14ac:dyDescent="0.2">
      <c r="A1850" s="49"/>
      <c r="B1850" s="49"/>
    </row>
    <row r="1851" spans="1:2" x14ac:dyDescent="0.2">
      <c r="A1851" s="49"/>
      <c r="B1851" s="49"/>
    </row>
    <row r="1852" spans="1:2" x14ac:dyDescent="0.2">
      <c r="A1852" s="49"/>
      <c r="B1852" s="49"/>
    </row>
    <row r="1853" spans="1:2" x14ac:dyDescent="0.2">
      <c r="A1853" s="49"/>
      <c r="B1853" s="49"/>
    </row>
    <row r="1854" spans="1:2" x14ac:dyDescent="0.2">
      <c r="A1854" s="49"/>
      <c r="B1854" s="49"/>
    </row>
    <row r="1855" spans="1:2" x14ac:dyDescent="0.2">
      <c r="A1855" s="49"/>
      <c r="B1855" s="49"/>
    </row>
    <row r="1856" spans="1:2" x14ac:dyDescent="0.2">
      <c r="A1856" s="49"/>
      <c r="B1856" s="49"/>
    </row>
    <row r="1857" spans="1:2" x14ac:dyDescent="0.2">
      <c r="A1857" s="49"/>
      <c r="B1857" s="49"/>
    </row>
    <row r="1858" spans="1:2" x14ac:dyDescent="0.2">
      <c r="A1858" s="49"/>
      <c r="B1858" s="49"/>
    </row>
    <row r="1859" spans="1:2" x14ac:dyDescent="0.2">
      <c r="A1859" s="49"/>
      <c r="B1859" s="49"/>
    </row>
    <row r="1860" spans="1:2" x14ac:dyDescent="0.2">
      <c r="A1860" s="49"/>
      <c r="B1860" s="49"/>
    </row>
    <row r="1861" spans="1:2" x14ac:dyDescent="0.2">
      <c r="A1861" s="49"/>
      <c r="B1861" s="49"/>
    </row>
    <row r="1862" spans="1:2" x14ac:dyDescent="0.2">
      <c r="A1862" s="49"/>
      <c r="B1862" s="49"/>
    </row>
    <row r="1863" spans="1:2" x14ac:dyDescent="0.2">
      <c r="A1863" s="49"/>
      <c r="B1863" s="49"/>
    </row>
    <row r="1864" spans="1:2" x14ac:dyDescent="0.2">
      <c r="A1864" s="49"/>
      <c r="B1864" s="49"/>
    </row>
    <row r="1865" spans="1:2" x14ac:dyDescent="0.2">
      <c r="A1865" s="49"/>
      <c r="B1865" s="49"/>
    </row>
    <row r="1866" spans="1:2" x14ac:dyDescent="0.2">
      <c r="A1866" s="49"/>
      <c r="B1866" s="49"/>
    </row>
    <row r="1867" spans="1:2" x14ac:dyDescent="0.2">
      <c r="A1867" s="49"/>
      <c r="B1867" s="49"/>
    </row>
    <row r="1868" spans="1:2" x14ac:dyDescent="0.2">
      <c r="A1868" s="49"/>
      <c r="B1868" s="49"/>
    </row>
    <row r="1869" spans="1:2" x14ac:dyDescent="0.2">
      <c r="A1869" s="49"/>
      <c r="B1869" s="49"/>
    </row>
    <row r="1870" spans="1:2" x14ac:dyDescent="0.2">
      <c r="A1870" s="49"/>
      <c r="B1870" s="49"/>
    </row>
    <row r="1871" spans="1:2" x14ac:dyDescent="0.2">
      <c r="A1871" s="49"/>
      <c r="B1871" s="49"/>
    </row>
    <row r="1872" spans="1:2" x14ac:dyDescent="0.2">
      <c r="A1872" s="49"/>
      <c r="B1872" s="49"/>
    </row>
    <row r="1873" spans="1:2" x14ac:dyDescent="0.2">
      <c r="A1873" s="49"/>
      <c r="B1873" s="49"/>
    </row>
    <row r="1874" spans="1:2" x14ac:dyDescent="0.2">
      <c r="A1874" s="49"/>
      <c r="B1874" s="49"/>
    </row>
    <row r="1875" spans="1:2" x14ac:dyDescent="0.2">
      <c r="A1875" s="49"/>
      <c r="B1875" s="49"/>
    </row>
    <row r="1876" spans="1:2" x14ac:dyDescent="0.2">
      <c r="A1876" s="49"/>
      <c r="B1876" s="49"/>
    </row>
    <row r="1877" spans="1:2" x14ac:dyDescent="0.2">
      <c r="A1877" s="49"/>
      <c r="B1877" s="49"/>
    </row>
    <row r="1878" spans="1:2" x14ac:dyDescent="0.2">
      <c r="A1878" s="49"/>
      <c r="B1878" s="49"/>
    </row>
    <row r="1879" spans="1:2" x14ac:dyDescent="0.2">
      <c r="A1879" s="49"/>
      <c r="B1879" s="49"/>
    </row>
    <row r="1880" spans="1:2" x14ac:dyDescent="0.2">
      <c r="A1880" s="49"/>
      <c r="B1880" s="49"/>
    </row>
    <row r="1881" spans="1:2" x14ac:dyDescent="0.2">
      <c r="A1881" s="49"/>
      <c r="B1881" s="49"/>
    </row>
    <row r="1882" spans="1:2" x14ac:dyDescent="0.2">
      <c r="A1882" s="49"/>
      <c r="B1882" s="49"/>
    </row>
    <row r="1883" spans="1:2" x14ac:dyDescent="0.2">
      <c r="A1883" s="49"/>
      <c r="B1883" s="49"/>
    </row>
    <row r="1884" spans="1:2" x14ac:dyDescent="0.2">
      <c r="A1884" s="49"/>
      <c r="B1884" s="49"/>
    </row>
    <row r="1885" spans="1:2" x14ac:dyDescent="0.2">
      <c r="A1885" s="49"/>
      <c r="B1885" s="49"/>
    </row>
    <row r="1886" spans="1:2" x14ac:dyDescent="0.2">
      <c r="A1886" s="49"/>
      <c r="B1886" s="49"/>
    </row>
    <row r="1887" spans="1:2" x14ac:dyDescent="0.2">
      <c r="A1887" s="49"/>
      <c r="B1887" s="49"/>
    </row>
    <row r="1888" spans="1:2" x14ac:dyDescent="0.2">
      <c r="A1888" s="49"/>
      <c r="B1888" s="49"/>
    </row>
    <row r="1889" spans="1:2" x14ac:dyDescent="0.2">
      <c r="A1889" s="49"/>
      <c r="B1889" s="49"/>
    </row>
    <row r="1890" spans="1:2" x14ac:dyDescent="0.2">
      <c r="A1890" s="49"/>
      <c r="B1890" s="49"/>
    </row>
    <row r="1891" spans="1:2" x14ac:dyDescent="0.2">
      <c r="A1891" s="49"/>
      <c r="B1891" s="49"/>
    </row>
    <row r="1892" spans="1:2" x14ac:dyDescent="0.2">
      <c r="A1892" s="49"/>
      <c r="B1892" s="49"/>
    </row>
    <row r="1893" spans="1:2" x14ac:dyDescent="0.2">
      <c r="A1893" s="49"/>
      <c r="B1893" s="49"/>
    </row>
    <row r="1894" spans="1:2" x14ac:dyDescent="0.2">
      <c r="A1894" s="49"/>
      <c r="B1894" s="49"/>
    </row>
    <row r="1895" spans="1:2" x14ac:dyDescent="0.2">
      <c r="A1895" s="49"/>
      <c r="B1895" s="49"/>
    </row>
    <row r="1896" spans="1:2" x14ac:dyDescent="0.2">
      <c r="A1896" s="49"/>
      <c r="B1896" s="49"/>
    </row>
    <row r="1897" spans="1:2" x14ac:dyDescent="0.2">
      <c r="A1897" s="49"/>
      <c r="B1897" s="49"/>
    </row>
    <row r="1898" spans="1:2" x14ac:dyDescent="0.2">
      <c r="A1898" s="49"/>
      <c r="B1898" s="49"/>
    </row>
    <row r="1899" spans="1:2" x14ac:dyDescent="0.2">
      <c r="A1899" s="49"/>
      <c r="B1899" s="49"/>
    </row>
    <row r="1900" spans="1:2" x14ac:dyDescent="0.2">
      <c r="A1900" s="49"/>
      <c r="B1900" s="49"/>
    </row>
    <row r="1901" spans="1:2" x14ac:dyDescent="0.2">
      <c r="A1901" s="49"/>
      <c r="B1901" s="49"/>
    </row>
    <row r="1902" spans="1:2" x14ac:dyDescent="0.2">
      <c r="A1902" s="49"/>
      <c r="B1902" s="49"/>
    </row>
    <row r="1903" spans="1:2" x14ac:dyDescent="0.2">
      <c r="A1903" s="49"/>
      <c r="B1903" s="49"/>
    </row>
    <row r="1904" spans="1:2" x14ac:dyDescent="0.2">
      <c r="A1904" s="49"/>
      <c r="B1904" s="49"/>
    </row>
    <row r="1905" spans="1:7" x14ac:dyDescent="0.2">
      <c r="A1905" s="49"/>
      <c r="B1905" s="49"/>
    </row>
    <row r="1906" spans="1:7" x14ac:dyDescent="0.2">
      <c r="A1906" s="49"/>
      <c r="B1906" s="49"/>
    </row>
    <row r="1907" spans="1:7" x14ac:dyDescent="0.2">
      <c r="A1907" s="49"/>
      <c r="B1907" s="49"/>
    </row>
    <row r="1908" spans="1:7" x14ac:dyDescent="0.2">
      <c r="A1908" s="49"/>
      <c r="B1908" s="49"/>
    </row>
    <row r="1909" spans="1:7" x14ac:dyDescent="0.2">
      <c r="A1909" s="49"/>
      <c r="B1909" s="49"/>
    </row>
    <row r="1910" spans="1:7" x14ac:dyDescent="0.2">
      <c r="A1910" s="49"/>
      <c r="B1910" s="49"/>
    </row>
    <row r="1911" spans="1:7" x14ac:dyDescent="0.2">
      <c r="A1911" s="49"/>
      <c r="B1911" s="49"/>
    </row>
    <row r="1912" spans="1:7" x14ac:dyDescent="0.2">
      <c r="A1912" s="49"/>
      <c r="B1912" s="49"/>
    </row>
    <row r="1913" spans="1:7" x14ac:dyDescent="0.2">
      <c r="A1913" s="49"/>
      <c r="B1913" s="49"/>
    </row>
    <row r="1914" spans="1:7" x14ac:dyDescent="0.2">
      <c r="A1914" s="49"/>
      <c r="B1914" s="49"/>
      <c r="C1914" s="49"/>
      <c r="D1914" s="49"/>
      <c r="E1914" s="49"/>
      <c r="F1914" s="49"/>
      <c r="G1914" s="49"/>
    </row>
    <row r="1915" spans="1:7" x14ac:dyDescent="0.2">
      <c r="A1915" s="49"/>
      <c r="B1915" s="49"/>
    </row>
    <row r="1916" spans="1:7" x14ac:dyDescent="0.2">
      <c r="A1916" s="49"/>
      <c r="B1916" s="49"/>
    </row>
    <row r="1917" spans="1:7" x14ac:dyDescent="0.2">
      <c r="A1917" s="49"/>
      <c r="B1917" s="49"/>
    </row>
    <row r="1918" spans="1:7" x14ac:dyDescent="0.2">
      <c r="A1918" s="49"/>
      <c r="B1918" s="49"/>
    </row>
    <row r="1919" spans="1:7" x14ac:dyDescent="0.2">
      <c r="A1919" s="49"/>
      <c r="B1919" s="49"/>
    </row>
    <row r="1920" spans="1:7" x14ac:dyDescent="0.2">
      <c r="A1920" s="49"/>
      <c r="B1920" s="49"/>
      <c r="C1920" s="49"/>
      <c r="D1920" s="49"/>
      <c r="E1920" s="49"/>
      <c r="F1920" s="49"/>
      <c r="G1920" s="49"/>
    </row>
    <row r="1921" spans="1:7" x14ac:dyDescent="0.2">
      <c r="A1921" s="49"/>
      <c r="B1921" s="49"/>
    </row>
    <row r="1922" spans="1:7" x14ac:dyDescent="0.2">
      <c r="A1922" s="49"/>
      <c r="B1922" s="49"/>
    </row>
    <row r="1923" spans="1:7" x14ac:dyDescent="0.2">
      <c r="A1923" s="49"/>
      <c r="B1923" s="49"/>
    </row>
    <row r="1924" spans="1:7" x14ac:dyDescent="0.2">
      <c r="A1924" s="49"/>
      <c r="B1924" s="49"/>
    </row>
    <row r="1925" spans="1:7" x14ac:dyDescent="0.2">
      <c r="A1925" s="49"/>
      <c r="B1925" s="49"/>
    </row>
    <row r="1926" spans="1:7" x14ac:dyDescent="0.2">
      <c r="A1926" s="49"/>
      <c r="B1926" s="49"/>
    </row>
    <row r="1927" spans="1:7" x14ac:dyDescent="0.2">
      <c r="A1927" s="49"/>
      <c r="B1927" s="49"/>
    </row>
    <row r="1928" spans="1:7" x14ac:dyDescent="0.2">
      <c r="A1928" s="49"/>
      <c r="B1928" s="49"/>
      <c r="C1928" s="49"/>
      <c r="D1928" s="49"/>
      <c r="E1928" s="49"/>
      <c r="F1928" s="49"/>
      <c r="G1928" s="49"/>
    </row>
    <row r="1929" spans="1:7" x14ac:dyDescent="0.2">
      <c r="A1929" s="49"/>
      <c r="B1929" s="49"/>
    </row>
    <row r="1930" spans="1:7" x14ac:dyDescent="0.2">
      <c r="A1930" s="49"/>
      <c r="B1930" s="49"/>
    </row>
    <row r="1931" spans="1:7" x14ac:dyDescent="0.2">
      <c r="A1931" s="49"/>
      <c r="B1931" s="49"/>
    </row>
    <row r="1932" spans="1:7" x14ac:dyDescent="0.2">
      <c r="A1932" s="49"/>
      <c r="B1932" s="49"/>
    </row>
    <row r="1933" spans="1:7" x14ac:dyDescent="0.2">
      <c r="A1933" s="49"/>
      <c r="B1933" s="49"/>
    </row>
    <row r="1934" spans="1:7" x14ac:dyDescent="0.2">
      <c r="A1934" s="49"/>
      <c r="B1934" s="49"/>
    </row>
    <row r="1935" spans="1:7" x14ac:dyDescent="0.2">
      <c r="A1935" s="49"/>
      <c r="B1935" s="49"/>
    </row>
    <row r="1936" spans="1:7" x14ac:dyDescent="0.2">
      <c r="A1936" s="49"/>
      <c r="B1936" s="49"/>
    </row>
    <row r="1937" spans="1:7" x14ac:dyDescent="0.2">
      <c r="A1937" s="49"/>
      <c r="B1937" s="49"/>
    </row>
    <row r="1938" spans="1:7" x14ac:dyDescent="0.2">
      <c r="A1938" s="49"/>
      <c r="B1938" s="49"/>
    </row>
    <row r="1939" spans="1:7" x14ac:dyDescent="0.2">
      <c r="A1939" s="49"/>
      <c r="B1939" s="49"/>
    </row>
    <row r="1940" spans="1:7" x14ac:dyDescent="0.2">
      <c r="A1940" s="49"/>
      <c r="B1940" s="49"/>
      <c r="C1940" s="49"/>
      <c r="D1940" s="49"/>
      <c r="E1940" s="49"/>
      <c r="F1940" s="49"/>
      <c r="G1940" s="49"/>
    </row>
    <row r="1941" spans="1:7" x14ac:dyDescent="0.2">
      <c r="A1941" s="49"/>
      <c r="B1941" s="49"/>
    </row>
    <row r="1942" spans="1:7" x14ac:dyDescent="0.2">
      <c r="A1942" s="49"/>
      <c r="B1942" s="49"/>
    </row>
    <row r="1943" spans="1:7" x14ac:dyDescent="0.2">
      <c r="A1943" s="49"/>
      <c r="B1943" s="49"/>
    </row>
    <row r="1944" spans="1:7" x14ac:dyDescent="0.2">
      <c r="A1944" s="49"/>
      <c r="B1944" s="49"/>
    </row>
    <row r="1945" spans="1:7" x14ac:dyDescent="0.2">
      <c r="A1945" s="49"/>
      <c r="B1945" s="49"/>
      <c r="C1945" s="49"/>
      <c r="D1945" s="49"/>
      <c r="E1945" s="49"/>
      <c r="F1945" s="49"/>
      <c r="G1945" s="49"/>
    </row>
    <row r="1946" spans="1:7" x14ac:dyDescent="0.2">
      <c r="A1946" s="49"/>
      <c r="B1946" s="49"/>
    </row>
    <row r="1947" spans="1:7" x14ac:dyDescent="0.2">
      <c r="A1947" s="49"/>
      <c r="B1947" s="49"/>
    </row>
    <row r="1948" spans="1:7" x14ac:dyDescent="0.2">
      <c r="A1948" s="49"/>
      <c r="B1948" s="49"/>
    </row>
    <row r="1949" spans="1:7" x14ac:dyDescent="0.2">
      <c r="A1949" s="49"/>
      <c r="B1949" s="49"/>
    </row>
    <row r="1950" spans="1:7" x14ac:dyDescent="0.2">
      <c r="A1950" s="49"/>
      <c r="B1950" s="49"/>
    </row>
    <row r="1951" spans="1:7" x14ac:dyDescent="0.2">
      <c r="A1951" s="49"/>
      <c r="B1951" s="49"/>
    </row>
    <row r="1952" spans="1:7" x14ac:dyDescent="0.2">
      <c r="A1952" s="49"/>
      <c r="B1952" s="49"/>
    </row>
    <row r="1953" spans="1:7" x14ac:dyDescent="0.2">
      <c r="A1953" s="49"/>
      <c r="B1953" s="49"/>
    </row>
    <row r="1954" spans="1:7" x14ac:dyDescent="0.2">
      <c r="A1954" s="49"/>
      <c r="B1954" s="49"/>
    </row>
    <row r="1955" spans="1:7" x14ac:dyDescent="0.2">
      <c r="A1955" s="49"/>
      <c r="B1955" s="49"/>
    </row>
    <row r="1956" spans="1:7" x14ac:dyDescent="0.2">
      <c r="A1956" s="49"/>
      <c r="B1956" s="49"/>
    </row>
    <row r="1957" spans="1:7" x14ac:dyDescent="0.2">
      <c r="A1957" s="49"/>
      <c r="B1957" s="49"/>
      <c r="C1957" s="49"/>
      <c r="D1957" s="49"/>
      <c r="E1957" s="49"/>
      <c r="F1957" s="49"/>
      <c r="G1957" s="49"/>
    </row>
    <row r="1958" spans="1:7" x14ac:dyDescent="0.2">
      <c r="A1958" s="49"/>
      <c r="B1958" s="49"/>
    </row>
    <row r="1959" spans="1:7" x14ac:dyDescent="0.2">
      <c r="A1959" s="49"/>
      <c r="B1959" s="49"/>
    </row>
    <row r="1960" spans="1:7" x14ac:dyDescent="0.2">
      <c r="A1960" s="49"/>
      <c r="B1960" s="49"/>
    </row>
    <row r="1961" spans="1:7" x14ac:dyDescent="0.2">
      <c r="A1961" s="49"/>
      <c r="B1961" s="49"/>
    </row>
    <row r="1962" spans="1:7" x14ac:dyDescent="0.2">
      <c r="A1962" s="49"/>
      <c r="B1962" s="49"/>
    </row>
    <row r="1963" spans="1:7" x14ac:dyDescent="0.2">
      <c r="A1963" s="49"/>
      <c r="B1963" s="49"/>
    </row>
    <row r="1964" spans="1:7" x14ac:dyDescent="0.2">
      <c r="A1964" s="49"/>
      <c r="B1964" s="49"/>
    </row>
    <row r="1965" spans="1:7" x14ac:dyDescent="0.2">
      <c r="A1965" s="49"/>
      <c r="B1965" s="49"/>
    </row>
    <row r="1966" spans="1:7" x14ac:dyDescent="0.2">
      <c r="A1966" s="49"/>
      <c r="B1966" s="49"/>
    </row>
    <row r="1967" spans="1:7" x14ac:dyDescent="0.2">
      <c r="A1967" s="49"/>
      <c r="B1967" s="49"/>
    </row>
    <row r="1968" spans="1:7" x14ac:dyDescent="0.2">
      <c r="A1968" s="49"/>
      <c r="B1968" s="49"/>
    </row>
    <row r="1969" spans="1:2" x14ac:dyDescent="0.2">
      <c r="A1969" s="49"/>
      <c r="B1969" s="49"/>
    </row>
    <row r="1970" spans="1:2" x14ac:dyDescent="0.2">
      <c r="A1970" s="49"/>
      <c r="B1970" s="49"/>
    </row>
    <row r="1971" spans="1:2" x14ac:dyDescent="0.2">
      <c r="A1971" s="49"/>
      <c r="B1971" s="49"/>
    </row>
    <row r="1972" spans="1:2" x14ac:dyDescent="0.2">
      <c r="A1972" s="49"/>
      <c r="B1972" s="49"/>
    </row>
    <row r="1973" spans="1:2" x14ac:dyDescent="0.2">
      <c r="A1973" s="49"/>
      <c r="B1973" s="49"/>
    </row>
    <row r="1974" spans="1:2" x14ac:dyDescent="0.2">
      <c r="A1974" s="49"/>
      <c r="B1974" s="49"/>
    </row>
    <row r="1975" spans="1:2" x14ac:dyDescent="0.2">
      <c r="A1975" s="49"/>
      <c r="B1975" s="49"/>
    </row>
    <row r="1976" spans="1:2" x14ac:dyDescent="0.2">
      <c r="A1976" s="49"/>
      <c r="B1976" s="49"/>
    </row>
    <row r="1977" spans="1:2" x14ac:dyDescent="0.2">
      <c r="A1977" s="49"/>
      <c r="B1977" s="49"/>
    </row>
    <row r="1978" spans="1:2" x14ac:dyDescent="0.2">
      <c r="A1978" s="49"/>
      <c r="B1978" s="49"/>
    </row>
    <row r="1979" spans="1:2" x14ac:dyDescent="0.2">
      <c r="A1979" s="49"/>
      <c r="B1979" s="49"/>
    </row>
    <row r="1980" spans="1:2" x14ac:dyDescent="0.2">
      <c r="A1980" s="49"/>
      <c r="B1980" s="49"/>
    </row>
    <row r="1981" spans="1:2" x14ac:dyDescent="0.2">
      <c r="A1981" s="49"/>
      <c r="B1981" s="49"/>
    </row>
    <row r="1982" spans="1:2" x14ac:dyDescent="0.2">
      <c r="A1982" s="49"/>
      <c r="B1982" s="49"/>
    </row>
    <row r="1983" spans="1:2" x14ac:dyDescent="0.2">
      <c r="A1983" s="49"/>
      <c r="B1983" s="49"/>
    </row>
    <row r="1984" spans="1:2" x14ac:dyDescent="0.2">
      <c r="A1984" s="49"/>
      <c r="B1984" s="49"/>
    </row>
    <row r="1985" spans="1:7" x14ac:dyDescent="0.2">
      <c r="A1985" s="49"/>
      <c r="B1985" s="49"/>
    </row>
    <row r="1986" spans="1:7" x14ac:dyDescent="0.2">
      <c r="A1986" s="49"/>
      <c r="B1986" s="49"/>
    </row>
    <row r="1987" spans="1:7" x14ac:dyDescent="0.2">
      <c r="A1987" s="49"/>
      <c r="B1987" s="49"/>
    </row>
    <row r="1988" spans="1:7" x14ac:dyDescent="0.2">
      <c r="A1988" s="49"/>
      <c r="B1988" s="49"/>
    </row>
    <row r="1989" spans="1:7" x14ac:dyDescent="0.2">
      <c r="A1989" s="49"/>
      <c r="B1989" s="49"/>
    </row>
    <row r="1990" spans="1:7" x14ac:dyDescent="0.2">
      <c r="A1990" s="49"/>
      <c r="B1990" s="49"/>
    </row>
    <row r="1991" spans="1:7" x14ac:dyDescent="0.2">
      <c r="A1991" s="49"/>
      <c r="B1991" s="49"/>
    </row>
    <row r="1992" spans="1:7" x14ac:dyDescent="0.2">
      <c r="A1992" s="49"/>
      <c r="B1992" s="49"/>
      <c r="C1992" s="49"/>
      <c r="D1992" s="49"/>
      <c r="E1992" s="49"/>
      <c r="F1992" s="49"/>
      <c r="G1992" s="49"/>
    </row>
    <row r="1993" spans="1:7" x14ac:dyDescent="0.2">
      <c r="A1993" s="49"/>
      <c r="B1993" s="49"/>
    </row>
    <row r="1994" spans="1:7" x14ac:dyDescent="0.2">
      <c r="A1994" s="49"/>
      <c r="B1994" s="49"/>
    </row>
    <row r="1995" spans="1:7" x14ac:dyDescent="0.2">
      <c r="A1995" s="49"/>
      <c r="B1995" s="49"/>
    </row>
    <row r="1996" spans="1:7" x14ac:dyDescent="0.2">
      <c r="A1996" s="49"/>
      <c r="B1996" s="49"/>
    </row>
    <row r="1997" spans="1:7" x14ac:dyDescent="0.2">
      <c r="A1997" s="49"/>
      <c r="B1997" s="49"/>
    </row>
    <row r="1998" spans="1:7" x14ac:dyDescent="0.2">
      <c r="A1998" s="49"/>
      <c r="B1998" s="49"/>
      <c r="C1998" s="49"/>
      <c r="D1998" s="49"/>
      <c r="E1998" s="49"/>
      <c r="F1998" s="49"/>
      <c r="G1998" s="49"/>
    </row>
    <row r="1999" spans="1:7" x14ac:dyDescent="0.2">
      <c r="A1999" s="49"/>
      <c r="B1999" s="49"/>
    </row>
    <row r="2000" spans="1:7" x14ac:dyDescent="0.2">
      <c r="A2000" s="49"/>
      <c r="B2000" s="49"/>
    </row>
    <row r="2001" spans="1:7" x14ac:dyDescent="0.2">
      <c r="A2001" s="49"/>
      <c r="B2001" s="49"/>
    </row>
    <row r="2002" spans="1:7" x14ac:dyDescent="0.2">
      <c r="A2002" s="49"/>
      <c r="B2002" s="49"/>
    </row>
    <row r="2003" spans="1:7" x14ac:dyDescent="0.2">
      <c r="A2003" s="49"/>
      <c r="B2003" s="49"/>
    </row>
    <row r="2004" spans="1:7" x14ac:dyDescent="0.2">
      <c r="A2004" s="49"/>
      <c r="B2004" s="49"/>
    </row>
    <row r="2005" spans="1:7" x14ac:dyDescent="0.2">
      <c r="A2005" s="49"/>
      <c r="B2005" s="49"/>
    </row>
    <row r="2006" spans="1:7" x14ac:dyDescent="0.2">
      <c r="A2006" s="49"/>
      <c r="B2006" s="49"/>
      <c r="C2006" s="49"/>
      <c r="D2006" s="49"/>
      <c r="E2006" s="49"/>
      <c r="F2006" s="49"/>
      <c r="G2006" s="49"/>
    </row>
    <row r="2007" spans="1:7" x14ac:dyDescent="0.2">
      <c r="A2007" s="49"/>
      <c r="B2007" s="49"/>
    </row>
    <row r="2008" spans="1:7" x14ac:dyDescent="0.2">
      <c r="A2008" s="49"/>
      <c r="B2008" s="49"/>
    </row>
    <row r="2009" spans="1:7" x14ac:dyDescent="0.2">
      <c r="A2009" s="49"/>
      <c r="B2009" s="49"/>
    </row>
    <row r="2010" spans="1:7" x14ac:dyDescent="0.2">
      <c r="A2010" s="49"/>
      <c r="B2010" s="49"/>
    </row>
    <row r="2011" spans="1:7" x14ac:dyDescent="0.2">
      <c r="A2011" s="49"/>
      <c r="B2011" s="49"/>
    </row>
    <row r="2012" spans="1:7" x14ac:dyDescent="0.2">
      <c r="A2012" s="49"/>
      <c r="B2012" s="49"/>
    </row>
    <row r="2013" spans="1:7" x14ac:dyDescent="0.2">
      <c r="A2013" s="49"/>
      <c r="B2013" s="49"/>
    </row>
    <row r="2014" spans="1:7" x14ac:dyDescent="0.2">
      <c r="A2014" s="49"/>
      <c r="B2014" s="49"/>
    </row>
    <row r="2015" spans="1:7" x14ac:dyDescent="0.2">
      <c r="A2015" s="49"/>
      <c r="B2015" s="49"/>
    </row>
    <row r="2016" spans="1:7" x14ac:dyDescent="0.2">
      <c r="A2016" s="49"/>
      <c r="B2016" s="49"/>
    </row>
    <row r="2017" spans="1:2" x14ac:dyDescent="0.2">
      <c r="A2017" s="49"/>
      <c r="B2017" s="49"/>
    </row>
    <row r="2018" spans="1:2" x14ac:dyDescent="0.2">
      <c r="A2018" s="49"/>
      <c r="B2018" s="49"/>
    </row>
    <row r="2019" spans="1:2" x14ac:dyDescent="0.2">
      <c r="A2019" s="49"/>
      <c r="B2019" s="49"/>
    </row>
    <row r="2020" spans="1:2" x14ac:dyDescent="0.2">
      <c r="A2020" s="49"/>
      <c r="B2020" s="49"/>
    </row>
    <row r="2021" spans="1:2" x14ac:dyDescent="0.2">
      <c r="A2021" s="49"/>
      <c r="B2021" s="49"/>
    </row>
    <row r="2022" spans="1:2" x14ac:dyDescent="0.2">
      <c r="A2022" s="49"/>
      <c r="B2022" s="49"/>
    </row>
    <row r="2023" spans="1:2" x14ac:dyDescent="0.2">
      <c r="A2023" s="49"/>
      <c r="B2023" s="49"/>
    </row>
    <row r="2024" spans="1:2" x14ac:dyDescent="0.2">
      <c r="A2024" s="49"/>
      <c r="B2024" s="49"/>
    </row>
    <row r="2025" spans="1:2" x14ac:dyDescent="0.2">
      <c r="A2025" s="49"/>
      <c r="B2025" s="49"/>
    </row>
    <row r="2026" spans="1:2" x14ac:dyDescent="0.2">
      <c r="A2026" s="49"/>
      <c r="B2026" s="49"/>
    </row>
    <row r="2027" spans="1:2" x14ac:dyDescent="0.2">
      <c r="A2027" s="49"/>
      <c r="B2027" s="49"/>
    </row>
    <row r="2028" spans="1:2" x14ac:dyDescent="0.2">
      <c r="A2028" s="49"/>
      <c r="B2028" s="49"/>
    </row>
    <row r="2029" spans="1:2" x14ac:dyDescent="0.2">
      <c r="A2029" s="49"/>
      <c r="B2029" s="49"/>
    </row>
    <row r="2030" spans="1:2" x14ac:dyDescent="0.2">
      <c r="A2030" s="49"/>
      <c r="B2030" s="49"/>
    </row>
    <row r="2031" spans="1:2" x14ac:dyDescent="0.2">
      <c r="A2031" s="49"/>
      <c r="B2031" s="49"/>
    </row>
    <row r="2032" spans="1:2" x14ac:dyDescent="0.2">
      <c r="A2032" s="49"/>
      <c r="B2032" s="49"/>
    </row>
    <row r="2033" spans="1:2" x14ac:dyDescent="0.2">
      <c r="A2033" s="49"/>
      <c r="B2033" s="49"/>
    </row>
    <row r="2034" spans="1:2" x14ac:dyDescent="0.2">
      <c r="A2034" s="49"/>
      <c r="B2034" s="49"/>
    </row>
    <row r="2035" spans="1:2" x14ac:dyDescent="0.2">
      <c r="A2035" s="49"/>
      <c r="B2035" s="49"/>
    </row>
    <row r="2036" spans="1:2" x14ac:dyDescent="0.2">
      <c r="A2036" s="49"/>
      <c r="B2036" s="49"/>
    </row>
    <row r="2037" spans="1:2" x14ac:dyDescent="0.2">
      <c r="A2037" s="49"/>
      <c r="B2037" s="49"/>
    </row>
    <row r="2038" spans="1:2" x14ac:dyDescent="0.2">
      <c r="A2038" s="49"/>
      <c r="B2038" s="49"/>
    </row>
    <row r="2039" spans="1:2" x14ac:dyDescent="0.2">
      <c r="A2039" s="49"/>
      <c r="B2039" s="49"/>
    </row>
    <row r="2040" spans="1:2" x14ac:dyDescent="0.2">
      <c r="A2040" s="49"/>
      <c r="B2040" s="49"/>
    </row>
    <row r="2041" spans="1:2" x14ac:dyDescent="0.2">
      <c r="A2041" s="49"/>
      <c r="B2041" s="49"/>
    </row>
    <row r="2042" spans="1:2" x14ac:dyDescent="0.2">
      <c r="A2042" s="49"/>
      <c r="B2042" s="49"/>
    </row>
    <row r="2043" spans="1:2" x14ac:dyDescent="0.2">
      <c r="A2043" s="49"/>
      <c r="B2043" s="49"/>
    </row>
    <row r="2044" spans="1:2" x14ac:dyDescent="0.2">
      <c r="A2044" s="49"/>
      <c r="B2044" s="49"/>
    </row>
    <row r="2045" spans="1:2" x14ac:dyDescent="0.2">
      <c r="A2045" s="49"/>
      <c r="B2045" s="49"/>
    </row>
    <row r="2046" spans="1:2" x14ac:dyDescent="0.2">
      <c r="A2046" s="49"/>
      <c r="B2046" s="49"/>
    </row>
    <row r="2047" spans="1:2" x14ac:dyDescent="0.2">
      <c r="A2047" s="49"/>
      <c r="B2047" s="49"/>
    </row>
    <row r="2048" spans="1:2" x14ac:dyDescent="0.2">
      <c r="A2048" s="49"/>
      <c r="B2048" s="49"/>
    </row>
    <row r="2049" spans="1:2" x14ac:dyDescent="0.2">
      <c r="A2049" s="49"/>
      <c r="B2049" s="49"/>
    </row>
    <row r="2050" spans="1:2" x14ac:dyDescent="0.2">
      <c r="A2050" s="49"/>
      <c r="B2050" s="49"/>
    </row>
    <row r="2051" spans="1:2" x14ac:dyDescent="0.2">
      <c r="A2051" s="49"/>
      <c r="B2051" s="49"/>
    </row>
    <row r="2052" spans="1:2" x14ac:dyDescent="0.2">
      <c r="A2052" s="49"/>
      <c r="B2052" s="49"/>
    </row>
    <row r="2053" spans="1:2" x14ac:dyDescent="0.2">
      <c r="A2053" s="49"/>
      <c r="B2053" s="49"/>
    </row>
    <row r="2054" spans="1:2" x14ac:dyDescent="0.2">
      <c r="A2054" s="49"/>
      <c r="B2054" s="49"/>
    </row>
    <row r="2055" spans="1:2" x14ac:dyDescent="0.2">
      <c r="A2055" s="49"/>
      <c r="B2055" s="49"/>
    </row>
    <row r="2056" spans="1:2" x14ac:dyDescent="0.2">
      <c r="A2056" s="49"/>
      <c r="B2056" s="49"/>
    </row>
    <row r="2057" spans="1:2" x14ac:dyDescent="0.2">
      <c r="A2057" s="49"/>
      <c r="B2057" s="49"/>
    </row>
    <row r="2058" spans="1:2" x14ac:dyDescent="0.2">
      <c r="A2058" s="49"/>
      <c r="B2058" s="49"/>
    </row>
    <row r="2059" spans="1:2" x14ac:dyDescent="0.2">
      <c r="A2059" s="49"/>
      <c r="B2059" s="49"/>
    </row>
    <row r="2060" spans="1:2" x14ac:dyDescent="0.2">
      <c r="A2060" s="49"/>
      <c r="B2060" s="49"/>
    </row>
    <row r="2061" spans="1:2" x14ac:dyDescent="0.2">
      <c r="A2061" s="49"/>
      <c r="B2061" s="49"/>
    </row>
    <row r="2062" spans="1:2" x14ac:dyDescent="0.2">
      <c r="A2062" s="49"/>
      <c r="B2062" s="49"/>
    </row>
    <row r="2063" spans="1:2" x14ac:dyDescent="0.2">
      <c r="A2063" s="49"/>
      <c r="B2063" s="49"/>
    </row>
    <row r="2064" spans="1:2" x14ac:dyDescent="0.2">
      <c r="A2064" s="49"/>
      <c r="B2064" s="49"/>
    </row>
    <row r="2065" spans="1:7" x14ac:dyDescent="0.2">
      <c r="A2065" s="49"/>
      <c r="B2065" s="49"/>
    </row>
    <row r="2066" spans="1:7" x14ac:dyDescent="0.2">
      <c r="A2066" s="49"/>
      <c r="B2066" s="49"/>
    </row>
    <row r="2067" spans="1:7" x14ac:dyDescent="0.2">
      <c r="A2067" s="49"/>
      <c r="B2067" s="49"/>
    </row>
    <row r="2068" spans="1:7" x14ac:dyDescent="0.2">
      <c r="A2068" s="49"/>
      <c r="B2068" s="49"/>
    </row>
    <row r="2069" spans="1:7" x14ac:dyDescent="0.2">
      <c r="A2069" s="49"/>
      <c r="B2069" s="49"/>
    </row>
    <row r="2070" spans="1:7" x14ac:dyDescent="0.2">
      <c r="A2070" s="49"/>
      <c r="B2070" s="49"/>
    </row>
    <row r="2071" spans="1:7" x14ac:dyDescent="0.2">
      <c r="A2071" s="49"/>
      <c r="B2071" s="49"/>
    </row>
    <row r="2072" spans="1:7" x14ac:dyDescent="0.2">
      <c r="A2072" s="49"/>
      <c r="B2072" s="49"/>
    </row>
    <row r="2073" spans="1:7" x14ac:dyDescent="0.2">
      <c r="A2073" s="49"/>
      <c r="B2073" s="49"/>
    </row>
    <row r="2074" spans="1:7" x14ac:dyDescent="0.2">
      <c r="A2074" s="49"/>
      <c r="B2074" s="49"/>
    </row>
    <row r="2075" spans="1:7" x14ac:dyDescent="0.2">
      <c r="A2075" s="49"/>
      <c r="B2075" s="49"/>
      <c r="C2075" s="49"/>
      <c r="D2075" s="49"/>
      <c r="E2075" s="49"/>
      <c r="F2075" s="49"/>
      <c r="G2075" s="49"/>
    </row>
    <row r="2076" spans="1:7" x14ac:dyDescent="0.2">
      <c r="A2076" s="49"/>
      <c r="B2076" s="49"/>
    </row>
    <row r="2077" spans="1:7" x14ac:dyDescent="0.2">
      <c r="A2077" s="49"/>
      <c r="B2077" s="49"/>
    </row>
    <row r="2078" spans="1:7" x14ac:dyDescent="0.2">
      <c r="A2078" s="49"/>
      <c r="B2078" s="49"/>
    </row>
    <row r="2079" spans="1:7" x14ac:dyDescent="0.2">
      <c r="A2079" s="49"/>
      <c r="B2079" s="49"/>
    </row>
    <row r="2080" spans="1:7" x14ac:dyDescent="0.2">
      <c r="A2080" s="49"/>
      <c r="B2080" s="49"/>
    </row>
    <row r="2081" spans="1:2" x14ac:dyDescent="0.2">
      <c r="A2081" s="49"/>
      <c r="B2081" s="49"/>
    </row>
    <row r="2082" spans="1:2" x14ac:dyDescent="0.2">
      <c r="A2082" s="49"/>
      <c r="B2082" s="49"/>
    </row>
    <row r="2083" spans="1:2" x14ac:dyDescent="0.2">
      <c r="A2083" s="49"/>
      <c r="B2083" s="49"/>
    </row>
    <row r="2084" spans="1:2" x14ac:dyDescent="0.2">
      <c r="A2084" s="49"/>
      <c r="B2084" s="49"/>
    </row>
    <row r="2085" spans="1:2" x14ac:dyDescent="0.2">
      <c r="A2085" s="49"/>
      <c r="B2085" s="49"/>
    </row>
    <row r="2086" spans="1:2" x14ac:dyDescent="0.2">
      <c r="A2086" s="49"/>
      <c r="B2086" s="49"/>
    </row>
    <row r="2087" spans="1:2" x14ac:dyDescent="0.2">
      <c r="A2087" s="49"/>
      <c r="B2087" s="49"/>
    </row>
    <row r="2088" spans="1:2" x14ac:dyDescent="0.2">
      <c r="A2088" s="49"/>
      <c r="B2088" s="49"/>
    </row>
    <row r="2089" spans="1:2" x14ac:dyDescent="0.2">
      <c r="A2089" s="49"/>
      <c r="B2089" s="49"/>
    </row>
    <row r="2090" spans="1:2" x14ac:dyDescent="0.2">
      <c r="A2090" s="49"/>
      <c r="B2090" s="49"/>
    </row>
    <row r="2091" spans="1:2" x14ac:dyDescent="0.2">
      <c r="A2091" s="49"/>
      <c r="B2091" s="49"/>
    </row>
    <row r="2092" spans="1:2" x14ac:dyDescent="0.2">
      <c r="A2092" s="49"/>
      <c r="B2092" s="49"/>
    </row>
    <row r="2093" spans="1:2" x14ac:dyDescent="0.2">
      <c r="A2093" s="49"/>
      <c r="B2093" s="49"/>
    </row>
    <row r="2094" spans="1:2" x14ac:dyDescent="0.2">
      <c r="A2094" s="49"/>
      <c r="B2094" s="49"/>
    </row>
    <row r="2095" spans="1:2" x14ac:dyDescent="0.2">
      <c r="A2095" s="49"/>
      <c r="B2095" s="49"/>
    </row>
    <row r="2096" spans="1:2" x14ac:dyDescent="0.2">
      <c r="A2096" s="49"/>
      <c r="B2096" s="49"/>
    </row>
    <row r="2097" spans="1:2" x14ac:dyDescent="0.2">
      <c r="A2097" s="49"/>
      <c r="B2097" s="49"/>
    </row>
    <row r="2098" spans="1:2" x14ac:dyDescent="0.2">
      <c r="A2098" s="49"/>
      <c r="B2098" s="49"/>
    </row>
    <row r="2099" spans="1:2" x14ac:dyDescent="0.2">
      <c r="A2099" s="49"/>
      <c r="B2099" s="49"/>
    </row>
    <row r="2100" spans="1:2" x14ac:dyDescent="0.2">
      <c r="A2100" s="49"/>
      <c r="B2100" s="49"/>
    </row>
    <row r="2101" spans="1:2" x14ac:dyDescent="0.2">
      <c r="A2101" s="49"/>
      <c r="B2101" s="49"/>
    </row>
    <row r="2102" spans="1:2" x14ac:dyDescent="0.2">
      <c r="A2102" s="49"/>
      <c r="B2102" s="49"/>
    </row>
    <row r="2103" spans="1:2" x14ac:dyDescent="0.2">
      <c r="A2103" s="49"/>
      <c r="B2103" s="49"/>
    </row>
    <row r="2104" spans="1:2" x14ac:dyDescent="0.2">
      <c r="A2104" s="49"/>
      <c r="B2104" s="49"/>
    </row>
    <row r="2105" spans="1:2" x14ac:dyDescent="0.2">
      <c r="A2105" s="49"/>
      <c r="B2105" s="49"/>
    </row>
    <row r="2106" spans="1:2" x14ac:dyDescent="0.2">
      <c r="A2106" s="49"/>
      <c r="B2106" s="49"/>
    </row>
    <row r="2107" spans="1:2" x14ac:dyDescent="0.2">
      <c r="A2107" s="49"/>
      <c r="B2107" s="49"/>
    </row>
    <row r="2108" spans="1:2" x14ac:dyDescent="0.2">
      <c r="A2108" s="49"/>
      <c r="B2108" s="49"/>
    </row>
    <row r="2109" spans="1:2" x14ac:dyDescent="0.2">
      <c r="A2109" s="49"/>
      <c r="B2109" s="49"/>
    </row>
    <row r="2110" spans="1:2" x14ac:dyDescent="0.2">
      <c r="A2110" s="49"/>
      <c r="B2110" s="49"/>
    </row>
    <row r="2111" spans="1:2" x14ac:dyDescent="0.2">
      <c r="A2111" s="49"/>
      <c r="B2111" s="49"/>
    </row>
    <row r="2112" spans="1:2" x14ac:dyDescent="0.2">
      <c r="A2112" s="49"/>
      <c r="B2112" s="49"/>
    </row>
    <row r="2113" spans="1:2" x14ac:dyDescent="0.2">
      <c r="A2113" s="49"/>
      <c r="B2113" s="49"/>
    </row>
    <row r="2114" spans="1:2" x14ac:dyDescent="0.2">
      <c r="A2114" s="49"/>
      <c r="B2114" s="49"/>
    </row>
    <row r="2115" spans="1:2" x14ac:dyDescent="0.2">
      <c r="A2115" s="49"/>
      <c r="B2115" s="49"/>
    </row>
    <row r="2116" spans="1:2" x14ac:dyDescent="0.2">
      <c r="A2116" s="49"/>
      <c r="B2116" s="49"/>
    </row>
    <row r="2117" spans="1:2" x14ac:dyDescent="0.2">
      <c r="A2117" s="49"/>
      <c r="B2117" s="49"/>
    </row>
    <row r="2118" spans="1:2" x14ac:dyDescent="0.2">
      <c r="A2118" s="49"/>
      <c r="B2118" s="49"/>
    </row>
    <row r="2119" spans="1:2" x14ac:dyDescent="0.2">
      <c r="A2119" s="49"/>
      <c r="B2119" s="49"/>
    </row>
    <row r="2120" spans="1:2" x14ac:dyDescent="0.2">
      <c r="A2120" s="49"/>
      <c r="B2120" s="49"/>
    </row>
    <row r="2121" spans="1:2" x14ac:dyDescent="0.2">
      <c r="A2121" s="49"/>
      <c r="B2121" s="49"/>
    </row>
    <row r="2122" spans="1:2" x14ac:dyDescent="0.2">
      <c r="A2122" s="49"/>
      <c r="B2122" s="49"/>
    </row>
    <row r="2123" spans="1:2" x14ac:dyDescent="0.2">
      <c r="A2123" s="49"/>
      <c r="B2123" s="49"/>
    </row>
    <row r="2124" spans="1:2" x14ac:dyDescent="0.2">
      <c r="A2124" s="49"/>
      <c r="B2124" s="49"/>
    </row>
    <row r="2125" spans="1:2" x14ac:dyDescent="0.2">
      <c r="A2125" s="49"/>
      <c r="B2125" s="49"/>
    </row>
    <row r="2126" spans="1:2" x14ac:dyDescent="0.2">
      <c r="A2126" s="49"/>
      <c r="B2126" s="49"/>
    </row>
    <row r="2127" spans="1:2" x14ac:dyDescent="0.2">
      <c r="A2127" s="49"/>
      <c r="B2127" s="49"/>
    </row>
    <row r="2128" spans="1:2" x14ac:dyDescent="0.2">
      <c r="A2128" s="49"/>
      <c r="B2128" s="49"/>
    </row>
    <row r="2129" spans="1:7" x14ac:dyDescent="0.2">
      <c r="A2129" s="49"/>
      <c r="B2129" s="49"/>
    </row>
    <row r="2130" spans="1:7" x14ac:dyDescent="0.2">
      <c r="A2130" s="49"/>
      <c r="B2130" s="49"/>
    </row>
    <row r="2131" spans="1:7" x14ac:dyDescent="0.2">
      <c r="A2131" s="49"/>
      <c r="B2131" s="49"/>
    </row>
    <row r="2132" spans="1:7" x14ac:dyDescent="0.2">
      <c r="A2132" s="49"/>
      <c r="B2132" s="49"/>
    </row>
    <row r="2133" spans="1:7" x14ac:dyDescent="0.2">
      <c r="A2133" s="49"/>
      <c r="B2133" s="49"/>
      <c r="C2133" s="49"/>
      <c r="D2133" s="49"/>
      <c r="E2133" s="49"/>
      <c r="F2133" s="49"/>
      <c r="G2133" s="49"/>
    </row>
    <row r="2134" spans="1:7" x14ac:dyDescent="0.2">
      <c r="A2134" s="49"/>
      <c r="B2134" s="49"/>
    </row>
    <row r="2135" spans="1:7" x14ac:dyDescent="0.2">
      <c r="A2135" s="49"/>
      <c r="B2135" s="49"/>
    </row>
    <row r="2136" spans="1:7" x14ac:dyDescent="0.2">
      <c r="A2136" s="49"/>
      <c r="B2136" s="49"/>
    </row>
    <row r="2137" spans="1:7" x14ac:dyDescent="0.2">
      <c r="A2137" s="49"/>
      <c r="B2137" s="49"/>
    </row>
    <row r="2138" spans="1:7" x14ac:dyDescent="0.2">
      <c r="A2138" s="49"/>
      <c r="B2138" s="49"/>
    </row>
    <row r="2139" spans="1:7" x14ac:dyDescent="0.2">
      <c r="A2139" s="49"/>
      <c r="B2139" s="49"/>
    </row>
    <row r="2140" spans="1:7" x14ac:dyDescent="0.2">
      <c r="A2140" s="49"/>
      <c r="B2140" s="49"/>
    </row>
    <row r="2141" spans="1:7" x14ac:dyDescent="0.2">
      <c r="A2141" s="49"/>
      <c r="B2141" s="49"/>
    </row>
    <row r="2142" spans="1:7" x14ac:dyDescent="0.2">
      <c r="A2142" s="49"/>
      <c r="B2142" s="49"/>
    </row>
    <row r="2143" spans="1:7" x14ac:dyDescent="0.2">
      <c r="A2143" s="49"/>
      <c r="B2143" s="49"/>
    </row>
    <row r="2144" spans="1:7" x14ac:dyDescent="0.2">
      <c r="A2144" s="49"/>
      <c r="B2144" s="49"/>
    </row>
    <row r="2145" spans="1:2" x14ac:dyDescent="0.2">
      <c r="A2145" s="49"/>
      <c r="B2145" s="49"/>
    </row>
    <row r="2146" spans="1:2" x14ac:dyDescent="0.2">
      <c r="A2146" s="49"/>
      <c r="B2146" s="49"/>
    </row>
    <row r="2147" spans="1:2" x14ac:dyDescent="0.2">
      <c r="A2147" s="49"/>
      <c r="B2147" s="49"/>
    </row>
    <row r="2148" spans="1:2" x14ac:dyDescent="0.2">
      <c r="A2148" s="49"/>
      <c r="B2148" s="49"/>
    </row>
    <row r="2149" spans="1:2" x14ac:dyDescent="0.2">
      <c r="A2149" s="49"/>
      <c r="B2149" s="49"/>
    </row>
    <row r="2150" spans="1:2" x14ac:dyDescent="0.2">
      <c r="A2150" s="49"/>
      <c r="B2150" s="49"/>
    </row>
    <row r="2151" spans="1:2" x14ac:dyDescent="0.2">
      <c r="A2151" s="49"/>
      <c r="B2151" s="49"/>
    </row>
    <row r="2152" spans="1:2" x14ac:dyDescent="0.2">
      <c r="A2152" s="49"/>
      <c r="B2152" s="49"/>
    </row>
    <row r="2153" spans="1:2" x14ac:dyDescent="0.2">
      <c r="A2153" s="49"/>
      <c r="B2153" s="49"/>
    </row>
    <row r="2154" spans="1:2" x14ac:dyDescent="0.2">
      <c r="A2154" s="49"/>
      <c r="B2154" s="49"/>
    </row>
    <row r="2155" spans="1:2" x14ac:dyDescent="0.2">
      <c r="A2155" s="49"/>
      <c r="B2155" s="49"/>
    </row>
    <row r="2156" spans="1:2" x14ac:dyDescent="0.2">
      <c r="A2156" s="49"/>
      <c r="B2156" s="49"/>
    </row>
    <row r="2157" spans="1:2" x14ac:dyDescent="0.2">
      <c r="A2157" s="49"/>
      <c r="B2157" s="49"/>
    </row>
    <row r="2158" spans="1:2" x14ac:dyDescent="0.2">
      <c r="A2158" s="49"/>
      <c r="B2158" s="49"/>
    </row>
    <row r="2159" spans="1:2" x14ac:dyDescent="0.2">
      <c r="A2159" s="49"/>
      <c r="B2159" s="49"/>
    </row>
    <row r="2160" spans="1:2" x14ac:dyDescent="0.2">
      <c r="A2160" s="49"/>
      <c r="B2160" s="49"/>
    </row>
    <row r="2161" spans="1:2" x14ac:dyDescent="0.2">
      <c r="A2161" s="49"/>
      <c r="B2161" s="49"/>
    </row>
    <row r="2162" spans="1:2" x14ac:dyDescent="0.2">
      <c r="A2162" s="49"/>
      <c r="B2162" s="49"/>
    </row>
    <row r="2163" spans="1:2" x14ac:dyDescent="0.2">
      <c r="A2163" s="49"/>
      <c r="B2163" s="49"/>
    </row>
    <row r="2164" spans="1:2" x14ac:dyDescent="0.2">
      <c r="A2164" s="49"/>
      <c r="B2164" s="49"/>
    </row>
    <row r="2165" spans="1:2" x14ac:dyDescent="0.2">
      <c r="A2165" s="49"/>
      <c r="B2165" s="49"/>
    </row>
    <row r="2166" spans="1:2" x14ac:dyDescent="0.2">
      <c r="A2166" s="49"/>
      <c r="B2166" s="49"/>
    </row>
    <row r="2167" spans="1:2" x14ac:dyDescent="0.2">
      <c r="A2167" s="49"/>
      <c r="B2167" s="49"/>
    </row>
    <row r="2168" spans="1:2" x14ac:dyDescent="0.2">
      <c r="A2168" s="49"/>
      <c r="B2168" s="49"/>
    </row>
    <row r="2169" spans="1:2" x14ac:dyDescent="0.2">
      <c r="A2169" s="49"/>
      <c r="B2169" s="49"/>
    </row>
    <row r="2170" spans="1:2" x14ac:dyDescent="0.2">
      <c r="A2170" s="49"/>
      <c r="B2170" s="49"/>
    </row>
    <row r="2171" spans="1:2" x14ac:dyDescent="0.2">
      <c r="A2171" s="49"/>
      <c r="B2171" s="49"/>
    </row>
    <row r="2172" spans="1:2" x14ac:dyDescent="0.2">
      <c r="A2172" s="49"/>
      <c r="B2172" s="49"/>
    </row>
    <row r="2173" spans="1:2" x14ac:dyDescent="0.2">
      <c r="A2173" s="49"/>
      <c r="B2173" s="49"/>
    </row>
    <row r="2174" spans="1:2" x14ac:dyDescent="0.2">
      <c r="A2174" s="49"/>
      <c r="B2174" s="49"/>
    </row>
    <row r="2175" spans="1:2" x14ac:dyDescent="0.2">
      <c r="A2175" s="49"/>
      <c r="B2175" s="49"/>
    </row>
    <row r="2176" spans="1:2" x14ac:dyDescent="0.2">
      <c r="A2176" s="49"/>
      <c r="B2176" s="49"/>
    </row>
    <row r="2177" spans="1:7" x14ac:dyDescent="0.2">
      <c r="A2177" s="49"/>
      <c r="B2177" s="49"/>
      <c r="C2177" s="49"/>
      <c r="D2177" s="49"/>
      <c r="E2177" s="49"/>
      <c r="F2177" s="49"/>
      <c r="G2177" s="49"/>
    </row>
    <row r="2178" spans="1:7" x14ac:dyDescent="0.2">
      <c r="A2178" s="49"/>
      <c r="B2178" s="49"/>
    </row>
    <row r="2179" spans="1:7" x14ac:dyDescent="0.2">
      <c r="A2179" s="49"/>
      <c r="B2179" s="49"/>
    </row>
    <row r="2180" spans="1:7" x14ac:dyDescent="0.2">
      <c r="A2180" s="49"/>
      <c r="B2180" s="49"/>
    </row>
    <row r="2181" spans="1:7" x14ac:dyDescent="0.2">
      <c r="A2181" s="49"/>
      <c r="B2181" s="49"/>
    </row>
    <row r="2182" spans="1:7" x14ac:dyDescent="0.2">
      <c r="A2182" s="49"/>
      <c r="B2182" s="49"/>
    </row>
    <row r="2183" spans="1:7" x14ac:dyDescent="0.2">
      <c r="A2183" s="49"/>
      <c r="B2183" s="49"/>
    </row>
    <row r="2184" spans="1:7" x14ac:dyDescent="0.2">
      <c r="A2184" s="49"/>
      <c r="B2184" s="49"/>
    </row>
    <row r="2185" spans="1:7" x14ac:dyDescent="0.2">
      <c r="A2185" s="49"/>
      <c r="B2185" s="49"/>
    </row>
    <row r="2186" spans="1:7" x14ac:dyDescent="0.2">
      <c r="A2186" s="49"/>
      <c r="B2186" s="49"/>
    </row>
    <row r="2187" spans="1:7" x14ac:dyDescent="0.2">
      <c r="A2187" s="49"/>
      <c r="B2187" s="49"/>
    </row>
    <row r="2188" spans="1:7" x14ac:dyDescent="0.2">
      <c r="A2188" s="49"/>
      <c r="B2188" s="49"/>
    </row>
    <row r="2189" spans="1:7" x14ac:dyDescent="0.2">
      <c r="A2189" s="49"/>
      <c r="B2189" s="49"/>
    </row>
    <row r="2190" spans="1:7" x14ac:dyDescent="0.2">
      <c r="A2190" s="49"/>
      <c r="B2190" s="49"/>
    </row>
    <row r="2191" spans="1:7" x14ac:dyDescent="0.2">
      <c r="A2191" s="49"/>
      <c r="B2191" s="49"/>
    </row>
    <row r="2192" spans="1:7" x14ac:dyDescent="0.2">
      <c r="A2192" s="49"/>
      <c r="B2192" s="49"/>
    </row>
    <row r="2193" spans="1:2" x14ac:dyDescent="0.2">
      <c r="A2193" s="49"/>
      <c r="B2193" s="49"/>
    </row>
    <row r="2194" spans="1:2" x14ac:dyDescent="0.2">
      <c r="A2194" s="49"/>
      <c r="B2194" s="49"/>
    </row>
    <row r="2195" spans="1:2" x14ac:dyDescent="0.2">
      <c r="A2195" s="49"/>
      <c r="B2195" s="49"/>
    </row>
    <row r="2196" spans="1:2" x14ac:dyDescent="0.2">
      <c r="A2196" s="49"/>
      <c r="B2196" s="49"/>
    </row>
    <row r="2197" spans="1:2" x14ac:dyDescent="0.2">
      <c r="A2197" s="49"/>
      <c r="B2197" s="49"/>
    </row>
    <row r="2198" spans="1:2" x14ac:dyDescent="0.2">
      <c r="A2198" s="49"/>
      <c r="B2198" s="49"/>
    </row>
    <row r="2199" spans="1:2" x14ac:dyDescent="0.2">
      <c r="A2199" s="49"/>
      <c r="B2199" s="49"/>
    </row>
    <row r="2200" spans="1:2" x14ac:dyDescent="0.2">
      <c r="A2200" s="49"/>
      <c r="B2200" s="49"/>
    </row>
    <row r="2201" spans="1:2" x14ac:dyDescent="0.2">
      <c r="A2201" s="49"/>
      <c r="B2201" s="49"/>
    </row>
    <row r="2202" spans="1:2" x14ac:dyDescent="0.2">
      <c r="A2202" s="49"/>
      <c r="B2202" s="49"/>
    </row>
    <row r="2203" spans="1:2" x14ac:dyDescent="0.2">
      <c r="A2203" s="49"/>
      <c r="B2203" s="49"/>
    </row>
    <row r="2204" spans="1:2" x14ac:dyDescent="0.2">
      <c r="A2204" s="49"/>
      <c r="B2204" s="49"/>
    </row>
    <row r="2205" spans="1:2" x14ac:dyDescent="0.2">
      <c r="A2205" s="49"/>
      <c r="B2205" s="49"/>
    </row>
    <row r="2206" spans="1:2" x14ac:dyDescent="0.2">
      <c r="A2206" s="49"/>
      <c r="B2206" s="49"/>
    </row>
    <row r="2207" spans="1:2" x14ac:dyDescent="0.2">
      <c r="A2207" s="49"/>
      <c r="B2207" s="49"/>
    </row>
    <row r="2208" spans="1:2" x14ac:dyDescent="0.2">
      <c r="A2208" s="49"/>
      <c r="B2208" s="49"/>
    </row>
    <row r="2209" spans="1:2" x14ac:dyDescent="0.2">
      <c r="A2209" s="49"/>
      <c r="B2209" s="49"/>
    </row>
    <row r="2210" spans="1:2" x14ac:dyDescent="0.2">
      <c r="A2210" s="49"/>
      <c r="B2210" s="49"/>
    </row>
    <row r="2211" spans="1:2" x14ac:dyDescent="0.2">
      <c r="A2211" s="49"/>
      <c r="B2211" s="49"/>
    </row>
    <row r="2212" spans="1:2" x14ac:dyDescent="0.2">
      <c r="A2212" s="49"/>
      <c r="B2212" s="49"/>
    </row>
    <row r="2213" spans="1:2" x14ac:dyDescent="0.2">
      <c r="A2213" s="49"/>
      <c r="B2213" s="49"/>
    </row>
    <row r="2214" spans="1:2" x14ac:dyDescent="0.2">
      <c r="A2214" s="49"/>
      <c r="B2214" s="49"/>
    </row>
    <row r="2215" spans="1:2" x14ac:dyDescent="0.2">
      <c r="A2215" s="49"/>
      <c r="B2215" s="49"/>
    </row>
    <row r="2216" spans="1:2" x14ac:dyDescent="0.2">
      <c r="A2216" s="49"/>
      <c r="B2216" s="49"/>
    </row>
    <row r="2217" spans="1:2" x14ac:dyDescent="0.2">
      <c r="A2217" s="49"/>
      <c r="B2217" s="49"/>
    </row>
    <row r="2218" spans="1:2" x14ac:dyDescent="0.2">
      <c r="A2218" s="49"/>
      <c r="B2218" s="49"/>
    </row>
    <row r="2219" spans="1:2" x14ac:dyDescent="0.2">
      <c r="A2219" s="49"/>
      <c r="B2219" s="49"/>
    </row>
    <row r="2220" spans="1:2" x14ac:dyDescent="0.2">
      <c r="A2220" s="49"/>
      <c r="B2220" s="49"/>
    </row>
    <row r="2221" spans="1:2" x14ac:dyDescent="0.2">
      <c r="A2221" s="49"/>
      <c r="B2221" s="49"/>
    </row>
    <row r="2222" spans="1:2" x14ac:dyDescent="0.2">
      <c r="A2222" s="49"/>
      <c r="B2222" s="49"/>
    </row>
    <row r="2223" spans="1:2" x14ac:dyDescent="0.2">
      <c r="A2223" s="49"/>
      <c r="B2223" s="49"/>
    </row>
    <row r="2224" spans="1:2" x14ac:dyDescent="0.2">
      <c r="A2224" s="49"/>
      <c r="B2224" s="49"/>
    </row>
    <row r="2225" spans="1:2" x14ac:dyDescent="0.2">
      <c r="A2225" s="49"/>
      <c r="B2225" s="49"/>
    </row>
    <row r="2226" spans="1:2" x14ac:dyDescent="0.2">
      <c r="A2226" s="49"/>
      <c r="B2226" s="49"/>
    </row>
    <row r="2227" spans="1:2" x14ac:dyDescent="0.2">
      <c r="A2227" s="49"/>
      <c r="B2227" s="49"/>
    </row>
    <row r="2228" spans="1:2" x14ac:dyDescent="0.2">
      <c r="A2228" s="49"/>
      <c r="B2228" s="49"/>
    </row>
    <row r="2229" spans="1:2" x14ac:dyDescent="0.2">
      <c r="A2229" s="49"/>
      <c r="B2229" s="49"/>
    </row>
    <row r="2230" spans="1:2" x14ac:dyDescent="0.2">
      <c r="A2230" s="49"/>
      <c r="B2230" s="49"/>
    </row>
    <row r="2231" spans="1:2" x14ac:dyDescent="0.2">
      <c r="A2231" s="49"/>
      <c r="B2231" s="49"/>
    </row>
    <row r="2232" spans="1:2" x14ac:dyDescent="0.2">
      <c r="A2232" s="49"/>
      <c r="B2232" s="49"/>
    </row>
    <row r="2233" spans="1:2" x14ac:dyDescent="0.2">
      <c r="A2233" s="49"/>
      <c r="B2233" s="49"/>
    </row>
    <row r="2234" spans="1:2" x14ac:dyDescent="0.2">
      <c r="A2234" s="49"/>
      <c r="B2234" s="49"/>
    </row>
    <row r="2235" spans="1:2" x14ac:dyDescent="0.2">
      <c r="A2235" s="49"/>
      <c r="B2235" s="49"/>
    </row>
    <row r="2236" spans="1:2" x14ac:dyDescent="0.2">
      <c r="A2236" s="49"/>
      <c r="B2236" s="49"/>
    </row>
    <row r="2237" spans="1:2" x14ac:dyDescent="0.2">
      <c r="A2237" s="49"/>
      <c r="B2237" s="49"/>
    </row>
    <row r="2238" spans="1:2" x14ac:dyDescent="0.2">
      <c r="A2238" s="49"/>
      <c r="B2238" s="49"/>
    </row>
    <row r="2239" spans="1:2" x14ac:dyDescent="0.2">
      <c r="A2239" s="49"/>
      <c r="B2239" s="49"/>
    </row>
    <row r="2240" spans="1:2" x14ac:dyDescent="0.2">
      <c r="A2240" s="49"/>
      <c r="B2240" s="49"/>
    </row>
    <row r="2241" spans="1:2" x14ac:dyDescent="0.2">
      <c r="A2241" s="49"/>
      <c r="B2241" s="49"/>
    </row>
    <row r="2242" spans="1:2" x14ac:dyDescent="0.2">
      <c r="A2242" s="49"/>
      <c r="B2242" s="49"/>
    </row>
    <row r="2243" spans="1:2" x14ac:dyDescent="0.2">
      <c r="A2243" s="49"/>
      <c r="B2243" s="49"/>
    </row>
    <row r="2244" spans="1:2" x14ac:dyDescent="0.2">
      <c r="A2244" s="49"/>
      <c r="B2244" s="49"/>
    </row>
    <row r="2245" spans="1:2" x14ac:dyDescent="0.2">
      <c r="A2245" s="49"/>
      <c r="B2245" s="49"/>
    </row>
    <row r="2246" spans="1:2" x14ac:dyDescent="0.2">
      <c r="A2246" s="49"/>
      <c r="B2246" s="49"/>
    </row>
    <row r="2247" spans="1:2" x14ac:dyDescent="0.2">
      <c r="A2247" s="49"/>
      <c r="B2247" s="49"/>
    </row>
    <row r="2248" spans="1:2" x14ac:dyDescent="0.2">
      <c r="A2248" s="49"/>
      <c r="B2248" s="49"/>
    </row>
    <row r="2249" spans="1:2" x14ac:dyDescent="0.2">
      <c r="A2249" s="49"/>
      <c r="B2249" s="49"/>
    </row>
    <row r="2250" spans="1:2" x14ac:dyDescent="0.2">
      <c r="A2250" s="49"/>
      <c r="B2250" s="49"/>
    </row>
    <row r="2251" spans="1:2" x14ac:dyDescent="0.2">
      <c r="A2251" s="49"/>
      <c r="B2251" s="49"/>
    </row>
    <row r="2252" spans="1:2" x14ac:dyDescent="0.2">
      <c r="A2252" s="49"/>
      <c r="B2252" s="49"/>
    </row>
    <row r="2253" spans="1:2" x14ac:dyDescent="0.2">
      <c r="A2253" s="49"/>
      <c r="B2253" s="49"/>
    </row>
    <row r="2254" spans="1:2" x14ac:dyDescent="0.2">
      <c r="A2254" s="49"/>
      <c r="B2254" s="49"/>
    </row>
    <row r="2255" spans="1:2" x14ac:dyDescent="0.2">
      <c r="A2255" s="49"/>
      <c r="B2255" s="49"/>
    </row>
    <row r="2256" spans="1:2" x14ac:dyDescent="0.2">
      <c r="A2256" s="49"/>
      <c r="B2256" s="49"/>
    </row>
    <row r="2257" spans="1:2" x14ac:dyDescent="0.2">
      <c r="A2257" s="49"/>
      <c r="B2257" s="49"/>
    </row>
    <row r="2258" spans="1:2" x14ac:dyDescent="0.2">
      <c r="A2258" s="49"/>
      <c r="B2258" s="49"/>
    </row>
    <row r="2259" spans="1:2" x14ac:dyDescent="0.2">
      <c r="A2259" s="49"/>
      <c r="B2259" s="49"/>
    </row>
    <row r="2260" spans="1:2" x14ac:dyDescent="0.2">
      <c r="A2260" s="49"/>
      <c r="B2260" s="49"/>
    </row>
    <row r="2261" spans="1:2" x14ac:dyDescent="0.2">
      <c r="A2261" s="49"/>
      <c r="B2261" s="49"/>
    </row>
    <row r="2262" spans="1:2" x14ac:dyDescent="0.2">
      <c r="A2262" s="49"/>
      <c r="B2262" s="49"/>
    </row>
    <row r="2263" spans="1:2" x14ac:dyDescent="0.2">
      <c r="A2263" s="49"/>
      <c r="B2263" s="49"/>
    </row>
    <row r="2264" spans="1:2" x14ac:dyDescent="0.2">
      <c r="A2264" s="49"/>
      <c r="B2264" s="49"/>
    </row>
    <row r="2265" spans="1:2" x14ac:dyDescent="0.2">
      <c r="A2265" s="49"/>
      <c r="B2265" s="49"/>
    </row>
    <row r="2266" spans="1:2" x14ac:dyDescent="0.2">
      <c r="A2266" s="49"/>
      <c r="B2266" s="49"/>
    </row>
    <row r="2267" spans="1:2" x14ac:dyDescent="0.2">
      <c r="A2267" s="49"/>
      <c r="B2267" s="49"/>
    </row>
    <row r="2268" spans="1:2" x14ac:dyDescent="0.2">
      <c r="A2268" s="49"/>
      <c r="B2268" s="49"/>
    </row>
    <row r="2269" spans="1:2" x14ac:dyDescent="0.2">
      <c r="A2269" s="49"/>
      <c r="B2269" s="49"/>
    </row>
    <row r="2270" spans="1:2" x14ac:dyDescent="0.2">
      <c r="A2270" s="49"/>
      <c r="B2270" s="49"/>
    </row>
    <row r="2271" spans="1:2" x14ac:dyDescent="0.2">
      <c r="A2271" s="49"/>
      <c r="B2271" s="49"/>
    </row>
    <row r="2272" spans="1:2" x14ac:dyDescent="0.2">
      <c r="A2272" s="49"/>
      <c r="B2272" s="49"/>
    </row>
    <row r="2273" spans="1:7" x14ac:dyDescent="0.2">
      <c r="A2273" s="49"/>
      <c r="B2273" s="49"/>
    </row>
    <row r="2274" spans="1:7" x14ac:dyDescent="0.2">
      <c r="A2274" s="49"/>
      <c r="B2274" s="49"/>
    </row>
    <row r="2275" spans="1:7" x14ac:dyDescent="0.2">
      <c r="A2275" s="49"/>
      <c r="B2275" s="49"/>
    </row>
    <row r="2276" spans="1:7" x14ac:dyDescent="0.2">
      <c r="A2276" s="49"/>
      <c r="B2276" s="49"/>
    </row>
    <row r="2277" spans="1:7" x14ac:dyDescent="0.2">
      <c r="A2277" s="49"/>
      <c r="B2277" s="49"/>
    </row>
    <row r="2278" spans="1:7" x14ac:dyDescent="0.2">
      <c r="A2278" s="49"/>
      <c r="B2278" s="49"/>
    </row>
    <row r="2279" spans="1:7" x14ac:dyDescent="0.2">
      <c r="A2279" s="49"/>
      <c r="B2279" s="49"/>
    </row>
    <row r="2280" spans="1:7" x14ac:dyDescent="0.2">
      <c r="A2280" s="49"/>
      <c r="B2280" s="49"/>
    </row>
    <row r="2281" spans="1:7" x14ac:dyDescent="0.2">
      <c r="A2281" s="49"/>
      <c r="B2281" s="49"/>
    </row>
    <row r="2282" spans="1:7" x14ac:dyDescent="0.2">
      <c r="A2282" s="49"/>
      <c r="B2282" s="49"/>
    </row>
    <row r="2283" spans="1:7" x14ac:dyDescent="0.2">
      <c r="A2283" s="49"/>
      <c r="B2283" s="49"/>
    </row>
    <row r="2284" spans="1:7" x14ac:dyDescent="0.2">
      <c r="A2284" s="49"/>
      <c r="B2284" s="49"/>
    </row>
    <row r="2285" spans="1:7" x14ac:dyDescent="0.2">
      <c r="A2285" s="49"/>
      <c r="B2285" s="49"/>
    </row>
    <row r="2286" spans="1:7" x14ac:dyDescent="0.2">
      <c r="A2286" s="49"/>
      <c r="B2286" s="49"/>
    </row>
    <row r="2287" spans="1:7" x14ac:dyDescent="0.2">
      <c r="A2287" s="49"/>
      <c r="B2287" s="49"/>
    </row>
    <row r="2288" spans="1:7" x14ac:dyDescent="0.2">
      <c r="A2288" s="49"/>
      <c r="B2288" s="49"/>
      <c r="C2288" s="49"/>
      <c r="D2288" s="49"/>
      <c r="E2288" s="49"/>
      <c r="F2288" s="49"/>
      <c r="G2288" s="49"/>
    </row>
    <row r="2289" spans="1:2" x14ac:dyDescent="0.2">
      <c r="A2289" s="49"/>
      <c r="B2289" s="49"/>
    </row>
    <row r="2290" spans="1:2" x14ac:dyDescent="0.2">
      <c r="A2290" s="49"/>
      <c r="B2290" s="49"/>
    </row>
    <row r="2291" spans="1:2" x14ac:dyDescent="0.2">
      <c r="A2291" s="49"/>
      <c r="B2291" s="49"/>
    </row>
    <row r="2292" spans="1:2" x14ac:dyDescent="0.2">
      <c r="A2292" s="49"/>
      <c r="B2292" s="49"/>
    </row>
    <row r="2293" spans="1:2" x14ac:dyDescent="0.2">
      <c r="A2293" s="49"/>
      <c r="B2293" s="49"/>
    </row>
    <row r="2294" spans="1:2" x14ac:dyDescent="0.2">
      <c r="A2294" s="49"/>
      <c r="B2294" s="49"/>
    </row>
    <row r="2295" spans="1:2" x14ac:dyDescent="0.2">
      <c r="A2295" s="49"/>
      <c r="B2295" s="49"/>
    </row>
    <row r="2296" spans="1:2" x14ac:dyDescent="0.2">
      <c r="A2296" s="49"/>
      <c r="B2296" s="49"/>
    </row>
    <row r="2297" spans="1:2" x14ac:dyDescent="0.2">
      <c r="A2297" s="49"/>
      <c r="B2297" s="49"/>
    </row>
    <row r="2298" spans="1:2" x14ac:dyDescent="0.2">
      <c r="A2298" s="49"/>
      <c r="B2298" s="49"/>
    </row>
    <row r="2299" spans="1:2" x14ac:dyDescent="0.2">
      <c r="A2299" s="49"/>
      <c r="B2299" s="49"/>
    </row>
    <row r="2300" spans="1:2" x14ac:dyDescent="0.2">
      <c r="A2300" s="49"/>
      <c r="B2300" s="49"/>
    </row>
    <row r="2301" spans="1:2" x14ac:dyDescent="0.2">
      <c r="A2301" s="49"/>
      <c r="B2301" s="49"/>
    </row>
    <row r="2302" spans="1:2" x14ac:dyDescent="0.2">
      <c r="A2302" s="49"/>
      <c r="B2302" s="49"/>
    </row>
    <row r="2303" spans="1:2" x14ac:dyDescent="0.2">
      <c r="A2303" s="49"/>
      <c r="B2303" s="49"/>
    </row>
    <row r="2304" spans="1:2" x14ac:dyDescent="0.2">
      <c r="A2304" s="49"/>
      <c r="B2304" s="49"/>
    </row>
    <row r="2305" spans="1:2" x14ac:dyDescent="0.2">
      <c r="A2305" s="49"/>
      <c r="B2305" s="49"/>
    </row>
    <row r="2306" spans="1:2" x14ac:dyDescent="0.2">
      <c r="A2306" s="49"/>
      <c r="B2306" s="49"/>
    </row>
    <row r="2307" spans="1:2" x14ac:dyDescent="0.2">
      <c r="A2307" s="49"/>
      <c r="B2307" s="49"/>
    </row>
    <row r="2308" spans="1:2" x14ac:dyDescent="0.2">
      <c r="A2308" s="49"/>
      <c r="B2308" s="49"/>
    </row>
    <row r="2309" spans="1:2" x14ac:dyDescent="0.2">
      <c r="A2309" s="49"/>
      <c r="B2309" s="49"/>
    </row>
    <row r="2310" spans="1:2" x14ac:dyDescent="0.2">
      <c r="A2310" s="49"/>
      <c r="B2310" s="49"/>
    </row>
    <row r="2311" spans="1:2" x14ac:dyDescent="0.2">
      <c r="A2311" s="49"/>
      <c r="B2311" s="49"/>
    </row>
    <row r="2312" spans="1:2" x14ac:dyDescent="0.2">
      <c r="A2312" s="49"/>
      <c r="B2312" s="49"/>
    </row>
    <row r="2313" spans="1:2" x14ac:dyDescent="0.2">
      <c r="A2313" s="49"/>
      <c r="B2313" s="49"/>
    </row>
    <row r="2314" spans="1:2" x14ac:dyDescent="0.2">
      <c r="A2314" s="49"/>
      <c r="B2314" s="49"/>
    </row>
    <row r="2315" spans="1:2" x14ac:dyDescent="0.2">
      <c r="A2315" s="49"/>
      <c r="B2315" s="49"/>
    </row>
    <row r="2316" spans="1:2" x14ac:dyDescent="0.2">
      <c r="A2316" s="49"/>
      <c r="B2316" s="49"/>
    </row>
    <row r="2317" spans="1:2" x14ac:dyDescent="0.2">
      <c r="A2317" s="49"/>
      <c r="B2317" s="49"/>
    </row>
    <row r="2318" spans="1:2" x14ac:dyDescent="0.2">
      <c r="A2318" s="49"/>
      <c r="B2318" s="49"/>
    </row>
    <row r="2319" spans="1:2" x14ac:dyDescent="0.2">
      <c r="A2319" s="49"/>
      <c r="B2319" s="49"/>
    </row>
    <row r="2320" spans="1:2" x14ac:dyDescent="0.2">
      <c r="A2320" s="49"/>
      <c r="B2320" s="49"/>
    </row>
    <row r="2321" spans="1:2" x14ac:dyDescent="0.2">
      <c r="A2321" s="49"/>
      <c r="B2321" s="49"/>
    </row>
    <row r="2322" spans="1:2" x14ac:dyDescent="0.2">
      <c r="A2322" s="49"/>
      <c r="B2322" s="49"/>
    </row>
    <row r="2323" spans="1:2" x14ac:dyDescent="0.2">
      <c r="A2323" s="49"/>
      <c r="B2323" s="49"/>
    </row>
    <row r="2324" spans="1:2" x14ac:dyDescent="0.2">
      <c r="A2324" s="49"/>
      <c r="B2324" s="49"/>
    </row>
    <row r="2325" spans="1:2" x14ac:dyDescent="0.2">
      <c r="A2325" s="49"/>
      <c r="B2325" s="49"/>
    </row>
    <row r="2326" spans="1:2" x14ac:dyDescent="0.2">
      <c r="A2326" s="49"/>
      <c r="B2326" s="49"/>
    </row>
    <row r="2327" spans="1:2" x14ac:dyDescent="0.2">
      <c r="A2327" s="49"/>
      <c r="B2327" s="49"/>
    </row>
    <row r="2328" spans="1:2" x14ac:dyDescent="0.2">
      <c r="A2328" s="49"/>
      <c r="B2328" s="49"/>
    </row>
    <row r="2329" spans="1:2" x14ac:dyDescent="0.2">
      <c r="A2329" s="49"/>
      <c r="B2329" s="49"/>
    </row>
    <row r="2330" spans="1:2" x14ac:dyDescent="0.2">
      <c r="A2330" s="49"/>
      <c r="B2330" s="49"/>
    </row>
    <row r="2331" spans="1:2" x14ac:dyDescent="0.2">
      <c r="A2331" s="49"/>
      <c r="B2331" s="49"/>
    </row>
    <row r="2332" spans="1:2" x14ac:dyDescent="0.2">
      <c r="A2332" s="49"/>
      <c r="B2332" s="49"/>
    </row>
    <row r="2333" spans="1:2" x14ac:dyDescent="0.2">
      <c r="A2333" s="49"/>
      <c r="B2333" s="49"/>
    </row>
    <row r="2334" spans="1:2" x14ac:dyDescent="0.2">
      <c r="A2334" s="49"/>
      <c r="B2334" s="49"/>
    </row>
    <row r="2335" spans="1:2" x14ac:dyDescent="0.2">
      <c r="A2335" s="49"/>
      <c r="B2335" s="49"/>
    </row>
    <row r="2336" spans="1:2" x14ac:dyDescent="0.2">
      <c r="A2336" s="49"/>
      <c r="B2336" s="49"/>
    </row>
    <row r="2337" spans="1:2" x14ac:dyDescent="0.2">
      <c r="A2337" s="49"/>
      <c r="B2337" s="49"/>
    </row>
    <row r="2338" spans="1:2" x14ac:dyDescent="0.2">
      <c r="A2338" s="49"/>
      <c r="B2338" s="49"/>
    </row>
    <row r="2339" spans="1:2" x14ac:dyDescent="0.2">
      <c r="A2339" s="49"/>
      <c r="B2339" s="49"/>
    </row>
    <row r="2340" spans="1:2" x14ac:dyDescent="0.2">
      <c r="A2340" s="49"/>
      <c r="B2340" s="49"/>
    </row>
    <row r="2341" spans="1:2" x14ac:dyDescent="0.2">
      <c r="A2341" s="49"/>
      <c r="B2341" s="49"/>
    </row>
    <row r="2342" spans="1:2" x14ac:dyDescent="0.2">
      <c r="A2342" s="49"/>
      <c r="B2342" s="49"/>
    </row>
    <row r="2343" spans="1:2" x14ac:dyDescent="0.2">
      <c r="A2343" s="49"/>
      <c r="B2343" s="49"/>
    </row>
    <row r="2344" spans="1:2" x14ac:dyDescent="0.2">
      <c r="A2344" s="49"/>
      <c r="B2344" s="49"/>
    </row>
    <row r="2345" spans="1:2" x14ac:dyDescent="0.2">
      <c r="A2345" s="49"/>
      <c r="B2345" s="49"/>
    </row>
    <row r="2346" spans="1:2" x14ac:dyDescent="0.2">
      <c r="A2346" s="49"/>
      <c r="B2346" s="49"/>
    </row>
    <row r="2347" spans="1:2" x14ac:dyDescent="0.2">
      <c r="A2347" s="49"/>
      <c r="B2347" s="49"/>
    </row>
    <row r="2348" spans="1:2" x14ac:dyDescent="0.2">
      <c r="A2348" s="49"/>
      <c r="B2348" s="49"/>
    </row>
    <row r="2349" spans="1:2" x14ac:dyDescent="0.2">
      <c r="A2349" s="49"/>
      <c r="B2349" s="49"/>
    </row>
    <row r="2350" spans="1:2" x14ac:dyDescent="0.2">
      <c r="A2350" s="49"/>
      <c r="B2350" s="49"/>
    </row>
    <row r="2351" spans="1:2" x14ac:dyDescent="0.2">
      <c r="A2351" s="49"/>
      <c r="B2351" s="49"/>
    </row>
    <row r="2352" spans="1:2" x14ac:dyDescent="0.2">
      <c r="A2352" s="49"/>
      <c r="B2352" s="49"/>
    </row>
    <row r="2353" spans="1:2" x14ac:dyDescent="0.2">
      <c r="A2353" s="49"/>
      <c r="B2353" s="49"/>
    </row>
    <row r="2354" spans="1:2" x14ac:dyDescent="0.2">
      <c r="A2354" s="49"/>
      <c r="B2354" s="49"/>
    </row>
    <row r="2355" spans="1:2" x14ac:dyDescent="0.2">
      <c r="A2355" s="49"/>
      <c r="B2355" s="49"/>
    </row>
    <row r="2356" spans="1:2" x14ac:dyDescent="0.2">
      <c r="A2356" s="49"/>
      <c r="B2356" s="49"/>
    </row>
    <row r="2357" spans="1:2" x14ac:dyDescent="0.2">
      <c r="A2357" s="49"/>
      <c r="B2357" s="49"/>
    </row>
    <row r="2358" spans="1:2" x14ac:dyDescent="0.2">
      <c r="A2358" s="49"/>
      <c r="B2358" s="49"/>
    </row>
    <row r="2359" spans="1:2" x14ac:dyDescent="0.2">
      <c r="A2359" s="49"/>
      <c r="B2359" s="49"/>
    </row>
    <row r="2360" spans="1:2" x14ac:dyDescent="0.2">
      <c r="A2360" s="49"/>
      <c r="B2360" s="49"/>
    </row>
    <row r="2361" spans="1:2" x14ac:dyDescent="0.2">
      <c r="A2361" s="49"/>
      <c r="B2361" s="49"/>
    </row>
    <row r="2362" spans="1:2" x14ac:dyDescent="0.2">
      <c r="A2362" s="49"/>
      <c r="B2362" s="49"/>
    </row>
    <row r="2363" spans="1:2" x14ac:dyDescent="0.2">
      <c r="A2363" s="49"/>
      <c r="B2363" s="49"/>
    </row>
    <row r="2364" spans="1:2" x14ac:dyDescent="0.2">
      <c r="A2364" s="49"/>
      <c r="B2364" s="49"/>
    </row>
    <row r="2365" spans="1:2" x14ac:dyDescent="0.2">
      <c r="A2365" s="49"/>
      <c r="B2365" s="49"/>
    </row>
    <row r="2366" spans="1:2" x14ac:dyDescent="0.2">
      <c r="A2366" s="49"/>
      <c r="B2366" s="49"/>
    </row>
    <row r="2367" spans="1:2" x14ac:dyDescent="0.2">
      <c r="A2367" s="49"/>
      <c r="B2367" s="49"/>
    </row>
    <row r="2368" spans="1:2" x14ac:dyDescent="0.2">
      <c r="A2368" s="49"/>
      <c r="B2368" s="49"/>
    </row>
    <row r="2369" spans="1:2" x14ac:dyDescent="0.2">
      <c r="A2369" s="49"/>
      <c r="B2369" s="49"/>
    </row>
    <row r="2370" spans="1:2" x14ac:dyDescent="0.2">
      <c r="A2370" s="49"/>
      <c r="B2370" s="49"/>
    </row>
    <row r="2371" spans="1:2" x14ac:dyDescent="0.2">
      <c r="A2371" s="49"/>
      <c r="B2371" s="49"/>
    </row>
    <row r="2372" spans="1:2" x14ac:dyDescent="0.2">
      <c r="A2372" s="49"/>
      <c r="B2372" s="49"/>
    </row>
    <row r="2373" spans="1:2" x14ac:dyDescent="0.2">
      <c r="A2373" s="49"/>
      <c r="B2373" s="49"/>
    </row>
    <row r="2374" spans="1:2" x14ac:dyDescent="0.2">
      <c r="A2374" s="49"/>
      <c r="B2374" s="49"/>
    </row>
    <row r="2375" spans="1:2" x14ac:dyDescent="0.2">
      <c r="A2375" s="49"/>
      <c r="B2375" s="49"/>
    </row>
    <row r="2376" spans="1:2" x14ac:dyDescent="0.2">
      <c r="A2376" s="49"/>
      <c r="B2376" s="49"/>
    </row>
    <row r="2377" spans="1:2" x14ac:dyDescent="0.2">
      <c r="A2377" s="49"/>
      <c r="B2377" s="49"/>
    </row>
    <row r="2378" spans="1:2" x14ac:dyDescent="0.2">
      <c r="A2378" s="49"/>
      <c r="B2378" s="49"/>
    </row>
    <row r="2379" spans="1:2" x14ac:dyDescent="0.2">
      <c r="A2379" s="49"/>
      <c r="B2379" s="49"/>
    </row>
    <row r="2380" spans="1:2" x14ac:dyDescent="0.2">
      <c r="A2380" s="49"/>
      <c r="B2380" s="49"/>
    </row>
    <row r="2381" spans="1:2" x14ac:dyDescent="0.2">
      <c r="A2381" s="49"/>
      <c r="B2381" s="49"/>
    </row>
    <row r="2382" spans="1:2" x14ac:dyDescent="0.2">
      <c r="A2382" s="49"/>
      <c r="B2382" s="49"/>
    </row>
    <row r="2383" spans="1:2" x14ac:dyDescent="0.2">
      <c r="A2383" s="49"/>
      <c r="B2383" s="49"/>
    </row>
    <row r="2384" spans="1:2" x14ac:dyDescent="0.2">
      <c r="A2384" s="49"/>
      <c r="B2384" s="49"/>
    </row>
    <row r="2385" spans="1:2" x14ac:dyDescent="0.2">
      <c r="A2385" s="49"/>
      <c r="B2385" s="49"/>
    </row>
    <row r="2386" spans="1:2" x14ac:dyDescent="0.2">
      <c r="A2386" s="49"/>
      <c r="B2386" s="49"/>
    </row>
    <row r="2387" spans="1:2" x14ac:dyDescent="0.2">
      <c r="A2387" s="49"/>
      <c r="B2387" s="49"/>
    </row>
    <row r="2388" spans="1:2" x14ac:dyDescent="0.2">
      <c r="A2388" s="49"/>
      <c r="B2388" s="49"/>
    </row>
    <row r="2389" spans="1:2" x14ac:dyDescent="0.2">
      <c r="A2389" s="49"/>
      <c r="B2389" s="49"/>
    </row>
    <row r="2390" spans="1:2" x14ac:dyDescent="0.2">
      <c r="A2390" s="49"/>
      <c r="B2390" s="49"/>
    </row>
    <row r="2391" spans="1:2" x14ac:dyDescent="0.2">
      <c r="A2391" s="49"/>
      <c r="B2391" s="49"/>
    </row>
    <row r="2392" spans="1:2" x14ac:dyDescent="0.2">
      <c r="A2392" s="49"/>
      <c r="B2392" s="49"/>
    </row>
    <row r="2393" spans="1:2" x14ac:dyDescent="0.2">
      <c r="A2393" s="49"/>
      <c r="B2393" s="49"/>
    </row>
    <row r="2394" spans="1:2" x14ac:dyDescent="0.2">
      <c r="A2394" s="49"/>
      <c r="B2394" s="49"/>
    </row>
    <row r="2395" spans="1:2" x14ac:dyDescent="0.2">
      <c r="A2395" s="49"/>
      <c r="B2395" s="49"/>
    </row>
    <row r="2396" spans="1:2" x14ac:dyDescent="0.2">
      <c r="A2396" s="49"/>
      <c r="B2396" s="49"/>
    </row>
    <row r="2397" spans="1:2" x14ac:dyDescent="0.2">
      <c r="A2397" s="49"/>
      <c r="B2397" s="49"/>
    </row>
    <row r="2398" spans="1:2" x14ac:dyDescent="0.2">
      <c r="A2398" s="49"/>
      <c r="B2398" s="49"/>
    </row>
    <row r="2399" spans="1:2" x14ac:dyDescent="0.2">
      <c r="A2399" s="49"/>
      <c r="B2399" s="49"/>
    </row>
    <row r="2400" spans="1:2" x14ac:dyDescent="0.2">
      <c r="A2400" s="49"/>
      <c r="B2400" s="49"/>
    </row>
    <row r="2401" spans="1:2" x14ac:dyDescent="0.2">
      <c r="A2401" s="49"/>
      <c r="B2401" s="49"/>
    </row>
    <row r="2402" spans="1:2" x14ac:dyDescent="0.2">
      <c r="A2402" s="49"/>
      <c r="B2402" s="49"/>
    </row>
    <row r="2403" spans="1:2" x14ac:dyDescent="0.2">
      <c r="A2403" s="49"/>
      <c r="B2403" s="49"/>
    </row>
    <row r="2404" spans="1:2" x14ac:dyDescent="0.2">
      <c r="A2404" s="49"/>
      <c r="B2404" s="49"/>
    </row>
    <row r="2405" spans="1:2" x14ac:dyDescent="0.2">
      <c r="A2405" s="49"/>
      <c r="B2405" s="49"/>
    </row>
    <row r="2406" spans="1:2" x14ac:dyDescent="0.2">
      <c r="A2406" s="49"/>
      <c r="B2406" s="49"/>
    </row>
    <row r="2407" spans="1:2" x14ac:dyDescent="0.2">
      <c r="A2407" s="49"/>
      <c r="B2407" s="49"/>
    </row>
    <row r="2408" spans="1:2" x14ac:dyDescent="0.2">
      <c r="A2408" s="49"/>
      <c r="B2408" s="49"/>
    </row>
    <row r="2409" spans="1:2" x14ac:dyDescent="0.2">
      <c r="A2409" s="49"/>
      <c r="B2409" s="49"/>
    </row>
    <row r="2410" spans="1:2" x14ac:dyDescent="0.2">
      <c r="A2410" s="49"/>
      <c r="B2410" s="49"/>
    </row>
    <row r="2411" spans="1:2" x14ac:dyDescent="0.2">
      <c r="A2411" s="49"/>
      <c r="B2411" s="49"/>
    </row>
    <row r="2412" spans="1:2" x14ac:dyDescent="0.2">
      <c r="A2412" s="49"/>
      <c r="B2412" s="49"/>
    </row>
    <row r="2413" spans="1:2" x14ac:dyDescent="0.2">
      <c r="A2413" s="49"/>
      <c r="B2413" s="49"/>
    </row>
    <row r="2414" spans="1:2" x14ac:dyDescent="0.2">
      <c r="A2414" s="49"/>
      <c r="B2414" s="49"/>
    </row>
    <row r="2415" spans="1:2" x14ac:dyDescent="0.2">
      <c r="A2415" s="49"/>
      <c r="B2415" s="49"/>
    </row>
    <row r="2416" spans="1:2" x14ac:dyDescent="0.2">
      <c r="A2416" s="49"/>
      <c r="B2416" s="49"/>
    </row>
    <row r="2417" spans="1:2" x14ac:dyDescent="0.2">
      <c r="A2417" s="49"/>
      <c r="B2417" s="49"/>
    </row>
    <row r="2418" spans="1:2" x14ac:dyDescent="0.2">
      <c r="A2418" s="49"/>
      <c r="B2418" s="49"/>
    </row>
    <row r="2419" spans="1:2" x14ac:dyDescent="0.2">
      <c r="A2419" s="49"/>
      <c r="B2419" s="49"/>
    </row>
    <row r="2420" spans="1:2" x14ac:dyDescent="0.2">
      <c r="A2420" s="49"/>
      <c r="B2420" s="49"/>
    </row>
    <row r="2421" spans="1:2" x14ac:dyDescent="0.2">
      <c r="A2421" s="49"/>
      <c r="B2421" s="49"/>
    </row>
    <row r="2422" spans="1:2" x14ac:dyDescent="0.2">
      <c r="A2422" s="49"/>
      <c r="B2422" s="49"/>
    </row>
    <row r="2423" spans="1:2" x14ac:dyDescent="0.2">
      <c r="A2423" s="49"/>
      <c r="B2423" s="49"/>
    </row>
    <row r="2424" spans="1:2" x14ac:dyDescent="0.2">
      <c r="A2424" s="49"/>
      <c r="B2424" s="49"/>
    </row>
    <row r="2425" spans="1:2" x14ac:dyDescent="0.2">
      <c r="A2425" s="49"/>
      <c r="B2425" s="49"/>
    </row>
    <row r="2426" spans="1:2" x14ac:dyDescent="0.2">
      <c r="A2426" s="49"/>
      <c r="B2426" s="49"/>
    </row>
    <row r="2427" spans="1:2" x14ac:dyDescent="0.2">
      <c r="A2427" s="49"/>
      <c r="B2427" s="49"/>
    </row>
    <row r="2428" spans="1:2" x14ac:dyDescent="0.2">
      <c r="A2428" s="49"/>
      <c r="B2428" s="49"/>
    </row>
    <row r="2429" spans="1:2" x14ac:dyDescent="0.2">
      <c r="A2429" s="49"/>
      <c r="B2429" s="49"/>
    </row>
    <row r="2430" spans="1:2" x14ac:dyDescent="0.2">
      <c r="A2430" s="49"/>
      <c r="B2430" s="49"/>
    </row>
    <row r="2431" spans="1:2" x14ac:dyDescent="0.2">
      <c r="A2431" s="49"/>
      <c r="B2431" s="49"/>
    </row>
    <row r="2432" spans="1:2" x14ac:dyDescent="0.2">
      <c r="A2432" s="49"/>
      <c r="B2432" s="49"/>
    </row>
    <row r="2433" spans="1:2" x14ac:dyDescent="0.2">
      <c r="A2433" s="49"/>
      <c r="B2433" s="49"/>
    </row>
    <row r="2434" spans="1:2" x14ac:dyDescent="0.2">
      <c r="A2434" s="49"/>
      <c r="B2434" s="49"/>
    </row>
    <row r="2435" spans="1:2" x14ac:dyDescent="0.2">
      <c r="A2435" s="49"/>
      <c r="B2435" s="49"/>
    </row>
    <row r="2436" spans="1:2" x14ac:dyDescent="0.2">
      <c r="A2436" s="49"/>
      <c r="B2436" s="49"/>
    </row>
    <row r="2437" spans="1:2" x14ac:dyDescent="0.2">
      <c r="A2437" s="49"/>
      <c r="B2437" s="49"/>
    </row>
    <row r="2438" spans="1:2" x14ac:dyDescent="0.2">
      <c r="A2438" s="49"/>
      <c r="B2438" s="49"/>
    </row>
    <row r="2439" spans="1:2" x14ac:dyDescent="0.2">
      <c r="A2439" s="49"/>
      <c r="B2439" s="49"/>
    </row>
    <row r="2440" spans="1:2" x14ac:dyDescent="0.2">
      <c r="A2440" s="49"/>
      <c r="B2440" s="49"/>
    </row>
    <row r="2441" spans="1:2" x14ac:dyDescent="0.2">
      <c r="A2441" s="49"/>
      <c r="B2441" s="49"/>
    </row>
    <row r="2442" spans="1:2" x14ac:dyDescent="0.2">
      <c r="A2442" s="49"/>
      <c r="B2442" s="49"/>
    </row>
    <row r="2443" spans="1:2" x14ac:dyDescent="0.2">
      <c r="A2443" s="49"/>
      <c r="B2443" s="49"/>
    </row>
    <row r="2444" spans="1:2" x14ac:dyDescent="0.2">
      <c r="A2444" s="49"/>
      <c r="B2444" s="49"/>
    </row>
    <row r="2445" spans="1:2" x14ac:dyDescent="0.2">
      <c r="A2445" s="49"/>
      <c r="B2445" s="49"/>
    </row>
    <row r="2446" spans="1:2" x14ac:dyDescent="0.2">
      <c r="A2446" s="49"/>
      <c r="B2446" s="49"/>
    </row>
    <row r="2447" spans="1:2" x14ac:dyDescent="0.2">
      <c r="A2447" s="49"/>
      <c r="B2447" s="49"/>
    </row>
    <row r="2448" spans="1:2" x14ac:dyDescent="0.2">
      <c r="A2448" s="49"/>
      <c r="B2448" s="49"/>
    </row>
    <row r="2449" spans="1:2" x14ac:dyDescent="0.2">
      <c r="A2449" s="49"/>
      <c r="B2449" s="49"/>
    </row>
    <row r="2450" spans="1:2" x14ac:dyDescent="0.2">
      <c r="A2450" s="49"/>
      <c r="B2450" s="49"/>
    </row>
    <row r="2451" spans="1:2" x14ac:dyDescent="0.2">
      <c r="A2451" s="49"/>
      <c r="B2451" s="49"/>
    </row>
    <row r="2452" spans="1:2" x14ac:dyDescent="0.2">
      <c r="A2452" s="49"/>
      <c r="B2452" s="49"/>
    </row>
    <row r="2453" spans="1:2" x14ac:dyDescent="0.2">
      <c r="A2453" s="49"/>
      <c r="B2453" s="49"/>
    </row>
    <row r="2454" spans="1:2" x14ac:dyDescent="0.2">
      <c r="A2454" s="49"/>
      <c r="B2454" s="49"/>
    </row>
    <row r="2455" spans="1:2" x14ac:dyDescent="0.2">
      <c r="A2455" s="49"/>
      <c r="B2455" s="49"/>
    </row>
    <row r="2456" spans="1:2" x14ac:dyDescent="0.2">
      <c r="A2456" s="49"/>
      <c r="B2456" s="49"/>
    </row>
    <row r="2457" spans="1:2" x14ac:dyDescent="0.2">
      <c r="A2457" s="49"/>
      <c r="B2457" s="49"/>
    </row>
    <row r="2458" spans="1:2" x14ac:dyDescent="0.2">
      <c r="A2458" s="49"/>
      <c r="B2458" s="49"/>
    </row>
    <row r="2459" spans="1:2" x14ac:dyDescent="0.2">
      <c r="A2459" s="49"/>
      <c r="B2459" s="49"/>
    </row>
    <row r="2460" spans="1:2" x14ac:dyDescent="0.2">
      <c r="A2460" s="49"/>
      <c r="B2460" s="49"/>
    </row>
    <row r="2461" spans="1:2" x14ac:dyDescent="0.2">
      <c r="A2461" s="49"/>
      <c r="B2461" s="49"/>
    </row>
    <row r="2462" spans="1:2" x14ac:dyDescent="0.2">
      <c r="A2462" s="49"/>
      <c r="B2462" s="49"/>
    </row>
    <row r="2463" spans="1:2" x14ac:dyDescent="0.2">
      <c r="A2463" s="49"/>
      <c r="B2463" s="49"/>
    </row>
    <row r="2464" spans="1:2" x14ac:dyDescent="0.2">
      <c r="A2464" s="49"/>
      <c r="B2464" s="49"/>
    </row>
    <row r="2465" spans="1:2" x14ac:dyDescent="0.2">
      <c r="A2465" s="49"/>
      <c r="B2465" s="49"/>
    </row>
    <row r="2466" spans="1:2" x14ac:dyDescent="0.2">
      <c r="A2466" s="49"/>
      <c r="B2466" s="49"/>
    </row>
    <row r="2467" spans="1:2" x14ac:dyDescent="0.2">
      <c r="A2467" s="49"/>
      <c r="B2467" s="49"/>
    </row>
    <row r="2468" spans="1:2" x14ac:dyDescent="0.2">
      <c r="A2468" s="49"/>
      <c r="B2468" s="49"/>
    </row>
    <row r="2469" spans="1:2" x14ac:dyDescent="0.2">
      <c r="A2469" s="49"/>
      <c r="B2469" s="49"/>
    </row>
    <row r="2470" spans="1:2" x14ac:dyDescent="0.2">
      <c r="A2470" s="49"/>
      <c r="B2470" s="49"/>
    </row>
    <row r="2471" spans="1:2" x14ac:dyDescent="0.2">
      <c r="A2471" s="49"/>
      <c r="B2471" s="49"/>
    </row>
    <row r="2472" spans="1:2" x14ac:dyDescent="0.2">
      <c r="A2472" s="49"/>
      <c r="B2472" s="49"/>
    </row>
    <row r="2473" spans="1:2" x14ac:dyDescent="0.2">
      <c r="A2473" s="49"/>
      <c r="B2473" s="49"/>
    </row>
    <row r="2474" spans="1:2" x14ac:dyDescent="0.2">
      <c r="A2474" s="49"/>
      <c r="B2474" s="49"/>
    </row>
    <row r="2475" spans="1:2" x14ac:dyDescent="0.2">
      <c r="A2475" s="49"/>
      <c r="B2475" s="49"/>
    </row>
    <row r="2476" spans="1:2" x14ac:dyDescent="0.2">
      <c r="A2476" s="49"/>
      <c r="B2476" s="49"/>
    </row>
    <row r="2477" spans="1:2" x14ac:dyDescent="0.2">
      <c r="A2477" s="49"/>
      <c r="B2477" s="49"/>
    </row>
    <row r="2478" spans="1:2" x14ac:dyDescent="0.2">
      <c r="A2478" s="49"/>
      <c r="B2478" s="49"/>
    </row>
    <row r="2479" spans="1:2" x14ac:dyDescent="0.2">
      <c r="A2479" s="49"/>
      <c r="B2479" s="49"/>
    </row>
    <row r="2480" spans="1:2" x14ac:dyDescent="0.2">
      <c r="A2480" s="49"/>
      <c r="B2480" s="49"/>
    </row>
    <row r="2481" spans="1:2" x14ac:dyDescent="0.2">
      <c r="A2481" s="49"/>
      <c r="B2481" s="49"/>
    </row>
    <row r="2482" spans="1:2" x14ac:dyDescent="0.2">
      <c r="A2482" s="49"/>
      <c r="B2482" s="49"/>
    </row>
    <row r="2483" spans="1:2" x14ac:dyDescent="0.2">
      <c r="A2483" s="49"/>
      <c r="B2483" s="49"/>
    </row>
    <row r="2484" spans="1:2" x14ac:dyDescent="0.2">
      <c r="A2484" s="49"/>
      <c r="B2484" s="49"/>
    </row>
    <row r="2485" spans="1:2" x14ac:dyDescent="0.2">
      <c r="A2485" s="49"/>
      <c r="B2485" s="49"/>
    </row>
    <row r="2486" spans="1:2" x14ac:dyDescent="0.2">
      <c r="A2486" s="49"/>
      <c r="B2486" s="49"/>
    </row>
    <row r="2487" spans="1:2" x14ac:dyDescent="0.2">
      <c r="A2487" s="49"/>
      <c r="B2487" s="49"/>
    </row>
    <row r="2488" spans="1:2" x14ac:dyDescent="0.2">
      <c r="A2488" s="49"/>
      <c r="B2488" s="49"/>
    </row>
    <row r="2489" spans="1:2" x14ac:dyDescent="0.2">
      <c r="A2489" s="49"/>
      <c r="B2489" s="49"/>
    </row>
    <row r="2490" spans="1:2" x14ac:dyDescent="0.2">
      <c r="A2490" s="49"/>
      <c r="B2490" s="49"/>
    </row>
    <row r="2491" spans="1:2" x14ac:dyDescent="0.2">
      <c r="A2491" s="49"/>
      <c r="B2491" s="49"/>
    </row>
    <row r="2492" spans="1:2" x14ac:dyDescent="0.2">
      <c r="A2492" s="49"/>
      <c r="B2492" s="49"/>
    </row>
    <row r="2493" spans="1:2" x14ac:dyDescent="0.2">
      <c r="A2493" s="49"/>
      <c r="B2493" s="49"/>
    </row>
    <row r="2494" spans="1:2" x14ac:dyDescent="0.2">
      <c r="A2494" s="49"/>
      <c r="B2494" s="49"/>
    </row>
    <row r="2495" spans="1:2" x14ac:dyDescent="0.2">
      <c r="A2495" s="49"/>
      <c r="B2495" s="49"/>
    </row>
    <row r="2496" spans="1:2" x14ac:dyDescent="0.2">
      <c r="A2496" s="49"/>
      <c r="B2496" s="49"/>
    </row>
    <row r="2497" spans="1:2" x14ac:dyDescent="0.2">
      <c r="A2497" s="49"/>
      <c r="B2497" s="49"/>
    </row>
    <row r="2498" spans="1:2" x14ac:dyDescent="0.2">
      <c r="A2498" s="49"/>
      <c r="B2498" s="49"/>
    </row>
    <row r="2499" spans="1:2" x14ac:dyDescent="0.2">
      <c r="A2499" s="49"/>
      <c r="B2499" s="49"/>
    </row>
    <row r="2500" spans="1:2" x14ac:dyDescent="0.2">
      <c r="A2500" s="49"/>
      <c r="B2500" s="49"/>
    </row>
    <row r="2501" spans="1:2" x14ac:dyDescent="0.2">
      <c r="A2501" s="49"/>
      <c r="B2501" s="49"/>
    </row>
    <row r="2502" spans="1:2" x14ac:dyDescent="0.2">
      <c r="A2502" s="49"/>
      <c r="B2502" s="49"/>
    </row>
    <row r="2503" spans="1:2" x14ac:dyDescent="0.2">
      <c r="A2503" s="49"/>
      <c r="B2503" s="49"/>
    </row>
    <row r="2504" spans="1:2" x14ac:dyDescent="0.2">
      <c r="A2504" s="49"/>
      <c r="B2504" s="49"/>
    </row>
    <row r="2505" spans="1:2" x14ac:dyDescent="0.2">
      <c r="A2505" s="49"/>
      <c r="B2505" s="49"/>
    </row>
    <row r="2506" spans="1:2" x14ac:dyDescent="0.2">
      <c r="A2506" s="49"/>
      <c r="B2506" s="49"/>
    </row>
    <row r="2507" spans="1:2" x14ac:dyDescent="0.2">
      <c r="A2507" s="49"/>
      <c r="B2507" s="49"/>
    </row>
    <row r="2508" spans="1:2" x14ac:dyDescent="0.2">
      <c r="A2508" s="49"/>
      <c r="B2508" s="49"/>
    </row>
    <row r="2509" spans="1:2" x14ac:dyDescent="0.2">
      <c r="A2509" s="49"/>
      <c r="B2509" s="49"/>
    </row>
    <row r="2510" spans="1:2" x14ac:dyDescent="0.2">
      <c r="A2510" s="49"/>
      <c r="B2510" s="49"/>
    </row>
    <row r="2511" spans="1:2" x14ac:dyDescent="0.2">
      <c r="A2511" s="49"/>
      <c r="B2511" s="49"/>
    </row>
    <row r="2512" spans="1:2" x14ac:dyDescent="0.2">
      <c r="A2512" s="49"/>
      <c r="B2512" s="49"/>
    </row>
    <row r="2513" spans="1:2" x14ac:dyDescent="0.2">
      <c r="A2513" s="49"/>
      <c r="B2513" s="49"/>
    </row>
    <row r="2514" spans="1:2" x14ac:dyDescent="0.2">
      <c r="A2514" s="49"/>
      <c r="B2514" s="49"/>
    </row>
    <row r="2515" spans="1:2" x14ac:dyDescent="0.2">
      <c r="A2515" s="49"/>
      <c r="B2515" s="49"/>
    </row>
    <row r="2516" spans="1:2" x14ac:dyDescent="0.2">
      <c r="A2516" s="49"/>
      <c r="B2516" s="49"/>
    </row>
    <row r="2517" spans="1:2" x14ac:dyDescent="0.2">
      <c r="A2517" s="49"/>
      <c r="B2517" s="49"/>
    </row>
    <row r="2518" spans="1:2" x14ac:dyDescent="0.2">
      <c r="A2518" s="49"/>
      <c r="B2518" s="49"/>
    </row>
    <row r="2519" spans="1:2" x14ac:dyDescent="0.2">
      <c r="A2519" s="49"/>
      <c r="B2519" s="49"/>
    </row>
    <row r="2520" spans="1:2" x14ac:dyDescent="0.2">
      <c r="A2520" s="49"/>
      <c r="B2520" s="49"/>
    </row>
    <row r="2521" spans="1:2" x14ac:dyDescent="0.2">
      <c r="A2521" s="49"/>
      <c r="B2521" s="49"/>
    </row>
    <row r="2522" spans="1:2" x14ac:dyDescent="0.2">
      <c r="A2522" s="49"/>
      <c r="B2522" s="49"/>
    </row>
    <row r="2523" spans="1:2" x14ac:dyDescent="0.2">
      <c r="A2523" s="49"/>
      <c r="B2523" s="49"/>
    </row>
    <row r="2524" spans="1:2" x14ac:dyDescent="0.2">
      <c r="A2524" s="49"/>
      <c r="B2524" s="49"/>
    </row>
    <row r="2525" spans="1:2" x14ac:dyDescent="0.2">
      <c r="A2525" s="49"/>
      <c r="B2525" s="49"/>
    </row>
    <row r="2526" spans="1:2" x14ac:dyDescent="0.2">
      <c r="A2526" s="49"/>
      <c r="B2526" s="49"/>
    </row>
    <row r="2527" spans="1:2" x14ac:dyDescent="0.2">
      <c r="A2527" s="49"/>
      <c r="B2527" s="49"/>
    </row>
    <row r="2528" spans="1:2" x14ac:dyDescent="0.2">
      <c r="A2528" s="49"/>
      <c r="B2528" s="49"/>
    </row>
    <row r="2529" spans="1:2" x14ac:dyDescent="0.2">
      <c r="A2529" s="49"/>
      <c r="B2529" s="49"/>
    </row>
    <row r="2530" spans="1:2" x14ac:dyDescent="0.2">
      <c r="A2530" s="49"/>
      <c r="B2530" s="49"/>
    </row>
    <row r="2531" spans="1:2" x14ac:dyDescent="0.2">
      <c r="A2531" s="49"/>
      <c r="B2531" s="49"/>
    </row>
    <row r="2532" spans="1:2" x14ac:dyDescent="0.2">
      <c r="A2532" s="49"/>
      <c r="B2532" s="49"/>
    </row>
    <row r="2533" spans="1:2" x14ac:dyDescent="0.2">
      <c r="A2533" s="49"/>
      <c r="B2533" s="49"/>
    </row>
    <row r="2534" spans="1:2" x14ac:dyDescent="0.2">
      <c r="A2534" s="49"/>
      <c r="B2534" s="49"/>
    </row>
    <row r="2535" spans="1:2" x14ac:dyDescent="0.2">
      <c r="A2535" s="49"/>
      <c r="B2535" s="49"/>
    </row>
    <row r="2536" spans="1:2" x14ac:dyDescent="0.2">
      <c r="A2536" s="49"/>
      <c r="B2536" s="49"/>
    </row>
    <row r="2537" spans="1:2" x14ac:dyDescent="0.2">
      <c r="A2537" s="49"/>
      <c r="B2537" s="49"/>
    </row>
    <row r="2538" spans="1:2" x14ac:dyDescent="0.2">
      <c r="A2538" s="49"/>
      <c r="B2538" s="49"/>
    </row>
    <row r="2539" spans="1:2" x14ac:dyDescent="0.2">
      <c r="A2539" s="49"/>
      <c r="B2539" s="49"/>
    </row>
    <row r="2540" spans="1:2" x14ac:dyDescent="0.2">
      <c r="A2540" s="49"/>
      <c r="B2540" s="49"/>
    </row>
    <row r="2541" spans="1:2" x14ac:dyDescent="0.2">
      <c r="A2541" s="49"/>
      <c r="B2541" s="49"/>
    </row>
    <row r="2542" spans="1:2" x14ac:dyDescent="0.2">
      <c r="A2542" s="49"/>
      <c r="B2542" s="49"/>
    </row>
    <row r="2543" spans="1:2" x14ac:dyDescent="0.2">
      <c r="A2543" s="49"/>
      <c r="B2543" s="49"/>
    </row>
    <row r="2544" spans="1:2" x14ac:dyDescent="0.2">
      <c r="A2544" s="49"/>
      <c r="B2544" s="49"/>
    </row>
    <row r="2545" spans="1:7" x14ac:dyDescent="0.2">
      <c r="A2545" s="49"/>
      <c r="B2545" s="49"/>
    </row>
    <row r="2546" spans="1:7" x14ac:dyDescent="0.2">
      <c r="A2546" s="49"/>
      <c r="B2546" s="49"/>
    </row>
    <row r="2547" spans="1:7" x14ac:dyDescent="0.2">
      <c r="A2547" s="49"/>
      <c r="B2547" s="49"/>
      <c r="C2547" s="49"/>
      <c r="D2547" s="49"/>
      <c r="E2547" s="49"/>
      <c r="F2547" s="49"/>
      <c r="G2547" s="49"/>
    </row>
    <row r="2548" spans="1:7" x14ac:dyDescent="0.2">
      <c r="A2548" s="49"/>
      <c r="B2548" s="49"/>
    </row>
    <row r="2549" spans="1:7" x14ac:dyDescent="0.2">
      <c r="A2549" s="49"/>
      <c r="B2549" s="49"/>
    </row>
    <row r="2550" spans="1:7" x14ac:dyDescent="0.2">
      <c r="A2550" s="49"/>
      <c r="B2550" s="49"/>
    </row>
    <row r="2551" spans="1:7" x14ac:dyDescent="0.2">
      <c r="A2551" s="49"/>
      <c r="B2551" s="49"/>
    </row>
    <row r="2552" spans="1:7" x14ac:dyDescent="0.2">
      <c r="A2552" s="49"/>
      <c r="B2552" s="49"/>
    </row>
    <row r="2553" spans="1:7" x14ac:dyDescent="0.2">
      <c r="A2553" s="49"/>
      <c r="B2553" s="49"/>
    </row>
    <row r="2554" spans="1:7" x14ac:dyDescent="0.2">
      <c r="A2554" s="49"/>
      <c r="B2554" s="49"/>
    </row>
    <row r="2555" spans="1:7" x14ac:dyDescent="0.2">
      <c r="A2555" s="49"/>
      <c r="B2555" s="49"/>
    </row>
    <row r="2556" spans="1:7" x14ac:dyDescent="0.2">
      <c r="A2556" s="49"/>
      <c r="B2556" s="49"/>
    </row>
    <row r="2557" spans="1:7" x14ac:dyDescent="0.2">
      <c r="A2557" s="49"/>
      <c r="B2557" s="49"/>
    </row>
    <row r="2558" spans="1:7" x14ac:dyDescent="0.2">
      <c r="A2558" s="49"/>
      <c r="B2558" s="49"/>
    </row>
    <row r="2559" spans="1:7" x14ac:dyDescent="0.2">
      <c r="A2559" s="49"/>
      <c r="B2559" s="49"/>
    </row>
    <row r="2560" spans="1:7" x14ac:dyDescent="0.2">
      <c r="A2560" s="49"/>
      <c r="B2560" s="49"/>
    </row>
    <row r="2561" spans="1:2" x14ac:dyDescent="0.2">
      <c r="A2561" s="49"/>
      <c r="B2561" s="49"/>
    </row>
    <row r="2562" spans="1:2" x14ac:dyDescent="0.2">
      <c r="A2562" s="49"/>
      <c r="B2562" s="49"/>
    </row>
    <row r="2563" spans="1:2" x14ac:dyDescent="0.2">
      <c r="A2563" s="49"/>
      <c r="B2563" s="49"/>
    </row>
    <row r="2564" spans="1:2" x14ac:dyDescent="0.2">
      <c r="A2564" s="49"/>
      <c r="B2564" s="49"/>
    </row>
    <row r="2565" spans="1:2" x14ac:dyDescent="0.2">
      <c r="A2565" s="49"/>
      <c r="B2565" s="49"/>
    </row>
    <row r="2566" spans="1:2" x14ac:dyDescent="0.2">
      <c r="A2566" s="49"/>
      <c r="B2566" s="49"/>
    </row>
    <row r="2567" spans="1:2" x14ac:dyDescent="0.2">
      <c r="A2567" s="49"/>
      <c r="B2567" s="49"/>
    </row>
    <row r="2568" spans="1:2" x14ac:dyDescent="0.2">
      <c r="A2568" s="49"/>
      <c r="B2568" s="49"/>
    </row>
    <row r="2569" spans="1:2" x14ac:dyDescent="0.2">
      <c r="A2569" s="49"/>
      <c r="B2569" s="49"/>
    </row>
    <row r="2570" spans="1:2" x14ac:dyDescent="0.2">
      <c r="A2570" s="49"/>
      <c r="B2570" s="49"/>
    </row>
    <row r="2571" spans="1:2" x14ac:dyDescent="0.2">
      <c r="A2571" s="49"/>
      <c r="B2571" s="49"/>
    </row>
    <row r="2572" spans="1:2" x14ac:dyDescent="0.2">
      <c r="A2572" s="49"/>
      <c r="B2572" s="49"/>
    </row>
    <row r="2573" spans="1:2" x14ac:dyDescent="0.2">
      <c r="A2573" s="49"/>
      <c r="B2573" s="49"/>
    </row>
    <row r="2574" spans="1:2" x14ac:dyDescent="0.2">
      <c r="A2574" s="49"/>
      <c r="B2574" s="49"/>
    </row>
    <row r="2575" spans="1:2" x14ac:dyDescent="0.2">
      <c r="A2575" s="49"/>
      <c r="B2575" s="49"/>
    </row>
    <row r="2576" spans="1:2" x14ac:dyDescent="0.2">
      <c r="A2576" s="49"/>
      <c r="B2576" s="49"/>
    </row>
    <row r="2577" spans="1:2" x14ac:dyDescent="0.2">
      <c r="A2577" s="49"/>
      <c r="B2577" s="49"/>
    </row>
    <row r="2578" spans="1:2" x14ac:dyDescent="0.2">
      <c r="A2578" s="49"/>
      <c r="B2578" s="49"/>
    </row>
    <row r="2579" spans="1:2" x14ac:dyDescent="0.2">
      <c r="A2579" s="49"/>
      <c r="B2579" s="49"/>
    </row>
    <row r="2580" spans="1:2" x14ac:dyDescent="0.2">
      <c r="A2580" s="49"/>
      <c r="B2580" s="49"/>
    </row>
    <row r="2581" spans="1:2" x14ac:dyDescent="0.2">
      <c r="A2581" s="49"/>
      <c r="B2581" s="49"/>
    </row>
    <row r="2582" spans="1:2" x14ac:dyDescent="0.2">
      <c r="A2582" s="49"/>
      <c r="B2582" s="49"/>
    </row>
    <row r="2583" spans="1:2" x14ac:dyDescent="0.2">
      <c r="A2583" s="49"/>
      <c r="B2583" s="49"/>
    </row>
    <row r="2584" spans="1:2" x14ac:dyDescent="0.2">
      <c r="A2584" s="49"/>
      <c r="B2584" s="49"/>
    </row>
    <row r="2585" spans="1:2" x14ac:dyDescent="0.2">
      <c r="A2585" s="49"/>
      <c r="B2585" s="49"/>
    </row>
    <row r="2586" spans="1:2" x14ac:dyDescent="0.2">
      <c r="A2586" s="49"/>
      <c r="B2586" s="49"/>
    </row>
    <row r="2587" spans="1:2" x14ac:dyDescent="0.2">
      <c r="A2587" s="49"/>
      <c r="B2587" s="49"/>
    </row>
    <row r="2588" spans="1:2" x14ac:dyDescent="0.2">
      <c r="A2588" s="49"/>
      <c r="B2588" s="49"/>
    </row>
    <row r="2589" spans="1:2" x14ac:dyDescent="0.2">
      <c r="A2589" s="49"/>
      <c r="B2589" s="49"/>
    </row>
    <row r="2590" spans="1:2" x14ac:dyDescent="0.2">
      <c r="A2590" s="49"/>
      <c r="B2590" s="49"/>
    </row>
    <row r="2591" spans="1:2" x14ac:dyDescent="0.2">
      <c r="A2591" s="49"/>
      <c r="B2591" s="49"/>
    </row>
    <row r="2592" spans="1:2" x14ac:dyDescent="0.2">
      <c r="A2592" s="49"/>
      <c r="B2592" s="49"/>
    </row>
    <row r="2593" spans="1:2" x14ac:dyDescent="0.2">
      <c r="A2593" s="49"/>
      <c r="B2593" s="49"/>
    </row>
    <row r="2594" spans="1:2" x14ac:dyDescent="0.2">
      <c r="A2594" s="49"/>
      <c r="B2594" s="49"/>
    </row>
    <row r="2595" spans="1:2" x14ac:dyDescent="0.2">
      <c r="A2595" s="49"/>
      <c r="B2595" s="49"/>
    </row>
    <row r="2596" spans="1:2" x14ac:dyDescent="0.2">
      <c r="A2596" s="49"/>
      <c r="B2596" s="49"/>
    </row>
    <row r="2597" spans="1:2" x14ac:dyDescent="0.2">
      <c r="A2597" s="49"/>
      <c r="B2597" s="49"/>
    </row>
    <row r="2598" spans="1:2" x14ac:dyDescent="0.2">
      <c r="A2598" s="49"/>
      <c r="B2598" s="49"/>
    </row>
    <row r="2599" spans="1:2" x14ac:dyDescent="0.2">
      <c r="A2599" s="49"/>
      <c r="B2599" s="49"/>
    </row>
    <row r="2600" spans="1:2" x14ac:dyDescent="0.2">
      <c r="A2600" s="49"/>
      <c r="B2600" s="49"/>
    </row>
    <row r="2601" spans="1:2" x14ac:dyDescent="0.2">
      <c r="A2601" s="49"/>
      <c r="B2601" s="49"/>
    </row>
    <row r="2602" spans="1:2" x14ac:dyDescent="0.2">
      <c r="A2602" s="49"/>
      <c r="B2602" s="49"/>
    </row>
    <row r="2603" spans="1:2" x14ac:dyDescent="0.2">
      <c r="A2603" s="49"/>
      <c r="B2603" s="49"/>
    </row>
    <row r="2604" spans="1:2" x14ac:dyDescent="0.2">
      <c r="A2604" s="49"/>
      <c r="B2604" s="49"/>
    </row>
    <row r="2605" spans="1:2" x14ac:dyDescent="0.2">
      <c r="A2605" s="49"/>
      <c r="B2605" s="49"/>
    </row>
    <row r="2606" spans="1:2" x14ac:dyDescent="0.2">
      <c r="A2606" s="49"/>
      <c r="B2606" s="49"/>
    </row>
    <row r="2607" spans="1:2" x14ac:dyDescent="0.2">
      <c r="A2607" s="49"/>
      <c r="B2607" s="49"/>
    </row>
    <row r="2608" spans="1:2" x14ac:dyDescent="0.2">
      <c r="A2608" s="49"/>
      <c r="B2608" s="49"/>
    </row>
    <row r="2609" spans="1:2" x14ac:dyDescent="0.2">
      <c r="A2609" s="49"/>
      <c r="B2609" s="49"/>
    </row>
    <row r="2610" spans="1:2" x14ac:dyDescent="0.2">
      <c r="A2610" s="49"/>
      <c r="B2610" s="49"/>
    </row>
    <row r="2611" spans="1:2" x14ac:dyDescent="0.2">
      <c r="A2611" s="49"/>
      <c r="B2611" s="49"/>
    </row>
    <row r="2612" spans="1:2" x14ac:dyDescent="0.2">
      <c r="A2612" s="49"/>
      <c r="B2612" s="49"/>
    </row>
    <row r="2613" spans="1:2" x14ac:dyDescent="0.2">
      <c r="A2613" s="49"/>
      <c r="B2613" s="49"/>
    </row>
    <row r="2614" spans="1:2" x14ac:dyDescent="0.2">
      <c r="A2614" s="49"/>
      <c r="B2614" s="49"/>
    </row>
    <row r="2615" spans="1:2" x14ac:dyDescent="0.2">
      <c r="A2615" s="49"/>
      <c r="B2615" s="49"/>
    </row>
    <row r="2616" spans="1:2" x14ac:dyDescent="0.2">
      <c r="A2616" s="49"/>
      <c r="B2616" s="49"/>
    </row>
    <row r="2617" spans="1:2" x14ac:dyDescent="0.2">
      <c r="A2617" s="49"/>
      <c r="B2617" s="49"/>
    </row>
    <row r="2618" spans="1:2" x14ac:dyDescent="0.2">
      <c r="A2618" s="49"/>
      <c r="B2618" s="49"/>
    </row>
    <row r="2619" spans="1:2" x14ac:dyDescent="0.2">
      <c r="A2619" s="49"/>
      <c r="B2619" s="49"/>
    </row>
    <row r="2620" spans="1:2" x14ac:dyDescent="0.2">
      <c r="A2620" s="49"/>
      <c r="B2620" s="49"/>
    </row>
    <row r="2621" spans="1:2" x14ac:dyDescent="0.2">
      <c r="A2621" s="49"/>
      <c r="B2621" s="49"/>
    </row>
    <row r="2622" spans="1:2" x14ac:dyDescent="0.2">
      <c r="A2622" s="49"/>
      <c r="B2622" s="49"/>
    </row>
    <row r="2623" spans="1:2" x14ac:dyDescent="0.2">
      <c r="A2623" s="49"/>
      <c r="B2623" s="49"/>
    </row>
    <row r="2624" spans="1:2" x14ac:dyDescent="0.2">
      <c r="A2624" s="49"/>
      <c r="B2624" s="49"/>
    </row>
    <row r="2625" spans="1:2" x14ac:dyDescent="0.2">
      <c r="A2625" s="49"/>
      <c r="B2625" s="49"/>
    </row>
    <row r="2626" spans="1:2" x14ac:dyDescent="0.2">
      <c r="A2626" s="49"/>
      <c r="B2626" s="49"/>
    </row>
    <row r="2627" spans="1:2" x14ac:dyDescent="0.2">
      <c r="A2627" s="49"/>
      <c r="B2627" s="49"/>
    </row>
    <row r="2628" spans="1:2" x14ac:dyDescent="0.2">
      <c r="A2628" s="49"/>
      <c r="B2628" s="49"/>
    </row>
    <row r="2629" spans="1:2" x14ac:dyDescent="0.2">
      <c r="A2629" s="49"/>
      <c r="B2629" s="49"/>
    </row>
    <row r="2630" spans="1:2" x14ac:dyDescent="0.2">
      <c r="A2630" s="49"/>
      <c r="B2630" s="49"/>
    </row>
    <row r="2631" spans="1:2" x14ac:dyDescent="0.2">
      <c r="A2631" s="49"/>
      <c r="B2631" s="49"/>
    </row>
    <row r="2632" spans="1:2" x14ac:dyDescent="0.2">
      <c r="A2632" s="49"/>
      <c r="B2632" s="49"/>
    </row>
    <row r="2633" spans="1:2" x14ac:dyDescent="0.2">
      <c r="A2633" s="49"/>
      <c r="B2633" s="49"/>
    </row>
    <row r="2634" spans="1:2" x14ac:dyDescent="0.2">
      <c r="A2634" s="49"/>
      <c r="B2634" s="49"/>
    </row>
    <row r="2635" spans="1:2" x14ac:dyDescent="0.2">
      <c r="A2635" s="49"/>
      <c r="B2635" s="49"/>
    </row>
    <row r="2636" spans="1:2" x14ac:dyDescent="0.2">
      <c r="A2636" s="49"/>
      <c r="B2636" s="49"/>
    </row>
    <row r="2637" spans="1:2" x14ac:dyDescent="0.2">
      <c r="A2637" s="49"/>
      <c r="B2637" s="49"/>
    </row>
    <row r="2638" spans="1:2" x14ac:dyDescent="0.2">
      <c r="A2638" s="49"/>
      <c r="B2638" s="49"/>
    </row>
    <row r="2639" spans="1:2" x14ac:dyDescent="0.2">
      <c r="A2639" s="49"/>
      <c r="B2639" s="49"/>
    </row>
    <row r="2640" spans="1:2" x14ac:dyDescent="0.2">
      <c r="A2640" s="49"/>
      <c r="B2640" s="49"/>
    </row>
    <row r="2641" spans="1:2" x14ac:dyDescent="0.2">
      <c r="A2641" s="49"/>
      <c r="B2641" s="49"/>
    </row>
    <row r="2642" spans="1:2" x14ac:dyDescent="0.2">
      <c r="A2642" s="49"/>
      <c r="B2642" s="49"/>
    </row>
    <row r="2643" spans="1:2" x14ac:dyDescent="0.2">
      <c r="A2643" s="49"/>
      <c r="B2643" s="49"/>
    </row>
    <row r="2644" spans="1:2" x14ac:dyDescent="0.2">
      <c r="A2644" s="49"/>
      <c r="B2644" s="49"/>
    </row>
    <row r="2645" spans="1:2" x14ac:dyDescent="0.2">
      <c r="A2645" s="49"/>
      <c r="B2645" s="49"/>
    </row>
    <row r="2646" spans="1:2" x14ac:dyDescent="0.2">
      <c r="A2646" s="49"/>
      <c r="B2646" s="49"/>
    </row>
    <row r="2647" spans="1:2" x14ac:dyDescent="0.2">
      <c r="A2647" s="49"/>
      <c r="B2647" s="49"/>
    </row>
    <row r="2648" spans="1:2" x14ac:dyDescent="0.2">
      <c r="A2648" s="49"/>
      <c r="B2648" s="49"/>
    </row>
    <row r="2649" spans="1:2" x14ac:dyDescent="0.2">
      <c r="A2649" s="49"/>
      <c r="B2649" s="49"/>
    </row>
    <row r="2650" spans="1:2" x14ac:dyDescent="0.2">
      <c r="A2650" s="49"/>
      <c r="B2650" s="49"/>
    </row>
    <row r="2651" spans="1:2" x14ac:dyDescent="0.2">
      <c r="A2651" s="49"/>
      <c r="B2651" s="49"/>
    </row>
    <row r="2652" spans="1:2" x14ac:dyDescent="0.2">
      <c r="A2652" s="49"/>
      <c r="B2652" s="49"/>
    </row>
    <row r="2653" spans="1:2" x14ac:dyDescent="0.2">
      <c r="A2653" s="49"/>
      <c r="B2653" s="49"/>
    </row>
    <row r="2654" spans="1:2" x14ac:dyDescent="0.2">
      <c r="A2654" s="49"/>
      <c r="B2654" s="49"/>
    </row>
    <row r="2655" spans="1:2" x14ac:dyDescent="0.2">
      <c r="A2655" s="49"/>
      <c r="B2655" s="49"/>
    </row>
    <row r="2656" spans="1:2" x14ac:dyDescent="0.2">
      <c r="A2656" s="49"/>
      <c r="B2656" s="49"/>
    </row>
    <row r="2657" spans="1:2" x14ac:dyDescent="0.2">
      <c r="A2657" s="49"/>
      <c r="B2657" s="49"/>
    </row>
    <row r="2658" spans="1:2" x14ac:dyDescent="0.2">
      <c r="A2658" s="49"/>
      <c r="B2658" s="49"/>
    </row>
    <row r="2659" spans="1:2" x14ac:dyDescent="0.2">
      <c r="A2659" s="49"/>
      <c r="B2659" s="49"/>
    </row>
    <row r="2660" spans="1:2" x14ac:dyDescent="0.2">
      <c r="A2660" s="49"/>
      <c r="B2660" s="49"/>
    </row>
    <row r="2661" spans="1:2" x14ac:dyDescent="0.2">
      <c r="A2661" s="49"/>
      <c r="B2661" s="49"/>
    </row>
    <row r="2662" spans="1:2" x14ac:dyDescent="0.2">
      <c r="A2662" s="49"/>
      <c r="B2662" s="49"/>
    </row>
    <row r="2663" spans="1:2" x14ac:dyDescent="0.2">
      <c r="A2663" s="49"/>
      <c r="B2663" s="49"/>
    </row>
    <row r="2664" spans="1:2" x14ac:dyDescent="0.2">
      <c r="A2664" s="49"/>
      <c r="B2664" s="49"/>
    </row>
    <row r="2665" spans="1:2" x14ac:dyDescent="0.2">
      <c r="A2665" s="49"/>
      <c r="B2665" s="49"/>
    </row>
    <row r="2666" spans="1:2" x14ac:dyDescent="0.2">
      <c r="A2666" s="49"/>
      <c r="B2666" s="49"/>
    </row>
    <row r="2667" spans="1:2" x14ac:dyDescent="0.2">
      <c r="A2667" s="49"/>
      <c r="B2667" s="49"/>
    </row>
    <row r="2668" spans="1:2" x14ac:dyDescent="0.2">
      <c r="A2668" s="49"/>
      <c r="B2668" s="49"/>
    </row>
    <row r="2669" spans="1:2" x14ac:dyDescent="0.2">
      <c r="A2669" s="49"/>
      <c r="B2669" s="49"/>
    </row>
    <row r="2670" spans="1:2" x14ac:dyDescent="0.2">
      <c r="A2670" s="49"/>
      <c r="B2670" s="49"/>
    </row>
    <row r="2671" spans="1:2" x14ac:dyDescent="0.2">
      <c r="A2671" s="49"/>
      <c r="B2671" s="49"/>
    </row>
    <row r="2672" spans="1:2" x14ac:dyDescent="0.2">
      <c r="A2672" s="49"/>
      <c r="B2672" s="49"/>
    </row>
    <row r="2673" spans="1:2" x14ac:dyDescent="0.2">
      <c r="A2673" s="49"/>
      <c r="B2673" s="49"/>
    </row>
    <row r="2674" spans="1:2" x14ac:dyDescent="0.2">
      <c r="A2674" s="49"/>
      <c r="B2674" s="49"/>
    </row>
    <row r="2675" spans="1:2" x14ac:dyDescent="0.2">
      <c r="A2675" s="49"/>
      <c r="B2675" s="49"/>
    </row>
    <row r="2676" spans="1:2" x14ac:dyDescent="0.2">
      <c r="A2676" s="49"/>
      <c r="B2676" s="49"/>
    </row>
    <row r="2677" spans="1:2" x14ac:dyDescent="0.2">
      <c r="A2677" s="49"/>
      <c r="B2677" s="49"/>
    </row>
    <row r="2678" spans="1:2" x14ac:dyDescent="0.2">
      <c r="A2678" s="49"/>
      <c r="B2678" s="49"/>
    </row>
    <row r="2679" spans="1:2" x14ac:dyDescent="0.2">
      <c r="A2679" s="49"/>
      <c r="B2679" s="49"/>
    </row>
    <row r="2680" spans="1:2" x14ac:dyDescent="0.2">
      <c r="A2680" s="49"/>
      <c r="B2680" s="49"/>
    </row>
    <row r="2681" spans="1:2" x14ac:dyDescent="0.2">
      <c r="A2681" s="49"/>
      <c r="B2681" s="49"/>
    </row>
    <row r="2682" spans="1:2" x14ac:dyDescent="0.2">
      <c r="A2682" s="49"/>
      <c r="B2682" s="49"/>
    </row>
    <row r="2683" spans="1:2" x14ac:dyDescent="0.2">
      <c r="A2683" s="49"/>
      <c r="B2683" s="49"/>
    </row>
    <row r="2684" spans="1:2" x14ac:dyDescent="0.2">
      <c r="A2684" s="49"/>
      <c r="B2684" s="49"/>
    </row>
    <row r="2685" spans="1:2" x14ac:dyDescent="0.2">
      <c r="A2685" s="49"/>
      <c r="B2685" s="49"/>
    </row>
    <row r="2686" spans="1:2" x14ac:dyDescent="0.2">
      <c r="A2686" s="49"/>
      <c r="B2686" s="49"/>
    </row>
    <row r="2687" spans="1:2" x14ac:dyDescent="0.2">
      <c r="A2687" s="49"/>
      <c r="B2687" s="49"/>
    </row>
    <row r="2688" spans="1:2" x14ac:dyDescent="0.2">
      <c r="A2688" s="49"/>
      <c r="B2688" s="49"/>
    </row>
    <row r="2689" spans="1:2" x14ac:dyDescent="0.2">
      <c r="A2689" s="49"/>
      <c r="B2689" s="49"/>
    </row>
    <row r="2690" spans="1:2" x14ac:dyDescent="0.2">
      <c r="A2690" s="49"/>
      <c r="B2690" s="49"/>
    </row>
    <row r="2691" spans="1:2" x14ac:dyDescent="0.2">
      <c r="A2691" s="49"/>
      <c r="B2691" s="49"/>
    </row>
    <row r="2692" spans="1:2" x14ac:dyDescent="0.2">
      <c r="A2692" s="49"/>
      <c r="B2692" s="49"/>
    </row>
    <row r="2693" spans="1:2" x14ac:dyDescent="0.2">
      <c r="A2693" s="49"/>
      <c r="B2693" s="49"/>
    </row>
    <row r="2694" spans="1:2" x14ac:dyDescent="0.2">
      <c r="A2694" s="49"/>
      <c r="B2694" s="49"/>
    </row>
    <row r="2695" spans="1:2" x14ac:dyDescent="0.2">
      <c r="A2695" s="49"/>
      <c r="B2695" s="49"/>
    </row>
    <row r="2696" spans="1:2" x14ac:dyDescent="0.2">
      <c r="A2696" s="49"/>
      <c r="B2696" s="49"/>
    </row>
    <row r="2697" spans="1:2" x14ac:dyDescent="0.2">
      <c r="A2697" s="49"/>
      <c r="B2697" s="49"/>
    </row>
    <row r="2698" spans="1:2" x14ac:dyDescent="0.2">
      <c r="A2698" s="49"/>
      <c r="B2698" s="49"/>
    </row>
    <row r="2699" spans="1:2" x14ac:dyDescent="0.2">
      <c r="A2699" s="49"/>
      <c r="B2699" s="49"/>
    </row>
    <row r="2700" spans="1:2" x14ac:dyDescent="0.2">
      <c r="A2700" s="49"/>
      <c r="B2700" s="49"/>
    </row>
    <row r="2701" spans="1:2" x14ac:dyDescent="0.2">
      <c r="A2701" s="49"/>
      <c r="B2701" s="49"/>
    </row>
    <row r="2702" spans="1:2" x14ac:dyDescent="0.2">
      <c r="A2702" s="49"/>
      <c r="B2702" s="49"/>
    </row>
    <row r="2703" spans="1:2" x14ac:dyDescent="0.2">
      <c r="A2703" s="49"/>
      <c r="B2703" s="49"/>
    </row>
    <row r="2704" spans="1:2" x14ac:dyDescent="0.2">
      <c r="A2704" s="49"/>
      <c r="B2704" s="49"/>
    </row>
    <row r="2705" spans="1:2" x14ac:dyDescent="0.2">
      <c r="A2705" s="49"/>
      <c r="B2705" s="49"/>
    </row>
    <row r="2706" spans="1:2" x14ac:dyDescent="0.2">
      <c r="A2706" s="49"/>
      <c r="B2706" s="49"/>
    </row>
    <row r="2707" spans="1:2" x14ac:dyDescent="0.2">
      <c r="A2707" s="49"/>
      <c r="B2707" s="49"/>
    </row>
    <row r="2708" spans="1:2" x14ac:dyDescent="0.2">
      <c r="A2708" s="49"/>
      <c r="B2708" s="49"/>
    </row>
    <row r="2709" spans="1:2" x14ac:dyDescent="0.2">
      <c r="A2709" s="49"/>
      <c r="B2709" s="49"/>
    </row>
    <row r="2710" spans="1:2" x14ac:dyDescent="0.2">
      <c r="A2710" s="49"/>
      <c r="B2710" s="49"/>
    </row>
    <row r="2711" spans="1:2" x14ac:dyDescent="0.2">
      <c r="A2711" s="49"/>
      <c r="B2711" s="49"/>
    </row>
    <row r="2712" spans="1:2" x14ac:dyDescent="0.2">
      <c r="A2712" s="49"/>
      <c r="B2712" s="49"/>
    </row>
    <row r="2713" spans="1:2" x14ac:dyDescent="0.2">
      <c r="A2713" s="49"/>
      <c r="B2713" s="49"/>
    </row>
    <row r="2714" spans="1:2" x14ac:dyDescent="0.2">
      <c r="A2714" s="49"/>
      <c r="B2714" s="49"/>
    </row>
    <row r="2715" spans="1:2" x14ac:dyDescent="0.2">
      <c r="A2715" s="49"/>
      <c r="B2715" s="49"/>
    </row>
    <row r="2716" spans="1:2" x14ac:dyDescent="0.2">
      <c r="A2716" s="49"/>
      <c r="B2716" s="49"/>
    </row>
    <row r="2717" spans="1:2" x14ac:dyDescent="0.2">
      <c r="A2717" s="49"/>
      <c r="B2717" s="49"/>
    </row>
    <row r="2718" spans="1:2" x14ac:dyDescent="0.2">
      <c r="A2718" s="49"/>
      <c r="B2718" s="49"/>
    </row>
    <row r="2719" spans="1:2" x14ac:dyDescent="0.2">
      <c r="A2719" s="49"/>
      <c r="B2719" s="49"/>
    </row>
    <row r="2720" spans="1:2" x14ac:dyDescent="0.2">
      <c r="A2720" s="49"/>
      <c r="B2720" s="49"/>
    </row>
    <row r="2721" spans="1:2" x14ac:dyDescent="0.2">
      <c r="A2721" s="49"/>
      <c r="B2721" s="49"/>
    </row>
    <row r="2722" spans="1:2" x14ac:dyDescent="0.2">
      <c r="A2722" s="49"/>
      <c r="B2722" s="49"/>
    </row>
    <row r="2723" spans="1:2" x14ac:dyDescent="0.2">
      <c r="A2723" s="49"/>
      <c r="B2723" s="49"/>
    </row>
    <row r="2724" spans="1:2" x14ac:dyDescent="0.2">
      <c r="A2724" s="49"/>
      <c r="B2724" s="49"/>
    </row>
    <row r="2725" spans="1:2" x14ac:dyDescent="0.2">
      <c r="A2725" s="49"/>
      <c r="B2725" s="49"/>
    </row>
    <row r="2726" spans="1:2" x14ac:dyDescent="0.2">
      <c r="A2726" s="49"/>
      <c r="B2726" s="49"/>
    </row>
    <row r="2727" spans="1:2" x14ac:dyDescent="0.2">
      <c r="A2727" s="49"/>
      <c r="B2727" s="49"/>
    </row>
    <row r="2728" spans="1:2" x14ac:dyDescent="0.2">
      <c r="A2728" s="49"/>
      <c r="B2728" s="49"/>
    </row>
    <row r="2729" spans="1:2" x14ac:dyDescent="0.2">
      <c r="A2729" s="49"/>
      <c r="B2729" s="49"/>
    </row>
    <row r="2730" spans="1:2" x14ac:dyDescent="0.2">
      <c r="A2730" s="49"/>
      <c r="B2730" s="49"/>
    </row>
    <row r="2731" spans="1:2" x14ac:dyDescent="0.2">
      <c r="A2731" s="49"/>
      <c r="B2731" s="49"/>
    </row>
    <row r="2732" spans="1:2" x14ac:dyDescent="0.2">
      <c r="A2732" s="49"/>
      <c r="B2732" s="49"/>
    </row>
    <row r="2733" spans="1:2" x14ac:dyDescent="0.2">
      <c r="A2733" s="49"/>
      <c r="B2733" s="49"/>
    </row>
    <row r="2734" spans="1:2" x14ac:dyDescent="0.2">
      <c r="A2734" s="49"/>
      <c r="B2734" s="49"/>
    </row>
    <row r="2735" spans="1:2" x14ac:dyDescent="0.2">
      <c r="A2735" s="49"/>
      <c r="B2735" s="49"/>
    </row>
    <row r="2736" spans="1:2" x14ac:dyDescent="0.2">
      <c r="A2736" s="49"/>
      <c r="B2736" s="49"/>
    </row>
    <row r="2737" spans="1:2" x14ac:dyDescent="0.2">
      <c r="A2737" s="49"/>
      <c r="B2737" s="49"/>
    </row>
    <row r="2738" spans="1:2" x14ac:dyDescent="0.2">
      <c r="A2738" s="49"/>
      <c r="B2738" s="49"/>
    </row>
    <row r="2739" spans="1:2" x14ac:dyDescent="0.2">
      <c r="A2739" s="49"/>
      <c r="B2739" s="49"/>
    </row>
    <row r="2740" spans="1:2" x14ac:dyDescent="0.2">
      <c r="A2740" s="49"/>
      <c r="B2740" s="49"/>
    </row>
    <row r="2741" spans="1:2" x14ac:dyDescent="0.2">
      <c r="A2741" s="49"/>
      <c r="B2741" s="49"/>
    </row>
    <row r="2742" spans="1:2" x14ac:dyDescent="0.2">
      <c r="A2742" s="49"/>
      <c r="B2742" s="49"/>
    </row>
    <row r="2743" spans="1:2" x14ac:dyDescent="0.2">
      <c r="A2743" s="49"/>
      <c r="B2743" s="49"/>
    </row>
    <row r="2744" spans="1:2" x14ac:dyDescent="0.2">
      <c r="A2744" s="49"/>
      <c r="B2744" s="49"/>
    </row>
    <row r="2745" spans="1:2" x14ac:dyDescent="0.2">
      <c r="A2745" s="49"/>
      <c r="B2745" s="49"/>
    </row>
    <row r="2746" spans="1:2" x14ac:dyDescent="0.2">
      <c r="A2746" s="49"/>
      <c r="B2746" s="49"/>
    </row>
    <row r="2747" spans="1:2" x14ac:dyDescent="0.2">
      <c r="A2747" s="49"/>
      <c r="B2747" s="49"/>
    </row>
    <row r="2748" spans="1:2" x14ac:dyDescent="0.2">
      <c r="A2748" s="49"/>
      <c r="B2748" s="49"/>
    </row>
    <row r="2749" spans="1:2" x14ac:dyDescent="0.2">
      <c r="A2749" s="49"/>
      <c r="B2749" s="49"/>
    </row>
    <row r="2750" spans="1:2" x14ac:dyDescent="0.2">
      <c r="A2750" s="49"/>
      <c r="B2750" s="49"/>
    </row>
    <row r="2751" spans="1:2" x14ac:dyDescent="0.2">
      <c r="A2751" s="49"/>
      <c r="B2751" s="49"/>
    </row>
    <row r="2752" spans="1:2" x14ac:dyDescent="0.2">
      <c r="A2752" s="49"/>
      <c r="B2752" s="49"/>
    </row>
    <row r="2753" spans="1:2" x14ac:dyDescent="0.2">
      <c r="A2753" s="49"/>
      <c r="B2753" s="49"/>
    </row>
    <row r="2754" spans="1:2" x14ac:dyDescent="0.2">
      <c r="A2754" s="49"/>
      <c r="B2754" s="49"/>
    </row>
    <row r="2755" spans="1:2" x14ac:dyDescent="0.2">
      <c r="A2755" s="49"/>
      <c r="B2755" s="49"/>
    </row>
    <row r="2756" spans="1:2" x14ac:dyDescent="0.2">
      <c r="A2756" s="49"/>
      <c r="B2756" s="49"/>
    </row>
    <row r="2757" spans="1:2" x14ac:dyDescent="0.2">
      <c r="A2757" s="49"/>
      <c r="B2757" s="49"/>
    </row>
    <row r="2758" spans="1:2" x14ac:dyDescent="0.2">
      <c r="A2758" s="49"/>
      <c r="B2758" s="49"/>
    </row>
    <row r="2759" spans="1:2" x14ac:dyDescent="0.2">
      <c r="A2759" s="49"/>
      <c r="B2759" s="49"/>
    </row>
    <row r="2760" spans="1:2" x14ac:dyDescent="0.2">
      <c r="A2760" s="49"/>
      <c r="B2760" s="49"/>
    </row>
    <row r="2761" spans="1:2" x14ac:dyDescent="0.2">
      <c r="A2761" s="49"/>
      <c r="B2761" s="49"/>
    </row>
    <row r="2762" spans="1:2" x14ac:dyDescent="0.2">
      <c r="A2762" s="49"/>
      <c r="B2762" s="49"/>
    </row>
    <row r="2763" spans="1:2" x14ac:dyDescent="0.2">
      <c r="A2763" s="49"/>
      <c r="B2763" s="49"/>
    </row>
    <row r="2764" spans="1:2" x14ac:dyDescent="0.2">
      <c r="A2764" s="49"/>
      <c r="B2764" s="49"/>
    </row>
    <row r="2765" spans="1:2" x14ac:dyDescent="0.2">
      <c r="A2765" s="49"/>
      <c r="B2765" s="49"/>
    </row>
    <row r="2766" spans="1:2" x14ac:dyDescent="0.2">
      <c r="A2766" s="49"/>
      <c r="B2766" s="49"/>
    </row>
    <row r="2767" spans="1:2" x14ac:dyDescent="0.2">
      <c r="A2767" s="49"/>
      <c r="B2767" s="49"/>
    </row>
    <row r="2768" spans="1:2" x14ac:dyDescent="0.2">
      <c r="A2768" s="49"/>
      <c r="B2768" s="49"/>
    </row>
    <row r="2769" spans="1:2" x14ac:dyDescent="0.2">
      <c r="A2769" s="49"/>
      <c r="B2769" s="49"/>
    </row>
    <row r="2770" spans="1:2" x14ac:dyDescent="0.2">
      <c r="A2770" s="49"/>
      <c r="B2770" s="49"/>
    </row>
    <row r="2771" spans="1:2" x14ac:dyDescent="0.2">
      <c r="A2771" s="49"/>
      <c r="B2771" s="49"/>
    </row>
    <row r="2772" spans="1:2" x14ac:dyDescent="0.2">
      <c r="A2772" s="49"/>
      <c r="B2772" s="49"/>
    </row>
    <row r="2773" spans="1:2" x14ac:dyDescent="0.2">
      <c r="A2773" s="49"/>
      <c r="B2773" s="49"/>
    </row>
    <row r="2774" spans="1:2" x14ac:dyDescent="0.2">
      <c r="A2774" s="49"/>
      <c r="B2774" s="49"/>
    </row>
    <row r="2775" spans="1:2" x14ac:dyDescent="0.2">
      <c r="A2775" s="49"/>
      <c r="B2775" s="49"/>
    </row>
    <row r="2776" spans="1:2" x14ac:dyDescent="0.2">
      <c r="A2776" s="49"/>
      <c r="B2776" s="49"/>
    </row>
    <row r="2777" spans="1:2" x14ac:dyDescent="0.2">
      <c r="A2777" s="49"/>
      <c r="B2777" s="49"/>
    </row>
    <row r="2778" spans="1:2" x14ac:dyDescent="0.2">
      <c r="A2778" s="49"/>
      <c r="B2778" s="49"/>
    </row>
    <row r="2779" spans="1:2" x14ac:dyDescent="0.2">
      <c r="A2779" s="49"/>
      <c r="B2779" s="49"/>
    </row>
    <row r="2780" spans="1:2" x14ac:dyDescent="0.2">
      <c r="A2780" s="49"/>
      <c r="B2780" s="49"/>
    </row>
    <row r="2781" spans="1:2" x14ac:dyDescent="0.2">
      <c r="A2781" s="49"/>
      <c r="B2781" s="49"/>
    </row>
    <row r="2782" spans="1:2" x14ac:dyDescent="0.2">
      <c r="A2782" s="49"/>
      <c r="B2782" s="49"/>
    </row>
    <row r="2783" spans="1:2" x14ac:dyDescent="0.2">
      <c r="A2783" s="49"/>
      <c r="B2783" s="49"/>
    </row>
    <row r="2784" spans="1:2" x14ac:dyDescent="0.2">
      <c r="A2784" s="49"/>
      <c r="B2784" s="49"/>
    </row>
    <row r="2785" spans="1:2" x14ac:dyDescent="0.2">
      <c r="A2785" s="49"/>
      <c r="B2785" s="49"/>
    </row>
    <row r="2786" spans="1:2" x14ac:dyDescent="0.2">
      <c r="A2786" s="49"/>
      <c r="B2786" s="49"/>
    </row>
    <row r="2787" spans="1:2" x14ac:dyDescent="0.2">
      <c r="A2787" s="49"/>
      <c r="B2787" s="49"/>
    </row>
    <row r="2788" spans="1:2" x14ac:dyDescent="0.2">
      <c r="A2788" s="49"/>
      <c r="B2788" s="49"/>
    </row>
    <row r="2789" spans="1:2" x14ac:dyDescent="0.2">
      <c r="A2789" s="49"/>
      <c r="B2789" s="49"/>
    </row>
    <row r="2790" spans="1:2" x14ac:dyDescent="0.2">
      <c r="A2790" s="49"/>
      <c r="B2790" s="49"/>
    </row>
    <row r="2791" spans="1:2" x14ac:dyDescent="0.2">
      <c r="A2791" s="49"/>
      <c r="B2791" s="49"/>
    </row>
    <row r="2792" spans="1:2" x14ac:dyDescent="0.2">
      <c r="A2792" s="49"/>
      <c r="B2792" s="49"/>
    </row>
    <row r="2793" spans="1:2" x14ac:dyDescent="0.2">
      <c r="A2793" s="49"/>
      <c r="B2793" s="49"/>
    </row>
    <row r="2794" spans="1:2" x14ac:dyDescent="0.2">
      <c r="A2794" s="49"/>
      <c r="B2794" s="49"/>
    </row>
    <row r="2795" spans="1:2" x14ac:dyDescent="0.2">
      <c r="A2795" s="49"/>
      <c r="B2795" s="49"/>
    </row>
    <row r="2796" spans="1:2" x14ac:dyDescent="0.2">
      <c r="A2796" s="49"/>
      <c r="B2796" s="49"/>
    </row>
    <row r="2797" spans="1:2" x14ac:dyDescent="0.2">
      <c r="A2797" s="49"/>
      <c r="B2797" s="49"/>
    </row>
    <row r="2798" spans="1:2" x14ac:dyDescent="0.2">
      <c r="A2798" s="49"/>
      <c r="B2798" s="49"/>
    </row>
    <row r="2799" spans="1:2" x14ac:dyDescent="0.2">
      <c r="A2799" s="49"/>
      <c r="B2799" s="49"/>
    </row>
    <row r="2800" spans="1:2" x14ac:dyDescent="0.2">
      <c r="A2800" s="49"/>
      <c r="B2800" s="49"/>
    </row>
    <row r="2801" spans="1:2" x14ac:dyDescent="0.2">
      <c r="A2801" s="49"/>
      <c r="B2801" s="49"/>
    </row>
    <row r="2802" spans="1:2" x14ac:dyDescent="0.2">
      <c r="A2802" s="49"/>
      <c r="B2802" s="49"/>
    </row>
    <row r="2803" spans="1:2" x14ac:dyDescent="0.2">
      <c r="A2803" s="49"/>
      <c r="B2803" s="49"/>
    </row>
    <row r="2804" spans="1:2" x14ac:dyDescent="0.2">
      <c r="A2804" s="49"/>
      <c r="B2804" s="49"/>
    </row>
    <row r="2805" spans="1:2" x14ac:dyDescent="0.2">
      <c r="A2805" s="49"/>
      <c r="B2805" s="49"/>
    </row>
    <row r="2806" spans="1:2" x14ac:dyDescent="0.2">
      <c r="A2806" s="49"/>
      <c r="B2806" s="49"/>
    </row>
    <row r="2807" spans="1:2" x14ac:dyDescent="0.2">
      <c r="A2807" s="49"/>
      <c r="B2807" s="49"/>
    </row>
    <row r="2808" spans="1:2" x14ac:dyDescent="0.2">
      <c r="A2808" s="49"/>
      <c r="B2808" s="49"/>
    </row>
    <row r="2809" spans="1:2" x14ac:dyDescent="0.2">
      <c r="A2809" s="49"/>
      <c r="B2809" s="49"/>
    </row>
    <row r="2810" spans="1:2" x14ac:dyDescent="0.2">
      <c r="A2810" s="49"/>
      <c r="B2810" s="49"/>
    </row>
    <row r="2811" spans="1:2" x14ac:dyDescent="0.2">
      <c r="A2811" s="49"/>
      <c r="B2811" s="49"/>
    </row>
    <row r="2812" spans="1:2" x14ac:dyDescent="0.2">
      <c r="A2812" s="49"/>
      <c r="B2812" s="49"/>
    </row>
    <row r="2813" spans="1:2" x14ac:dyDescent="0.2">
      <c r="A2813" s="49"/>
      <c r="B2813" s="49"/>
    </row>
    <row r="2814" spans="1:2" x14ac:dyDescent="0.2">
      <c r="A2814" s="49"/>
      <c r="B2814" s="49"/>
    </row>
    <row r="2815" spans="1:2" x14ac:dyDescent="0.2">
      <c r="A2815" s="49"/>
      <c r="B2815" s="49"/>
    </row>
    <row r="2816" spans="1:2" x14ac:dyDescent="0.2">
      <c r="A2816" s="49"/>
      <c r="B2816" s="49"/>
    </row>
    <row r="2817" spans="1:2" x14ac:dyDescent="0.2">
      <c r="A2817" s="49"/>
      <c r="B2817" s="49"/>
    </row>
    <row r="2818" spans="1:2" x14ac:dyDescent="0.2">
      <c r="A2818" s="49"/>
      <c r="B2818" s="49"/>
    </row>
    <row r="2819" spans="1:2" x14ac:dyDescent="0.2">
      <c r="A2819" s="49"/>
      <c r="B2819" s="49"/>
    </row>
    <row r="2820" spans="1:2" x14ac:dyDescent="0.2">
      <c r="A2820" s="49"/>
      <c r="B2820" s="49"/>
    </row>
    <row r="2821" spans="1:2" x14ac:dyDescent="0.2">
      <c r="A2821" s="49"/>
      <c r="B2821" s="49"/>
    </row>
    <row r="2822" spans="1:2" x14ac:dyDescent="0.2">
      <c r="A2822" s="49"/>
      <c r="B2822" s="49"/>
    </row>
    <row r="2823" spans="1:2" x14ac:dyDescent="0.2">
      <c r="A2823" s="49"/>
      <c r="B2823" s="49"/>
    </row>
    <row r="2824" spans="1:2" x14ac:dyDescent="0.2">
      <c r="A2824" s="49"/>
      <c r="B2824" s="49"/>
    </row>
    <row r="2825" spans="1:2" x14ac:dyDescent="0.2">
      <c r="A2825" s="49"/>
      <c r="B2825" s="49"/>
    </row>
    <row r="2826" spans="1:2" x14ac:dyDescent="0.2">
      <c r="A2826" s="49"/>
      <c r="B2826" s="49"/>
    </row>
    <row r="2827" spans="1:2" x14ac:dyDescent="0.2">
      <c r="A2827" s="49"/>
      <c r="B2827" s="49"/>
    </row>
    <row r="2828" spans="1:2" x14ac:dyDescent="0.2">
      <c r="A2828" s="49"/>
      <c r="B2828" s="49"/>
    </row>
    <row r="2829" spans="1:2" x14ac:dyDescent="0.2">
      <c r="A2829" s="49"/>
      <c r="B2829" s="49"/>
    </row>
    <row r="2830" spans="1:2" x14ac:dyDescent="0.2">
      <c r="A2830" s="49"/>
      <c r="B2830" s="49"/>
    </row>
    <row r="2831" spans="1:2" x14ac:dyDescent="0.2">
      <c r="A2831" s="49"/>
      <c r="B2831" s="49"/>
    </row>
    <row r="2832" spans="1:2" x14ac:dyDescent="0.2">
      <c r="A2832" s="49"/>
      <c r="B2832" s="49"/>
    </row>
    <row r="2833" spans="1:7" x14ac:dyDescent="0.2">
      <c r="A2833" s="49"/>
      <c r="B2833" s="49"/>
    </row>
    <row r="2834" spans="1:7" x14ac:dyDescent="0.2">
      <c r="A2834" s="49"/>
      <c r="B2834" s="49"/>
    </row>
    <row r="2835" spans="1:7" x14ac:dyDescent="0.2">
      <c r="A2835" s="49"/>
      <c r="B2835" s="49"/>
    </row>
    <row r="2836" spans="1:7" x14ac:dyDescent="0.2">
      <c r="A2836" s="49"/>
      <c r="B2836" s="49"/>
    </row>
    <row r="2837" spans="1:7" x14ac:dyDescent="0.2">
      <c r="A2837" s="49"/>
      <c r="B2837" s="49"/>
    </row>
    <row r="2838" spans="1:7" x14ac:dyDescent="0.2">
      <c r="A2838" s="49"/>
      <c r="B2838" s="49"/>
    </row>
    <row r="2839" spans="1:7" x14ac:dyDescent="0.2">
      <c r="A2839" s="49"/>
      <c r="B2839" s="49"/>
    </row>
    <row r="2840" spans="1:7" x14ac:dyDescent="0.2">
      <c r="A2840" s="49"/>
      <c r="B2840" s="49"/>
    </row>
    <row r="2841" spans="1:7" x14ac:dyDescent="0.2">
      <c r="A2841" s="49"/>
      <c r="B2841" s="49"/>
      <c r="C2841" s="49"/>
      <c r="D2841" s="49"/>
      <c r="E2841" s="49"/>
      <c r="F2841" s="49"/>
      <c r="G2841" s="49"/>
    </row>
    <row r="2842" spans="1:7" x14ac:dyDescent="0.2">
      <c r="A2842" s="49"/>
      <c r="B2842" s="49"/>
    </row>
    <row r="2843" spans="1:7" x14ac:dyDescent="0.2">
      <c r="A2843" s="49"/>
      <c r="B2843" s="49"/>
    </row>
    <row r="2844" spans="1:7" x14ac:dyDescent="0.2">
      <c r="A2844" s="49"/>
      <c r="B2844" s="49"/>
    </row>
    <row r="2845" spans="1:7" x14ac:dyDescent="0.2">
      <c r="A2845" s="49"/>
      <c r="B2845" s="49"/>
    </row>
    <row r="2846" spans="1:7" x14ac:dyDescent="0.2">
      <c r="A2846" s="49"/>
      <c r="B2846" s="49"/>
    </row>
    <row r="2847" spans="1:7" x14ac:dyDescent="0.2">
      <c r="A2847" s="49"/>
      <c r="B2847" s="49"/>
    </row>
    <row r="2848" spans="1:7" x14ac:dyDescent="0.2">
      <c r="A2848" s="49"/>
      <c r="B2848" s="49"/>
    </row>
    <row r="2849" spans="1:2" x14ac:dyDescent="0.2">
      <c r="A2849" s="49"/>
      <c r="B2849" s="49"/>
    </row>
    <row r="2850" spans="1:2" x14ac:dyDescent="0.2">
      <c r="A2850" s="49"/>
      <c r="B2850" s="49"/>
    </row>
    <row r="2851" spans="1:2" x14ac:dyDescent="0.2">
      <c r="A2851" s="49"/>
      <c r="B2851" s="49"/>
    </row>
    <row r="2852" spans="1:2" x14ac:dyDescent="0.2">
      <c r="A2852" s="49"/>
      <c r="B2852" s="49"/>
    </row>
    <row r="2853" spans="1:2" x14ac:dyDescent="0.2">
      <c r="A2853" s="49"/>
      <c r="B2853" s="49"/>
    </row>
    <row r="2854" spans="1:2" x14ac:dyDescent="0.2">
      <c r="A2854" s="49"/>
      <c r="B2854" s="49"/>
    </row>
    <row r="2855" spans="1:2" x14ac:dyDescent="0.2">
      <c r="A2855" s="49"/>
      <c r="B2855" s="49"/>
    </row>
    <row r="2856" spans="1:2" x14ac:dyDescent="0.2">
      <c r="A2856" s="49"/>
      <c r="B2856" s="49"/>
    </row>
    <row r="2857" spans="1:2" x14ac:dyDescent="0.2">
      <c r="A2857" s="49"/>
      <c r="B2857" s="49"/>
    </row>
    <row r="2858" spans="1:2" x14ac:dyDescent="0.2">
      <c r="A2858" s="49"/>
      <c r="B2858" s="49"/>
    </row>
    <row r="2859" spans="1:2" x14ac:dyDescent="0.2">
      <c r="A2859" s="49"/>
      <c r="B2859" s="49"/>
    </row>
    <row r="2860" spans="1:2" x14ac:dyDescent="0.2">
      <c r="A2860" s="49"/>
      <c r="B2860" s="49"/>
    </row>
    <row r="2861" spans="1:2" x14ac:dyDescent="0.2">
      <c r="A2861" s="49"/>
      <c r="B2861" s="49"/>
    </row>
    <row r="2862" spans="1:2" x14ac:dyDescent="0.2">
      <c r="A2862" s="49"/>
      <c r="B2862" s="49"/>
    </row>
    <row r="2863" spans="1:2" x14ac:dyDescent="0.2">
      <c r="A2863" s="49"/>
      <c r="B2863" s="49"/>
    </row>
    <row r="2864" spans="1:2" x14ac:dyDescent="0.2">
      <c r="A2864" s="49"/>
      <c r="B2864" s="49"/>
    </row>
    <row r="2865" spans="1:2" x14ac:dyDescent="0.2">
      <c r="A2865" s="49"/>
      <c r="B2865" s="49"/>
    </row>
    <row r="2866" spans="1:2" x14ac:dyDescent="0.2">
      <c r="A2866" s="49"/>
      <c r="B2866" s="49"/>
    </row>
    <row r="2867" spans="1:2" x14ac:dyDescent="0.2">
      <c r="A2867" s="49"/>
      <c r="B2867" s="49"/>
    </row>
    <row r="2868" spans="1:2" x14ac:dyDescent="0.2">
      <c r="A2868" s="49"/>
      <c r="B2868" s="49"/>
    </row>
    <row r="2869" spans="1:2" x14ac:dyDescent="0.2">
      <c r="A2869" s="49"/>
      <c r="B2869" s="49"/>
    </row>
    <row r="2870" spans="1:2" x14ac:dyDescent="0.2">
      <c r="A2870" s="49"/>
      <c r="B2870" s="49"/>
    </row>
    <row r="2871" spans="1:2" x14ac:dyDescent="0.2">
      <c r="A2871" s="49"/>
      <c r="B2871" s="49"/>
    </row>
    <row r="2872" spans="1:2" x14ac:dyDescent="0.2">
      <c r="A2872" s="49"/>
      <c r="B2872" s="49"/>
    </row>
    <row r="2873" spans="1:2" x14ac:dyDescent="0.2">
      <c r="A2873" s="49"/>
      <c r="B2873" s="49"/>
    </row>
    <row r="2874" spans="1:2" x14ac:dyDescent="0.2">
      <c r="A2874" s="49"/>
      <c r="B2874" s="49"/>
    </row>
    <row r="2875" spans="1:2" x14ac:dyDescent="0.2">
      <c r="A2875" s="49"/>
      <c r="B2875" s="49"/>
    </row>
    <row r="2876" spans="1:2" x14ac:dyDescent="0.2">
      <c r="A2876" s="49"/>
      <c r="B2876" s="49"/>
    </row>
    <row r="2877" spans="1:2" x14ac:dyDescent="0.2">
      <c r="A2877" s="49"/>
      <c r="B2877" s="49"/>
    </row>
    <row r="2878" spans="1:2" x14ac:dyDescent="0.2">
      <c r="A2878" s="49"/>
      <c r="B2878" s="49"/>
    </row>
    <row r="2879" spans="1:2" x14ac:dyDescent="0.2">
      <c r="A2879" s="49"/>
      <c r="B2879" s="49"/>
    </row>
    <row r="2880" spans="1:2" x14ac:dyDescent="0.2">
      <c r="A2880" s="49"/>
      <c r="B2880" s="49"/>
    </row>
    <row r="2881" spans="1:2" x14ac:dyDescent="0.2">
      <c r="A2881" s="49"/>
      <c r="B2881" s="49"/>
    </row>
    <row r="2882" spans="1:2" x14ac:dyDescent="0.2">
      <c r="A2882" s="49"/>
      <c r="B2882" s="49"/>
    </row>
    <row r="2883" spans="1:2" x14ac:dyDescent="0.2">
      <c r="A2883" s="49"/>
      <c r="B2883" s="49"/>
    </row>
    <row r="2884" spans="1:2" x14ac:dyDescent="0.2">
      <c r="A2884" s="49"/>
      <c r="B2884" s="49"/>
    </row>
    <row r="2885" spans="1:2" x14ac:dyDescent="0.2">
      <c r="A2885" s="49"/>
      <c r="B2885" s="49"/>
    </row>
    <row r="2886" spans="1:2" x14ac:dyDescent="0.2">
      <c r="A2886" s="49"/>
      <c r="B2886" s="49"/>
    </row>
    <row r="2887" spans="1:2" x14ac:dyDescent="0.2">
      <c r="A2887" s="49"/>
      <c r="B2887" s="49"/>
    </row>
    <row r="2888" spans="1:2" x14ac:dyDescent="0.2">
      <c r="A2888" s="49"/>
      <c r="B2888" s="49"/>
    </row>
    <row r="2889" spans="1:2" x14ac:dyDescent="0.2">
      <c r="A2889" s="49"/>
      <c r="B2889" s="49"/>
    </row>
    <row r="2890" spans="1:2" x14ac:dyDescent="0.2">
      <c r="A2890" s="49"/>
      <c r="B2890" s="49"/>
    </row>
    <row r="2891" spans="1:2" x14ac:dyDescent="0.2">
      <c r="A2891" s="49"/>
      <c r="B2891" s="49"/>
    </row>
    <row r="2892" spans="1:2" x14ac:dyDescent="0.2">
      <c r="A2892" s="49"/>
      <c r="B2892" s="49"/>
    </row>
    <row r="2893" spans="1:2" x14ac:dyDescent="0.2">
      <c r="A2893" s="49"/>
      <c r="B2893" s="49"/>
    </row>
    <row r="2894" spans="1:2" x14ac:dyDescent="0.2">
      <c r="A2894" s="49"/>
      <c r="B2894" s="49"/>
    </row>
    <row r="2895" spans="1:2" x14ac:dyDescent="0.2">
      <c r="A2895" s="49"/>
      <c r="B2895" s="49"/>
    </row>
    <row r="2896" spans="1:2" x14ac:dyDescent="0.2">
      <c r="A2896" s="49"/>
      <c r="B2896" s="49"/>
    </row>
    <row r="2897" spans="1:7" x14ac:dyDescent="0.2">
      <c r="A2897" s="49"/>
      <c r="B2897" s="49"/>
    </row>
    <row r="2898" spans="1:7" x14ac:dyDescent="0.2">
      <c r="A2898" s="49"/>
      <c r="B2898" s="49"/>
    </row>
    <row r="2899" spans="1:7" x14ac:dyDescent="0.2">
      <c r="A2899" s="49"/>
      <c r="B2899" s="49"/>
    </row>
    <row r="2900" spans="1:7" x14ac:dyDescent="0.2">
      <c r="A2900" s="49"/>
      <c r="B2900" s="49"/>
    </row>
    <row r="2901" spans="1:7" x14ac:dyDescent="0.2">
      <c r="A2901" s="49"/>
      <c r="B2901" s="49"/>
      <c r="C2901" s="49"/>
      <c r="D2901" s="49"/>
      <c r="E2901" s="49"/>
      <c r="F2901" s="49"/>
      <c r="G2901" s="49"/>
    </row>
    <row r="2902" spans="1:7" x14ac:dyDescent="0.2">
      <c r="A2902" s="49"/>
      <c r="B2902" s="49"/>
    </row>
    <row r="2903" spans="1:7" x14ac:dyDescent="0.2">
      <c r="A2903" s="49"/>
      <c r="B2903" s="49"/>
    </row>
    <row r="2904" spans="1:7" x14ac:dyDescent="0.2">
      <c r="A2904" s="49"/>
      <c r="B2904" s="49"/>
    </row>
    <row r="2905" spans="1:7" x14ac:dyDescent="0.2">
      <c r="A2905" s="49"/>
      <c r="B2905" s="49"/>
    </row>
    <row r="2906" spans="1:7" x14ac:dyDescent="0.2">
      <c r="A2906" s="49"/>
      <c r="B2906" s="49"/>
    </row>
    <row r="2907" spans="1:7" x14ac:dyDescent="0.2">
      <c r="A2907" s="49"/>
      <c r="B2907" s="49"/>
    </row>
    <row r="2908" spans="1:7" x14ac:dyDescent="0.2">
      <c r="A2908" s="49"/>
      <c r="B2908" s="49"/>
    </row>
    <row r="2909" spans="1:7" x14ac:dyDescent="0.2">
      <c r="A2909" s="49"/>
      <c r="B2909" s="49"/>
    </row>
    <row r="2910" spans="1:7" x14ac:dyDescent="0.2">
      <c r="A2910" s="49"/>
      <c r="B2910" s="49"/>
    </row>
    <row r="2911" spans="1:7" x14ac:dyDescent="0.2">
      <c r="A2911" s="49"/>
      <c r="B2911" s="49"/>
    </row>
    <row r="2912" spans="1:7" x14ac:dyDescent="0.2">
      <c r="A2912" s="49"/>
      <c r="B2912" s="49"/>
    </row>
    <row r="2913" spans="1:2" x14ac:dyDescent="0.2">
      <c r="A2913" s="49"/>
      <c r="B2913" s="49"/>
    </row>
    <row r="2914" spans="1:2" x14ac:dyDescent="0.2">
      <c r="A2914" s="49"/>
      <c r="B2914" s="49"/>
    </row>
    <row r="2915" spans="1:2" x14ac:dyDescent="0.2">
      <c r="A2915" s="49"/>
      <c r="B2915" s="49"/>
    </row>
    <row r="2916" spans="1:2" x14ac:dyDescent="0.2">
      <c r="A2916" s="49"/>
      <c r="B2916" s="49"/>
    </row>
    <row r="2917" spans="1:2" x14ac:dyDescent="0.2">
      <c r="A2917" s="49"/>
      <c r="B2917" s="49"/>
    </row>
    <row r="2918" spans="1:2" x14ac:dyDescent="0.2">
      <c r="A2918" s="49"/>
      <c r="B2918" s="49"/>
    </row>
    <row r="2919" spans="1:2" x14ac:dyDescent="0.2">
      <c r="A2919" s="49"/>
      <c r="B2919" s="49"/>
    </row>
    <row r="2920" spans="1:2" x14ac:dyDescent="0.2">
      <c r="A2920" s="49"/>
      <c r="B2920" s="49"/>
    </row>
    <row r="2921" spans="1:2" x14ac:dyDescent="0.2">
      <c r="A2921" s="49"/>
      <c r="B2921" s="49"/>
    </row>
    <row r="2922" spans="1:2" x14ac:dyDescent="0.2">
      <c r="A2922" s="49"/>
      <c r="B2922" s="49"/>
    </row>
    <row r="2923" spans="1:2" x14ac:dyDescent="0.2">
      <c r="A2923" s="49"/>
      <c r="B2923" s="49"/>
    </row>
    <row r="2924" spans="1:2" x14ac:dyDescent="0.2">
      <c r="A2924" s="49"/>
      <c r="B2924" s="49"/>
    </row>
    <row r="2925" spans="1:2" x14ac:dyDescent="0.2">
      <c r="A2925" s="49"/>
      <c r="B2925" s="49"/>
    </row>
    <row r="2926" spans="1:2" x14ac:dyDescent="0.2">
      <c r="A2926" s="49"/>
      <c r="B2926" s="49"/>
    </row>
    <row r="2927" spans="1:2" x14ac:dyDescent="0.2">
      <c r="A2927" s="49"/>
      <c r="B2927" s="49"/>
    </row>
    <row r="2928" spans="1:2" x14ac:dyDescent="0.2">
      <c r="A2928" s="49"/>
      <c r="B2928" s="49"/>
    </row>
    <row r="2929" spans="1:2" x14ac:dyDescent="0.2">
      <c r="A2929" s="49"/>
      <c r="B2929" s="49"/>
    </row>
    <row r="2930" spans="1:2" x14ac:dyDescent="0.2">
      <c r="A2930" s="49"/>
      <c r="B2930" s="49"/>
    </row>
    <row r="2931" spans="1:2" x14ac:dyDescent="0.2">
      <c r="A2931" s="49"/>
      <c r="B2931" s="49"/>
    </row>
    <row r="2932" spans="1:2" x14ac:dyDescent="0.2">
      <c r="A2932" s="49"/>
      <c r="B2932" s="49"/>
    </row>
    <row r="2933" spans="1:2" x14ac:dyDescent="0.2">
      <c r="A2933" s="49"/>
      <c r="B2933" s="49"/>
    </row>
    <row r="2934" spans="1:2" x14ac:dyDescent="0.2">
      <c r="A2934" s="49"/>
      <c r="B2934" s="49"/>
    </row>
    <row r="2935" spans="1:2" x14ac:dyDescent="0.2">
      <c r="A2935" s="49"/>
      <c r="B2935" s="49"/>
    </row>
    <row r="2936" spans="1:2" x14ac:dyDescent="0.2">
      <c r="A2936" s="49"/>
      <c r="B2936" s="49"/>
    </row>
    <row r="2937" spans="1:2" x14ac:dyDescent="0.2">
      <c r="A2937" s="49"/>
      <c r="B2937" s="49"/>
    </row>
    <row r="2938" spans="1:2" x14ac:dyDescent="0.2">
      <c r="A2938" s="49"/>
      <c r="B2938" s="49"/>
    </row>
    <row r="2939" spans="1:2" x14ac:dyDescent="0.2">
      <c r="A2939" s="49"/>
      <c r="B2939" s="49"/>
    </row>
    <row r="2940" spans="1:2" x14ac:dyDescent="0.2">
      <c r="A2940" s="49"/>
      <c r="B2940" s="49"/>
    </row>
    <row r="2941" spans="1:2" x14ac:dyDescent="0.2">
      <c r="A2941" s="49"/>
      <c r="B2941" s="49"/>
    </row>
    <row r="2942" spans="1:2" x14ac:dyDescent="0.2">
      <c r="A2942" s="49"/>
      <c r="B2942" s="49"/>
    </row>
    <row r="2943" spans="1:2" x14ac:dyDescent="0.2">
      <c r="A2943" s="49"/>
      <c r="B2943" s="49"/>
    </row>
    <row r="2944" spans="1:2" x14ac:dyDescent="0.2">
      <c r="A2944" s="49"/>
      <c r="B2944" s="49"/>
    </row>
    <row r="2945" spans="1:2" x14ac:dyDescent="0.2">
      <c r="A2945" s="49"/>
      <c r="B2945" s="49"/>
    </row>
    <row r="2946" spans="1:2" x14ac:dyDescent="0.2">
      <c r="A2946" s="49"/>
      <c r="B2946" s="49"/>
    </row>
    <row r="2947" spans="1:2" x14ac:dyDescent="0.2">
      <c r="A2947" s="49"/>
      <c r="B2947" s="49"/>
    </row>
    <row r="2948" spans="1:2" x14ac:dyDescent="0.2">
      <c r="A2948" s="49"/>
      <c r="B2948" s="49"/>
    </row>
    <row r="2949" spans="1:2" x14ac:dyDescent="0.2">
      <c r="A2949" s="49"/>
      <c r="B2949" s="49"/>
    </row>
    <row r="2950" spans="1:2" x14ac:dyDescent="0.2">
      <c r="A2950" s="49"/>
      <c r="B2950" s="49"/>
    </row>
    <row r="2951" spans="1:2" x14ac:dyDescent="0.2">
      <c r="A2951" s="49"/>
      <c r="B2951" s="49"/>
    </row>
    <row r="2952" spans="1:2" x14ac:dyDescent="0.2">
      <c r="A2952" s="49"/>
      <c r="B2952" s="49"/>
    </row>
    <row r="2953" spans="1:2" x14ac:dyDescent="0.2">
      <c r="A2953" s="49"/>
      <c r="B2953" s="49"/>
    </row>
    <row r="2954" spans="1:2" x14ac:dyDescent="0.2">
      <c r="A2954" s="49"/>
      <c r="B2954" s="49"/>
    </row>
    <row r="2955" spans="1:2" x14ac:dyDescent="0.2">
      <c r="A2955" s="49"/>
      <c r="B2955" s="49"/>
    </row>
    <row r="2956" spans="1:2" x14ac:dyDescent="0.2">
      <c r="A2956" s="49"/>
      <c r="B2956" s="49"/>
    </row>
    <row r="2957" spans="1:2" x14ac:dyDescent="0.2">
      <c r="A2957" s="49"/>
      <c r="B2957" s="49"/>
    </row>
    <row r="2958" spans="1:2" x14ac:dyDescent="0.2">
      <c r="A2958" s="49"/>
      <c r="B2958" s="49"/>
    </row>
    <row r="2959" spans="1:2" x14ac:dyDescent="0.2">
      <c r="A2959" s="49"/>
      <c r="B2959" s="49"/>
    </row>
    <row r="2960" spans="1:2" x14ac:dyDescent="0.2">
      <c r="A2960" s="49"/>
      <c r="B2960" s="49"/>
    </row>
    <row r="2961" spans="1:2" x14ac:dyDescent="0.2">
      <c r="A2961" s="49"/>
      <c r="B2961" s="49"/>
    </row>
    <row r="2962" spans="1:2" x14ac:dyDescent="0.2">
      <c r="A2962" s="49"/>
      <c r="B2962" s="49"/>
    </row>
    <row r="2963" spans="1:2" x14ac:dyDescent="0.2">
      <c r="A2963" s="49"/>
      <c r="B2963" s="49"/>
    </row>
    <row r="2964" spans="1:2" x14ac:dyDescent="0.2">
      <c r="A2964" s="49"/>
      <c r="B2964" s="49"/>
    </row>
    <row r="2965" spans="1:2" x14ac:dyDescent="0.2">
      <c r="A2965" s="49"/>
      <c r="B2965" s="49"/>
    </row>
    <row r="2966" spans="1:2" x14ac:dyDescent="0.2">
      <c r="A2966" s="49"/>
      <c r="B2966" s="49"/>
    </row>
    <row r="2967" spans="1:2" x14ac:dyDescent="0.2">
      <c r="A2967" s="49"/>
      <c r="B2967" s="49"/>
    </row>
    <row r="2968" spans="1:2" x14ac:dyDescent="0.2">
      <c r="A2968" s="49"/>
      <c r="B2968" s="49"/>
    </row>
    <row r="2969" spans="1:2" x14ac:dyDescent="0.2">
      <c r="A2969" s="49"/>
      <c r="B2969" s="49"/>
    </row>
    <row r="2970" spans="1:2" x14ac:dyDescent="0.2">
      <c r="A2970" s="49"/>
      <c r="B2970" s="49"/>
    </row>
    <row r="2971" spans="1:2" x14ac:dyDescent="0.2">
      <c r="A2971" s="49"/>
      <c r="B2971" s="49"/>
    </row>
    <row r="2972" spans="1:2" x14ac:dyDescent="0.2">
      <c r="A2972" s="49"/>
      <c r="B2972" s="49"/>
    </row>
    <row r="2973" spans="1:2" x14ac:dyDescent="0.2">
      <c r="A2973" s="49"/>
      <c r="B2973" s="49"/>
    </row>
    <row r="2974" spans="1:2" x14ac:dyDescent="0.2">
      <c r="A2974" s="49"/>
      <c r="B2974" s="49"/>
    </row>
    <row r="2975" spans="1:2" x14ac:dyDescent="0.2">
      <c r="A2975" s="49"/>
      <c r="B2975" s="49"/>
    </row>
    <row r="2976" spans="1:2" x14ac:dyDescent="0.2">
      <c r="A2976" s="49"/>
      <c r="B2976" s="49"/>
    </row>
    <row r="2977" spans="1:2" x14ac:dyDescent="0.2">
      <c r="A2977" s="49"/>
      <c r="B2977" s="49"/>
    </row>
    <row r="2978" spans="1:2" x14ac:dyDescent="0.2">
      <c r="A2978" s="49"/>
      <c r="B2978" s="49"/>
    </row>
    <row r="2979" spans="1:2" x14ac:dyDescent="0.2">
      <c r="A2979" s="49"/>
      <c r="B2979" s="49"/>
    </row>
    <row r="2980" spans="1:2" x14ac:dyDescent="0.2">
      <c r="A2980" s="49"/>
      <c r="B2980" s="49"/>
    </row>
    <row r="2981" spans="1:2" x14ac:dyDescent="0.2">
      <c r="A2981" s="49"/>
      <c r="B2981" s="49"/>
    </row>
    <row r="2982" spans="1:2" x14ac:dyDescent="0.2">
      <c r="A2982" s="49"/>
      <c r="B2982" s="49"/>
    </row>
    <row r="2983" spans="1:2" x14ac:dyDescent="0.2">
      <c r="A2983" s="49"/>
      <c r="B2983" s="49"/>
    </row>
    <row r="2984" spans="1:2" x14ac:dyDescent="0.2">
      <c r="A2984" s="49"/>
      <c r="B2984" s="49"/>
    </row>
    <row r="2985" spans="1:2" x14ac:dyDescent="0.2">
      <c r="A2985" s="49"/>
      <c r="B2985" s="49"/>
    </row>
    <row r="2986" spans="1:2" x14ac:dyDescent="0.2">
      <c r="A2986" s="49"/>
      <c r="B2986" s="49"/>
    </row>
    <row r="2987" spans="1:2" x14ac:dyDescent="0.2">
      <c r="A2987" s="49"/>
      <c r="B2987" s="49"/>
    </row>
    <row r="2988" spans="1:2" x14ac:dyDescent="0.2">
      <c r="A2988" s="49"/>
      <c r="B2988" s="49"/>
    </row>
    <row r="2989" spans="1:2" x14ac:dyDescent="0.2">
      <c r="A2989" s="49"/>
      <c r="B2989" s="49"/>
    </row>
    <row r="2990" spans="1:2" x14ac:dyDescent="0.2">
      <c r="A2990" s="49"/>
      <c r="B2990" s="49"/>
    </row>
    <row r="2991" spans="1:2" x14ac:dyDescent="0.2">
      <c r="A2991" s="49"/>
      <c r="B2991" s="49"/>
    </row>
    <row r="2992" spans="1:2" x14ac:dyDescent="0.2">
      <c r="A2992" s="49"/>
      <c r="B2992" s="49"/>
    </row>
    <row r="2993" spans="1:2" x14ac:dyDescent="0.2">
      <c r="A2993" s="49"/>
      <c r="B2993" s="49"/>
    </row>
    <row r="2994" spans="1:2" x14ac:dyDescent="0.2">
      <c r="A2994" s="49"/>
      <c r="B2994" s="49"/>
    </row>
    <row r="2995" spans="1:2" x14ac:dyDescent="0.2">
      <c r="A2995" s="49"/>
      <c r="B2995" s="49"/>
    </row>
    <row r="2996" spans="1:2" x14ac:dyDescent="0.2">
      <c r="A2996" s="49"/>
      <c r="B2996" s="49"/>
    </row>
    <row r="2997" spans="1:2" x14ac:dyDescent="0.2">
      <c r="A2997" s="49"/>
      <c r="B2997" s="49"/>
    </row>
    <row r="2998" spans="1:2" x14ac:dyDescent="0.2">
      <c r="A2998" s="49"/>
      <c r="B2998" s="49"/>
    </row>
    <row r="2999" spans="1:2" x14ac:dyDescent="0.2">
      <c r="A2999" s="49"/>
      <c r="B2999" s="49"/>
    </row>
    <row r="3000" spans="1:2" x14ac:dyDescent="0.2">
      <c r="A3000" s="49"/>
      <c r="B3000" s="49"/>
    </row>
    <row r="3001" spans="1:2" x14ac:dyDescent="0.2">
      <c r="A3001" s="49"/>
      <c r="B3001" s="49"/>
    </row>
    <row r="3002" spans="1:2" x14ac:dyDescent="0.2">
      <c r="A3002" s="49"/>
      <c r="B3002" s="49"/>
    </row>
    <row r="3003" spans="1:2" x14ac:dyDescent="0.2">
      <c r="A3003" s="49"/>
      <c r="B3003" s="49"/>
    </row>
    <row r="3004" spans="1:2" x14ac:dyDescent="0.2">
      <c r="A3004" s="49"/>
      <c r="B3004" s="49"/>
    </row>
    <row r="3005" spans="1:2" x14ac:dyDescent="0.2">
      <c r="A3005" s="49"/>
      <c r="B3005" s="49"/>
    </row>
    <row r="3006" spans="1:2" x14ac:dyDescent="0.2">
      <c r="A3006" s="49"/>
      <c r="B3006" s="49"/>
    </row>
    <row r="3007" spans="1:2" x14ac:dyDescent="0.2">
      <c r="A3007" s="49"/>
      <c r="B3007" s="49"/>
    </row>
    <row r="3008" spans="1:2" x14ac:dyDescent="0.2">
      <c r="A3008" s="49"/>
      <c r="B3008" s="49"/>
    </row>
    <row r="3009" spans="1:2" x14ac:dyDescent="0.2">
      <c r="A3009" s="49"/>
      <c r="B3009" s="49"/>
    </row>
    <row r="3010" spans="1:2" x14ac:dyDescent="0.2">
      <c r="A3010" s="49"/>
      <c r="B3010" s="49"/>
    </row>
    <row r="3011" spans="1:2" x14ac:dyDescent="0.2">
      <c r="A3011" s="49"/>
      <c r="B3011" s="49"/>
    </row>
    <row r="3012" spans="1:2" x14ac:dyDescent="0.2">
      <c r="A3012" s="49"/>
      <c r="B3012" s="49"/>
    </row>
    <row r="3013" spans="1:2" x14ac:dyDescent="0.2">
      <c r="A3013" s="49"/>
      <c r="B3013" s="49"/>
    </row>
    <row r="3014" spans="1:2" x14ac:dyDescent="0.2">
      <c r="A3014" s="49"/>
      <c r="B3014" s="49"/>
    </row>
    <row r="3015" spans="1:2" x14ac:dyDescent="0.2">
      <c r="A3015" s="49"/>
      <c r="B3015" s="49"/>
    </row>
    <row r="3016" spans="1:2" x14ac:dyDescent="0.2">
      <c r="A3016" s="49"/>
      <c r="B3016" s="49"/>
    </row>
    <row r="3017" spans="1:2" x14ac:dyDescent="0.2">
      <c r="A3017" s="49"/>
      <c r="B3017" s="49"/>
    </row>
    <row r="3018" spans="1:2" x14ac:dyDescent="0.2">
      <c r="A3018" s="49"/>
      <c r="B3018" s="49"/>
    </row>
    <row r="3019" spans="1:2" x14ac:dyDescent="0.2">
      <c r="A3019" s="49"/>
      <c r="B3019" s="49"/>
    </row>
    <row r="3020" spans="1:2" x14ac:dyDescent="0.2">
      <c r="A3020" s="49"/>
      <c r="B3020" s="49"/>
    </row>
    <row r="3021" spans="1:2" x14ac:dyDescent="0.2">
      <c r="A3021" s="49"/>
      <c r="B3021" s="49"/>
    </row>
    <row r="3022" spans="1:2" x14ac:dyDescent="0.2">
      <c r="A3022" s="49"/>
      <c r="B3022" s="49"/>
    </row>
    <row r="3023" spans="1:2" x14ac:dyDescent="0.2">
      <c r="A3023" s="49"/>
      <c r="B3023" s="49"/>
    </row>
    <row r="3024" spans="1:2" x14ac:dyDescent="0.2">
      <c r="A3024" s="49"/>
      <c r="B3024" s="49"/>
    </row>
    <row r="3025" spans="1:2" x14ac:dyDescent="0.2">
      <c r="A3025" s="49"/>
      <c r="B3025" s="49"/>
    </row>
    <row r="3026" spans="1:2" x14ac:dyDescent="0.2">
      <c r="A3026" s="49"/>
      <c r="B3026" s="49"/>
    </row>
    <row r="3027" spans="1:2" x14ac:dyDescent="0.2">
      <c r="A3027" s="49"/>
      <c r="B3027" s="49"/>
    </row>
    <row r="3028" spans="1:2" x14ac:dyDescent="0.2">
      <c r="A3028" s="49"/>
      <c r="B3028" s="49"/>
    </row>
    <row r="3029" spans="1:2" x14ac:dyDescent="0.2">
      <c r="A3029" s="49"/>
      <c r="B3029" s="49"/>
    </row>
    <row r="3030" spans="1:2" x14ac:dyDescent="0.2">
      <c r="A3030" s="49"/>
      <c r="B3030" s="49"/>
    </row>
    <row r="3031" spans="1:2" x14ac:dyDescent="0.2">
      <c r="A3031" s="49"/>
      <c r="B3031" s="49"/>
    </row>
    <row r="3032" spans="1:2" x14ac:dyDescent="0.2">
      <c r="A3032" s="49"/>
      <c r="B3032" s="49"/>
    </row>
    <row r="3033" spans="1:2" x14ac:dyDescent="0.2">
      <c r="A3033" s="49"/>
      <c r="B3033" s="49"/>
    </row>
    <row r="3034" spans="1:2" x14ac:dyDescent="0.2">
      <c r="A3034" s="49"/>
      <c r="B3034" s="49"/>
    </row>
    <row r="3035" spans="1:2" x14ac:dyDescent="0.2">
      <c r="A3035" s="49"/>
      <c r="B3035" s="49"/>
    </row>
    <row r="3036" spans="1:2" x14ac:dyDescent="0.2">
      <c r="A3036" s="49"/>
      <c r="B3036" s="49"/>
    </row>
    <row r="3037" spans="1:2" x14ac:dyDescent="0.2">
      <c r="A3037" s="49"/>
      <c r="B3037" s="49"/>
    </row>
    <row r="3038" spans="1:2" x14ac:dyDescent="0.2">
      <c r="A3038" s="49"/>
      <c r="B3038" s="49"/>
    </row>
    <row r="3039" spans="1:2" x14ac:dyDescent="0.2">
      <c r="A3039" s="49"/>
      <c r="B3039" s="49"/>
    </row>
    <row r="3040" spans="1:2" x14ac:dyDescent="0.2">
      <c r="A3040" s="49"/>
      <c r="B3040" s="49"/>
    </row>
    <row r="3041" spans="1:2" x14ac:dyDescent="0.2">
      <c r="A3041" s="49"/>
      <c r="B3041" s="49"/>
    </row>
    <row r="3042" spans="1:2" x14ac:dyDescent="0.2">
      <c r="A3042" s="49"/>
      <c r="B3042" s="49"/>
    </row>
    <row r="3043" spans="1:2" x14ac:dyDescent="0.2">
      <c r="A3043" s="49"/>
      <c r="B3043" s="49"/>
    </row>
    <row r="3044" spans="1:2" x14ac:dyDescent="0.2">
      <c r="A3044" s="49"/>
      <c r="B3044" s="49"/>
    </row>
    <row r="3045" spans="1:2" x14ac:dyDescent="0.2">
      <c r="A3045" s="49"/>
      <c r="B3045" s="49"/>
    </row>
    <row r="3046" spans="1:2" x14ac:dyDescent="0.2">
      <c r="A3046" s="49"/>
      <c r="B3046" s="49"/>
    </row>
    <row r="3047" spans="1:2" x14ac:dyDescent="0.2">
      <c r="A3047" s="49"/>
      <c r="B3047" s="49"/>
    </row>
    <row r="3048" spans="1:2" x14ac:dyDescent="0.2">
      <c r="A3048" s="49"/>
      <c r="B3048" s="49"/>
    </row>
    <row r="3049" spans="1:2" x14ac:dyDescent="0.2">
      <c r="A3049" s="49"/>
      <c r="B3049" s="49"/>
    </row>
    <row r="3050" spans="1:2" x14ac:dyDescent="0.2">
      <c r="A3050" s="49"/>
      <c r="B3050" s="49"/>
    </row>
    <row r="3051" spans="1:2" x14ac:dyDescent="0.2">
      <c r="A3051" s="49"/>
      <c r="B3051" s="49"/>
    </row>
    <row r="3052" spans="1:2" x14ac:dyDescent="0.2">
      <c r="A3052" s="49"/>
      <c r="B3052" s="49"/>
    </row>
    <row r="3053" spans="1:2" x14ac:dyDescent="0.2">
      <c r="A3053" s="49"/>
      <c r="B3053" s="49"/>
    </row>
    <row r="3054" spans="1:2" x14ac:dyDescent="0.2">
      <c r="A3054" s="49"/>
      <c r="B3054" s="49"/>
    </row>
    <row r="3055" spans="1:2" x14ac:dyDescent="0.2">
      <c r="A3055" s="49"/>
      <c r="B3055" s="49"/>
    </row>
    <row r="3056" spans="1:2" x14ac:dyDescent="0.2">
      <c r="A3056" s="49"/>
      <c r="B3056" s="49"/>
    </row>
    <row r="3057" spans="1:7" x14ac:dyDescent="0.2">
      <c r="A3057" s="49"/>
      <c r="B3057" s="49"/>
    </row>
    <row r="3058" spans="1:7" x14ac:dyDescent="0.2">
      <c r="A3058" s="49"/>
      <c r="B3058" s="49"/>
    </row>
    <row r="3059" spans="1:7" x14ac:dyDescent="0.2">
      <c r="A3059" s="49"/>
      <c r="B3059" s="49"/>
      <c r="C3059" s="49"/>
      <c r="D3059" s="49"/>
      <c r="E3059" s="49"/>
      <c r="F3059" s="49"/>
      <c r="G3059" s="49"/>
    </row>
    <row r="3060" spans="1:7" x14ac:dyDescent="0.2">
      <c r="A3060" s="49"/>
      <c r="B3060" s="49"/>
    </row>
    <row r="3061" spans="1:7" x14ac:dyDescent="0.2">
      <c r="A3061" s="49"/>
      <c r="B3061" s="49"/>
    </row>
    <row r="3062" spans="1:7" x14ac:dyDescent="0.2">
      <c r="A3062" s="49"/>
      <c r="B3062" s="49"/>
    </row>
    <row r="3063" spans="1:7" x14ac:dyDescent="0.2">
      <c r="A3063" s="49"/>
      <c r="B3063" s="49"/>
    </row>
    <row r="3064" spans="1:7" x14ac:dyDescent="0.2">
      <c r="A3064" s="49"/>
      <c r="B3064" s="49"/>
    </row>
    <row r="3065" spans="1:7" x14ac:dyDescent="0.2">
      <c r="A3065" s="49"/>
      <c r="B3065" s="49"/>
    </row>
    <row r="3066" spans="1:7" x14ac:dyDescent="0.2">
      <c r="A3066" s="49"/>
      <c r="B3066" s="49"/>
    </row>
    <row r="3067" spans="1:7" x14ac:dyDescent="0.2">
      <c r="A3067" s="49"/>
      <c r="B3067" s="49"/>
    </row>
    <row r="3068" spans="1:7" x14ac:dyDescent="0.2">
      <c r="A3068" s="49"/>
      <c r="B3068" s="49"/>
    </row>
    <row r="3069" spans="1:7" x14ac:dyDescent="0.2">
      <c r="A3069" s="49"/>
      <c r="B3069" s="49"/>
    </row>
    <row r="3070" spans="1:7" x14ac:dyDescent="0.2">
      <c r="A3070" s="49"/>
      <c r="B3070" s="49"/>
    </row>
    <row r="3071" spans="1:7" x14ac:dyDescent="0.2">
      <c r="A3071" s="49"/>
      <c r="B3071" s="49"/>
    </row>
    <row r="3072" spans="1:7" x14ac:dyDescent="0.2">
      <c r="A3072" s="49"/>
      <c r="B3072" s="49"/>
    </row>
    <row r="3073" spans="1:2" x14ac:dyDescent="0.2">
      <c r="A3073" s="49"/>
      <c r="B3073" s="49"/>
    </row>
    <row r="3074" spans="1:2" x14ac:dyDescent="0.2">
      <c r="A3074" s="49"/>
      <c r="B3074" s="49"/>
    </row>
    <row r="3075" spans="1:2" x14ac:dyDescent="0.2">
      <c r="A3075" s="49"/>
      <c r="B3075" s="49"/>
    </row>
    <row r="3076" spans="1:2" x14ac:dyDescent="0.2">
      <c r="A3076" s="49"/>
      <c r="B3076" s="49"/>
    </row>
    <row r="3077" spans="1:2" x14ac:dyDescent="0.2">
      <c r="A3077" s="49"/>
      <c r="B3077" s="49"/>
    </row>
    <row r="3078" spans="1:2" x14ac:dyDescent="0.2">
      <c r="A3078" s="49"/>
      <c r="B3078" s="49"/>
    </row>
    <row r="3079" spans="1:2" x14ac:dyDescent="0.2">
      <c r="A3079" s="49"/>
      <c r="B3079" s="49"/>
    </row>
    <row r="3080" spans="1:2" x14ac:dyDescent="0.2">
      <c r="A3080" s="49"/>
      <c r="B3080" s="49"/>
    </row>
    <row r="3081" spans="1:2" x14ac:dyDescent="0.2">
      <c r="A3081" s="49"/>
      <c r="B3081" s="49"/>
    </row>
    <row r="3082" spans="1:2" x14ac:dyDescent="0.2">
      <c r="A3082" s="49"/>
      <c r="B3082" s="49"/>
    </row>
    <row r="3083" spans="1:2" x14ac:dyDescent="0.2">
      <c r="A3083" s="49"/>
      <c r="B3083" s="49"/>
    </row>
    <row r="3084" spans="1:2" x14ac:dyDescent="0.2">
      <c r="A3084" s="49"/>
      <c r="B3084" s="49"/>
    </row>
    <row r="3085" spans="1:2" x14ac:dyDescent="0.2">
      <c r="A3085" s="49"/>
      <c r="B3085" s="49"/>
    </row>
    <row r="3086" spans="1:2" x14ac:dyDescent="0.2">
      <c r="A3086" s="49"/>
      <c r="B3086" s="49"/>
    </row>
    <row r="3087" spans="1:2" x14ac:dyDescent="0.2">
      <c r="A3087" s="49"/>
      <c r="B3087" s="49"/>
    </row>
    <row r="3088" spans="1:2" x14ac:dyDescent="0.2">
      <c r="A3088" s="49"/>
      <c r="B3088" s="49"/>
    </row>
    <row r="3089" spans="1:2" x14ac:dyDescent="0.2">
      <c r="A3089" s="49"/>
      <c r="B3089" s="49"/>
    </row>
    <row r="3090" spans="1:2" x14ac:dyDescent="0.2">
      <c r="A3090" s="49"/>
      <c r="B3090" s="49"/>
    </row>
    <row r="3091" spans="1:2" x14ac:dyDescent="0.2">
      <c r="A3091" s="49"/>
      <c r="B3091" s="49"/>
    </row>
    <row r="3092" spans="1:2" x14ac:dyDescent="0.2">
      <c r="A3092" s="49"/>
      <c r="B3092" s="49"/>
    </row>
    <row r="3093" spans="1:2" x14ac:dyDescent="0.2">
      <c r="A3093" s="49"/>
      <c r="B3093" s="49"/>
    </row>
    <row r="3094" spans="1:2" x14ac:dyDescent="0.2">
      <c r="A3094" s="49"/>
      <c r="B3094" s="49"/>
    </row>
    <row r="3095" spans="1:2" x14ac:dyDescent="0.2">
      <c r="A3095" s="49"/>
      <c r="B3095" s="49"/>
    </row>
    <row r="3096" spans="1:2" x14ac:dyDescent="0.2">
      <c r="A3096" s="49"/>
      <c r="B3096" s="49"/>
    </row>
    <row r="3097" spans="1:2" x14ac:dyDescent="0.2">
      <c r="A3097" s="49"/>
      <c r="B3097" s="49"/>
    </row>
    <row r="3098" spans="1:2" x14ac:dyDescent="0.2">
      <c r="A3098" s="49"/>
      <c r="B3098" s="49"/>
    </row>
    <row r="3099" spans="1:2" x14ac:dyDescent="0.2">
      <c r="A3099" s="49"/>
      <c r="B3099" s="49"/>
    </row>
    <row r="3100" spans="1:2" x14ac:dyDescent="0.2">
      <c r="A3100" s="49"/>
      <c r="B3100" s="49"/>
    </row>
    <row r="3101" spans="1:2" x14ac:dyDescent="0.2">
      <c r="A3101" s="49"/>
      <c r="B3101" s="49"/>
    </row>
    <row r="3102" spans="1:2" x14ac:dyDescent="0.2">
      <c r="A3102" s="49"/>
      <c r="B3102" s="49"/>
    </row>
    <row r="3103" spans="1:2" x14ac:dyDescent="0.2">
      <c r="A3103" s="49"/>
      <c r="B3103" s="49"/>
    </row>
    <row r="3104" spans="1:2" x14ac:dyDescent="0.2">
      <c r="A3104" s="49"/>
      <c r="B3104" s="49"/>
    </row>
    <row r="3105" spans="1:2" x14ac:dyDescent="0.2">
      <c r="A3105" s="49"/>
      <c r="B3105" s="49"/>
    </row>
    <row r="3106" spans="1:2" x14ac:dyDescent="0.2">
      <c r="A3106" s="49"/>
      <c r="B3106" s="49"/>
    </row>
    <row r="3107" spans="1:2" x14ac:dyDescent="0.2">
      <c r="A3107" s="49"/>
      <c r="B3107" s="49"/>
    </row>
    <row r="3108" spans="1:2" x14ac:dyDescent="0.2">
      <c r="A3108" s="49"/>
      <c r="B3108" s="49"/>
    </row>
    <row r="3109" spans="1:2" x14ac:dyDescent="0.2">
      <c r="A3109" s="49"/>
      <c r="B3109" s="49"/>
    </row>
    <row r="3110" spans="1:2" x14ac:dyDescent="0.2">
      <c r="A3110" s="49"/>
      <c r="B3110" s="49"/>
    </row>
    <row r="3111" spans="1:2" x14ac:dyDescent="0.2">
      <c r="A3111" s="49"/>
      <c r="B3111" s="49"/>
    </row>
    <row r="3112" spans="1:2" x14ac:dyDescent="0.2">
      <c r="A3112" s="49"/>
      <c r="B3112" s="49"/>
    </row>
    <row r="3113" spans="1:2" x14ac:dyDescent="0.2">
      <c r="A3113" s="49"/>
      <c r="B3113" s="49"/>
    </row>
    <row r="3114" spans="1:2" x14ac:dyDescent="0.2">
      <c r="A3114" s="49"/>
      <c r="B3114" s="49"/>
    </row>
    <row r="3115" spans="1:2" x14ac:dyDescent="0.2">
      <c r="A3115" s="49"/>
      <c r="B3115" s="49"/>
    </row>
    <row r="3116" spans="1:2" x14ac:dyDescent="0.2">
      <c r="A3116" s="49"/>
      <c r="B3116" s="49"/>
    </row>
    <row r="3117" spans="1:2" x14ac:dyDescent="0.2">
      <c r="A3117" s="49"/>
      <c r="B3117" s="49"/>
    </row>
    <row r="3118" spans="1:2" x14ac:dyDescent="0.2">
      <c r="A3118" s="49"/>
      <c r="B3118" s="49"/>
    </row>
    <row r="3119" spans="1:2" x14ac:dyDescent="0.2">
      <c r="A3119" s="49"/>
      <c r="B3119" s="49"/>
    </row>
    <row r="3120" spans="1:2" x14ac:dyDescent="0.2">
      <c r="A3120" s="49"/>
      <c r="B3120" s="49"/>
    </row>
    <row r="3121" spans="1:7" x14ac:dyDescent="0.2">
      <c r="A3121" s="49"/>
      <c r="B3121" s="49"/>
    </row>
    <row r="3122" spans="1:7" x14ac:dyDescent="0.2">
      <c r="A3122" s="49"/>
      <c r="B3122" s="49"/>
    </row>
    <row r="3123" spans="1:7" x14ac:dyDescent="0.2">
      <c r="A3123" s="49"/>
      <c r="B3123" s="49"/>
    </row>
    <row r="3124" spans="1:7" x14ac:dyDescent="0.2">
      <c r="A3124" s="49"/>
      <c r="B3124" s="49"/>
    </row>
    <row r="3125" spans="1:7" x14ac:dyDescent="0.2">
      <c r="A3125" s="49"/>
      <c r="B3125" s="49"/>
    </row>
    <row r="3126" spans="1:7" x14ac:dyDescent="0.2">
      <c r="A3126" s="49"/>
      <c r="B3126" s="49"/>
    </row>
    <row r="3127" spans="1:7" x14ac:dyDescent="0.2">
      <c r="A3127" s="49"/>
      <c r="B3127" s="49"/>
    </row>
    <row r="3128" spans="1:7" x14ac:dyDescent="0.2">
      <c r="A3128" s="49"/>
      <c r="B3128" s="49"/>
    </row>
    <row r="3129" spans="1:7" x14ac:dyDescent="0.2">
      <c r="A3129" s="49"/>
      <c r="B3129" s="49"/>
    </row>
    <row r="3130" spans="1:7" x14ac:dyDescent="0.2">
      <c r="A3130" s="49"/>
      <c r="B3130" s="49"/>
    </row>
    <row r="3131" spans="1:7" x14ac:dyDescent="0.2">
      <c r="A3131" s="49"/>
      <c r="B3131" s="49"/>
    </row>
    <row r="3132" spans="1:7" x14ac:dyDescent="0.2">
      <c r="A3132" s="49"/>
      <c r="B3132" s="49"/>
    </row>
    <row r="3133" spans="1:7" x14ac:dyDescent="0.2">
      <c r="A3133" s="49"/>
      <c r="B3133" s="49"/>
      <c r="C3133" s="49"/>
      <c r="D3133" s="49"/>
      <c r="E3133" s="49"/>
      <c r="F3133" s="49"/>
      <c r="G3133" s="49"/>
    </row>
    <row r="3134" spans="1:7" x14ac:dyDescent="0.2">
      <c r="A3134" s="49"/>
      <c r="B3134" s="49"/>
    </row>
    <row r="3135" spans="1:7" x14ac:dyDescent="0.2">
      <c r="A3135" s="49"/>
      <c r="B3135" s="49"/>
    </row>
    <row r="3136" spans="1:7" x14ac:dyDescent="0.2">
      <c r="A3136" s="49"/>
      <c r="B3136" s="49"/>
    </row>
    <row r="3137" spans="1:2" x14ac:dyDescent="0.2">
      <c r="A3137" s="49"/>
      <c r="B3137" s="49"/>
    </row>
    <row r="3138" spans="1:2" x14ac:dyDescent="0.2">
      <c r="A3138" s="49"/>
      <c r="B3138" s="49"/>
    </row>
    <row r="3139" spans="1:2" x14ac:dyDescent="0.2">
      <c r="A3139" s="49"/>
      <c r="B3139" s="49"/>
    </row>
    <row r="3140" spans="1:2" x14ac:dyDescent="0.2">
      <c r="A3140" s="49"/>
      <c r="B3140" s="49"/>
    </row>
    <row r="3141" spans="1:2" x14ac:dyDescent="0.2">
      <c r="A3141" s="49"/>
      <c r="B3141" s="49"/>
    </row>
    <row r="3142" spans="1:2" x14ac:dyDescent="0.2">
      <c r="A3142" s="49"/>
      <c r="B3142" s="49"/>
    </row>
    <row r="3143" spans="1:2" x14ac:dyDescent="0.2">
      <c r="A3143" s="49"/>
      <c r="B3143" s="49"/>
    </row>
    <row r="3144" spans="1:2" x14ac:dyDescent="0.2">
      <c r="A3144" s="49"/>
      <c r="B3144" s="49"/>
    </row>
    <row r="3145" spans="1:2" x14ac:dyDescent="0.2">
      <c r="A3145" s="49"/>
      <c r="B3145" s="49"/>
    </row>
    <row r="3146" spans="1:2" x14ac:dyDescent="0.2">
      <c r="A3146" s="49"/>
      <c r="B3146" s="49"/>
    </row>
    <row r="3147" spans="1:2" x14ac:dyDescent="0.2">
      <c r="A3147" s="49"/>
      <c r="B3147" s="49"/>
    </row>
    <row r="3148" spans="1:2" x14ac:dyDescent="0.2">
      <c r="A3148" s="49"/>
      <c r="B3148" s="49"/>
    </row>
    <row r="3149" spans="1:2" x14ac:dyDescent="0.2">
      <c r="A3149" s="49"/>
      <c r="B3149" s="49"/>
    </row>
    <row r="3150" spans="1:2" x14ac:dyDescent="0.2">
      <c r="A3150" s="49"/>
      <c r="B3150" s="49"/>
    </row>
    <row r="3151" spans="1:2" x14ac:dyDescent="0.2">
      <c r="A3151" s="49"/>
      <c r="B3151" s="49"/>
    </row>
    <row r="3152" spans="1:2" x14ac:dyDescent="0.2">
      <c r="A3152" s="49"/>
      <c r="B3152" s="49"/>
    </row>
    <row r="3153" spans="1:2" x14ac:dyDescent="0.2">
      <c r="A3153" s="49"/>
      <c r="B3153" s="49"/>
    </row>
    <row r="3154" spans="1:2" x14ac:dyDescent="0.2">
      <c r="A3154" s="49"/>
      <c r="B3154" s="49"/>
    </row>
    <row r="3155" spans="1:2" x14ac:dyDescent="0.2">
      <c r="A3155" s="49"/>
      <c r="B3155" s="49"/>
    </row>
    <row r="3156" spans="1:2" x14ac:dyDescent="0.2">
      <c r="A3156" s="49"/>
      <c r="B3156" s="49"/>
    </row>
    <row r="3157" spans="1:2" x14ac:dyDescent="0.2">
      <c r="A3157" s="49"/>
      <c r="B3157" s="49"/>
    </row>
    <row r="3158" spans="1:2" x14ac:dyDescent="0.2">
      <c r="A3158" s="49"/>
      <c r="B3158" s="49"/>
    </row>
    <row r="3159" spans="1:2" x14ac:dyDescent="0.2">
      <c r="A3159" s="49"/>
      <c r="B3159" s="49"/>
    </row>
    <row r="3160" spans="1:2" x14ac:dyDescent="0.2">
      <c r="A3160" s="49"/>
      <c r="B3160" s="49"/>
    </row>
    <row r="3161" spans="1:2" x14ac:dyDescent="0.2">
      <c r="A3161" s="49"/>
      <c r="B3161" s="49"/>
    </row>
    <row r="3162" spans="1:2" x14ac:dyDescent="0.2">
      <c r="A3162" s="49"/>
      <c r="B3162" s="49"/>
    </row>
    <row r="3163" spans="1:2" x14ac:dyDescent="0.2">
      <c r="A3163" s="49"/>
      <c r="B3163" s="49"/>
    </row>
    <row r="3164" spans="1:2" x14ac:dyDescent="0.2">
      <c r="A3164" s="49"/>
      <c r="B3164" s="49"/>
    </row>
    <row r="3165" spans="1:2" x14ac:dyDescent="0.2">
      <c r="A3165" s="49"/>
      <c r="B3165" s="49"/>
    </row>
    <row r="3166" spans="1:2" x14ac:dyDescent="0.2">
      <c r="A3166" s="49"/>
      <c r="B3166" s="49"/>
    </row>
    <row r="3167" spans="1:2" x14ac:dyDescent="0.2">
      <c r="A3167" s="49"/>
      <c r="B3167" s="49"/>
    </row>
    <row r="3168" spans="1:2" x14ac:dyDescent="0.2">
      <c r="A3168" s="49"/>
      <c r="B3168" s="49"/>
    </row>
    <row r="3169" spans="1:2" x14ac:dyDescent="0.2">
      <c r="A3169" s="49"/>
      <c r="B3169" s="49"/>
    </row>
    <row r="3170" spans="1:2" x14ac:dyDescent="0.2">
      <c r="A3170" s="49"/>
      <c r="B3170" s="49"/>
    </row>
    <row r="3171" spans="1:2" x14ac:dyDescent="0.2">
      <c r="A3171" s="49"/>
      <c r="B3171" s="49"/>
    </row>
    <row r="3172" spans="1:2" x14ac:dyDescent="0.2">
      <c r="A3172" s="49"/>
      <c r="B3172" s="49"/>
    </row>
    <row r="3173" spans="1:2" x14ac:dyDescent="0.2">
      <c r="A3173" s="49"/>
      <c r="B3173" s="49"/>
    </row>
    <row r="3174" spans="1:2" x14ac:dyDescent="0.2">
      <c r="A3174" s="49"/>
      <c r="B3174" s="49"/>
    </row>
    <row r="3175" spans="1:2" x14ac:dyDescent="0.2">
      <c r="A3175" s="49"/>
      <c r="B3175" s="49"/>
    </row>
    <row r="3176" spans="1:2" x14ac:dyDescent="0.2">
      <c r="A3176" s="49"/>
      <c r="B3176" s="49"/>
    </row>
    <row r="3177" spans="1:2" x14ac:dyDescent="0.2">
      <c r="A3177" s="49"/>
      <c r="B3177" s="49"/>
    </row>
    <row r="3178" spans="1:2" x14ac:dyDescent="0.2">
      <c r="A3178" s="49"/>
      <c r="B3178" s="49"/>
    </row>
    <row r="3179" spans="1:2" x14ac:dyDescent="0.2">
      <c r="A3179" s="49"/>
      <c r="B3179" s="49"/>
    </row>
    <row r="3180" spans="1:2" x14ac:dyDescent="0.2">
      <c r="A3180" s="49"/>
      <c r="B3180" s="49"/>
    </row>
    <row r="3181" spans="1:2" x14ac:dyDescent="0.2">
      <c r="A3181" s="49"/>
      <c r="B3181" s="49"/>
    </row>
    <row r="3182" spans="1:2" x14ac:dyDescent="0.2">
      <c r="A3182" s="49"/>
      <c r="B3182" s="49"/>
    </row>
    <row r="3183" spans="1:2" x14ac:dyDescent="0.2">
      <c r="A3183" s="49"/>
      <c r="B3183" s="49"/>
    </row>
    <row r="3184" spans="1:2" x14ac:dyDescent="0.2">
      <c r="A3184" s="49"/>
      <c r="B3184" s="49"/>
    </row>
    <row r="3185" spans="1:2" x14ac:dyDescent="0.2">
      <c r="A3185" s="49"/>
      <c r="B3185" s="49"/>
    </row>
    <row r="3186" spans="1:2" x14ac:dyDescent="0.2">
      <c r="A3186" s="49"/>
      <c r="B3186" s="49"/>
    </row>
    <row r="3187" spans="1:2" x14ac:dyDescent="0.2">
      <c r="A3187" s="49"/>
      <c r="B3187" s="49"/>
    </row>
    <row r="3188" spans="1:2" x14ac:dyDescent="0.2">
      <c r="A3188" s="49"/>
      <c r="B3188" s="49"/>
    </row>
    <row r="3189" spans="1:2" x14ac:dyDescent="0.2">
      <c r="A3189" s="49"/>
      <c r="B3189" s="49"/>
    </row>
    <row r="3190" spans="1:2" x14ac:dyDescent="0.2">
      <c r="A3190" s="49"/>
      <c r="B3190" s="49"/>
    </row>
    <row r="3191" spans="1:2" x14ac:dyDescent="0.2">
      <c r="A3191" s="49"/>
      <c r="B3191" s="49"/>
    </row>
    <row r="3192" spans="1:2" x14ac:dyDescent="0.2">
      <c r="A3192" s="49"/>
      <c r="B3192" s="49"/>
    </row>
    <row r="3193" spans="1:2" x14ac:dyDescent="0.2">
      <c r="A3193" s="49"/>
      <c r="B3193" s="49"/>
    </row>
    <row r="3194" spans="1:2" x14ac:dyDescent="0.2">
      <c r="A3194" s="49"/>
      <c r="B3194" s="49"/>
    </row>
    <row r="3195" spans="1:2" x14ac:dyDescent="0.2">
      <c r="A3195" s="49"/>
      <c r="B3195" s="49"/>
    </row>
    <row r="3196" spans="1:2" x14ac:dyDescent="0.2">
      <c r="A3196" s="49"/>
      <c r="B3196" s="49"/>
    </row>
    <row r="3197" spans="1:2" x14ac:dyDescent="0.2">
      <c r="A3197" s="49"/>
      <c r="B3197" s="49"/>
    </row>
    <row r="3198" spans="1:2" x14ac:dyDescent="0.2">
      <c r="A3198" s="49"/>
      <c r="B3198" s="49"/>
    </row>
    <row r="3199" spans="1:2" x14ac:dyDescent="0.2">
      <c r="A3199" s="49"/>
      <c r="B3199" s="49"/>
    </row>
    <row r="3200" spans="1:2" x14ac:dyDescent="0.2">
      <c r="A3200" s="49"/>
      <c r="B3200" s="49"/>
    </row>
    <row r="3201" spans="1:2" x14ac:dyDescent="0.2">
      <c r="A3201" s="49"/>
      <c r="B3201" s="49"/>
    </row>
    <row r="3202" spans="1:2" x14ac:dyDescent="0.2">
      <c r="A3202" s="49"/>
      <c r="B3202" s="49"/>
    </row>
    <row r="3203" spans="1:2" x14ac:dyDescent="0.2">
      <c r="A3203" s="49"/>
      <c r="B3203" s="49"/>
    </row>
    <row r="3204" spans="1:2" x14ac:dyDescent="0.2">
      <c r="A3204" s="49"/>
      <c r="B3204" s="49"/>
    </row>
    <row r="3205" spans="1:2" x14ac:dyDescent="0.2">
      <c r="A3205" s="49"/>
      <c r="B3205" s="49"/>
    </row>
    <row r="3206" spans="1:2" x14ac:dyDescent="0.2">
      <c r="A3206" s="49"/>
      <c r="B3206" s="49"/>
    </row>
    <row r="3207" spans="1:2" x14ac:dyDescent="0.2">
      <c r="A3207" s="49"/>
      <c r="B3207" s="49"/>
    </row>
    <row r="3208" spans="1:2" x14ac:dyDescent="0.2">
      <c r="A3208" s="49"/>
      <c r="B3208" s="49"/>
    </row>
    <row r="3209" spans="1:2" x14ac:dyDescent="0.2">
      <c r="A3209" s="49"/>
      <c r="B3209" s="49"/>
    </row>
    <row r="3210" spans="1:2" x14ac:dyDescent="0.2">
      <c r="A3210" s="49"/>
      <c r="B3210" s="49"/>
    </row>
    <row r="3211" spans="1:2" x14ac:dyDescent="0.2">
      <c r="A3211" s="49"/>
      <c r="B3211" s="49"/>
    </row>
    <row r="3212" spans="1:2" x14ac:dyDescent="0.2">
      <c r="A3212" s="49"/>
      <c r="B3212" s="49"/>
    </row>
    <row r="3213" spans="1:2" x14ac:dyDescent="0.2">
      <c r="A3213" s="49"/>
      <c r="B3213" s="49"/>
    </row>
    <row r="3214" spans="1:2" x14ac:dyDescent="0.2">
      <c r="A3214" s="49"/>
      <c r="B3214" s="49"/>
    </row>
    <row r="3215" spans="1:2" x14ac:dyDescent="0.2">
      <c r="A3215" s="49"/>
      <c r="B3215" s="49"/>
    </row>
    <row r="3216" spans="1:2" x14ac:dyDescent="0.2">
      <c r="A3216" s="49"/>
      <c r="B3216" s="49"/>
    </row>
    <row r="3217" spans="1:2" x14ac:dyDescent="0.2">
      <c r="A3217" s="49"/>
      <c r="B3217" s="49"/>
    </row>
    <row r="3218" spans="1:2" x14ac:dyDescent="0.2">
      <c r="A3218" s="49"/>
      <c r="B3218" s="49"/>
    </row>
    <row r="3219" spans="1:2" x14ac:dyDescent="0.2">
      <c r="A3219" s="49"/>
      <c r="B3219" s="49"/>
    </row>
    <row r="3220" spans="1:2" x14ac:dyDescent="0.2">
      <c r="A3220" s="49"/>
      <c r="B3220" s="49"/>
    </row>
    <row r="3221" spans="1:2" x14ac:dyDescent="0.2">
      <c r="A3221" s="49"/>
      <c r="B3221" s="49"/>
    </row>
    <row r="3222" spans="1:2" x14ac:dyDescent="0.2">
      <c r="A3222" s="49"/>
      <c r="B3222" s="49"/>
    </row>
    <row r="3223" spans="1:2" x14ac:dyDescent="0.2">
      <c r="A3223" s="49"/>
      <c r="B3223" s="49"/>
    </row>
    <row r="3224" spans="1:2" x14ac:dyDescent="0.2">
      <c r="A3224" s="49"/>
      <c r="B3224" s="49"/>
    </row>
    <row r="3225" spans="1:2" x14ac:dyDescent="0.2">
      <c r="A3225" s="49"/>
      <c r="B3225" s="49"/>
    </row>
    <row r="3226" spans="1:2" x14ac:dyDescent="0.2">
      <c r="A3226" s="49"/>
      <c r="B3226" s="49"/>
    </row>
    <row r="3227" spans="1:2" x14ac:dyDescent="0.2">
      <c r="A3227" s="49"/>
      <c r="B3227" s="49"/>
    </row>
    <row r="3228" spans="1:2" x14ac:dyDescent="0.2">
      <c r="A3228" s="49"/>
      <c r="B3228" s="49"/>
    </row>
    <row r="3229" spans="1:2" x14ac:dyDescent="0.2">
      <c r="A3229" s="49"/>
      <c r="B3229" s="49"/>
    </row>
    <row r="3230" spans="1:2" x14ac:dyDescent="0.2">
      <c r="A3230" s="49"/>
      <c r="B3230" s="49"/>
    </row>
    <row r="3231" spans="1:2" x14ac:dyDescent="0.2">
      <c r="A3231" s="49"/>
      <c r="B3231" s="49"/>
    </row>
    <row r="3232" spans="1:2" x14ac:dyDescent="0.2">
      <c r="A3232" s="49"/>
      <c r="B3232" s="49"/>
    </row>
    <row r="3233" spans="1:2" x14ac:dyDescent="0.2">
      <c r="A3233" s="49"/>
      <c r="B3233" s="49"/>
    </row>
    <row r="3234" spans="1:2" x14ac:dyDescent="0.2">
      <c r="A3234" s="49"/>
      <c r="B3234" s="49"/>
    </row>
    <row r="3235" spans="1:2" x14ac:dyDescent="0.2">
      <c r="A3235" s="49"/>
      <c r="B3235" s="49"/>
    </row>
    <row r="3236" spans="1:2" x14ac:dyDescent="0.2">
      <c r="A3236" s="49"/>
      <c r="B3236" s="49"/>
    </row>
    <row r="3237" spans="1:2" x14ac:dyDescent="0.2">
      <c r="A3237" s="49"/>
      <c r="B3237" s="49"/>
    </row>
    <row r="3238" spans="1:2" x14ac:dyDescent="0.2">
      <c r="A3238" s="49"/>
      <c r="B3238" s="49"/>
    </row>
    <row r="3239" spans="1:2" x14ac:dyDescent="0.2">
      <c r="A3239" s="49"/>
      <c r="B3239" s="49"/>
    </row>
    <row r="3240" spans="1:2" x14ac:dyDescent="0.2">
      <c r="A3240" s="49"/>
      <c r="B3240" s="49"/>
    </row>
    <row r="3241" spans="1:2" x14ac:dyDescent="0.2">
      <c r="A3241" s="49"/>
      <c r="B3241" s="49"/>
    </row>
    <row r="3242" spans="1:2" x14ac:dyDescent="0.2">
      <c r="A3242" s="49"/>
      <c r="B3242" s="49"/>
    </row>
    <row r="3243" spans="1:2" x14ac:dyDescent="0.2">
      <c r="A3243" s="49"/>
      <c r="B3243" s="49"/>
    </row>
    <row r="3244" spans="1:2" x14ac:dyDescent="0.2">
      <c r="A3244" s="49"/>
      <c r="B3244" s="49"/>
    </row>
    <row r="3245" spans="1:2" x14ac:dyDescent="0.2">
      <c r="A3245" s="49"/>
      <c r="B3245" s="49"/>
    </row>
    <row r="3246" spans="1:2" x14ac:dyDescent="0.2">
      <c r="A3246" s="49"/>
      <c r="B3246" s="49"/>
    </row>
    <row r="3247" spans="1:2" x14ac:dyDescent="0.2">
      <c r="A3247" s="49"/>
      <c r="B3247" s="49"/>
    </row>
    <row r="3248" spans="1:2" x14ac:dyDescent="0.2">
      <c r="A3248" s="49"/>
      <c r="B3248" s="49"/>
    </row>
    <row r="3249" spans="1:7" x14ac:dyDescent="0.2">
      <c r="A3249" s="49"/>
      <c r="B3249" s="49"/>
    </row>
    <row r="3250" spans="1:7" x14ac:dyDescent="0.2">
      <c r="A3250" s="49"/>
      <c r="B3250" s="49"/>
      <c r="C3250" s="49"/>
      <c r="D3250" s="49"/>
      <c r="E3250" s="49"/>
      <c r="F3250" s="49"/>
      <c r="G3250" s="49"/>
    </row>
    <row r="3251" spans="1:7" x14ac:dyDescent="0.2">
      <c r="A3251" s="49"/>
      <c r="B3251" s="49"/>
    </row>
    <row r="3252" spans="1:7" x14ac:dyDescent="0.2">
      <c r="A3252" s="49"/>
      <c r="B3252" s="49"/>
    </row>
    <row r="3253" spans="1:7" x14ac:dyDescent="0.2">
      <c r="A3253" s="49"/>
      <c r="B3253" s="49"/>
    </row>
    <row r="3254" spans="1:7" x14ac:dyDescent="0.2">
      <c r="A3254" s="49"/>
      <c r="B3254" s="49"/>
    </row>
    <row r="3255" spans="1:7" x14ac:dyDescent="0.2">
      <c r="A3255" s="49"/>
      <c r="B3255" s="49"/>
    </row>
    <row r="3256" spans="1:7" x14ac:dyDescent="0.2">
      <c r="A3256" s="49"/>
      <c r="B3256" s="49"/>
    </row>
    <row r="3257" spans="1:7" x14ac:dyDescent="0.2">
      <c r="A3257" s="49"/>
      <c r="B3257" s="49"/>
    </row>
    <row r="3258" spans="1:7" x14ac:dyDescent="0.2">
      <c r="A3258" s="49"/>
      <c r="B3258" s="49"/>
    </row>
    <row r="3259" spans="1:7" x14ac:dyDescent="0.2">
      <c r="A3259" s="49"/>
      <c r="B3259" s="49"/>
    </row>
    <row r="3260" spans="1:7" x14ac:dyDescent="0.2">
      <c r="A3260" s="49"/>
      <c r="B3260" s="49"/>
    </row>
    <row r="3261" spans="1:7" x14ac:dyDescent="0.2">
      <c r="A3261" s="49"/>
      <c r="B3261" s="49"/>
    </row>
    <row r="3262" spans="1:7" x14ac:dyDescent="0.2">
      <c r="A3262" s="49"/>
      <c r="B3262" s="49"/>
    </row>
    <row r="3263" spans="1:7" x14ac:dyDescent="0.2">
      <c r="A3263" s="49"/>
      <c r="B3263" s="49"/>
    </row>
    <row r="3264" spans="1:7" x14ac:dyDescent="0.2">
      <c r="A3264" s="49"/>
      <c r="B3264" s="49"/>
    </row>
    <row r="3265" spans="1:2" x14ac:dyDescent="0.2">
      <c r="A3265" s="49"/>
      <c r="B3265" s="49"/>
    </row>
    <row r="3266" spans="1:2" x14ac:dyDescent="0.2">
      <c r="A3266" s="49"/>
      <c r="B3266" s="49"/>
    </row>
    <row r="3267" spans="1:2" x14ac:dyDescent="0.2">
      <c r="A3267" s="49"/>
      <c r="B3267" s="49"/>
    </row>
    <row r="3268" spans="1:2" x14ac:dyDescent="0.2">
      <c r="A3268" s="49"/>
      <c r="B3268" s="49"/>
    </row>
    <row r="3269" spans="1:2" x14ac:dyDescent="0.2">
      <c r="A3269" s="49"/>
      <c r="B3269" s="49"/>
    </row>
    <row r="3270" spans="1:2" x14ac:dyDescent="0.2">
      <c r="A3270" s="49"/>
      <c r="B3270" s="49"/>
    </row>
    <row r="3271" spans="1:2" x14ac:dyDescent="0.2">
      <c r="A3271" s="49"/>
      <c r="B3271" s="49"/>
    </row>
    <row r="3272" spans="1:2" x14ac:dyDescent="0.2">
      <c r="A3272" s="49"/>
      <c r="B3272" s="49"/>
    </row>
    <row r="3273" spans="1:2" x14ac:dyDescent="0.2">
      <c r="A3273" s="49"/>
      <c r="B3273" s="49"/>
    </row>
    <row r="3274" spans="1:2" x14ac:dyDescent="0.2">
      <c r="A3274" s="49"/>
      <c r="B3274" s="49"/>
    </row>
    <row r="3275" spans="1:2" x14ac:dyDescent="0.2">
      <c r="A3275" s="49"/>
      <c r="B3275" s="49"/>
    </row>
    <row r="3276" spans="1:2" x14ac:dyDescent="0.2">
      <c r="A3276" s="49"/>
      <c r="B3276" s="49"/>
    </row>
    <row r="3277" spans="1:2" x14ac:dyDescent="0.2">
      <c r="A3277" s="49"/>
      <c r="B3277" s="49"/>
    </row>
    <row r="3278" spans="1:2" x14ac:dyDescent="0.2">
      <c r="A3278" s="49"/>
      <c r="B3278" s="49"/>
    </row>
    <row r="3279" spans="1:2" x14ac:dyDescent="0.2">
      <c r="A3279" s="49"/>
      <c r="B3279" s="49"/>
    </row>
    <row r="3280" spans="1:2" x14ac:dyDescent="0.2">
      <c r="A3280" s="49"/>
      <c r="B3280" s="49"/>
    </row>
    <row r="3281" spans="1:2" x14ac:dyDescent="0.2">
      <c r="A3281" s="49"/>
      <c r="B3281" s="49"/>
    </row>
    <row r="3282" spans="1:2" x14ac:dyDescent="0.2">
      <c r="A3282" s="49"/>
      <c r="B3282" s="49"/>
    </row>
    <row r="3283" spans="1:2" x14ac:dyDescent="0.2">
      <c r="A3283" s="49"/>
      <c r="B3283" s="49"/>
    </row>
    <row r="3284" spans="1:2" x14ac:dyDescent="0.2">
      <c r="A3284" s="49"/>
      <c r="B3284" s="49"/>
    </row>
    <row r="3285" spans="1:2" x14ac:dyDescent="0.2">
      <c r="A3285" s="49"/>
      <c r="B3285" s="49"/>
    </row>
    <row r="3286" spans="1:2" x14ac:dyDescent="0.2">
      <c r="A3286" s="49"/>
      <c r="B3286" s="49"/>
    </row>
    <row r="3287" spans="1:2" x14ac:dyDescent="0.2">
      <c r="A3287" s="49"/>
      <c r="B3287" s="49"/>
    </row>
    <row r="3288" spans="1:2" x14ac:dyDescent="0.2">
      <c r="A3288" s="49"/>
      <c r="B3288" s="49"/>
    </row>
    <row r="3289" spans="1:2" x14ac:dyDescent="0.2">
      <c r="A3289" s="49"/>
      <c r="B3289" s="49"/>
    </row>
    <row r="3290" spans="1:2" x14ac:dyDescent="0.2">
      <c r="A3290" s="49"/>
      <c r="B3290" s="49"/>
    </row>
    <row r="3291" spans="1:2" x14ac:dyDescent="0.2">
      <c r="A3291" s="49"/>
      <c r="B3291" s="49"/>
    </row>
    <row r="3292" spans="1:2" x14ac:dyDescent="0.2">
      <c r="A3292" s="49"/>
      <c r="B3292" s="49"/>
    </row>
    <row r="3293" spans="1:2" x14ac:dyDescent="0.2">
      <c r="A3293" s="49"/>
      <c r="B3293" s="49"/>
    </row>
    <row r="3294" spans="1:2" x14ac:dyDescent="0.2">
      <c r="A3294" s="49"/>
      <c r="B3294" s="49"/>
    </row>
    <row r="3295" spans="1:2" x14ac:dyDescent="0.2">
      <c r="A3295" s="49"/>
      <c r="B3295" s="49"/>
    </row>
    <row r="3296" spans="1:2" x14ac:dyDescent="0.2">
      <c r="A3296" s="49"/>
      <c r="B3296" s="49"/>
    </row>
    <row r="3297" spans="1:2" x14ac:dyDescent="0.2">
      <c r="A3297" s="49"/>
      <c r="B3297" s="49"/>
    </row>
    <row r="3298" spans="1:2" x14ac:dyDescent="0.2">
      <c r="A3298" s="49"/>
      <c r="B3298" s="49"/>
    </row>
    <row r="3299" spans="1:2" x14ac:dyDescent="0.2">
      <c r="A3299" s="49"/>
      <c r="B3299" s="49"/>
    </row>
    <row r="3300" spans="1:2" x14ac:dyDescent="0.2">
      <c r="A3300" s="49"/>
      <c r="B3300" s="49"/>
    </row>
    <row r="3301" spans="1:2" x14ac:dyDescent="0.2">
      <c r="A3301" s="49"/>
      <c r="B3301" s="49"/>
    </row>
    <row r="3302" spans="1:2" x14ac:dyDescent="0.2">
      <c r="A3302" s="49"/>
      <c r="B3302" s="49"/>
    </row>
    <row r="3303" spans="1:2" x14ac:dyDescent="0.2">
      <c r="A3303" s="49"/>
      <c r="B3303" s="49"/>
    </row>
    <row r="3304" spans="1:2" x14ac:dyDescent="0.2">
      <c r="A3304" s="49"/>
      <c r="B3304" s="49"/>
    </row>
    <row r="3305" spans="1:2" x14ac:dyDescent="0.2">
      <c r="A3305" s="49"/>
      <c r="B3305" s="49"/>
    </row>
    <row r="3306" spans="1:2" x14ac:dyDescent="0.2">
      <c r="A3306" s="49"/>
      <c r="B3306" s="49"/>
    </row>
    <row r="3307" spans="1:2" x14ac:dyDescent="0.2">
      <c r="A3307" s="49"/>
      <c r="B3307" s="49"/>
    </row>
    <row r="3308" spans="1:2" x14ac:dyDescent="0.2">
      <c r="A3308" s="49"/>
      <c r="B3308" s="49"/>
    </row>
    <row r="3309" spans="1:2" x14ac:dyDescent="0.2">
      <c r="A3309" s="49"/>
      <c r="B3309" s="49"/>
    </row>
    <row r="3310" spans="1:2" x14ac:dyDescent="0.2">
      <c r="A3310" s="49"/>
      <c r="B3310" s="49"/>
    </row>
    <row r="3311" spans="1:2" x14ac:dyDescent="0.2">
      <c r="A3311" s="49"/>
      <c r="B3311" s="49"/>
    </row>
    <row r="3312" spans="1:2" x14ac:dyDescent="0.2">
      <c r="A3312" s="49"/>
      <c r="B3312" s="49"/>
    </row>
    <row r="3313" spans="1:2" x14ac:dyDescent="0.2">
      <c r="A3313" s="49"/>
      <c r="B3313" s="49"/>
    </row>
    <row r="3314" spans="1:2" x14ac:dyDescent="0.2">
      <c r="A3314" s="49"/>
      <c r="B3314" s="49"/>
    </row>
    <row r="3315" spans="1:2" x14ac:dyDescent="0.2">
      <c r="A3315" s="49"/>
      <c r="B3315" s="49"/>
    </row>
    <row r="3316" spans="1:2" x14ac:dyDescent="0.2">
      <c r="A3316" s="49"/>
      <c r="B3316" s="49"/>
    </row>
    <row r="3317" spans="1:2" x14ac:dyDescent="0.2">
      <c r="A3317" s="49"/>
      <c r="B3317" s="49"/>
    </row>
    <row r="3318" spans="1:2" x14ac:dyDescent="0.2">
      <c r="A3318" s="49"/>
      <c r="B3318" s="49"/>
    </row>
    <row r="3319" spans="1:2" x14ac:dyDescent="0.2">
      <c r="A3319" s="49"/>
      <c r="B3319" s="49"/>
    </row>
    <row r="3320" spans="1:2" x14ac:dyDescent="0.2">
      <c r="A3320" s="49"/>
      <c r="B3320" s="49"/>
    </row>
    <row r="3321" spans="1:2" x14ac:dyDescent="0.2">
      <c r="A3321" s="49"/>
      <c r="B3321" s="49"/>
    </row>
    <row r="3322" spans="1:2" x14ac:dyDescent="0.2">
      <c r="A3322" s="49"/>
      <c r="B3322" s="49"/>
    </row>
    <row r="3323" spans="1:2" x14ac:dyDescent="0.2">
      <c r="A3323" s="49"/>
      <c r="B3323" s="49"/>
    </row>
    <row r="3324" spans="1:2" x14ac:dyDescent="0.2">
      <c r="A3324" s="49"/>
      <c r="B3324" s="49"/>
    </row>
    <row r="3325" spans="1:2" x14ac:dyDescent="0.2">
      <c r="A3325" s="49"/>
      <c r="B3325" s="49"/>
    </row>
    <row r="3326" spans="1:2" x14ac:dyDescent="0.2">
      <c r="A3326" s="49"/>
      <c r="B3326" s="49"/>
    </row>
    <row r="3327" spans="1:2" x14ac:dyDescent="0.2">
      <c r="A3327" s="49"/>
      <c r="B3327" s="49"/>
    </row>
    <row r="3328" spans="1:2" x14ac:dyDescent="0.2">
      <c r="A3328" s="49"/>
      <c r="B3328" s="49"/>
    </row>
    <row r="3329" spans="1:2" x14ac:dyDescent="0.2">
      <c r="A3329" s="49"/>
      <c r="B3329" s="49"/>
    </row>
    <row r="3330" spans="1:2" x14ac:dyDescent="0.2">
      <c r="A3330" s="49"/>
      <c r="B3330" s="49"/>
    </row>
    <row r="3331" spans="1:2" x14ac:dyDescent="0.2">
      <c r="A3331" s="49"/>
      <c r="B3331" s="49"/>
    </row>
    <row r="3332" spans="1:2" x14ac:dyDescent="0.2">
      <c r="A3332" s="49"/>
      <c r="B3332" s="49"/>
    </row>
    <row r="3333" spans="1:2" x14ac:dyDescent="0.2">
      <c r="A3333" s="49"/>
      <c r="B3333" s="49"/>
    </row>
    <row r="3334" spans="1:2" x14ac:dyDescent="0.2">
      <c r="A3334" s="49"/>
      <c r="B3334" s="49"/>
    </row>
    <row r="3335" spans="1:2" x14ac:dyDescent="0.2">
      <c r="A3335" s="49"/>
      <c r="B3335" s="49"/>
    </row>
    <row r="3336" spans="1:2" x14ac:dyDescent="0.2">
      <c r="A3336" s="49"/>
      <c r="B3336" s="49"/>
    </row>
    <row r="3337" spans="1:2" x14ac:dyDescent="0.2">
      <c r="A3337" s="49"/>
      <c r="B3337" s="49"/>
    </row>
    <row r="3338" spans="1:2" x14ac:dyDescent="0.2">
      <c r="A3338" s="49"/>
      <c r="B3338" s="49"/>
    </row>
    <row r="3339" spans="1:2" x14ac:dyDescent="0.2">
      <c r="A3339" s="49"/>
      <c r="B3339" s="49"/>
    </row>
    <row r="3340" spans="1:2" x14ac:dyDescent="0.2">
      <c r="A3340" s="49"/>
      <c r="B3340" s="49"/>
    </row>
    <row r="3341" spans="1:2" x14ac:dyDescent="0.2">
      <c r="A3341" s="49"/>
      <c r="B3341" s="49"/>
    </row>
    <row r="3342" spans="1:2" x14ac:dyDescent="0.2">
      <c r="A3342" s="49"/>
      <c r="B3342" s="49"/>
    </row>
    <row r="3343" spans="1:2" x14ac:dyDescent="0.2">
      <c r="A3343" s="49"/>
      <c r="B3343" s="49"/>
    </row>
    <row r="3344" spans="1:2" x14ac:dyDescent="0.2">
      <c r="A3344" s="49"/>
      <c r="B3344" s="49"/>
    </row>
    <row r="3345" spans="1:2" x14ac:dyDescent="0.2">
      <c r="A3345" s="49"/>
      <c r="B3345" s="49"/>
    </row>
    <row r="3346" spans="1:2" x14ac:dyDescent="0.2">
      <c r="A3346" s="49"/>
      <c r="B3346" s="49"/>
    </row>
    <row r="3347" spans="1:2" x14ac:dyDescent="0.2">
      <c r="A3347" s="49"/>
      <c r="B3347" s="49"/>
    </row>
    <row r="3348" spans="1:2" x14ac:dyDescent="0.2">
      <c r="A3348" s="49"/>
      <c r="B3348" s="49"/>
    </row>
    <row r="3349" spans="1:2" x14ac:dyDescent="0.2">
      <c r="A3349" s="49"/>
      <c r="B3349" s="49"/>
    </row>
    <row r="3350" spans="1:2" x14ac:dyDescent="0.2">
      <c r="A3350" s="49"/>
      <c r="B3350" s="49"/>
    </row>
    <row r="3351" spans="1:2" x14ac:dyDescent="0.2">
      <c r="A3351" s="49"/>
      <c r="B3351" s="49"/>
    </row>
    <row r="3352" spans="1:2" x14ac:dyDescent="0.2">
      <c r="A3352" s="49"/>
      <c r="B3352" s="49"/>
    </row>
    <row r="3353" spans="1:2" x14ac:dyDescent="0.2">
      <c r="A3353" s="49"/>
      <c r="B3353" s="49"/>
    </row>
    <row r="3354" spans="1:2" x14ac:dyDescent="0.2">
      <c r="A3354" s="49"/>
      <c r="B3354" s="49"/>
    </row>
    <row r="3355" spans="1:2" x14ac:dyDescent="0.2">
      <c r="A3355" s="49"/>
      <c r="B3355" s="49"/>
    </row>
    <row r="3356" spans="1:2" x14ac:dyDescent="0.2">
      <c r="A3356" s="49"/>
      <c r="B3356" s="49"/>
    </row>
    <row r="3357" spans="1:2" x14ac:dyDescent="0.2">
      <c r="A3357" s="49"/>
      <c r="B3357" s="49"/>
    </row>
    <row r="3358" spans="1:2" x14ac:dyDescent="0.2">
      <c r="A3358" s="49"/>
      <c r="B3358" s="49"/>
    </row>
    <row r="3359" spans="1:2" x14ac:dyDescent="0.2">
      <c r="A3359" s="49"/>
      <c r="B3359" s="49"/>
    </row>
    <row r="3360" spans="1:2" x14ac:dyDescent="0.2">
      <c r="A3360" s="49"/>
      <c r="B3360" s="49"/>
    </row>
    <row r="3361" spans="1:2" x14ac:dyDescent="0.2">
      <c r="A3361" s="49"/>
      <c r="B3361" s="49"/>
    </row>
    <row r="3362" spans="1:2" x14ac:dyDescent="0.2">
      <c r="A3362" s="49"/>
      <c r="B3362" s="49"/>
    </row>
    <row r="3363" spans="1:2" x14ac:dyDescent="0.2">
      <c r="A3363" s="49"/>
      <c r="B3363" s="49"/>
    </row>
    <row r="3364" spans="1:2" x14ac:dyDescent="0.2">
      <c r="A3364" s="49"/>
      <c r="B3364" s="49"/>
    </row>
    <row r="3365" spans="1:2" x14ac:dyDescent="0.2">
      <c r="A3365" s="49"/>
      <c r="B3365" s="49"/>
    </row>
    <row r="3366" spans="1:2" x14ac:dyDescent="0.2">
      <c r="A3366" s="49"/>
      <c r="B3366" s="49"/>
    </row>
    <row r="3367" spans="1:2" x14ac:dyDescent="0.2">
      <c r="A3367" s="49"/>
      <c r="B3367" s="49"/>
    </row>
    <row r="3368" spans="1:2" x14ac:dyDescent="0.2">
      <c r="A3368" s="49"/>
      <c r="B3368" s="49"/>
    </row>
    <row r="3369" spans="1:2" x14ac:dyDescent="0.2">
      <c r="A3369" s="49"/>
      <c r="B3369" s="49"/>
    </row>
    <row r="3370" spans="1:2" x14ac:dyDescent="0.2">
      <c r="A3370" s="49"/>
      <c r="B3370" s="49"/>
    </row>
    <row r="3371" spans="1:2" x14ac:dyDescent="0.2">
      <c r="A3371" s="49"/>
      <c r="B3371" s="49"/>
    </row>
    <row r="3372" spans="1:2" x14ac:dyDescent="0.2">
      <c r="A3372" s="49"/>
      <c r="B3372" s="49"/>
    </row>
    <row r="3373" spans="1:2" x14ac:dyDescent="0.2">
      <c r="A3373" s="49"/>
      <c r="B3373" s="49"/>
    </row>
    <row r="3374" spans="1:2" x14ac:dyDescent="0.2">
      <c r="A3374" s="49"/>
      <c r="B3374" s="49"/>
    </row>
    <row r="3375" spans="1:2" x14ac:dyDescent="0.2">
      <c r="A3375" s="49"/>
      <c r="B3375" s="49"/>
    </row>
    <row r="3376" spans="1:2" x14ac:dyDescent="0.2">
      <c r="A3376" s="49"/>
      <c r="B3376" s="49"/>
    </row>
    <row r="3377" spans="1:2" x14ac:dyDescent="0.2">
      <c r="A3377" s="49"/>
      <c r="B3377" s="49"/>
    </row>
    <row r="3378" spans="1:2" x14ac:dyDescent="0.2">
      <c r="A3378" s="49"/>
      <c r="B3378" s="49"/>
    </row>
    <row r="3379" spans="1:2" x14ac:dyDescent="0.2">
      <c r="A3379" s="49"/>
      <c r="B3379" s="49"/>
    </row>
    <row r="3380" spans="1:2" x14ac:dyDescent="0.2">
      <c r="A3380" s="49"/>
      <c r="B3380" s="49"/>
    </row>
    <row r="3381" spans="1:2" x14ac:dyDescent="0.2">
      <c r="A3381" s="49"/>
      <c r="B3381" s="49"/>
    </row>
    <row r="3382" spans="1:2" x14ac:dyDescent="0.2">
      <c r="A3382" s="49"/>
      <c r="B3382" s="49"/>
    </row>
    <row r="3383" spans="1:2" x14ac:dyDescent="0.2">
      <c r="A3383" s="49"/>
      <c r="B3383" s="49"/>
    </row>
    <row r="3384" spans="1:2" x14ac:dyDescent="0.2">
      <c r="A3384" s="49"/>
      <c r="B3384" s="49"/>
    </row>
    <row r="3385" spans="1:2" x14ac:dyDescent="0.2">
      <c r="A3385" s="49"/>
      <c r="B3385" s="49"/>
    </row>
    <row r="3386" spans="1:2" x14ac:dyDescent="0.2">
      <c r="A3386" s="49"/>
      <c r="B3386" s="49"/>
    </row>
    <row r="3387" spans="1:2" x14ac:dyDescent="0.2">
      <c r="A3387" s="49"/>
      <c r="B3387" s="49"/>
    </row>
    <row r="3388" spans="1:2" x14ac:dyDescent="0.2">
      <c r="A3388" s="49"/>
      <c r="B3388" s="49"/>
    </row>
    <row r="3389" spans="1:2" x14ac:dyDescent="0.2">
      <c r="A3389" s="49"/>
      <c r="B3389" s="49"/>
    </row>
    <row r="3390" spans="1:2" x14ac:dyDescent="0.2">
      <c r="A3390" s="49"/>
      <c r="B3390" s="49"/>
    </row>
    <row r="3391" spans="1:2" x14ac:dyDescent="0.2">
      <c r="A3391" s="49"/>
      <c r="B3391" s="49"/>
    </row>
    <row r="3392" spans="1:2" x14ac:dyDescent="0.2">
      <c r="A3392" s="49"/>
      <c r="B3392" s="49"/>
    </row>
    <row r="3393" spans="1:2" x14ac:dyDescent="0.2">
      <c r="A3393" s="49"/>
      <c r="B3393" s="49"/>
    </row>
    <row r="3394" spans="1:2" x14ac:dyDescent="0.2">
      <c r="A3394" s="49"/>
      <c r="B3394" s="49"/>
    </row>
    <row r="3395" spans="1:2" x14ac:dyDescent="0.2">
      <c r="A3395" s="49"/>
      <c r="B3395" s="49"/>
    </row>
    <row r="3396" spans="1:2" x14ac:dyDescent="0.2">
      <c r="A3396" s="49"/>
      <c r="B3396" s="49"/>
    </row>
    <row r="3397" spans="1:2" x14ac:dyDescent="0.2">
      <c r="A3397" s="49"/>
      <c r="B3397" s="49"/>
    </row>
    <row r="3398" spans="1:2" x14ac:dyDescent="0.2">
      <c r="A3398" s="49"/>
      <c r="B3398" s="49"/>
    </row>
    <row r="3399" spans="1:2" x14ac:dyDescent="0.2">
      <c r="A3399" s="49"/>
      <c r="B3399" s="49"/>
    </row>
    <row r="3400" spans="1:2" x14ac:dyDescent="0.2">
      <c r="A3400" s="49"/>
      <c r="B3400" s="49"/>
    </row>
    <row r="3401" spans="1:2" x14ac:dyDescent="0.2">
      <c r="A3401" s="49"/>
      <c r="B3401" s="49"/>
    </row>
    <row r="3402" spans="1:2" x14ac:dyDescent="0.2">
      <c r="A3402" s="49"/>
      <c r="B3402" s="49"/>
    </row>
    <row r="3403" spans="1:2" x14ac:dyDescent="0.2">
      <c r="A3403" s="49"/>
      <c r="B3403" s="49"/>
    </row>
    <row r="3404" spans="1:2" x14ac:dyDescent="0.2">
      <c r="A3404" s="49"/>
      <c r="B3404" s="49"/>
    </row>
    <row r="3405" spans="1:2" x14ac:dyDescent="0.2">
      <c r="A3405" s="49"/>
      <c r="B3405" s="49"/>
    </row>
    <row r="3406" spans="1:2" x14ac:dyDescent="0.2">
      <c r="A3406" s="49"/>
      <c r="B3406" s="49"/>
    </row>
    <row r="3407" spans="1:2" x14ac:dyDescent="0.2">
      <c r="A3407" s="49"/>
      <c r="B3407" s="49"/>
    </row>
    <row r="3408" spans="1:2" x14ac:dyDescent="0.2">
      <c r="A3408" s="49"/>
      <c r="B3408" s="49"/>
    </row>
    <row r="3409" spans="1:2" x14ac:dyDescent="0.2">
      <c r="A3409" s="49"/>
      <c r="B3409" s="49"/>
    </row>
    <row r="3410" spans="1:2" x14ac:dyDescent="0.2">
      <c r="A3410" s="49"/>
      <c r="B3410" s="49"/>
    </row>
    <row r="3411" spans="1:2" x14ac:dyDescent="0.2">
      <c r="A3411" s="49"/>
      <c r="B3411" s="49"/>
    </row>
    <row r="3412" spans="1:2" x14ac:dyDescent="0.2">
      <c r="A3412" s="49"/>
      <c r="B3412" s="49"/>
    </row>
    <row r="3413" spans="1:2" x14ac:dyDescent="0.2">
      <c r="A3413" s="49"/>
      <c r="B3413" s="49"/>
    </row>
    <row r="3414" spans="1:2" x14ac:dyDescent="0.2">
      <c r="A3414" s="49"/>
      <c r="B3414" s="49"/>
    </row>
    <row r="3415" spans="1:2" x14ac:dyDescent="0.2">
      <c r="A3415" s="49"/>
      <c r="B3415" s="49"/>
    </row>
    <row r="3416" spans="1:2" x14ac:dyDescent="0.2">
      <c r="A3416" s="49"/>
      <c r="B3416" s="49"/>
    </row>
    <row r="3417" spans="1:2" x14ac:dyDescent="0.2">
      <c r="A3417" s="49"/>
      <c r="B3417" s="49"/>
    </row>
    <row r="3418" spans="1:2" x14ac:dyDescent="0.2">
      <c r="A3418" s="49"/>
      <c r="B3418" s="49"/>
    </row>
    <row r="3419" spans="1:2" x14ac:dyDescent="0.2">
      <c r="A3419" s="49"/>
      <c r="B3419" s="49"/>
    </row>
    <row r="3420" spans="1:2" x14ac:dyDescent="0.2">
      <c r="A3420" s="49"/>
      <c r="B3420" s="49"/>
    </row>
    <row r="3421" spans="1:2" x14ac:dyDescent="0.2">
      <c r="A3421" s="49"/>
      <c r="B3421" s="49"/>
    </row>
    <row r="3422" spans="1:2" x14ac:dyDescent="0.2">
      <c r="A3422" s="49"/>
      <c r="B3422" s="49"/>
    </row>
    <row r="3423" spans="1:2" x14ac:dyDescent="0.2">
      <c r="A3423" s="49"/>
      <c r="B3423" s="49"/>
    </row>
    <row r="3424" spans="1:2" x14ac:dyDescent="0.2">
      <c r="A3424" s="49"/>
      <c r="B3424" s="49"/>
    </row>
    <row r="3425" spans="1:7" x14ac:dyDescent="0.2">
      <c r="A3425" s="49"/>
      <c r="B3425" s="49"/>
    </row>
    <row r="3426" spans="1:7" x14ac:dyDescent="0.2">
      <c r="A3426" s="49"/>
      <c r="B3426" s="49"/>
    </row>
    <row r="3427" spans="1:7" x14ac:dyDescent="0.2">
      <c r="A3427" s="49"/>
      <c r="B3427" s="49"/>
    </row>
    <row r="3428" spans="1:7" x14ac:dyDescent="0.2">
      <c r="A3428" s="49"/>
      <c r="B3428" s="49"/>
    </row>
    <row r="3429" spans="1:7" x14ac:dyDescent="0.2">
      <c r="A3429" s="49"/>
      <c r="B3429" s="49"/>
    </row>
    <row r="3430" spans="1:7" x14ac:dyDescent="0.2">
      <c r="A3430" s="49"/>
      <c r="B3430" s="49"/>
    </row>
    <row r="3431" spans="1:7" x14ac:dyDescent="0.2">
      <c r="A3431" s="49"/>
      <c r="B3431" s="49"/>
    </row>
    <row r="3432" spans="1:7" x14ac:dyDescent="0.2">
      <c r="A3432" s="49"/>
      <c r="B3432" s="49"/>
    </row>
    <row r="3433" spans="1:7" x14ac:dyDescent="0.2">
      <c r="A3433" s="49"/>
      <c r="B3433" s="49"/>
      <c r="C3433" s="49"/>
      <c r="D3433" s="49"/>
      <c r="E3433" s="49"/>
      <c r="F3433" s="49"/>
      <c r="G3433" s="49"/>
    </row>
    <row r="3434" spans="1:7" x14ac:dyDescent="0.2">
      <c r="A3434" s="49"/>
      <c r="B3434" s="49"/>
    </row>
    <row r="3435" spans="1:7" x14ac:dyDescent="0.2">
      <c r="A3435" s="49"/>
      <c r="B3435" s="49"/>
    </row>
    <row r="3436" spans="1:7" x14ac:dyDescent="0.2">
      <c r="A3436" s="49"/>
      <c r="B3436" s="49"/>
    </row>
    <row r="3437" spans="1:7" x14ac:dyDescent="0.2">
      <c r="A3437" s="49"/>
      <c r="B3437" s="49"/>
    </row>
    <row r="3438" spans="1:7" x14ac:dyDescent="0.2">
      <c r="A3438" s="49"/>
      <c r="B3438" s="49"/>
    </row>
    <row r="3439" spans="1:7" x14ac:dyDescent="0.2">
      <c r="A3439" s="49"/>
      <c r="B3439" s="49"/>
    </row>
    <row r="3440" spans="1:7" x14ac:dyDescent="0.2">
      <c r="A3440" s="49"/>
      <c r="B3440" s="49"/>
    </row>
    <row r="3441" spans="1:2" x14ac:dyDescent="0.2">
      <c r="A3441" s="49"/>
      <c r="B3441" s="49"/>
    </row>
    <row r="3442" spans="1:2" x14ac:dyDescent="0.2">
      <c r="A3442" s="49"/>
      <c r="B3442" s="49"/>
    </row>
    <row r="3443" spans="1:2" x14ac:dyDescent="0.2">
      <c r="A3443" s="49"/>
      <c r="B3443" s="49"/>
    </row>
    <row r="3444" spans="1:2" x14ac:dyDescent="0.2">
      <c r="A3444" s="49"/>
      <c r="B3444" s="49"/>
    </row>
    <row r="3445" spans="1:2" x14ac:dyDescent="0.2">
      <c r="A3445" s="49"/>
      <c r="B3445" s="49"/>
    </row>
    <row r="3446" spans="1:2" x14ac:dyDescent="0.2">
      <c r="A3446" s="49"/>
      <c r="B3446" s="49"/>
    </row>
    <row r="3447" spans="1:2" x14ac:dyDescent="0.2">
      <c r="A3447" s="49"/>
      <c r="B3447" s="49"/>
    </row>
    <row r="3448" spans="1:2" x14ac:dyDescent="0.2">
      <c r="A3448" s="49"/>
      <c r="B3448" s="49"/>
    </row>
    <row r="3449" spans="1:2" x14ac:dyDescent="0.2">
      <c r="A3449" s="49"/>
      <c r="B3449" s="49"/>
    </row>
    <row r="3450" spans="1:2" x14ac:dyDescent="0.2">
      <c r="A3450" s="49"/>
      <c r="B3450" s="49"/>
    </row>
    <row r="3451" spans="1:2" x14ac:dyDescent="0.2">
      <c r="A3451" s="49"/>
      <c r="B3451" s="49"/>
    </row>
    <row r="3452" spans="1:2" x14ac:dyDescent="0.2">
      <c r="A3452" s="49"/>
      <c r="B3452" s="49"/>
    </row>
    <row r="3453" spans="1:2" x14ac:dyDescent="0.2">
      <c r="A3453" s="49"/>
      <c r="B3453" s="49"/>
    </row>
    <row r="3454" spans="1:2" x14ac:dyDescent="0.2">
      <c r="A3454" s="49"/>
      <c r="B3454" s="49"/>
    </row>
    <row r="3455" spans="1:2" x14ac:dyDescent="0.2">
      <c r="A3455" s="49"/>
      <c r="B3455" s="49"/>
    </row>
    <row r="3456" spans="1:2" x14ac:dyDescent="0.2">
      <c r="A3456" s="49"/>
      <c r="B3456" s="49"/>
    </row>
    <row r="3457" spans="1:2" x14ac:dyDescent="0.2">
      <c r="A3457" s="49"/>
      <c r="B3457" s="49"/>
    </row>
    <row r="3458" spans="1:2" x14ac:dyDescent="0.2">
      <c r="A3458" s="49"/>
      <c r="B3458" s="49"/>
    </row>
    <row r="3459" spans="1:2" x14ac:dyDescent="0.2">
      <c r="A3459" s="49"/>
      <c r="B3459" s="49"/>
    </row>
    <row r="3460" spans="1:2" x14ac:dyDescent="0.2">
      <c r="A3460" s="49"/>
      <c r="B3460" s="49"/>
    </row>
    <row r="3461" spans="1:2" x14ac:dyDescent="0.2">
      <c r="A3461" s="49"/>
      <c r="B3461" s="49"/>
    </row>
    <row r="3462" spans="1:2" x14ac:dyDescent="0.2">
      <c r="A3462" s="49"/>
      <c r="B3462" s="49"/>
    </row>
    <row r="3463" spans="1:2" x14ac:dyDescent="0.2">
      <c r="A3463" s="49"/>
      <c r="B3463" s="49"/>
    </row>
    <row r="3464" spans="1:2" x14ac:dyDescent="0.2">
      <c r="A3464" s="49"/>
      <c r="B3464" s="49"/>
    </row>
    <row r="3465" spans="1:2" x14ac:dyDescent="0.2">
      <c r="A3465" s="49"/>
      <c r="B3465" s="49"/>
    </row>
    <row r="3466" spans="1:2" x14ac:dyDescent="0.2">
      <c r="A3466" s="49"/>
      <c r="B3466" s="49"/>
    </row>
    <row r="3467" spans="1:2" x14ac:dyDescent="0.2">
      <c r="A3467" s="49"/>
      <c r="B3467" s="49"/>
    </row>
    <row r="3468" spans="1:2" x14ac:dyDescent="0.2">
      <c r="A3468" s="49"/>
      <c r="B3468" s="49"/>
    </row>
    <row r="3469" spans="1:2" x14ac:dyDescent="0.2">
      <c r="A3469" s="49"/>
      <c r="B3469" s="49"/>
    </row>
    <row r="3470" spans="1:2" x14ac:dyDescent="0.2">
      <c r="A3470" s="49"/>
      <c r="B3470" s="49"/>
    </row>
    <row r="3471" spans="1:2" x14ac:dyDescent="0.2">
      <c r="A3471" s="49"/>
      <c r="B3471" s="49"/>
    </row>
    <row r="3472" spans="1:2" x14ac:dyDescent="0.2">
      <c r="A3472" s="49"/>
      <c r="B3472" s="49"/>
    </row>
    <row r="3473" spans="1:7" x14ac:dyDescent="0.2">
      <c r="A3473" s="49"/>
      <c r="B3473" s="49"/>
    </row>
    <row r="3474" spans="1:7" x14ac:dyDescent="0.2">
      <c r="A3474" s="49"/>
      <c r="B3474" s="49"/>
    </row>
    <row r="3475" spans="1:7" x14ac:dyDescent="0.2">
      <c r="A3475" s="49"/>
      <c r="B3475" s="49"/>
    </row>
    <row r="3476" spans="1:7" x14ac:dyDescent="0.2">
      <c r="A3476" s="49"/>
      <c r="B3476" s="49"/>
    </row>
    <row r="3477" spans="1:7" x14ac:dyDescent="0.2">
      <c r="A3477" s="49"/>
      <c r="B3477" s="49"/>
      <c r="C3477" s="49"/>
      <c r="D3477" s="49"/>
      <c r="E3477" s="49"/>
      <c r="F3477" s="49"/>
      <c r="G3477" s="49"/>
    </row>
    <row r="3478" spans="1:7" x14ac:dyDescent="0.2">
      <c r="A3478" s="49"/>
      <c r="B3478" s="49"/>
    </row>
    <row r="3479" spans="1:7" x14ac:dyDescent="0.2">
      <c r="A3479" s="49"/>
      <c r="B3479" s="49"/>
    </row>
    <row r="3480" spans="1:7" x14ac:dyDescent="0.2">
      <c r="A3480" s="49"/>
      <c r="B3480" s="49"/>
    </row>
    <row r="3481" spans="1:7" x14ac:dyDescent="0.2">
      <c r="A3481" s="49"/>
      <c r="B3481" s="49"/>
    </row>
    <row r="3482" spans="1:7" x14ac:dyDescent="0.2">
      <c r="A3482" s="49"/>
      <c r="B3482" s="49"/>
    </row>
    <row r="3483" spans="1:7" x14ac:dyDescent="0.2">
      <c r="A3483" s="49"/>
      <c r="B3483" s="49"/>
    </row>
    <row r="3484" spans="1:7" x14ac:dyDescent="0.2">
      <c r="A3484" s="49"/>
      <c r="B3484" s="49"/>
    </row>
    <row r="3485" spans="1:7" x14ac:dyDescent="0.2">
      <c r="A3485" s="49"/>
      <c r="B3485" s="49"/>
    </row>
    <row r="3486" spans="1:7" x14ac:dyDescent="0.2">
      <c r="A3486" s="49"/>
      <c r="B3486" s="49"/>
    </row>
    <row r="3487" spans="1:7" x14ac:dyDescent="0.2">
      <c r="A3487" s="49"/>
      <c r="B3487" s="49"/>
    </row>
    <row r="3488" spans="1:7" x14ac:dyDescent="0.2">
      <c r="A3488" s="49"/>
      <c r="B3488" s="49"/>
    </row>
    <row r="3489" spans="1:2" x14ac:dyDescent="0.2">
      <c r="A3489" s="49"/>
      <c r="B3489" s="49"/>
    </row>
    <row r="3490" spans="1:2" x14ac:dyDescent="0.2">
      <c r="A3490" s="49"/>
      <c r="B3490" s="49"/>
    </row>
    <row r="3491" spans="1:2" x14ac:dyDescent="0.2">
      <c r="A3491" s="49"/>
      <c r="B3491" s="49"/>
    </row>
    <row r="3492" spans="1:2" x14ac:dyDescent="0.2">
      <c r="A3492" s="49"/>
      <c r="B3492" s="49"/>
    </row>
    <row r="3493" spans="1:2" x14ac:dyDescent="0.2">
      <c r="A3493" s="49"/>
      <c r="B3493" s="49"/>
    </row>
    <row r="3494" spans="1:2" x14ac:dyDescent="0.2">
      <c r="A3494" s="49"/>
      <c r="B3494" s="49"/>
    </row>
    <row r="3495" spans="1:2" x14ac:dyDescent="0.2">
      <c r="A3495" s="49"/>
      <c r="B3495" s="49"/>
    </row>
    <row r="3496" spans="1:2" x14ac:dyDescent="0.2">
      <c r="A3496" s="49"/>
      <c r="B3496" s="49"/>
    </row>
    <row r="3497" spans="1:2" x14ac:dyDescent="0.2">
      <c r="A3497" s="49"/>
      <c r="B3497" s="49"/>
    </row>
    <row r="3498" spans="1:2" x14ac:dyDescent="0.2">
      <c r="A3498" s="49"/>
      <c r="B3498" s="49"/>
    </row>
    <row r="3499" spans="1:2" x14ac:dyDescent="0.2">
      <c r="A3499" s="49"/>
      <c r="B3499" s="49"/>
    </row>
    <row r="3500" spans="1:2" x14ac:dyDescent="0.2">
      <c r="A3500" s="49"/>
      <c r="B3500" s="49"/>
    </row>
    <row r="3501" spans="1:2" x14ac:dyDescent="0.2">
      <c r="A3501" s="49"/>
      <c r="B3501" s="49"/>
    </row>
    <row r="3502" spans="1:2" x14ac:dyDescent="0.2">
      <c r="A3502" s="49"/>
      <c r="B3502" s="49"/>
    </row>
    <row r="3503" spans="1:2" x14ac:dyDescent="0.2">
      <c r="A3503" s="49"/>
      <c r="B3503" s="49"/>
    </row>
    <row r="3504" spans="1:2" x14ac:dyDescent="0.2">
      <c r="A3504" s="49"/>
      <c r="B3504" s="49"/>
    </row>
    <row r="3505" spans="1:2" x14ac:dyDescent="0.2">
      <c r="A3505" s="49"/>
      <c r="B3505" s="49"/>
    </row>
    <row r="3506" spans="1:2" x14ac:dyDescent="0.2">
      <c r="A3506" s="49"/>
      <c r="B3506" s="49"/>
    </row>
    <row r="3507" spans="1:2" x14ac:dyDescent="0.2">
      <c r="A3507" s="49"/>
      <c r="B3507" s="49"/>
    </row>
    <row r="3508" spans="1:2" x14ac:dyDescent="0.2">
      <c r="A3508" s="49"/>
      <c r="B3508" s="49"/>
    </row>
    <row r="3509" spans="1:2" x14ac:dyDescent="0.2">
      <c r="A3509" s="49"/>
      <c r="B3509" s="49"/>
    </row>
    <row r="3510" spans="1:2" x14ac:dyDescent="0.2">
      <c r="A3510" s="49"/>
      <c r="B3510" s="49"/>
    </row>
    <row r="3511" spans="1:2" x14ac:dyDescent="0.2">
      <c r="A3511" s="49"/>
      <c r="B3511" s="49"/>
    </row>
    <row r="3512" spans="1:2" x14ac:dyDescent="0.2">
      <c r="A3512" s="49"/>
      <c r="B3512" s="49"/>
    </row>
    <row r="3513" spans="1:2" x14ac:dyDescent="0.2">
      <c r="A3513" s="49"/>
      <c r="B3513" s="49"/>
    </row>
    <row r="3514" spans="1:2" x14ac:dyDescent="0.2">
      <c r="A3514" s="49"/>
      <c r="B3514" s="49"/>
    </row>
    <row r="3515" spans="1:2" x14ac:dyDescent="0.2">
      <c r="A3515" s="49"/>
      <c r="B3515" s="49"/>
    </row>
    <row r="3516" spans="1:2" x14ac:dyDescent="0.2">
      <c r="A3516" s="49"/>
      <c r="B3516" s="49"/>
    </row>
    <row r="3517" spans="1:2" x14ac:dyDescent="0.2">
      <c r="A3517" s="49"/>
      <c r="B3517" s="49"/>
    </row>
    <row r="3518" spans="1:2" x14ac:dyDescent="0.2">
      <c r="A3518" s="49"/>
      <c r="B3518" s="49"/>
    </row>
    <row r="3519" spans="1:2" x14ac:dyDescent="0.2">
      <c r="A3519" s="49"/>
      <c r="B3519" s="49"/>
    </row>
    <row r="3520" spans="1:2" x14ac:dyDescent="0.2">
      <c r="A3520" s="49"/>
      <c r="B3520" s="49"/>
    </row>
    <row r="3521" spans="1:2" x14ac:dyDescent="0.2">
      <c r="A3521" s="49"/>
      <c r="B3521" s="49"/>
    </row>
    <row r="3522" spans="1:2" x14ac:dyDescent="0.2">
      <c r="A3522" s="49"/>
      <c r="B3522" s="49"/>
    </row>
    <row r="3523" spans="1:2" x14ac:dyDescent="0.2">
      <c r="A3523" s="49"/>
      <c r="B3523" s="49"/>
    </row>
    <row r="3524" spans="1:2" x14ac:dyDescent="0.2">
      <c r="A3524" s="49"/>
      <c r="B3524" s="49"/>
    </row>
    <row r="3525" spans="1:2" x14ac:dyDescent="0.2">
      <c r="A3525" s="49"/>
      <c r="B3525" s="49"/>
    </row>
    <row r="3526" spans="1:2" x14ac:dyDescent="0.2">
      <c r="A3526" s="49"/>
      <c r="B3526" s="49"/>
    </row>
    <row r="3527" spans="1:2" x14ac:dyDescent="0.2">
      <c r="A3527" s="49"/>
      <c r="B3527" s="49"/>
    </row>
    <row r="3528" spans="1:2" x14ac:dyDescent="0.2">
      <c r="A3528" s="49"/>
      <c r="B3528" s="49"/>
    </row>
    <row r="3529" spans="1:2" x14ac:dyDescent="0.2">
      <c r="A3529" s="49"/>
      <c r="B3529" s="49"/>
    </row>
    <row r="3530" spans="1:2" x14ac:dyDescent="0.2">
      <c r="A3530" s="49"/>
      <c r="B3530" s="49"/>
    </row>
    <row r="3531" spans="1:2" x14ac:dyDescent="0.2">
      <c r="A3531" s="49"/>
      <c r="B3531" s="49"/>
    </row>
    <row r="3532" spans="1:2" x14ac:dyDescent="0.2">
      <c r="A3532" s="49"/>
      <c r="B3532" s="49"/>
    </row>
    <row r="3533" spans="1:2" x14ac:dyDescent="0.2">
      <c r="A3533" s="49"/>
      <c r="B3533" s="49"/>
    </row>
    <row r="3534" spans="1:2" x14ac:dyDescent="0.2">
      <c r="A3534" s="49"/>
      <c r="B3534" s="49"/>
    </row>
    <row r="3535" spans="1:2" x14ac:dyDescent="0.2">
      <c r="A3535" s="49"/>
      <c r="B3535" s="49"/>
    </row>
    <row r="3536" spans="1:2" x14ac:dyDescent="0.2">
      <c r="A3536" s="49"/>
      <c r="B3536" s="49"/>
    </row>
    <row r="3537" spans="1:2" x14ac:dyDescent="0.2">
      <c r="A3537" s="49"/>
      <c r="B3537" s="49"/>
    </row>
    <row r="3538" spans="1:2" x14ac:dyDescent="0.2">
      <c r="A3538" s="49"/>
      <c r="B3538" s="49"/>
    </row>
    <row r="3539" spans="1:2" x14ac:dyDescent="0.2">
      <c r="A3539" s="49"/>
      <c r="B3539" s="49"/>
    </row>
    <row r="3540" spans="1:2" x14ac:dyDescent="0.2">
      <c r="A3540" s="49"/>
      <c r="B3540" s="49"/>
    </row>
    <row r="3541" spans="1:2" x14ac:dyDescent="0.2">
      <c r="A3541" s="49"/>
      <c r="B3541" s="49"/>
    </row>
    <row r="3542" spans="1:2" x14ac:dyDescent="0.2">
      <c r="A3542" s="49"/>
      <c r="B3542" s="49"/>
    </row>
    <row r="3543" spans="1:2" x14ac:dyDescent="0.2">
      <c r="A3543" s="49"/>
      <c r="B3543" s="49"/>
    </row>
    <row r="3544" spans="1:2" x14ac:dyDescent="0.2">
      <c r="A3544" s="49"/>
      <c r="B3544" s="49"/>
    </row>
    <row r="3545" spans="1:2" x14ac:dyDescent="0.2">
      <c r="A3545" s="49"/>
      <c r="B3545" s="49"/>
    </row>
    <row r="3546" spans="1:2" x14ac:dyDescent="0.2">
      <c r="A3546" s="49"/>
      <c r="B3546" s="49"/>
    </row>
    <row r="3547" spans="1:2" x14ac:dyDescent="0.2">
      <c r="A3547" s="49"/>
      <c r="B3547" s="49"/>
    </row>
    <row r="3548" spans="1:2" x14ac:dyDescent="0.2">
      <c r="A3548" s="49"/>
      <c r="B3548" s="49"/>
    </row>
    <row r="3549" spans="1:2" x14ac:dyDescent="0.2">
      <c r="A3549" s="49"/>
      <c r="B3549" s="49"/>
    </row>
    <row r="3550" spans="1:2" x14ac:dyDescent="0.2">
      <c r="A3550" s="49"/>
      <c r="B3550" s="49"/>
    </row>
    <row r="3551" spans="1:2" x14ac:dyDescent="0.2">
      <c r="A3551" s="49"/>
      <c r="B3551" s="49"/>
    </row>
    <row r="3552" spans="1:2" x14ac:dyDescent="0.2">
      <c r="A3552" s="49"/>
      <c r="B3552" s="49"/>
    </row>
    <row r="3553" spans="1:2" x14ac:dyDescent="0.2">
      <c r="A3553" s="49"/>
      <c r="B3553" s="49"/>
    </row>
    <row r="3554" spans="1:2" x14ac:dyDescent="0.2">
      <c r="A3554" s="49"/>
      <c r="B3554" s="49"/>
    </row>
    <row r="3555" spans="1:2" x14ac:dyDescent="0.2">
      <c r="A3555" s="49"/>
      <c r="B3555" s="49"/>
    </row>
    <row r="3556" spans="1:2" x14ac:dyDescent="0.2">
      <c r="A3556" s="49"/>
      <c r="B3556" s="49"/>
    </row>
    <row r="3557" spans="1:2" x14ac:dyDescent="0.2">
      <c r="A3557" s="49"/>
      <c r="B3557" s="49"/>
    </row>
    <row r="3558" spans="1:2" x14ac:dyDescent="0.2">
      <c r="A3558" s="49"/>
      <c r="B3558" s="49"/>
    </row>
    <row r="3559" spans="1:2" x14ac:dyDescent="0.2">
      <c r="A3559" s="49"/>
      <c r="B3559" s="49"/>
    </row>
    <row r="3560" spans="1:2" x14ac:dyDescent="0.2">
      <c r="A3560" s="49"/>
      <c r="B3560" s="49"/>
    </row>
    <row r="3561" spans="1:2" x14ac:dyDescent="0.2">
      <c r="A3561" s="49"/>
      <c r="B3561" s="49"/>
    </row>
    <row r="3562" spans="1:2" x14ac:dyDescent="0.2">
      <c r="A3562" s="49"/>
      <c r="B3562" s="49"/>
    </row>
    <row r="3563" spans="1:2" x14ac:dyDescent="0.2">
      <c r="A3563" s="49"/>
      <c r="B3563" s="49"/>
    </row>
    <row r="3564" spans="1:2" x14ac:dyDescent="0.2">
      <c r="A3564" s="49"/>
      <c r="B3564" s="49"/>
    </row>
    <row r="3565" spans="1:2" x14ac:dyDescent="0.2">
      <c r="A3565" s="49"/>
      <c r="B3565" s="49"/>
    </row>
    <row r="3566" spans="1:2" x14ac:dyDescent="0.2">
      <c r="A3566" s="49"/>
      <c r="B3566" s="49"/>
    </row>
    <row r="3567" spans="1:2" x14ac:dyDescent="0.2">
      <c r="A3567" s="49"/>
      <c r="B3567" s="49"/>
    </row>
    <row r="3568" spans="1:2" x14ac:dyDescent="0.2">
      <c r="A3568" s="49"/>
      <c r="B3568" s="49"/>
    </row>
    <row r="3569" spans="1:2" x14ac:dyDescent="0.2">
      <c r="A3569" s="49"/>
      <c r="B3569" s="49"/>
    </row>
    <row r="3570" spans="1:2" x14ac:dyDescent="0.2">
      <c r="A3570" s="49"/>
      <c r="B3570" s="49"/>
    </row>
    <row r="3571" spans="1:2" x14ac:dyDescent="0.2">
      <c r="A3571" s="49"/>
      <c r="B3571" s="49"/>
    </row>
    <row r="3572" spans="1:2" x14ac:dyDescent="0.2">
      <c r="A3572" s="49"/>
      <c r="B3572" s="49"/>
    </row>
    <row r="3573" spans="1:2" x14ac:dyDescent="0.2">
      <c r="A3573" s="49"/>
      <c r="B3573" s="49"/>
    </row>
    <row r="3574" spans="1:2" x14ac:dyDescent="0.2">
      <c r="A3574" s="49"/>
      <c r="B3574" s="49"/>
    </row>
    <row r="3575" spans="1:2" x14ac:dyDescent="0.2">
      <c r="A3575" s="49"/>
      <c r="B3575" s="49"/>
    </row>
    <row r="3576" spans="1:2" x14ac:dyDescent="0.2">
      <c r="A3576" s="49"/>
      <c r="B3576" s="49"/>
    </row>
    <row r="3577" spans="1:2" x14ac:dyDescent="0.2">
      <c r="A3577" s="49"/>
      <c r="B3577" s="49"/>
    </row>
    <row r="3578" spans="1:2" x14ac:dyDescent="0.2">
      <c r="A3578" s="49"/>
      <c r="B3578" s="49"/>
    </row>
    <row r="3579" spans="1:2" x14ac:dyDescent="0.2">
      <c r="A3579" s="49"/>
      <c r="B3579" s="49"/>
    </row>
    <row r="3580" spans="1:2" x14ac:dyDescent="0.2">
      <c r="A3580" s="49"/>
      <c r="B3580" s="49"/>
    </row>
    <row r="3581" spans="1:2" x14ac:dyDescent="0.2">
      <c r="A3581" s="49"/>
      <c r="B3581" s="49"/>
    </row>
    <row r="3582" spans="1:2" x14ac:dyDescent="0.2">
      <c r="A3582" s="49"/>
      <c r="B3582" s="49"/>
    </row>
    <row r="3583" spans="1:2" x14ac:dyDescent="0.2">
      <c r="A3583" s="49"/>
      <c r="B3583" s="49"/>
    </row>
    <row r="3584" spans="1:2" x14ac:dyDescent="0.2">
      <c r="A3584" s="49"/>
      <c r="B3584" s="49"/>
    </row>
    <row r="3585" spans="1:2" x14ac:dyDescent="0.2">
      <c r="A3585" s="49"/>
      <c r="B3585" s="49"/>
    </row>
    <row r="3586" spans="1:2" x14ac:dyDescent="0.2">
      <c r="A3586" s="49"/>
      <c r="B3586" s="49"/>
    </row>
    <row r="3587" spans="1:2" x14ac:dyDescent="0.2">
      <c r="A3587" s="49"/>
      <c r="B3587" s="49"/>
    </row>
    <row r="3588" spans="1:2" x14ac:dyDescent="0.2">
      <c r="A3588" s="49"/>
      <c r="B3588" s="49"/>
    </row>
    <row r="3589" spans="1:2" x14ac:dyDescent="0.2">
      <c r="A3589" s="49"/>
      <c r="B3589" s="49"/>
    </row>
    <row r="3590" spans="1:2" x14ac:dyDescent="0.2">
      <c r="A3590" s="49"/>
      <c r="B3590" s="49"/>
    </row>
    <row r="3591" spans="1:2" x14ac:dyDescent="0.2">
      <c r="A3591" s="49"/>
      <c r="B3591" s="49"/>
    </row>
    <row r="3592" spans="1:2" x14ac:dyDescent="0.2">
      <c r="A3592" s="49"/>
      <c r="B3592" s="49"/>
    </row>
    <row r="3593" spans="1:2" x14ac:dyDescent="0.2">
      <c r="A3593" s="49"/>
      <c r="B3593" s="49"/>
    </row>
    <row r="3594" spans="1:2" x14ac:dyDescent="0.2">
      <c r="A3594" s="49"/>
      <c r="B3594" s="49"/>
    </row>
    <row r="3595" spans="1:2" x14ac:dyDescent="0.2">
      <c r="A3595" s="49"/>
      <c r="B3595" s="49"/>
    </row>
    <row r="3596" spans="1:2" x14ac:dyDescent="0.2">
      <c r="A3596" s="49"/>
      <c r="B3596" s="49"/>
    </row>
    <row r="3597" spans="1:2" x14ac:dyDescent="0.2">
      <c r="A3597" s="49"/>
      <c r="B3597" s="49"/>
    </row>
    <row r="3598" spans="1:2" x14ac:dyDescent="0.2">
      <c r="A3598" s="49"/>
      <c r="B3598" s="49"/>
    </row>
    <row r="3599" spans="1:2" x14ac:dyDescent="0.2">
      <c r="A3599" s="49"/>
      <c r="B3599" s="49"/>
    </row>
    <row r="3600" spans="1:2" x14ac:dyDescent="0.2">
      <c r="A3600" s="49"/>
      <c r="B3600" s="49"/>
    </row>
    <row r="3601" spans="1:2" x14ac:dyDescent="0.2">
      <c r="A3601" s="49"/>
      <c r="B3601" s="49"/>
    </row>
    <row r="3602" spans="1:2" x14ac:dyDescent="0.2">
      <c r="A3602" s="49"/>
      <c r="B3602" s="49"/>
    </row>
    <row r="3603" spans="1:2" x14ac:dyDescent="0.2">
      <c r="A3603" s="49"/>
      <c r="B3603" s="49"/>
    </row>
    <row r="3604" spans="1:2" x14ac:dyDescent="0.2">
      <c r="A3604" s="49"/>
      <c r="B3604" s="49"/>
    </row>
    <row r="3605" spans="1:2" x14ac:dyDescent="0.2">
      <c r="A3605" s="49"/>
      <c r="B3605" s="49"/>
    </row>
    <row r="3606" spans="1:2" x14ac:dyDescent="0.2">
      <c r="A3606" s="49"/>
      <c r="B3606" s="49"/>
    </row>
    <row r="3607" spans="1:2" x14ac:dyDescent="0.2">
      <c r="A3607" s="49"/>
      <c r="B3607" s="49"/>
    </row>
    <row r="3608" spans="1:2" x14ac:dyDescent="0.2">
      <c r="A3608" s="49"/>
      <c r="B3608" s="49"/>
    </row>
    <row r="3609" spans="1:2" x14ac:dyDescent="0.2">
      <c r="A3609" s="49"/>
      <c r="B3609" s="49"/>
    </row>
    <row r="3610" spans="1:2" x14ac:dyDescent="0.2">
      <c r="A3610" s="49"/>
      <c r="B3610" s="49"/>
    </row>
    <row r="3611" spans="1:2" x14ac:dyDescent="0.2">
      <c r="A3611" s="49"/>
      <c r="B3611" s="49"/>
    </row>
    <row r="3612" spans="1:2" x14ac:dyDescent="0.2">
      <c r="A3612" s="49"/>
      <c r="B3612" s="49"/>
    </row>
    <row r="3613" spans="1:2" x14ac:dyDescent="0.2">
      <c r="A3613" s="49"/>
      <c r="B3613" s="49"/>
    </row>
    <row r="3614" spans="1:2" x14ac:dyDescent="0.2">
      <c r="A3614" s="49"/>
      <c r="B3614" s="49"/>
    </row>
    <row r="3615" spans="1:2" x14ac:dyDescent="0.2">
      <c r="A3615" s="49"/>
      <c r="B3615" s="49"/>
    </row>
    <row r="3616" spans="1:2" x14ac:dyDescent="0.2">
      <c r="A3616" s="49"/>
      <c r="B3616" s="49"/>
    </row>
    <row r="3617" spans="1:2" x14ac:dyDescent="0.2">
      <c r="A3617" s="49"/>
      <c r="B3617" s="49"/>
    </row>
    <row r="3618" spans="1:2" x14ac:dyDescent="0.2">
      <c r="A3618" s="49"/>
      <c r="B3618" s="49"/>
    </row>
    <row r="3619" spans="1:2" x14ac:dyDescent="0.2">
      <c r="A3619" s="49"/>
      <c r="B3619" s="49"/>
    </row>
    <row r="3620" spans="1:2" x14ac:dyDescent="0.2">
      <c r="A3620" s="49"/>
      <c r="B3620" s="49"/>
    </row>
    <row r="3621" spans="1:2" x14ac:dyDescent="0.2">
      <c r="A3621" s="49"/>
      <c r="B3621" s="49"/>
    </row>
    <row r="3622" spans="1:2" x14ac:dyDescent="0.2">
      <c r="A3622" s="49"/>
      <c r="B3622" s="49"/>
    </row>
    <row r="3623" spans="1:2" x14ac:dyDescent="0.2">
      <c r="A3623" s="49"/>
      <c r="B3623" s="49"/>
    </row>
    <row r="3624" spans="1:2" x14ac:dyDescent="0.2">
      <c r="A3624" s="49"/>
      <c r="B3624" s="49"/>
    </row>
    <row r="3625" spans="1:2" x14ac:dyDescent="0.2">
      <c r="A3625" s="49"/>
      <c r="B3625" s="49"/>
    </row>
    <row r="3626" spans="1:2" x14ac:dyDescent="0.2">
      <c r="A3626" s="49"/>
      <c r="B3626" s="49"/>
    </row>
    <row r="3627" spans="1:2" x14ac:dyDescent="0.2">
      <c r="A3627" s="49"/>
      <c r="B3627" s="49"/>
    </row>
    <row r="3628" spans="1:2" x14ac:dyDescent="0.2">
      <c r="A3628" s="49"/>
      <c r="B3628" s="49"/>
    </row>
    <row r="3629" spans="1:2" x14ac:dyDescent="0.2">
      <c r="A3629" s="49"/>
      <c r="B3629" s="49"/>
    </row>
    <row r="3630" spans="1:2" x14ac:dyDescent="0.2">
      <c r="A3630" s="49"/>
      <c r="B3630" s="49"/>
    </row>
    <row r="3631" spans="1:2" x14ac:dyDescent="0.2">
      <c r="A3631" s="49"/>
      <c r="B3631" s="49"/>
    </row>
    <row r="3632" spans="1:2" x14ac:dyDescent="0.2">
      <c r="A3632" s="49"/>
      <c r="B3632" s="49"/>
    </row>
    <row r="3633" spans="1:2" x14ac:dyDescent="0.2">
      <c r="A3633" s="49"/>
      <c r="B3633" s="49"/>
    </row>
    <row r="3634" spans="1:2" x14ac:dyDescent="0.2">
      <c r="A3634" s="49"/>
      <c r="B3634" s="49"/>
    </row>
    <row r="3635" spans="1:2" x14ac:dyDescent="0.2">
      <c r="A3635" s="49"/>
      <c r="B3635" s="49"/>
    </row>
    <row r="3636" spans="1:2" x14ac:dyDescent="0.2">
      <c r="A3636" s="49"/>
      <c r="B3636" s="49"/>
    </row>
    <row r="3637" spans="1:2" x14ac:dyDescent="0.2">
      <c r="A3637" s="49"/>
      <c r="B3637" s="49"/>
    </row>
    <row r="3638" spans="1:2" x14ac:dyDescent="0.2">
      <c r="A3638" s="49"/>
      <c r="B3638" s="49"/>
    </row>
    <row r="3639" spans="1:2" x14ac:dyDescent="0.2">
      <c r="A3639" s="49"/>
      <c r="B3639" s="49"/>
    </row>
    <row r="3640" spans="1:2" x14ac:dyDescent="0.2">
      <c r="A3640" s="49"/>
      <c r="B3640" s="49"/>
    </row>
    <row r="3641" spans="1:2" x14ac:dyDescent="0.2">
      <c r="A3641" s="49"/>
      <c r="B3641" s="49"/>
    </row>
    <row r="3642" spans="1:2" x14ac:dyDescent="0.2">
      <c r="A3642" s="49"/>
      <c r="B3642" s="49"/>
    </row>
    <row r="3643" spans="1:2" x14ac:dyDescent="0.2">
      <c r="A3643" s="49"/>
      <c r="B3643" s="49"/>
    </row>
    <row r="3644" spans="1:2" x14ac:dyDescent="0.2">
      <c r="A3644" s="49"/>
      <c r="B3644" s="49"/>
    </row>
    <row r="3645" spans="1:2" x14ac:dyDescent="0.2">
      <c r="A3645" s="49"/>
      <c r="B3645" s="49"/>
    </row>
    <row r="3646" spans="1:2" x14ac:dyDescent="0.2">
      <c r="A3646" s="49"/>
      <c r="B3646" s="49"/>
    </row>
    <row r="3647" spans="1:2" x14ac:dyDescent="0.2">
      <c r="A3647" s="49"/>
      <c r="B3647" s="49"/>
    </row>
    <row r="3648" spans="1:2" x14ac:dyDescent="0.2">
      <c r="A3648" s="49"/>
      <c r="B3648" s="49"/>
    </row>
    <row r="3649" spans="1:2" x14ac:dyDescent="0.2">
      <c r="A3649" s="49"/>
      <c r="B3649" s="49"/>
    </row>
    <row r="3650" spans="1:2" x14ac:dyDescent="0.2">
      <c r="A3650" s="49"/>
      <c r="B3650" s="49"/>
    </row>
    <row r="3651" spans="1:2" x14ac:dyDescent="0.2">
      <c r="A3651" s="49"/>
      <c r="B3651" s="49"/>
    </row>
    <row r="3652" spans="1:2" x14ac:dyDescent="0.2">
      <c r="A3652" s="49"/>
      <c r="B3652" s="49"/>
    </row>
    <row r="3653" spans="1:2" x14ac:dyDescent="0.2">
      <c r="A3653" s="49"/>
      <c r="B3653" s="49"/>
    </row>
    <row r="3654" spans="1:2" x14ac:dyDescent="0.2">
      <c r="A3654" s="49"/>
      <c r="B3654" s="49"/>
    </row>
    <row r="3655" spans="1:2" x14ac:dyDescent="0.2">
      <c r="A3655" s="49"/>
      <c r="B3655" s="49"/>
    </row>
    <row r="3656" spans="1:2" x14ac:dyDescent="0.2">
      <c r="A3656" s="49"/>
      <c r="B3656" s="49"/>
    </row>
    <row r="3657" spans="1:2" x14ac:dyDescent="0.2">
      <c r="A3657" s="49"/>
      <c r="B3657" s="49"/>
    </row>
    <row r="3658" spans="1:2" x14ac:dyDescent="0.2">
      <c r="A3658" s="49"/>
      <c r="B3658" s="49"/>
    </row>
    <row r="3659" spans="1:2" x14ac:dyDescent="0.2">
      <c r="A3659" s="49"/>
      <c r="B3659" s="49"/>
    </row>
    <row r="3660" spans="1:2" x14ac:dyDescent="0.2">
      <c r="A3660" s="49"/>
      <c r="B3660" s="49"/>
    </row>
    <row r="3661" spans="1:2" x14ac:dyDescent="0.2">
      <c r="A3661" s="49"/>
      <c r="B3661" s="49"/>
    </row>
    <row r="3662" spans="1:2" x14ac:dyDescent="0.2">
      <c r="A3662" s="49"/>
      <c r="B3662" s="49"/>
    </row>
    <row r="3663" spans="1:2" x14ac:dyDescent="0.2">
      <c r="A3663" s="49"/>
      <c r="B3663" s="49"/>
    </row>
    <row r="3664" spans="1:2" x14ac:dyDescent="0.2">
      <c r="A3664" s="49"/>
      <c r="B3664" s="49"/>
    </row>
    <row r="3665" spans="1:2" x14ac:dyDescent="0.2">
      <c r="A3665" s="49"/>
      <c r="B3665" s="49"/>
    </row>
    <row r="3666" spans="1:2" x14ac:dyDescent="0.2">
      <c r="A3666" s="49"/>
      <c r="B3666" s="49"/>
    </row>
    <row r="3667" spans="1:2" x14ac:dyDescent="0.2">
      <c r="A3667" s="49"/>
      <c r="B3667" s="49"/>
    </row>
    <row r="3668" spans="1:2" x14ac:dyDescent="0.2">
      <c r="A3668" s="49"/>
      <c r="B3668" s="49"/>
    </row>
    <row r="3669" spans="1:2" x14ac:dyDescent="0.2">
      <c r="A3669" s="49"/>
      <c r="B3669" s="49"/>
    </row>
    <row r="3670" spans="1:2" x14ac:dyDescent="0.2">
      <c r="A3670" s="49"/>
      <c r="B3670" s="49"/>
    </row>
    <row r="3671" spans="1:2" x14ac:dyDescent="0.2">
      <c r="A3671" s="49"/>
      <c r="B3671" s="49"/>
    </row>
    <row r="3672" spans="1:2" x14ac:dyDescent="0.2">
      <c r="A3672" s="49"/>
      <c r="B3672" s="49"/>
    </row>
    <row r="3673" spans="1:2" x14ac:dyDescent="0.2">
      <c r="A3673" s="49"/>
      <c r="B3673" s="49"/>
    </row>
    <row r="3674" spans="1:2" x14ac:dyDescent="0.2">
      <c r="A3674" s="49"/>
      <c r="B3674" s="49"/>
    </row>
    <row r="3675" spans="1:2" x14ac:dyDescent="0.2">
      <c r="A3675" s="49"/>
      <c r="B3675" s="49"/>
    </row>
    <row r="3676" spans="1:2" x14ac:dyDescent="0.2">
      <c r="A3676" s="49"/>
      <c r="B3676" s="49"/>
    </row>
    <row r="3677" spans="1:2" x14ac:dyDescent="0.2">
      <c r="A3677" s="49"/>
      <c r="B3677" s="49"/>
    </row>
    <row r="3678" spans="1:2" x14ac:dyDescent="0.2">
      <c r="A3678" s="49"/>
      <c r="B3678" s="49"/>
    </row>
    <row r="3679" spans="1:2" x14ac:dyDescent="0.2">
      <c r="A3679" s="49"/>
      <c r="B3679" s="49"/>
    </row>
    <row r="3680" spans="1:2" x14ac:dyDescent="0.2">
      <c r="A3680" s="49"/>
      <c r="B3680" s="49"/>
    </row>
    <row r="3681" spans="1:2" x14ac:dyDescent="0.2">
      <c r="A3681" s="49"/>
      <c r="B3681" s="49"/>
    </row>
    <row r="3682" spans="1:2" x14ac:dyDescent="0.2">
      <c r="A3682" s="49"/>
      <c r="B3682" s="49"/>
    </row>
    <row r="3683" spans="1:2" x14ac:dyDescent="0.2">
      <c r="A3683" s="49"/>
      <c r="B3683" s="49"/>
    </row>
    <row r="3684" spans="1:2" x14ac:dyDescent="0.2">
      <c r="A3684" s="49"/>
      <c r="B3684" s="49"/>
    </row>
    <row r="3685" spans="1:2" x14ac:dyDescent="0.2">
      <c r="A3685" s="49"/>
      <c r="B3685" s="49"/>
    </row>
    <row r="3686" spans="1:2" x14ac:dyDescent="0.2">
      <c r="A3686" s="49"/>
      <c r="B3686" s="49"/>
    </row>
    <row r="3687" spans="1:2" x14ac:dyDescent="0.2">
      <c r="A3687" s="49"/>
      <c r="B3687" s="49"/>
    </row>
    <row r="3688" spans="1:2" x14ac:dyDescent="0.2">
      <c r="A3688" s="49"/>
      <c r="B3688" s="49"/>
    </row>
    <row r="3689" spans="1:2" x14ac:dyDescent="0.2">
      <c r="A3689" s="49"/>
      <c r="B3689" s="49"/>
    </row>
    <row r="3690" spans="1:2" x14ac:dyDescent="0.2">
      <c r="A3690" s="49"/>
      <c r="B3690" s="49"/>
    </row>
    <row r="3691" spans="1:2" x14ac:dyDescent="0.2">
      <c r="A3691" s="49"/>
      <c r="B3691" s="49"/>
    </row>
    <row r="3692" spans="1:2" x14ac:dyDescent="0.2">
      <c r="A3692" s="49"/>
      <c r="B3692" s="49"/>
    </row>
    <row r="3693" spans="1:2" x14ac:dyDescent="0.2">
      <c r="A3693" s="49"/>
      <c r="B3693" s="49"/>
    </row>
    <row r="3694" spans="1:2" x14ac:dyDescent="0.2">
      <c r="A3694" s="49"/>
      <c r="B3694" s="49"/>
    </row>
    <row r="3695" spans="1:2" x14ac:dyDescent="0.2">
      <c r="A3695" s="49"/>
      <c r="B3695" s="49"/>
    </row>
    <row r="3696" spans="1:2" x14ac:dyDescent="0.2">
      <c r="A3696" s="49"/>
      <c r="B3696" s="49"/>
    </row>
    <row r="3697" spans="1:2" x14ac:dyDescent="0.2">
      <c r="A3697" s="49"/>
      <c r="B3697" s="49"/>
    </row>
    <row r="3698" spans="1:2" x14ac:dyDescent="0.2">
      <c r="A3698" s="49"/>
      <c r="B3698" s="49"/>
    </row>
    <row r="3699" spans="1:2" x14ac:dyDescent="0.2">
      <c r="A3699" s="49"/>
      <c r="B3699" s="49"/>
    </row>
    <row r="3700" spans="1:2" x14ac:dyDescent="0.2">
      <c r="A3700" s="49"/>
      <c r="B3700" s="49"/>
    </row>
    <row r="3701" spans="1:2" x14ac:dyDescent="0.2">
      <c r="A3701" s="49"/>
      <c r="B3701" s="49"/>
    </row>
    <row r="3702" spans="1:2" x14ac:dyDescent="0.2">
      <c r="A3702" s="49"/>
      <c r="B3702" s="49"/>
    </row>
    <row r="3703" spans="1:2" x14ac:dyDescent="0.2">
      <c r="A3703" s="49"/>
      <c r="B3703" s="49"/>
    </row>
    <row r="3704" spans="1:2" x14ac:dyDescent="0.2">
      <c r="A3704" s="49"/>
      <c r="B3704" s="49"/>
    </row>
    <row r="3705" spans="1:2" x14ac:dyDescent="0.2">
      <c r="A3705" s="49"/>
      <c r="B3705" s="49"/>
    </row>
    <row r="3706" spans="1:2" x14ac:dyDescent="0.2">
      <c r="A3706" s="49"/>
      <c r="B3706" s="49"/>
    </row>
    <row r="3707" spans="1:2" x14ac:dyDescent="0.2">
      <c r="A3707" s="49"/>
      <c r="B3707" s="49"/>
    </row>
    <row r="3708" spans="1:2" x14ac:dyDescent="0.2">
      <c r="A3708" s="49"/>
      <c r="B3708" s="49"/>
    </row>
    <row r="3709" spans="1:2" x14ac:dyDescent="0.2">
      <c r="A3709" s="49"/>
      <c r="B3709" s="49"/>
    </row>
    <row r="3710" spans="1:2" x14ac:dyDescent="0.2">
      <c r="A3710" s="49"/>
      <c r="B3710" s="49"/>
    </row>
    <row r="3711" spans="1:2" x14ac:dyDescent="0.2">
      <c r="A3711" s="49"/>
      <c r="B3711" s="49"/>
    </row>
    <row r="3712" spans="1:2" x14ac:dyDescent="0.2">
      <c r="A3712" s="49"/>
      <c r="B3712" s="49"/>
    </row>
    <row r="3713" spans="1:2" x14ac:dyDescent="0.2">
      <c r="A3713" s="49"/>
      <c r="B3713" s="49"/>
    </row>
    <row r="3714" spans="1:2" x14ac:dyDescent="0.2">
      <c r="A3714" s="49"/>
      <c r="B3714" s="49"/>
    </row>
    <row r="3715" spans="1:2" x14ac:dyDescent="0.2">
      <c r="A3715" s="49"/>
      <c r="B3715" s="49"/>
    </row>
    <row r="3716" spans="1:2" x14ac:dyDescent="0.2">
      <c r="A3716" s="49"/>
      <c r="B3716" s="49"/>
    </row>
    <row r="3717" spans="1:2" x14ac:dyDescent="0.2">
      <c r="A3717" s="49"/>
      <c r="B3717" s="49"/>
    </row>
    <row r="3718" spans="1:2" x14ac:dyDescent="0.2">
      <c r="A3718" s="49"/>
      <c r="B3718" s="49"/>
    </row>
    <row r="3719" spans="1:2" x14ac:dyDescent="0.2">
      <c r="A3719" s="49"/>
      <c r="B3719" s="49"/>
    </row>
    <row r="3720" spans="1:2" x14ac:dyDescent="0.2">
      <c r="A3720" s="49"/>
      <c r="B3720" s="49"/>
    </row>
    <row r="3721" spans="1:2" x14ac:dyDescent="0.2">
      <c r="A3721" s="49"/>
      <c r="B3721" s="49"/>
    </row>
    <row r="3722" spans="1:2" x14ac:dyDescent="0.2">
      <c r="A3722" s="49"/>
      <c r="B3722" s="49"/>
    </row>
    <row r="3723" spans="1:2" x14ac:dyDescent="0.2">
      <c r="A3723" s="49"/>
      <c r="B3723" s="49"/>
    </row>
    <row r="3724" spans="1:2" x14ac:dyDescent="0.2">
      <c r="A3724" s="49"/>
      <c r="B3724" s="49"/>
    </row>
    <row r="3725" spans="1:2" x14ac:dyDescent="0.2">
      <c r="A3725" s="49"/>
      <c r="B3725" s="49"/>
    </row>
    <row r="3726" spans="1:2" x14ac:dyDescent="0.2">
      <c r="A3726" s="49"/>
      <c r="B3726" s="49"/>
    </row>
    <row r="3727" spans="1:2" x14ac:dyDescent="0.2">
      <c r="A3727" s="49"/>
      <c r="B3727" s="49"/>
    </row>
    <row r="3728" spans="1:2" x14ac:dyDescent="0.2">
      <c r="A3728" s="49"/>
      <c r="B3728" s="49"/>
    </row>
    <row r="3729" spans="1:2" x14ac:dyDescent="0.2">
      <c r="A3729" s="49"/>
      <c r="B3729" s="49"/>
    </row>
    <row r="3730" spans="1:2" x14ac:dyDescent="0.2">
      <c r="A3730" s="49"/>
      <c r="B3730" s="49"/>
    </row>
    <row r="3731" spans="1:2" x14ac:dyDescent="0.2">
      <c r="A3731" s="49"/>
      <c r="B3731" s="49"/>
    </row>
    <row r="3732" spans="1:2" x14ac:dyDescent="0.2">
      <c r="A3732" s="49"/>
      <c r="B3732" s="49"/>
    </row>
    <row r="3733" spans="1:2" x14ac:dyDescent="0.2">
      <c r="A3733" s="49"/>
      <c r="B3733" s="49"/>
    </row>
    <row r="3734" spans="1:2" x14ac:dyDescent="0.2">
      <c r="A3734" s="49"/>
      <c r="B3734" s="49"/>
    </row>
    <row r="3735" spans="1:2" x14ac:dyDescent="0.2">
      <c r="A3735" s="49"/>
      <c r="B3735" s="49"/>
    </row>
    <row r="3736" spans="1:2" x14ac:dyDescent="0.2">
      <c r="A3736" s="49"/>
      <c r="B3736" s="49"/>
    </row>
    <row r="3737" spans="1:2" x14ac:dyDescent="0.2">
      <c r="A3737" s="49"/>
      <c r="B3737" s="49"/>
    </row>
    <row r="3738" spans="1:2" x14ac:dyDescent="0.2">
      <c r="A3738" s="49"/>
      <c r="B3738" s="49"/>
    </row>
    <row r="3739" spans="1:2" x14ac:dyDescent="0.2">
      <c r="A3739" s="49"/>
      <c r="B3739" s="49"/>
    </row>
    <row r="3740" spans="1:2" x14ac:dyDescent="0.2">
      <c r="A3740" s="49"/>
      <c r="B3740" s="49"/>
    </row>
    <row r="3741" spans="1:2" x14ac:dyDescent="0.2">
      <c r="A3741" s="49"/>
      <c r="B3741" s="49"/>
    </row>
    <row r="3742" spans="1:2" x14ac:dyDescent="0.2">
      <c r="A3742" s="49"/>
      <c r="B3742" s="49"/>
    </row>
    <row r="3743" spans="1:2" x14ac:dyDescent="0.2">
      <c r="A3743" s="49"/>
      <c r="B3743" s="49"/>
    </row>
    <row r="3744" spans="1:2" x14ac:dyDescent="0.2">
      <c r="A3744" s="49"/>
      <c r="B3744" s="49"/>
    </row>
    <row r="3745" spans="1:7" x14ac:dyDescent="0.2">
      <c r="A3745" s="49"/>
      <c r="B3745" s="49"/>
    </row>
    <row r="3746" spans="1:7" x14ac:dyDescent="0.2">
      <c r="A3746" s="49"/>
      <c r="B3746" s="49"/>
    </row>
    <row r="3747" spans="1:7" x14ac:dyDescent="0.2">
      <c r="A3747" s="49"/>
      <c r="B3747" s="49"/>
    </row>
    <row r="3748" spans="1:7" x14ac:dyDescent="0.2">
      <c r="A3748" s="49"/>
      <c r="B3748" s="49"/>
    </row>
    <row r="3749" spans="1:7" x14ac:dyDescent="0.2">
      <c r="A3749" s="49"/>
      <c r="B3749" s="49"/>
    </row>
    <row r="3750" spans="1:7" x14ac:dyDescent="0.2">
      <c r="A3750" s="49"/>
      <c r="B3750" s="49"/>
    </row>
    <row r="3751" spans="1:7" x14ac:dyDescent="0.2">
      <c r="A3751" s="49"/>
      <c r="B3751" s="49"/>
    </row>
    <row r="3752" spans="1:7" x14ac:dyDescent="0.2">
      <c r="A3752" s="49"/>
      <c r="B3752" s="49"/>
    </row>
    <row r="3753" spans="1:7" x14ac:dyDescent="0.2">
      <c r="A3753" s="49"/>
      <c r="B3753" s="49"/>
    </row>
    <row r="3754" spans="1:7" x14ac:dyDescent="0.2">
      <c r="A3754" s="49"/>
      <c r="B3754" s="49"/>
    </row>
    <row r="3755" spans="1:7" x14ac:dyDescent="0.2">
      <c r="A3755" s="49"/>
      <c r="B3755" s="49"/>
    </row>
    <row r="3756" spans="1:7" x14ac:dyDescent="0.2">
      <c r="A3756" s="49"/>
      <c r="B3756" s="49"/>
    </row>
    <row r="3757" spans="1:7" x14ac:dyDescent="0.2">
      <c r="A3757" s="49"/>
      <c r="B3757" s="49"/>
    </row>
    <row r="3758" spans="1:7" x14ac:dyDescent="0.2">
      <c r="A3758" s="49"/>
      <c r="B3758" s="49"/>
      <c r="C3758" s="49"/>
      <c r="D3758" s="49"/>
      <c r="E3758" s="49"/>
      <c r="F3758" s="49"/>
      <c r="G3758" s="49"/>
    </row>
    <row r="3759" spans="1:7" x14ac:dyDescent="0.2">
      <c r="A3759" s="49"/>
      <c r="B3759" s="49"/>
    </row>
    <row r="3760" spans="1:7" x14ac:dyDescent="0.2">
      <c r="A3760" s="49"/>
      <c r="B3760" s="49"/>
    </row>
    <row r="3761" spans="1:7" x14ac:dyDescent="0.2">
      <c r="A3761" s="49"/>
      <c r="B3761" s="49"/>
    </row>
    <row r="3762" spans="1:7" x14ac:dyDescent="0.2">
      <c r="A3762" s="49"/>
      <c r="B3762" s="49"/>
    </row>
    <row r="3763" spans="1:7" x14ac:dyDescent="0.2">
      <c r="A3763" s="49"/>
      <c r="B3763" s="49"/>
    </row>
    <row r="3764" spans="1:7" x14ac:dyDescent="0.2">
      <c r="A3764" s="49"/>
      <c r="B3764" s="49"/>
    </row>
    <row r="3765" spans="1:7" x14ac:dyDescent="0.2">
      <c r="A3765" s="49"/>
      <c r="B3765" s="49"/>
    </row>
    <row r="3766" spans="1:7" x14ac:dyDescent="0.2">
      <c r="A3766" s="49"/>
      <c r="B3766" s="49"/>
    </row>
    <row r="3767" spans="1:7" x14ac:dyDescent="0.2">
      <c r="A3767" s="49"/>
      <c r="B3767" s="49"/>
      <c r="C3767" s="49"/>
      <c r="D3767" s="49"/>
      <c r="E3767" s="49"/>
      <c r="F3767" s="49"/>
      <c r="G3767" s="49"/>
    </row>
    <row r="3768" spans="1:7" x14ac:dyDescent="0.2">
      <c r="A3768" s="49"/>
      <c r="B3768" s="49"/>
    </row>
    <row r="3769" spans="1:7" x14ac:dyDescent="0.2">
      <c r="A3769" s="49"/>
      <c r="B3769" s="49"/>
    </row>
    <row r="3770" spans="1:7" x14ac:dyDescent="0.2">
      <c r="A3770" s="49"/>
      <c r="B3770" s="49"/>
    </row>
    <row r="3771" spans="1:7" x14ac:dyDescent="0.2">
      <c r="A3771" s="49"/>
      <c r="B3771" s="49"/>
    </row>
    <row r="3772" spans="1:7" x14ac:dyDescent="0.2">
      <c r="A3772" s="49"/>
      <c r="B3772" s="49"/>
    </row>
    <row r="3773" spans="1:7" x14ac:dyDescent="0.2">
      <c r="A3773" s="49"/>
      <c r="B3773" s="49"/>
    </row>
    <row r="3774" spans="1:7" x14ac:dyDescent="0.2">
      <c r="A3774" s="49"/>
      <c r="B3774" s="49"/>
    </row>
    <row r="3775" spans="1:7" x14ac:dyDescent="0.2">
      <c r="A3775" s="49"/>
      <c r="B3775" s="49"/>
    </row>
    <row r="3776" spans="1:7" x14ac:dyDescent="0.2">
      <c r="A3776" s="49"/>
      <c r="B3776" s="49"/>
    </row>
    <row r="3777" spans="1:2" x14ac:dyDescent="0.2">
      <c r="A3777" s="49"/>
      <c r="B3777" s="49"/>
    </row>
    <row r="3778" spans="1:2" x14ac:dyDescent="0.2">
      <c r="A3778" s="49"/>
      <c r="B3778" s="49"/>
    </row>
    <row r="3779" spans="1:2" x14ac:dyDescent="0.2">
      <c r="A3779" s="49"/>
      <c r="B3779" s="49"/>
    </row>
    <row r="3780" spans="1:2" x14ac:dyDescent="0.2">
      <c r="A3780" s="49"/>
      <c r="B3780" s="49"/>
    </row>
    <row r="3781" spans="1:2" x14ac:dyDescent="0.2">
      <c r="A3781" s="49"/>
      <c r="B3781" s="49"/>
    </row>
    <row r="3782" spans="1:2" x14ac:dyDescent="0.2">
      <c r="A3782" s="49"/>
      <c r="B3782" s="49"/>
    </row>
    <row r="3783" spans="1:2" x14ac:dyDescent="0.2">
      <c r="A3783" s="49"/>
      <c r="B3783" s="49"/>
    </row>
    <row r="3784" spans="1:2" x14ac:dyDescent="0.2">
      <c r="A3784" s="49"/>
      <c r="B3784" s="49"/>
    </row>
    <row r="3785" spans="1:2" x14ac:dyDescent="0.2">
      <c r="A3785" s="49"/>
      <c r="B3785" s="49"/>
    </row>
    <row r="3786" spans="1:2" x14ac:dyDescent="0.2">
      <c r="A3786" s="49"/>
      <c r="B3786" s="49"/>
    </row>
    <row r="3787" spans="1:2" x14ac:dyDescent="0.2">
      <c r="A3787" s="49"/>
      <c r="B3787" s="49"/>
    </row>
    <row r="3788" spans="1:2" x14ac:dyDescent="0.2">
      <c r="A3788" s="49"/>
      <c r="B3788" s="49"/>
    </row>
    <row r="3789" spans="1:2" x14ac:dyDescent="0.2">
      <c r="A3789" s="49"/>
      <c r="B3789" s="49"/>
    </row>
    <row r="3790" spans="1:2" x14ac:dyDescent="0.2">
      <c r="A3790" s="49"/>
      <c r="B3790" s="49"/>
    </row>
    <row r="3791" spans="1:2" x14ac:dyDescent="0.2">
      <c r="A3791" s="49"/>
      <c r="B3791" s="49"/>
    </row>
    <row r="3792" spans="1:2" x14ac:dyDescent="0.2">
      <c r="A3792" s="49"/>
      <c r="B3792" s="49"/>
    </row>
    <row r="3793" spans="1:2" x14ac:dyDescent="0.2">
      <c r="A3793" s="49"/>
      <c r="B3793" s="49"/>
    </row>
    <row r="3794" spans="1:2" x14ac:dyDescent="0.2">
      <c r="A3794" s="49"/>
      <c r="B3794" s="49"/>
    </row>
    <row r="3795" spans="1:2" x14ac:dyDescent="0.2">
      <c r="A3795" s="49"/>
      <c r="B3795" s="49"/>
    </row>
    <row r="3796" spans="1:2" x14ac:dyDescent="0.2">
      <c r="A3796" s="49"/>
      <c r="B3796" s="49"/>
    </row>
    <row r="3797" spans="1:2" x14ac:dyDescent="0.2">
      <c r="A3797" s="49"/>
      <c r="B3797" s="49"/>
    </row>
    <row r="3798" spans="1:2" x14ac:dyDescent="0.2">
      <c r="A3798" s="49"/>
      <c r="B3798" s="49"/>
    </row>
    <row r="3799" spans="1:2" x14ac:dyDescent="0.2">
      <c r="A3799" s="49"/>
      <c r="B3799" s="49"/>
    </row>
    <row r="3800" spans="1:2" x14ac:dyDescent="0.2">
      <c r="A3800" s="49"/>
      <c r="B3800" s="49"/>
    </row>
    <row r="3801" spans="1:2" x14ac:dyDescent="0.2">
      <c r="A3801" s="49"/>
      <c r="B3801" s="49"/>
    </row>
    <row r="3802" spans="1:2" x14ac:dyDescent="0.2">
      <c r="A3802" s="49"/>
      <c r="B3802" s="49"/>
    </row>
    <row r="3803" spans="1:2" x14ac:dyDescent="0.2">
      <c r="A3803" s="49"/>
      <c r="B3803" s="49"/>
    </row>
    <row r="3804" spans="1:2" x14ac:dyDescent="0.2">
      <c r="A3804" s="49"/>
      <c r="B3804" s="49"/>
    </row>
    <row r="3805" spans="1:2" x14ac:dyDescent="0.2">
      <c r="A3805" s="49"/>
      <c r="B3805" s="49"/>
    </row>
    <row r="3806" spans="1:2" x14ac:dyDescent="0.2">
      <c r="A3806" s="49"/>
      <c r="B3806" s="49"/>
    </row>
    <row r="3807" spans="1:2" x14ac:dyDescent="0.2">
      <c r="A3807" s="49"/>
      <c r="B3807" s="49"/>
    </row>
    <row r="3808" spans="1:2" x14ac:dyDescent="0.2">
      <c r="A3808" s="49"/>
      <c r="B3808" s="49"/>
    </row>
    <row r="3809" spans="1:7" x14ac:dyDescent="0.2">
      <c r="A3809" s="49"/>
      <c r="B3809" s="49"/>
    </row>
    <row r="3810" spans="1:7" x14ac:dyDescent="0.2">
      <c r="A3810" s="49"/>
      <c r="B3810" s="49"/>
    </row>
    <row r="3811" spans="1:7" x14ac:dyDescent="0.2">
      <c r="A3811" s="49"/>
      <c r="B3811" s="49"/>
    </row>
    <row r="3812" spans="1:7" x14ac:dyDescent="0.2">
      <c r="A3812" s="49"/>
      <c r="B3812" s="49"/>
    </row>
    <row r="3813" spans="1:7" x14ac:dyDescent="0.2">
      <c r="A3813" s="49"/>
      <c r="B3813" s="49"/>
    </row>
    <row r="3814" spans="1:7" x14ac:dyDescent="0.2">
      <c r="A3814" s="49"/>
      <c r="B3814" s="49"/>
    </row>
    <row r="3815" spans="1:7" x14ac:dyDescent="0.2">
      <c r="A3815" s="49"/>
      <c r="B3815" s="49"/>
    </row>
    <row r="3816" spans="1:7" x14ac:dyDescent="0.2">
      <c r="A3816" s="49"/>
      <c r="B3816" s="49"/>
    </row>
    <row r="3817" spans="1:7" x14ac:dyDescent="0.2">
      <c r="A3817" s="49"/>
      <c r="B3817" s="49"/>
    </row>
    <row r="3818" spans="1:7" x14ac:dyDescent="0.2">
      <c r="A3818" s="49"/>
      <c r="B3818" s="49"/>
    </row>
    <row r="3819" spans="1:7" x14ac:dyDescent="0.2">
      <c r="A3819" s="49"/>
      <c r="B3819" s="49"/>
    </row>
    <row r="3820" spans="1:7" x14ac:dyDescent="0.2">
      <c r="A3820" s="49"/>
      <c r="B3820" s="49"/>
    </row>
    <row r="3821" spans="1:7" x14ac:dyDescent="0.2">
      <c r="A3821" s="49"/>
      <c r="B3821" s="49"/>
      <c r="C3821" s="49"/>
      <c r="D3821" s="49"/>
      <c r="E3821" s="49"/>
      <c r="F3821" s="49"/>
      <c r="G3821" s="49"/>
    </row>
    <row r="3822" spans="1:7" x14ac:dyDescent="0.2">
      <c r="A3822" s="49"/>
      <c r="B3822" s="49"/>
    </row>
    <row r="3823" spans="1:7" x14ac:dyDescent="0.2">
      <c r="A3823" s="49"/>
      <c r="B3823" s="49"/>
    </row>
    <row r="3824" spans="1:7" x14ac:dyDescent="0.2">
      <c r="A3824" s="49"/>
      <c r="B3824" s="49"/>
    </row>
    <row r="3825" spans="1:7" x14ac:dyDescent="0.2">
      <c r="A3825" s="49"/>
      <c r="B3825" s="49"/>
    </row>
    <row r="3826" spans="1:7" x14ac:dyDescent="0.2">
      <c r="A3826" s="49"/>
      <c r="B3826" s="49"/>
    </row>
    <row r="3827" spans="1:7" x14ac:dyDescent="0.2">
      <c r="A3827" s="49"/>
      <c r="B3827" s="49"/>
    </row>
    <row r="3828" spans="1:7" x14ac:dyDescent="0.2">
      <c r="A3828" s="49"/>
      <c r="B3828" s="49"/>
    </row>
    <row r="3829" spans="1:7" x14ac:dyDescent="0.2">
      <c r="A3829" s="49"/>
      <c r="B3829" s="49"/>
    </row>
    <row r="3830" spans="1:7" x14ac:dyDescent="0.2">
      <c r="A3830" s="49"/>
      <c r="B3830" s="49"/>
    </row>
    <row r="3831" spans="1:7" x14ac:dyDescent="0.2">
      <c r="A3831" s="49"/>
      <c r="B3831" s="49"/>
    </row>
    <row r="3832" spans="1:7" x14ac:dyDescent="0.2">
      <c r="A3832" s="49"/>
      <c r="B3832" s="49"/>
    </row>
    <row r="3833" spans="1:7" x14ac:dyDescent="0.2">
      <c r="A3833" s="49"/>
      <c r="B3833" s="49"/>
    </row>
    <row r="3834" spans="1:7" x14ac:dyDescent="0.2">
      <c r="A3834" s="49"/>
      <c r="B3834" s="49"/>
    </row>
    <row r="3835" spans="1:7" x14ac:dyDescent="0.2">
      <c r="A3835" s="49"/>
      <c r="B3835" s="49"/>
    </row>
    <row r="3836" spans="1:7" x14ac:dyDescent="0.2">
      <c r="A3836" s="49"/>
      <c r="B3836" s="49"/>
    </row>
    <row r="3837" spans="1:7" x14ac:dyDescent="0.2">
      <c r="A3837" s="49"/>
      <c r="B3837" s="49"/>
    </row>
    <row r="3838" spans="1:7" x14ac:dyDescent="0.2">
      <c r="A3838" s="49"/>
      <c r="B3838" s="49"/>
    </row>
    <row r="3839" spans="1:7" x14ac:dyDescent="0.2">
      <c r="A3839" s="49"/>
      <c r="B3839" s="49"/>
      <c r="C3839" s="49"/>
      <c r="D3839" s="49"/>
      <c r="E3839" s="49"/>
      <c r="F3839" s="49"/>
      <c r="G3839" s="49"/>
    </row>
    <row r="3840" spans="1:7" x14ac:dyDescent="0.2">
      <c r="A3840" s="49"/>
      <c r="B3840" s="49"/>
    </row>
    <row r="3841" spans="1:2" x14ac:dyDescent="0.2">
      <c r="A3841" s="49"/>
      <c r="B3841" s="49"/>
    </row>
    <row r="3842" spans="1:2" x14ac:dyDescent="0.2">
      <c r="A3842" s="49"/>
      <c r="B3842" s="49"/>
    </row>
    <row r="3843" spans="1:2" x14ac:dyDescent="0.2">
      <c r="A3843" s="49"/>
      <c r="B3843" s="49"/>
    </row>
    <row r="3844" spans="1:2" x14ac:dyDescent="0.2">
      <c r="A3844" s="49"/>
      <c r="B3844" s="49"/>
    </row>
    <row r="3845" spans="1:2" x14ac:dyDescent="0.2">
      <c r="A3845" s="49"/>
      <c r="B3845" s="49"/>
    </row>
    <row r="3846" spans="1:2" x14ac:dyDescent="0.2">
      <c r="A3846" s="49"/>
      <c r="B3846" s="49"/>
    </row>
    <row r="3847" spans="1:2" x14ac:dyDescent="0.2">
      <c r="A3847" s="49"/>
      <c r="B3847" s="49"/>
    </row>
    <row r="3848" spans="1:2" x14ac:dyDescent="0.2">
      <c r="A3848" s="49"/>
      <c r="B3848" s="49"/>
    </row>
    <row r="3849" spans="1:2" x14ac:dyDescent="0.2">
      <c r="A3849" s="49"/>
      <c r="B3849" s="49"/>
    </row>
    <row r="3850" spans="1:2" x14ac:dyDescent="0.2">
      <c r="A3850" s="49"/>
      <c r="B3850" s="49"/>
    </row>
    <row r="3851" spans="1:2" x14ac:dyDescent="0.2">
      <c r="A3851" s="49"/>
      <c r="B3851" s="49"/>
    </row>
    <row r="3852" spans="1:2" x14ac:dyDescent="0.2">
      <c r="A3852" s="49"/>
      <c r="B3852" s="49"/>
    </row>
    <row r="3853" spans="1:2" x14ac:dyDescent="0.2">
      <c r="A3853" s="49"/>
      <c r="B3853" s="49"/>
    </row>
    <row r="3854" spans="1:2" x14ac:dyDescent="0.2">
      <c r="A3854" s="49"/>
      <c r="B3854" s="49"/>
    </row>
    <row r="3855" spans="1:2" x14ac:dyDescent="0.2">
      <c r="A3855" s="49"/>
      <c r="B3855" s="49"/>
    </row>
    <row r="3856" spans="1:2" x14ac:dyDescent="0.2">
      <c r="A3856" s="49"/>
      <c r="B3856" s="49"/>
    </row>
    <row r="3857" spans="1:2" x14ac:dyDescent="0.2">
      <c r="A3857" s="49"/>
      <c r="B3857" s="49"/>
    </row>
    <row r="3858" spans="1:2" x14ac:dyDescent="0.2">
      <c r="A3858" s="49"/>
      <c r="B3858" s="49"/>
    </row>
    <row r="3859" spans="1:2" x14ac:dyDescent="0.2">
      <c r="A3859" s="49"/>
      <c r="B3859" s="49"/>
    </row>
    <row r="3860" spans="1:2" x14ac:dyDescent="0.2">
      <c r="A3860" s="49"/>
      <c r="B3860" s="49"/>
    </row>
    <row r="3861" spans="1:2" x14ac:dyDescent="0.2">
      <c r="A3861" s="49"/>
      <c r="B3861" s="49"/>
    </row>
    <row r="3862" spans="1:2" x14ac:dyDescent="0.2">
      <c r="A3862" s="49"/>
      <c r="B3862" s="49"/>
    </row>
    <row r="3863" spans="1:2" x14ac:dyDescent="0.2">
      <c r="A3863" s="49"/>
      <c r="B3863" s="49"/>
    </row>
    <row r="3864" spans="1:2" x14ac:dyDescent="0.2">
      <c r="A3864" s="49"/>
      <c r="B3864" s="49"/>
    </row>
    <row r="3865" spans="1:2" x14ac:dyDescent="0.2">
      <c r="A3865" s="49"/>
      <c r="B3865" s="49"/>
    </row>
    <row r="3866" spans="1:2" x14ac:dyDescent="0.2">
      <c r="A3866" s="49"/>
      <c r="B3866" s="49"/>
    </row>
    <row r="3867" spans="1:2" x14ac:dyDescent="0.2">
      <c r="A3867" s="49"/>
      <c r="B3867" s="49"/>
    </row>
    <row r="3868" spans="1:2" x14ac:dyDescent="0.2">
      <c r="A3868" s="49"/>
      <c r="B3868" s="49"/>
    </row>
    <row r="3869" spans="1:2" x14ac:dyDescent="0.2">
      <c r="A3869" s="49"/>
      <c r="B3869" s="49"/>
    </row>
    <row r="3870" spans="1:2" x14ac:dyDescent="0.2">
      <c r="A3870" s="49"/>
      <c r="B3870" s="49"/>
    </row>
    <row r="3871" spans="1:2" x14ac:dyDescent="0.2">
      <c r="A3871" s="49"/>
      <c r="B3871" s="49"/>
    </row>
    <row r="3872" spans="1:2" x14ac:dyDescent="0.2">
      <c r="A3872" s="49"/>
      <c r="B3872" s="49"/>
    </row>
    <row r="3873" spans="1:2" x14ac:dyDescent="0.2">
      <c r="A3873" s="49"/>
      <c r="B3873" s="49"/>
    </row>
    <row r="3874" spans="1:2" x14ac:dyDescent="0.2">
      <c r="A3874" s="49"/>
      <c r="B3874" s="49"/>
    </row>
    <row r="3875" spans="1:2" x14ac:dyDescent="0.2">
      <c r="A3875" s="49"/>
      <c r="B3875" s="49"/>
    </row>
    <row r="3876" spans="1:2" x14ac:dyDescent="0.2">
      <c r="A3876" s="49"/>
      <c r="B3876" s="49"/>
    </row>
    <row r="3877" spans="1:2" x14ac:dyDescent="0.2">
      <c r="A3877" s="49"/>
      <c r="B3877" s="49"/>
    </row>
    <row r="3878" spans="1:2" x14ac:dyDescent="0.2">
      <c r="A3878" s="49"/>
      <c r="B3878" s="49"/>
    </row>
    <row r="3879" spans="1:2" x14ac:dyDescent="0.2">
      <c r="A3879" s="49"/>
      <c r="B3879" s="49"/>
    </row>
    <row r="3880" spans="1:2" x14ac:dyDescent="0.2">
      <c r="A3880" s="49"/>
      <c r="B3880" s="49"/>
    </row>
    <row r="3881" spans="1:2" x14ac:dyDescent="0.2">
      <c r="A3881" s="49"/>
      <c r="B3881" s="49"/>
    </row>
    <row r="3882" spans="1:2" x14ac:dyDescent="0.2">
      <c r="A3882" s="49"/>
      <c r="B3882" s="49"/>
    </row>
    <row r="3883" spans="1:2" x14ac:dyDescent="0.2">
      <c r="A3883" s="49"/>
      <c r="B3883" s="49"/>
    </row>
    <row r="3884" spans="1:2" x14ac:dyDescent="0.2">
      <c r="A3884" s="49"/>
      <c r="B3884" s="49"/>
    </row>
    <row r="3885" spans="1:2" x14ac:dyDescent="0.2">
      <c r="A3885" s="49"/>
      <c r="B3885" s="49"/>
    </row>
    <row r="3886" spans="1:2" x14ac:dyDescent="0.2">
      <c r="A3886" s="49"/>
      <c r="B3886" s="49"/>
    </row>
    <row r="3887" spans="1:2" x14ac:dyDescent="0.2">
      <c r="A3887" s="49"/>
      <c r="B3887" s="49"/>
    </row>
    <row r="3888" spans="1:2" x14ac:dyDescent="0.2">
      <c r="A3888" s="49"/>
      <c r="B3888" s="49"/>
    </row>
    <row r="3889" spans="1:2" x14ac:dyDescent="0.2">
      <c r="A3889" s="49"/>
      <c r="B3889" s="49"/>
    </row>
    <row r="3890" spans="1:2" x14ac:dyDescent="0.2">
      <c r="A3890" s="49"/>
      <c r="B3890" s="49"/>
    </row>
    <row r="3891" spans="1:2" x14ac:dyDescent="0.2">
      <c r="A3891" s="49"/>
      <c r="B3891" s="49"/>
    </row>
    <row r="3892" spans="1:2" x14ac:dyDescent="0.2">
      <c r="A3892" s="49"/>
      <c r="B3892" s="49"/>
    </row>
    <row r="3893" spans="1:2" x14ac:dyDescent="0.2">
      <c r="A3893" s="49"/>
      <c r="B3893" s="49"/>
    </row>
    <row r="3894" spans="1:2" x14ac:dyDescent="0.2">
      <c r="A3894" s="49"/>
      <c r="B3894" s="49"/>
    </row>
    <row r="3895" spans="1:2" x14ac:dyDescent="0.2">
      <c r="A3895" s="49"/>
      <c r="B3895" s="49"/>
    </row>
    <row r="3896" spans="1:2" x14ac:dyDescent="0.2">
      <c r="A3896" s="49"/>
      <c r="B3896" s="49"/>
    </row>
    <row r="3897" spans="1:2" x14ac:dyDescent="0.2">
      <c r="A3897" s="49"/>
      <c r="B3897" s="49"/>
    </row>
    <row r="3898" spans="1:2" x14ac:dyDescent="0.2">
      <c r="A3898" s="49"/>
      <c r="B3898" s="49"/>
    </row>
    <row r="3899" spans="1:2" x14ac:dyDescent="0.2">
      <c r="A3899" s="49"/>
      <c r="B3899" s="49"/>
    </row>
    <row r="3900" spans="1:2" x14ac:dyDescent="0.2">
      <c r="A3900" s="49"/>
      <c r="B3900" s="49"/>
    </row>
    <row r="3901" spans="1:2" x14ac:dyDescent="0.2">
      <c r="A3901" s="49"/>
      <c r="B3901" s="49"/>
    </row>
    <row r="3902" spans="1:2" x14ac:dyDescent="0.2">
      <c r="A3902" s="49"/>
      <c r="B3902" s="49"/>
    </row>
    <row r="3903" spans="1:2" x14ac:dyDescent="0.2">
      <c r="A3903" s="49"/>
      <c r="B3903" s="49"/>
    </row>
    <row r="3904" spans="1:2" x14ac:dyDescent="0.2">
      <c r="A3904" s="49"/>
      <c r="B3904" s="49"/>
    </row>
    <row r="3905" spans="1:2" x14ac:dyDescent="0.2">
      <c r="A3905" s="49"/>
      <c r="B3905" s="49"/>
    </row>
    <row r="3906" spans="1:2" x14ac:dyDescent="0.2">
      <c r="A3906" s="49"/>
      <c r="B3906" s="49"/>
    </row>
    <row r="3907" spans="1:2" x14ac:dyDescent="0.2">
      <c r="A3907" s="49"/>
      <c r="B3907" s="49"/>
    </row>
    <row r="3908" spans="1:2" x14ac:dyDescent="0.2">
      <c r="A3908" s="49"/>
      <c r="B3908" s="49"/>
    </row>
    <row r="3909" spans="1:2" x14ac:dyDescent="0.2">
      <c r="A3909" s="49"/>
      <c r="B3909" s="49"/>
    </row>
    <row r="3910" spans="1:2" x14ac:dyDescent="0.2">
      <c r="A3910" s="49"/>
      <c r="B3910" s="49"/>
    </row>
    <row r="3911" spans="1:2" x14ac:dyDescent="0.2">
      <c r="A3911" s="49"/>
      <c r="B3911" s="49"/>
    </row>
    <row r="3912" spans="1:2" x14ac:dyDescent="0.2">
      <c r="A3912" s="49"/>
      <c r="B3912" s="49"/>
    </row>
    <row r="3913" spans="1:2" x14ac:dyDescent="0.2">
      <c r="A3913" s="49"/>
      <c r="B3913" s="49"/>
    </row>
    <row r="3914" spans="1:2" x14ac:dyDescent="0.2">
      <c r="A3914" s="49"/>
      <c r="B3914" s="49"/>
    </row>
    <row r="3915" spans="1:2" x14ac:dyDescent="0.2">
      <c r="A3915" s="49"/>
      <c r="B3915" s="49"/>
    </row>
    <row r="3916" spans="1:2" x14ac:dyDescent="0.2">
      <c r="A3916" s="49"/>
      <c r="B3916" s="49"/>
    </row>
    <row r="3917" spans="1:2" x14ac:dyDescent="0.2">
      <c r="A3917" s="49"/>
      <c r="B3917" s="49"/>
    </row>
    <row r="3918" spans="1:2" x14ac:dyDescent="0.2">
      <c r="A3918" s="49"/>
      <c r="B3918" s="49"/>
    </row>
    <row r="3919" spans="1:2" x14ac:dyDescent="0.2">
      <c r="A3919" s="49"/>
      <c r="B3919" s="49"/>
    </row>
    <row r="3920" spans="1:2" x14ac:dyDescent="0.2">
      <c r="A3920" s="49"/>
      <c r="B3920" s="49"/>
    </row>
    <row r="3921" spans="1:2" x14ac:dyDescent="0.2">
      <c r="A3921" s="49"/>
      <c r="B3921" s="49"/>
    </row>
    <row r="3922" spans="1:2" x14ac:dyDescent="0.2">
      <c r="A3922" s="49"/>
      <c r="B3922" s="49"/>
    </row>
    <row r="3923" spans="1:2" x14ac:dyDescent="0.2">
      <c r="A3923" s="49"/>
      <c r="B3923" s="49"/>
    </row>
    <row r="3924" spans="1:2" x14ac:dyDescent="0.2">
      <c r="A3924" s="49"/>
      <c r="B3924" s="49"/>
    </row>
    <row r="3925" spans="1:2" x14ac:dyDescent="0.2">
      <c r="A3925" s="49"/>
      <c r="B3925" s="49"/>
    </row>
    <row r="3926" spans="1:2" x14ac:dyDescent="0.2">
      <c r="A3926" s="49"/>
      <c r="B3926" s="49"/>
    </row>
    <row r="3927" spans="1:2" x14ac:dyDescent="0.2">
      <c r="A3927" s="49"/>
      <c r="B3927" s="49"/>
    </row>
    <row r="3928" spans="1:2" x14ac:dyDescent="0.2">
      <c r="A3928" s="49"/>
      <c r="B3928" s="49"/>
    </row>
    <row r="3929" spans="1:2" x14ac:dyDescent="0.2">
      <c r="A3929" s="49"/>
      <c r="B3929" s="49"/>
    </row>
    <row r="3930" spans="1:2" x14ac:dyDescent="0.2">
      <c r="A3930" s="49"/>
      <c r="B3930" s="49"/>
    </row>
    <row r="3931" spans="1:2" x14ac:dyDescent="0.2">
      <c r="A3931" s="49"/>
      <c r="B3931" s="49"/>
    </row>
    <row r="3932" spans="1:2" x14ac:dyDescent="0.2">
      <c r="A3932" s="49"/>
      <c r="B3932" s="49"/>
    </row>
    <row r="3933" spans="1:2" x14ac:dyDescent="0.2">
      <c r="A3933" s="49"/>
      <c r="B3933" s="49"/>
    </row>
    <row r="3934" spans="1:2" x14ac:dyDescent="0.2">
      <c r="A3934" s="49"/>
      <c r="B3934" s="49"/>
    </row>
    <row r="3935" spans="1:2" x14ac:dyDescent="0.2">
      <c r="A3935" s="49"/>
      <c r="B3935" s="49"/>
    </row>
    <row r="3936" spans="1:2" x14ac:dyDescent="0.2">
      <c r="A3936" s="49"/>
      <c r="B3936" s="49"/>
    </row>
    <row r="3937" spans="1:2" x14ac:dyDescent="0.2">
      <c r="A3937" s="49"/>
      <c r="B3937" s="49"/>
    </row>
    <row r="3938" spans="1:2" x14ac:dyDescent="0.2">
      <c r="A3938" s="49"/>
      <c r="B3938" s="49"/>
    </row>
    <row r="3939" spans="1:2" x14ac:dyDescent="0.2">
      <c r="A3939" s="49"/>
      <c r="B3939" s="49"/>
    </row>
    <row r="3940" spans="1:2" x14ac:dyDescent="0.2">
      <c r="A3940" s="49"/>
      <c r="B3940" s="49"/>
    </row>
    <row r="3941" spans="1:2" x14ac:dyDescent="0.2">
      <c r="A3941" s="49"/>
      <c r="B3941" s="49"/>
    </row>
    <row r="3942" spans="1:2" x14ac:dyDescent="0.2">
      <c r="A3942" s="49"/>
      <c r="B3942" s="49"/>
    </row>
    <row r="3943" spans="1:2" x14ac:dyDescent="0.2">
      <c r="A3943" s="49"/>
      <c r="B3943" s="49"/>
    </row>
    <row r="3944" spans="1:2" x14ac:dyDescent="0.2">
      <c r="A3944" s="49"/>
      <c r="B3944" s="49"/>
    </row>
    <row r="3945" spans="1:2" x14ac:dyDescent="0.2">
      <c r="A3945" s="49"/>
      <c r="B3945" s="49"/>
    </row>
    <row r="3946" spans="1:2" x14ac:dyDescent="0.2">
      <c r="A3946" s="49"/>
      <c r="B3946" s="49"/>
    </row>
    <row r="3947" spans="1:2" x14ac:dyDescent="0.2">
      <c r="A3947" s="49"/>
      <c r="B3947" s="49"/>
    </row>
    <row r="3948" spans="1:2" x14ac:dyDescent="0.2">
      <c r="A3948" s="49"/>
      <c r="B3948" s="49"/>
    </row>
    <row r="3949" spans="1:2" x14ac:dyDescent="0.2">
      <c r="A3949" s="49"/>
      <c r="B3949" s="49"/>
    </row>
    <row r="3950" spans="1:2" x14ac:dyDescent="0.2">
      <c r="A3950" s="49"/>
      <c r="B3950" s="49"/>
    </row>
    <row r="3951" spans="1:2" x14ac:dyDescent="0.2">
      <c r="A3951" s="49"/>
      <c r="B3951" s="49"/>
    </row>
    <row r="3952" spans="1:2" x14ac:dyDescent="0.2">
      <c r="A3952" s="49"/>
      <c r="B3952" s="49"/>
    </row>
    <row r="3953" spans="1:2" x14ac:dyDescent="0.2">
      <c r="A3953" s="49"/>
      <c r="B3953" s="49"/>
    </row>
    <row r="3954" spans="1:2" x14ac:dyDescent="0.2">
      <c r="A3954" s="49"/>
      <c r="B3954" s="49"/>
    </row>
    <row r="3955" spans="1:2" x14ac:dyDescent="0.2">
      <c r="A3955" s="49"/>
      <c r="B3955" s="49"/>
    </row>
    <row r="3956" spans="1:2" x14ac:dyDescent="0.2">
      <c r="A3956" s="49"/>
      <c r="B3956" s="49"/>
    </row>
    <row r="3957" spans="1:2" x14ac:dyDescent="0.2">
      <c r="A3957" s="49"/>
      <c r="B3957" s="49"/>
    </row>
    <row r="3958" spans="1:2" x14ac:dyDescent="0.2">
      <c r="A3958" s="49"/>
      <c r="B3958" s="49"/>
    </row>
    <row r="3959" spans="1:2" x14ac:dyDescent="0.2">
      <c r="A3959" s="49"/>
      <c r="B3959" s="49"/>
    </row>
    <row r="3960" spans="1:2" x14ac:dyDescent="0.2">
      <c r="A3960" s="49"/>
      <c r="B3960" s="49"/>
    </row>
    <row r="3961" spans="1:2" x14ac:dyDescent="0.2">
      <c r="A3961" s="49"/>
      <c r="B3961" s="49"/>
    </row>
    <row r="3962" spans="1:2" x14ac:dyDescent="0.2">
      <c r="A3962" s="49"/>
      <c r="B3962" s="49"/>
    </row>
    <row r="3963" spans="1:2" x14ac:dyDescent="0.2">
      <c r="A3963" s="49"/>
      <c r="B3963" s="49"/>
    </row>
    <row r="3964" spans="1:2" x14ac:dyDescent="0.2">
      <c r="A3964" s="49"/>
      <c r="B3964" s="49"/>
    </row>
    <row r="3965" spans="1:2" x14ac:dyDescent="0.2">
      <c r="A3965" s="49"/>
      <c r="B3965" s="49"/>
    </row>
    <row r="3966" spans="1:2" x14ac:dyDescent="0.2">
      <c r="A3966" s="49"/>
      <c r="B3966" s="49"/>
    </row>
    <row r="3967" spans="1:2" x14ac:dyDescent="0.2">
      <c r="A3967" s="49"/>
      <c r="B3967" s="49"/>
    </row>
    <row r="3968" spans="1:2" x14ac:dyDescent="0.2">
      <c r="A3968" s="49"/>
      <c r="B3968" s="49"/>
    </row>
    <row r="3969" spans="1:2" x14ac:dyDescent="0.2">
      <c r="A3969" s="49"/>
      <c r="B3969" s="49"/>
    </row>
    <row r="3970" spans="1:2" x14ac:dyDescent="0.2">
      <c r="A3970" s="49"/>
      <c r="B3970" s="49"/>
    </row>
    <row r="3971" spans="1:2" x14ac:dyDescent="0.2">
      <c r="A3971" s="49"/>
      <c r="B3971" s="49"/>
    </row>
    <row r="3972" spans="1:2" x14ac:dyDescent="0.2">
      <c r="A3972" s="49"/>
      <c r="B3972" s="49"/>
    </row>
    <row r="3973" spans="1:2" x14ac:dyDescent="0.2">
      <c r="A3973" s="49"/>
      <c r="B3973" s="49"/>
    </row>
    <row r="3974" spans="1:2" x14ac:dyDescent="0.2">
      <c r="A3974" s="49"/>
      <c r="B3974" s="49"/>
    </row>
    <row r="3975" spans="1:2" x14ac:dyDescent="0.2">
      <c r="A3975" s="49"/>
      <c r="B3975" s="49"/>
    </row>
    <row r="3976" spans="1:2" x14ac:dyDescent="0.2">
      <c r="A3976" s="49"/>
      <c r="B3976" s="49"/>
    </row>
    <row r="3977" spans="1:2" x14ac:dyDescent="0.2">
      <c r="A3977" s="49"/>
      <c r="B3977" s="49"/>
    </row>
    <row r="3978" spans="1:2" x14ac:dyDescent="0.2">
      <c r="A3978" s="49"/>
      <c r="B3978" s="49"/>
    </row>
    <row r="3979" spans="1:2" x14ac:dyDescent="0.2">
      <c r="A3979" s="49"/>
      <c r="B3979" s="49"/>
    </row>
    <row r="3980" spans="1:2" x14ac:dyDescent="0.2">
      <c r="A3980" s="49"/>
      <c r="B3980" s="49"/>
    </row>
    <row r="3981" spans="1:2" x14ac:dyDescent="0.2">
      <c r="A3981" s="49"/>
      <c r="B3981" s="49"/>
    </row>
    <row r="3982" spans="1:2" x14ac:dyDescent="0.2">
      <c r="A3982" s="49"/>
      <c r="B3982" s="49"/>
    </row>
    <row r="3983" spans="1:2" x14ac:dyDescent="0.2">
      <c r="A3983" s="49"/>
      <c r="B3983" s="49"/>
    </row>
    <row r="3984" spans="1:2" x14ac:dyDescent="0.2">
      <c r="A3984" s="49"/>
      <c r="B3984" s="49"/>
    </row>
    <row r="3985" spans="1:2" x14ac:dyDescent="0.2">
      <c r="A3985" s="49"/>
      <c r="B3985" s="49"/>
    </row>
    <row r="3986" spans="1:2" x14ac:dyDescent="0.2">
      <c r="A3986" s="49"/>
      <c r="B3986" s="49"/>
    </row>
    <row r="3987" spans="1:2" x14ac:dyDescent="0.2">
      <c r="A3987" s="49"/>
      <c r="B3987" s="49"/>
    </row>
    <row r="3988" spans="1:2" x14ac:dyDescent="0.2">
      <c r="A3988" s="49"/>
      <c r="B3988" s="49"/>
    </row>
    <row r="3989" spans="1:2" x14ac:dyDescent="0.2">
      <c r="A3989" s="49"/>
      <c r="B3989" s="49"/>
    </row>
    <row r="3990" spans="1:2" x14ac:dyDescent="0.2">
      <c r="A3990" s="49"/>
      <c r="B3990" s="49"/>
    </row>
    <row r="3991" spans="1:2" x14ac:dyDescent="0.2">
      <c r="A3991" s="49"/>
      <c r="B3991" s="49"/>
    </row>
    <row r="3992" spans="1:2" x14ac:dyDescent="0.2">
      <c r="A3992" s="49"/>
      <c r="B3992" s="49"/>
    </row>
    <row r="3993" spans="1:2" x14ac:dyDescent="0.2">
      <c r="A3993" s="49"/>
      <c r="B3993" s="49"/>
    </row>
    <row r="3994" spans="1:2" x14ac:dyDescent="0.2">
      <c r="A3994" s="49"/>
      <c r="B3994" s="49"/>
    </row>
    <row r="3995" spans="1:2" x14ac:dyDescent="0.2">
      <c r="A3995" s="49"/>
      <c r="B3995" s="49"/>
    </row>
    <row r="3996" spans="1:2" x14ac:dyDescent="0.2">
      <c r="A3996" s="49"/>
      <c r="B3996" s="49"/>
    </row>
    <row r="3997" spans="1:2" x14ac:dyDescent="0.2">
      <c r="A3997" s="49"/>
      <c r="B3997" s="49"/>
    </row>
    <row r="3998" spans="1:2" x14ac:dyDescent="0.2">
      <c r="A3998" s="49"/>
      <c r="B3998" s="49"/>
    </row>
    <row r="3999" spans="1:2" x14ac:dyDescent="0.2">
      <c r="A3999" s="49"/>
      <c r="B3999" s="49"/>
    </row>
    <row r="4000" spans="1:2" x14ac:dyDescent="0.2">
      <c r="A4000" s="49"/>
      <c r="B4000" s="49"/>
    </row>
    <row r="4001" spans="1:2" x14ac:dyDescent="0.2">
      <c r="A4001" s="49"/>
      <c r="B4001" s="49"/>
    </row>
    <row r="4002" spans="1:2" x14ac:dyDescent="0.2">
      <c r="A4002" s="49"/>
      <c r="B4002" s="49"/>
    </row>
    <row r="4003" spans="1:2" x14ac:dyDescent="0.2">
      <c r="A4003" s="49"/>
      <c r="B4003" s="49"/>
    </row>
    <row r="4004" spans="1:2" x14ac:dyDescent="0.2">
      <c r="A4004" s="49"/>
      <c r="B4004" s="49"/>
    </row>
    <row r="4005" spans="1:2" x14ac:dyDescent="0.2">
      <c r="A4005" s="49"/>
      <c r="B4005" s="49"/>
    </row>
    <row r="4006" spans="1:2" x14ac:dyDescent="0.2">
      <c r="A4006" s="49"/>
      <c r="B4006" s="49"/>
    </row>
    <row r="4007" spans="1:2" x14ac:dyDescent="0.2">
      <c r="A4007" s="49"/>
      <c r="B4007" s="49"/>
    </row>
    <row r="4008" spans="1:2" x14ac:dyDescent="0.2">
      <c r="A4008" s="49"/>
      <c r="B4008" s="49"/>
    </row>
    <row r="4009" spans="1:2" x14ac:dyDescent="0.2">
      <c r="A4009" s="49"/>
      <c r="B4009" s="49"/>
    </row>
    <row r="4010" spans="1:2" x14ac:dyDescent="0.2">
      <c r="A4010" s="49"/>
      <c r="B4010" s="49"/>
    </row>
    <row r="4011" spans="1:2" x14ac:dyDescent="0.2">
      <c r="A4011" s="49"/>
      <c r="B4011" s="49"/>
    </row>
    <row r="4012" spans="1:2" x14ac:dyDescent="0.2">
      <c r="A4012" s="49"/>
      <c r="B4012" s="49"/>
    </row>
    <row r="4013" spans="1:2" x14ac:dyDescent="0.2">
      <c r="A4013" s="49"/>
      <c r="B4013" s="49"/>
    </row>
    <row r="4014" spans="1:2" x14ac:dyDescent="0.2">
      <c r="A4014" s="49"/>
      <c r="B4014" s="49"/>
    </row>
    <row r="4015" spans="1:2" x14ac:dyDescent="0.2">
      <c r="A4015" s="49"/>
      <c r="B4015" s="49"/>
    </row>
    <row r="4016" spans="1:2" x14ac:dyDescent="0.2">
      <c r="A4016" s="49"/>
      <c r="B4016" s="49"/>
    </row>
    <row r="4017" spans="1:2" x14ac:dyDescent="0.2">
      <c r="A4017" s="49"/>
      <c r="B4017" s="49"/>
    </row>
    <row r="4018" spans="1:2" x14ac:dyDescent="0.2">
      <c r="A4018" s="49"/>
      <c r="B4018" s="49"/>
    </row>
    <row r="4019" spans="1:2" x14ac:dyDescent="0.2">
      <c r="A4019" s="49"/>
      <c r="B4019" s="49"/>
    </row>
    <row r="4020" spans="1:2" x14ac:dyDescent="0.2">
      <c r="A4020" s="49"/>
      <c r="B4020" s="49"/>
    </row>
    <row r="4021" spans="1:2" x14ac:dyDescent="0.2">
      <c r="A4021" s="49"/>
      <c r="B4021" s="49"/>
    </row>
    <row r="4022" spans="1:2" x14ac:dyDescent="0.2">
      <c r="A4022" s="49"/>
      <c r="B4022" s="49"/>
    </row>
    <row r="4023" spans="1:2" x14ac:dyDescent="0.2">
      <c r="A4023" s="49"/>
      <c r="B4023" s="49"/>
    </row>
    <row r="4024" spans="1:2" x14ac:dyDescent="0.2">
      <c r="A4024" s="49"/>
      <c r="B4024" s="49"/>
    </row>
    <row r="4025" spans="1:2" x14ac:dyDescent="0.2">
      <c r="A4025" s="49"/>
      <c r="B4025" s="49"/>
    </row>
    <row r="4026" spans="1:2" x14ac:dyDescent="0.2">
      <c r="A4026" s="49"/>
      <c r="B4026" s="49"/>
    </row>
    <row r="4027" spans="1:2" x14ac:dyDescent="0.2">
      <c r="A4027" s="49"/>
      <c r="B4027" s="49"/>
    </row>
    <row r="4028" spans="1:2" x14ac:dyDescent="0.2">
      <c r="A4028" s="49"/>
      <c r="B4028" s="49"/>
    </row>
    <row r="4029" spans="1:2" x14ac:dyDescent="0.2">
      <c r="A4029" s="49"/>
      <c r="B4029" s="49"/>
    </row>
    <row r="4030" spans="1:2" x14ac:dyDescent="0.2">
      <c r="A4030" s="49"/>
      <c r="B4030" s="49"/>
    </row>
    <row r="4031" spans="1:2" x14ac:dyDescent="0.2">
      <c r="A4031" s="49"/>
      <c r="B4031" s="49"/>
    </row>
    <row r="4032" spans="1:2" x14ac:dyDescent="0.2">
      <c r="A4032" s="49"/>
      <c r="B4032" s="49"/>
    </row>
    <row r="4033" spans="1:2" x14ac:dyDescent="0.2">
      <c r="A4033" s="49"/>
      <c r="B4033" s="49"/>
    </row>
    <row r="4034" spans="1:2" x14ac:dyDescent="0.2">
      <c r="A4034" s="49"/>
      <c r="B4034" s="49"/>
    </row>
    <row r="4035" spans="1:2" x14ac:dyDescent="0.2">
      <c r="A4035" s="49"/>
      <c r="B4035" s="49"/>
    </row>
    <row r="4036" spans="1:2" x14ac:dyDescent="0.2">
      <c r="A4036" s="49"/>
      <c r="B4036" s="49"/>
    </row>
    <row r="4037" spans="1:2" x14ac:dyDescent="0.2">
      <c r="A4037" s="49"/>
      <c r="B4037" s="49"/>
    </row>
    <row r="4038" spans="1:2" x14ac:dyDescent="0.2">
      <c r="A4038" s="49"/>
      <c r="B4038" s="49"/>
    </row>
    <row r="4039" spans="1:2" x14ac:dyDescent="0.2">
      <c r="A4039" s="49"/>
      <c r="B4039" s="49"/>
    </row>
    <row r="4040" spans="1:2" x14ac:dyDescent="0.2">
      <c r="A4040" s="49"/>
      <c r="B4040" s="49"/>
    </row>
    <row r="4041" spans="1:2" x14ac:dyDescent="0.2">
      <c r="A4041" s="49"/>
      <c r="B4041" s="49"/>
    </row>
    <row r="4042" spans="1:2" x14ac:dyDescent="0.2">
      <c r="A4042" s="49"/>
      <c r="B4042" s="49"/>
    </row>
    <row r="4043" spans="1:2" x14ac:dyDescent="0.2">
      <c r="A4043" s="49"/>
      <c r="B4043" s="49"/>
    </row>
    <row r="4044" spans="1:2" x14ac:dyDescent="0.2">
      <c r="A4044" s="49"/>
      <c r="B4044" s="49"/>
    </row>
    <row r="4045" spans="1:2" x14ac:dyDescent="0.2">
      <c r="A4045" s="49"/>
      <c r="B4045" s="49"/>
    </row>
    <row r="4046" spans="1:2" x14ac:dyDescent="0.2">
      <c r="A4046" s="49"/>
      <c r="B4046" s="49"/>
    </row>
    <row r="4047" spans="1:2" x14ac:dyDescent="0.2">
      <c r="A4047" s="49"/>
      <c r="B4047" s="49"/>
    </row>
    <row r="4048" spans="1:2" x14ac:dyDescent="0.2">
      <c r="A4048" s="49"/>
      <c r="B4048" s="49"/>
    </row>
    <row r="4049" spans="1:2" x14ac:dyDescent="0.2">
      <c r="A4049" s="49"/>
      <c r="B4049" s="49"/>
    </row>
    <row r="4050" spans="1:2" x14ac:dyDescent="0.2">
      <c r="A4050" s="49"/>
      <c r="B4050" s="49"/>
    </row>
    <row r="4051" spans="1:2" x14ac:dyDescent="0.2">
      <c r="A4051" s="49"/>
      <c r="B4051" s="49"/>
    </row>
    <row r="4052" spans="1:2" x14ac:dyDescent="0.2">
      <c r="A4052" s="49"/>
      <c r="B4052" s="49"/>
    </row>
    <row r="4053" spans="1:2" x14ac:dyDescent="0.2">
      <c r="A4053" s="49"/>
      <c r="B4053" s="49"/>
    </row>
    <row r="4054" spans="1:2" x14ac:dyDescent="0.2">
      <c r="A4054" s="49"/>
      <c r="B4054" s="49"/>
    </row>
    <row r="4055" spans="1:2" x14ac:dyDescent="0.2">
      <c r="A4055" s="49"/>
      <c r="B4055" s="49"/>
    </row>
    <row r="4056" spans="1:2" x14ac:dyDescent="0.2">
      <c r="A4056" s="49"/>
      <c r="B4056" s="49"/>
    </row>
    <row r="4057" spans="1:2" x14ac:dyDescent="0.2">
      <c r="A4057" s="49"/>
      <c r="B4057" s="49"/>
    </row>
    <row r="4058" spans="1:2" x14ac:dyDescent="0.2">
      <c r="A4058" s="49"/>
      <c r="B4058" s="49"/>
    </row>
    <row r="4059" spans="1:2" x14ac:dyDescent="0.2">
      <c r="A4059" s="49"/>
      <c r="B4059" s="49"/>
    </row>
    <row r="4060" spans="1:2" x14ac:dyDescent="0.2">
      <c r="A4060" s="49"/>
      <c r="B4060" s="49"/>
    </row>
    <row r="4061" spans="1:2" x14ac:dyDescent="0.2">
      <c r="A4061" s="49"/>
      <c r="B4061" s="49"/>
    </row>
    <row r="4062" spans="1:2" x14ac:dyDescent="0.2">
      <c r="A4062" s="49"/>
      <c r="B4062" s="49"/>
    </row>
    <row r="4063" spans="1:2" x14ac:dyDescent="0.2">
      <c r="A4063" s="49"/>
      <c r="B4063" s="49"/>
    </row>
    <row r="4069" spans="1:2" x14ac:dyDescent="0.2">
      <c r="A4069" s="49"/>
      <c r="B4069" s="49"/>
    </row>
    <row r="4189" spans="1:2" x14ac:dyDescent="0.2">
      <c r="A4189" s="49"/>
      <c r="B4189" s="49"/>
    </row>
    <row r="4199" spans="1:2" x14ac:dyDescent="0.2">
      <c r="A4199" s="49"/>
      <c r="B4199" s="49"/>
    </row>
    <row r="4202" spans="1:2" x14ac:dyDescent="0.2">
      <c r="A4202" s="49"/>
      <c r="B4202" s="49"/>
    </row>
    <row r="4204" spans="1:2" x14ac:dyDescent="0.2">
      <c r="A4204" s="49"/>
      <c r="B4204" s="49"/>
    </row>
    <row r="4206" spans="1:2" x14ac:dyDescent="0.2">
      <c r="A4206" s="49"/>
      <c r="B4206" s="49"/>
    </row>
    <row r="4207" spans="1:2" x14ac:dyDescent="0.2">
      <c r="A4207" s="49"/>
      <c r="B4207" s="49"/>
    </row>
    <row r="4208" spans="1:2" x14ac:dyDescent="0.2">
      <c r="A4208" s="49"/>
      <c r="B4208" s="49"/>
    </row>
    <row r="4209" spans="1:2" x14ac:dyDescent="0.2">
      <c r="A4209" s="49"/>
      <c r="B4209" s="49"/>
    </row>
    <row r="4210" spans="1:2" x14ac:dyDescent="0.2">
      <c r="A4210" s="49"/>
      <c r="B4210" s="49"/>
    </row>
    <row r="4211" spans="1:2" x14ac:dyDescent="0.2">
      <c r="A4211" s="49"/>
      <c r="B4211" s="49"/>
    </row>
    <row r="4212" spans="1:2" x14ac:dyDescent="0.2">
      <c r="A4212" s="49"/>
      <c r="B4212" s="49"/>
    </row>
    <row r="4213" spans="1:2" x14ac:dyDescent="0.2">
      <c r="A4213" s="49"/>
      <c r="B4213" s="49"/>
    </row>
    <row r="4214" spans="1:2" x14ac:dyDescent="0.2">
      <c r="A4214" s="49"/>
      <c r="B4214" s="49"/>
    </row>
    <row r="4215" spans="1:2" x14ac:dyDescent="0.2">
      <c r="A4215" s="49"/>
      <c r="B4215" s="49"/>
    </row>
    <row r="4216" spans="1:2" x14ac:dyDescent="0.2">
      <c r="A4216" s="49"/>
      <c r="B4216" s="49"/>
    </row>
    <row r="4217" spans="1:2" x14ac:dyDescent="0.2">
      <c r="A4217" s="49"/>
      <c r="B4217" s="49"/>
    </row>
    <row r="4218" spans="1:2" x14ac:dyDescent="0.2">
      <c r="A4218" s="49"/>
      <c r="B4218" s="49"/>
    </row>
    <row r="4220" spans="1:2" x14ac:dyDescent="0.2">
      <c r="A4220" s="49"/>
      <c r="B4220" s="49"/>
    </row>
    <row r="4222" spans="1:2" x14ac:dyDescent="0.2">
      <c r="A4222" s="49"/>
      <c r="B4222" s="49"/>
    </row>
    <row r="4223" spans="1:2" x14ac:dyDescent="0.2">
      <c r="A4223" s="49"/>
      <c r="B4223" s="49"/>
    </row>
    <row r="4226" spans="1:2" x14ac:dyDescent="0.2">
      <c r="A4226" s="49"/>
      <c r="B4226" s="49"/>
    </row>
    <row r="4227" spans="1:2" x14ac:dyDescent="0.2">
      <c r="A4227" s="49"/>
      <c r="B4227" s="49"/>
    </row>
    <row r="4228" spans="1:2" x14ac:dyDescent="0.2">
      <c r="A4228" s="49"/>
      <c r="B4228" s="49"/>
    </row>
    <row r="4229" spans="1:2" x14ac:dyDescent="0.2">
      <c r="A4229" s="49"/>
      <c r="B4229" s="49"/>
    </row>
    <row r="4230" spans="1:2" x14ac:dyDescent="0.2">
      <c r="A4230" s="49"/>
      <c r="B4230" s="49"/>
    </row>
    <row r="4231" spans="1:2" x14ac:dyDescent="0.2">
      <c r="A4231" s="49"/>
      <c r="B4231" s="49"/>
    </row>
    <row r="4232" spans="1:2" x14ac:dyDescent="0.2">
      <c r="A4232" s="49"/>
      <c r="B4232" s="49"/>
    </row>
    <row r="4233" spans="1:2" x14ac:dyDescent="0.2">
      <c r="A4233" s="49"/>
      <c r="B4233" s="49"/>
    </row>
    <row r="4234" spans="1:2" x14ac:dyDescent="0.2">
      <c r="A4234" s="49"/>
      <c r="B4234" s="49"/>
    </row>
    <row r="4242" spans="1:7" x14ac:dyDescent="0.2">
      <c r="A4242" s="49"/>
      <c r="B4242" s="49"/>
      <c r="C4242" s="49"/>
      <c r="D4242" s="49"/>
      <c r="E4242" s="49"/>
      <c r="F4242" s="49"/>
      <c r="G4242" s="49"/>
    </row>
    <row r="4244" spans="1:7" x14ac:dyDescent="0.2">
      <c r="A4244" s="49"/>
      <c r="B4244" s="49"/>
    </row>
    <row r="4246" spans="1:7" x14ac:dyDescent="0.2">
      <c r="A4246" s="49"/>
      <c r="B4246" s="49"/>
    </row>
    <row r="4247" spans="1:7" x14ac:dyDescent="0.2">
      <c r="A4247" s="49"/>
      <c r="B4247" s="49"/>
    </row>
    <row r="4248" spans="1:7" x14ac:dyDescent="0.2">
      <c r="A4248" s="49"/>
      <c r="B4248" s="49"/>
    </row>
    <row r="4249" spans="1:7" x14ac:dyDescent="0.2">
      <c r="A4249" s="49"/>
      <c r="B4249" s="49"/>
    </row>
    <row r="4250" spans="1:7" x14ac:dyDescent="0.2">
      <c r="A4250" s="49"/>
      <c r="B4250" s="49"/>
    </row>
    <row r="4251" spans="1:7" x14ac:dyDescent="0.2">
      <c r="A4251" s="49"/>
      <c r="B4251" s="49"/>
    </row>
    <row r="4252" spans="1:7" x14ac:dyDescent="0.2">
      <c r="A4252" s="49"/>
      <c r="B4252" s="49"/>
    </row>
    <row r="4253" spans="1:7" x14ac:dyDescent="0.2">
      <c r="A4253" s="49"/>
      <c r="B4253" s="49"/>
    </row>
    <row r="4254" spans="1:7" x14ac:dyDescent="0.2">
      <c r="A4254" s="49"/>
      <c r="B4254" s="49"/>
    </row>
    <row r="4255" spans="1:7" x14ac:dyDescent="0.2">
      <c r="A4255" s="49"/>
      <c r="B4255" s="49"/>
      <c r="C4255" s="49"/>
      <c r="D4255" s="49"/>
      <c r="E4255" s="49"/>
      <c r="F4255" s="49"/>
      <c r="G4255" s="49"/>
    </row>
    <row r="4256" spans="1:7" x14ac:dyDescent="0.2">
      <c r="A4256" s="49"/>
      <c r="B4256" s="49"/>
    </row>
    <row r="4257" spans="1:2" x14ac:dyDescent="0.2">
      <c r="A4257" s="49"/>
      <c r="B4257" s="49"/>
    </row>
    <row r="4258" spans="1:2" x14ac:dyDescent="0.2">
      <c r="A4258" s="49"/>
      <c r="B4258" s="49"/>
    </row>
    <row r="4259" spans="1:2" x14ac:dyDescent="0.2">
      <c r="A4259" s="49"/>
      <c r="B4259" s="49"/>
    </row>
    <row r="4260" spans="1:2" x14ac:dyDescent="0.2">
      <c r="A4260" s="49"/>
      <c r="B4260" s="49"/>
    </row>
    <row r="4261" spans="1:2" x14ac:dyDescent="0.2">
      <c r="A4261" s="49"/>
      <c r="B4261" s="49"/>
    </row>
    <row r="4262" spans="1:2" x14ac:dyDescent="0.2">
      <c r="A4262" s="49"/>
      <c r="B4262" s="49"/>
    </row>
    <row r="4263" spans="1:2" x14ac:dyDescent="0.2">
      <c r="A4263" s="49"/>
      <c r="B4263" s="49"/>
    </row>
    <row r="4264" spans="1:2" x14ac:dyDescent="0.2">
      <c r="A4264" s="49"/>
      <c r="B4264" s="49"/>
    </row>
    <row r="4265" spans="1:2" x14ac:dyDescent="0.2">
      <c r="A4265" s="49"/>
      <c r="B4265" s="49"/>
    </row>
    <row r="4266" spans="1:2" x14ac:dyDescent="0.2">
      <c r="A4266" s="49"/>
      <c r="B4266" s="49"/>
    </row>
    <row r="4267" spans="1:2" x14ac:dyDescent="0.2">
      <c r="A4267" s="49"/>
      <c r="B4267" s="49"/>
    </row>
    <row r="4268" spans="1:2" x14ac:dyDescent="0.2">
      <c r="A4268" s="49"/>
      <c r="B4268" s="49"/>
    </row>
    <row r="4269" spans="1:2" x14ac:dyDescent="0.2">
      <c r="A4269" s="49"/>
      <c r="B4269" s="49"/>
    </row>
    <row r="4270" spans="1:2" x14ac:dyDescent="0.2">
      <c r="A4270" s="49"/>
      <c r="B4270" s="49"/>
    </row>
    <row r="4271" spans="1:2" x14ac:dyDescent="0.2">
      <c r="A4271" s="49"/>
      <c r="B4271" s="49"/>
    </row>
    <row r="4272" spans="1:2" x14ac:dyDescent="0.2">
      <c r="A4272" s="49"/>
      <c r="B4272" s="49"/>
    </row>
    <row r="4273" spans="1:2" x14ac:dyDescent="0.2">
      <c r="A4273" s="49"/>
      <c r="B4273" s="49"/>
    </row>
    <row r="4274" spans="1:2" x14ac:dyDescent="0.2">
      <c r="A4274" s="49"/>
      <c r="B4274" s="49"/>
    </row>
    <row r="4275" spans="1:2" x14ac:dyDescent="0.2">
      <c r="A4275" s="49"/>
      <c r="B4275" s="49"/>
    </row>
    <row r="4276" spans="1:2" x14ac:dyDescent="0.2">
      <c r="A4276" s="49"/>
      <c r="B4276" s="49"/>
    </row>
    <row r="4277" spans="1:2" x14ac:dyDescent="0.2">
      <c r="A4277" s="49"/>
      <c r="B4277" s="49"/>
    </row>
    <row r="4278" spans="1:2" x14ac:dyDescent="0.2">
      <c r="A4278" s="49"/>
      <c r="B4278" s="49"/>
    </row>
    <row r="4279" spans="1:2" x14ac:dyDescent="0.2">
      <c r="A4279" s="49"/>
      <c r="B4279" s="49"/>
    </row>
    <row r="4280" spans="1:2" x14ac:dyDescent="0.2">
      <c r="A4280" s="49"/>
      <c r="B4280" s="49"/>
    </row>
    <row r="4281" spans="1:2" x14ac:dyDescent="0.2">
      <c r="A4281" s="49"/>
      <c r="B4281" s="49"/>
    </row>
    <row r="4282" spans="1:2" x14ac:dyDescent="0.2">
      <c r="A4282" s="49"/>
      <c r="B4282" s="49"/>
    </row>
    <row r="4283" spans="1:2" x14ac:dyDescent="0.2">
      <c r="A4283" s="49"/>
      <c r="B4283" s="49"/>
    </row>
    <row r="4284" spans="1:2" x14ac:dyDescent="0.2">
      <c r="A4284" s="49"/>
      <c r="B4284" s="49"/>
    </row>
    <row r="4285" spans="1:2" x14ac:dyDescent="0.2">
      <c r="A4285" s="49"/>
      <c r="B4285" s="49"/>
    </row>
    <row r="4286" spans="1:2" x14ac:dyDescent="0.2">
      <c r="A4286" s="49"/>
      <c r="B4286" s="49"/>
    </row>
    <row r="4287" spans="1:2" x14ac:dyDescent="0.2">
      <c r="A4287" s="49"/>
      <c r="B4287" s="49"/>
    </row>
    <row r="4288" spans="1:2" x14ac:dyDescent="0.2">
      <c r="A4288" s="49"/>
      <c r="B4288" s="49"/>
    </row>
    <row r="4289" spans="1:2" x14ac:dyDescent="0.2">
      <c r="A4289" s="49"/>
      <c r="B4289" s="49"/>
    </row>
    <row r="4290" spans="1:2" x14ac:dyDescent="0.2">
      <c r="A4290" s="49"/>
      <c r="B4290" s="49"/>
    </row>
    <row r="4291" spans="1:2" x14ac:dyDescent="0.2">
      <c r="A4291" s="49"/>
      <c r="B4291" s="49"/>
    </row>
    <row r="4292" spans="1:2" x14ac:dyDescent="0.2">
      <c r="A4292" s="49"/>
      <c r="B4292" s="49"/>
    </row>
    <row r="4293" spans="1:2" x14ac:dyDescent="0.2">
      <c r="A4293" s="49"/>
      <c r="B4293" s="49"/>
    </row>
    <row r="4294" spans="1:2" x14ac:dyDescent="0.2">
      <c r="A4294" s="49"/>
      <c r="B4294" s="49"/>
    </row>
    <row r="4295" spans="1:2" x14ac:dyDescent="0.2">
      <c r="A4295" s="49"/>
      <c r="B4295" s="49"/>
    </row>
    <row r="4296" spans="1:2" x14ac:dyDescent="0.2">
      <c r="A4296" s="49"/>
      <c r="B4296" s="49"/>
    </row>
    <row r="4297" spans="1:2" x14ac:dyDescent="0.2">
      <c r="A4297" s="49"/>
      <c r="B4297" s="49"/>
    </row>
    <row r="4298" spans="1:2" x14ac:dyDescent="0.2">
      <c r="A4298" s="49"/>
      <c r="B4298" s="49"/>
    </row>
    <row r="4299" spans="1:2" x14ac:dyDescent="0.2">
      <c r="A4299" s="49"/>
      <c r="B4299" s="49"/>
    </row>
    <row r="4300" spans="1:2" x14ac:dyDescent="0.2">
      <c r="A4300" s="49"/>
      <c r="B4300" s="49"/>
    </row>
    <row r="4301" spans="1:2" x14ac:dyDescent="0.2">
      <c r="A4301" s="49"/>
      <c r="B4301" s="49"/>
    </row>
    <row r="4302" spans="1:2" x14ac:dyDescent="0.2">
      <c r="A4302" s="49"/>
      <c r="B4302" s="49"/>
    </row>
    <row r="4303" spans="1:2" x14ac:dyDescent="0.2">
      <c r="A4303" s="49"/>
      <c r="B4303" s="49"/>
    </row>
    <row r="4304" spans="1:2" x14ac:dyDescent="0.2">
      <c r="A4304" s="49"/>
      <c r="B4304" s="49"/>
    </row>
    <row r="4305" spans="1:2" x14ac:dyDescent="0.2">
      <c r="A4305" s="49"/>
      <c r="B4305" s="49"/>
    </row>
    <row r="4306" spans="1:2" x14ac:dyDescent="0.2">
      <c r="A4306" s="49"/>
      <c r="B4306" s="49"/>
    </row>
    <row r="4307" spans="1:2" x14ac:dyDescent="0.2">
      <c r="A4307" s="49"/>
      <c r="B4307" s="49"/>
    </row>
    <row r="4308" spans="1:2" x14ac:dyDescent="0.2">
      <c r="A4308" s="49"/>
      <c r="B4308" s="49"/>
    </row>
    <row r="4309" spans="1:2" x14ac:dyDescent="0.2">
      <c r="A4309" s="49"/>
      <c r="B4309" s="49"/>
    </row>
    <row r="4310" spans="1:2" x14ac:dyDescent="0.2">
      <c r="A4310" s="49"/>
      <c r="B4310" s="49"/>
    </row>
    <row r="4311" spans="1:2" x14ac:dyDescent="0.2">
      <c r="A4311" s="49"/>
      <c r="B4311" s="49"/>
    </row>
    <row r="4312" spans="1:2" x14ac:dyDescent="0.2">
      <c r="A4312" s="49"/>
      <c r="B4312" s="49"/>
    </row>
    <row r="4313" spans="1:2" x14ac:dyDescent="0.2">
      <c r="A4313" s="49"/>
      <c r="B4313" s="49"/>
    </row>
    <row r="4314" spans="1:2" x14ac:dyDescent="0.2">
      <c r="A4314" s="49"/>
      <c r="B4314" s="49"/>
    </row>
    <row r="4315" spans="1:2" x14ac:dyDescent="0.2">
      <c r="A4315" s="49"/>
      <c r="B4315" s="49"/>
    </row>
    <row r="4316" spans="1:2" x14ac:dyDescent="0.2">
      <c r="A4316" s="49"/>
      <c r="B4316" s="49"/>
    </row>
    <row r="4317" spans="1:2" x14ac:dyDescent="0.2">
      <c r="A4317" s="49"/>
      <c r="B4317" s="49"/>
    </row>
    <row r="4318" spans="1:2" x14ac:dyDescent="0.2">
      <c r="A4318" s="49"/>
      <c r="B4318" s="49"/>
    </row>
    <row r="4319" spans="1:2" x14ac:dyDescent="0.2">
      <c r="A4319" s="49"/>
      <c r="B4319" s="49"/>
    </row>
    <row r="4320" spans="1:2" x14ac:dyDescent="0.2">
      <c r="A4320" s="49"/>
      <c r="B4320" s="49"/>
    </row>
    <row r="4321" spans="1:2" x14ac:dyDescent="0.2">
      <c r="A4321" s="49"/>
      <c r="B4321" s="49"/>
    </row>
    <row r="4322" spans="1:2" x14ac:dyDescent="0.2">
      <c r="A4322" s="49"/>
      <c r="B4322" s="49"/>
    </row>
    <row r="4323" spans="1:2" x14ac:dyDescent="0.2">
      <c r="A4323" s="49"/>
      <c r="B4323" s="49"/>
    </row>
    <row r="4324" spans="1:2" x14ac:dyDescent="0.2">
      <c r="A4324" s="49"/>
      <c r="B4324" s="49"/>
    </row>
    <row r="4325" spans="1:2" x14ac:dyDescent="0.2">
      <c r="A4325" s="49"/>
      <c r="B4325" s="49"/>
    </row>
    <row r="4326" spans="1:2" x14ac:dyDescent="0.2">
      <c r="A4326" s="49"/>
      <c r="B4326" s="49"/>
    </row>
    <row r="4327" spans="1:2" x14ac:dyDescent="0.2">
      <c r="A4327" s="49"/>
      <c r="B4327" s="49"/>
    </row>
    <row r="4328" spans="1:2" x14ac:dyDescent="0.2">
      <c r="A4328" s="49"/>
      <c r="B4328" s="49"/>
    </row>
    <row r="4329" spans="1:2" x14ac:dyDescent="0.2">
      <c r="A4329" s="49"/>
      <c r="B4329" s="49"/>
    </row>
    <row r="4330" spans="1:2" x14ac:dyDescent="0.2">
      <c r="A4330" s="49"/>
      <c r="B4330" s="49"/>
    </row>
    <row r="4331" spans="1:2" x14ac:dyDescent="0.2">
      <c r="A4331" s="49"/>
      <c r="B4331" s="49"/>
    </row>
    <row r="4332" spans="1:2" x14ac:dyDescent="0.2">
      <c r="A4332" s="49"/>
      <c r="B4332" s="49"/>
    </row>
    <row r="4333" spans="1:2" x14ac:dyDescent="0.2">
      <c r="A4333" s="49"/>
      <c r="B4333" s="49"/>
    </row>
    <row r="4334" spans="1:2" x14ac:dyDescent="0.2">
      <c r="A4334" s="49"/>
      <c r="B4334" s="49"/>
    </row>
    <row r="4335" spans="1:2" x14ac:dyDescent="0.2">
      <c r="A4335" s="49"/>
      <c r="B4335" s="49"/>
    </row>
    <row r="4336" spans="1:2" x14ac:dyDescent="0.2">
      <c r="A4336" s="49"/>
      <c r="B4336" s="49"/>
    </row>
    <row r="4337" spans="1:2" x14ac:dyDescent="0.2">
      <c r="A4337" s="49"/>
      <c r="B4337" s="49"/>
    </row>
    <row r="4338" spans="1:2" x14ac:dyDescent="0.2">
      <c r="A4338" s="49"/>
      <c r="B4338" s="49"/>
    </row>
    <row r="4339" spans="1:2" x14ac:dyDescent="0.2">
      <c r="A4339" s="49"/>
      <c r="B4339" s="49"/>
    </row>
    <row r="4340" spans="1:2" x14ac:dyDescent="0.2">
      <c r="A4340" s="49"/>
      <c r="B4340" s="49"/>
    </row>
    <row r="4341" spans="1:2" x14ac:dyDescent="0.2">
      <c r="A4341" s="49"/>
      <c r="B4341" s="49"/>
    </row>
    <row r="4342" spans="1:2" x14ac:dyDescent="0.2">
      <c r="A4342" s="49"/>
      <c r="B4342" s="49"/>
    </row>
    <row r="4343" spans="1:2" x14ac:dyDescent="0.2">
      <c r="A4343" s="49"/>
      <c r="B4343" s="49"/>
    </row>
    <row r="4344" spans="1:2" x14ac:dyDescent="0.2">
      <c r="A4344" s="49"/>
      <c r="B4344" s="49"/>
    </row>
    <row r="4345" spans="1:2" x14ac:dyDescent="0.2">
      <c r="A4345" s="49"/>
      <c r="B4345" s="49"/>
    </row>
    <row r="4346" spans="1:2" x14ac:dyDescent="0.2">
      <c r="A4346" s="49"/>
      <c r="B4346" s="49"/>
    </row>
    <row r="4347" spans="1:2" x14ac:dyDescent="0.2">
      <c r="A4347" s="49"/>
      <c r="B4347" s="49"/>
    </row>
    <row r="4348" spans="1:2" x14ac:dyDescent="0.2">
      <c r="A4348" s="49"/>
      <c r="B4348" s="49"/>
    </row>
    <row r="4349" spans="1:2" x14ac:dyDescent="0.2">
      <c r="A4349" s="49"/>
      <c r="B4349" s="49"/>
    </row>
    <row r="4350" spans="1:2" x14ac:dyDescent="0.2">
      <c r="A4350" s="49"/>
      <c r="B4350" s="49"/>
    </row>
    <row r="4351" spans="1:2" x14ac:dyDescent="0.2">
      <c r="A4351" s="49"/>
      <c r="B4351" s="49"/>
    </row>
    <row r="4352" spans="1:2" x14ac:dyDescent="0.2">
      <c r="A4352" s="49"/>
      <c r="B4352" s="49"/>
    </row>
    <row r="4353" spans="1:2" x14ac:dyDescent="0.2">
      <c r="A4353" s="49"/>
      <c r="B4353" s="49"/>
    </row>
    <row r="4354" spans="1:2" x14ac:dyDescent="0.2">
      <c r="A4354" s="49"/>
      <c r="B4354" s="49"/>
    </row>
    <row r="4355" spans="1:2" x14ac:dyDescent="0.2">
      <c r="A4355" s="49"/>
      <c r="B4355" s="49"/>
    </row>
    <row r="4356" spans="1:2" x14ac:dyDescent="0.2">
      <c r="A4356" s="49"/>
      <c r="B4356" s="49"/>
    </row>
    <row r="4357" spans="1:2" x14ac:dyDescent="0.2">
      <c r="A4357" s="49"/>
      <c r="B4357" s="49"/>
    </row>
    <row r="4358" spans="1:2" x14ac:dyDescent="0.2">
      <c r="A4358" s="49"/>
      <c r="B4358" s="49"/>
    </row>
    <row r="4359" spans="1:2" x14ac:dyDescent="0.2">
      <c r="A4359" s="49"/>
      <c r="B4359" s="49"/>
    </row>
    <row r="4360" spans="1:2" x14ac:dyDescent="0.2">
      <c r="A4360" s="49"/>
      <c r="B4360" s="49"/>
    </row>
    <row r="4361" spans="1:2" x14ac:dyDescent="0.2">
      <c r="A4361" s="49"/>
      <c r="B4361" s="49"/>
    </row>
    <row r="4362" spans="1:2" x14ac:dyDescent="0.2">
      <c r="A4362" s="49"/>
      <c r="B4362" s="49"/>
    </row>
    <row r="4363" spans="1:2" x14ac:dyDescent="0.2">
      <c r="A4363" s="49"/>
      <c r="B4363" s="49"/>
    </row>
    <row r="4364" spans="1:2" x14ac:dyDescent="0.2">
      <c r="A4364" s="49"/>
      <c r="B4364" s="49"/>
    </row>
    <row r="4365" spans="1:2" x14ac:dyDescent="0.2">
      <c r="A4365" s="49"/>
      <c r="B4365" s="49"/>
    </row>
    <row r="4366" spans="1:2" x14ac:dyDescent="0.2">
      <c r="A4366" s="49"/>
      <c r="B4366" s="49"/>
    </row>
    <row r="4367" spans="1:2" x14ac:dyDescent="0.2">
      <c r="A4367" s="49"/>
      <c r="B4367" s="49"/>
    </row>
    <row r="4368" spans="1:2" x14ac:dyDescent="0.2">
      <c r="A4368" s="49"/>
      <c r="B4368" s="49"/>
    </row>
    <row r="4369" spans="1:2" x14ac:dyDescent="0.2">
      <c r="A4369" s="49"/>
      <c r="B4369" s="49"/>
    </row>
    <row r="4370" spans="1:2" x14ac:dyDescent="0.2">
      <c r="A4370" s="49"/>
      <c r="B4370" s="49"/>
    </row>
    <row r="4371" spans="1:2" x14ac:dyDescent="0.2">
      <c r="A4371" s="49"/>
      <c r="B4371" s="49"/>
    </row>
    <row r="4372" spans="1:2" x14ac:dyDescent="0.2">
      <c r="A4372" s="49"/>
      <c r="B4372" s="49"/>
    </row>
    <row r="4373" spans="1:2" x14ac:dyDescent="0.2">
      <c r="A4373" s="49"/>
      <c r="B4373" s="49"/>
    </row>
    <row r="4374" spans="1:2" x14ac:dyDescent="0.2">
      <c r="A4374" s="49"/>
      <c r="B4374" s="49"/>
    </row>
    <row r="4375" spans="1:2" x14ac:dyDescent="0.2">
      <c r="A4375" s="49"/>
      <c r="B4375" s="49"/>
    </row>
    <row r="4376" spans="1:2" x14ac:dyDescent="0.2">
      <c r="A4376" s="49"/>
      <c r="B4376" s="49"/>
    </row>
    <row r="4377" spans="1:2" x14ac:dyDescent="0.2">
      <c r="A4377" s="49"/>
      <c r="B4377" s="49"/>
    </row>
    <row r="4378" spans="1:2" x14ac:dyDescent="0.2">
      <c r="A4378" s="49"/>
      <c r="B4378" s="49"/>
    </row>
    <row r="4379" spans="1:2" x14ac:dyDescent="0.2">
      <c r="A4379" s="49"/>
      <c r="B4379" s="49"/>
    </row>
    <row r="4380" spans="1:2" x14ac:dyDescent="0.2">
      <c r="A4380" s="49"/>
      <c r="B4380" s="49"/>
    </row>
    <row r="4381" spans="1:2" x14ac:dyDescent="0.2">
      <c r="A4381" s="49"/>
      <c r="B4381" s="49"/>
    </row>
    <row r="4382" spans="1:2" x14ac:dyDescent="0.2">
      <c r="A4382" s="49"/>
      <c r="B4382" s="49"/>
    </row>
    <row r="4383" spans="1:2" x14ac:dyDescent="0.2">
      <c r="A4383" s="49"/>
      <c r="B4383" s="49"/>
    </row>
    <row r="4384" spans="1:2" x14ac:dyDescent="0.2">
      <c r="A4384" s="49"/>
      <c r="B4384" s="49"/>
    </row>
    <row r="4385" spans="1:2" x14ac:dyDescent="0.2">
      <c r="A4385" s="49"/>
      <c r="B4385" s="49"/>
    </row>
    <row r="4386" spans="1:2" x14ac:dyDescent="0.2">
      <c r="A4386" s="49"/>
      <c r="B4386" s="49"/>
    </row>
    <row r="4387" spans="1:2" x14ac:dyDescent="0.2">
      <c r="A4387" s="49"/>
      <c r="B4387" s="49"/>
    </row>
    <row r="4388" spans="1:2" x14ac:dyDescent="0.2">
      <c r="A4388" s="49"/>
      <c r="B4388" s="49"/>
    </row>
    <row r="4389" spans="1:2" x14ac:dyDescent="0.2">
      <c r="A4389" s="49"/>
      <c r="B4389" s="49"/>
    </row>
    <row r="4390" spans="1:2" x14ac:dyDescent="0.2">
      <c r="A4390" s="49"/>
      <c r="B4390" s="49"/>
    </row>
    <row r="4391" spans="1:2" x14ac:dyDescent="0.2">
      <c r="A4391" s="49"/>
      <c r="B4391" s="49"/>
    </row>
    <row r="4392" spans="1:2" x14ac:dyDescent="0.2">
      <c r="A4392" s="49"/>
      <c r="B4392" s="49"/>
    </row>
    <row r="4393" spans="1:2" x14ac:dyDescent="0.2">
      <c r="A4393" s="49"/>
      <c r="B4393" s="49"/>
    </row>
    <row r="4394" spans="1:2" x14ac:dyDescent="0.2">
      <c r="A4394" s="49"/>
      <c r="B4394" s="49"/>
    </row>
    <row r="4395" spans="1:2" x14ac:dyDescent="0.2">
      <c r="A4395" s="49"/>
      <c r="B4395" s="49"/>
    </row>
    <row r="4396" spans="1:2" x14ac:dyDescent="0.2">
      <c r="A4396" s="49"/>
      <c r="B4396" s="49"/>
    </row>
    <row r="4397" spans="1:2" x14ac:dyDescent="0.2">
      <c r="A4397" s="49"/>
      <c r="B4397" s="49"/>
    </row>
    <row r="4398" spans="1:2" x14ac:dyDescent="0.2">
      <c r="A4398" s="49"/>
      <c r="B4398" s="49"/>
    </row>
    <row r="4399" spans="1:2" x14ac:dyDescent="0.2">
      <c r="A4399" s="49"/>
      <c r="B4399" s="49"/>
    </row>
    <row r="4400" spans="1:2" x14ac:dyDescent="0.2">
      <c r="A4400" s="49"/>
      <c r="B4400" s="49"/>
    </row>
    <row r="4401" spans="1:2" x14ac:dyDescent="0.2">
      <c r="A4401" s="49"/>
      <c r="B4401" s="49"/>
    </row>
    <row r="4402" spans="1:2" x14ac:dyDescent="0.2">
      <c r="A4402" s="49"/>
      <c r="B4402" s="49"/>
    </row>
    <row r="4403" spans="1:2" x14ac:dyDescent="0.2">
      <c r="A4403" s="49"/>
      <c r="B4403" s="49"/>
    </row>
    <row r="4404" spans="1:2" x14ac:dyDescent="0.2">
      <c r="A4404" s="49"/>
      <c r="B4404" s="49"/>
    </row>
    <row r="4405" spans="1:2" x14ac:dyDescent="0.2">
      <c r="A4405" s="49"/>
      <c r="B4405" s="49"/>
    </row>
    <row r="4406" spans="1:2" x14ac:dyDescent="0.2">
      <c r="A4406" s="49"/>
      <c r="B4406" s="49"/>
    </row>
    <row r="4407" spans="1:2" x14ac:dyDescent="0.2">
      <c r="A4407" s="49"/>
      <c r="B4407" s="49"/>
    </row>
    <row r="4408" spans="1:2" x14ac:dyDescent="0.2">
      <c r="A4408" s="49"/>
      <c r="B4408" s="49"/>
    </row>
    <row r="4409" spans="1:2" x14ac:dyDescent="0.2">
      <c r="A4409" s="49"/>
      <c r="B4409" s="49"/>
    </row>
    <row r="4410" spans="1:2" x14ac:dyDescent="0.2">
      <c r="A4410" s="49"/>
      <c r="B4410" s="49"/>
    </row>
    <row r="4411" spans="1:2" x14ac:dyDescent="0.2">
      <c r="A4411" s="49"/>
      <c r="B4411" s="49"/>
    </row>
    <row r="4412" spans="1:2" x14ac:dyDescent="0.2">
      <c r="A4412" s="49"/>
      <c r="B4412" s="49"/>
    </row>
    <row r="4413" spans="1:2" x14ac:dyDescent="0.2">
      <c r="A4413" s="49"/>
      <c r="B4413" s="49"/>
    </row>
    <row r="4414" spans="1:2" x14ac:dyDescent="0.2">
      <c r="A4414" s="49"/>
      <c r="B4414" s="49"/>
    </row>
    <row r="4415" spans="1:2" x14ac:dyDescent="0.2">
      <c r="A4415" s="49"/>
      <c r="B4415" s="49"/>
    </row>
    <row r="4416" spans="1:2" x14ac:dyDescent="0.2">
      <c r="A4416" s="49"/>
      <c r="B4416" s="49"/>
    </row>
    <row r="4417" spans="1:2" x14ac:dyDescent="0.2">
      <c r="A4417" s="49"/>
      <c r="B4417" s="49"/>
    </row>
    <row r="4418" spans="1:2" x14ac:dyDescent="0.2">
      <c r="A4418" s="49"/>
      <c r="B4418" s="49"/>
    </row>
    <row r="4419" spans="1:2" x14ac:dyDescent="0.2">
      <c r="A4419" s="49"/>
      <c r="B4419" s="49"/>
    </row>
    <row r="4420" spans="1:2" x14ac:dyDescent="0.2">
      <c r="A4420" s="49"/>
      <c r="B4420" s="49"/>
    </row>
    <row r="4421" spans="1:2" x14ac:dyDescent="0.2">
      <c r="A4421" s="49"/>
      <c r="B4421" s="49"/>
    </row>
    <row r="4422" spans="1:2" x14ac:dyDescent="0.2">
      <c r="A4422" s="49"/>
      <c r="B4422" s="49"/>
    </row>
    <row r="4423" spans="1:2" x14ac:dyDescent="0.2">
      <c r="A4423" s="49"/>
      <c r="B4423" s="49"/>
    </row>
    <row r="4424" spans="1:2" x14ac:dyDescent="0.2">
      <c r="A4424" s="49"/>
      <c r="B4424" s="49"/>
    </row>
    <row r="4425" spans="1:2" x14ac:dyDescent="0.2">
      <c r="A4425" s="49"/>
      <c r="B4425" s="49"/>
    </row>
    <row r="4426" spans="1:2" x14ac:dyDescent="0.2">
      <c r="A4426" s="49"/>
      <c r="B4426" s="49"/>
    </row>
    <row r="4427" spans="1:2" x14ac:dyDescent="0.2">
      <c r="A4427" s="49"/>
      <c r="B4427" s="49"/>
    </row>
    <row r="4428" spans="1:2" x14ac:dyDescent="0.2">
      <c r="A4428" s="49"/>
      <c r="B4428" s="49"/>
    </row>
    <row r="4429" spans="1:2" x14ac:dyDescent="0.2">
      <c r="A4429" s="49"/>
      <c r="B4429" s="49"/>
    </row>
    <row r="4430" spans="1:2" x14ac:dyDescent="0.2">
      <c r="A4430" s="49"/>
      <c r="B4430" s="49"/>
    </row>
    <row r="4432" spans="1:2" x14ac:dyDescent="0.2">
      <c r="A4432" s="49"/>
      <c r="B4432" s="49"/>
    </row>
    <row r="4434" spans="1:2" x14ac:dyDescent="0.2">
      <c r="A4434" s="49"/>
      <c r="B4434" s="49"/>
    </row>
    <row r="4454" spans="1:2" x14ac:dyDescent="0.2">
      <c r="A4454" s="49"/>
      <c r="B4454" s="49"/>
    </row>
    <row r="4455" spans="1:2" x14ac:dyDescent="0.2">
      <c r="A4455" s="49"/>
      <c r="B4455" s="49"/>
    </row>
    <row r="4456" spans="1:2" x14ac:dyDescent="0.2">
      <c r="A4456" s="49"/>
      <c r="B4456" s="49"/>
    </row>
    <row r="4457" spans="1:2" x14ac:dyDescent="0.2">
      <c r="A4457" s="49"/>
      <c r="B4457" s="49"/>
    </row>
    <row r="4458" spans="1:2" x14ac:dyDescent="0.2">
      <c r="A4458" s="49"/>
      <c r="B4458" s="49"/>
    </row>
    <row r="4459" spans="1:2" x14ac:dyDescent="0.2">
      <c r="A4459" s="49"/>
      <c r="B4459" s="49"/>
    </row>
    <row r="4460" spans="1:2" x14ac:dyDescent="0.2">
      <c r="A4460" s="49"/>
      <c r="B4460" s="49"/>
    </row>
    <row r="4461" spans="1:2" x14ac:dyDescent="0.2">
      <c r="A4461" s="49"/>
      <c r="B4461" s="49"/>
    </row>
    <row r="4462" spans="1:2" x14ac:dyDescent="0.2">
      <c r="A4462" s="49"/>
      <c r="B4462" s="49"/>
    </row>
    <row r="4464" spans="1:2" x14ac:dyDescent="0.2">
      <c r="A4464" s="49"/>
      <c r="B4464" s="49"/>
    </row>
    <row r="4466" spans="1:7" x14ac:dyDescent="0.2">
      <c r="A4466" s="49"/>
      <c r="B4466" s="49"/>
    </row>
    <row r="4468" spans="1:7" x14ac:dyDescent="0.2">
      <c r="A4468" s="49"/>
      <c r="B4468" s="49"/>
    </row>
    <row r="4470" spans="1:7" x14ac:dyDescent="0.2">
      <c r="A4470" s="49"/>
      <c r="B4470" s="49"/>
    </row>
    <row r="4472" spans="1:7" x14ac:dyDescent="0.2">
      <c r="A4472" s="49"/>
      <c r="B4472" s="49"/>
    </row>
    <row r="4474" spans="1:7" x14ac:dyDescent="0.2">
      <c r="A4474" s="49"/>
      <c r="B4474" s="49"/>
    </row>
    <row r="4476" spans="1:7" x14ac:dyDescent="0.2">
      <c r="A4476" s="49"/>
      <c r="B4476" s="49"/>
    </row>
    <row r="4478" spans="1:7" x14ac:dyDescent="0.2">
      <c r="A4478" s="49"/>
      <c r="B4478" s="49"/>
    </row>
    <row r="4480" spans="1:7" x14ac:dyDescent="0.2">
      <c r="A4480" s="49"/>
      <c r="B4480" s="49"/>
      <c r="C4480" s="49"/>
      <c r="D4480" s="49"/>
      <c r="E4480" s="49"/>
      <c r="F4480" s="49"/>
      <c r="G4480" s="49"/>
    </row>
    <row r="4481" spans="1:7" x14ac:dyDescent="0.2">
      <c r="A4481" s="49"/>
      <c r="B4481" s="49"/>
      <c r="C4481" s="49"/>
      <c r="D4481" s="49"/>
      <c r="E4481" s="49"/>
      <c r="F4481" s="49"/>
      <c r="G4481" s="49"/>
    </row>
    <row r="4482" spans="1:7" x14ac:dyDescent="0.2">
      <c r="A4482" s="49"/>
      <c r="B4482" s="49"/>
    </row>
    <row r="4483" spans="1:7" x14ac:dyDescent="0.2">
      <c r="A4483" s="49"/>
      <c r="B4483" s="49"/>
    </row>
    <row r="4487" spans="1:7" x14ac:dyDescent="0.2">
      <c r="A4487" s="49"/>
      <c r="B4487" s="49"/>
      <c r="C4487" s="49"/>
      <c r="D4487" s="49"/>
      <c r="E4487" s="49"/>
      <c r="F4487" s="49"/>
      <c r="G4487" s="49"/>
    </row>
    <row r="4488" spans="1:7" x14ac:dyDescent="0.2">
      <c r="A4488" s="49"/>
      <c r="B4488" s="49"/>
    </row>
    <row r="4490" spans="1:7" x14ac:dyDescent="0.2">
      <c r="A4490" s="49"/>
      <c r="B4490" s="49"/>
      <c r="C4490" s="49"/>
      <c r="D4490" s="49"/>
      <c r="E4490" s="49"/>
      <c r="F4490" s="49"/>
      <c r="G4490" s="49"/>
    </row>
    <row r="4491" spans="1:7" x14ac:dyDescent="0.2">
      <c r="A4491" s="49"/>
      <c r="B4491" s="49"/>
    </row>
    <row r="4492" spans="1:7" x14ac:dyDescent="0.2">
      <c r="A4492" s="49"/>
      <c r="B4492" s="49"/>
    </row>
    <row r="4494" spans="1:7" x14ac:dyDescent="0.2">
      <c r="A4494" s="49"/>
      <c r="B4494" s="49"/>
    </row>
    <row r="4496" spans="1:7" x14ac:dyDescent="0.2">
      <c r="A4496" s="49"/>
      <c r="B4496" s="49"/>
    </row>
    <row r="4497" spans="1:2" x14ac:dyDescent="0.2">
      <c r="A4497" s="49"/>
      <c r="B4497" s="49"/>
    </row>
    <row r="4500" spans="1:2" x14ac:dyDescent="0.2">
      <c r="A4500" s="49"/>
      <c r="B4500" s="49"/>
    </row>
    <row r="4502" spans="1:2" x14ac:dyDescent="0.2">
      <c r="A4502" s="49"/>
      <c r="B4502" s="49"/>
    </row>
    <row r="4503" spans="1:2" x14ac:dyDescent="0.2">
      <c r="A4503" s="49"/>
      <c r="B4503" s="49"/>
    </row>
    <row r="4506" spans="1:2" x14ac:dyDescent="0.2">
      <c r="A4506" s="49"/>
      <c r="B4506" s="49"/>
    </row>
    <row r="4508" spans="1:2" x14ac:dyDescent="0.2">
      <c r="A4508" s="49"/>
      <c r="B4508" s="49"/>
    </row>
    <row r="4509" spans="1:2" x14ac:dyDescent="0.2">
      <c r="A4509" s="49"/>
      <c r="B4509" s="49"/>
    </row>
    <row r="4512" spans="1:2" x14ac:dyDescent="0.2">
      <c r="A4512" s="49"/>
      <c r="B4512" s="49"/>
    </row>
    <row r="4514" spans="1:2" x14ac:dyDescent="0.2">
      <c r="A4514" s="49"/>
      <c r="B4514" s="49"/>
    </row>
    <row r="4516" spans="1:2" x14ac:dyDescent="0.2">
      <c r="A4516" s="49"/>
      <c r="B4516" s="49"/>
    </row>
    <row r="4518" spans="1:2" x14ac:dyDescent="0.2">
      <c r="A4518" s="49"/>
      <c r="B4518" s="49"/>
    </row>
    <row r="4519" spans="1:2" x14ac:dyDescent="0.2">
      <c r="A4519" s="49"/>
      <c r="B4519" s="49"/>
    </row>
    <row r="4520" spans="1:2" x14ac:dyDescent="0.2">
      <c r="A4520" s="49"/>
      <c r="B4520" s="49"/>
    </row>
    <row r="4524" spans="1:2" x14ac:dyDescent="0.2">
      <c r="A4524" s="49"/>
      <c r="B4524" s="49"/>
    </row>
    <row r="4526" spans="1:2" x14ac:dyDescent="0.2">
      <c r="A4526" s="49"/>
      <c r="B4526" s="49"/>
    </row>
    <row r="4528" spans="1:2" x14ac:dyDescent="0.2">
      <c r="A4528" s="49"/>
      <c r="B4528" s="49"/>
    </row>
    <row r="4530" spans="1:2" x14ac:dyDescent="0.2">
      <c r="A4530" s="49"/>
      <c r="B4530" s="49"/>
    </row>
    <row r="4532" spans="1:2" x14ac:dyDescent="0.2">
      <c r="A4532" s="49"/>
      <c r="B4532" s="49"/>
    </row>
    <row r="4534" spans="1:2" x14ac:dyDescent="0.2">
      <c r="A4534" s="49"/>
      <c r="B4534" s="49"/>
    </row>
    <row r="4536" spans="1:2" x14ac:dyDescent="0.2">
      <c r="A4536" s="49"/>
      <c r="B4536" s="49"/>
    </row>
    <row r="4538" spans="1:2" x14ac:dyDescent="0.2">
      <c r="A4538" s="49"/>
      <c r="B4538" s="49"/>
    </row>
    <row r="4539" spans="1:2" x14ac:dyDescent="0.2">
      <c r="A4539" s="49"/>
      <c r="B4539" s="49"/>
    </row>
    <row r="4542" spans="1:2" x14ac:dyDescent="0.2">
      <c r="A4542" s="49"/>
      <c r="B4542" s="49"/>
    </row>
    <row r="4544" spans="1:2" x14ac:dyDescent="0.2">
      <c r="A4544" s="49"/>
      <c r="B4544" s="49"/>
    </row>
    <row r="4545" spans="1:2" x14ac:dyDescent="0.2">
      <c r="A4545" s="49"/>
      <c r="B4545" s="49"/>
    </row>
    <row r="4548" spans="1:2" x14ac:dyDescent="0.2">
      <c r="A4548" s="49"/>
      <c r="B4548" s="49"/>
    </row>
    <row r="4550" spans="1:2" x14ac:dyDescent="0.2">
      <c r="A4550" s="49"/>
      <c r="B4550" s="49"/>
    </row>
    <row r="4552" spans="1:2" x14ac:dyDescent="0.2">
      <c r="A4552" s="49"/>
      <c r="B4552" s="49"/>
    </row>
    <row r="4554" spans="1:2" x14ac:dyDescent="0.2">
      <c r="A4554" s="49"/>
      <c r="B4554" s="49"/>
    </row>
    <row r="4556" spans="1:2" x14ac:dyDescent="0.2">
      <c r="A4556" s="49"/>
      <c r="B4556" s="49"/>
    </row>
    <row r="4558" spans="1:2" x14ac:dyDescent="0.2">
      <c r="A4558" s="49"/>
      <c r="B4558" s="49"/>
    </row>
    <row r="4560" spans="1:2" x14ac:dyDescent="0.2">
      <c r="A4560" s="49"/>
      <c r="B4560" s="49"/>
    </row>
    <row r="4562" spans="1:2" x14ac:dyDescent="0.2">
      <c r="A4562" s="49"/>
      <c r="B4562" s="49"/>
    </row>
    <row r="4564" spans="1:2" x14ac:dyDescent="0.2">
      <c r="A4564" s="49"/>
      <c r="B4564" s="49"/>
    </row>
    <row r="4566" spans="1:2" x14ac:dyDescent="0.2">
      <c r="A4566" s="49"/>
      <c r="B4566" s="49"/>
    </row>
    <row r="4567" spans="1:2" x14ac:dyDescent="0.2">
      <c r="A4567" s="49"/>
      <c r="B4567" s="49"/>
    </row>
    <row r="4568" spans="1:2" x14ac:dyDescent="0.2">
      <c r="A4568" s="49"/>
      <c r="B4568" s="49"/>
    </row>
    <row r="4569" spans="1:2" x14ac:dyDescent="0.2">
      <c r="A4569" s="49"/>
      <c r="B4569" s="49"/>
    </row>
    <row r="4574" spans="1:2" x14ac:dyDescent="0.2">
      <c r="A4574" s="49"/>
      <c r="B4574" s="49"/>
    </row>
    <row r="4576" spans="1:2" x14ac:dyDescent="0.2">
      <c r="A4576" s="49"/>
      <c r="B4576" s="49"/>
    </row>
    <row r="4578" spans="1:7" x14ac:dyDescent="0.2">
      <c r="A4578" s="49"/>
      <c r="B4578" s="49"/>
    </row>
    <row r="4579" spans="1:7" x14ac:dyDescent="0.2">
      <c r="A4579" s="49"/>
      <c r="B4579" s="49"/>
    </row>
    <row r="4580" spans="1:7" x14ac:dyDescent="0.2">
      <c r="A4580" s="49"/>
      <c r="B4580" s="49"/>
    </row>
    <row r="4581" spans="1:7" x14ac:dyDescent="0.2">
      <c r="A4581" s="49"/>
      <c r="B4581" s="49"/>
    </row>
    <row r="4586" spans="1:7" x14ac:dyDescent="0.2">
      <c r="A4586" s="49"/>
      <c r="B4586" s="49"/>
    </row>
    <row r="4588" spans="1:7" x14ac:dyDescent="0.2">
      <c r="A4588" s="49"/>
      <c r="B4588" s="49"/>
    </row>
    <row r="4590" spans="1:7" x14ac:dyDescent="0.2">
      <c r="A4590" s="49"/>
      <c r="B4590" s="49"/>
    </row>
    <row r="4591" spans="1:7" x14ac:dyDescent="0.2">
      <c r="A4591" s="49"/>
      <c r="B4591" s="49"/>
      <c r="C4591" s="49"/>
      <c r="D4591" s="49"/>
      <c r="E4591" s="49"/>
      <c r="F4591" s="49"/>
      <c r="G4591" s="49"/>
    </row>
    <row r="4592" spans="1:7" x14ac:dyDescent="0.2">
      <c r="A4592" s="49"/>
      <c r="B4592" s="49"/>
    </row>
    <row r="4594" spans="1:2" x14ac:dyDescent="0.2">
      <c r="A4594" s="49"/>
      <c r="B4594" s="49"/>
    </row>
    <row r="4595" spans="1:2" x14ac:dyDescent="0.2">
      <c r="A4595" s="49"/>
      <c r="B4595" s="49"/>
    </row>
    <row r="4598" spans="1:2" x14ac:dyDescent="0.2">
      <c r="A4598" s="49"/>
      <c r="B4598" s="49"/>
    </row>
    <row r="4599" spans="1:2" x14ac:dyDescent="0.2">
      <c r="A4599" s="49"/>
      <c r="B4599" s="49"/>
    </row>
    <row r="4600" spans="1:2" x14ac:dyDescent="0.2">
      <c r="A4600" s="49"/>
      <c r="B4600" s="49"/>
    </row>
    <row r="4601" spans="1:2" x14ac:dyDescent="0.2">
      <c r="A4601" s="49"/>
      <c r="B4601" s="49"/>
    </row>
    <row r="4604" spans="1:2" x14ac:dyDescent="0.2">
      <c r="A4604" s="49"/>
      <c r="B4604" s="49"/>
    </row>
    <row r="4606" spans="1:2" x14ac:dyDescent="0.2">
      <c r="A4606" s="49"/>
      <c r="B4606" s="49"/>
    </row>
    <row r="4608" spans="1:2" x14ac:dyDescent="0.2">
      <c r="A4608" s="49"/>
      <c r="B4608" s="49"/>
    </row>
    <row r="4609" spans="1:2" x14ac:dyDescent="0.2">
      <c r="A4609" s="49"/>
      <c r="B4609" s="49"/>
    </row>
    <row r="4610" spans="1:2" x14ac:dyDescent="0.2">
      <c r="A4610" s="49"/>
      <c r="B4610" s="49"/>
    </row>
    <row r="4614" spans="1:2" x14ac:dyDescent="0.2">
      <c r="A4614" s="49"/>
      <c r="B4614" s="49"/>
    </row>
    <row r="4616" spans="1:2" x14ac:dyDescent="0.2">
      <c r="A4616" s="49"/>
      <c r="B4616" s="49"/>
    </row>
    <row r="4618" spans="1:2" x14ac:dyDescent="0.2">
      <c r="A4618" s="49"/>
      <c r="B4618" s="49"/>
    </row>
    <row r="4619" spans="1:2" x14ac:dyDescent="0.2">
      <c r="A4619" s="49"/>
      <c r="B4619" s="49"/>
    </row>
    <row r="4622" spans="1:2" x14ac:dyDescent="0.2">
      <c r="A4622" s="49"/>
      <c r="B4622" s="49"/>
    </row>
    <row r="4624" spans="1:2" x14ac:dyDescent="0.2">
      <c r="A4624" s="49"/>
      <c r="B4624" s="49"/>
    </row>
    <row r="4625" spans="1:2" x14ac:dyDescent="0.2">
      <c r="A4625" s="49"/>
      <c r="B4625" s="49"/>
    </row>
    <row r="4628" spans="1:2" x14ac:dyDescent="0.2">
      <c r="A4628" s="49"/>
      <c r="B4628" s="49"/>
    </row>
    <row r="4630" spans="1:2" x14ac:dyDescent="0.2">
      <c r="A4630" s="49"/>
      <c r="B4630" s="49"/>
    </row>
    <row r="4631" spans="1:2" x14ac:dyDescent="0.2">
      <c r="A4631" s="49"/>
      <c r="B4631" s="49"/>
    </row>
    <row r="4632" spans="1:2" x14ac:dyDescent="0.2">
      <c r="A4632" s="49"/>
      <c r="B4632" s="49"/>
    </row>
    <row r="4633" spans="1:2" x14ac:dyDescent="0.2">
      <c r="A4633" s="49"/>
      <c r="B4633" s="49"/>
    </row>
    <row r="4638" spans="1:2" x14ac:dyDescent="0.2">
      <c r="A4638" s="49"/>
      <c r="B4638" s="49"/>
    </row>
    <row r="4640" spans="1:2" x14ac:dyDescent="0.2">
      <c r="A4640" s="49"/>
      <c r="B4640" s="49"/>
    </row>
    <row r="4642" spans="1:7" x14ac:dyDescent="0.2">
      <c r="A4642" s="49"/>
      <c r="B4642" s="49"/>
      <c r="C4642" s="49"/>
      <c r="D4642" s="49"/>
      <c r="E4642" s="49"/>
      <c r="F4642" s="49"/>
      <c r="G4642" s="49"/>
    </row>
    <row r="4644" spans="1:7" x14ac:dyDescent="0.2">
      <c r="A4644" s="49"/>
      <c r="B4644" s="49"/>
    </row>
    <row r="4646" spans="1:7" x14ac:dyDescent="0.2">
      <c r="A4646" s="49"/>
      <c r="B4646" s="49"/>
    </row>
    <row r="4648" spans="1:7" x14ac:dyDescent="0.2">
      <c r="A4648" s="49"/>
      <c r="B4648" s="49"/>
    </row>
    <row r="4649" spans="1:7" x14ac:dyDescent="0.2">
      <c r="A4649" s="49"/>
      <c r="B4649" s="49"/>
    </row>
    <row r="4652" spans="1:7" x14ac:dyDescent="0.2">
      <c r="A4652" s="49"/>
      <c r="B4652" s="49"/>
    </row>
    <row r="4653" spans="1:7" x14ac:dyDescent="0.2">
      <c r="A4653" s="49"/>
      <c r="B4653" s="49"/>
    </row>
    <row r="4654" spans="1:7" x14ac:dyDescent="0.2">
      <c r="A4654" s="49"/>
      <c r="B4654" s="49"/>
    </row>
    <row r="4655" spans="1:7" x14ac:dyDescent="0.2">
      <c r="A4655" s="49"/>
      <c r="B4655" s="49"/>
    </row>
    <row r="4656" spans="1:7" x14ac:dyDescent="0.2">
      <c r="A4656" s="49"/>
      <c r="B4656" s="49"/>
    </row>
    <row r="4657" spans="1:2" x14ac:dyDescent="0.2">
      <c r="A4657" s="49"/>
      <c r="B4657" s="49"/>
    </row>
    <row r="4664" spans="1:2" x14ac:dyDescent="0.2">
      <c r="A4664" s="49"/>
      <c r="B4664" s="49"/>
    </row>
    <row r="4666" spans="1:2" x14ac:dyDescent="0.2">
      <c r="A4666" s="49"/>
      <c r="B4666" s="49"/>
    </row>
    <row r="4667" spans="1:2" x14ac:dyDescent="0.2">
      <c r="A4667" s="49"/>
      <c r="B4667" s="49"/>
    </row>
    <row r="4668" spans="1:2" x14ac:dyDescent="0.2">
      <c r="A4668" s="49"/>
      <c r="B4668" s="49"/>
    </row>
    <row r="4669" spans="1:2" x14ac:dyDescent="0.2">
      <c r="A4669" s="49"/>
      <c r="B4669" s="49"/>
    </row>
    <row r="4674" spans="1:2" x14ac:dyDescent="0.2">
      <c r="A4674" s="49"/>
      <c r="B4674" s="49"/>
    </row>
    <row r="4676" spans="1:2" x14ac:dyDescent="0.2">
      <c r="A4676" s="49"/>
      <c r="B4676" s="49"/>
    </row>
    <row r="4678" spans="1:2" x14ac:dyDescent="0.2">
      <c r="A4678" s="49"/>
      <c r="B4678" s="49"/>
    </row>
    <row r="4679" spans="1:2" x14ac:dyDescent="0.2">
      <c r="A4679" s="49"/>
      <c r="B4679" s="49"/>
    </row>
    <row r="4680" spans="1:2" x14ac:dyDescent="0.2">
      <c r="A4680" s="49"/>
      <c r="B4680" s="49"/>
    </row>
    <row r="4684" spans="1:2" x14ac:dyDescent="0.2">
      <c r="A4684" s="49"/>
      <c r="B4684" s="49"/>
    </row>
    <row r="4686" spans="1:2" x14ac:dyDescent="0.2">
      <c r="A4686" s="49"/>
      <c r="B4686" s="49"/>
    </row>
    <row r="4688" spans="1:2" x14ac:dyDescent="0.2">
      <c r="A4688" s="49"/>
      <c r="B4688" s="49"/>
    </row>
    <row r="4689" spans="1:7" x14ac:dyDescent="0.2">
      <c r="A4689" s="49"/>
      <c r="B4689" s="49"/>
    </row>
    <row r="4692" spans="1:7" x14ac:dyDescent="0.2">
      <c r="A4692" s="49"/>
      <c r="B4692" s="49"/>
    </row>
    <row r="4694" spans="1:7" x14ac:dyDescent="0.2">
      <c r="A4694" s="49"/>
      <c r="B4694" s="49"/>
    </row>
    <row r="4696" spans="1:7" x14ac:dyDescent="0.2">
      <c r="A4696" s="49"/>
      <c r="B4696" s="49"/>
    </row>
    <row r="4698" spans="1:7" x14ac:dyDescent="0.2">
      <c r="A4698" s="49"/>
      <c r="B4698" s="49"/>
    </row>
    <row r="4699" spans="1:7" x14ac:dyDescent="0.2">
      <c r="A4699" s="49"/>
      <c r="B4699" s="49"/>
      <c r="C4699" s="49"/>
      <c r="D4699" s="49"/>
      <c r="E4699" s="49"/>
      <c r="F4699" s="49"/>
      <c r="G4699" s="49"/>
    </row>
    <row r="4700" spans="1:7" x14ac:dyDescent="0.2">
      <c r="A4700" s="49"/>
      <c r="B4700" s="49"/>
    </row>
    <row r="4701" spans="1:7" x14ac:dyDescent="0.2">
      <c r="A4701" s="49"/>
      <c r="B4701" s="49"/>
    </row>
    <row r="4704" spans="1:7" x14ac:dyDescent="0.2">
      <c r="A4704" s="49"/>
      <c r="B4704" s="49"/>
    </row>
    <row r="4705" spans="1:2" x14ac:dyDescent="0.2">
      <c r="A4705" s="49"/>
      <c r="B4705" s="49"/>
    </row>
    <row r="4708" spans="1:2" x14ac:dyDescent="0.2">
      <c r="A4708" s="49"/>
      <c r="B4708" s="49"/>
    </row>
    <row r="4709" spans="1:2" x14ac:dyDescent="0.2">
      <c r="A4709" s="49"/>
      <c r="B4709" s="49"/>
    </row>
    <row r="4710" spans="1:2" x14ac:dyDescent="0.2">
      <c r="A4710" s="49"/>
      <c r="B4710" s="49"/>
    </row>
    <row r="4714" spans="1:2" x14ac:dyDescent="0.2">
      <c r="A4714" s="49"/>
      <c r="B4714" s="49"/>
    </row>
    <row r="4716" spans="1:2" x14ac:dyDescent="0.2">
      <c r="A4716" s="49"/>
      <c r="B4716" s="49"/>
    </row>
    <row r="4718" spans="1:2" x14ac:dyDescent="0.2">
      <c r="A4718" s="49"/>
      <c r="B4718" s="49"/>
    </row>
    <row r="4720" spans="1:2" x14ac:dyDescent="0.2">
      <c r="A4720" s="49"/>
      <c r="B4720" s="49"/>
    </row>
    <row r="4721" spans="1:2" x14ac:dyDescent="0.2">
      <c r="A4721" s="49"/>
      <c r="B4721" s="49"/>
    </row>
    <row r="4722" spans="1:2" x14ac:dyDescent="0.2">
      <c r="A4722" s="49"/>
      <c r="B4722" s="49"/>
    </row>
    <row r="4724" spans="1:2" x14ac:dyDescent="0.2">
      <c r="A4724" s="49"/>
      <c r="B4724" s="49"/>
    </row>
    <row r="4725" spans="1:2" x14ac:dyDescent="0.2">
      <c r="A4725" s="49"/>
      <c r="B4725" s="49"/>
    </row>
    <row r="4726" spans="1:2" x14ac:dyDescent="0.2">
      <c r="A4726" s="49"/>
      <c r="B4726" s="49"/>
    </row>
    <row r="4727" spans="1:2" x14ac:dyDescent="0.2">
      <c r="A4727" s="49"/>
      <c r="B4727" s="49"/>
    </row>
    <row r="4728" spans="1:2" x14ac:dyDescent="0.2">
      <c r="A4728" s="49"/>
      <c r="B4728" s="49"/>
    </row>
    <row r="4730" spans="1:2" x14ac:dyDescent="0.2">
      <c r="A4730" s="49"/>
      <c r="B4730" s="49"/>
    </row>
    <row r="4731" spans="1:2" x14ac:dyDescent="0.2">
      <c r="A4731" s="49"/>
      <c r="B4731" s="49"/>
    </row>
    <row r="4732" spans="1:2" x14ac:dyDescent="0.2">
      <c r="A4732" s="49"/>
      <c r="B4732" s="49"/>
    </row>
    <row r="4734" spans="1:2" x14ac:dyDescent="0.2">
      <c r="A4734" s="49"/>
      <c r="B4734" s="49"/>
    </row>
    <row r="4735" spans="1:2" x14ac:dyDescent="0.2">
      <c r="A4735" s="49"/>
      <c r="B4735" s="49"/>
    </row>
    <row r="4736" spans="1:2" x14ac:dyDescent="0.2">
      <c r="A4736" s="49"/>
      <c r="B4736" s="49"/>
    </row>
    <row r="4738" spans="1:7" x14ac:dyDescent="0.2">
      <c r="A4738" s="49"/>
      <c r="B4738" s="49"/>
      <c r="C4738" s="49"/>
      <c r="D4738" s="49"/>
      <c r="E4738" s="49"/>
      <c r="F4738" s="49"/>
      <c r="G4738" s="49"/>
    </row>
    <row r="4740" spans="1:7" x14ac:dyDescent="0.2">
      <c r="A4740" s="49"/>
      <c r="B4740" s="49"/>
    </row>
    <row r="4742" spans="1:7" x14ac:dyDescent="0.2">
      <c r="A4742" s="49"/>
      <c r="B4742" s="49"/>
    </row>
    <row r="4743" spans="1:7" x14ac:dyDescent="0.2">
      <c r="A4743" s="49"/>
      <c r="B4743" s="49"/>
    </row>
    <row r="4744" spans="1:7" x14ac:dyDescent="0.2">
      <c r="A4744" s="49"/>
      <c r="B4744" s="49"/>
    </row>
    <row r="4746" spans="1:7" x14ac:dyDescent="0.2">
      <c r="A4746" s="49"/>
      <c r="B4746" s="49"/>
    </row>
    <row r="4748" spans="1:7" x14ac:dyDescent="0.2">
      <c r="A4748" s="49"/>
      <c r="B4748" s="49"/>
    </row>
    <row r="4750" spans="1:7" x14ac:dyDescent="0.2">
      <c r="A4750" s="49"/>
      <c r="B4750" s="49"/>
    </row>
    <row r="4751" spans="1:7" x14ac:dyDescent="0.2">
      <c r="A4751" s="49"/>
      <c r="B4751" s="49"/>
    </row>
    <row r="4752" spans="1:7" x14ac:dyDescent="0.2">
      <c r="A4752" s="49"/>
      <c r="B4752" s="49"/>
    </row>
    <row r="4754" spans="1:2" x14ac:dyDescent="0.2">
      <c r="A4754" s="49"/>
      <c r="B4754" s="49"/>
    </row>
    <row r="4755" spans="1:2" x14ac:dyDescent="0.2">
      <c r="A4755" s="49"/>
      <c r="B4755" s="49"/>
    </row>
    <row r="4756" spans="1:2" x14ac:dyDescent="0.2">
      <c r="A4756" s="49"/>
      <c r="B4756" s="49"/>
    </row>
    <row r="4757" spans="1:2" x14ac:dyDescent="0.2">
      <c r="A4757" s="49"/>
      <c r="B4757" s="49"/>
    </row>
    <row r="4758" spans="1:2" x14ac:dyDescent="0.2">
      <c r="A4758" s="49"/>
      <c r="B4758" s="49"/>
    </row>
    <row r="4759" spans="1:2" x14ac:dyDescent="0.2">
      <c r="A4759" s="49"/>
      <c r="B4759" s="49"/>
    </row>
    <row r="4760" spans="1:2" x14ac:dyDescent="0.2">
      <c r="A4760" s="49"/>
      <c r="B4760" s="49"/>
    </row>
    <row r="4761" spans="1:2" x14ac:dyDescent="0.2">
      <c r="A4761" s="49"/>
      <c r="B4761" s="49"/>
    </row>
    <row r="4762" spans="1:2" x14ac:dyDescent="0.2">
      <c r="A4762" s="49"/>
      <c r="B4762" s="49"/>
    </row>
    <row r="4763" spans="1:2" x14ac:dyDescent="0.2">
      <c r="A4763" s="49"/>
      <c r="B4763" s="49"/>
    </row>
    <row r="4764" spans="1:2" x14ac:dyDescent="0.2">
      <c r="A4764" s="49"/>
      <c r="B4764" s="49"/>
    </row>
    <row r="4766" spans="1:2" x14ac:dyDescent="0.2">
      <c r="A4766" s="49"/>
      <c r="B4766" s="49"/>
    </row>
    <row r="4768" spans="1:2" x14ac:dyDescent="0.2">
      <c r="A4768" s="49"/>
      <c r="B4768" s="49"/>
    </row>
    <row r="4769" spans="1:2" x14ac:dyDescent="0.2">
      <c r="A4769" s="49"/>
      <c r="B4769" s="49"/>
    </row>
    <row r="4772" spans="1:2" x14ac:dyDescent="0.2">
      <c r="A4772" s="49"/>
      <c r="B4772" s="49"/>
    </row>
    <row r="4774" spans="1:2" x14ac:dyDescent="0.2">
      <c r="A4774" s="49"/>
      <c r="B4774" s="49"/>
    </row>
    <row r="4776" spans="1:2" x14ac:dyDescent="0.2">
      <c r="A4776" s="49"/>
      <c r="B4776" s="49"/>
    </row>
    <row r="4777" spans="1:2" x14ac:dyDescent="0.2">
      <c r="A4777" s="49"/>
      <c r="B4777" s="49"/>
    </row>
    <row r="4778" spans="1:2" x14ac:dyDescent="0.2">
      <c r="A4778" s="49"/>
      <c r="B4778" s="49"/>
    </row>
    <row r="4782" spans="1:2" x14ac:dyDescent="0.2">
      <c r="A4782" s="49"/>
      <c r="B4782" s="49"/>
    </row>
    <row r="4784" spans="1:2" x14ac:dyDescent="0.2">
      <c r="A4784" s="49"/>
      <c r="B4784" s="49"/>
    </row>
    <row r="4786" spans="1:2" x14ac:dyDescent="0.2">
      <c r="A4786" s="49"/>
      <c r="B4786" s="49"/>
    </row>
    <row r="4788" spans="1:2" x14ac:dyDescent="0.2">
      <c r="A4788" s="49"/>
      <c r="B4788" s="49"/>
    </row>
    <row r="4790" spans="1:2" x14ac:dyDescent="0.2">
      <c r="A4790" s="49"/>
      <c r="B4790" s="49"/>
    </row>
    <row r="4791" spans="1:2" x14ac:dyDescent="0.2">
      <c r="A4791" s="49"/>
      <c r="B4791" s="49"/>
    </row>
    <row r="4792" spans="1:2" x14ac:dyDescent="0.2">
      <c r="A4792" s="49"/>
      <c r="B4792" s="49"/>
    </row>
    <row r="4793" spans="1:2" x14ac:dyDescent="0.2">
      <c r="A4793" s="49"/>
      <c r="B4793" s="49"/>
    </row>
    <row r="4794" spans="1:2" x14ac:dyDescent="0.2">
      <c r="A4794" s="49"/>
      <c r="B4794" s="49"/>
    </row>
    <row r="4795" spans="1:2" x14ac:dyDescent="0.2">
      <c r="A4795" s="49"/>
      <c r="B4795" s="49"/>
    </row>
    <row r="4796" spans="1:2" x14ac:dyDescent="0.2">
      <c r="A4796" s="49"/>
      <c r="B4796" s="49"/>
    </row>
    <row r="4804" spans="1:2" x14ac:dyDescent="0.2">
      <c r="A4804" s="49"/>
      <c r="B4804" s="49"/>
    </row>
    <row r="4806" spans="1:2" x14ac:dyDescent="0.2">
      <c r="A4806" s="49"/>
      <c r="B4806" s="49"/>
    </row>
    <row r="4808" spans="1:2" x14ac:dyDescent="0.2">
      <c r="A4808" s="49"/>
      <c r="B4808" s="49"/>
    </row>
    <row r="4810" spans="1:2" x14ac:dyDescent="0.2">
      <c r="A4810" s="49"/>
      <c r="B4810" s="49"/>
    </row>
    <row r="4811" spans="1:2" x14ac:dyDescent="0.2">
      <c r="A4811" s="49"/>
      <c r="B4811" s="49"/>
    </row>
    <row r="4814" spans="1:2" x14ac:dyDescent="0.2">
      <c r="A4814" s="49"/>
      <c r="B4814" s="49"/>
    </row>
    <row r="4815" spans="1:2" x14ac:dyDescent="0.2">
      <c r="A4815" s="49"/>
      <c r="B4815" s="49"/>
    </row>
    <row r="4816" spans="1:2" x14ac:dyDescent="0.2">
      <c r="A4816" s="49"/>
      <c r="B4816" s="49"/>
    </row>
    <row r="4817" spans="1:2" x14ac:dyDescent="0.2">
      <c r="A4817" s="49"/>
      <c r="B4817" s="49"/>
    </row>
    <row r="4822" spans="1:2" x14ac:dyDescent="0.2">
      <c r="A4822" s="49"/>
      <c r="B4822" s="49"/>
    </row>
    <row r="4824" spans="1:2" x14ac:dyDescent="0.2">
      <c r="A4824" s="49"/>
      <c r="B4824" s="49"/>
    </row>
    <row r="4826" spans="1:2" x14ac:dyDescent="0.2">
      <c r="A4826" s="49"/>
      <c r="B4826" s="49"/>
    </row>
    <row r="4827" spans="1:2" x14ac:dyDescent="0.2">
      <c r="A4827" s="49"/>
      <c r="B4827" s="49"/>
    </row>
    <row r="4828" spans="1:2" x14ac:dyDescent="0.2">
      <c r="A4828" s="49"/>
      <c r="B4828" s="49"/>
    </row>
    <row r="4829" spans="1:2" x14ac:dyDescent="0.2">
      <c r="A4829" s="49"/>
      <c r="B4829" s="49"/>
    </row>
    <row r="4830" spans="1:2" x14ac:dyDescent="0.2">
      <c r="A4830" s="49"/>
      <c r="B4830" s="49"/>
    </row>
    <row r="4836" spans="1:2" x14ac:dyDescent="0.2">
      <c r="A4836" s="49"/>
      <c r="B4836" s="49"/>
    </row>
    <row r="4838" spans="1:2" x14ac:dyDescent="0.2">
      <c r="A4838" s="49"/>
      <c r="B4838" s="49"/>
    </row>
    <row r="4839" spans="1:2" x14ac:dyDescent="0.2">
      <c r="A4839" s="49"/>
      <c r="B4839" s="49"/>
    </row>
    <row r="4842" spans="1:2" x14ac:dyDescent="0.2">
      <c r="A4842" s="49"/>
      <c r="B4842" s="49"/>
    </row>
    <row r="4843" spans="1:2" x14ac:dyDescent="0.2">
      <c r="A4843" s="49"/>
      <c r="B4843" s="49"/>
    </row>
    <row r="4844" spans="1:2" x14ac:dyDescent="0.2">
      <c r="A4844" s="49"/>
      <c r="B4844" s="49"/>
    </row>
    <row r="4845" spans="1:2" x14ac:dyDescent="0.2">
      <c r="A4845" s="49"/>
      <c r="B4845" s="49"/>
    </row>
    <row r="4846" spans="1:2" x14ac:dyDescent="0.2">
      <c r="A4846" s="49"/>
      <c r="B4846" s="49"/>
    </row>
    <row r="4848" spans="1:2" x14ac:dyDescent="0.2">
      <c r="A4848" s="49"/>
      <c r="B4848" s="49"/>
    </row>
    <row r="4849" spans="1:7" x14ac:dyDescent="0.2">
      <c r="A4849" s="49"/>
      <c r="B4849" s="49"/>
    </row>
    <row r="4850" spans="1:7" x14ac:dyDescent="0.2">
      <c r="A4850" s="49"/>
      <c r="B4850" s="49"/>
    </row>
    <row r="4851" spans="1:7" x14ac:dyDescent="0.2">
      <c r="A4851" s="49"/>
      <c r="B4851" s="49"/>
    </row>
    <row r="4854" spans="1:7" x14ac:dyDescent="0.2">
      <c r="A4854" s="49"/>
      <c r="B4854" s="49"/>
    </row>
    <row r="4855" spans="1:7" x14ac:dyDescent="0.2">
      <c r="A4855" s="49"/>
      <c r="B4855" s="49"/>
    </row>
    <row r="4856" spans="1:7" x14ac:dyDescent="0.2">
      <c r="A4856" s="49"/>
      <c r="B4856" s="49"/>
    </row>
    <row r="4857" spans="1:7" x14ac:dyDescent="0.2">
      <c r="A4857" s="49"/>
      <c r="B4857" s="49"/>
    </row>
    <row r="4858" spans="1:7" x14ac:dyDescent="0.2">
      <c r="A4858" s="49"/>
      <c r="B4858" s="49"/>
    </row>
    <row r="4859" spans="1:7" x14ac:dyDescent="0.2">
      <c r="A4859" s="49"/>
      <c r="B4859" s="49"/>
    </row>
    <row r="4861" spans="1:7" x14ac:dyDescent="0.2">
      <c r="A4861" s="49"/>
      <c r="B4861" s="49"/>
      <c r="C4861" s="49"/>
      <c r="D4861" s="49"/>
      <c r="E4861" s="49"/>
      <c r="F4861" s="49"/>
      <c r="G4861" s="49"/>
    </row>
    <row r="4866" spans="1:2" x14ac:dyDescent="0.2">
      <c r="A4866" s="49"/>
      <c r="B4866" s="49"/>
    </row>
    <row r="4867" spans="1:2" x14ac:dyDescent="0.2">
      <c r="A4867" s="49"/>
      <c r="B4867" s="49"/>
    </row>
    <row r="4868" spans="1:2" x14ac:dyDescent="0.2">
      <c r="A4868" s="49"/>
      <c r="B4868" s="49"/>
    </row>
    <row r="4869" spans="1:2" x14ac:dyDescent="0.2">
      <c r="A4869" s="49"/>
      <c r="B4869" s="49"/>
    </row>
    <row r="4870" spans="1:2" x14ac:dyDescent="0.2">
      <c r="A4870" s="49"/>
      <c r="B4870" s="49"/>
    </row>
    <row r="4871" spans="1:2" x14ac:dyDescent="0.2">
      <c r="A4871" s="49"/>
      <c r="B4871" s="49"/>
    </row>
    <row r="4872" spans="1:2" x14ac:dyDescent="0.2">
      <c r="A4872" s="49"/>
      <c r="B4872" s="49"/>
    </row>
    <row r="4873" spans="1:2" x14ac:dyDescent="0.2">
      <c r="A4873" s="49"/>
      <c r="B4873" s="49"/>
    </row>
    <row r="4874" spans="1:2" x14ac:dyDescent="0.2">
      <c r="A4874" s="49"/>
      <c r="B4874" s="49"/>
    </row>
    <row r="4875" spans="1:2" x14ac:dyDescent="0.2">
      <c r="A4875" s="49"/>
      <c r="B4875" s="49"/>
    </row>
    <row r="4876" spans="1:2" x14ac:dyDescent="0.2">
      <c r="A4876" s="49"/>
      <c r="B4876" s="49"/>
    </row>
    <row r="4877" spans="1:2" x14ac:dyDescent="0.2">
      <c r="A4877" s="49"/>
      <c r="B4877" s="49"/>
    </row>
    <row r="4878" spans="1:2" x14ac:dyDescent="0.2">
      <c r="A4878" s="49"/>
      <c r="B4878" s="49"/>
    </row>
    <row r="4879" spans="1:2" x14ac:dyDescent="0.2">
      <c r="A4879" s="49"/>
      <c r="B4879" s="49"/>
    </row>
    <row r="4880" spans="1:2" x14ac:dyDescent="0.2">
      <c r="A4880" s="49"/>
      <c r="B4880" s="49"/>
    </row>
    <row r="4881" spans="1:2" x14ac:dyDescent="0.2">
      <c r="A4881" s="49"/>
      <c r="B4881" s="49"/>
    </row>
    <row r="4882" spans="1:2" x14ac:dyDescent="0.2">
      <c r="A4882" s="49"/>
      <c r="B4882" s="49"/>
    </row>
    <row r="4883" spans="1:2" x14ac:dyDescent="0.2">
      <c r="A4883" s="49"/>
      <c r="B4883" s="49"/>
    </row>
    <row r="4884" spans="1:2" x14ac:dyDescent="0.2">
      <c r="A4884" s="49"/>
      <c r="B4884" s="49"/>
    </row>
    <row r="4885" spans="1:2" x14ac:dyDescent="0.2">
      <c r="A4885" s="49"/>
      <c r="B4885" s="49"/>
    </row>
    <row r="4886" spans="1:2" x14ac:dyDescent="0.2">
      <c r="A4886" s="49"/>
      <c r="B4886" s="49"/>
    </row>
    <row r="4887" spans="1:2" x14ac:dyDescent="0.2">
      <c r="A4887" s="49"/>
      <c r="B4887" s="49"/>
    </row>
    <row r="4888" spans="1:2" x14ac:dyDescent="0.2">
      <c r="A4888" s="49"/>
      <c r="B4888" s="49"/>
    </row>
    <row r="4889" spans="1:2" x14ac:dyDescent="0.2">
      <c r="A4889" s="49"/>
      <c r="B4889" s="49"/>
    </row>
    <row r="4890" spans="1:2" x14ac:dyDescent="0.2">
      <c r="A4890" s="49"/>
      <c r="B4890" s="49"/>
    </row>
    <row r="4891" spans="1:2" x14ac:dyDescent="0.2">
      <c r="A4891" s="49"/>
      <c r="B4891" s="49"/>
    </row>
    <row r="4892" spans="1:2" x14ac:dyDescent="0.2">
      <c r="A4892" s="49"/>
      <c r="B4892" s="49"/>
    </row>
    <row r="4893" spans="1:2" x14ac:dyDescent="0.2">
      <c r="A4893" s="49"/>
      <c r="B4893" s="49"/>
    </row>
    <row r="4894" spans="1:2" x14ac:dyDescent="0.2">
      <c r="A4894" s="49"/>
      <c r="B4894" s="49"/>
    </row>
    <row r="4895" spans="1:2" x14ac:dyDescent="0.2">
      <c r="A4895" s="49"/>
      <c r="B4895" s="49"/>
    </row>
    <row r="4896" spans="1:2" x14ac:dyDescent="0.2">
      <c r="A4896" s="49"/>
      <c r="B4896" s="49"/>
    </row>
    <row r="4897" spans="1:2" x14ac:dyDescent="0.2">
      <c r="A4897" s="49"/>
      <c r="B4897" s="49"/>
    </row>
    <row r="4898" spans="1:2" x14ac:dyDescent="0.2">
      <c r="A4898" s="49"/>
      <c r="B4898" s="49"/>
    </row>
    <row r="4899" spans="1:2" x14ac:dyDescent="0.2">
      <c r="A4899" s="49"/>
      <c r="B4899" s="49"/>
    </row>
    <row r="4900" spans="1:2" x14ac:dyDescent="0.2">
      <c r="A4900" s="49"/>
      <c r="B4900" s="49"/>
    </row>
    <row r="4901" spans="1:2" x14ac:dyDescent="0.2">
      <c r="A4901" s="49"/>
      <c r="B4901" s="49"/>
    </row>
    <row r="4902" spans="1:2" x14ac:dyDescent="0.2">
      <c r="A4902" s="49"/>
      <c r="B4902" s="49"/>
    </row>
    <row r="4903" spans="1:2" x14ac:dyDescent="0.2">
      <c r="A4903" s="49"/>
      <c r="B4903" s="49"/>
    </row>
    <row r="4904" spans="1:2" x14ac:dyDescent="0.2">
      <c r="A4904" s="49"/>
      <c r="B4904" s="49"/>
    </row>
    <row r="4905" spans="1:2" x14ac:dyDescent="0.2">
      <c r="A4905" s="49"/>
      <c r="B4905" s="49"/>
    </row>
    <row r="4906" spans="1:2" x14ac:dyDescent="0.2">
      <c r="A4906" s="49"/>
      <c r="B4906" s="49"/>
    </row>
    <row r="4907" spans="1:2" x14ac:dyDescent="0.2">
      <c r="A4907" s="49"/>
      <c r="B4907" s="49"/>
    </row>
    <row r="4908" spans="1:2" x14ac:dyDescent="0.2">
      <c r="A4908" s="49"/>
      <c r="B4908" s="49"/>
    </row>
    <row r="4909" spans="1:2" x14ac:dyDescent="0.2">
      <c r="A4909" s="49"/>
      <c r="B4909" s="49"/>
    </row>
    <row r="4910" spans="1:2" x14ac:dyDescent="0.2">
      <c r="A4910" s="49"/>
      <c r="B4910" s="49"/>
    </row>
    <row r="4912" spans="1:2" x14ac:dyDescent="0.2">
      <c r="A4912" s="49"/>
      <c r="B4912" s="49"/>
    </row>
    <row r="4914" spans="1:2" x14ac:dyDescent="0.2">
      <c r="A4914" s="49"/>
      <c r="B4914" s="49"/>
    </row>
    <row r="4915" spans="1:2" x14ac:dyDescent="0.2">
      <c r="A4915" s="49"/>
      <c r="B4915" s="49"/>
    </row>
    <row r="4916" spans="1:2" x14ac:dyDescent="0.2">
      <c r="A4916" s="49"/>
      <c r="B4916" s="49"/>
    </row>
    <row r="4917" spans="1:2" x14ac:dyDescent="0.2">
      <c r="A4917" s="49"/>
      <c r="B4917" s="49"/>
    </row>
    <row r="4918" spans="1:2" x14ac:dyDescent="0.2">
      <c r="A4918" s="49"/>
      <c r="B4918" s="49"/>
    </row>
    <row r="4919" spans="1:2" x14ac:dyDescent="0.2">
      <c r="A4919" s="49"/>
      <c r="B4919" s="49"/>
    </row>
    <row r="4920" spans="1:2" x14ac:dyDescent="0.2">
      <c r="A4920" s="49"/>
      <c r="B4920" s="49"/>
    </row>
    <row r="4921" spans="1:2" x14ac:dyDescent="0.2">
      <c r="A4921" s="49"/>
      <c r="B4921" s="49"/>
    </row>
    <row r="4922" spans="1:2" x14ac:dyDescent="0.2">
      <c r="A4922" s="49"/>
      <c r="B4922" s="49"/>
    </row>
    <row r="4924" spans="1:2" x14ac:dyDescent="0.2">
      <c r="A4924" s="49"/>
      <c r="B4924" s="49"/>
    </row>
    <row r="4925" spans="1:2" x14ac:dyDescent="0.2">
      <c r="A4925" s="49"/>
      <c r="B4925" s="49"/>
    </row>
    <row r="4926" spans="1:2" x14ac:dyDescent="0.2">
      <c r="A4926" s="49"/>
      <c r="B4926" s="49"/>
    </row>
    <row r="4927" spans="1:2" x14ac:dyDescent="0.2">
      <c r="A4927" s="49"/>
      <c r="B4927" s="49"/>
    </row>
    <row r="4928" spans="1:2" x14ac:dyDescent="0.2">
      <c r="A4928" s="49"/>
      <c r="B4928" s="49"/>
    </row>
    <row r="4929" spans="1:2" x14ac:dyDescent="0.2">
      <c r="A4929" s="49"/>
      <c r="B4929" s="49"/>
    </row>
    <row r="4930" spans="1:2" x14ac:dyDescent="0.2">
      <c r="A4930" s="49"/>
      <c r="B4930" s="49"/>
    </row>
    <row r="4931" spans="1:2" x14ac:dyDescent="0.2">
      <c r="A4931" s="49"/>
      <c r="B4931" s="49"/>
    </row>
    <row r="4932" spans="1:2" x14ac:dyDescent="0.2">
      <c r="A4932" s="49"/>
      <c r="B4932" s="49"/>
    </row>
    <row r="4933" spans="1:2" x14ac:dyDescent="0.2">
      <c r="A4933" s="49"/>
      <c r="B4933" s="49"/>
    </row>
    <row r="4934" spans="1:2" x14ac:dyDescent="0.2">
      <c r="A4934" s="49"/>
      <c r="B4934" s="49"/>
    </row>
    <row r="4935" spans="1:2" x14ac:dyDescent="0.2">
      <c r="A4935" s="49"/>
      <c r="B4935" s="49"/>
    </row>
    <row r="4936" spans="1:2" x14ac:dyDescent="0.2">
      <c r="A4936" s="49"/>
      <c r="B4936" s="49"/>
    </row>
    <row r="4938" spans="1:2" x14ac:dyDescent="0.2">
      <c r="A4938" s="49"/>
      <c r="B4938" s="49"/>
    </row>
    <row r="4940" spans="1:2" x14ac:dyDescent="0.2">
      <c r="A4940" s="49"/>
      <c r="B4940" s="49"/>
    </row>
    <row r="4941" spans="1:2" x14ac:dyDescent="0.2">
      <c r="A4941" s="49"/>
      <c r="B4941" s="49"/>
    </row>
    <row r="4942" spans="1:2" x14ac:dyDescent="0.2">
      <c r="A4942" s="49"/>
      <c r="B4942" s="49"/>
    </row>
    <row r="4943" spans="1:2" x14ac:dyDescent="0.2">
      <c r="A4943" s="49"/>
      <c r="B4943" s="49"/>
    </row>
    <row r="4944" spans="1:2" x14ac:dyDescent="0.2">
      <c r="A4944" s="49"/>
      <c r="B4944" s="49"/>
    </row>
    <row r="4945" spans="1:2" x14ac:dyDescent="0.2">
      <c r="A4945" s="49"/>
      <c r="B4945" s="49"/>
    </row>
    <row r="4946" spans="1:2" x14ac:dyDescent="0.2">
      <c r="A4946" s="49"/>
      <c r="B4946" s="49"/>
    </row>
    <row r="4947" spans="1:2" x14ac:dyDescent="0.2">
      <c r="A4947" s="49"/>
      <c r="B4947" s="49"/>
    </row>
    <row r="4948" spans="1:2" x14ac:dyDescent="0.2">
      <c r="A4948" s="49"/>
      <c r="B4948" s="49"/>
    </row>
    <row r="4949" spans="1:2" x14ac:dyDescent="0.2">
      <c r="A4949" s="49"/>
      <c r="B4949" s="49"/>
    </row>
    <row r="4960" spans="1:2" x14ac:dyDescent="0.2">
      <c r="A4960" s="49"/>
      <c r="B4960" s="49"/>
    </row>
    <row r="4962" spans="1:2" x14ac:dyDescent="0.2">
      <c r="A4962" s="49"/>
      <c r="B4962" s="49"/>
    </row>
    <row r="4964" spans="1:2" x14ac:dyDescent="0.2">
      <c r="A4964" s="49"/>
      <c r="B4964" s="49"/>
    </row>
    <row r="4966" spans="1:2" x14ac:dyDescent="0.2">
      <c r="A4966" s="49"/>
      <c r="B4966" s="49"/>
    </row>
    <row r="4968" spans="1:2" x14ac:dyDescent="0.2">
      <c r="A4968" s="49"/>
      <c r="B4968" s="49"/>
    </row>
    <row r="4969" spans="1:2" x14ac:dyDescent="0.2">
      <c r="A4969" s="49"/>
      <c r="B4969" s="49"/>
    </row>
    <row r="4972" spans="1:2" x14ac:dyDescent="0.2">
      <c r="A4972" s="49"/>
      <c r="B4972" s="49"/>
    </row>
    <row r="4973" spans="1:2" x14ac:dyDescent="0.2">
      <c r="A4973" s="49"/>
      <c r="B4973" s="49"/>
    </row>
    <row r="4976" spans="1:2" x14ac:dyDescent="0.2">
      <c r="A4976" s="49"/>
      <c r="B4976" s="49"/>
    </row>
    <row r="4978" spans="1:2" x14ac:dyDescent="0.2">
      <c r="A4978" s="49"/>
      <c r="B4978" s="49"/>
    </row>
    <row r="4979" spans="1:2" x14ac:dyDescent="0.2">
      <c r="A4979" s="49"/>
      <c r="B4979" s="49"/>
    </row>
    <row r="4980" spans="1:2" x14ac:dyDescent="0.2">
      <c r="A4980" s="49"/>
      <c r="B4980" s="49"/>
    </row>
    <row r="4981" spans="1:2" x14ac:dyDescent="0.2">
      <c r="A4981" s="49"/>
      <c r="B4981" s="49"/>
    </row>
    <row r="4982" spans="1:2" x14ac:dyDescent="0.2">
      <c r="A4982" s="49"/>
      <c r="B4982" s="49"/>
    </row>
    <row r="4984" spans="1:2" x14ac:dyDescent="0.2">
      <c r="A4984" s="49"/>
      <c r="B4984" s="49"/>
    </row>
    <row r="4985" spans="1:2" x14ac:dyDescent="0.2">
      <c r="A4985" s="49"/>
      <c r="B4985" s="49"/>
    </row>
    <row r="4986" spans="1:2" x14ac:dyDescent="0.2">
      <c r="A4986" s="49"/>
      <c r="B4986" s="49"/>
    </row>
    <row r="4990" spans="1:2" x14ac:dyDescent="0.2">
      <c r="A4990" s="49"/>
      <c r="B4990" s="49"/>
    </row>
    <row r="4992" spans="1:2" x14ac:dyDescent="0.2">
      <c r="A4992" s="49"/>
      <c r="B4992" s="49"/>
    </row>
    <row r="4993" spans="1:2" x14ac:dyDescent="0.2">
      <c r="A4993" s="49"/>
      <c r="B4993" s="49"/>
    </row>
    <row r="4994" spans="1:2" x14ac:dyDescent="0.2">
      <c r="A4994" s="49"/>
      <c r="B4994" s="49"/>
    </row>
    <row r="4995" spans="1:2" x14ac:dyDescent="0.2">
      <c r="A4995" s="49"/>
      <c r="B4995" s="49"/>
    </row>
    <row r="4996" spans="1:2" x14ac:dyDescent="0.2">
      <c r="A4996" s="49"/>
      <c r="B4996" s="49"/>
    </row>
    <row r="4997" spans="1:2" x14ac:dyDescent="0.2">
      <c r="A4997" s="49"/>
      <c r="B4997" s="49"/>
    </row>
    <row r="4998" spans="1:2" x14ac:dyDescent="0.2">
      <c r="A4998" s="49"/>
      <c r="B4998" s="49"/>
    </row>
    <row r="4999" spans="1:2" x14ac:dyDescent="0.2">
      <c r="A4999" s="49"/>
      <c r="B4999" s="49"/>
    </row>
    <row r="5000" spans="1:2" x14ac:dyDescent="0.2">
      <c r="A5000" s="49"/>
      <c r="B5000" s="49"/>
    </row>
    <row r="5002" spans="1:2" x14ac:dyDescent="0.2">
      <c r="A5002" s="49"/>
      <c r="B5002" s="49"/>
    </row>
    <row r="5003" spans="1:2" x14ac:dyDescent="0.2">
      <c r="A5003" s="49"/>
      <c r="B5003" s="49"/>
    </row>
    <row r="5004" spans="1:2" x14ac:dyDescent="0.2">
      <c r="A5004" s="49"/>
      <c r="B5004" s="49"/>
    </row>
    <row r="5005" spans="1:2" x14ac:dyDescent="0.2">
      <c r="A5005" s="49"/>
      <c r="B5005" s="49"/>
    </row>
    <row r="5010" spans="1:2" x14ac:dyDescent="0.2">
      <c r="A5010" s="49"/>
      <c r="B5010" s="49"/>
    </row>
    <row r="5011" spans="1:2" x14ac:dyDescent="0.2">
      <c r="A5011" s="49"/>
      <c r="B5011" s="49"/>
    </row>
    <row r="5014" spans="1:2" x14ac:dyDescent="0.2">
      <c r="A5014" s="49"/>
      <c r="B5014" s="49"/>
    </row>
    <row r="5016" spans="1:2" x14ac:dyDescent="0.2">
      <c r="A5016" s="49"/>
      <c r="B5016" s="49"/>
    </row>
    <row r="5017" spans="1:2" x14ac:dyDescent="0.2">
      <c r="A5017" s="49"/>
      <c r="B5017" s="49"/>
    </row>
    <row r="5018" spans="1:2" x14ac:dyDescent="0.2">
      <c r="A5018" s="49"/>
      <c r="B5018" s="49"/>
    </row>
    <row r="5019" spans="1:2" x14ac:dyDescent="0.2">
      <c r="A5019" s="49"/>
      <c r="B5019" s="49"/>
    </row>
    <row r="5020" spans="1:2" x14ac:dyDescent="0.2">
      <c r="A5020" s="49"/>
      <c r="B5020" s="49"/>
    </row>
    <row r="5021" spans="1:2" x14ac:dyDescent="0.2">
      <c r="A5021" s="49"/>
      <c r="B5021" s="49"/>
    </row>
    <row r="5022" spans="1:2" x14ac:dyDescent="0.2">
      <c r="A5022" s="49"/>
      <c r="B5022" s="49"/>
    </row>
    <row r="5023" spans="1:2" x14ac:dyDescent="0.2">
      <c r="A5023" s="49"/>
      <c r="B5023" s="49"/>
    </row>
    <row r="5024" spans="1:2" x14ac:dyDescent="0.2">
      <c r="A5024" s="49"/>
      <c r="B5024" s="49"/>
    </row>
    <row r="5025" spans="1:2" x14ac:dyDescent="0.2">
      <c r="A5025" s="49"/>
      <c r="B5025" s="49"/>
    </row>
    <row r="5026" spans="1:2" x14ac:dyDescent="0.2">
      <c r="A5026" s="49"/>
      <c r="B5026" s="49"/>
    </row>
    <row r="5027" spans="1:2" x14ac:dyDescent="0.2">
      <c r="A5027" s="49"/>
      <c r="B5027" s="49"/>
    </row>
    <row r="5028" spans="1:2" x14ac:dyDescent="0.2">
      <c r="A5028" s="49"/>
      <c r="B5028" s="49"/>
    </row>
    <row r="5029" spans="1:2" x14ac:dyDescent="0.2">
      <c r="A5029" s="49"/>
      <c r="B5029" s="49"/>
    </row>
    <row r="5030" spans="1:2" x14ac:dyDescent="0.2">
      <c r="A5030" s="49"/>
      <c r="B5030" s="49"/>
    </row>
    <row r="5034" spans="1:2" x14ac:dyDescent="0.2">
      <c r="A5034" s="49"/>
      <c r="B5034" s="49"/>
    </row>
    <row r="5040" spans="1:2" x14ac:dyDescent="0.2">
      <c r="A5040" s="49"/>
      <c r="B5040" s="49"/>
    </row>
    <row r="5042" spans="1:2" x14ac:dyDescent="0.2">
      <c r="A5042" s="49"/>
      <c r="B5042" s="49"/>
    </row>
    <row r="5043" spans="1:2" x14ac:dyDescent="0.2">
      <c r="A5043" s="49"/>
      <c r="B5043" s="49"/>
    </row>
    <row r="5044" spans="1:2" x14ac:dyDescent="0.2">
      <c r="A5044" s="49"/>
      <c r="B5044" s="49"/>
    </row>
    <row r="5046" spans="1:2" x14ac:dyDescent="0.2">
      <c r="A5046" s="49"/>
      <c r="B5046" s="49"/>
    </row>
    <row r="5048" spans="1:2" x14ac:dyDescent="0.2">
      <c r="A5048" s="49"/>
      <c r="B5048" s="49"/>
    </row>
    <row r="5049" spans="1:2" x14ac:dyDescent="0.2">
      <c r="A5049" s="49"/>
      <c r="B5049" s="49"/>
    </row>
    <row r="5050" spans="1:2" x14ac:dyDescent="0.2">
      <c r="A5050" s="49"/>
      <c r="B5050" s="49"/>
    </row>
    <row r="5051" spans="1:2" x14ac:dyDescent="0.2">
      <c r="A5051" s="49"/>
      <c r="B5051" s="49"/>
    </row>
    <row r="5052" spans="1:2" x14ac:dyDescent="0.2">
      <c r="A5052" s="49"/>
      <c r="B5052" s="49"/>
    </row>
    <row r="5053" spans="1:2" x14ac:dyDescent="0.2">
      <c r="A5053" s="49"/>
      <c r="B5053" s="49"/>
    </row>
    <row r="5054" spans="1:2" x14ac:dyDescent="0.2">
      <c r="A5054" s="49"/>
      <c r="B5054" s="49"/>
    </row>
    <row r="5055" spans="1:2" x14ac:dyDescent="0.2">
      <c r="A5055" s="49"/>
      <c r="B5055" s="49"/>
    </row>
    <row r="5056" spans="1:2" x14ac:dyDescent="0.2">
      <c r="A5056" s="49"/>
      <c r="B5056" s="49"/>
    </row>
    <row r="5057" spans="1:2" x14ac:dyDescent="0.2">
      <c r="A5057" s="49"/>
      <c r="B5057" s="49"/>
    </row>
    <row r="5058" spans="1:2" x14ac:dyDescent="0.2">
      <c r="A5058" s="49"/>
      <c r="B5058" s="49"/>
    </row>
    <row r="5059" spans="1:2" x14ac:dyDescent="0.2">
      <c r="A5059" s="49"/>
      <c r="B5059" s="49"/>
    </row>
    <row r="5060" spans="1:2" x14ac:dyDescent="0.2">
      <c r="A5060" s="49"/>
      <c r="B5060" s="49"/>
    </row>
    <row r="5061" spans="1:2" x14ac:dyDescent="0.2">
      <c r="A5061" s="49"/>
      <c r="B5061" s="49"/>
    </row>
    <row r="5062" spans="1:2" x14ac:dyDescent="0.2">
      <c r="A5062" s="49"/>
      <c r="B5062" s="49"/>
    </row>
    <row r="5063" spans="1:2" x14ac:dyDescent="0.2">
      <c r="A5063" s="49"/>
      <c r="B5063" s="49"/>
    </row>
    <row r="5064" spans="1:2" x14ac:dyDescent="0.2">
      <c r="A5064" s="49"/>
      <c r="B5064" s="49"/>
    </row>
    <row r="5065" spans="1:2" x14ac:dyDescent="0.2">
      <c r="A5065" s="49"/>
      <c r="B5065" s="49"/>
    </row>
    <row r="5066" spans="1:2" x14ac:dyDescent="0.2">
      <c r="A5066" s="49"/>
      <c r="B5066" s="49"/>
    </row>
    <row r="5067" spans="1:2" x14ac:dyDescent="0.2">
      <c r="A5067" s="49"/>
      <c r="B5067" s="49"/>
    </row>
    <row r="5068" spans="1:2" x14ac:dyDescent="0.2">
      <c r="A5068" s="49"/>
      <c r="B5068" s="49"/>
    </row>
    <row r="5069" spans="1:2" x14ac:dyDescent="0.2">
      <c r="A5069" s="49"/>
      <c r="B5069" s="49"/>
    </row>
    <row r="5072" spans="1:2" x14ac:dyDescent="0.2">
      <c r="A5072" s="49"/>
      <c r="B5072" s="49"/>
    </row>
    <row r="5073" spans="1:2" x14ac:dyDescent="0.2">
      <c r="A5073" s="49"/>
      <c r="B5073" s="49"/>
    </row>
    <row r="5074" spans="1:2" x14ac:dyDescent="0.2">
      <c r="A5074" s="49"/>
      <c r="B5074" s="49"/>
    </row>
    <row r="5078" spans="1:2" x14ac:dyDescent="0.2">
      <c r="A5078" s="49"/>
      <c r="B5078" s="49"/>
    </row>
    <row r="5080" spans="1:2" x14ac:dyDescent="0.2">
      <c r="A5080" s="49"/>
      <c r="B5080" s="49"/>
    </row>
    <row r="5082" spans="1:2" x14ac:dyDescent="0.2">
      <c r="A5082" s="49"/>
      <c r="B5082" s="49"/>
    </row>
    <row r="5084" spans="1:2" x14ac:dyDescent="0.2">
      <c r="A5084" s="49"/>
      <c r="B5084" s="49"/>
    </row>
    <row r="5085" spans="1:2" x14ac:dyDescent="0.2">
      <c r="A5085" s="49"/>
      <c r="B5085" s="49"/>
    </row>
    <row r="5086" spans="1:2" x14ac:dyDescent="0.2">
      <c r="A5086" s="49"/>
      <c r="B5086" s="49"/>
    </row>
    <row r="5087" spans="1:2" x14ac:dyDescent="0.2">
      <c r="A5087" s="49"/>
      <c r="B5087" s="49"/>
    </row>
    <row r="5088" spans="1:2" x14ac:dyDescent="0.2">
      <c r="A5088" s="49"/>
      <c r="B5088" s="49"/>
    </row>
    <row r="5089" spans="1:7" x14ac:dyDescent="0.2">
      <c r="A5089" s="49"/>
      <c r="B5089" s="49"/>
    </row>
    <row r="5090" spans="1:7" x14ac:dyDescent="0.2">
      <c r="A5090" s="49"/>
      <c r="B5090" s="49"/>
    </row>
    <row r="5092" spans="1:7" x14ac:dyDescent="0.2">
      <c r="A5092" s="49"/>
      <c r="B5092" s="49"/>
    </row>
    <row r="5093" spans="1:7" x14ac:dyDescent="0.2">
      <c r="A5093" s="49"/>
      <c r="B5093" s="49"/>
    </row>
    <row r="5096" spans="1:7" x14ac:dyDescent="0.2">
      <c r="A5096" s="49"/>
      <c r="B5096" s="49"/>
    </row>
    <row r="5097" spans="1:7" x14ac:dyDescent="0.2">
      <c r="A5097" s="49"/>
      <c r="B5097" s="49"/>
      <c r="C5097" s="49"/>
      <c r="D5097" s="49"/>
      <c r="E5097" s="49"/>
      <c r="F5097" s="49"/>
      <c r="G5097" s="49"/>
    </row>
    <row r="5098" spans="1:7" x14ac:dyDescent="0.2">
      <c r="A5098" s="49"/>
      <c r="B5098" s="49"/>
    </row>
    <row r="5099" spans="1:7" x14ac:dyDescent="0.2">
      <c r="A5099" s="49"/>
      <c r="B5099" s="49"/>
    </row>
    <row r="5100" spans="1:7" x14ac:dyDescent="0.2">
      <c r="A5100" s="49"/>
      <c r="B5100" s="49"/>
    </row>
    <row r="5102" spans="1:7" x14ac:dyDescent="0.2">
      <c r="A5102" s="49"/>
      <c r="B5102" s="49"/>
    </row>
    <row r="5103" spans="1:7" x14ac:dyDescent="0.2">
      <c r="A5103" s="49"/>
      <c r="B5103" s="49"/>
    </row>
    <row r="5104" spans="1:7" x14ac:dyDescent="0.2">
      <c r="A5104" s="49"/>
      <c r="B5104" s="49"/>
    </row>
    <row r="5105" spans="1:7" x14ac:dyDescent="0.2">
      <c r="A5105" s="49"/>
      <c r="B5105" s="49"/>
    </row>
    <row r="5106" spans="1:7" x14ac:dyDescent="0.2">
      <c r="A5106" s="49"/>
      <c r="B5106" s="49"/>
    </row>
    <row r="5107" spans="1:7" x14ac:dyDescent="0.2">
      <c r="A5107" s="49"/>
      <c r="B5107" s="49"/>
      <c r="C5107" s="49"/>
      <c r="D5107" s="49"/>
      <c r="E5107" s="49"/>
      <c r="F5107" s="49"/>
      <c r="G5107" s="49"/>
    </row>
    <row r="5108" spans="1:7" x14ac:dyDescent="0.2">
      <c r="A5108" s="49"/>
      <c r="B5108" s="49"/>
    </row>
    <row r="5109" spans="1:7" x14ac:dyDescent="0.2">
      <c r="A5109" s="49"/>
      <c r="B5109" s="49"/>
    </row>
    <row r="5110" spans="1:7" x14ac:dyDescent="0.2">
      <c r="A5110" s="49"/>
      <c r="B5110" s="49"/>
    </row>
    <row r="5111" spans="1:7" x14ac:dyDescent="0.2">
      <c r="A5111" s="49"/>
      <c r="B5111" s="49"/>
    </row>
    <row r="5112" spans="1:7" x14ac:dyDescent="0.2">
      <c r="A5112" s="49"/>
      <c r="B5112" s="49"/>
    </row>
    <row r="5113" spans="1:7" x14ac:dyDescent="0.2">
      <c r="A5113" s="49"/>
      <c r="B5113" s="49"/>
    </row>
    <row r="5114" spans="1:7" x14ac:dyDescent="0.2">
      <c r="A5114" s="49"/>
      <c r="B5114" s="49"/>
    </row>
    <row r="5115" spans="1:7" x14ac:dyDescent="0.2">
      <c r="A5115" s="49"/>
      <c r="B5115" s="49"/>
    </row>
    <row r="5116" spans="1:7" x14ac:dyDescent="0.2">
      <c r="A5116" s="49"/>
      <c r="B5116" s="49"/>
    </row>
    <row r="5117" spans="1:7" x14ac:dyDescent="0.2">
      <c r="A5117" s="49"/>
      <c r="B5117" s="49"/>
    </row>
    <row r="5118" spans="1:7" x14ac:dyDescent="0.2">
      <c r="A5118" s="49"/>
      <c r="B5118" s="49"/>
    </row>
    <row r="5119" spans="1:7" x14ac:dyDescent="0.2">
      <c r="A5119" s="49"/>
      <c r="B5119" s="49"/>
    </row>
    <row r="5120" spans="1:7" x14ac:dyDescent="0.2">
      <c r="A5120" s="49"/>
      <c r="B5120" s="49"/>
    </row>
    <row r="5121" spans="1:2" x14ac:dyDescent="0.2">
      <c r="A5121" s="49"/>
      <c r="B5121" s="49"/>
    </row>
    <row r="5122" spans="1:2" x14ac:dyDescent="0.2">
      <c r="A5122" s="49"/>
      <c r="B5122" s="49"/>
    </row>
    <row r="5123" spans="1:2" x14ac:dyDescent="0.2">
      <c r="A5123" s="49"/>
      <c r="B5123" s="49"/>
    </row>
    <row r="5124" spans="1:2" x14ac:dyDescent="0.2">
      <c r="A5124" s="49"/>
      <c r="B5124" s="49"/>
    </row>
    <row r="5125" spans="1:2" x14ac:dyDescent="0.2">
      <c r="A5125" s="49"/>
      <c r="B5125" s="49"/>
    </row>
    <row r="5126" spans="1:2" x14ac:dyDescent="0.2">
      <c r="A5126" s="49"/>
      <c r="B5126" s="49"/>
    </row>
    <row r="5127" spans="1:2" x14ac:dyDescent="0.2">
      <c r="A5127" s="49"/>
      <c r="B5127" s="49"/>
    </row>
    <row r="5128" spans="1:2" x14ac:dyDescent="0.2">
      <c r="A5128" s="49"/>
      <c r="B5128" s="49"/>
    </row>
    <row r="5129" spans="1:2" x14ac:dyDescent="0.2">
      <c r="A5129" s="49"/>
      <c r="B5129" s="49"/>
    </row>
    <row r="5130" spans="1:2" x14ac:dyDescent="0.2">
      <c r="A5130" s="49"/>
      <c r="B5130" s="49"/>
    </row>
    <row r="5131" spans="1:2" x14ac:dyDescent="0.2">
      <c r="A5131" s="49"/>
      <c r="B5131" s="49"/>
    </row>
    <row r="5132" spans="1:2" x14ac:dyDescent="0.2">
      <c r="A5132" s="49"/>
      <c r="B5132" s="49"/>
    </row>
    <row r="5133" spans="1:2" x14ac:dyDescent="0.2">
      <c r="A5133" s="49"/>
      <c r="B5133" s="49"/>
    </row>
    <row r="5134" spans="1:2" x14ac:dyDescent="0.2">
      <c r="A5134" s="49"/>
      <c r="B5134" s="49"/>
    </row>
    <row r="5135" spans="1:2" x14ac:dyDescent="0.2">
      <c r="A5135" s="49"/>
      <c r="B5135" s="49"/>
    </row>
    <row r="5136" spans="1:2" x14ac:dyDescent="0.2">
      <c r="A5136" s="49"/>
      <c r="B5136" s="49"/>
    </row>
    <row r="5137" spans="1:7" x14ac:dyDescent="0.2">
      <c r="A5137" s="49"/>
      <c r="B5137" s="49"/>
    </row>
    <row r="5138" spans="1:7" x14ac:dyDescent="0.2">
      <c r="A5138" s="49"/>
      <c r="B5138" s="49"/>
    </row>
    <row r="5139" spans="1:7" x14ac:dyDescent="0.2">
      <c r="A5139" s="49"/>
      <c r="B5139" s="49"/>
      <c r="C5139" s="49"/>
      <c r="D5139" s="49"/>
      <c r="E5139" s="49"/>
      <c r="F5139" s="49"/>
      <c r="G5139" s="49"/>
    </row>
    <row r="5140" spans="1:7" x14ac:dyDescent="0.2">
      <c r="A5140" s="49"/>
      <c r="B5140" s="49"/>
      <c r="C5140" s="49"/>
      <c r="D5140" s="49"/>
      <c r="E5140" s="49"/>
      <c r="F5140" s="49"/>
      <c r="G5140" s="49"/>
    </row>
    <row r="5141" spans="1:7" x14ac:dyDescent="0.2">
      <c r="A5141" s="49"/>
      <c r="B5141" s="49"/>
      <c r="C5141" s="49"/>
      <c r="D5141" s="49"/>
      <c r="E5141" s="49"/>
      <c r="F5141" s="49"/>
      <c r="G5141" s="49"/>
    </row>
    <row r="5142" spans="1:7" x14ac:dyDescent="0.2">
      <c r="A5142" s="49"/>
      <c r="B5142" s="49"/>
    </row>
    <row r="5143" spans="1:7" x14ac:dyDescent="0.2">
      <c r="A5143" s="49"/>
      <c r="B5143" s="49"/>
    </row>
    <row r="5144" spans="1:7" x14ac:dyDescent="0.2">
      <c r="A5144" s="49"/>
      <c r="B5144" s="49"/>
    </row>
    <row r="5145" spans="1:7" x14ac:dyDescent="0.2">
      <c r="A5145" s="49"/>
      <c r="B5145" s="49"/>
    </row>
    <row r="5146" spans="1:7" x14ac:dyDescent="0.2">
      <c r="A5146" s="49"/>
      <c r="B5146" s="49"/>
    </row>
    <row r="5147" spans="1:7" x14ac:dyDescent="0.2">
      <c r="A5147" s="49"/>
      <c r="B5147" s="49"/>
    </row>
    <row r="5148" spans="1:7" x14ac:dyDescent="0.2">
      <c r="A5148" s="49"/>
      <c r="B5148" s="49"/>
    </row>
    <row r="5149" spans="1:7" x14ac:dyDescent="0.2">
      <c r="A5149" s="49"/>
      <c r="B5149" s="49"/>
    </row>
    <row r="5150" spans="1:7" x14ac:dyDescent="0.2">
      <c r="A5150" s="49"/>
      <c r="B5150" s="49"/>
    </row>
    <row r="5151" spans="1:7" x14ac:dyDescent="0.2">
      <c r="A5151" s="49"/>
      <c r="B5151" s="49"/>
    </row>
    <row r="5152" spans="1:7" x14ac:dyDescent="0.2">
      <c r="A5152" s="49"/>
      <c r="B5152" s="49"/>
    </row>
    <row r="5153" spans="1:2" x14ac:dyDescent="0.2">
      <c r="A5153" s="49"/>
      <c r="B5153" s="49"/>
    </row>
    <row r="5154" spans="1:2" x14ac:dyDescent="0.2">
      <c r="A5154" s="49"/>
      <c r="B5154" s="49"/>
    </row>
    <row r="5155" spans="1:2" x14ac:dyDescent="0.2">
      <c r="A5155" s="49"/>
      <c r="B5155" s="49"/>
    </row>
    <row r="5156" spans="1:2" x14ac:dyDescent="0.2">
      <c r="A5156" s="49"/>
      <c r="B5156" s="49"/>
    </row>
    <row r="5157" spans="1:2" x14ac:dyDescent="0.2">
      <c r="A5157" s="49"/>
      <c r="B5157" s="49"/>
    </row>
    <row r="5158" spans="1:2" x14ac:dyDescent="0.2">
      <c r="A5158" s="49"/>
      <c r="B5158" s="49"/>
    </row>
    <row r="5159" spans="1:2" x14ac:dyDescent="0.2">
      <c r="A5159" s="49"/>
      <c r="B5159" s="49"/>
    </row>
    <row r="5160" spans="1:2" x14ac:dyDescent="0.2">
      <c r="A5160" s="49"/>
      <c r="B5160" s="49"/>
    </row>
    <row r="5161" spans="1:2" x14ac:dyDescent="0.2">
      <c r="A5161" s="49"/>
      <c r="B5161" s="49"/>
    </row>
    <row r="5162" spans="1:2" x14ac:dyDescent="0.2">
      <c r="A5162" s="49"/>
      <c r="B5162" s="49"/>
    </row>
    <row r="5163" spans="1:2" x14ac:dyDescent="0.2">
      <c r="A5163" s="49"/>
      <c r="B5163" s="49"/>
    </row>
    <row r="5164" spans="1:2" x14ac:dyDescent="0.2">
      <c r="A5164" s="49"/>
      <c r="B5164" s="49"/>
    </row>
    <row r="5165" spans="1:2" x14ac:dyDescent="0.2">
      <c r="A5165" s="49"/>
      <c r="B5165" s="49"/>
    </row>
    <row r="5166" spans="1:2" x14ac:dyDescent="0.2">
      <c r="A5166" s="49"/>
      <c r="B5166" s="49"/>
    </row>
    <row r="5167" spans="1:2" x14ac:dyDescent="0.2">
      <c r="A5167" s="49"/>
      <c r="B5167" s="49"/>
    </row>
    <row r="5168" spans="1:2" x14ac:dyDescent="0.2">
      <c r="A5168" s="49"/>
      <c r="B5168" s="49"/>
    </row>
    <row r="5169" spans="1:2" x14ac:dyDescent="0.2">
      <c r="A5169" s="49"/>
      <c r="B5169" s="49"/>
    </row>
    <row r="5170" spans="1:2" x14ac:dyDescent="0.2">
      <c r="A5170" s="49"/>
      <c r="B5170" s="49"/>
    </row>
    <row r="5171" spans="1:2" x14ac:dyDescent="0.2">
      <c r="A5171" s="49"/>
      <c r="B5171" s="49"/>
    </row>
    <row r="5172" spans="1:2" x14ac:dyDescent="0.2">
      <c r="A5172" s="49"/>
      <c r="B5172" s="49"/>
    </row>
    <row r="5173" spans="1:2" x14ac:dyDescent="0.2">
      <c r="A5173" s="49"/>
      <c r="B5173" s="49"/>
    </row>
    <row r="5174" spans="1:2" x14ac:dyDescent="0.2">
      <c r="A5174" s="49"/>
      <c r="B5174" s="49"/>
    </row>
    <row r="5175" spans="1:2" x14ac:dyDescent="0.2">
      <c r="A5175" s="49"/>
      <c r="B5175" s="49"/>
    </row>
    <row r="5176" spans="1:2" x14ac:dyDescent="0.2">
      <c r="A5176" s="49"/>
      <c r="B5176" s="49"/>
    </row>
    <row r="5177" spans="1:2" x14ac:dyDescent="0.2">
      <c r="A5177" s="49"/>
      <c r="B5177" s="49"/>
    </row>
    <row r="5178" spans="1:2" x14ac:dyDescent="0.2">
      <c r="A5178" s="49"/>
      <c r="B5178" s="49"/>
    </row>
    <row r="5179" spans="1:2" x14ac:dyDescent="0.2">
      <c r="A5179" s="49"/>
      <c r="B5179" s="49"/>
    </row>
    <row r="5180" spans="1:2" x14ac:dyDescent="0.2">
      <c r="A5180" s="49"/>
      <c r="B5180" s="49"/>
    </row>
    <row r="5181" spans="1:2" x14ac:dyDescent="0.2">
      <c r="A5181" s="49"/>
      <c r="B5181" s="49"/>
    </row>
    <row r="5182" spans="1:2" x14ac:dyDescent="0.2">
      <c r="A5182" s="49"/>
      <c r="B5182" s="49"/>
    </row>
    <row r="5183" spans="1:2" x14ac:dyDescent="0.2">
      <c r="A5183" s="49"/>
      <c r="B5183" s="49"/>
    </row>
    <row r="5184" spans="1:2" x14ac:dyDescent="0.2">
      <c r="A5184" s="49"/>
      <c r="B5184" s="49"/>
    </row>
    <row r="5185" spans="1:7" x14ac:dyDescent="0.2">
      <c r="A5185" s="49"/>
      <c r="B5185" s="49"/>
    </row>
    <row r="5186" spans="1:7" x14ac:dyDescent="0.2">
      <c r="A5186" s="49"/>
      <c r="B5186" s="49"/>
    </row>
    <row r="5187" spans="1:7" x14ac:dyDescent="0.2">
      <c r="A5187" s="49"/>
      <c r="B5187" s="49"/>
    </row>
    <row r="5188" spans="1:7" x14ac:dyDescent="0.2">
      <c r="A5188" s="49"/>
      <c r="B5188" s="49"/>
    </row>
    <row r="5189" spans="1:7" x14ac:dyDescent="0.2">
      <c r="A5189" s="49"/>
      <c r="B5189" s="49"/>
    </row>
    <row r="5190" spans="1:7" x14ac:dyDescent="0.2">
      <c r="A5190" s="49"/>
      <c r="B5190" s="49"/>
    </row>
    <row r="5191" spans="1:7" x14ac:dyDescent="0.2">
      <c r="A5191" s="49"/>
      <c r="B5191" s="49"/>
    </row>
    <row r="5192" spans="1:7" x14ac:dyDescent="0.2">
      <c r="A5192" s="49"/>
      <c r="B5192" s="49"/>
    </row>
    <row r="5193" spans="1:7" x14ac:dyDescent="0.2">
      <c r="A5193" s="49"/>
      <c r="B5193" s="49"/>
    </row>
    <row r="5194" spans="1:7" x14ac:dyDescent="0.2">
      <c r="A5194" s="49"/>
      <c r="B5194" s="49"/>
    </row>
    <row r="5195" spans="1:7" x14ac:dyDescent="0.2">
      <c r="A5195" s="49"/>
      <c r="B5195" s="49"/>
    </row>
    <row r="5196" spans="1:7" x14ac:dyDescent="0.2">
      <c r="A5196" s="49"/>
      <c r="B5196" s="49"/>
    </row>
    <row r="5197" spans="1:7" x14ac:dyDescent="0.2">
      <c r="A5197" s="49"/>
      <c r="B5197" s="49"/>
    </row>
    <row r="5198" spans="1:7" x14ac:dyDescent="0.2">
      <c r="A5198" s="49"/>
      <c r="B5198" s="49"/>
    </row>
    <row r="5199" spans="1:7" x14ac:dyDescent="0.2">
      <c r="A5199" s="49"/>
      <c r="B5199" s="49"/>
      <c r="C5199" s="49"/>
      <c r="D5199" s="49"/>
      <c r="E5199" s="49"/>
      <c r="F5199" s="49"/>
      <c r="G5199" s="49"/>
    </row>
    <row r="5200" spans="1:7" x14ac:dyDescent="0.2">
      <c r="A5200" s="49"/>
      <c r="B5200" s="49"/>
    </row>
    <row r="5201" spans="1:2" x14ac:dyDescent="0.2">
      <c r="A5201" s="49"/>
      <c r="B5201" s="49"/>
    </row>
    <row r="5202" spans="1:2" x14ac:dyDescent="0.2">
      <c r="A5202" s="49"/>
      <c r="B5202" s="49"/>
    </row>
    <row r="5203" spans="1:2" x14ac:dyDescent="0.2">
      <c r="A5203" s="49"/>
      <c r="B5203" s="49"/>
    </row>
    <row r="5204" spans="1:2" x14ac:dyDescent="0.2">
      <c r="A5204" s="49"/>
      <c r="B5204" s="49"/>
    </row>
    <row r="5205" spans="1:2" x14ac:dyDescent="0.2">
      <c r="A5205" s="49"/>
      <c r="B5205" s="49"/>
    </row>
    <row r="5206" spans="1:2" x14ac:dyDescent="0.2">
      <c r="A5206" s="49"/>
      <c r="B5206" s="49"/>
    </row>
    <row r="5207" spans="1:2" x14ac:dyDescent="0.2">
      <c r="A5207" s="49"/>
      <c r="B5207" s="49"/>
    </row>
    <row r="5208" spans="1:2" x14ac:dyDescent="0.2">
      <c r="A5208" s="49"/>
      <c r="B5208" s="49"/>
    </row>
    <row r="5209" spans="1:2" x14ac:dyDescent="0.2">
      <c r="A5209" s="49"/>
      <c r="B5209" s="49"/>
    </row>
    <row r="5210" spans="1:2" x14ac:dyDescent="0.2">
      <c r="A5210" s="49"/>
      <c r="B5210" s="49"/>
    </row>
    <row r="5211" spans="1:2" x14ac:dyDescent="0.2">
      <c r="A5211" s="49"/>
      <c r="B5211" s="49"/>
    </row>
    <row r="5212" spans="1:2" x14ac:dyDescent="0.2">
      <c r="A5212" s="49"/>
      <c r="B5212" s="49"/>
    </row>
    <row r="5213" spans="1:2" x14ac:dyDescent="0.2">
      <c r="A5213" s="49"/>
      <c r="B5213" s="49"/>
    </row>
    <row r="5214" spans="1:2" x14ac:dyDescent="0.2">
      <c r="A5214" s="49"/>
      <c r="B5214" s="49"/>
    </row>
    <row r="5215" spans="1:2" x14ac:dyDescent="0.2">
      <c r="A5215" s="49"/>
      <c r="B5215" s="49"/>
    </row>
    <row r="5216" spans="1:2" x14ac:dyDescent="0.2">
      <c r="A5216" s="49"/>
      <c r="B5216" s="49"/>
    </row>
    <row r="5217" spans="1:2" x14ac:dyDescent="0.2">
      <c r="A5217" s="49"/>
      <c r="B5217" s="49"/>
    </row>
    <row r="5218" spans="1:2" x14ac:dyDescent="0.2">
      <c r="A5218" s="49"/>
      <c r="B5218" s="49"/>
    </row>
    <row r="5219" spans="1:2" x14ac:dyDescent="0.2">
      <c r="A5219" s="49"/>
      <c r="B5219" s="49"/>
    </row>
    <row r="5220" spans="1:2" x14ac:dyDescent="0.2">
      <c r="A5220" s="49"/>
      <c r="B5220" s="49"/>
    </row>
    <row r="5221" spans="1:2" x14ac:dyDescent="0.2">
      <c r="A5221" s="49"/>
      <c r="B5221" s="49"/>
    </row>
    <row r="5222" spans="1:2" x14ac:dyDescent="0.2">
      <c r="A5222" s="49"/>
      <c r="B5222" s="49"/>
    </row>
    <row r="5223" spans="1:2" x14ac:dyDescent="0.2">
      <c r="A5223" s="49"/>
      <c r="B5223" s="49"/>
    </row>
    <row r="5224" spans="1:2" x14ac:dyDescent="0.2">
      <c r="A5224" s="49"/>
      <c r="B5224" s="49"/>
    </row>
    <row r="5225" spans="1:2" x14ac:dyDescent="0.2">
      <c r="A5225" s="49"/>
      <c r="B5225" s="49"/>
    </row>
    <row r="5226" spans="1:2" x14ac:dyDescent="0.2">
      <c r="A5226" s="49"/>
      <c r="B5226" s="49"/>
    </row>
    <row r="5227" spans="1:2" x14ac:dyDescent="0.2">
      <c r="A5227" s="49"/>
      <c r="B5227" s="49"/>
    </row>
    <row r="5228" spans="1:2" x14ac:dyDescent="0.2">
      <c r="A5228" s="49"/>
      <c r="B5228" s="49"/>
    </row>
    <row r="5229" spans="1:2" x14ac:dyDescent="0.2">
      <c r="A5229" s="49"/>
      <c r="B5229" s="49"/>
    </row>
    <row r="5230" spans="1:2" x14ac:dyDescent="0.2">
      <c r="A5230" s="49"/>
      <c r="B5230" s="49"/>
    </row>
    <row r="5231" spans="1:2" x14ac:dyDescent="0.2">
      <c r="A5231" s="49"/>
      <c r="B5231" s="49"/>
    </row>
    <row r="5232" spans="1:2" x14ac:dyDescent="0.2">
      <c r="A5232" s="49"/>
      <c r="B5232" s="49"/>
    </row>
    <row r="5233" spans="1:2" x14ac:dyDescent="0.2">
      <c r="A5233" s="49"/>
      <c r="B5233" s="49"/>
    </row>
    <row r="5234" spans="1:2" x14ac:dyDescent="0.2">
      <c r="A5234" s="49"/>
      <c r="B5234" s="49"/>
    </row>
    <row r="5235" spans="1:2" x14ac:dyDescent="0.2">
      <c r="A5235" s="49"/>
      <c r="B5235" s="49"/>
    </row>
    <row r="5236" spans="1:2" x14ac:dyDescent="0.2">
      <c r="A5236" s="49"/>
      <c r="B5236" s="49"/>
    </row>
    <row r="5237" spans="1:2" x14ac:dyDescent="0.2">
      <c r="A5237" s="49"/>
      <c r="B5237" s="49"/>
    </row>
    <row r="5238" spans="1:2" x14ac:dyDescent="0.2">
      <c r="A5238" s="49"/>
      <c r="B5238" s="49"/>
    </row>
    <row r="5239" spans="1:2" x14ac:dyDescent="0.2">
      <c r="A5239" s="49"/>
      <c r="B5239" s="49"/>
    </row>
    <row r="5240" spans="1:2" x14ac:dyDescent="0.2">
      <c r="A5240" s="49"/>
      <c r="B5240" s="49"/>
    </row>
    <row r="5241" spans="1:2" x14ac:dyDescent="0.2">
      <c r="A5241" s="49"/>
      <c r="B5241" s="49"/>
    </row>
    <row r="5242" spans="1:2" x14ac:dyDescent="0.2">
      <c r="A5242" s="49"/>
      <c r="B5242" s="49"/>
    </row>
    <row r="5243" spans="1:2" x14ac:dyDescent="0.2">
      <c r="A5243" s="49"/>
      <c r="B5243" s="49"/>
    </row>
    <row r="5244" spans="1:2" x14ac:dyDescent="0.2">
      <c r="A5244" s="49"/>
      <c r="B5244" s="49"/>
    </row>
    <row r="5245" spans="1:2" x14ac:dyDescent="0.2">
      <c r="A5245" s="49"/>
      <c r="B5245" s="49"/>
    </row>
    <row r="5246" spans="1:2" x14ac:dyDescent="0.2">
      <c r="A5246" s="49"/>
      <c r="B5246" s="49"/>
    </row>
    <row r="5247" spans="1:2" x14ac:dyDescent="0.2">
      <c r="A5247" s="49"/>
      <c r="B5247" s="49"/>
    </row>
    <row r="5248" spans="1:2" x14ac:dyDescent="0.2">
      <c r="A5248" s="49"/>
      <c r="B5248" s="49"/>
    </row>
    <row r="5249" spans="1:2" x14ac:dyDescent="0.2">
      <c r="A5249" s="49"/>
      <c r="B5249" s="49"/>
    </row>
    <row r="5250" spans="1:2" x14ac:dyDescent="0.2">
      <c r="A5250" s="49"/>
      <c r="B5250" s="49"/>
    </row>
    <row r="5251" spans="1:2" x14ac:dyDescent="0.2">
      <c r="A5251" s="49"/>
      <c r="B5251" s="49"/>
    </row>
    <row r="5252" spans="1:2" x14ac:dyDescent="0.2">
      <c r="A5252" s="49"/>
      <c r="B5252" s="49"/>
    </row>
    <row r="5253" spans="1:2" x14ac:dyDescent="0.2">
      <c r="A5253" s="49"/>
      <c r="B5253" s="49"/>
    </row>
    <row r="5254" spans="1:2" x14ac:dyDescent="0.2">
      <c r="A5254" s="49"/>
      <c r="B5254" s="49"/>
    </row>
    <row r="5255" spans="1:2" x14ac:dyDescent="0.2">
      <c r="A5255" s="49"/>
      <c r="B5255" s="49"/>
    </row>
    <row r="5256" spans="1:2" x14ac:dyDescent="0.2">
      <c r="A5256" s="49"/>
      <c r="B5256" s="49"/>
    </row>
    <row r="5257" spans="1:2" x14ac:dyDescent="0.2">
      <c r="A5257" s="49"/>
      <c r="B5257" s="49"/>
    </row>
    <row r="5258" spans="1:2" x14ac:dyDescent="0.2">
      <c r="A5258" s="49"/>
      <c r="B5258" s="49"/>
    </row>
    <row r="5259" spans="1:2" x14ac:dyDescent="0.2">
      <c r="A5259" s="49"/>
      <c r="B5259" s="49"/>
    </row>
    <row r="5260" spans="1:2" x14ac:dyDescent="0.2">
      <c r="A5260" s="49"/>
      <c r="B5260" s="49"/>
    </row>
    <row r="5261" spans="1:2" x14ac:dyDescent="0.2">
      <c r="A5261" s="49"/>
      <c r="B5261" s="49"/>
    </row>
    <row r="5262" spans="1:2" x14ac:dyDescent="0.2">
      <c r="A5262" s="49"/>
      <c r="B5262" s="49"/>
    </row>
    <row r="5263" spans="1:2" x14ac:dyDescent="0.2">
      <c r="A5263" s="49"/>
      <c r="B5263" s="49"/>
    </row>
    <row r="5264" spans="1:2" x14ac:dyDescent="0.2">
      <c r="A5264" s="49"/>
      <c r="B5264" s="49"/>
    </row>
    <row r="5265" spans="1:2" x14ac:dyDescent="0.2">
      <c r="A5265" s="49"/>
      <c r="B5265" s="49"/>
    </row>
    <row r="5266" spans="1:2" x14ac:dyDescent="0.2">
      <c r="A5266" s="49"/>
      <c r="B5266" s="49"/>
    </row>
    <row r="5267" spans="1:2" x14ac:dyDescent="0.2">
      <c r="A5267" s="49"/>
      <c r="B5267" s="49"/>
    </row>
    <row r="5268" spans="1:2" x14ac:dyDescent="0.2">
      <c r="A5268" s="49"/>
      <c r="B5268" s="49"/>
    </row>
    <row r="5269" spans="1:2" x14ac:dyDescent="0.2">
      <c r="A5269" s="49"/>
      <c r="B5269" s="49"/>
    </row>
    <row r="5270" spans="1:2" x14ac:dyDescent="0.2">
      <c r="A5270" s="49"/>
      <c r="B5270" s="49"/>
    </row>
    <row r="5271" spans="1:2" x14ac:dyDescent="0.2">
      <c r="A5271" s="49"/>
      <c r="B5271" s="49"/>
    </row>
    <row r="5272" spans="1:2" x14ac:dyDescent="0.2">
      <c r="A5272" s="49"/>
      <c r="B5272" s="49"/>
    </row>
    <row r="5273" spans="1:2" x14ac:dyDescent="0.2">
      <c r="A5273" s="49"/>
      <c r="B5273" s="49"/>
    </row>
    <row r="5274" spans="1:2" x14ac:dyDescent="0.2">
      <c r="A5274" s="49"/>
      <c r="B5274" s="49"/>
    </row>
    <row r="5275" spans="1:2" x14ac:dyDescent="0.2">
      <c r="A5275" s="49"/>
      <c r="B5275" s="49"/>
    </row>
    <row r="5276" spans="1:2" x14ac:dyDescent="0.2">
      <c r="A5276" s="49"/>
      <c r="B5276" s="49"/>
    </row>
    <row r="5277" spans="1:2" x14ac:dyDescent="0.2">
      <c r="A5277" s="49"/>
      <c r="B5277" s="49"/>
    </row>
    <row r="5278" spans="1:2" x14ac:dyDescent="0.2">
      <c r="A5278" s="49"/>
      <c r="B5278" s="49"/>
    </row>
    <row r="5279" spans="1:2" x14ac:dyDescent="0.2">
      <c r="A5279" s="49"/>
      <c r="B5279" s="49"/>
    </row>
    <row r="5280" spans="1:2" x14ac:dyDescent="0.2">
      <c r="A5280" s="49"/>
      <c r="B5280" s="49"/>
    </row>
    <row r="5281" spans="1:7" x14ac:dyDescent="0.2">
      <c r="A5281" s="49"/>
      <c r="B5281" s="49"/>
    </row>
    <row r="5282" spans="1:7" x14ac:dyDescent="0.2">
      <c r="A5282" s="49"/>
      <c r="B5282" s="49"/>
    </row>
    <row r="5283" spans="1:7" x14ac:dyDescent="0.2">
      <c r="A5283" s="49"/>
      <c r="B5283" s="49"/>
    </row>
    <row r="5284" spans="1:7" x14ac:dyDescent="0.2">
      <c r="A5284" s="49"/>
      <c r="B5284" s="49"/>
    </row>
    <row r="5285" spans="1:7" x14ac:dyDescent="0.2">
      <c r="A5285" s="49"/>
      <c r="B5285" s="49"/>
    </row>
    <row r="5286" spans="1:7" x14ac:dyDescent="0.2">
      <c r="A5286" s="49"/>
      <c r="B5286" s="49"/>
    </row>
    <row r="5287" spans="1:7" x14ac:dyDescent="0.2">
      <c r="A5287" s="49"/>
      <c r="B5287" s="49"/>
    </row>
    <row r="5288" spans="1:7" x14ac:dyDescent="0.2">
      <c r="A5288" s="49"/>
      <c r="B5288" s="49"/>
    </row>
    <row r="5289" spans="1:7" x14ac:dyDescent="0.2">
      <c r="A5289" s="49"/>
      <c r="B5289" s="49"/>
    </row>
    <row r="5290" spans="1:7" x14ac:dyDescent="0.2">
      <c r="A5290" s="49"/>
      <c r="B5290" s="49"/>
    </row>
    <row r="5291" spans="1:7" x14ac:dyDescent="0.2">
      <c r="A5291" s="49"/>
      <c r="B5291" s="49"/>
    </row>
    <row r="5292" spans="1:7" x14ac:dyDescent="0.2">
      <c r="A5292" s="49"/>
      <c r="B5292" s="49"/>
    </row>
    <row r="5293" spans="1:7" x14ac:dyDescent="0.2">
      <c r="A5293" s="49"/>
      <c r="B5293" s="49"/>
      <c r="C5293" s="49"/>
      <c r="D5293" s="49"/>
      <c r="E5293" s="49"/>
      <c r="F5293" s="49"/>
      <c r="G5293" s="49"/>
    </row>
    <row r="5294" spans="1:7" x14ac:dyDescent="0.2">
      <c r="A5294" s="49"/>
      <c r="B5294" s="49"/>
    </row>
    <row r="5295" spans="1:7" x14ac:dyDescent="0.2">
      <c r="A5295" s="49"/>
      <c r="B5295" s="49"/>
    </row>
    <row r="5296" spans="1:7" x14ac:dyDescent="0.2">
      <c r="A5296" s="49"/>
      <c r="B5296" s="49"/>
    </row>
    <row r="5297" spans="1:2" x14ac:dyDescent="0.2">
      <c r="A5297" s="49"/>
      <c r="B5297" s="49"/>
    </row>
    <row r="5298" spans="1:2" x14ac:dyDescent="0.2">
      <c r="A5298" s="49"/>
      <c r="B5298" s="49"/>
    </row>
    <row r="5299" spans="1:2" x14ac:dyDescent="0.2">
      <c r="A5299" s="49"/>
      <c r="B5299" s="49"/>
    </row>
    <row r="5300" spans="1:2" x14ac:dyDescent="0.2">
      <c r="A5300" s="49"/>
      <c r="B5300" s="49"/>
    </row>
    <row r="5301" spans="1:2" x14ac:dyDescent="0.2">
      <c r="A5301" s="49"/>
      <c r="B5301" s="49"/>
    </row>
    <row r="5302" spans="1:2" x14ac:dyDescent="0.2">
      <c r="A5302" s="49"/>
      <c r="B5302" s="49"/>
    </row>
    <row r="5303" spans="1:2" x14ac:dyDescent="0.2">
      <c r="A5303" s="49"/>
      <c r="B5303" s="49"/>
    </row>
    <row r="5304" spans="1:2" x14ac:dyDescent="0.2">
      <c r="A5304" s="49"/>
      <c r="B5304" s="49"/>
    </row>
    <row r="5305" spans="1:2" x14ac:dyDescent="0.2">
      <c r="A5305" s="49"/>
      <c r="B5305" s="49"/>
    </row>
    <row r="5306" spans="1:2" x14ac:dyDescent="0.2">
      <c r="A5306" s="49"/>
      <c r="B5306" s="49"/>
    </row>
    <row r="5307" spans="1:2" x14ac:dyDescent="0.2">
      <c r="A5307" s="49"/>
      <c r="B5307" s="49"/>
    </row>
    <row r="5308" spans="1:2" x14ac:dyDescent="0.2">
      <c r="A5308" s="49"/>
      <c r="B5308" s="49"/>
    </row>
    <row r="5309" spans="1:2" x14ac:dyDescent="0.2">
      <c r="A5309" s="49"/>
      <c r="B5309" s="49"/>
    </row>
    <row r="5310" spans="1:2" x14ac:dyDescent="0.2">
      <c r="A5310" s="49"/>
      <c r="B5310" s="49"/>
    </row>
    <row r="5311" spans="1:2" x14ac:dyDescent="0.2">
      <c r="A5311" s="49"/>
      <c r="B5311" s="49"/>
    </row>
    <row r="5312" spans="1:2" x14ac:dyDescent="0.2">
      <c r="A5312" s="49"/>
      <c r="B5312" s="49"/>
    </row>
    <row r="5313" spans="1:2" x14ac:dyDescent="0.2">
      <c r="A5313" s="49"/>
      <c r="B5313" s="49"/>
    </row>
    <row r="5314" spans="1:2" x14ac:dyDescent="0.2">
      <c r="A5314" s="49"/>
      <c r="B5314" s="49"/>
    </row>
    <row r="5315" spans="1:2" x14ac:dyDescent="0.2">
      <c r="A5315" s="49"/>
      <c r="B5315" s="49"/>
    </row>
    <row r="5316" spans="1:2" x14ac:dyDescent="0.2">
      <c r="A5316" s="49"/>
      <c r="B5316" s="49"/>
    </row>
    <row r="5317" spans="1:2" x14ac:dyDescent="0.2">
      <c r="A5317" s="49"/>
      <c r="B5317" s="49"/>
    </row>
    <row r="5318" spans="1:2" x14ac:dyDescent="0.2">
      <c r="A5318" s="49"/>
      <c r="B5318" s="49"/>
    </row>
    <row r="5319" spans="1:2" x14ac:dyDescent="0.2">
      <c r="A5319" s="49"/>
      <c r="B5319" s="49"/>
    </row>
    <row r="5320" spans="1:2" x14ac:dyDescent="0.2">
      <c r="A5320" s="49"/>
      <c r="B5320" s="49"/>
    </row>
    <row r="5321" spans="1:2" x14ac:dyDescent="0.2">
      <c r="A5321" s="49"/>
      <c r="B5321" s="49"/>
    </row>
    <row r="5322" spans="1:2" x14ac:dyDescent="0.2">
      <c r="A5322" s="49"/>
      <c r="B5322" s="49"/>
    </row>
    <row r="5323" spans="1:2" x14ac:dyDescent="0.2">
      <c r="A5323" s="49"/>
      <c r="B5323" s="49"/>
    </row>
    <row r="5324" spans="1:2" x14ac:dyDescent="0.2">
      <c r="A5324" s="49"/>
      <c r="B5324" s="49"/>
    </row>
    <row r="5325" spans="1:2" x14ac:dyDescent="0.2">
      <c r="A5325" s="49"/>
      <c r="B5325" s="49"/>
    </row>
    <row r="5326" spans="1:2" x14ac:dyDescent="0.2">
      <c r="A5326" s="49"/>
      <c r="B5326" s="49"/>
    </row>
    <row r="5327" spans="1:2" x14ac:dyDescent="0.2">
      <c r="A5327" s="49"/>
      <c r="B5327" s="49"/>
    </row>
    <row r="5328" spans="1:2" x14ac:dyDescent="0.2">
      <c r="A5328" s="49"/>
      <c r="B5328" s="49"/>
    </row>
    <row r="5329" spans="1:2" x14ac:dyDescent="0.2">
      <c r="A5329" s="49"/>
      <c r="B5329" s="49"/>
    </row>
    <row r="5330" spans="1:2" x14ac:dyDescent="0.2">
      <c r="A5330" s="49"/>
      <c r="B5330" s="49"/>
    </row>
    <row r="5331" spans="1:2" x14ac:dyDescent="0.2">
      <c r="A5331" s="49"/>
      <c r="B5331" s="49"/>
    </row>
    <row r="5332" spans="1:2" x14ac:dyDescent="0.2">
      <c r="A5332" s="49"/>
      <c r="B5332" s="49"/>
    </row>
    <row r="5333" spans="1:2" x14ac:dyDescent="0.2">
      <c r="A5333" s="49"/>
      <c r="B5333" s="49"/>
    </row>
    <row r="5334" spans="1:2" x14ac:dyDescent="0.2">
      <c r="A5334" s="49"/>
      <c r="B5334" s="49"/>
    </row>
    <row r="5335" spans="1:2" x14ac:dyDescent="0.2">
      <c r="A5335" s="49"/>
      <c r="B5335" s="49"/>
    </row>
    <row r="5336" spans="1:2" x14ac:dyDescent="0.2">
      <c r="A5336" s="49"/>
      <c r="B5336" s="49"/>
    </row>
    <row r="5337" spans="1:2" x14ac:dyDescent="0.2">
      <c r="A5337" s="49"/>
      <c r="B5337" s="49"/>
    </row>
    <row r="5338" spans="1:2" x14ac:dyDescent="0.2">
      <c r="A5338" s="49"/>
      <c r="B5338" s="49"/>
    </row>
    <row r="5339" spans="1:2" x14ac:dyDescent="0.2">
      <c r="A5339" s="49"/>
      <c r="B5339" s="49"/>
    </row>
    <row r="5340" spans="1:2" x14ac:dyDescent="0.2">
      <c r="A5340" s="49"/>
      <c r="B5340" s="49"/>
    </row>
    <row r="5341" spans="1:2" x14ac:dyDescent="0.2">
      <c r="A5341" s="49"/>
      <c r="B5341" s="49"/>
    </row>
    <row r="5342" spans="1:2" x14ac:dyDescent="0.2">
      <c r="A5342" s="49"/>
      <c r="B5342" s="49"/>
    </row>
    <row r="5343" spans="1:2" x14ac:dyDescent="0.2">
      <c r="A5343" s="49"/>
      <c r="B5343" s="49"/>
    </row>
    <row r="5344" spans="1:2" x14ac:dyDescent="0.2">
      <c r="A5344" s="49"/>
      <c r="B5344" s="49"/>
    </row>
    <row r="5345" spans="1:2" x14ac:dyDescent="0.2">
      <c r="A5345" s="49"/>
      <c r="B5345" s="49"/>
    </row>
    <row r="5346" spans="1:2" x14ac:dyDescent="0.2">
      <c r="A5346" s="49"/>
      <c r="B5346" s="49"/>
    </row>
    <row r="5347" spans="1:2" x14ac:dyDescent="0.2">
      <c r="A5347" s="49"/>
      <c r="B5347" s="49"/>
    </row>
    <row r="5348" spans="1:2" x14ac:dyDescent="0.2">
      <c r="A5348" s="49"/>
      <c r="B5348" s="49"/>
    </row>
    <row r="5349" spans="1:2" x14ac:dyDescent="0.2">
      <c r="A5349" s="49"/>
      <c r="B5349" s="49"/>
    </row>
    <row r="5350" spans="1:2" x14ac:dyDescent="0.2">
      <c r="A5350" s="49"/>
      <c r="B5350" s="49"/>
    </row>
    <row r="5351" spans="1:2" x14ac:dyDescent="0.2">
      <c r="A5351" s="49"/>
      <c r="B5351" s="49"/>
    </row>
    <row r="5352" spans="1:2" x14ac:dyDescent="0.2">
      <c r="A5352" s="49"/>
      <c r="B5352" s="49"/>
    </row>
    <row r="5353" spans="1:2" x14ac:dyDescent="0.2">
      <c r="A5353" s="49"/>
      <c r="B5353" s="49"/>
    </row>
    <row r="5354" spans="1:2" x14ac:dyDescent="0.2">
      <c r="A5354" s="49"/>
      <c r="B5354" s="49"/>
    </row>
    <row r="5355" spans="1:2" x14ac:dyDescent="0.2">
      <c r="A5355" s="49"/>
      <c r="B5355" s="49"/>
    </row>
    <row r="5356" spans="1:2" x14ac:dyDescent="0.2">
      <c r="A5356" s="49"/>
      <c r="B5356" s="49"/>
    </row>
    <row r="5357" spans="1:2" x14ac:dyDescent="0.2">
      <c r="A5357" s="49"/>
      <c r="B5357" s="49"/>
    </row>
    <row r="5358" spans="1:2" x14ac:dyDescent="0.2">
      <c r="A5358" s="49"/>
      <c r="B5358" s="49"/>
    </row>
    <row r="5359" spans="1:2" x14ac:dyDescent="0.2">
      <c r="A5359" s="49"/>
      <c r="B5359" s="49"/>
    </row>
    <row r="5360" spans="1:2" x14ac:dyDescent="0.2">
      <c r="A5360" s="49"/>
      <c r="B5360" s="49"/>
    </row>
    <row r="5361" spans="1:2" x14ac:dyDescent="0.2">
      <c r="A5361" s="49"/>
      <c r="B5361" s="49"/>
    </row>
    <row r="5362" spans="1:2" x14ac:dyDescent="0.2">
      <c r="A5362" s="49"/>
      <c r="B5362" s="49"/>
    </row>
    <row r="5363" spans="1:2" x14ac:dyDescent="0.2">
      <c r="A5363" s="49"/>
      <c r="B5363" s="49"/>
    </row>
    <row r="5364" spans="1:2" x14ac:dyDescent="0.2">
      <c r="A5364" s="49"/>
      <c r="B5364" s="49"/>
    </row>
    <row r="5365" spans="1:2" x14ac:dyDescent="0.2">
      <c r="A5365" s="49"/>
      <c r="B5365" s="49"/>
    </row>
    <row r="5366" spans="1:2" x14ac:dyDescent="0.2">
      <c r="A5366" s="49"/>
      <c r="B5366" s="49"/>
    </row>
    <row r="5367" spans="1:2" x14ac:dyDescent="0.2">
      <c r="A5367" s="49"/>
      <c r="B5367" s="49"/>
    </row>
    <row r="5368" spans="1:2" x14ac:dyDescent="0.2">
      <c r="A5368" s="49"/>
      <c r="B5368" s="49"/>
    </row>
    <row r="5369" spans="1:2" x14ac:dyDescent="0.2">
      <c r="A5369" s="49"/>
      <c r="B5369" s="49"/>
    </row>
    <row r="5370" spans="1:2" x14ac:dyDescent="0.2">
      <c r="A5370" s="49"/>
      <c r="B5370" s="49"/>
    </row>
    <row r="5371" spans="1:2" x14ac:dyDescent="0.2">
      <c r="A5371" s="49"/>
      <c r="B5371" s="49"/>
    </row>
    <row r="5372" spans="1:2" x14ac:dyDescent="0.2">
      <c r="A5372" s="49"/>
      <c r="B5372" s="49"/>
    </row>
    <row r="5373" spans="1:2" x14ac:dyDescent="0.2">
      <c r="A5373" s="49"/>
      <c r="B5373" s="49"/>
    </row>
    <row r="5374" spans="1:2" x14ac:dyDescent="0.2">
      <c r="A5374" s="49"/>
      <c r="B5374" s="49"/>
    </row>
    <row r="5375" spans="1:2" x14ac:dyDescent="0.2">
      <c r="A5375" s="49"/>
      <c r="B5375" s="49"/>
    </row>
    <row r="5376" spans="1:2" x14ac:dyDescent="0.2">
      <c r="A5376" s="49"/>
      <c r="B5376" s="49"/>
    </row>
    <row r="5377" spans="1:2" x14ac:dyDescent="0.2">
      <c r="A5377" s="49"/>
      <c r="B5377" s="49"/>
    </row>
    <row r="5378" spans="1:2" x14ac:dyDescent="0.2">
      <c r="A5378" s="49"/>
      <c r="B5378" s="49"/>
    </row>
    <row r="5379" spans="1:2" x14ac:dyDescent="0.2">
      <c r="A5379" s="49"/>
      <c r="B5379" s="49"/>
    </row>
    <row r="5380" spans="1:2" x14ac:dyDescent="0.2">
      <c r="A5380" s="49"/>
      <c r="B5380" s="49"/>
    </row>
    <row r="5381" spans="1:2" x14ac:dyDescent="0.2">
      <c r="A5381" s="49"/>
      <c r="B5381" s="49"/>
    </row>
    <row r="5382" spans="1:2" x14ac:dyDescent="0.2">
      <c r="A5382" s="49"/>
      <c r="B5382" s="49"/>
    </row>
    <row r="5383" spans="1:2" x14ac:dyDescent="0.2">
      <c r="A5383" s="49"/>
      <c r="B5383" s="49"/>
    </row>
    <row r="5384" spans="1:2" x14ac:dyDescent="0.2">
      <c r="A5384" s="49"/>
      <c r="B5384" s="49"/>
    </row>
    <row r="5385" spans="1:2" x14ac:dyDescent="0.2">
      <c r="A5385" s="49"/>
      <c r="B5385" s="49"/>
    </row>
    <row r="5386" spans="1:2" x14ac:dyDescent="0.2">
      <c r="A5386" s="49"/>
      <c r="B5386" s="49"/>
    </row>
    <row r="5387" spans="1:2" x14ac:dyDescent="0.2">
      <c r="A5387" s="49"/>
      <c r="B5387" s="49"/>
    </row>
    <row r="5388" spans="1:2" x14ac:dyDescent="0.2">
      <c r="A5388" s="49"/>
      <c r="B5388" s="49"/>
    </row>
    <row r="5389" spans="1:2" x14ac:dyDescent="0.2">
      <c r="A5389" s="49"/>
      <c r="B5389" s="49"/>
    </row>
    <row r="5390" spans="1:2" x14ac:dyDescent="0.2">
      <c r="A5390" s="49"/>
      <c r="B5390" s="49"/>
    </row>
    <row r="5391" spans="1:2" x14ac:dyDescent="0.2">
      <c r="A5391" s="49"/>
      <c r="B5391" s="49"/>
    </row>
    <row r="5392" spans="1:2" x14ac:dyDescent="0.2">
      <c r="A5392" s="49"/>
      <c r="B5392" s="49"/>
    </row>
    <row r="5393" spans="1:7" x14ac:dyDescent="0.2">
      <c r="A5393" s="49"/>
      <c r="B5393" s="49"/>
    </row>
    <row r="5394" spans="1:7" x14ac:dyDescent="0.2">
      <c r="A5394" s="49"/>
      <c r="B5394" s="49"/>
    </row>
    <row r="5395" spans="1:7" x14ac:dyDescent="0.2">
      <c r="A5395" s="49"/>
      <c r="B5395" s="49"/>
    </row>
    <row r="5396" spans="1:7" x14ac:dyDescent="0.2">
      <c r="A5396" s="49"/>
      <c r="B5396" s="49"/>
    </row>
    <row r="5397" spans="1:7" x14ac:dyDescent="0.2">
      <c r="A5397" s="49"/>
      <c r="B5397" s="49"/>
    </row>
    <row r="5398" spans="1:7" x14ac:dyDescent="0.2">
      <c r="A5398" s="49"/>
      <c r="B5398" s="49"/>
    </row>
    <row r="5399" spans="1:7" x14ac:dyDescent="0.2">
      <c r="A5399" s="49"/>
      <c r="B5399" s="49"/>
    </row>
    <row r="5400" spans="1:7" x14ac:dyDescent="0.2">
      <c r="A5400" s="49"/>
      <c r="B5400" s="49"/>
    </row>
    <row r="5401" spans="1:7" x14ac:dyDescent="0.2">
      <c r="A5401" s="49"/>
      <c r="B5401" s="49"/>
    </row>
    <row r="5402" spans="1:7" x14ac:dyDescent="0.2">
      <c r="A5402" s="49"/>
      <c r="B5402" s="49"/>
    </row>
    <row r="5403" spans="1:7" x14ac:dyDescent="0.2">
      <c r="A5403" s="49"/>
      <c r="B5403" s="49"/>
    </row>
    <row r="5404" spans="1:7" x14ac:dyDescent="0.2">
      <c r="A5404" s="49"/>
      <c r="B5404" s="49"/>
      <c r="C5404" s="49"/>
      <c r="D5404" s="49"/>
      <c r="E5404" s="49"/>
      <c r="F5404" s="49"/>
      <c r="G5404" s="49"/>
    </row>
    <row r="5405" spans="1:7" x14ac:dyDescent="0.2">
      <c r="A5405" s="49"/>
      <c r="B5405" s="49"/>
    </row>
    <row r="5406" spans="1:7" x14ac:dyDescent="0.2">
      <c r="A5406" s="49"/>
      <c r="B5406" s="49"/>
    </row>
    <row r="5407" spans="1:7" x14ac:dyDescent="0.2">
      <c r="A5407" s="49"/>
      <c r="B5407" s="49"/>
    </row>
    <row r="5408" spans="1:7" x14ac:dyDescent="0.2">
      <c r="A5408" s="49"/>
      <c r="B5408" s="49"/>
    </row>
    <row r="5409" spans="1:2" x14ac:dyDescent="0.2">
      <c r="A5409" s="49"/>
      <c r="B5409" s="49"/>
    </row>
    <row r="5410" spans="1:2" x14ac:dyDescent="0.2">
      <c r="A5410" s="49"/>
      <c r="B5410" s="49"/>
    </row>
    <row r="5411" spans="1:2" x14ac:dyDescent="0.2">
      <c r="A5411" s="49"/>
      <c r="B5411" s="49"/>
    </row>
    <row r="5412" spans="1:2" x14ac:dyDescent="0.2">
      <c r="A5412" s="49"/>
      <c r="B5412" s="49"/>
    </row>
    <row r="5413" spans="1:2" x14ac:dyDescent="0.2">
      <c r="A5413" s="49"/>
      <c r="B5413" s="49"/>
    </row>
    <row r="5414" spans="1:2" x14ac:dyDescent="0.2">
      <c r="A5414" s="49"/>
      <c r="B5414" s="49"/>
    </row>
    <row r="5415" spans="1:2" x14ac:dyDescent="0.2">
      <c r="A5415" s="49"/>
      <c r="B5415" s="49"/>
    </row>
    <row r="5416" spans="1:2" x14ac:dyDescent="0.2">
      <c r="A5416" s="49"/>
      <c r="B5416" s="49"/>
    </row>
    <row r="5417" spans="1:2" x14ac:dyDescent="0.2">
      <c r="A5417" s="49"/>
      <c r="B5417" s="49"/>
    </row>
    <row r="5418" spans="1:2" x14ac:dyDescent="0.2">
      <c r="A5418" s="49"/>
      <c r="B5418" s="49"/>
    </row>
    <row r="5419" spans="1:2" x14ac:dyDescent="0.2">
      <c r="A5419" s="49"/>
      <c r="B5419" s="49"/>
    </row>
    <row r="5420" spans="1:2" x14ac:dyDescent="0.2">
      <c r="A5420" s="49"/>
      <c r="B5420" s="49"/>
    </row>
    <row r="5421" spans="1:2" x14ac:dyDescent="0.2">
      <c r="A5421" s="49"/>
      <c r="B5421" s="49"/>
    </row>
    <row r="5422" spans="1:2" x14ac:dyDescent="0.2">
      <c r="A5422" s="49"/>
      <c r="B5422" s="49"/>
    </row>
    <row r="5423" spans="1:2" x14ac:dyDescent="0.2">
      <c r="A5423" s="49"/>
      <c r="B5423" s="49"/>
    </row>
    <row r="5424" spans="1:2" x14ac:dyDescent="0.2">
      <c r="A5424" s="49"/>
      <c r="B5424" s="49"/>
    </row>
    <row r="5425" spans="1:2" x14ac:dyDescent="0.2">
      <c r="A5425" s="49"/>
      <c r="B5425" s="49"/>
    </row>
    <row r="5426" spans="1:2" x14ac:dyDescent="0.2">
      <c r="A5426" s="49"/>
      <c r="B5426" s="49"/>
    </row>
    <row r="5427" spans="1:2" x14ac:dyDescent="0.2">
      <c r="A5427" s="49"/>
      <c r="B5427" s="49"/>
    </row>
    <row r="5428" spans="1:2" x14ac:dyDescent="0.2">
      <c r="A5428" s="49"/>
      <c r="B5428" s="49"/>
    </row>
    <row r="5429" spans="1:2" x14ac:dyDescent="0.2">
      <c r="A5429" s="49"/>
      <c r="B5429" s="49"/>
    </row>
    <row r="5430" spans="1:2" x14ac:dyDescent="0.2">
      <c r="A5430" s="49"/>
      <c r="B5430" s="49"/>
    </row>
    <row r="5431" spans="1:2" x14ac:dyDescent="0.2">
      <c r="A5431" s="49"/>
      <c r="B5431" s="49"/>
    </row>
    <row r="5432" spans="1:2" x14ac:dyDescent="0.2">
      <c r="A5432" s="49"/>
      <c r="B5432" s="49"/>
    </row>
    <row r="5433" spans="1:2" x14ac:dyDescent="0.2">
      <c r="A5433" s="49"/>
      <c r="B5433" s="49"/>
    </row>
    <row r="5434" spans="1:2" x14ac:dyDescent="0.2">
      <c r="A5434" s="49"/>
      <c r="B5434" s="49"/>
    </row>
    <row r="5435" spans="1:2" x14ac:dyDescent="0.2">
      <c r="A5435" s="49"/>
      <c r="B5435" s="49"/>
    </row>
    <row r="5436" spans="1:2" x14ac:dyDescent="0.2">
      <c r="A5436" s="49"/>
      <c r="B5436" s="49"/>
    </row>
    <row r="5437" spans="1:2" x14ac:dyDescent="0.2">
      <c r="A5437" s="49"/>
      <c r="B5437" s="49"/>
    </row>
    <row r="5438" spans="1:2" x14ac:dyDescent="0.2">
      <c r="A5438" s="49"/>
      <c r="B5438" s="49"/>
    </row>
    <row r="5439" spans="1:2" x14ac:dyDescent="0.2">
      <c r="A5439" s="49"/>
      <c r="B5439" s="49"/>
    </row>
    <row r="5440" spans="1:2" x14ac:dyDescent="0.2">
      <c r="A5440" s="49"/>
      <c r="B5440" s="49"/>
    </row>
    <row r="5441" spans="1:7" x14ac:dyDescent="0.2">
      <c r="A5441" s="49"/>
      <c r="B5441" s="49"/>
    </row>
    <row r="5442" spans="1:7" x14ac:dyDescent="0.2">
      <c r="A5442" s="49"/>
      <c r="B5442" s="49"/>
    </row>
    <row r="5443" spans="1:7" x14ac:dyDescent="0.2">
      <c r="A5443" s="49"/>
      <c r="B5443" s="49"/>
    </row>
    <row r="5444" spans="1:7" x14ac:dyDescent="0.2">
      <c r="A5444" s="49"/>
      <c r="B5444" s="49"/>
    </row>
    <row r="5445" spans="1:7" x14ac:dyDescent="0.2">
      <c r="A5445" s="49"/>
      <c r="B5445" s="49"/>
    </row>
    <row r="5446" spans="1:7" x14ac:dyDescent="0.2">
      <c r="A5446" s="49"/>
      <c r="B5446" s="49"/>
    </row>
    <row r="5447" spans="1:7" x14ac:dyDescent="0.2">
      <c r="A5447" s="49"/>
      <c r="B5447" s="49"/>
      <c r="C5447" s="49"/>
      <c r="D5447" s="49"/>
      <c r="E5447" s="49"/>
      <c r="F5447" s="49"/>
      <c r="G5447" s="49"/>
    </row>
    <row r="5448" spans="1:7" x14ac:dyDescent="0.2">
      <c r="A5448" s="49"/>
      <c r="B5448" s="49"/>
    </row>
    <row r="5449" spans="1:7" x14ac:dyDescent="0.2">
      <c r="A5449" s="49"/>
      <c r="B5449" s="49"/>
    </row>
    <row r="5450" spans="1:7" x14ac:dyDescent="0.2">
      <c r="A5450" s="49"/>
      <c r="B5450" s="49"/>
    </row>
    <row r="5451" spans="1:7" x14ac:dyDescent="0.2">
      <c r="A5451" s="49"/>
      <c r="B5451" s="49"/>
    </row>
    <row r="5452" spans="1:7" x14ac:dyDescent="0.2">
      <c r="A5452" s="49"/>
      <c r="B5452" s="49"/>
    </row>
    <row r="5453" spans="1:7" x14ac:dyDescent="0.2">
      <c r="A5453" s="49"/>
      <c r="B5453" s="49"/>
    </row>
    <row r="5454" spans="1:7" x14ac:dyDescent="0.2">
      <c r="A5454" s="49"/>
      <c r="B5454" s="49"/>
    </row>
    <row r="5455" spans="1:7" x14ac:dyDescent="0.2">
      <c r="A5455" s="49"/>
      <c r="B5455" s="49"/>
    </row>
    <row r="5456" spans="1:7" x14ac:dyDescent="0.2">
      <c r="A5456" s="49"/>
      <c r="B5456" s="49"/>
    </row>
    <row r="5457" spans="1:2" x14ac:dyDescent="0.2">
      <c r="A5457" s="49"/>
      <c r="B5457" s="49"/>
    </row>
    <row r="5458" spans="1:2" x14ac:dyDescent="0.2">
      <c r="A5458" s="49"/>
      <c r="B5458" s="49"/>
    </row>
    <row r="5459" spans="1:2" x14ac:dyDescent="0.2">
      <c r="A5459" s="49"/>
      <c r="B5459" s="49"/>
    </row>
    <row r="5460" spans="1:2" x14ac:dyDescent="0.2">
      <c r="A5460" s="49"/>
      <c r="B5460" s="49"/>
    </row>
    <row r="5461" spans="1:2" x14ac:dyDescent="0.2">
      <c r="A5461" s="49"/>
      <c r="B5461" s="49"/>
    </row>
    <row r="5462" spans="1:2" x14ac:dyDescent="0.2">
      <c r="A5462" s="49"/>
      <c r="B5462" s="49"/>
    </row>
    <row r="5463" spans="1:2" x14ac:dyDescent="0.2">
      <c r="A5463" s="49"/>
      <c r="B5463" s="49"/>
    </row>
    <row r="5464" spans="1:2" x14ac:dyDescent="0.2">
      <c r="A5464" s="49"/>
      <c r="B5464" s="49"/>
    </row>
    <row r="5465" spans="1:2" x14ac:dyDescent="0.2">
      <c r="A5465" s="49"/>
      <c r="B5465" s="49"/>
    </row>
    <row r="5466" spans="1:2" x14ac:dyDescent="0.2">
      <c r="A5466" s="49"/>
      <c r="B5466" s="49"/>
    </row>
    <row r="5467" spans="1:2" x14ac:dyDescent="0.2">
      <c r="A5467" s="49"/>
      <c r="B5467" s="49"/>
    </row>
    <row r="5468" spans="1:2" x14ac:dyDescent="0.2">
      <c r="A5468" s="49"/>
      <c r="B5468" s="49"/>
    </row>
    <row r="5469" spans="1:2" x14ac:dyDescent="0.2">
      <c r="A5469" s="49"/>
      <c r="B5469" s="49"/>
    </row>
    <row r="5470" spans="1:2" x14ac:dyDescent="0.2">
      <c r="A5470" s="49"/>
      <c r="B5470" s="49"/>
    </row>
    <row r="5471" spans="1:2" x14ac:dyDescent="0.2">
      <c r="A5471" s="49"/>
      <c r="B5471" s="49"/>
    </row>
    <row r="5472" spans="1:2" x14ac:dyDescent="0.2">
      <c r="A5472" s="49"/>
      <c r="B5472" s="49"/>
    </row>
    <row r="5473" spans="1:2" x14ac:dyDescent="0.2">
      <c r="A5473" s="49"/>
      <c r="B5473" s="49"/>
    </row>
    <row r="5474" spans="1:2" x14ac:dyDescent="0.2">
      <c r="A5474" s="49"/>
      <c r="B5474" s="49"/>
    </row>
    <row r="5475" spans="1:2" x14ac:dyDescent="0.2">
      <c r="A5475" s="49"/>
      <c r="B5475" s="49"/>
    </row>
    <row r="5476" spans="1:2" x14ac:dyDescent="0.2">
      <c r="A5476" s="49"/>
      <c r="B5476" s="49"/>
    </row>
    <row r="5477" spans="1:2" x14ac:dyDescent="0.2">
      <c r="A5477" s="49"/>
      <c r="B5477" s="49"/>
    </row>
    <row r="5478" spans="1:2" x14ac:dyDescent="0.2">
      <c r="A5478" s="49"/>
      <c r="B5478" s="49"/>
    </row>
    <row r="5479" spans="1:2" x14ac:dyDescent="0.2">
      <c r="A5479" s="49"/>
      <c r="B5479" s="49"/>
    </row>
    <row r="5480" spans="1:2" x14ac:dyDescent="0.2">
      <c r="A5480" s="49"/>
      <c r="B5480" s="49"/>
    </row>
    <row r="5481" spans="1:2" x14ac:dyDescent="0.2">
      <c r="A5481" s="49"/>
      <c r="B5481" s="49"/>
    </row>
    <row r="5482" spans="1:2" x14ac:dyDescent="0.2">
      <c r="A5482" s="49"/>
      <c r="B5482" s="49"/>
    </row>
    <row r="5483" spans="1:2" x14ac:dyDescent="0.2">
      <c r="A5483" s="49"/>
      <c r="B5483" s="49"/>
    </row>
    <row r="5484" spans="1:2" x14ac:dyDescent="0.2">
      <c r="A5484" s="49"/>
      <c r="B5484" s="49"/>
    </row>
    <row r="5485" spans="1:2" x14ac:dyDescent="0.2">
      <c r="A5485" s="49"/>
      <c r="B5485" s="49"/>
    </row>
    <row r="5486" spans="1:2" x14ac:dyDescent="0.2">
      <c r="A5486" s="49"/>
      <c r="B5486" s="49"/>
    </row>
    <row r="5487" spans="1:2" x14ac:dyDescent="0.2">
      <c r="A5487" s="49"/>
      <c r="B5487" s="49"/>
    </row>
    <row r="5488" spans="1:2" x14ac:dyDescent="0.2">
      <c r="A5488" s="49"/>
      <c r="B5488" s="49"/>
    </row>
    <row r="5489" spans="1:2" x14ac:dyDescent="0.2">
      <c r="A5489" s="49"/>
      <c r="B5489" s="49"/>
    </row>
    <row r="5490" spans="1:2" x14ac:dyDescent="0.2">
      <c r="A5490" s="49"/>
      <c r="B5490" s="49"/>
    </row>
    <row r="5491" spans="1:2" x14ac:dyDescent="0.2">
      <c r="A5491" s="49"/>
      <c r="B5491" s="49"/>
    </row>
    <row r="5492" spans="1:2" x14ac:dyDescent="0.2">
      <c r="A5492" s="49"/>
      <c r="B5492" s="49"/>
    </row>
    <row r="5493" spans="1:2" x14ac:dyDescent="0.2">
      <c r="A5493" s="49"/>
      <c r="B5493" s="49"/>
    </row>
    <row r="5494" spans="1:2" x14ac:dyDescent="0.2">
      <c r="A5494" s="49"/>
      <c r="B5494" s="49"/>
    </row>
    <row r="5495" spans="1:2" x14ac:dyDescent="0.2">
      <c r="A5495" s="49"/>
      <c r="B5495" s="49"/>
    </row>
    <row r="5496" spans="1:2" x14ac:dyDescent="0.2">
      <c r="A5496" s="49"/>
      <c r="B5496" s="49"/>
    </row>
    <row r="5497" spans="1:2" x14ac:dyDescent="0.2">
      <c r="A5497" s="49"/>
      <c r="B5497" s="49"/>
    </row>
    <row r="5498" spans="1:2" x14ac:dyDescent="0.2">
      <c r="A5498" s="49"/>
      <c r="B5498" s="49"/>
    </row>
    <row r="5499" spans="1:2" x14ac:dyDescent="0.2">
      <c r="A5499" s="49"/>
      <c r="B5499" s="49"/>
    </row>
    <row r="5500" spans="1:2" x14ac:dyDescent="0.2">
      <c r="A5500" s="49"/>
      <c r="B5500" s="49"/>
    </row>
    <row r="5501" spans="1:2" x14ac:dyDescent="0.2">
      <c r="A5501" s="49"/>
      <c r="B5501" s="49"/>
    </row>
    <row r="5502" spans="1:2" x14ac:dyDescent="0.2">
      <c r="A5502" s="49"/>
      <c r="B5502" s="49"/>
    </row>
    <row r="5503" spans="1:2" x14ac:dyDescent="0.2">
      <c r="A5503" s="49"/>
      <c r="B5503" s="49"/>
    </row>
    <row r="5504" spans="1:2" x14ac:dyDescent="0.2">
      <c r="A5504" s="49"/>
      <c r="B5504" s="49"/>
    </row>
    <row r="5505" spans="1:2" x14ac:dyDescent="0.2">
      <c r="A5505" s="49"/>
      <c r="B5505" s="49"/>
    </row>
    <row r="5506" spans="1:2" x14ac:dyDescent="0.2">
      <c r="A5506" s="49"/>
      <c r="B5506" s="49"/>
    </row>
    <row r="5507" spans="1:2" x14ac:dyDescent="0.2">
      <c r="A5507" s="49"/>
      <c r="B5507" s="49"/>
    </row>
    <row r="5508" spans="1:2" x14ac:dyDescent="0.2">
      <c r="A5508" s="49"/>
      <c r="B5508" s="49"/>
    </row>
    <row r="5509" spans="1:2" x14ac:dyDescent="0.2">
      <c r="A5509" s="49"/>
      <c r="B5509" s="49"/>
    </row>
    <row r="5510" spans="1:2" x14ac:dyDescent="0.2">
      <c r="A5510" s="49"/>
      <c r="B5510" s="49"/>
    </row>
    <row r="5511" spans="1:2" x14ac:dyDescent="0.2">
      <c r="A5511" s="49"/>
      <c r="B5511" s="49"/>
    </row>
    <row r="5512" spans="1:2" x14ac:dyDescent="0.2">
      <c r="A5512" s="49"/>
      <c r="B5512" s="49"/>
    </row>
    <row r="5513" spans="1:2" x14ac:dyDescent="0.2">
      <c r="A5513" s="49"/>
      <c r="B5513" s="49"/>
    </row>
    <row r="5514" spans="1:2" x14ac:dyDescent="0.2">
      <c r="A5514" s="49"/>
      <c r="B5514" s="49"/>
    </row>
    <row r="5515" spans="1:2" x14ac:dyDescent="0.2">
      <c r="A5515" s="49"/>
      <c r="B5515" s="49"/>
    </row>
    <row r="5516" spans="1:2" x14ac:dyDescent="0.2">
      <c r="A5516" s="49"/>
      <c r="B5516" s="49"/>
    </row>
    <row r="5517" spans="1:2" x14ac:dyDescent="0.2">
      <c r="A5517" s="49"/>
      <c r="B5517" s="49"/>
    </row>
    <row r="5518" spans="1:2" x14ac:dyDescent="0.2">
      <c r="A5518" s="49"/>
      <c r="B5518" s="49"/>
    </row>
    <row r="5519" spans="1:2" x14ac:dyDescent="0.2">
      <c r="A5519" s="49"/>
      <c r="B5519" s="49"/>
    </row>
    <row r="5520" spans="1:2" x14ac:dyDescent="0.2">
      <c r="A5520" s="49"/>
      <c r="B5520" s="49"/>
    </row>
    <row r="5521" spans="1:2" x14ac:dyDescent="0.2">
      <c r="A5521" s="49"/>
      <c r="B5521" s="49"/>
    </row>
    <row r="5522" spans="1:2" x14ac:dyDescent="0.2">
      <c r="A5522" s="49"/>
      <c r="B5522" s="49"/>
    </row>
    <row r="5523" spans="1:2" x14ac:dyDescent="0.2">
      <c r="A5523" s="49"/>
      <c r="B5523" s="49"/>
    </row>
    <row r="5524" spans="1:2" x14ac:dyDescent="0.2">
      <c r="A5524" s="49"/>
      <c r="B5524" s="49"/>
    </row>
    <row r="5525" spans="1:2" x14ac:dyDescent="0.2">
      <c r="A5525" s="49"/>
      <c r="B5525" s="49"/>
    </row>
    <row r="5526" spans="1:2" x14ac:dyDescent="0.2">
      <c r="A5526" s="49"/>
      <c r="B5526" s="49"/>
    </row>
    <row r="5527" spans="1:2" x14ac:dyDescent="0.2">
      <c r="A5527" s="49"/>
      <c r="B5527" s="49"/>
    </row>
    <row r="5528" spans="1:2" x14ac:dyDescent="0.2">
      <c r="A5528" s="49"/>
      <c r="B5528" s="49"/>
    </row>
    <row r="5529" spans="1:2" x14ac:dyDescent="0.2">
      <c r="A5529" s="49"/>
      <c r="B5529" s="49"/>
    </row>
    <row r="5530" spans="1:2" x14ac:dyDescent="0.2">
      <c r="A5530" s="49"/>
      <c r="B5530" s="49"/>
    </row>
    <row r="5531" spans="1:2" x14ac:dyDescent="0.2">
      <c r="A5531" s="49"/>
      <c r="B5531" s="49"/>
    </row>
    <row r="5532" spans="1:2" x14ac:dyDescent="0.2">
      <c r="A5532" s="49"/>
      <c r="B5532" s="49"/>
    </row>
    <row r="5533" spans="1:2" x14ac:dyDescent="0.2">
      <c r="A5533" s="49"/>
      <c r="B5533" s="49"/>
    </row>
    <row r="5534" spans="1:2" x14ac:dyDescent="0.2">
      <c r="A5534" s="49"/>
      <c r="B5534" s="49"/>
    </row>
    <row r="5535" spans="1:2" x14ac:dyDescent="0.2">
      <c r="A5535" s="49"/>
      <c r="B5535" s="49"/>
    </row>
    <row r="5536" spans="1:2" x14ac:dyDescent="0.2">
      <c r="A5536" s="49"/>
      <c r="B5536" s="49"/>
    </row>
    <row r="5537" spans="1:2" x14ac:dyDescent="0.2">
      <c r="A5537" s="49"/>
      <c r="B5537" s="49"/>
    </row>
    <row r="5538" spans="1:2" x14ac:dyDescent="0.2">
      <c r="A5538" s="49"/>
      <c r="B5538" s="49"/>
    </row>
    <row r="5539" spans="1:2" x14ac:dyDescent="0.2">
      <c r="A5539" s="49"/>
      <c r="B5539" s="49"/>
    </row>
    <row r="5540" spans="1:2" x14ac:dyDescent="0.2">
      <c r="A5540" s="49"/>
      <c r="B5540" s="49"/>
    </row>
    <row r="5541" spans="1:2" x14ac:dyDescent="0.2">
      <c r="A5541" s="49"/>
      <c r="B5541" s="49"/>
    </row>
    <row r="5542" spans="1:2" x14ac:dyDescent="0.2">
      <c r="A5542" s="49"/>
      <c r="B5542" s="49"/>
    </row>
    <row r="5543" spans="1:2" x14ac:dyDescent="0.2">
      <c r="A5543" s="49"/>
      <c r="B5543" s="49"/>
    </row>
    <row r="5544" spans="1:2" x14ac:dyDescent="0.2">
      <c r="A5544" s="49"/>
      <c r="B5544" s="49"/>
    </row>
    <row r="5545" spans="1:2" x14ac:dyDescent="0.2">
      <c r="A5545" s="49"/>
      <c r="B5545" s="49"/>
    </row>
    <row r="5546" spans="1:2" x14ac:dyDescent="0.2">
      <c r="A5546" s="49"/>
      <c r="B5546" s="49"/>
    </row>
    <row r="5547" spans="1:2" x14ac:dyDescent="0.2">
      <c r="A5547" s="49"/>
      <c r="B5547" s="49"/>
    </row>
    <row r="5548" spans="1:2" x14ac:dyDescent="0.2">
      <c r="A5548" s="49"/>
      <c r="B5548" s="49"/>
    </row>
    <row r="5549" spans="1:2" x14ac:dyDescent="0.2">
      <c r="A5549" s="49"/>
      <c r="B5549" s="49"/>
    </row>
    <row r="5550" spans="1:2" x14ac:dyDescent="0.2">
      <c r="A5550" s="49"/>
      <c r="B5550" s="49"/>
    </row>
    <row r="5551" spans="1:2" x14ac:dyDescent="0.2">
      <c r="A5551" s="49"/>
      <c r="B5551" s="49"/>
    </row>
    <row r="5552" spans="1:2" x14ac:dyDescent="0.2">
      <c r="A5552" s="49"/>
      <c r="B5552" s="49"/>
    </row>
    <row r="5553" spans="1:2" x14ac:dyDescent="0.2">
      <c r="A5553" s="49"/>
      <c r="B5553" s="49"/>
    </row>
    <row r="5554" spans="1:2" x14ac:dyDescent="0.2">
      <c r="A5554" s="49"/>
      <c r="B5554" s="49"/>
    </row>
    <row r="5555" spans="1:2" x14ac:dyDescent="0.2">
      <c r="A5555" s="49"/>
      <c r="B5555" s="49"/>
    </row>
    <row r="5556" spans="1:2" x14ac:dyDescent="0.2">
      <c r="A5556" s="49"/>
      <c r="B5556" s="49"/>
    </row>
    <row r="5557" spans="1:2" x14ac:dyDescent="0.2">
      <c r="A5557" s="49"/>
      <c r="B5557" s="49"/>
    </row>
    <row r="5558" spans="1:2" x14ac:dyDescent="0.2">
      <c r="A5558" s="49"/>
      <c r="B5558" s="49"/>
    </row>
    <row r="5559" spans="1:2" x14ac:dyDescent="0.2">
      <c r="A5559" s="49"/>
      <c r="B5559" s="49"/>
    </row>
    <row r="5560" spans="1:2" x14ac:dyDescent="0.2">
      <c r="A5560" s="49"/>
      <c r="B5560" s="49"/>
    </row>
    <row r="5561" spans="1:2" x14ac:dyDescent="0.2">
      <c r="A5561" s="49"/>
      <c r="B5561" s="49"/>
    </row>
    <row r="5562" spans="1:2" x14ac:dyDescent="0.2">
      <c r="A5562" s="49"/>
      <c r="B5562" s="49"/>
    </row>
    <row r="5563" spans="1:2" x14ac:dyDescent="0.2">
      <c r="A5563" s="49"/>
      <c r="B5563" s="49"/>
    </row>
    <row r="5564" spans="1:2" x14ac:dyDescent="0.2">
      <c r="A5564" s="49"/>
      <c r="B5564" s="49"/>
    </row>
    <row r="5565" spans="1:2" x14ac:dyDescent="0.2">
      <c r="A5565" s="49"/>
      <c r="B5565" s="49"/>
    </row>
    <row r="5566" spans="1:2" x14ac:dyDescent="0.2">
      <c r="A5566" s="49"/>
      <c r="B5566" s="49"/>
    </row>
    <row r="5567" spans="1:2" x14ac:dyDescent="0.2">
      <c r="A5567" s="49"/>
      <c r="B5567" s="49"/>
    </row>
    <row r="5568" spans="1:2" x14ac:dyDescent="0.2">
      <c r="A5568" s="49"/>
      <c r="B5568" s="49"/>
    </row>
    <row r="5569" spans="1:2" x14ac:dyDescent="0.2">
      <c r="A5569" s="49"/>
      <c r="B5569" s="49"/>
    </row>
    <row r="5570" spans="1:2" x14ac:dyDescent="0.2">
      <c r="A5570" s="49"/>
      <c r="B5570" s="49"/>
    </row>
    <row r="5571" spans="1:2" x14ac:dyDescent="0.2">
      <c r="A5571" s="49"/>
      <c r="B5571" s="49"/>
    </row>
    <row r="5572" spans="1:2" x14ac:dyDescent="0.2">
      <c r="A5572" s="49"/>
      <c r="B5572" s="49"/>
    </row>
    <row r="5573" spans="1:2" x14ac:dyDescent="0.2">
      <c r="A5573" s="49"/>
      <c r="B5573" s="49"/>
    </row>
    <row r="5574" spans="1:2" x14ac:dyDescent="0.2">
      <c r="A5574" s="49"/>
      <c r="B5574" s="49"/>
    </row>
    <row r="5575" spans="1:2" x14ac:dyDescent="0.2">
      <c r="A5575" s="49"/>
      <c r="B5575" s="49"/>
    </row>
    <row r="5576" spans="1:2" x14ac:dyDescent="0.2">
      <c r="A5576" s="49"/>
      <c r="B5576" s="49"/>
    </row>
    <row r="5577" spans="1:2" x14ac:dyDescent="0.2">
      <c r="A5577" s="49"/>
      <c r="B5577" s="49"/>
    </row>
    <row r="5578" spans="1:2" x14ac:dyDescent="0.2">
      <c r="A5578" s="49"/>
      <c r="B5578" s="49"/>
    </row>
    <row r="5579" spans="1:2" x14ac:dyDescent="0.2">
      <c r="A5579" s="49"/>
      <c r="B5579" s="49"/>
    </row>
    <row r="5580" spans="1:2" x14ac:dyDescent="0.2">
      <c r="A5580" s="49"/>
      <c r="B5580" s="49"/>
    </row>
    <row r="5581" spans="1:2" x14ac:dyDescent="0.2">
      <c r="A5581" s="49"/>
      <c r="B5581" s="49"/>
    </row>
    <row r="5582" spans="1:2" x14ac:dyDescent="0.2">
      <c r="A5582" s="49"/>
      <c r="B5582" s="49"/>
    </row>
    <row r="5583" spans="1:2" x14ac:dyDescent="0.2">
      <c r="A5583" s="49"/>
      <c r="B5583" s="49"/>
    </row>
    <row r="5584" spans="1:2" x14ac:dyDescent="0.2">
      <c r="A5584" s="49"/>
      <c r="B5584" s="49"/>
    </row>
    <row r="5585" spans="1:2" x14ac:dyDescent="0.2">
      <c r="A5585" s="49"/>
      <c r="B5585" s="49"/>
    </row>
    <row r="5586" spans="1:2" x14ac:dyDescent="0.2">
      <c r="A5586" s="49"/>
      <c r="B5586" s="49"/>
    </row>
    <row r="5587" spans="1:2" x14ac:dyDescent="0.2">
      <c r="A5587" s="49"/>
      <c r="B5587" s="49"/>
    </row>
    <row r="5588" spans="1:2" x14ac:dyDescent="0.2">
      <c r="A5588" s="49"/>
      <c r="B5588" s="49"/>
    </row>
    <row r="5589" spans="1:2" x14ac:dyDescent="0.2">
      <c r="A5589" s="49"/>
      <c r="B5589" s="49"/>
    </row>
    <row r="5590" spans="1:2" x14ac:dyDescent="0.2">
      <c r="A5590" s="49"/>
      <c r="B5590" s="49"/>
    </row>
    <row r="5591" spans="1:2" x14ac:dyDescent="0.2">
      <c r="A5591" s="49"/>
      <c r="B5591" s="49"/>
    </row>
    <row r="5592" spans="1:2" x14ac:dyDescent="0.2">
      <c r="A5592" s="49"/>
      <c r="B5592" s="49"/>
    </row>
    <row r="5593" spans="1:2" x14ac:dyDescent="0.2">
      <c r="A5593" s="49"/>
      <c r="B5593" s="49"/>
    </row>
    <row r="5594" spans="1:2" x14ac:dyDescent="0.2">
      <c r="A5594" s="49"/>
      <c r="B5594" s="49"/>
    </row>
    <row r="5595" spans="1:2" x14ac:dyDescent="0.2">
      <c r="A5595" s="49"/>
      <c r="B5595" s="49"/>
    </row>
    <row r="5596" spans="1:2" x14ac:dyDescent="0.2">
      <c r="A5596" s="49"/>
      <c r="B5596" s="49"/>
    </row>
    <row r="5597" spans="1:2" x14ac:dyDescent="0.2">
      <c r="A5597" s="49"/>
      <c r="B5597" s="49"/>
    </row>
    <row r="5609" spans="1:2" x14ac:dyDescent="0.2">
      <c r="A5609" s="49"/>
      <c r="B5609" s="49"/>
    </row>
    <row r="5610" spans="1:2" x14ac:dyDescent="0.2">
      <c r="A5610" s="49"/>
      <c r="B5610" s="49"/>
    </row>
    <row r="5611" spans="1:2" x14ac:dyDescent="0.2">
      <c r="A5611" s="49"/>
      <c r="B5611" s="49"/>
    </row>
    <row r="5612" spans="1:2" x14ac:dyDescent="0.2">
      <c r="A5612" s="49"/>
      <c r="B5612" s="49"/>
    </row>
    <row r="5613" spans="1:2" x14ac:dyDescent="0.2">
      <c r="A5613" s="49"/>
      <c r="B5613" s="49"/>
    </row>
    <row r="5614" spans="1:2" x14ac:dyDescent="0.2">
      <c r="A5614" s="49"/>
      <c r="B5614" s="49"/>
    </row>
    <row r="5615" spans="1:2" x14ac:dyDescent="0.2">
      <c r="A5615" s="49"/>
      <c r="B5615" s="49"/>
    </row>
    <row r="5708" spans="1:2" x14ac:dyDescent="0.2">
      <c r="A5708" s="49"/>
      <c r="B5708" s="49"/>
    </row>
    <row r="5709" spans="1:2" x14ac:dyDescent="0.2">
      <c r="A5709" s="49"/>
      <c r="B5709" s="49"/>
    </row>
    <row r="5710" spans="1:2" x14ac:dyDescent="0.2">
      <c r="A5710" s="49"/>
      <c r="B5710" s="49"/>
    </row>
    <row r="5711" spans="1:2" x14ac:dyDescent="0.2">
      <c r="A5711" s="49"/>
      <c r="B5711" s="49"/>
    </row>
    <row r="5757" spans="1:2" x14ac:dyDescent="0.2">
      <c r="A5757" s="49"/>
      <c r="B5757" s="49"/>
    </row>
    <row r="5873" spans="1:2" x14ac:dyDescent="0.2">
      <c r="A5873" s="49"/>
      <c r="B5873" s="49"/>
    </row>
    <row r="5884" spans="1:2" x14ac:dyDescent="0.2">
      <c r="A5884" s="49"/>
      <c r="B5884" s="49"/>
    </row>
    <row r="5885" spans="1:2" x14ac:dyDescent="0.2">
      <c r="A5885" s="49"/>
      <c r="B5885" s="49"/>
    </row>
    <row r="5886" spans="1:2" x14ac:dyDescent="0.2">
      <c r="A5886" s="49"/>
      <c r="B5886" s="49"/>
    </row>
    <row r="5887" spans="1:2" x14ac:dyDescent="0.2">
      <c r="A5887" s="49"/>
      <c r="B5887" s="49"/>
    </row>
    <row r="5888" spans="1:2" x14ac:dyDescent="0.2">
      <c r="A5888" s="49"/>
      <c r="B5888" s="49"/>
    </row>
    <row r="5889" spans="1:2" x14ac:dyDescent="0.2">
      <c r="A5889" s="49"/>
      <c r="B5889" s="49"/>
    </row>
    <row r="5890" spans="1:2" x14ac:dyDescent="0.2">
      <c r="A5890" s="49"/>
      <c r="B5890" s="49"/>
    </row>
    <row r="5891" spans="1:2" x14ac:dyDescent="0.2">
      <c r="A5891" s="49"/>
      <c r="B5891" s="49"/>
    </row>
    <row r="5892" spans="1:2" x14ac:dyDescent="0.2">
      <c r="A5892" s="49"/>
      <c r="B5892" s="49"/>
    </row>
    <row r="5894" spans="1:2" x14ac:dyDescent="0.2">
      <c r="A5894" s="49"/>
      <c r="B5894" s="49"/>
    </row>
    <row r="5895" spans="1:2" x14ac:dyDescent="0.2">
      <c r="A5895" s="49"/>
      <c r="B5895" s="49"/>
    </row>
    <row r="5896" spans="1:2" x14ac:dyDescent="0.2">
      <c r="A5896" s="49"/>
      <c r="B5896" s="49"/>
    </row>
    <row r="5897" spans="1:2" x14ac:dyDescent="0.2">
      <c r="A5897" s="49"/>
      <c r="B5897" s="49"/>
    </row>
    <row r="5898" spans="1:2" x14ac:dyDescent="0.2">
      <c r="A5898" s="49"/>
      <c r="B5898" s="49"/>
    </row>
    <row r="5899" spans="1:2" x14ac:dyDescent="0.2">
      <c r="A5899" s="49"/>
      <c r="B5899" s="49"/>
    </row>
    <row r="5900" spans="1:2" x14ac:dyDescent="0.2">
      <c r="A5900" s="49"/>
      <c r="B5900" s="49"/>
    </row>
    <row r="5901" spans="1:2" x14ac:dyDescent="0.2">
      <c r="A5901" s="49"/>
      <c r="B5901" s="49"/>
    </row>
    <row r="5902" spans="1:2" x14ac:dyDescent="0.2">
      <c r="A5902" s="49"/>
      <c r="B5902" s="49"/>
    </row>
    <row r="5903" spans="1:2" x14ac:dyDescent="0.2">
      <c r="A5903" s="49"/>
      <c r="B5903" s="49"/>
    </row>
    <row r="5904" spans="1:2" x14ac:dyDescent="0.2">
      <c r="A5904" s="49"/>
      <c r="B5904" s="49"/>
    </row>
    <row r="5905" spans="1:7" x14ac:dyDescent="0.2">
      <c r="A5905" s="49"/>
      <c r="B5905" s="49"/>
    </row>
    <row r="5906" spans="1:7" x14ac:dyDescent="0.2">
      <c r="A5906" s="49"/>
      <c r="B5906" s="49"/>
    </row>
    <row r="5907" spans="1:7" x14ac:dyDescent="0.2">
      <c r="A5907" s="49"/>
      <c r="B5907" s="49"/>
    </row>
    <row r="5908" spans="1:7" x14ac:dyDescent="0.2">
      <c r="A5908" s="49"/>
      <c r="B5908" s="49"/>
    </row>
    <row r="5909" spans="1:7" x14ac:dyDescent="0.2">
      <c r="A5909" s="49"/>
      <c r="B5909" s="49"/>
    </row>
    <row r="5910" spans="1:7" x14ac:dyDescent="0.2">
      <c r="A5910" s="49"/>
      <c r="B5910" s="49"/>
    </row>
    <row r="5912" spans="1:7" x14ac:dyDescent="0.2">
      <c r="A5912" s="49"/>
      <c r="B5912" s="49"/>
    </row>
    <row r="5914" spans="1:7" x14ac:dyDescent="0.2">
      <c r="A5914" s="49"/>
      <c r="B5914" s="49"/>
      <c r="C5914" s="49"/>
      <c r="D5914" s="49"/>
      <c r="E5914" s="49"/>
      <c r="F5914" s="49"/>
      <c r="G5914" s="49"/>
    </row>
    <row r="5915" spans="1:7" x14ac:dyDescent="0.2">
      <c r="A5915" s="49"/>
      <c r="B5915" s="49"/>
    </row>
    <row r="5916" spans="1:7" x14ac:dyDescent="0.2">
      <c r="A5916" s="49"/>
      <c r="B5916" s="49"/>
    </row>
    <row r="5917" spans="1:7" x14ac:dyDescent="0.2">
      <c r="A5917" s="49"/>
      <c r="B5917" s="49"/>
    </row>
    <row r="5918" spans="1:7" x14ac:dyDescent="0.2">
      <c r="A5918" s="49"/>
      <c r="B5918" s="49"/>
    </row>
    <row r="5919" spans="1:7" x14ac:dyDescent="0.2">
      <c r="A5919" s="49"/>
      <c r="B5919" s="49"/>
    </row>
    <row r="5920" spans="1:7" x14ac:dyDescent="0.2">
      <c r="A5920" s="49"/>
      <c r="B5920" s="49"/>
    </row>
    <row r="5921" spans="1:2" x14ac:dyDescent="0.2">
      <c r="A5921" s="49"/>
      <c r="B5921" s="49"/>
    </row>
    <row r="5922" spans="1:2" x14ac:dyDescent="0.2">
      <c r="A5922" s="49"/>
      <c r="B5922" s="49"/>
    </row>
    <row r="5923" spans="1:2" x14ac:dyDescent="0.2">
      <c r="A5923" s="49"/>
      <c r="B5923" s="49"/>
    </row>
    <row r="5924" spans="1:2" x14ac:dyDescent="0.2">
      <c r="A5924" s="49"/>
      <c r="B5924" s="49"/>
    </row>
    <row r="5925" spans="1:2" x14ac:dyDescent="0.2">
      <c r="A5925" s="49"/>
      <c r="B5925" s="49"/>
    </row>
    <row r="5926" spans="1:2" x14ac:dyDescent="0.2">
      <c r="A5926" s="49"/>
      <c r="B5926" s="49"/>
    </row>
    <row r="5927" spans="1:2" x14ac:dyDescent="0.2">
      <c r="A5927" s="49"/>
      <c r="B5927" s="49"/>
    </row>
    <row r="5928" spans="1:2" x14ac:dyDescent="0.2">
      <c r="A5928" s="49"/>
      <c r="B5928" s="49"/>
    </row>
    <row r="5929" spans="1:2" x14ac:dyDescent="0.2">
      <c r="A5929" s="49"/>
      <c r="B5929" s="49"/>
    </row>
    <row r="5930" spans="1:2" x14ac:dyDescent="0.2">
      <c r="A5930" s="49"/>
      <c r="B5930" s="49"/>
    </row>
    <row r="5931" spans="1:2" x14ac:dyDescent="0.2">
      <c r="A5931" s="49"/>
      <c r="B5931" s="49"/>
    </row>
    <row r="5932" spans="1:2" x14ac:dyDescent="0.2">
      <c r="A5932" s="49"/>
      <c r="B5932" s="49"/>
    </row>
    <row r="5933" spans="1:2" x14ac:dyDescent="0.2">
      <c r="A5933" s="49"/>
      <c r="B5933" s="49"/>
    </row>
    <row r="5934" spans="1:2" x14ac:dyDescent="0.2">
      <c r="A5934" s="49"/>
      <c r="B5934" s="49"/>
    </row>
    <row r="5938" spans="1:2" x14ac:dyDescent="0.2">
      <c r="A5938" s="49"/>
      <c r="B5938" s="49"/>
    </row>
    <row r="5939" spans="1:2" x14ac:dyDescent="0.2">
      <c r="A5939" s="49"/>
      <c r="B5939" s="49"/>
    </row>
    <row r="5940" spans="1:2" x14ac:dyDescent="0.2">
      <c r="A5940" s="49"/>
      <c r="B5940" s="49"/>
    </row>
    <row r="5941" spans="1:2" x14ac:dyDescent="0.2">
      <c r="A5941" s="49"/>
      <c r="B5941" s="49"/>
    </row>
    <row r="5942" spans="1:2" x14ac:dyDescent="0.2">
      <c r="A5942" s="49"/>
      <c r="B5942" s="49"/>
    </row>
    <row r="5943" spans="1:2" x14ac:dyDescent="0.2">
      <c r="A5943" s="49"/>
      <c r="B5943" s="49"/>
    </row>
    <row r="5944" spans="1:2" x14ac:dyDescent="0.2">
      <c r="A5944" s="49"/>
      <c r="B5944" s="49"/>
    </row>
    <row r="5945" spans="1:2" x14ac:dyDescent="0.2">
      <c r="A5945" s="49"/>
      <c r="B5945" s="49"/>
    </row>
    <row r="5946" spans="1:2" x14ac:dyDescent="0.2">
      <c r="A5946" s="49"/>
      <c r="B5946" s="49"/>
    </row>
    <row r="5947" spans="1:2" x14ac:dyDescent="0.2">
      <c r="A5947" s="49"/>
      <c r="B5947" s="49"/>
    </row>
    <row r="5948" spans="1:2" x14ac:dyDescent="0.2">
      <c r="A5948" s="49"/>
      <c r="B5948" s="49"/>
    </row>
    <row r="5949" spans="1:2" x14ac:dyDescent="0.2">
      <c r="A5949" s="49"/>
      <c r="B5949" s="49"/>
    </row>
    <row r="5952" spans="1:2" x14ac:dyDescent="0.2">
      <c r="A5952" s="49"/>
      <c r="B5952" s="49"/>
    </row>
    <row r="5953" spans="1:2" x14ac:dyDescent="0.2">
      <c r="A5953" s="49"/>
      <c r="B5953" s="49"/>
    </row>
    <row r="5954" spans="1:2" x14ac:dyDescent="0.2">
      <c r="A5954" s="49"/>
      <c r="B5954" s="49"/>
    </row>
    <row r="5955" spans="1:2" x14ac:dyDescent="0.2">
      <c r="A5955" s="49"/>
      <c r="B5955" s="49"/>
    </row>
    <row r="5956" spans="1:2" x14ac:dyDescent="0.2">
      <c r="A5956" s="49"/>
      <c r="B5956" s="49"/>
    </row>
    <row r="5957" spans="1:2" x14ac:dyDescent="0.2">
      <c r="A5957" s="49"/>
      <c r="B5957" s="49"/>
    </row>
    <row r="5960" spans="1:2" x14ac:dyDescent="0.2">
      <c r="A5960" s="49"/>
      <c r="B5960" s="49"/>
    </row>
    <row r="5961" spans="1:2" x14ac:dyDescent="0.2">
      <c r="A5961" s="49"/>
      <c r="B5961" s="49"/>
    </row>
    <row r="5962" spans="1:2" x14ac:dyDescent="0.2">
      <c r="A5962" s="49"/>
      <c r="B5962" s="49"/>
    </row>
    <row r="5966" spans="1:2" x14ac:dyDescent="0.2">
      <c r="A5966" s="49"/>
      <c r="B5966" s="49"/>
    </row>
    <row r="5967" spans="1:2" x14ac:dyDescent="0.2">
      <c r="A5967" s="49"/>
      <c r="B5967" s="49"/>
    </row>
    <row r="5970" spans="1:2" x14ac:dyDescent="0.2">
      <c r="A5970" s="49"/>
      <c r="B5970" s="49"/>
    </row>
    <row r="5971" spans="1:2" x14ac:dyDescent="0.2">
      <c r="A5971" s="49"/>
      <c r="B5971" s="49"/>
    </row>
    <row r="5972" spans="1:2" x14ac:dyDescent="0.2">
      <c r="A5972" s="49"/>
      <c r="B5972" s="49"/>
    </row>
    <row r="5973" spans="1:2" x14ac:dyDescent="0.2">
      <c r="A5973" s="49"/>
      <c r="B5973" s="49"/>
    </row>
    <row r="5974" spans="1:2" x14ac:dyDescent="0.2">
      <c r="A5974" s="49"/>
      <c r="B5974" s="49"/>
    </row>
    <row r="5976" spans="1:2" x14ac:dyDescent="0.2">
      <c r="A5976" s="49"/>
      <c r="B5976" s="49"/>
    </row>
    <row r="5977" spans="1:2" x14ac:dyDescent="0.2">
      <c r="A5977" s="49"/>
      <c r="B5977" s="49"/>
    </row>
    <row r="5980" spans="1:2" x14ac:dyDescent="0.2">
      <c r="A5980" s="49"/>
      <c r="B5980" s="49"/>
    </row>
    <row r="5981" spans="1:2" x14ac:dyDescent="0.2">
      <c r="A5981" s="49"/>
      <c r="B5981" s="49"/>
    </row>
    <row r="5982" spans="1:2" x14ac:dyDescent="0.2">
      <c r="A5982" s="49"/>
      <c r="B5982" s="49"/>
    </row>
    <row r="5983" spans="1:2" x14ac:dyDescent="0.2">
      <c r="A5983" s="49"/>
      <c r="B5983" s="49"/>
    </row>
    <row r="5984" spans="1:2" x14ac:dyDescent="0.2">
      <c r="A5984" s="49"/>
      <c r="B5984" s="49"/>
    </row>
    <row r="5985" spans="1:2" x14ac:dyDescent="0.2">
      <c r="A5985" s="49"/>
      <c r="B5985" s="49"/>
    </row>
    <row r="5990" spans="1:2" x14ac:dyDescent="0.2">
      <c r="A5990" s="49"/>
      <c r="B5990" s="49"/>
    </row>
    <row r="5991" spans="1:2" x14ac:dyDescent="0.2">
      <c r="A5991" s="49"/>
      <c r="B5991" s="49"/>
    </row>
    <row r="5992" spans="1:2" x14ac:dyDescent="0.2">
      <c r="A5992" s="49"/>
      <c r="B5992" s="49"/>
    </row>
    <row r="5993" spans="1:2" x14ac:dyDescent="0.2">
      <c r="A5993" s="49"/>
      <c r="B5993" s="49"/>
    </row>
    <row r="5994" spans="1:2" x14ac:dyDescent="0.2">
      <c r="A5994" s="49"/>
      <c r="B5994" s="49"/>
    </row>
    <row r="5995" spans="1:2" x14ac:dyDescent="0.2">
      <c r="A5995" s="49"/>
      <c r="B5995" s="49"/>
    </row>
    <row r="5996" spans="1:2" x14ac:dyDescent="0.2">
      <c r="A5996" s="49"/>
      <c r="B5996" s="49"/>
    </row>
    <row r="5997" spans="1:2" x14ac:dyDescent="0.2">
      <c r="A5997" s="49"/>
      <c r="B5997" s="49"/>
    </row>
    <row r="5998" spans="1:2" x14ac:dyDescent="0.2">
      <c r="A5998" s="49"/>
      <c r="B5998" s="49"/>
    </row>
    <row r="5999" spans="1:2" x14ac:dyDescent="0.2">
      <c r="A5999" s="49"/>
      <c r="B5999" s="49"/>
    </row>
    <row r="6000" spans="1:2" x14ac:dyDescent="0.2">
      <c r="A6000" s="49"/>
      <c r="B6000" s="49"/>
    </row>
    <row r="6001" spans="1:7" x14ac:dyDescent="0.2">
      <c r="A6001" s="49"/>
      <c r="B6001" s="49"/>
    </row>
    <row r="6004" spans="1:7" x14ac:dyDescent="0.2">
      <c r="A6004" s="49"/>
      <c r="B6004" s="49"/>
    </row>
    <row r="6005" spans="1:7" x14ac:dyDescent="0.2">
      <c r="A6005" s="49"/>
      <c r="B6005" s="49"/>
    </row>
    <row r="6006" spans="1:7" x14ac:dyDescent="0.2">
      <c r="A6006" s="49"/>
      <c r="B6006" s="49"/>
    </row>
    <row r="6008" spans="1:7" x14ac:dyDescent="0.2">
      <c r="A6008" s="49"/>
      <c r="B6008" s="49"/>
    </row>
    <row r="6009" spans="1:7" x14ac:dyDescent="0.2">
      <c r="A6009" s="49"/>
      <c r="B6009" s="49"/>
    </row>
    <row r="6010" spans="1:7" x14ac:dyDescent="0.2">
      <c r="A6010" s="49"/>
      <c r="B6010" s="49"/>
    </row>
    <row r="6011" spans="1:7" x14ac:dyDescent="0.2">
      <c r="A6011" s="49"/>
      <c r="B6011" s="49"/>
    </row>
    <row r="6012" spans="1:7" x14ac:dyDescent="0.2">
      <c r="A6012" s="49"/>
      <c r="B6012" s="49"/>
      <c r="C6012" s="49"/>
      <c r="D6012" s="49"/>
      <c r="E6012" s="49"/>
      <c r="F6012" s="49"/>
      <c r="G6012" s="49"/>
    </row>
    <row r="6013" spans="1:7" x14ac:dyDescent="0.2">
      <c r="A6013" s="49"/>
      <c r="B6013" s="49"/>
      <c r="C6013" s="49"/>
      <c r="D6013" s="49"/>
      <c r="E6013" s="49"/>
      <c r="F6013" s="49"/>
      <c r="G6013" s="49"/>
    </row>
    <row r="6014" spans="1:7" x14ac:dyDescent="0.2">
      <c r="A6014" s="49"/>
      <c r="B6014" s="49"/>
    </row>
    <row r="6015" spans="1:7" x14ac:dyDescent="0.2">
      <c r="A6015" s="49"/>
      <c r="B6015" s="49"/>
    </row>
    <row r="6016" spans="1:7" x14ac:dyDescent="0.2">
      <c r="A6016" s="49"/>
      <c r="B6016" s="49"/>
    </row>
    <row r="6017" spans="1:2" x14ac:dyDescent="0.2">
      <c r="A6017" s="49"/>
      <c r="B6017" s="49"/>
    </row>
    <row r="6018" spans="1:2" x14ac:dyDescent="0.2">
      <c r="A6018" s="49"/>
      <c r="B6018" s="49"/>
    </row>
    <row r="6019" spans="1:2" x14ac:dyDescent="0.2">
      <c r="A6019" s="49"/>
      <c r="B6019" s="49"/>
    </row>
    <row r="6020" spans="1:2" x14ac:dyDescent="0.2">
      <c r="A6020" s="49"/>
      <c r="B6020" s="49"/>
    </row>
    <row r="6021" spans="1:2" x14ac:dyDescent="0.2">
      <c r="A6021" s="49"/>
      <c r="B6021" s="49"/>
    </row>
    <row r="6022" spans="1:2" x14ac:dyDescent="0.2">
      <c r="A6022" s="49"/>
      <c r="B6022" s="49"/>
    </row>
    <row r="6023" spans="1:2" x14ac:dyDescent="0.2">
      <c r="A6023" s="49"/>
      <c r="B6023" s="49"/>
    </row>
    <row r="6024" spans="1:2" x14ac:dyDescent="0.2">
      <c r="A6024" s="49"/>
      <c r="B6024" s="49"/>
    </row>
    <row r="6025" spans="1:2" x14ac:dyDescent="0.2">
      <c r="A6025" s="49"/>
      <c r="B6025" s="49"/>
    </row>
    <row r="6026" spans="1:2" x14ac:dyDescent="0.2">
      <c r="A6026" s="49"/>
      <c r="B6026" s="49"/>
    </row>
    <row r="6027" spans="1:2" x14ac:dyDescent="0.2">
      <c r="A6027" s="49"/>
      <c r="B6027" s="49"/>
    </row>
    <row r="6028" spans="1:2" x14ac:dyDescent="0.2">
      <c r="A6028" s="49"/>
      <c r="B6028" s="49"/>
    </row>
    <row r="6029" spans="1:2" x14ac:dyDescent="0.2">
      <c r="A6029" s="49"/>
      <c r="B6029" s="49"/>
    </row>
    <row r="6030" spans="1:2" x14ac:dyDescent="0.2">
      <c r="A6030" s="49"/>
      <c r="B6030" s="49"/>
    </row>
    <row r="6031" spans="1:2" x14ac:dyDescent="0.2">
      <c r="A6031" s="49"/>
      <c r="B6031" s="49"/>
    </row>
    <row r="6032" spans="1:2" x14ac:dyDescent="0.2">
      <c r="A6032" s="49"/>
      <c r="B6032" s="49"/>
    </row>
    <row r="6033" spans="1:2" x14ac:dyDescent="0.2">
      <c r="A6033" s="49"/>
      <c r="B6033" s="49"/>
    </row>
    <row r="6034" spans="1:2" x14ac:dyDescent="0.2">
      <c r="A6034" s="49"/>
      <c r="B6034" s="49"/>
    </row>
    <row r="6035" spans="1:2" x14ac:dyDescent="0.2">
      <c r="A6035" s="49"/>
      <c r="B6035" s="49"/>
    </row>
    <row r="6036" spans="1:2" x14ac:dyDescent="0.2">
      <c r="A6036" s="49"/>
      <c r="B6036" s="49"/>
    </row>
    <row r="6037" spans="1:2" x14ac:dyDescent="0.2">
      <c r="A6037" s="49"/>
      <c r="B6037" s="49"/>
    </row>
    <row r="6038" spans="1:2" x14ac:dyDescent="0.2">
      <c r="A6038" s="49"/>
      <c r="B6038" s="49"/>
    </row>
    <row r="6039" spans="1:2" x14ac:dyDescent="0.2">
      <c r="A6039" s="49"/>
      <c r="B6039" s="49"/>
    </row>
    <row r="6040" spans="1:2" x14ac:dyDescent="0.2">
      <c r="A6040" s="49"/>
      <c r="B6040" s="49"/>
    </row>
    <row r="6041" spans="1:2" x14ac:dyDescent="0.2">
      <c r="A6041" s="49"/>
      <c r="B6041" s="49"/>
    </row>
    <row r="6042" spans="1:2" x14ac:dyDescent="0.2">
      <c r="A6042" s="49"/>
      <c r="B6042" s="49"/>
    </row>
    <row r="6043" spans="1:2" x14ac:dyDescent="0.2">
      <c r="A6043" s="49"/>
      <c r="B6043" s="49"/>
    </row>
    <row r="6044" spans="1:2" x14ac:dyDescent="0.2">
      <c r="A6044" s="49"/>
      <c r="B6044" s="49"/>
    </row>
    <row r="6045" spans="1:2" x14ac:dyDescent="0.2">
      <c r="A6045" s="49"/>
      <c r="B6045" s="49"/>
    </row>
    <row r="6046" spans="1:2" x14ac:dyDescent="0.2">
      <c r="A6046" s="49"/>
      <c r="B6046" s="49"/>
    </row>
    <row r="6047" spans="1:2" x14ac:dyDescent="0.2">
      <c r="A6047" s="49"/>
      <c r="B6047" s="49"/>
    </row>
    <row r="6048" spans="1:2" x14ac:dyDescent="0.2">
      <c r="A6048" s="49"/>
      <c r="B6048" s="49"/>
    </row>
    <row r="6049" spans="1:2" x14ac:dyDescent="0.2">
      <c r="A6049" s="49"/>
      <c r="B6049" s="49"/>
    </row>
    <row r="6050" spans="1:2" x14ac:dyDescent="0.2">
      <c r="A6050" s="49"/>
      <c r="B6050" s="49"/>
    </row>
    <row r="6056" spans="1:2" x14ac:dyDescent="0.2">
      <c r="A6056" s="49"/>
      <c r="B6056" s="49"/>
    </row>
    <row r="6057" spans="1:2" x14ac:dyDescent="0.2">
      <c r="A6057" s="49"/>
      <c r="B6057" s="49"/>
    </row>
    <row r="6058" spans="1:2" x14ac:dyDescent="0.2">
      <c r="A6058" s="49"/>
      <c r="B6058" s="49"/>
    </row>
    <row r="6059" spans="1:2" x14ac:dyDescent="0.2">
      <c r="A6059" s="49"/>
      <c r="B6059" s="49"/>
    </row>
    <row r="6060" spans="1:2" x14ac:dyDescent="0.2">
      <c r="A6060" s="49"/>
      <c r="B6060" s="49"/>
    </row>
    <row r="6061" spans="1:2" x14ac:dyDescent="0.2">
      <c r="A6061" s="49"/>
      <c r="B6061" s="49"/>
    </row>
    <row r="6062" spans="1:2" x14ac:dyDescent="0.2">
      <c r="A6062" s="49"/>
      <c r="B6062" s="49"/>
    </row>
    <row r="6063" spans="1:2" x14ac:dyDescent="0.2">
      <c r="A6063" s="49"/>
      <c r="B6063" s="49"/>
    </row>
    <row r="6064" spans="1:2" x14ac:dyDescent="0.2">
      <c r="A6064" s="49"/>
      <c r="B6064" s="49"/>
    </row>
    <row r="6065" spans="1:2" x14ac:dyDescent="0.2">
      <c r="A6065" s="49"/>
      <c r="B6065" s="49"/>
    </row>
    <row r="6066" spans="1:2" x14ac:dyDescent="0.2">
      <c r="A6066" s="49"/>
      <c r="B6066" s="49"/>
    </row>
    <row r="6067" spans="1:2" x14ac:dyDescent="0.2">
      <c r="A6067" s="49"/>
      <c r="B6067" s="49"/>
    </row>
    <row r="6068" spans="1:2" x14ac:dyDescent="0.2">
      <c r="A6068" s="49"/>
      <c r="B6068" s="49"/>
    </row>
    <row r="6069" spans="1:2" x14ac:dyDescent="0.2">
      <c r="A6069" s="49"/>
      <c r="B6069" s="49"/>
    </row>
    <row r="6070" spans="1:2" x14ac:dyDescent="0.2">
      <c r="A6070" s="49"/>
      <c r="B6070" s="49"/>
    </row>
    <row r="6071" spans="1:2" x14ac:dyDescent="0.2">
      <c r="A6071" s="49"/>
      <c r="B6071" s="49"/>
    </row>
    <row r="6072" spans="1:2" x14ac:dyDescent="0.2">
      <c r="A6072" s="49"/>
      <c r="B6072" s="49"/>
    </row>
    <row r="6073" spans="1:2" x14ac:dyDescent="0.2">
      <c r="A6073" s="49"/>
      <c r="B6073" s="49"/>
    </row>
    <row r="6074" spans="1:2" x14ac:dyDescent="0.2">
      <c r="A6074" s="49"/>
      <c r="B6074" s="49"/>
    </row>
    <row r="6075" spans="1:2" x14ac:dyDescent="0.2">
      <c r="A6075" s="49"/>
      <c r="B6075" s="49"/>
    </row>
    <row r="6076" spans="1:2" x14ac:dyDescent="0.2">
      <c r="A6076" s="49"/>
      <c r="B6076" s="49"/>
    </row>
    <row r="6077" spans="1:2" x14ac:dyDescent="0.2">
      <c r="A6077" s="49"/>
      <c r="B6077" s="49"/>
    </row>
    <row r="6078" spans="1:2" x14ac:dyDescent="0.2">
      <c r="A6078" s="49"/>
      <c r="B6078" s="49"/>
    </row>
    <row r="6079" spans="1:2" x14ac:dyDescent="0.2">
      <c r="A6079" s="49"/>
      <c r="B6079" s="49"/>
    </row>
    <row r="6080" spans="1:2" x14ac:dyDescent="0.2">
      <c r="A6080" s="49"/>
      <c r="B6080" s="49"/>
    </row>
    <row r="6081" spans="1:7" x14ac:dyDescent="0.2">
      <c r="A6081" s="49"/>
      <c r="B6081" s="49"/>
    </row>
    <row r="6082" spans="1:7" x14ac:dyDescent="0.2">
      <c r="A6082" s="49"/>
      <c r="B6082" s="49"/>
    </row>
    <row r="6083" spans="1:7" x14ac:dyDescent="0.2">
      <c r="A6083" s="49"/>
      <c r="B6083" s="49"/>
    </row>
    <row r="6084" spans="1:7" x14ac:dyDescent="0.2">
      <c r="A6084" s="49"/>
      <c r="B6084" s="49"/>
    </row>
    <row r="6085" spans="1:7" x14ac:dyDescent="0.2">
      <c r="A6085" s="49"/>
      <c r="B6085" s="49"/>
    </row>
    <row r="6088" spans="1:7" x14ac:dyDescent="0.2">
      <c r="A6088" s="49"/>
      <c r="B6088" s="49"/>
    </row>
    <row r="6090" spans="1:7" x14ac:dyDescent="0.2">
      <c r="A6090" s="49"/>
      <c r="B6090" s="49"/>
    </row>
    <row r="6091" spans="1:7" x14ac:dyDescent="0.2">
      <c r="A6091" s="49"/>
      <c r="B6091" s="49"/>
    </row>
    <row r="6092" spans="1:7" x14ac:dyDescent="0.2">
      <c r="A6092" s="49"/>
      <c r="B6092" s="49"/>
    </row>
    <row r="6093" spans="1:7" x14ac:dyDescent="0.2">
      <c r="A6093" s="49"/>
      <c r="B6093" s="49"/>
      <c r="C6093" s="49"/>
      <c r="D6093" s="49"/>
      <c r="E6093" s="49"/>
      <c r="F6093" s="49"/>
      <c r="G6093" s="49"/>
    </row>
    <row r="6094" spans="1:7" x14ac:dyDescent="0.2">
      <c r="A6094" s="49"/>
      <c r="B6094" s="49"/>
    </row>
    <row r="6095" spans="1:7" x14ac:dyDescent="0.2">
      <c r="A6095" s="49"/>
      <c r="B6095" s="49"/>
    </row>
    <row r="6096" spans="1:7" x14ac:dyDescent="0.2">
      <c r="A6096" s="49"/>
      <c r="B6096" s="49"/>
    </row>
    <row r="6097" spans="1:2" x14ac:dyDescent="0.2">
      <c r="A6097" s="49"/>
      <c r="B6097" s="49"/>
    </row>
    <row r="6098" spans="1:2" x14ac:dyDescent="0.2">
      <c r="A6098" s="49"/>
      <c r="B6098" s="49"/>
    </row>
    <row r="6099" spans="1:2" x14ac:dyDescent="0.2">
      <c r="A6099" s="49"/>
      <c r="B6099" s="49"/>
    </row>
    <row r="6100" spans="1:2" x14ac:dyDescent="0.2">
      <c r="A6100" s="49"/>
      <c r="B6100" s="49"/>
    </row>
    <row r="6101" spans="1:2" x14ac:dyDescent="0.2">
      <c r="A6101" s="49"/>
      <c r="B6101" s="49"/>
    </row>
    <row r="6102" spans="1:2" x14ac:dyDescent="0.2">
      <c r="A6102" s="49"/>
      <c r="B6102" s="49"/>
    </row>
    <row r="6103" spans="1:2" x14ac:dyDescent="0.2">
      <c r="A6103" s="49"/>
      <c r="B6103" s="49"/>
    </row>
    <row r="6104" spans="1:2" x14ac:dyDescent="0.2">
      <c r="A6104" s="49"/>
      <c r="B6104" s="49"/>
    </row>
    <row r="6105" spans="1:2" x14ac:dyDescent="0.2">
      <c r="A6105" s="49"/>
      <c r="B6105" s="49"/>
    </row>
    <row r="6108" spans="1:2" x14ac:dyDescent="0.2">
      <c r="A6108" s="49"/>
      <c r="B6108" s="49"/>
    </row>
    <row r="6109" spans="1:2" x14ac:dyDescent="0.2">
      <c r="A6109" s="49"/>
      <c r="B6109" s="49"/>
    </row>
    <row r="6110" spans="1:2" x14ac:dyDescent="0.2">
      <c r="A6110" s="49"/>
      <c r="B6110" s="49"/>
    </row>
    <row r="6111" spans="1:2" x14ac:dyDescent="0.2">
      <c r="A6111" s="49"/>
      <c r="B6111" s="49"/>
    </row>
    <row r="6112" spans="1:2" x14ac:dyDescent="0.2">
      <c r="A6112" s="49"/>
      <c r="B6112" s="49"/>
    </row>
    <row r="6113" spans="1:2" x14ac:dyDescent="0.2">
      <c r="A6113" s="49"/>
      <c r="B6113" s="49"/>
    </row>
    <row r="6114" spans="1:2" x14ac:dyDescent="0.2">
      <c r="A6114" s="49"/>
      <c r="B6114" s="49"/>
    </row>
    <row r="6115" spans="1:2" x14ac:dyDescent="0.2">
      <c r="A6115" s="49"/>
      <c r="B6115" s="49"/>
    </row>
    <row r="6116" spans="1:2" x14ac:dyDescent="0.2">
      <c r="A6116" s="49"/>
      <c r="B6116" s="49"/>
    </row>
    <row r="6117" spans="1:2" x14ac:dyDescent="0.2">
      <c r="A6117" s="49"/>
      <c r="B6117" s="49"/>
    </row>
    <row r="6118" spans="1:2" x14ac:dyDescent="0.2">
      <c r="A6118" s="49"/>
      <c r="B6118" s="49"/>
    </row>
    <row r="6119" spans="1:2" x14ac:dyDescent="0.2">
      <c r="A6119" s="49"/>
      <c r="B6119" s="49"/>
    </row>
    <row r="6120" spans="1:2" x14ac:dyDescent="0.2">
      <c r="A6120" s="49"/>
      <c r="B6120" s="49"/>
    </row>
    <row r="6121" spans="1:2" x14ac:dyDescent="0.2">
      <c r="A6121" s="49"/>
      <c r="B6121" s="49"/>
    </row>
    <row r="6122" spans="1:2" x14ac:dyDescent="0.2">
      <c r="A6122" s="49"/>
      <c r="B6122" s="49"/>
    </row>
    <row r="6123" spans="1:2" x14ac:dyDescent="0.2">
      <c r="A6123" s="49"/>
      <c r="B6123" s="49"/>
    </row>
    <row r="6124" spans="1:2" x14ac:dyDescent="0.2">
      <c r="A6124" s="49"/>
      <c r="B6124" s="49"/>
    </row>
    <row r="6125" spans="1:2" x14ac:dyDescent="0.2">
      <c r="A6125" s="49"/>
      <c r="B6125" s="49"/>
    </row>
    <row r="6126" spans="1:2" x14ac:dyDescent="0.2">
      <c r="A6126" s="49"/>
      <c r="B6126" s="49"/>
    </row>
    <row r="6127" spans="1:2" x14ac:dyDescent="0.2">
      <c r="A6127" s="49"/>
      <c r="B6127" s="49"/>
    </row>
    <row r="6128" spans="1:2" x14ac:dyDescent="0.2">
      <c r="A6128" s="49"/>
      <c r="B6128" s="49"/>
    </row>
    <row r="6129" spans="1:2" x14ac:dyDescent="0.2">
      <c r="A6129" s="49"/>
      <c r="B6129" s="49"/>
    </row>
    <row r="6132" spans="1:2" x14ac:dyDescent="0.2">
      <c r="A6132" s="49"/>
      <c r="B6132" s="49"/>
    </row>
    <row r="6133" spans="1:2" x14ac:dyDescent="0.2">
      <c r="A6133" s="49"/>
      <c r="B6133" s="49"/>
    </row>
    <row r="6134" spans="1:2" x14ac:dyDescent="0.2">
      <c r="A6134" s="49"/>
      <c r="B6134" s="49"/>
    </row>
    <row r="6135" spans="1:2" x14ac:dyDescent="0.2">
      <c r="A6135" s="49"/>
      <c r="B6135" s="49"/>
    </row>
    <row r="6136" spans="1:2" x14ac:dyDescent="0.2">
      <c r="A6136" s="49"/>
      <c r="B6136" s="49"/>
    </row>
    <row r="6137" spans="1:2" x14ac:dyDescent="0.2">
      <c r="A6137" s="49"/>
      <c r="B6137" s="49"/>
    </row>
    <row r="6138" spans="1:2" x14ac:dyDescent="0.2">
      <c r="A6138" s="49"/>
      <c r="B6138" s="49"/>
    </row>
    <row r="6139" spans="1:2" x14ac:dyDescent="0.2">
      <c r="A6139" s="49"/>
      <c r="B6139" s="49"/>
    </row>
    <row r="6140" spans="1:2" x14ac:dyDescent="0.2">
      <c r="A6140" s="49"/>
      <c r="B6140" s="49"/>
    </row>
    <row r="6141" spans="1:2" x14ac:dyDescent="0.2">
      <c r="A6141" s="49"/>
      <c r="B6141" s="49"/>
    </row>
    <row r="6142" spans="1:2" x14ac:dyDescent="0.2">
      <c r="A6142" s="49"/>
      <c r="B6142" s="49"/>
    </row>
    <row r="6143" spans="1:2" x14ac:dyDescent="0.2">
      <c r="A6143" s="49"/>
      <c r="B6143" s="49"/>
    </row>
    <row r="6144" spans="1:2" x14ac:dyDescent="0.2">
      <c r="A6144" s="49"/>
      <c r="B6144" s="49"/>
    </row>
    <row r="6145" spans="1:2" x14ac:dyDescent="0.2">
      <c r="A6145" s="49"/>
      <c r="B6145" s="49"/>
    </row>
    <row r="6146" spans="1:2" x14ac:dyDescent="0.2">
      <c r="A6146" s="49"/>
      <c r="B6146" s="49"/>
    </row>
    <row r="6148" spans="1:2" x14ac:dyDescent="0.2">
      <c r="A6148" s="49"/>
      <c r="B6148" s="49"/>
    </row>
    <row r="6149" spans="1:2" x14ac:dyDescent="0.2">
      <c r="A6149" s="49"/>
      <c r="B6149" s="49"/>
    </row>
    <row r="6150" spans="1:2" x14ac:dyDescent="0.2">
      <c r="A6150" s="49"/>
      <c r="B6150" s="49"/>
    </row>
    <row r="6151" spans="1:2" x14ac:dyDescent="0.2">
      <c r="A6151" s="49"/>
      <c r="B6151" s="49"/>
    </row>
    <row r="6152" spans="1:2" x14ac:dyDescent="0.2">
      <c r="A6152" s="49"/>
      <c r="B6152" s="49"/>
    </row>
    <row r="6153" spans="1:2" x14ac:dyDescent="0.2">
      <c r="A6153" s="49"/>
      <c r="B6153" s="49"/>
    </row>
    <row r="6154" spans="1:2" x14ac:dyDescent="0.2">
      <c r="A6154" s="49"/>
      <c r="B6154" s="49"/>
    </row>
    <row r="6155" spans="1:2" x14ac:dyDescent="0.2">
      <c r="A6155" s="49"/>
      <c r="B6155" s="49"/>
    </row>
    <row r="6156" spans="1:2" x14ac:dyDescent="0.2">
      <c r="A6156" s="49"/>
      <c r="B6156" s="49"/>
    </row>
    <row r="6157" spans="1:2" x14ac:dyDescent="0.2">
      <c r="A6157" s="49"/>
      <c r="B6157" s="49"/>
    </row>
    <row r="6158" spans="1:2" x14ac:dyDescent="0.2">
      <c r="A6158" s="49"/>
      <c r="B6158" s="49"/>
    </row>
    <row r="6164" spans="1:2" x14ac:dyDescent="0.2">
      <c r="A6164" s="49"/>
      <c r="B6164" s="49"/>
    </row>
    <row r="6166" spans="1:2" x14ac:dyDescent="0.2">
      <c r="A6166" s="49"/>
      <c r="B6166" s="49"/>
    </row>
    <row r="6167" spans="1:2" x14ac:dyDescent="0.2">
      <c r="A6167" s="49"/>
      <c r="B6167" s="49"/>
    </row>
    <row r="6168" spans="1:2" x14ac:dyDescent="0.2">
      <c r="A6168" s="49"/>
      <c r="B6168" s="49"/>
    </row>
    <row r="6172" spans="1:2" x14ac:dyDescent="0.2">
      <c r="A6172" s="49"/>
      <c r="B6172" s="49"/>
    </row>
    <row r="6173" spans="1:2" x14ac:dyDescent="0.2">
      <c r="A6173" s="49"/>
      <c r="B6173" s="49"/>
    </row>
    <row r="6174" spans="1:2" x14ac:dyDescent="0.2">
      <c r="A6174" s="49"/>
      <c r="B6174" s="49"/>
    </row>
    <row r="6175" spans="1:2" x14ac:dyDescent="0.2">
      <c r="A6175" s="49"/>
      <c r="B6175" s="49"/>
    </row>
    <row r="6176" spans="1:2" x14ac:dyDescent="0.2">
      <c r="A6176" s="49"/>
      <c r="B6176" s="49"/>
    </row>
    <row r="6177" spans="1:2" x14ac:dyDescent="0.2">
      <c r="A6177" s="49"/>
      <c r="B6177" s="49"/>
    </row>
    <row r="6178" spans="1:2" x14ac:dyDescent="0.2">
      <c r="A6178" s="49"/>
      <c r="B6178" s="49"/>
    </row>
    <row r="6179" spans="1:2" x14ac:dyDescent="0.2">
      <c r="A6179" s="49"/>
      <c r="B6179" s="49"/>
    </row>
    <row r="6180" spans="1:2" x14ac:dyDescent="0.2">
      <c r="A6180" s="49"/>
      <c r="B6180" s="49"/>
    </row>
    <row r="6182" spans="1:2" x14ac:dyDescent="0.2">
      <c r="A6182" s="49"/>
      <c r="B6182" s="49"/>
    </row>
    <row r="6183" spans="1:2" x14ac:dyDescent="0.2">
      <c r="A6183" s="49"/>
      <c r="B6183" s="49"/>
    </row>
    <row r="6184" spans="1:2" x14ac:dyDescent="0.2">
      <c r="A6184" s="49"/>
      <c r="B6184" s="49"/>
    </row>
    <row r="6185" spans="1:2" x14ac:dyDescent="0.2">
      <c r="A6185" s="49"/>
      <c r="B6185" s="49"/>
    </row>
    <row r="6186" spans="1:2" x14ac:dyDescent="0.2">
      <c r="A6186" s="49"/>
      <c r="B6186" s="49"/>
    </row>
    <row r="6187" spans="1:2" x14ac:dyDescent="0.2">
      <c r="A6187" s="49"/>
      <c r="B6187" s="49"/>
    </row>
    <row r="6188" spans="1:2" x14ac:dyDescent="0.2">
      <c r="A6188" s="49"/>
      <c r="B6188" s="49"/>
    </row>
    <row r="6189" spans="1:2" x14ac:dyDescent="0.2">
      <c r="A6189" s="49"/>
      <c r="B6189" s="49"/>
    </row>
    <row r="6190" spans="1:2" x14ac:dyDescent="0.2">
      <c r="A6190" s="49"/>
      <c r="B6190" s="49"/>
    </row>
    <row r="6191" spans="1:2" x14ac:dyDescent="0.2">
      <c r="A6191" s="49"/>
      <c r="B6191" s="49"/>
    </row>
    <row r="6192" spans="1:2" x14ac:dyDescent="0.2">
      <c r="A6192" s="49"/>
      <c r="B6192" s="49"/>
    </row>
    <row r="6193" spans="1:2" x14ac:dyDescent="0.2">
      <c r="A6193" s="49"/>
      <c r="B6193" s="49"/>
    </row>
    <row r="6194" spans="1:2" x14ac:dyDescent="0.2">
      <c r="A6194" s="49"/>
      <c r="B6194" s="49"/>
    </row>
    <row r="6195" spans="1:2" x14ac:dyDescent="0.2">
      <c r="A6195" s="49"/>
      <c r="B6195" s="49"/>
    </row>
    <row r="6196" spans="1:2" x14ac:dyDescent="0.2">
      <c r="A6196" s="49"/>
      <c r="B6196" s="49"/>
    </row>
    <row r="6197" spans="1:2" x14ac:dyDescent="0.2">
      <c r="A6197" s="49"/>
      <c r="B6197" s="49"/>
    </row>
    <row r="6198" spans="1:2" x14ac:dyDescent="0.2">
      <c r="A6198" s="49"/>
      <c r="B6198" s="49"/>
    </row>
    <row r="6199" spans="1:2" x14ac:dyDescent="0.2">
      <c r="A6199" s="49"/>
      <c r="B6199" s="49"/>
    </row>
    <row r="6200" spans="1:2" x14ac:dyDescent="0.2">
      <c r="A6200" s="49"/>
      <c r="B6200" s="49"/>
    </row>
    <row r="6201" spans="1:2" x14ac:dyDescent="0.2">
      <c r="A6201" s="49"/>
      <c r="B6201" s="49"/>
    </row>
    <row r="6202" spans="1:2" x14ac:dyDescent="0.2">
      <c r="A6202" s="49"/>
      <c r="B6202" s="49"/>
    </row>
    <row r="6203" spans="1:2" x14ac:dyDescent="0.2">
      <c r="A6203" s="49"/>
      <c r="B6203" s="49"/>
    </row>
    <row r="6204" spans="1:2" x14ac:dyDescent="0.2">
      <c r="A6204" s="49"/>
      <c r="B6204" s="49"/>
    </row>
    <row r="6205" spans="1:2" x14ac:dyDescent="0.2">
      <c r="A6205" s="49"/>
      <c r="B6205" s="49"/>
    </row>
    <row r="6206" spans="1:2" x14ac:dyDescent="0.2">
      <c r="A6206" s="49"/>
      <c r="B6206" s="49"/>
    </row>
    <row r="6207" spans="1:2" x14ac:dyDescent="0.2">
      <c r="A6207" s="49"/>
      <c r="B6207" s="49"/>
    </row>
    <row r="6208" spans="1:2" x14ac:dyDescent="0.2">
      <c r="A6208" s="49"/>
      <c r="B6208" s="49"/>
    </row>
    <row r="6209" spans="1:2" x14ac:dyDescent="0.2">
      <c r="A6209" s="49"/>
      <c r="B6209" s="49"/>
    </row>
    <row r="6210" spans="1:2" x14ac:dyDescent="0.2">
      <c r="A6210" s="49"/>
      <c r="B6210" s="49"/>
    </row>
    <row r="6211" spans="1:2" x14ac:dyDescent="0.2">
      <c r="A6211" s="49"/>
      <c r="B6211" s="49"/>
    </row>
    <row r="6212" spans="1:2" x14ac:dyDescent="0.2">
      <c r="A6212" s="49"/>
      <c r="B6212" s="49"/>
    </row>
    <row r="6213" spans="1:2" x14ac:dyDescent="0.2">
      <c r="A6213" s="49"/>
      <c r="B6213" s="49"/>
    </row>
    <row r="6214" spans="1:2" x14ac:dyDescent="0.2">
      <c r="A6214" s="49"/>
      <c r="B6214" s="49"/>
    </row>
    <row r="6215" spans="1:2" x14ac:dyDescent="0.2">
      <c r="A6215" s="49"/>
      <c r="B6215" s="49"/>
    </row>
    <row r="6216" spans="1:2" x14ac:dyDescent="0.2">
      <c r="A6216" s="49"/>
      <c r="B6216" s="49"/>
    </row>
    <row r="6217" spans="1:2" x14ac:dyDescent="0.2">
      <c r="A6217" s="49"/>
      <c r="B6217" s="49"/>
    </row>
    <row r="6218" spans="1:2" x14ac:dyDescent="0.2">
      <c r="A6218" s="49"/>
      <c r="B6218" s="49"/>
    </row>
    <row r="6219" spans="1:2" x14ac:dyDescent="0.2">
      <c r="A6219" s="49"/>
      <c r="B6219" s="49"/>
    </row>
    <row r="6220" spans="1:2" x14ac:dyDescent="0.2">
      <c r="A6220" s="49"/>
      <c r="B6220" s="49"/>
    </row>
    <row r="6221" spans="1:2" x14ac:dyDescent="0.2">
      <c r="A6221" s="49"/>
      <c r="B6221" s="49"/>
    </row>
    <row r="6222" spans="1:2" x14ac:dyDescent="0.2">
      <c r="A6222" s="49"/>
      <c r="B6222" s="49"/>
    </row>
    <row r="6223" spans="1:2" x14ac:dyDescent="0.2">
      <c r="A6223" s="49"/>
      <c r="B6223" s="49"/>
    </row>
    <row r="6224" spans="1:2" x14ac:dyDescent="0.2">
      <c r="A6224" s="49"/>
      <c r="B6224" s="49"/>
    </row>
    <row r="6225" spans="1:2" x14ac:dyDescent="0.2">
      <c r="A6225" s="49"/>
      <c r="B6225" s="49"/>
    </row>
    <row r="6226" spans="1:2" x14ac:dyDescent="0.2">
      <c r="A6226" s="49"/>
      <c r="B6226" s="49"/>
    </row>
    <row r="6227" spans="1:2" x14ac:dyDescent="0.2">
      <c r="A6227" s="49"/>
      <c r="B6227" s="49"/>
    </row>
    <row r="6228" spans="1:2" x14ac:dyDescent="0.2">
      <c r="A6228" s="49"/>
      <c r="B6228" s="49"/>
    </row>
    <row r="6230" spans="1:2" x14ac:dyDescent="0.2">
      <c r="A6230" s="49"/>
      <c r="B6230" s="49"/>
    </row>
    <row r="6231" spans="1:2" x14ac:dyDescent="0.2">
      <c r="A6231" s="49"/>
      <c r="B6231" s="49"/>
    </row>
    <row r="6232" spans="1:2" x14ac:dyDescent="0.2">
      <c r="A6232" s="49"/>
      <c r="B6232" s="49"/>
    </row>
    <row r="6233" spans="1:2" x14ac:dyDescent="0.2">
      <c r="A6233" s="49"/>
      <c r="B6233" s="49"/>
    </row>
    <row r="6234" spans="1:2" x14ac:dyDescent="0.2">
      <c r="A6234" s="49"/>
      <c r="B6234" s="49"/>
    </row>
    <row r="6235" spans="1:2" x14ac:dyDescent="0.2">
      <c r="A6235" s="49"/>
      <c r="B6235" s="49"/>
    </row>
    <row r="6236" spans="1:2" x14ac:dyDescent="0.2">
      <c r="A6236" s="49"/>
      <c r="B6236" s="49"/>
    </row>
    <row r="6237" spans="1:2" x14ac:dyDescent="0.2">
      <c r="A6237" s="49"/>
      <c r="B6237" s="49"/>
    </row>
    <row r="6238" spans="1:2" x14ac:dyDescent="0.2">
      <c r="A6238" s="49"/>
      <c r="B6238" s="49"/>
    </row>
    <row r="6239" spans="1:2" x14ac:dyDescent="0.2">
      <c r="A6239" s="49"/>
      <c r="B6239" s="49"/>
    </row>
    <row r="6240" spans="1:2" x14ac:dyDescent="0.2">
      <c r="A6240" s="49"/>
      <c r="B6240" s="49"/>
    </row>
    <row r="6241" spans="1:2" x14ac:dyDescent="0.2">
      <c r="A6241" s="49"/>
      <c r="B6241" s="49"/>
    </row>
    <row r="6242" spans="1:2" x14ac:dyDescent="0.2">
      <c r="A6242" s="49"/>
      <c r="B6242" s="49"/>
    </row>
    <row r="6243" spans="1:2" x14ac:dyDescent="0.2">
      <c r="A6243" s="49"/>
      <c r="B6243" s="49"/>
    </row>
    <row r="6244" spans="1:2" x14ac:dyDescent="0.2">
      <c r="A6244" s="49"/>
      <c r="B6244" s="49"/>
    </row>
    <row r="6245" spans="1:2" x14ac:dyDescent="0.2">
      <c r="A6245" s="49"/>
      <c r="B6245" s="49"/>
    </row>
    <row r="6246" spans="1:2" x14ac:dyDescent="0.2">
      <c r="A6246" s="49"/>
      <c r="B6246" s="49"/>
    </row>
    <row r="6247" spans="1:2" x14ac:dyDescent="0.2">
      <c r="A6247" s="49"/>
      <c r="B6247" s="49"/>
    </row>
    <row r="6248" spans="1:2" x14ac:dyDescent="0.2">
      <c r="A6248" s="49"/>
      <c r="B6248" s="49"/>
    </row>
    <row r="6249" spans="1:2" x14ac:dyDescent="0.2">
      <c r="A6249" s="49"/>
      <c r="B6249" s="49"/>
    </row>
    <row r="6250" spans="1:2" x14ac:dyDescent="0.2">
      <c r="A6250" s="49"/>
      <c r="B6250" s="49"/>
    </row>
    <row r="6251" spans="1:2" x14ac:dyDescent="0.2">
      <c r="A6251" s="49"/>
      <c r="B6251" s="49"/>
    </row>
    <row r="6252" spans="1:2" x14ac:dyDescent="0.2">
      <c r="A6252" s="49"/>
      <c r="B6252" s="49"/>
    </row>
    <row r="6253" spans="1:2" x14ac:dyDescent="0.2">
      <c r="A6253" s="49"/>
      <c r="B6253" s="49"/>
    </row>
    <row r="6254" spans="1:2" x14ac:dyDescent="0.2">
      <c r="A6254" s="49"/>
      <c r="B6254" s="49"/>
    </row>
    <row r="6255" spans="1:2" x14ac:dyDescent="0.2">
      <c r="A6255" s="49"/>
      <c r="B6255" s="49"/>
    </row>
    <row r="6256" spans="1:2" x14ac:dyDescent="0.2">
      <c r="A6256" s="49"/>
      <c r="B6256" s="49"/>
    </row>
    <row r="6257" spans="1:7" x14ac:dyDescent="0.2">
      <c r="A6257" s="49"/>
      <c r="B6257" s="49"/>
    </row>
    <row r="6258" spans="1:7" x14ac:dyDescent="0.2">
      <c r="A6258" s="49"/>
      <c r="B6258" s="49"/>
    </row>
    <row r="6259" spans="1:7" x14ac:dyDescent="0.2">
      <c r="A6259" s="49"/>
      <c r="B6259" s="49"/>
    </row>
    <row r="6260" spans="1:7" x14ac:dyDescent="0.2">
      <c r="A6260" s="49"/>
      <c r="B6260" s="49"/>
    </row>
    <row r="6261" spans="1:7" x14ac:dyDescent="0.2">
      <c r="A6261" s="49"/>
      <c r="B6261" s="49"/>
      <c r="C6261" s="49"/>
      <c r="D6261" s="49"/>
      <c r="E6261" s="49"/>
      <c r="F6261" s="49"/>
      <c r="G6261" s="49"/>
    </row>
    <row r="6262" spans="1:7" x14ac:dyDescent="0.2">
      <c r="A6262" s="49"/>
      <c r="B6262" s="49"/>
    </row>
    <row r="6263" spans="1:7" x14ac:dyDescent="0.2">
      <c r="A6263" s="49"/>
      <c r="B6263" s="49"/>
    </row>
    <row r="6264" spans="1:7" x14ac:dyDescent="0.2">
      <c r="A6264" s="49"/>
      <c r="B6264" s="49"/>
    </row>
    <row r="6265" spans="1:7" x14ac:dyDescent="0.2">
      <c r="A6265" s="49"/>
      <c r="B6265" s="49"/>
    </row>
    <row r="6266" spans="1:7" x14ac:dyDescent="0.2">
      <c r="A6266" s="49"/>
      <c r="B6266" s="49"/>
    </row>
    <row r="6267" spans="1:7" x14ac:dyDescent="0.2">
      <c r="A6267" s="49"/>
      <c r="B6267" s="49"/>
    </row>
    <row r="6268" spans="1:7" x14ac:dyDescent="0.2">
      <c r="A6268" s="49"/>
      <c r="B6268" s="49"/>
    </row>
    <row r="6269" spans="1:7" x14ac:dyDescent="0.2">
      <c r="A6269" s="49"/>
      <c r="B6269" s="49"/>
    </row>
    <row r="6270" spans="1:7" x14ac:dyDescent="0.2">
      <c r="A6270" s="49"/>
      <c r="B6270" s="49"/>
    </row>
    <row r="6271" spans="1:7" x14ac:dyDescent="0.2">
      <c r="A6271" s="49"/>
      <c r="B6271" s="49"/>
    </row>
    <row r="6272" spans="1:7" x14ac:dyDescent="0.2">
      <c r="A6272" s="49"/>
      <c r="B6272" s="49"/>
    </row>
    <row r="6273" spans="1:2" x14ac:dyDescent="0.2">
      <c r="A6273" s="49"/>
      <c r="B6273" s="49"/>
    </row>
    <row r="6274" spans="1:2" x14ac:dyDescent="0.2">
      <c r="A6274" s="49"/>
      <c r="B6274" s="49"/>
    </row>
    <row r="6275" spans="1:2" x14ac:dyDescent="0.2">
      <c r="A6275" s="49"/>
      <c r="B6275" s="49"/>
    </row>
    <row r="6276" spans="1:2" x14ac:dyDescent="0.2">
      <c r="A6276" s="49"/>
      <c r="B6276" s="49"/>
    </row>
    <row r="6277" spans="1:2" x14ac:dyDescent="0.2">
      <c r="A6277" s="49"/>
      <c r="B6277" s="49"/>
    </row>
    <row r="6278" spans="1:2" x14ac:dyDescent="0.2">
      <c r="A6278" s="49"/>
      <c r="B6278" s="49"/>
    </row>
    <row r="6279" spans="1:2" x14ac:dyDescent="0.2">
      <c r="A6279" s="49"/>
      <c r="B6279" s="49"/>
    </row>
    <row r="6280" spans="1:2" x14ac:dyDescent="0.2">
      <c r="A6280" s="49"/>
      <c r="B6280" s="49"/>
    </row>
    <row r="6281" spans="1:2" x14ac:dyDescent="0.2">
      <c r="A6281" s="49"/>
      <c r="B6281" s="49"/>
    </row>
    <row r="6282" spans="1:2" x14ac:dyDescent="0.2">
      <c r="A6282" s="49"/>
      <c r="B6282" s="49"/>
    </row>
    <row r="6283" spans="1:2" x14ac:dyDescent="0.2">
      <c r="A6283" s="49"/>
      <c r="B6283" s="49"/>
    </row>
    <row r="6284" spans="1:2" x14ac:dyDescent="0.2">
      <c r="A6284" s="49"/>
      <c r="B6284" s="49"/>
    </row>
    <row r="6285" spans="1:2" x14ac:dyDescent="0.2">
      <c r="A6285" s="49"/>
      <c r="B6285" s="49"/>
    </row>
    <row r="6286" spans="1:2" x14ac:dyDescent="0.2">
      <c r="A6286" s="49"/>
      <c r="B6286" s="49"/>
    </row>
    <row r="6287" spans="1:2" x14ac:dyDescent="0.2">
      <c r="A6287" s="49"/>
      <c r="B6287" s="49"/>
    </row>
    <row r="6288" spans="1:2" x14ac:dyDescent="0.2">
      <c r="A6288" s="49"/>
      <c r="B6288" s="49"/>
    </row>
    <row r="6289" spans="1:7" x14ac:dyDescent="0.2">
      <c r="A6289" s="49"/>
      <c r="B6289" s="49"/>
    </row>
    <row r="6290" spans="1:7" x14ac:dyDescent="0.2">
      <c r="A6290" s="49"/>
      <c r="B6290" s="49"/>
    </row>
    <row r="6291" spans="1:7" x14ac:dyDescent="0.2">
      <c r="A6291" s="49"/>
      <c r="B6291" s="49"/>
    </row>
    <row r="6292" spans="1:7" x14ac:dyDescent="0.2">
      <c r="A6292" s="49"/>
      <c r="B6292" s="49"/>
      <c r="C6292" s="49"/>
      <c r="D6292" s="49"/>
      <c r="E6292" s="49"/>
      <c r="F6292" s="49"/>
      <c r="G6292" s="49"/>
    </row>
    <row r="6293" spans="1:7" x14ac:dyDescent="0.2">
      <c r="A6293" s="49"/>
      <c r="B6293" s="49"/>
    </row>
    <row r="6294" spans="1:7" x14ac:dyDescent="0.2">
      <c r="A6294" s="49"/>
      <c r="B6294" s="49"/>
    </row>
    <row r="6295" spans="1:7" x14ac:dyDescent="0.2">
      <c r="A6295" s="49"/>
      <c r="B6295" s="49"/>
    </row>
    <row r="6296" spans="1:7" x14ac:dyDescent="0.2">
      <c r="A6296" s="49"/>
      <c r="B6296" s="49"/>
    </row>
    <row r="6297" spans="1:7" x14ac:dyDescent="0.2">
      <c r="A6297" s="49"/>
      <c r="B6297" s="49"/>
    </row>
    <row r="6298" spans="1:7" x14ac:dyDescent="0.2">
      <c r="A6298" s="49"/>
      <c r="B6298" s="49"/>
    </row>
    <row r="6299" spans="1:7" x14ac:dyDescent="0.2">
      <c r="A6299" s="49"/>
      <c r="B6299" s="49"/>
    </row>
    <row r="6300" spans="1:7" x14ac:dyDescent="0.2">
      <c r="A6300" s="49"/>
      <c r="B6300" s="49"/>
    </row>
    <row r="6301" spans="1:7" x14ac:dyDescent="0.2">
      <c r="A6301" s="49"/>
      <c r="B6301" s="49"/>
    </row>
    <row r="6302" spans="1:7" x14ac:dyDescent="0.2">
      <c r="A6302" s="49"/>
      <c r="B6302" s="49"/>
    </row>
    <row r="6304" spans="1:7" x14ac:dyDescent="0.2">
      <c r="A6304" s="49"/>
      <c r="B6304" s="49"/>
    </row>
    <row r="6306" spans="1:2" x14ac:dyDescent="0.2">
      <c r="A6306" s="49"/>
      <c r="B6306" s="49"/>
    </row>
    <row r="6307" spans="1:2" x14ac:dyDescent="0.2">
      <c r="A6307" s="49"/>
      <c r="B6307" s="49"/>
    </row>
    <row r="6310" spans="1:2" x14ac:dyDescent="0.2">
      <c r="A6310" s="49"/>
      <c r="B6310" s="49"/>
    </row>
    <row r="6312" spans="1:2" x14ac:dyDescent="0.2">
      <c r="A6312" s="49"/>
      <c r="B6312" s="49"/>
    </row>
    <row r="6314" spans="1:2" x14ac:dyDescent="0.2">
      <c r="A6314" s="49"/>
      <c r="B6314" s="49"/>
    </row>
    <row r="6315" spans="1:2" x14ac:dyDescent="0.2">
      <c r="A6315" s="49"/>
      <c r="B6315" s="49"/>
    </row>
    <row r="6318" spans="1:2" x14ac:dyDescent="0.2">
      <c r="A6318" s="49"/>
      <c r="B6318" s="49"/>
    </row>
    <row r="6319" spans="1:2" x14ac:dyDescent="0.2">
      <c r="A6319" s="49"/>
      <c r="B6319" s="49"/>
    </row>
    <row r="6320" spans="1:2" x14ac:dyDescent="0.2">
      <c r="A6320" s="49"/>
      <c r="B6320" s="49"/>
    </row>
    <row r="6321" spans="1:2" x14ac:dyDescent="0.2">
      <c r="A6321" s="49"/>
      <c r="B6321" s="49"/>
    </row>
    <row r="6322" spans="1:2" x14ac:dyDescent="0.2">
      <c r="A6322" s="49"/>
      <c r="B6322" s="49"/>
    </row>
    <row r="6323" spans="1:2" x14ac:dyDescent="0.2">
      <c r="A6323" s="49"/>
      <c r="B6323" s="49"/>
    </row>
    <row r="6324" spans="1:2" x14ac:dyDescent="0.2">
      <c r="A6324" s="49"/>
      <c r="B6324" s="49"/>
    </row>
    <row r="6325" spans="1:2" x14ac:dyDescent="0.2">
      <c r="A6325" s="49"/>
      <c r="B6325" s="49"/>
    </row>
    <row r="6334" spans="1:2" x14ac:dyDescent="0.2">
      <c r="A6334" s="49"/>
      <c r="B6334" s="49"/>
    </row>
    <row r="6335" spans="1:2" x14ac:dyDescent="0.2">
      <c r="A6335" s="49"/>
      <c r="B6335" s="49"/>
    </row>
    <row r="6336" spans="1:2" x14ac:dyDescent="0.2">
      <c r="A6336" s="49"/>
      <c r="B6336" s="49"/>
    </row>
    <row r="6337" spans="1:2" x14ac:dyDescent="0.2">
      <c r="A6337" s="49"/>
      <c r="B6337" s="49"/>
    </row>
    <row r="6338" spans="1:2" x14ac:dyDescent="0.2">
      <c r="A6338" s="49"/>
      <c r="B6338" s="49"/>
    </row>
    <row r="6339" spans="1:2" x14ac:dyDescent="0.2">
      <c r="A6339" s="49"/>
      <c r="B6339" s="49"/>
    </row>
    <row r="6342" spans="1:2" x14ac:dyDescent="0.2">
      <c r="A6342" s="49"/>
      <c r="B6342" s="49"/>
    </row>
    <row r="6343" spans="1:2" x14ac:dyDescent="0.2">
      <c r="A6343" s="49"/>
      <c r="B6343" s="49"/>
    </row>
    <row r="6346" spans="1:2" x14ac:dyDescent="0.2">
      <c r="A6346" s="49"/>
      <c r="B6346" s="49"/>
    </row>
    <row r="6348" spans="1:2" x14ac:dyDescent="0.2">
      <c r="A6348" s="49"/>
      <c r="B6348" s="49"/>
    </row>
    <row r="6349" spans="1:2" x14ac:dyDescent="0.2">
      <c r="A6349" s="49"/>
      <c r="B6349" s="49"/>
    </row>
    <row r="6352" spans="1:2" x14ac:dyDescent="0.2">
      <c r="A6352" s="49"/>
      <c r="B6352" s="49"/>
    </row>
    <row r="6353" spans="1:2" x14ac:dyDescent="0.2">
      <c r="A6353" s="49"/>
      <c r="B6353" s="49"/>
    </row>
    <row r="6354" spans="1:2" x14ac:dyDescent="0.2">
      <c r="A6354" s="49"/>
      <c r="B6354" s="49"/>
    </row>
    <row r="6355" spans="1:2" x14ac:dyDescent="0.2">
      <c r="A6355" s="49"/>
      <c r="B6355" s="49"/>
    </row>
    <row r="6360" spans="1:2" x14ac:dyDescent="0.2">
      <c r="A6360" s="49"/>
      <c r="B6360" s="49"/>
    </row>
    <row r="6362" spans="1:2" x14ac:dyDescent="0.2">
      <c r="A6362" s="49"/>
      <c r="B6362" s="49"/>
    </row>
    <row r="6364" spans="1:2" x14ac:dyDescent="0.2">
      <c r="A6364" s="49"/>
      <c r="B6364" s="49"/>
    </row>
    <row r="6366" spans="1:2" x14ac:dyDescent="0.2">
      <c r="A6366" s="49"/>
      <c r="B6366" s="49"/>
    </row>
    <row r="6368" spans="1:2" x14ac:dyDescent="0.2">
      <c r="A6368" s="49"/>
      <c r="B6368" s="49"/>
    </row>
    <row r="6370" spans="1:2" x14ac:dyDescent="0.2">
      <c r="A6370" s="49"/>
      <c r="B6370" s="49"/>
    </row>
    <row r="6372" spans="1:2" x14ac:dyDescent="0.2">
      <c r="A6372" s="49"/>
      <c r="B6372" s="49"/>
    </row>
    <row r="6373" spans="1:2" x14ac:dyDescent="0.2">
      <c r="A6373" s="49"/>
      <c r="B6373" s="49"/>
    </row>
    <row r="6376" spans="1:2" x14ac:dyDescent="0.2">
      <c r="A6376" s="49"/>
      <c r="B6376" s="49"/>
    </row>
    <row r="6377" spans="1:2" x14ac:dyDescent="0.2">
      <c r="A6377" s="49"/>
      <c r="B6377" s="49"/>
    </row>
    <row r="6380" spans="1:2" x14ac:dyDescent="0.2">
      <c r="A6380" s="49"/>
      <c r="B6380" s="49"/>
    </row>
    <row r="6382" spans="1:2" x14ac:dyDescent="0.2">
      <c r="A6382" s="49"/>
      <c r="B6382" s="49"/>
    </row>
    <row r="6384" spans="1:2" x14ac:dyDescent="0.2">
      <c r="A6384" s="49"/>
      <c r="B6384" s="49"/>
    </row>
    <row r="6385" spans="1:7" x14ac:dyDescent="0.2">
      <c r="A6385" s="49"/>
      <c r="B6385" s="49"/>
    </row>
    <row r="6388" spans="1:7" x14ac:dyDescent="0.2">
      <c r="A6388" s="49"/>
      <c r="B6388" s="49"/>
    </row>
    <row r="6390" spans="1:7" x14ac:dyDescent="0.2">
      <c r="A6390" s="49"/>
      <c r="B6390" s="49"/>
      <c r="C6390" s="49"/>
      <c r="D6390" s="49"/>
      <c r="E6390" s="49"/>
      <c r="F6390" s="49"/>
      <c r="G6390" s="49"/>
    </row>
    <row r="6392" spans="1:7" x14ac:dyDescent="0.2">
      <c r="A6392" s="49"/>
      <c r="B6392" s="49"/>
    </row>
    <row r="6394" spans="1:7" x14ac:dyDescent="0.2">
      <c r="A6394" s="49"/>
      <c r="B6394" s="49"/>
    </row>
    <row r="6396" spans="1:7" x14ac:dyDescent="0.2">
      <c r="A6396" s="49"/>
      <c r="B6396" s="49"/>
    </row>
    <row r="6398" spans="1:7" x14ac:dyDescent="0.2">
      <c r="A6398" s="49"/>
      <c r="B6398" s="49"/>
    </row>
    <row r="6400" spans="1:7" x14ac:dyDescent="0.2">
      <c r="A6400" s="49"/>
      <c r="B6400" s="49"/>
    </row>
    <row r="6402" spans="1:2" x14ac:dyDescent="0.2">
      <c r="A6402" s="49"/>
      <c r="B6402" s="49"/>
    </row>
    <row r="6403" spans="1:2" x14ac:dyDescent="0.2">
      <c r="A6403" s="49"/>
      <c r="B6403" s="49"/>
    </row>
    <row r="6404" spans="1:2" x14ac:dyDescent="0.2">
      <c r="A6404" s="49"/>
      <c r="B6404" s="49"/>
    </row>
    <row r="6405" spans="1:2" x14ac:dyDescent="0.2">
      <c r="A6405" s="49"/>
      <c r="B6405" s="49"/>
    </row>
    <row r="6406" spans="1:2" x14ac:dyDescent="0.2">
      <c r="A6406" s="49"/>
      <c r="B6406" s="49"/>
    </row>
    <row r="6407" spans="1:2" x14ac:dyDescent="0.2">
      <c r="A6407" s="49"/>
      <c r="B6407" s="49"/>
    </row>
    <row r="6408" spans="1:2" x14ac:dyDescent="0.2">
      <c r="A6408" s="49"/>
      <c r="B6408" s="49"/>
    </row>
    <row r="6416" spans="1:2" x14ac:dyDescent="0.2">
      <c r="A6416" s="49"/>
      <c r="B6416" s="49"/>
    </row>
    <row r="6417" spans="1:7" x14ac:dyDescent="0.2">
      <c r="A6417" s="49"/>
      <c r="B6417" s="49"/>
    </row>
    <row r="6418" spans="1:7" x14ac:dyDescent="0.2">
      <c r="A6418" s="49"/>
      <c r="B6418" s="49"/>
    </row>
    <row r="6419" spans="1:7" x14ac:dyDescent="0.2">
      <c r="A6419" s="49"/>
      <c r="B6419" s="49"/>
    </row>
    <row r="6420" spans="1:7" x14ac:dyDescent="0.2">
      <c r="A6420" s="49"/>
      <c r="B6420" s="49"/>
      <c r="C6420" s="49"/>
      <c r="D6420" s="49"/>
      <c r="E6420" s="49"/>
      <c r="F6420" s="49"/>
      <c r="G6420" s="49"/>
    </row>
    <row r="6426" spans="1:7" x14ac:dyDescent="0.2">
      <c r="A6426" s="49"/>
      <c r="B6426" s="49"/>
    </row>
    <row r="6427" spans="1:7" x14ac:dyDescent="0.2">
      <c r="A6427" s="49"/>
      <c r="B6427" s="49"/>
    </row>
    <row r="6428" spans="1:7" x14ac:dyDescent="0.2">
      <c r="A6428" s="49"/>
      <c r="B6428" s="49"/>
    </row>
    <row r="6429" spans="1:7" x14ac:dyDescent="0.2">
      <c r="A6429" s="49"/>
      <c r="B6429" s="49"/>
    </row>
    <row r="6430" spans="1:7" x14ac:dyDescent="0.2">
      <c r="A6430" s="49"/>
      <c r="B6430" s="49"/>
    </row>
    <row r="6436" spans="1:2" x14ac:dyDescent="0.2">
      <c r="A6436" s="49"/>
      <c r="B6436" s="49"/>
    </row>
    <row r="6438" spans="1:2" x14ac:dyDescent="0.2">
      <c r="A6438" s="49"/>
      <c r="B6438" s="49"/>
    </row>
    <row r="6440" spans="1:2" x14ac:dyDescent="0.2">
      <c r="A6440" s="49"/>
      <c r="B6440" s="49"/>
    </row>
    <row r="6442" spans="1:2" x14ac:dyDescent="0.2">
      <c r="A6442" s="49"/>
      <c r="B6442" s="49"/>
    </row>
    <row r="6444" spans="1:2" x14ac:dyDescent="0.2">
      <c r="A6444" s="49"/>
      <c r="B6444" s="49"/>
    </row>
    <row r="6446" spans="1:2" x14ac:dyDescent="0.2">
      <c r="A6446" s="49"/>
      <c r="B6446" s="49"/>
    </row>
    <row r="6448" spans="1:2" x14ac:dyDescent="0.2">
      <c r="A6448" s="49"/>
      <c r="B6448" s="49"/>
    </row>
    <row r="6450" spans="1:2" x14ac:dyDescent="0.2">
      <c r="A6450" s="49"/>
      <c r="B6450" s="49"/>
    </row>
    <row r="6452" spans="1:2" x14ac:dyDescent="0.2">
      <c r="A6452" s="49"/>
      <c r="B6452" s="49"/>
    </row>
    <row r="6454" spans="1:2" x14ac:dyDescent="0.2">
      <c r="A6454" s="49"/>
      <c r="B6454" s="49"/>
    </row>
    <row r="6456" spans="1:2" x14ac:dyDescent="0.2">
      <c r="A6456" s="49"/>
      <c r="B6456" s="49"/>
    </row>
    <row r="6458" spans="1:2" x14ac:dyDescent="0.2">
      <c r="A6458" s="49"/>
      <c r="B6458" s="49"/>
    </row>
    <row r="6460" spans="1:2" x14ac:dyDescent="0.2">
      <c r="A6460" s="49"/>
      <c r="B6460" s="49"/>
    </row>
    <row r="6462" spans="1:2" x14ac:dyDescent="0.2">
      <c r="A6462" s="49"/>
      <c r="B6462" s="49"/>
    </row>
    <row r="6463" spans="1:2" x14ac:dyDescent="0.2">
      <c r="A6463" s="49"/>
      <c r="B6463" s="49"/>
    </row>
    <row r="6466" spans="1:7" x14ac:dyDescent="0.2">
      <c r="A6466" s="49"/>
      <c r="B6466" s="49"/>
    </row>
    <row r="6468" spans="1:7" x14ac:dyDescent="0.2">
      <c r="A6468" s="49"/>
      <c r="B6468" s="49"/>
    </row>
    <row r="6470" spans="1:7" x14ac:dyDescent="0.2">
      <c r="A6470" s="49"/>
      <c r="B6470" s="49"/>
    </row>
    <row r="6472" spans="1:7" x14ac:dyDescent="0.2">
      <c r="A6472" s="49"/>
      <c r="B6472" s="49"/>
    </row>
    <row r="6474" spans="1:7" x14ac:dyDescent="0.2">
      <c r="A6474" s="49"/>
      <c r="B6474" s="49"/>
    </row>
    <row r="6476" spans="1:7" x14ac:dyDescent="0.2">
      <c r="A6476" s="49"/>
      <c r="B6476" s="49"/>
    </row>
    <row r="6477" spans="1:7" x14ac:dyDescent="0.2">
      <c r="A6477" s="49"/>
      <c r="B6477" s="49"/>
    </row>
    <row r="6478" spans="1:7" x14ac:dyDescent="0.2">
      <c r="A6478" s="49"/>
      <c r="B6478" s="49"/>
      <c r="C6478" s="49"/>
      <c r="D6478" s="49"/>
      <c r="E6478" s="49"/>
      <c r="F6478" s="49"/>
      <c r="G6478" s="49"/>
    </row>
    <row r="6479" spans="1:7" x14ac:dyDescent="0.2">
      <c r="A6479" s="49"/>
      <c r="B6479" s="49"/>
    </row>
    <row r="6481" spans="1:2" x14ac:dyDescent="0.2">
      <c r="A6481" s="49"/>
      <c r="B6481" s="49"/>
    </row>
    <row r="6482" spans="1:2" x14ac:dyDescent="0.2">
      <c r="A6482" s="49"/>
      <c r="B6482" s="49"/>
    </row>
    <row r="6484" spans="1:2" x14ac:dyDescent="0.2">
      <c r="A6484" s="49"/>
      <c r="B6484" s="49"/>
    </row>
    <row r="6485" spans="1:2" x14ac:dyDescent="0.2">
      <c r="A6485" s="49"/>
      <c r="B6485" s="49"/>
    </row>
    <row r="6488" spans="1:2" x14ac:dyDescent="0.2">
      <c r="A6488" s="49"/>
      <c r="B6488" s="49"/>
    </row>
    <row r="6490" spans="1:2" x14ac:dyDescent="0.2">
      <c r="A6490" s="49"/>
      <c r="B6490" s="49"/>
    </row>
    <row r="6492" spans="1:2" x14ac:dyDescent="0.2">
      <c r="A6492" s="49"/>
      <c r="B6492" s="49"/>
    </row>
    <row r="6494" spans="1:2" x14ac:dyDescent="0.2">
      <c r="A6494" s="49"/>
      <c r="B6494" s="49"/>
    </row>
    <row r="6496" spans="1:2" x14ac:dyDescent="0.2">
      <c r="A6496" s="49"/>
      <c r="B6496" s="49"/>
    </row>
    <row r="6497" spans="1:2" x14ac:dyDescent="0.2">
      <c r="A6497" s="49"/>
      <c r="B6497" s="49"/>
    </row>
    <row r="6498" spans="1:2" x14ac:dyDescent="0.2">
      <c r="A6498" s="49"/>
      <c r="B6498" s="49"/>
    </row>
    <row r="6499" spans="1:2" x14ac:dyDescent="0.2">
      <c r="A6499" s="49"/>
      <c r="B6499" s="49"/>
    </row>
    <row r="6500" spans="1:2" x14ac:dyDescent="0.2">
      <c r="A6500" s="49"/>
      <c r="B6500" s="49"/>
    </row>
    <row r="6501" spans="1:2" x14ac:dyDescent="0.2">
      <c r="A6501" s="49"/>
      <c r="B6501" s="49"/>
    </row>
    <row r="6502" spans="1:2" x14ac:dyDescent="0.2">
      <c r="A6502" s="49"/>
      <c r="B6502" s="49"/>
    </row>
    <row r="6503" spans="1:2" x14ac:dyDescent="0.2">
      <c r="A6503" s="49"/>
      <c r="B6503" s="49"/>
    </row>
    <row r="6504" spans="1:2" x14ac:dyDescent="0.2">
      <c r="A6504" s="49"/>
      <c r="B6504" s="49"/>
    </row>
    <row r="6505" spans="1:2" x14ac:dyDescent="0.2">
      <c r="A6505" s="49"/>
      <c r="B6505" s="49"/>
    </row>
    <row r="6506" spans="1:2" x14ac:dyDescent="0.2">
      <c r="A6506" s="49"/>
      <c r="B6506" s="49"/>
    </row>
    <row r="6507" spans="1:2" x14ac:dyDescent="0.2">
      <c r="A6507" s="49"/>
      <c r="B6507" s="49"/>
    </row>
    <row r="6508" spans="1:2" x14ac:dyDescent="0.2">
      <c r="A6508" s="49"/>
      <c r="B6508" s="49"/>
    </row>
    <row r="6509" spans="1:2" x14ac:dyDescent="0.2">
      <c r="A6509" s="49"/>
      <c r="B6509" s="49"/>
    </row>
    <row r="6510" spans="1:2" x14ac:dyDescent="0.2">
      <c r="A6510" s="49"/>
      <c r="B6510" s="49"/>
    </row>
    <row r="6511" spans="1:2" x14ac:dyDescent="0.2">
      <c r="A6511" s="49"/>
      <c r="B6511" s="49"/>
    </row>
    <row r="6512" spans="1:2" x14ac:dyDescent="0.2">
      <c r="A6512" s="49"/>
      <c r="B6512" s="49"/>
    </row>
    <row r="6523" spans="1:2" x14ac:dyDescent="0.2">
      <c r="A6523" s="49"/>
      <c r="B6523" s="49"/>
    </row>
    <row r="6530" spans="1:2" x14ac:dyDescent="0.2">
      <c r="A6530" s="49"/>
      <c r="B6530" s="49"/>
    </row>
    <row r="6531" spans="1:2" x14ac:dyDescent="0.2">
      <c r="A6531" s="49"/>
      <c r="B6531" s="49"/>
    </row>
    <row r="6532" spans="1:2" x14ac:dyDescent="0.2">
      <c r="A6532" s="49"/>
      <c r="B6532" s="49"/>
    </row>
    <row r="6533" spans="1:2" x14ac:dyDescent="0.2">
      <c r="A6533" s="49"/>
      <c r="B6533" s="49"/>
    </row>
    <row r="6538" spans="1:2" x14ac:dyDescent="0.2">
      <c r="A6538" s="49"/>
      <c r="B6538" s="49"/>
    </row>
    <row r="6540" spans="1:2" x14ac:dyDescent="0.2">
      <c r="A6540" s="49"/>
      <c r="B6540" s="49"/>
    </row>
    <row r="6542" spans="1:2" x14ac:dyDescent="0.2">
      <c r="A6542" s="49"/>
      <c r="B6542" s="49"/>
    </row>
    <row r="6544" spans="1:2" x14ac:dyDescent="0.2">
      <c r="A6544" s="49"/>
      <c r="B6544" s="49"/>
    </row>
    <row r="6546" spans="1:2" x14ac:dyDescent="0.2">
      <c r="A6546" s="49"/>
      <c r="B6546" s="49"/>
    </row>
    <row r="6547" spans="1:2" x14ac:dyDescent="0.2">
      <c r="A6547" s="49"/>
      <c r="B6547" s="49"/>
    </row>
    <row r="6550" spans="1:2" x14ac:dyDescent="0.2">
      <c r="A6550" s="49"/>
      <c r="B6550" s="49"/>
    </row>
    <row r="6552" spans="1:2" x14ac:dyDescent="0.2">
      <c r="A6552" s="49"/>
      <c r="B6552" s="49"/>
    </row>
    <row r="6553" spans="1:2" x14ac:dyDescent="0.2">
      <c r="A6553" s="49"/>
      <c r="B6553" s="49"/>
    </row>
    <row r="6554" spans="1:2" x14ac:dyDescent="0.2">
      <c r="A6554" s="49"/>
      <c r="B6554" s="49"/>
    </row>
    <row r="6555" spans="1:2" x14ac:dyDescent="0.2">
      <c r="A6555" s="49"/>
      <c r="B6555" s="49"/>
    </row>
    <row r="6560" spans="1:2" x14ac:dyDescent="0.2">
      <c r="A6560" s="49"/>
      <c r="B6560" s="49"/>
    </row>
    <row r="6562" spans="1:2" x14ac:dyDescent="0.2">
      <c r="A6562" s="49"/>
      <c r="B6562" s="49"/>
    </row>
    <row r="6566" spans="1:2" x14ac:dyDescent="0.2">
      <c r="A6566" s="49"/>
      <c r="B6566" s="49"/>
    </row>
    <row r="6568" spans="1:2" x14ac:dyDescent="0.2">
      <c r="A6568" s="49"/>
      <c r="B6568" s="49"/>
    </row>
    <row r="6570" spans="1:2" x14ac:dyDescent="0.2">
      <c r="A6570" s="49"/>
      <c r="B6570" s="49"/>
    </row>
    <row r="6574" spans="1:2" x14ac:dyDescent="0.2">
      <c r="A6574" s="49"/>
      <c r="B6574" s="49"/>
    </row>
    <row r="6576" spans="1:2" x14ac:dyDescent="0.2">
      <c r="A6576" s="49"/>
      <c r="B6576" s="49"/>
    </row>
    <row r="6578" spans="1:2" x14ac:dyDescent="0.2">
      <c r="A6578" s="49"/>
      <c r="B6578" s="49"/>
    </row>
    <row r="6580" spans="1:2" x14ac:dyDescent="0.2">
      <c r="A6580" s="49"/>
      <c r="B6580" s="49"/>
    </row>
    <row r="6582" spans="1:2" x14ac:dyDescent="0.2">
      <c r="A6582" s="49"/>
      <c r="B6582" s="49"/>
    </row>
    <row r="6586" spans="1:2" x14ac:dyDescent="0.2">
      <c r="A6586" s="49"/>
      <c r="B6586" s="49"/>
    </row>
    <row r="6587" spans="1:2" x14ac:dyDescent="0.2">
      <c r="A6587" s="49"/>
      <c r="B6587" s="49"/>
    </row>
    <row r="6588" spans="1:2" x14ac:dyDescent="0.2">
      <c r="A6588" s="49"/>
      <c r="B6588" s="49"/>
    </row>
    <row r="6592" spans="1:2" x14ac:dyDescent="0.2">
      <c r="A6592" s="49"/>
      <c r="B6592" s="49"/>
    </row>
    <row r="6594" spans="1:2" x14ac:dyDescent="0.2">
      <c r="A6594" s="49"/>
      <c r="B6594" s="49"/>
    </row>
    <row r="6596" spans="1:2" x14ac:dyDescent="0.2">
      <c r="A6596" s="49"/>
      <c r="B6596" s="49"/>
    </row>
    <row r="6600" spans="1:2" x14ac:dyDescent="0.2">
      <c r="A6600" s="49"/>
      <c r="B6600" s="49"/>
    </row>
    <row r="6604" spans="1:2" x14ac:dyDescent="0.2">
      <c r="A6604" s="49"/>
      <c r="B6604" s="49"/>
    </row>
    <row r="6606" spans="1:2" x14ac:dyDescent="0.2">
      <c r="A6606" s="49"/>
      <c r="B6606" s="49"/>
    </row>
    <row r="6608" spans="1:2" x14ac:dyDescent="0.2">
      <c r="A6608" s="49"/>
      <c r="B6608" s="49"/>
    </row>
    <row r="6610" spans="1:2" x14ac:dyDescent="0.2">
      <c r="A6610" s="49"/>
      <c r="B6610" s="49"/>
    </row>
    <row r="6612" spans="1:2" x14ac:dyDescent="0.2">
      <c r="A6612" s="49"/>
      <c r="B6612" s="49"/>
    </row>
    <row r="6614" spans="1:2" x14ac:dyDescent="0.2">
      <c r="A6614" s="49"/>
      <c r="B6614" s="49"/>
    </row>
    <row r="6616" spans="1:2" x14ac:dyDescent="0.2">
      <c r="A6616" s="49"/>
      <c r="B6616" s="49"/>
    </row>
    <row r="6617" spans="1:2" x14ac:dyDescent="0.2">
      <c r="A6617" s="49"/>
      <c r="B6617" s="49"/>
    </row>
    <row r="6618" spans="1:2" x14ac:dyDescent="0.2">
      <c r="A6618" s="49"/>
      <c r="B6618" s="49"/>
    </row>
    <row r="6620" spans="1:2" x14ac:dyDescent="0.2">
      <c r="A6620" s="49"/>
      <c r="B6620" s="49"/>
    </row>
    <row r="6622" spans="1:2" x14ac:dyDescent="0.2">
      <c r="A6622" s="49"/>
      <c r="B6622" s="49"/>
    </row>
    <row r="6623" spans="1:2" x14ac:dyDescent="0.2">
      <c r="A6623" s="49"/>
      <c r="B6623" s="49"/>
    </row>
    <row r="6624" spans="1:2" x14ac:dyDescent="0.2">
      <c r="A6624" s="49"/>
      <c r="B6624" s="49"/>
    </row>
    <row r="6625" spans="1:2" x14ac:dyDescent="0.2">
      <c r="A6625" s="49"/>
      <c r="B6625" s="49"/>
    </row>
    <row r="6626" spans="1:2" x14ac:dyDescent="0.2">
      <c r="A6626" s="49"/>
      <c r="B6626" s="49"/>
    </row>
    <row r="6627" spans="1:2" x14ac:dyDescent="0.2">
      <c r="A6627" s="49"/>
      <c r="B6627" s="49"/>
    </row>
    <row r="6628" spans="1:2" x14ac:dyDescent="0.2">
      <c r="A6628" s="49"/>
      <c r="B6628" s="49"/>
    </row>
    <row r="6636" spans="1:2" x14ac:dyDescent="0.2">
      <c r="A6636" s="49"/>
      <c r="B6636" s="49"/>
    </row>
    <row r="6638" spans="1:2" x14ac:dyDescent="0.2">
      <c r="A6638" s="49"/>
      <c r="B6638" s="49"/>
    </row>
    <row r="6640" spans="1:2" x14ac:dyDescent="0.2">
      <c r="A6640" s="49"/>
      <c r="B6640" s="49"/>
    </row>
    <row r="6641" spans="1:2" x14ac:dyDescent="0.2">
      <c r="A6641" s="49"/>
      <c r="B6641" s="49"/>
    </row>
    <row r="6642" spans="1:2" x14ac:dyDescent="0.2">
      <c r="A6642" s="49"/>
      <c r="B6642" s="49"/>
    </row>
    <row r="6643" spans="1:2" x14ac:dyDescent="0.2">
      <c r="A6643" s="49"/>
      <c r="B6643" s="49"/>
    </row>
    <row r="6644" spans="1:2" x14ac:dyDescent="0.2">
      <c r="A6644" s="49"/>
      <c r="B6644" s="49"/>
    </row>
    <row r="6645" spans="1:2" x14ac:dyDescent="0.2">
      <c r="A6645" s="49"/>
      <c r="B6645" s="49"/>
    </row>
    <row r="6652" spans="1:2" x14ac:dyDescent="0.2">
      <c r="A6652" s="49"/>
      <c r="B6652" s="49"/>
    </row>
    <row r="6653" spans="1:2" x14ac:dyDescent="0.2">
      <c r="A6653" s="49"/>
      <c r="B6653" s="49"/>
    </row>
    <row r="6654" spans="1:2" x14ac:dyDescent="0.2">
      <c r="A6654" s="49"/>
      <c r="B6654" s="49"/>
    </row>
    <row r="6655" spans="1:2" x14ac:dyDescent="0.2">
      <c r="A6655" s="49"/>
      <c r="B6655" s="49"/>
    </row>
    <row r="6656" spans="1:2" x14ac:dyDescent="0.2">
      <c r="A6656" s="49"/>
      <c r="B6656" s="49"/>
    </row>
    <row r="6660" spans="1:2" x14ac:dyDescent="0.2">
      <c r="A6660" s="49"/>
      <c r="B6660" s="49"/>
    </row>
    <row r="6661" spans="1:2" x14ac:dyDescent="0.2">
      <c r="A6661" s="49"/>
      <c r="B6661" s="49"/>
    </row>
    <row r="6664" spans="1:2" x14ac:dyDescent="0.2">
      <c r="A6664" s="49"/>
      <c r="B6664" s="49"/>
    </row>
    <row r="6665" spans="1:2" x14ac:dyDescent="0.2">
      <c r="A6665" s="49"/>
      <c r="B6665" s="49"/>
    </row>
    <row r="6666" spans="1:2" x14ac:dyDescent="0.2">
      <c r="A6666" s="49"/>
      <c r="B6666" s="49"/>
    </row>
    <row r="6667" spans="1:2" x14ac:dyDescent="0.2">
      <c r="A6667" s="49"/>
      <c r="B6667" s="49"/>
    </row>
    <row r="6668" spans="1:2" x14ac:dyDescent="0.2">
      <c r="A6668" s="49"/>
      <c r="B6668" s="49"/>
    </row>
    <row r="6669" spans="1:2" x14ac:dyDescent="0.2">
      <c r="A6669" s="49"/>
      <c r="B6669" s="49"/>
    </row>
    <row r="6670" spans="1:2" x14ac:dyDescent="0.2">
      <c r="A6670" s="49"/>
      <c r="B6670" s="49"/>
    </row>
    <row r="6671" spans="1:2" x14ac:dyDescent="0.2">
      <c r="A6671" s="49"/>
      <c r="B6671" s="49"/>
    </row>
    <row r="6672" spans="1:2" x14ac:dyDescent="0.2">
      <c r="A6672" s="49"/>
      <c r="B6672" s="49"/>
    </row>
    <row r="6673" spans="1:2" x14ac:dyDescent="0.2">
      <c r="A6673" s="49"/>
      <c r="B6673" s="49"/>
    </row>
    <row r="6674" spans="1:2" x14ac:dyDescent="0.2">
      <c r="A6674" s="49"/>
      <c r="B6674" s="49"/>
    </row>
    <row r="6675" spans="1:2" x14ac:dyDescent="0.2">
      <c r="A6675" s="49"/>
      <c r="B6675" s="49"/>
    </row>
    <row r="6676" spans="1:2" x14ac:dyDescent="0.2">
      <c r="A6676" s="49"/>
      <c r="B6676" s="49"/>
    </row>
    <row r="6677" spans="1:2" x14ac:dyDescent="0.2">
      <c r="A6677" s="49"/>
      <c r="B6677" s="49"/>
    </row>
    <row r="6678" spans="1:2" x14ac:dyDescent="0.2">
      <c r="A6678" s="49"/>
      <c r="B6678" s="49"/>
    </row>
    <row r="6679" spans="1:2" x14ac:dyDescent="0.2">
      <c r="A6679" s="49"/>
      <c r="B6679" s="49"/>
    </row>
    <row r="6680" spans="1:2" x14ac:dyDescent="0.2">
      <c r="A6680" s="49"/>
      <c r="B6680" s="49"/>
    </row>
    <row r="6681" spans="1:2" x14ac:dyDescent="0.2">
      <c r="A6681" s="49"/>
      <c r="B6681" s="49"/>
    </row>
    <row r="6682" spans="1:2" x14ac:dyDescent="0.2">
      <c r="A6682" s="49"/>
      <c r="B6682" s="49"/>
    </row>
    <row r="6683" spans="1:2" x14ac:dyDescent="0.2">
      <c r="A6683" s="49"/>
      <c r="B6683" s="49"/>
    </row>
    <row r="6684" spans="1:2" x14ac:dyDescent="0.2">
      <c r="A6684" s="49"/>
      <c r="B6684" s="49"/>
    </row>
    <row r="6685" spans="1:2" x14ac:dyDescent="0.2">
      <c r="A6685" s="49"/>
      <c r="B6685" s="49"/>
    </row>
    <row r="6686" spans="1:2" x14ac:dyDescent="0.2">
      <c r="A6686" s="49"/>
      <c r="B6686" s="49"/>
    </row>
    <row r="6705" spans="1:7" x14ac:dyDescent="0.2">
      <c r="A6705" s="49"/>
      <c r="B6705" s="49"/>
    </row>
    <row r="6706" spans="1:7" x14ac:dyDescent="0.2">
      <c r="A6706" s="49"/>
      <c r="B6706" s="49"/>
    </row>
    <row r="6707" spans="1:7" x14ac:dyDescent="0.2">
      <c r="A6707" s="49"/>
      <c r="B6707" s="49"/>
    </row>
    <row r="6710" spans="1:7" x14ac:dyDescent="0.2">
      <c r="A6710" s="49"/>
      <c r="B6710" s="49"/>
    </row>
    <row r="6711" spans="1:7" x14ac:dyDescent="0.2">
      <c r="A6711" s="49"/>
      <c r="B6711" s="49"/>
    </row>
    <row r="6712" spans="1:7" x14ac:dyDescent="0.2">
      <c r="A6712" s="49"/>
      <c r="B6712" s="49"/>
    </row>
    <row r="6714" spans="1:7" x14ac:dyDescent="0.2">
      <c r="A6714" s="49"/>
      <c r="B6714" s="49"/>
      <c r="C6714" s="49"/>
      <c r="D6714" s="49"/>
      <c r="E6714" s="49"/>
      <c r="F6714" s="49"/>
      <c r="G6714" s="49"/>
    </row>
    <row r="6716" spans="1:7" x14ac:dyDescent="0.2">
      <c r="A6716" s="49"/>
      <c r="B6716" s="49"/>
    </row>
    <row r="6717" spans="1:7" x14ac:dyDescent="0.2">
      <c r="A6717" s="49"/>
      <c r="B6717" s="49"/>
    </row>
    <row r="6718" spans="1:7" x14ac:dyDescent="0.2">
      <c r="A6718" s="49"/>
      <c r="B6718" s="49"/>
    </row>
    <row r="6719" spans="1:7" x14ac:dyDescent="0.2">
      <c r="A6719" s="49"/>
      <c r="B6719" s="49"/>
    </row>
    <row r="6720" spans="1:7" x14ac:dyDescent="0.2">
      <c r="A6720" s="49"/>
      <c r="B6720" s="49"/>
    </row>
    <row r="6721" spans="1:2" x14ac:dyDescent="0.2">
      <c r="A6721" s="49"/>
      <c r="B6721" s="49"/>
    </row>
    <row r="6722" spans="1:2" x14ac:dyDescent="0.2">
      <c r="A6722" s="49"/>
      <c r="B6722" s="49"/>
    </row>
    <row r="6730" spans="1:2" x14ac:dyDescent="0.2">
      <c r="A6730" s="49"/>
      <c r="B6730" s="49"/>
    </row>
    <row r="6732" spans="1:2" x14ac:dyDescent="0.2">
      <c r="A6732" s="49"/>
      <c r="B6732" s="49"/>
    </row>
    <row r="6733" spans="1:2" x14ac:dyDescent="0.2">
      <c r="A6733" s="49"/>
      <c r="B6733" s="49"/>
    </row>
    <row r="6736" spans="1:2" x14ac:dyDescent="0.2">
      <c r="A6736" s="49"/>
      <c r="B6736" s="49"/>
    </row>
    <row r="6738" spans="1:2" x14ac:dyDescent="0.2">
      <c r="A6738" s="49"/>
      <c r="B6738" s="49"/>
    </row>
    <row r="6740" spans="1:2" x14ac:dyDescent="0.2">
      <c r="A6740" s="49"/>
      <c r="B6740" s="49"/>
    </row>
    <row r="6741" spans="1:2" x14ac:dyDescent="0.2">
      <c r="A6741" s="49"/>
      <c r="B6741" s="49"/>
    </row>
    <row r="6742" spans="1:2" x14ac:dyDescent="0.2">
      <c r="A6742" s="49"/>
      <c r="B6742" s="49"/>
    </row>
    <row r="6743" spans="1:2" x14ac:dyDescent="0.2">
      <c r="A6743" s="49"/>
      <c r="B6743" s="49"/>
    </row>
    <row r="6748" spans="1:2" x14ac:dyDescent="0.2">
      <c r="A6748" s="49"/>
      <c r="B6748" s="49"/>
    </row>
    <row r="6750" spans="1:2" x14ac:dyDescent="0.2">
      <c r="A6750" s="49"/>
      <c r="B6750" s="49"/>
    </row>
    <row r="6751" spans="1:2" x14ac:dyDescent="0.2">
      <c r="A6751" s="49"/>
      <c r="B6751" s="49"/>
    </row>
    <row r="6752" spans="1:2" x14ac:dyDescent="0.2">
      <c r="A6752" s="49"/>
      <c r="B6752" s="49"/>
    </row>
    <row r="6753" spans="1:2" x14ac:dyDescent="0.2">
      <c r="A6753" s="49"/>
      <c r="B6753" s="49"/>
    </row>
    <row r="6754" spans="1:2" x14ac:dyDescent="0.2">
      <c r="A6754" s="49"/>
      <c r="B6754" s="49"/>
    </row>
    <row r="6755" spans="1:2" x14ac:dyDescent="0.2">
      <c r="A6755" s="49"/>
      <c r="B6755" s="49"/>
    </row>
    <row r="6756" spans="1:2" x14ac:dyDescent="0.2">
      <c r="A6756" s="49"/>
      <c r="B6756" s="49"/>
    </row>
    <row r="6757" spans="1:2" x14ac:dyDescent="0.2">
      <c r="A6757" s="49"/>
      <c r="B6757" s="49"/>
    </row>
    <row r="6758" spans="1:2" x14ac:dyDescent="0.2">
      <c r="A6758" s="49"/>
      <c r="B6758" s="49"/>
    </row>
    <row r="6759" spans="1:2" x14ac:dyDescent="0.2">
      <c r="A6759" s="49"/>
      <c r="B6759" s="49"/>
    </row>
    <row r="6760" spans="1:2" x14ac:dyDescent="0.2">
      <c r="A6760" s="49"/>
      <c r="B6760" s="49"/>
    </row>
    <row r="6761" spans="1:2" x14ac:dyDescent="0.2">
      <c r="A6761" s="49"/>
      <c r="B6761" s="49"/>
    </row>
    <row r="6762" spans="1:2" x14ac:dyDescent="0.2">
      <c r="A6762" s="49"/>
      <c r="B6762" s="49"/>
    </row>
    <row r="6763" spans="1:2" x14ac:dyDescent="0.2">
      <c r="A6763" s="49"/>
      <c r="B6763" s="49"/>
    </row>
    <row r="6764" spans="1:2" x14ac:dyDescent="0.2">
      <c r="A6764" s="49"/>
      <c r="B6764" s="49"/>
    </row>
    <row r="6765" spans="1:2" x14ac:dyDescent="0.2">
      <c r="A6765" s="49"/>
      <c r="B6765" s="49"/>
    </row>
    <row r="6766" spans="1:2" x14ac:dyDescent="0.2">
      <c r="A6766" s="49"/>
      <c r="B6766" s="49"/>
    </row>
    <row r="6767" spans="1:2" x14ac:dyDescent="0.2">
      <c r="A6767" s="49"/>
      <c r="B6767" s="49"/>
    </row>
    <row r="6768" spans="1:2" x14ac:dyDescent="0.2">
      <c r="A6768" s="49"/>
      <c r="B6768" s="49"/>
    </row>
    <row r="6769" spans="1:2" x14ac:dyDescent="0.2">
      <c r="A6769" s="49"/>
      <c r="B6769" s="49"/>
    </row>
    <row r="6770" spans="1:2" x14ac:dyDescent="0.2">
      <c r="A6770" s="49"/>
      <c r="B6770" s="49"/>
    </row>
    <row r="6771" spans="1:2" x14ac:dyDescent="0.2">
      <c r="A6771" s="49"/>
      <c r="B6771" s="49"/>
    </row>
    <row r="6772" spans="1:2" x14ac:dyDescent="0.2">
      <c r="A6772" s="49"/>
      <c r="B6772" s="49"/>
    </row>
    <row r="6773" spans="1:2" x14ac:dyDescent="0.2">
      <c r="A6773" s="49"/>
      <c r="B6773" s="49"/>
    </row>
    <row r="6774" spans="1:2" x14ac:dyDescent="0.2">
      <c r="A6774" s="49"/>
      <c r="B6774" s="49"/>
    </row>
    <row r="6775" spans="1:2" x14ac:dyDescent="0.2">
      <c r="A6775" s="49"/>
      <c r="B6775" s="49"/>
    </row>
    <row r="6776" spans="1:2" x14ac:dyDescent="0.2">
      <c r="A6776" s="49"/>
      <c r="B6776" s="49"/>
    </row>
    <row r="6777" spans="1:2" x14ac:dyDescent="0.2">
      <c r="A6777" s="49"/>
      <c r="B6777" s="49"/>
    </row>
    <row r="6778" spans="1:2" x14ac:dyDescent="0.2">
      <c r="A6778" s="49"/>
      <c r="B6778" s="49"/>
    </row>
    <row r="6779" spans="1:2" x14ac:dyDescent="0.2">
      <c r="A6779" s="49"/>
      <c r="B6779" s="49"/>
    </row>
    <row r="6780" spans="1:2" x14ac:dyDescent="0.2">
      <c r="A6780" s="49"/>
      <c r="B6780" s="49"/>
    </row>
    <row r="6781" spans="1:2" x14ac:dyDescent="0.2">
      <c r="A6781" s="49"/>
      <c r="B6781" s="49"/>
    </row>
    <row r="6782" spans="1:2" x14ac:dyDescent="0.2">
      <c r="A6782" s="49"/>
      <c r="B6782" s="49"/>
    </row>
    <row r="6783" spans="1:2" x14ac:dyDescent="0.2">
      <c r="A6783" s="49"/>
      <c r="B6783" s="49"/>
    </row>
    <row r="6784" spans="1:2" x14ac:dyDescent="0.2">
      <c r="A6784" s="49"/>
      <c r="B6784" s="49"/>
    </row>
    <row r="6785" spans="1:2" x14ac:dyDescent="0.2">
      <c r="A6785" s="49"/>
      <c r="B6785" s="49"/>
    </row>
    <row r="6786" spans="1:2" x14ac:dyDescent="0.2">
      <c r="A6786" s="49"/>
      <c r="B6786" s="49"/>
    </row>
    <row r="6787" spans="1:2" x14ac:dyDescent="0.2">
      <c r="A6787" s="49"/>
      <c r="B6787" s="49"/>
    </row>
    <row r="6788" spans="1:2" x14ac:dyDescent="0.2">
      <c r="A6788" s="49"/>
      <c r="B6788" s="49"/>
    </row>
    <row r="6789" spans="1:2" x14ac:dyDescent="0.2">
      <c r="A6789" s="49"/>
      <c r="B6789" s="49"/>
    </row>
    <row r="6790" spans="1:2" x14ac:dyDescent="0.2">
      <c r="A6790" s="49"/>
      <c r="B6790" s="49"/>
    </row>
    <row r="6791" spans="1:2" x14ac:dyDescent="0.2">
      <c r="A6791" s="49"/>
      <c r="B6791" s="49"/>
    </row>
    <row r="6792" spans="1:2" x14ac:dyDescent="0.2">
      <c r="A6792" s="49"/>
      <c r="B6792" s="49"/>
    </row>
    <row r="6793" spans="1:2" x14ac:dyDescent="0.2">
      <c r="A6793" s="49"/>
      <c r="B6793" s="49"/>
    </row>
    <row r="6794" spans="1:2" x14ac:dyDescent="0.2">
      <c r="A6794" s="49"/>
      <c r="B6794" s="49"/>
    </row>
    <row r="6795" spans="1:2" x14ac:dyDescent="0.2">
      <c r="A6795" s="49"/>
      <c r="B6795" s="49"/>
    </row>
    <row r="6796" spans="1:2" x14ac:dyDescent="0.2">
      <c r="A6796" s="49"/>
      <c r="B6796" s="49"/>
    </row>
    <row r="6797" spans="1:2" x14ac:dyDescent="0.2">
      <c r="A6797" s="49"/>
      <c r="B6797" s="49"/>
    </row>
    <row r="6798" spans="1:2" x14ac:dyDescent="0.2">
      <c r="A6798" s="49"/>
      <c r="B6798" s="49"/>
    </row>
    <row r="6799" spans="1:2" x14ac:dyDescent="0.2">
      <c r="A6799" s="49"/>
      <c r="B6799" s="49"/>
    </row>
    <row r="6800" spans="1:2" x14ac:dyDescent="0.2">
      <c r="A6800" s="49"/>
      <c r="B6800" s="49"/>
    </row>
    <row r="6801" spans="1:2" x14ac:dyDescent="0.2">
      <c r="A6801" s="49"/>
      <c r="B6801" s="49"/>
    </row>
    <row r="6802" spans="1:2" x14ac:dyDescent="0.2">
      <c r="A6802" s="49"/>
      <c r="B6802" s="49"/>
    </row>
    <row r="6803" spans="1:2" x14ac:dyDescent="0.2">
      <c r="A6803" s="49"/>
      <c r="B6803" s="49"/>
    </row>
    <row r="6804" spans="1:2" x14ac:dyDescent="0.2">
      <c r="A6804" s="49"/>
      <c r="B6804" s="49"/>
    </row>
    <row r="6805" spans="1:2" x14ac:dyDescent="0.2">
      <c r="A6805" s="49"/>
      <c r="B6805" s="49"/>
    </row>
    <row r="6806" spans="1:2" x14ac:dyDescent="0.2">
      <c r="A6806" s="49"/>
      <c r="B6806" s="49"/>
    </row>
    <row r="6807" spans="1:2" x14ac:dyDescent="0.2">
      <c r="A6807" s="49"/>
      <c r="B6807" s="49"/>
    </row>
    <row r="6808" spans="1:2" x14ac:dyDescent="0.2">
      <c r="A6808" s="49"/>
      <c r="B6808" s="49"/>
    </row>
    <row r="6809" spans="1:2" x14ac:dyDescent="0.2">
      <c r="A6809" s="49"/>
      <c r="B6809" s="49"/>
    </row>
    <row r="6810" spans="1:2" x14ac:dyDescent="0.2">
      <c r="A6810" s="49"/>
      <c r="B6810" s="49"/>
    </row>
    <row r="6811" spans="1:2" x14ac:dyDescent="0.2">
      <c r="A6811" s="49"/>
      <c r="B6811" s="49"/>
    </row>
    <row r="6812" spans="1:2" x14ac:dyDescent="0.2">
      <c r="A6812" s="49"/>
      <c r="B6812" s="49"/>
    </row>
    <row r="6813" spans="1:2" x14ac:dyDescent="0.2">
      <c r="A6813" s="49"/>
      <c r="B6813" s="49"/>
    </row>
    <row r="6814" spans="1:2" x14ac:dyDescent="0.2">
      <c r="A6814" s="49"/>
      <c r="B6814" s="49"/>
    </row>
    <row r="6815" spans="1:2" x14ac:dyDescent="0.2">
      <c r="A6815" s="49"/>
      <c r="B6815" s="49"/>
    </row>
    <row r="6816" spans="1:2" x14ac:dyDescent="0.2">
      <c r="A6816" s="49"/>
      <c r="B6816" s="49"/>
    </row>
    <row r="6817" spans="1:2" x14ac:dyDescent="0.2">
      <c r="A6817" s="49"/>
      <c r="B6817" s="49"/>
    </row>
    <row r="6818" spans="1:2" x14ac:dyDescent="0.2">
      <c r="A6818" s="49"/>
      <c r="B6818" s="49"/>
    </row>
    <row r="6819" spans="1:2" x14ac:dyDescent="0.2">
      <c r="A6819" s="49"/>
      <c r="B6819" s="49"/>
    </row>
    <row r="6820" spans="1:2" x14ac:dyDescent="0.2">
      <c r="A6820" s="49"/>
      <c r="B6820" s="49"/>
    </row>
    <row r="6821" spans="1:2" x14ac:dyDescent="0.2">
      <c r="A6821" s="49"/>
      <c r="B6821" s="49"/>
    </row>
    <row r="6822" spans="1:2" x14ac:dyDescent="0.2">
      <c r="A6822" s="49"/>
      <c r="B6822" s="49"/>
    </row>
    <row r="6823" spans="1:2" x14ac:dyDescent="0.2">
      <c r="A6823" s="49"/>
      <c r="B6823" s="49"/>
    </row>
    <row r="6824" spans="1:2" x14ac:dyDescent="0.2">
      <c r="A6824" s="49"/>
      <c r="B6824" s="49"/>
    </row>
    <row r="6825" spans="1:2" x14ac:dyDescent="0.2">
      <c r="A6825" s="49"/>
      <c r="B6825" s="49"/>
    </row>
    <row r="6826" spans="1:2" x14ac:dyDescent="0.2">
      <c r="A6826" s="49"/>
      <c r="B6826" s="49"/>
    </row>
    <row r="6827" spans="1:2" x14ac:dyDescent="0.2">
      <c r="A6827" s="49"/>
      <c r="B6827" s="49"/>
    </row>
    <row r="6828" spans="1:2" x14ac:dyDescent="0.2">
      <c r="A6828" s="49"/>
      <c r="B6828" s="49"/>
    </row>
    <row r="6829" spans="1:2" x14ac:dyDescent="0.2">
      <c r="A6829" s="49"/>
      <c r="B6829" s="49"/>
    </row>
    <row r="6830" spans="1:2" x14ac:dyDescent="0.2">
      <c r="A6830" s="49"/>
      <c r="B6830" s="49"/>
    </row>
    <row r="6831" spans="1:2" x14ac:dyDescent="0.2">
      <c r="A6831" s="49"/>
      <c r="B6831" s="49"/>
    </row>
    <row r="6832" spans="1:2" x14ac:dyDescent="0.2">
      <c r="A6832" s="49"/>
      <c r="B6832" s="49"/>
    </row>
    <row r="6833" spans="1:2" x14ac:dyDescent="0.2">
      <c r="A6833" s="49"/>
      <c r="B6833" s="49"/>
    </row>
    <row r="6834" spans="1:2" x14ac:dyDescent="0.2">
      <c r="A6834" s="49"/>
      <c r="B6834" s="49"/>
    </row>
    <row r="6835" spans="1:2" x14ac:dyDescent="0.2">
      <c r="A6835" s="49"/>
      <c r="B6835" s="49"/>
    </row>
    <row r="6836" spans="1:2" x14ac:dyDescent="0.2">
      <c r="A6836" s="49"/>
      <c r="B6836" s="49"/>
    </row>
    <row r="6837" spans="1:2" x14ac:dyDescent="0.2">
      <c r="A6837" s="49"/>
      <c r="B6837" s="49"/>
    </row>
    <row r="6838" spans="1:2" x14ac:dyDescent="0.2">
      <c r="A6838" s="49"/>
      <c r="B6838" s="49"/>
    </row>
    <row r="6839" spans="1:2" x14ac:dyDescent="0.2">
      <c r="A6839" s="49"/>
      <c r="B6839" s="49"/>
    </row>
    <row r="6840" spans="1:2" x14ac:dyDescent="0.2">
      <c r="A6840" s="49"/>
      <c r="B6840" s="49"/>
    </row>
    <row r="6841" spans="1:2" x14ac:dyDescent="0.2">
      <c r="A6841" s="49"/>
      <c r="B6841" s="49"/>
    </row>
    <row r="6842" spans="1:2" x14ac:dyDescent="0.2">
      <c r="A6842" s="49"/>
      <c r="B6842" s="49"/>
    </row>
    <row r="6843" spans="1:2" x14ac:dyDescent="0.2">
      <c r="A6843" s="49"/>
      <c r="B6843" s="49"/>
    </row>
    <row r="6844" spans="1:2" x14ac:dyDescent="0.2">
      <c r="A6844" s="49"/>
      <c r="B6844" s="49"/>
    </row>
    <row r="6845" spans="1:2" x14ac:dyDescent="0.2">
      <c r="A6845" s="49"/>
      <c r="B6845" s="49"/>
    </row>
    <row r="6846" spans="1:2" x14ac:dyDescent="0.2">
      <c r="A6846" s="49"/>
      <c r="B6846" s="49"/>
    </row>
    <row r="6847" spans="1:2" x14ac:dyDescent="0.2">
      <c r="A6847" s="49"/>
      <c r="B6847" s="49"/>
    </row>
    <row r="6848" spans="1:2" x14ac:dyDescent="0.2">
      <c r="A6848" s="49"/>
      <c r="B6848" s="49"/>
    </row>
    <row r="6849" spans="1:7" x14ac:dyDescent="0.2">
      <c r="A6849" s="49"/>
      <c r="B6849" s="49"/>
    </row>
    <row r="6850" spans="1:7" x14ac:dyDescent="0.2">
      <c r="A6850" s="49"/>
      <c r="B6850" s="49"/>
    </row>
    <row r="6851" spans="1:7" x14ac:dyDescent="0.2">
      <c r="A6851" s="49"/>
      <c r="B6851" s="49"/>
    </row>
    <row r="6852" spans="1:7" x14ac:dyDescent="0.2">
      <c r="A6852" s="49"/>
      <c r="B6852" s="49"/>
    </row>
    <row r="6853" spans="1:7" x14ac:dyDescent="0.2">
      <c r="A6853" s="49"/>
      <c r="B6853" s="49"/>
    </row>
    <row r="6854" spans="1:7" x14ac:dyDescent="0.2">
      <c r="A6854" s="49"/>
      <c r="B6854" s="49"/>
    </row>
    <row r="6855" spans="1:7" x14ac:dyDescent="0.2">
      <c r="A6855" s="49"/>
      <c r="B6855" s="49"/>
    </row>
    <row r="6856" spans="1:7" x14ac:dyDescent="0.2">
      <c r="A6856" s="49"/>
      <c r="B6856" s="49"/>
    </row>
    <row r="6857" spans="1:7" x14ac:dyDescent="0.2">
      <c r="A6857" s="49"/>
      <c r="B6857" s="49"/>
    </row>
    <row r="6858" spans="1:7" x14ac:dyDescent="0.2">
      <c r="A6858" s="49"/>
      <c r="B6858" s="49"/>
    </row>
    <row r="6859" spans="1:7" x14ac:dyDescent="0.2">
      <c r="A6859" s="49"/>
      <c r="B6859" s="49"/>
    </row>
    <row r="6860" spans="1:7" x14ac:dyDescent="0.2">
      <c r="A6860" s="49"/>
      <c r="B6860" s="49"/>
    </row>
    <row r="6861" spans="1:7" x14ac:dyDescent="0.2">
      <c r="A6861" s="49"/>
      <c r="B6861" s="49"/>
    </row>
    <row r="6862" spans="1:7" x14ac:dyDescent="0.2">
      <c r="A6862" s="49"/>
      <c r="B6862" s="49"/>
    </row>
    <row r="6863" spans="1:7" x14ac:dyDescent="0.2">
      <c r="A6863" s="49"/>
      <c r="B6863" s="49"/>
      <c r="C6863" s="49"/>
      <c r="D6863" s="49"/>
      <c r="E6863" s="49"/>
      <c r="F6863" s="49"/>
      <c r="G6863" s="49"/>
    </row>
    <row r="6864" spans="1:7" x14ac:dyDescent="0.2">
      <c r="A6864" s="49"/>
      <c r="B6864" s="49"/>
    </row>
    <row r="6865" spans="1:2" x14ac:dyDescent="0.2">
      <c r="A6865" s="49"/>
      <c r="B6865" s="49"/>
    </row>
    <row r="6866" spans="1:2" x14ac:dyDescent="0.2">
      <c r="A6866" s="49"/>
      <c r="B6866" s="49"/>
    </row>
    <row r="6867" spans="1:2" x14ac:dyDescent="0.2">
      <c r="A6867" s="49"/>
      <c r="B6867" s="49"/>
    </row>
    <row r="6868" spans="1:2" x14ac:dyDescent="0.2">
      <c r="A6868" s="49"/>
      <c r="B6868" s="49"/>
    </row>
    <row r="6869" spans="1:2" x14ac:dyDescent="0.2">
      <c r="A6869" s="49"/>
      <c r="B6869" s="49"/>
    </row>
    <row r="6870" spans="1:2" x14ac:dyDescent="0.2">
      <c r="A6870" s="49"/>
      <c r="B6870" s="49"/>
    </row>
    <row r="6871" spans="1:2" x14ac:dyDescent="0.2">
      <c r="A6871" s="49"/>
      <c r="B6871" s="49"/>
    </row>
    <row r="6872" spans="1:2" x14ac:dyDescent="0.2">
      <c r="A6872" s="49"/>
      <c r="B6872" s="49"/>
    </row>
    <row r="6873" spans="1:2" x14ac:dyDescent="0.2">
      <c r="A6873" s="49"/>
      <c r="B6873" s="49"/>
    </row>
    <row r="6874" spans="1:2" x14ac:dyDescent="0.2">
      <c r="A6874" s="49"/>
      <c r="B6874" s="49"/>
    </row>
    <row r="6875" spans="1:2" x14ac:dyDescent="0.2">
      <c r="A6875" s="49"/>
      <c r="B6875" s="49"/>
    </row>
    <row r="6876" spans="1:2" x14ac:dyDescent="0.2">
      <c r="A6876" s="49"/>
      <c r="B6876" s="49"/>
    </row>
    <row r="6877" spans="1:2" x14ac:dyDescent="0.2">
      <c r="A6877" s="49"/>
      <c r="B6877" s="49"/>
    </row>
    <row r="6878" spans="1:2" x14ac:dyDescent="0.2">
      <c r="A6878" s="49"/>
      <c r="B6878" s="49"/>
    </row>
    <row r="6879" spans="1:2" x14ac:dyDescent="0.2">
      <c r="A6879" s="49"/>
      <c r="B6879" s="49"/>
    </row>
    <row r="6880" spans="1:2" x14ac:dyDescent="0.2">
      <c r="A6880" s="49"/>
      <c r="B6880" s="49"/>
    </row>
    <row r="6881" spans="1:2" x14ac:dyDescent="0.2">
      <c r="A6881" s="49"/>
      <c r="B6881" s="49"/>
    </row>
    <row r="6882" spans="1:2" x14ac:dyDescent="0.2">
      <c r="A6882" s="49"/>
      <c r="B6882" s="49"/>
    </row>
    <row r="6883" spans="1:2" x14ac:dyDescent="0.2">
      <c r="A6883" s="49"/>
      <c r="B6883" s="49"/>
    </row>
    <row r="6884" spans="1:2" x14ac:dyDescent="0.2">
      <c r="A6884" s="49"/>
      <c r="B6884" s="49"/>
    </row>
    <row r="6885" spans="1:2" x14ac:dyDescent="0.2">
      <c r="A6885" s="49"/>
      <c r="B6885" s="49"/>
    </row>
    <row r="6886" spans="1:2" x14ac:dyDescent="0.2">
      <c r="A6886" s="49"/>
      <c r="B6886" s="49"/>
    </row>
    <row r="6887" spans="1:2" x14ac:dyDescent="0.2">
      <c r="A6887" s="49"/>
      <c r="B6887" s="49"/>
    </row>
    <row r="6888" spans="1:2" x14ac:dyDescent="0.2">
      <c r="A6888" s="49"/>
      <c r="B6888" s="49"/>
    </row>
    <row r="6889" spans="1:2" x14ac:dyDescent="0.2">
      <c r="A6889" s="49"/>
      <c r="B6889" s="49"/>
    </row>
    <row r="6890" spans="1:2" x14ac:dyDescent="0.2">
      <c r="A6890" s="49"/>
      <c r="B6890" s="49"/>
    </row>
    <row r="6891" spans="1:2" x14ac:dyDescent="0.2">
      <c r="A6891" s="49"/>
      <c r="B6891" s="49"/>
    </row>
    <row r="6892" spans="1:2" x14ac:dyDescent="0.2">
      <c r="A6892" s="49"/>
      <c r="B6892" s="49"/>
    </row>
    <row r="6893" spans="1:2" x14ac:dyDescent="0.2">
      <c r="A6893" s="49"/>
      <c r="B6893" s="49"/>
    </row>
    <row r="6894" spans="1:2" x14ac:dyDescent="0.2">
      <c r="A6894" s="49"/>
      <c r="B6894" s="49"/>
    </row>
    <row r="6895" spans="1:2" x14ac:dyDescent="0.2">
      <c r="A6895" s="49"/>
      <c r="B6895" s="49"/>
    </row>
    <row r="6896" spans="1:2" x14ac:dyDescent="0.2">
      <c r="A6896" s="49"/>
      <c r="B6896" s="49"/>
    </row>
    <row r="6897" spans="1:2" x14ac:dyDescent="0.2">
      <c r="A6897" s="49"/>
      <c r="B6897" s="49"/>
    </row>
    <row r="6898" spans="1:2" x14ac:dyDescent="0.2">
      <c r="A6898" s="49"/>
      <c r="B6898" s="49"/>
    </row>
    <row r="6899" spans="1:2" x14ac:dyDescent="0.2">
      <c r="A6899" s="49"/>
      <c r="B6899" s="49"/>
    </row>
    <row r="6900" spans="1:2" x14ac:dyDescent="0.2">
      <c r="A6900" s="49"/>
      <c r="B6900" s="49"/>
    </row>
    <row r="6901" spans="1:2" x14ac:dyDescent="0.2">
      <c r="A6901" s="49"/>
      <c r="B6901" s="49"/>
    </row>
    <row r="6902" spans="1:2" x14ac:dyDescent="0.2">
      <c r="A6902" s="49"/>
      <c r="B6902" s="49"/>
    </row>
    <row r="6903" spans="1:2" x14ac:dyDescent="0.2">
      <c r="A6903" s="49"/>
      <c r="B6903" s="49"/>
    </row>
    <row r="6904" spans="1:2" x14ac:dyDescent="0.2">
      <c r="A6904" s="49"/>
      <c r="B6904" s="49"/>
    </row>
    <row r="6905" spans="1:2" x14ac:dyDescent="0.2">
      <c r="A6905" s="49"/>
      <c r="B6905" s="49"/>
    </row>
    <row r="6906" spans="1:2" x14ac:dyDescent="0.2">
      <c r="A6906" s="49"/>
      <c r="B6906" s="49"/>
    </row>
    <row r="6907" spans="1:2" x14ac:dyDescent="0.2">
      <c r="A6907" s="49"/>
      <c r="B6907" s="49"/>
    </row>
    <row r="6908" spans="1:2" x14ac:dyDescent="0.2">
      <c r="A6908" s="49"/>
      <c r="B6908" s="49"/>
    </row>
    <row r="6909" spans="1:2" x14ac:dyDescent="0.2">
      <c r="A6909" s="49"/>
      <c r="B6909" s="49"/>
    </row>
    <row r="6910" spans="1:2" x14ac:dyDescent="0.2">
      <c r="A6910" s="49"/>
      <c r="B6910" s="49"/>
    </row>
    <row r="6911" spans="1:2" x14ac:dyDescent="0.2">
      <c r="A6911" s="49"/>
      <c r="B6911" s="49"/>
    </row>
    <row r="6912" spans="1:2" x14ac:dyDescent="0.2">
      <c r="A6912" s="49"/>
      <c r="B6912" s="49"/>
    </row>
    <row r="6913" spans="1:2" x14ac:dyDescent="0.2">
      <c r="A6913" s="49"/>
      <c r="B6913" s="49"/>
    </row>
    <row r="6914" spans="1:2" x14ac:dyDescent="0.2">
      <c r="A6914" s="49"/>
      <c r="B6914" s="49"/>
    </row>
    <row r="6915" spans="1:2" x14ac:dyDescent="0.2">
      <c r="A6915" s="49"/>
      <c r="B6915" s="49"/>
    </row>
    <row r="6916" spans="1:2" x14ac:dyDescent="0.2">
      <c r="A6916" s="49"/>
      <c r="B6916" s="49"/>
    </row>
    <row r="6917" spans="1:2" x14ac:dyDescent="0.2">
      <c r="A6917" s="49"/>
      <c r="B6917" s="49"/>
    </row>
    <row r="6918" spans="1:2" x14ac:dyDescent="0.2">
      <c r="A6918" s="49"/>
      <c r="B6918" s="49"/>
    </row>
    <row r="6919" spans="1:2" x14ac:dyDescent="0.2">
      <c r="A6919" s="49"/>
      <c r="B6919" s="49"/>
    </row>
    <row r="6920" spans="1:2" x14ac:dyDescent="0.2">
      <c r="A6920" s="49"/>
      <c r="B6920" s="49"/>
    </row>
    <row r="6921" spans="1:2" x14ac:dyDescent="0.2">
      <c r="A6921" s="49"/>
      <c r="B6921" s="49"/>
    </row>
    <row r="6922" spans="1:2" x14ac:dyDescent="0.2">
      <c r="A6922" s="49"/>
      <c r="B6922" s="49"/>
    </row>
    <row r="6923" spans="1:2" x14ac:dyDescent="0.2">
      <c r="A6923" s="49"/>
      <c r="B6923" s="49"/>
    </row>
    <row r="6924" spans="1:2" x14ac:dyDescent="0.2">
      <c r="A6924" s="49"/>
      <c r="B6924" s="49"/>
    </row>
    <row r="6925" spans="1:2" x14ac:dyDescent="0.2">
      <c r="A6925" s="49"/>
      <c r="B6925" s="49"/>
    </row>
    <row r="6926" spans="1:2" x14ac:dyDescent="0.2">
      <c r="A6926" s="49"/>
      <c r="B6926" s="49"/>
    </row>
    <row r="6927" spans="1:2" x14ac:dyDescent="0.2">
      <c r="A6927" s="49"/>
      <c r="B6927" s="49"/>
    </row>
    <row r="6928" spans="1:2" x14ac:dyDescent="0.2">
      <c r="A6928" s="49"/>
      <c r="B6928" s="49"/>
    </row>
    <row r="6929" spans="1:2" x14ac:dyDescent="0.2">
      <c r="A6929" s="49"/>
      <c r="B6929" s="49"/>
    </row>
    <row r="6930" spans="1:2" x14ac:dyDescent="0.2">
      <c r="A6930" s="49"/>
      <c r="B6930" s="49"/>
    </row>
    <row r="6931" spans="1:2" x14ac:dyDescent="0.2">
      <c r="A6931" s="49"/>
      <c r="B6931" s="49"/>
    </row>
    <row r="6932" spans="1:2" x14ac:dyDescent="0.2">
      <c r="A6932" s="49"/>
      <c r="B6932" s="49"/>
    </row>
    <row r="6933" spans="1:2" x14ac:dyDescent="0.2">
      <c r="A6933" s="49"/>
      <c r="B6933" s="49"/>
    </row>
    <row r="6934" spans="1:2" x14ac:dyDescent="0.2">
      <c r="A6934" s="49"/>
      <c r="B6934" s="49"/>
    </row>
    <row r="6935" spans="1:2" x14ac:dyDescent="0.2">
      <c r="A6935" s="49"/>
      <c r="B6935" s="49"/>
    </row>
    <row r="6936" spans="1:2" x14ac:dyDescent="0.2">
      <c r="A6936" s="49"/>
      <c r="B6936" s="49"/>
    </row>
    <row r="6937" spans="1:2" x14ac:dyDescent="0.2">
      <c r="A6937" s="49"/>
      <c r="B6937" s="49"/>
    </row>
    <row r="6938" spans="1:2" x14ac:dyDescent="0.2">
      <c r="A6938" s="49"/>
      <c r="B6938" s="49"/>
    </row>
    <row r="6939" spans="1:2" x14ac:dyDescent="0.2">
      <c r="A6939" s="49"/>
      <c r="B6939" s="49"/>
    </row>
    <row r="6940" spans="1:2" x14ac:dyDescent="0.2">
      <c r="A6940" s="49"/>
      <c r="B6940" s="49"/>
    </row>
    <row r="6941" spans="1:2" x14ac:dyDescent="0.2">
      <c r="A6941" s="49"/>
      <c r="B6941" s="49"/>
    </row>
    <row r="6942" spans="1:2" x14ac:dyDescent="0.2">
      <c r="A6942" s="49"/>
      <c r="B6942" s="49"/>
    </row>
    <row r="6943" spans="1:2" x14ac:dyDescent="0.2">
      <c r="A6943" s="49"/>
      <c r="B6943" s="49"/>
    </row>
    <row r="6944" spans="1:2" x14ac:dyDescent="0.2">
      <c r="A6944" s="49"/>
      <c r="B6944" s="49"/>
    </row>
    <row r="6945" spans="1:2" x14ac:dyDescent="0.2">
      <c r="A6945" s="49"/>
      <c r="B6945" s="49"/>
    </row>
    <row r="6946" spans="1:2" x14ac:dyDescent="0.2">
      <c r="A6946" s="49"/>
      <c r="B6946" s="49"/>
    </row>
    <row r="6947" spans="1:2" x14ac:dyDescent="0.2">
      <c r="A6947" s="49"/>
      <c r="B6947" s="49"/>
    </row>
    <row r="6948" spans="1:2" x14ac:dyDescent="0.2">
      <c r="A6948" s="49"/>
      <c r="B6948" s="49"/>
    </row>
    <row r="6949" spans="1:2" x14ac:dyDescent="0.2">
      <c r="A6949" s="49"/>
      <c r="B6949" s="49"/>
    </row>
    <row r="6950" spans="1:2" x14ac:dyDescent="0.2">
      <c r="A6950" s="49"/>
      <c r="B6950" s="49"/>
    </row>
    <row r="6951" spans="1:2" x14ac:dyDescent="0.2">
      <c r="A6951" s="49"/>
      <c r="B6951" s="49"/>
    </row>
    <row r="6952" spans="1:2" x14ac:dyDescent="0.2">
      <c r="A6952" s="49"/>
      <c r="B6952" s="49"/>
    </row>
    <row r="6953" spans="1:2" x14ac:dyDescent="0.2">
      <c r="A6953" s="49"/>
      <c r="B6953" s="49"/>
    </row>
    <row r="6954" spans="1:2" x14ac:dyDescent="0.2">
      <c r="A6954" s="49"/>
      <c r="B6954" s="49"/>
    </row>
    <row r="6955" spans="1:2" x14ac:dyDescent="0.2">
      <c r="A6955" s="49"/>
      <c r="B6955" s="49"/>
    </row>
    <row r="6956" spans="1:2" x14ac:dyDescent="0.2">
      <c r="A6956" s="49"/>
      <c r="B6956" s="49"/>
    </row>
    <row r="6957" spans="1:2" x14ac:dyDescent="0.2">
      <c r="A6957" s="49"/>
      <c r="B6957" s="49"/>
    </row>
    <row r="6958" spans="1:2" x14ac:dyDescent="0.2">
      <c r="A6958" s="49"/>
      <c r="B6958" s="49"/>
    </row>
    <row r="6959" spans="1:2" x14ac:dyDescent="0.2">
      <c r="A6959" s="49"/>
      <c r="B6959" s="49"/>
    </row>
    <row r="6960" spans="1:2" x14ac:dyDescent="0.2">
      <c r="A6960" s="49"/>
      <c r="B6960" s="49"/>
    </row>
    <row r="6961" spans="1:2" x14ac:dyDescent="0.2">
      <c r="A6961" s="49"/>
      <c r="B6961" s="49"/>
    </row>
    <row r="6962" spans="1:2" x14ac:dyDescent="0.2">
      <c r="A6962" s="49"/>
      <c r="B6962" s="49"/>
    </row>
    <row r="6963" spans="1:2" x14ac:dyDescent="0.2">
      <c r="A6963" s="49"/>
      <c r="B6963" s="49"/>
    </row>
    <row r="6964" spans="1:2" x14ac:dyDescent="0.2">
      <c r="A6964" s="49"/>
      <c r="B6964" s="49"/>
    </row>
    <row r="6965" spans="1:2" x14ac:dyDescent="0.2">
      <c r="A6965" s="49"/>
      <c r="B6965" s="49"/>
    </row>
    <row r="6966" spans="1:2" x14ac:dyDescent="0.2">
      <c r="A6966" s="49"/>
      <c r="B6966" s="49"/>
    </row>
    <row r="6967" spans="1:2" x14ac:dyDescent="0.2">
      <c r="A6967" s="49"/>
      <c r="B6967" s="49"/>
    </row>
    <row r="6968" spans="1:2" x14ac:dyDescent="0.2">
      <c r="A6968" s="49"/>
      <c r="B6968" s="49"/>
    </row>
    <row r="6969" spans="1:2" x14ac:dyDescent="0.2">
      <c r="A6969" s="49"/>
      <c r="B6969" s="49"/>
    </row>
    <row r="6970" spans="1:2" x14ac:dyDescent="0.2">
      <c r="A6970" s="49"/>
      <c r="B6970" s="49"/>
    </row>
    <row r="6971" spans="1:2" x14ac:dyDescent="0.2">
      <c r="A6971" s="49"/>
      <c r="B6971" s="49"/>
    </row>
    <row r="6972" spans="1:2" x14ac:dyDescent="0.2">
      <c r="A6972" s="49"/>
      <c r="B6972" s="49"/>
    </row>
    <row r="6973" spans="1:2" x14ac:dyDescent="0.2">
      <c r="A6973" s="49"/>
      <c r="B6973" s="49"/>
    </row>
    <row r="6974" spans="1:2" x14ac:dyDescent="0.2">
      <c r="A6974" s="49"/>
      <c r="B6974" s="49"/>
    </row>
    <row r="6975" spans="1:2" x14ac:dyDescent="0.2">
      <c r="A6975" s="49"/>
      <c r="B6975" s="49"/>
    </row>
    <row r="6976" spans="1:2" x14ac:dyDescent="0.2">
      <c r="A6976" s="49"/>
      <c r="B6976" s="49"/>
    </row>
    <row r="6977" spans="1:2" x14ac:dyDescent="0.2">
      <c r="A6977" s="49"/>
      <c r="B6977" s="49"/>
    </row>
    <row r="6978" spans="1:2" x14ac:dyDescent="0.2">
      <c r="A6978" s="49"/>
      <c r="B6978" s="49"/>
    </row>
    <row r="6979" spans="1:2" x14ac:dyDescent="0.2">
      <c r="A6979" s="49"/>
      <c r="B6979" s="49"/>
    </row>
    <row r="6980" spans="1:2" x14ac:dyDescent="0.2">
      <c r="A6980" s="49"/>
      <c r="B6980" s="49"/>
    </row>
    <row r="6981" spans="1:2" x14ac:dyDescent="0.2">
      <c r="A6981" s="49"/>
      <c r="B6981" s="49"/>
    </row>
    <row r="6982" spans="1:2" x14ac:dyDescent="0.2">
      <c r="A6982" s="49"/>
      <c r="B6982" s="49"/>
    </row>
    <row r="6983" spans="1:2" x14ac:dyDescent="0.2">
      <c r="A6983" s="49"/>
      <c r="B6983" s="49"/>
    </row>
    <row r="6984" spans="1:2" x14ac:dyDescent="0.2">
      <c r="A6984" s="49"/>
      <c r="B6984" s="49"/>
    </row>
    <row r="6985" spans="1:2" x14ac:dyDescent="0.2">
      <c r="A6985" s="49"/>
      <c r="B6985" s="49"/>
    </row>
    <row r="6986" spans="1:2" x14ac:dyDescent="0.2">
      <c r="A6986" s="49"/>
      <c r="B6986" s="49"/>
    </row>
    <row r="6987" spans="1:2" x14ac:dyDescent="0.2">
      <c r="A6987" s="49"/>
      <c r="B6987" s="49"/>
    </row>
    <row r="6988" spans="1:2" x14ac:dyDescent="0.2">
      <c r="A6988" s="49"/>
      <c r="B6988" s="49"/>
    </row>
    <row r="6989" spans="1:2" x14ac:dyDescent="0.2">
      <c r="A6989" s="49"/>
      <c r="B6989" s="49"/>
    </row>
    <row r="6990" spans="1:2" x14ac:dyDescent="0.2">
      <c r="A6990" s="49"/>
      <c r="B6990" s="49"/>
    </row>
    <row r="6991" spans="1:2" x14ac:dyDescent="0.2">
      <c r="A6991" s="49"/>
      <c r="B6991" s="49"/>
    </row>
    <row r="6992" spans="1:2" x14ac:dyDescent="0.2">
      <c r="A6992" s="49"/>
      <c r="B6992" s="49"/>
    </row>
    <row r="6993" spans="1:2" x14ac:dyDescent="0.2">
      <c r="A6993" s="49"/>
      <c r="B6993" s="49"/>
    </row>
    <row r="6994" spans="1:2" x14ac:dyDescent="0.2">
      <c r="A6994" s="49"/>
      <c r="B6994" s="49"/>
    </row>
    <row r="6995" spans="1:2" x14ac:dyDescent="0.2">
      <c r="A6995" s="49"/>
      <c r="B6995" s="49"/>
    </row>
    <row r="6996" spans="1:2" x14ac:dyDescent="0.2">
      <c r="A6996" s="49"/>
      <c r="B6996" s="49"/>
    </row>
    <row r="6997" spans="1:2" x14ac:dyDescent="0.2">
      <c r="A6997" s="49"/>
      <c r="B6997" s="49"/>
    </row>
    <row r="6998" spans="1:2" x14ac:dyDescent="0.2">
      <c r="A6998" s="49"/>
      <c r="B6998" s="49"/>
    </row>
    <row r="6999" spans="1:2" x14ac:dyDescent="0.2">
      <c r="A6999" s="49"/>
      <c r="B6999" s="49"/>
    </row>
    <row r="7000" spans="1:2" x14ac:dyDescent="0.2">
      <c r="A7000" s="49"/>
      <c r="B7000" s="49"/>
    </row>
    <row r="7001" spans="1:2" x14ac:dyDescent="0.2">
      <c r="A7001" s="49"/>
      <c r="B7001" s="49"/>
    </row>
    <row r="7002" spans="1:2" x14ac:dyDescent="0.2">
      <c r="A7002" s="49"/>
      <c r="B7002" s="49"/>
    </row>
    <row r="7003" spans="1:2" x14ac:dyDescent="0.2">
      <c r="A7003" s="49"/>
      <c r="B7003" s="49"/>
    </row>
    <row r="7004" spans="1:2" x14ac:dyDescent="0.2">
      <c r="A7004" s="49"/>
      <c r="B7004" s="49"/>
    </row>
    <row r="7005" spans="1:2" x14ac:dyDescent="0.2">
      <c r="A7005" s="49"/>
      <c r="B7005" s="49"/>
    </row>
    <row r="7006" spans="1:2" x14ac:dyDescent="0.2">
      <c r="A7006" s="49"/>
      <c r="B7006" s="49"/>
    </row>
    <row r="7007" spans="1:2" x14ac:dyDescent="0.2">
      <c r="A7007" s="49"/>
      <c r="B7007" s="49"/>
    </row>
    <row r="7008" spans="1:2" x14ac:dyDescent="0.2">
      <c r="A7008" s="49"/>
      <c r="B7008" s="49"/>
    </row>
    <row r="7009" spans="1:2" x14ac:dyDescent="0.2">
      <c r="A7009" s="49"/>
      <c r="B7009" s="49"/>
    </row>
    <row r="7010" spans="1:2" x14ac:dyDescent="0.2">
      <c r="A7010" s="49"/>
      <c r="B7010" s="49"/>
    </row>
    <row r="7011" spans="1:2" x14ac:dyDescent="0.2">
      <c r="A7011" s="49"/>
      <c r="B7011" s="49"/>
    </row>
    <row r="7012" spans="1:2" x14ac:dyDescent="0.2">
      <c r="A7012" s="49"/>
      <c r="B7012" s="49"/>
    </row>
    <row r="7013" spans="1:2" x14ac:dyDescent="0.2">
      <c r="A7013" s="49"/>
      <c r="B7013" s="49"/>
    </row>
    <row r="7014" spans="1:2" x14ac:dyDescent="0.2">
      <c r="A7014" s="49"/>
      <c r="B7014" s="49"/>
    </row>
    <row r="7015" spans="1:2" x14ac:dyDescent="0.2">
      <c r="A7015" s="49"/>
      <c r="B7015" s="49"/>
    </row>
    <row r="7016" spans="1:2" x14ac:dyDescent="0.2">
      <c r="A7016" s="49"/>
      <c r="B7016" s="49"/>
    </row>
    <row r="7017" spans="1:2" x14ac:dyDescent="0.2">
      <c r="A7017" s="49"/>
      <c r="B7017" s="49"/>
    </row>
    <row r="7018" spans="1:2" x14ac:dyDescent="0.2">
      <c r="A7018" s="49"/>
      <c r="B7018" s="49"/>
    </row>
    <row r="7019" spans="1:2" x14ac:dyDescent="0.2">
      <c r="A7019" s="49"/>
      <c r="B7019" s="49"/>
    </row>
    <row r="7020" spans="1:2" x14ac:dyDescent="0.2">
      <c r="A7020" s="49"/>
      <c r="B7020" s="49"/>
    </row>
    <row r="7021" spans="1:2" x14ac:dyDescent="0.2">
      <c r="A7021" s="49"/>
      <c r="B7021" s="49"/>
    </row>
    <row r="7022" spans="1:2" x14ac:dyDescent="0.2">
      <c r="A7022" s="49"/>
      <c r="B7022" s="49"/>
    </row>
    <row r="7023" spans="1:2" x14ac:dyDescent="0.2">
      <c r="A7023" s="49"/>
      <c r="B7023" s="49"/>
    </row>
    <row r="7024" spans="1:2" x14ac:dyDescent="0.2">
      <c r="A7024" s="49"/>
      <c r="B7024" s="49"/>
    </row>
    <row r="7025" spans="1:2" x14ac:dyDescent="0.2">
      <c r="A7025" s="49"/>
      <c r="B7025" s="49"/>
    </row>
    <row r="7026" spans="1:2" x14ac:dyDescent="0.2">
      <c r="A7026" s="49"/>
      <c r="B7026" s="49"/>
    </row>
    <row r="7027" spans="1:2" x14ac:dyDescent="0.2">
      <c r="A7027" s="49"/>
      <c r="B7027" s="49"/>
    </row>
    <row r="7028" spans="1:2" x14ac:dyDescent="0.2">
      <c r="A7028" s="49"/>
      <c r="B7028" s="49"/>
    </row>
    <row r="7029" spans="1:2" x14ac:dyDescent="0.2">
      <c r="A7029" s="49"/>
      <c r="B7029" s="49"/>
    </row>
    <row r="7030" spans="1:2" x14ac:dyDescent="0.2">
      <c r="A7030" s="49"/>
      <c r="B7030" s="49"/>
    </row>
    <row r="7031" spans="1:2" x14ac:dyDescent="0.2">
      <c r="A7031" s="49"/>
      <c r="B7031" s="49"/>
    </row>
    <row r="7032" spans="1:2" x14ac:dyDescent="0.2">
      <c r="A7032" s="49"/>
      <c r="B7032" s="49"/>
    </row>
    <row r="7033" spans="1:2" x14ac:dyDescent="0.2">
      <c r="A7033" s="49"/>
      <c r="B7033" s="49"/>
    </row>
    <row r="7034" spans="1:2" x14ac:dyDescent="0.2">
      <c r="A7034" s="49"/>
      <c r="B7034" s="49"/>
    </row>
    <row r="7035" spans="1:2" x14ac:dyDescent="0.2">
      <c r="A7035" s="49"/>
      <c r="B7035" s="49"/>
    </row>
    <row r="7036" spans="1:2" x14ac:dyDescent="0.2">
      <c r="A7036" s="49"/>
      <c r="B7036" s="49"/>
    </row>
    <row r="7037" spans="1:2" x14ac:dyDescent="0.2">
      <c r="A7037" s="49"/>
      <c r="B7037" s="49"/>
    </row>
    <row r="7038" spans="1:2" x14ac:dyDescent="0.2">
      <c r="A7038" s="49"/>
      <c r="B7038" s="49"/>
    </row>
    <row r="7039" spans="1:2" x14ac:dyDescent="0.2">
      <c r="A7039" s="49"/>
      <c r="B7039" s="49"/>
    </row>
    <row r="7040" spans="1:2" x14ac:dyDescent="0.2">
      <c r="A7040" s="49"/>
      <c r="B7040" s="49"/>
    </row>
    <row r="7041" spans="1:2" x14ac:dyDescent="0.2">
      <c r="A7041" s="49"/>
      <c r="B7041" s="49"/>
    </row>
    <row r="7042" spans="1:2" x14ac:dyDescent="0.2">
      <c r="A7042" s="49"/>
      <c r="B7042" s="49"/>
    </row>
    <row r="7043" spans="1:2" x14ac:dyDescent="0.2">
      <c r="A7043" s="49"/>
      <c r="B7043" s="49"/>
    </row>
    <row r="7044" spans="1:2" x14ac:dyDescent="0.2">
      <c r="A7044" s="49"/>
      <c r="B7044" s="49"/>
    </row>
    <row r="7045" spans="1:2" x14ac:dyDescent="0.2">
      <c r="A7045" s="49"/>
      <c r="B7045" s="49"/>
    </row>
    <row r="7046" spans="1:2" x14ac:dyDescent="0.2">
      <c r="A7046" s="49"/>
      <c r="B7046" s="49"/>
    </row>
    <row r="7047" spans="1:2" x14ac:dyDescent="0.2">
      <c r="A7047" s="49"/>
      <c r="B7047" s="49"/>
    </row>
    <row r="7048" spans="1:2" x14ac:dyDescent="0.2">
      <c r="A7048" s="49"/>
      <c r="B7048" s="49"/>
    </row>
    <row r="7049" spans="1:2" x14ac:dyDescent="0.2">
      <c r="A7049" s="49"/>
      <c r="B7049" s="49"/>
    </row>
    <row r="7050" spans="1:2" x14ac:dyDescent="0.2">
      <c r="A7050" s="49"/>
      <c r="B7050" s="49"/>
    </row>
    <row r="7051" spans="1:2" x14ac:dyDescent="0.2">
      <c r="A7051" s="49"/>
      <c r="B7051" s="49"/>
    </row>
    <row r="7052" spans="1:2" x14ac:dyDescent="0.2">
      <c r="A7052" s="49"/>
      <c r="B7052" s="49"/>
    </row>
    <row r="7053" spans="1:2" x14ac:dyDescent="0.2">
      <c r="A7053" s="49"/>
      <c r="B7053" s="49"/>
    </row>
    <row r="7054" spans="1:2" x14ac:dyDescent="0.2">
      <c r="A7054" s="49"/>
      <c r="B7054" s="49"/>
    </row>
    <row r="7055" spans="1:2" x14ac:dyDescent="0.2">
      <c r="A7055" s="49"/>
      <c r="B7055" s="49"/>
    </row>
    <row r="7056" spans="1:2" x14ac:dyDescent="0.2">
      <c r="A7056" s="49"/>
      <c r="B7056" s="49"/>
    </row>
    <row r="7057" spans="1:2" x14ac:dyDescent="0.2">
      <c r="A7057" s="49"/>
      <c r="B7057" s="49"/>
    </row>
    <row r="7058" spans="1:2" x14ac:dyDescent="0.2">
      <c r="A7058" s="49"/>
      <c r="B7058" s="49"/>
    </row>
    <row r="7059" spans="1:2" x14ac:dyDescent="0.2">
      <c r="A7059" s="49"/>
      <c r="B7059" s="49"/>
    </row>
    <row r="7060" spans="1:2" x14ac:dyDescent="0.2">
      <c r="A7060" s="49"/>
      <c r="B7060" s="49"/>
    </row>
    <row r="7061" spans="1:2" x14ac:dyDescent="0.2">
      <c r="A7061" s="49"/>
      <c r="B7061" s="49"/>
    </row>
    <row r="7062" spans="1:2" x14ac:dyDescent="0.2">
      <c r="A7062" s="49"/>
      <c r="B7062" s="49"/>
    </row>
    <row r="7063" spans="1:2" x14ac:dyDescent="0.2">
      <c r="A7063" s="49"/>
      <c r="B7063" s="49"/>
    </row>
    <row r="7064" spans="1:2" x14ac:dyDescent="0.2">
      <c r="A7064" s="49"/>
      <c r="B7064" s="49"/>
    </row>
    <row r="7065" spans="1:2" x14ac:dyDescent="0.2">
      <c r="A7065" s="49"/>
      <c r="B7065" s="49"/>
    </row>
    <row r="7066" spans="1:2" x14ac:dyDescent="0.2">
      <c r="A7066" s="49"/>
      <c r="B7066" s="49"/>
    </row>
    <row r="7067" spans="1:2" x14ac:dyDescent="0.2">
      <c r="A7067" s="49"/>
      <c r="B7067" s="49"/>
    </row>
    <row r="7068" spans="1:2" x14ac:dyDescent="0.2">
      <c r="A7068" s="49"/>
      <c r="B7068" s="49"/>
    </row>
    <row r="7069" spans="1:2" x14ac:dyDescent="0.2">
      <c r="A7069" s="49"/>
      <c r="B7069" s="49"/>
    </row>
    <row r="7070" spans="1:2" x14ac:dyDescent="0.2">
      <c r="A7070" s="49"/>
      <c r="B7070" s="49"/>
    </row>
    <row r="7071" spans="1:2" x14ac:dyDescent="0.2">
      <c r="A7071" s="49"/>
      <c r="B7071" s="49"/>
    </row>
    <row r="7072" spans="1:2" x14ac:dyDescent="0.2">
      <c r="A7072" s="49"/>
      <c r="B7072" s="49"/>
    </row>
    <row r="7073" spans="1:2" x14ac:dyDescent="0.2">
      <c r="A7073" s="49"/>
      <c r="B7073" s="49"/>
    </row>
    <row r="7074" spans="1:2" x14ac:dyDescent="0.2">
      <c r="A7074" s="49"/>
      <c r="B7074" s="49"/>
    </row>
    <row r="7075" spans="1:2" x14ac:dyDescent="0.2">
      <c r="A7075" s="49"/>
      <c r="B7075" s="49"/>
    </row>
    <row r="7076" spans="1:2" x14ac:dyDescent="0.2">
      <c r="A7076" s="49"/>
      <c r="B7076" s="49"/>
    </row>
    <row r="7077" spans="1:2" x14ac:dyDescent="0.2">
      <c r="A7077" s="49"/>
      <c r="B7077" s="49"/>
    </row>
    <row r="7078" spans="1:2" x14ac:dyDescent="0.2">
      <c r="A7078" s="49"/>
      <c r="B7078" s="49"/>
    </row>
    <row r="7079" spans="1:2" x14ac:dyDescent="0.2">
      <c r="A7079" s="49"/>
      <c r="B7079" s="49"/>
    </row>
    <row r="7080" spans="1:2" x14ac:dyDescent="0.2">
      <c r="A7080" s="49"/>
      <c r="B7080" s="49"/>
    </row>
    <row r="7081" spans="1:2" x14ac:dyDescent="0.2">
      <c r="A7081" s="49"/>
      <c r="B7081" s="49"/>
    </row>
    <row r="7082" spans="1:2" x14ac:dyDescent="0.2">
      <c r="A7082" s="49"/>
      <c r="B7082" s="49"/>
    </row>
    <row r="7083" spans="1:2" x14ac:dyDescent="0.2">
      <c r="A7083" s="49"/>
      <c r="B7083" s="49"/>
    </row>
    <row r="7084" spans="1:2" x14ac:dyDescent="0.2">
      <c r="A7084" s="49"/>
      <c r="B7084" s="49"/>
    </row>
    <row r="7085" spans="1:2" x14ac:dyDescent="0.2">
      <c r="A7085" s="49"/>
      <c r="B7085" s="49"/>
    </row>
    <row r="7086" spans="1:2" x14ac:dyDescent="0.2">
      <c r="A7086" s="49"/>
      <c r="B7086" s="49"/>
    </row>
    <row r="7087" spans="1:2" x14ac:dyDescent="0.2">
      <c r="A7087" s="49"/>
      <c r="B7087" s="49"/>
    </row>
    <row r="7088" spans="1:2" x14ac:dyDescent="0.2">
      <c r="A7088" s="49"/>
      <c r="B7088" s="49"/>
    </row>
    <row r="7089" spans="1:2" x14ac:dyDescent="0.2">
      <c r="A7089" s="49"/>
      <c r="B7089" s="49"/>
    </row>
    <row r="7090" spans="1:2" x14ac:dyDescent="0.2">
      <c r="A7090" s="49"/>
      <c r="B7090" s="49"/>
    </row>
    <row r="7091" spans="1:2" x14ac:dyDescent="0.2">
      <c r="A7091" s="49"/>
      <c r="B7091" s="49"/>
    </row>
    <row r="7092" spans="1:2" x14ac:dyDescent="0.2">
      <c r="A7092" s="49"/>
      <c r="B7092" s="49"/>
    </row>
    <row r="7093" spans="1:2" x14ac:dyDescent="0.2">
      <c r="A7093" s="49"/>
      <c r="B7093" s="49"/>
    </row>
    <row r="7094" spans="1:2" x14ac:dyDescent="0.2">
      <c r="A7094" s="49"/>
      <c r="B7094" s="49"/>
    </row>
    <row r="7095" spans="1:2" x14ac:dyDescent="0.2">
      <c r="A7095" s="49"/>
      <c r="B7095" s="49"/>
    </row>
    <row r="7096" spans="1:2" x14ac:dyDescent="0.2">
      <c r="A7096" s="49"/>
      <c r="B7096" s="49"/>
    </row>
    <row r="7097" spans="1:2" x14ac:dyDescent="0.2">
      <c r="A7097" s="49"/>
      <c r="B7097" s="49"/>
    </row>
    <row r="7098" spans="1:2" x14ac:dyDescent="0.2">
      <c r="A7098" s="49"/>
      <c r="B7098" s="49"/>
    </row>
    <row r="7099" spans="1:2" x14ac:dyDescent="0.2">
      <c r="A7099" s="49"/>
      <c r="B7099" s="49"/>
    </row>
    <row r="7100" spans="1:2" x14ac:dyDescent="0.2">
      <c r="A7100" s="49"/>
      <c r="B7100" s="49"/>
    </row>
    <row r="7101" spans="1:2" x14ac:dyDescent="0.2">
      <c r="A7101" s="49"/>
      <c r="B7101" s="49"/>
    </row>
    <row r="7102" spans="1:2" x14ac:dyDescent="0.2">
      <c r="A7102" s="49"/>
      <c r="B7102" s="49"/>
    </row>
    <row r="7103" spans="1:2" x14ac:dyDescent="0.2">
      <c r="A7103" s="49"/>
      <c r="B7103" s="49"/>
    </row>
    <row r="7104" spans="1:2" x14ac:dyDescent="0.2">
      <c r="A7104" s="49"/>
      <c r="B7104" s="49"/>
    </row>
    <row r="7105" spans="1:2" x14ac:dyDescent="0.2">
      <c r="A7105" s="49"/>
      <c r="B7105" s="49"/>
    </row>
    <row r="7106" spans="1:2" x14ac:dyDescent="0.2">
      <c r="A7106" s="49"/>
      <c r="B7106" s="49"/>
    </row>
    <row r="7107" spans="1:2" x14ac:dyDescent="0.2">
      <c r="A7107" s="49"/>
      <c r="B7107" s="49"/>
    </row>
    <row r="7108" spans="1:2" x14ac:dyDescent="0.2">
      <c r="A7108" s="49"/>
      <c r="B7108" s="49"/>
    </row>
    <row r="7109" spans="1:2" x14ac:dyDescent="0.2">
      <c r="A7109" s="49"/>
      <c r="B7109" s="49"/>
    </row>
    <row r="7110" spans="1:2" x14ac:dyDescent="0.2">
      <c r="A7110" s="49"/>
      <c r="B7110" s="49"/>
    </row>
    <row r="7111" spans="1:2" x14ac:dyDescent="0.2">
      <c r="A7111" s="49"/>
      <c r="B7111" s="49"/>
    </row>
    <row r="7112" spans="1:2" x14ac:dyDescent="0.2">
      <c r="A7112" s="49"/>
      <c r="B7112" s="49"/>
    </row>
    <row r="7113" spans="1:2" x14ac:dyDescent="0.2">
      <c r="A7113" s="49"/>
      <c r="B7113" s="49"/>
    </row>
    <row r="7114" spans="1:2" x14ac:dyDescent="0.2">
      <c r="A7114" s="49"/>
      <c r="B7114" s="49"/>
    </row>
    <row r="7115" spans="1:2" x14ac:dyDescent="0.2">
      <c r="A7115" s="49"/>
      <c r="B7115" s="49"/>
    </row>
    <row r="7116" spans="1:2" x14ac:dyDescent="0.2">
      <c r="A7116" s="49"/>
      <c r="B7116" s="49"/>
    </row>
    <row r="7117" spans="1:2" x14ac:dyDescent="0.2">
      <c r="A7117" s="49"/>
      <c r="B7117" s="49"/>
    </row>
    <row r="7118" spans="1:2" x14ac:dyDescent="0.2">
      <c r="A7118" s="49"/>
      <c r="B7118" s="49"/>
    </row>
    <row r="7119" spans="1:2" x14ac:dyDescent="0.2">
      <c r="A7119" s="49"/>
      <c r="B7119" s="49"/>
    </row>
    <row r="7120" spans="1:2" x14ac:dyDescent="0.2">
      <c r="A7120" s="49"/>
      <c r="B7120" s="49"/>
    </row>
    <row r="7121" spans="1:2" x14ac:dyDescent="0.2">
      <c r="A7121" s="49"/>
      <c r="B7121" s="49"/>
    </row>
    <row r="7122" spans="1:2" x14ac:dyDescent="0.2">
      <c r="A7122" s="49"/>
      <c r="B7122" s="49"/>
    </row>
    <row r="7123" spans="1:2" x14ac:dyDescent="0.2">
      <c r="A7123" s="49"/>
      <c r="B7123" s="49"/>
    </row>
    <row r="7124" spans="1:2" x14ac:dyDescent="0.2">
      <c r="A7124" s="49"/>
      <c r="B7124" s="49"/>
    </row>
    <row r="7125" spans="1:2" x14ac:dyDescent="0.2">
      <c r="A7125" s="49"/>
      <c r="B7125" s="49"/>
    </row>
    <row r="7126" spans="1:2" x14ac:dyDescent="0.2">
      <c r="A7126" s="49"/>
      <c r="B7126" s="49"/>
    </row>
    <row r="7127" spans="1:2" x14ac:dyDescent="0.2">
      <c r="A7127" s="49"/>
      <c r="B7127" s="49"/>
    </row>
    <row r="7128" spans="1:2" x14ac:dyDescent="0.2">
      <c r="A7128" s="49"/>
      <c r="B7128" s="49"/>
    </row>
    <row r="7129" spans="1:2" x14ac:dyDescent="0.2">
      <c r="A7129" s="49"/>
      <c r="B7129" s="49"/>
    </row>
    <row r="7130" spans="1:2" x14ac:dyDescent="0.2">
      <c r="A7130" s="49"/>
      <c r="B7130" s="49"/>
    </row>
    <row r="7131" spans="1:2" x14ac:dyDescent="0.2">
      <c r="A7131" s="49"/>
      <c r="B7131" s="49"/>
    </row>
    <row r="7132" spans="1:2" x14ac:dyDescent="0.2">
      <c r="A7132" s="49"/>
      <c r="B7132" s="49"/>
    </row>
    <row r="7133" spans="1:2" x14ac:dyDescent="0.2">
      <c r="A7133" s="49"/>
      <c r="B7133" s="49"/>
    </row>
    <row r="7134" spans="1:2" x14ac:dyDescent="0.2">
      <c r="A7134" s="49"/>
      <c r="B7134" s="49"/>
    </row>
    <row r="7135" spans="1:2" x14ac:dyDescent="0.2">
      <c r="A7135" s="49"/>
      <c r="B7135" s="49"/>
    </row>
    <row r="7136" spans="1:2" x14ac:dyDescent="0.2">
      <c r="A7136" s="49"/>
      <c r="B7136" s="49"/>
    </row>
    <row r="7137" spans="1:2" x14ac:dyDescent="0.2">
      <c r="A7137" s="49"/>
      <c r="B7137" s="49"/>
    </row>
    <row r="7138" spans="1:2" x14ac:dyDescent="0.2">
      <c r="A7138" s="49"/>
      <c r="B7138" s="49"/>
    </row>
    <row r="7139" spans="1:2" x14ac:dyDescent="0.2">
      <c r="A7139" s="49"/>
      <c r="B7139" s="49"/>
    </row>
    <row r="7140" spans="1:2" x14ac:dyDescent="0.2">
      <c r="A7140" s="49"/>
      <c r="B7140" s="49"/>
    </row>
    <row r="7141" spans="1:2" x14ac:dyDescent="0.2">
      <c r="A7141" s="49"/>
      <c r="B7141" s="49"/>
    </row>
    <row r="7142" spans="1:2" x14ac:dyDescent="0.2">
      <c r="A7142" s="49"/>
      <c r="B7142" s="49"/>
    </row>
    <row r="7143" spans="1:2" x14ac:dyDescent="0.2">
      <c r="A7143" s="49"/>
      <c r="B7143" s="49"/>
    </row>
    <row r="7144" spans="1:2" x14ac:dyDescent="0.2">
      <c r="A7144" s="49"/>
      <c r="B7144" s="49"/>
    </row>
    <row r="7145" spans="1:2" x14ac:dyDescent="0.2">
      <c r="A7145" s="49"/>
      <c r="B7145" s="49"/>
    </row>
    <row r="7146" spans="1:2" x14ac:dyDescent="0.2">
      <c r="A7146" s="49"/>
      <c r="B7146" s="49"/>
    </row>
    <row r="7147" spans="1:2" x14ac:dyDescent="0.2">
      <c r="A7147" s="49"/>
      <c r="B7147" s="49"/>
    </row>
    <row r="7148" spans="1:2" x14ac:dyDescent="0.2">
      <c r="A7148" s="49"/>
      <c r="B7148" s="49"/>
    </row>
    <row r="7149" spans="1:2" x14ac:dyDescent="0.2">
      <c r="A7149" s="49"/>
      <c r="B7149" s="49"/>
    </row>
    <row r="7150" spans="1:2" x14ac:dyDescent="0.2">
      <c r="A7150" s="49"/>
      <c r="B7150" s="49"/>
    </row>
    <row r="7151" spans="1:2" x14ac:dyDescent="0.2">
      <c r="A7151" s="49"/>
      <c r="B7151" s="49"/>
    </row>
    <row r="7152" spans="1:2" x14ac:dyDescent="0.2">
      <c r="A7152" s="49"/>
      <c r="B7152" s="49"/>
    </row>
    <row r="7153" spans="1:2" x14ac:dyDescent="0.2">
      <c r="A7153" s="49"/>
      <c r="B7153" s="49"/>
    </row>
    <row r="7154" spans="1:2" x14ac:dyDescent="0.2">
      <c r="A7154" s="49"/>
      <c r="B7154" s="49"/>
    </row>
    <row r="7155" spans="1:2" x14ac:dyDescent="0.2">
      <c r="A7155" s="49"/>
      <c r="B7155" s="49"/>
    </row>
    <row r="7156" spans="1:2" x14ac:dyDescent="0.2">
      <c r="A7156" s="49"/>
      <c r="B7156" s="49"/>
    </row>
    <row r="7157" spans="1:2" x14ac:dyDescent="0.2">
      <c r="A7157" s="49"/>
      <c r="B7157" s="49"/>
    </row>
    <row r="7158" spans="1:2" x14ac:dyDescent="0.2">
      <c r="A7158" s="49"/>
      <c r="B7158" s="49"/>
    </row>
    <row r="7159" spans="1:2" x14ac:dyDescent="0.2">
      <c r="A7159" s="49"/>
      <c r="B7159" s="49"/>
    </row>
    <row r="7160" spans="1:2" x14ac:dyDescent="0.2">
      <c r="A7160" s="49"/>
      <c r="B7160" s="49"/>
    </row>
    <row r="7161" spans="1:2" x14ac:dyDescent="0.2">
      <c r="A7161" s="49"/>
      <c r="B7161" s="49"/>
    </row>
    <row r="7162" spans="1:2" x14ac:dyDescent="0.2">
      <c r="A7162" s="49"/>
      <c r="B7162" s="49"/>
    </row>
    <row r="7163" spans="1:2" x14ac:dyDescent="0.2">
      <c r="A7163" s="49"/>
      <c r="B7163" s="49"/>
    </row>
    <row r="7164" spans="1:2" x14ac:dyDescent="0.2">
      <c r="A7164" s="49"/>
      <c r="B7164" s="49"/>
    </row>
    <row r="7165" spans="1:2" x14ac:dyDescent="0.2">
      <c r="A7165" s="49"/>
      <c r="B7165" s="49"/>
    </row>
    <row r="7166" spans="1:2" x14ac:dyDescent="0.2">
      <c r="A7166" s="49"/>
      <c r="B7166" s="49"/>
    </row>
    <row r="7167" spans="1:2" x14ac:dyDescent="0.2">
      <c r="A7167" s="49"/>
      <c r="B7167" s="49"/>
    </row>
    <row r="7168" spans="1:2" x14ac:dyDescent="0.2">
      <c r="A7168" s="49"/>
      <c r="B7168" s="49"/>
    </row>
    <row r="7169" spans="1:2" x14ac:dyDescent="0.2">
      <c r="A7169" s="49"/>
      <c r="B7169" s="49"/>
    </row>
    <row r="7170" spans="1:2" x14ac:dyDescent="0.2">
      <c r="A7170" s="49"/>
      <c r="B7170" s="49"/>
    </row>
    <row r="7171" spans="1:2" x14ac:dyDescent="0.2">
      <c r="A7171" s="49"/>
      <c r="B7171" s="49"/>
    </row>
    <row r="7172" spans="1:2" x14ac:dyDescent="0.2">
      <c r="A7172" s="49"/>
      <c r="B7172" s="49"/>
    </row>
    <row r="7173" spans="1:2" x14ac:dyDescent="0.2">
      <c r="A7173" s="49"/>
      <c r="B7173" s="49"/>
    </row>
    <row r="7174" spans="1:2" x14ac:dyDescent="0.2">
      <c r="A7174" s="49"/>
      <c r="B7174" s="49"/>
    </row>
    <row r="7175" spans="1:2" x14ac:dyDescent="0.2">
      <c r="A7175" s="49"/>
      <c r="B7175" s="49"/>
    </row>
    <row r="7318" spans="1:2" x14ac:dyDescent="0.2">
      <c r="A7318" s="49"/>
      <c r="B7318" s="49"/>
    </row>
    <row r="7335" spans="1:2" x14ac:dyDescent="0.2">
      <c r="A7335" s="49"/>
      <c r="B7335" s="49"/>
    </row>
    <row r="7336" spans="1:2" x14ac:dyDescent="0.2">
      <c r="A7336" s="49"/>
      <c r="B7336" s="49"/>
    </row>
    <row r="7337" spans="1:2" x14ac:dyDescent="0.2">
      <c r="A7337" s="49"/>
      <c r="B7337" s="49"/>
    </row>
    <row r="7382" spans="1:2" x14ac:dyDescent="0.2">
      <c r="A7382" s="49"/>
      <c r="B7382" s="49"/>
    </row>
    <row r="7386" spans="1:2" x14ac:dyDescent="0.2">
      <c r="A7386" s="49"/>
      <c r="B7386" s="49"/>
    </row>
    <row r="7443" spans="1:2" x14ac:dyDescent="0.2">
      <c r="A7443" s="49"/>
      <c r="B7443" s="49"/>
    </row>
    <row r="7460" spans="1:2" x14ac:dyDescent="0.2">
      <c r="A7460" s="49"/>
      <c r="B7460" s="49"/>
    </row>
    <row r="7462" spans="1:2" x14ac:dyDescent="0.2">
      <c r="A7462" s="49"/>
      <c r="B7462" s="49"/>
    </row>
    <row r="7463" spans="1:2" x14ac:dyDescent="0.2">
      <c r="A7463" s="49"/>
      <c r="B7463" s="49"/>
    </row>
    <row r="7464" spans="1:2" x14ac:dyDescent="0.2">
      <c r="A7464" s="49"/>
      <c r="B7464" s="49"/>
    </row>
    <row r="7468" spans="1:2" x14ac:dyDescent="0.2">
      <c r="A7468" s="49"/>
      <c r="B7468" s="49"/>
    </row>
    <row r="7469" spans="1:2" x14ac:dyDescent="0.2">
      <c r="A7469" s="49"/>
      <c r="B7469" s="49"/>
    </row>
    <row r="7470" spans="1:2" x14ac:dyDescent="0.2">
      <c r="A7470" s="49"/>
      <c r="B7470" s="49"/>
    </row>
    <row r="7471" spans="1:2" x14ac:dyDescent="0.2">
      <c r="A7471" s="49"/>
      <c r="B7471" s="49"/>
    </row>
    <row r="7474" spans="1:2" x14ac:dyDescent="0.2">
      <c r="A7474" s="49"/>
      <c r="B7474" s="49"/>
    </row>
    <row r="7476" spans="1:2" x14ac:dyDescent="0.2">
      <c r="A7476" s="49"/>
      <c r="B7476" s="49"/>
    </row>
    <row r="7477" spans="1:2" x14ac:dyDescent="0.2">
      <c r="A7477" s="49"/>
      <c r="B7477" s="49"/>
    </row>
    <row r="7478" spans="1:2" x14ac:dyDescent="0.2">
      <c r="A7478" s="49"/>
      <c r="B7478" s="49"/>
    </row>
    <row r="7479" spans="1:2" x14ac:dyDescent="0.2">
      <c r="A7479" s="49"/>
      <c r="B7479" s="49"/>
    </row>
    <row r="7480" spans="1:2" x14ac:dyDescent="0.2">
      <c r="A7480" s="49"/>
      <c r="B7480" s="49"/>
    </row>
    <row r="7481" spans="1:2" x14ac:dyDescent="0.2">
      <c r="A7481" s="49"/>
      <c r="B7481" s="49"/>
    </row>
    <row r="7484" spans="1:2" x14ac:dyDescent="0.2">
      <c r="A7484" s="49"/>
      <c r="B7484" s="49"/>
    </row>
    <row r="7486" spans="1:2" x14ac:dyDescent="0.2">
      <c r="A7486" s="49"/>
      <c r="B7486" s="49"/>
    </row>
    <row r="7487" spans="1:2" x14ac:dyDescent="0.2">
      <c r="A7487" s="49"/>
      <c r="B7487" s="49"/>
    </row>
    <row r="7488" spans="1:2" x14ac:dyDescent="0.2">
      <c r="A7488" s="49"/>
      <c r="B7488" s="49"/>
    </row>
    <row r="7489" spans="1:7" x14ac:dyDescent="0.2">
      <c r="A7489" s="49"/>
      <c r="B7489" s="49"/>
    </row>
    <row r="7490" spans="1:7" x14ac:dyDescent="0.2">
      <c r="A7490" s="49"/>
      <c r="B7490" s="49"/>
    </row>
    <row r="7491" spans="1:7" x14ac:dyDescent="0.2">
      <c r="A7491" s="49"/>
      <c r="B7491" s="49"/>
    </row>
    <row r="7492" spans="1:7" x14ac:dyDescent="0.2">
      <c r="A7492" s="49"/>
      <c r="B7492" s="49"/>
    </row>
    <row r="7493" spans="1:7" x14ac:dyDescent="0.2">
      <c r="A7493" s="49"/>
      <c r="B7493" s="49"/>
    </row>
    <row r="7494" spans="1:7" x14ac:dyDescent="0.2">
      <c r="A7494" s="49"/>
      <c r="B7494" s="49"/>
    </row>
    <row r="7495" spans="1:7" x14ac:dyDescent="0.2">
      <c r="A7495" s="49"/>
      <c r="B7495" s="49"/>
    </row>
    <row r="7496" spans="1:7" x14ac:dyDescent="0.2">
      <c r="A7496" s="49"/>
      <c r="B7496" s="49"/>
      <c r="C7496" s="49"/>
      <c r="D7496" s="49"/>
      <c r="E7496" s="49"/>
      <c r="F7496" s="49"/>
      <c r="G7496" s="49"/>
    </row>
    <row r="7497" spans="1:7" x14ac:dyDescent="0.2">
      <c r="A7497" s="49"/>
      <c r="B7497" s="49"/>
    </row>
    <row r="7498" spans="1:7" x14ac:dyDescent="0.2">
      <c r="A7498" s="49"/>
      <c r="B7498" s="49"/>
    </row>
    <row r="7499" spans="1:7" x14ac:dyDescent="0.2">
      <c r="A7499" s="49"/>
      <c r="B7499" s="49"/>
    </row>
    <row r="7500" spans="1:7" x14ac:dyDescent="0.2">
      <c r="A7500" s="49"/>
      <c r="B7500" s="49"/>
    </row>
    <row r="7501" spans="1:7" x14ac:dyDescent="0.2">
      <c r="A7501" s="49"/>
      <c r="B7501" s="49"/>
    </row>
    <row r="7516" spans="1:2" x14ac:dyDescent="0.2">
      <c r="A7516" s="49"/>
      <c r="B7516" s="49"/>
    </row>
    <row r="7517" spans="1:2" x14ac:dyDescent="0.2">
      <c r="A7517" s="49"/>
      <c r="B7517" s="49"/>
    </row>
    <row r="7518" spans="1:2" x14ac:dyDescent="0.2">
      <c r="A7518" s="49"/>
      <c r="B7518" s="49"/>
    </row>
    <row r="7520" spans="1:2" x14ac:dyDescent="0.2">
      <c r="A7520" s="49"/>
      <c r="B7520" s="49"/>
    </row>
    <row r="7522" spans="1:2" x14ac:dyDescent="0.2">
      <c r="A7522" s="49"/>
      <c r="B7522" s="49"/>
    </row>
    <row r="7523" spans="1:2" x14ac:dyDescent="0.2">
      <c r="A7523" s="49"/>
      <c r="B7523" s="49"/>
    </row>
    <row r="7524" spans="1:2" x14ac:dyDescent="0.2">
      <c r="A7524" s="49"/>
      <c r="B7524" s="49"/>
    </row>
    <row r="7528" spans="1:2" x14ac:dyDescent="0.2">
      <c r="A7528" s="49"/>
      <c r="B7528" s="49"/>
    </row>
    <row r="7529" spans="1:2" x14ac:dyDescent="0.2">
      <c r="A7529" s="49"/>
      <c r="B7529" s="49"/>
    </row>
    <row r="7530" spans="1:2" x14ac:dyDescent="0.2">
      <c r="A7530" s="49"/>
      <c r="B7530" s="49"/>
    </row>
    <row r="7531" spans="1:2" x14ac:dyDescent="0.2">
      <c r="A7531" s="49"/>
      <c r="B7531" s="49"/>
    </row>
    <row r="7532" spans="1:2" x14ac:dyDescent="0.2">
      <c r="A7532" s="49"/>
      <c r="B7532" s="49"/>
    </row>
    <row r="7538" spans="1:2" x14ac:dyDescent="0.2">
      <c r="A7538" s="49"/>
      <c r="B7538" s="49"/>
    </row>
    <row r="7539" spans="1:2" x14ac:dyDescent="0.2">
      <c r="A7539" s="49"/>
      <c r="B7539" s="49"/>
    </row>
    <row r="7540" spans="1:2" x14ac:dyDescent="0.2">
      <c r="A7540" s="49"/>
      <c r="B7540" s="49"/>
    </row>
    <row r="7544" spans="1:2" x14ac:dyDescent="0.2">
      <c r="A7544" s="49"/>
      <c r="B7544" s="49"/>
    </row>
    <row r="7545" spans="1:2" x14ac:dyDescent="0.2">
      <c r="A7545" s="49"/>
      <c r="B7545" s="49"/>
    </row>
    <row r="7546" spans="1:2" x14ac:dyDescent="0.2">
      <c r="A7546" s="49"/>
      <c r="B7546" s="49"/>
    </row>
    <row r="7550" spans="1:2" x14ac:dyDescent="0.2">
      <c r="A7550" s="49"/>
      <c r="B7550" s="49"/>
    </row>
    <row r="7551" spans="1:2" x14ac:dyDescent="0.2">
      <c r="A7551" s="49"/>
      <c r="B7551" s="49"/>
    </row>
    <row r="7554" spans="1:2" x14ac:dyDescent="0.2">
      <c r="A7554" s="49"/>
      <c r="B7554" s="49"/>
    </row>
    <row r="7556" spans="1:2" x14ac:dyDescent="0.2">
      <c r="A7556" s="49"/>
      <c r="B7556" s="49"/>
    </row>
    <row r="7557" spans="1:2" x14ac:dyDescent="0.2">
      <c r="A7557" s="49"/>
      <c r="B7557" s="49"/>
    </row>
    <row r="7560" spans="1:2" x14ac:dyDescent="0.2">
      <c r="A7560" s="49"/>
      <c r="B7560" s="49"/>
    </row>
    <row r="7561" spans="1:2" x14ac:dyDescent="0.2">
      <c r="A7561" s="49"/>
      <c r="B7561" s="49"/>
    </row>
    <row r="7562" spans="1:2" x14ac:dyDescent="0.2">
      <c r="A7562" s="49"/>
      <c r="B7562" s="49"/>
    </row>
    <row r="7563" spans="1:2" x14ac:dyDescent="0.2">
      <c r="A7563" s="49"/>
      <c r="B7563" s="49"/>
    </row>
    <row r="7565" spans="1:2" x14ac:dyDescent="0.2">
      <c r="A7565" s="49"/>
      <c r="B7565" s="49"/>
    </row>
    <row r="7568" spans="1:2" x14ac:dyDescent="0.2">
      <c r="A7568" s="49"/>
      <c r="B7568" s="49"/>
    </row>
    <row r="7569" spans="1:2" x14ac:dyDescent="0.2">
      <c r="A7569" s="49"/>
      <c r="B7569" s="49"/>
    </row>
    <row r="7572" spans="1:2" x14ac:dyDescent="0.2">
      <c r="A7572" s="49"/>
      <c r="B7572" s="49"/>
    </row>
    <row r="7574" spans="1:2" x14ac:dyDescent="0.2">
      <c r="A7574" s="49"/>
      <c r="B7574" s="49"/>
    </row>
    <row r="7576" spans="1:2" x14ac:dyDescent="0.2">
      <c r="A7576" s="49"/>
      <c r="B7576" s="49"/>
    </row>
    <row r="7578" spans="1:2" x14ac:dyDescent="0.2">
      <c r="A7578" s="49"/>
      <c r="B7578" s="49"/>
    </row>
    <row r="7580" spans="1:2" x14ac:dyDescent="0.2">
      <c r="A7580" s="49"/>
      <c r="B7580" s="49"/>
    </row>
    <row r="7582" spans="1:2" x14ac:dyDescent="0.2">
      <c r="A7582" s="49"/>
      <c r="B7582" s="49"/>
    </row>
    <row r="7584" spans="1:2" x14ac:dyDescent="0.2">
      <c r="A7584" s="49"/>
      <c r="B7584" s="49"/>
    </row>
    <row r="7586" spans="1:2" x14ac:dyDescent="0.2">
      <c r="A7586" s="49"/>
      <c r="B7586" s="49"/>
    </row>
    <row r="7588" spans="1:2" x14ac:dyDescent="0.2">
      <c r="A7588" s="49"/>
      <c r="B7588" s="49"/>
    </row>
    <row r="7590" spans="1:2" x14ac:dyDescent="0.2">
      <c r="A7590" s="49"/>
      <c r="B7590" s="49"/>
    </row>
    <row r="7591" spans="1:2" x14ac:dyDescent="0.2">
      <c r="A7591" s="49"/>
      <c r="B7591" s="49"/>
    </row>
    <row r="7594" spans="1:2" x14ac:dyDescent="0.2">
      <c r="A7594" s="49"/>
      <c r="B7594" s="49"/>
    </row>
    <row r="7596" spans="1:2" x14ac:dyDescent="0.2">
      <c r="A7596" s="49"/>
      <c r="B7596" s="49"/>
    </row>
    <row r="7598" spans="1:2" x14ac:dyDescent="0.2">
      <c r="A7598" s="49"/>
      <c r="B7598" s="49"/>
    </row>
    <row r="7600" spans="1:2" x14ac:dyDescent="0.2">
      <c r="A7600" s="49"/>
      <c r="B7600" s="49"/>
    </row>
    <row r="7601" spans="1:7" x14ac:dyDescent="0.2">
      <c r="A7601" s="49"/>
      <c r="B7601" s="49"/>
    </row>
    <row r="7604" spans="1:7" x14ac:dyDescent="0.2">
      <c r="A7604" s="49"/>
      <c r="B7604" s="49"/>
    </row>
    <row r="7606" spans="1:7" x14ac:dyDescent="0.2">
      <c r="A7606" s="49"/>
      <c r="B7606" s="49"/>
    </row>
    <row r="7607" spans="1:7" x14ac:dyDescent="0.2">
      <c r="A7607" s="49"/>
      <c r="B7607" s="49"/>
    </row>
    <row r="7608" spans="1:7" x14ac:dyDescent="0.2">
      <c r="A7608" s="49"/>
      <c r="B7608" s="49"/>
    </row>
    <row r="7609" spans="1:7" x14ac:dyDescent="0.2">
      <c r="A7609" s="49"/>
      <c r="B7609" s="49"/>
    </row>
    <row r="7610" spans="1:7" x14ac:dyDescent="0.2">
      <c r="A7610" s="49"/>
      <c r="B7610" s="49"/>
    </row>
    <row r="7611" spans="1:7" x14ac:dyDescent="0.2">
      <c r="A7611" s="49"/>
      <c r="B7611" s="49"/>
    </row>
    <row r="7612" spans="1:7" x14ac:dyDescent="0.2">
      <c r="A7612" s="49"/>
      <c r="B7612" s="49"/>
    </row>
    <row r="7613" spans="1:7" x14ac:dyDescent="0.2">
      <c r="A7613" s="49"/>
      <c r="B7613" s="49"/>
    </row>
    <row r="7614" spans="1:7" x14ac:dyDescent="0.2">
      <c r="A7614" s="49"/>
      <c r="B7614" s="49"/>
      <c r="C7614" s="49"/>
      <c r="D7614" s="49"/>
      <c r="E7614" s="49"/>
      <c r="F7614" s="49"/>
      <c r="G7614" s="49"/>
    </row>
    <row r="7615" spans="1:7" x14ac:dyDescent="0.2">
      <c r="A7615" s="49"/>
      <c r="B7615" s="49"/>
    </row>
    <row r="7616" spans="1:7" x14ac:dyDescent="0.2">
      <c r="A7616" s="49"/>
      <c r="B7616" s="49"/>
    </row>
    <row r="7617" spans="1:2" x14ac:dyDescent="0.2">
      <c r="A7617" s="49"/>
      <c r="B7617" s="49"/>
    </row>
    <row r="7618" spans="1:2" x14ac:dyDescent="0.2">
      <c r="A7618" s="49"/>
      <c r="B7618" s="49"/>
    </row>
    <row r="7619" spans="1:2" x14ac:dyDescent="0.2">
      <c r="A7619" s="49"/>
      <c r="B7619" s="49"/>
    </row>
    <row r="7620" spans="1:2" x14ac:dyDescent="0.2">
      <c r="A7620" s="49"/>
      <c r="B7620" s="49"/>
    </row>
    <row r="7636" spans="1:2" x14ac:dyDescent="0.2">
      <c r="A7636" s="49"/>
      <c r="B7636" s="49"/>
    </row>
    <row r="7637" spans="1:2" x14ac:dyDescent="0.2">
      <c r="A7637" s="49"/>
      <c r="B7637" s="49"/>
    </row>
    <row r="7638" spans="1:2" x14ac:dyDescent="0.2">
      <c r="A7638" s="49"/>
      <c r="B7638" s="49"/>
    </row>
    <row r="7642" spans="1:2" x14ac:dyDescent="0.2">
      <c r="A7642" s="49"/>
      <c r="B7642" s="49"/>
    </row>
    <row r="7644" spans="1:2" x14ac:dyDescent="0.2">
      <c r="A7644" s="49"/>
      <c r="B7644" s="49"/>
    </row>
    <row r="7646" spans="1:2" x14ac:dyDescent="0.2">
      <c r="A7646" s="49"/>
      <c r="B7646" s="49"/>
    </row>
    <row r="7648" spans="1:2" x14ac:dyDescent="0.2">
      <c r="A7648" s="49"/>
      <c r="B7648" s="49"/>
    </row>
    <row r="7650" spans="1:2" x14ac:dyDescent="0.2">
      <c r="A7650" s="49"/>
      <c r="B7650" s="49"/>
    </row>
    <row r="7652" spans="1:2" x14ac:dyDescent="0.2">
      <c r="A7652" s="49"/>
      <c r="B7652" s="49"/>
    </row>
    <row r="7653" spans="1:2" x14ac:dyDescent="0.2">
      <c r="A7653" s="49"/>
      <c r="B7653" s="49"/>
    </row>
    <row r="7654" spans="1:2" x14ac:dyDescent="0.2">
      <c r="A7654" s="49"/>
      <c r="B7654" s="49"/>
    </row>
    <row r="7655" spans="1:2" x14ac:dyDescent="0.2">
      <c r="A7655" s="49"/>
      <c r="B7655" s="49"/>
    </row>
    <row r="7656" spans="1:2" x14ac:dyDescent="0.2">
      <c r="A7656" s="49"/>
      <c r="B7656" s="49"/>
    </row>
    <row r="7672" spans="1:2" x14ac:dyDescent="0.2">
      <c r="A7672" s="49"/>
      <c r="B7672" s="49"/>
    </row>
    <row r="7674" spans="1:2" x14ac:dyDescent="0.2">
      <c r="A7674" s="49"/>
      <c r="B7674" s="49"/>
    </row>
    <row r="7675" spans="1:2" x14ac:dyDescent="0.2">
      <c r="A7675" s="49"/>
      <c r="B7675" s="49"/>
    </row>
    <row r="7676" spans="1:2" x14ac:dyDescent="0.2">
      <c r="A7676" s="49"/>
      <c r="B7676" s="49"/>
    </row>
    <row r="7677" spans="1:2" x14ac:dyDescent="0.2">
      <c r="A7677" s="49"/>
      <c r="B7677" s="49"/>
    </row>
    <row r="7678" spans="1:2" x14ac:dyDescent="0.2">
      <c r="A7678" s="49"/>
      <c r="B7678" s="49"/>
    </row>
    <row r="7684" spans="1:2" x14ac:dyDescent="0.2">
      <c r="A7684" s="49"/>
      <c r="B7684" s="49"/>
    </row>
    <row r="7685" spans="1:2" x14ac:dyDescent="0.2">
      <c r="A7685" s="49"/>
      <c r="B7685" s="49"/>
    </row>
    <row r="7688" spans="1:2" x14ac:dyDescent="0.2">
      <c r="A7688" s="49"/>
      <c r="B7688" s="49"/>
    </row>
    <row r="7689" spans="1:2" x14ac:dyDescent="0.2">
      <c r="A7689" s="49"/>
      <c r="B7689" s="49"/>
    </row>
    <row r="7692" spans="1:2" x14ac:dyDescent="0.2">
      <c r="A7692" s="49"/>
      <c r="B7692" s="49"/>
    </row>
    <row r="7694" spans="1:2" x14ac:dyDescent="0.2">
      <c r="A7694" s="49"/>
      <c r="B7694" s="49"/>
    </row>
    <row r="7695" spans="1:2" x14ac:dyDescent="0.2">
      <c r="A7695" s="49"/>
      <c r="B7695" s="49"/>
    </row>
    <row r="7696" spans="1:2" x14ac:dyDescent="0.2">
      <c r="A7696" s="49"/>
      <c r="B7696" s="49"/>
    </row>
    <row r="7700" spans="1:2" x14ac:dyDescent="0.2">
      <c r="A7700" s="49"/>
      <c r="B7700" s="49"/>
    </row>
    <row r="7702" spans="1:2" x14ac:dyDescent="0.2">
      <c r="A7702" s="49"/>
      <c r="B7702" s="49"/>
    </row>
    <row r="7704" spans="1:2" x14ac:dyDescent="0.2">
      <c r="A7704" s="49"/>
      <c r="B7704" s="49"/>
    </row>
    <row r="7705" spans="1:2" x14ac:dyDescent="0.2">
      <c r="A7705" s="49"/>
      <c r="B7705" s="49"/>
    </row>
    <row r="7706" spans="1:2" x14ac:dyDescent="0.2">
      <c r="A7706" s="49"/>
      <c r="B7706" s="49"/>
    </row>
    <row r="7707" spans="1:2" x14ac:dyDescent="0.2">
      <c r="A7707" s="49"/>
      <c r="B7707" s="49"/>
    </row>
    <row r="7708" spans="1:2" x14ac:dyDescent="0.2">
      <c r="A7708" s="49"/>
      <c r="B7708" s="49"/>
    </row>
    <row r="7709" spans="1:2" x14ac:dyDescent="0.2">
      <c r="A7709" s="49"/>
      <c r="B7709" s="49"/>
    </row>
    <row r="7710" spans="1:2" x14ac:dyDescent="0.2">
      <c r="A7710" s="49"/>
      <c r="B7710" s="49"/>
    </row>
    <row r="7711" spans="1:2" x14ac:dyDescent="0.2">
      <c r="A7711" s="49"/>
      <c r="B7711" s="49"/>
    </row>
    <row r="7712" spans="1:2" x14ac:dyDescent="0.2">
      <c r="A7712" s="49"/>
      <c r="B7712" s="49"/>
    </row>
    <row r="7713" spans="1:2" x14ac:dyDescent="0.2">
      <c r="A7713" s="49"/>
      <c r="B7713" s="49"/>
    </row>
    <row r="7714" spans="1:2" x14ac:dyDescent="0.2">
      <c r="A7714" s="49"/>
      <c r="B7714" s="49"/>
    </row>
    <row r="7715" spans="1:2" x14ac:dyDescent="0.2">
      <c r="A7715" s="49"/>
      <c r="B7715" s="49"/>
    </row>
    <row r="7716" spans="1:2" x14ac:dyDescent="0.2">
      <c r="A7716" s="49"/>
      <c r="B7716" s="49"/>
    </row>
    <row r="7717" spans="1:2" x14ac:dyDescent="0.2">
      <c r="A7717" s="49"/>
      <c r="B7717" s="49"/>
    </row>
    <row r="7732" spans="1:2" x14ac:dyDescent="0.2">
      <c r="A7732" s="49"/>
      <c r="B7732" s="49"/>
    </row>
    <row r="7733" spans="1:2" x14ac:dyDescent="0.2">
      <c r="A7733" s="49"/>
      <c r="B7733" s="49"/>
    </row>
    <row r="7738" spans="1:2" x14ac:dyDescent="0.2">
      <c r="A7738" s="49"/>
      <c r="B7738" s="49"/>
    </row>
    <row r="7740" spans="1:2" x14ac:dyDescent="0.2">
      <c r="A7740" s="49"/>
      <c r="B7740" s="49"/>
    </row>
    <row r="7742" spans="1:2" x14ac:dyDescent="0.2">
      <c r="A7742" s="49"/>
      <c r="B7742" s="49"/>
    </row>
    <row r="7744" spans="1:2" x14ac:dyDescent="0.2">
      <c r="A7744" s="49"/>
      <c r="B7744" s="49"/>
    </row>
    <row r="7745" spans="1:2" x14ac:dyDescent="0.2">
      <c r="A7745" s="49"/>
      <c r="B7745" s="49"/>
    </row>
    <row r="7746" spans="1:2" x14ac:dyDescent="0.2">
      <c r="A7746" s="49"/>
      <c r="B7746" s="49"/>
    </row>
    <row r="7752" spans="1:2" x14ac:dyDescent="0.2">
      <c r="A7752" s="49"/>
      <c r="B7752" s="49"/>
    </row>
    <row r="7754" spans="1:2" x14ac:dyDescent="0.2">
      <c r="A7754" s="49"/>
      <c r="B7754" s="49"/>
    </row>
    <row r="7756" spans="1:2" x14ac:dyDescent="0.2">
      <c r="A7756" s="49"/>
      <c r="B7756" s="49"/>
    </row>
    <row r="7758" spans="1:2" x14ac:dyDescent="0.2">
      <c r="A7758" s="49"/>
      <c r="B7758" s="49"/>
    </row>
    <row r="7760" spans="1:2" x14ac:dyDescent="0.2">
      <c r="A7760" s="49"/>
      <c r="B7760" s="49"/>
    </row>
    <row r="7761" spans="1:2" x14ac:dyDescent="0.2">
      <c r="A7761" s="49"/>
      <c r="B7761" s="49"/>
    </row>
    <row r="7762" spans="1:2" x14ac:dyDescent="0.2">
      <c r="A7762" s="49"/>
      <c r="B7762" s="49"/>
    </row>
    <row r="7766" spans="1:2" x14ac:dyDescent="0.2">
      <c r="A7766" s="49"/>
      <c r="B7766" s="49"/>
    </row>
    <row r="7768" spans="1:2" x14ac:dyDescent="0.2">
      <c r="A7768" s="49"/>
      <c r="B7768" s="49"/>
    </row>
    <row r="7770" spans="1:2" x14ac:dyDescent="0.2">
      <c r="A7770" s="49"/>
      <c r="B7770" s="49"/>
    </row>
    <row r="7772" spans="1:2" x14ac:dyDescent="0.2">
      <c r="A7772" s="49"/>
      <c r="B7772" s="49"/>
    </row>
    <row r="7773" spans="1:2" x14ac:dyDescent="0.2">
      <c r="A7773" s="49"/>
      <c r="B7773" s="49"/>
    </row>
    <row r="7774" spans="1:2" x14ac:dyDescent="0.2">
      <c r="A7774" s="49"/>
      <c r="B7774" s="49"/>
    </row>
    <row r="7778" spans="1:2" x14ac:dyDescent="0.2">
      <c r="A7778" s="49"/>
      <c r="B7778" s="49"/>
    </row>
    <row r="7780" spans="1:2" x14ac:dyDescent="0.2">
      <c r="A7780" s="49"/>
      <c r="B7780" s="49"/>
    </row>
    <row r="7781" spans="1:2" x14ac:dyDescent="0.2">
      <c r="A7781" s="49"/>
      <c r="B7781" s="49"/>
    </row>
    <row r="7782" spans="1:2" x14ac:dyDescent="0.2">
      <c r="A7782" s="49"/>
      <c r="B7782" s="49"/>
    </row>
    <row r="7786" spans="1:2" x14ac:dyDescent="0.2">
      <c r="A7786" s="49"/>
      <c r="B7786" s="49"/>
    </row>
    <row r="7788" spans="1:2" x14ac:dyDescent="0.2">
      <c r="A7788" s="49"/>
      <c r="B7788" s="49"/>
    </row>
    <row r="7789" spans="1:2" x14ac:dyDescent="0.2">
      <c r="A7789" s="49"/>
      <c r="B7789" s="49"/>
    </row>
    <row r="7790" spans="1:2" x14ac:dyDescent="0.2">
      <c r="A7790" s="49"/>
      <c r="B7790" s="49"/>
    </row>
    <row r="7791" spans="1:2" x14ac:dyDescent="0.2">
      <c r="A7791" s="49"/>
      <c r="B7791" s="49"/>
    </row>
    <row r="7792" spans="1:2" x14ac:dyDescent="0.2">
      <c r="A7792" s="49"/>
      <c r="B7792" s="49"/>
    </row>
    <row r="7793" spans="1:2" x14ac:dyDescent="0.2">
      <c r="A7793" s="49"/>
      <c r="B7793" s="49"/>
    </row>
    <row r="7794" spans="1:2" x14ac:dyDescent="0.2">
      <c r="A7794" s="49"/>
      <c r="B7794" s="49"/>
    </row>
    <row r="7795" spans="1:2" x14ac:dyDescent="0.2">
      <c r="A7795" s="49"/>
      <c r="B7795" s="49"/>
    </row>
    <row r="7796" spans="1:2" x14ac:dyDescent="0.2">
      <c r="A7796" s="49"/>
      <c r="B7796" s="49"/>
    </row>
    <row r="7797" spans="1:2" x14ac:dyDescent="0.2">
      <c r="A7797" s="49"/>
      <c r="B7797" s="49"/>
    </row>
    <row r="7798" spans="1:2" x14ac:dyDescent="0.2">
      <c r="A7798" s="49"/>
      <c r="B7798" s="49"/>
    </row>
    <row r="7799" spans="1:2" x14ac:dyDescent="0.2">
      <c r="A7799" s="49"/>
      <c r="B7799" s="49"/>
    </row>
    <row r="7800" spans="1:2" x14ac:dyDescent="0.2">
      <c r="A7800" s="49"/>
      <c r="B7800" s="49"/>
    </row>
    <row r="7801" spans="1:2" x14ac:dyDescent="0.2">
      <c r="A7801" s="49"/>
      <c r="B7801" s="49"/>
    </row>
    <row r="7809" spans="1:2" x14ac:dyDescent="0.2">
      <c r="A7809" s="49"/>
      <c r="B7809" s="49"/>
    </row>
    <row r="7816" spans="1:2" x14ac:dyDescent="0.2">
      <c r="A7816" s="49"/>
      <c r="B7816" s="49"/>
    </row>
    <row r="7818" spans="1:2" x14ac:dyDescent="0.2">
      <c r="A7818" s="49"/>
      <c r="B7818" s="49"/>
    </row>
    <row r="7820" spans="1:2" x14ac:dyDescent="0.2">
      <c r="A7820" s="49"/>
      <c r="B7820" s="49"/>
    </row>
    <row r="7822" spans="1:2" x14ac:dyDescent="0.2">
      <c r="A7822" s="49"/>
      <c r="B7822" s="49"/>
    </row>
    <row r="7824" spans="1:2" x14ac:dyDescent="0.2">
      <c r="A7824" s="49"/>
      <c r="B7824" s="49"/>
    </row>
    <row r="7826" spans="1:2" x14ac:dyDescent="0.2">
      <c r="A7826" s="49"/>
      <c r="B7826" s="49"/>
    </row>
    <row r="7830" spans="1:2" x14ac:dyDescent="0.2">
      <c r="A7830" s="49"/>
      <c r="B7830" s="49"/>
    </row>
    <row r="7831" spans="1:2" x14ac:dyDescent="0.2">
      <c r="A7831" s="49"/>
      <c r="B7831" s="49"/>
    </row>
    <row r="7834" spans="1:2" x14ac:dyDescent="0.2">
      <c r="A7834" s="49"/>
      <c r="B7834" s="49"/>
    </row>
    <row r="7835" spans="1:2" x14ac:dyDescent="0.2">
      <c r="A7835" s="49"/>
      <c r="B7835" s="49"/>
    </row>
    <row r="7836" spans="1:2" x14ac:dyDescent="0.2">
      <c r="A7836" s="49"/>
      <c r="B7836" s="49"/>
    </row>
    <row r="7837" spans="1:2" x14ac:dyDescent="0.2">
      <c r="A7837" s="49"/>
      <c r="B7837" s="49"/>
    </row>
    <row r="7838" spans="1:2" x14ac:dyDescent="0.2">
      <c r="A7838" s="49"/>
      <c r="B7838" s="49"/>
    </row>
    <row r="7840" spans="1:2" x14ac:dyDescent="0.2">
      <c r="A7840" s="49"/>
      <c r="B7840" s="49"/>
    </row>
    <row r="7842" spans="1:2" x14ac:dyDescent="0.2">
      <c r="A7842" s="49"/>
      <c r="B7842" s="49"/>
    </row>
    <row r="7844" spans="1:2" x14ac:dyDescent="0.2">
      <c r="A7844" s="49"/>
      <c r="B7844" s="49"/>
    </row>
    <row r="7845" spans="1:2" x14ac:dyDescent="0.2">
      <c r="A7845" s="49"/>
      <c r="B7845" s="49"/>
    </row>
    <row r="7846" spans="1:2" x14ac:dyDescent="0.2">
      <c r="A7846" s="49"/>
      <c r="B7846" s="49"/>
    </row>
    <row r="7850" spans="1:2" x14ac:dyDescent="0.2">
      <c r="A7850" s="49"/>
      <c r="B7850" s="49"/>
    </row>
    <row r="7852" spans="1:2" x14ac:dyDescent="0.2">
      <c r="A7852" s="49"/>
      <c r="B7852" s="49"/>
    </row>
    <row r="7853" spans="1:2" x14ac:dyDescent="0.2">
      <c r="A7853" s="49"/>
      <c r="B7853" s="49"/>
    </row>
    <row r="7856" spans="1:2" x14ac:dyDescent="0.2">
      <c r="A7856" s="49"/>
      <c r="B7856" s="49"/>
    </row>
    <row r="7857" spans="1:2" x14ac:dyDescent="0.2">
      <c r="A7857" s="49"/>
      <c r="B7857" s="49"/>
    </row>
    <row r="7858" spans="1:2" x14ac:dyDescent="0.2">
      <c r="A7858" s="49"/>
      <c r="B7858" s="49"/>
    </row>
    <row r="7859" spans="1:2" x14ac:dyDescent="0.2">
      <c r="A7859" s="49"/>
      <c r="B7859" s="49"/>
    </row>
    <row r="7860" spans="1:2" x14ac:dyDescent="0.2">
      <c r="A7860" s="49"/>
      <c r="B7860" s="49"/>
    </row>
    <row r="7861" spans="1:2" x14ac:dyDescent="0.2">
      <c r="A7861" s="49"/>
      <c r="B7861" s="49"/>
    </row>
    <row r="7862" spans="1:2" x14ac:dyDescent="0.2">
      <c r="A7862" s="49"/>
      <c r="B7862" s="49"/>
    </row>
    <row r="7863" spans="1:2" x14ac:dyDescent="0.2">
      <c r="A7863" s="49"/>
      <c r="B7863" s="49"/>
    </row>
    <row r="7864" spans="1:2" x14ac:dyDescent="0.2">
      <c r="A7864" s="49"/>
      <c r="B7864" s="49"/>
    </row>
    <row r="7865" spans="1:2" x14ac:dyDescent="0.2">
      <c r="A7865" s="49"/>
      <c r="B7865" s="49"/>
    </row>
    <row r="7866" spans="1:2" x14ac:dyDescent="0.2">
      <c r="A7866" s="49"/>
      <c r="B7866" s="49"/>
    </row>
    <row r="7867" spans="1:2" x14ac:dyDescent="0.2">
      <c r="A7867" s="49"/>
      <c r="B7867" s="49"/>
    </row>
    <row r="7868" spans="1:2" x14ac:dyDescent="0.2">
      <c r="A7868" s="49"/>
      <c r="B7868" s="49"/>
    </row>
    <row r="7869" spans="1:2" x14ac:dyDescent="0.2">
      <c r="A7869" s="49"/>
      <c r="B7869" s="49"/>
    </row>
    <row r="7870" spans="1:2" x14ac:dyDescent="0.2">
      <c r="A7870" s="49"/>
      <c r="B7870" s="49"/>
    </row>
    <row r="7871" spans="1:2" x14ac:dyDescent="0.2">
      <c r="A7871" s="49"/>
      <c r="B7871" s="49"/>
    </row>
    <row r="7888" spans="1:2" x14ac:dyDescent="0.2">
      <c r="A7888" s="49"/>
      <c r="B7888" s="49"/>
    </row>
    <row r="7889" spans="1:2" x14ac:dyDescent="0.2">
      <c r="A7889" s="49"/>
      <c r="B7889" s="49"/>
    </row>
    <row r="7890" spans="1:2" x14ac:dyDescent="0.2">
      <c r="A7890" s="49"/>
      <c r="B7890" s="49"/>
    </row>
    <row r="7891" spans="1:2" x14ac:dyDescent="0.2">
      <c r="A7891" s="49"/>
      <c r="B7891" s="49"/>
    </row>
    <row r="7892" spans="1:2" x14ac:dyDescent="0.2">
      <c r="A7892" s="49"/>
      <c r="B7892" s="49"/>
    </row>
    <row r="7896" spans="1:2" x14ac:dyDescent="0.2">
      <c r="A7896" s="49"/>
      <c r="B7896" s="49"/>
    </row>
    <row r="7900" spans="1:2" x14ac:dyDescent="0.2">
      <c r="A7900" s="49"/>
      <c r="B7900" s="49"/>
    </row>
    <row r="7904" spans="1:2" x14ac:dyDescent="0.2">
      <c r="A7904" s="49"/>
      <c r="B7904" s="49"/>
    </row>
    <row r="7906" spans="1:7" x14ac:dyDescent="0.2">
      <c r="A7906" s="49"/>
      <c r="B7906" s="49"/>
    </row>
    <row r="7908" spans="1:7" x14ac:dyDescent="0.2">
      <c r="A7908" s="49"/>
      <c r="B7908" s="49"/>
    </row>
    <row r="7909" spans="1:7" x14ac:dyDescent="0.2">
      <c r="A7909" s="49"/>
      <c r="B7909" s="49"/>
      <c r="C7909" s="49"/>
      <c r="D7909" s="49"/>
      <c r="E7909" s="49"/>
      <c r="F7909" s="49"/>
      <c r="G7909" s="49"/>
    </row>
    <row r="7910" spans="1:7" x14ac:dyDescent="0.2">
      <c r="A7910" s="49"/>
      <c r="B7910" s="49"/>
    </row>
    <row r="7912" spans="1:7" x14ac:dyDescent="0.2">
      <c r="A7912" s="49"/>
      <c r="B7912" s="49"/>
    </row>
    <row r="7913" spans="1:7" x14ac:dyDescent="0.2">
      <c r="A7913" s="49"/>
      <c r="B7913" s="49"/>
    </row>
    <row r="7914" spans="1:7" x14ac:dyDescent="0.2">
      <c r="A7914" s="49"/>
      <c r="B7914" s="49"/>
    </row>
    <row r="7916" spans="1:7" x14ac:dyDescent="0.2">
      <c r="A7916" s="49"/>
      <c r="B7916" s="49"/>
    </row>
    <row r="7918" spans="1:7" x14ac:dyDescent="0.2">
      <c r="A7918" s="49"/>
      <c r="B7918" s="49"/>
    </row>
    <row r="7920" spans="1:7" x14ac:dyDescent="0.2">
      <c r="A7920" s="49"/>
      <c r="B7920" s="49"/>
    </row>
    <row r="7921" spans="1:2" x14ac:dyDescent="0.2">
      <c r="A7921" s="49"/>
      <c r="B7921" s="49"/>
    </row>
    <row r="7922" spans="1:2" x14ac:dyDescent="0.2">
      <c r="A7922" s="49"/>
      <c r="B7922" s="49"/>
    </row>
    <row r="7924" spans="1:2" x14ac:dyDescent="0.2">
      <c r="A7924" s="49"/>
      <c r="B7924" s="49"/>
    </row>
    <row r="7926" spans="1:2" x14ac:dyDescent="0.2">
      <c r="A7926" s="49"/>
      <c r="B7926" s="49"/>
    </row>
    <row r="7928" spans="1:2" x14ac:dyDescent="0.2">
      <c r="A7928" s="49"/>
      <c r="B7928" s="49"/>
    </row>
    <row r="7930" spans="1:2" x14ac:dyDescent="0.2">
      <c r="A7930" s="49"/>
      <c r="B7930" s="49"/>
    </row>
    <row r="7931" spans="1:2" x14ac:dyDescent="0.2">
      <c r="A7931" s="49"/>
      <c r="B7931" s="49"/>
    </row>
    <row r="7934" spans="1:2" x14ac:dyDescent="0.2">
      <c r="A7934" s="49"/>
      <c r="B7934" s="49"/>
    </row>
    <row r="7936" spans="1:2" x14ac:dyDescent="0.2">
      <c r="A7936" s="49"/>
      <c r="B7936" s="49"/>
    </row>
    <row r="7938" spans="1:2" x14ac:dyDescent="0.2">
      <c r="A7938" s="49"/>
      <c r="B7938" s="49"/>
    </row>
    <row r="7940" spans="1:2" x14ac:dyDescent="0.2">
      <c r="A7940" s="49"/>
      <c r="B7940" s="49"/>
    </row>
    <row r="7941" spans="1:2" x14ac:dyDescent="0.2">
      <c r="A7941" s="49"/>
      <c r="B7941" s="49"/>
    </row>
    <row r="7944" spans="1:2" x14ac:dyDescent="0.2">
      <c r="A7944" s="49"/>
      <c r="B7944" s="49"/>
    </row>
    <row r="7946" spans="1:2" x14ac:dyDescent="0.2">
      <c r="A7946" s="49"/>
      <c r="B7946" s="49"/>
    </row>
    <row r="7950" spans="1:2" x14ac:dyDescent="0.2">
      <c r="A7950" s="49"/>
      <c r="B7950" s="49"/>
    </row>
    <row r="7952" spans="1:2" x14ac:dyDescent="0.2">
      <c r="A7952" s="49"/>
      <c r="B7952" s="49"/>
    </row>
    <row r="7953" spans="1:2" x14ac:dyDescent="0.2">
      <c r="A7953" s="49"/>
      <c r="B7953" s="49"/>
    </row>
    <row r="7956" spans="1:2" x14ac:dyDescent="0.2">
      <c r="A7956" s="49"/>
      <c r="B7956" s="49"/>
    </row>
    <row r="7957" spans="1:2" x14ac:dyDescent="0.2">
      <c r="A7957" s="49"/>
      <c r="B7957" s="49"/>
    </row>
    <row r="7960" spans="1:2" x14ac:dyDescent="0.2">
      <c r="A7960" s="49"/>
      <c r="B7960" s="49"/>
    </row>
    <row r="7962" spans="1:2" x14ac:dyDescent="0.2">
      <c r="A7962" s="49"/>
      <c r="B7962" s="49"/>
    </row>
    <row r="7964" spans="1:2" x14ac:dyDescent="0.2">
      <c r="A7964" s="49"/>
      <c r="B7964" s="49"/>
    </row>
    <row r="7966" spans="1:2" x14ac:dyDescent="0.2">
      <c r="A7966" s="49"/>
      <c r="B7966" s="49"/>
    </row>
    <row r="7968" spans="1:2" x14ac:dyDescent="0.2">
      <c r="A7968" s="49"/>
      <c r="B7968" s="49"/>
    </row>
    <row r="7970" spans="1:2" x14ac:dyDescent="0.2">
      <c r="A7970" s="49"/>
      <c r="B7970" s="49"/>
    </row>
    <row r="7972" spans="1:2" x14ac:dyDescent="0.2">
      <c r="A7972" s="49"/>
      <c r="B7972" s="49"/>
    </row>
    <row r="7974" spans="1:2" x14ac:dyDescent="0.2">
      <c r="A7974" s="49"/>
      <c r="B7974" s="49"/>
    </row>
    <row r="7975" spans="1:2" x14ac:dyDescent="0.2">
      <c r="A7975" s="49"/>
      <c r="B7975" s="49"/>
    </row>
    <row r="7976" spans="1:2" x14ac:dyDescent="0.2">
      <c r="A7976" s="49"/>
      <c r="B7976" s="49"/>
    </row>
    <row r="7977" spans="1:2" x14ac:dyDescent="0.2">
      <c r="A7977" s="49"/>
      <c r="B7977" s="49"/>
    </row>
    <row r="7978" spans="1:2" x14ac:dyDescent="0.2">
      <c r="A7978" s="49"/>
      <c r="B7978" s="49"/>
    </row>
    <row r="7979" spans="1:2" x14ac:dyDescent="0.2">
      <c r="A7979" s="49"/>
      <c r="B7979" s="49"/>
    </row>
    <row r="7980" spans="1:2" x14ac:dyDescent="0.2">
      <c r="A7980" s="49"/>
      <c r="B7980" s="49"/>
    </row>
    <row r="7981" spans="1:2" x14ac:dyDescent="0.2">
      <c r="A7981" s="49"/>
      <c r="B7981" s="49"/>
    </row>
    <row r="7982" spans="1:2" x14ac:dyDescent="0.2">
      <c r="A7982" s="49"/>
      <c r="B7982" s="49"/>
    </row>
    <row r="7983" spans="1:2" x14ac:dyDescent="0.2">
      <c r="A7983" s="49"/>
      <c r="B7983" s="49"/>
    </row>
    <row r="7984" spans="1:2" x14ac:dyDescent="0.2">
      <c r="A7984" s="49"/>
      <c r="B7984" s="49"/>
    </row>
    <row r="7985" spans="1:2" x14ac:dyDescent="0.2">
      <c r="A7985" s="49"/>
      <c r="B7985" s="49"/>
    </row>
    <row r="7986" spans="1:2" x14ac:dyDescent="0.2">
      <c r="A7986" s="49"/>
      <c r="B7986" s="49"/>
    </row>
    <row r="7987" spans="1:2" x14ac:dyDescent="0.2">
      <c r="A7987" s="49"/>
      <c r="B7987" s="49"/>
    </row>
    <row r="7988" spans="1:2" x14ac:dyDescent="0.2">
      <c r="A7988" s="49"/>
      <c r="B7988" s="49"/>
    </row>
    <row r="7989" spans="1:2" x14ac:dyDescent="0.2">
      <c r="A7989" s="49"/>
      <c r="B7989" s="49"/>
    </row>
    <row r="7990" spans="1:2" x14ac:dyDescent="0.2">
      <c r="A7990" s="49"/>
      <c r="B7990" s="49"/>
    </row>
    <row r="7991" spans="1:2" x14ac:dyDescent="0.2">
      <c r="A7991" s="49"/>
      <c r="B7991" s="49"/>
    </row>
    <row r="7992" spans="1:2" x14ac:dyDescent="0.2">
      <c r="A7992" s="49"/>
      <c r="B7992" s="49"/>
    </row>
    <row r="7993" spans="1:2" x14ac:dyDescent="0.2">
      <c r="A7993" s="49"/>
      <c r="B7993" s="49"/>
    </row>
    <row r="7994" spans="1:2" x14ac:dyDescent="0.2">
      <c r="A7994" s="49"/>
      <c r="B7994" s="49"/>
    </row>
    <row r="7995" spans="1:2" x14ac:dyDescent="0.2">
      <c r="A7995" s="49"/>
      <c r="B7995" s="49"/>
    </row>
    <row r="7996" spans="1:2" x14ac:dyDescent="0.2">
      <c r="A7996" s="49"/>
      <c r="B7996" s="49"/>
    </row>
    <row r="7997" spans="1:2" x14ac:dyDescent="0.2">
      <c r="A7997" s="49"/>
      <c r="B7997" s="49"/>
    </row>
    <row r="7998" spans="1:2" x14ac:dyDescent="0.2">
      <c r="A7998" s="49"/>
      <c r="B7998" s="49"/>
    </row>
    <row r="7999" spans="1:2" x14ac:dyDescent="0.2">
      <c r="A7999" s="49"/>
      <c r="B7999" s="49"/>
    </row>
    <row r="8000" spans="1:2" x14ac:dyDescent="0.2">
      <c r="A8000" s="49"/>
      <c r="B8000" s="49"/>
    </row>
    <row r="8001" spans="1:2" x14ac:dyDescent="0.2">
      <c r="A8001" s="49"/>
      <c r="B8001" s="49"/>
    </row>
    <row r="8002" spans="1:2" x14ac:dyDescent="0.2">
      <c r="A8002" s="49"/>
      <c r="B8002" s="49"/>
    </row>
    <row r="8003" spans="1:2" x14ac:dyDescent="0.2">
      <c r="A8003" s="49"/>
      <c r="B8003" s="49"/>
    </row>
    <row r="8004" spans="1:2" x14ac:dyDescent="0.2">
      <c r="A8004" s="49"/>
      <c r="B8004" s="49"/>
    </row>
    <row r="8005" spans="1:2" x14ac:dyDescent="0.2">
      <c r="A8005" s="49"/>
      <c r="B8005" s="49"/>
    </row>
    <row r="8006" spans="1:2" x14ac:dyDescent="0.2">
      <c r="A8006" s="49"/>
      <c r="B8006" s="49"/>
    </row>
    <row r="8007" spans="1:2" x14ac:dyDescent="0.2">
      <c r="A8007" s="49"/>
      <c r="B8007" s="49"/>
    </row>
    <row r="8008" spans="1:2" x14ac:dyDescent="0.2">
      <c r="A8008" s="49"/>
      <c r="B8008" s="49"/>
    </row>
    <row r="8009" spans="1:2" x14ac:dyDescent="0.2">
      <c r="A8009" s="49"/>
      <c r="B8009" s="49"/>
    </row>
    <row r="8010" spans="1:2" x14ac:dyDescent="0.2">
      <c r="A8010" s="49"/>
      <c r="B8010" s="49"/>
    </row>
    <row r="8011" spans="1:2" x14ac:dyDescent="0.2">
      <c r="A8011" s="49"/>
      <c r="B8011" s="49"/>
    </row>
    <row r="8012" spans="1:2" x14ac:dyDescent="0.2">
      <c r="A8012" s="49"/>
      <c r="B8012" s="49"/>
    </row>
    <row r="8013" spans="1:2" x14ac:dyDescent="0.2">
      <c r="A8013" s="49"/>
      <c r="B8013" s="49"/>
    </row>
    <row r="8014" spans="1:2" x14ac:dyDescent="0.2">
      <c r="A8014" s="49"/>
      <c r="B8014" s="49"/>
    </row>
    <row r="8015" spans="1:2" x14ac:dyDescent="0.2">
      <c r="A8015" s="49"/>
      <c r="B8015" s="49"/>
    </row>
    <row r="8016" spans="1:2" x14ac:dyDescent="0.2">
      <c r="A8016" s="49"/>
      <c r="B8016" s="49"/>
    </row>
    <row r="8017" spans="1:7" x14ac:dyDescent="0.2">
      <c r="A8017" s="49"/>
      <c r="B8017" s="49"/>
    </row>
    <row r="8018" spans="1:7" x14ac:dyDescent="0.2">
      <c r="A8018" s="49"/>
      <c r="B8018" s="49"/>
    </row>
    <row r="8019" spans="1:7" x14ac:dyDescent="0.2">
      <c r="A8019" s="49"/>
      <c r="B8019" s="49"/>
    </row>
    <row r="8020" spans="1:7" x14ac:dyDescent="0.2">
      <c r="A8020" s="49"/>
      <c r="B8020" s="49"/>
    </row>
    <row r="8021" spans="1:7" x14ac:dyDescent="0.2">
      <c r="A8021" s="49"/>
      <c r="B8021" s="49"/>
    </row>
    <row r="8022" spans="1:7" x14ac:dyDescent="0.2">
      <c r="A8022" s="49"/>
      <c r="B8022" s="49"/>
    </row>
    <row r="8023" spans="1:7" x14ac:dyDescent="0.2">
      <c r="A8023" s="49"/>
      <c r="B8023" s="49"/>
    </row>
    <row r="8024" spans="1:7" x14ac:dyDescent="0.2">
      <c r="A8024" s="49"/>
      <c r="B8024" s="49"/>
      <c r="C8024" s="49"/>
      <c r="D8024" s="49"/>
      <c r="E8024" s="49"/>
      <c r="F8024" s="49"/>
      <c r="G8024" s="49"/>
    </row>
    <row r="8025" spans="1:7" x14ac:dyDescent="0.2">
      <c r="A8025" s="49"/>
      <c r="B8025" s="49"/>
    </row>
    <row r="8026" spans="1:7" x14ac:dyDescent="0.2">
      <c r="A8026" s="49"/>
      <c r="B8026" s="49"/>
    </row>
    <row r="8027" spans="1:7" x14ac:dyDescent="0.2">
      <c r="A8027" s="49"/>
      <c r="B8027" s="49"/>
    </row>
    <row r="8028" spans="1:7" x14ac:dyDescent="0.2">
      <c r="A8028" s="49"/>
      <c r="B8028" s="49"/>
    </row>
    <row r="8029" spans="1:7" x14ac:dyDescent="0.2">
      <c r="A8029" s="49"/>
      <c r="B8029" s="49"/>
    </row>
    <row r="8030" spans="1:7" x14ac:dyDescent="0.2">
      <c r="A8030" s="49"/>
      <c r="B8030" s="49"/>
    </row>
    <row r="8031" spans="1:7" x14ac:dyDescent="0.2">
      <c r="A8031" s="49"/>
      <c r="B8031" s="49"/>
    </row>
    <row r="8032" spans="1:7" x14ac:dyDescent="0.2">
      <c r="A8032" s="49"/>
      <c r="B8032" s="49"/>
    </row>
    <row r="8033" spans="1:2" x14ac:dyDescent="0.2">
      <c r="A8033" s="49"/>
      <c r="B8033" s="49"/>
    </row>
    <row r="8034" spans="1:2" x14ac:dyDescent="0.2">
      <c r="A8034" s="49"/>
      <c r="B8034" s="49"/>
    </row>
    <row r="8035" spans="1:2" x14ac:dyDescent="0.2">
      <c r="A8035" s="49"/>
      <c r="B8035" s="49"/>
    </row>
    <row r="8036" spans="1:2" x14ac:dyDescent="0.2">
      <c r="A8036" s="49"/>
      <c r="B8036" s="49"/>
    </row>
    <row r="8037" spans="1:2" x14ac:dyDescent="0.2">
      <c r="A8037" s="49"/>
      <c r="B8037" s="49"/>
    </row>
    <row r="8038" spans="1:2" x14ac:dyDescent="0.2">
      <c r="A8038" s="49"/>
      <c r="B8038" s="49"/>
    </row>
    <row r="8039" spans="1:2" x14ac:dyDescent="0.2">
      <c r="A8039" s="49"/>
      <c r="B8039" s="49"/>
    </row>
    <row r="8040" spans="1:2" x14ac:dyDescent="0.2">
      <c r="A8040" s="49"/>
      <c r="B8040" s="49"/>
    </row>
    <row r="8041" spans="1:2" x14ac:dyDescent="0.2">
      <c r="A8041" s="49"/>
      <c r="B8041" s="49"/>
    </row>
    <row r="8042" spans="1:2" x14ac:dyDescent="0.2">
      <c r="A8042" s="49"/>
      <c r="B8042" s="49"/>
    </row>
    <row r="8043" spans="1:2" x14ac:dyDescent="0.2">
      <c r="A8043" s="49"/>
      <c r="B8043" s="49"/>
    </row>
    <row r="8044" spans="1:2" x14ac:dyDescent="0.2">
      <c r="A8044" s="49"/>
      <c r="B8044" s="49"/>
    </row>
    <row r="8045" spans="1:2" x14ac:dyDescent="0.2">
      <c r="A8045" s="49"/>
      <c r="B8045" s="49"/>
    </row>
    <row r="8046" spans="1:2" x14ac:dyDescent="0.2">
      <c r="A8046" s="49"/>
      <c r="B8046" s="49"/>
    </row>
    <row r="8047" spans="1:2" x14ac:dyDescent="0.2">
      <c r="A8047" s="49"/>
      <c r="B8047" s="49"/>
    </row>
    <row r="8048" spans="1:2" x14ac:dyDescent="0.2">
      <c r="A8048" s="49"/>
      <c r="B8048" s="49"/>
    </row>
    <row r="8049" spans="1:2" x14ac:dyDescent="0.2">
      <c r="A8049" s="49"/>
      <c r="B8049" s="49"/>
    </row>
    <row r="8050" spans="1:2" x14ac:dyDescent="0.2">
      <c r="A8050" s="49"/>
      <c r="B8050" s="49"/>
    </row>
    <row r="8051" spans="1:2" x14ac:dyDescent="0.2">
      <c r="A8051" s="49"/>
      <c r="B8051" s="49"/>
    </row>
    <row r="8052" spans="1:2" x14ac:dyDescent="0.2">
      <c r="A8052" s="49"/>
      <c r="B8052" s="49"/>
    </row>
    <row r="8053" spans="1:2" x14ac:dyDescent="0.2">
      <c r="A8053" s="49"/>
      <c r="B8053" s="49"/>
    </row>
    <row r="8054" spans="1:2" x14ac:dyDescent="0.2">
      <c r="A8054" s="49"/>
      <c r="B8054" s="49"/>
    </row>
    <row r="8055" spans="1:2" x14ac:dyDescent="0.2">
      <c r="A8055" s="49"/>
      <c r="B8055" s="49"/>
    </row>
    <row r="8056" spans="1:2" x14ac:dyDescent="0.2">
      <c r="A8056" s="49"/>
      <c r="B8056" s="49"/>
    </row>
    <row r="8057" spans="1:2" x14ac:dyDescent="0.2">
      <c r="A8057" s="49"/>
      <c r="B8057" s="49"/>
    </row>
    <row r="8058" spans="1:2" x14ac:dyDescent="0.2">
      <c r="A8058" s="49"/>
      <c r="B8058" s="49"/>
    </row>
    <row r="8059" spans="1:2" x14ac:dyDescent="0.2">
      <c r="A8059" s="49"/>
      <c r="B8059" s="49"/>
    </row>
    <row r="8060" spans="1:2" x14ac:dyDescent="0.2">
      <c r="A8060" s="49"/>
      <c r="B8060" s="49"/>
    </row>
    <row r="8061" spans="1:2" x14ac:dyDescent="0.2">
      <c r="A8061" s="49"/>
      <c r="B8061" s="49"/>
    </row>
    <row r="8062" spans="1:2" x14ac:dyDescent="0.2">
      <c r="A8062" s="49"/>
      <c r="B8062" s="49"/>
    </row>
    <row r="8063" spans="1:2" x14ac:dyDescent="0.2">
      <c r="A8063" s="49"/>
      <c r="B8063" s="49"/>
    </row>
    <row r="8064" spans="1:2" x14ac:dyDescent="0.2">
      <c r="A8064" s="49"/>
      <c r="B8064" s="49"/>
    </row>
    <row r="8065" spans="1:2" x14ac:dyDescent="0.2">
      <c r="A8065" s="49"/>
      <c r="B8065" s="49"/>
    </row>
    <row r="8066" spans="1:2" x14ac:dyDescent="0.2">
      <c r="A8066" s="49"/>
      <c r="B8066" s="49"/>
    </row>
    <row r="8067" spans="1:2" x14ac:dyDescent="0.2">
      <c r="A8067" s="49"/>
      <c r="B8067" s="49"/>
    </row>
    <row r="8068" spans="1:2" x14ac:dyDescent="0.2">
      <c r="A8068" s="49"/>
      <c r="B8068" s="49"/>
    </row>
    <row r="8069" spans="1:2" x14ac:dyDescent="0.2">
      <c r="A8069" s="49"/>
      <c r="B8069" s="49"/>
    </row>
    <row r="8070" spans="1:2" x14ac:dyDescent="0.2">
      <c r="A8070" s="49"/>
      <c r="B8070" s="49"/>
    </row>
    <row r="8071" spans="1:2" x14ac:dyDescent="0.2">
      <c r="A8071" s="49"/>
      <c r="B8071" s="49"/>
    </row>
    <row r="8072" spans="1:2" x14ac:dyDescent="0.2">
      <c r="A8072" s="49"/>
      <c r="B8072" s="49"/>
    </row>
    <row r="8073" spans="1:2" x14ac:dyDescent="0.2">
      <c r="A8073" s="49"/>
      <c r="B8073" s="49"/>
    </row>
    <row r="8074" spans="1:2" x14ac:dyDescent="0.2">
      <c r="A8074" s="49"/>
      <c r="B8074" s="49"/>
    </row>
    <row r="8075" spans="1:2" x14ac:dyDescent="0.2">
      <c r="A8075" s="49"/>
      <c r="B8075" s="49"/>
    </row>
    <row r="8076" spans="1:2" x14ac:dyDescent="0.2">
      <c r="A8076" s="49"/>
      <c r="B8076" s="49"/>
    </row>
    <row r="8077" spans="1:2" x14ac:dyDescent="0.2">
      <c r="A8077" s="49"/>
      <c r="B8077" s="49"/>
    </row>
    <row r="8078" spans="1:2" x14ac:dyDescent="0.2">
      <c r="A8078" s="49"/>
      <c r="B8078" s="49"/>
    </row>
    <row r="8079" spans="1:2" x14ac:dyDescent="0.2">
      <c r="A8079" s="49"/>
      <c r="B8079" s="49"/>
    </row>
    <row r="8080" spans="1:2" x14ac:dyDescent="0.2">
      <c r="A8080" s="49"/>
      <c r="B8080" s="49"/>
    </row>
    <row r="8081" spans="1:2" x14ac:dyDescent="0.2">
      <c r="A8081" s="49"/>
      <c r="B8081" s="49"/>
    </row>
    <row r="8082" spans="1:2" x14ac:dyDescent="0.2">
      <c r="A8082" s="49"/>
      <c r="B8082" s="49"/>
    </row>
    <row r="8083" spans="1:2" x14ac:dyDescent="0.2">
      <c r="A8083" s="49"/>
      <c r="B8083" s="49"/>
    </row>
    <row r="8084" spans="1:2" x14ac:dyDescent="0.2">
      <c r="A8084" s="49"/>
      <c r="B8084" s="49"/>
    </row>
    <row r="8085" spans="1:2" x14ac:dyDescent="0.2">
      <c r="A8085" s="49"/>
      <c r="B8085" s="49"/>
    </row>
    <row r="8086" spans="1:2" x14ac:dyDescent="0.2">
      <c r="A8086" s="49"/>
      <c r="B8086" s="49"/>
    </row>
    <row r="8087" spans="1:2" x14ac:dyDescent="0.2">
      <c r="A8087" s="49"/>
      <c r="B8087" s="49"/>
    </row>
    <row r="8088" spans="1:2" x14ac:dyDescent="0.2">
      <c r="A8088" s="49"/>
      <c r="B8088" s="49"/>
    </row>
    <row r="8089" spans="1:2" x14ac:dyDescent="0.2">
      <c r="A8089" s="49"/>
      <c r="B8089" s="49"/>
    </row>
    <row r="8090" spans="1:2" x14ac:dyDescent="0.2">
      <c r="A8090" s="49"/>
      <c r="B8090" s="49"/>
    </row>
    <row r="8091" spans="1:2" x14ac:dyDescent="0.2">
      <c r="A8091" s="49"/>
      <c r="B8091" s="49"/>
    </row>
    <row r="8092" spans="1:2" x14ac:dyDescent="0.2">
      <c r="A8092" s="49"/>
      <c r="B8092" s="49"/>
    </row>
    <row r="8093" spans="1:2" x14ac:dyDescent="0.2">
      <c r="A8093" s="49"/>
      <c r="B8093" s="49"/>
    </row>
    <row r="8094" spans="1:2" x14ac:dyDescent="0.2">
      <c r="A8094" s="49"/>
      <c r="B8094" s="49"/>
    </row>
    <row r="8095" spans="1:2" x14ac:dyDescent="0.2">
      <c r="A8095" s="49"/>
      <c r="B8095" s="49"/>
    </row>
    <row r="8096" spans="1:2" x14ac:dyDescent="0.2">
      <c r="A8096" s="49"/>
      <c r="B8096" s="49"/>
    </row>
    <row r="8097" spans="1:2" x14ac:dyDescent="0.2">
      <c r="A8097" s="49"/>
      <c r="B8097" s="49"/>
    </row>
    <row r="8098" spans="1:2" x14ac:dyDescent="0.2">
      <c r="A8098" s="49"/>
      <c r="B8098" s="49"/>
    </row>
    <row r="8099" spans="1:2" x14ac:dyDescent="0.2">
      <c r="A8099" s="49"/>
      <c r="B8099" s="49"/>
    </row>
    <row r="8100" spans="1:2" x14ac:dyDescent="0.2">
      <c r="A8100" s="49"/>
      <c r="B8100" s="49"/>
    </row>
    <row r="8101" spans="1:2" x14ac:dyDescent="0.2">
      <c r="A8101" s="49"/>
      <c r="B8101" s="49"/>
    </row>
    <row r="8102" spans="1:2" x14ac:dyDescent="0.2">
      <c r="A8102" s="49"/>
      <c r="B8102" s="49"/>
    </row>
    <row r="8103" spans="1:2" x14ac:dyDescent="0.2">
      <c r="A8103" s="49"/>
      <c r="B8103" s="49"/>
    </row>
    <row r="8104" spans="1:2" x14ac:dyDescent="0.2">
      <c r="A8104" s="49"/>
      <c r="B8104" s="49"/>
    </row>
    <row r="8105" spans="1:2" x14ac:dyDescent="0.2">
      <c r="A8105" s="49"/>
      <c r="B8105" s="49"/>
    </row>
    <row r="8106" spans="1:2" x14ac:dyDescent="0.2">
      <c r="A8106" s="49"/>
      <c r="B8106" s="49"/>
    </row>
    <row r="8107" spans="1:2" x14ac:dyDescent="0.2">
      <c r="A8107" s="49"/>
      <c r="B8107" s="49"/>
    </row>
    <row r="8108" spans="1:2" x14ac:dyDescent="0.2">
      <c r="A8108" s="49"/>
      <c r="B8108" s="49"/>
    </row>
    <row r="8109" spans="1:2" x14ac:dyDescent="0.2">
      <c r="A8109" s="49"/>
      <c r="B8109" s="49"/>
    </row>
    <row r="8110" spans="1:2" x14ac:dyDescent="0.2">
      <c r="A8110" s="49"/>
      <c r="B8110" s="49"/>
    </row>
    <row r="8111" spans="1:2" x14ac:dyDescent="0.2">
      <c r="A8111" s="49"/>
      <c r="B8111" s="49"/>
    </row>
    <row r="8112" spans="1:2" x14ac:dyDescent="0.2">
      <c r="A8112" s="49"/>
      <c r="B8112" s="49"/>
    </row>
    <row r="8113" spans="1:2" x14ac:dyDescent="0.2">
      <c r="A8113" s="49"/>
      <c r="B8113" s="49"/>
    </row>
    <row r="8114" spans="1:2" x14ac:dyDescent="0.2">
      <c r="A8114" s="49"/>
      <c r="B8114" s="49"/>
    </row>
    <row r="8115" spans="1:2" x14ac:dyDescent="0.2">
      <c r="A8115" s="49"/>
      <c r="B8115" s="49"/>
    </row>
    <row r="8116" spans="1:2" x14ac:dyDescent="0.2">
      <c r="A8116" s="49"/>
      <c r="B8116" s="49"/>
    </row>
    <row r="8117" spans="1:2" x14ac:dyDescent="0.2">
      <c r="A8117" s="49"/>
      <c r="B8117" s="49"/>
    </row>
    <row r="8118" spans="1:2" x14ac:dyDescent="0.2">
      <c r="A8118" s="49"/>
      <c r="B8118" s="49"/>
    </row>
    <row r="8119" spans="1:2" x14ac:dyDescent="0.2">
      <c r="A8119" s="49"/>
      <c r="B8119" s="49"/>
    </row>
    <row r="8120" spans="1:2" x14ac:dyDescent="0.2">
      <c r="A8120" s="49"/>
      <c r="B8120" s="49"/>
    </row>
    <row r="8121" spans="1:2" x14ac:dyDescent="0.2">
      <c r="A8121" s="49"/>
      <c r="B8121" s="49"/>
    </row>
    <row r="8122" spans="1:2" x14ac:dyDescent="0.2">
      <c r="A8122" s="49"/>
      <c r="B8122" s="49"/>
    </row>
    <row r="8123" spans="1:2" x14ac:dyDescent="0.2">
      <c r="A8123" s="49"/>
      <c r="B8123" s="49"/>
    </row>
    <row r="8124" spans="1:2" x14ac:dyDescent="0.2">
      <c r="A8124" s="49"/>
      <c r="B8124" s="49"/>
    </row>
    <row r="8125" spans="1:2" x14ac:dyDescent="0.2">
      <c r="A8125" s="49"/>
      <c r="B8125" s="49"/>
    </row>
    <row r="8126" spans="1:2" x14ac:dyDescent="0.2">
      <c r="A8126" s="49"/>
      <c r="B8126" s="49"/>
    </row>
    <row r="8127" spans="1:2" x14ac:dyDescent="0.2">
      <c r="A8127" s="49"/>
      <c r="B8127" s="49"/>
    </row>
    <row r="8128" spans="1:2" x14ac:dyDescent="0.2">
      <c r="A8128" s="49"/>
      <c r="B8128" s="49"/>
    </row>
    <row r="8129" spans="1:2" x14ac:dyDescent="0.2">
      <c r="A8129" s="49"/>
      <c r="B8129" s="49"/>
    </row>
    <row r="8130" spans="1:2" x14ac:dyDescent="0.2">
      <c r="A8130" s="49"/>
      <c r="B8130" s="49"/>
    </row>
    <row r="8131" spans="1:2" x14ac:dyDescent="0.2">
      <c r="A8131" s="49"/>
      <c r="B8131" s="49"/>
    </row>
    <row r="8132" spans="1:2" x14ac:dyDescent="0.2">
      <c r="A8132" s="49"/>
      <c r="B8132" s="49"/>
    </row>
    <row r="8133" spans="1:2" x14ac:dyDescent="0.2">
      <c r="A8133" s="49"/>
      <c r="B8133" s="49"/>
    </row>
    <row r="8134" spans="1:2" x14ac:dyDescent="0.2">
      <c r="A8134" s="49"/>
      <c r="B8134" s="49"/>
    </row>
    <row r="8135" spans="1:2" x14ac:dyDescent="0.2">
      <c r="A8135" s="49"/>
      <c r="B8135" s="49"/>
    </row>
    <row r="8136" spans="1:2" x14ac:dyDescent="0.2">
      <c r="A8136" s="49"/>
      <c r="B8136" s="49"/>
    </row>
    <row r="8137" spans="1:2" x14ac:dyDescent="0.2">
      <c r="A8137" s="49"/>
      <c r="B8137" s="49"/>
    </row>
    <row r="8138" spans="1:2" x14ac:dyDescent="0.2">
      <c r="A8138" s="49"/>
      <c r="B8138" s="49"/>
    </row>
    <row r="8139" spans="1:2" x14ac:dyDescent="0.2">
      <c r="A8139" s="49"/>
      <c r="B8139" s="49"/>
    </row>
    <row r="8140" spans="1:2" x14ac:dyDescent="0.2">
      <c r="A8140" s="49"/>
      <c r="B8140" s="49"/>
    </row>
    <row r="8141" spans="1:2" x14ac:dyDescent="0.2">
      <c r="A8141" s="49"/>
      <c r="B8141" s="49"/>
    </row>
    <row r="8142" spans="1:2" x14ac:dyDescent="0.2">
      <c r="A8142" s="49"/>
      <c r="B8142" s="49"/>
    </row>
    <row r="8143" spans="1:2" x14ac:dyDescent="0.2">
      <c r="A8143" s="49"/>
      <c r="B8143" s="49"/>
    </row>
    <row r="8144" spans="1:2" x14ac:dyDescent="0.2">
      <c r="A8144" s="49"/>
      <c r="B8144" s="49"/>
    </row>
    <row r="8145" spans="1:2" x14ac:dyDescent="0.2">
      <c r="A8145" s="49"/>
      <c r="B8145" s="49"/>
    </row>
    <row r="8146" spans="1:2" x14ac:dyDescent="0.2">
      <c r="A8146" s="49"/>
      <c r="B8146" s="49"/>
    </row>
    <row r="8147" spans="1:2" x14ac:dyDescent="0.2">
      <c r="A8147" s="49"/>
      <c r="B8147" s="49"/>
    </row>
    <row r="8148" spans="1:2" x14ac:dyDescent="0.2">
      <c r="A8148" s="49"/>
      <c r="B8148" s="49"/>
    </row>
    <row r="8149" spans="1:2" x14ac:dyDescent="0.2">
      <c r="A8149" s="49"/>
      <c r="B8149" s="49"/>
    </row>
    <row r="8150" spans="1:2" x14ac:dyDescent="0.2">
      <c r="A8150" s="49"/>
      <c r="B8150" s="49"/>
    </row>
    <row r="8151" spans="1:2" x14ac:dyDescent="0.2">
      <c r="A8151" s="49"/>
      <c r="B8151" s="49"/>
    </row>
    <row r="8152" spans="1:2" x14ac:dyDescent="0.2">
      <c r="A8152" s="49"/>
      <c r="B8152" s="49"/>
    </row>
    <row r="8153" spans="1:2" x14ac:dyDescent="0.2">
      <c r="A8153" s="49"/>
      <c r="B8153" s="49"/>
    </row>
    <row r="8154" spans="1:2" x14ac:dyDescent="0.2">
      <c r="A8154" s="49"/>
      <c r="B8154" s="49"/>
    </row>
    <row r="8155" spans="1:2" x14ac:dyDescent="0.2">
      <c r="A8155" s="49"/>
      <c r="B8155" s="49"/>
    </row>
    <row r="8156" spans="1:2" x14ac:dyDescent="0.2">
      <c r="A8156" s="49"/>
      <c r="B8156" s="49"/>
    </row>
    <row r="8157" spans="1:2" x14ac:dyDescent="0.2">
      <c r="A8157" s="49"/>
      <c r="B8157" s="49"/>
    </row>
    <row r="8158" spans="1:2" x14ac:dyDescent="0.2">
      <c r="A8158" s="49"/>
      <c r="B8158" s="49"/>
    </row>
    <row r="8159" spans="1:2" x14ac:dyDescent="0.2">
      <c r="A8159" s="49"/>
      <c r="B8159" s="49"/>
    </row>
    <row r="8160" spans="1:2" x14ac:dyDescent="0.2">
      <c r="A8160" s="49"/>
      <c r="B8160" s="49"/>
    </row>
    <row r="8161" spans="1:2" x14ac:dyDescent="0.2">
      <c r="A8161" s="49"/>
      <c r="B8161" s="49"/>
    </row>
    <row r="8162" spans="1:2" x14ac:dyDescent="0.2">
      <c r="A8162" s="49"/>
      <c r="B8162" s="49"/>
    </row>
    <row r="8163" spans="1:2" x14ac:dyDescent="0.2">
      <c r="A8163" s="49"/>
      <c r="B8163" s="49"/>
    </row>
    <row r="8164" spans="1:2" x14ac:dyDescent="0.2">
      <c r="A8164" s="49"/>
      <c r="B8164" s="49"/>
    </row>
    <row r="8165" spans="1:2" x14ac:dyDescent="0.2">
      <c r="A8165" s="49"/>
      <c r="B8165" s="49"/>
    </row>
    <row r="8166" spans="1:2" x14ac:dyDescent="0.2">
      <c r="A8166" s="49"/>
      <c r="B8166" s="49"/>
    </row>
    <row r="8167" spans="1:2" x14ac:dyDescent="0.2">
      <c r="A8167" s="49"/>
      <c r="B8167" s="49"/>
    </row>
    <row r="8168" spans="1:2" x14ac:dyDescent="0.2">
      <c r="A8168" s="49"/>
      <c r="B8168" s="49"/>
    </row>
    <row r="8169" spans="1:2" x14ac:dyDescent="0.2">
      <c r="A8169" s="49"/>
      <c r="B8169" s="49"/>
    </row>
    <row r="8170" spans="1:2" x14ac:dyDescent="0.2">
      <c r="A8170" s="49"/>
      <c r="B8170" s="49"/>
    </row>
    <row r="8171" spans="1:2" x14ac:dyDescent="0.2">
      <c r="A8171" s="49"/>
      <c r="B8171" s="49"/>
    </row>
    <row r="8172" spans="1:2" x14ac:dyDescent="0.2">
      <c r="A8172" s="49"/>
      <c r="B8172" s="49"/>
    </row>
    <row r="8173" spans="1:2" x14ac:dyDescent="0.2">
      <c r="A8173" s="49"/>
      <c r="B8173" s="49"/>
    </row>
    <row r="8174" spans="1:2" x14ac:dyDescent="0.2">
      <c r="A8174" s="49"/>
      <c r="B8174" s="49"/>
    </row>
    <row r="8175" spans="1:2" x14ac:dyDescent="0.2">
      <c r="A8175" s="49"/>
      <c r="B8175" s="49"/>
    </row>
    <row r="8176" spans="1:2" x14ac:dyDescent="0.2">
      <c r="A8176" s="49"/>
      <c r="B8176" s="49"/>
    </row>
    <row r="8177" spans="1:7" x14ac:dyDescent="0.2">
      <c r="A8177" s="49"/>
      <c r="B8177" s="49"/>
    </row>
    <row r="8178" spans="1:7" x14ac:dyDescent="0.2">
      <c r="A8178" s="49"/>
      <c r="B8178" s="49"/>
    </row>
    <row r="8179" spans="1:7" x14ac:dyDescent="0.2">
      <c r="A8179" s="49"/>
      <c r="B8179" s="49"/>
    </row>
    <row r="8180" spans="1:7" x14ac:dyDescent="0.2">
      <c r="A8180" s="49"/>
      <c r="B8180" s="49"/>
    </row>
    <row r="8181" spans="1:7" x14ac:dyDescent="0.2">
      <c r="A8181" s="49"/>
      <c r="B8181" s="49"/>
    </row>
    <row r="8182" spans="1:7" x14ac:dyDescent="0.2">
      <c r="A8182" s="49"/>
      <c r="B8182" s="49"/>
    </row>
    <row r="8183" spans="1:7" x14ac:dyDescent="0.2">
      <c r="A8183" s="49"/>
      <c r="B8183" s="49"/>
    </row>
    <row r="8184" spans="1:7" x14ac:dyDescent="0.2">
      <c r="A8184" s="49"/>
      <c r="B8184" s="49"/>
    </row>
    <row r="8185" spans="1:7" x14ac:dyDescent="0.2">
      <c r="A8185" s="49"/>
      <c r="B8185" s="49"/>
    </row>
    <row r="8186" spans="1:7" x14ac:dyDescent="0.2">
      <c r="A8186" s="49"/>
      <c r="B8186" s="49"/>
      <c r="C8186" s="49"/>
      <c r="D8186" s="49"/>
      <c r="E8186" s="49"/>
      <c r="F8186" s="49"/>
      <c r="G8186" s="49"/>
    </row>
    <row r="8187" spans="1:7" x14ac:dyDescent="0.2">
      <c r="A8187" s="49"/>
      <c r="B8187" s="49"/>
    </row>
    <row r="8188" spans="1:7" x14ac:dyDescent="0.2">
      <c r="A8188" s="49"/>
      <c r="B8188" s="49"/>
    </row>
    <row r="8189" spans="1:7" x14ac:dyDescent="0.2">
      <c r="A8189" s="49"/>
      <c r="B8189" s="49"/>
    </row>
    <row r="8190" spans="1:7" x14ac:dyDescent="0.2">
      <c r="A8190" s="49"/>
      <c r="B8190" s="49"/>
    </row>
    <row r="8191" spans="1:7" x14ac:dyDescent="0.2">
      <c r="A8191" s="49"/>
      <c r="B8191" s="49"/>
    </row>
    <row r="8192" spans="1:7" x14ac:dyDescent="0.2">
      <c r="A8192" s="49"/>
      <c r="B8192" s="49"/>
    </row>
    <row r="8193" spans="1:2" x14ac:dyDescent="0.2">
      <c r="A8193" s="49"/>
      <c r="B8193" s="49"/>
    </row>
    <row r="8194" spans="1:2" x14ac:dyDescent="0.2">
      <c r="A8194" s="49"/>
      <c r="B8194" s="49"/>
    </row>
    <row r="8195" spans="1:2" x14ac:dyDescent="0.2">
      <c r="A8195" s="49"/>
      <c r="B8195" s="49"/>
    </row>
    <row r="8196" spans="1:2" x14ac:dyDescent="0.2">
      <c r="A8196" s="49"/>
      <c r="B8196" s="49"/>
    </row>
    <row r="8197" spans="1:2" x14ac:dyDescent="0.2">
      <c r="A8197" s="49"/>
      <c r="B8197" s="49"/>
    </row>
    <row r="8198" spans="1:2" x14ac:dyDescent="0.2">
      <c r="A8198" s="49"/>
      <c r="B8198" s="49"/>
    </row>
    <row r="8199" spans="1:2" x14ac:dyDescent="0.2">
      <c r="A8199" s="49"/>
      <c r="B8199" s="49"/>
    </row>
    <row r="8200" spans="1:2" x14ac:dyDescent="0.2">
      <c r="A8200" s="49"/>
      <c r="B8200" s="49"/>
    </row>
    <row r="8201" spans="1:2" x14ac:dyDescent="0.2">
      <c r="A8201" s="49"/>
      <c r="B8201" s="49"/>
    </row>
    <row r="8202" spans="1:2" x14ac:dyDescent="0.2">
      <c r="A8202" s="49"/>
      <c r="B8202" s="49"/>
    </row>
    <row r="8203" spans="1:2" x14ac:dyDescent="0.2">
      <c r="A8203" s="49"/>
      <c r="B8203" s="49"/>
    </row>
    <row r="8204" spans="1:2" x14ac:dyDescent="0.2">
      <c r="A8204" s="49"/>
      <c r="B8204" s="49"/>
    </row>
    <row r="8205" spans="1:2" x14ac:dyDescent="0.2">
      <c r="A8205" s="49"/>
      <c r="B8205" s="49"/>
    </row>
    <row r="8206" spans="1:2" x14ac:dyDescent="0.2">
      <c r="A8206" s="49"/>
      <c r="B8206" s="49"/>
    </row>
    <row r="8207" spans="1:2" x14ac:dyDescent="0.2">
      <c r="A8207" s="49"/>
      <c r="B8207" s="49"/>
    </row>
    <row r="8208" spans="1:2" x14ac:dyDescent="0.2">
      <c r="A8208" s="49"/>
      <c r="B8208" s="49"/>
    </row>
    <row r="8209" spans="1:2" x14ac:dyDescent="0.2">
      <c r="A8209" s="49"/>
      <c r="B8209" s="49"/>
    </row>
    <row r="8210" spans="1:2" x14ac:dyDescent="0.2">
      <c r="A8210" s="49"/>
      <c r="B8210" s="49"/>
    </row>
    <row r="8211" spans="1:2" x14ac:dyDescent="0.2">
      <c r="A8211" s="49"/>
      <c r="B8211" s="49"/>
    </row>
    <row r="8212" spans="1:2" x14ac:dyDescent="0.2">
      <c r="A8212" s="49"/>
      <c r="B8212" s="49"/>
    </row>
    <row r="8213" spans="1:2" x14ac:dyDescent="0.2">
      <c r="A8213" s="49"/>
      <c r="B8213" s="49"/>
    </row>
    <row r="8214" spans="1:2" x14ac:dyDescent="0.2">
      <c r="A8214" s="49"/>
      <c r="B8214" s="49"/>
    </row>
    <row r="8215" spans="1:2" x14ac:dyDescent="0.2">
      <c r="A8215" s="49"/>
      <c r="B8215" s="49"/>
    </row>
    <row r="8216" spans="1:2" x14ac:dyDescent="0.2">
      <c r="A8216" s="49"/>
      <c r="B8216" s="49"/>
    </row>
    <row r="8217" spans="1:2" x14ac:dyDescent="0.2">
      <c r="A8217" s="49"/>
      <c r="B8217" s="49"/>
    </row>
    <row r="8218" spans="1:2" x14ac:dyDescent="0.2">
      <c r="A8218" s="49"/>
      <c r="B8218" s="49"/>
    </row>
    <row r="8219" spans="1:2" x14ac:dyDescent="0.2">
      <c r="A8219" s="49"/>
      <c r="B8219" s="49"/>
    </row>
    <row r="8220" spans="1:2" x14ac:dyDescent="0.2">
      <c r="A8220" s="49"/>
      <c r="B8220" s="49"/>
    </row>
    <row r="8221" spans="1:2" x14ac:dyDescent="0.2">
      <c r="A8221" s="49"/>
      <c r="B8221" s="49"/>
    </row>
    <row r="8222" spans="1:2" x14ac:dyDescent="0.2">
      <c r="A8222" s="49"/>
      <c r="B8222" s="49"/>
    </row>
    <row r="8223" spans="1:2" x14ac:dyDescent="0.2">
      <c r="A8223" s="49"/>
      <c r="B8223" s="49"/>
    </row>
    <row r="8224" spans="1:2" x14ac:dyDescent="0.2">
      <c r="A8224" s="49"/>
      <c r="B8224" s="49"/>
    </row>
    <row r="8225" spans="1:2" x14ac:dyDescent="0.2">
      <c r="A8225" s="49"/>
      <c r="B8225" s="49"/>
    </row>
    <row r="8226" spans="1:2" x14ac:dyDescent="0.2">
      <c r="A8226" s="49"/>
      <c r="B8226" s="49"/>
    </row>
    <row r="8227" spans="1:2" x14ac:dyDescent="0.2">
      <c r="A8227" s="49"/>
      <c r="B8227" s="49"/>
    </row>
    <row r="8228" spans="1:2" x14ac:dyDescent="0.2">
      <c r="A8228" s="49"/>
      <c r="B8228" s="49"/>
    </row>
    <row r="8229" spans="1:2" x14ac:dyDescent="0.2">
      <c r="A8229" s="49"/>
      <c r="B8229" s="49"/>
    </row>
    <row r="8230" spans="1:2" x14ac:dyDescent="0.2">
      <c r="A8230" s="49"/>
      <c r="B8230" s="49"/>
    </row>
    <row r="8231" spans="1:2" x14ac:dyDescent="0.2">
      <c r="A8231" s="49"/>
      <c r="B8231" s="49"/>
    </row>
    <row r="8232" spans="1:2" x14ac:dyDescent="0.2">
      <c r="A8232" s="49"/>
      <c r="B8232" s="49"/>
    </row>
    <row r="8233" spans="1:2" x14ac:dyDescent="0.2">
      <c r="A8233" s="49"/>
      <c r="B8233" s="49"/>
    </row>
    <row r="8234" spans="1:2" x14ac:dyDescent="0.2">
      <c r="A8234" s="49"/>
      <c r="B8234" s="49"/>
    </row>
    <row r="8235" spans="1:2" x14ac:dyDescent="0.2">
      <c r="A8235" s="49"/>
      <c r="B8235" s="49"/>
    </row>
    <row r="8236" spans="1:2" x14ac:dyDescent="0.2">
      <c r="A8236" s="49"/>
      <c r="B8236" s="49"/>
    </row>
    <row r="8237" spans="1:2" x14ac:dyDescent="0.2">
      <c r="A8237" s="49"/>
      <c r="B8237" s="49"/>
    </row>
    <row r="8238" spans="1:2" x14ac:dyDescent="0.2">
      <c r="A8238" s="49"/>
      <c r="B8238" s="49"/>
    </row>
    <row r="8239" spans="1:2" x14ac:dyDescent="0.2">
      <c r="A8239" s="49"/>
      <c r="B8239" s="49"/>
    </row>
    <row r="8240" spans="1:2" x14ac:dyDescent="0.2">
      <c r="A8240" s="49"/>
      <c r="B8240" s="49"/>
    </row>
    <row r="8241" spans="1:7" x14ac:dyDescent="0.2">
      <c r="A8241" s="49"/>
      <c r="B8241" s="49"/>
    </row>
    <row r="8242" spans="1:7" x14ac:dyDescent="0.2">
      <c r="A8242" s="49"/>
      <c r="B8242" s="49"/>
    </row>
    <row r="8243" spans="1:7" x14ac:dyDescent="0.2">
      <c r="A8243" s="49"/>
      <c r="B8243" s="49"/>
    </row>
    <row r="8244" spans="1:7" x14ac:dyDescent="0.2">
      <c r="A8244" s="49"/>
      <c r="B8244" s="49"/>
      <c r="C8244" s="49"/>
      <c r="D8244" s="49"/>
      <c r="E8244" s="49"/>
      <c r="F8244" s="49"/>
      <c r="G8244" s="49"/>
    </row>
    <row r="8245" spans="1:7" x14ac:dyDescent="0.2">
      <c r="A8245" s="49"/>
      <c r="B8245" s="49"/>
    </row>
    <row r="8246" spans="1:7" x14ac:dyDescent="0.2">
      <c r="A8246" s="49"/>
      <c r="B8246" s="49"/>
    </row>
    <row r="8247" spans="1:7" x14ac:dyDescent="0.2">
      <c r="A8247" s="49"/>
      <c r="B8247" s="49"/>
    </row>
    <row r="8248" spans="1:7" x14ac:dyDescent="0.2">
      <c r="A8248" s="49"/>
      <c r="B8248" s="49"/>
    </row>
    <row r="8249" spans="1:7" x14ac:dyDescent="0.2">
      <c r="A8249" s="49"/>
      <c r="B8249" s="49"/>
    </row>
    <row r="8250" spans="1:7" x14ac:dyDescent="0.2">
      <c r="A8250" s="49"/>
      <c r="B8250" s="49"/>
    </row>
    <row r="8251" spans="1:7" x14ac:dyDescent="0.2">
      <c r="A8251" s="49"/>
      <c r="B8251" s="49"/>
    </row>
    <row r="8252" spans="1:7" x14ac:dyDescent="0.2">
      <c r="A8252" s="49"/>
      <c r="B8252" s="49"/>
    </row>
    <row r="8253" spans="1:7" x14ac:dyDescent="0.2">
      <c r="A8253" s="49"/>
      <c r="B8253" s="49"/>
    </row>
    <row r="8254" spans="1:7" x14ac:dyDescent="0.2">
      <c r="A8254" s="49"/>
      <c r="B8254" s="49"/>
    </row>
    <row r="8255" spans="1:7" x14ac:dyDescent="0.2">
      <c r="A8255" s="49"/>
      <c r="B8255" s="49"/>
    </row>
    <row r="8256" spans="1:7" x14ac:dyDescent="0.2">
      <c r="A8256" s="49"/>
      <c r="B8256" s="49"/>
    </row>
    <row r="8257" spans="1:2" x14ac:dyDescent="0.2">
      <c r="A8257" s="49"/>
      <c r="B8257" s="49"/>
    </row>
    <row r="8258" spans="1:2" x14ac:dyDescent="0.2">
      <c r="A8258" s="49"/>
      <c r="B8258" s="49"/>
    </row>
    <row r="8259" spans="1:2" x14ac:dyDescent="0.2">
      <c r="A8259" s="49"/>
      <c r="B8259" s="49"/>
    </row>
    <row r="8260" spans="1:2" x14ac:dyDescent="0.2">
      <c r="A8260" s="49"/>
      <c r="B8260" s="49"/>
    </row>
    <row r="8261" spans="1:2" x14ac:dyDescent="0.2">
      <c r="A8261" s="49"/>
      <c r="B8261" s="49"/>
    </row>
    <row r="8262" spans="1:2" x14ac:dyDescent="0.2">
      <c r="A8262" s="49"/>
      <c r="B8262" s="49"/>
    </row>
    <row r="8263" spans="1:2" x14ac:dyDescent="0.2">
      <c r="A8263" s="49"/>
      <c r="B8263" s="49"/>
    </row>
    <row r="8264" spans="1:2" x14ac:dyDescent="0.2">
      <c r="A8264" s="49"/>
      <c r="B8264" s="49"/>
    </row>
    <row r="8265" spans="1:2" x14ac:dyDescent="0.2">
      <c r="A8265" s="49"/>
      <c r="B8265" s="49"/>
    </row>
    <row r="8266" spans="1:2" x14ac:dyDescent="0.2">
      <c r="A8266" s="49"/>
      <c r="B8266" s="49"/>
    </row>
    <row r="8267" spans="1:2" x14ac:dyDescent="0.2">
      <c r="A8267" s="49"/>
      <c r="B8267" s="49"/>
    </row>
    <row r="8268" spans="1:2" x14ac:dyDescent="0.2">
      <c r="A8268" s="49"/>
      <c r="B8268" s="49"/>
    </row>
    <row r="8269" spans="1:2" x14ac:dyDescent="0.2">
      <c r="A8269" s="49"/>
      <c r="B8269" s="49"/>
    </row>
    <row r="8270" spans="1:2" x14ac:dyDescent="0.2">
      <c r="A8270" s="49"/>
      <c r="B8270" s="49"/>
    </row>
    <row r="8271" spans="1:2" x14ac:dyDescent="0.2">
      <c r="A8271" s="49"/>
      <c r="B8271" s="49"/>
    </row>
    <row r="8272" spans="1:2" x14ac:dyDescent="0.2">
      <c r="A8272" s="49"/>
      <c r="B8272" s="49"/>
    </row>
    <row r="8273" spans="1:7" x14ac:dyDescent="0.2">
      <c r="A8273" s="49"/>
      <c r="B8273" s="49"/>
    </row>
    <row r="8274" spans="1:7" x14ac:dyDescent="0.2">
      <c r="A8274" s="49"/>
      <c r="B8274" s="49"/>
    </row>
    <row r="8275" spans="1:7" x14ac:dyDescent="0.2">
      <c r="A8275" s="49"/>
      <c r="B8275" s="49"/>
    </row>
    <row r="8276" spans="1:7" x14ac:dyDescent="0.2">
      <c r="A8276" s="49"/>
      <c r="B8276" s="49"/>
    </row>
    <row r="8277" spans="1:7" x14ac:dyDescent="0.2">
      <c r="A8277" s="49"/>
      <c r="B8277" s="49"/>
    </row>
    <row r="8278" spans="1:7" x14ac:dyDescent="0.2">
      <c r="A8278" s="49"/>
      <c r="B8278" s="49"/>
    </row>
    <row r="8279" spans="1:7" x14ac:dyDescent="0.2">
      <c r="A8279" s="49"/>
      <c r="B8279" s="49"/>
    </row>
    <row r="8280" spans="1:7" x14ac:dyDescent="0.2">
      <c r="A8280" s="49"/>
      <c r="B8280" s="49"/>
      <c r="C8280" s="49"/>
      <c r="D8280" s="49"/>
      <c r="E8280" s="49"/>
      <c r="F8280" s="49"/>
      <c r="G8280" s="49"/>
    </row>
    <row r="8281" spans="1:7" x14ac:dyDescent="0.2">
      <c r="A8281" s="49"/>
      <c r="B8281" s="49"/>
    </row>
    <row r="8282" spans="1:7" x14ac:dyDescent="0.2">
      <c r="A8282" s="49"/>
      <c r="B8282" s="49"/>
    </row>
    <row r="8283" spans="1:7" x14ac:dyDescent="0.2">
      <c r="A8283" s="49"/>
      <c r="B8283" s="49"/>
    </row>
    <row r="8284" spans="1:7" x14ac:dyDescent="0.2">
      <c r="A8284" s="49"/>
      <c r="B8284" s="49"/>
    </row>
    <row r="8285" spans="1:7" x14ac:dyDescent="0.2">
      <c r="A8285" s="49"/>
      <c r="B8285" s="49"/>
    </row>
    <row r="8286" spans="1:7" x14ac:dyDescent="0.2">
      <c r="A8286" s="49"/>
      <c r="B8286" s="49"/>
    </row>
    <row r="8287" spans="1:7" x14ac:dyDescent="0.2">
      <c r="A8287" s="49"/>
      <c r="B8287" s="49"/>
    </row>
    <row r="8288" spans="1:7" x14ac:dyDescent="0.2">
      <c r="A8288" s="49"/>
      <c r="B8288" s="49"/>
    </row>
    <row r="8289" spans="1:2" x14ac:dyDescent="0.2">
      <c r="A8289" s="49"/>
      <c r="B8289" s="49"/>
    </row>
    <row r="8290" spans="1:2" x14ac:dyDescent="0.2">
      <c r="A8290" s="49"/>
      <c r="B8290" s="49"/>
    </row>
    <row r="8291" spans="1:2" x14ac:dyDescent="0.2">
      <c r="A8291" s="49"/>
      <c r="B8291" s="49"/>
    </row>
    <row r="8292" spans="1:2" x14ac:dyDescent="0.2">
      <c r="A8292" s="49"/>
      <c r="B8292" s="49"/>
    </row>
    <row r="8293" spans="1:2" x14ac:dyDescent="0.2">
      <c r="A8293" s="49"/>
      <c r="B8293" s="49"/>
    </row>
    <row r="8294" spans="1:2" x14ac:dyDescent="0.2">
      <c r="A8294" s="49"/>
      <c r="B8294" s="49"/>
    </row>
    <row r="8295" spans="1:2" x14ac:dyDescent="0.2">
      <c r="A8295" s="49"/>
      <c r="B8295" s="49"/>
    </row>
    <row r="8296" spans="1:2" x14ac:dyDescent="0.2">
      <c r="A8296" s="49"/>
      <c r="B8296" s="49"/>
    </row>
    <row r="8297" spans="1:2" x14ac:dyDescent="0.2">
      <c r="A8297" s="49"/>
      <c r="B8297" s="49"/>
    </row>
    <row r="8298" spans="1:2" x14ac:dyDescent="0.2">
      <c r="A8298" s="49"/>
      <c r="B8298" s="49"/>
    </row>
    <row r="8299" spans="1:2" x14ac:dyDescent="0.2">
      <c r="A8299" s="49"/>
      <c r="B8299" s="49"/>
    </row>
    <row r="8300" spans="1:2" x14ac:dyDescent="0.2">
      <c r="A8300" s="49"/>
      <c r="B8300" s="49"/>
    </row>
    <row r="8301" spans="1:2" x14ac:dyDescent="0.2">
      <c r="A8301" s="49"/>
      <c r="B8301" s="49"/>
    </row>
    <row r="8302" spans="1:2" x14ac:dyDescent="0.2">
      <c r="A8302" s="49"/>
      <c r="B8302" s="49"/>
    </row>
    <row r="8303" spans="1:2" x14ac:dyDescent="0.2">
      <c r="A8303" s="49"/>
      <c r="B8303" s="49"/>
    </row>
    <row r="8304" spans="1:2" x14ac:dyDescent="0.2">
      <c r="A8304" s="49"/>
      <c r="B8304" s="49"/>
    </row>
    <row r="8305" spans="1:7" x14ac:dyDescent="0.2">
      <c r="A8305" s="49"/>
      <c r="B8305" s="49"/>
      <c r="C8305" s="49"/>
      <c r="D8305" s="49"/>
      <c r="E8305" s="49"/>
      <c r="F8305" s="49"/>
      <c r="G8305" s="49"/>
    </row>
    <row r="8306" spans="1:7" x14ac:dyDescent="0.2">
      <c r="A8306" s="49"/>
      <c r="B8306" s="49"/>
    </row>
    <row r="8307" spans="1:7" x14ac:dyDescent="0.2">
      <c r="A8307" s="49"/>
      <c r="B8307" s="49"/>
    </row>
    <row r="8308" spans="1:7" x14ac:dyDescent="0.2">
      <c r="A8308" s="49"/>
      <c r="B8308" s="49"/>
    </row>
    <row r="8309" spans="1:7" x14ac:dyDescent="0.2">
      <c r="A8309" s="49"/>
      <c r="B8309" s="49"/>
    </row>
    <row r="8310" spans="1:7" x14ac:dyDescent="0.2">
      <c r="A8310" s="49"/>
      <c r="B8310" s="49"/>
    </row>
    <row r="8311" spans="1:7" x14ac:dyDescent="0.2">
      <c r="A8311" s="49"/>
      <c r="B8311" s="49"/>
    </row>
    <row r="8312" spans="1:7" x14ac:dyDescent="0.2">
      <c r="A8312" s="49"/>
      <c r="B8312" s="49"/>
    </row>
    <row r="8313" spans="1:7" x14ac:dyDescent="0.2">
      <c r="A8313" s="49"/>
      <c r="B8313" s="49"/>
    </row>
    <row r="8314" spans="1:7" x14ac:dyDescent="0.2">
      <c r="A8314" s="49"/>
      <c r="B8314" s="49"/>
    </row>
    <row r="8315" spans="1:7" x14ac:dyDescent="0.2">
      <c r="A8315" s="49"/>
      <c r="B8315" s="49"/>
    </row>
    <row r="8316" spans="1:7" x14ac:dyDescent="0.2">
      <c r="A8316" s="49"/>
      <c r="B8316" s="49"/>
    </row>
    <row r="8318" spans="1:7" x14ac:dyDescent="0.2">
      <c r="A8318" s="49"/>
      <c r="B8318" s="49"/>
    </row>
    <row r="8320" spans="1:7" x14ac:dyDescent="0.2">
      <c r="A8320" s="49"/>
      <c r="B8320" s="49"/>
    </row>
    <row r="8322" spans="1:7" x14ac:dyDescent="0.2">
      <c r="A8322" s="49"/>
      <c r="B8322" s="49"/>
    </row>
    <row r="8324" spans="1:7" x14ac:dyDescent="0.2">
      <c r="A8324" s="49"/>
      <c r="B8324" s="49"/>
    </row>
    <row r="8325" spans="1:7" x14ac:dyDescent="0.2">
      <c r="A8325" s="49"/>
      <c r="B8325" s="49"/>
    </row>
    <row r="8326" spans="1:7" x14ac:dyDescent="0.2">
      <c r="A8326" s="49"/>
      <c r="B8326" s="49"/>
    </row>
    <row r="8327" spans="1:7" x14ac:dyDescent="0.2">
      <c r="A8327" s="49"/>
      <c r="B8327" s="49"/>
    </row>
    <row r="8328" spans="1:7" x14ac:dyDescent="0.2">
      <c r="A8328" s="49"/>
      <c r="B8328" s="49"/>
    </row>
    <row r="8329" spans="1:7" x14ac:dyDescent="0.2">
      <c r="A8329" s="49"/>
      <c r="B8329" s="49"/>
    </row>
    <row r="8330" spans="1:7" x14ac:dyDescent="0.2">
      <c r="A8330" s="49"/>
      <c r="B8330" s="49"/>
    </row>
    <row r="8333" spans="1:7" x14ac:dyDescent="0.2">
      <c r="A8333" s="49"/>
      <c r="B8333" s="49"/>
      <c r="C8333" s="49"/>
      <c r="D8333" s="49"/>
      <c r="E8333" s="49"/>
      <c r="F8333" s="49"/>
      <c r="G8333" s="49"/>
    </row>
    <row r="8334" spans="1:7" x14ac:dyDescent="0.2">
      <c r="A8334" s="49"/>
      <c r="B8334" s="49"/>
    </row>
    <row r="8336" spans="1:7" x14ac:dyDescent="0.2">
      <c r="A8336" s="49"/>
      <c r="B8336" s="49"/>
    </row>
    <row r="8337" spans="1:7" x14ac:dyDescent="0.2">
      <c r="A8337" s="49"/>
      <c r="B8337" s="49"/>
    </row>
    <row r="8338" spans="1:7" x14ac:dyDescent="0.2">
      <c r="A8338" s="49"/>
      <c r="B8338" s="49"/>
    </row>
    <row r="8344" spans="1:7" x14ac:dyDescent="0.2">
      <c r="A8344" s="49"/>
      <c r="B8344" s="49"/>
      <c r="C8344" s="49"/>
      <c r="D8344" s="49"/>
      <c r="E8344" s="49"/>
      <c r="F8344" s="49"/>
      <c r="G8344" s="49"/>
    </row>
    <row r="8352" spans="1:7" x14ac:dyDescent="0.2">
      <c r="A8352" s="49"/>
      <c r="B8352" s="49"/>
    </row>
    <row r="8353" spans="1:2" x14ac:dyDescent="0.2">
      <c r="A8353" s="49"/>
      <c r="B8353" s="49"/>
    </row>
    <row r="8354" spans="1:2" x14ac:dyDescent="0.2">
      <c r="A8354" s="49"/>
      <c r="B8354" s="49"/>
    </row>
    <row r="8360" spans="1:2" x14ac:dyDescent="0.2">
      <c r="A8360" s="49"/>
      <c r="B8360" s="49"/>
    </row>
    <row r="8364" spans="1:2" x14ac:dyDescent="0.2">
      <c r="A8364" s="49"/>
      <c r="B8364" s="49"/>
    </row>
    <row r="8365" spans="1:2" x14ac:dyDescent="0.2">
      <c r="A8365" s="49"/>
      <c r="B8365" s="49"/>
    </row>
    <row r="8366" spans="1:2" x14ac:dyDescent="0.2">
      <c r="A8366" s="49"/>
      <c r="B8366" s="49"/>
    </row>
    <row r="8370" spans="1:7" x14ac:dyDescent="0.2">
      <c r="A8370" s="49"/>
      <c r="B8370" s="49"/>
    </row>
    <row r="8371" spans="1:7" x14ac:dyDescent="0.2">
      <c r="A8371" s="49"/>
      <c r="B8371" s="49"/>
    </row>
    <row r="8374" spans="1:7" x14ac:dyDescent="0.2">
      <c r="A8374" s="49"/>
      <c r="B8374" s="49"/>
    </row>
    <row r="8376" spans="1:7" x14ac:dyDescent="0.2">
      <c r="A8376" s="49"/>
      <c r="B8376" s="49"/>
    </row>
    <row r="8377" spans="1:7" x14ac:dyDescent="0.2">
      <c r="A8377" s="49"/>
      <c r="B8377" s="49"/>
    </row>
    <row r="8380" spans="1:7" x14ac:dyDescent="0.2">
      <c r="A8380" s="49"/>
      <c r="B8380" s="49"/>
    </row>
    <row r="8382" spans="1:7" x14ac:dyDescent="0.2">
      <c r="A8382" s="49"/>
      <c r="B8382" s="49"/>
      <c r="C8382" s="49"/>
      <c r="D8382" s="49"/>
      <c r="E8382" s="49"/>
      <c r="F8382" s="49"/>
      <c r="G8382" s="49"/>
    </row>
    <row r="8383" spans="1:7" x14ac:dyDescent="0.2">
      <c r="A8383" s="49"/>
      <c r="B8383" s="49"/>
      <c r="C8383" s="49"/>
      <c r="D8383" s="49"/>
      <c r="E8383" s="49"/>
      <c r="F8383" s="49"/>
      <c r="G8383" s="49"/>
    </row>
    <row r="8384" spans="1:7" x14ac:dyDescent="0.2">
      <c r="A8384" s="49"/>
      <c r="B8384" s="49"/>
      <c r="C8384" s="49"/>
      <c r="D8384" s="49"/>
      <c r="E8384" s="49"/>
      <c r="F8384" s="49"/>
      <c r="G8384" s="49"/>
    </row>
    <row r="8385" spans="1:2" x14ac:dyDescent="0.2">
      <c r="A8385" s="49"/>
      <c r="B8385" s="49"/>
    </row>
    <row r="8391" spans="1:2" x14ac:dyDescent="0.2">
      <c r="A8391" s="49"/>
      <c r="B8391" s="49"/>
    </row>
    <row r="8412" spans="1:7" x14ac:dyDescent="0.2">
      <c r="A8412" s="49"/>
      <c r="B8412" s="49"/>
      <c r="C8412" s="49"/>
      <c r="D8412" s="49"/>
      <c r="E8412" s="49"/>
      <c r="F8412" s="49"/>
      <c r="G8412" s="49"/>
    </row>
    <row r="8433" spans="1:2" x14ac:dyDescent="0.2">
      <c r="A8433" s="49"/>
      <c r="B8433" s="49"/>
    </row>
    <row r="8439" spans="1:2" x14ac:dyDescent="0.2">
      <c r="A8439" s="49"/>
      <c r="B8439" s="49"/>
    </row>
    <row r="8440" spans="1:2" x14ac:dyDescent="0.2">
      <c r="A8440" s="49"/>
      <c r="B8440" s="49"/>
    </row>
    <row r="8456" spans="1:7" x14ac:dyDescent="0.2">
      <c r="A8456" s="49"/>
      <c r="B8456" s="49"/>
    </row>
    <row r="8457" spans="1:7" x14ac:dyDescent="0.2">
      <c r="A8457" s="49"/>
      <c r="B8457" s="49"/>
      <c r="C8457" s="49"/>
      <c r="D8457" s="49"/>
      <c r="E8457" s="49"/>
      <c r="F8457" s="49"/>
      <c r="G8457" s="49"/>
    </row>
    <row r="8461" spans="1:7" x14ac:dyDescent="0.2">
      <c r="A8461" s="49"/>
      <c r="B8461" s="49"/>
    </row>
    <row r="8465" spans="1:7" x14ac:dyDescent="0.2">
      <c r="A8465" s="49"/>
      <c r="B8465" s="49"/>
      <c r="C8465" s="49"/>
      <c r="D8465" s="49"/>
      <c r="E8465" s="49"/>
      <c r="F8465" s="49"/>
      <c r="G8465" s="49"/>
    </row>
    <row r="8466" spans="1:7" x14ac:dyDescent="0.2">
      <c r="A8466" s="49"/>
      <c r="B8466" s="49"/>
      <c r="C8466" s="49"/>
      <c r="D8466" s="49"/>
      <c r="E8466" s="49"/>
      <c r="F8466" s="49"/>
      <c r="G8466" s="49"/>
    </row>
    <row r="8467" spans="1:7" x14ac:dyDescent="0.2">
      <c r="A8467" s="49"/>
      <c r="B8467" s="49"/>
      <c r="C8467" s="49"/>
      <c r="D8467" s="49"/>
      <c r="E8467" s="49"/>
      <c r="F8467" s="49"/>
      <c r="G8467" s="49"/>
    </row>
    <row r="8485" spans="1:7" x14ac:dyDescent="0.2">
      <c r="A8485" s="49"/>
      <c r="B8485" s="49"/>
      <c r="C8485" s="49"/>
      <c r="D8485" s="49"/>
      <c r="E8485" s="49"/>
      <c r="F8485" s="49"/>
      <c r="G8485" s="49"/>
    </row>
    <row r="8506" spans="1:2" x14ac:dyDescent="0.2">
      <c r="A8506" s="49"/>
      <c r="B8506" s="49"/>
    </row>
    <row r="8510" spans="1:2" x14ac:dyDescent="0.2">
      <c r="A8510" s="49"/>
      <c r="B8510" s="49"/>
    </row>
    <row r="8512" spans="1:2" x14ac:dyDescent="0.2">
      <c r="A8512" s="49"/>
      <c r="B8512" s="49"/>
    </row>
    <row r="8518" spans="1:7" x14ac:dyDescent="0.2">
      <c r="A8518" s="49"/>
      <c r="B8518" s="49"/>
      <c r="C8518" s="49"/>
      <c r="D8518" s="49"/>
      <c r="E8518" s="49"/>
      <c r="F8518" s="49"/>
      <c r="G8518" s="49"/>
    </row>
    <row r="8520" spans="1:7" x14ac:dyDescent="0.2">
      <c r="A8520" s="49"/>
      <c r="B8520" s="49"/>
    </row>
    <row r="8521" spans="1:7" x14ac:dyDescent="0.2">
      <c r="A8521" s="49"/>
      <c r="B8521" s="49"/>
    </row>
    <row r="8522" spans="1:7" x14ac:dyDescent="0.2">
      <c r="A8522" s="49"/>
      <c r="B8522" s="49"/>
    </row>
    <row r="8523" spans="1:7" x14ac:dyDescent="0.2">
      <c r="A8523" s="49"/>
      <c r="B8523" s="49"/>
    </row>
    <row r="8524" spans="1:7" x14ac:dyDescent="0.2">
      <c r="A8524" s="49"/>
      <c r="B8524" s="49"/>
    </row>
    <row r="8525" spans="1:7" x14ac:dyDescent="0.2">
      <c r="A8525" s="49"/>
      <c r="B8525" s="49"/>
    </row>
    <row r="8526" spans="1:7" x14ac:dyDescent="0.2">
      <c r="A8526" s="49"/>
      <c r="B8526" s="49"/>
    </row>
    <row r="8527" spans="1:7" x14ac:dyDescent="0.2">
      <c r="A8527" s="49"/>
      <c r="B8527" s="49"/>
    </row>
    <row r="8528" spans="1:7" x14ac:dyDescent="0.2">
      <c r="A8528" s="49"/>
      <c r="B8528" s="49"/>
    </row>
    <row r="8529" spans="1:2" x14ac:dyDescent="0.2">
      <c r="A8529" s="49"/>
      <c r="B8529" s="49"/>
    </row>
    <row r="8530" spans="1:2" x14ac:dyDescent="0.2">
      <c r="A8530" s="49"/>
      <c r="B8530" s="49"/>
    </row>
    <row r="8531" spans="1:2" x14ac:dyDescent="0.2">
      <c r="A8531" s="49"/>
      <c r="B8531" s="49"/>
    </row>
    <row r="8532" spans="1:2" x14ac:dyDescent="0.2">
      <c r="A8532" s="49"/>
      <c r="B8532" s="49"/>
    </row>
    <row r="8533" spans="1:2" x14ac:dyDescent="0.2">
      <c r="A8533" s="49"/>
      <c r="B8533" s="49"/>
    </row>
    <row r="8534" spans="1:2" x14ac:dyDescent="0.2">
      <c r="A8534" s="49"/>
      <c r="B8534" s="49"/>
    </row>
    <row r="8535" spans="1:2" x14ac:dyDescent="0.2">
      <c r="A8535" s="49"/>
      <c r="B8535" s="49"/>
    </row>
    <row r="8536" spans="1:2" x14ac:dyDescent="0.2">
      <c r="A8536" s="49"/>
      <c r="B8536" s="49"/>
    </row>
    <row r="8537" spans="1:2" x14ac:dyDescent="0.2">
      <c r="A8537" s="49"/>
      <c r="B8537" s="49"/>
    </row>
    <row r="8538" spans="1:2" x14ac:dyDescent="0.2">
      <c r="A8538" s="49"/>
      <c r="B8538" s="49"/>
    </row>
    <row r="8539" spans="1:2" x14ac:dyDescent="0.2">
      <c r="A8539" s="49"/>
      <c r="B8539" s="49"/>
    </row>
    <row r="8540" spans="1:2" x14ac:dyDescent="0.2">
      <c r="A8540" s="49"/>
      <c r="B8540" s="49"/>
    </row>
    <row r="8541" spans="1:2" x14ac:dyDescent="0.2">
      <c r="A8541" s="49"/>
      <c r="B8541" s="49"/>
    </row>
    <row r="8542" spans="1:2" x14ac:dyDescent="0.2">
      <c r="A8542" s="49"/>
      <c r="B8542" s="49"/>
    </row>
    <row r="8543" spans="1:2" x14ac:dyDescent="0.2">
      <c r="A8543" s="49"/>
      <c r="B8543" s="49"/>
    </row>
    <row r="8544" spans="1:2" x14ac:dyDescent="0.2">
      <c r="A8544" s="49"/>
      <c r="B8544" s="49"/>
    </row>
    <row r="8545" spans="1:2" x14ac:dyDescent="0.2">
      <c r="A8545" s="49"/>
      <c r="B8545" s="49"/>
    </row>
    <row r="8546" spans="1:2" x14ac:dyDescent="0.2">
      <c r="A8546" s="49"/>
      <c r="B8546" s="49"/>
    </row>
    <row r="8547" spans="1:2" x14ac:dyDescent="0.2">
      <c r="A8547" s="49"/>
      <c r="B8547" s="49"/>
    </row>
    <row r="8548" spans="1:2" x14ac:dyDescent="0.2">
      <c r="A8548" s="49"/>
      <c r="B8548" s="49"/>
    </row>
    <row r="8549" spans="1:2" x14ac:dyDescent="0.2">
      <c r="A8549" s="49"/>
      <c r="B8549" s="49"/>
    </row>
    <row r="8550" spans="1:2" x14ac:dyDescent="0.2">
      <c r="A8550" s="49"/>
      <c r="B8550" s="49"/>
    </row>
    <row r="8551" spans="1:2" x14ac:dyDescent="0.2">
      <c r="A8551" s="49"/>
      <c r="B8551" s="49"/>
    </row>
    <row r="8552" spans="1:2" x14ac:dyDescent="0.2">
      <c r="A8552" s="49"/>
      <c r="B8552" s="49"/>
    </row>
    <row r="8553" spans="1:2" x14ac:dyDescent="0.2">
      <c r="A8553" s="49"/>
      <c r="B8553" s="49"/>
    </row>
    <row r="8554" spans="1:2" x14ac:dyDescent="0.2">
      <c r="A8554" s="49"/>
      <c r="B8554" s="49"/>
    </row>
    <row r="8555" spans="1:2" x14ac:dyDescent="0.2">
      <c r="A8555" s="49"/>
      <c r="B8555" s="49"/>
    </row>
    <row r="8556" spans="1:2" x14ac:dyDescent="0.2">
      <c r="A8556" s="49"/>
      <c r="B8556" s="49"/>
    </row>
    <row r="8557" spans="1:2" x14ac:dyDescent="0.2">
      <c r="A8557" s="49"/>
      <c r="B8557" s="49"/>
    </row>
    <row r="8558" spans="1:2" x14ac:dyDescent="0.2">
      <c r="A8558" s="49"/>
      <c r="B8558" s="49"/>
    </row>
    <row r="8559" spans="1:2" x14ac:dyDescent="0.2">
      <c r="A8559" s="49"/>
      <c r="B8559" s="49"/>
    </row>
    <row r="8560" spans="1:2" x14ac:dyDescent="0.2">
      <c r="A8560" s="49"/>
      <c r="B8560" s="49"/>
    </row>
    <row r="8561" spans="1:2" x14ac:dyDescent="0.2">
      <c r="A8561" s="49"/>
      <c r="B8561" s="49"/>
    </row>
    <row r="8562" spans="1:2" x14ac:dyDescent="0.2">
      <c r="A8562" s="49"/>
      <c r="B8562" s="49"/>
    </row>
    <row r="8563" spans="1:2" x14ac:dyDescent="0.2">
      <c r="A8563" s="49"/>
      <c r="B8563" s="49"/>
    </row>
    <row r="8564" spans="1:2" x14ac:dyDescent="0.2">
      <c r="A8564" s="49"/>
      <c r="B8564" s="49"/>
    </row>
    <row r="8565" spans="1:2" x14ac:dyDescent="0.2">
      <c r="A8565" s="49"/>
      <c r="B8565" s="49"/>
    </row>
    <row r="8566" spans="1:2" x14ac:dyDescent="0.2">
      <c r="A8566" s="49"/>
      <c r="B8566" s="49"/>
    </row>
    <row r="8567" spans="1:2" x14ac:dyDescent="0.2">
      <c r="A8567" s="49"/>
      <c r="B8567" s="49"/>
    </row>
    <row r="8568" spans="1:2" x14ac:dyDescent="0.2">
      <c r="A8568" s="49"/>
      <c r="B8568" s="49"/>
    </row>
    <row r="8569" spans="1:2" x14ac:dyDescent="0.2">
      <c r="A8569" s="49"/>
      <c r="B8569" s="49"/>
    </row>
    <row r="8717" spans="1:2" x14ac:dyDescent="0.2">
      <c r="A8717" s="49"/>
      <c r="B8717" s="49"/>
    </row>
    <row r="8718" spans="1:2" x14ac:dyDescent="0.2">
      <c r="A8718" s="49"/>
      <c r="B8718" s="49"/>
    </row>
    <row r="8719" spans="1:2" x14ac:dyDescent="0.2">
      <c r="A8719" s="49"/>
      <c r="B8719" s="49"/>
    </row>
    <row r="8760" spans="1:2" x14ac:dyDescent="0.2">
      <c r="A8760" s="49"/>
      <c r="B8760" s="49"/>
    </row>
    <row r="8761" spans="1:2" x14ac:dyDescent="0.2">
      <c r="A8761" s="49"/>
      <c r="B8761" s="49"/>
    </row>
    <row r="8819" spans="1:2" x14ac:dyDescent="0.2">
      <c r="A8819" s="49"/>
      <c r="B8819" s="49"/>
    </row>
    <row r="8838" spans="1:7" x14ac:dyDescent="0.2">
      <c r="A8838" s="49"/>
      <c r="B8838" s="49"/>
      <c r="C8838" s="49"/>
      <c r="D8838" s="49"/>
      <c r="E8838" s="49"/>
      <c r="F8838" s="49"/>
      <c r="G8838" s="49"/>
    </row>
    <row r="8854" spans="1:2" x14ac:dyDescent="0.2">
      <c r="A8854" s="49"/>
      <c r="B8854" s="49"/>
    </row>
    <row r="8855" spans="1:2" x14ac:dyDescent="0.2">
      <c r="A8855" s="49"/>
      <c r="B8855" s="49"/>
    </row>
    <row r="8876" spans="1:7" x14ac:dyDescent="0.2">
      <c r="A8876" s="49"/>
      <c r="B8876" s="49"/>
      <c r="C8876" s="49"/>
      <c r="D8876" s="49"/>
      <c r="E8876" s="49"/>
      <c r="F8876" s="49"/>
      <c r="G8876" s="49"/>
    </row>
    <row r="8879" spans="1:7" x14ac:dyDescent="0.2">
      <c r="A8879" s="49"/>
      <c r="B8879" s="49"/>
      <c r="C8879" s="49"/>
      <c r="D8879" s="49"/>
      <c r="E8879" s="49"/>
      <c r="F8879" s="49"/>
      <c r="G8879" s="49"/>
    </row>
    <row r="8964" spans="1:2" x14ac:dyDescent="0.2">
      <c r="A8964" s="49"/>
      <c r="B8964" s="49"/>
    </row>
    <row r="8965" spans="1:2" x14ac:dyDescent="0.2">
      <c r="A8965" s="49"/>
      <c r="B8965" s="49"/>
    </row>
    <row r="8966" spans="1:2" x14ac:dyDescent="0.2">
      <c r="A8966" s="49"/>
      <c r="B8966" s="49"/>
    </row>
    <row r="8968" spans="1:2" x14ac:dyDescent="0.2">
      <c r="A8968" s="49"/>
      <c r="B8968" s="49"/>
    </row>
    <row r="8985" spans="1:2" x14ac:dyDescent="0.2">
      <c r="A8985" s="49"/>
      <c r="B8985" s="49"/>
    </row>
    <row r="9012" spans="1:2" x14ac:dyDescent="0.2">
      <c r="A9012" s="49"/>
      <c r="B9012" s="49"/>
    </row>
    <row r="9066" spans="1:2" x14ac:dyDescent="0.2">
      <c r="A9066" s="49"/>
      <c r="B9066" s="49"/>
    </row>
    <row r="9074" spans="1:2" x14ac:dyDescent="0.2">
      <c r="A9074" s="49"/>
      <c r="B9074" s="49"/>
    </row>
    <row r="9075" spans="1:2" x14ac:dyDescent="0.2">
      <c r="A9075" s="49"/>
      <c r="B9075" s="49"/>
    </row>
    <row r="9081" spans="1:2" x14ac:dyDescent="0.2">
      <c r="A9081" s="49"/>
      <c r="B9081" s="49"/>
    </row>
    <row r="9087" spans="1:2" x14ac:dyDescent="0.2">
      <c r="A9087" s="49"/>
      <c r="B9087" s="49"/>
    </row>
    <row r="9088" spans="1:2" x14ac:dyDescent="0.2">
      <c r="A9088" s="49"/>
      <c r="B9088" s="49"/>
    </row>
    <row r="9123" spans="1:2" x14ac:dyDescent="0.2">
      <c r="A9123" s="49"/>
      <c r="B9123" s="49"/>
    </row>
    <row r="9124" spans="1:2" x14ac:dyDescent="0.2">
      <c r="A9124" s="49"/>
      <c r="B9124" s="49"/>
    </row>
    <row r="9125" spans="1:2" x14ac:dyDescent="0.2">
      <c r="A9125" s="49"/>
      <c r="B9125" s="49"/>
    </row>
    <row r="9159" spans="1:2" x14ac:dyDescent="0.2">
      <c r="A9159" s="49"/>
      <c r="B9159" s="49"/>
    </row>
    <row r="9162" spans="1:2" x14ac:dyDescent="0.2">
      <c r="A9162" s="49"/>
      <c r="B9162" s="49"/>
    </row>
    <row r="9163" spans="1:2" x14ac:dyDescent="0.2">
      <c r="A9163" s="49"/>
      <c r="B9163" s="49"/>
    </row>
    <row r="9164" spans="1:2" x14ac:dyDescent="0.2">
      <c r="A9164" s="49"/>
      <c r="B9164" s="49"/>
    </row>
    <row r="9175" spans="1:2" x14ac:dyDescent="0.2">
      <c r="A9175" s="49"/>
      <c r="B9175" s="49"/>
    </row>
    <row r="9176" spans="1:2" x14ac:dyDescent="0.2">
      <c r="A9176" s="49"/>
      <c r="B9176" s="49"/>
    </row>
    <row r="9189" spans="1:2" x14ac:dyDescent="0.2">
      <c r="A9189" s="49"/>
      <c r="B9189" s="49"/>
    </row>
    <row r="9190" spans="1:2" x14ac:dyDescent="0.2">
      <c r="A9190" s="49"/>
      <c r="B9190" s="49"/>
    </row>
    <row r="9194" spans="1:2" x14ac:dyDescent="0.2">
      <c r="A9194" s="49"/>
      <c r="B9194" s="49"/>
    </row>
    <row r="9198" spans="1:2" x14ac:dyDescent="0.2">
      <c r="A9198" s="49"/>
      <c r="B9198" s="49"/>
    </row>
    <row r="9200" spans="1:2" x14ac:dyDescent="0.2">
      <c r="A9200" s="49"/>
      <c r="B9200" s="49"/>
    </row>
    <row r="9202" spans="1:2" x14ac:dyDescent="0.2">
      <c r="A9202" s="49"/>
      <c r="B9202" s="49"/>
    </row>
    <row r="9204" spans="1:2" x14ac:dyDescent="0.2">
      <c r="A9204" s="49"/>
      <c r="B9204" s="49"/>
    </row>
    <row r="9205" spans="1:2" x14ac:dyDescent="0.2">
      <c r="A9205" s="49"/>
      <c r="B9205" s="49"/>
    </row>
    <row r="9206" spans="1:2" x14ac:dyDescent="0.2">
      <c r="A9206" s="49"/>
      <c r="B9206" s="49"/>
    </row>
    <row r="9210" spans="1:2" x14ac:dyDescent="0.2">
      <c r="A9210" s="49"/>
      <c r="B9210" s="49"/>
    </row>
    <row r="9211" spans="1:2" x14ac:dyDescent="0.2">
      <c r="A9211" s="49"/>
      <c r="B9211" s="49"/>
    </row>
    <row r="9212" spans="1:2" x14ac:dyDescent="0.2">
      <c r="A9212" s="49"/>
      <c r="B9212" s="49"/>
    </row>
    <row r="9218" spans="1:7" x14ac:dyDescent="0.2">
      <c r="A9218" s="49"/>
      <c r="B9218" s="49"/>
    </row>
    <row r="9219" spans="1:7" x14ac:dyDescent="0.2">
      <c r="A9219" s="49"/>
      <c r="B9219" s="49"/>
    </row>
    <row r="9220" spans="1:7" x14ac:dyDescent="0.2">
      <c r="A9220" s="49"/>
      <c r="B9220" s="49"/>
    </row>
    <row r="9222" spans="1:7" x14ac:dyDescent="0.2">
      <c r="A9222" s="49"/>
      <c r="B9222" s="49"/>
    </row>
    <row r="9223" spans="1:7" x14ac:dyDescent="0.2">
      <c r="A9223" s="49"/>
      <c r="B9223" s="49"/>
      <c r="C9223" s="49"/>
      <c r="D9223" s="49"/>
      <c r="E9223" s="49"/>
      <c r="F9223" s="49"/>
      <c r="G9223" s="49"/>
    </row>
    <row r="9224" spans="1:7" x14ac:dyDescent="0.2">
      <c r="A9224" s="49"/>
      <c r="B9224" s="49"/>
      <c r="C9224" s="49"/>
      <c r="D9224" s="49"/>
      <c r="E9224" s="49"/>
      <c r="F9224" s="49"/>
      <c r="G9224" s="49"/>
    </row>
    <row r="9225" spans="1:7" x14ac:dyDescent="0.2">
      <c r="A9225" s="49"/>
      <c r="B9225" s="49"/>
    </row>
    <row r="9226" spans="1:7" x14ac:dyDescent="0.2">
      <c r="A9226" s="49"/>
      <c r="B9226" s="49"/>
    </row>
    <row r="9230" spans="1:7" x14ac:dyDescent="0.2">
      <c r="A9230" s="49"/>
      <c r="B9230" s="49"/>
    </row>
    <row r="9234" spans="1:2" x14ac:dyDescent="0.2">
      <c r="A9234" s="49"/>
      <c r="B9234" s="49"/>
    </row>
    <row r="9236" spans="1:2" x14ac:dyDescent="0.2">
      <c r="A9236" s="49"/>
      <c r="B9236" s="49"/>
    </row>
    <row r="9237" spans="1:2" x14ac:dyDescent="0.2">
      <c r="A9237" s="49"/>
      <c r="B9237" s="49"/>
    </row>
    <row r="9238" spans="1:2" x14ac:dyDescent="0.2">
      <c r="A9238" s="49"/>
      <c r="B9238" s="49"/>
    </row>
    <row r="9244" spans="1:2" x14ac:dyDescent="0.2">
      <c r="A9244" s="49"/>
      <c r="B9244" s="49"/>
    </row>
    <row r="9246" spans="1:2" x14ac:dyDescent="0.2">
      <c r="A9246" s="49"/>
      <c r="B9246" s="49"/>
    </row>
    <row r="9248" spans="1:2" x14ac:dyDescent="0.2">
      <c r="A9248" s="49"/>
      <c r="B9248" s="49"/>
    </row>
    <row r="9249" spans="1:2" x14ac:dyDescent="0.2">
      <c r="A9249" s="49"/>
      <c r="B9249" s="49"/>
    </row>
    <row r="9250" spans="1:2" x14ac:dyDescent="0.2">
      <c r="A9250" s="49"/>
      <c r="B9250" s="49"/>
    </row>
    <row r="9254" spans="1:2" x14ac:dyDescent="0.2">
      <c r="A9254" s="49"/>
      <c r="B9254" s="49"/>
    </row>
    <row r="9268" spans="1:2" x14ac:dyDescent="0.2">
      <c r="A9268" s="49"/>
      <c r="B9268" s="49"/>
    </row>
    <row r="9270" spans="1:2" x14ac:dyDescent="0.2">
      <c r="A9270" s="49"/>
      <c r="B9270" s="49"/>
    </row>
    <row r="9271" spans="1:2" x14ac:dyDescent="0.2">
      <c r="A9271" s="49"/>
      <c r="B9271" s="49"/>
    </row>
    <row r="9272" spans="1:2" x14ac:dyDescent="0.2">
      <c r="A9272" s="49"/>
      <c r="B9272" s="49"/>
    </row>
    <row r="9278" spans="1:2" x14ac:dyDescent="0.2">
      <c r="A9278" s="49"/>
      <c r="B9278" s="49"/>
    </row>
    <row r="9280" spans="1:2" x14ac:dyDescent="0.2">
      <c r="A9280" s="49"/>
      <c r="B9280" s="49"/>
    </row>
    <row r="9282" spans="1:2" x14ac:dyDescent="0.2">
      <c r="A9282" s="49"/>
      <c r="B9282" s="49"/>
    </row>
    <row r="9283" spans="1:2" x14ac:dyDescent="0.2">
      <c r="A9283" s="49"/>
      <c r="B9283" s="49"/>
    </row>
    <row r="9296" spans="1:2" x14ac:dyDescent="0.2">
      <c r="A9296" s="49"/>
      <c r="B9296" s="49"/>
    </row>
    <row r="9354" spans="1:2" x14ac:dyDescent="0.2">
      <c r="A9354" s="49"/>
      <c r="B9354" s="49"/>
    </row>
    <row r="9355" spans="1:2" x14ac:dyDescent="0.2">
      <c r="A9355" s="49"/>
      <c r="B9355" s="49"/>
    </row>
    <row r="9356" spans="1:2" x14ac:dyDescent="0.2">
      <c r="A9356" s="49"/>
      <c r="B9356" s="49"/>
    </row>
    <row r="9357" spans="1:2" x14ac:dyDescent="0.2">
      <c r="A9357" s="49"/>
      <c r="B9357" s="49"/>
    </row>
    <row r="9358" spans="1:2" x14ac:dyDescent="0.2">
      <c r="A9358" s="49"/>
      <c r="B9358" s="49"/>
    </row>
    <row r="9359" spans="1:2" x14ac:dyDescent="0.2">
      <c r="A9359" s="49"/>
      <c r="B9359" s="49"/>
    </row>
    <row r="9360" spans="1:2" x14ac:dyDescent="0.2">
      <c r="A9360" s="49"/>
      <c r="B9360" s="49"/>
    </row>
    <row r="9361" spans="1:2" x14ac:dyDescent="0.2">
      <c r="A9361" s="49"/>
      <c r="B9361" s="49"/>
    </row>
    <row r="9362" spans="1:2" x14ac:dyDescent="0.2">
      <c r="A9362" s="49"/>
      <c r="B9362" s="49"/>
    </row>
    <row r="9363" spans="1:2" x14ac:dyDescent="0.2">
      <c r="A9363" s="49"/>
      <c r="B9363" s="49"/>
    </row>
    <row r="9364" spans="1:2" x14ac:dyDescent="0.2">
      <c r="A9364" s="49"/>
      <c r="B9364" s="49"/>
    </row>
    <row r="9365" spans="1:2" x14ac:dyDescent="0.2">
      <c r="A9365" s="49"/>
      <c r="B9365" s="49"/>
    </row>
    <row r="9366" spans="1:2" x14ac:dyDescent="0.2">
      <c r="A9366" s="49"/>
      <c r="B9366" s="49"/>
    </row>
    <row r="9367" spans="1:2" x14ac:dyDescent="0.2">
      <c r="A9367" s="49"/>
      <c r="B9367" s="49"/>
    </row>
    <row r="9368" spans="1:2" x14ac:dyDescent="0.2">
      <c r="A9368" s="49"/>
      <c r="B9368" s="49"/>
    </row>
    <row r="9369" spans="1:2" x14ac:dyDescent="0.2">
      <c r="A9369" s="49"/>
      <c r="B9369" s="49"/>
    </row>
    <row r="9370" spans="1:2" x14ac:dyDescent="0.2">
      <c r="A9370" s="49"/>
      <c r="B9370" s="49"/>
    </row>
    <row r="9371" spans="1:2" x14ac:dyDescent="0.2">
      <c r="A9371" s="49"/>
      <c r="B9371" s="49"/>
    </row>
    <row r="9372" spans="1:2" x14ac:dyDescent="0.2">
      <c r="A9372" s="49"/>
      <c r="B9372" s="49"/>
    </row>
    <row r="9373" spans="1:2" x14ac:dyDescent="0.2">
      <c r="A9373" s="49"/>
      <c r="B9373" s="49"/>
    </row>
    <row r="9374" spans="1:2" x14ac:dyDescent="0.2">
      <c r="A9374" s="49"/>
      <c r="B9374" s="49"/>
    </row>
    <row r="9375" spans="1:2" x14ac:dyDescent="0.2">
      <c r="A9375" s="49"/>
      <c r="B9375" s="49"/>
    </row>
    <row r="9376" spans="1:2" x14ac:dyDescent="0.2">
      <c r="A9376" s="49"/>
      <c r="B9376" s="49"/>
    </row>
    <row r="9377" spans="1:2" x14ac:dyDescent="0.2">
      <c r="A9377" s="49"/>
      <c r="B9377" s="49"/>
    </row>
    <row r="9378" spans="1:2" x14ac:dyDescent="0.2">
      <c r="A9378" s="49"/>
      <c r="B9378" s="49"/>
    </row>
    <row r="9379" spans="1:2" x14ac:dyDescent="0.2">
      <c r="A9379" s="49"/>
      <c r="B9379" s="49"/>
    </row>
    <row r="9380" spans="1:2" x14ac:dyDescent="0.2">
      <c r="A9380" s="49"/>
      <c r="B9380" s="49"/>
    </row>
    <row r="9381" spans="1:2" x14ac:dyDescent="0.2">
      <c r="A9381" s="49"/>
      <c r="B9381" s="49"/>
    </row>
    <row r="9382" spans="1:2" x14ac:dyDescent="0.2">
      <c r="A9382" s="49"/>
      <c r="B9382" s="49"/>
    </row>
    <row r="9383" spans="1:2" x14ac:dyDescent="0.2">
      <c r="A9383" s="49"/>
      <c r="B9383" s="49"/>
    </row>
    <row r="9384" spans="1:2" x14ac:dyDescent="0.2">
      <c r="A9384" s="49"/>
      <c r="B9384" s="49"/>
    </row>
    <row r="9385" spans="1:2" x14ac:dyDescent="0.2">
      <c r="A9385" s="49"/>
      <c r="B9385" s="49"/>
    </row>
    <row r="9386" spans="1:2" x14ac:dyDescent="0.2">
      <c r="A9386" s="49"/>
      <c r="B9386" s="49"/>
    </row>
    <row r="9387" spans="1:2" x14ac:dyDescent="0.2">
      <c r="A9387" s="49"/>
      <c r="B9387" s="49"/>
    </row>
    <row r="9388" spans="1:2" x14ac:dyDescent="0.2">
      <c r="A9388" s="49"/>
      <c r="B9388" s="49"/>
    </row>
    <row r="9389" spans="1:2" x14ac:dyDescent="0.2">
      <c r="A9389" s="49"/>
      <c r="B9389" s="49"/>
    </row>
    <row r="9390" spans="1:2" x14ac:dyDescent="0.2">
      <c r="A9390" s="49"/>
      <c r="B9390" s="49"/>
    </row>
    <row r="9391" spans="1:2" x14ac:dyDescent="0.2">
      <c r="A9391" s="49"/>
      <c r="B9391" s="49"/>
    </row>
    <row r="9392" spans="1:2" x14ac:dyDescent="0.2">
      <c r="A9392" s="49"/>
      <c r="B9392" s="49"/>
    </row>
    <row r="9393" spans="1:2" x14ac:dyDescent="0.2">
      <c r="A9393" s="49"/>
      <c r="B9393" s="49"/>
    </row>
    <row r="9394" spans="1:2" x14ac:dyDescent="0.2">
      <c r="A9394" s="49"/>
      <c r="B9394" s="49"/>
    </row>
    <row r="9395" spans="1:2" x14ac:dyDescent="0.2">
      <c r="A9395" s="49"/>
      <c r="B9395" s="49"/>
    </row>
    <row r="9396" spans="1:2" x14ac:dyDescent="0.2">
      <c r="A9396" s="49"/>
      <c r="B9396" s="49"/>
    </row>
    <row r="9397" spans="1:2" x14ac:dyDescent="0.2">
      <c r="A9397" s="49"/>
      <c r="B9397" s="49"/>
    </row>
    <row r="9398" spans="1:2" x14ac:dyDescent="0.2">
      <c r="A9398" s="49"/>
      <c r="B9398" s="49"/>
    </row>
    <row r="9399" spans="1:2" x14ac:dyDescent="0.2">
      <c r="A9399" s="49"/>
      <c r="B9399" s="49"/>
    </row>
    <row r="9400" spans="1:2" x14ac:dyDescent="0.2">
      <c r="A9400" s="49"/>
      <c r="B9400" s="49"/>
    </row>
    <row r="9401" spans="1:2" x14ac:dyDescent="0.2">
      <c r="A9401" s="49"/>
      <c r="B9401" s="49"/>
    </row>
    <row r="9402" spans="1:2" x14ac:dyDescent="0.2">
      <c r="A9402" s="49"/>
      <c r="B9402" s="49"/>
    </row>
    <row r="9403" spans="1:2" x14ac:dyDescent="0.2">
      <c r="A9403" s="49"/>
      <c r="B9403" s="49"/>
    </row>
    <row r="9473" spans="1:2" x14ac:dyDescent="0.2">
      <c r="A9473" s="49"/>
      <c r="B9473" s="49"/>
    </row>
    <row r="9477" spans="1:2" x14ac:dyDescent="0.2">
      <c r="A9477" s="49"/>
      <c r="B9477" s="49"/>
    </row>
    <row r="9483" spans="1:2" x14ac:dyDescent="0.2">
      <c r="A9483" s="49"/>
      <c r="B9483" s="49"/>
    </row>
    <row r="9494" spans="1:2" x14ac:dyDescent="0.2">
      <c r="A9494" s="49"/>
      <c r="B9494" s="49"/>
    </row>
    <row r="9495" spans="1:2" x14ac:dyDescent="0.2">
      <c r="A9495" s="49"/>
      <c r="B9495" s="49"/>
    </row>
    <row r="9496" spans="1:2" x14ac:dyDescent="0.2">
      <c r="A9496" s="49"/>
      <c r="B9496" s="49"/>
    </row>
    <row r="9504" spans="1:2" x14ac:dyDescent="0.2">
      <c r="A9504" s="49"/>
      <c r="B9504" s="49"/>
    </row>
    <row r="9516" spans="1:7" x14ac:dyDescent="0.2">
      <c r="A9516" s="49"/>
      <c r="B9516" s="49"/>
      <c r="C9516" s="49"/>
      <c r="D9516" s="49"/>
      <c r="E9516" s="49"/>
      <c r="F9516" s="49"/>
      <c r="G9516" s="49"/>
    </row>
    <row r="9575" spans="1:2" x14ac:dyDescent="0.2">
      <c r="A9575" s="49"/>
      <c r="B9575" s="49"/>
    </row>
    <row r="9584" spans="1:2" x14ac:dyDescent="0.2">
      <c r="A9584" s="49"/>
      <c r="B9584" s="49"/>
    </row>
    <row r="9591" spans="1:2" x14ac:dyDescent="0.2">
      <c r="A9591" s="49"/>
      <c r="B9591" s="49"/>
    </row>
    <row r="9599" spans="1:2" x14ac:dyDescent="0.2">
      <c r="A9599" s="49"/>
      <c r="B9599" s="49"/>
    </row>
    <row r="9600" spans="1:2" x14ac:dyDescent="0.2">
      <c r="A9600" s="49"/>
      <c r="B9600" s="49"/>
    </row>
    <row r="9601" spans="1:7" x14ac:dyDescent="0.2">
      <c r="A9601" s="49"/>
      <c r="B9601" s="49"/>
    </row>
    <row r="9602" spans="1:7" x14ac:dyDescent="0.2">
      <c r="A9602" s="49"/>
      <c r="B9602" s="49"/>
    </row>
    <row r="9607" spans="1:7" x14ac:dyDescent="0.2">
      <c r="A9607" s="49"/>
      <c r="B9607" s="49"/>
      <c r="C9607" s="49"/>
      <c r="D9607" s="49"/>
      <c r="E9607" s="49"/>
      <c r="F9607" s="49"/>
      <c r="G9607" s="49"/>
    </row>
    <row r="9610" spans="1:7" x14ac:dyDescent="0.2">
      <c r="A9610" s="49"/>
      <c r="B9610" s="49"/>
      <c r="C9610" s="49"/>
      <c r="D9610" s="49"/>
      <c r="E9610" s="49"/>
      <c r="F9610" s="49"/>
      <c r="G9610" s="49"/>
    </row>
    <row r="9614" spans="1:7" x14ac:dyDescent="0.2">
      <c r="A9614" s="49"/>
      <c r="B9614" s="49"/>
      <c r="C9614" s="49"/>
      <c r="D9614" s="49"/>
      <c r="E9614" s="49"/>
      <c r="F9614" s="49"/>
      <c r="G9614" s="49"/>
    </row>
    <row r="9615" spans="1:7" x14ac:dyDescent="0.2">
      <c r="A9615" s="49"/>
      <c r="B9615" s="49"/>
      <c r="C9615" s="49"/>
      <c r="D9615" s="49"/>
      <c r="E9615" s="49"/>
      <c r="F9615" s="49"/>
      <c r="G9615" s="49"/>
    </row>
    <row r="9616" spans="1:7" x14ac:dyDescent="0.2">
      <c r="A9616" s="49"/>
      <c r="B9616" s="49"/>
      <c r="C9616" s="49"/>
      <c r="D9616" s="49"/>
      <c r="E9616" s="49"/>
      <c r="F9616" s="49"/>
      <c r="G9616" s="49"/>
    </row>
    <row r="9780" spans="1:7" x14ac:dyDescent="0.2">
      <c r="A9780" s="49"/>
      <c r="B9780" s="49"/>
    </row>
    <row r="9786" spans="1:7" x14ac:dyDescent="0.2">
      <c r="A9786" s="49"/>
      <c r="B9786" s="49"/>
      <c r="C9786" s="49"/>
      <c r="D9786" s="49"/>
      <c r="E9786" s="49"/>
      <c r="F9786" s="49"/>
      <c r="G9786" s="49"/>
    </row>
    <row r="9797" spans="1:2" x14ac:dyDescent="0.2">
      <c r="A9797" s="49"/>
      <c r="B9797" s="49"/>
    </row>
    <row r="9801" spans="1:2" x14ac:dyDescent="0.2">
      <c r="A9801" s="49"/>
      <c r="B9801" s="49"/>
    </row>
    <row r="9802" spans="1:2" x14ac:dyDescent="0.2">
      <c r="A9802" s="49"/>
      <c r="B9802" s="49"/>
    </row>
    <row r="9803" spans="1:2" x14ac:dyDescent="0.2">
      <c r="A9803" s="49"/>
      <c r="B9803" s="49"/>
    </row>
    <row r="9804" spans="1:2" x14ac:dyDescent="0.2">
      <c r="A9804" s="49"/>
      <c r="B9804" s="49"/>
    </row>
    <row r="9805" spans="1:2" x14ac:dyDescent="0.2">
      <c r="A9805" s="49"/>
      <c r="B9805" s="49"/>
    </row>
    <row r="9883" spans="1:2" x14ac:dyDescent="0.2">
      <c r="A9883" s="49"/>
      <c r="B9883" s="49"/>
    </row>
    <row r="9886" spans="1:2" x14ac:dyDescent="0.2">
      <c r="A9886" s="49"/>
      <c r="B9886" s="49"/>
    </row>
    <row r="9894" spans="1:2" x14ac:dyDescent="0.2">
      <c r="A9894" s="49"/>
      <c r="B9894" s="49"/>
    </row>
    <row r="9908" spans="1:2" x14ac:dyDescent="0.2">
      <c r="A9908" s="49"/>
      <c r="B9908" s="49"/>
    </row>
    <row r="9942" spans="1:2" x14ac:dyDescent="0.2">
      <c r="A9942" s="49"/>
      <c r="B9942" s="49"/>
    </row>
    <row r="9960" spans="1:2" x14ac:dyDescent="0.2">
      <c r="A9960" s="49"/>
      <c r="B9960" s="49"/>
    </row>
    <row r="9974" spans="1:2" x14ac:dyDescent="0.2">
      <c r="A9974" s="49"/>
      <c r="B9974" s="49"/>
    </row>
    <row r="10026" spans="1:2" x14ac:dyDescent="0.2">
      <c r="A10026" s="49"/>
      <c r="B10026" s="49"/>
    </row>
    <row r="10028" spans="1:2" x14ac:dyDescent="0.2">
      <c r="A10028" s="49"/>
      <c r="B10028" s="49"/>
    </row>
    <row r="10030" spans="1:2" x14ac:dyDescent="0.2">
      <c r="A10030" s="49"/>
      <c r="B10030" s="49"/>
    </row>
    <row r="10032" spans="1:2" x14ac:dyDescent="0.2">
      <c r="A10032" s="49"/>
      <c r="B10032" s="49"/>
    </row>
    <row r="10034" spans="1:7" x14ac:dyDescent="0.2">
      <c r="A10034" s="49"/>
      <c r="B10034" s="49"/>
    </row>
    <row r="10035" spans="1:7" x14ac:dyDescent="0.2">
      <c r="A10035" s="49"/>
      <c r="B10035" s="49"/>
    </row>
    <row r="10038" spans="1:7" x14ac:dyDescent="0.2">
      <c r="A10038" s="49"/>
      <c r="B10038" s="49"/>
    </row>
    <row r="10039" spans="1:7" x14ac:dyDescent="0.2">
      <c r="A10039" s="49"/>
      <c r="B10039" s="49"/>
      <c r="C10039" s="49"/>
      <c r="D10039" s="49"/>
      <c r="E10039" s="49"/>
      <c r="F10039" s="49"/>
      <c r="G10039" s="49"/>
    </row>
    <row r="10043" spans="1:7" x14ac:dyDescent="0.2">
      <c r="A10043" s="49"/>
      <c r="B10043" s="49"/>
    </row>
    <row r="10089" spans="1:2" x14ac:dyDescent="0.2">
      <c r="A10089" s="49"/>
      <c r="B10089" s="49"/>
    </row>
    <row r="10116" spans="1:2" x14ac:dyDescent="0.2">
      <c r="A10116" s="49"/>
      <c r="B10116" s="49"/>
    </row>
    <row r="10152" spans="1:2" x14ac:dyDescent="0.2">
      <c r="A10152" s="49"/>
      <c r="B10152" s="49"/>
    </row>
    <row r="10180" spans="1:2" x14ac:dyDescent="0.2">
      <c r="A10180" s="49"/>
      <c r="B10180" s="49"/>
    </row>
    <row r="10185" spans="1:2" x14ac:dyDescent="0.2">
      <c r="A10185" s="49"/>
      <c r="B10185" s="49"/>
    </row>
    <row r="10193" spans="1:2" x14ac:dyDescent="0.2">
      <c r="A10193" s="49"/>
      <c r="B10193" s="49"/>
    </row>
    <row r="10231" spans="1:7" x14ac:dyDescent="0.2">
      <c r="A10231" s="49"/>
      <c r="B10231" s="49"/>
      <c r="C10231" s="49"/>
      <c r="D10231" s="49"/>
      <c r="E10231" s="49"/>
      <c r="F10231" s="49"/>
      <c r="G10231" s="49"/>
    </row>
    <row r="10268" spans="1:2" x14ac:dyDescent="0.2">
      <c r="A10268" s="49"/>
      <c r="B10268" s="49"/>
    </row>
    <row r="10272" spans="1:2" x14ac:dyDescent="0.2">
      <c r="A10272" s="49"/>
      <c r="B10272" s="49"/>
    </row>
    <row r="10273" spans="1:2" x14ac:dyDescent="0.2">
      <c r="A10273" s="49"/>
      <c r="B10273" s="49"/>
    </row>
    <row r="10301" spans="1:2" x14ac:dyDescent="0.2">
      <c r="A10301" s="49"/>
      <c r="B10301" s="49"/>
    </row>
    <row r="10302" spans="1:2" x14ac:dyDescent="0.2">
      <c r="A10302" s="49"/>
      <c r="B10302" s="49"/>
    </row>
    <row r="10303" spans="1:2" x14ac:dyDescent="0.2">
      <c r="A10303" s="49"/>
      <c r="B10303" s="49"/>
    </row>
    <row r="10798" spans="1:2" x14ac:dyDescent="0.2">
      <c r="A10798" s="49"/>
      <c r="B10798" s="49"/>
    </row>
    <row r="10812" spans="1:2" x14ac:dyDescent="0.2">
      <c r="A10812" s="49"/>
      <c r="B10812" s="49"/>
    </row>
  </sheetData>
  <autoFilter ref="A1:I207" xr:uid="{00000000-0009-0000-0000-000006000000}">
    <sortState xmlns:xlrd2="http://schemas.microsoft.com/office/spreadsheetml/2017/richdata2" ref="A2:I366">
      <sortCondition descending="1" ref="A1:A366"/>
    </sortState>
  </autoFilter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Bitcoin 1</vt:lpstr>
      <vt:lpstr>Bitcoin 2</vt:lpstr>
      <vt:lpstr>Bitcoin 3</vt:lpstr>
      <vt:lpstr>Ether</vt:lpstr>
      <vt:lpstr>Prices</vt:lpstr>
      <vt:lpstr>Version</vt:lpstr>
      <vt:lpstr>Solution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2021-11-21T15:38:24Z</dcterms:modified>
</cp:coreProperties>
</file>
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filterPrivacy="1" codeName="ThisWorkbook" defaultThemeVersion="124226"/>
  <xr:revisionPtr revIDLastSave="0" documentId="13_ncr:1_{F767B208-D9D8-4D9B-9682-BDE2CC0C9114}" xr6:coauthVersionLast="47" xr6:coauthVersionMax="47" xr10:uidLastSave="{00000000-0000-0000-0000-000000000000}"/>
  <bookViews>
    <workbookView xWindow="-120" yWindow="-120" windowWidth="29040" windowHeight="15720" tabRatio="666" xr2:uid="{00000000-000D-0000-FFFF-FFFF00000000}"/>
  </bookViews>
  <sheets>
    <sheet name="ABM" sheetId="15" r:id="rId1"/>
    <sheet name="Pric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8" i="15" l="1"/>
  <c r="N18" i="15"/>
  <c r="S18" i="15"/>
  <c r="H19" i="15"/>
  <c r="N19" i="15"/>
  <c r="S19" i="15"/>
  <c r="H20" i="15"/>
  <c r="N20" i="15"/>
  <c r="S20" i="15"/>
  <c r="H21" i="15"/>
  <c r="N21" i="15"/>
  <c r="S21" i="15"/>
  <c r="H22" i="15"/>
  <c r="N22" i="15"/>
  <c r="S22" i="15"/>
  <c r="H23" i="15"/>
  <c r="N23" i="15"/>
  <c r="S23" i="15"/>
  <c r="H24" i="15"/>
  <c r="N24" i="15"/>
  <c r="S24" i="15"/>
  <c r="H25" i="15"/>
  <c r="N25" i="15"/>
  <c r="S25" i="15"/>
  <c r="H26" i="15"/>
  <c r="N26" i="15"/>
  <c r="S26" i="15"/>
  <c r="H27" i="15"/>
  <c r="N27" i="15"/>
  <c r="S27" i="15"/>
  <c r="H28" i="15"/>
  <c r="N28" i="15"/>
  <c r="S28" i="15"/>
  <c r="H29" i="15"/>
  <c r="N29" i="15"/>
  <c r="S29" i="15"/>
  <c r="H30" i="15"/>
  <c r="N30" i="15"/>
  <c r="S30" i="15"/>
  <c r="H31" i="15"/>
  <c r="N31" i="15"/>
  <c r="S31" i="15"/>
  <c r="H32" i="15"/>
  <c r="N32" i="15"/>
  <c r="S32" i="15"/>
  <c r="H33" i="15"/>
  <c r="N33" i="15"/>
  <c r="S33" i="15"/>
  <c r="H34" i="15"/>
  <c r="N34" i="15"/>
  <c r="S34" i="15"/>
  <c r="H35" i="15"/>
  <c r="N35" i="15"/>
  <c r="S35" i="15"/>
  <c r="H36" i="15"/>
  <c r="N36" i="15"/>
  <c r="S36" i="15"/>
  <c r="H37" i="15"/>
  <c r="N37" i="15"/>
  <c r="S37" i="15"/>
  <c r="H38" i="15"/>
  <c r="N38" i="15"/>
  <c r="S38" i="15"/>
  <c r="H39" i="15"/>
  <c r="N39" i="15"/>
  <c r="S39" i="15"/>
  <c r="H40" i="15"/>
  <c r="N40" i="15"/>
  <c r="S40" i="15"/>
  <c r="H41" i="15"/>
  <c r="N41" i="15"/>
  <c r="S41" i="15"/>
  <c r="H42" i="15"/>
  <c r="N42" i="15"/>
  <c r="S42" i="15"/>
  <c r="H43" i="15"/>
  <c r="N43" i="15"/>
  <c r="S43" i="15"/>
  <c r="H44" i="15"/>
  <c r="N44" i="15"/>
  <c r="S44" i="15"/>
  <c r="H45" i="15"/>
  <c r="N45" i="15"/>
  <c r="S45" i="15"/>
  <c r="H46" i="15"/>
  <c r="N46" i="15"/>
  <c r="S46" i="15"/>
  <c r="H47" i="15"/>
  <c r="N47" i="15"/>
  <c r="S47" i="15"/>
  <c r="H48" i="15"/>
  <c r="N48" i="15"/>
  <c r="S48" i="15"/>
  <c r="H49" i="15"/>
  <c r="N49" i="15"/>
  <c r="S49" i="15"/>
  <c r="H50" i="15"/>
  <c r="N50" i="15"/>
  <c r="S50" i="15"/>
  <c r="H51" i="15"/>
  <c r="N51" i="15"/>
  <c r="S51" i="15"/>
  <c r="H52" i="15"/>
  <c r="N52" i="15"/>
  <c r="S52" i="15"/>
  <c r="H53" i="15"/>
  <c r="N53" i="15"/>
  <c r="S53" i="15"/>
  <c r="H54" i="15"/>
  <c r="N54" i="15"/>
  <c r="S54" i="15"/>
  <c r="H55" i="15"/>
  <c r="N55" i="15"/>
  <c r="S55" i="15"/>
  <c r="H56" i="15"/>
  <c r="N56" i="15"/>
  <c r="S56" i="15"/>
  <c r="H57" i="15"/>
  <c r="N57" i="15"/>
  <c r="S57" i="15"/>
  <c r="H58" i="15"/>
  <c r="N58" i="15"/>
  <c r="S58" i="15"/>
  <c r="H59" i="15"/>
  <c r="N59" i="15"/>
  <c r="S59" i="15"/>
  <c r="H60" i="15"/>
  <c r="N60" i="15"/>
  <c r="S60" i="15"/>
  <c r="H61" i="15"/>
  <c r="N61" i="15"/>
  <c r="S61" i="15"/>
  <c r="H62" i="15"/>
  <c r="N62" i="15"/>
  <c r="S62" i="15"/>
  <c r="H63" i="15"/>
  <c r="N63" i="15"/>
  <c r="S63" i="15"/>
  <c r="H64" i="15"/>
  <c r="N64" i="15"/>
  <c r="S64" i="15"/>
  <c r="H65" i="15"/>
  <c r="N65" i="15"/>
  <c r="S65" i="15"/>
  <c r="H66" i="15"/>
  <c r="N66" i="15"/>
  <c r="S66" i="15"/>
  <c r="H67" i="15"/>
  <c r="N67" i="15"/>
  <c r="S67" i="15"/>
  <c r="H68" i="15"/>
  <c r="N68" i="15"/>
  <c r="S68" i="15"/>
  <c r="H69" i="15"/>
  <c r="N69" i="15"/>
  <c r="S69" i="15"/>
  <c r="H70" i="15"/>
  <c r="N70" i="15"/>
  <c r="S70" i="15"/>
  <c r="H71" i="15"/>
  <c r="N71" i="15"/>
  <c r="S71" i="15"/>
  <c r="H72" i="15"/>
  <c r="N72" i="15"/>
  <c r="S72" i="15"/>
  <c r="H73" i="15"/>
  <c r="N73" i="15"/>
  <c r="S73" i="15"/>
  <c r="H74" i="15"/>
  <c r="N74" i="15"/>
  <c r="S74" i="15"/>
  <c r="H75" i="15"/>
  <c r="N75" i="15"/>
  <c r="S75" i="15"/>
  <c r="H76" i="15"/>
  <c r="N76" i="15"/>
  <c r="S76" i="15"/>
  <c r="H77" i="15"/>
  <c r="N77" i="15"/>
  <c r="S77" i="15"/>
  <c r="H78" i="15"/>
  <c r="N78" i="15"/>
  <c r="S78" i="15"/>
  <c r="H79" i="15"/>
  <c r="N79" i="15"/>
  <c r="S79" i="15"/>
  <c r="H80" i="15"/>
  <c r="N80" i="15"/>
  <c r="S80" i="15"/>
  <c r="H81" i="15"/>
  <c r="N81" i="15"/>
  <c r="S81" i="15"/>
  <c r="H82" i="15"/>
  <c r="N82" i="15"/>
  <c r="S82" i="15"/>
  <c r="H83" i="15"/>
  <c r="N83" i="15"/>
  <c r="S83" i="15"/>
  <c r="H84" i="15"/>
  <c r="N84" i="15"/>
  <c r="S84" i="15"/>
  <c r="H85" i="15"/>
  <c r="N85" i="15"/>
  <c r="S85" i="15"/>
  <c r="H86" i="15"/>
  <c r="N86" i="15"/>
  <c r="S86" i="15"/>
  <c r="H87" i="15"/>
  <c r="N87" i="15"/>
  <c r="S87" i="15"/>
  <c r="H88" i="15"/>
  <c r="N88" i="15"/>
  <c r="S88" i="15"/>
  <c r="H89" i="15"/>
  <c r="N89" i="15"/>
  <c r="S89" i="15"/>
  <c r="H90" i="15"/>
  <c r="N90" i="15"/>
  <c r="S90" i="15"/>
  <c r="H91" i="15"/>
  <c r="N91" i="15"/>
  <c r="S91" i="15"/>
  <c r="H92" i="15"/>
  <c r="N92" i="15"/>
  <c r="S92" i="15"/>
  <c r="H93" i="15"/>
  <c r="N93" i="15"/>
  <c r="S93" i="15"/>
  <c r="H94" i="15"/>
  <c r="N94" i="15"/>
  <c r="S94" i="15"/>
  <c r="H95" i="15"/>
  <c r="N95" i="15"/>
  <c r="S95" i="15"/>
  <c r="H96" i="15"/>
  <c r="N96" i="15"/>
  <c r="S96" i="15"/>
  <c r="H97" i="15"/>
  <c r="N97" i="15"/>
  <c r="S97" i="15"/>
  <c r="H98" i="15"/>
  <c r="N98" i="15"/>
  <c r="S98" i="15"/>
  <c r="H99" i="15"/>
  <c r="N99" i="15"/>
  <c r="S99" i="15"/>
  <c r="H100" i="15"/>
  <c r="N100" i="15"/>
  <c r="S100" i="15"/>
  <c r="H101" i="15"/>
  <c r="N101" i="15"/>
  <c r="S101" i="15"/>
  <c r="H102" i="15"/>
  <c r="N102" i="15"/>
  <c r="S102" i="15"/>
  <c r="H103" i="15"/>
  <c r="N103" i="15"/>
  <c r="S103" i="15"/>
  <c r="H104" i="15"/>
  <c r="N104" i="15"/>
  <c r="S104" i="15"/>
  <c r="H105" i="15"/>
  <c r="N105" i="15"/>
  <c r="S105" i="15"/>
  <c r="H106" i="15"/>
  <c r="N106" i="15"/>
  <c r="S106" i="15"/>
  <c r="H107" i="15"/>
  <c r="N107" i="15"/>
  <c r="S107" i="15"/>
  <c r="H108" i="15"/>
  <c r="N108" i="15"/>
  <c r="S108" i="15"/>
  <c r="H109" i="15"/>
  <c r="N109" i="15"/>
  <c r="S109" i="15"/>
  <c r="H110" i="15"/>
  <c r="N110" i="15"/>
  <c r="S110" i="15"/>
  <c r="H111" i="15"/>
  <c r="N111" i="15"/>
  <c r="S111" i="15"/>
  <c r="H112" i="15"/>
  <c r="N112" i="15"/>
  <c r="S112" i="15"/>
  <c r="H113" i="15"/>
  <c r="N113" i="15"/>
  <c r="S113" i="15"/>
  <c r="H114" i="15"/>
  <c r="N114" i="15"/>
  <c r="S114" i="15"/>
  <c r="H115" i="15"/>
  <c r="N115" i="15"/>
  <c r="S115" i="15"/>
  <c r="H116" i="15"/>
  <c r="N116" i="15"/>
  <c r="S116" i="15"/>
  <c r="H117" i="15"/>
  <c r="N117" i="15"/>
  <c r="S117" i="15"/>
  <c r="H118" i="15"/>
  <c r="N118" i="15"/>
  <c r="S118" i="15"/>
  <c r="H119" i="15"/>
  <c r="N119" i="15"/>
  <c r="S119" i="15"/>
  <c r="H120" i="15"/>
  <c r="N120" i="15"/>
  <c r="S120" i="15"/>
  <c r="H121" i="15"/>
  <c r="N121" i="15"/>
  <c r="S121" i="15"/>
  <c r="H122" i="15"/>
  <c r="N122" i="15"/>
  <c r="S122" i="15"/>
  <c r="H123" i="15"/>
  <c r="N123" i="15"/>
  <c r="S123" i="15"/>
  <c r="H124" i="15"/>
  <c r="N124" i="15"/>
  <c r="S124" i="15"/>
  <c r="H125" i="15"/>
  <c r="N125" i="15"/>
  <c r="S125" i="15"/>
  <c r="H126" i="15"/>
  <c r="N126" i="15"/>
  <c r="S126" i="15"/>
  <c r="H127" i="15"/>
  <c r="N127" i="15"/>
  <c r="S127" i="15"/>
  <c r="H128" i="15"/>
  <c r="N128" i="15"/>
  <c r="S128" i="15"/>
  <c r="H129" i="15"/>
  <c r="N129" i="15"/>
  <c r="S129" i="15"/>
  <c r="H130" i="15"/>
  <c r="N130" i="15"/>
  <c r="S130" i="15"/>
  <c r="H131" i="15"/>
  <c r="N131" i="15"/>
  <c r="S131" i="15"/>
  <c r="H132" i="15"/>
  <c r="N132" i="15"/>
  <c r="S132" i="15"/>
  <c r="H133" i="15"/>
  <c r="N133" i="15"/>
  <c r="S133" i="15"/>
  <c r="H134" i="15"/>
  <c r="N134" i="15"/>
  <c r="S134" i="15"/>
  <c r="H135" i="15"/>
  <c r="N135" i="15"/>
  <c r="S135" i="15"/>
  <c r="H136" i="15"/>
  <c r="N136" i="15"/>
  <c r="S136" i="15"/>
  <c r="H137" i="15"/>
  <c r="N137" i="15"/>
  <c r="S137" i="15"/>
  <c r="H138" i="15"/>
  <c r="N138" i="15"/>
  <c r="S138" i="15"/>
  <c r="H139" i="15"/>
  <c r="N139" i="15"/>
  <c r="S139" i="15"/>
  <c r="H140" i="15"/>
  <c r="N140" i="15"/>
  <c r="S140" i="15"/>
  <c r="H141" i="15"/>
  <c r="N141" i="15"/>
  <c r="S141" i="15"/>
  <c r="H142" i="15"/>
  <c r="N142" i="15"/>
  <c r="S142" i="15"/>
  <c r="H143" i="15"/>
  <c r="N143" i="15"/>
  <c r="S143" i="15"/>
  <c r="H144" i="15"/>
  <c r="N144" i="15"/>
  <c r="S144" i="15"/>
  <c r="H145" i="15"/>
  <c r="N145" i="15"/>
  <c r="S145" i="15"/>
  <c r="H146" i="15"/>
  <c r="N146" i="15"/>
  <c r="S146" i="15"/>
  <c r="H147" i="15"/>
  <c r="N147" i="15"/>
  <c r="S147" i="15"/>
  <c r="H148" i="15"/>
  <c r="N148" i="15"/>
  <c r="S148" i="15"/>
  <c r="H149" i="15"/>
  <c r="N149" i="15"/>
  <c r="S149" i="15"/>
  <c r="H150" i="15"/>
  <c r="N150" i="15"/>
  <c r="S150" i="15"/>
  <c r="H151" i="15"/>
  <c r="N151" i="15"/>
  <c r="S151" i="15"/>
  <c r="H152" i="15"/>
  <c r="N152" i="15"/>
  <c r="S152" i="15"/>
  <c r="H153" i="15"/>
  <c r="N153" i="15"/>
  <c r="S153" i="15"/>
  <c r="H154" i="15"/>
  <c r="N154" i="15"/>
  <c r="S154" i="15"/>
  <c r="H155" i="15"/>
  <c r="N155" i="15"/>
  <c r="S155" i="15"/>
  <c r="H156" i="15"/>
  <c r="N156" i="15"/>
  <c r="S156" i="15"/>
  <c r="H157" i="15"/>
  <c r="N157" i="15"/>
  <c r="S157" i="15"/>
  <c r="H158" i="15"/>
  <c r="N158" i="15"/>
  <c r="S158" i="15"/>
  <c r="H159" i="15"/>
  <c r="N159" i="15"/>
  <c r="S159" i="15"/>
  <c r="H160" i="15"/>
  <c r="N160" i="15"/>
  <c r="S160" i="15"/>
  <c r="H161" i="15"/>
  <c r="N161" i="15"/>
  <c r="S161" i="15"/>
  <c r="H162" i="15"/>
  <c r="N162" i="15"/>
  <c r="S162" i="15"/>
  <c r="H163" i="15"/>
  <c r="N163" i="15"/>
  <c r="S163" i="15"/>
  <c r="H164" i="15"/>
  <c r="N164" i="15"/>
  <c r="S164" i="15"/>
  <c r="H165" i="15"/>
  <c r="N165" i="15"/>
  <c r="S165" i="15"/>
  <c r="H166" i="15"/>
  <c r="N166" i="15"/>
  <c r="S166" i="15"/>
  <c r="H167" i="15"/>
  <c r="N167" i="15"/>
  <c r="S167" i="15"/>
  <c r="H168" i="15"/>
  <c r="N168" i="15"/>
  <c r="S168" i="15"/>
  <c r="H169" i="15"/>
  <c r="N169" i="15"/>
  <c r="S169" i="15"/>
  <c r="H170" i="15"/>
  <c r="N170" i="15"/>
  <c r="S170" i="15"/>
  <c r="H171" i="15"/>
  <c r="N171" i="15"/>
  <c r="S171" i="15"/>
  <c r="H172" i="15"/>
  <c r="N172" i="15"/>
  <c r="S172" i="15"/>
  <c r="H173" i="15"/>
  <c r="N173" i="15"/>
  <c r="S173" i="15"/>
  <c r="H174" i="15"/>
  <c r="N174" i="15"/>
  <c r="S174" i="15"/>
  <c r="H175" i="15"/>
  <c r="N175" i="15"/>
  <c r="S175" i="15"/>
  <c r="H176" i="15"/>
  <c r="N176" i="15"/>
  <c r="S176" i="15"/>
  <c r="H177" i="15"/>
  <c r="N177" i="15"/>
  <c r="S177" i="15"/>
  <c r="H178" i="15"/>
  <c r="N178" i="15"/>
  <c r="S178" i="15"/>
  <c r="H179" i="15"/>
  <c r="N179" i="15"/>
  <c r="S179" i="15"/>
  <c r="H180" i="15"/>
  <c r="N180" i="15"/>
  <c r="S180" i="15"/>
  <c r="H181" i="15"/>
  <c r="N181" i="15"/>
  <c r="S181" i="15"/>
  <c r="H182" i="15"/>
  <c r="N182" i="15"/>
  <c r="S182" i="15"/>
  <c r="H183" i="15"/>
  <c r="N183" i="15"/>
  <c r="S183" i="15"/>
  <c r="H184" i="15"/>
  <c r="N184" i="15"/>
  <c r="S184" i="15"/>
  <c r="H185" i="15"/>
  <c r="N185" i="15"/>
  <c r="S185" i="15"/>
  <c r="H186" i="15"/>
  <c r="N186" i="15"/>
  <c r="S186" i="15"/>
  <c r="H187" i="15"/>
  <c r="N187" i="15"/>
  <c r="S187" i="15"/>
  <c r="H188" i="15"/>
  <c r="N188" i="15"/>
  <c r="S188" i="15"/>
  <c r="H189" i="15"/>
  <c r="N189" i="15"/>
  <c r="S189" i="15"/>
  <c r="H190" i="15"/>
  <c r="N190" i="15"/>
  <c r="S190" i="15"/>
  <c r="H191" i="15"/>
  <c r="N191" i="15"/>
  <c r="S191" i="15"/>
  <c r="H192" i="15"/>
  <c r="N192" i="15"/>
  <c r="S192" i="15"/>
  <c r="H193" i="15"/>
  <c r="N193" i="15"/>
  <c r="S193" i="15"/>
  <c r="H194" i="15"/>
  <c r="N194" i="15"/>
  <c r="S194" i="15"/>
  <c r="H195" i="15"/>
  <c r="N195" i="15"/>
  <c r="S195" i="15"/>
  <c r="H196" i="15"/>
  <c r="N196" i="15"/>
  <c r="S196" i="15"/>
  <c r="H197" i="15"/>
  <c r="N197" i="15"/>
  <c r="S197" i="15"/>
  <c r="H198" i="15"/>
  <c r="N198" i="15"/>
  <c r="S198" i="15"/>
  <c r="H199" i="15"/>
  <c r="N199" i="15"/>
  <c r="S199" i="15"/>
  <c r="H200" i="15"/>
  <c r="N200" i="15"/>
  <c r="S200" i="15"/>
  <c r="H201" i="15"/>
  <c r="N201" i="15"/>
  <c r="S201" i="15"/>
  <c r="H202" i="15"/>
  <c r="N202" i="15"/>
  <c r="S202" i="15"/>
  <c r="H203" i="15"/>
  <c r="N203" i="15"/>
  <c r="S203" i="15"/>
  <c r="H204" i="15"/>
  <c r="N204" i="15"/>
  <c r="S204" i="15"/>
  <c r="H205" i="15"/>
  <c r="N205" i="15"/>
  <c r="S205" i="15"/>
  <c r="H206" i="15"/>
  <c r="N206" i="15"/>
  <c r="S206" i="15"/>
  <c r="H207" i="15"/>
  <c r="N207" i="15"/>
  <c r="S207" i="15"/>
  <c r="H208" i="15"/>
  <c r="N208" i="15"/>
  <c r="S208" i="15"/>
  <c r="H209" i="15"/>
  <c r="N209" i="15"/>
  <c r="S209" i="15"/>
  <c r="H210" i="15"/>
  <c r="N210" i="15"/>
  <c r="S210" i="15"/>
  <c r="H211" i="15"/>
  <c r="N211" i="15"/>
  <c r="S211" i="15"/>
  <c r="H212" i="15"/>
  <c r="N212" i="15"/>
  <c r="S212" i="15"/>
  <c r="H213" i="15"/>
  <c r="N213" i="15"/>
  <c r="S213" i="15"/>
  <c r="H214" i="15"/>
  <c r="N214" i="15"/>
  <c r="S214" i="15"/>
  <c r="H215" i="15"/>
  <c r="N215" i="15"/>
  <c r="S215" i="15"/>
  <c r="H216" i="15"/>
  <c r="N216" i="15"/>
  <c r="S216" i="15"/>
  <c r="H217" i="15"/>
  <c r="N217" i="15"/>
  <c r="S217" i="15"/>
  <c r="H218" i="15"/>
  <c r="N218" i="15"/>
  <c r="S218" i="15"/>
  <c r="H219" i="15"/>
  <c r="N219" i="15"/>
  <c r="S219" i="15"/>
  <c r="H220" i="15"/>
  <c r="N220" i="15"/>
  <c r="S220" i="15"/>
  <c r="H221" i="15"/>
  <c r="N221" i="15"/>
  <c r="S221" i="15"/>
  <c r="H222" i="15"/>
  <c r="N222" i="15"/>
  <c r="S222" i="15"/>
  <c r="H223" i="15"/>
  <c r="N223" i="15"/>
  <c r="S223" i="15"/>
  <c r="H224" i="15"/>
  <c r="N224" i="15"/>
  <c r="S224" i="15"/>
  <c r="H225" i="15"/>
  <c r="N225" i="15"/>
  <c r="S225" i="15"/>
  <c r="H226" i="15"/>
  <c r="N226" i="15"/>
  <c r="S226" i="15"/>
  <c r="H227" i="15"/>
  <c r="N227" i="15"/>
  <c r="S227" i="15"/>
  <c r="H228" i="15"/>
  <c r="N228" i="15"/>
  <c r="S228" i="15"/>
  <c r="H229" i="15"/>
  <c r="N229" i="15"/>
  <c r="S229" i="15"/>
  <c r="H230" i="15"/>
  <c r="N230" i="15"/>
  <c r="S230" i="15"/>
  <c r="H231" i="15"/>
  <c r="N231" i="15"/>
  <c r="S231" i="15"/>
  <c r="H232" i="15"/>
  <c r="N232" i="15"/>
  <c r="S232" i="15"/>
  <c r="H233" i="15"/>
  <c r="N233" i="15"/>
  <c r="S233" i="15"/>
  <c r="H234" i="15"/>
  <c r="N234" i="15"/>
  <c r="S234" i="15"/>
  <c r="H235" i="15"/>
  <c r="N235" i="15"/>
  <c r="S235" i="15"/>
  <c r="H236" i="15"/>
  <c r="N236" i="15"/>
  <c r="S236" i="15"/>
  <c r="H237" i="15"/>
  <c r="N237" i="15"/>
  <c r="S237" i="15"/>
  <c r="H238" i="15"/>
  <c r="N238" i="15"/>
  <c r="S238" i="15"/>
  <c r="H239" i="15"/>
  <c r="N239" i="15"/>
  <c r="S239" i="15"/>
  <c r="H240" i="15"/>
  <c r="N240" i="15"/>
  <c r="S240" i="15"/>
  <c r="H241" i="15"/>
  <c r="N241" i="15"/>
  <c r="S241" i="15"/>
  <c r="H242" i="15"/>
  <c r="N242" i="15"/>
  <c r="S242" i="15"/>
  <c r="H243" i="15"/>
  <c r="N243" i="15"/>
  <c r="S243" i="15"/>
  <c r="H244" i="15"/>
  <c r="N244" i="15"/>
  <c r="S244" i="15"/>
  <c r="H245" i="15"/>
  <c r="N245" i="15"/>
  <c r="S245" i="15"/>
  <c r="H246" i="15"/>
  <c r="N246" i="15"/>
  <c r="S246" i="15"/>
  <c r="H247" i="15"/>
  <c r="N247" i="15"/>
  <c r="S247" i="15"/>
  <c r="H248" i="15"/>
  <c r="N248" i="15"/>
  <c r="S248" i="15"/>
  <c r="H249" i="15"/>
  <c r="N249" i="15"/>
  <c r="S249" i="15"/>
  <c r="H250" i="15"/>
  <c r="N250" i="15"/>
  <c r="S250" i="15"/>
  <c r="H251" i="15"/>
  <c r="N251" i="15"/>
  <c r="S251" i="15"/>
  <c r="H252" i="15"/>
  <c r="N252" i="15"/>
  <c r="S252" i="15"/>
  <c r="H253" i="15"/>
  <c r="N253" i="15"/>
  <c r="S253" i="15"/>
  <c r="H254" i="15"/>
  <c r="N254" i="15"/>
  <c r="S254" i="15"/>
  <c r="H255" i="15"/>
  <c r="N255" i="15"/>
  <c r="S255" i="15"/>
  <c r="H256" i="15"/>
  <c r="N256" i="15"/>
  <c r="S256" i="15"/>
  <c r="H257" i="15"/>
  <c r="N257" i="15"/>
  <c r="S257" i="15"/>
  <c r="H258" i="15"/>
  <c r="N258" i="15"/>
  <c r="S258" i="15"/>
  <c r="H259" i="15"/>
  <c r="N259" i="15"/>
  <c r="S259" i="15"/>
  <c r="H260" i="15"/>
  <c r="N260" i="15"/>
  <c r="S260" i="15"/>
  <c r="H261" i="15"/>
  <c r="N261" i="15"/>
  <c r="S261" i="15"/>
  <c r="H262" i="15"/>
  <c r="N262" i="15"/>
  <c r="S262" i="15"/>
  <c r="H263" i="15"/>
  <c r="N263" i="15"/>
  <c r="S263" i="15"/>
  <c r="H264" i="15"/>
  <c r="N264" i="15"/>
  <c r="S264" i="15"/>
  <c r="H265" i="15"/>
  <c r="N265" i="15"/>
  <c r="S265" i="15"/>
  <c r="H266" i="15"/>
  <c r="N266" i="15"/>
  <c r="S266" i="15"/>
  <c r="H267" i="15"/>
  <c r="N267" i="15"/>
  <c r="S267" i="15"/>
  <c r="H268" i="15"/>
  <c r="N268" i="15"/>
  <c r="S268" i="15"/>
  <c r="H269" i="15"/>
  <c r="N269" i="15"/>
  <c r="S269" i="15"/>
  <c r="H270" i="15"/>
  <c r="N270" i="15"/>
  <c r="S270" i="15"/>
  <c r="H271" i="15"/>
  <c r="N271" i="15"/>
  <c r="S271" i="15"/>
  <c r="H272" i="15"/>
  <c r="N272" i="15"/>
  <c r="S272" i="15"/>
  <c r="H273" i="15"/>
  <c r="N273" i="15"/>
  <c r="S273" i="15"/>
  <c r="H274" i="15"/>
  <c r="N274" i="15"/>
  <c r="S274" i="15"/>
  <c r="H275" i="15"/>
  <c r="N275" i="15"/>
  <c r="S275" i="15"/>
  <c r="H276" i="15"/>
  <c r="N276" i="15"/>
  <c r="S276" i="15"/>
  <c r="H277" i="15"/>
  <c r="N277" i="15"/>
  <c r="S277" i="15"/>
  <c r="H278" i="15"/>
  <c r="N278" i="15"/>
  <c r="S278" i="15"/>
  <c r="H279" i="15"/>
  <c r="N279" i="15"/>
  <c r="S279" i="15"/>
  <c r="H280" i="15"/>
  <c r="N280" i="15"/>
  <c r="S280" i="15"/>
  <c r="H281" i="15"/>
  <c r="N281" i="15"/>
  <c r="S281" i="15"/>
  <c r="H282" i="15"/>
  <c r="N282" i="15"/>
  <c r="S282" i="15"/>
  <c r="H283" i="15"/>
  <c r="N283" i="15"/>
  <c r="S283" i="15"/>
  <c r="H284" i="15"/>
  <c r="N284" i="15"/>
  <c r="S284" i="15"/>
  <c r="H285" i="15"/>
  <c r="N285" i="15"/>
  <c r="S285" i="15"/>
  <c r="H286" i="15"/>
  <c r="N286" i="15"/>
  <c r="S286" i="15"/>
  <c r="H287" i="15"/>
  <c r="N287" i="15"/>
  <c r="S287" i="15"/>
  <c r="H288" i="15"/>
  <c r="N288" i="15"/>
  <c r="S288" i="15"/>
  <c r="H289" i="15"/>
  <c r="N289" i="15"/>
  <c r="S289" i="15"/>
  <c r="H290" i="15"/>
  <c r="N290" i="15"/>
  <c r="S290" i="15"/>
  <c r="H291" i="15"/>
  <c r="N291" i="15"/>
  <c r="S291" i="15"/>
  <c r="H292" i="15"/>
  <c r="N292" i="15"/>
  <c r="S292" i="15"/>
  <c r="H293" i="15"/>
  <c r="N293" i="15"/>
  <c r="S293" i="15"/>
  <c r="H294" i="15"/>
  <c r="N294" i="15"/>
  <c r="S294" i="15"/>
  <c r="H295" i="15"/>
  <c r="N295" i="15"/>
  <c r="S295" i="15"/>
  <c r="H296" i="15"/>
  <c r="N296" i="15"/>
  <c r="S296" i="15"/>
  <c r="H297" i="15"/>
  <c r="N297" i="15"/>
  <c r="S297" i="15"/>
  <c r="H298" i="15"/>
  <c r="N298" i="15"/>
  <c r="S298" i="15"/>
  <c r="H299" i="15"/>
  <c r="N299" i="15"/>
  <c r="S299" i="15"/>
  <c r="H300" i="15"/>
  <c r="N300" i="15"/>
  <c r="S300" i="15"/>
  <c r="H301" i="15"/>
  <c r="N301" i="15"/>
  <c r="S301" i="15"/>
  <c r="H302" i="15"/>
  <c r="N302" i="15"/>
  <c r="S302" i="15"/>
  <c r="H303" i="15"/>
  <c r="N303" i="15"/>
  <c r="S303" i="15"/>
  <c r="H304" i="15"/>
  <c r="N304" i="15"/>
  <c r="S304" i="15"/>
  <c r="H305" i="15"/>
  <c r="N305" i="15"/>
  <c r="S305" i="15"/>
  <c r="H306" i="15"/>
  <c r="N306" i="15"/>
  <c r="S306" i="15"/>
  <c r="H307" i="15"/>
  <c r="N307" i="15"/>
  <c r="S307" i="15"/>
  <c r="H308" i="15"/>
  <c r="N308" i="15"/>
  <c r="S308" i="15"/>
  <c r="H309" i="15"/>
  <c r="N309" i="15"/>
  <c r="S309" i="15"/>
  <c r="H310" i="15"/>
  <c r="N310" i="15"/>
  <c r="S310" i="15"/>
  <c r="H311" i="15"/>
  <c r="N311" i="15"/>
  <c r="S311" i="15"/>
  <c r="H312" i="15"/>
  <c r="N312" i="15"/>
  <c r="S312" i="15"/>
  <c r="H313" i="15"/>
  <c r="N313" i="15"/>
  <c r="S313" i="15"/>
  <c r="H314" i="15"/>
  <c r="N314" i="15"/>
  <c r="S314" i="15"/>
  <c r="H315" i="15"/>
  <c r="N315" i="15"/>
  <c r="S315" i="15"/>
  <c r="H316" i="15"/>
  <c r="N316" i="15"/>
  <c r="S316" i="15"/>
  <c r="H317" i="15"/>
  <c r="N317" i="15"/>
  <c r="S317" i="15"/>
  <c r="H318" i="15"/>
  <c r="N318" i="15"/>
  <c r="S318" i="15"/>
  <c r="H319" i="15"/>
  <c r="N319" i="15"/>
  <c r="S319" i="15"/>
  <c r="H320" i="15"/>
  <c r="N320" i="15"/>
  <c r="S320" i="15"/>
  <c r="H321" i="15"/>
  <c r="N321" i="15"/>
  <c r="S321" i="15"/>
  <c r="H322" i="15"/>
  <c r="N322" i="15"/>
  <c r="S322" i="15"/>
  <c r="H323" i="15"/>
  <c r="N323" i="15"/>
  <c r="S323" i="15"/>
  <c r="H324" i="15"/>
  <c r="N324" i="15"/>
  <c r="S324" i="15"/>
  <c r="H325" i="15"/>
  <c r="N325" i="15"/>
  <c r="S325" i="15"/>
  <c r="H326" i="15"/>
  <c r="N326" i="15"/>
  <c r="S326" i="15"/>
  <c r="H327" i="15"/>
  <c r="N327" i="15"/>
  <c r="S327" i="15"/>
  <c r="H328" i="15"/>
  <c r="N328" i="15"/>
  <c r="S328" i="15"/>
  <c r="H329" i="15"/>
  <c r="N329" i="15"/>
  <c r="S329" i="15"/>
  <c r="H330" i="15"/>
  <c r="N330" i="15"/>
  <c r="S330" i="15"/>
  <c r="H331" i="15"/>
  <c r="N331" i="15"/>
  <c r="S331" i="15"/>
  <c r="H332" i="15"/>
  <c r="N332" i="15"/>
  <c r="S332" i="15"/>
  <c r="H333" i="15"/>
  <c r="N333" i="15"/>
  <c r="S333" i="15"/>
  <c r="H334" i="15"/>
  <c r="N334" i="15"/>
  <c r="S334" i="15"/>
  <c r="H335" i="15"/>
  <c r="N335" i="15"/>
  <c r="S335" i="15"/>
  <c r="H336" i="15"/>
  <c r="N336" i="15"/>
  <c r="S336" i="15"/>
  <c r="H337" i="15"/>
  <c r="N337" i="15"/>
  <c r="S337" i="15"/>
  <c r="H338" i="15"/>
  <c r="N338" i="15"/>
  <c r="S338" i="15"/>
  <c r="H339" i="15"/>
  <c r="N339" i="15"/>
  <c r="S339" i="15"/>
  <c r="H340" i="15"/>
  <c r="N340" i="15"/>
  <c r="S340" i="15"/>
  <c r="H341" i="15"/>
  <c r="N341" i="15"/>
  <c r="S341" i="15"/>
  <c r="H342" i="15"/>
  <c r="N342" i="15"/>
  <c r="S342" i="15"/>
  <c r="H343" i="15"/>
  <c r="N343" i="15"/>
  <c r="S343" i="15"/>
  <c r="H344" i="15"/>
  <c r="N344" i="15"/>
  <c r="S344" i="15"/>
  <c r="H345" i="15"/>
  <c r="N345" i="15"/>
  <c r="S345" i="15"/>
  <c r="H346" i="15"/>
  <c r="N346" i="15"/>
  <c r="S346" i="15"/>
  <c r="H347" i="15"/>
  <c r="N347" i="15"/>
  <c r="S347" i="15"/>
  <c r="H348" i="15"/>
  <c r="N348" i="15"/>
  <c r="S348" i="15"/>
  <c r="H349" i="15"/>
  <c r="N349" i="15"/>
  <c r="S349" i="15"/>
  <c r="H350" i="15"/>
  <c r="N350" i="15"/>
  <c r="S350" i="15"/>
  <c r="H351" i="15"/>
  <c r="N351" i="15"/>
  <c r="S351" i="15"/>
  <c r="H352" i="15"/>
  <c r="N352" i="15"/>
  <c r="S352" i="15"/>
  <c r="H353" i="15"/>
  <c r="N353" i="15"/>
  <c r="S353" i="15"/>
  <c r="H354" i="15"/>
  <c r="N354" i="15"/>
  <c r="S354" i="15"/>
  <c r="H355" i="15"/>
  <c r="N355" i="15"/>
  <c r="S355" i="15"/>
  <c r="H356" i="15"/>
  <c r="N356" i="15"/>
  <c r="S356" i="15"/>
  <c r="H357" i="15"/>
  <c r="N357" i="15"/>
  <c r="S357" i="15"/>
  <c r="H358" i="15"/>
  <c r="N358" i="15"/>
  <c r="S358" i="15"/>
  <c r="H359" i="15"/>
  <c r="N359" i="15"/>
  <c r="S359" i="15"/>
  <c r="H360" i="15"/>
  <c r="N360" i="15"/>
  <c r="S360" i="15"/>
  <c r="H361" i="15"/>
  <c r="N361" i="15"/>
  <c r="S361" i="15"/>
  <c r="H362" i="15"/>
  <c r="N362" i="15"/>
  <c r="S362" i="15"/>
  <c r="H363" i="15"/>
  <c r="N363" i="15"/>
  <c r="S363" i="15"/>
  <c r="H364" i="15"/>
  <c r="N364" i="15"/>
  <c r="S364" i="15"/>
  <c r="H365" i="15"/>
  <c r="N365" i="15"/>
  <c r="S365" i="15"/>
  <c r="H366" i="15"/>
  <c r="N366" i="15"/>
  <c r="S366" i="15"/>
  <c r="H367" i="15"/>
  <c r="N367" i="15"/>
  <c r="S367" i="15"/>
  <c r="H368" i="15"/>
  <c r="N368" i="15"/>
  <c r="S368" i="15"/>
  <c r="H369" i="15"/>
  <c r="N369" i="15"/>
  <c r="S369" i="15"/>
  <c r="H370" i="15"/>
  <c r="N370" i="15"/>
  <c r="S370" i="15"/>
  <c r="H371" i="15"/>
  <c r="N371" i="15"/>
  <c r="S371" i="15"/>
  <c r="H372" i="15"/>
  <c r="N372" i="15"/>
  <c r="S372" i="15"/>
  <c r="H373" i="15"/>
  <c r="N373" i="15"/>
  <c r="S373" i="15"/>
  <c r="H374" i="15"/>
  <c r="N374" i="15"/>
  <c r="S374" i="15"/>
  <c r="H375" i="15"/>
  <c r="N375" i="15"/>
  <c r="S375" i="15"/>
  <c r="H376" i="15"/>
  <c r="N376" i="15"/>
  <c r="S376" i="15"/>
  <c r="H377" i="15"/>
  <c r="N377" i="15"/>
  <c r="S377" i="15"/>
  <c r="H378" i="15"/>
  <c r="N378" i="15"/>
  <c r="S378" i="15"/>
  <c r="H379" i="15"/>
  <c r="N379" i="15"/>
  <c r="S379" i="15"/>
  <c r="H380" i="15"/>
  <c r="N380" i="15"/>
  <c r="S380" i="15"/>
  <c r="H381" i="15"/>
  <c r="N381" i="15"/>
  <c r="S381" i="15"/>
  <c r="H382" i="15"/>
  <c r="N382" i="15"/>
  <c r="S382" i="15"/>
  <c r="H383" i="15"/>
  <c r="N383" i="15"/>
  <c r="S383" i="15"/>
  <c r="H384" i="15"/>
  <c r="N384" i="15"/>
  <c r="S384" i="15"/>
  <c r="H385" i="15"/>
  <c r="N385" i="15"/>
  <c r="S385" i="15"/>
  <c r="H386" i="15"/>
  <c r="N386" i="15"/>
  <c r="S386" i="15"/>
  <c r="H387" i="15"/>
  <c r="N387" i="15"/>
  <c r="S387" i="15"/>
  <c r="H388" i="15"/>
  <c r="N388" i="15"/>
  <c r="S388" i="15"/>
  <c r="H389" i="15"/>
  <c r="N389" i="15"/>
  <c r="S389" i="15"/>
  <c r="H390" i="15"/>
  <c r="N390" i="15"/>
  <c r="S390" i="15"/>
  <c r="H391" i="15"/>
  <c r="N391" i="15"/>
  <c r="S391" i="15"/>
  <c r="H392" i="15"/>
  <c r="N392" i="15"/>
  <c r="S392" i="15"/>
  <c r="H393" i="15"/>
  <c r="N393" i="15"/>
  <c r="S393" i="15"/>
  <c r="H394" i="15"/>
  <c r="N394" i="15"/>
  <c r="S394" i="15"/>
  <c r="H395" i="15"/>
  <c r="N395" i="15"/>
  <c r="S395" i="15"/>
  <c r="H396" i="15"/>
  <c r="N396" i="15"/>
  <c r="S396" i="15"/>
  <c r="H397" i="15"/>
  <c r="N397" i="15"/>
  <c r="S397" i="15"/>
  <c r="H398" i="15"/>
  <c r="N398" i="15"/>
  <c r="S398" i="15"/>
  <c r="H399" i="15"/>
  <c r="N399" i="15"/>
  <c r="S399" i="15"/>
  <c r="H400" i="15"/>
  <c r="N400" i="15"/>
  <c r="S400" i="15"/>
  <c r="H401" i="15"/>
  <c r="N401" i="15"/>
  <c r="S401" i="15"/>
  <c r="H402" i="15"/>
  <c r="N402" i="15"/>
  <c r="S402" i="15"/>
  <c r="H403" i="15"/>
  <c r="N403" i="15"/>
  <c r="S403" i="15"/>
  <c r="H404" i="15"/>
  <c r="N404" i="15"/>
  <c r="S404" i="15"/>
  <c r="H405" i="15"/>
  <c r="N405" i="15"/>
  <c r="S405" i="15"/>
  <c r="H406" i="15"/>
  <c r="N406" i="15"/>
  <c r="S406" i="15"/>
  <c r="H407" i="15"/>
  <c r="N407" i="15"/>
  <c r="S407" i="15"/>
  <c r="H408" i="15"/>
  <c r="N408" i="15"/>
  <c r="S408" i="15"/>
  <c r="H409" i="15"/>
  <c r="N409" i="15"/>
  <c r="S409" i="15"/>
  <c r="H410" i="15"/>
  <c r="N410" i="15"/>
  <c r="S410" i="15"/>
  <c r="H411" i="15"/>
  <c r="N411" i="15"/>
  <c r="S411" i="15"/>
  <c r="H412" i="15"/>
  <c r="N412" i="15"/>
  <c r="S412" i="15"/>
  <c r="H413" i="15"/>
  <c r="N413" i="15"/>
  <c r="S413" i="15"/>
  <c r="H414" i="15"/>
  <c r="N414" i="15"/>
  <c r="S414" i="15"/>
  <c r="H415" i="15"/>
  <c r="N415" i="15"/>
  <c r="S415" i="15"/>
  <c r="H416" i="15"/>
  <c r="N416" i="15"/>
  <c r="S416" i="15"/>
  <c r="H417" i="15"/>
  <c r="N417" i="15"/>
  <c r="S417" i="15"/>
  <c r="H418" i="15"/>
  <c r="N418" i="15"/>
  <c r="S418" i="15"/>
  <c r="H419" i="15"/>
  <c r="N419" i="15"/>
  <c r="S419" i="15"/>
  <c r="H420" i="15"/>
  <c r="N420" i="15"/>
  <c r="S420" i="15"/>
  <c r="H421" i="15"/>
  <c r="N421" i="15"/>
  <c r="S421" i="15"/>
  <c r="H422" i="15"/>
  <c r="N422" i="15"/>
  <c r="S422" i="15"/>
  <c r="H423" i="15"/>
  <c r="N423" i="15"/>
  <c r="S423" i="15"/>
  <c r="H424" i="15"/>
  <c r="N424" i="15"/>
  <c r="S424" i="15"/>
  <c r="H425" i="15"/>
  <c r="N425" i="15"/>
  <c r="S425" i="15"/>
  <c r="H426" i="15"/>
  <c r="N426" i="15"/>
  <c r="S426" i="15"/>
  <c r="H427" i="15"/>
  <c r="N427" i="15"/>
  <c r="S427" i="15"/>
  <c r="H428" i="15"/>
  <c r="N428" i="15"/>
  <c r="S428" i="15"/>
  <c r="H429" i="15"/>
  <c r="N429" i="15"/>
  <c r="S429" i="15"/>
  <c r="H430" i="15"/>
  <c r="N430" i="15"/>
  <c r="S430" i="15"/>
  <c r="H431" i="15"/>
  <c r="N431" i="15"/>
  <c r="S431" i="15"/>
  <c r="H432" i="15"/>
  <c r="N432" i="15"/>
  <c r="S432" i="15"/>
  <c r="H433" i="15"/>
  <c r="N433" i="15"/>
  <c r="S433" i="15"/>
  <c r="H434" i="15"/>
  <c r="N434" i="15"/>
  <c r="S434" i="15"/>
  <c r="H435" i="15"/>
  <c r="N435" i="15"/>
  <c r="S435" i="15"/>
  <c r="H436" i="15"/>
  <c r="N436" i="15"/>
  <c r="S436" i="15"/>
  <c r="H437" i="15"/>
  <c r="N437" i="15"/>
  <c r="S437" i="15"/>
  <c r="H438" i="15"/>
  <c r="N438" i="15"/>
  <c r="S438" i="15"/>
  <c r="H439" i="15"/>
  <c r="N439" i="15"/>
  <c r="S439" i="15"/>
  <c r="H440" i="15"/>
  <c r="N440" i="15"/>
  <c r="S440" i="15"/>
  <c r="H441" i="15"/>
  <c r="N441" i="15"/>
  <c r="S441" i="15"/>
  <c r="H442" i="15"/>
  <c r="N442" i="15"/>
  <c r="S442" i="15"/>
  <c r="H443" i="15"/>
  <c r="N443" i="15"/>
  <c r="S443" i="15"/>
  <c r="H444" i="15"/>
  <c r="N444" i="15"/>
  <c r="S444" i="15"/>
  <c r="H445" i="15"/>
  <c r="N445" i="15"/>
  <c r="S445" i="15"/>
  <c r="H446" i="15"/>
  <c r="N446" i="15"/>
  <c r="S446" i="15"/>
  <c r="H447" i="15"/>
  <c r="N447" i="15"/>
  <c r="S447" i="15"/>
  <c r="H448" i="15"/>
  <c r="N448" i="15"/>
  <c r="S448" i="15"/>
  <c r="H449" i="15"/>
  <c r="N449" i="15"/>
  <c r="S449" i="15"/>
  <c r="H450" i="15"/>
  <c r="N450" i="15"/>
  <c r="S450" i="15"/>
  <c r="H451" i="15"/>
  <c r="N451" i="15"/>
  <c r="S451" i="15"/>
  <c r="H452" i="15"/>
  <c r="N452" i="15"/>
  <c r="S452" i="15"/>
  <c r="H453" i="15"/>
  <c r="N453" i="15"/>
  <c r="S453" i="15"/>
  <c r="H454" i="15"/>
  <c r="N454" i="15"/>
  <c r="S454" i="15"/>
  <c r="H455" i="15"/>
  <c r="N455" i="15"/>
  <c r="S455" i="15"/>
  <c r="H456" i="15"/>
  <c r="N456" i="15"/>
  <c r="S456" i="15"/>
  <c r="H457" i="15"/>
  <c r="N457" i="15"/>
  <c r="S457" i="15"/>
  <c r="H458" i="15"/>
  <c r="N458" i="15"/>
  <c r="S458" i="15"/>
  <c r="H459" i="15"/>
  <c r="N459" i="15"/>
  <c r="S459" i="15"/>
  <c r="H460" i="15"/>
  <c r="N460" i="15"/>
  <c r="S460" i="15"/>
  <c r="H461" i="15"/>
  <c r="N461" i="15"/>
  <c r="S461" i="15"/>
  <c r="H462" i="15"/>
  <c r="N462" i="15"/>
  <c r="S462" i="15"/>
  <c r="H463" i="15"/>
  <c r="N463" i="15"/>
  <c r="S463" i="15"/>
  <c r="H464" i="15"/>
  <c r="N464" i="15"/>
  <c r="S464" i="15"/>
  <c r="H465" i="15"/>
  <c r="N465" i="15"/>
  <c r="S465" i="15"/>
  <c r="H466" i="15"/>
  <c r="N466" i="15"/>
  <c r="S466" i="15"/>
  <c r="H467" i="15"/>
  <c r="N467" i="15"/>
  <c r="S467" i="15"/>
  <c r="H468" i="15"/>
  <c r="N468" i="15"/>
  <c r="S468" i="15"/>
  <c r="H469" i="15"/>
  <c r="N469" i="15"/>
  <c r="S469" i="15"/>
  <c r="H470" i="15"/>
  <c r="N470" i="15"/>
  <c r="S470" i="15"/>
  <c r="H471" i="15"/>
  <c r="N471" i="15"/>
  <c r="S471" i="15"/>
  <c r="H472" i="15"/>
  <c r="N472" i="15"/>
  <c r="S472" i="15"/>
  <c r="H473" i="15"/>
  <c r="N473" i="15"/>
  <c r="S473" i="15"/>
  <c r="H474" i="15"/>
  <c r="N474" i="15"/>
  <c r="S474" i="15"/>
  <c r="H475" i="15"/>
  <c r="N475" i="15"/>
  <c r="S475" i="15"/>
  <c r="H476" i="15"/>
  <c r="N476" i="15"/>
  <c r="S476" i="15"/>
  <c r="H477" i="15"/>
  <c r="N477" i="15"/>
  <c r="S477" i="15"/>
  <c r="H478" i="15"/>
  <c r="N478" i="15"/>
  <c r="S478" i="15"/>
  <c r="H479" i="15"/>
  <c r="N479" i="15"/>
  <c r="S479" i="15"/>
  <c r="H480" i="15"/>
  <c r="N480" i="15"/>
  <c r="S480" i="15"/>
  <c r="H481" i="15"/>
  <c r="N481" i="15"/>
  <c r="S481" i="15"/>
  <c r="H482" i="15"/>
  <c r="N482" i="15"/>
  <c r="S482" i="15"/>
  <c r="H483" i="15"/>
  <c r="N483" i="15"/>
  <c r="S483" i="15"/>
  <c r="H484" i="15"/>
  <c r="N484" i="15"/>
  <c r="S484" i="15"/>
  <c r="H485" i="15"/>
  <c r="N485" i="15"/>
  <c r="S485" i="15"/>
  <c r="H486" i="15"/>
  <c r="N486" i="15"/>
  <c r="S486" i="15"/>
  <c r="H487" i="15"/>
  <c r="N487" i="15"/>
  <c r="S487" i="15"/>
  <c r="H488" i="15"/>
  <c r="N488" i="15"/>
  <c r="S488" i="15"/>
  <c r="H489" i="15"/>
  <c r="N489" i="15"/>
  <c r="S489" i="15"/>
  <c r="H490" i="15"/>
  <c r="N490" i="15"/>
  <c r="S490" i="15"/>
  <c r="H491" i="15"/>
  <c r="N491" i="15"/>
  <c r="S491" i="15"/>
  <c r="H492" i="15"/>
  <c r="N492" i="15"/>
  <c r="S492" i="15"/>
  <c r="H493" i="15"/>
  <c r="N493" i="15"/>
  <c r="S493" i="15"/>
  <c r="H494" i="15"/>
  <c r="N494" i="15"/>
  <c r="S494" i="15"/>
  <c r="H495" i="15"/>
  <c r="N495" i="15"/>
  <c r="S495" i="15"/>
  <c r="H496" i="15"/>
  <c r="N496" i="15"/>
  <c r="S496" i="15"/>
  <c r="H497" i="15"/>
  <c r="N497" i="15"/>
  <c r="S497" i="15"/>
  <c r="H498" i="15"/>
  <c r="N498" i="15"/>
  <c r="S498" i="15"/>
  <c r="H499" i="15"/>
  <c r="N499" i="15"/>
  <c r="S499" i="15"/>
  <c r="H500" i="15"/>
  <c r="N500" i="15"/>
  <c r="S500" i="15"/>
  <c r="H501" i="15"/>
  <c r="N501" i="15"/>
  <c r="S501" i="15"/>
  <c r="H502" i="15"/>
  <c r="N502" i="15"/>
  <c r="S502" i="15"/>
  <c r="H503" i="15"/>
  <c r="N503" i="15"/>
  <c r="S503" i="15"/>
  <c r="H504" i="15"/>
  <c r="N504" i="15"/>
  <c r="S504" i="15"/>
  <c r="H505" i="15"/>
  <c r="N505" i="15"/>
  <c r="S505" i="15"/>
  <c r="H506" i="15"/>
  <c r="N506" i="15"/>
  <c r="S506" i="15"/>
  <c r="H507" i="15"/>
  <c r="N507" i="15"/>
  <c r="S507" i="15"/>
  <c r="H508" i="15"/>
  <c r="N508" i="15"/>
  <c r="S508" i="15"/>
  <c r="H509" i="15"/>
  <c r="N509" i="15"/>
  <c r="S509" i="15"/>
  <c r="H510" i="15"/>
  <c r="N510" i="15"/>
  <c r="S510" i="15"/>
  <c r="H511" i="15"/>
  <c r="N511" i="15"/>
  <c r="S511" i="15"/>
  <c r="H512" i="15"/>
  <c r="N512" i="15"/>
  <c r="S512" i="15"/>
  <c r="H513" i="15"/>
  <c r="N513" i="15"/>
  <c r="S513" i="15"/>
  <c r="H514" i="15"/>
  <c r="N514" i="15"/>
  <c r="S514" i="15"/>
  <c r="H515" i="15"/>
  <c r="N515" i="15"/>
  <c r="S515" i="15"/>
  <c r="H516" i="15"/>
  <c r="N516" i="15"/>
  <c r="S516" i="15"/>
  <c r="H517" i="15"/>
  <c r="N517" i="15"/>
  <c r="S517" i="15"/>
  <c r="H518" i="15"/>
  <c r="N518" i="15"/>
  <c r="S518" i="15"/>
  <c r="H519" i="15"/>
  <c r="N519" i="15"/>
  <c r="S519" i="15"/>
  <c r="H520" i="15"/>
  <c r="N520" i="15"/>
  <c r="S520" i="15"/>
  <c r="H521" i="15"/>
  <c r="N521" i="15"/>
  <c r="S521" i="15"/>
  <c r="H522" i="15"/>
  <c r="N522" i="15"/>
  <c r="S522" i="15"/>
  <c r="H523" i="15"/>
  <c r="N523" i="15"/>
  <c r="S523" i="15"/>
  <c r="H524" i="15"/>
  <c r="N524" i="15"/>
  <c r="S524" i="15"/>
  <c r="H525" i="15"/>
  <c r="N525" i="15"/>
  <c r="S525" i="15"/>
  <c r="H526" i="15"/>
  <c r="N526" i="15"/>
  <c r="S526" i="15"/>
  <c r="H527" i="15"/>
  <c r="N527" i="15"/>
  <c r="S527" i="15"/>
  <c r="H528" i="15"/>
  <c r="N528" i="15"/>
  <c r="S528" i="15"/>
  <c r="H529" i="15"/>
  <c r="N529" i="15"/>
  <c r="S529" i="15"/>
  <c r="H530" i="15"/>
  <c r="N530" i="15"/>
  <c r="S530" i="15"/>
  <c r="H531" i="15"/>
  <c r="N531" i="15"/>
  <c r="S531" i="15"/>
  <c r="H532" i="15"/>
  <c r="N532" i="15"/>
  <c r="S532" i="15"/>
  <c r="H533" i="15"/>
  <c r="N533" i="15"/>
  <c r="S533" i="15"/>
  <c r="H534" i="15"/>
  <c r="N534" i="15"/>
  <c r="S534" i="15"/>
  <c r="H535" i="15"/>
  <c r="N535" i="15"/>
  <c r="S535" i="15"/>
  <c r="H536" i="15"/>
  <c r="N536" i="15"/>
  <c r="S536" i="15"/>
  <c r="H537" i="15"/>
  <c r="N537" i="15"/>
  <c r="S537" i="15"/>
  <c r="H538" i="15"/>
  <c r="N538" i="15"/>
  <c r="S538" i="15"/>
  <c r="H539" i="15"/>
  <c r="N539" i="15"/>
  <c r="S539" i="15"/>
  <c r="H540" i="15"/>
  <c r="N540" i="15"/>
  <c r="S540" i="15"/>
  <c r="H541" i="15"/>
  <c r="N541" i="15"/>
  <c r="S541" i="15"/>
  <c r="H542" i="15"/>
  <c r="N542" i="15"/>
  <c r="S542" i="15"/>
  <c r="H543" i="15"/>
  <c r="N543" i="15"/>
  <c r="S543" i="15"/>
  <c r="H544" i="15"/>
  <c r="N544" i="15"/>
  <c r="S544" i="15"/>
  <c r="H545" i="15"/>
  <c r="N545" i="15"/>
  <c r="S545" i="15"/>
  <c r="H546" i="15"/>
  <c r="N546" i="15"/>
  <c r="S546" i="15"/>
  <c r="H547" i="15"/>
  <c r="N547" i="15"/>
  <c r="S547" i="15"/>
  <c r="H548" i="15"/>
  <c r="N548" i="15"/>
  <c r="S548" i="15"/>
  <c r="H549" i="15"/>
  <c r="N549" i="15"/>
  <c r="S549" i="15"/>
  <c r="H550" i="15"/>
  <c r="N550" i="15"/>
  <c r="S550" i="15"/>
  <c r="H551" i="15"/>
  <c r="N551" i="15"/>
  <c r="S551" i="15"/>
  <c r="H552" i="15"/>
  <c r="N552" i="15"/>
  <c r="S552" i="15"/>
  <c r="H553" i="15"/>
  <c r="N553" i="15"/>
  <c r="S553" i="15"/>
  <c r="H554" i="15"/>
  <c r="N554" i="15"/>
  <c r="S554" i="15"/>
  <c r="H555" i="15"/>
  <c r="N555" i="15"/>
  <c r="S555" i="15"/>
  <c r="H556" i="15"/>
  <c r="N556" i="15"/>
  <c r="S556" i="15"/>
  <c r="H557" i="15"/>
  <c r="N557" i="15"/>
  <c r="S557" i="15"/>
  <c r="H558" i="15"/>
  <c r="N558" i="15"/>
  <c r="S558" i="15"/>
  <c r="H559" i="15"/>
  <c r="N559" i="15"/>
  <c r="S559" i="15"/>
  <c r="H560" i="15"/>
  <c r="N560" i="15"/>
  <c r="S560" i="15"/>
  <c r="H561" i="15"/>
  <c r="N561" i="15"/>
  <c r="S561" i="15"/>
  <c r="H562" i="15"/>
  <c r="N562" i="15"/>
  <c r="S562" i="15"/>
  <c r="H563" i="15"/>
  <c r="N563" i="15"/>
  <c r="S563" i="15"/>
  <c r="H564" i="15"/>
  <c r="N564" i="15"/>
  <c r="S564" i="15"/>
  <c r="H565" i="15"/>
  <c r="N565" i="15"/>
  <c r="S565" i="15"/>
  <c r="H566" i="15"/>
  <c r="N566" i="15"/>
  <c r="S566" i="15"/>
  <c r="H567" i="15"/>
  <c r="N567" i="15"/>
  <c r="S567" i="15"/>
  <c r="H568" i="15"/>
  <c r="N568" i="15"/>
  <c r="S568" i="15"/>
  <c r="H569" i="15"/>
  <c r="N569" i="15"/>
  <c r="S569" i="15"/>
  <c r="H570" i="15"/>
  <c r="N570" i="15"/>
  <c r="S570" i="15"/>
  <c r="H571" i="15"/>
  <c r="N571" i="15"/>
  <c r="S571" i="15"/>
  <c r="H572" i="15"/>
  <c r="N572" i="15"/>
  <c r="S572" i="15"/>
  <c r="H573" i="15"/>
  <c r="N573" i="15"/>
  <c r="S573" i="15"/>
  <c r="H574" i="15"/>
  <c r="N574" i="15"/>
  <c r="S574" i="15"/>
  <c r="H575" i="15"/>
  <c r="N575" i="15"/>
  <c r="S575" i="15"/>
  <c r="H576" i="15"/>
  <c r="N576" i="15"/>
  <c r="S576" i="15"/>
  <c r="H577" i="15"/>
  <c r="N577" i="15"/>
  <c r="S577" i="15"/>
  <c r="H578" i="15"/>
  <c r="N578" i="15"/>
  <c r="S578" i="15"/>
  <c r="H579" i="15"/>
  <c r="N579" i="15"/>
  <c r="S579" i="15"/>
  <c r="H580" i="15"/>
  <c r="N580" i="15"/>
  <c r="S580" i="15"/>
  <c r="H581" i="15"/>
  <c r="N581" i="15"/>
  <c r="S581" i="15"/>
  <c r="H582" i="15"/>
  <c r="N582" i="15"/>
  <c r="S582" i="15"/>
  <c r="H583" i="15"/>
  <c r="N583" i="15"/>
  <c r="S583" i="15"/>
  <c r="H584" i="15"/>
  <c r="N584" i="15"/>
  <c r="S584" i="15"/>
  <c r="H585" i="15"/>
  <c r="N585" i="15"/>
  <c r="S585" i="15"/>
  <c r="H586" i="15"/>
  <c r="N586" i="15"/>
  <c r="S586" i="15"/>
  <c r="H587" i="15"/>
  <c r="N587" i="15"/>
  <c r="S587" i="15"/>
  <c r="H588" i="15"/>
  <c r="N588" i="15"/>
  <c r="S588" i="15"/>
  <c r="H589" i="15"/>
  <c r="N589" i="15"/>
  <c r="S589" i="15"/>
  <c r="H590" i="15"/>
  <c r="N590" i="15"/>
  <c r="S590" i="15"/>
  <c r="H591" i="15"/>
  <c r="N591" i="15"/>
  <c r="S591" i="15"/>
  <c r="H592" i="15"/>
  <c r="N592" i="15"/>
  <c r="S592" i="15"/>
  <c r="H593" i="15"/>
  <c r="N593" i="15"/>
  <c r="S593" i="15"/>
  <c r="H594" i="15"/>
  <c r="N594" i="15"/>
  <c r="S594" i="15"/>
  <c r="H595" i="15"/>
  <c r="N595" i="15"/>
  <c r="S595" i="15"/>
  <c r="H596" i="15"/>
  <c r="N596" i="15"/>
  <c r="S596" i="15"/>
  <c r="H597" i="15"/>
  <c r="N597" i="15"/>
  <c r="S597" i="15"/>
  <c r="H598" i="15"/>
  <c r="N598" i="15"/>
  <c r="S598" i="15"/>
  <c r="H599" i="15"/>
  <c r="N599" i="15"/>
  <c r="S599" i="15"/>
  <c r="H600" i="15"/>
  <c r="N600" i="15"/>
  <c r="S600" i="15"/>
  <c r="H601" i="15"/>
  <c r="N601" i="15"/>
  <c r="S601" i="15"/>
  <c r="H602" i="15"/>
  <c r="N602" i="15"/>
  <c r="S602" i="15"/>
  <c r="H603" i="15"/>
  <c r="N603" i="15"/>
  <c r="S603" i="15"/>
  <c r="H604" i="15"/>
  <c r="N604" i="15"/>
  <c r="S604" i="15"/>
  <c r="H605" i="15"/>
  <c r="N605" i="15"/>
  <c r="S605" i="15"/>
  <c r="H606" i="15"/>
  <c r="N606" i="15"/>
  <c r="S606" i="15"/>
  <c r="H607" i="15"/>
  <c r="N607" i="15"/>
  <c r="S607" i="15"/>
  <c r="H608" i="15"/>
  <c r="N608" i="15"/>
  <c r="S608" i="15"/>
  <c r="H609" i="15"/>
  <c r="N609" i="15"/>
  <c r="S609" i="15"/>
  <c r="H610" i="15"/>
  <c r="N610" i="15"/>
  <c r="S610" i="15"/>
  <c r="H611" i="15"/>
  <c r="N611" i="15"/>
  <c r="S611" i="15"/>
  <c r="H612" i="15"/>
  <c r="N612" i="15"/>
  <c r="S612" i="15"/>
  <c r="H613" i="15"/>
  <c r="N613" i="15"/>
  <c r="S613" i="15"/>
  <c r="H614" i="15"/>
  <c r="N614" i="15"/>
  <c r="S614" i="15"/>
  <c r="H615" i="15"/>
  <c r="N615" i="15"/>
  <c r="S615" i="15"/>
  <c r="H616" i="15"/>
  <c r="N616" i="15"/>
  <c r="S616" i="15"/>
  <c r="H617" i="15"/>
  <c r="N617" i="15"/>
  <c r="S617" i="15"/>
  <c r="H618" i="15"/>
  <c r="N618" i="15"/>
  <c r="S618" i="15"/>
  <c r="H619" i="15"/>
  <c r="N619" i="15"/>
  <c r="S619" i="15"/>
  <c r="H620" i="15"/>
  <c r="N620" i="15"/>
  <c r="S620" i="15"/>
  <c r="H621" i="15"/>
  <c r="N621" i="15"/>
  <c r="S621" i="15"/>
  <c r="H622" i="15"/>
  <c r="N622" i="15"/>
  <c r="S622" i="15"/>
  <c r="H623" i="15"/>
  <c r="N623" i="15"/>
  <c r="S623" i="15"/>
  <c r="H624" i="15"/>
  <c r="N624" i="15"/>
  <c r="S624" i="15"/>
  <c r="H625" i="15"/>
  <c r="N625" i="15"/>
  <c r="S625" i="15"/>
  <c r="H626" i="15"/>
  <c r="N626" i="15"/>
  <c r="S626" i="15"/>
  <c r="H627" i="15"/>
  <c r="N627" i="15"/>
  <c r="S627" i="15"/>
  <c r="H628" i="15"/>
  <c r="N628" i="15"/>
  <c r="S628" i="15"/>
  <c r="H629" i="15"/>
  <c r="N629" i="15"/>
  <c r="S629" i="15"/>
  <c r="H630" i="15"/>
  <c r="N630" i="15"/>
  <c r="S630" i="15"/>
  <c r="H631" i="15"/>
  <c r="N631" i="15"/>
  <c r="S631" i="15"/>
  <c r="H632" i="15"/>
  <c r="N632" i="15"/>
  <c r="S632" i="15"/>
  <c r="H633" i="15"/>
  <c r="N633" i="15"/>
  <c r="S633" i="15"/>
  <c r="H634" i="15"/>
  <c r="N634" i="15"/>
  <c r="S634" i="15"/>
  <c r="H635" i="15"/>
  <c r="N635" i="15"/>
  <c r="S635" i="15"/>
  <c r="H636" i="15"/>
  <c r="N636" i="15"/>
  <c r="S636" i="15"/>
  <c r="H637" i="15"/>
  <c r="N637" i="15"/>
  <c r="S637" i="15"/>
  <c r="H638" i="15"/>
  <c r="N638" i="15"/>
  <c r="S638" i="15"/>
  <c r="H639" i="15"/>
  <c r="N639" i="15"/>
  <c r="S639" i="15"/>
  <c r="H640" i="15"/>
  <c r="N640" i="15"/>
  <c r="S640" i="15"/>
  <c r="H641" i="15"/>
  <c r="N641" i="15"/>
  <c r="S641" i="15"/>
  <c r="H642" i="15"/>
  <c r="N642" i="15"/>
  <c r="S642" i="15"/>
  <c r="H643" i="15"/>
  <c r="N643" i="15"/>
  <c r="S643" i="15"/>
  <c r="H644" i="15"/>
  <c r="N644" i="15"/>
  <c r="S644" i="15"/>
  <c r="H645" i="15"/>
  <c r="N645" i="15"/>
  <c r="S645" i="15"/>
  <c r="H646" i="15"/>
  <c r="N646" i="15"/>
  <c r="S646" i="15"/>
  <c r="H647" i="15"/>
  <c r="N647" i="15"/>
  <c r="S647" i="15"/>
  <c r="H648" i="15"/>
  <c r="N648" i="15"/>
  <c r="S648" i="15"/>
  <c r="H649" i="15"/>
  <c r="N649" i="15"/>
  <c r="S649" i="15"/>
  <c r="H650" i="15"/>
  <c r="N650" i="15"/>
  <c r="S650" i="15"/>
  <c r="H651" i="15"/>
  <c r="N651" i="15"/>
  <c r="S651" i="15"/>
  <c r="H652" i="15"/>
  <c r="N652" i="15"/>
  <c r="S652" i="15"/>
  <c r="H653" i="15"/>
  <c r="N653" i="15"/>
  <c r="S653" i="15"/>
  <c r="H654" i="15"/>
  <c r="N654" i="15"/>
  <c r="S654" i="15"/>
  <c r="H655" i="15"/>
  <c r="N655" i="15"/>
  <c r="S655" i="15"/>
  <c r="H656" i="15"/>
  <c r="N656" i="15"/>
  <c r="S656" i="15"/>
  <c r="H657" i="15"/>
  <c r="N657" i="15"/>
  <c r="S657" i="15"/>
  <c r="H658" i="15"/>
  <c r="N658" i="15"/>
  <c r="S658" i="15"/>
  <c r="H659" i="15"/>
  <c r="N659" i="15"/>
  <c r="S659" i="15"/>
  <c r="H660" i="15"/>
  <c r="N660" i="15"/>
  <c r="S660" i="15"/>
  <c r="H661" i="15"/>
  <c r="N661" i="15"/>
  <c r="S661" i="15"/>
  <c r="H662" i="15"/>
  <c r="N662" i="15"/>
  <c r="S662" i="15"/>
  <c r="H663" i="15"/>
  <c r="N663" i="15"/>
  <c r="S663" i="15"/>
  <c r="H664" i="15"/>
  <c r="N664" i="15"/>
  <c r="S664" i="15"/>
  <c r="H665" i="15"/>
  <c r="N665" i="15"/>
  <c r="S665" i="15"/>
  <c r="H666" i="15"/>
  <c r="N666" i="15"/>
  <c r="S666" i="15"/>
  <c r="H667" i="15"/>
  <c r="N667" i="15"/>
  <c r="S667" i="15"/>
  <c r="H668" i="15"/>
  <c r="N668" i="15"/>
  <c r="S668" i="15"/>
  <c r="H669" i="15"/>
  <c r="N669" i="15"/>
  <c r="S669" i="15"/>
  <c r="H670" i="15"/>
  <c r="N670" i="15"/>
  <c r="S670" i="15"/>
  <c r="H671" i="15"/>
  <c r="N671" i="15"/>
  <c r="S671" i="15"/>
  <c r="H672" i="15"/>
  <c r="N672" i="15"/>
  <c r="S672" i="15"/>
  <c r="H673" i="15"/>
  <c r="N673" i="15"/>
  <c r="S673" i="15"/>
  <c r="H674" i="15"/>
  <c r="N674" i="15"/>
  <c r="S674" i="15"/>
  <c r="H675" i="15"/>
  <c r="N675" i="15"/>
  <c r="S675" i="15"/>
  <c r="H676" i="15"/>
  <c r="N676" i="15"/>
  <c r="S676" i="15"/>
  <c r="H677" i="15"/>
  <c r="N677" i="15"/>
  <c r="S677" i="15"/>
  <c r="H678" i="15"/>
  <c r="N678" i="15"/>
  <c r="S678" i="15"/>
  <c r="H679" i="15"/>
  <c r="N679" i="15"/>
  <c r="S679" i="15"/>
  <c r="H680" i="15"/>
  <c r="N680" i="15"/>
  <c r="S680" i="15"/>
  <c r="H681" i="15"/>
  <c r="N681" i="15"/>
  <c r="S681" i="15"/>
  <c r="H682" i="15"/>
  <c r="N682" i="15"/>
  <c r="S682" i="15"/>
  <c r="H683" i="15"/>
  <c r="N683" i="15"/>
  <c r="S683" i="15"/>
  <c r="H684" i="15"/>
  <c r="N684" i="15"/>
  <c r="S684" i="15"/>
  <c r="H685" i="15"/>
  <c r="N685" i="15"/>
  <c r="S685" i="15"/>
  <c r="H686" i="15"/>
  <c r="N686" i="15"/>
  <c r="S686" i="15"/>
  <c r="H687" i="15"/>
  <c r="N687" i="15"/>
  <c r="S687" i="15"/>
  <c r="H688" i="15"/>
  <c r="N688" i="15"/>
  <c r="S688" i="15"/>
  <c r="H689" i="15"/>
  <c r="N689" i="15"/>
  <c r="S689" i="15"/>
  <c r="H690" i="15"/>
  <c r="N690" i="15"/>
  <c r="S690" i="15"/>
  <c r="H691" i="15"/>
  <c r="N691" i="15"/>
  <c r="S691" i="15"/>
  <c r="H692" i="15"/>
  <c r="N692" i="15"/>
  <c r="S692" i="15"/>
  <c r="H693" i="15"/>
  <c r="N693" i="15"/>
  <c r="S693" i="15"/>
  <c r="H694" i="15"/>
  <c r="N694" i="15"/>
  <c r="S694" i="15"/>
  <c r="H695" i="15"/>
  <c r="N695" i="15"/>
  <c r="S695" i="15"/>
  <c r="H696" i="15"/>
  <c r="N696" i="15"/>
  <c r="S696" i="15"/>
  <c r="H697" i="15"/>
  <c r="N697" i="15"/>
  <c r="S697" i="15"/>
  <c r="H698" i="15"/>
  <c r="N698" i="15"/>
  <c r="S698" i="15"/>
  <c r="H699" i="15"/>
  <c r="N699" i="15"/>
  <c r="S699" i="15"/>
  <c r="H700" i="15"/>
  <c r="N700" i="15"/>
  <c r="S700" i="15"/>
  <c r="H701" i="15"/>
  <c r="N701" i="15"/>
  <c r="S701" i="15"/>
  <c r="H702" i="15"/>
  <c r="N702" i="15"/>
  <c r="S702" i="15"/>
  <c r="H703" i="15"/>
  <c r="N703" i="15"/>
  <c r="S703" i="15"/>
  <c r="H704" i="15"/>
  <c r="N704" i="15"/>
  <c r="S704" i="15"/>
  <c r="H705" i="15"/>
  <c r="N705" i="15"/>
  <c r="S705" i="15"/>
  <c r="H706" i="15"/>
  <c r="N706" i="15"/>
  <c r="S706" i="15"/>
  <c r="H707" i="15"/>
  <c r="N707" i="15"/>
  <c r="S707" i="15"/>
  <c r="H708" i="15"/>
  <c r="N708" i="15"/>
  <c r="S708" i="15"/>
  <c r="H709" i="15"/>
  <c r="N709" i="15"/>
  <c r="S709" i="15"/>
  <c r="H710" i="15"/>
  <c r="N710" i="15"/>
  <c r="S710" i="15"/>
  <c r="H711" i="15"/>
  <c r="N711" i="15"/>
  <c r="S711" i="15"/>
  <c r="H712" i="15"/>
  <c r="N712" i="15"/>
  <c r="S712" i="15"/>
  <c r="H713" i="15"/>
  <c r="N713" i="15"/>
  <c r="S713" i="15"/>
  <c r="H714" i="15"/>
  <c r="N714" i="15"/>
  <c r="S714" i="15"/>
  <c r="H715" i="15"/>
  <c r="N715" i="15"/>
  <c r="S715" i="15"/>
  <c r="H716" i="15"/>
  <c r="N716" i="15"/>
  <c r="S716" i="15"/>
  <c r="H717" i="15"/>
  <c r="N717" i="15"/>
  <c r="S717" i="15"/>
  <c r="H718" i="15"/>
  <c r="N718" i="15"/>
  <c r="S718" i="15"/>
  <c r="H719" i="15"/>
  <c r="N719" i="15"/>
  <c r="S719" i="15"/>
  <c r="H720" i="15"/>
  <c r="N720" i="15"/>
  <c r="S720" i="15"/>
  <c r="H721" i="15"/>
  <c r="N721" i="15"/>
  <c r="S721" i="15"/>
  <c r="H722" i="15"/>
  <c r="N722" i="15"/>
  <c r="S722" i="15"/>
  <c r="H723" i="15"/>
  <c r="N723" i="15"/>
  <c r="S723" i="15"/>
  <c r="H724" i="15"/>
  <c r="N724" i="15"/>
  <c r="S724" i="15"/>
  <c r="H725" i="15"/>
  <c r="N725" i="15"/>
  <c r="S725" i="15"/>
  <c r="H726" i="15"/>
  <c r="N726" i="15"/>
  <c r="S726" i="15"/>
  <c r="H727" i="15"/>
  <c r="N727" i="15"/>
  <c r="S727" i="15"/>
  <c r="H728" i="15"/>
  <c r="N728" i="15"/>
  <c r="S728" i="15"/>
  <c r="H729" i="15"/>
  <c r="N729" i="15"/>
  <c r="S729" i="15"/>
  <c r="H730" i="15"/>
  <c r="N730" i="15"/>
  <c r="S730" i="15"/>
  <c r="H731" i="15"/>
  <c r="N731" i="15"/>
  <c r="S731" i="15"/>
  <c r="H732" i="15"/>
  <c r="N732" i="15"/>
  <c r="S732" i="15"/>
  <c r="H733" i="15"/>
  <c r="N733" i="15"/>
  <c r="S733" i="15"/>
  <c r="H734" i="15"/>
  <c r="N734" i="15"/>
  <c r="S734" i="15"/>
  <c r="H735" i="15"/>
  <c r="N735" i="15"/>
  <c r="S735" i="15"/>
  <c r="H736" i="15"/>
  <c r="N736" i="15"/>
  <c r="S736" i="15"/>
  <c r="H737" i="15"/>
  <c r="N737" i="15"/>
  <c r="S737" i="15"/>
  <c r="H738" i="15"/>
  <c r="N738" i="15"/>
  <c r="S738" i="15"/>
  <c r="H739" i="15"/>
  <c r="N739" i="15"/>
  <c r="S739" i="15"/>
  <c r="H740" i="15"/>
  <c r="N740" i="15"/>
  <c r="S740" i="15"/>
  <c r="H741" i="15"/>
  <c r="N741" i="15"/>
  <c r="S741" i="15"/>
  <c r="H742" i="15"/>
  <c r="N742" i="15"/>
  <c r="S742" i="15"/>
  <c r="H743" i="15"/>
  <c r="N743" i="15"/>
  <c r="S743" i="15"/>
  <c r="H744" i="15"/>
  <c r="N744" i="15"/>
  <c r="S744" i="15"/>
  <c r="H745" i="15"/>
  <c r="N745" i="15"/>
  <c r="S745" i="15"/>
  <c r="H746" i="15"/>
  <c r="N746" i="15"/>
  <c r="S746" i="15"/>
  <c r="H747" i="15"/>
  <c r="N747" i="15"/>
  <c r="S747" i="15"/>
  <c r="H748" i="15"/>
  <c r="N748" i="15"/>
  <c r="S748" i="15"/>
  <c r="H749" i="15"/>
  <c r="N749" i="15"/>
  <c r="S749" i="15"/>
  <c r="H750" i="15"/>
  <c r="N750" i="15"/>
  <c r="S750" i="15"/>
  <c r="H751" i="15"/>
  <c r="N751" i="15"/>
  <c r="S751" i="15"/>
  <c r="H752" i="15"/>
  <c r="N752" i="15"/>
  <c r="S752" i="15"/>
  <c r="H753" i="15"/>
  <c r="N753" i="15"/>
  <c r="S753" i="15"/>
  <c r="H754" i="15"/>
  <c r="N754" i="15"/>
  <c r="S754" i="15"/>
  <c r="H755" i="15"/>
  <c r="N755" i="15"/>
  <c r="S755" i="15"/>
  <c r="H756" i="15"/>
  <c r="N756" i="15"/>
  <c r="S756" i="15"/>
  <c r="H757" i="15"/>
  <c r="N757" i="15"/>
  <c r="S757" i="15"/>
  <c r="H758" i="15"/>
  <c r="N758" i="15"/>
  <c r="S758" i="15"/>
  <c r="H759" i="15"/>
  <c r="N759" i="15"/>
  <c r="S759" i="15"/>
  <c r="H760" i="15"/>
  <c r="N760" i="15"/>
  <c r="S760" i="15"/>
  <c r="H761" i="15"/>
  <c r="N761" i="15"/>
  <c r="S761" i="15"/>
  <c r="H762" i="15"/>
  <c r="N762" i="15"/>
  <c r="S762" i="15"/>
  <c r="H763" i="15"/>
  <c r="N763" i="15"/>
  <c r="S763" i="15"/>
  <c r="H764" i="15"/>
  <c r="N764" i="15"/>
  <c r="S764" i="15"/>
  <c r="H765" i="15"/>
  <c r="N765" i="15"/>
  <c r="S765" i="15"/>
  <c r="H766" i="15"/>
  <c r="N766" i="15"/>
  <c r="S766" i="15"/>
  <c r="H767" i="15"/>
  <c r="N767" i="15"/>
  <c r="S767" i="15"/>
  <c r="H768" i="15"/>
  <c r="N768" i="15"/>
  <c r="S768" i="15"/>
  <c r="H769" i="15"/>
  <c r="N769" i="15"/>
  <c r="S769" i="15"/>
  <c r="H770" i="15"/>
  <c r="N770" i="15"/>
  <c r="S770" i="15"/>
  <c r="H771" i="15"/>
  <c r="N771" i="15"/>
  <c r="S771" i="15"/>
  <c r="H772" i="15"/>
  <c r="N772" i="15"/>
  <c r="S772" i="15"/>
  <c r="H773" i="15"/>
  <c r="N773" i="15"/>
  <c r="S773" i="15"/>
  <c r="H774" i="15"/>
  <c r="N774" i="15"/>
  <c r="S774" i="15"/>
  <c r="H775" i="15"/>
  <c r="N775" i="15"/>
  <c r="S775" i="15"/>
  <c r="H776" i="15"/>
  <c r="N776" i="15"/>
  <c r="S776" i="15"/>
  <c r="H777" i="15"/>
  <c r="N777" i="15"/>
  <c r="S777" i="15"/>
  <c r="H778" i="15"/>
  <c r="N778" i="15"/>
  <c r="S778" i="15"/>
  <c r="H779" i="15"/>
  <c r="N779" i="15"/>
  <c r="S779" i="15"/>
  <c r="H780" i="15"/>
  <c r="N780" i="15"/>
  <c r="S780" i="15"/>
  <c r="H781" i="15"/>
  <c r="N781" i="15"/>
  <c r="S781" i="15"/>
  <c r="H782" i="15"/>
  <c r="N782" i="15"/>
  <c r="S782" i="15"/>
  <c r="H783" i="15"/>
  <c r="N783" i="15"/>
  <c r="S783" i="15"/>
  <c r="H784" i="15"/>
  <c r="N784" i="15"/>
  <c r="S784" i="15"/>
  <c r="H785" i="15"/>
  <c r="N785" i="15"/>
  <c r="S785" i="15"/>
  <c r="H786" i="15"/>
  <c r="N786" i="15"/>
  <c r="S786" i="15"/>
  <c r="H787" i="15"/>
  <c r="N787" i="15"/>
  <c r="S787" i="15"/>
  <c r="H788" i="15"/>
  <c r="N788" i="15"/>
  <c r="S788" i="15"/>
  <c r="H789" i="15"/>
  <c r="N789" i="15"/>
  <c r="S789" i="15"/>
  <c r="H790" i="15"/>
  <c r="N790" i="15"/>
  <c r="S790" i="15"/>
  <c r="H791" i="15"/>
  <c r="N791" i="15"/>
  <c r="S791" i="15"/>
  <c r="H792" i="15"/>
  <c r="N792" i="15"/>
  <c r="S792" i="15"/>
  <c r="H793" i="15"/>
  <c r="N793" i="15"/>
  <c r="S793" i="15"/>
  <c r="H794" i="15"/>
  <c r="N794" i="15"/>
  <c r="S794" i="15"/>
  <c r="H795" i="15"/>
  <c r="N795" i="15"/>
  <c r="S795" i="15"/>
  <c r="H796" i="15"/>
  <c r="N796" i="15"/>
  <c r="S796" i="15"/>
  <c r="H797" i="15"/>
  <c r="N797" i="15"/>
  <c r="S797" i="15"/>
  <c r="H798" i="15"/>
  <c r="N798" i="15"/>
  <c r="S798" i="15"/>
  <c r="H799" i="15"/>
  <c r="N799" i="15"/>
  <c r="S799" i="15"/>
  <c r="H800" i="15"/>
  <c r="N800" i="15"/>
  <c r="S800" i="15"/>
  <c r="H801" i="15"/>
  <c r="N801" i="15"/>
  <c r="S801" i="15"/>
  <c r="H802" i="15"/>
  <c r="N802" i="15"/>
  <c r="S802" i="15"/>
  <c r="H803" i="15"/>
  <c r="N803" i="15"/>
  <c r="S803" i="15"/>
  <c r="H804" i="15"/>
  <c r="N804" i="15"/>
  <c r="S804" i="15"/>
  <c r="H805" i="15"/>
  <c r="N805" i="15"/>
  <c r="S805" i="15"/>
  <c r="H806" i="15"/>
  <c r="N806" i="15"/>
  <c r="S806" i="15"/>
  <c r="H807" i="15"/>
  <c r="N807" i="15"/>
  <c r="S807" i="15"/>
  <c r="H808" i="15"/>
  <c r="N808" i="15"/>
  <c r="S808" i="15"/>
  <c r="H809" i="15"/>
  <c r="N809" i="15"/>
  <c r="S809" i="15"/>
  <c r="H810" i="15"/>
  <c r="N810" i="15"/>
  <c r="S810" i="15"/>
  <c r="H811" i="15"/>
  <c r="N811" i="15"/>
  <c r="S811" i="15"/>
  <c r="H812" i="15"/>
  <c r="N812" i="15"/>
  <c r="S812" i="15"/>
  <c r="H813" i="15"/>
  <c r="N813" i="15"/>
  <c r="S813" i="15"/>
  <c r="H814" i="15"/>
  <c r="N814" i="15"/>
  <c r="S814" i="15"/>
  <c r="H815" i="15"/>
  <c r="N815" i="15"/>
  <c r="S815" i="15"/>
  <c r="H816" i="15"/>
  <c r="N816" i="15"/>
  <c r="S816" i="15"/>
  <c r="H817" i="15"/>
  <c r="N817" i="15"/>
  <c r="S817" i="15"/>
  <c r="H818" i="15"/>
  <c r="N818" i="15"/>
  <c r="S818" i="15"/>
  <c r="H819" i="15"/>
  <c r="N819" i="15"/>
  <c r="S819" i="15"/>
  <c r="H820" i="15"/>
  <c r="N820" i="15"/>
  <c r="S820" i="15"/>
  <c r="H821" i="15"/>
  <c r="N821" i="15"/>
  <c r="S821" i="15"/>
  <c r="H822" i="15"/>
  <c r="N822" i="15"/>
  <c r="S822" i="15"/>
  <c r="H823" i="15"/>
  <c r="N823" i="15"/>
  <c r="S823" i="15"/>
  <c r="H824" i="15"/>
  <c r="N824" i="15"/>
  <c r="S824" i="15"/>
  <c r="H825" i="15"/>
  <c r="N825" i="15"/>
  <c r="S825" i="15"/>
  <c r="H826" i="15"/>
  <c r="N826" i="15"/>
  <c r="S826" i="15"/>
  <c r="H827" i="15"/>
  <c r="N827" i="15"/>
  <c r="S827" i="15"/>
  <c r="H828" i="15"/>
  <c r="N828" i="15"/>
  <c r="S828" i="15"/>
  <c r="H829" i="15"/>
  <c r="N829" i="15"/>
  <c r="S829" i="15"/>
  <c r="H830" i="15"/>
  <c r="N830" i="15"/>
  <c r="S830" i="15"/>
  <c r="H831" i="15"/>
  <c r="N831" i="15"/>
  <c r="S831" i="15"/>
  <c r="H832" i="15"/>
  <c r="N832" i="15"/>
  <c r="S832" i="15"/>
  <c r="H833" i="15"/>
  <c r="N833" i="15"/>
  <c r="S833" i="15"/>
  <c r="H834" i="15"/>
  <c r="N834" i="15"/>
  <c r="S834" i="15"/>
  <c r="H835" i="15"/>
  <c r="N835" i="15"/>
  <c r="S835" i="15"/>
  <c r="H836" i="15"/>
  <c r="N836" i="15"/>
  <c r="S836" i="15"/>
  <c r="H837" i="15"/>
  <c r="N837" i="15"/>
  <c r="S837" i="15"/>
  <c r="H838" i="15"/>
  <c r="N838" i="15"/>
  <c r="S838" i="15"/>
  <c r="H839" i="15"/>
  <c r="N839" i="15"/>
  <c r="S839" i="15"/>
  <c r="H840" i="15"/>
  <c r="N840" i="15"/>
  <c r="S840" i="15"/>
  <c r="H841" i="15"/>
  <c r="N841" i="15"/>
  <c r="S841" i="15"/>
  <c r="H842" i="15"/>
  <c r="N842" i="15"/>
  <c r="S842" i="15"/>
  <c r="H843" i="15"/>
  <c r="N843" i="15"/>
  <c r="S843" i="15"/>
  <c r="H844" i="15"/>
  <c r="N844" i="15"/>
  <c r="S844" i="15"/>
  <c r="H845" i="15"/>
  <c r="N845" i="15"/>
  <c r="S845" i="15"/>
  <c r="H846" i="15"/>
  <c r="N846" i="15"/>
  <c r="S846" i="15"/>
  <c r="H847" i="15"/>
  <c r="N847" i="15"/>
  <c r="S847" i="15"/>
  <c r="H848" i="15"/>
  <c r="N848" i="15"/>
  <c r="S848" i="15"/>
  <c r="H849" i="15"/>
  <c r="N849" i="15"/>
  <c r="S849" i="15"/>
  <c r="H850" i="15"/>
  <c r="N850" i="15"/>
  <c r="S850" i="15"/>
  <c r="H851" i="15"/>
  <c r="N851" i="15"/>
  <c r="S851" i="15"/>
  <c r="H852" i="15"/>
  <c r="N852" i="15"/>
  <c r="S852" i="15"/>
  <c r="H853" i="15"/>
  <c r="N853" i="15"/>
  <c r="S853" i="15"/>
  <c r="H854" i="15"/>
  <c r="N854" i="15"/>
  <c r="S854" i="15"/>
  <c r="H855" i="15"/>
  <c r="N855" i="15"/>
  <c r="S855" i="15"/>
  <c r="H856" i="15"/>
  <c r="N856" i="15"/>
  <c r="S856" i="15"/>
  <c r="H857" i="15"/>
  <c r="N857" i="15"/>
  <c r="S857" i="15"/>
  <c r="H858" i="15"/>
  <c r="N858" i="15"/>
  <c r="S858" i="15"/>
  <c r="H859" i="15"/>
  <c r="N859" i="15"/>
  <c r="S859" i="15"/>
  <c r="H860" i="15"/>
  <c r="N860" i="15"/>
  <c r="S860" i="15"/>
  <c r="H861" i="15"/>
  <c r="N861" i="15"/>
  <c r="S861" i="15"/>
  <c r="H862" i="15"/>
  <c r="N862" i="15"/>
  <c r="S862" i="15"/>
  <c r="H863" i="15"/>
  <c r="N863" i="15"/>
  <c r="S863" i="15"/>
  <c r="H864" i="15"/>
  <c r="N864" i="15"/>
  <c r="S864" i="15"/>
  <c r="H865" i="15"/>
  <c r="N865" i="15"/>
  <c r="S865" i="15"/>
  <c r="H866" i="15"/>
  <c r="N866" i="15"/>
  <c r="S866" i="15"/>
  <c r="H867" i="15"/>
  <c r="N867" i="15"/>
  <c r="S867" i="15"/>
  <c r="H868" i="15"/>
  <c r="N868" i="15"/>
  <c r="S868" i="15"/>
  <c r="H869" i="15"/>
  <c r="N869" i="15"/>
  <c r="S869" i="15"/>
  <c r="H870" i="15"/>
  <c r="N870" i="15"/>
  <c r="S870" i="15"/>
  <c r="H871" i="15"/>
  <c r="N871" i="15"/>
  <c r="S871" i="15"/>
  <c r="H872" i="15"/>
  <c r="N872" i="15"/>
  <c r="S872" i="15"/>
  <c r="H873" i="15"/>
  <c r="N873" i="15"/>
  <c r="S873" i="15"/>
  <c r="H874" i="15"/>
  <c r="N874" i="15"/>
  <c r="S874" i="15"/>
  <c r="H875" i="15"/>
  <c r="N875" i="15"/>
  <c r="S875" i="15"/>
  <c r="H876" i="15"/>
  <c r="N876" i="15"/>
  <c r="S876" i="15"/>
  <c r="H877" i="15"/>
  <c r="N877" i="15"/>
  <c r="S877" i="15"/>
  <c r="H878" i="15"/>
  <c r="N878" i="15"/>
  <c r="S878" i="15"/>
  <c r="H879" i="15"/>
  <c r="N879" i="15"/>
  <c r="S879" i="15"/>
  <c r="H880" i="15"/>
  <c r="N880" i="15"/>
  <c r="S880" i="15"/>
  <c r="H881" i="15"/>
  <c r="N881" i="15"/>
  <c r="S881" i="15"/>
  <c r="H882" i="15"/>
  <c r="N882" i="15"/>
  <c r="S882" i="15"/>
  <c r="H883" i="15"/>
  <c r="N883" i="15"/>
  <c r="S883" i="15"/>
  <c r="H884" i="15"/>
  <c r="N884" i="15"/>
  <c r="S884" i="15"/>
  <c r="H885" i="15"/>
  <c r="N885" i="15"/>
  <c r="S885" i="15"/>
  <c r="H886" i="15"/>
  <c r="N886" i="15"/>
  <c r="S886" i="15"/>
  <c r="H887" i="15"/>
  <c r="N887" i="15"/>
  <c r="S887" i="15"/>
  <c r="H888" i="15"/>
  <c r="N888" i="15"/>
  <c r="S888" i="15"/>
  <c r="H889" i="15"/>
  <c r="N889" i="15"/>
  <c r="S889" i="15"/>
  <c r="H890" i="15"/>
  <c r="N890" i="15"/>
  <c r="S890" i="15"/>
  <c r="H891" i="15"/>
  <c r="N891" i="15"/>
  <c r="S891" i="15"/>
  <c r="H892" i="15"/>
  <c r="N892" i="15"/>
  <c r="S892" i="15"/>
  <c r="H893" i="15"/>
  <c r="N893" i="15"/>
  <c r="S893" i="15"/>
  <c r="H894" i="15"/>
  <c r="N894" i="15"/>
  <c r="S894" i="15"/>
  <c r="H895" i="15"/>
  <c r="N895" i="15"/>
  <c r="S895" i="15"/>
  <c r="H896" i="15"/>
  <c r="N896" i="15"/>
  <c r="S896" i="15"/>
  <c r="H897" i="15"/>
  <c r="N897" i="15"/>
  <c r="S897" i="15"/>
  <c r="H898" i="15"/>
  <c r="N898" i="15"/>
  <c r="S898" i="15"/>
  <c r="H899" i="15"/>
  <c r="N899" i="15"/>
  <c r="S899" i="15"/>
  <c r="H900" i="15"/>
  <c r="N900" i="15"/>
  <c r="S900" i="15"/>
  <c r="H901" i="15"/>
  <c r="N901" i="15"/>
  <c r="S901" i="15"/>
  <c r="H902" i="15"/>
  <c r="N902" i="15"/>
  <c r="S902" i="15"/>
  <c r="H903" i="15"/>
  <c r="N903" i="15"/>
  <c r="S903" i="15"/>
  <c r="H904" i="15"/>
  <c r="N904" i="15"/>
  <c r="S904" i="15"/>
  <c r="H905" i="15"/>
  <c r="N905" i="15"/>
  <c r="S905" i="15"/>
  <c r="H906" i="15"/>
  <c r="N906" i="15"/>
  <c r="S906" i="15"/>
  <c r="H907" i="15"/>
  <c r="N907" i="15"/>
  <c r="S907" i="15"/>
  <c r="H908" i="15"/>
  <c r="N908" i="15"/>
  <c r="S908" i="15"/>
  <c r="H909" i="15"/>
  <c r="N909" i="15"/>
  <c r="S909" i="15"/>
  <c r="H910" i="15"/>
  <c r="N910" i="15"/>
  <c r="S910" i="15"/>
  <c r="H911" i="15"/>
  <c r="N911" i="15"/>
  <c r="S911" i="15"/>
  <c r="H912" i="15"/>
  <c r="N912" i="15"/>
  <c r="S912" i="15"/>
  <c r="H913" i="15"/>
  <c r="N913" i="15"/>
  <c r="S913" i="15"/>
  <c r="H914" i="15"/>
  <c r="N914" i="15"/>
  <c r="S914" i="15"/>
  <c r="H915" i="15"/>
  <c r="N915" i="15"/>
  <c r="S915" i="15"/>
  <c r="H916" i="15"/>
  <c r="N916" i="15"/>
  <c r="S916" i="15"/>
  <c r="H917" i="15"/>
  <c r="N917" i="15"/>
  <c r="S917" i="15"/>
  <c r="H918" i="15"/>
  <c r="N918" i="15"/>
  <c r="S918" i="15"/>
  <c r="H919" i="15"/>
  <c r="N919" i="15"/>
  <c r="S919" i="15"/>
  <c r="H920" i="15"/>
  <c r="N920" i="15"/>
  <c r="S920" i="15"/>
  <c r="H921" i="15"/>
  <c r="N921" i="15"/>
  <c r="S921" i="15"/>
  <c r="H922" i="15"/>
  <c r="N922" i="15"/>
  <c r="S922" i="15"/>
  <c r="H923" i="15"/>
  <c r="N923" i="15"/>
  <c r="S923" i="15"/>
  <c r="H924" i="15"/>
  <c r="N924" i="15"/>
  <c r="S924" i="15"/>
  <c r="H925" i="15"/>
  <c r="N925" i="15"/>
  <c r="S925" i="15"/>
  <c r="H926" i="15"/>
  <c r="N926" i="15"/>
  <c r="S926" i="15"/>
  <c r="H927" i="15"/>
  <c r="N927" i="15"/>
  <c r="S927" i="15"/>
  <c r="H928" i="15"/>
  <c r="N928" i="15"/>
  <c r="S928" i="15"/>
  <c r="H929" i="15"/>
  <c r="N929" i="15"/>
  <c r="S929" i="15"/>
  <c r="H930" i="15"/>
  <c r="N930" i="15"/>
  <c r="S930" i="15"/>
  <c r="H931" i="15"/>
  <c r="N931" i="15"/>
  <c r="S931" i="15"/>
  <c r="H932" i="15"/>
  <c r="N932" i="15"/>
  <c r="S932" i="15"/>
  <c r="H933" i="15"/>
  <c r="N933" i="15"/>
  <c r="S933" i="15"/>
  <c r="H934" i="15"/>
  <c r="N934" i="15"/>
  <c r="S934" i="15"/>
  <c r="H935" i="15"/>
  <c r="N935" i="15"/>
  <c r="S935" i="15"/>
  <c r="H936" i="15"/>
  <c r="N936" i="15"/>
  <c r="S936" i="15"/>
  <c r="H937" i="15"/>
  <c r="N937" i="15"/>
  <c r="S937" i="15"/>
  <c r="H938" i="15"/>
  <c r="N938" i="15"/>
  <c r="S938" i="15"/>
  <c r="H939" i="15"/>
  <c r="N939" i="15"/>
  <c r="S939" i="15"/>
  <c r="H940" i="15"/>
  <c r="N940" i="15"/>
  <c r="S940" i="15"/>
  <c r="H941" i="15"/>
  <c r="N941" i="15"/>
  <c r="S941" i="15"/>
  <c r="H942" i="15"/>
  <c r="N942" i="15"/>
  <c r="S942" i="15"/>
  <c r="H943" i="15"/>
  <c r="N943" i="15"/>
  <c r="S943" i="15"/>
  <c r="H944" i="15"/>
  <c r="N944" i="15"/>
  <c r="S944" i="15"/>
  <c r="H945" i="15"/>
  <c r="N945" i="15"/>
  <c r="S945" i="15"/>
  <c r="H946" i="15"/>
  <c r="N946" i="15"/>
  <c r="S946" i="15"/>
  <c r="H947" i="15"/>
  <c r="N947" i="15"/>
  <c r="S947" i="15"/>
  <c r="H948" i="15"/>
  <c r="N948" i="15"/>
  <c r="S948" i="15"/>
  <c r="H949" i="15"/>
  <c r="N949" i="15"/>
  <c r="S949" i="15"/>
  <c r="H950" i="15"/>
  <c r="N950" i="15"/>
  <c r="S950" i="15"/>
  <c r="H951" i="15"/>
  <c r="N951" i="15"/>
  <c r="S951" i="15"/>
  <c r="H952" i="15"/>
  <c r="N952" i="15"/>
  <c r="S952" i="15"/>
  <c r="H953" i="15"/>
  <c r="N953" i="15"/>
  <c r="S953" i="15"/>
  <c r="H954" i="15"/>
  <c r="N954" i="15"/>
  <c r="S954" i="15"/>
  <c r="H955" i="15"/>
  <c r="N955" i="15"/>
  <c r="S955" i="15"/>
  <c r="H956" i="15"/>
  <c r="N956" i="15"/>
  <c r="S956" i="15"/>
  <c r="H957" i="15"/>
  <c r="N957" i="15"/>
  <c r="S957" i="15"/>
  <c r="H958" i="15"/>
  <c r="N958" i="15"/>
  <c r="S958" i="15"/>
  <c r="H959" i="15"/>
  <c r="N959" i="15"/>
  <c r="S959" i="15"/>
  <c r="H960" i="15"/>
  <c r="N960" i="15"/>
  <c r="S960" i="15"/>
  <c r="H961" i="15"/>
  <c r="N961" i="15"/>
  <c r="S961" i="15"/>
  <c r="H962" i="15"/>
  <c r="N962" i="15"/>
  <c r="S962" i="15"/>
  <c r="H963" i="15"/>
  <c r="N963" i="15"/>
  <c r="S963" i="15"/>
  <c r="H964" i="15"/>
  <c r="N964" i="15"/>
  <c r="S964" i="15"/>
  <c r="H965" i="15"/>
  <c r="N965" i="15"/>
  <c r="S965" i="15"/>
  <c r="H966" i="15"/>
  <c r="N966" i="15"/>
  <c r="S966" i="15"/>
  <c r="H967" i="15"/>
  <c r="N967" i="15"/>
  <c r="S967" i="15"/>
  <c r="H968" i="15"/>
  <c r="N968" i="15"/>
  <c r="S968" i="15"/>
  <c r="H969" i="15"/>
  <c r="N969" i="15"/>
  <c r="S969" i="15"/>
  <c r="H970" i="15"/>
  <c r="N970" i="15"/>
  <c r="S970" i="15"/>
  <c r="H971" i="15"/>
  <c r="N971" i="15"/>
  <c r="S971" i="15"/>
  <c r="H972" i="15"/>
  <c r="N972" i="15"/>
  <c r="S972" i="15"/>
  <c r="H973" i="15"/>
  <c r="N973" i="15"/>
  <c r="S973" i="15"/>
  <c r="H974" i="15"/>
  <c r="N974" i="15"/>
  <c r="S974" i="15"/>
  <c r="H975" i="15"/>
  <c r="N975" i="15"/>
  <c r="S975" i="15"/>
  <c r="H976" i="15"/>
  <c r="N976" i="15"/>
  <c r="S976" i="15"/>
  <c r="H977" i="15"/>
  <c r="N977" i="15"/>
  <c r="S977" i="15"/>
  <c r="H978" i="15"/>
  <c r="N978" i="15"/>
  <c r="S978" i="15"/>
  <c r="H979" i="15"/>
  <c r="N979" i="15"/>
  <c r="S979" i="15"/>
  <c r="H980" i="15"/>
  <c r="N980" i="15"/>
  <c r="S980" i="15"/>
  <c r="H981" i="15"/>
  <c r="N981" i="15"/>
  <c r="S981" i="15"/>
  <c r="H982" i="15"/>
  <c r="N982" i="15"/>
  <c r="S982" i="15"/>
  <c r="S17" i="15"/>
  <c r="T17" i="15" s="1"/>
  <c r="Q6" i="15"/>
  <c r="Q7" i="15"/>
  <c r="Q8" i="15" s="1"/>
  <c r="Q9" i="15" s="1"/>
  <c r="Q10" i="15" s="1"/>
  <c r="Q11" i="15" s="1"/>
  <c r="Q12" i="15" s="1"/>
  <c r="Q13" i="15" s="1"/>
  <c r="Q14" i="15" s="1"/>
  <c r="Q15" i="15" s="1"/>
  <c r="Q16" i="15" s="1"/>
  <c r="Q5" i="15"/>
  <c r="N17" i="15"/>
  <c r="O17" i="15" s="1"/>
  <c r="L6" i="15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5" i="15"/>
  <c r="H17" i="15"/>
  <c r="F16" i="15" l="1"/>
  <c r="R5" i="15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L17" i="15" l="1"/>
  <c r="Q17" i="15"/>
  <c r="O18" i="15" l="1"/>
  <c r="M17" i="15"/>
  <c r="J17" i="15"/>
  <c r="C17" i="15" s="1"/>
  <c r="R17" i="15"/>
  <c r="M18" i="15" l="1"/>
  <c r="T18" i="15"/>
  <c r="Q18" i="15" s="1"/>
  <c r="L18" i="15"/>
  <c r="G17" i="15"/>
  <c r="B17" i="15"/>
  <c r="J18" i="15" l="1"/>
  <c r="C18" i="15" s="1"/>
  <c r="G18" i="15" s="1"/>
  <c r="R18" i="15"/>
  <c r="T19" i="15" s="1"/>
  <c r="O19" i="15"/>
  <c r="L19" i="15" s="1"/>
  <c r="D17" i="15"/>
  <c r="R19" i="15" l="1"/>
  <c r="T20" i="15" s="1"/>
  <c r="R20" i="15" s="1"/>
  <c r="Q19" i="15"/>
  <c r="B18" i="15"/>
  <c r="O20" i="15"/>
  <c r="F17" i="15"/>
  <c r="D18" i="15"/>
  <c r="J19" i="15"/>
  <c r="C19" i="15" s="1"/>
  <c r="M19" i="15"/>
  <c r="M20" i="15" s="1"/>
  <c r="Q20" i="15" l="1"/>
  <c r="J20" i="15"/>
  <c r="C20" i="15" s="1"/>
  <c r="G20" i="15" s="1"/>
  <c r="F18" i="15"/>
  <c r="T21" i="15"/>
  <c r="G19" i="15"/>
  <c r="B19" i="15"/>
  <c r="L20" i="15"/>
  <c r="E17" i="15"/>
  <c r="B20" i="15" l="1"/>
  <c r="Q21" i="15"/>
  <c r="E18" i="15"/>
  <c r="R21" i="15"/>
  <c r="O21" i="15"/>
  <c r="D19" i="15"/>
  <c r="D20" i="15" s="1"/>
  <c r="J21" i="15" l="1"/>
  <c r="C21" i="15" s="1"/>
  <c r="M21" i="15"/>
  <c r="L21" i="15"/>
  <c r="T22" i="15"/>
  <c r="Q22" i="15" s="1"/>
  <c r="F19" i="15"/>
  <c r="B21" i="15" l="1"/>
  <c r="F20" i="15"/>
  <c r="E19" i="15"/>
  <c r="R22" i="15"/>
  <c r="O22" i="15"/>
  <c r="J22" i="15" s="1"/>
  <c r="C22" i="15" s="1"/>
  <c r="G22" i="15" l="1"/>
  <c r="B22" i="15"/>
  <c r="T23" i="15"/>
  <c r="Q23" i="15" s="1"/>
  <c r="E20" i="15"/>
  <c r="G21" i="15"/>
  <c r="D21" i="15"/>
  <c r="D22" i="15" s="1"/>
  <c r="M22" i="15"/>
  <c r="L22" i="15"/>
  <c r="F21" i="15" l="1"/>
  <c r="E21" i="15" s="1"/>
  <c r="R23" i="15"/>
  <c r="O23" i="15"/>
  <c r="J23" i="15" s="1"/>
  <c r="C23" i="15" s="1"/>
  <c r="F22" i="15" l="1"/>
  <c r="E22" i="15" s="1"/>
  <c r="L23" i="15"/>
  <c r="T24" i="15"/>
  <c r="Q24" i="15" s="1"/>
  <c r="B23" i="15"/>
  <c r="M23" i="15"/>
  <c r="O24" i="15" l="1"/>
  <c r="G23" i="15"/>
  <c r="D23" i="15"/>
  <c r="T25" i="15"/>
  <c r="Q25" i="15" s="1"/>
  <c r="R24" i="15"/>
  <c r="R25" i="15" l="1"/>
  <c r="T26" i="15"/>
  <c r="Q26" i="15" s="1"/>
  <c r="F23" i="15"/>
  <c r="J24" i="15"/>
  <c r="C24" i="15" s="1"/>
  <c r="L24" i="15"/>
  <c r="M24" i="15"/>
  <c r="R26" i="15" l="1"/>
  <c r="T27" i="15"/>
  <c r="Q27" i="15" s="1"/>
  <c r="B24" i="15"/>
  <c r="E23" i="15"/>
  <c r="O25" i="15"/>
  <c r="J25" i="15" s="1"/>
  <c r="C25" i="15" s="1"/>
  <c r="R27" i="15" l="1"/>
  <c r="G25" i="15"/>
  <c r="B25" i="15"/>
  <c r="M25" i="15"/>
  <c r="G24" i="15"/>
  <c r="D24" i="15"/>
  <c r="T28" i="15"/>
  <c r="L25" i="15"/>
  <c r="R28" i="15" l="1"/>
  <c r="Q28" i="15"/>
  <c r="O26" i="15"/>
  <c r="J26" i="15" s="1"/>
  <c r="C26" i="15" s="1"/>
  <c r="D25" i="15"/>
  <c r="F24" i="15"/>
  <c r="L26" i="15" l="1"/>
  <c r="F25" i="15"/>
  <c r="E24" i="15"/>
  <c r="G26" i="15"/>
  <c r="B26" i="15"/>
  <c r="M26" i="15"/>
  <c r="T29" i="15"/>
  <c r="R29" i="15" s="1"/>
  <c r="Q29" i="15" l="1"/>
  <c r="O27" i="15"/>
  <c r="E25" i="15"/>
  <c r="D26" i="15"/>
  <c r="F26" i="15" l="1"/>
  <c r="T30" i="15"/>
  <c r="R30" i="15" s="1"/>
  <c r="J27" i="15"/>
  <c r="C27" i="15" s="1"/>
  <c r="L27" i="15"/>
  <c r="M27" i="15"/>
  <c r="O28" i="15" l="1"/>
  <c r="J28" i="15" s="1"/>
  <c r="C28" i="15" s="1"/>
  <c r="B27" i="15"/>
  <c r="Q30" i="15"/>
  <c r="E26" i="15"/>
  <c r="L28" i="15" l="1"/>
  <c r="O29" i="15" s="1"/>
  <c r="J29" i="15" s="1"/>
  <c r="C29" i="15" s="1"/>
  <c r="T31" i="15"/>
  <c r="R31" i="15" s="1"/>
  <c r="G27" i="15"/>
  <c r="D27" i="15"/>
  <c r="G28" i="15"/>
  <c r="B28" i="15"/>
  <c r="M28" i="15"/>
  <c r="M29" i="15" l="1"/>
  <c r="Q31" i="15"/>
  <c r="T32" i="15" s="1"/>
  <c r="Q32" i="15" s="1"/>
  <c r="D28" i="15"/>
  <c r="F27" i="15"/>
  <c r="G29" i="15"/>
  <c r="B29" i="15"/>
  <c r="L29" i="15"/>
  <c r="O30" i="15" l="1"/>
  <c r="L30" i="15" s="1"/>
  <c r="F28" i="15"/>
  <c r="E27" i="15"/>
  <c r="D29" i="15"/>
  <c r="R32" i="15"/>
  <c r="O31" i="15" l="1"/>
  <c r="J31" i="15" s="1"/>
  <c r="C31" i="15" s="1"/>
  <c r="T33" i="15"/>
  <c r="Q33" i="15" s="1"/>
  <c r="F29" i="15"/>
  <c r="E28" i="15"/>
  <c r="J30" i="15"/>
  <c r="C30" i="15" s="1"/>
  <c r="M30" i="15"/>
  <c r="M31" i="15" l="1"/>
  <c r="O32" i="15" s="1"/>
  <c r="J32" i="15" s="1"/>
  <c r="C32" i="15" s="1"/>
  <c r="L31" i="15"/>
  <c r="R33" i="15"/>
  <c r="B30" i="15"/>
  <c r="E29" i="15"/>
  <c r="G31" i="15"/>
  <c r="B31" i="15"/>
  <c r="L32" i="15" l="1"/>
  <c r="M32" i="15"/>
  <c r="O33" i="15" s="1"/>
  <c r="J33" i="15" s="1"/>
  <c r="C33" i="15" s="1"/>
  <c r="G30" i="15"/>
  <c r="D30" i="15"/>
  <c r="T34" i="15"/>
  <c r="Q34" i="15" s="1"/>
  <c r="G32" i="15"/>
  <c r="B32" i="15"/>
  <c r="D31" i="15" l="1"/>
  <c r="D32" i="15" s="1"/>
  <c r="F30" i="15"/>
  <c r="L33" i="15"/>
  <c r="G33" i="15"/>
  <c r="B33" i="15"/>
  <c r="T35" i="15"/>
  <c r="Q35" i="15" s="1"/>
  <c r="R34" i="15"/>
  <c r="M33" i="15"/>
  <c r="R35" i="15" l="1"/>
  <c r="F31" i="15"/>
  <c r="E30" i="15"/>
  <c r="O34" i="15"/>
  <c r="J34" i="15" s="1"/>
  <c r="C34" i="15" s="1"/>
  <c r="D33" i="15"/>
  <c r="M34" i="15" l="1"/>
  <c r="O35" i="15" s="1"/>
  <c r="J35" i="15" s="1"/>
  <c r="C35" i="15" s="1"/>
  <c r="T36" i="15"/>
  <c r="Q36" i="15" s="1"/>
  <c r="T37" i="15" s="1"/>
  <c r="Q37" i="15" s="1"/>
  <c r="F32" i="15"/>
  <c r="E31" i="15"/>
  <c r="G34" i="15"/>
  <c r="B34" i="15"/>
  <c r="L34" i="15"/>
  <c r="R36" i="15" l="1"/>
  <c r="R37" i="15" s="1"/>
  <c r="F33" i="15"/>
  <c r="E32" i="15"/>
  <c r="G35" i="15"/>
  <c r="B35" i="15"/>
  <c r="M35" i="15"/>
  <c r="L35" i="15"/>
  <c r="D34" i="15"/>
  <c r="O36" i="15" l="1"/>
  <c r="J36" i="15" s="1"/>
  <c r="C36" i="15" s="1"/>
  <c r="T38" i="15"/>
  <c r="Q38" i="15" s="1"/>
  <c r="F34" i="15"/>
  <c r="E33" i="15"/>
  <c r="D35" i="15"/>
  <c r="T39" i="15" l="1"/>
  <c r="Q39" i="15" s="1"/>
  <c r="F35" i="15"/>
  <c r="E34" i="15"/>
  <c r="R38" i="15"/>
  <c r="L36" i="15"/>
  <c r="G36" i="15"/>
  <c r="B36" i="15"/>
  <c r="M36" i="15"/>
  <c r="R39" i="15" l="1"/>
  <c r="T40" i="15"/>
  <c r="Q40" i="15" s="1"/>
  <c r="O37" i="15"/>
  <c r="J37" i="15" s="1"/>
  <c r="C37" i="15" s="1"/>
  <c r="D36" i="15"/>
  <c r="F36" i="15" s="1"/>
  <c r="E35" i="15"/>
  <c r="R40" i="15" l="1"/>
  <c r="T41" i="15"/>
  <c r="Q41" i="15" s="1"/>
  <c r="E36" i="15"/>
  <c r="G37" i="15"/>
  <c r="B37" i="15"/>
  <c r="M37" i="15"/>
  <c r="L37" i="15"/>
  <c r="R41" i="15" l="1"/>
  <c r="T42" i="15"/>
  <c r="Q42" i="15" s="1"/>
  <c r="D37" i="15"/>
  <c r="O38" i="15"/>
  <c r="J38" i="15" s="1"/>
  <c r="C38" i="15" s="1"/>
  <c r="R42" i="15" l="1"/>
  <c r="T43" i="15" s="1"/>
  <c r="Q43" i="15" s="1"/>
  <c r="M38" i="15"/>
  <c r="G38" i="15"/>
  <c r="B38" i="15"/>
  <c r="L38" i="15"/>
  <c r="D38" i="15"/>
  <c r="F37" i="15"/>
  <c r="T44" i="15" l="1"/>
  <c r="Q44" i="15" s="1"/>
  <c r="O39" i="15"/>
  <c r="J39" i="15" s="1"/>
  <c r="C39" i="15" s="1"/>
  <c r="R43" i="15"/>
  <c r="F38" i="15"/>
  <c r="E37" i="15"/>
  <c r="R44" i="15" l="1"/>
  <c r="T45" i="15"/>
  <c r="Q45" i="15" s="1"/>
  <c r="E38" i="15"/>
  <c r="B39" i="15"/>
  <c r="M39" i="15"/>
  <c r="L39" i="15"/>
  <c r="R45" i="15" l="1"/>
  <c r="T46" i="15" s="1"/>
  <c r="Q46" i="15" s="1"/>
  <c r="G39" i="15"/>
  <c r="D39" i="15"/>
  <c r="O40" i="15"/>
  <c r="J40" i="15" s="1"/>
  <c r="C40" i="15" s="1"/>
  <c r="R46" i="15" l="1"/>
  <c r="G40" i="15"/>
  <c r="B40" i="15"/>
  <c r="L40" i="15"/>
  <c r="M40" i="15"/>
  <c r="D40" i="15"/>
  <c r="F39" i="15"/>
  <c r="F40" i="15" l="1"/>
  <c r="E39" i="15"/>
  <c r="O41" i="15"/>
  <c r="J41" i="15" s="1"/>
  <c r="C41" i="15" s="1"/>
  <c r="T47" i="15"/>
  <c r="Q47" i="15" s="1"/>
  <c r="M41" i="15" l="1"/>
  <c r="L41" i="15"/>
  <c r="O42" i="15" s="1"/>
  <c r="R47" i="15"/>
  <c r="B41" i="15"/>
  <c r="E40" i="15"/>
  <c r="J42" i="15" l="1"/>
  <c r="C42" i="15" s="1"/>
  <c r="M42" i="15"/>
  <c r="G41" i="15"/>
  <c r="D41" i="15"/>
  <c r="L42" i="15"/>
  <c r="T48" i="15"/>
  <c r="Q48" i="15" s="1"/>
  <c r="G42" i="15"/>
  <c r="B42" i="15"/>
  <c r="D42" i="15" l="1"/>
  <c r="F41" i="15"/>
  <c r="R48" i="15"/>
  <c r="O43" i="15"/>
  <c r="J43" i="15" l="1"/>
  <c r="C43" i="15" s="1"/>
  <c r="M43" i="15"/>
  <c r="L43" i="15"/>
  <c r="F42" i="15"/>
  <c r="E41" i="15"/>
  <c r="T49" i="15"/>
  <c r="Q49" i="15" s="1"/>
  <c r="T50" i="15" l="1"/>
  <c r="Q50" i="15" s="1"/>
  <c r="E42" i="15"/>
  <c r="R49" i="15"/>
  <c r="O44" i="15"/>
  <c r="J44" i="15" s="1"/>
  <c r="C44" i="15" s="1"/>
  <c r="B43" i="15"/>
  <c r="R50" i="15" l="1"/>
  <c r="T51" i="15"/>
  <c r="Q51" i="15" s="1"/>
  <c r="G44" i="15"/>
  <c r="B44" i="15"/>
  <c r="L44" i="15"/>
  <c r="M44" i="15"/>
  <c r="G43" i="15"/>
  <c r="D43" i="15"/>
  <c r="T52" i="15" l="1"/>
  <c r="Q52" i="15" s="1"/>
  <c r="O45" i="15"/>
  <c r="J45" i="15" s="1"/>
  <c r="C45" i="15" s="1"/>
  <c r="R51" i="15"/>
  <c r="R52" i="15" s="1"/>
  <c r="D44" i="15"/>
  <c r="F43" i="15"/>
  <c r="M45" i="15" l="1"/>
  <c r="T53" i="15"/>
  <c r="Q53" i="15" s="1"/>
  <c r="F44" i="15"/>
  <c r="E43" i="15"/>
  <c r="O46" i="15"/>
  <c r="J46" i="15" s="1"/>
  <c r="C46" i="15" s="1"/>
  <c r="G45" i="15"/>
  <c r="B45" i="15"/>
  <c r="L45" i="15"/>
  <c r="R53" i="15" l="1"/>
  <c r="D45" i="15"/>
  <c r="F45" i="15" s="1"/>
  <c r="T54" i="15"/>
  <c r="Q54" i="15" s="1"/>
  <c r="M46" i="15"/>
  <c r="L46" i="15"/>
  <c r="G46" i="15"/>
  <c r="B46" i="15"/>
  <c r="E44" i="15"/>
  <c r="R54" i="15" l="1"/>
  <c r="T55" i="15"/>
  <c r="Q55" i="15" s="1"/>
  <c r="O47" i="15"/>
  <c r="J47" i="15" s="1"/>
  <c r="C47" i="15" s="1"/>
  <c r="D46" i="15"/>
  <c r="F46" i="15" s="1"/>
  <c r="E45" i="15"/>
  <c r="R55" i="15" l="1"/>
  <c r="T56" i="15" s="1"/>
  <c r="Q56" i="15" s="1"/>
  <c r="G47" i="15"/>
  <c r="B47" i="15"/>
  <c r="M47" i="15"/>
  <c r="E46" i="15"/>
  <c r="L47" i="15"/>
  <c r="D47" i="15"/>
  <c r="F47" i="15" s="1"/>
  <c r="O48" i="15" l="1"/>
  <c r="J48" i="15" s="1"/>
  <c r="C48" i="15" s="1"/>
  <c r="R56" i="15"/>
  <c r="E47" i="15"/>
  <c r="L48" i="15" l="1"/>
  <c r="T57" i="15"/>
  <c r="Q57" i="15" s="1"/>
  <c r="B48" i="15"/>
  <c r="M48" i="15"/>
  <c r="O49" i="15" l="1"/>
  <c r="G48" i="15"/>
  <c r="D48" i="15"/>
  <c r="R57" i="15"/>
  <c r="T58" i="15" l="1"/>
  <c r="Q58" i="15" s="1"/>
  <c r="F48" i="15"/>
  <c r="J49" i="15"/>
  <c r="C49" i="15" s="1"/>
  <c r="L49" i="15"/>
  <c r="M49" i="15"/>
  <c r="O50" i="15" l="1"/>
  <c r="J50" i="15" s="1"/>
  <c r="C50" i="15" s="1"/>
  <c r="B49" i="15"/>
  <c r="E48" i="15"/>
  <c r="T59" i="15"/>
  <c r="Q59" i="15" s="1"/>
  <c r="R58" i="15"/>
  <c r="L50" i="15" l="1"/>
  <c r="R59" i="15"/>
  <c r="G49" i="15"/>
  <c r="D49" i="15"/>
  <c r="G50" i="15"/>
  <c r="B50" i="15"/>
  <c r="T60" i="15"/>
  <c r="M50" i="15"/>
  <c r="R60" i="15" l="1"/>
  <c r="Q60" i="15"/>
  <c r="D50" i="15"/>
  <c r="F49" i="15"/>
  <c r="O51" i="15"/>
  <c r="J51" i="15" l="1"/>
  <c r="C51" i="15" s="1"/>
  <c r="L51" i="15"/>
  <c r="F50" i="15"/>
  <c r="E49" i="15"/>
  <c r="T61" i="15"/>
  <c r="R61" i="15" s="1"/>
  <c r="M51" i="15"/>
  <c r="O52" i="15" l="1"/>
  <c r="J52" i="15" s="1"/>
  <c r="C52" i="15" s="1"/>
  <c r="E50" i="15"/>
  <c r="Q61" i="15"/>
  <c r="B51" i="15"/>
  <c r="L52" i="15" l="1"/>
  <c r="O53" i="15" s="1"/>
  <c r="J53" i="15" s="1"/>
  <c r="C53" i="15" s="1"/>
  <c r="T62" i="15"/>
  <c r="R62" i="15" s="1"/>
  <c r="G52" i="15"/>
  <c r="B52" i="15"/>
  <c r="G51" i="15"/>
  <c r="D51" i="15"/>
  <c r="M52" i="15"/>
  <c r="D52" i="15" l="1"/>
  <c r="F51" i="15"/>
  <c r="G53" i="15"/>
  <c r="B53" i="15"/>
  <c r="L53" i="15"/>
  <c r="M53" i="15"/>
  <c r="Q62" i="15"/>
  <c r="O54" i="15" l="1"/>
  <c r="J54" i="15" s="1"/>
  <c r="C54" i="15" s="1"/>
  <c r="T63" i="15"/>
  <c r="R63" i="15" s="1"/>
  <c r="F52" i="15"/>
  <c r="E51" i="15"/>
  <c r="D53" i="15"/>
  <c r="M54" i="15" l="1"/>
  <c r="F53" i="15"/>
  <c r="E52" i="15"/>
  <c r="Q63" i="15"/>
  <c r="G54" i="15"/>
  <c r="B54" i="15"/>
  <c r="L54" i="15"/>
  <c r="T64" i="15" l="1"/>
  <c r="R64" i="15" s="1"/>
  <c r="O55" i="15"/>
  <c r="J55" i="15" s="1"/>
  <c r="C55" i="15" s="1"/>
  <c r="E53" i="15"/>
  <c r="D54" i="15"/>
  <c r="L55" i="15" l="1"/>
  <c r="M55" i="15"/>
  <c r="F54" i="15"/>
  <c r="G55" i="15"/>
  <c r="B55" i="15"/>
  <c r="Q64" i="15"/>
  <c r="O56" i="15" l="1"/>
  <c r="M56" i="15" s="1"/>
  <c r="T65" i="15"/>
  <c r="R65" i="15" s="1"/>
  <c r="E54" i="15"/>
  <c r="D55" i="15"/>
  <c r="F55" i="15" l="1"/>
  <c r="Q65" i="15"/>
  <c r="J56" i="15"/>
  <c r="C56" i="15" s="1"/>
  <c r="L56" i="15"/>
  <c r="O57" i="15"/>
  <c r="J57" i="15" s="1"/>
  <c r="C57" i="15" s="1"/>
  <c r="L57" i="15" l="1"/>
  <c r="G57" i="15"/>
  <c r="B57" i="15"/>
  <c r="B56" i="15"/>
  <c r="M57" i="15"/>
  <c r="T66" i="15"/>
  <c r="R66" i="15" s="1"/>
  <c r="E55" i="15"/>
  <c r="G56" i="15" l="1"/>
  <c r="D56" i="15"/>
  <c r="Q66" i="15"/>
  <c r="O58" i="15"/>
  <c r="M58" i="15" s="1"/>
  <c r="T67" i="15" l="1"/>
  <c r="R67" i="15" s="1"/>
  <c r="D57" i="15"/>
  <c r="F56" i="15"/>
  <c r="J58" i="15"/>
  <c r="C58" i="15" s="1"/>
  <c r="L58" i="15"/>
  <c r="Q67" i="15" l="1"/>
  <c r="T68" i="15" s="1"/>
  <c r="R68" i="15" s="1"/>
  <c r="G58" i="15"/>
  <c r="B58" i="15"/>
  <c r="O59" i="15"/>
  <c r="L59" i="15" s="1"/>
  <c r="F57" i="15"/>
  <c r="E56" i="15"/>
  <c r="D58" i="15"/>
  <c r="F58" i="15" l="1"/>
  <c r="E57" i="15"/>
  <c r="Q68" i="15"/>
  <c r="J59" i="15"/>
  <c r="C59" i="15" s="1"/>
  <c r="M59" i="15"/>
  <c r="T69" i="15" l="1"/>
  <c r="R69" i="15" s="1"/>
  <c r="E58" i="15"/>
  <c r="O60" i="15"/>
  <c r="B59" i="15"/>
  <c r="J60" i="15" l="1"/>
  <c r="C60" i="15" s="1"/>
  <c r="L60" i="15"/>
  <c r="M60" i="15"/>
  <c r="G59" i="15"/>
  <c r="D59" i="15"/>
  <c r="Q69" i="15"/>
  <c r="F59" i="15" l="1"/>
  <c r="O61" i="15"/>
  <c r="J61" i="15" s="1"/>
  <c r="C61" i="15" s="1"/>
  <c r="T70" i="15"/>
  <c r="R70" i="15" s="1"/>
  <c r="G60" i="15"/>
  <c r="B60" i="15"/>
  <c r="L61" i="15" l="1"/>
  <c r="Q70" i="15"/>
  <c r="B61" i="15"/>
  <c r="G61" i="15"/>
  <c r="M61" i="15"/>
  <c r="E59" i="15"/>
  <c r="D60" i="15"/>
  <c r="F60" i="15" s="1"/>
  <c r="O62" i="15" l="1"/>
  <c r="T71" i="15"/>
  <c r="R71" i="15" s="1"/>
  <c r="E60" i="15"/>
  <c r="D61" i="15"/>
  <c r="F61" i="15" l="1"/>
  <c r="Q71" i="15"/>
  <c r="J62" i="15"/>
  <c r="C62" i="15" s="1"/>
  <c r="L62" i="15"/>
  <c r="M62" i="15"/>
  <c r="O63" i="15" l="1"/>
  <c r="J63" i="15" s="1"/>
  <c r="C63" i="15" s="1"/>
  <c r="T72" i="15"/>
  <c r="R72" i="15" s="1"/>
  <c r="B62" i="15"/>
  <c r="E61" i="15"/>
  <c r="G62" i="15" l="1"/>
  <c r="D62" i="15"/>
  <c r="Q72" i="15"/>
  <c r="G63" i="15"/>
  <c r="B63" i="15"/>
  <c r="M63" i="15"/>
  <c r="L63" i="15"/>
  <c r="O64" i="15" l="1"/>
  <c r="J64" i="15" s="1"/>
  <c r="C64" i="15" s="1"/>
  <c r="T73" i="15"/>
  <c r="R73" i="15" s="1"/>
  <c r="D63" i="15"/>
  <c r="F62" i="15"/>
  <c r="F63" i="15" l="1"/>
  <c r="E62" i="15"/>
  <c r="Q73" i="15"/>
  <c r="G64" i="15"/>
  <c r="B64" i="15"/>
  <c r="M64" i="15"/>
  <c r="L64" i="15"/>
  <c r="O65" i="15" l="1"/>
  <c r="J65" i="15" s="1"/>
  <c r="C65" i="15" s="1"/>
  <c r="T74" i="15"/>
  <c r="R74" i="15" s="1"/>
  <c r="E63" i="15"/>
  <c r="D64" i="15"/>
  <c r="F64" i="15" s="1"/>
  <c r="L65" i="15" l="1"/>
  <c r="E64" i="15"/>
  <c r="Q74" i="15"/>
  <c r="G65" i="15"/>
  <c r="B65" i="15"/>
  <c r="M65" i="15"/>
  <c r="D65" i="15" l="1"/>
  <c r="T75" i="15"/>
  <c r="R75" i="15" s="1"/>
  <c r="O66" i="15"/>
  <c r="M66" i="15" s="1"/>
  <c r="Q75" i="15" l="1"/>
  <c r="O67" i="15"/>
  <c r="J67" i="15" s="1"/>
  <c r="C67" i="15" s="1"/>
  <c r="J66" i="15"/>
  <c r="C66" i="15" s="1"/>
  <c r="L66" i="15"/>
  <c r="L67" i="15" s="1"/>
  <c r="T76" i="15"/>
  <c r="R76" i="15" s="1"/>
  <c r="F65" i="15"/>
  <c r="Q76" i="15" l="1"/>
  <c r="Q77" i="15" s="1"/>
  <c r="T77" i="15"/>
  <c r="R77" i="15" s="1"/>
  <c r="G67" i="15"/>
  <c r="B67" i="15"/>
  <c r="B66" i="15"/>
  <c r="E65" i="15"/>
  <c r="M67" i="15"/>
  <c r="T78" i="15" l="1"/>
  <c r="R78" i="15" s="1"/>
  <c r="G66" i="15"/>
  <c r="D66" i="15"/>
  <c r="O68" i="15"/>
  <c r="Q78" i="15" l="1"/>
  <c r="T79" i="15"/>
  <c r="R79" i="15" s="1"/>
  <c r="J68" i="15"/>
  <c r="C68" i="15" s="1"/>
  <c r="L68" i="15"/>
  <c r="M68" i="15"/>
  <c r="D67" i="15"/>
  <c r="F66" i="15"/>
  <c r="Q79" i="15" l="1"/>
  <c r="Q80" i="15" s="1"/>
  <c r="T80" i="15"/>
  <c r="R80" i="15" s="1"/>
  <c r="F67" i="15"/>
  <c r="E66" i="15"/>
  <c r="O69" i="15"/>
  <c r="J69" i="15" s="1"/>
  <c r="C69" i="15" s="1"/>
  <c r="G68" i="15"/>
  <c r="B68" i="15"/>
  <c r="T81" i="15" l="1"/>
  <c r="R81" i="15" s="1"/>
  <c r="L69" i="15"/>
  <c r="G69" i="15"/>
  <c r="B69" i="15"/>
  <c r="M69" i="15"/>
  <c r="E67" i="15"/>
  <c r="D68" i="15"/>
  <c r="F68" i="15" s="1"/>
  <c r="Q81" i="15" l="1"/>
  <c r="T82" i="15"/>
  <c r="R82" i="15" s="1"/>
  <c r="E68" i="15"/>
  <c r="O70" i="15"/>
  <c r="J70" i="15" s="1"/>
  <c r="C70" i="15" s="1"/>
  <c r="D69" i="15"/>
  <c r="F69" i="15" s="1"/>
  <c r="T83" i="15" l="1"/>
  <c r="R83" i="15" s="1"/>
  <c r="G70" i="15"/>
  <c r="B70" i="15"/>
  <c r="L70" i="15"/>
  <c r="M70" i="15"/>
  <c r="E69" i="15"/>
  <c r="Q82" i="15"/>
  <c r="O71" i="15" l="1"/>
  <c r="J71" i="15" s="1"/>
  <c r="C71" i="15" s="1"/>
  <c r="D70" i="15"/>
  <c r="Q83" i="15"/>
  <c r="F70" i="15" l="1"/>
  <c r="T84" i="15"/>
  <c r="R84" i="15" s="1"/>
  <c r="L71" i="15"/>
  <c r="G71" i="15"/>
  <c r="B71" i="15"/>
  <c r="M71" i="15"/>
  <c r="O72" i="15" l="1"/>
  <c r="J72" i="15" s="1"/>
  <c r="C72" i="15" s="1"/>
  <c r="Q84" i="15"/>
  <c r="E70" i="15"/>
  <c r="D71" i="15"/>
  <c r="F71" i="15" s="1"/>
  <c r="E71" i="15" l="1"/>
  <c r="T85" i="15"/>
  <c r="R85" i="15" s="1"/>
  <c r="G72" i="15"/>
  <c r="B72" i="15"/>
  <c r="L72" i="15"/>
  <c r="M72" i="15"/>
  <c r="O73" i="15" l="1"/>
  <c r="J73" i="15" s="1"/>
  <c r="C73" i="15" s="1"/>
  <c r="Q85" i="15"/>
  <c r="D72" i="15"/>
  <c r="M73" i="15"/>
  <c r="G73" i="15" l="1"/>
  <c r="B73" i="15"/>
  <c r="D73" i="15"/>
  <c r="F72" i="15"/>
  <c r="T86" i="15"/>
  <c r="R86" i="15" s="1"/>
  <c r="L73" i="15"/>
  <c r="F73" i="15" l="1"/>
  <c r="E72" i="15"/>
  <c r="O74" i="15"/>
  <c r="L74" i="15" s="1"/>
  <c r="Q86" i="15"/>
  <c r="T87" i="15" l="1"/>
  <c r="R87" i="15" s="1"/>
  <c r="J74" i="15"/>
  <c r="C74" i="15" s="1"/>
  <c r="M74" i="15"/>
  <c r="E73" i="15"/>
  <c r="O75" i="15" l="1"/>
  <c r="B74" i="15"/>
  <c r="Q87" i="15"/>
  <c r="T88" i="15" l="1"/>
  <c r="R88" i="15" s="1"/>
  <c r="G74" i="15"/>
  <c r="D74" i="15"/>
  <c r="J75" i="15"/>
  <c r="C75" i="15" s="1"/>
  <c r="L75" i="15"/>
  <c r="M75" i="15"/>
  <c r="O76" i="15" l="1"/>
  <c r="J76" i="15" s="1"/>
  <c r="C76" i="15" s="1"/>
  <c r="G75" i="15"/>
  <c r="B75" i="15"/>
  <c r="D75" i="15"/>
  <c r="F74" i="15"/>
  <c r="T89" i="15"/>
  <c r="R89" i="15" s="1"/>
  <c r="Q88" i="15"/>
  <c r="Q89" i="15" l="1"/>
  <c r="F75" i="15"/>
  <c r="E74" i="15"/>
  <c r="G76" i="15"/>
  <c r="B76" i="15"/>
  <c r="M76" i="15"/>
  <c r="T90" i="15"/>
  <c r="Q90" i="15" s="1"/>
  <c r="L76" i="15"/>
  <c r="O77" i="15" l="1"/>
  <c r="J77" i="15" s="1"/>
  <c r="C77" i="15" s="1"/>
  <c r="R90" i="15"/>
  <c r="D76" i="15"/>
  <c r="E75" i="15"/>
  <c r="F76" i="15"/>
  <c r="T91" i="15" l="1"/>
  <c r="Q91" i="15" s="1"/>
  <c r="L77" i="15"/>
  <c r="E76" i="15"/>
  <c r="G77" i="15"/>
  <c r="B77" i="15"/>
  <c r="M77" i="15"/>
  <c r="O78" i="15" l="1"/>
  <c r="J78" i="15" s="1"/>
  <c r="C78" i="15" s="1"/>
  <c r="R91" i="15"/>
  <c r="D77" i="15"/>
  <c r="M78" i="15" l="1"/>
  <c r="B78" i="15"/>
  <c r="G78" i="15"/>
  <c r="F77" i="15"/>
  <c r="T92" i="15"/>
  <c r="Q92" i="15" s="1"/>
  <c r="L78" i="15"/>
  <c r="D78" i="15" l="1"/>
  <c r="E77" i="15"/>
  <c r="F78" i="15"/>
  <c r="O79" i="15"/>
  <c r="L79" i="15" s="1"/>
  <c r="R92" i="15"/>
  <c r="O80" i="15" l="1"/>
  <c r="J80" i="15" s="1"/>
  <c r="C80" i="15" s="1"/>
  <c r="T93" i="15"/>
  <c r="Q93" i="15" s="1"/>
  <c r="J79" i="15"/>
  <c r="C79" i="15" s="1"/>
  <c r="M79" i="15"/>
  <c r="E78" i="15"/>
  <c r="M80" i="15" l="1"/>
  <c r="B79" i="15"/>
  <c r="R93" i="15"/>
  <c r="B80" i="15"/>
  <c r="G80" i="15"/>
  <c r="L80" i="15"/>
  <c r="O81" i="15" l="1"/>
  <c r="G79" i="15"/>
  <c r="D79" i="15"/>
  <c r="T94" i="15"/>
  <c r="Q94" i="15" s="1"/>
  <c r="D80" i="15" l="1"/>
  <c r="F79" i="15"/>
  <c r="R94" i="15"/>
  <c r="J81" i="15"/>
  <c r="C81" i="15" s="1"/>
  <c r="M81" i="15"/>
  <c r="L81" i="15"/>
  <c r="B81" i="15" l="1"/>
  <c r="G81" i="15"/>
  <c r="E79" i="15"/>
  <c r="F80" i="15"/>
  <c r="O82" i="15"/>
  <c r="J82" i="15" s="1"/>
  <c r="C82" i="15" s="1"/>
  <c r="T95" i="15"/>
  <c r="Q95" i="15" s="1"/>
  <c r="R95" i="15" l="1"/>
  <c r="M82" i="15"/>
  <c r="D81" i="15"/>
  <c r="D82" i="15" s="1"/>
  <c r="E80" i="15"/>
  <c r="F81" i="15"/>
  <c r="B82" i="15"/>
  <c r="G82" i="15"/>
  <c r="L82" i="15"/>
  <c r="T96" i="15"/>
  <c r="R96" i="15" s="1"/>
  <c r="T97" i="15" l="1"/>
  <c r="R97" i="15" s="1"/>
  <c r="O83" i="15"/>
  <c r="E81" i="15"/>
  <c r="F82" i="15"/>
  <c r="Q96" i="15"/>
  <c r="Q97" i="15" s="1"/>
  <c r="E82" i="15" l="1"/>
  <c r="T98" i="15"/>
  <c r="R98" i="15" s="1"/>
  <c r="J83" i="15"/>
  <c r="C83" i="15" s="1"/>
  <c r="M83" i="15"/>
  <c r="L83" i="15"/>
  <c r="T99" i="15" l="1"/>
  <c r="R99" i="15" s="1"/>
  <c r="B83" i="15"/>
  <c r="O84" i="15"/>
  <c r="J84" i="15" s="1"/>
  <c r="C84" i="15" s="1"/>
  <c r="Q98" i="15"/>
  <c r="Q99" i="15" s="1"/>
  <c r="L84" i="15" l="1"/>
  <c r="T100" i="15"/>
  <c r="R100" i="15" s="1"/>
  <c r="M84" i="15"/>
  <c r="G83" i="15"/>
  <c r="D83" i="15"/>
  <c r="B84" i="15"/>
  <c r="G84" i="15"/>
  <c r="T101" i="15" l="1"/>
  <c r="R101" i="15" s="1"/>
  <c r="D84" i="15"/>
  <c r="F83" i="15"/>
  <c r="O85" i="15"/>
  <c r="M85" i="15" s="1"/>
  <c r="Q100" i="15"/>
  <c r="Q101" i="15" s="1"/>
  <c r="O86" i="15" l="1"/>
  <c r="J86" i="15" s="1"/>
  <c r="C86" i="15" s="1"/>
  <c r="T102" i="15"/>
  <c r="R102" i="15" s="1"/>
  <c r="E83" i="15"/>
  <c r="F84" i="15"/>
  <c r="J85" i="15"/>
  <c r="C85" i="15" s="1"/>
  <c r="L85" i="15"/>
  <c r="Q102" i="15" l="1"/>
  <c r="T103" i="15"/>
  <c r="R103" i="15" s="1"/>
  <c r="E84" i="15"/>
  <c r="B85" i="15"/>
  <c r="B86" i="15"/>
  <c r="G86" i="15"/>
  <c r="L86" i="15"/>
  <c r="M86" i="15"/>
  <c r="Q103" i="15" l="1"/>
  <c r="T104" i="15"/>
  <c r="R104" i="15" s="1"/>
  <c r="G85" i="15"/>
  <c r="D85" i="15"/>
  <c r="O87" i="15"/>
  <c r="J87" i="15" s="1"/>
  <c r="C87" i="15" s="1"/>
  <c r="Q104" i="15" l="1"/>
  <c r="T105" i="15"/>
  <c r="R105" i="15" s="1"/>
  <c r="B87" i="15"/>
  <c r="G87" i="15"/>
  <c r="D86" i="15"/>
  <c r="D87" i="15" s="1"/>
  <c r="F85" i="15"/>
  <c r="L87" i="15"/>
  <c r="M87" i="15"/>
  <c r="Q105" i="15" l="1"/>
  <c r="T106" i="15"/>
  <c r="R106" i="15" s="1"/>
  <c r="O88" i="15"/>
  <c r="J88" i="15" s="1"/>
  <c r="C88" i="15" s="1"/>
  <c r="Q106" i="15"/>
  <c r="E85" i="15"/>
  <c r="F86" i="15"/>
  <c r="T107" i="15" l="1"/>
  <c r="R107" i="15" s="1"/>
  <c r="L88" i="15"/>
  <c r="E86" i="15"/>
  <c r="F87" i="15"/>
  <c r="B88" i="15"/>
  <c r="M88" i="15"/>
  <c r="Q107" i="15" l="1"/>
  <c r="T108" i="15"/>
  <c r="R108" i="15" s="1"/>
  <c r="G88" i="15"/>
  <c r="D88" i="15"/>
  <c r="F88" i="15" s="1"/>
  <c r="O89" i="15"/>
  <c r="J89" i="15" s="1"/>
  <c r="C89" i="15" s="1"/>
  <c r="E87" i="15"/>
  <c r="T109" i="15" l="1"/>
  <c r="R109" i="15" s="1"/>
  <c r="L89" i="15"/>
  <c r="E88" i="15"/>
  <c r="B89" i="15"/>
  <c r="G89" i="15"/>
  <c r="M89" i="15"/>
  <c r="Q108" i="15"/>
  <c r="Q109" i="15" s="1"/>
  <c r="T110" i="15" l="1"/>
  <c r="R110" i="15" s="1"/>
  <c r="D89" i="15"/>
  <c r="O90" i="15"/>
  <c r="J90" i="15" s="1"/>
  <c r="C90" i="15" s="1"/>
  <c r="Q110" i="15" l="1"/>
  <c r="T111" i="15"/>
  <c r="R111" i="15" s="1"/>
  <c r="M90" i="15"/>
  <c r="L90" i="15"/>
  <c r="B90" i="15"/>
  <c r="G90" i="15"/>
  <c r="D90" i="15"/>
  <c r="F89" i="15"/>
  <c r="T112" i="15" l="1"/>
  <c r="R112" i="15" s="1"/>
  <c r="O91" i="15"/>
  <c r="J91" i="15" s="1"/>
  <c r="C91" i="15" s="1"/>
  <c r="Q111" i="15"/>
  <c r="E89" i="15"/>
  <c r="F90" i="15"/>
  <c r="Q112" i="15" l="1"/>
  <c r="M91" i="15"/>
  <c r="T113" i="15"/>
  <c r="R113" i="15" s="1"/>
  <c r="L91" i="15"/>
  <c r="B91" i="15"/>
  <c r="E90" i="15"/>
  <c r="Q113" i="15" l="1"/>
  <c r="T114" i="15"/>
  <c r="R114" i="15" s="1"/>
  <c r="G91" i="15"/>
  <c r="D91" i="15"/>
  <c r="Q114" i="15"/>
  <c r="O92" i="15"/>
  <c r="T115" i="15" l="1"/>
  <c r="R115" i="15" s="1"/>
  <c r="F91" i="15"/>
  <c r="J92" i="15"/>
  <c r="C92" i="15" s="1"/>
  <c r="M92" i="15"/>
  <c r="L92" i="15"/>
  <c r="Q115" i="15" l="1"/>
  <c r="Q116" i="15" s="1"/>
  <c r="T116" i="15"/>
  <c r="R116" i="15" s="1"/>
  <c r="O93" i="15"/>
  <c r="J93" i="15" s="1"/>
  <c r="C93" i="15" s="1"/>
  <c r="E91" i="15"/>
  <c r="B92" i="15"/>
  <c r="M93" i="15" l="1"/>
  <c r="G93" i="15"/>
  <c r="B93" i="15"/>
  <c r="L93" i="15"/>
  <c r="T117" i="15"/>
  <c r="Q117" i="15" s="1"/>
  <c r="G92" i="15"/>
  <c r="D92" i="15"/>
  <c r="O94" i="15" l="1"/>
  <c r="R117" i="15"/>
  <c r="D93" i="15"/>
  <c r="F92" i="15"/>
  <c r="E92" i="15" l="1"/>
  <c r="F93" i="15"/>
  <c r="T118" i="15"/>
  <c r="Q118" i="15" s="1"/>
  <c r="J94" i="15"/>
  <c r="C94" i="15" s="1"/>
  <c r="M94" i="15"/>
  <c r="L94" i="15"/>
  <c r="O95" i="15" l="1"/>
  <c r="J95" i="15" s="1"/>
  <c r="C95" i="15" s="1"/>
  <c r="B94" i="15"/>
  <c r="E93" i="15"/>
  <c r="R118" i="15"/>
  <c r="L95" i="15" l="1"/>
  <c r="G94" i="15"/>
  <c r="D94" i="15"/>
  <c r="G95" i="15"/>
  <c r="B95" i="15"/>
  <c r="T119" i="15"/>
  <c r="Q119" i="15" s="1"/>
  <c r="M95" i="15"/>
  <c r="O96" i="15" l="1"/>
  <c r="R119" i="15"/>
  <c r="D95" i="15"/>
  <c r="F94" i="15"/>
  <c r="E94" i="15" l="1"/>
  <c r="F95" i="15"/>
  <c r="T120" i="15"/>
  <c r="Q120" i="15" s="1"/>
  <c r="J96" i="15"/>
  <c r="C96" i="15" s="1"/>
  <c r="L96" i="15"/>
  <c r="M96" i="15"/>
  <c r="O97" i="15" l="1"/>
  <c r="J97" i="15" s="1"/>
  <c r="C97" i="15" s="1"/>
  <c r="B96" i="15"/>
  <c r="E95" i="15"/>
  <c r="R120" i="15"/>
  <c r="G97" i="15" l="1"/>
  <c r="B97" i="15"/>
  <c r="G96" i="15"/>
  <c r="D96" i="15"/>
  <c r="M97" i="15"/>
  <c r="T121" i="15"/>
  <c r="Q121" i="15" s="1"/>
  <c r="L97" i="15"/>
  <c r="R121" i="15" l="1"/>
  <c r="T122" i="15" s="1"/>
  <c r="D97" i="15"/>
  <c r="F96" i="15"/>
  <c r="O98" i="15"/>
  <c r="J98" i="15" s="1"/>
  <c r="C98" i="15" s="1"/>
  <c r="R122" i="15" l="1"/>
  <c r="T123" i="15" s="1"/>
  <c r="R123" i="15" s="1"/>
  <c r="Q122" i="15"/>
  <c r="E96" i="15"/>
  <c r="F97" i="15"/>
  <c r="L98" i="15"/>
  <c r="G98" i="15"/>
  <c r="B98" i="15"/>
  <c r="M98" i="15"/>
  <c r="T124" i="15" l="1"/>
  <c r="R124" i="15" s="1"/>
  <c r="E97" i="15"/>
  <c r="O99" i="15"/>
  <c r="J99" i="15" s="1"/>
  <c r="C99" i="15" s="1"/>
  <c r="Q123" i="15"/>
  <c r="Q124" i="15" s="1"/>
  <c r="D98" i="15"/>
  <c r="G99" i="15" l="1"/>
  <c r="B99" i="15"/>
  <c r="L99" i="15"/>
  <c r="T125" i="15"/>
  <c r="Q125" i="15" s="1"/>
  <c r="F98" i="15"/>
  <c r="M99" i="15"/>
  <c r="D99" i="15" l="1"/>
  <c r="F99" i="15" s="1"/>
  <c r="T126" i="15"/>
  <c r="Q126" i="15" s="1"/>
  <c r="O100" i="15"/>
  <c r="J100" i="15" s="1"/>
  <c r="C100" i="15" s="1"/>
  <c r="E98" i="15"/>
  <c r="R125" i="15"/>
  <c r="R126" i="15" l="1"/>
  <c r="R127" i="15" s="1"/>
  <c r="T127" i="15"/>
  <c r="Q127" i="15" s="1"/>
  <c r="E99" i="15"/>
  <c r="L100" i="15"/>
  <c r="B100" i="15"/>
  <c r="M100" i="15"/>
  <c r="G100" i="15" l="1"/>
  <c r="D100" i="15"/>
  <c r="T128" i="15"/>
  <c r="Q128" i="15" s="1"/>
  <c r="O101" i="15"/>
  <c r="J101" i="15" s="1"/>
  <c r="C101" i="15" s="1"/>
  <c r="L101" i="15" l="1"/>
  <c r="O102" i="15" s="1"/>
  <c r="J102" i="15" s="1"/>
  <c r="C102" i="15" s="1"/>
  <c r="F100" i="15"/>
  <c r="B101" i="15"/>
  <c r="G101" i="15"/>
  <c r="R128" i="15"/>
  <c r="M101" i="15"/>
  <c r="E100" i="15" l="1"/>
  <c r="D101" i="15"/>
  <c r="T129" i="15"/>
  <c r="Q129" i="15" s="1"/>
  <c r="B102" i="15"/>
  <c r="G102" i="15"/>
  <c r="L102" i="15"/>
  <c r="M102" i="15"/>
  <c r="O103" i="15" l="1"/>
  <c r="J103" i="15" s="1"/>
  <c r="C103" i="15" s="1"/>
  <c r="D102" i="15"/>
  <c r="F101" i="15"/>
  <c r="R129" i="15"/>
  <c r="M103" i="15" l="1"/>
  <c r="T130" i="15"/>
  <c r="Q130" i="15" s="1"/>
  <c r="E101" i="15"/>
  <c r="F102" i="15"/>
  <c r="B103" i="15"/>
  <c r="G103" i="15"/>
  <c r="L103" i="15"/>
  <c r="D103" i="15" l="1"/>
  <c r="F103" i="15" s="1"/>
  <c r="R130" i="15"/>
  <c r="E102" i="15"/>
  <c r="O104" i="15"/>
  <c r="J104" i="15" l="1"/>
  <c r="C104" i="15" s="1"/>
  <c r="M104" i="15"/>
  <c r="L104" i="15"/>
  <c r="E103" i="15"/>
  <c r="T131" i="15"/>
  <c r="Q131" i="15" s="1"/>
  <c r="T132" i="15" l="1"/>
  <c r="Q132" i="15" s="1"/>
  <c r="O105" i="15"/>
  <c r="J105" i="15" s="1"/>
  <c r="C105" i="15" s="1"/>
  <c r="R131" i="15"/>
  <c r="B104" i="15"/>
  <c r="R132" i="15" l="1"/>
  <c r="R133" i="15" s="1"/>
  <c r="T133" i="15"/>
  <c r="Q133" i="15" s="1"/>
  <c r="M105" i="15"/>
  <c r="L105" i="15"/>
  <c r="G104" i="15"/>
  <c r="D104" i="15"/>
  <c r="B105" i="15"/>
  <c r="G105" i="15"/>
  <c r="T134" i="15" l="1"/>
  <c r="Q134" i="15" s="1"/>
  <c r="D105" i="15"/>
  <c r="F104" i="15"/>
  <c r="O106" i="15"/>
  <c r="J106" i="15" s="1"/>
  <c r="C106" i="15" s="1"/>
  <c r="T135" i="15" l="1"/>
  <c r="Q135" i="15" s="1"/>
  <c r="E104" i="15"/>
  <c r="F105" i="15"/>
  <c r="R134" i="15"/>
  <c r="M106" i="15"/>
  <c r="B106" i="15"/>
  <c r="G106" i="15"/>
  <c r="L106" i="15"/>
  <c r="R135" i="15" l="1"/>
  <c r="T136" i="15" s="1"/>
  <c r="Q136" i="15" s="1"/>
  <c r="D106" i="15"/>
  <c r="E105" i="15"/>
  <c r="F106" i="15"/>
  <c r="O107" i="15"/>
  <c r="J107" i="15" s="1"/>
  <c r="C107" i="15" s="1"/>
  <c r="L107" i="15" l="1"/>
  <c r="O108" i="15" s="1"/>
  <c r="J108" i="15" s="1"/>
  <c r="C108" i="15" s="1"/>
  <c r="M107" i="15"/>
  <c r="E106" i="15"/>
  <c r="R136" i="15"/>
  <c r="B107" i="15"/>
  <c r="L108" i="15" l="1"/>
  <c r="B108" i="15"/>
  <c r="G108" i="15"/>
  <c r="M108" i="15"/>
  <c r="T137" i="15"/>
  <c r="Q137" i="15" s="1"/>
  <c r="G107" i="15"/>
  <c r="D107" i="15"/>
  <c r="R137" i="15" l="1"/>
  <c r="T138" i="15" s="1"/>
  <c r="R138" i="15" s="1"/>
  <c r="D108" i="15"/>
  <c r="F107" i="15"/>
  <c r="O109" i="15"/>
  <c r="J109" i="15" s="1"/>
  <c r="C109" i="15" s="1"/>
  <c r="Q138" i="15" l="1"/>
  <c r="T139" i="15" s="1"/>
  <c r="R139" i="15" s="1"/>
  <c r="B109" i="15"/>
  <c r="G109" i="15"/>
  <c r="E107" i="15"/>
  <c r="F108" i="15"/>
  <c r="L109" i="15"/>
  <c r="M109" i="15"/>
  <c r="E108" i="15" l="1"/>
  <c r="Q139" i="15"/>
  <c r="D109" i="15"/>
  <c r="F109" i="15" s="1"/>
  <c r="O110" i="15"/>
  <c r="J110" i="15" s="1"/>
  <c r="C110" i="15" s="1"/>
  <c r="E109" i="15" l="1"/>
  <c r="M110" i="15"/>
  <c r="B110" i="15"/>
  <c r="G110" i="15"/>
  <c r="D110" i="15"/>
  <c r="T140" i="15"/>
  <c r="R140" i="15" s="1"/>
  <c r="L110" i="15"/>
  <c r="Q140" i="15" l="1"/>
  <c r="O111" i="15"/>
  <c r="J111" i="15" s="1"/>
  <c r="C111" i="15" s="1"/>
  <c r="F110" i="15"/>
  <c r="B111" i="15" l="1"/>
  <c r="E110" i="15"/>
  <c r="L111" i="15"/>
  <c r="M111" i="15"/>
  <c r="T141" i="15"/>
  <c r="R141" i="15" s="1"/>
  <c r="Q141" i="15" l="1"/>
  <c r="G111" i="15"/>
  <c r="D111" i="15"/>
  <c r="O112" i="15"/>
  <c r="J112" i="15" s="1"/>
  <c r="C112" i="15" s="1"/>
  <c r="B112" i="15" l="1"/>
  <c r="G112" i="15"/>
  <c r="F111" i="15"/>
  <c r="M112" i="15"/>
  <c r="L112" i="15"/>
  <c r="T142" i="15"/>
  <c r="R142" i="15" s="1"/>
  <c r="D112" i="15" l="1"/>
  <c r="F112" i="15" s="1"/>
  <c r="T143" i="15"/>
  <c r="R143" i="15" s="1"/>
  <c r="E111" i="15"/>
  <c r="Q142" i="15"/>
  <c r="O113" i="15"/>
  <c r="J113" i="15" s="1"/>
  <c r="C113" i="15" s="1"/>
  <c r="Q143" i="15" l="1"/>
  <c r="L113" i="15"/>
  <c r="O114" i="15" s="1"/>
  <c r="J114" i="15" s="1"/>
  <c r="C114" i="15" s="1"/>
  <c r="M113" i="15"/>
  <c r="T144" i="15"/>
  <c r="R144" i="15" s="1"/>
  <c r="E112" i="15"/>
  <c r="B113" i="15"/>
  <c r="Q144" i="15" l="1"/>
  <c r="T145" i="15"/>
  <c r="R145" i="15" s="1"/>
  <c r="M114" i="15"/>
  <c r="G113" i="15"/>
  <c r="D113" i="15"/>
  <c r="B114" i="15"/>
  <c r="G114" i="15"/>
  <c r="L114" i="15"/>
  <c r="T146" i="15" l="1"/>
  <c r="R146" i="15" s="1"/>
  <c r="D114" i="15"/>
  <c r="F113" i="15"/>
  <c r="Q145" i="15"/>
  <c r="O115" i="15"/>
  <c r="J115" i="15" s="1"/>
  <c r="C115" i="15" s="1"/>
  <c r="Q146" i="15" l="1"/>
  <c r="T147" i="15"/>
  <c r="R147" i="15" s="1"/>
  <c r="F114" i="15"/>
  <c r="E113" i="15"/>
  <c r="B115" i="15"/>
  <c r="G115" i="15"/>
  <c r="L115" i="15"/>
  <c r="M115" i="15"/>
  <c r="T148" i="15" l="1"/>
  <c r="R148" i="15" s="1"/>
  <c r="E114" i="15"/>
  <c r="D115" i="15"/>
  <c r="O116" i="15"/>
  <c r="J116" i="15" s="1"/>
  <c r="C116" i="15" s="1"/>
  <c r="Q147" i="15"/>
  <c r="Q148" i="15" s="1"/>
  <c r="T149" i="15" l="1"/>
  <c r="R149" i="15" s="1"/>
  <c r="F115" i="15"/>
  <c r="G116" i="15"/>
  <c r="B116" i="15"/>
  <c r="L116" i="15"/>
  <c r="M116" i="15"/>
  <c r="T150" i="15" l="1"/>
  <c r="R150" i="15" s="1"/>
  <c r="O117" i="15"/>
  <c r="J117" i="15" s="1"/>
  <c r="C117" i="15" s="1"/>
  <c r="D116" i="15"/>
  <c r="F116" i="15" s="1"/>
  <c r="E115" i="15"/>
  <c r="Q149" i="15"/>
  <c r="Q150" i="15" s="1"/>
  <c r="T151" i="15" l="1"/>
  <c r="R151" i="15" s="1"/>
  <c r="D117" i="15"/>
  <c r="G117" i="15"/>
  <c r="B117" i="15"/>
  <c r="L117" i="15"/>
  <c r="E116" i="15"/>
  <c r="F117" i="15"/>
  <c r="M117" i="15"/>
  <c r="T152" i="15" l="1"/>
  <c r="R152" i="15" s="1"/>
  <c r="O118" i="15"/>
  <c r="J118" i="15" s="1"/>
  <c r="C118" i="15" s="1"/>
  <c r="E117" i="15"/>
  <c r="Q151" i="15"/>
  <c r="Q152" i="15" s="1"/>
  <c r="T153" i="15" l="1"/>
  <c r="R153" i="15" s="1"/>
  <c r="B118" i="15"/>
  <c r="L118" i="15"/>
  <c r="M118" i="15"/>
  <c r="Q153" i="15" l="1"/>
  <c r="T154" i="15" s="1"/>
  <c r="R154" i="15" s="1"/>
  <c r="O119" i="15"/>
  <c r="J119" i="15" s="1"/>
  <c r="C119" i="15" s="1"/>
  <c r="G118" i="15"/>
  <c r="D118" i="15"/>
  <c r="L119" i="15" l="1"/>
  <c r="F118" i="15"/>
  <c r="Q154" i="15"/>
  <c r="B119" i="15"/>
  <c r="G119" i="15"/>
  <c r="M119" i="15"/>
  <c r="T155" i="15" l="1"/>
  <c r="R155" i="15" s="1"/>
  <c r="O120" i="15"/>
  <c r="M120" i="15" s="1"/>
  <c r="E118" i="15"/>
  <c r="D119" i="15"/>
  <c r="F119" i="15" l="1"/>
  <c r="J120" i="15"/>
  <c r="C120" i="15" s="1"/>
  <c r="L120" i="15"/>
  <c r="Q155" i="15"/>
  <c r="E119" i="15" l="1"/>
  <c r="O121" i="15"/>
  <c r="L121" i="15" s="1"/>
  <c r="B120" i="15"/>
  <c r="T156" i="15"/>
  <c r="R156" i="15" s="1"/>
  <c r="O122" i="15" l="1"/>
  <c r="J122" i="15" s="1"/>
  <c r="C122" i="15" s="1"/>
  <c r="G120" i="15"/>
  <c r="D120" i="15"/>
  <c r="Q156" i="15"/>
  <c r="J121" i="15"/>
  <c r="C121" i="15" s="1"/>
  <c r="M121" i="15"/>
  <c r="M122" i="15" s="1"/>
  <c r="T157" i="15" l="1"/>
  <c r="R157" i="15" s="1"/>
  <c r="B122" i="15"/>
  <c r="G122" i="15"/>
  <c r="B121" i="15"/>
  <c r="G121" i="15"/>
  <c r="D121" i="15"/>
  <c r="D122" i="15" s="1"/>
  <c r="F120" i="15"/>
  <c r="L122" i="15"/>
  <c r="O123" i="15" l="1"/>
  <c r="L123" i="15" s="1"/>
  <c r="Q157" i="15"/>
  <c r="F121" i="15"/>
  <c r="E120" i="15"/>
  <c r="O124" i="15" l="1"/>
  <c r="J124" i="15" s="1"/>
  <c r="C124" i="15" s="1"/>
  <c r="T158" i="15"/>
  <c r="R158" i="15" s="1"/>
  <c r="F122" i="15"/>
  <c r="E121" i="15"/>
  <c r="J123" i="15"/>
  <c r="C123" i="15" s="1"/>
  <c r="M123" i="15"/>
  <c r="M124" i="15" l="1"/>
  <c r="O125" i="15" s="1"/>
  <c r="J125" i="15" s="1"/>
  <c r="C125" i="15" s="1"/>
  <c r="B123" i="15"/>
  <c r="E122" i="15"/>
  <c r="Q158" i="15"/>
  <c r="B124" i="15"/>
  <c r="G124" i="15"/>
  <c r="L124" i="15"/>
  <c r="L125" i="15" l="1"/>
  <c r="M125" i="15"/>
  <c r="O126" i="15"/>
  <c r="J126" i="15" s="1"/>
  <c r="C126" i="15" s="1"/>
  <c r="T159" i="15"/>
  <c r="R159" i="15" s="1"/>
  <c r="L126" i="15"/>
  <c r="G123" i="15"/>
  <c r="D123" i="15"/>
  <c r="B125" i="15"/>
  <c r="G125" i="15"/>
  <c r="Q159" i="15" l="1"/>
  <c r="B126" i="15"/>
  <c r="G126" i="15"/>
  <c r="D124" i="15"/>
  <c r="D125" i="15" s="1"/>
  <c r="D126" i="15" s="1"/>
  <c r="F123" i="15"/>
  <c r="M126" i="15"/>
  <c r="O127" i="15" l="1"/>
  <c r="F124" i="15"/>
  <c r="E123" i="15"/>
  <c r="T160" i="15"/>
  <c r="R160" i="15" s="1"/>
  <c r="F125" i="15" l="1"/>
  <c r="E124" i="15"/>
  <c r="Q160" i="15"/>
  <c r="J127" i="15"/>
  <c r="C127" i="15" s="1"/>
  <c r="L127" i="15"/>
  <c r="M127" i="15"/>
  <c r="T161" i="15" l="1"/>
  <c r="R161" i="15" s="1"/>
  <c r="O128" i="15"/>
  <c r="J128" i="15" s="1"/>
  <c r="C128" i="15" s="1"/>
  <c r="B127" i="15"/>
  <c r="F126" i="15"/>
  <c r="E125" i="15"/>
  <c r="B128" i="15" l="1"/>
  <c r="G128" i="15"/>
  <c r="L128" i="15"/>
  <c r="E126" i="15"/>
  <c r="G127" i="15"/>
  <c r="D127" i="15"/>
  <c r="D128" i="15" s="1"/>
  <c r="Q161" i="15"/>
  <c r="M128" i="15"/>
  <c r="O129" i="15" l="1"/>
  <c r="J129" i="15" s="1"/>
  <c r="C129" i="15" s="1"/>
  <c r="F127" i="15"/>
  <c r="T162" i="15"/>
  <c r="R162" i="15" s="1"/>
  <c r="M129" i="15" l="1"/>
  <c r="F128" i="15"/>
  <c r="E127" i="15"/>
  <c r="T163" i="15"/>
  <c r="R163" i="15" s="1"/>
  <c r="Q162" i="15"/>
  <c r="O130" i="15"/>
  <c r="J130" i="15" s="1"/>
  <c r="C130" i="15" s="1"/>
  <c r="B129" i="15"/>
  <c r="L129" i="15"/>
  <c r="Q163" i="15" l="1"/>
  <c r="T164" i="15"/>
  <c r="R164" i="15" s="1"/>
  <c r="L130" i="15"/>
  <c r="B130" i="15"/>
  <c r="G130" i="15"/>
  <c r="M130" i="15"/>
  <c r="G129" i="15"/>
  <c r="D129" i="15"/>
  <c r="F129" i="15" s="1"/>
  <c r="E128" i="15"/>
  <c r="Q164" i="15" l="1"/>
  <c r="O131" i="15"/>
  <c r="J131" i="15" s="1"/>
  <c r="C131" i="15" s="1"/>
  <c r="T165" i="15"/>
  <c r="R165" i="15" s="1"/>
  <c r="E129" i="15"/>
  <c r="D130" i="15"/>
  <c r="F130" i="15" s="1"/>
  <c r="E130" i="15" l="1"/>
  <c r="Q165" i="15"/>
  <c r="L131" i="15"/>
  <c r="M131" i="15"/>
  <c r="B131" i="15"/>
  <c r="G131" i="15"/>
  <c r="O132" i="15" l="1"/>
  <c r="J132" i="15" s="1"/>
  <c r="C132" i="15" s="1"/>
  <c r="T166" i="15"/>
  <c r="R166" i="15" s="1"/>
  <c r="D131" i="15"/>
  <c r="M132" i="15" l="1"/>
  <c r="F131" i="15"/>
  <c r="Q166" i="15"/>
  <c r="B132" i="15"/>
  <c r="G132" i="15"/>
  <c r="L132" i="15"/>
  <c r="O133" i="15" l="1"/>
  <c r="T167" i="15"/>
  <c r="R167" i="15" s="1"/>
  <c r="E131" i="15"/>
  <c r="D132" i="15"/>
  <c r="F132" i="15" l="1"/>
  <c r="Q167" i="15"/>
  <c r="J133" i="15"/>
  <c r="C133" i="15" s="1"/>
  <c r="M133" i="15"/>
  <c r="L133" i="15"/>
  <c r="T168" i="15" l="1"/>
  <c r="R168" i="15" s="1"/>
  <c r="O134" i="15"/>
  <c r="J134" i="15" s="1"/>
  <c r="C134" i="15" s="1"/>
  <c r="B133" i="15"/>
  <c r="E132" i="15"/>
  <c r="B134" i="15" l="1"/>
  <c r="G134" i="15"/>
  <c r="G133" i="15"/>
  <c r="D133" i="15"/>
  <c r="M134" i="15"/>
  <c r="L134" i="15"/>
  <c r="Q168" i="15"/>
  <c r="D134" i="15" l="1"/>
  <c r="F133" i="15"/>
  <c r="T169" i="15"/>
  <c r="R169" i="15" s="1"/>
  <c r="O135" i="15"/>
  <c r="J135" i="15" s="1"/>
  <c r="C135" i="15" s="1"/>
  <c r="B135" i="15" l="1"/>
  <c r="G135" i="15"/>
  <c r="M135" i="15"/>
  <c r="Q169" i="15"/>
  <c r="F134" i="15"/>
  <c r="E133" i="15"/>
  <c r="D135" i="15"/>
  <c r="L135" i="15"/>
  <c r="F135" i="15" l="1"/>
  <c r="E134" i="15"/>
  <c r="O136" i="15"/>
  <c r="J136" i="15" s="1"/>
  <c r="C136" i="15" s="1"/>
  <c r="T170" i="15"/>
  <c r="R170" i="15" s="1"/>
  <c r="M136" i="15" l="1"/>
  <c r="B136" i="15"/>
  <c r="Q170" i="15"/>
  <c r="E135" i="15"/>
  <c r="L136" i="15"/>
  <c r="T171" i="15" l="1"/>
  <c r="R171" i="15" s="1"/>
  <c r="G136" i="15"/>
  <c r="D136" i="15"/>
  <c r="O137" i="15"/>
  <c r="J137" i="15" s="1"/>
  <c r="C137" i="15" s="1"/>
  <c r="B137" i="15" l="1"/>
  <c r="G137" i="15"/>
  <c r="L137" i="15"/>
  <c r="M137" i="15"/>
  <c r="D137" i="15"/>
  <c r="F136" i="15"/>
  <c r="T172" i="15"/>
  <c r="R172" i="15" s="1"/>
  <c r="Q171" i="15"/>
  <c r="T173" i="15" l="1"/>
  <c r="R173" i="15" s="1"/>
  <c r="F137" i="15"/>
  <c r="E136" i="15"/>
  <c r="O138" i="15"/>
  <c r="J138" i="15" s="1"/>
  <c r="C138" i="15" s="1"/>
  <c r="Q172" i="15"/>
  <c r="L138" i="15" l="1"/>
  <c r="T174" i="15"/>
  <c r="R174" i="15" s="1"/>
  <c r="E137" i="15"/>
  <c r="B138" i="15"/>
  <c r="M138" i="15"/>
  <c r="Q173" i="15"/>
  <c r="G138" i="15" l="1"/>
  <c r="D138" i="15"/>
  <c r="O139" i="15"/>
  <c r="Q174" i="15"/>
  <c r="J139" i="15" l="1"/>
  <c r="C139" i="15" s="1"/>
  <c r="L139" i="15"/>
  <c r="T175" i="15"/>
  <c r="R175" i="15" s="1"/>
  <c r="M139" i="15"/>
  <c r="F138" i="15"/>
  <c r="E138" i="15" l="1"/>
  <c r="Q175" i="15"/>
  <c r="O140" i="15"/>
  <c r="J140" i="15" s="1"/>
  <c r="C140" i="15" s="1"/>
  <c r="B139" i="15"/>
  <c r="L140" i="15" l="1"/>
  <c r="T176" i="15"/>
  <c r="R176" i="15" s="1"/>
  <c r="B140" i="15"/>
  <c r="G140" i="15"/>
  <c r="M140" i="15"/>
  <c r="G139" i="15"/>
  <c r="D139" i="15"/>
  <c r="D140" i="15" l="1"/>
  <c r="F139" i="15"/>
  <c r="T177" i="15"/>
  <c r="R177" i="15" s="1"/>
  <c r="Q176" i="15"/>
  <c r="O141" i="15"/>
  <c r="J141" i="15" s="1"/>
  <c r="C141" i="15" s="1"/>
  <c r="L141" i="15" l="1"/>
  <c r="B141" i="15"/>
  <c r="G141" i="15"/>
  <c r="Q177" i="15"/>
  <c r="F140" i="15"/>
  <c r="E139" i="15"/>
  <c r="D141" i="15"/>
  <c r="M141" i="15"/>
  <c r="T178" i="15" l="1"/>
  <c r="R178" i="15" s="1"/>
  <c r="F141" i="15"/>
  <c r="E140" i="15"/>
  <c r="O142" i="15"/>
  <c r="J142" i="15" s="1"/>
  <c r="C142" i="15" s="1"/>
  <c r="Q178" i="15" l="1"/>
  <c r="E141" i="15"/>
  <c r="B142" i="15"/>
  <c r="M142" i="15"/>
  <c r="L142" i="15"/>
  <c r="T179" i="15"/>
  <c r="R179" i="15" s="1"/>
  <c r="Q179" i="15" l="1"/>
  <c r="T180" i="15"/>
  <c r="R180" i="15" s="1"/>
  <c r="O143" i="15"/>
  <c r="J143" i="15" s="1"/>
  <c r="C143" i="15" s="1"/>
  <c r="G142" i="15"/>
  <c r="D142" i="15"/>
  <c r="L143" i="15" l="1"/>
  <c r="F142" i="15"/>
  <c r="B143" i="15"/>
  <c r="G143" i="15"/>
  <c r="M143" i="15"/>
  <c r="Q180" i="15"/>
  <c r="T181" i="15" l="1"/>
  <c r="R181" i="15" s="1"/>
  <c r="O144" i="15"/>
  <c r="E142" i="15"/>
  <c r="D143" i="15"/>
  <c r="F143" i="15" l="1"/>
  <c r="J144" i="15"/>
  <c r="C144" i="15" s="1"/>
  <c r="L144" i="15"/>
  <c r="M144" i="15"/>
  <c r="Q181" i="15"/>
  <c r="O145" i="15" l="1"/>
  <c r="J145" i="15" s="1"/>
  <c r="C145" i="15" s="1"/>
  <c r="B144" i="15"/>
  <c r="T182" i="15"/>
  <c r="R182" i="15" s="1"/>
  <c r="E143" i="15"/>
  <c r="L145" i="15" l="1"/>
  <c r="O146" i="15" s="1"/>
  <c r="J146" i="15" s="1"/>
  <c r="C146" i="15" s="1"/>
  <c r="Q182" i="15"/>
  <c r="B145" i="15"/>
  <c r="G145" i="15"/>
  <c r="G144" i="15"/>
  <c r="D144" i="15"/>
  <c r="M145" i="15"/>
  <c r="L146" i="15" l="1"/>
  <c r="D145" i="15"/>
  <c r="F144" i="15"/>
  <c r="T183" i="15"/>
  <c r="R183" i="15" s="1"/>
  <c r="B146" i="15"/>
  <c r="G146" i="15"/>
  <c r="M146" i="15"/>
  <c r="D146" i="15" l="1"/>
  <c r="Q183" i="15"/>
  <c r="E144" i="15"/>
  <c r="F145" i="15"/>
  <c r="O147" i="15"/>
  <c r="J147" i="15" s="1"/>
  <c r="C147" i="15" s="1"/>
  <c r="F146" i="15" l="1"/>
  <c r="E145" i="15"/>
  <c r="T184" i="15"/>
  <c r="R184" i="15" s="1"/>
  <c r="B147" i="15"/>
  <c r="G147" i="15"/>
  <c r="L147" i="15"/>
  <c r="D147" i="15"/>
  <c r="M147" i="15"/>
  <c r="Q184" i="15" l="1"/>
  <c r="O148" i="15"/>
  <c r="J148" i="15" s="1"/>
  <c r="C148" i="15" s="1"/>
  <c r="E146" i="15"/>
  <c r="F147" i="15"/>
  <c r="E147" i="15" l="1"/>
  <c r="M148" i="15"/>
  <c r="B148" i="15"/>
  <c r="L148" i="15"/>
  <c r="T185" i="15"/>
  <c r="R185" i="15" s="1"/>
  <c r="Q185" i="15" l="1"/>
  <c r="G148" i="15"/>
  <c r="D148" i="15"/>
  <c r="T186" i="15"/>
  <c r="R186" i="15" s="1"/>
  <c r="O149" i="15"/>
  <c r="J149" i="15" s="1"/>
  <c r="C149" i="15" s="1"/>
  <c r="B149" i="15" l="1"/>
  <c r="G149" i="15"/>
  <c r="L149" i="15"/>
  <c r="D149" i="15"/>
  <c r="F148" i="15"/>
  <c r="M149" i="15"/>
  <c r="Q186" i="15"/>
  <c r="T187" i="15" l="1"/>
  <c r="R187" i="15" s="1"/>
  <c r="E148" i="15"/>
  <c r="F149" i="15"/>
  <c r="O150" i="15"/>
  <c r="J150" i="15" s="1"/>
  <c r="C150" i="15" s="1"/>
  <c r="E149" i="15" l="1"/>
  <c r="M150" i="15"/>
  <c r="B150" i="15"/>
  <c r="L150" i="15"/>
  <c r="Q187" i="15"/>
  <c r="T188" i="15" l="1"/>
  <c r="R188" i="15" s="1"/>
  <c r="G150" i="15"/>
  <c r="D150" i="15"/>
  <c r="O151" i="15"/>
  <c r="J151" i="15" s="1"/>
  <c r="C151" i="15" s="1"/>
  <c r="B151" i="15" l="1"/>
  <c r="G151" i="15"/>
  <c r="M151" i="15"/>
  <c r="F150" i="15"/>
  <c r="L151" i="15"/>
  <c r="Q188" i="15"/>
  <c r="T189" i="15" l="1"/>
  <c r="R189" i="15" s="1"/>
  <c r="O152" i="15"/>
  <c r="J152" i="15" s="1"/>
  <c r="C152" i="15" s="1"/>
  <c r="E150" i="15"/>
  <c r="D151" i="15"/>
  <c r="M152" i="15"/>
  <c r="O153" i="15" l="1"/>
  <c r="J153" i="15" s="1"/>
  <c r="C153" i="15" s="1"/>
  <c r="B152" i="15"/>
  <c r="G152" i="15"/>
  <c r="L152" i="15"/>
  <c r="L153" i="15" s="1"/>
  <c r="F151" i="15"/>
  <c r="Q189" i="15"/>
  <c r="O154" i="15" l="1"/>
  <c r="J154" i="15" s="1"/>
  <c r="C154" i="15" s="1"/>
  <c r="M153" i="15"/>
  <c r="E151" i="15"/>
  <c r="B153" i="15"/>
  <c r="G153" i="15"/>
  <c r="T190" i="15"/>
  <c r="R190" i="15" s="1"/>
  <c r="D152" i="15"/>
  <c r="F152" i="15" s="1"/>
  <c r="M154" i="15" l="1"/>
  <c r="Q190" i="15"/>
  <c r="D153" i="15"/>
  <c r="F153" i="15" s="1"/>
  <c r="B154" i="15"/>
  <c r="G154" i="15"/>
  <c r="E152" i="15"/>
  <c r="T191" i="15"/>
  <c r="R191" i="15" s="1"/>
  <c r="L154" i="15"/>
  <c r="Q191" i="15" l="1"/>
  <c r="T192" i="15"/>
  <c r="R192" i="15" s="1"/>
  <c r="E153" i="15"/>
  <c r="O155" i="15"/>
  <c r="L155" i="15" s="1"/>
  <c r="D154" i="15"/>
  <c r="T193" i="15" l="1"/>
  <c r="R193" i="15" s="1"/>
  <c r="J155" i="15"/>
  <c r="C155" i="15" s="1"/>
  <c r="M155" i="15"/>
  <c r="F154" i="15"/>
  <c r="Q192" i="15"/>
  <c r="Q193" i="15" l="1"/>
  <c r="T194" i="15"/>
  <c r="R194" i="15" s="1"/>
  <c r="O156" i="15"/>
  <c r="E154" i="15"/>
  <c r="B155" i="15"/>
  <c r="Q194" i="15" l="1"/>
  <c r="T195" i="15"/>
  <c r="R195" i="15" s="1"/>
  <c r="J156" i="15"/>
  <c r="C156" i="15" s="1"/>
  <c r="L156" i="15"/>
  <c r="M156" i="15"/>
  <c r="Q195" i="15"/>
  <c r="G155" i="15"/>
  <c r="D155" i="15"/>
  <c r="T196" i="15" l="1"/>
  <c r="R196" i="15" s="1"/>
  <c r="F155" i="15"/>
  <c r="Q196" i="15"/>
  <c r="O157" i="15"/>
  <c r="J157" i="15" s="1"/>
  <c r="C157" i="15" s="1"/>
  <c r="B156" i="15"/>
  <c r="G156" i="15"/>
  <c r="D156" i="15" l="1"/>
  <c r="F156" i="15" s="1"/>
  <c r="T197" i="15"/>
  <c r="Q197" i="15" s="1"/>
  <c r="B157" i="15"/>
  <c r="G157" i="15"/>
  <c r="L157" i="15"/>
  <c r="M157" i="15"/>
  <c r="E155" i="15"/>
  <c r="R197" i="15" l="1"/>
  <c r="T198" i="15"/>
  <c r="Q198" i="15" s="1"/>
  <c r="E156" i="15"/>
  <c r="O158" i="15"/>
  <c r="J158" i="15" s="1"/>
  <c r="C158" i="15" s="1"/>
  <c r="D157" i="15"/>
  <c r="F157" i="15" s="1"/>
  <c r="T199" i="15" l="1"/>
  <c r="Q199" i="15" s="1"/>
  <c r="B158" i="15"/>
  <c r="G158" i="15"/>
  <c r="M158" i="15"/>
  <c r="L158" i="15"/>
  <c r="E157" i="15"/>
  <c r="R198" i="15"/>
  <c r="T200" i="15" l="1"/>
  <c r="Q200" i="15" s="1"/>
  <c r="O159" i="15"/>
  <c r="J159" i="15" s="1"/>
  <c r="C159" i="15" s="1"/>
  <c r="D158" i="15"/>
  <c r="R199" i="15"/>
  <c r="R200" i="15" s="1"/>
  <c r="T201" i="15" l="1"/>
  <c r="Q201" i="15" s="1"/>
  <c r="F158" i="15"/>
  <c r="B159" i="15"/>
  <c r="G159" i="15"/>
  <c r="M159" i="15"/>
  <c r="L159" i="15"/>
  <c r="R201" i="15" l="1"/>
  <c r="T202" i="15"/>
  <c r="Q202" i="15" s="1"/>
  <c r="O160" i="15"/>
  <c r="J160" i="15" s="1"/>
  <c r="C160" i="15" s="1"/>
  <c r="E158" i="15"/>
  <c r="D159" i="15"/>
  <c r="R202" i="15"/>
  <c r="T203" i="15" l="1"/>
  <c r="Q203" i="15" s="1"/>
  <c r="F159" i="15"/>
  <c r="B160" i="15"/>
  <c r="G160" i="15"/>
  <c r="M160" i="15"/>
  <c r="L160" i="15"/>
  <c r="R203" i="15" l="1"/>
  <c r="O161" i="15"/>
  <c r="J161" i="15" s="1"/>
  <c r="C161" i="15" s="1"/>
  <c r="D160" i="15"/>
  <c r="F160" i="15" s="1"/>
  <c r="E159" i="15"/>
  <c r="L161" i="15"/>
  <c r="T204" i="15"/>
  <c r="R204" i="15" l="1"/>
  <c r="Q204" i="15"/>
  <c r="T205" i="15" s="1"/>
  <c r="E160" i="15"/>
  <c r="B161" i="15"/>
  <c r="G161" i="15"/>
  <c r="M161" i="15"/>
  <c r="Q205" i="15" l="1"/>
  <c r="R205" i="15"/>
  <c r="O162" i="15"/>
  <c r="T206" i="15"/>
  <c r="D161" i="15"/>
  <c r="Q206" i="15" l="1"/>
  <c r="F161" i="15"/>
  <c r="R206" i="15"/>
  <c r="J162" i="15"/>
  <c r="C162" i="15" s="1"/>
  <c r="L162" i="15"/>
  <c r="M162" i="15"/>
  <c r="B162" i="15" l="1"/>
  <c r="O163" i="15"/>
  <c r="J163" i="15" s="1"/>
  <c r="C163" i="15" s="1"/>
  <c r="T207" i="15"/>
  <c r="Q207" i="15" s="1"/>
  <c r="L163" i="15"/>
  <c r="E161" i="15"/>
  <c r="B163" i="15" l="1"/>
  <c r="G163" i="15"/>
  <c r="M163" i="15"/>
  <c r="R207" i="15"/>
  <c r="G162" i="15"/>
  <c r="D162" i="15"/>
  <c r="D163" i="15" l="1"/>
  <c r="F162" i="15"/>
  <c r="T208" i="15"/>
  <c r="Q208" i="15" s="1"/>
  <c r="O164" i="15"/>
  <c r="J164" i="15" l="1"/>
  <c r="C164" i="15" s="1"/>
  <c r="L164" i="15"/>
  <c r="M164" i="15"/>
  <c r="R208" i="15"/>
  <c r="E162" i="15"/>
  <c r="F163" i="15"/>
  <c r="O165" i="15" l="1"/>
  <c r="J165" i="15" s="1"/>
  <c r="C165" i="15" s="1"/>
  <c r="E163" i="15"/>
  <c r="T209" i="15"/>
  <c r="Q209" i="15" s="1"/>
  <c r="L165" i="15"/>
  <c r="B164" i="15"/>
  <c r="M165" i="15" l="1"/>
  <c r="G164" i="15"/>
  <c r="D164" i="15"/>
  <c r="O166" i="15"/>
  <c r="J166" i="15" s="1"/>
  <c r="C166" i="15" s="1"/>
  <c r="R209" i="15"/>
  <c r="B165" i="15"/>
  <c r="G165" i="15"/>
  <c r="B166" i="15" l="1"/>
  <c r="G166" i="15"/>
  <c r="M166" i="15"/>
  <c r="D165" i="15"/>
  <c r="D166" i="15" s="1"/>
  <c r="F164" i="15"/>
  <c r="T210" i="15"/>
  <c r="Q210" i="15" s="1"/>
  <c r="L166" i="15"/>
  <c r="R210" i="15" l="1"/>
  <c r="E164" i="15"/>
  <c r="F165" i="15"/>
  <c r="T211" i="15"/>
  <c r="Q211" i="15" s="1"/>
  <c r="O167" i="15"/>
  <c r="J167" i="15" s="1"/>
  <c r="C167" i="15" s="1"/>
  <c r="M167" i="15" l="1"/>
  <c r="B167" i="15"/>
  <c r="L167" i="15"/>
  <c r="R211" i="15"/>
  <c r="F166" i="15"/>
  <c r="E165" i="15"/>
  <c r="E166" i="15" l="1"/>
  <c r="T212" i="15"/>
  <c r="Q212" i="15" s="1"/>
  <c r="G167" i="15"/>
  <c r="D167" i="15"/>
  <c r="F167" i="15" s="1"/>
  <c r="O168" i="15"/>
  <c r="J168" i="15" s="1"/>
  <c r="C168" i="15" s="1"/>
  <c r="T213" i="15" l="1"/>
  <c r="Q213" i="15" s="1"/>
  <c r="E167" i="15"/>
  <c r="M168" i="15"/>
  <c r="L168" i="15"/>
  <c r="R212" i="15"/>
  <c r="B168" i="15"/>
  <c r="G168" i="15"/>
  <c r="R213" i="15" l="1"/>
  <c r="D168" i="15"/>
  <c r="F168" i="15" s="1"/>
  <c r="T214" i="15"/>
  <c r="Q214" i="15" s="1"/>
  <c r="E168" i="15"/>
  <c r="O169" i="15"/>
  <c r="J169" i="15" s="1"/>
  <c r="C169" i="15" s="1"/>
  <c r="R214" i="15" l="1"/>
  <c r="T215" i="15" s="1"/>
  <c r="Q215" i="15" s="1"/>
  <c r="B169" i="15"/>
  <c r="M169" i="15"/>
  <c r="L169" i="15"/>
  <c r="R215" i="15" l="1"/>
  <c r="O170" i="15"/>
  <c r="J170" i="15" s="1"/>
  <c r="C170" i="15" s="1"/>
  <c r="G169" i="15"/>
  <c r="D169" i="15"/>
  <c r="F169" i="15" l="1"/>
  <c r="B170" i="15"/>
  <c r="G170" i="15"/>
  <c r="M170" i="15"/>
  <c r="L170" i="15"/>
  <c r="T216" i="15"/>
  <c r="Q216" i="15" s="1"/>
  <c r="R216" i="15" l="1"/>
  <c r="O171" i="15"/>
  <c r="J171" i="15" s="1"/>
  <c r="C171" i="15" s="1"/>
  <c r="E169" i="15"/>
  <c r="D170" i="15"/>
  <c r="F170" i="15" s="1"/>
  <c r="E170" i="15" l="1"/>
  <c r="B171" i="15"/>
  <c r="G171" i="15"/>
  <c r="M171" i="15"/>
  <c r="L171" i="15"/>
  <c r="D171" i="15"/>
  <c r="T217" i="15"/>
  <c r="Q217" i="15" s="1"/>
  <c r="R217" i="15" l="1"/>
  <c r="T218" i="15" s="1"/>
  <c r="F171" i="15"/>
  <c r="O172" i="15"/>
  <c r="J172" i="15" s="1"/>
  <c r="C172" i="15" s="1"/>
  <c r="R218" i="15" l="1"/>
  <c r="T219" i="15" s="1"/>
  <c r="Q218" i="15"/>
  <c r="B172" i="15"/>
  <c r="L172" i="15"/>
  <c r="E171" i="15"/>
  <c r="M172" i="15"/>
  <c r="R219" i="15" l="1"/>
  <c r="Q219" i="15"/>
  <c r="T220" i="15"/>
  <c r="R220" i="15" s="1"/>
  <c r="O173" i="15"/>
  <c r="J173" i="15" s="1"/>
  <c r="C173" i="15" s="1"/>
  <c r="G172" i="15"/>
  <c r="D172" i="15"/>
  <c r="M173" i="15"/>
  <c r="Q220" i="15" l="1"/>
  <c r="T221" i="15"/>
  <c r="R221" i="15" s="1"/>
  <c r="F172" i="15"/>
  <c r="L173" i="15"/>
  <c r="O174" i="15"/>
  <c r="J174" i="15" s="1"/>
  <c r="C174" i="15" s="1"/>
  <c r="B173" i="15"/>
  <c r="G173" i="15"/>
  <c r="Q221" i="15"/>
  <c r="D173" i="15" l="1"/>
  <c r="M174" i="15"/>
  <c r="E172" i="15"/>
  <c r="F173" i="15"/>
  <c r="B174" i="15"/>
  <c r="G174" i="15"/>
  <c r="L174" i="15"/>
  <c r="T222" i="15"/>
  <c r="R222" i="15" s="1"/>
  <c r="O175" i="15" l="1"/>
  <c r="L175" i="15" s="1"/>
  <c r="D174" i="15"/>
  <c r="E173" i="15"/>
  <c r="Q222" i="15"/>
  <c r="O176" i="15" l="1"/>
  <c r="J176" i="15" s="1"/>
  <c r="C176" i="15" s="1"/>
  <c r="F174" i="15"/>
  <c r="T223" i="15"/>
  <c r="R223" i="15" s="1"/>
  <c r="J175" i="15"/>
  <c r="C175" i="15" s="1"/>
  <c r="M175" i="15"/>
  <c r="M176" i="15" s="1"/>
  <c r="O177" i="15" l="1"/>
  <c r="J177" i="15" s="1"/>
  <c r="C177" i="15" s="1"/>
  <c r="Q223" i="15"/>
  <c r="B175" i="15"/>
  <c r="E174" i="15"/>
  <c r="B176" i="15"/>
  <c r="G176" i="15"/>
  <c r="L176" i="15"/>
  <c r="L177" i="15" s="1"/>
  <c r="T224" i="15" l="1"/>
  <c r="R224" i="15" s="1"/>
  <c r="B177" i="15"/>
  <c r="G177" i="15"/>
  <c r="G175" i="15"/>
  <c r="D175" i="15"/>
  <c r="M177" i="15"/>
  <c r="D176" i="15" l="1"/>
  <c r="D177" i="15" s="1"/>
  <c r="F175" i="15"/>
  <c r="O178" i="15"/>
  <c r="Q224" i="15"/>
  <c r="J178" i="15" l="1"/>
  <c r="C178" i="15" s="1"/>
  <c r="L178" i="15"/>
  <c r="M178" i="15"/>
  <c r="T225" i="15"/>
  <c r="R225" i="15" s="1"/>
  <c r="F176" i="15"/>
  <c r="E175" i="15"/>
  <c r="F177" i="15" l="1"/>
  <c r="E176" i="15"/>
  <c r="T226" i="15"/>
  <c r="R226" i="15" s="1"/>
  <c r="Q225" i="15"/>
  <c r="O179" i="15"/>
  <c r="J179" i="15" s="1"/>
  <c r="C179" i="15" s="1"/>
  <c r="B178" i="15"/>
  <c r="Q226" i="15" l="1"/>
  <c r="T227" i="15"/>
  <c r="R227" i="15" s="1"/>
  <c r="M179" i="15"/>
  <c r="B179" i="15"/>
  <c r="G179" i="15"/>
  <c r="L179" i="15"/>
  <c r="G178" i="15"/>
  <c r="D178" i="15"/>
  <c r="F178" i="15" s="1"/>
  <c r="E177" i="15"/>
  <c r="Q227" i="15" l="1"/>
  <c r="T228" i="15"/>
  <c r="R228" i="15" s="1"/>
  <c r="O180" i="15"/>
  <c r="J180" i="15" s="1"/>
  <c r="C180" i="15" s="1"/>
  <c r="E178" i="15"/>
  <c r="D179" i="15"/>
  <c r="F179" i="15" s="1"/>
  <c r="Q228" i="15" l="1"/>
  <c r="T229" i="15"/>
  <c r="R229" i="15" s="1"/>
  <c r="B180" i="15"/>
  <c r="G180" i="15"/>
  <c r="E179" i="15"/>
  <c r="Q229" i="15"/>
  <c r="L180" i="15"/>
  <c r="M180" i="15"/>
  <c r="T230" i="15" l="1"/>
  <c r="R230" i="15" s="1"/>
  <c r="D180" i="15"/>
  <c r="O181" i="15"/>
  <c r="J181" i="15" s="1"/>
  <c r="C181" i="15" s="1"/>
  <c r="F180" i="15" l="1"/>
  <c r="B181" i="15"/>
  <c r="G181" i="15"/>
  <c r="M181" i="15"/>
  <c r="L181" i="15"/>
  <c r="Q230" i="15"/>
  <c r="O182" i="15" l="1"/>
  <c r="J182" i="15" s="1"/>
  <c r="C182" i="15" s="1"/>
  <c r="T231" i="15"/>
  <c r="R231" i="15" s="1"/>
  <c r="E180" i="15"/>
  <c r="D181" i="15"/>
  <c r="F181" i="15" s="1"/>
  <c r="E181" i="15" l="1"/>
  <c r="B182" i="15"/>
  <c r="G182" i="15"/>
  <c r="Q231" i="15"/>
  <c r="M182" i="15"/>
  <c r="L182" i="15"/>
  <c r="O183" i="15" l="1"/>
  <c r="J183" i="15" s="1"/>
  <c r="C183" i="15" s="1"/>
  <c r="T232" i="15"/>
  <c r="R232" i="15" s="1"/>
  <c r="D182" i="15"/>
  <c r="L183" i="15"/>
  <c r="Q232" i="15" l="1"/>
  <c r="F182" i="15"/>
  <c r="B183" i="15"/>
  <c r="G183" i="15"/>
  <c r="M183" i="15"/>
  <c r="O184" i="15" l="1"/>
  <c r="D183" i="15"/>
  <c r="F183" i="15" s="1"/>
  <c r="E182" i="15"/>
  <c r="T233" i="15"/>
  <c r="R233" i="15" s="1"/>
  <c r="E183" i="15" l="1"/>
  <c r="Q233" i="15"/>
  <c r="J184" i="15"/>
  <c r="C184" i="15" s="1"/>
  <c r="L184" i="15"/>
  <c r="M184" i="15"/>
  <c r="B184" i="15" l="1"/>
  <c r="T234" i="15"/>
  <c r="R234" i="15" s="1"/>
  <c r="O185" i="15"/>
  <c r="J185" i="15" s="1"/>
  <c r="C185" i="15" s="1"/>
  <c r="B185" i="15" l="1"/>
  <c r="G185" i="15"/>
  <c r="L185" i="15"/>
  <c r="M185" i="15"/>
  <c r="Q234" i="15"/>
  <c r="G184" i="15"/>
  <c r="D184" i="15"/>
  <c r="D185" i="15" l="1"/>
  <c r="F184" i="15"/>
  <c r="T235" i="15"/>
  <c r="R235" i="15" s="1"/>
  <c r="O186" i="15"/>
  <c r="J186" i="15" s="1"/>
  <c r="C186" i="15" s="1"/>
  <c r="M186" i="15" l="1"/>
  <c r="E184" i="15"/>
  <c r="F185" i="15"/>
  <c r="B186" i="15"/>
  <c r="G186" i="15"/>
  <c r="L186" i="15"/>
  <c r="T236" i="15"/>
  <c r="R236" i="15" s="1"/>
  <c r="Q235" i="15"/>
  <c r="T237" i="15" l="1"/>
  <c r="R237" i="15" s="1"/>
  <c r="E185" i="15"/>
  <c r="D186" i="15"/>
  <c r="Q236" i="15"/>
  <c r="O187" i="15"/>
  <c r="J187" i="15" s="1"/>
  <c r="C187" i="15" s="1"/>
  <c r="Q237" i="15" l="1"/>
  <c r="L187" i="15"/>
  <c r="M187" i="15"/>
  <c r="T238" i="15"/>
  <c r="R238" i="15" s="1"/>
  <c r="O188" i="15"/>
  <c r="J188" i="15" s="1"/>
  <c r="C188" i="15" s="1"/>
  <c r="F186" i="15"/>
  <c r="B187" i="15"/>
  <c r="G187" i="15"/>
  <c r="Q238" i="15" l="1"/>
  <c r="L188" i="15"/>
  <c r="G188" i="15"/>
  <c r="B188" i="15"/>
  <c r="T239" i="15"/>
  <c r="R239" i="15" s="1"/>
  <c r="E186" i="15"/>
  <c r="M188" i="15"/>
  <c r="D187" i="15"/>
  <c r="D188" i="15" s="1"/>
  <c r="F187" i="15" l="1"/>
  <c r="E187" i="15" s="1"/>
  <c r="Q239" i="15"/>
  <c r="O189" i="15"/>
  <c r="J189" i="15" s="1"/>
  <c r="C189" i="15" s="1"/>
  <c r="F188" i="15" l="1"/>
  <c r="E188" i="15" s="1"/>
  <c r="T240" i="15"/>
  <c r="R240" i="15" s="1"/>
  <c r="B189" i="15"/>
  <c r="M189" i="15"/>
  <c r="L189" i="15"/>
  <c r="G189" i="15" l="1"/>
  <c r="D189" i="15"/>
  <c r="O190" i="15"/>
  <c r="J190" i="15" s="1"/>
  <c r="C190" i="15" s="1"/>
  <c r="Q240" i="15"/>
  <c r="T241" i="15" l="1"/>
  <c r="R241" i="15" s="1"/>
  <c r="F189" i="15"/>
  <c r="G190" i="15"/>
  <c r="B190" i="15"/>
  <c r="M190" i="15"/>
  <c r="L190" i="15"/>
  <c r="D190" i="15" l="1"/>
  <c r="F190" i="15" s="1"/>
  <c r="E189" i="15"/>
  <c r="O191" i="15"/>
  <c r="J191" i="15" s="1"/>
  <c r="C191" i="15" s="1"/>
  <c r="Q241" i="15"/>
  <c r="E190" i="15" l="1"/>
  <c r="T242" i="15"/>
  <c r="R242" i="15" s="1"/>
  <c r="G191" i="15"/>
  <c r="B191" i="15"/>
  <c r="M191" i="15"/>
  <c r="L191" i="15"/>
  <c r="O192" i="15" l="1"/>
  <c r="J192" i="15" s="1"/>
  <c r="C192" i="15" s="1"/>
  <c r="Q242" i="15"/>
  <c r="D191" i="15"/>
  <c r="L192" i="15" l="1"/>
  <c r="T243" i="15"/>
  <c r="R243" i="15" s="1"/>
  <c r="F191" i="15"/>
  <c r="G192" i="15"/>
  <c r="B192" i="15"/>
  <c r="M192" i="15"/>
  <c r="O193" i="15"/>
  <c r="J193" i="15" s="1"/>
  <c r="C193" i="15" s="1"/>
  <c r="M193" i="15" l="1"/>
  <c r="L193" i="15"/>
  <c r="O194" i="15"/>
  <c r="J194" i="15" s="1"/>
  <c r="C194" i="15" s="1"/>
  <c r="E191" i="15"/>
  <c r="D192" i="15"/>
  <c r="G193" i="15"/>
  <c r="B193" i="15"/>
  <c r="Q243" i="15"/>
  <c r="M194" i="15" l="1"/>
  <c r="L194" i="15"/>
  <c r="D193" i="15"/>
  <c r="F192" i="15"/>
  <c r="T244" i="15"/>
  <c r="R244" i="15" s="1"/>
  <c r="G194" i="15"/>
  <c r="B194" i="15"/>
  <c r="O195" i="15"/>
  <c r="J195" i="15" s="1"/>
  <c r="C195" i="15" s="1"/>
  <c r="D194" i="15" l="1"/>
  <c r="L195" i="15"/>
  <c r="Q244" i="15"/>
  <c r="G195" i="15"/>
  <c r="B195" i="15"/>
  <c r="F193" i="15"/>
  <c r="E192" i="15"/>
  <c r="M195" i="15"/>
  <c r="O196" i="15" l="1"/>
  <c r="J196" i="15" s="1"/>
  <c r="C196" i="15" s="1"/>
  <c r="E193" i="15"/>
  <c r="F194" i="15"/>
  <c r="T245" i="15"/>
  <c r="R245" i="15" s="1"/>
  <c r="D195" i="15"/>
  <c r="F195" i="15" l="1"/>
  <c r="E194" i="15"/>
  <c r="Q245" i="15"/>
  <c r="G196" i="15"/>
  <c r="B196" i="15"/>
  <c r="M196" i="15"/>
  <c r="L196" i="15"/>
  <c r="O197" i="15" l="1"/>
  <c r="J197" i="15" s="1"/>
  <c r="C197" i="15" s="1"/>
  <c r="T246" i="15"/>
  <c r="R246" i="15" s="1"/>
  <c r="D196" i="15"/>
  <c r="F196" i="15" s="1"/>
  <c r="L197" i="15"/>
  <c r="E195" i="15"/>
  <c r="T247" i="15" l="1"/>
  <c r="R247" i="15" s="1"/>
  <c r="Q246" i="15"/>
  <c r="Q247" i="15" s="1"/>
  <c r="E196" i="15"/>
  <c r="G197" i="15"/>
  <c r="B197" i="15"/>
  <c r="M197" i="15"/>
  <c r="T248" i="15" l="1"/>
  <c r="R248" i="15" s="1"/>
  <c r="D197" i="15"/>
  <c r="Q248" i="15"/>
  <c r="O198" i="15"/>
  <c r="M198" i="15" s="1"/>
  <c r="O199" i="15" l="1"/>
  <c r="J199" i="15" s="1"/>
  <c r="C199" i="15" s="1"/>
  <c r="J198" i="15"/>
  <c r="C198" i="15" s="1"/>
  <c r="L198" i="15"/>
  <c r="L199" i="15" s="1"/>
  <c r="F197" i="15"/>
  <c r="T249" i="15"/>
  <c r="Q249" i="15" s="1"/>
  <c r="R249" i="15" l="1"/>
  <c r="E197" i="15"/>
  <c r="B198" i="15"/>
  <c r="T250" i="15"/>
  <c r="R250" i="15" s="1"/>
  <c r="G199" i="15"/>
  <c r="B199" i="15"/>
  <c r="M199" i="15"/>
  <c r="Q250" i="15" l="1"/>
  <c r="G198" i="15"/>
  <c r="D198" i="15"/>
  <c r="O200" i="15"/>
  <c r="M200" i="15" s="1"/>
  <c r="O201" i="15" l="1"/>
  <c r="J201" i="15" s="1"/>
  <c r="C201" i="15" s="1"/>
  <c r="J200" i="15"/>
  <c r="C200" i="15" s="1"/>
  <c r="L200" i="15"/>
  <c r="L201" i="15" s="1"/>
  <c r="D199" i="15"/>
  <c r="F198" i="15"/>
  <c r="T251" i="15"/>
  <c r="R251" i="15" s="1"/>
  <c r="Q251" i="15" l="1"/>
  <c r="B201" i="15"/>
  <c r="G201" i="15"/>
  <c r="E198" i="15"/>
  <c r="F199" i="15"/>
  <c r="G200" i="15"/>
  <c r="B200" i="15"/>
  <c r="M201" i="15"/>
  <c r="D200" i="15" l="1"/>
  <c r="F200" i="15"/>
  <c r="E199" i="15"/>
  <c r="D201" i="15"/>
  <c r="O202" i="15"/>
  <c r="M202" i="15" s="1"/>
  <c r="T252" i="15"/>
  <c r="R252" i="15" s="1"/>
  <c r="O203" i="15" l="1"/>
  <c r="J203" i="15" s="1"/>
  <c r="C203" i="15" s="1"/>
  <c r="T253" i="15"/>
  <c r="R253" i="15" s="1"/>
  <c r="Q252" i="15"/>
  <c r="Q253" i="15" s="1"/>
  <c r="J202" i="15"/>
  <c r="C202" i="15" s="1"/>
  <c r="L202" i="15"/>
  <c r="E200" i="15"/>
  <c r="F201" i="15"/>
  <c r="L203" i="15" l="1"/>
  <c r="T254" i="15"/>
  <c r="R254" i="15" s="1"/>
  <c r="B202" i="15"/>
  <c r="E201" i="15"/>
  <c r="G203" i="15"/>
  <c r="B203" i="15"/>
  <c r="M203" i="15"/>
  <c r="Q254" i="15" l="1"/>
  <c r="T255" i="15"/>
  <c r="R255" i="15" s="1"/>
  <c r="G202" i="15"/>
  <c r="D202" i="15"/>
  <c r="O204" i="15"/>
  <c r="M204" i="15" s="1"/>
  <c r="O205" i="15" l="1"/>
  <c r="J205" i="15" s="1"/>
  <c r="C205" i="15" s="1"/>
  <c r="T256" i="15"/>
  <c r="R256" i="15" s="1"/>
  <c r="D203" i="15"/>
  <c r="F202" i="15"/>
  <c r="J204" i="15"/>
  <c r="C204" i="15" s="1"/>
  <c r="L204" i="15"/>
  <c r="L205" i="15" s="1"/>
  <c r="Q255" i="15"/>
  <c r="T257" i="15" l="1"/>
  <c r="R257" i="15" s="1"/>
  <c r="E202" i="15"/>
  <c r="F203" i="15"/>
  <c r="O206" i="15"/>
  <c r="J206" i="15" s="1"/>
  <c r="C206" i="15" s="1"/>
  <c r="G204" i="15"/>
  <c r="B204" i="15"/>
  <c r="B205" i="15"/>
  <c r="G205" i="15"/>
  <c r="Q256" i="15"/>
  <c r="Q257" i="15" s="1"/>
  <c r="M205" i="15"/>
  <c r="T258" i="15" l="1"/>
  <c r="R258" i="15" s="1"/>
  <c r="B206" i="15"/>
  <c r="G206" i="15"/>
  <c r="M206" i="15"/>
  <c r="L206" i="15"/>
  <c r="E203" i="15"/>
  <c r="D204" i="15"/>
  <c r="D205" i="15" s="1"/>
  <c r="F204" i="15" l="1"/>
  <c r="O207" i="15"/>
  <c r="J207" i="15" s="1"/>
  <c r="C207" i="15" s="1"/>
  <c r="E204" i="15"/>
  <c r="F205" i="15"/>
  <c r="D206" i="15"/>
  <c r="Q258" i="15"/>
  <c r="M207" i="15" l="1"/>
  <c r="T259" i="15"/>
  <c r="R259" i="15" s="1"/>
  <c r="F206" i="15"/>
  <c r="E205" i="15"/>
  <c r="B207" i="15"/>
  <c r="G207" i="15"/>
  <c r="L207" i="15"/>
  <c r="E206" i="15" l="1"/>
  <c r="D207" i="15"/>
  <c r="O208" i="15"/>
  <c r="Q259" i="15"/>
  <c r="J208" i="15" l="1"/>
  <c r="C208" i="15" s="1"/>
  <c r="M208" i="15"/>
  <c r="T260" i="15"/>
  <c r="R260" i="15" s="1"/>
  <c r="L208" i="15"/>
  <c r="F207" i="15"/>
  <c r="E207" i="15" l="1"/>
  <c r="O209" i="15"/>
  <c r="J209" i="15" s="1"/>
  <c r="C209" i="15" s="1"/>
  <c r="Q260" i="15"/>
  <c r="B208" i="15"/>
  <c r="M209" i="15" l="1"/>
  <c r="B209" i="15"/>
  <c r="G209" i="15"/>
  <c r="L209" i="15"/>
  <c r="T261" i="15"/>
  <c r="R261" i="15" s="1"/>
  <c r="G208" i="15"/>
  <c r="D208" i="15"/>
  <c r="D209" i="15" l="1"/>
  <c r="F208" i="15"/>
  <c r="O210" i="15"/>
  <c r="Q261" i="15"/>
  <c r="E208" i="15" l="1"/>
  <c r="F209" i="15"/>
  <c r="T262" i="15"/>
  <c r="R262" i="15" s="1"/>
  <c r="J210" i="15"/>
  <c r="C210" i="15" s="1"/>
  <c r="M210" i="15"/>
  <c r="L210" i="15"/>
  <c r="O211" i="15" l="1"/>
  <c r="J211" i="15" s="1"/>
  <c r="C211" i="15" s="1"/>
  <c r="B210" i="15"/>
  <c r="L211" i="15"/>
  <c r="Q262" i="15"/>
  <c r="E209" i="15"/>
  <c r="M211" i="15" l="1"/>
  <c r="G210" i="15"/>
  <c r="D210" i="15"/>
  <c r="T263" i="15"/>
  <c r="R263" i="15" s="1"/>
  <c r="B211" i="15"/>
  <c r="G211" i="15"/>
  <c r="O212" i="15"/>
  <c r="J212" i="15" s="1"/>
  <c r="C212" i="15" s="1"/>
  <c r="B212" i="15" l="1"/>
  <c r="G212" i="15"/>
  <c r="M212" i="15"/>
  <c r="Q263" i="15"/>
  <c r="D211" i="15"/>
  <c r="D212" i="15" s="1"/>
  <c r="F210" i="15"/>
  <c r="L212" i="15"/>
  <c r="E210" i="15" l="1"/>
  <c r="F211" i="15"/>
  <c r="O213" i="15"/>
  <c r="J213" i="15" s="1"/>
  <c r="C213" i="15" s="1"/>
  <c r="T264" i="15"/>
  <c r="R264" i="15" s="1"/>
  <c r="B213" i="15" l="1"/>
  <c r="M213" i="15"/>
  <c r="L213" i="15"/>
  <c r="Q264" i="15"/>
  <c r="E211" i="15"/>
  <c r="F212" i="15"/>
  <c r="O214" i="15" l="1"/>
  <c r="J214" i="15" s="1"/>
  <c r="C214" i="15" s="1"/>
  <c r="G213" i="15"/>
  <c r="D213" i="15"/>
  <c r="E212" i="15"/>
  <c r="T265" i="15"/>
  <c r="R265" i="15" s="1"/>
  <c r="Q265" i="15" l="1"/>
  <c r="F213" i="15"/>
  <c r="B214" i="15"/>
  <c r="G214" i="15"/>
  <c r="M214" i="15"/>
  <c r="L214" i="15"/>
  <c r="E213" i="15" l="1"/>
  <c r="D214" i="15"/>
  <c r="F214" i="15" s="1"/>
  <c r="O215" i="15"/>
  <c r="J215" i="15" s="1"/>
  <c r="C215" i="15" s="1"/>
  <c r="T266" i="15"/>
  <c r="R266" i="15" s="1"/>
  <c r="E214" i="15" l="1"/>
  <c r="Q266" i="15"/>
  <c r="M215" i="15"/>
  <c r="B215" i="15"/>
  <c r="G215" i="15"/>
  <c r="L215" i="15"/>
  <c r="D215" i="15" l="1"/>
  <c r="O216" i="15"/>
  <c r="J216" i="15" s="1"/>
  <c r="C216" i="15" s="1"/>
  <c r="T267" i="15"/>
  <c r="R267" i="15" s="1"/>
  <c r="L216" i="15" l="1"/>
  <c r="B216" i="15"/>
  <c r="G216" i="15"/>
  <c r="Q267" i="15"/>
  <c r="M216" i="15"/>
  <c r="D216" i="15"/>
  <c r="F215" i="15"/>
  <c r="O217" i="15" l="1"/>
  <c r="E215" i="15"/>
  <c r="F216" i="15"/>
  <c r="T268" i="15"/>
  <c r="R268" i="15" s="1"/>
  <c r="T269" i="15" l="1"/>
  <c r="R269" i="15" s="1"/>
  <c r="Q268" i="15"/>
  <c r="Q269" i="15" s="1"/>
  <c r="E216" i="15"/>
  <c r="J217" i="15"/>
  <c r="C217" i="15" s="1"/>
  <c r="L217" i="15"/>
  <c r="M217" i="15"/>
  <c r="O218" i="15" l="1"/>
  <c r="J218" i="15" s="1"/>
  <c r="C218" i="15" s="1"/>
  <c r="L218" i="15"/>
  <c r="B217" i="15"/>
  <c r="T270" i="15"/>
  <c r="R270" i="15" s="1"/>
  <c r="T271" i="15" l="1"/>
  <c r="R271" i="15" s="1"/>
  <c r="G217" i="15"/>
  <c r="D217" i="15"/>
  <c r="Q270" i="15"/>
  <c r="Q271" i="15" s="1"/>
  <c r="B218" i="15"/>
  <c r="G218" i="15"/>
  <c r="M218" i="15"/>
  <c r="T272" i="15" l="1"/>
  <c r="R272" i="15" s="1"/>
  <c r="D218" i="15"/>
  <c r="F217" i="15"/>
  <c r="O219" i="15"/>
  <c r="Q272" i="15" l="1"/>
  <c r="T273" i="15"/>
  <c r="R273" i="15" s="1"/>
  <c r="J219" i="15"/>
  <c r="C219" i="15" s="1"/>
  <c r="L219" i="15"/>
  <c r="M219" i="15"/>
  <c r="E217" i="15"/>
  <c r="F218" i="15"/>
  <c r="T274" i="15" l="1"/>
  <c r="R274" i="15" s="1"/>
  <c r="O220" i="15"/>
  <c r="J220" i="15" s="1"/>
  <c r="C220" i="15" s="1"/>
  <c r="B219" i="15"/>
  <c r="E218" i="15"/>
  <c r="Q273" i="15"/>
  <c r="Q274" i="15" s="1"/>
  <c r="T275" i="15" l="1"/>
  <c r="R275" i="15" s="1"/>
  <c r="G219" i="15"/>
  <c r="D219" i="15"/>
  <c r="B220" i="15"/>
  <c r="G220" i="15"/>
  <c r="M220" i="15"/>
  <c r="Q275" i="15"/>
  <c r="L220" i="15"/>
  <c r="T276" i="15" l="1"/>
  <c r="R276" i="15" s="1"/>
  <c r="O221" i="15"/>
  <c r="J221" i="15" s="1"/>
  <c r="C221" i="15" s="1"/>
  <c r="D220" i="15"/>
  <c r="F219" i="15"/>
  <c r="L221" i="15" l="1"/>
  <c r="O222" i="15" s="1"/>
  <c r="J222" i="15" s="1"/>
  <c r="C222" i="15" s="1"/>
  <c r="E219" i="15"/>
  <c r="F220" i="15"/>
  <c r="B221" i="15"/>
  <c r="G221" i="15"/>
  <c r="M221" i="15"/>
  <c r="Q276" i="15"/>
  <c r="B222" i="15" l="1"/>
  <c r="G222" i="15"/>
  <c r="E220" i="15"/>
  <c r="D221" i="15"/>
  <c r="D222" i="15" s="1"/>
  <c r="T277" i="15"/>
  <c r="R277" i="15" s="1"/>
  <c r="L222" i="15"/>
  <c r="M222" i="15"/>
  <c r="F221" i="15" l="1"/>
  <c r="E221" i="15" s="1"/>
  <c r="O223" i="15"/>
  <c r="J223" i="15" s="1"/>
  <c r="C223" i="15" s="1"/>
  <c r="Q277" i="15"/>
  <c r="F222" i="15" l="1"/>
  <c r="M223" i="15"/>
  <c r="T278" i="15"/>
  <c r="R278" i="15" s="1"/>
  <c r="E222" i="15"/>
  <c r="B223" i="15"/>
  <c r="L223" i="15"/>
  <c r="O224" i="15" l="1"/>
  <c r="G223" i="15"/>
  <c r="D223" i="15"/>
  <c r="Q278" i="15"/>
  <c r="T279" i="15" l="1"/>
  <c r="R279" i="15" s="1"/>
  <c r="F223" i="15"/>
  <c r="J224" i="15"/>
  <c r="C224" i="15" s="1"/>
  <c r="M224" i="15"/>
  <c r="L224" i="15"/>
  <c r="E223" i="15" l="1"/>
  <c r="O225" i="15"/>
  <c r="J225" i="15" s="1"/>
  <c r="C225" i="15" s="1"/>
  <c r="B224" i="15"/>
  <c r="T280" i="15"/>
  <c r="R280" i="15" s="1"/>
  <c r="Q279" i="15"/>
  <c r="Q280" i="15" l="1"/>
  <c r="T281" i="15"/>
  <c r="R281" i="15" s="1"/>
  <c r="M225" i="15"/>
  <c r="G224" i="15"/>
  <c r="D224" i="15"/>
  <c r="B225" i="15"/>
  <c r="G225" i="15"/>
  <c r="Q281" i="15"/>
  <c r="L225" i="15"/>
  <c r="T282" i="15" l="1"/>
  <c r="R282" i="15" s="1"/>
  <c r="Q282" i="15"/>
  <c r="O226" i="15"/>
  <c r="J226" i="15" s="1"/>
  <c r="C226" i="15" s="1"/>
  <c r="D225" i="15"/>
  <c r="F224" i="15"/>
  <c r="L226" i="15"/>
  <c r="T283" i="15" l="1"/>
  <c r="R283" i="15" s="1"/>
  <c r="E224" i="15"/>
  <c r="F225" i="15"/>
  <c r="B226" i="15"/>
  <c r="G226" i="15"/>
  <c r="D226" i="15"/>
  <c r="M226" i="15"/>
  <c r="Q283" i="15"/>
  <c r="T284" i="15" l="1"/>
  <c r="R284" i="15" s="1"/>
  <c r="E225" i="15"/>
  <c r="F226" i="15"/>
  <c r="O227" i="15"/>
  <c r="J227" i="15" l="1"/>
  <c r="C227" i="15" s="1"/>
  <c r="L227" i="15"/>
  <c r="M227" i="15"/>
  <c r="E226" i="15"/>
  <c r="Q284" i="15"/>
  <c r="O228" i="15" l="1"/>
  <c r="J228" i="15" s="1"/>
  <c r="C228" i="15" s="1"/>
  <c r="T285" i="15"/>
  <c r="R285" i="15" s="1"/>
  <c r="L228" i="15"/>
  <c r="B227" i="15"/>
  <c r="G227" i="15" l="1"/>
  <c r="D227" i="15"/>
  <c r="Q285" i="15"/>
  <c r="T286" i="15"/>
  <c r="R286" i="15" s="1"/>
  <c r="B228" i="15"/>
  <c r="G228" i="15"/>
  <c r="M228" i="15"/>
  <c r="T287" i="15" l="1"/>
  <c r="R287" i="15" s="1"/>
  <c r="Q286" i="15"/>
  <c r="Q287" i="15" s="1"/>
  <c r="D228" i="15"/>
  <c r="F227" i="15"/>
  <c r="O229" i="15"/>
  <c r="T288" i="15" l="1"/>
  <c r="R288" i="15" s="1"/>
  <c r="J229" i="15"/>
  <c r="C229" i="15" s="1"/>
  <c r="L229" i="15"/>
  <c r="M229" i="15"/>
  <c r="Q288" i="15"/>
  <c r="E227" i="15"/>
  <c r="F228" i="15"/>
  <c r="T289" i="15" l="1"/>
  <c r="R289" i="15" s="1"/>
  <c r="E228" i="15"/>
  <c r="O230" i="15"/>
  <c r="J230" i="15" s="1"/>
  <c r="C230" i="15" s="1"/>
  <c r="B229" i="15"/>
  <c r="Q289" i="15" l="1"/>
  <c r="M230" i="15"/>
  <c r="B230" i="15"/>
  <c r="G230" i="15"/>
  <c r="T290" i="15"/>
  <c r="R290" i="15" s="1"/>
  <c r="L230" i="15"/>
  <c r="G229" i="15"/>
  <c r="D229" i="15"/>
  <c r="Q290" i="15" l="1"/>
  <c r="O231" i="15"/>
  <c r="J231" i="15" s="1"/>
  <c r="C231" i="15" s="1"/>
  <c r="D230" i="15"/>
  <c r="F229" i="15"/>
  <c r="M231" i="15" l="1"/>
  <c r="E229" i="15"/>
  <c r="F230" i="15"/>
  <c r="B231" i="15"/>
  <c r="G231" i="15"/>
  <c r="T291" i="15"/>
  <c r="R291" i="15" s="1"/>
  <c r="L231" i="15"/>
  <c r="Q291" i="15" l="1"/>
  <c r="E230" i="15"/>
  <c r="O232" i="15"/>
  <c r="J232" i="15" s="1"/>
  <c r="C232" i="15" s="1"/>
  <c r="D231" i="15"/>
  <c r="F231" i="15" l="1"/>
  <c r="B232" i="15"/>
  <c r="G232" i="15"/>
  <c r="L232" i="15"/>
  <c r="M232" i="15"/>
  <c r="T292" i="15"/>
  <c r="R292" i="15" s="1"/>
  <c r="Q292" i="15" l="1"/>
  <c r="O233" i="15"/>
  <c r="J233" i="15" s="1"/>
  <c r="C233" i="15" s="1"/>
  <c r="E231" i="15"/>
  <c r="D232" i="15"/>
  <c r="F232" i="15" s="1"/>
  <c r="E232" i="15" l="1"/>
  <c r="M233" i="15"/>
  <c r="B233" i="15"/>
  <c r="G233" i="15"/>
  <c r="L233" i="15"/>
  <c r="T293" i="15"/>
  <c r="R293" i="15" s="1"/>
  <c r="Q293" i="15" l="1"/>
  <c r="O234" i="15"/>
  <c r="J234" i="15" s="1"/>
  <c r="C234" i="15" s="1"/>
  <c r="D233" i="15"/>
  <c r="T294" i="15"/>
  <c r="Q294" i="15" s="1"/>
  <c r="M234" i="15" l="1"/>
  <c r="R294" i="15"/>
  <c r="F233" i="15"/>
  <c r="O235" i="15"/>
  <c r="J235" i="15" s="1"/>
  <c r="C235" i="15" s="1"/>
  <c r="B234" i="15"/>
  <c r="G234" i="15"/>
  <c r="L234" i="15"/>
  <c r="B235" i="15" l="1"/>
  <c r="G235" i="15"/>
  <c r="M235" i="15"/>
  <c r="E233" i="15"/>
  <c r="D234" i="15"/>
  <c r="D235" i="15" s="1"/>
  <c r="T295" i="15"/>
  <c r="Q295" i="15" s="1"/>
  <c r="L235" i="15"/>
  <c r="R295" i="15" l="1"/>
  <c r="O236" i="15"/>
  <c r="J236" i="15" s="1"/>
  <c r="C236" i="15" s="1"/>
  <c r="F234" i="15"/>
  <c r="L236" i="15"/>
  <c r="E234" i="15" l="1"/>
  <c r="F235" i="15"/>
  <c r="M236" i="15"/>
  <c r="B236" i="15"/>
  <c r="T296" i="15"/>
  <c r="Q296" i="15" s="1"/>
  <c r="R296" i="15" l="1"/>
  <c r="G236" i="15"/>
  <c r="D236" i="15"/>
  <c r="F236" i="15" s="1"/>
  <c r="E235" i="15"/>
  <c r="O237" i="15"/>
  <c r="M237" i="15" s="1"/>
  <c r="J237" i="15" l="1"/>
  <c r="C237" i="15" s="1"/>
  <c r="L237" i="15"/>
  <c r="E236" i="15"/>
  <c r="T297" i="15"/>
  <c r="Q297" i="15" s="1"/>
  <c r="T298" i="15" l="1"/>
  <c r="Q298" i="15" s="1"/>
  <c r="R297" i="15"/>
  <c r="O238" i="15"/>
  <c r="B237" i="15"/>
  <c r="G237" i="15" l="1"/>
  <c r="D237" i="15"/>
  <c r="J238" i="15"/>
  <c r="C238" i="15" s="1"/>
  <c r="M238" i="15"/>
  <c r="L238" i="15"/>
  <c r="R298" i="15"/>
  <c r="F237" i="15" l="1"/>
  <c r="T299" i="15"/>
  <c r="Q299" i="15" s="1"/>
  <c r="O239" i="15"/>
  <c r="J239" i="15" s="1"/>
  <c r="C239" i="15" s="1"/>
  <c r="B238" i="15"/>
  <c r="G238" i="15"/>
  <c r="B239" i="15" l="1"/>
  <c r="G239" i="15"/>
  <c r="M239" i="15"/>
  <c r="L239" i="15"/>
  <c r="E237" i="15"/>
  <c r="R299" i="15"/>
  <c r="D238" i="15"/>
  <c r="F238" i="15" s="1"/>
  <c r="E238" i="15" l="1"/>
  <c r="O240" i="15"/>
  <c r="J240" i="15" s="1"/>
  <c r="C240" i="15" s="1"/>
  <c r="T300" i="15"/>
  <c r="Q300" i="15" s="1"/>
  <c r="D239" i="15"/>
  <c r="M240" i="15" l="1"/>
  <c r="T301" i="15"/>
  <c r="Q301" i="15" s="1"/>
  <c r="R300" i="15"/>
  <c r="L240" i="15"/>
  <c r="O241" i="15"/>
  <c r="J241" i="15" s="1"/>
  <c r="C241" i="15" s="1"/>
  <c r="B240" i="15"/>
  <c r="G240" i="15"/>
  <c r="F239" i="15"/>
  <c r="R301" i="15" l="1"/>
  <c r="D240" i="15"/>
  <c r="D241" i="15" s="1"/>
  <c r="T302" i="15"/>
  <c r="Q302" i="15" s="1"/>
  <c r="G241" i="15"/>
  <c r="B241" i="15"/>
  <c r="L241" i="15"/>
  <c r="M241" i="15"/>
  <c r="R302" i="15"/>
  <c r="E239" i="15"/>
  <c r="F240" i="15" l="1"/>
  <c r="T303" i="15"/>
  <c r="Q303" i="15" s="1"/>
  <c r="O242" i="15"/>
  <c r="J242" i="15" s="1"/>
  <c r="C242" i="15" s="1"/>
  <c r="E240" i="15"/>
  <c r="F241" i="15"/>
  <c r="T304" i="15" l="1"/>
  <c r="Q304" i="15" s="1"/>
  <c r="B242" i="15"/>
  <c r="M242" i="15"/>
  <c r="R303" i="15"/>
  <c r="L242" i="15"/>
  <c r="E241" i="15"/>
  <c r="R304" i="15" l="1"/>
  <c r="T305" i="15" s="1"/>
  <c r="Q305" i="15" s="1"/>
  <c r="O243" i="15"/>
  <c r="J243" i="15" s="1"/>
  <c r="C243" i="15" s="1"/>
  <c r="G242" i="15"/>
  <c r="D242" i="15"/>
  <c r="L243" i="15" l="1"/>
  <c r="F242" i="15"/>
  <c r="G243" i="15"/>
  <c r="B243" i="15"/>
  <c r="M243" i="15"/>
  <c r="R305" i="15"/>
  <c r="T306" i="15" l="1"/>
  <c r="Q306" i="15" s="1"/>
  <c r="R306" i="15"/>
  <c r="O244" i="15"/>
  <c r="J244" i="15" s="1"/>
  <c r="C244" i="15" s="1"/>
  <c r="E242" i="15"/>
  <c r="D243" i="15"/>
  <c r="L244" i="15" l="1"/>
  <c r="F243" i="15"/>
  <c r="B244" i="15"/>
  <c r="G244" i="15"/>
  <c r="M244" i="15"/>
  <c r="T307" i="15"/>
  <c r="R307" i="15" s="1"/>
  <c r="Q307" i="15" l="1"/>
  <c r="D244" i="15"/>
  <c r="F244" i="15" s="1"/>
  <c r="O245" i="15"/>
  <c r="E243" i="15"/>
  <c r="T308" i="15"/>
  <c r="R308" i="15" s="1"/>
  <c r="T309" i="15" l="1"/>
  <c r="R309" i="15" s="1"/>
  <c r="E244" i="15"/>
  <c r="J245" i="15"/>
  <c r="C245" i="15" s="1"/>
  <c r="L245" i="15"/>
  <c r="M245" i="15"/>
  <c r="Q308" i="15"/>
  <c r="Q309" i="15" s="1"/>
  <c r="T310" i="15" l="1"/>
  <c r="R310" i="15" s="1"/>
  <c r="O246" i="15"/>
  <c r="J246" i="15" s="1"/>
  <c r="C246" i="15" s="1"/>
  <c r="B245" i="15"/>
  <c r="Q310" i="15" l="1"/>
  <c r="B246" i="15"/>
  <c r="G246" i="15"/>
  <c r="G245" i="15"/>
  <c r="D245" i="15"/>
  <c r="L246" i="15"/>
  <c r="M246" i="15"/>
  <c r="T311" i="15"/>
  <c r="Q311" i="15" s="1"/>
  <c r="R311" i="15" l="1"/>
  <c r="T312" i="15" s="1"/>
  <c r="Q312" i="15" s="1"/>
  <c r="D246" i="15"/>
  <c r="F245" i="15"/>
  <c r="O247" i="15"/>
  <c r="J247" i="15" s="1"/>
  <c r="C247" i="15" s="1"/>
  <c r="L247" i="15" l="1"/>
  <c r="F246" i="15"/>
  <c r="E245" i="15"/>
  <c r="G247" i="15"/>
  <c r="B247" i="15"/>
  <c r="M247" i="15"/>
  <c r="D247" i="15"/>
  <c r="R312" i="15"/>
  <c r="O248" i="15" l="1"/>
  <c r="M248" i="15" s="1"/>
  <c r="E246" i="15"/>
  <c r="F247" i="15"/>
  <c r="T313" i="15"/>
  <c r="Q313" i="15" s="1"/>
  <c r="O249" i="15" l="1"/>
  <c r="J249" i="15" s="1"/>
  <c r="C249" i="15" s="1"/>
  <c r="E247" i="15"/>
  <c r="T314" i="15"/>
  <c r="Q314" i="15" s="1"/>
  <c r="R313" i="15"/>
  <c r="J248" i="15"/>
  <c r="C248" i="15" s="1"/>
  <c r="L248" i="15"/>
  <c r="T315" i="15" l="1"/>
  <c r="Q315" i="15" s="1"/>
  <c r="B248" i="15"/>
  <c r="R314" i="15"/>
  <c r="G249" i="15"/>
  <c r="B249" i="15"/>
  <c r="L249" i="15"/>
  <c r="M249" i="15"/>
  <c r="R315" i="15" l="1"/>
  <c r="T316" i="15"/>
  <c r="Q316" i="15" s="1"/>
  <c r="G248" i="15"/>
  <c r="D248" i="15"/>
  <c r="O250" i="15"/>
  <c r="J250" i="15" s="1"/>
  <c r="C250" i="15" s="1"/>
  <c r="R316" i="15" l="1"/>
  <c r="T317" i="15"/>
  <c r="Q317" i="15" s="1"/>
  <c r="M250" i="15"/>
  <c r="B250" i="15"/>
  <c r="G250" i="15"/>
  <c r="L250" i="15"/>
  <c r="D249" i="15"/>
  <c r="D250" i="15" s="1"/>
  <c r="F248" i="15"/>
  <c r="E248" i="15" l="1"/>
  <c r="F249" i="15"/>
  <c r="O251" i="15"/>
  <c r="J251" i="15" s="1"/>
  <c r="C251" i="15" s="1"/>
  <c r="R317" i="15"/>
  <c r="B251" i="15" l="1"/>
  <c r="M251" i="15"/>
  <c r="T318" i="15"/>
  <c r="Q318" i="15" s="1"/>
  <c r="F250" i="15"/>
  <c r="E249" i="15"/>
  <c r="L251" i="15"/>
  <c r="E250" i="15" l="1"/>
  <c r="O252" i="15"/>
  <c r="J252" i="15" s="1"/>
  <c r="C252" i="15" s="1"/>
  <c r="T319" i="15"/>
  <c r="Q319" i="15" s="1"/>
  <c r="R318" i="15"/>
  <c r="G251" i="15"/>
  <c r="D251" i="15"/>
  <c r="F251" i="15" s="1"/>
  <c r="E251" i="15" l="1"/>
  <c r="B252" i="15"/>
  <c r="G252" i="15"/>
  <c r="R319" i="15"/>
  <c r="L252" i="15"/>
  <c r="M252" i="15"/>
  <c r="T320" i="15" l="1"/>
  <c r="Q320" i="15" s="1"/>
  <c r="O253" i="15"/>
  <c r="J253" i="15" s="1"/>
  <c r="C253" i="15" s="1"/>
  <c r="D252" i="15"/>
  <c r="M253" i="15" l="1"/>
  <c r="T321" i="15"/>
  <c r="Q321" i="15" s="1"/>
  <c r="F252" i="15"/>
  <c r="B253" i="15"/>
  <c r="G253" i="15"/>
  <c r="L253" i="15"/>
  <c r="R320" i="15"/>
  <c r="T322" i="15" l="1"/>
  <c r="Q322" i="15" s="1"/>
  <c r="O254" i="15"/>
  <c r="E252" i="15"/>
  <c r="D253" i="15"/>
  <c r="R321" i="15"/>
  <c r="R322" i="15" l="1"/>
  <c r="T323" i="15"/>
  <c r="Q323" i="15" s="1"/>
  <c r="F253" i="15"/>
  <c r="J254" i="15"/>
  <c r="C254" i="15" s="1"/>
  <c r="M254" i="15"/>
  <c r="L254" i="15"/>
  <c r="R323" i="15" l="1"/>
  <c r="T324" i="15"/>
  <c r="Q324" i="15" s="1"/>
  <c r="O255" i="15"/>
  <c r="J255" i="15" s="1"/>
  <c r="C255" i="15" s="1"/>
  <c r="E253" i="15"/>
  <c r="B254" i="15"/>
  <c r="M255" i="15" l="1"/>
  <c r="L255" i="15"/>
  <c r="G255" i="15"/>
  <c r="B255" i="15"/>
  <c r="R324" i="15"/>
  <c r="G254" i="15"/>
  <c r="D254" i="15"/>
  <c r="D255" i="15" l="1"/>
  <c r="F254" i="15"/>
  <c r="T325" i="15"/>
  <c r="Q325" i="15" s="1"/>
  <c r="O256" i="15"/>
  <c r="J256" i="15" s="1"/>
  <c r="C256" i="15" s="1"/>
  <c r="M256" i="15" l="1"/>
  <c r="B256" i="15"/>
  <c r="G256" i="15"/>
  <c r="L256" i="15"/>
  <c r="O257" i="15"/>
  <c r="J257" i="15" s="1"/>
  <c r="C257" i="15" s="1"/>
  <c r="R325" i="15"/>
  <c r="E254" i="15"/>
  <c r="F255" i="15"/>
  <c r="D256" i="15" l="1"/>
  <c r="B257" i="15"/>
  <c r="G257" i="15"/>
  <c r="T326" i="15"/>
  <c r="Q326" i="15" s="1"/>
  <c r="M257" i="15"/>
  <c r="D257" i="15"/>
  <c r="L257" i="15"/>
  <c r="F256" i="15"/>
  <c r="E255" i="15"/>
  <c r="E256" i="15" l="1"/>
  <c r="F257" i="15"/>
  <c r="O258" i="15"/>
  <c r="J258" i="15" s="1"/>
  <c r="C258" i="15" s="1"/>
  <c r="R326" i="15"/>
  <c r="T327" i="15" l="1"/>
  <c r="Q327" i="15" s="1"/>
  <c r="L258" i="15"/>
  <c r="E257" i="15"/>
  <c r="M258" i="15"/>
  <c r="B258" i="15"/>
  <c r="O259" i="15" l="1"/>
  <c r="J259" i="15" s="1"/>
  <c r="C259" i="15" s="1"/>
  <c r="G258" i="15"/>
  <c r="D258" i="15"/>
  <c r="R327" i="15"/>
  <c r="F258" i="15" l="1"/>
  <c r="L259" i="15"/>
  <c r="G259" i="15"/>
  <c r="B259" i="15"/>
  <c r="T328" i="15"/>
  <c r="Q328" i="15" s="1"/>
  <c r="M259" i="15"/>
  <c r="R328" i="15" l="1"/>
  <c r="E258" i="15"/>
  <c r="O260" i="15"/>
  <c r="J260" i="15" s="1"/>
  <c r="C260" i="15" s="1"/>
  <c r="D259" i="15"/>
  <c r="B260" i="15" l="1"/>
  <c r="G260" i="15"/>
  <c r="F259" i="15"/>
  <c r="T329" i="15"/>
  <c r="Q329" i="15" s="1"/>
  <c r="L260" i="15"/>
  <c r="M260" i="15"/>
  <c r="O261" i="15" l="1"/>
  <c r="J261" i="15" s="1"/>
  <c r="C261" i="15" s="1"/>
  <c r="R329" i="15"/>
  <c r="D260" i="15"/>
  <c r="F260" i="15" s="1"/>
  <c r="E259" i="15"/>
  <c r="B261" i="15" l="1"/>
  <c r="G261" i="15"/>
  <c r="L261" i="15"/>
  <c r="E260" i="15"/>
  <c r="T330" i="15"/>
  <c r="Q330" i="15" s="1"/>
  <c r="M261" i="15"/>
  <c r="R330" i="15" l="1"/>
  <c r="O262" i="15"/>
  <c r="J262" i="15" s="1"/>
  <c r="C262" i="15" s="1"/>
  <c r="D261" i="15"/>
  <c r="F261" i="15" l="1"/>
  <c r="M262" i="15"/>
  <c r="B262" i="15"/>
  <c r="G262" i="15"/>
  <c r="L262" i="15"/>
  <c r="T331" i="15"/>
  <c r="Q331" i="15" s="1"/>
  <c r="R331" i="15" l="1"/>
  <c r="O263" i="15"/>
  <c r="J263" i="15" s="1"/>
  <c r="C263" i="15" s="1"/>
  <c r="E261" i="15"/>
  <c r="D262" i="15"/>
  <c r="F262" i="15" l="1"/>
  <c r="B263" i="15"/>
  <c r="G263" i="15"/>
  <c r="M263" i="15"/>
  <c r="L263" i="15"/>
  <c r="T332" i="15"/>
  <c r="Q332" i="15" s="1"/>
  <c r="O264" i="15" l="1"/>
  <c r="J264" i="15" s="1"/>
  <c r="C264" i="15" s="1"/>
  <c r="T333" i="15"/>
  <c r="Q333" i="15" s="1"/>
  <c r="R332" i="15"/>
  <c r="L264" i="15"/>
  <c r="E262" i="15"/>
  <c r="D263" i="15"/>
  <c r="F263" i="15" s="1"/>
  <c r="R333" i="15" l="1"/>
  <c r="T334" i="15"/>
  <c r="Q334" i="15" s="1"/>
  <c r="B264" i="15"/>
  <c r="G264" i="15"/>
  <c r="E263" i="15"/>
  <c r="M264" i="15"/>
  <c r="O265" i="15" l="1"/>
  <c r="R334" i="15"/>
  <c r="D264" i="15"/>
  <c r="T335" i="15" l="1"/>
  <c r="Q335" i="15" s="1"/>
  <c r="F264" i="15"/>
  <c r="J265" i="15"/>
  <c r="C265" i="15" s="1"/>
  <c r="L265" i="15"/>
  <c r="M265" i="15"/>
  <c r="O266" i="15" l="1"/>
  <c r="J266" i="15" s="1"/>
  <c r="C266" i="15" s="1"/>
  <c r="E264" i="15"/>
  <c r="L266" i="15"/>
  <c r="B265" i="15"/>
  <c r="R335" i="15"/>
  <c r="G265" i="15" l="1"/>
  <c r="D265" i="15"/>
  <c r="B266" i="15"/>
  <c r="G266" i="15"/>
  <c r="T336" i="15"/>
  <c r="Q336" i="15" s="1"/>
  <c r="M266" i="15"/>
  <c r="O267" i="15" l="1"/>
  <c r="R336" i="15"/>
  <c r="D266" i="15"/>
  <c r="F265" i="15"/>
  <c r="E265" i="15" l="1"/>
  <c r="F266" i="15"/>
  <c r="T337" i="15"/>
  <c r="Q337" i="15" s="1"/>
  <c r="J267" i="15"/>
  <c r="C267" i="15" s="1"/>
  <c r="L267" i="15"/>
  <c r="M267" i="15"/>
  <c r="R337" i="15" l="1"/>
  <c r="T338" i="15"/>
  <c r="Q338" i="15" s="1"/>
  <c r="O268" i="15"/>
  <c r="J268" i="15" s="1"/>
  <c r="C268" i="15" s="1"/>
  <c r="E266" i="15"/>
  <c r="B267" i="15"/>
  <c r="B268" i="15" l="1"/>
  <c r="G268" i="15"/>
  <c r="R338" i="15"/>
  <c r="M268" i="15"/>
  <c r="G267" i="15"/>
  <c r="D267" i="15"/>
  <c r="L268" i="15"/>
  <c r="D268" i="15" l="1"/>
  <c r="F267" i="15"/>
  <c r="O269" i="15"/>
  <c r="J269" i="15" s="1"/>
  <c r="C269" i="15" s="1"/>
  <c r="T339" i="15"/>
  <c r="Q339" i="15" s="1"/>
  <c r="M269" i="15" l="1"/>
  <c r="R339" i="15"/>
  <c r="E267" i="15"/>
  <c r="F268" i="15"/>
  <c r="B269" i="15"/>
  <c r="G269" i="15"/>
  <c r="L269" i="15"/>
  <c r="O270" i="15" l="1"/>
  <c r="E268" i="15"/>
  <c r="D269" i="15"/>
  <c r="T340" i="15"/>
  <c r="Q340" i="15" s="1"/>
  <c r="R340" i="15" l="1"/>
  <c r="F269" i="15"/>
  <c r="J270" i="15"/>
  <c r="C270" i="15" s="1"/>
  <c r="M270" i="15"/>
  <c r="L270" i="15"/>
  <c r="O271" i="15" l="1"/>
  <c r="J271" i="15" s="1"/>
  <c r="C271" i="15" s="1"/>
  <c r="B270" i="15"/>
  <c r="E269" i="15"/>
  <c r="T341" i="15"/>
  <c r="Q341" i="15" s="1"/>
  <c r="R341" i="15" l="1"/>
  <c r="L271" i="15"/>
  <c r="O272" i="15" s="1"/>
  <c r="J272" i="15" s="1"/>
  <c r="C272" i="15" s="1"/>
  <c r="G270" i="15"/>
  <c r="D270" i="15"/>
  <c r="T342" i="15"/>
  <c r="Q342" i="15" s="1"/>
  <c r="B271" i="15"/>
  <c r="G271" i="15"/>
  <c r="M271" i="15"/>
  <c r="R342" i="15" l="1"/>
  <c r="L272" i="15"/>
  <c r="B272" i="15"/>
  <c r="G272" i="15"/>
  <c r="M272" i="15"/>
  <c r="D271" i="15"/>
  <c r="D272" i="15" s="1"/>
  <c r="F270" i="15"/>
  <c r="E270" i="15" l="1"/>
  <c r="F271" i="15"/>
  <c r="O273" i="15"/>
  <c r="J273" i="15" s="1"/>
  <c r="C273" i="15" s="1"/>
  <c r="T343" i="15"/>
  <c r="Q343" i="15" s="1"/>
  <c r="R343" i="15" l="1"/>
  <c r="L273" i="15"/>
  <c r="B273" i="15"/>
  <c r="M273" i="15"/>
  <c r="E271" i="15"/>
  <c r="F272" i="15"/>
  <c r="G273" i="15" l="1"/>
  <c r="D273" i="15"/>
  <c r="E272" i="15"/>
  <c r="F273" i="15"/>
  <c r="O274" i="15"/>
  <c r="J274" i="15" s="1"/>
  <c r="C274" i="15" s="1"/>
  <c r="T344" i="15"/>
  <c r="Q344" i="15" s="1"/>
  <c r="R344" i="15" l="1"/>
  <c r="B274" i="15"/>
  <c r="G274" i="15"/>
  <c r="L274" i="15"/>
  <c r="D274" i="15"/>
  <c r="F274" i="15" s="1"/>
  <c r="E273" i="15"/>
  <c r="T345" i="15"/>
  <c r="Q345" i="15" s="1"/>
  <c r="M274" i="15"/>
  <c r="R345" i="15" l="1"/>
  <c r="E274" i="15"/>
  <c r="O275" i="15"/>
  <c r="J275" i="15" s="1"/>
  <c r="C275" i="15" s="1"/>
  <c r="T346" i="15"/>
  <c r="R346" i="15" s="1"/>
  <c r="Q346" i="15" l="1"/>
  <c r="B275" i="15"/>
  <c r="M275" i="15"/>
  <c r="L275" i="15"/>
  <c r="G275" i="15" l="1"/>
  <c r="D275" i="15"/>
  <c r="O276" i="15"/>
  <c r="J276" i="15" s="1"/>
  <c r="C276" i="15" s="1"/>
  <c r="T347" i="15"/>
  <c r="R347" i="15" s="1"/>
  <c r="M276" i="15" l="1"/>
  <c r="Q347" i="15"/>
  <c r="B276" i="15"/>
  <c r="G276" i="15"/>
  <c r="F275" i="15"/>
  <c r="L276" i="15"/>
  <c r="D276" i="15" l="1"/>
  <c r="O277" i="15"/>
  <c r="E275" i="15"/>
  <c r="F276" i="15"/>
  <c r="T348" i="15"/>
  <c r="R348" i="15" s="1"/>
  <c r="E276" i="15" l="1"/>
  <c r="Q348" i="15"/>
  <c r="J277" i="15"/>
  <c r="C277" i="15" s="1"/>
  <c r="M277" i="15"/>
  <c r="L277" i="15"/>
  <c r="B277" i="15" l="1"/>
  <c r="T349" i="15"/>
  <c r="R349" i="15" s="1"/>
  <c r="O278" i="15"/>
  <c r="J278" i="15" s="1"/>
  <c r="C278" i="15" s="1"/>
  <c r="L278" i="15" l="1"/>
  <c r="B278" i="15"/>
  <c r="G278" i="15"/>
  <c r="Q349" i="15"/>
  <c r="M278" i="15"/>
  <c r="G277" i="15"/>
  <c r="D277" i="15"/>
  <c r="D278" i="15" l="1"/>
  <c r="F277" i="15"/>
  <c r="T350" i="15"/>
  <c r="R350" i="15" s="1"/>
  <c r="O279" i="15"/>
  <c r="J279" i="15" s="1"/>
  <c r="C279" i="15" s="1"/>
  <c r="B279" i="15" l="1"/>
  <c r="G279" i="15"/>
  <c r="M279" i="15"/>
  <c r="L279" i="15"/>
  <c r="Q350" i="15"/>
  <c r="E277" i="15"/>
  <c r="F278" i="15"/>
  <c r="T351" i="15" l="1"/>
  <c r="R351" i="15" s="1"/>
  <c r="O280" i="15"/>
  <c r="J280" i="15" s="1"/>
  <c r="C280" i="15" s="1"/>
  <c r="D279" i="15"/>
  <c r="E278" i="15"/>
  <c r="F279" i="15"/>
  <c r="M280" i="15" l="1"/>
  <c r="B280" i="15"/>
  <c r="G280" i="15"/>
  <c r="L280" i="15"/>
  <c r="E279" i="15"/>
  <c r="D280" i="15"/>
  <c r="F280" i="15" s="1"/>
  <c r="Q351" i="15"/>
  <c r="E280" i="15" l="1"/>
  <c r="O281" i="15"/>
  <c r="T352" i="15"/>
  <c r="R352" i="15" s="1"/>
  <c r="T353" i="15" l="1"/>
  <c r="R353" i="15" s="1"/>
  <c r="Q352" i="15"/>
  <c r="Q353" i="15" s="1"/>
  <c r="J281" i="15"/>
  <c r="C281" i="15" s="1"/>
  <c r="M281" i="15"/>
  <c r="L281" i="15"/>
  <c r="T354" i="15" l="1"/>
  <c r="R354" i="15" s="1"/>
  <c r="O282" i="15"/>
  <c r="J282" i="15" s="1"/>
  <c r="C282" i="15" s="1"/>
  <c r="B281" i="15"/>
  <c r="Q354" i="15"/>
  <c r="T355" i="15" l="1"/>
  <c r="R355" i="15" s="1"/>
  <c r="G281" i="15"/>
  <c r="D281" i="15"/>
  <c r="B282" i="15"/>
  <c r="G282" i="15"/>
  <c r="M282" i="15"/>
  <c r="L282" i="15"/>
  <c r="T356" i="15" l="1"/>
  <c r="R356" i="15" s="1"/>
  <c r="D282" i="15"/>
  <c r="F281" i="15"/>
  <c r="Q355" i="15"/>
  <c r="Q356" i="15" s="1"/>
  <c r="O283" i="15"/>
  <c r="J283" i="15" s="1"/>
  <c r="C283" i="15" s="1"/>
  <c r="T357" i="15" l="1"/>
  <c r="R357" i="15" s="1"/>
  <c r="G283" i="15"/>
  <c r="B283" i="15"/>
  <c r="L283" i="15"/>
  <c r="E281" i="15"/>
  <c r="F282" i="15"/>
  <c r="Q357" i="15"/>
  <c r="M283" i="15"/>
  <c r="T358" i="15" l="1"/>
  <c r="R358" i="15" s="1"/>
  <c r="O284" i="15"/>
  <c r="J284" i="15" s="1"/>
  <c r="C284" i="15" s="1"/>
  <c r="E282" i="15"/>
  <c r="D283" i="15"/>
  <c r="F283" i="15" s="1"/>
  <c r="B284" i="15" l="1"/>
  <c r="G284" i="15"/>
  <c r="L284" i="15"/>
  <c r="Q358" i="15"/>
  <c r="E283" i="15"/>
  <c r="M284" i="15"/>
  <c r="O285" i="15" l="1"/>
  <c r="J285" i="15" s="1"/>
  <c r="C285" i="15" s="1"/>
  <c r="T359" i="15"/>
  <c r="R359" i="15" s="1"/>
  <c r="D284" i="15"/>
  <c r="L285" i="15" l="1"/>
  <c r="F284" i="15"/>
  <c r="Q359" i="15"/>
  <c r="G285" i="15"/>
  <c r="B285" i="15"/>
  <c r="M285" i="15"/>
  <c r="O286" i="15" l="1"/>
  <c r="T360" i="15"/>
  <c r="R360" i="15" s="1"/>
  <c r="E284" i="15"/>
  <c r="D285" i="15"/>
  <c r="F285" i="15" l="1"/>
  <c r="Q360" i="15"/>
  <c r="J286" i="15"/>
  <c r="C286" i="15" s="1"/>
  <c r="L286" i="15"/>
  <c r="M286" i="15"/>
  <c r="O287" i="15" l="1"/>
  <c r="J287" i="15" s="1"/>
  <c r="C287" i="15" s="1"/>
  <c r="B286" i="15"/>
  <c r="E285" i="15"/>
  <c r="L287" i="15"/>
  <c r="T361" i="15"/>
  <c r="R361" i="15" s="1"/>
  <c r="Q361" i="15" l="1"/>
  <c r="O288" i="15"/>
  <c r="J288" i="15" s="1"/>
  <c r="C288" i="15" s="1"/>
  <c r="G287" i="15"/>
  <c r="B287" i="15"/>
  <c r="T362" i="15"/>
  <c r="R362" i="15" s="1"/>
  <c r="G286" i="15"/>
  <c r="D286" i="15"/>
  <c r="M287" i="15"/>
  <c r="M288" i="15" s="1"/>
  <c r="Q362" i="15" l="1"/>
  <c r="B288" i="15"/>
  <c r="G288" i="15"/>
  <c r="D287" i="15"/>
  <c r="D288" i="15" s="1"/>
  <c r="F286" i="15"/>
  <c r="L288" i="15"/>
  <c r="O289" i="15" l="1"/>
  <c r="L289" i="15" s="1"/>
  <c r="E286" i="15"/>
  <c r="F287" i="15"/>
  <c r="T363" i="15"/>
  <c r="R363" i="15" s="1"/>
  <c r="O290" i="15" l="1"/>
  <c r="J290" i="15" s="1"/>
  <c r="C290" i="15" s="1"/>
  <c r="E287" i="15"/>
  <c r="F288" i="15"/>
  <c r="Q363" i="15"/>
  <c r="J289" i="15"/>
  <c r="C289" i="15" s="1"/>
  <c r="M289" i="15"/>
  <c r="M290" i="15" s="1"/>
  <c r="T364" i="15" l="1"/>
  <c r="R364" i="15" s="1"/>
  <c r="E288" i="15"/>
  <c r="B289" i="15"/>
  <c r="B290" i="15"/>
  <c r="G290" i="15"/>
  <c r="L290" i="15"/>
  <c r="G289" i="15" l="1"/>
  <c r="D289" i="15"/>
  <c r="O291" i="15"/>
  <c r="Q364" i="15"/>
  <c r="J291" i="15" l="1"/>
  <c r="C291" i="15" s="1"/>
  <c r="M291" i="15"/>
  <c r="D290" i="15"/>
  <c r="F289" i="15"/>
  <c r="T365" i="15"/>
  <c r="R365" i="15" s="1"/>
  <c r="L291" i="15"/>
  <c r="Q365" i="15" l="1"/>
  <c r="E289" i="15"/>
  <c r="F290" i="15"/>
  <c r="O292" i="15"/>
  <c r="J292" i="15" s="1"/>
  <c r="C292" i="15" s="1"/>
  <c r="G291" i="15"/>
  <c r="B291" i="15"/>
  <c r="D291" i="15" l="1"/>
  <c r="M292" i="15"/>
  <c r="B292" i="15"/>
  <c r="G292" i="15"/>
  <c r="L292" i="15"/>
  <c r="E290" i="15"/>
  <c r="F291" i="15"/>
  <c r="Q366" i="15"/>
  <c r="T366" i="15"/>
  <c r="R366" i="15" s="1"/>
  <c r="T367" i="15" l="1"/>
  <c r="Q367" i="15" s="1"/>
  <c r="O293" i="15"/>
  <c r="J293" i="15" s="1"/>
  <c r="C293" i="15" s="1"/>
  <c r="E291" i="15"/>
  <c r="R367" i="15"/>
  <c r="D292" i="15"/>
  <c r="F292" i="15" s="1"/>
  <c r="M293" i="15" l="1"/>
  <c r="T368" i="15"/>
  <c r="Q368" i="15" s="1"/>
  <c r="E292" i="15"/>
  <c r="G293" i="15"/>
  <c r="B293" i="15"/>
  <c r="L293" i="15"/>
  <c r="R368" i="15" l="1"/>
  <c r="T369" i="15"/>
  <c r="Q369" i="15" s="1"/>
  <c r="D293" i="15"/>
  <c r="O294" i="15"/>
  <c r="L294" i="15" s="1"/>
  <c r="T370" i="15" l="1"/>
  <c r="Q370" i="15" s="1"/>
  <c r="J294" i="15"/>
  <c r="C294" i="15" s="1"/>
  <c r="M294" i="15"/>
  <c r="F293" i="15"/>
  <c r="R369" i="15"/>
  <c r="R370" i="15" l="1"/>
  <c r="T371" i="15"/>
  <c r="Q371" i="15" s="1"/>
  <c r="E293" i="15"/>
  <c r="O295" i="15"/>
  <c r="M295" i="15" s="1"/>
  <c r="B294" i="15"/>
  <c r="O296" i="15" l="1"/>
  <c r="J296" i="15" s="1"/>
  <c r="C296" i="15" s="1"/>
  <c r="T372" i="15"/>
  <c r="Q372" i="15" s="1"/>
  <c r="J295" i="15"/>
  <c r="C295" i="15" s="1"/>
  <c r="L295" i="15"/>
  <c r="L296" i="15" s="1"/>
  <c r="R371" i="15"/>
  <c r="R372" i="15" s="1"/>
  <c r="G294" i="15"/>
  <c r="D294" i="15"/>
  <c r="T373" i="15" l="1"/>
  <c r="Q373" i="15" s="1"/>
  <c r="B296" i="15"/>
  <c r="G296" i="15"/>
  <c r="G295" i="15"/>
  <c r="B295" i="15"/>
  <c r="F294" i="15"/>
  <c r="M296" i="15"/>
  <c r="R373" i="15" l="1"/>
  <c r="O297" i="15"/>
  <c r="E294" i="15"/>
  <c r="D295" i="15"/>
  <c r="D296" i="15" s="1"/>
  <c r="T374" i="15" l="1"/>
  <c r="Q374" i="15" s="1"/>
  <c r="F295" i="15"/>
  <c r="J297" i="15"/>
  <c r="C297" i="15" s="1"/>
  <c r="L297" i="15"/>
  <c r="M297" i="15"/>
  <c r="O298" i="15" l="1"/>
  <c r="J298" i="15" s="1"/>
  <c r="C298" i="15" s="1"/>
  <c r="B297" i="15"/>
  <c r="E295" i="15"/>
  <c r="F296" i="15"/>
  <c r="L298" i="15"/>
  <c r="R374" i="15"/>
  <c r="O299" i="15" l="1"/>
  <c r="J299" i="15" s="1"/>
  <c r="C299" i="15" s="1"/>
  <c r="E296" i="15"/>
  <c r="G297" i="15"/>
  <c r="D297" i="15"/>
  <c r="F297" i="15" s="1"/>
  <c r="B298" i="15"/>
  <c r="G298" i="15"/>
  <c r="T375" i="15"/>
  <c r="Q375" i="15" s="1"/>
  <c r="M298" i="15"/>
  <c r="M299" i="15" s="1"/>
  <c r="E297" i="15" l="1"/>
  <c r="T376" i="15"/>
  <c r="Q376" i="15" s="1"/>
  <c r="D298" i="15"/>
  <c r="G299" i="15"/>
  <c r="B299" i="15"/>
  <c r="R375" i="15"/>
  <c r="L299" i="15"/>
  <c r="T377" i="15" l="1"/>
  <c r="Q377" i="15" s="1"/>
  <c r="D299" i="15"/>
  <c r="O300" i="15"/>
  <c r="F298" i="15"/>
  <c r="R376" i="15"/>
  <c r="R377" i="15" s="1"/>
  <c r="T378" i="15" l="1"/>
  <c r="Q378" i="15" s="1"/>
  <c r="J300" i="15"/>
  <c r="C300" i="15" s="1"/>
  <c r="M300" i="15"/>
  <c r="E298" i="15"/>
  <c r="F299" i="15"/>
  <c r="L300" i="15"/>
  <c r="R378" i="15"/>
  <c r="T379" i="15" l="1"/>
  <c r="Q379" i="15" s="1"/>
  <c r="E299" i="15"/>
  <c r="O301" i="15"/>
  <c r="J301" i="15" s="1"/>
  <c r="C301" i="15" s="1"/>
  <c r="B300" i="15"/>
  <c r="B301" i="15" l="1"/>
  <c r="G301" i="15"/>
  <c r="M301" i="15"/>
  <c r="L301" i="15"/>
  <c r="R379" i="15"/>
  <c r="G300" i="15"/>
  <c r="D300" i="15"/>
  <c r="T380" i="15" l="1"/>
  <c r="Q380" i="15" s="1"/>
  <c r="O302" i="15"/>
  <c r="J302" i="15" s="1"/>
  <c r="C302" i="15" s="1"/>
  <c r="D301" i="15"/>
  <c r="F300" i="15"/>
  <c r="L302" i="15"/>
  <c r="O303" i="15" l="1"/>
  <c r="J303" i="15" s="1"/>
  <c r="C303" i="15" s="1"/>
  <c r="E300" i="15"/>
  <c r="F301" i="15"/>
  <c r="M302" i="15"/>
  <c r="B302" i="15"/>
  <c r="G302" i="15"/>
  <c r="R380" i="15"/>
  <c r="M303" i="15" l="1"/>
  <c r="T381" i="15"/>
  <c r="Q381" i="15" s="1"/>
  <c r="E301" i="15"/>
  <c r="D302" i="15"/>
  <c r="F302" i="15" s="1"/>
  <c r="B303" i="15"/>
  <c r="G303" i="15"/>
  <c r="L303" i="15"/>
  <c r="E302" i="15" l="1"/>
  <c r="R381" i="15"/>
  <c r="D303" i="15"/>
  <c r="T382" i="15"/>
  <c r="Q382" i="15" s="1"/>
  <c r="O304" i="15"/>
  <c r="J304" i="15" l="1"/>
  <c r="C304" i="15" s="1"/>
  <c r="M304" i="15"/>
  <c r="L304" i="15"/>
  <c r="R382" i="15"/>
  <c r="F303" i="15"/>
  <c r="E303" i="15" l="1"/>
  <c r="T383" i="15"/>
  <c r="Q383" i="15" s="1"/>
  <c r="O305" i="15"/>
  <c r="J305" i="15" s="1"/>
  <c r="C305" i="15" s="1"/>
  <c r="B304" i="15"/>
  <c r="R383" i="15" l="1"/>
  <c r="B305" i="15"/>
  <c r="G305" i="15"/>
  <c r="M305" i="15"/>
  <c r="G304" i="15"/>
  <c r="D304" i="15"/>
  <c r="L305" i="15"/>
  <c r="O306" i="15" l="1"/>
  <c r="J306" i="15" s="1"/>
  <c r="C306" i="15" s="1"/>
  <c r="D305" i="15"/>
  <c r="F304" i="15"/>
  <c r="T384" i="15"/>
  <c r="Q384" i="15" s="1"/>
  <c r="T385" i="15" l="1"/>
  <c r="Q385" i="15" s="1"/>
  <c r="R384" i="15"/>
  <c r="R385" i="15" s="1"/>
  <c r="E304" i="15"/>
  <c r="F305" i="15"/>
  <c r="B306" i="15"/>
  <c r="G306" i="15"/>
  <c r="M306" i="15"/>
  <c r="L306" i="15"/>
  <c r="T386" i="15" l="1"/>
  <c r="Q386" i="15" s="1"/>
  <c r="E305" i="15"/>
  <c r="D306" i="15"/>
  <c r="F306" i="15" s="1"/>
  <c r="O307" i="15"/>
  <c r="J307" i="15" s="1"/>
  <c r="C307" i="15" s="1"/>
  <c r="E306" i="15" l="1"/>
  <c r="T387" i="15"/>
  <c r="Q387" i="15" s="1"/>
  <c r="L307" i="15"/>
  <c r="B307" i="15"/>
  <c r="G307" i="15"/>
  <c r="R386" i="15"/>
  <c r="M307" i="15"/>
  <c r="T388" i="15" l="1"/>
  <c r="Q388" i="15" s="1"/>
  <c r="O308" i="15"/>
  <c r="J308" i="15" s="1"/>
  <c r="C308" i="15" s="1"/>
  <c r="D307" i="15"/>
  <c r="R387" i="15"/>
  <c r="M308" i="15" l="1"/>
  <c r="R388" i="15"/>
  <c r="T389" i="15"/>
  <c r="Q389" i="15" s="1"/>
  <c r="F307" i="15"/>
  <c r="L308" i="15"/>
  <c r="B308" i="15"/>
  <c r="G308" i="15"/>
  <c r="R389" i="15" l="1"/>
  <c r="D308" i="15"/>
  <c r="T390" i="15"/>
  <c r="Q390" i="15" s="1"/>
  <c r="E307" i="15"/>
  <c r="F308" i="15"/>
  <c r="O309" i="15"/>
  <c r="J309" i="15" l="1"/>
  <c r="C309" i="15" s="1"/>
  <c r="M309" i="15"/>
  <c r="L309" i="15"/>
  <c r="R390" i="15"/>
  <c r="E308" i="15"/>
  <c r="O310" i="15" l="1"/>
  <c r="J310" i="15" s="1"/>
  <c r="C310" i="15" s="1"/>
  <c r="T391" i="15"/>
  <c r="Q391" i="15" s="1"/>
  <c r="M310" i="15"/>
  <c r="B309" i="15"/>
  <c r="R391" i="15" l="1"/>
  <c r="G309" i="15"/>
  <c r="D309" i="15"/>
  <c r="O311" i="15"/>
  <c r="J311" i="15" s="1"/>
  <c r="C311" i="15" s="1"/>
  <c r="B310" i="15"/>
  <c r="G310" i="15"/>
  <c r="L310" i="15"/>
  <c r="D310" i="15" l="1"/>
  <c r="F309" i="15"/>
  <c r="T392" i="15"/>
  <c r="Q392" i="15" s="1"/>
  <c r="B311" i="15"/>
  <c r="G311" i="15"/>
  <c r="M311" i="15"/>
  <c r="L311" i="15"/>
  <c r="E309" i="15" l="1"/>
  <c r="F310" i="15"/>
  <c r="O312" i="15"/>
  <c r="J312" i="15" s="1"/>
  <c r="C312" i="15" s="1"/>
  <c r="R392" i="15"/>
  <c r="D311" i="15"/>
  <c r="B312" i="15" l="1"/>
  <c r="G312" i="15"/>
  <c r="T393" i="15"/>
  <c r="Q393" i="15" s="1"/>
  <c r="L312" i="15"/>
  <c r="D312" i="15"/>
  <c r="M312" i="15"/>
  <c r="E310" i="15"/>
  <c r="F311" i="15"/>
  <c r="O313" i="15" l="1"/>
  <c r="J313" i="15" s="1"/>
  <c r="C313" i="15" s="1"/>
  <c r="R393" i="15"/>
  <c r="E311" i="15"/>
  <c r="F312" i="15"/>
  <c r="T394" i="15" l="1"/>
  <c r="Q394" i="15" s="1"/>
  <c r="E312" i="15"/>
  <c r="L313" i="15"/>
  <c r="B313" i="15"/>
  <c r="M313" i="15"/>
  <c r="O314" i="15" l="1"/>
  <c r="J314" i="15" s="1"/>
  <c r="C314" i="15" s="1"/>
  <c r="T395" i="15"/>
  <c r="Q395" i="15" s="1"/>
  <c r="G313" i="15"/>
  <c r="D313" i="15"/>
  <c r="R394" i="15"/>
  <c r="R395" i="15" s="1"/>
  <c r="T396" i="15" l="1"/>
  <c r="Q396" i="15" s="1"/>
  <c r="F313" i="15"/>
  <c r="B314" i="15"/>
  <c r="G314" i="15"/>
  <c r="M314" i="15"/>
  <c r="L314" i="15"/>
  <c r="R396" i="15" l="1"/>
  <c r="T397" i="15"/>
  <c r="Q397" i="15" s="1"/>
  <c r="O315" i="15"/>
  <c r="J315" i="15" s="1"/>
  <c r="C315" i="15" s="1"/>
  <c r="R397" i="15"/>
  <c r="E313" i="15"/>
  <c r="D314" i="15"/>
  <c r="F314" i="15" s="1"/>
  <c r="E314" i="15" l="1"/>
  <c r="T398" i="15"/>
  <c r="R398" i="15" s="1"/>
  <c r="B315" i="15"/>
  <c r="G315" i="15"/>
  <c r="M315" i="15"/>
  <c r="L315" i="15"/>
  <c r="D315" i="15" l="1"/>
  <c r="Q398" i="15"/>
  <c r="O316" i="15"/>
  <c r="J316" i="15" s="1"/>
  <c r="C316" i="15" s="1"/>
  <c r="M316" i="15" l="1"/>
  <c r="T399" i="15"/>
  <c r="R399" i="15" s="1"/>
  <c r="B316" i="15"/>
  <c r="G316" i="15"/>
  <c r="L316" i="15"/>
  <c r="F315" i="15"/>
  <c r="E315" i="15" l="1"/>
  <c r="O317" i="15"/>
  <c r="J317" i="15" s="1"/>
  <c r="C317" i="15" s="1"/>
  <c r="D316" i="15"/>
  <c r="Q399" i="15"/>
  <c r="M317" i="15"/>
  <c r="T400" i="15" l="1"/>
  <c r="R400" i="15" s="1"/>
  <c r="B317" i="15"/>
  <c r="G317" i="15"/>
  <c r="L317" i="15"/>
  <c r="F316" i="15"/>
  <c r="E316" i="15" l="1"/>
  <c r="O318" i="15"/>
  <c r="Q400" i="15"/>
  <c r="D317" i="15"/>
  <c r="J318" i="15" l="1"/>
  <c r="C318" i="15" s="1"/>
  <c r="M318" i="15"/>
  <c r="T401" i="15"/>
  <c r="R401" i="15" s="1"/>
  <c r="L318" i="15"/>
  <c r="F317" i="15"/>
  <c r="E317" i="15" l="1"/>
  <c r="O319" i="15"/>
  <c r="J319" i="15" s="1"/>
  <c r="C319" i="15" s="1"/>
  <c r="Q401" i="15"/>
  <c r="B318" i="15"/>
  <c r="G319" i="15" l="1"/>
  <c r="B319" i="15"/>
  <c r="M319" i="15"/>
  <c r="L319" i="15"/>
  <c r="T402" i="15"/>
  <c r="R402" i="15" s="1"/>
  <c r="G318" i="15"/>
  <c r="D318" i="15"/>
  <c r="D319" i="15" l="1"/>
  <c r="F318" i="15"/>
  <c r="Q402" i="15"/>
  <c r="O320" i="15"/>
  <c r="J320" i="15" s="1"/>
  <c r="C320" i="15" s="1"/>
  <c r="G320" i="15" l="1"/>
  <c r="B320" i="15"/>
  <c r="E318" i="15"/>
  <c r="F319" i="15"/>
  <c r="L320" i="15"/>
  <c r="M320" i="15"/>
  <c r="T403" i="15"/>
  <c r="R403" i="15" s="1"/>
  <c r="D320" i="15"/>
  <c r="O321" i="15" l="1"/>
  <c r="J321" i="15" s="1"/>
  <c r="C321" i="15" s="1"/>
  <c r="Q403" i="15"/>
  <c r="L321" i="15"/>
  <c r="E319" i="15"/>
  <c r="F320" i="15"/>
  <c r="T404" i="15" l="1"/>
  <c r="R404" i="15" s="1"/>
  <c r="E320" i="15"/>
  <c r="B321" i="15"/>
  <c r="M321" i="15"/>
  <c r="G321" i="15" l="1"/>
  <c r="D321" i="15"/>
  <c r="O322" i="15"/>
  <c r="Q404" i="15"/>
  <c r="T405" i="15" l="1"/>
  <c r="R405" i="15" s="1"/>
  <c r="J322" i="15"/>
  <c r="C322" i="15" s="1"/>
  <c r="L322" i="15"/>
  <c r="M322" i="15"/>
  <c r="F321" i="15"/>
  <c r="E321" i="15" l="1"/>
  <c r="B322" i="15"/>
  <c r="O323" i="15"/>
  <c r="J323" i="15" s="1"/>
  <c r="C323" i="15" s="1"/>
  <c r="T406" i="15"/>
  <c r="R406" i="15" s="1"/>
  <c r="Q405" i="15"/>
  <c r="L323" i="15" l="1"/>
  <c r="Q406" i="15"/>
  <c r="G322" i="15"/>
  <c r="D322" i="15"/>
  <c r="G323" i="15"/>
  <c r="B323" i="15"/>
  <c r="M323" i="15"/>
  <c r="T407" i="15"/>
  <c r="R407" i="15" s="1"/>
  <c r="Q407" i="15" l="1"/>
  <c r="T408" i="15"/>
  <c r="R408" i="15" s="1"/>
  <c r="O324" i="15"/>
  <c r="M324" i="15" s="1"/>
  <c r="D323" i="15"/>
  <c r="F322" i="15"/>
  <c r="O325" i="15" l="1"/>
  <c r="J325" i="15" s="1"/>
  <c r="C325" i="15" s="1"/>
  <c r="E322" i="15"/>
  <c r="F323" i="15"/>
  <c r="J324" i="15"/>
  <c r="C324" i="15" s="1"/>
  <c r="L324" i="15"/>
  <c r="L325" i="15" s="1"/>
  <c r="Q408" i="15"/>
  <c r="B324" i="15" l="1"/>
  <c r="E323" i="15"/>
  <c r="G325" i="15"/>
  <c r="B325" i="15"/>
  <c r="T409" i="15"/>
  <c r="R409" i="15" s="1"/>
  <c r="M325" i="15"/>
  <c r="Q409" i="15" l="1"/>
  <c r="T410" i="15"/>
  <c r="Q410" i="15" s="1"/>
  <c r="O326" i="15"/>
  <c r="G324" i="15"/>
  <c r="D324" i="15"/>
  <c r="R410" i="15" l="1"/>
  <c r="T411" i="15"/>
  <c r="Q411" i="15" s="1"/>
  <c r="D325" i="15"/>
  <c r="F324" i="15"/>
  <c r="R411" i="15"/>
  <c r="J326" i="15"/>
  <c r="C326" i="15" s="1"/>
  <c r="L326" i="15"/>
  <c r="M326" i="15"/>
  <c r="T412" i="15" l="1"/>
  <c r="Q412" i="15" s="1"/>
  <c r="G326" i="15"/>
  <c r="B326" i="15"/>
  <c r="E324" i="15"/>
  <c r="F325" i="15"/>
  <c r="O327" i="15"/>
  <c r="J327" i="15" s="1"/>
  <c r="C327" i="15" s="1"/>
  <c r="R412" i="15"/>
  <c r="M327" i="15" l="1"/>
  <c r="L327" i="15"/>
  <c r="T413" i="15"/>
  <c r="Q413" i="15" s="1"/>
  <c r="E325" i="15"/>
  <c r="O328" i="15"/>
  <c r="J328" i="15" s="1"/>
  <c r="C328" i="15" s="1"/>
  <c r="D326" i="15"/>
  <c r="D327" i="15" s="1"/>
  <c r="G327" i="15"/>
  <c r="B327" i="15"/>
  <c r="M328" i="15" l="1"/>
  <c r="L328" i="15"/>
  <c r="G328" i="15"/>
  <c r="B328" i="15"/>
  <c r="F326" i="15"/>
  <c r="R413" i="15"/>
  <c r="E326" i="15" l="1"/>
  <c r="F327" i="15"/>
  <c r="T414" i="15"/>
  <c r="Q414" i="15" s="1"/>
  <c r="O329" i="15"/>
  <c r="D328" i="15"/>
  <c r="J329" i="15" l="1"/>
  <c r="C329" i="15" s="1"/>
  <c r="M329" i="15"/>
  <c r="L329" i="15"/>
  <c r="R414" i="15"/>
  <c r="E327" i="15"/>
  <c r="F328" i="15"/>
  <c r="T415" i="15" l="1"/>
  <c r="Q415" i="15" s="1"/>
  <c r="E328" i="15"/>
  <c r="O330" i="15"/>
  <c r="J330" i="15" s="1"/>
  <c r="C330" i="15" s="1"/>
  <c r="B329" i="15"/>
  <c r="G329" i="15" l="1"/>
  <c r="D329" i="15"/>
  <c r="L330" i="15"/>
  <c r="G330" i="15"/>
  <c r="B330" i="15"/>
  <c r="M330" i="15"/>
  <c r="R415" i="15"/>
  <c r="T416" i="15" l="1"/>
  <c r="Q416" i="15" s="1"/>
  <c r="O331" i="15"/>
  <c r="J331" i="15" s="1"/>
  <c r="C331" i="15" s="1"/>
  <c r="D330" i="15"/>
  <c r="F329" i="15"/>
  <c r="F330" i="15" l="1"/>
  <c r="E329" i="15"/>
  <c r="M331" i="15"/>
  <c r="G331" i="15"/>
  <c r="B331" i="15"/>
  <c r="L331" i="15"/>
  <c r="D331" i="15"/>
  <c r="R416" i="15"/>
  <c r="O332" i="15" l="1"/>
  <c r="J332" i="15" s="1"/>
  <c r="C332" i="15" s="1"/>
  <c r="T417" i="15"/>
  <c r="Q417" i="15" s="1"/>
  <c r="E330" i="15"/>
  <c r="F331" i="15"/>
  <c r="M332" i="15" l="1"/>
  <c r="L332" i="15"/>
  <c r="E331" i="15"/>
  <c r="R417" i="15"/>
  <c r="O333" i="15"/>
  <c r="J333" i="15" s="1"/>
  <c r="C333" i="15" s="1"/>
  <c r="B332" i="15"/>
  <c r="L333" i="15" l="1"/>
  <c r="G332" i="15"/>
  <c r="D332" i="15"/>
  <c r="G333" i="15"/>
  <c r="B333" i="15"/>
  <c r="T418" i="15"/>
  <c r="Q418" i="15" s="1"/>
  <c r="M333" i="15"/>
  <c r="T419" i="15" l="1"/>
  <c r="Q419" i="15" s="1"/>
  <c r="R418" i="15"/>
  <c r="O334" i="15"/>
  <c r="J334" i="15" s="1"/>
  <c r="C334" i="15" s="1"/>
  <c r="D333" i="15"/>
  <c r="F332" i="15"/>
  <c r="L334" i="15"/>
  <c r="R419" i="15" l="1"/>
  <c r="T420" i="15"/>
  <c r="Q420" i="15" s="1"/>
  <c r="M334" i="15"/>
  <c r="E332" i="15"/>
  <c r="F333" i="15"/>
  <c r="G334" i="15"/>
  <c r="B334" i="15"/>
  <c r="T421" i="15" l="1"/>
  <c r="Q421" i="15" s="1"/>
  <c r="O335" i="15"/>
  <c r="E333" i="15"/>
  <c r="D334" i="15"/>
  <c r="F334" i="15" s="1"/>
  <c r="R420" i="15"/>
  <c r="R421" i="15" l="1"/>
  <c r="T422" i="15"/>
  <c r="Q422" i="15" s="1"/>
  <c r="E334" i="15"/>
  <c r="J335" i="15"/>
  <c r="C335" i="15" s="1"/>
  <c r="L335" i="15"/>
  <c r="M335" i="15"/>
  <c r="T423" i="15" l="1"/>
  <c r="Q423" i="15" s="1"/>
  <c r="O336" i="15"/>
  <c r="J336" i="15" s="1"/>
  <c r="C336" i="15" s="1"/>
  <c r="B335" i="15"/>
  <c r="R422" i="15"/>
  <c r="M336" i="15"/>
  <c r="R423" i="15" l="1"/>
  <c r="T424" i="15"/>
  <c r="Q424" i="15" s="1"/>
  <c r="G336" i="15"/>
  <c r="B336" i="15"/>
  <c r="G335" i="15"/>
  <c r="D335" i="15"/>
  <c r="L336" i="15"/>
  <c r="D336" i="15" l="1"/>
  <c r="F335" i="15"/>
  <c r="R424" i="15"/>
  <c r="O337" i="15"/>
  <c r="J337" i="15" l="1"/>
  <c r="C337" i="15" s="1"/>
  <c r="M337" i="15"/>
  <c r="E335" i="15"/>
  <c r="F336" i="15"/>
  <c r="L337" i="15"/>
  <c r="T425" i="15"/>
  <c r="Q425" i="15" s="1"/>
  <c r="R425" i="15" l="1"/>
  <c r="O338" i="15"/>
  <c r="J338" i="15" s="1"/>
  <c r="C338" i="15" s="1"/>
  <c r="E336" i="15"/>
  <c r="B337" i="15"/>
  <c r="M338" i="15" l="1"/>
  <c r="O339" i="15"/>
  <c r="J339" i="15" s="1"/>
  <c r="C339" i="15" s="1"/>
  <c r="T426" i="15"/>
  <c r="Q426" i="15" s="1"/>
  <c r="G337" i="15"/>
  <c r="D337" i="15"/>
  <c r="G338" i="15"/>
  <c r="B338" i="15"/>
  <c r="L338" i="15"/>
  <c r="D338" i="15" l="1"/>
  <c r="F337" i="15"/>
  <c r="G339" i="15"/>
  <c r="B339" i="15"/>
  <c r="R426" i="15"/>
  <c r="L339" i="15"/>
  <c r="M339" i="15"/>
  <c r="D339" i="15" l="1"/>
  <c r="T427" i="15"/>
  <c r="Q427" i="15" s="1"/>
  <c r="O340" i="15"/>
  <c r="J340" i="15" s="1"/>
  <c r="C340" i="15" s="1"/>
  <c r="F338" i="15"/>
  <c r="E337" i="15"/>
  <c r="E338" i="15" l="1"/>
  <c r="F339" i="15"/>
  <c r="T428" i="15"/>
  <c r="Q428" i="15" s="1"/>
  <c r="B340" i="15"/>
  <c r="M340" i="15"/>
  <c r="L340" i="15"/>
  <c r="R427" i="15"/>
  <c r="T429" i="15" l="1"/>
  <c r="Q429" i="15" s="1"/>
  <c r="O341" i="15"/>
  <c r="J341" i="15" s="1"/>
  <c r="C341" i="15" s="1"/>
  <c r="G340" i="15"/>
  <c r="D340" i="15"/>
  <c r="E339" i="15"/>
  <c r="R428" i="15"/>
  <c r="T430" i="15" l="1"/>
  <c r="Q430" i="15" s="1"/>
  <c r="G341" i="15"/>
  <c r="B341" i="15"/>
  <c r="D341" i="15"/>
  <c r="M341" i="15"/>
  <c r="L341" i="15"/>
  <c r="R429" i="15"/>
  <c r="F340" i="15"/>
  <c r="R430" i="15" l="1"/>
  <c r="T431" i="15"/>
  <c r="Q431" i="15" s="1"/>
  <c r="O342" i="15"/>
  <c r="J342" i="15" s="1"/>
  <c r="C342" i="15" s="1"/>
  <c r="E340" i="15"/>
  <c r="F341" i="15"/>
  <c r="R431" i="15" l="1"/>
  <c r="T432" i="15"/>
  <c r="Q432" i="15" s="1"/>
  <c r="L342" i="15"/>
  <c r="M342" i="15"/>
  <c r="B342" i="15"/>
  <c r="E341" i="15"/>
  <c r="T433" i="15" l="1"/>
  <c r="Q433" i="15" s="1"/>
  <c r="O343" i="15"/>
  <c r="J343" i="15" s="1"/>
  <c r="C343" i="15" s="1"/>
  <c r="G342" i="15"/>
  <c r="D342" i="15"/>
  <c r="R432" i="15"/>
  <c r="R433" i="15" l="1"/>
  <c r="L343" i="15"/>
  <c r="T434" i="15"/>
  <c r="Q434" i="15" s="1"/>
  <c r="F342" i="15"/>
  <c r="G343" i="15"/>
  <c r="B343" i="15"/>
  <c r="M343" i="15"/>
  <c r="T435" i="15" l="1"/>
  <c r="Q435" i="15" s="1"/>
  <c r="R434" i="15"/>
  <c r="E342" i="15"/>
  <c r="D343" i="15"/>
  <c r="F343" i="15" s="1"/>
  <c r="O344" i="15"/>
  <c r="M344" i="15" s="1"/>
  <c r="E343" i="15" l="1"/>
  <c r="O345" i="15"/>
  <c r="J345" i="15" s="1"/>
  <c r="C345" i="15" s="1"/>
  <c r="T436" i="15"/>
  <c r="Q436" i="15" s="1"/>
  <c r="J344" i="15"/>
  <c r="C344" i="15" s="1"/>
  <c r="L344" i="15"/>
  <c r="R435" i="15"/>
  <c r="L345" i="15" l="1"/>
  <c r="T437" i="15"/>
  <c r="Q437" i="15" s="1"/>
  <c r="B344" i="15"/>
  <c r="O346" i="15"/>
  <c r="J346" i="15" s="1"/>
  <c r="C346" i="15" s="1"/>
  <c r="G345" i="15"/>
  <c r="B345" i="15"/>
  <c r="M345" i="15"/>
  <c r="R436" i="15"/>
  <c r="R437" i="15" s="1"/>
  <c r="T438" i="15" l="1"/>
  <c r="Q438" i="15" s="1"/>
  <c r="G346" i="15"/>
  <c r="B346" i="15"/>
  <c r="G344" i="15"/>
  <c r="D344" i="15"/>
  <c r="L346" i="15"/>
  <c r="R438" i="15"/>
  <c r="M346" i="15"/>
  <c r="T439" i="15" l="1"/>
  <c r="Q439" i="15" s="1"/>
  <c r="D345" i="15"/>
  <c r="D346" i="15" s="1"/>
  <c r="F344" i="15"/>
  <c r="O347" i="15"/>
  <c r="J347" i="15" s="1"/>
  <c r="C347" i="15" s="1"/>
  <c r="R439" i="15" l="1"/>
  <c r="T440" i="15"/>
  <c r="Q440" i="15" s="1"/>
  <c r="G347" i="15"/>
  <c r="B347" i="15"/>
  <c r="L347" i="15"/>
  <c r="R440" i="15"/>
  <c r="D347" i="15"/>
  <c r="M347" i="15"/>
  <c r="E344" i="15"/>
  <c r="F345" i="15"/>
  <c r="T441" i="15" l="1"/>
  <c r="Q441" i="15" s="1"/>
  <c r="O348" i="15"/>
  <c r="J348" i="15" s="1"/>
  <c r="C348" i="15" s="1"/>
  <c r="R441" i="15"/>
  <c r="F346" i="15"/>
  <c r="E345" i="15"/>
  <c r="B348" i="15" l="1"/>
  <c r="E346" i="15"/>
  <c r="F347" i="15"/>
  <c r="T442" i="15"/>
  <c r="Q442" i="15" s="1"/>
  <c r="M348" i="15"/>
  <c r="L348" i="15"/>
  <c r="O349" i="15" l="1"/>
  <c r="J349" i="15" s="1"/>
  <c r="C349" i="15" s="1"/>
  <c r="E347" i="15"/>
  <c r="G348" i="15"/>
  <c r="D348" i="15"/>
  <c r="R442" i="15"/>
  <c r="T443" i="15" l="1"/>
  <c r="Q443" i="15" s="1"/>
  <c r="F348" i="15"/>
  <c r="G349" i="15"/>
  <c r="B349" i="15"/>
  <c r="M349" i="15"/>
  <c r="L349" i="15"/>
  <c r="O350" i="15" l="1"/>
  <c r="J350" i="15" s="1"/>
  <c r="C350" i="15" s="1"/>
  <c r="E348" i="15"/>
  <c r="D349" i="15"/>
  <c r="F349" i="15" s="1"/>
  <c r="L350" i="15"/>
  <c r="R443" i="15"/>
  <c r="E349" i="15" l="1"/>
  <c r="T444" i="15"/>
  <c r="Q444" i="15" s="1"/>
  <c r="G350" i="15"/>
  <c r="B350" i="15"/>
  <c r="M350" i="15"/>
  <c r="D350" i="15" l="1"/>
  <c r="R444" i="15"/>
  <c r="O351" i="15"/>
  <c r="M351" i="15" s="1"/>
  <c r="T445" i="15"/>
  <c r="Q445" i="15" s="1"/>
  <c r="T446" i="15" l="1"/>
  <c r="Q446" i="15" s="1"/>
  <c r="O352" i="15"/>
  <c r="J352" i="15" s="1"/>
  <c r="C352" i="15" s="1"/>
  <c r="J351" i="15"/>
  <c r="C351" i="15" s="1"/>
  <c r="L351" i="15"/>
  <c r="L352" i="15" s="1"/>
  <c r="R445" i="15"/>
  <c r="F350" i="15"/>
  <c r="R446" i="15" l="1"/>
  <c r="M352" i="15"/>
  <c r="G352" i="15"/>
  <c r="B352" i="15"/>
  <c r="T447" i="15"/>
  <c r="Q447" i="15" s="1"/>
  <c r="B351" i="15"/>
  <c r="E350" i="15"/>
  <c r="T448" i="15" l="1"/>
  <c r="Q448" i="15" s="1"/>
  <c r="G3" i="15"/>
  <c r="O353" i="15"/>
  <c r="G351" i="15"/>
  <c r="D351" i="15"/>
  <c r="R447" i="15"/>
  <c r="R448" i="15" s="1"/>
  <c r="T449" i="15" l="1"/>
  <c r="Q449" i="15" s="1"/>
  <c r="D352" i="15"/>
  <c r="F351" i="15"/>
  <c r="J353" i="15"/>
  <c r="C353" i="15" s="1"/>
  <c r="L353" i="15"/>
  <c r="M353" i="15"/>
  <c r="R449" i="15" l="1"/>
  <c r="T450" i="15"/>
  <c r="Q450" i="15" s="1"/>
  <c r="O354" i="15"/>
  <c r="J354" i="15" s="1"/>
  <c r="C354" i="15" s="1"/>
  <c r="G353" i="15"/>
  <c r="B353" i="15"/>
  <c r="E351" i="15"/>
  <c r="F352" i="15"/>
  <c r="H3" i="15"/>
  <c r="E352" i="15" l="1"/>
  <c r="E3" i="15" s="1"/>
  <c r="G354" i="15"/>
  <c r="B354" i="15"/>
  <c r="D353" i="15"/>
  <c r="D354" i="15" s="1"/>
  <c r="M354" i="15"/>
  <c r="R450" i="15"/>
  <c r="L354" i="15"/>
  <c r="T451" i="15" l="1"/>
  <c r="Q451" i="15" s="1"/>
  <c r="F353" i="15"/>
  <c r="O355" i="15"/>
  <c r="J355" i="15" s="1"/>
  <c r="C355" i="15" s="1"/>
  <c r="E353" i="15" l="1"/>
  <c r="F354" i="15"/>
  <c r="M355" i="15"/>
  <c r="B355" i="15"/>
  <c r="L355" i="15"/>
  <c r="R451" i="15"/>
  <c r="T452" i="15" l="1"/>
  <c r="Q452" i="15" s="1"/>
  <c r="O356" i="15"/>
  <c r="J356" i="15" s="1"/>
  <c r="C356" i="15" s="1"/>
  <c r="G355" i="15"/>
  <c r="D355" i="15"/>
  <c r="E354" i="15"/>
  <c r="L356" i="15" l="1"/>
  <c r="G356" i="15"/>
  <c r="B356" i="15"/>
  <c r="R452" i="15"/>
  <c r="F355" i="15"/>
  <c r="M356" i="15"/>
  <c r="E355" i="15" l="1"/>
  <c r="T453" i="15"/>
  <c r="Q453" i="15" s="1"/>
  <c r="O357" i="15"/>
  <c r="J357" i="15" s="1"/>
  <c r="C357" i="15" s="1"/>
  <c r="D356" i="15"/>
  <c r="G357" i="15" l="1"/>
  <c r="B357" i="15"/>
  <c r="D357" i="15"/>
  <c r="L357" i="15"/>
  <c r="M357" i="15"/>
  <c r="R453" i="15"/>
  <c r="F356" i="15"/>
  <c r="E356" i="15" l="1"/>
  <c r="F357" i="15"/>
  <c r="T454" i="15"/>
  <c r="Q454" i="15" s="1"/>
  <c r="O358" i="15"/>
  <c r="J358" i="15" s="1"/>
  <c r="C358" i="15" s="1"/>
  <c r="B358" i="15" l="1"/>
  <c r="M358" i="15"/>
  <c r="L358" i="15"/>
  <c r="R454" i="15"/>
  <c r="E357" i="15"/>
  <c r="T455" i="15" l="1"/>
  <c r="Q455" i="15" s="1"/>
  <c r="O359" i="15"/>
  <c r="J359" i="15" s="1"/>
  <c r="C359" i="15" s="1"/>
  <c r="G358" i="15"/>
  <c r="D358" i="15"/>
  <c r="L359" i="15" l="1"/>
  <c r="O360" i="15"/>
  <c r="J360" i="15" s="1"/>
  <c r="C360" i="15" s="1"/>
  <c r="M359" i="15"/>
  <c r="F358" i="15"/>
  <c r="G359" i="15"/>
  <c r="B359" i="15"/>
  <c r="R455" i="15"/>
  <c r="M360" i="15" l="1"/>
  <c r="E358" i="15"/>
  <c r="D359" i="15"/>
  <c r="B360" i="15"/>
  <c r="G360" i="15"/>
  <c r="T456" i="15"/>
  <c r="Q456" i="15" s="1"/>
  <c r="L360" i="15"/>
  <c r="T457" i="15" l="1"/>
  <c r="Q457" i="15" s="1"/>
  <c r="R456" i="15"/>
  <c r="R457" i="15" s="1"/>
  <c r="D360" i="15"/>
  <c r="O361" i="15"/>
  <c r="F359" i="15"/>
  <c r="T458" i="15" l="1"/>
  <c r="Q458" i="15" s="1"/>
  <c r="J361" i="15"/>
  <c r="C361" i="15" s="1"/>
  <c r="M361" i="15"/>
  <c r="E359" i="15"/>
  <c r="F360" i="15"/>
  <c r="L361" i="15"/>
  <c r="T459" i="15" l="1"/>
  <c r="Q459" i="15" s="1"/>
  <c r="O362" i="15"/>
  <c r="J362" i="15" s="1"/>
  <c r="C362" i="15" s="1"/>
  <c r="E360" i="15"/>
  <c r="B361" i="15"/>
  <c r="R458" i="15"/>
  <c r="R459" i="15" s="1"/>
  <c r="T460" i="15" l="1"/>
  <c r="Q460" i="15" s="1"/>
  <c r="B362" i="15"/>
  <c r="G362" i="15"/>
  <c r="R460" i="15"/>
  <c r="M362" i="15"/>
  <c r="L362" i="15"/>
  <c r="G361" i="15"/>
  <c r="D361" i="15"/>
  <c r="T461" i="15" l="1"/>
  <c r="Q461" i="15" s="1"/>
  <c r="R461" i="15"/>
  <c r="O363" i="15"/>
  <c r="J363" i="15" s="1"/>
  <c r="C363" i="15" s="1"/>
  <c r="D362" i="15"/>
  <c r="F361" i="15"/>
  <c r="F362" i="15" l="1"/>
  <c r="E361" i="15"/>
  <c r="L363" i="15"/>
  <c r="B363" i="15"/>
  <c r="G363" i="15"/>
  <c r="M363" i="15"/>
  <c r="T462" i="15"/>
  <c r="Q462" i="15" s="1"/>
  <c r="O364" i="15" l="1"/>
  <c r="J364" i="15" s="1"/>
  <c r="C364" i="15" s="1"/>
  <c r="E362" i="15"/>
  <c r="D363" i="15"/>
  <c r="R462" i="15"/>
  <c r="L364" i="15" l="1"/>
  <c r="T463" i="15"/>
  <c r="Q463" i="15" s="1"/>
  <c r="F363" i="15"/>
  <c r="G364" i="15"/>
  <c r="B364" i="15"/>
  <c r="M364" i="15"/>
  <c r="E363" i="15" l="1"/>
  <c r="O365" i="15"/>
  <c r="M365" i="15" s="1"/>
  <c r="R463" i="15"/>
  <c r="D364" i="15"/>
  <c r="O366" i="15" l="1"/>
  <c r="J366" i="15" s="1"/>
  <c r="C366" i="15" s="1"/>
  <c r="T464" i="15"/>
  <c r="Q464" i="15" s="1"/>
  <c r="J365" i="15"/>
  <c r="C365" i="15" s="1"/>
  <c r="L365" i="15"/>
  <c r="L366" i="15" s="1"/>
  <c r="F364" i="15"/>
  <c r="E364" i="15" l="1"/>
  <c r="B365" i="15"/>
  <c r="R464" i="15"/>
  <c r="G366" i="15"/>
  <c r="B366" i="15"/>
  <c r="M366" i="15"/>
  <c r="T465" i="15" l="1"/>
  <c r="Q465" i="15" s="1"/>
  <c r="G365" i="15"/>
  <c r="D365" i="15"/>
  <c r="O367" i="15"/>
  <c r="M367" i="15" s="1"/>
  <c r="O368" i="15" l="1"/>
  <c r="J368" i="15" s="1"/>
  <c r="C368" i="15" s="1"/>
  <c r="J367" i="15"/>
  <c r="C367" i="15" s="1"/>
  <c r="L367" i="15"/>
  <c r="L368" i="15" s="1"/>
  <c r="D366" i="15"/>
  <c r="F365" i="15"/>
  <c r="R465" i="15"/>
  <c r="F366" i="15" l="1"/>
  <c r="E365" i="15"/>
  <c r="T466" i="15"/>
  <c r="Q466" i="15" s="1"/>
  <c r="G367" i="15"/>
  <c r="B367" i="15"/>
  <c r="G368" i="15"/>
  <c r="B368" i="15"/>
  <c r="M368" i="15"/>
  <c r="R466" i="15" l="1"/>
  <c r="D367" i="15"/>
  <c r="D368" i="15" s="1"/>
  <c r="O369" i="15"/>
  <c r="M369" i="15" s="1"/>
  <c r="E366" i="15"/>
  <c r="F367" i="15" l="1"/>
  <c r="O370" i="15"/>
  <c r="J370" i="15" s="1"/>
  <c r="C370" i="15" s="1"/>
  <c r="F368" i="15"/>
  <c r="E367" i="15"/>
  <c r="J369" i="15"/>
  <c r="C369" i="15" s="1"/>
  <c r="L369" i="15"/>
  <c r="L370" i="15" s="1"/>
  <c r="T467" i="15"/>
  <c r="Q467" i="15" s="1"/>
  <c r="R467" i="15" l="1"/>
  <c r="T468" i="15" s="1"/>
  <c r="R468" i="15" s="1"/>
  <c r="G370" i="15"/>
  <c r="B370" i="15"/>
  <c r="B369" i="15"/>
  <c r="E368" i="15"/>
  <c r="M370" i="15"/>
  <c r="T469" i="15" l="1"/>
  <c r="R469" i="15" s="1"/>
  <c r="O371" i="15"/>
  <c r="G369" i="15"/>
  <c r="D369" i="15"/>
  <c r="Q468" i="15"/>
  <c r="Q469" i="15" s="1"/>
  <c r="T470" i="15" l="1"/>
  <c r="R470" i="15" s="1"/>
  <c r="D370" i="15"/>
  <c r="F369" i="15"/>
  <c r="J371" i="15"/>
  <c r="C371" i="15" s="1"/>
  <c r="L371" i="15"/>
  <c r="M371" i="15"/>
  <c r="Q470" i="15" l="1"/>
  <c r="G371" i="15"/>
  <c r="B371" i="15"/>
  <c r="D371" i="15"/>
  <c r="O372" i="15"/>
  <c r="J372" i="15" s="1"/>
  <c r="C372" i="15" s="1"/>
  <c r="E369" i="15"/>
  <c r="F370" i="15"/>
  <c r="T471" i="15"/>
  <c r="R471" i="15" s="1"/>
  <c r="L372" i="15" l="1"/>
  <c r="G372" i="15"/>
  <c r="B372" i="15"/>
  <c r="Q471" i="15"/>
  <c r="M372" i="15"/>
  <c r="F371" i="15"/>
  <c r="E370" i="15"/>
  <c r="E371" i="15" l="1"/>
  <c r="T472" i="15"/>
  <c r="R472" i="15" s="1"/>
  <c r="O373" i="15"/>
  <c r="J373" i="15" s="1"/>
  <c r="C373" i="15" s="1"/>
  <c r="D372" i="15"/>
  <c r="L373" i="15" l="1"/>
  <c r="G373" i="15"/>
  <c r="B373" i="15"/>
  <c r="Q472" i="15"/>
  <c r="F372" i="15"/>
  <c r="M373" i="15"/>
  <c r="O374" i="15" l="1"/>
  <c r="J374" i="15" s="1"/>
  <c r="C374" i="15" s="1"/>
  <c r="D373" i="15"/>
  <c r="F373" i="15" s="1"/>
  <c r="E372" i="15"/>
  <c r="T473" i="15"/>
  <c r="R473" i="15" s="1"/>
  <c r="L374" i="15"/>
  <c r="Q473" i="15" l="1"/>
  <c r="T474" i="15"/>
  <c r="R474" i="15" s="1"/>
  <c r="E373" i="15"/>
  <c r="G374" i="15"/>
  <c r="B374" i="15"/>
  <c r="M374" i="15"/>
  <c r="T475" i="15" l="1"/>
  <c r="R475" i="15" s="1"/>
  <c r="O375" i="15"/>
  <c r="D374" i="15"/>
  <c r="Q474" i="15"/>
  <c r="Q475" i="15" s="1"/>
  <c r="T476" i="15" l="1"/>
  <c r="R476" i="15" s="1"/>
  <c r="F374" i="15"/>
  <c r="J375" i="15"/>
  <c r="C375" i="15" s="1"/>
  <c r="L375" i="15"/>
  <c r="M375" i="15"/>
  <c r="E374" i="15" l="1"/>
  <c r="O376" i="15"/>
  <c r="J376" i="15" s="1"/>
  <c r="C376" i="15" s="1"/>
  <c r="B375" i="15"/>
  <c r="Q476" i="15"/>
  <c r="L376" i="15" l="1"/>
  <c r="G375" i="15"/>
  <c r="D375" i="15"/>
  <c r="G376" i="15"/>
  <c r="B376" i="15"/>
  <c r="M376" i="15"/>
  <c r="T477" i="15"/>
  <c r="R477" i="15" s="1"/>
  <c r="O377" i="15" l="1"/>
  <c r="Q477" i="15"/>
  <c r="D376" i="15"/>
  <c r="F375" i="15"/>
  <c r="F376" i="15" l="1"/>
  <c r="E375" i="15"/>
  <c r="T478" i="15"/>
  <c r="R478" i="15" s="1"/>
  <c r="J377" i="15"/>
  <c r="C377" i="15" s="1"/>
  <c r="L377" i="15"/>
  <c r="M377" i="15"/>
  <c r="O378" i="15" l="1"/>
  <c r="J378" i="15" s="1"/>
  <c r="C378" i="15" s="1"/>
  <c r="B377" i="15"/>
  <c r="Q478" i="15"/>
  <c r="E376" i="15"/>
  <c r="L378" i="15" l="1"/>
  <c r="G377" i="15"/>
  <c r="D377" i="15"/>
  <c r="T479" i="15"/>
  <c r="R479" i="15" s="1"/>
  <c r="O379" i="15"/>
  <c r="J379" i="15" s="1"/>
  <c r="C379" i="15" s="1"/>
  <c r="G378" i="15"/>
  <c r="B378" i="15"/>
  <c r="M378" i="15"/>
  <c r="L379" i="15" l="1"/>
  <c r="G379" i="15"/>
  <c r="B379" i="15"/>
  <c r="Q479" i="15"/>
  <c r="D378" i="15"/>
  <c r="D379" i="15" s="1"/>
  <c r="F377" i="15"/>
  <c r="M379" i="15"/>
  <c r="F378" i="15" l="1"/>
  <c r="E377" i="15"/>
  <c r="T480" i="15"/>
  <c r="R480" i="15" s="1"/>
  <c r="O380" i="15"/>
  <c r="J380" i="15" s="1"/>
  <c r="C380" i="15" s="1"/>
  <c r="B380" i="15" l="1"/>
  <c r="T481" i="15"/>
  <c r="R481" i="15" s="1"/>
  <c r="L380" i="15"/>
  <c r="Q480" i="15"/>
  <c r="F379" i="15"/>
  <c r="E378" i="15"/>
  <c r="M380" i="15"/>
  <c r="Q481" i="15" l="1"/>
  <c r="T482" i="15" s="1"/>
  <c r="R482" i="15" s="1"/>
  <c r="E379" i="15"/>
  <c r="O381" i="15"/>
  <c r="J381" i="15" s="1"/>
  <c r="C381" i="15" s="1"/>
  <c r="G380" i="15"/>
  <c r="D380" i="15"/>
  <c r="M381" i="15" l="1"/>
  <c r="G381" i="15"/>
  <c r="B381" i="15"/>
  <c r="L381" i="15"/>
  <c r="Q482" i="15"/>
  <c r="F380" i="15"/>
  <c r="O382" i="15" l="1"/>
  <c r="E380" i="15"/>
  <c r="T483" i="15"/>
  <c r="R483" i="15" s="1"/>
  <c r="D381" i="15"/>
  <c r="F381" i="15" s="1"/>
  <c r="E381" i="15" l="1"/>
  <c r="Q483" i="15"/>
  <c r="J382" i="15"/>
  <c r="C382" i="15" s="1"/>
  <c r="M382" i="15"/>
  <c r="L382" i="15"/>
  <c r="O383" i="15" l="1"/>
  <c r="J383" i="15" s="1"/>
  <c r="C383" i="15" s="1"/>
  <c r="T484" i="15"/>
  <c r="R484" i="15" s="1"/>
  <c r="M383" i="15"/>
  <c r="B382" i="15"/>
  <c r="L383" i="15" l="1"/>
  <c r="Q484" i="15"/>
  <c r="G382" i="15"/>
  <c r="D382" i="15"/>
  <c r="G383" i="15"/>
  <c r="B383" i="15"/>
  <c r="O384" i="15"/>
  <c r="J384" i="15" s="1"/>
  <c r="C384" i="15" s="1"/>
  <c r="L384" i="15" l="1"/>
  <c r="D383" i="15"/>
  <c r="F382" i="15"/>
  <c r="T485" i="15"/>
  <c r="R485" i="15" s="1"/>
  <c r="G384" i="15"/>
  <c r="B384" i="15"/>
  <c r="M384" i="15"/>
  <c r="Q485" i="15" l="1"/>
  <c r="F383" i="15"/>
  <c r="E382" i="15"/>
  <c r="O385" i="15"/>
  <c r="M385" i="15" s="1"/>
  <c r="D384" i="15"/>
  <c r="O386" i="15" l="1"/>
  <c r="J386" i="15" s="1"/>
  <c r="C386" i="15" s="1"/>
  <c r="T486" i="15"/>
  <c r="R486" i="15" s="1"/>
  <c r="J385" i="15"/>
  <c r="C385" i="15" s="1"/>
  <c r="L385" i="15"/>
  <c r="L386" i="15" s="1"/>
  <c r="F384" i="15"/>
  <c r="E383" i="15"/>
  <c r="E384" i="15" l="1"/>
  <c r="B385" i="15"/>
  <c r="Q486" i="15"/>
  <c r="G386" i="15"/>
  <c r="B386" i="15"/>
  <c r="M386" i="15"/>
  <c r="T487" i="15" l="1"/>
  <c r="R487" i="15" s="1"/>
  <c r="G385" i="15"/>
  <c r="D385" i="15"/>
  <c r="O387" i="15"/>
  <c r="J387" i="15" l="1"/>
  <c r="C387" i="15" s="1"/>
  <c r="L387" i="15"/>
  <c r="M387" i="15"/>
  <c r="D386" i="15"/>
  <c r="F385" i="15"/>
  <c r="T488" i="15"/>
  <c r="R488" i="15" s="1"/>
  <c r="Q487" i="15"/>
  <c r="T489" i="15" l="1"/>
  <c r="R489" i="15" s="1"/>
  <c r="F386" i="15"/>
  <c r="E385" i="15"/>
  <c r="Q488" i="15"/>
  <c r="Q489" i="15" s="1"/>
  <c r="O388" i="15"/>
  <c r="J388" i="15" s="1"/>
  <c r="C388" i="15" s="1"/>
  <c r="G387" i="15"/>
  <c r="B387" i="15"/>
  <c r="D387" i="15" l="1"/>
  <c r="G388" i="15"/>
  <c r="B388" i="15"/>
  <c r="D388" i="15"/>
  <c r="M388" i="15"/>
  <c r="T490" i="15"/>
  <c r="R490" i="15" s="1"/>
  <c r="F387" i="15"/>
  <c r="E386" i="15"/>
  <c r="L388" i="15"/>
  <c r="F388" i="15" l="1"/>
  <c r="E387" i="15"/>
  <c r="O389" i="15"/>
  <c r="J389" i="15" s="1"/>
  <c r="C389" i="15" s="1"/>
  <c r="Q490" i="15"/>
  <c r="B389" i="15" l="1"/>
  <c r="T491" i="15"/>
  <c r="R491" i="15" s="1"/>
  <c r="L389" i="15"/>
  <c r="M389" i="15"/>
  <c r="E388" i="15"/>
  <c r="O390" i="15" l="1"/>
  <c r="J390" i="15" s="1"/>
  <c r="C390" i="15" s="1"/>
  <c r="Q491" i="15"/>
  <c r="G389" i="15"/>
  <c r="D389" i="15"/>
  <c r="L390" i="15" l="1"/>
  <c r="F389" i="15"/>
  <c r="T492" i="15"/>
  <c r="R492" i="15" s="1"/>
  <c r="G390" i="15"/>
  <c r="B390" i="15"/>
  <c r="M390" i="15"/>
  <c r="O391" i="15" l="1"/>
  <c r="Q492" i="15"/>
  <c r="E389" i="15"/>
  <c r="D390" i="15"/>
  <c r="F390" i="15" l="1"/>
  <c r="T493" i="15"/>
  <c r="R493" i="15" s="1"/>
  <c r="J391" i="15"/>
  <c r="C391" i="15" s="1"/>
  <c r="L391" i="15"/>
  <c r="M391" i="15"/>
  <c r="B391" i="15" l="1"/>
  <c r="O392" i="15"/>
  <c r="J392" i="15" s="1"/>
  <c r="C392" i="15" s="1"/>
  <c r="Q493" i="15"/>
  <c r="E390" i="15"/>
  <c r="B392" i="15" l="1"/>
  <c r="G392" i="15"/>
  <c r="G391" i="15"/>
  <c r="D391" i="15"/>
  <c r="T494" i="15"/>
  <c r="R494" i="15" s="1"/>
  <c r="L392" i="15"/>
  <c r="M392" i="15"/>
  <c r="D392" i="15" l="1"/>
  <c r="F391" i="15"/>
  <c r="O393" i="15"/>
  <c r="J393" i="15" s="1"/>
  <c r="C393" i="15" s="1"/>
  <c r="Q494" i="15"/>
  <c r="T495" i="15" l="1"/>
  <c r="R495" i="15" s="1"/>
  <c r="L393" i="15"/>
  <c r="B393" i="15"/>
  <c r="G393" i="15"/>
  <c r="F392" i="15"/>
  <c r="E391" i="15"/>
  <c r="D393" i="15"/>
  <c r="M393" i="15"/>
  <c r="O394" i="15" l="1"/>
  <c r="J394" i="15" s="1"/>
  <c r="C394" i="15" s="1"/>
  <c r="F393" i="15"/>
  <c r="E392" i="15"/>
  <c r="Q495" i="15"/>
  <c r="M394" i="15" l="1"/>
  <c r="O395" i="15"/>
  <c r="J395" i="15" s="1"/>
  <c r="C395" i="15" s="1"/>
  <c r="T496" i="15"/>
  <c r="R496" i="15" s="1"/>
  <c r="E393" i="15"/>
  <c r="B394" i="15"/>
  <c r="L394" i="15"/>
  <c r="G394" i="15" l="1"/>
  <c r="D394" i="15"/>
  <c r="B395" i="15"/>
  <c r="G395" i="15"/>
  <c r="T497" i="15"/>
  <c r="R497" i="15" s="1"/>
  <c r="Q496" i="15"/>
  <c r="L395" i="15"/>
  <c r="M395" i="15"/>
  <c r="T498" i="15" l="1"/>
  <c r="R498" i="15" s="1"/>
  <c r="Q497" i="15"/>
  <c r="D395" i="15"/>
  <c r="F394" i="15"/>
  <c r="O396" i="15"/>
  <c r="J396" i="15" s="1"/>
  <c r="C396" i="15" s="1"/>
  <c r="Q498" i="15" l="1"/>
  <c r="T499" i="15"/>
  <c r="R499" i="15" s="1"/>
  <c r="B396" i="15"/>
  <c r="G396" i="15"/>
  <c r="D396" i="15"/>
  <c r="M396" i="15"/>
  <c r="L396" i="15"/>
  <c r="F395" i="15"/>
  <c r="E394" i="15"/>
  <c r="Q499" i="15" l="1"/>
  <c r="T500" i="15"/>
  <c r="R500" i="15" s="1"/>
  <c r="F396" i="15"/>
  <c r="E395" i="15"/>
  <c r="O397" i="15"/>
  <c r="J397" i="15" s="1"/>
  <c r="C397" i="15" s="1"/>
  <c r="Q500" i="15"/>
  <c r="L397" i="15" l="1"/>
  <c r="T501" i="15"/>
  <c r="R501" i="15" s="1"/>
  <c r="B397" i="15"/>
  <c r="E396" i="15"/>
  <c r="M397" i="15"/>
  <c r="G397" i="15" l="1"/>
  <c r="D397" i="15"/>
  <c r="Q501" i="15"/>
  <c r="O398" i="15"/>
  <c r="J398" i="15" s="1"/>
  <c r="C398" i="15" s="1"/>
  <c r="M398" i="15" l="1"/>
  <c r="F397" i="15"/>
  <c r="B398" i="15"/>
  <c r="G398" i="15"/>
  <c r="L398" i="15"/>
  <c r="T502" i="15"/>
  <c r="R502" i="15" s="1"/>
  <c r="O399" i="15" l="1"/>
  <c r="J399" i="15" s="1"/>
  <c r="C399" i="15" s="1"/>
  <c r="T503" i="15"/>
  <c r="R503" i="15" s="1"/>
  <c r="Q502" i="15"/>
  <c r="E397" i="15"/>
  <c r="D398" i="15"/>
  <c r="Q503" i="15" l="1"/>
  <c r="T504" i="15"/>
  <c r="R504" i="15" s="1"/>
  <c r="F398" i="15"/>
  <c r="B399" i="15"/>
  <c r="G399" i="15"/>
  <c r="M399" i="15"/>
  <c r="L399" i="15"/>
  <c r="Q504" i="15" l="1"/>
  <c r="O400" i="15"/>
  <c r="J400" i="15" s="1"/>
  <c r="C400" i="15" s="1"/>
  <c r="T505" i="15"/>
  <c r="R505" i="15" s="1"/>
  <c r="E398" i="15"/>
  <c r="D399" i="15"/>
  <c r="T506" i="15" l="1"/>
  <c r="R506" i="15" s="1"/>
  <c r="F399" i="15"/>
  <c r="Q505" i="15"/>
  <c r="Q506" i="15" s="1"/>
  <c r="B400" i="15"/>
  <c r="G400" i="15"/>
  <c r="M400" i="15"/>
  <c r="L400" i="15"/>
  <c r="T507" i="15" l="1"/>
  <c r="R507" i="15" s="1"/>
  <c r="D400" i="15"/>
  <c r="O401" i="15"/>
  <c r="J401" i="15" s="1"/>
  <c r="C401" i="15" s="1"/>
  <c r="F400" i="15"/>
  <c r="E399" i="15"/>
  <c r="T508" i="15" l="1"/>
  <c r="R508" i="15" s="1"/>
  <c r="B401" i="15"/>
  <c r="G401" i="15"/>
  <c r="M401" i="15"/>
  <c r="E400" i="15"/>
  <c r="D401" i="15"/>
  <c r="Q507" i="15"/>
  <c r="L401" i="15"/>
  <c r="O402" i="15" l="1"/>
  <c r="J402" i="15" s="1"/>
  <c r="C402" i="15" s="1"/>
  <c r="F401" i="15"/>
  <c r="L402" i="15"/>
  <c r="Q508" i="15"/>
  <c r="T509" i="15" l="1"/>
  <c r="R509" i="15" s="1"/>
  <c r="E401" i="15"/>
  <c r="B402" i="15"/>
  <c r="M402" i="15"/>
  <c r="O403" i="15" l="1"/>
  <c r="G402" i="15"/>
  <c r="D402" i="15"/>
  <c r="Q509" i="15"/>
  <c r="F402" i="15" l="1"/>
  <c r="T510" i="15"/>
  <c r="R510" i="15" s="1"/>
  <c r="J403" i="15"/>
  <c r="C403" i="15" s="1"/>
  <c r="L403" i="15"/>
  <c r="M403" i="15"/>
  <c r="O404" i="15" l="1"/>
  <c r="J404" i="15" s="1"/>
  <c r="C404" i="15" s="1"/>
  <c r="B403" i="15"/>
  <c r="Q510" i="15"/>
  <c r="E402" i="15"/>
  <c r="T511" i="15" l="1"/>
  <c r="R511" i="15" s="1"/>
  <c r="G403" i="15"/>
  <c r="D403" i="15"/>
  <c r="B404" i="15"/>
  <c r="G404" i="15"/>
  <c r="M404" i="15"/>
  <c r="L404" i="15"/>
  <c r="O405" i="15" l="1"/>
  <c r="J405" i="15" s="1"/>
  <c r="C405" i="15" s="1"/>
  <c r="D404" i="15"/>
  <c r="F403" i="15"/>
  <c r="T512" i="15"/>
  <c r="R512" i="15" s="1"/>
  <c r="Q511" i="15"/>
  <c r="Q512" i="15" l="1"/>
  <c r="L405" i="15"/>
  <c r="T513" i="15"/>
  <c r="R513" i="15" s="1"/>
  <c r="F404" i="15"/>
  <c r="E403" i="15"/>
  <c r="B405" i="15"/>
  <c r="G405" i="15"/>
  <c r="M405" i="15"/>
  <c r="D405" i="15" l="1"/>
  <c r="T514" i="15"/>
  <c r="R514" i="15" s="1"/>
  <c r="F405" i="15"/>
  <c r="E404" i="15"/>
  <c r="Q513" i="15"/>
  <c r="Q514" i="15" s="1"/>
  <c r="O406" i="15"/>
  <c r="M406" i="15" s="1"/>
  <c r="O407" i="15" l="1"/>
  <c r="J407" i="15" s="1"/>
  <c r="C407" i="15" s="1"/>
  <c r="T515" i="15"/>
  <c r="R515" i="15" s="1"/>
  <c r="J406" i="15"/>
  <c r="C406" i="15" s="1"/>
  <c r="L406" i="15"/>
  <c r="L407" i="15" s="1"/>
  <c r="E405" i="15"/>
  <c r="T516" i="15" l="1"/>
  <c r="R516" i="15" s="1"/>
  <c r="Q515" i="15"/>
  <c r="Q516" i="15" s="1"/>
  <c r="B406" i="15"/>
  <c r="B407" i="15"/>
  <c r="G407" i="15"/>
  <c r="M407" i="15"/>
  <c r="G406" i="15" l="1"/>
  <c r="D406" i="15"/>
  <c r="T517" i="15"/>
  <c r="R517" i="15" s="1"/>
  <c r="O408" i="15"/>
  <c r="M408" i="15" s="1"/>
  <c r="O409" i="15" l="1"/>
  <c r="J409" i="15" s="1"/>
  <c r="C409" i="15" s="1"/>
  <c r="Q517" i="15"/>
  <c r="J408" i="15"/>
  <c r="C408" i="15" s="1"/>
  <c r="L408" i="15"/>
  <c r="L409" i="15" s="1"/>
  <c r="D407" i="15"/>
  <c r="F406" i="15"/>
  <c r="F407" i="15" l="1"/>
  <c r="E406" i="15"/>
  <c r="B408" i="15"/>
  <c r="G408" i="15"/>
  <c r="T518" i="15"/>
  <c r="R518" i="15" s="1"/>
  <c r="B409" i="15"/>
  <c r="G409" i="15"/>
  <c r="M409" i="15"/>
  <c r="D408" i="15" l="1"/>
  <c r="D409" i="15" s="1"/>
  <c r="Q518" i="15"/>
  <c r="O410" i="15"/>
  <c r="E407" i="15"/>
  <c r="F408" i="15" l="1"/>
  <c r="F409" i="15"/>
  <c r="E408" i="15"/>
  <c r="J410" i="15"/>
  <c r="C410" i="15" s="1"/>
  <c r="L410" i="15"/>
  <c r="M410" i="15"/>
  <c r="T519" i="15"/>
  <c r="R519" i="15" s="1"/>
  <c r="T520" i="15" l="1"/>
  <c r="R520" i="15" s="1"/>
  <c r="O411" i="15"/>
  <c r="J411" i="15" s="1"/>
  <c r="C411" i="15" s="1"/>
  <c r="Q519" i="15"/>
  <c r="Q520" i="15" s="1"/>
  <c r="B410" i="15"/>
  <c r="E409" i="15"/>
  <c r="T521" i="15" l="1"/>
  <c r="R521" i="15" s="1"/>
  <c r="B411" i="15"/>
  <c r="G411" i="15"/>
  <c r="Q521" i="15"/>
  <c r="G410" i="15"/>
  <c r="D410" i="15"/>
  <c r="L411" i="15"/>
  <c r="M411" i="15"/>
  <c r="T522" i="15" l="1"/>
  <c r="R522" i="15" s="1"/>
  <c r="D411" i="15"/>
  <c r="F410" i="15"/>
  <c r="Q522" i="15"/>
  <c r="O412" i="15"/>
  <c r="J412" i="15" s="1"/>
  <c r="C412" i="15" s="1"/>
  <c r="M412" i="15" l="1"/>
  <c r="T523" i="15"/>
  <c r="R523" i="15" s="1"/>
  <c r="F411" i="15"/>
  <c r="E410" i="15"/>
  <c r="B412" i="15"/>
  <c r="G412" i="15"/>
  <c r="L412" i="15"/>
  <c r="O413" i="15" l="1"/>
  <c r="L413" i="15" s="1"/>
  <c r="E411" i="15"/>
  <c r="D412" i="15"/>
  <c r="F412" i="15" s="1"/>
  <c r="Q523" i="15"/>
  <c r="E412" i="15" l="1"/>
  <c r="O414" i="15"/>
  <c r="J414" i="15" s="1"/>
  <c r="C414" i="15" s="1"/>
  <c r="T524" i="15"/>
  <c r="R524" i="15" s="1"/>
  <c r="J413" i="15"/>
  <c r="C413" i="15" s="1"/>
  <c r="M413" i="15"/>
  <c r="B413" i="15" l="1"/>
  <c r="Q524" i="15"/>
  <c r="B414" i="15"/>
  <c r="G414" i="15"/>
  <c r="L414" i="15"/>
  <c r="M414" i="15"/>
  <c r="O415" i="15" l="1"/>
  <c r="J415" i="15" s="1"/>
  <c r="C415" i="15" s="1"/>
  <c r="G413" i="15"/>
  <c r="D413" i="15"/>
  <c r="T525" i="15"/>
  <c r="R525" i="15" s="1"/>
  <c r="D414" i="15" l="1"/>
  <c r="F413" i="15"/>
  <c r="G415" i="15"/>
  <c r="B415" i="15"/>
  <c r="Q525" i="15"/>
  <c r="L415" i="15"/>
  <c r="M415" i="15"/>
  <c r="O416" i="15" l="1"/>
  <c r="J416" i="15" s="1"/>
  <c r="C416" i="15" s="1"/>
  <c r="T526" i="15"/>
  <c r="R526" i="15" s="1"/>
  <c r="F414" i="15"/>
  <c r="E413" i="15"/>
  <c r="D415" i="15"/>
  <c r="F415" i="15" l="1"/>
  <c r="E414" i="15"/>
  <c r="Q526" i="15"/>
  <c r="T527" i="15"/>
  <c r="R527" i="15" s="1"/>
  <c r="B416" i="15"/>
  <c r="G416" i="15"/>
  <c r="L416" i="15"/>
  <c r="M416" i="15"/>
  <c r="Q527" i="15" l="1"/>
  <c r="D416" i="15"/>
  <c r="O417" i="15"/>
  <c r="J417" i="15" s="1"/>
  <c r="C417" i="15" s="1"/>
  <c r="F416" i="15"/>
  <c r="E415" i="15"/>
  <c r="E416" i="15" l="1"/>
  <c r="L417" i="15"/>
  <c r="M417" i="15"/>
  <c r="B417" i="15"/>
  <c r="G417" i="15"/>
  <c r="T528" i="15"/>
  <c r="R528" i="15" s="1"/>
  <c r="Q528" i="15" l="1"/>
  <c r="O418" i="15"/>
  <c r="J418" i="15" s="1"/>
  <c r="C418" i="15" s="1"/>
  <c r="D417" i="15"/>
  <c r="T529" i="15"/>
  <c r="R529" i="15" s="1"/>
  <c r="M418" i="15" l="1"/>
  <c r="T530" i="15"/>
  <c r="R530" i="15" s="1"/>
  <c r="F417" i="15"/>
  <c r="Q529" i="15"/>
  <c r="Q530" i="15" s="1"/>
  <c r="O419" i="15"/>
  <c r="J419" i="15" s="1"/>
  <c r="C419" i="15" s="1"/>
  <c r="B418" i="15"/>
  <c r="G418" i="15"/>
  <c r="L418" i="15"/>
  <c r="D418" i="15" l="1"/>
  <c r="M419" i="15"/>
  <c r="G419" i="15"/>
  <c r="B419" i="15"/>
  <c r="F418" i="15"/>
  <c r="E417" i="15"/>
  <c r="T531" i="15"/>
  <c r="R531" i="15" s="1"/>
  <c r="L419" i="15"/>
  <c r="Q531" i="15" l="1"/>
  <c r="T532" i="15"/>
  <c r="R532" i="15" s="1"/>
  <c r="O420" i="15"/>
  <c r="J420" i="15" s="1"/>
  <c r="C420" i="15" s="1"/>
  <c r="E418" i="15"/>
  <c r="D419" i="15"/>
  <c r="T533" i="15" l="1"/>
  <c r="R533" i="15" s="1"/>
  <c r="F419" i="15"/>
  <c r="M420" i="15"/>
  <c r="B420" i="15"/>
  <c r="G420" i="15"/>
  <c r="Q532" i="15"/>
  <c r="Q533" i="15" s="1"/>
  <c r="L420" i="15"/>
  <c r="T534" i="15" l="1"/>
  <c r="R534" i="15" s="1"/>
  <c r="E419" i="15"/>
  <c r="O421" i="15"/>
  <c r="J421" i="15" s="1"/>
  <c r="C421" i="15" s="1"/>
  <c r="D420" i="15"/>
  <c r="F420" i="15" s="1"/>
  <c r="L421" i="15"/>
  <c r="Q534" i="15" l="1"/>
  <c r="E420" i="15"/>
  <c r="B421" i="15"/>
  <c r="G421" i="15"/>
  <c r="T535" i="15"/>
  <c r="D421" i="15"/>
  <c r="M421" i="15"/>
  <c r="Q535" i="15" l="1"/>
  <c r="R535" i="15"/>
  <c r="F421" i="15"/>
  <c r="O422" i="15"/>
  <c r="J422" i="15" l="1"/>
  <c r="C422" i="15" s="1"/>
  <c r="L422" i="15"/>
  <c r="M422" i="15"/>
  <c r="E421" i="15"/>
  <c r="T536" i="15"/>
  <c r="Q536" i="15" s="1"/>
  <c r="R536" i="15" l="1"/>
  <c r="O423" i="15"/>
  <c r="J423" i="15" s="1"/>
  <c r="C423" i="15" s="1"/>
  <c r="B422" i="15"/>
  <c r="L423" i="15" l="1"/>
  <c r="G422" i="15"/>
  <c r="D422" i="15"/>
  <c r="G423" i="15"/>
  <c r="B423" i="15"/>
  <c r="M423" i="15"/>
  <c r="T537" i="15"/>
  <c r="Q537" i="15" s="1"/>
  <c r="R537" i="15" l="1"/>
  <c r="D423" i="15"/>
  <c r="F422" i="15"/>
  <c r="O424" i="15"/>
  <c r="J424" i="15" l="1"/>
  <c r="C424" i="15" s="1"/>
  <c r="L424" i="15"/>
  <c r="F423" i="15"/>
  <c r="E422" i="15"/>
  <c r="M424" i="15"/>
  <c r="T538" i="15"/>
  <c r="Q538" i="15" s="1"/>
  <c r="R538" i="15" l="1"/>
  <c r="O425" i="15"/>
  <c r="J425" i="15" s="1"/>
  <c r="C425" i="15" s="1"/>
  <c r="E423" i="15"/>
  <c r="B424" i="15"/>
  <c r="B425" i="15" l="1"/>
  <c r="G425" i="15"/>
  <c r="M425" i="15"/>
  <c r="L425" i="15"/>
  <c r="G424" i="15"/>
  <c r="D424" i="15"/>
  <c r="T539" i="15"/>
  <c r="Q539" i="15" s="1"/>
  <c r="O426" i="15" l="1"/>
  <c r="J426" i="15" s="1"/>
  <c r="C426" i="15" s="1"/>
  <c r="D425" i="15"/>
  <c r="F424" i="15"/>
  <c r="R539" i="15"/>
  <c r="M426" i="15" l="1"/>
  <c r="T540" i="15"/>
  <c r="Q540" i="15" s="1"/>
  <c r="E424" i="15"/>
  <c r="F425" i="15"/>
  <c r="B426" i="15"/>
  <c r="G426" i="15"/>
  <c r="L426" i="15"/>
  <c r="E425" i="15" l="1"/>
  <c r="R540" i="15"/>
  <c r="O427" i="15"/>
  <c r="D426" i="15"/>
  <c r="J427" i="15" l="1"/>
  <c r="C427" i="15" s="1"/>
  <c r="M427" i="15"/>
  <c r="L427" i="15"/>
  <c r="T541" i="15"/>
  <c r="Q541" i="15" s="1"/>
  <c r="F426" i="15"/>
  <c r="R541" i="15" l="1"/>
  <c r="E426" i="15"/>
  <c r="O428" i="15"/>
  <c r="J428" i="15" s="1"/>
  <c r="C428" i="15" s="1"/>
  <c r="B427" i="15"/>
  <c r="B428" i="15" l="1"/>
  <c r="G428" i="15"/>
  <c r="L428" i="15"/>
  <c r="M428" i="15"/>
  <c r="G427" i="15"/>
  <c r="D427" i="15"/>
  <c r="T542" i="15"/>
  <c r="Q542" i="15" s="1"/>
  <c r="D428" i="15" l="1"/>
  <c r="F427" i="15"/>
  <c r="R542" i="15"/>
  <c r="O429" i="15"/>
  <c r="J429" i="15" s="1"/>
  <c r="C429" i="15" s="1"/>
  <c r="B429" i="15" l="1"/>
  <c r="G429" i="15"/>
  <c r="M429" i="15"/>
  <c r="F428" i="15"/>
  <c r="E427" i="15"/>
  <c r="L429" i="15"/>
  <c r="T543" i="15"/>
  <c r="Q543" i="15" s="1"/>
  <c r="O430" i="15" l="1"/>
  <c r="J430" i="15" s="1"/>
  <c r="C430" i="15" s="1"/>
  <c r="R543" i="15"/>
  <c r="E428" i="15"/>
  <c r="D429" i="15"/>
  <c r="M430" i="15" l="1"/>
  <c r="F429" i="15"/>
  <c r="T544" i="15"/>
  <c r="Q544" i="15" s="1"/>
  <c r="B430" i="15"/>
  <c r="G430" i="15"/>
  <c r="L430" i="15"/>
  <c r="O431" i="15" l="1"/>
  <c r="R544" i="15"/>
  <c r="E429" i="15"/>
  <c r="D430" i="15"/>
  <c r="T545" i="15" l="1"/>
  <c r="Q545" i="15" s="1"/>
  <c r="J431" i="15"/>
  <c r="C431" i="15" s="1"/>
  <c r="M431" i="15"/>
  <c r="F430" i="15"/>
  <c r="L431" i="15"/>
  <c r="E430" i="15" l="1"/>
  <c r="O432" i="15"/>
  <c r="J432" i="15" s="1"/>
  <c r="C432" i="15" s="1"/>
  <c r="B431" i="15"/>
  <c r="R545" i="15"/>
  <c r="B432" i="15" l="1"/>
  <c r="G432" i="15"/>
  <c r="M432" i="15"/>
  <c r="T546" i="15"/>
  <c r="Q546" i="15" s="1"/>
  <c r="G431" i="15"/>
  <c r="D431" i="15"/>
  <c r="L432" i="15"/>
  <c r="O433" i="15" l="1"/>
  <c r="J433" i="15" s="1"/>
  <c r="C433" i="15" s="1"/>
  <c r="R546" i="15"/>
  <c r="D432" i="15"/>
  <c r="F431" i="15"/>
  <c r="M433" i="15"/>
  <c r="T547" i="15" l="1"/>
  <c r="Q547" i="15" s="1"/>
  <c r="F432" i="15"/>
  <c r="E431" i="15"/>
  <c r="B433" i="15"/>
  <c r="G433" i="15"/>
  <c r="L433" i="15"/>
  <c r="E432" i="15" l="1"/>
  <c r="R547" i="15"/>
  <c r="D433" i="15"/>
  <c r="F433" i="15" s="1"/>
  <c r="O434" i="15"/>
  <c r="L434" i="15" s="1"/>
  <c r="O435" i="15" l="1"/>
  <c r="J435" i="15" s="1"/>
  <c r="C435" i="15" s="1"/>
  <c r="E433" i="15"/>
  <c r="J434" i="15"/>
  <c r="C434" i="15" s="1"/>
  <c r="M434" i="15"/>
  <c r="T548" i="15"/>
  <c r="Q548" i="15" s="1"/>
  <c r="M435" i="15" l="1"/>
  <c r="O436" i="15" s="1"/>
  <c r="J436" i="15" s="1"/>
  <c r="C436" i="15" s="1"/>
  <c r="R548" i="15"/>
  <c r="B434" i="15"/>
  <c r="G435" i="15"/>
  <c r="B435" i="15"/>
  <c r="T549" i="15"/>
  <c r="Q549" i="15" s="1"/>
  <c r="L435" i="15"/>
  <c r="L436" i="15" l="1"/>
  <c r="T550" i="15"/>
  <c r="Q550" i="15" s="1"/>
  <c r="G434" i="15"/>
  <c r="D434" i="15"/>
  <c r="R549" i="15"/>
  <c r="R550" i="15" s="1"/>
  <c r="B436" i="15"/>
  <c r="G436" i="15"/>
  <c r="M436" i="15"/>
  <c r="T551" i="15" l="1"/>
  <c r="Q551" i="15" s="1"/>
  <c r="R551" i="15"/>
  <c r="D435" i="15"/>
  <c r="D436" i="15" s="1"/>
  <c r="F434" i="15"/>
  <c r="O437" i="15"/>
  <c r="T552" i="15" l="1"/>
  <c r="Q552" i="15" s="1"/>
  <c r="J437" i="15"/>
  <c r="C437" i="15" s="1"/>
  <c r="L437" i="15"/>
  <c r="M437" i="15"/>
  <c r="F435" i="15"/>
  <c r="E434" i="15"/>
  <c r="O438" i="15" l="1"/>
  <c r="J438" i="15" s="1"/>
  <c r="C438" i="15" s="1"/>
  <c r="F436" i="15"/>
  <c r="E435" i="15"/>
  <c r="M438" i="15"/>
  <c r="B437" i="15"/>
  <c r="R552" i="15"/>
  <c r="G437" i="15" l="1"/>
  <c r="D437" i="15"/>
  <c r="E436" i="15"/>
  <c r="B438" i="15"/>
  <c r="G438" i="15"/>
  <c r="L438" i="15"/>
  <c r="T553" i="15"/>
  <c r="Q553" i="15" s="1"/>
  <c r="O439" i="15" l="1"/>
  <c r="D438" i="15"/>
  <c r="T554" i="15"/>
  <c r="Q554" i="15" s="1"/>
  <c r="F437" i="15"/>
  <c r="R553" i="15"/>
  <c r="R554" i="15" s="1"/>
  <c r="T555" i="15" l="1"/>
  <c r="Q555" i="15" s="1"/>
  <c r="F438" i="15"/>
  <c r="E437" i="15"/>
  <c r="J439" i="15"/>
  <c r="C439" i="15" s="1"/>
  <c r="M439" i="15"/>
  <c r="L439" i="15"/>
  <c r="T556" i="15" l="1"/>
  <c r="Q556" i="15" s="1"/>
  <c r="B439" i="15"/>
  <c r="R555" i="15"/>
  <c r="R556" i="15" s="1"/>
  <c r="O440" i="15"/>
  <c r="J440" i="15" s="1"/>
  <c r="C440" i="15" s="1"/>
  <c r="E438" i="15"/>
  <c r="T557" i="15" l="1"/>
  <c r="Q557" i="15" s="1"/>
  <c r="M440" i="15"/>
  <c r="G439" i="15"/>
  <c r="D439" i="15"/>
  <c r="R557" i="15"/>
  <c r="B440" i="15"/>
  <c r="G440" i="15"/>
  <c r="L440" i="15"/>
  <c r="T558" i="15" l="1"/>
  <c r="Q558" i="15" s="1"/>
  <c r="D440" i="15"/>
  <c r="F439" i="15"/>
  <c r="O441" i="15"/>
  <c r="J441" i="15" s="1"/>
  <c r="C441" i="15" s="1"/>
  <c r="R558" i="15"/>
  <c r="T559" i="15" l="1"/>
  <c r="Q559" i="15" s="1"/>
  <c r="G441" i="15"/>
  <c r="B441" i="15"/>
  <c r="E439" i="15"/>
  <c r="F440" i="15"/>
  <c r="L441" i="15"/>
  <c r="R559" i="15"/>
  <c r="M441" i="15"/>
  <c r="T560" i="15" l="1"/>
  <c r="Q560" i="15" s="1"/>
  <c r="E440" i="15"/>
  <c r="D441" i="15"/>
  <c r="F441" i="15" s="1"/>
  <c r="O442" i="15"/>
  <c r="J442" i="15" s="1"/>
  <c r="C442" i="15" s="1"/>
  <c r="M442" i="15" l="1"/>
  <c r="R560" i="15"/>
  <c r="L442" i="15"/>
  <c r="O443" i="15" s="1"/>
  <c r="E441" i="15"/>
  <c r="T561" i="15"/>
  <c r="Q561" i="15" s="1"/>
  <c r="D442" i="15"/>
  <c r="G442" i="15"/>
  <c r="B442" i="15"/>
  <c r="J443" i="15" l="1"/>
  <c r="C443" i="15" s="1"/>
  <c r="M443" i="15"/>
  <c r="L443" i="15"/>
  <c r="R561" i="15"/>
  <c r="F442" i="15"/>
  <c r="O444" i="15"/>
  <c r="J444" i="15" s="1"/>
  <c r="C444" i="15" s="1"/>
  <c r="G443" i="15"/>
  <c r="B443" i="15"/>
  <c r="L444" i="15" l="1"/>
  <c r="M444" i="15"/>
  <c r="E442" i="15"/>
  <c r="T562" i="15"/>
  <c r="Q562" i="15" s="1"/>
  <c r="D443" i="15"/>
  <c r="G444" i="15"/>
  <c r="B444" i="15"/>
  <c r="O445" i="15" l="1"/>
  <c r="J445" i="15" s="1"/>
  <c r="C445" i="15" s="1"/>
  <c r="D444" i="15"/>
  <c r="R562" i="15"/>
  <c r="F443" i="15"/>
  <c r="L445" i="15"/>
  <c r="E443" i="15" l="1"/>
  <c r="F444" i="15"/>
  <c r="T563" i="15"/>
  <c r="Q563" i="15" s="1"/>
  <c r="G445" i="15"/>
  <c r="B445" i="15"/>
  <c r="M445" i="15"/>
  <c r="D445" i="15" l="1"/>
  <c r="R563" i="15"/>
  <c r="E444" i="15"/>
  <c r="F445" i="15"/>
  <c r="O446" i="15"/>
  <c r="J446" i="15" l="1"/>
  <c r="C446" i="15" s="1"/>
  <c r="L446" i="15"/>
  <c r="M446" i="15"/>
  <c r="T564" i="15"/>
  <c r="Q564" i="15" s="1"/>
  <c r="E445" i="15"/>
  <c r="R564" i="15" l="1"/>
  <c r="O447" i="15"/>
  <c r="J447" i="15" s="1"/>
  <c r="C447" i="15" s="1"/>
  <c r="B446" i="15"/>
  <c r="L447" i="15" l="1"/>
  <c r="G446" i="15"/>
  <c r="D446" i="15"/>
  <c r="G447" i="15"/>
  <c r="B447" i="15"/>
  <c r="M447" i="15"/>
  <c r="T565" i="15"/>
  <c r="Q565" i="15" s="1"/>
  <c r="R565" i="15" l="1"/>
  <c r="T566" i="15"/>
  <c r="R566" i="15" s="1"/>
  <c r="O448" i="15"/>
  <c r="M448" i="15" s="1"/>
  <c r="D447" i="15"/>
  <c r="F446" i="15"/>
  <c r="Q566" i="15" l="1"/>
  <c r="O449" i="15"/>
  <c r="J449" i="15" s="1"/>
  <c r="C449" i="15" s="1"/>
  <c r="E446" i="15"/>
  <c r="F447" i="15"/>
  <c r="J448" i="15"/>
  <c r="C448" i="15" s="1"/>
  <c r="L448" i="15"/>
  <c r="L449" i="15" s="1"/>
  <c r="T567" i="15"/>
  <c r="Q567" i="15" s="1"/>
  <c r="E447" i="15" l="1"/>
  <c r="B448" i="15"/>
  <c r="R567" i="15"/>
  <c r="G449" i="15"/>
  <c r="B449" i="15"/>
  <c r="M449" i="15"/>
  <c r="T568" i="15" l="1"/>
  <c r="Q568" i="15" s="1"/>
  <c r="G448" i="15"/>
  <c r="D448" i="15"/>
  <c r="O450" i="15"/>
  <c r="M450" i="15" s="1"/>
  <c r="O451" i="15" l="1"/>
  <c r="J451" i="15" s="1"/>
  <c r="C451" i="15" s="1"/>
  <c r="J450" i="15"/>
  <c r="C450" i="15" s="1"/>
  <c r="L450" i="15"/>
  <c r="L451" i="15" s="1"/>
  <c r="D449" i="15"/>
  <c r="F448" i="15"/>
  <c r="R568" i="15"/>
  <c r="T569" i="15" l="1"/>
  <c r="Q569" i="15" s="1"/>
  <c r="E448" i="15"/>
  <c r="F449" i="15"/>
  <c r="G450" i="15"/>
  <c r="B450" i="15"/>
  <c r="G451" i="15"/>
  <c r="B451" i="15"/>
  <c r="M451" i="15"/>
  <c r="E449" i="15" l="1"/>
  <c r="O452" i="15"/>
  <c r="D450" i="15"/>
  <c r="D451" i="15" s="1"/>
  <c r="R569" i="15"/>
  <c r="T570" i="15" l="1"/>
  <c r="Q570" i="15" s="1"/>
  <c r="J452" i="15"/>
  <c r="C452" i="15" s="1"/>
  <c r="L452" i="15"/>
  <c r="M452" i="15"/>
  <c r="F450" i="15"/>
  <c r="O453" i="15" l="1"/>
  <c r="J453" i="15" s="1"/>
  <c r="C453" i="15" s="1"/>
  <c r="E450" i="15"/>
  <c r="F451" i="15"/>
  <c r="B452" i="15"/>
  <c r="R570" i="15"/>
  <c r="G452" i="15" l="1"/>
  <c r="D452" i="15"/>
  <c r="E451" i="15"/>
  <c r="G453" i="15"/>
  <c r="B453" i="15"/>
  <c r="L453" i="15"/>
  <c r="T571" i="15"/>
  <c r="Q571" i="15" s="1"/>
  <c r="M453" i="15"/>
  <c r="R571" i="15" l="1"/>
  <c r="D453" i="15"/>
  <c r="F452" i="15"/>
  <c r="O454" i="15"/>
  <c r="J454" i="15" s="1"/>
  <c r="C454" i="15" s="1"/>
  <c r="T572" i="15"/>
  <c r="R572" i="15" s="1"/>
  <c r="M454" i="15" l="1"/>
  <c r="Q572" i="15"/>
  <c r="E452" i="15"/>
  <c r="F453" i="15"/>
  <c r="G454" i="15"/>
  <c r="B454" i="15"/>
  <c r="D454" i="15"/>
  <c r="L454" i="15"/>
  <c r="E453" i="15" l="1"/>
  <c r="F454" i="15"/>
  <c r="T573" i="15"/>
  <c r="R573" i="15" s="1"/>
  <c r="O455" i="15"/>
  <c r="J455" i="15" s="1"/>
  <c r="C455" i="15" s="1"/>
  <c r="B455" i="15" l="1"/>
  <c r="L455" i="15"/>
  <c r="M455" i="15"/>
  <c r="Q573" i="15"/>
  <c r="E454" i="15"/>
  <c r="O456" i="15" l="1"/>
  <c r="J456" i="15" s="1"/>
  <c r="C456" i="15" s="1"/>
  <c r="T574" i="15"/>
  <c r="R574" i="15" s="1"/>
  <c r="G455" i="15"/>
  <c r="D455" i="15"/>
  <c r="L456" i="15" l="1"/>
  <c r="Q574" i="15"/>
  <c r="F455" i="15"/>
  <c r="G456" i="15"/>
  <c r="B456" i="15"/>
  <c r="M456" i="15"/>
  <c r="E455" i="15" l="1"/>
  <c r="O457" i="15"/>
  <c r="M457" i="15" s="1"/>
  <c r="D456" i="15"/>
  <c r="T575" i="15"/>
  <c r="R575" i="15" s="1"/>
  <c r="O458" i="15" l="1"/>
  <c r="J458" i="15" s="1"/>
  <c r="C458" i="15" s="1"/>
  <c r="T576" i="15"/>
  <c r="R576" i="15" s="1"/>
  <c r="Q575" i="15"/>
  <c r="J457" i="15"/>
  <c r="C457" i="15" s="1"/>
  <c r="L457" i="15"/>
  <c r="L458" i="15" s="1"/>
  <c r="F456" i="15"/>
  <c r="Q576" i="15" l="1"/>
  <c r="T577" i="15"/>
  <c r="R577" i="15" s="1"/>
  <c r="B457" i="15"/>
  <c r="Q577" i="15"/>
  <c r="G458" i="15"/>
  <c r="B458" i="15"/>
  <c r="E456" i="15"/>
  <c r="M458" i="15"/>
  <c r="T578" i="15" l="1"/>
  <c r="R578" i="15" s="1"/>
  <c r="G457" i="15"/>
  <c r="D457" i="15"/>
  <c r="Q578" i="15"/>
  <c r="O459" i="15"/>
  <c r="T579" i="15" l="1"/>
  <c r="R579" i="15" s="1"/>
  <c r="J459" i="15"/>
  <c r="C459" i="15" s="1"/>
  <c r="L459" i="15"/>
  <c r="M459" i="15"/>
  <c r="D458" i="15"/>
  <c r="F457" i="15"/>
  <c r="Q579" i="15" l="1"/>
  <c r="T580" i="15"/>
  <c r="R580" i="15" s="1"/>
  <c r="O460" i="15"/>
  <c r="J460" i="15" s="1"/>
  <c r="C460" i="15" s="1"/>
  <c r="G459" i="15"/>
  <c r="B459" i="15"/>
  <c r="E457" i="15"/>
  <c r="F458" i="15"/>
  <c r="T581" i="15" l="1"/>
  <c r="R581" i="15" s="1"/>
  <c r="D459" i="15"/>
  <c r="G460" i="15"/>
  <c r="B460" i="15"/>
  <c r="Q580" i="15"/>
  <c r="Q581" i="15" s="1"/>
  <c r="M460" i="15"/>
  <c r="L460" i="15"/>
  <c r="E458" i="15"/>
  <c r="T582" i="15" l="1"/>
  <c r="R582" i="15" s="1"/>
  <c r="O461" i="15"/>
  <c r="J461" i="15" s="1"/>
  <c r="C461" i="15" s="1"/>
  <c r="D460" i="15"/>
  <c r="F459" i="15"/>
  <c r="Q582" i="15" l="1"/>
  <c r="L461" i="15"/>
  <c r="O462" i="15" s="1"/>
  <c r="J462" i="15" s="1"/>
  <c r="C462" i="15" s="1"/>
  <c r="T583" i="15"/>
  <c r="R583" i="15" s="1"/>
  <c r="E459" i="15"/>
  <c r="F460" i="15"/>
  <c r="Q583" i="15"/>
  <c r="G461" i="15"/>
  <c r="B461" i="15"/>
  <c r="M461" i="15"/>
  <c r="D461" i="15" l="1"/>
  <c r="T584" i="15"/>
  <c r="R584" i="15" s="1"/>
  <c r="G462" i="15"/>
  <c r="B462" i="15"/>
  <c r="M462" i="15"/>
  <c r="E460" i="15"/>
  <c r="F461" i="15"/>
  <c r="L462" i="15"/>
  <c r="Q584" i="15" l="1"/>
  <c r="T585" i="15"/>
  <c r="R585" i="15" s="1"/>
  <c r="D462" i="15"/>
  <c r="O463" i="15"/>
  <c r="J463" i="15" s="1"/>
  <c r="C463" i="15" s="1"/>
  <c r="Q585" i="15"/>
  <c r="E461" i="15"/>
  <c r="L463" i="15" l="1"/>
  <c r="T586" i="15"/>
  <c r="R586" i="15" s="1"/>
  <c r="G463" i="15"/>
  <c r="B463" i="15"/>
  <c r="M463" i="15"/>
  <c r="F462" i="15"/>
  <c r="Q586" i="15" l="1"/>
  <c r="T587" i="15"/>
  <c r="R587" i="15" s="1"/>
  <c r="O464" i="15"/>
  <c r="D463" i="15"/>
  <c r="E462" i="15"/>
  <c r="F463" i="15"/>
  <c r="Q587" i="15" l="1"/>
  <c r="T588" i="15"/>
  <c r="R588" i="15" s="1"/>
  <c r="E463" i="15"/>
  <c r="J464" i="15"/>
  <c r="C464" i="15" s="1"/>
  <c r="L464" i="15"/>
  <c r="M464" i="15"/>
  <c r="Q588" i="15" l="1"/>
  <c r="T589" i="15"/>
  <c r="R589" i="15" s="1"/>
  <c r="O465" i="15"/>
  <c r="J465" i="15" s="1"/>
  <c r="C465" i="15" s="1"/>
  <c r="B464" i="15"/>
  <c r="M465" i="15"/>
  <c r="Q589" i="15" l="1"/>
  <c r="T590" i="15"/>
  <c r="R590" i="15" s="1"/>
  <c r="G464" i="15"/>
  <c r="D464" i="15"/>
  <c r="L465" i="15"/>
  <c r="G465" i="15"/>
  <c r="B465" i="15"/>
  <c r="T591" i="15" l="1"/>
  <c r="R591" i="15" s="1"/>
  <c r="D465" i="15"/>
  <c r="F464" i="15"/>
  <c r="O466" i="15"/>
  <c r="L466" i="15" s="1"/>
  <c r="Q590" i="15"/>
  <c r="Q591" i="15" s="1"/>
  <c r="T592" i="15" l="1"/>
  <c r="R592" i="15" s="1"/>
  <c r="J466" i="15"/>
  <c r="C466" i="15" s="1"/>
  <c r="M466" i="15"/>
  <c r="E464" i="15"/>
  <c r="F465" i="15"/>
  <c r="Q592" i="15" l="1"/>
  <c r="T593" i="15"/>
  <c r="R593" i="15" s="1"/>
  <c r="O467" i="15"/>
  <c r="B466" i="15"/>
  <c r="E465" i="15"/>
  <c r="T594" i="15" l="1"/>
  <c r="R594" i="15" s="1"/>
  <c r="G466" i="15"/>
  <c r="D466" i="15"/>
  <c r="J467" i="15"/>
  <c r="C467" i="15" s="1"/>
  <c r="L467" i="15"/>
  <c r="M467" i="15"/>
  <c r="Q593" i="15"/>
  <c r="Q594" i="15" s="1"/>
  <c r="T595" i="15" l="1"/>
  <c r="R595" i="15" s="1"/>
  <c r="O468" i="15"/>
  <c r="J468" i="15" s="1"/>
  <c r="C468" i="15" s="1"/>
  <c r="G467" i="15"/>
  <c r="B467" i="15"/>
  <c r="Q595" i="15"/>
  <c r="L468" i="15"/>
  <c r="F466" i="15"/>
  <c r="T596" i="15" l="1"/>
  <c r="R596" i="15" s="1"/>
  <c r="E466" i="15"/>
  <c r="G468" i="15"/>
  <c r="B468" i="15"/>
  <c r="M468" i="15"/>
  <c r="D467" i="15"/>
  <c r="F467" i="15" s="1"/>
  <c r="T597" i="15" l="1"/>
  <c r="R597" i="15" s="1"/>
  <c r="Q596" i="15"/>
  <c r="E467" i="15"/>
  <c r="D468" i="15"/>
  <c r="F468" i="15" s="1"/>
  <c r="O469" i="15"/>
  <c r="Q597" i="15" l="1"/>
  <c r="T598" i="15" s="1"/>
  <c r="R598" i="15" s="1"/>
  <c r="E468" i="15"/>
  <c r="J469" i="15"/>
  <c r="C469" i="15" s="1"/>
  <c r="L469" i="15"/>
  <c r="M469" i="15"/>
  <c r="Q598" i="15" l="1"/>
  <c r="T599" i="15" s="1"/>
  <c r="Q599" i="15" s="1"/>
  <c r="O470" i="15"/>
  <c r="J470" i="15" s="1"/>
  <c r="C470" i="15" s="1"/>
  <c r="B469" i="15"/>
  <c r="M470" i="15" l="1"/>
  <c r="R599" i="15"/>
  <c r="T600" i="15"/>
  <c r="Q600" i="15" s="1"/>
  <c r="G469" i="15"/>
  <c r="D469" i="15"/>
  <c r="O471" i="15"/>
  <c r="J471" i="15" s="1"/>
  <c r="C471" i="15" s="1"/>
  <c r="G470" i="15"/>
  <c r="B470" i="15"/>
  <c r="L470" i="15"/>
  <c r="R600" i="15" l="1"/>
  <c r="T601" i="15"/>
  <c r="Q601" i="15" s="1"/>
  <c r="G471" i="15"/>
  <c r="B471" i="15"/>
  <c r="M471" i="15"/>
  <c r="R601" i="15"/>
  <c r="D470" i="15"/>
  <c r="D471" i="15" s="1"/>
  <c r="F469" i="15"/>
  <c r="L471" i="15"/>
  <c r="T602" i="15" l="1"/>
  <c r="Q602" i="15" s="1"/>
  <c r="O472" i="15"/>
  <c r="J472" i="15" s="1"/>
  <c r="C472" i="15" s="1"/>
  <c r="E469" i="15"/>
  <c r="F470" i="15"/>
  <c r="R602" i="15"/>
  <c r="T603" i="15" l="1"/>
  <c r="Q603" i="15" s="1"/>
  <c r="M472" i="15"/>
  <c r="E470" i="15"/>
  <c r="F471" i="15"/>
  <c r="B472" i="15"/>
  <c r="L472" i="15"/>
  <c r="T604" i="15" l="1"/>
  <c r="Q604" i="15" s="1"/>
  <c r="G472" i="15"/>
  <c r="D472" i="15"/>
  <c r="E471" i="15"/>
  <c r="O473" i="15"/>
  <c r="J473" i="15" s="1"/>
  <c r="C473" i="15" s="1"/>
  <c r="R603" i="15"/>
  <c r="T605" i="15" l="1"/>
  <c r="Q605" i="15" s="1"/>
  <c r="G473" i="15"/>
  <c r="B473" i="15"/>
  <c r="M473" i="15"/>
  <c r="L473" i="15"/>
  <c r="F472" i="15"/>
  <c r="R604" i="15"/>
  <c r="T606" i="15" l="1"/>
  <c r="Q606" i="15" s="1"/>
  <c r="E472" i="15"/>
  <c r="O474" i="15"/>
  <c r="J474" i="15" s="1"/>
  <c r="C474" i="15" s="1"/>
  <c r="D473" i="15"/>
  <c r="F473" i="15" s="1"/>
  <c r="R605" i="15"/>
  <c r="L474" i="15" l="1"/>
  <c r="E473" i="15"/>
  <c r="O475" i="15"/>
  <c r="J475" i="15" s="1"/>
  <c r="C475" i="15" s="1"/>
  <c r="M474" i="15"/>
  <c r="G474" i="15"/>
  <c r="B474" i="15"/>
  <c r="R606" i="15"/>
  <c r="M475" i="15" l="1"/>
  <c r="D474" i="15"/>
  <c r="G475" i="15"/>
  <c r="B475" i="15"/>
  <c r="L475" i="15"/>
  <c r="T607" i="15"/>
  <c r="Q607" i="15" s="1"/>
  <c r="R607" i="15" l="1"/>
  <c r="O476" i="15"/>
  <c r="D475" i="15"/>
  <c r="F474" i="15"/>
  <c r="E474" i="15" l="1"/>
  <c r="F475" i="15"/>
  <c r="J476" i="15"/>
  <c r="C476" i="15" s="1"/>
  <c r="M476" i="15"/>
  <c r="L476" i="15"/>
  <c r="T608" i="15"/>
  <c r="Q608" i="15" s="1"/>
  <c r="R608" i="15" l="1"/>
  <c r="O477" i="15"/>
  <c r="J477" i="15" s="1"/>
  <c r="C477" i="15" s="1"/>
  <c r="B476" i="15"/>
  <c r="E475" i="15"/>
  <c r="M477" i="15" l="1"/>
  <c r="L477" i="15"/>
  <c r="G476" i="15"/>
  <c r="D476" i="15"/>
  <c r="G477" i="15"/>
  <c r="B477" i="15"/>
  <c r="T609" i="15"/>
  <c r="Q609" i="15" s="1"/>
  <c r="T610" i="15" l="1"/>
  <c r="Q610" i="15" s="1"/>
  <c r="R609" i="15"/>
  <c r="D477" i="15"/>
  <c r="F476" i="15"/>
  <c r="O478" i="15"/>
  <c r="R610" i="15" l="1"/>
  <c r="T611" i="15"/>
  <c r="Q611" i="15" s="1"/>
  <c r="J478" i="15"/>
  <c r="C478" i="15" s="1"/>
  <c r="M478" i="15"/>
  <c r="L478" i="15"/>
  <c r="R611" i="15"/>
  <c r="E476" i="15"/>
  <c r="F477" i="15"/>
  <c r="T612" i="15" l="1"/>
  <c r="Q612" i="15" s="1"/>
  <c r="E477" i="15"/>
  <c r="O479" i="15"/>
  <c r="J479" i="15" s="1"/>
  <c r="C479" i="15" s="1"/>
  <c r="B478" i="15"/>
  <c r="R612" i="15" l="1"/>
  <c r="T613" i="15"/>
  <c r="Q613" i="15" s="1"/>
  <c r="L479" i="15"/>
  <c r="M479" i="15"/>
  <c r="G479" i="15"/>
  <c r="B479" i="15"/>
  <c r="R613" i="15"/>
  <c r="G478" i="15"/>
  <c r="D478" i="15"/>
  <c r="T614" i="15" l="1"/>
  <c r="Q614" i="15" s="1"/>
  <c r="O480" i="15"/>
  <c r="J480" i="15" s="1"/>
  <c r="C480" i="15" s="1"/>
  <c r="D479" i="15"/>
  <c r="F478" i="15"/>
  <c r="L480" i="15" l="1"/>
  <c r="R614" i="15"/>
  <c r="T615" i="15"/>
  <c r="Q615" i="15" s="1"/>
  <c r="M480" i="15"/>
  <c r="E478" i="15"/>
  <c r="F479" i="15"/>
  <c r="G480" i="15"/>
  <c r="B480" i="15"/>
  <c r="T616" i="15" l="1"/>
  <c r="Q616" i="15" s="1"/>
  <c r="E479" i="15"/>
  <c r="O481" i="15"/>
  <c r="D480" i="15"/>
  <c r="R615" i="15"/>
  <c r="R616" i="15" s="1"/>
  <c r="T617" i="15" l="1"/>
  <c r="Q617" i="15" s="1"/>
  <c r="J481" i="15"/>
  <c r="C481" i="15" s="1"/>
  <c r="L481" i="15"/>
  <c r="M481" i="15"/>
  <c r="F480" i="15"/>
  <c r="R617" i="15" l="1"/>
  <c r="T618" i="15" s="1"/>
  <c r="Q618" i="15" s="1"/>
  <c r="E480" i="15"/>
  <c r="O482" i="15"/>
  <c r="J482" i="15" s="1"/>
  <c r="C482" i="15" s="1"/>
  <c r="B481" i="15"/>
  <c r="L482" i="15" l="1"/>
  <c r="R618" i="15"/>
  <c r="G482" i="15"/>
  <c r="B482" i="15"/>
  <c r="M482" i="15"/>
  <c r="G481" i="15"/>
  <c r="D481" i="15"/>
  <c r="O483" i="15" l="1"/>
  <c r="D482" i="15"/>
  <c r="F481" i="15"/>
  <c r="T619" i="15"/>
  <c r="Q619" i="15" s="1"/>
  <c r="E481" i="15" l="1"/>
  <c r="F482" i="15"/>
  <c r="R619" i="15"/>
  <c r="J483" i="15"/>
  <c r="C483" i="15" s="1"/>
  <c r="L483" i="15"/>
  <c r="M483" i="15"/>
  <c r="O484" i="15" l="1"/>
  <c r="J484" i="15" s="1"/>
  <c r="C484" i="15" s="1"/>
  <c r="B483" i="15"/>
  <c r="T620" i="15"/>
  <c r="Q620" i="15" s="1"/>
  <c r="E482" i="15"/>
  <c r="M484" i="15" l="1"/>
  <c r="R620" i="15"/>
  <c r="O485" i="15"/>
  <c r="J485" i="15" s="1"/>
  <c r="C485" i="15" s="1"/>
  <c r="T621" i="15"/>
  <c r="Q621" i="15" s="1"/>
  <c r="G483" i="15"/>
  <c r="D483" i="15"/>
  <c r="G484" i="15"/>
  <c r="B484" i="15"/>
  <c r="L484" i="15"/>
  <c r="L485" i="15" l="1"/>
  <c r="O486" i="15" s="1"/>
  <c r="J486" i="15" s="1"/>
  <c r="C486" i="15" s="1"/>
  <c r="T622" i="15"/>
  <c r="Q622" i="15" s="1"/>
  <c r="D484" i="15"/>
  <c r="F483" i="15"/>
  <c r="G485" i="15"/>
  <c r="B485" i="15"/>
  <c r="M485" i="15"/>
  <c r="R621" i="15"/>
  <c r="R622" i="15" l="1"/>
  <c r="T623" i="15"/>
  <c r="Q623" i="15" s="1"/>
  <c r="D485" i="15"/>
  <c r="G486" i="15"/>
  <c r="B486" i="15"/>
  <c r="L486" i="15"/>
  <c r="R623" i="15"/>
  <c r="E483" i="15"/>
  <c r="F484" i="15"/>
  <c r="M486" i="15"/>
  <c r="D486" i="15" l="1"/>
  <c r="T624" i="15"/>
  <c r="Q624" i="15" s="1"/>
  <c r="O487" i="15"/>
  <c r="J487" i="15" s="1"/>
  <c r="C487" i="15" s="1"/>
  <c r="E484" i="15"/>
  <c r="F485" i="15"/>
  <c r="M487" i="15" l="1"/>
  <c r="T625" i="15"/>
  <c r="Q625" i="15" s="1"/>
  <c r="B487" i="15"/>
  <c r="O488" i="15"/>
  <c r="J488" i="15" s="1"/>
  <c r="C488" i="15" s="1"/>
  <c r="L487" i="15"/>
  <c r="R624" i="15"/>
  <c r="R625" i="15" s="1"/>
  <c r="E485" i="15"/>
  <c r="F486" i="15"/>
  <c r="L488" i="15" l="1"/>
  <c r="T626" i="15"/>
  <c r="Q626" i="15" s="1"/>
  <c r="G488" i="15"/>
  <c r="B488" i="15"/>
  <c r="G487" i="15"/>
  <c r="D487" i="15"/>
  <c r="D488" i="15" s="1"/>
  <c r="M488" i="15"/>
  <c r="E486" i="15"/>
  <c r="R626" i="15" l="1"/>
  <c r="T627" i="15"/>
  <c r="Q627" i="15" s="1"/>
  <c r="O489" i="15"/>
  <c r="F487" i="15"/>
  <c r="R627" i="15" l="1"/>
  <c r="E487" i="15"/>
  <c r="F488" i="15"/>
  <c r="T628" i="15"/>
  <c r="Q628" i="15" s="1"/>
  <c r="J489" i="15"/>
  <c r="C489" i="15" s="1"/>
  <c r="L489" i="15"/>
  <c r="M489" i="15"/>
  <c r="B489" i="15" l="1"/>
  <c r="O490" i="15"/>
  <c r="J490" i="15" s="1"/>
  <c r="C490" i="15" s="1"/>
  <c r="R628" i="15"/>
  <c r="E488" i="15"/>
  <c r="G490" i="15" l="1"/>
  <c r="B490" i="15"/>
  <c r="T629" i="15"/>
  <c r="Q629" i="15" s="1"/>
  <c r="M490" i="15"/>
  <c r="G489" i="15"/>
  <c r="D489" i="15"/>
  <c r="L490" i="15"/>
  <c r="D490" i="15" l="1"/>
  <c r="F489" i="15"/>
  <c r="O491" i="15"/>
  <c r="J491" i="15" s="1"/>
  <c r="C491" i="15" s="1"/>
  <c r="R629" i="15"/>
  <c r="T630" i="15" l="1"/>
  <c r="Q630" i="15" s="1"/>
  <c r="E489" i="15"/>
  <c r="F490" i="15"/>
  <c r="G491" i="15"/>
  <c r="B491" i="15"/>
  <c r="M491" i="15"/>
  <c r="D491" i="15"/>
  <c r="L491" i="15"/>
  <c r="O492" i="15" l="1"/>
  <c r="J492" i="15" s="1"/>
  <c r="C492" i="15" s="1"/>
  <c r="E490" i="15"/>
  <c r="F491" i="15"/>
  <c r="L492" i="15"/>
  <c r="R630" i="15"/>
  <c r="T631" i="15" l="1"/>
  <c r="Q631" i="15" s="1"/>
  <c r="B492" i="15"/>
  <c r="E491" i="15"/>
  <c r="M492" i="15"/>
  <c r="G492" i="15" l="1"/>
  <c r="D492" i="15"/>
  <c r="O493" i="15"/>
  <c r="M493" i="15" s="1"/>
  <c r="R631" i="15"/>
  <c r="O494" i="15" l="1"/>
  <c r="J494" i="15" s="1"/>
  <c r="C494" i="15" s="1"/>
  <c r="T632" i="15"/>
  <c r="Q632" i="15" s="1"/>
  <c r="J493" i="15"/>
  <c r="C493" i="15" s="1"/>
  <c r="L493" i="15"/>
  <c r="L494" i="15" s="1"/>
  <c r="F492" i="15"/>
  <c r="B493" i="15" l="1"/>
  <c r="E492" i="15"/>
  <c r="G494" i="15"/>
  <c r="B494" i="15"/>
  <c r="T633" i="15"/>
  <c r="Q633" i="15" s="1"/>
  <c r="R632" i="15"/>
  <c r="M494" i="15"/>
  <c r="R633" i="15" l="1"/>
  <c r="O495" i="15"/>
  <c r="T634" i="15"/>
  <c r="R634" i="15" s="1"/>
  <c r="G493" i="15"/>
  <c r="D493" i="15"/>
  <c r="Q634" i="15" l="1"/>
  <c r="D494" i="15"/>
  <c r="F493" i="15"/>
  <c r="J495" i="15"/>
  <c r="C495" i="15" s="1"/>
  <c r="L495" i="15"/>
  <c r="M495" i="15"/>
  <c r="E493" i="15" l="1"/>
  <c r="F494" i="15"/>
  <c r="O496" i="15"/>
  <c r="J496" i="15" s="1"/>
  <c r="C496" i="15" s="1"/>
  <c r="G495" i="15"/>
  <c r="B495" i="15"/>
  <c r="T635" i="15"/>
  <c r="R635" i="15" s="1"/>
  <c r="Q635" i="15" l="1"/>
  <c r="T636" i="15" s="1"/>
  <c r="Q636" i="15" s="1"/>
  <c r="L496" i="15"/>
  <c r="D495" i="15"/>
  <c r="E494" i="15"/>
  <c r="F495" i="15"/>
  <c r="G496" i="15"/>
  <c r="B496" i="15"/>
  <c r="M496" i="15"/>
  <c r="T637" i="15" l="1"/>
  <c r="Q637" i="15" s="1"/>
  <c r="D496" i="15"/>
  <c r="F496" i="15" s="1"/>
  <c r="E495" i="15"/>
  <c r="R636" i="15"/>
  <c r="R637" i="15" s="1"/>
  <c r="O497" i="15"/>
  <c r="J497" i="15" s="1"/>
  <c r="C497" i="15" s="1"/>
  <c r="L497" i="15" l="1"/>
  <c r="M497" i="15"/>
  <c r="T638" i="15"/>
  <c r="Q638" i="15" s="1"/>
  <c r="O498" i="15"/>
  <c r="J498" i="15" s="1"/>
  <c r="C498" i="15" s="1"/>
  <c r="E496" i="15"/>
  <c r="G497" i="15"/>
  <c r="B497" i="15"/>
  <c r="D497" i="15" l="1"/>
  <c r="G498" i="15"/>
  <c r="B498" i="15"/>
  <c r="L498" i="15"/>
  <c r="M498" i="15"/>
  <c r="R638" i="15"/>
  <c r="F497" i="15"/>
  <c r="E497" i="15" l="1"/>
  <c r="T639" i="15"/>
  <c r="Q639" i="15" s="1"/>
  <c r="O499" i="15"/>
  <c r="J499" i="15" s="1"/>
  <c r="C499" i="15" s="1"/>
  <c r="D498" i="15"/>
  <c r="G499" i="15" l="1"/>
  <c r="B499" i="15"/>
  <c r="R639" i="15"/>
  <c r="M499" i="15"/>
  <c r="D499" i="15"/>
  <c r="F498" i="15"/>
  <c r="L499" i="15"/>
  <c r="E498" i="15" l="1"/>
  <c r="F499" i="15"/>
  <c r="T640" i="15"/>
  <c r="Q640" i="15" s="1"/>
  <c r="O500" i="15"/>
  <c r="J500" i="15" s="1"/>
  <c r="C500" i="15" s="1"/>
  <c r="B500" i="15" l="1"/>
  <c r="M500" i="15"/>
  <c r="L500" i="15"/>
  <c r="R640" i="15"/>
  <c r="E499" i="15"/>
  <c r="T641" i="15" l="1"/>
  <c r="Q641" i="15" s="1"/>
  <c r="O501" i="15"/>
  <c r="J501" i="15" s="1"/>
  <c r="C501" i="15" s="1"/>
  <c r="G500" i="15"/>
  <c r="D500" i="15"/>
  <c r="M501" i="15" l="1"/>
  <c r="F500" i="15"/>
  <c r="G501" i="15"/>
  <c r="B501" i="15"/>
  <c r="R641" i="15"/>
  <c r="T642" i="15"/>
  <c r="Q642" i="15" s="1"/>
  <c r="L501" i="15"/>
  <c r="T643" i="15" l="1"/>
  <c r="Q643" i="15" s="1"/>
  <c r="D501" i="15"/>
  <c r="R642" i="15"/>
  <c r="E500" i="15"/>
  <c r="F501" i="15"/>
  <c r="O502" i="15"/>
  <c r="J502" i="15" s="1"/>
  <c r="C502" i="15" s="1"/>
  <c r="M502" i="15" l="1"/>
  <c r="O503" i="15" s="1"/>
  <c r="J503" i="15" s="1"/>
  <c r="C503" i="15" s="1"/>
  <c r="L502" i="15"/>
  <c r="E501" i="15"/>
  <c r="R643" i="15"/>
  <c r="G502" i="15"/>
  <c r="B502" i="15"/>
  <c r="D502" i="15" l="1"/>
  <c r="F502" i="15" s="1"/>
  <c r="G503" i="15"/>
  <c r="B503" i="15"/>
  <c r="E502" i="15"/>
  <c r="F503" i="15"/>
  <c r="L503" i="15"/>
  <c r="M503" i="15"/>
  <c r="T644" i="15"/>
  <c r="Q644" i="15" s="1"/>
  <c r="D503" i="15"/>
  <c r="R644" i="15" l="1"/>
  <c r="E503" i="15"/>
  <c r="O504" i="15"/>
  <c r="J504" i="15" s="1"/>
  <c r="C504" i="15" s="1"/>
  <c r="L504" i="15" l="1"/>
  <c r="M504" i="15"/>
  <c r="B504" i="15"/>
  <c r="T645" i="15"/>
  <c r="Q645" i="15" s="1"/>
  <c r="R645" i="15" l="1"/>
  <c r="O505" i="15"/>
  <c r="J505" i="15" s="1"/>
  <c r="C505" i="15" s="1"/>
  <c r="G504" i="15"/>
  <c r="D504" i="15"/>
  <c r="L505" i="15"/>
  <c r="O506" i="15" l="1"/>
  <c r="J506" i="15" s="1"/>
  <c r="C506" i="15" s="1"/>
  <c r="F504" i="15"/>
  <c r="G505" i="15"/>
  <c r="B505" i="15"/>
  <c r="M505" i="15"/>
  <c r="T646" i="15"/>
  <c r="Q646" i="15" s="1"/>
  <c r="M506" i="15" l="1"/>
  <c r="R646" i="15"/>
  <c r="O507" i="15"/>
  <c r="J507" i="15" s="1"/>
  <c r="C507" i="15" s="1"/>
  <c r="G506" i="15"/>
  <c r="B506" i="15"/>
  <c r="T647" i="15"/>
  <c r="Q647" i="15" s="1"/>
  <c r="E504" i="15"/>
  <c r="D505" i="15"/>
  <c r="F505" i="15" s="1"/>
  <c r="L506" i="15"/>
  <c r="L507" i="15" l="1"/>
  <c r="T648" i="15"/>
  <c r="Q648" i="15" s="1"/>
  <c r="E505" i="15"/>
  <c r="G507" i="15"/>
  <c r="B507" i="15"/>
  <c r="R647" i="15"/>
  <c r="R648" i="15" s="1"/>
  <c r="D506" i="15"/>
  <c r="F506" i="15" s="1"/>
  <c r="M507" i="15"/>
  <c r="T649" i="15" l="1"/>
  <c r="Q649" i="15" s="1"/>
  <c r="E506" i="15"/>
  <c r="O508" i="15"/>
  <c r="M508" i="15" s="1"/>
  <c r="D507" i="15"/>
  <c r="F507" i="15" s="1"/>
  <c r="E507" i="15" l="1"/>
  <c r="T650" i="15"/>
  <c r="Q650" i="15" s="1"/>
  <c r="O509" i="15"/>
  <c r="J509" i="15" s="1"/>
  <c r="C509" i="15" s="1"/>
  <c r="R649" i="15"/>
  <c r="J508" i="15"/>
  <c r="C508" i="15" s="1"/>
  <c r="L508" i="15"/>
  <c r="L509" i="15" s="1"/>
  <c r="R650" i="15" l="1"/>
  <c r="T651" i="15"/>
  <c r="Q651" i="15" s="1"/>
  <c r="M509" i="15"/>
  <c r="G509" i="15"/>
  <c r="B509" i="15"/>
  <c r="B508" i="15"/>
  <c r="T652" i="15" l="1"/>
  <c r="Q652" i="15" s="1"/>
  <c r="R651" i="15"/>
  <c r="G508" i="15"/>
  <c r="D508" i="15"/>
  <c r="O510" i="15"/>
  <c r="M510" i="15" s="1"/>
  <c r="O511" i="15" l="1"/>
  <c r="J511" i="15" s="1"/>
  <c r="C511" i="15" s="1"/>
  <c r="T653" i="15"/>
  <c r="Q653" i="15" s="1"/>
  <c r="J510" i="15"/>
  <c r="C510" i="15" s="1"/>
  <c r="L510" i="15"/>
  <c r="L511" i="15" s="1"/>
  <c r="D509" i="15"/>
  <c r="F508" i="15"/>
  <c r="R652" i="15"/>
  <c r="T654" i="15" l="1"/>
  <c r="Q654" i="15" s="1"/>
  <c r="E508" i="15"/>
  <c r="F509" i="15"/>
  <c r="G511" i="15"/>
  <c r="B511" i="15"/>
  <c r="O512" i="15"/>
  <c r="J512" i="15" s="1"/>
  <c r="C512" i="15" s="1"/>
  <c r="G510" i="15"/>
  <c r="B510" i="15"/>
  <c r="R653" i="15"/>
  <c r="R654" i="15" s="1"/>
  <c r="M511" i="15"/>
  <c r="L512" i="15" l="1"/>
  <c r="M512" i="15"/>
  <c r="T655" i="15"/>
  <c r="Q655" i="15" s="1"/>
  <c r="O513" i="15"/>
  <c r="J513" i="15" s="1"/>
  <c r="C513" i="15" s="1"/>
  <c r="E509" i="15"/>
  <c r="D510" i="15"/>
  <c r="D511" i="15" s="1"/>
  <c r="G512" i="15"/>
  <c r="B512" i="15"/>
  <c r="R655" i="15" l="1"/>
  <c r="F510" i="15"/>
  <c r="F511" i="15" s="1"/>
  <c r="T656" i="15"/>
  <c r="Q656" i="15" s="1"/>
  <c r="M513" i="15"/>
  <c r="G513" i="15"/>
  <c r="B513" i="15"/>
  <c r="L513" i="15"/>
  <c r="E510" i="15"/>
  <c r="D512" i="15"/>
  <c r="D513" i="15" l="1"/>
  <c r="T657" i="15"/>
  <c r="Q657" i="15" s="1"/>
  <c r="O514" i="15"/>
  <c r="J514" i="15" s="1"/>
  <c r="C514" i="15" s="1"/>
  <c r="R656" i="15"/>
  <c r="E511" i="15"/>
  <c r="F512" i="15"/>
  <c r="T658" i="15" l="1"/>
  <c r="Q658" i="15" s="1"/>
  <c r="R657" i="15"/>
  <c r="B514" i="15"/>
  <c r="M514" i="15"/>
  <c r="L514" i="15"/>
  <c r="E512" i="15"/>
  <c r="F513" i="15"/>
  <c r="R658" i="15" l="1"/>
  <c r="O515" i="15"/>
  <c r="J515" i="15" s="1"/>
  <c r="C515" i="15" s="1"/>
  <c r="G514" i="15"/>
  <c r="D514" i="15"/>
  <c r="T659" i="15"/>
  <c r="Q659" i="15" s="1"/>
  <c r="M515" i="15"/>
  <c r="E513" i="15"/>
  <c r="R659" i="15" l="1"/>
  <c r="G515" i="15"/>
  <c r="B515" i="15"/>
  <c r="F514" i="15"/>
  <c r="L515" i="15"/>
  <c r="E514" i="15" l="1"/>
  <c r="O516" i="15"/>
  <c r="T660" i="15"/>
  <c r="Q660" i="15" s="1"/>
  <c r="D515" i="15"/>
  <c r="J516" i="15" l="1"/>
  <c r="C516" i="15" s="1"/>
  <c r="M516" i="15"/>
  <c r="R660" i="15"/>
  <c r="L516" i="15"/>
  <c r="F515" i="15"/>
  <c r="T661" i="15" l="1"/>
  <c r="Q661" i="15" s="1"/>
  <c r="E515" i="15"/>
  <c r="O517" i="15"/>
  <c r="J517" i="15" s="1"/>
  <c r="C517" i="15" s="1"/>
  <c r="B516" i="15"/>
  <c r="G517" i="15" l="1"/>
  <c r="B517" i="15"/>
  <c r="L517" i="15"/>
  <c r="G516" i="15"/>
  <c r="D516" i="15"/>
  <c r="M517" i="15"/>
  <c r="R661" i="15"/>
  <c r="T662" i="15" l="1"/>
  <c r="Q662" i="15" s="1"/>
  <c r="D517" i="15"/>
  <c r="F516" i="15"/>
  <c r="O518" i="15"/>
  <c r="J518" i="15" s="1"/>
  <c r="C518" i="15" s="1"/>
  <c r="E516" i="15" l="1"/>
  <c r="F517" i="15"/>
  <c r="L518" i="15"/>
  <c r="G518" i="15"/>
  <c r="B518" i="15"/>
  <c r="M518" i="15"/>
  <c r="R662" i="15"/>
  <c r="O519" i="15" l="1"/>
  <c r="J519" i="15" s="1"/>
  <c r="C519" i="15" s="1"/>
  <c r="E517" i="15"/>
  <c r="T663" i="15"/>
  <c r="Q663" i="15" s="1"/>
  <c r="D518" i="15"/>
  <c r="T664" i="15" l="1"/>
  <c r="Q664" i="15" s="1"/>
  <c r="R663" i="15"/>
  <c r="F518" i="15"/>
  <c r="G519" i="15"/>
  <c r="B519" i="15"/>
  <c r="L519" i="15"/>
  <c r="M519" i="15"/>
  <c r="T665" i="15" l="1"/>
  <c r="Q665" i="15" s="1"/>
  <c r="O520" i="15"/>
  <c r="J520" i="15" s="1"/>
  <c r="C520" i="15" s="1"/>
  <c r="E518" i="15"/>
  <c r="D519" i="15"/>
  <c r="F519" i="15" s="1"/>
  <c r="R664" i="15"/>
  <c r="R665" i="15" s="1"/>
  <c r="E519" i="15" l="1"/>
  <c r="T666" i="15"/>
  <c r="Q666" i="15" s="1"/>
  <c r="L520" i="15"/>
  <c r="G520" i="15"/>
  <c r="B520" i="15"/>
  <c r="M520" i="15"/>
  <c r="D520" i="15" l="1"/>
  <c r="R666" i="15"/>
  <c r="T667" i="15"/>
  <c r="Q667" i="15" s="1"/>
  <c r="O521" i="15"/>
  <c r="J521" i="15" s="1"/>
  <c r="C521" i="15" s="1"/>
  <c r="F520" i="15"/>
  <c r="M521" i="15" l="1"/>
  <c r="O522" i="15" s="1"/>
  <c r="J522" i="15" s="1"/>
  <c r="C522" i="15" s="1"/>
  <c r="R667" i="15"/>
  <c r="T668" i="15"/>
  <c r="Q668" i="15" s="1"/>
  <c r="E520" i="15"/>
  <c r="B521" i="15"/>
  <c r="L521" i="15"/>
  <c r="T669" i="15" l="1"/>
  <c r="Q669" i="15" s="1"/>
  <c r="G522" i="15"/>
  <c r="B522" i="15"/>
  <c r="M522" i="15"/>
  <c r="G521" i="15"/>
  <c r="D521" i="15"/>
  <c r="R668" i="15"/>
  <c r="R669" i="15" s="1"/>
  <c r="L522" i="15"/>
  <c r="O523" i="15" l="1"/>
  <c r="J523" i="15" s="1"/>
  <c r="C523" i="15" s="1"/>
  <c r="D522" i="15"/>
  <c r="F521" i="15"/>
  <c r="T670" i="15"/>
  <c r="Q670" i="15" s="1"/>
  <c r="L523" i="15"/>
  <c r="T671" i="15" l="1"/>
  <c r="Q671" i="15" s="1"/>
  <c r="R670" i="15"/>
  <c r="E521" i="15"/>
  <c r="F522" i="15"/>
  <c r="G523" i="15"/>
  <c r="B523" i="15"/>
  <c r="M523" i="15"/>
  <c r="D523" i="15" l="1"/>
  <c r="E522" i="15"/>
  <c r="F523" i="15"/>
  <c r="R671" i="15"/>
  <c r="O524" i="15"/>
  <c r="J524" i="15" l="1"/>
  <c r="C524" i="15" s="1"/>
  <c r="L524" i="15"/>
  <c r="M524" i="15"/>
  <c r="T672" i="15"/>
  <c r="Q672" i="15" s="1"/>
  <c r="E523" i="15"/>
  <c r="R672" i="15" l="1"/>
  <c r="O525" i="15"/>
  <c r="J525" i="15" s="1"/>
  <c r="C525" i="15" s="1"/>
  <c r="B524" i="15"/>
  <c r="L525" i="15" l="1"/>
  <c r="G524" i="15"/>
  <c r="D524" i="15"/>
  <c r="O526" i="15"/>
  <c r="J526" i="15" s="1"/>
  <c r="C526" i="15" s="1"/>
  <c r="G525" i="15"/>
  <c r="B525" i="15"/>
  <c r="M525" i="15"/>
  <c r="T673" i="15"/>
  <c r="Q673" i="15" s="1"/>
  <c r="M526" i="15" l="1"/>
  <c r="D525" i="15"/>
  <c r="F524" i="15"/>
  <c r="G526" i="15"/>
  <c r="B526" i="15"/>
  <c r="L526" i="15"/>
  <c r="R673" i="15"/>
  <c r="E524" i="15" l="1"/>
  <c r="F525" i="15"/>
  <c r="T674" i="15"/>
  <c r="Q674" i="15" s="1"/>
  <c r="O527" i="15"/>
  <c r="D526" i="15"/>
  <c r="J527" i="15" l="1"/>
  <c r="C527" i="15" s="1"/>
  <c r="M527" i="15"/>
  <c r="T675" i="15"/>
  <c r="Q675" i="15" s="1"/>
  <c r="L527" i="15"/>
  <c r="R674" i="15"/>
  <c r="E525" i="15"/>
  <c r="F526" i="15"/>
  <c r="R675" i="15" l="1"/>
  <c r="T676" i="15"/>
  <c r="Q676" i="15" s="1"/>
  <c r="O528" i="15"/>
  <c r="J528" i="15" s="1"/>
  <c r="C528" i="15" s="1"/>
  <c r="E526" i="15"/>
  <c r="B527" i="15"/>
  <c r="R676" i="15" l="1"/>
  <c r="T677" i="15"/>
  <c r="Q677" i="15" s="1"/>
  <c r="L528" i="15"/>
  <c r="G528" i="15"/>
  <c r="B528" i="15"/>
  <c r="M528" i="15"/>
  <c r="R677" i="15"/>
  <c r="G527" i="15"/>
  <c r="D527" i="15"/>
  <c r="O529" i="15" l="1"/>
  <c r="J529" i="15" s="1"/>
  <c r="C529" i="15" s="1"/>
  <c r="T678" i="15"/>
  <c r="R678" i="15" s="1"/>
  <c r="D528" i="15"/>
  <c r="F527" i="15"/>
  <c r="L529" i="15" l="1"/>
  <c r="E527" i="15"/>
  <c r="F528" i="15"/>
  <c r="O530" i="15"/>
  <c r="J530" i="15" s="1"/>
  <c r="C530" i="15" s="1"/>
  <c r="Q678" i="15"/>
  <c r="G529" i="15"/>
  <c r="B529" i="15"/>
  <c r="M529" i="15"/>
  <c r="T679" i="15" l="1"/>
  <c r="R679" i="15" s="1"/>
  <c r="E528" i="15"/>
  <c r="G530" i="15"/>
  <c r="B530" i="15"/>
  <c r="L530" i="15"/>
  <c r="M530" i="15"/>
  <c r="D529" i="15"/>
  <c r="F529" i="15" s="1"/>
  <c r="O531" i="15" l="1"/>
  <c r="J531" i="15" s="1"/>
  <c r="C531" i="15" s="1"/>
  <c r="E529" i="15"/>
  <c r="D530" i="15"/>
  <c r="Q679" i="15"/>
  <c r="T680" i="15" l="1"/>
  <c r="R680" i="15" s="1"/>
  <c r="F530" i="15"/>
  <c r="G531" i="15"/>
  <c r="B531" i="15"/>
  <c r="L531" i="15"/>
  <c r="M531" i="15"/>
  <c r="E530" i="15" l="1"/>
  <c r="O532" i="15"/>
  <c r="J532" i="15" s="1"/>
  <c r="C532" i="15" s="1"/>
  <c r="T681" i="15"/>
  <c r="R681" i="15" s="1"/>
  <c r="Q680" i="15"/>
  <c r="Q681" i="15" s="1"/>
  <c r="D531" i="15"/>
  <c r="F531" i="15" s="1"/>
  <c r="T682" i="15" l="1"/>
  <c r="R682" i="15" s="1"/>
  <c r="E531" i="15"/>
  <c r="G532" i="15"/>
  <c r="B532" i="15"/>
  <c r="M532" i="15"/>
  <c r="L532" i="15"/>
  <c r="Q682" i="15" l="1"/>
  <c r="T683" i="15"/>
  <c r="R683" i="15" s="1"/>
  <c r="O533" i="15"/>
  <c r="J533" i="15" s="1"/>
  <c r="C533" i="15" s="1"/>
  <c r="D532" i="15"/>
  <c r="T684" i="15" l="1"/>
  <c r="R684" i="15" s="1"/>
  <c r="F532" i="15"/>
  <c r="L533" i="15"/>
  <c r="G533" i="15"/>
  <c r="B533" i="15"/>
  <c r="M533" i="15"/>
  <c r="Q683" i="15"/>
  <c r="T685" i="15" l="1"/>
  <c r="R685" i="15" s="1"/>
  <c r="O534" i="15"/>
  <c r="J534" i="15" s="1"/>
  <c r="C534" i="15" s="1"/>
  <c r="D533" i="15"/>
  <c r="F533" i="15" s="1"/>
  <c r="E532" i="15"/>
  <c r="Q684" i="15"/>
  <c r="Q685" i="15" s="1"/>
  <c r="L534" i="15" l="1"/>
  <c r="E533" i="15"/>
  <c r="O535" i="15"/>
  <c r="J535" i="15" s="1"/>
  <c r="C535" i="15" s="1"/>
  <c r="G534" i="15"/>
  <c r="B534" i="15"/>
  <c r="M534" i="15"/>
  <c r="M535" i="15" s="1"/>
  <c r="T686" i="15"/>
  <c r="R686" i="15" s="1"/>
  <c r="Q686" i="15" l="1"/>
  <c r="T687" i="15"/>
  <c r="R687" i="15" s="1"/>
  <c r="D534" i="15"/>
  <c r="G535" i="15"/>
  <c r="B535" i="15"/>
  <c r="Q687" i="15"/>
  <c r="L535" i="15"/>
  <c r="T688" i="15" l="1"/>
  <c r="R688" i="15" s="1"/>
  <c r="O536" i="15"/>
  <c r="Q688" i="15"/>
  <c r="D535" i="15"/>
  <c r="F534" i="15"/>
  <c r="T689" i="15" l="1"/>
  <c r="R689" i="15"/>
  <c r="E534" i="15"/>
  <c r="F535" i="15"/>
  <c r="Q689" i="15"/>
  <c r="J536" i="15"/>
  <c r="C536" i="15" s="1"/>
  <c r="M536" i="15"/>
  <c r="L536" i="15"/>
  <c r="O537" i="15" l="1"/>
  <c r="J537" i="15" s="1"/>
  <c r="C537" i="15" s="1"/>
  <c r="T690" i="15"/>
  <c r="Q690" i="15" s="1"/>
  <c r="B536" i="15"/>
  <c r="E535" i="15"/>
  <c r="T691" i="15" l="1"/>
  <c r="Q691" i="15" s="1"/>
  <c r="G537" i="15"/>
  <c r="B537" i="15"/>
  <c r="G536" i="15"/>
  <c r="D536" i="15"/>
  <c r="R690" i="15"/>
  <c r="R691" i="15" s="1"/>
  <c r="L537" i="15"/>
  <c r="M537" i="15"/>
  <c r="T692" i="15" l="1"/>
  <c r="Q692" i="15" s="1"/>
  <c r="D537" i="15"/>
  <c r="F536" i="15"/>
  <c r="O538" i="15"/>
  <c r="J538" i="15" s="1"/>
  <c r="C538" i="15" s="1"/>
  <c r="R692" i="15" l="1"/>
  <c r="T693" i="15"/>
  <c r="R693" i="15" s="1"/>
  <c r="M538" i="15"/>
  <c r="G538" i="15"/>
  <c r="B538" i="15"/>
  <c r="E536" i="15"/>
  <c r="F537" i="15"/>
  <c r="L538" i="15"/>
  <c r="Q693" i="15" l="1"/>
  <c r="E537" i="15"/>
  <c r="D538" i="15"/>
  <c r="O539" i="15"/>
  <c r="J539" i="15" s="1"/>
  <c r="C539" i="15" s="1"/>
  <c r="T694" i="15"/>
  <c r="R694" i="15" s="1"/>
  <c r="T695" i="15" l="1"/>
  <c r="R695" i="15" s="1"/>
  <c r="Q694" i="15"/>
  <c r="Q695" i="15" s="1"/>
  <c r="L539" i="15"/>
  <c r="G539" i="15"/>
  <c r="B539" i="15"/>
  <c r="M539" i="15"/>
  <c r="D539" i="15"/>
  <c r="F538" i="15"/>
  <c r="T696" i="15" l="1"/>
  <c r="R696" i="15" s="1"/>
  <c r="O540" i="15"/>
  <c r="J540" i="15" s="1"/>
  <c r="C540" i="15" s="1"/>
  <c r="E538" i="15"/>
  <c r="F539" i="15"/>
  <c r="T697" i="15" l="1"/>
  <c r="R697" i="15"/>
  <c r="B540" i="15"/>
  <c r="L540" i="15"/>
  <c r="M540" i="15"/>
  <c r="Q696" i="15"/>
  <c r="Q697" i="15" s="1"/>
  <c r="E539" i="15"/>
  <c r="O541" i="15" l="1"/>
  <c r="J541" i="15" s="1"/>
  <c r="C541" i="15" s="1"/>
  <c r="T698" i="15"/>
  <c r="R698" i="15" s="1"/>
  <c r="G540" i="15"/>
  <c r="D540" i="15"/>
  <c r="F540" i="15" l="1"/>
  <c r="Q698" i="15"/>
  <c r="G541" i="15"/>
  <c r="B541" i="15"/>
  <c r="M541" i="15"/>
  <c r="L541" i="15"/>
  <c r="E540" i="15" l="1"/>
  <c r="O542" i="15"/>
  <c r="J542" i="15" s="1"/>
  <c r="C542" i="15" s="1"/>
  <c r="T699" i="15"/>
  <c r="R699" i="15" s="1"/>
  <c r="D541" i="15"/>
  <c r="G542" i="15" l="1"/>
  <c r="B542" i="15"/>
  <c r="T700" i="15"/>
  <c r="R700" i="15" s="1"/>
  <c r="Q699" i="15"/>
  <c r="L542" i="15"/>
  <c r="F541" i="15"/>
  <c r="M542" i="15"/>
  <c r="E541" i="15" l="1"/>
  <c r="O543" i="15"/>
  <c r="J543" i="15" s="1"/>
  <c r="C543" i="15" s="1"/>
  <c r="Q700" i="15"/>
  <c r="D542" i="15"/>
  <c r="M543" i="15" l="1"/>
  <c r="T701" i="15"/>
  <c r="R701" i="15" s="1"/>
  <c r="G543" i="15"/>
  <c r="B543" i="15"/>
  <c r="L543" i="15"/>
  <c r="F542" i="15"/>
  <c r="Q701" i="15" l="1"/>
  <c r="O544" i="15"/>
  <c r="E542" i="15"/>
  <c r="T702" i="15"/>
  <c r="D543" i="15"/>
  <c r="Q702" i="15" l="1"/>
  <c r="R702" i="15"/>
  <c r="F543" i="15"/>
  <c r="J544" i="15"/>
  <c r="C544" i="15" s="1"/>
  <c r="M544" i="15"/>
  <c r="L544" i="15"/>
  <c r="O545" i="15" l="1"/>
  <c r="J545" i="15" s="1"/>
  <c r="C545" i="15" s="1"/>
  <c r="B544" i="15"/>
  <c r="E543" i="15"/>
  <c r="T703" i="15"/>
  <c r="Q703" i="15" s="1"/>
  <c r="R703" i="15" l="1"/>
  <c r="T704" i="15"/>
  <c r="R704" i="15" s="1"/>
  <c r="G544" i="15"/>
  <c r="D544" i="15"/>
  <c r="G545" i="15"/>
  <c r="B545" i="15"/>
  <c r="M545" i="15"/>
  <c r="Q704" i="15"/>
  <c r="L545" i="15"/>
  <c r="O546" i="15" l="1"/>
  <c r="J546" i="15" s="1"/>
  <c r="C546" i="15" s="1"/>
  <c r="T705" i="15"/>
  <c r="R705" i="15" s="1"/>
  <c r="D545" i="15"/>
  <c r="F544" i="15"/>
  <c r="L546" i="15"/>
  <c r="Q705" i="15" l="1"/>
  <c r="F545" i="15"/>
  <c r="E544" i="15"/>
  <c r="G546" i="15"/>
  <c r="B546" i="15"/>
  <c r="M546" i="15"/>
  <c r="E545" i="15" l="1"/>
  <c r="T706" i="15"/>
  <c r="R706" i="15" s="1"/>
  <c r="D546" i="15"/>
  <c r="O547" i="15"/>
  <c r="M547" i="15" s="1"/>
  <c r="O548" i="15" l="1"/>
  <c r="J548" i="15" s="1"/>
  <c r="C548" i="15" s="1"/>
  <c r="J547" i="15"/>
  <c r="C547" i="15" s="1"/>
  <c r="L547" i="15"/>
  <c r="L548" i="15" s="1"/>
  <c r="Q706" i="15"/>
  <c r="F546" i="15"/>
  <c r="E546" i="15" l="1"/>
  <c r="T707" i="15"/>
  <c r="R707" i="15" s="1"/>
  <c r="O549" i="15"/>
  <c r="J549" i="15" s="1"/>
  <c r="C549" i="15" s="1"/>
  <c r="B547" i="15"/>
  <c r="G548" i="15"/>
  <c r="B548" i="15"/>
  <c r="M548" i="15"/>
  <c r="G549" i="15" l="1"/>
  <c r="B549" i="15"/>
  <c r="L549" i="15"/>
  <c r="Q707" i="15"/>
  <c r="G547" i="15"/>
  <c r="D547" i="15"/>
  <c r="M549" i="15"/>
  <c r="D548" i="15" l="1"/>
  <c r="D549" i="15" s="1"/>
  <c r="F547" i="15"/>
  <c r="T708" i="15"/>
  <c r="R708" i="15" s="1"/>
  <c r="O550" i="15"/>
  <c r="J550" i="15" s="1"/>
  <c r="C550" i="15" s="1"/>
  <c r="G550" i="15" l="1"/>
  <c r="B550" i="15"/>
  <c r="L550" i="15"/>
  <c r="F548" i="15"/>
  <c r="E547" i="15"/>
  <c r="Q708" i="15"/>
  <c r="D550" i="15"/>
  <c r="M550" i="15"/>
  <c r="O551" i="15" l="1"/>
  <c r="J551" i="15" s="1"/>
  <c r="C551" i="15" s="1"/>
  <c r="F549" i="15"/>
  <c r="E548" i="15"/>
  <c r="T709" i="15"/>
  <c r="R709" i="15" s="1"/>
  <c r="M551" i="15" l="1"/>
  <c r="Q709" i="15"/>
  <c r="E549" i="15"/>
  <c r="F550" i="15"/>
  <c r="B551" i="15"/>
  <c r="L551" i="15"/>
  <c r="O552" i="15" l="1"/>
  <c r="E550" i="15"/>
  <c r="G551" i="15"/>
  <c r="D551" i="15"/>
  <c r="T710" i="15"/>
  <c r="R710" i="15" s="1"/>
  <c r="Q710" i="15" l="1"/>
  <c r="F551" i="15"/>
  <c r="J552" i="15"/>
  <c r="C552" i="15" s="1"/>
  <c r="M552" i="15"/>
  <c r="L552" i="15"/>
  <c r="O553" i="15" l="1"/>
  <c r="J553" i="15" s="1"/>
  <c r="C553" i="15" s="1"/>
  <c r="B552" i="15"/>
  <c r="E551" i="15"/>
  <c r="T711" i="15"/>
  <c r="R711" i="15" s="1"/>
  <c r="Q711" i="15" l="1"/>
  <c r="M553" i="15"/>
  <c r="G553" i="15"/>
  <c r="B553" i="15"/>
  <c r="T712" i="15"/>
  <c r="Q712" i="15" s="1"/>
  <c r="G552" i="15"/>
  <c r="D552" i="15"/>
  <c r="L553" i="15"/>
  <c r="R712" i="15" l="1"/>
  <c r="T713" i="15"/>
  <c r="Q713" i="15" s="1"/>
  <c r="D553" i="15"/>
  <c r="F552" i="15"/>
  <c r="O554" i="15"/>
  <c r="J554" i="15" s="1"/>
  <c r="C554" i="15" s="1"/>
  <c r="M554" i="15" l="1"/>
  <c r="R713" i="15"/>
  <c r="T714" i="15"/>
  <c r="Q714" i="15" s="1"/>
  <c r="O555" i="15"/>
  <c r="J555" i="15" s="1"/>
  <c r="C555" i="15" s="1"/>
  <c r="F553" i="15"/>
  <c r="E552" i="15"/>
  <c r="G554" i="15"/>
  <c r="B554" i="15"/>
  <c r="L554" i="15"/>
  <c r="L555" i="15" l="1"/>
  <c r="T715" i="15"/>
  <c r="Q715" i="15" s="1"/>
  <c r="O556" i="15"/>
  <c r="J556" i="15" s="1"/>
  <c r="C556" i="15" s="1"/>
  <c r="E553" i="15"/>
  <c r="F554" i="15"/>
  <c r="G555" i="15"/>
  <c r="B555" i="15"/>
  <c r="R714" i="15"/>
  <c r="M555" i="15"/>
  <c r="D554" i="15"/>
  <c r="T716" i="15" l="1"/>
  <c r="Q716" i="15"/>
  <c r="G556" i="15"/>
  <c r="B556" i="15"/>
  <c r="M556" i="15"/>
  <c r="E554" i="15"/>
  <c r="D555" i="15"/>
  <c r="D556" i="15" s="1"/>
  <c r="L556" i="15"/>
  <c r="R715" i="15"/>
  <c r="R716" i="15" s="1"/>
  <c r="F555" i="15" l="1"/>
  <c r="T717" i="15"/>
  <c r="R717" i="15" s="1"/>
  <c r="O557" i="15"/>
  <c r="J557" i="15" s="1"/>
  <c r="C557" i="15" s="1"/>
  <c r="B557" i="15" l="1"/>
  <c r="Q717" i="15"/>
  <c r="L557" i="15"/>
  <c r="F556" i="15"/>
  <c r="E555" i="15"/>
  <c r="M557" i="15"/>
  <c r="O558" i="15" l="1"/>
  <c r="J558" i="15" s="1"/>
  <c r="C558" i="15" s="1"/>
  <c r="T718" i="15"/>
  <c r="R718" i="15" s="1"/>
  <c r="E556" i="15"/>
  <c r="G557" i="15"/>
  <c r="D557" i="15"/>
  <c r="F557" i="15" s="1"/>
  <c r="Q718" i="15" l="1"/>
  <c r="G558" i="15"/>
  <c r="B558" i="15"/>
  <c r="T719" i="15"/>
  <c r="R719" i="15" s="1"/>
  <c r="M558" i="15"/>
  <c r="E557" i="15"/>
  <c r="L558" i="15"/>
  <c r="O559" i="15" l="1"/>
  <c r="J559" i="15" s="1"/>
  <c r="C559" i="15" s="1"/>
  <c r="D558" i="15"/>
  <c r="Q719" i="15"/>
  <c r="L559" i="15" l="1"/>
  <c r="T720" i="15"/>
  <c r="R720" i="15" s="1"/>
  <c r="F558" i="15"/>
  <c r="G559" i="15"/>
  <c r="B559" i="15"/>
  <c r="M559" i="15"/>
  <c r="O560" i="15" l="1"/>
  <c r="E558" i="15"/>
  <c r="D559" i="15"/>
  <c r="Q720" i="15"/>
  <c r="T721" i="15" l="1"/>
  <c r="R721" i="15" s="1"/>
  <c r="J560" i="15"/>
  <c r="C560" i="15" s="1"/>
  <c r="L560" i="15"/>
  <c r="F559" i="15"/>
  <c r="M560" i="15"/>
  <c r="B560" i="15" l="1"/>
  <c r="E559" i="15"/>
  <c r="O561" i="15"/>
  <c r="J561" i="15" s="1"/>
  <c r="C561" i="15" s="1"/>
  <c r="Q721" i="15"/>
  <c r="G561" i="15" l="1"/>
  <c r="B561" i="15"/>
  <c r="M561" i="15"/>
  <c r="G560" i="15"/>
  <c r="D560" i="15"/>
  <c r="T722" i="15"/>
  <c r="R722" i="15" s="1"/>
  <c r="L561" i="15"/>
  <c r="O562" i="15" l="1"/>
  <c r="J562" i="15" s="1"/>
  <c r="C562" i="15" s="1"/>
  <c r="Q722" i="15"/>
  <c r="M562" i="15"/>
  <c r="D561" i="15"/>
  <c r="F560" i="15"/>
  <c r="F561" i="15" l="1"/>
  <c r="E560" i="15"/>
  <c r="T723" i="15"/>
  <c r="R723" i="15" s="1"/>
  <c r="G562" i="15"/>
  <c r="B562" i="15"/>
  <c r="L562" i="15"/>
  <c r="Q723" i="15" l="1"/>
  <c r="E561" i="15"/>
  <c r="O563" i="15"/>
  <c r="D562" i="15"/>
  <c r="F562" i="15" s="1"/>
  <c r="E562" i="15" l="1"/>
  <c r="J563" i="15"/>
  <c r="C563" i="15" s="1"/>
  <c r="M563" i="15"/>
  <c r="L563" i="15"/>
  <c r="T724" i="15"/>
  <c r="R724" i="15" s="1"/>
  <c r="Q724" i="15" l="1"/>
  <c r="T725" i="15"/>
  <c r="R725" i="15" s="1"/>
  <c r="O564" i="15"/>
  <c r="J564" i="15" s="1"/>
  <c r="C564" i="15" s="1"/>
  <c r="B563" i="15"/>
  <c r="M564" i="15" l="1"/>
  <c r="T726" i="15"/>
  <c r="R726" i="15" s="1"/>
  <c r="O565" i="15"/>
  <c r="J565" i="15" s="1"/>
  <c r="C565" i="15" s="1"/>
  <c r="G563" i="15"/>
  <c r="D563" i="15"/>
  <c r="L564" i="15"/>
  <c r="B564" i="15"/>
  <c r="G564" i="15"/>
  <c r="Q725" i="15"/>
  <c r="L565" i="15" l="1"/>
  <c r="M565" i="15"/>
  <c r="D564" i="15"/>
  <c r="F563" i="15"/>
  <c r="B565" i="15"/>
  <c r="G565" i="15"/>
  <c r="Q726" i="15"/>
  <c r="T727" i="15" l="1"/>
  <c r="R727" i="15" s="1"/>
  <c r="F564" i="15"/>
  <c r="E563" i="15"/>
  <c r="O566" i="15"/>
  <c r="J566" i="15" s="1"/>
  <c r="C566" i="15" s="1"/>
  <c r="D565" i="15"/>
  <c r="L566" i="15" l="1"/>
  <c r="M566" i="15"/>
  <c r="O567" i="15"/>
  <c r="J567" i="15" s="1"/>
  <c r="C567" i="15" s="1"/>
  <c r="F565" i="15"/>
  <c r="E564" i="15"/>
  <c r="B566" i="15"/>
  <c r="G566" i="15"/>
  <c r="Q727" i="15"/>
  <c r="E565" i="15" l="1"/>
  <c r="L567" i="15"/>
  <c r="B567" i="15"/>
  <c r="G567" i="15"/>
  <c r="D566" i="15"/>
  <c r="T728" i="15"/>
  <c r="R728" i="15" s="1"/>
  <c r="M567" i="15"/>
  <c r="D567" i="15" l="1"/>
  <c r="Q728" i="15"/>
  <c r="O568" i="15"/>
  <c r="J568" i="15" s="1"/>
  <c r="C568" i="15" s="1"/>
  <c r="F566" i="15"/>
  <c r="F567" i="15" l="1"/>
  <c r="E566" i="15"/>
  <c r="T729" i="15"/>
  <c r="R729" i="15" s="1"/>
  <c r="B568" i="15"/>
  <c r="G568" i="15"/>
  <c r="L568" i="15"/>
  <c r="M568" i="15"/>
  <c r="O569" i="15" l="1"/>
  <c r="J569" i="15" s="1"/>
  <c r="C569" i="15" s="1"/>
  <c r="Q729" i="15"/>
  <c r="D568" i="15"/>
  <c r="F568" i="15" s="1"/>
  <c r="E567" i="15"/>
  <c r="T730" i="15" l="1"/>
  <c r="R730" i="15" s="1"/>
  <c r="E568" i="15"/>
  <c r="L569" i="15"/>
  <c r="B569" i="15"/>
  <c r="G569" i="15"/>
  <c r="M569" i="15"/>
  <c r="O570" i="15" l="1"/>
  <c r="J570" i="15" s="1"/>
  <c r="C570" i="15" s="1"/>
  <c r="D569" i="15"/>
  <c r="Q730" i="15"/>
  <c r="M570" i="15" l="1"/>
  <c r="T731" i="15"/>
  <c r="R731" i="15" s="1"/>
  <c r="F569" i="15"/>
  <c r="L570" i="15"/>
  <c r="B570" i="15"/>
  <c r="G570" i="15"/>
  <c r="E569" i="15" l="1"/>
  <c r="O571" i="15"/>
  <c r="J571" i="15" s="1"/>
  <c r="C571" i="15" s="1"/>
  <c r="D570" i="15"/>
  <c r="Q731" i="15"/>
  <c r="T732" i="15"/>
  <c r="R732" i="15" s="1"/>
  <c r="M571" i="15"/>
  <c r="T733" i="15" l="1"/>
  <c r="R733" i="15" s="1"/>
  <c r="Q732" i="15"/>
  <c r="Q733" i="15" s="1"/>
  <c r="B571" i="15"/>
  <c r="G571" i="15"/>
  <c r="L571" i="15"/>
  <c r="O572" i="15"/>
  <c r="J572" i="15" s="1"/>
  <c r="C572" i="15" s="1"/>
  <c r="F570" i="15"/>
  <c r="L572" i="15" l="1"/>
  <c r="M572" i="15"/>
  <c r="T734" i="15"/>
  <c r="R734" i="15" s="1"/>
  <c r="O573" i="15"/>
  <c r="J573" i="15" s="1"/>
  <c r="C573" i="15" s="1"/>
  <c r="D571" i="15"/>
  <c r="D572" i="15" s="1"/>
  <c r="E570" i="15"/>
  <c r="B572" i="15"/>
  <c r="G572" i="15"/>
  <c r="Q734" i="15" l="1"/>
  <c r="F571" i="15"/>
  <c r="B573" i="15"/>
  <c r="G573" i="15"/>
  <c r="L573" i="15"/>
  <c r="M573" i="15"/>
  <c r="F572" i="15"/>
  <c r="E571" i="15"/>
  <c r="T735" i="15"/>
  <c r="R735" i="15" s="1"/>
  <c r="Q735" i="15" l="1"/>
  <c r="D573" i="15"/>
  <c r="T736" i="15"/>
  <c r="R736" i="15" s="1"/>
  <c r="F573" i="15"/>
  <c r="E572" i="15"/>
  <c r="O574" i="15"/>
  <c r="J574" i="15" s="1"/>
  <c r="C574" i="15" s="1"/>
  <c r="T737" i="15" l="1"/>
  <c r="R737" i="15" s="1"/>
  <c r="B574" i="15"/>
  <c r="M574" i="15"/>
  <c r="E573" i="15"/>
  <c r="L574" i="15"/>
  <c r="Q736" i="15"/>
  <c r="Q737" i="15" s="1"/>
  <c r="T738" i="15" l="1"/>
  <c r="R738" i="15" s="1"/>
  <c r="G574" i="15"/>
  <c r="D574" i="15"/>
  <c r="O575" i="15"/>
  <c r="J575" i="15" s="1"/>
  <c r="C575" i="15" s="1"/>
  <c r="Q738" i="15" l="1"/>
  <c r="M575" i="15"/>
  <c r="B575" i="15"/>
  <c r="G575" i="15"/>
  <c r="L575" i="15"/>
  <c r="F574" i="15"/>
  <c r="T739" i="15"/>
  <c r="R739" i="15" s="1"/>
  <c r="Q739" i="15" l="1"/>
  <c r="T740" i="15"/>
  <c r="R740" i="15" s="1"/>
  <c r="D575" i="15"/>
  <c r="F575" i="15" s="1"/>
  <c r="E574" i="15"/>
  <c r="O576" i="15"/>
  <c r="J576" i="15" s="1"/>
  <c r="C576" i="15" s="1"/>
  <c r="M576" i="15" l="1"/>
  <c r="L576" i="15"/>
  <c r="E575" i="15"/>
  <c r="O577" i="15"/>
  <c r="J577" i="15" s="1"/>
  <c r="C577" i="15" s="1"/>
  <c r="Q740" i="15"/>
  <c r="B576" i="15"/>
  <c r="G576" i="15"/>
  <c r="D576" i="15" l="1"/>
  <c r="B577" i="15"/>
  <c r="G577" i="15"/>
  <c r="M577" i="15"/>
  <c r="T741" i="15"/>
  <c r="R741" i="15" s="1"/>
  <c r="L577" i="15"/>
  <c r="F576" i="15"/>
  <c r="T742" i="15" l="1"/>
  <c r="R742" i="15" s="1"/>
  <c r="E576" i="15"/>
  <c r="D577" i="15"/>
  <c r="O578" i="15"/>
  <c r="J578" i="15" s="1"/>
  <c r="C578" i="15" s="1"/>
  <c r="Q741" i="15"/>
  <c r="Q742" i="15" s="1"/>
  <c r="M578" i="15" l="1"/>
  <c r="F577" i="15"/>
  <c r="L578" i="15"/>
  <c r="T743" i="15"/>
  <c r="Q743" i="15" s="1"/>
  <c r="B578" i="15"/>
  <c r="G578" i="15"/>
  <c r="O579" i="15" l="1"/>
  <c r="J579" i="15" s="1"/>
  <c r="C579" i="15" s="1"/>
  <c r="R743" i="15"/>
  <c r="E577" i="15"/>
  <c r="D578" i="15"/>
  <c r="F578" i="15" s="1"/>
  <c r="M579" i="15" l="1"/>
  <c r="E578" i="15"/>
  <c r="B579" i="15"/>
  <c r="G579" i="15"/>
  <c r="L579" i="15"/>
  <c r="T744" i="15"/>
  <c r="Q744" i="15" s="1"/>
  <c r="R744" i="15" l="1"/>
  <c r="O580" i="15"/>
  <c r="D579" i="15"/>
  <c r="T745" i="15"/>
  <c r="Q745" i="15" s="1"/>
  <c r="R745" i="15" l="1"/>
  <c r="F579" i="15"/>
  <c r="J580" i="15"/>
  <c r="C580" i="15" s="1"/>
  <c r="M580" i="15"/>
  <c r="L580" i="15"/>
  <c r="O581" i="15" l="1"/>
  <c r="J581" i="15" s="1"/>
  <c r="C581" i="15" s="1"/>
  <c r="M581" i="15"/>
  <c r="B580" i="15"/>
  <c r="T746" i="15"/>
  <c r="Q746" i="15" s="1"/>
  <c r="E579" i="15"/>
  <c r="G580" i="15" l="1"/>
  <c r="D580" i="15"/>
  <c r="B581" i="15"/>
  <c r="G581" i="15"/>
  <c r="R746" i="15"/>
  <c r="L581" i="15"/>
  <c r="O582" i="15" l="1"/>
  <c r="T747" i="15"/>
  <c r="Q747" i="15" s="1"/>
  <c r="D581" i="15"/>
  <c r="F580" i="15"/>
  <c r="F581" i="15" l="1"/>
  <c r="E580" i="15"/>
  <c r="J582" i="15"/>
  <c r="C582" i="15" s="1"/>
  <c r="M582" i="15"/>
  <c r="R747" i="15"/>
  <c r="L582" i="15"/>
  <c r="T748" i="15" l="1"/>
  <c r="Q748" i="15" s="1"/>
  <c r="O583" i="15"/>
  <c r="J583" i="15" s="1"/>
  <c r="C583" i="15" s="1"/>
  <c r="B582" i="15"/>
  <c r="E581" i="15"/>
  <c r="G582" i="15" l="1"/>
  <c r="D582" i="15"/>
  <c r="M583" i="15"/>
  <c r="B583" i="15"/>
  <c r="G583" i="15"/>
  <c r="L583" i="15"/>
  <c r="R748" i="15"/>
  <c r="D583" i="15" l="1"/>
  <c r="F582" i="15"/>
  <c r="T749" i="15"/>
  <c r="Q749" i="15" s="1"/>
  <c r="O584" i="15"/>
  <c r="J584" i="15" s="1"/>
  <c r="C584" i="15" s="1"/>
  <c r="B584" i="15" l="1"/>
  <c r="G584" i="15"/>
  <c r="R749" i="15"/>
  <c r="F583" i="15"/>
  <c r="E582" i="15"/>
  <c r="M584" i="15"/>
  <c r="L584" i="15"/>
  <c r="D584" i="15"/>
  <c r="F584" i="15" l="1"/>
  <c r="E583" i="15"/>
  <c r="T750" i="15"/>
  <c r="Q750" i="15" s="1"/>
  <c r="O585" i="15"/>
  <c r="J585" i="15" s="1"/>
  <c r="C585" i="15" s="1"/>
  <c r="L585" i="15" l="1"/>
  <c r="B585" i="15"/>
  <c r="R750" i="15"/>
  <c r="E584" i="15"/>
  <c r="M585" i="15"/>
  <c r="G585" i="15" l="1"/>
  <c r="D585" i="15"/>
  <c r="O586" i="15"/>
  <c r="J586" i="15" s="1"/>
  <c r="C586" i="15" s="1"/>
  <c r="T751" i="15"/>
  <c r="Q751" i="15" s="1"/>
  <c r="M586" i="15" l="1"/>
  <c r="B586" i="15"/>
  <c r="G586" i="15"/>
  <c r="L586" i="15"/>
  <c r="R751" i="15"/>
  <c r="D586" i="15"/>
  <c r="F585" i="15"/>
  <c r="F586" i="15" l="1"/>
  <c r="E585" i="15"/>
  <c r="T752" i="15"/>
  <c r="Q752" i="15" s="1"/>
  <c r="O587" i="15"/>
  <c r="J587" i="15" s="1"/>
  <c r="C587" i="15" s="1"/>
  <c r="T753" i="15" l="1"/>
  <c r="Q753" i="15" s="1"/>
  <c r="B587" i="15"/>
  <c r="M587" i="15"/>
  <c r="R752" i="15"/>
  <c r="R753" i="15" s="1"/>
  <c r="L587" i="15"/>
  <c r="E586" i="15"/>
  <c r="T754" i="15" l="1"/>
  <c r="Q754" i="15" s="1"/>
  <c r="O588" i="15"/>
  <c r="J588" i="15" s="1"/>
  <c r="C588" i="15" s="1"/>
  <c r="G587" i="15"/>
  <c r="D587" i="15"/>
  <c r="T755" i="15" l="1"/>
  <c r="Q755" i="15" s="1"/>
  <c r="F587" i="15"/>
  <c r="L588" i="15"/>
  <c r="M588" i="15"/>
  <c r="R754" i="15"/>
  <c r="R755" i="15" s="1"/>
  <c r="B588" i="15"/>
  <c r="G588" i="15"/>
  <c r="D588" i="15" l="1"/>
  <c r="T756" i="15"/>
  <c r="Q756" i="15" s="1"/>
  <c r="F588" i="15"/>
  <c r="E587" i="15"/>
  <c r="O589" i="15"/>
  <c r="J589" i="15" s="1"/>
  <c r="C589" i="15" s="1"/>
  <c r="R756" i="15" l="1"/>
  <c r="M589" i="15"/>
  <c r="L589" i="15"/>
  <c r="T757" i="15"/>
  <c r="Q757" i="15" s="1"/>
  <c r="O590" i="15"/>
  <c r="J590" i="15" s="1"/>
  <c r="C590" i="15" s="1"/>
  <c r="E588" i="15"/>
  <c r="B589" i="15"/>
  <c r="R757" i="15" l="1"/>
  <c r="T758" i="15"/>
  <c r="Q758" i="15" s="1"/>
  <c r="L590" i="15"/>
  <c r="B590" i="15"/>
  <c r="G590" i="15"/>
  <c r="M590" i="15"/>
  <c r="G589" i="15"/>
  <c r="D589" i="15"/>
  <c r="T759" i="15" l="1"/>
  <c r="Q759" i="15" s="1"/>
  <c r="O591" i="15"/>
  <c r="J591" i="15" s="1"/>
  <c r="C591" i="15" s="1"/>
  <c r="R758" i="15"/>
  <c r="R759" i="15" s="1"/>
  <c r="D590" i="15"/>
  <c r="F589" i="15"/>
  <c r="T760" i="15" l="1"/>
  <c r="Q760" i="15" s="1"/>
  <c r="M591" i="15"/>
  <c r="F590" i="15"/>
  <c r="E589" i="15"/>
  <c r="B591" i="15"/>
  <c r="G591" i="15"/>
  <c r="L591" i="15"/>
  <c r="D591" i="15" l="1"/>
  <c r="F591" i="15" s="1"/>
  <c r="E590" i="15"/>
  <c r="R760" i="15"/>
  <c r="O592" i="15"/>
  <c r="J592" i="15" s="1"/>
  <c r="C592" i="15" s="1"/>
  <c r="L592" i="15" l="1"/>
  <c r="M592" i="15"/>
  <c r="E591" i="15"/>
  <c r="B592" i="15"/>
  <c r="T761" i="15"/>
  <c r="Q761" i="15" s="1"/>
  <c r="R761" i="15" l="1"/>
  <c r="G592" i="15"/>
  <c r="D592" i="15"/>
  <c r="O593" i="15"/>
  <c r="J593" i="15" s="1"/>
  <c r="C593" i="15" s="1"/>
  <c r="M593" i="15" l="1"/>
  <c r="F592" i="15"/>
  <c r="B593" i="15"/>
  <c r="G593" i="15"/>
  <c r="L593" i="15"/>
  <c r="T762" i="15"/>
  <c r="Q762" i="15" s="1"/>
  <c r="O594" i="15" l="1"/>
  <c r="J594" i="15" s="1"/>
  <c r="C594" i="15" s="1"/>
  <c r="R762" i="15"/>
  <c r="D593" i="15"/>
  <c r="F593" i="15" s="1"/>
  <c r="E592" i="15"/>
  <c r="M594" i="15"/>
  <c r="E593" i="15" l="1"/>
  <c r="B594" i="15"/>
  <c r="G594" i="15"/>
  <c r="T763" i="15"/>
  <c r="Q763" i="15" s="1"/>
  <c r="L594" i="15"/>
  <c r="R763" i="15" l="1"/>
  <c r="D594" i="15"/>
  <c r="O595" i="15"/>
  <c r="J595" i="15" l="1"/>
  <c r="C595" i="15" s="1"/>
  <c r="M595" i="15"/>
  <c r="L595" i="15"/>
  <c r="F594" i="15"/>
  <c r="T764" i="15"/>
  <c r="Q764" i="15" s="1"/>
  <c r="E594" i="15" l="1"/>
  <c r="O596" i="15"/>
  <c r="J596" i="15" s="1"/>
  <c r="C596" i="15" s="1"/>
  <c r="R764" i="15"/>
  <c r="B595" i="15"/>
  <c r="L596" i="15" l="1"/>
  <c r="T765" i="15"/>
  <c r="Q765" i="15" s="1"/>
  <c r="B596" i="15"/>
  <c r="G596" i="15"/>
  <c r="M596" i="15"/>
  <c r="G595" i="15"/>
  <c r="D595" i="15"/>
  <c r="D596" i="15" l="1"/>
  <c r="F595" i="15"/>
  <c r="O597" i="15"/>
  <c r="R765" i="15"/>
  <c r="F596" i="15" l="1"/>
  <c r="E595" i="15"/>
  <c r="T766" i="15"/>
  <c r="Q766" i="15" s="1"/>
  <c r="J597" i="15"/>
  <c r="C597" i="15" s="1"/>
  <c r="L597" i="15"/>
  <c r="M597" i="15"/>
  <c r="B597" i="15" l="1"/>
  <c r="O598" i="15"/>
  <c r="J598" i="15" s="1"/>
  <c r="C598" i="15" s="1"/>
  <c r="T767" i="15"/>
  <c r="Q767" i="15" s="1"/>
  <c r="R766" i="15"/>
  <c r="E596" i="15"/>
  <c r="T768" i="15" l="1"/>
  <c r="Q768" i="15" s="1"/>
  <c r="G597" i="15"/>
  <c r="D597" i="15"/>
  <c r="R767" i="15"/>
  <c r="R768" i="15" s="1"/>
  <c r="B598" i="15"/>
  <c r="G598" i="15"/>
  <c r="M598" i="15"/>
  <c r="L598" i="15"/>
  <c r="T769" i="15" l="1"/>
  <c r="Q769" i="15" s="1"/>
  <c r="D598" i="15"/>
  <c r="F597" i="15"/>
  <c r="O599" i="15"/>
  <c r="J599" i="15" s="1"/>
  <c r="C599" i="15" s="1"/>
  <c r="R769" i="15"/>
  <c r="L599" i="15" l="1"/>
  <c r="T770" i="15"/>
  <c r="Q770" i="15" s="1"/>
  <c r="F598" i="15"/>
  <c r="E597" i="15"/>
  <c r="B599" i="15"/>
  <c r="G599" i="15"/>
  <c r="M599" i="15"/>
  <c r="R770" i="15" l="1"/>
  <c r="D599" i="15"/>
  <c r="T771" i="15"/>
  <c r="Q771" i="15" s="1"/>
  <c r="F599" i="15"/>
  <c r="E598" i="15"/>
  <c r="O600" i="15"/>
  <c r="E599" i="15" l="1"/>
  <c r="R771" i="15"/>
  <c r="J600" i="15"/>
  <c r="C600" i="15" s="1"/>
  <c r="L600" i="15"/>
  <c r="M600" i="15"/>
  <c r="O601" i="15" l="1"/>
  <c r="J601" i="15" s="1"/>
  <c r="C601" i="15" s="1"/>
  <c r="B600" i="15"/>
  <c r="T772" i="15"/>
  <c r="Q772" i="15" s="1"/>
  <c r="R772" i="15" l="1"/>
  <c r="T773" i="15"/>
  <c r="Q773" i="15" s="1"/>
  <c r="G600" i="15"/>
  <c r="D600" i="15"/>
  <c r="B601" i="15"/>
  <c r="G601" i="15"/>
  <c r="M601" i="15"/>
  <c r="L601" i="15"/>
  <c r="D601" i="15" l="1"/>
  <c r="F600" i="15"/>
  <c r="O602" i="15"/>
  <c r="J602" i="15" s="1"/>
  <c r="C602" i="15" s="1"/>
  <c r="R773" i="15"/>
  <c r="B602" i="15" l="1"/>
  <c r="G602" i="15"/>
  <c r="F601" i="15"/>
  <c r="E600" i="15"/>
  <c r="T774" i="15"/>
  <c r="Q774" i="15" s="1"/>
  <c r="L602" i="15"/>
  <c r="D602" i="15"/>
  <c r="M602" i="15"/>
  <c r="O603" i="15" l="1"/>
  <c r="J603" i="15" s="1"/>
  <c r="C603" i="15" s="1"/>
  <c r="F602" i="15"/>
  <c r="E601" i="15"/>
  <c r="T775" i="15"/>
  <c r="Q775" i="15" s="1"/>
  <c r="R774" i="15"/>
  <c r="M603" i="15"/>
  <c r="T776" i="15" l="1"/>
  <c r="Q776" i="15" s="1"/>
  <c r="E602" i="15"/>
  <c r="R775" i="15"/>
  <c r="B603" i="15"/>
  <c r="L603" i="15"/>
  <c r="G603" i="15" l="1"/>
  <c r="D603" i="15"/>
  <c r="R776" i="15"/>
  <c r="O604" i="15"/>
  <c r="J604" i="15" l="1"/>
  <c r="C604" i="15" s="1"/>
  <c r="M604" i="15"/>
  <c r="T777" i="15"/>
  <c r="Q777" i="15" s="1"/>
  <c r="F603" i="15"/>
  <c r="L604" i="15"/>
  <c r="T778" i="15" l="1"/>
  <c r="Q778" i="15" s="1"/>
  <c r="E603" i="15"/>
  <c r="R777" i="15"/>
  <c r="R778" i="15" s="1"/>
  <c r="O605" i="15"/>
  <c r="J605" i="15" s="1"/>
  <c r="C605" i="15" s="1"/>
  <c r="B604" i="15"/>
  <c r="M605" i="15" l="1"/>
  <c r="T779" i="15"/>
  <c r="Q779" i="15" s="1"/>
  <c r="O606" i="15"/>
  <c r="J606" i="15" s="1"/>
  <c r="C606" i="15" s="1"/>
  <c r="G604" i="15"/>
  <c r="D604" i="15"/>
  <c r="B605" i="15"/>
  <c r="G605" i="15"/>
  <c r="L605" i="15"/>
  <c r="R779" i="15" l="1"/>
  <c r="T780" i="15"/>
  <c r="Q780" i="15" s="1"/>
  <c r="M606" i="15"/>
  <c r="D605" i="15"/>
  <c r="F604" i="15"/>
  <c r="B606" i="15"/>
  <c r="G606" i="15"/>
  <c r="L606" i="15"/>
  <c r="T781" i="15" l="1"/>
  <c r="Q781" i="15" s="1"/>
  <c r="F605" i="15"/>
  <c r="E604" i="15"/>
  <c r="O607" i="15"/>
  <c r="J607" i="15" s="1"/>
  <c r="C607" i="15" s="1"/>
  <c r="D606" i="15"/>
  <c r="R780" i="15"/>
  <c r="R781" i="15" s="1"/>
  <c r="T782" i="15" l="1"/>
  <c r="Q782" i="15" s="1"/>
  <c r="F606" i="15"/>
  <c r="E605" i="15"/>
  <c r="B607" i="15"/>
  <c r="G607" i="15"/>
  <c r="M607" i="15"/>
  <c r="L607" i="15"/>
  <c r="T783" i="15" l="1"/>
  <c r="Q783" i="15" s="1"/>
  <c r="E606" i="15"/>
  <c r="R782" i="15"/>
  <c r="D607" i="15"/>
  <c r="O608" i="15"/>
  <c r="J608" i="15" s="1"/>
  <c r="C608" i="15" s="1"/>
  <c r="R783" i="15" l="1"/>
  <c r="M608" i="15"/>
  <c r="L608" i="15"/>
  <c r="O609" i="15" s="1"/>
  <c r="D608" i="15"/>
  <c r="T784" i="15"/>
  <c r="Q784" i="15" s="1"/>
  <c r="F607" i="15"/>
  <c r="B608" i="15"/>
  <c r="G608" i="15"/>
  <c r="J609" i="15" l="1"/>
  <c r="C609" i="15" s="1"/>
  <c r="M609" i="15"/>
  <c r="F608" i="15"/>
  <c r="E607" i="15"/>
  <c r="B609" i="15"/>
  <c r="G609" i="15"/>
  <c r="L609" i="15"/>
  <c r="R784" i="15"/>
  <c r="D609" i="15" l="1"/>
  <c r="O610" i="15"/>
  <c r="F609" i="15"/>
  <c r="E608" i="15"/>
  <c r="T785" i="15"/>
  <c r="Q785" i="15" s="1"/>
  <c r="R785" i="15" l="1"/>
  <c r="E609" i="15"/>
  <c r="J610" i="15"/>
  <c r="C610" i="15" s="1"/>
  <c r="M610" i="15"/>
  <c r="L610" i="15"/>
  <c r="O611" i="15" l="1"/>
  <c r="J611" i="15" s="1"/>
  <c r="C611" i="15" s="1"/>
  <c r="B610" i="15"/>
  <c r="T786" i="15"/>
  <c r="Q786" i="15" s="1"/>
  <c r="R786" i="15" l="1"/>
  <c r="G610" i="15"/>
  <c r="D610" i="15"/>
  <c r="B611" i="15"/>
  <c r="G611" i="15"/>
  <c r="M611" i="15"/>
  <c r="L611" i="15"/>
  <c r="O612" i="15" l="1"/>
  <c r="J612" i="15" s="1"/>
  <c r="C612" i="15" s="1"/>
  <c r="L612" i="15"/>
  <c r="D611" i="15"/>
  <c r="F610" i="15"/>
  <c r="T787" i="15"/>
  <c r="Q787" i="15" s="1"/>
  <c r="R787" i="15" l="1"/>
  <c r="F611" i="15"/>
  <c r="E610" i="15"/>
  <c r="B612" i="15"/>
  <c r="G612" i="15"/>
  <c r="M612" i="15"/>
  <c r="D612" i="15" l="1"/>
  <c r="F612" i="15"/>
  <c r="E611" i="15"/>
  <c r="T788" i="15"/>
  <c r="Q788" i="15" s="1"/>
  <c r="O613" i="15"/>
  <c r="J613" i="15" l="1"/>
  <c r="C613" i="15" s="1"/>
  <c r="L613" i="15"/>
  <c r="M613" i="15"/>
  <c r="R788" i="15"/>
  <c r="E612" i="15"/>
  <c r="T789" i="15" l="1"/>
  <c r="Q789" i="15" s="1"/>
  <c r="O614" i="15"/>
  <c r="J614" i="15" s="1"/>
  <c r="C614" i="15" s="1"/>
  <c r="B613" i="15"/>
  <c r="G613" i="15" l="1"/>
  <c r="D613" i="15"/>
  <c r="M614" i="15"/>
  <c r="B614" i="15"/>
  <c r="G614" i="15"/>
  <c r="L614" i="15"/>
  <c r="R789" i="15"/>
  <c r="T790" i="15" l="1"/>
  <c r="Q790" i="15" s="1"/>
  <c r="O615" i="15"/>
  <c r="J615" i="15" s="1"/>
  <c r="C615" i="15" s="1"/>
  <c r="D614" i="15"/>
  <c r="F613" i="15"/>
  <c r="F614" i="15" l="1"/>
  <c r="E613" i="15"/>
  <c r="M615" i="15"/>
  <c r="L615" i="15"/>
  <c r="B615" i="15"/>
  <c r="G615" i="15"/>
  <c r="R790" i="15"/>
  <c r="O616" i="15" l="1"/>
  <c r="J616" i="15" s="1"/>
  <c r="C616" i="15" s="1"/>
  <c r="E614" i="15"/>
  <c r="T791" i="15"/>
  <c r="Q791" i="15" s="1"/>
  <c r="D615" i="15"/>
  <c r="M616" i="15" l="1"/>
  <c r="R791" i="15"/>
  <c r="F615" i="15"/>
  <c r="B616" i="15"/>
  <c r="G616" i="15"/>
  <c r="L616" i="15"/>
  <c r="O617" i="15" l="1"/>
  <c r="E615" i="15"/>
  <c r="T792" i="15"/>
  <c r="Q792" i="15" s="1"/>
  <c r="D616" i="15"/>
  <c r="R792" i="15" l="1"/>
  <c r="F616" i="15"/>
  <c r="J617" i="15"/>
  <c r="C617" i="15" s="1"/>
  <c r="M617" i="15"/>
  <c r="L617" i="15"/>
  <c r="O618" i="15" l="1"/>
  <c r="J618" i="15" s="1"/>
  <c r="C618" i="15" s="1"/>
  <c r="B617" i="15"/>
  <c r="E616" i="15"/>
  <c r="T793" i="15"/>
  <c r="Q793" i="15" s="1"/>
  <c r="R793" i="15" l="1"/>
  <c r="T794" i="15"/>
  <c r="R794" i="15" s="1"/>
  <c r="B618" i="15"/>
  <c r="G618" i="15"/>
  <c r="M618" i="15"/>
  <c r="G617" i="15"/>
  <c r="D617" i="15"/>
  <c r="Q794" i="15"/>
  <c r="L618" i="15"/>
  <c r="T795" i="15" l="1"/>
  <c r="R795" i="15" s="1"/>
  <c r="D618" i="15"/>
  <c r="F617" i="15"/>
  <c r="Q795" i="15"/>
  <c r="O619" i="15"/>
  <c r="J619" i="15" s="1"/>
  <c r="C619" i="15" s="1"/>
  <c r="L619" i="15" l="1"/>
  <c r="M619" i="15"/>
  <c r="F618" i="15"/>
  <c r="E617" i="15"/>
  <c r="B619" i="15"/>
  <c r="G619" i="15"/>
  <c r="T796" i="15"/>
  <c r="R796" i="15" s="1"/>
  <c r="Q796" i="15" l="1"/>
  <c r="T797" i="15" s="1"/>
  <c r="R797" i="15" s="1"/>
  <c r="E618" i="15"/>
  <c r="D619" i="15"/>
  <c r="F619" i="15" s="1"/>
  <c r="O620" i="15"/>
  <c r="J620" i="15" s="1"/>
  <c r="C620" i="15" s="1"/>
  <c r="L620" i="15" l="1"/>
  <c r="M620" i="15"/>
  <c r="O621" i="15"/>
  <c r="J621" i="15" s="1"/>
  <c r="C621" i="15" s="1"/>
  <c r="E619" i="15"/>
  <c r="Q797" i="15"/>
  <c r="D620" i="15"/>
  <c r="B620" i="15"/>
  <c r="G620" i="15"/>
  <c r="M621" i="15" l="1"/>
  <c r="O622" i="15"/>
  <c r="J622" i="15" s="1"/>
  <c r="C622" i="15" s="1"/>
  <c r="B621" i="15"/>
  <c r="G621" i="15"/>
  <c r="D621" i="15"/>
  <c r="L621" i="15"/>
  <c r="L622" i="15" s="1"/>
  <c r="T798" i="15"/>
  <c r="R798" i="15" s="1"/>
  <c r="F620" i="15"/>
  <c r="Q798" i="15" l="1"/>
  <c r="B622" i="15"/>
  <c r="G622" i="15"/>
  <c r="F621" i="15"/>
  <c r="E620" i="15"/>
  <c r="M622" i="15"/>
  <c r="E621" i="15" l="1"/>
  <c r="T799" i="15"/>
  <c r="R799" i="15" s="1"/>
  <c r="D622" i="15"/>
  <c r="O623" i="15"/>
  <c r="J623" i="15" l="1"/>
  <c r="C623" i="15" s="1"/>
  <c r="L623" i="15"/>
  <c r="M623" i="15"/>
  <c r="Q799" i="15"/>
  <c r="F622" i="15"/>
  <c r="E622" i="15" l="1"/>
  <c r="T800" i="15"/>
  <c r="R800" i="15" s="1"/>
  <c r="O624" i="15"/>
  <c r="J624" i="15" s="1"/>
  <c r="C624" i="15" s="1"/>
  <c r="B623" i="15"/>
  <c r="L624" i="15" l="1"/>
  <c r="B624" i="15"/>
  <c r="G624" i="15"/>
  <c r="M624" i="15"/>
  <c r="Q800" i="15"/>
  <c r="G623" i="15"/>
  <c r="D623" i="15"/>
  <c r="D624" i="15" l="1"/>
  <c r="F623" i="15"/>
  <c r="O625" i="15"/>
  <c r="J625" i="15" s="1"/>
  <c r="C625" i="15" s="1"/>
  <c r="T801" i="15"/>
  <c r="R801" i="15" s="1"/>
  <c r="L625" i="15"/>
  <c r="Q801" i="15" l="1"/>
  <c r="F624" i="15"/>
  <c r="E623" i="15"/>
  <c r="B625" i="15"/>
  <c r="G625" i="15"/>
  <c r="M625" i="15"/>
  <c r="O626" i="15" l="1"/>
  <c r="E624" i="15"/>
  <c r="T802" i="15"/>
  <c r="R802" i="15" s="1"/>
  <c r="D625" i="15"/>
  <c r="Q802" i="15" l="1"/>
  <c r="F625" i="15"/>
  <c r="J626" i="15"/>
  <c r="C626" i="15" s="1"/>
  <c r="L626" i="15"/>
  <c r="M626" i="15"/>
  <c r="E625" i="15" l="1"/>
  <c r="T803" i="15"/>
  <c r="R803" i="15" s="1"/>
  <c r="O627" i="15"/>
  <c r="J627" i="15" s="1"/>
  <c r="C627" i="15" s="1"/>
  <c r="B626" i="15"/>
  <c r="L627" i="15" l="1"/>
  <c r="Q803" i="15"/>
  <c r="B627" i="15"/>
  <c r="G627" i="15"/>
  <c r="M627" i="15"/>
  <c r="G626" i="15"/>
  <c r="D626" i="15"/>
  <c r="T804" i="15" l="1"/>
  <c r="R804" i="15" s="1"/>
  <c r="D627" i="15"/>
  <c r="F626" i="15"/>
  <c r="O628" i="15"/>
  <c r="J628" i="15" s="1"/>
  <c r="C628" i="15" s="1"/>
  <c r="F627" i="15" l="1"/>
  <c r="E626" i="15"/>
  <c r="B628" i="15"/>
  <c r="G628" i="15"/>
  <c r="L628" i="15"/>
  <c r="Q804" i="15"/>
  <c r="M628" i="15"/>
  <c r="O629" i="15" l="1"/>
  <c r="J629" i="15" s="1"/>
  <c r="C629" i="15" s="1"/>
  <c r="D628" i="15"/>
  <c r="F628" i="15" s="1"/>
  <c r="T805" i="15"/>
  <c r="R805" i="15" s="1"/>
  <c r="M629" i="15"/>
  <c r="E627" i="15"/>
  <c r="O630" i="15" l="1"/>
  <c r="J630" i="15" s="1"/>
  <c r="C630" i="15" s="1"/>
  <c r="E628" i="15"/>
  <c r="Q805" i="15"/>
  <c r="B629" i="15"/>
  <c r="G629" i="15"/>
  <c r="L629" i="15"/>
  <c r="L630" i="15" s="1"/>
  <c r="D629" i="15" l="1"/>
  <c r="F629" i="15" s="1"/>
  <c r="B630" i="15"/>
  <c r="G630" i="15"/>
  <c r="T806" i="15"/>
  <c r="R806" i="15" s="1"/>
  <c r="E629" i="15"/>
  <c r="O631" i="15"/>
  <c r="J631" i="15" s="1"/>
  <c r="C631" i="15" s="1"/>
  <c r="M630" i="15"/>
  <c r="M631" i="15" l="1"/>
  <c r="L631" i="15"/>
  <c r="O632" i="15"/>
  <c r="J632" i="15" s="1"/>
  <c r="C632" i="15" s="1"/>
  <c r="Q806" i="15"/>
  <c r="B631" i="15"/>
  <c r="G631" i="15"/>
  <c r="D630" i="15"/>
  <c r="M632" i="15" l="1"/>
  <c r="D631" i="15"/>
  <c r="F630" i="15"/>
  <c r="T807" i="15"/>
  <c r="R807" i="15" s="1"/>
  <c r="B632" i="15"/>
  <c r="G632" i="15"/>
  <c r="L632" i="15"/>
  <c r="T808" i="15" l="1"/>
  <c r="R808" i="15" s="1"/>
  <c r="F631" i="15"/>
  <c r="E630" i="15"/>
  <c r="O633" i="15"/>
  <c r="Q807" i="15"/>
  <c r="Q808" i="15" s="1"/>
  <c r="D632" i="15"/>
  <c r="T809" i="15" l="1"/>
  <c r="R809" i="15" s="1"/>
  <c r="J633" i="15"/>
  <c r="C633" i="15" s="1"/>
  <c r="M633" i="15"/>
  <c r="L633" i="15"/>
  <c r="Q809" i="15"/>
  <c r="F632" i="15"/>
  <c r="E631" i="15"/>
  <c r="T810" i="15" l="1"/>
  <c r="R810" i="15" s="1"/>
  <c r="E632" i="15"/>
  <c r="O634" i="15"/>
  <c r="J634" i="15" s="1"/>
  <c r="C634" i="15" s="1"/>
  <c r="B633" i="15"/>
  <c r="T811" i="15" l="1"/>
  <c r="R811" i="15" s="1"/>
  <c r="M634" i="15"/>
  <c r="B634" i="15"/>
  <c r="G634" i="15"/>
  <c r="L634" i="15"/>
  <c r="G633" i="15"/>
  <c r="D633" i="15"/>
  <c r="Q810" i="15"/>
  <c r="T812" i="15" l="1"/>
  <c r="R812" i="15" s="1"/>
  <c r="D634" i="15"/>
  <c r="F633" i="15"/>
  <c r="O635" i="15"/>
  <c r="J635" i="15" s="1"/>
  <c r="C635" i="15" s="1"/>
  <c r="Q811" i="15"/>
  <c r="Q812" i="15" s="1"/>
  <c r="T813" i="15" l="1"/>
  <c r="R813" i="15" s="1"/>
  <c r="B635" i="15"/>
  <c r="G635" i="15"/>
  <c r="E633" i="15"/>
  <c r="F634" i="15"/>
  <c r="Q813" i="15"/>
  <c r="M635" i="15"/>
  <c r="L635" i="15"/>
  <c r="T814" i="15" l="1"/>
  <c r="R814" i="15" s="1"/>
  <c r="D635" i="15"/>
  <c r="F635" i="15" s="1"/>
  <c r="E634" i="15"/>
  <c r="O636" i="15"/>
  <c r="J636" i="15" s="1"/>
  <c r="C636" i="15" s="1"/>
  <c r="L636" i="15" l="1"/>
  <c r="M636" i="15"/>
  <c r="O637" i="15"/>
  <c r="J637" i="15" s="1"/>
  <c r="C637" i="15" s="1"/>
  <c r="E635" i="15"/>
  <c r="D636" i="15"/>
  <c r="F636" i="15" s="1"/>
  <c r="Q814" i="15"/>
  <c r="B636" i="15"/>
  <c r="G636" i="15"/>
  <c r="M637" i="15" l="1"/>
  <c r="B637" i="15"/>
  <c r="G637" i="15"/>
  <c r="T815" i="15"/>
  <c r="R815" i="15" s="1"/>
  <c r="E636" i="15"/>
  <c r="L637" i="15"/>
  <c r="T816" i="15" l="1"/>
  <c r="R816" i="15" s="1"/>
  <c r="Q815" i="15"/>
  <c r="Q816" i="15" s="1"/>
  <c r="D637" i="15"/>
  <c r="O638" i="15"/>
  <c r="T817" i="15" l="1"/>
  <c r="R817" i="15" s="1"/>
  <c r="J638" i="15"/>
  <c r="C638" i="15" s="1"/>
  <c r="M638" i="15"/>
  <c r="F637" i="15"/>
  <c r="L638" i="15"/>
  <c r="Q817" i="15"/>
  <c r="T818" i="15" l="1"/>
  <c r="R818" i="15" s="1"/>
  <c r="Q818" i="15"/>
  <c r="O639" i="15"/>
  <c r="J639" i="15" s="1"/>
  <c r="C639" i="15" s="1"/>
  <c r="E637" i="15"/>
  <c r="B638" i="15"/>
  <c r="T819" i="15" l="1"/>
  <c r="R819" i="15" s="1"/>
  <c r="M639" i="15"/>
  <c r="L639" i="15"/>
  <c r="B639" i="15"/>
  <c r="G639" i="15"/>
  <c r="Q819" i="15"/>
  <c r="G638" i="15"/>
  <c r="D638" i="15"/>
  <c r="T820" i="15" l="1"/>
  <c r="R820" i="15" s="1"/>
  <c r="Q820" i="15"/>
  <c r="O640" i="15"/>
  <c r="J640" i="15" s="1"/>
  <c r="C640" i="15" s="1"/>
  <c r="D639" i="15"/>
  <c r="F638" i="15"/>
  <c r="T821" i="15" l="1"/>
  <c r="R821" i="15" s="1"/>
  <c r="E638" i="15"/>
  <c r="F639" i="15"/>
  <c r="L640" i="15"/>
  <c r="M640" i="15"/>
  <c r="B640" i="15"/>
  <c r="G640" i="15"/>
  <c r="D640" i="15" l="1"/>
  <c r="T822" i="15"/>
  <c r="R822" i="15" s="1"/>
  <c r="O641" i="15"/>
  <c r="J641" i="15" s="1"/>
  <c r="C641" i="15" s="1"/>
  <c r="E639" i="15"/>
  <c r="F640" i="15"/>
  <c r="Q821" i="15"/>
  <c r="T823" i="15" l="1"/>
  <c r="R823" i="15" s="1"/>
  <c r="E640" i="15"/>
  <c r="B641" i="15"/>
  <c r="L641" i="15"/>
  <c r="M641" i="15"/>
  <c r="Q822" i="15"/>
  <c r="G641" i="15" l="1"/>
  <c r="D641" i="15"/>
  <c r="O642" i="15"/>
  <c r="J642" i="15" s="1"/>
  <c r="C642" i="15" s="1"/>
  <c r="Q823" i="15"/>
  <c r="L642" i="15" l="1"/>
  <c r="O643" i="15" s="1"/>
  <c r="J643" i="15" s="1"/>
  <c r="C643" i="15" s="1"/>
  <c r="T824" i="15"/>
  <c r="R824" i="15" s="1"/>
  <c r="B642" i="15"/>
  <c r="G642" i="15"/>
  <c r="M642" i="15"/>
  <c r="D642" i="15"/>
  <c r="F641" i="15"/>
  <c r="M643" i="15" l="1"/>
  <c r="B643" i="15"/>
  <c r="G643" i="15"/>
  <c r="L643" i="15"/>
  <c r="E641" i="15"/>
  <c r="F642" i="15"/>
  <c r="Q824" i="15"/>
  <c r="O644" i="15" l="1"/>
  <c r="E642" i="15"/>
  <c r="T825" i="15"/>
  <c r="R825" i="15" s="1"/>
  <c r="D643" i="15"/>
  <c r="T826" i="15" l="1"/>
  <c r="R826" i="15" s="1"/>
  <c r="Q825" i="15"/>
  <c r="F643" i="15"/>
  <c r="J644" i="15"/>
  <c r="C644" i="15" s="1"/>
  <c r="M644" i="15"/>
  <c r="L644" i="15"/>
  <c r="O645" i="15" l="1"/>
  <c r="J645" i="15" s="1"/>
  <c r="C645" i="15" s="1"/>
  <c r="E643" i="15"/>
  <c r="B644" i="15"/>
  <c r="Q826" i="15"/>
  <c r="M645" i="15" l="1"/>
  <c r="O646" i="15" s="1"/>
  <c r="J646" i="15" s="1"/>
  <c r="C646" i="15" s="1"/>
  <c r="G644" i="15"/>
  <c r="D644" i="15"/>
  <c r="B645" i="15"/>
  <c r="G645" i="15"/>
  <c r="L645" i="15"/>
  <c r="T827" i="15"/>
  <c r="R827" i="15" s="1"/>
  <c r="L646" i="15" l="1"/>
  <c r="Q827" i="15"/>
  <c r="B646" i="15"/>
  <c r="G646" i="15"/>
  <c r="D645" i="15"/>
  <c r="D646" i="15" s="1"/>
  <c r="F644" i="15"/>
  <c r="T828" i="15"/>
  <c r="R828" i="15" s="1"/>
  <c r="M646" i="15"/>
  <c r="T829" i="15" l="1"/>
  <c r="R829" i="15" s="1"/>
  <c r="E644" i="15"/>
  <c r="F645" i="15"/>
  <c r="Q828" i="15"/>
  <c r="Q829" i="15" s="1"/>
  <c r="O647" i="15"/>
  <c r="M647" i="15" s="1"/>
  <c r="T830" i="15" l="1"/>
  <c r="R830" i="15" s="1"/>
  <c r="J647" i="15"/>
  <c r="C647" i="15" s="1"/>
  <c r="L647" i="15"/>
  <c r="Q830" i="15"/>
  <c r="E645" i="15"/>
  <c r="F646" i="15"/>
  <c r="T831" i="15" l="1"/>
  <c r="R831" i="15" s="1"/>
  <c r="Q831" i="15"/>
  <c r="B647" i="15"/>
  <c r="E646" i="15"/>
  <c r="O648" i="15"/>
  <c r="L648" i="15" s="1"/>
  <c r="T832" i="15" l="1"/>
  <c r="R832" i="15" s="1"/>
  <c r="O649" i="15"/>
  <c r="J649" i="15" s="1"/>
  <c r="C649" i="15" s="1"/>
  <c r="G647" i="15"/>
  <c r="D647" i="15"/>
  <c r="Q832" i="15"/>
  <c r="J648" i="15"/>
  <c r="C648" i="15" s="1"/>
  <c r="M648" i="15"/>
  <c r="T833" i="15" l="1"/>
  <c r="R833" i="15" s="1"/>
  <c r="F647" i="15"/>
  <c r="B648" i="15"/>
  <c r="G648" i="15"/>
  <c r="B649" i="15"/>
  <c r="G649" i="15"/>
  <c r="L649" i="15"/>
  <c r="M649" i="15"/>
  <c r="Q833" i="15" l="1"/>
  <c r="T834" i="15"/>
  <c r="R834" i="15" s="1"/>
  <c r="E647" i="15"/>
  <c r="D648" i="15"/>
  <c r="D649" i="15" s="1"/>
  <c r="O650" i="15"/>
  <c r="J650" i="15" s="1"/>
  <c r="C650" i="15" s="1"/>
  <c r="Q834" i="15" l="1"/>
  <c r="L650" i="15"/>
  <c r="M650" i="15"/>
  <c r="T835" i="15"/>
  <c r="R835" i="15" s="1"/>
  <c r="O651" i="15"/>
  <c r="J651" i="15" s="1"/>
  <c r="C651" i="15" s="1"/>
  <c r="F648" i="15"/>
  <c r="D650" i="15"/>
  <c r="B650" i="15"/>
  <c r="G650" i="15"/>
  <c r="Q835" i="15" l="1"/>
  <c r="T836" i="15"/>
  <c r="R836" i="15" s="1"/>
  <c r="E648" i="15"/>
  <c r="F649" i="15"/>
  <c r="L651" i="15"/>
  <c r="D651" i="15"/>
  <c r="M651" i="15"/>
  <c r="B651" i="15"/>
  <c r="G651" i="15"/>
  <c r="Q836" i="15" l="1"/>
  <c r="T837" i="15"/>
  <c r="R837" i="15" s="1"/>
  <c r="O652" i="15"/>
  <c r="J652" i="15" s="1"/>
  <c r="C652" i="15" s="1"/>
  <c r="E649" i="15"/>
  <c r="F650" i="15"/>
  <c r="B652" i="15" l="1"/>
  <c r="L652" i="15"/>
  <c r="M652" i="15"/>
  <c r="Q837" i="15"/>
  <c r="E650" i="15"/>
  <c r="F651" i="15"/>
  <c r="E651" i="15" l="1"/>
  <c r="G652" i="15"/>
  <c r="D652" i="15"/>
  <c r="T838" i="15"/>
  <c r="R838" i="15" s="1"/>
  <c r="O653" i="15"/>
  <c r="J653" i="15" s="1"/>
  <c r="C653" i="15" s="1"/>
  <c r="L653" i="15" l="1"/>
  <c r="O654" i="15" s="1"/>
  <c r="J654" i="15" s="1"/>
  <c r="C654" i="15" s="1"/>
  <c r="Q838" i="15"/>
  <c r="F652" i="15"/>
  <c r="B653" i="15"/>
  <c r="G653" i="15"/>
  <c r="M653" i="15"/>
  <c r="E652" i="15" l="1"/>
  <c r="D653" i="15"/>
  <c r="T839" i="15"/>
  <c r="R839" i="15" s="1"/>
  <c r="B654" i="15"/>
  <c r="G654" i="15"/>
  <c r="M654" i="15"/>
  <c r="L654" i="15"/>
  <c r="Q839" i="15" l="1"/>
  <c r="D654" i="15"/>
  <c r="T840" i="15"/>
  <c r="R840" i="15" s="1"/>
  <c r="F653" i="15"/>
  <c r="O655" i="15"/>
  <c r="J655" i="15" s="1"/>
  <c r="C655" i="15" s="1"/>
  <c r="E653" i="15" l="1"/>
  <c r="F654" i="15"/>
  <c r="B655" i="15"/>
  <c r="G655" i="15"/>
  <c r="L655" i="15"/>
  <c r="M655" i="15"/>
  <c r="Q840" i="15"/>
  <c r="D655" i="15" l="1"/>
  <c r="O656" i="15"/>
  <c r="J656" i="15" s="1"/>
  <c r="C656" i="15" s="1"/>
  <c r="E654" i="15"/>
  <c r="F655" i="15"/>
  <c r="T841" i="15"/>
  <c r="R841" i="15" s="1"/>
  <c r="E655" i="15" l="1"/>
  <c r="T842" i="15"/>
  <c r="R842" i="15" s="1"/>
  <c r="L656" i="15"/>
  <c r="Q841" i="15"/>
  <c r="Q842" i="15" s="1"/>
  <c r="B656" i="15"/>
  <c r="G656" i="15"/>
  <c r="M656" i="15"/>
  <c r="T843" i="15" l="1"/>
  <c r="R843" i="15" s="1"/>
  <c r="O657" i="15"/>
  <c r="J657" i="15" s="1"/>
  <c r="C657" i="15" s="1"/>
  <c r="Q843" i="15"/>
  <c r="D656" i="15"/>
  <c r="M657" i="15" l="1"/>
  <c r="T844" i="15"/>
  <c r="R844" i="15" s="1"/>
  <c r="L657" i="15"/>
  <c r="F656" i="15"/>
  <c r="B657" i="15"/>
  <c r="G657" i="15"/>
  <c r="D657" i="15" l="1"/>
  <c r="E656" i="15"/>
  <c r="F657" i="15"/>
  <c r="Q844" i="15"/>
  <c r="O658" i="15"/>
  <c r="J658" i="15" l="1"/>
  <c r="C658" i="15" s="1"/>
  <c r="M658" i="15"/>
  <c r="T845" i="15"/>
  <c r="R845" i="15" s="1"/>
  <c r="L658" i="15"/>
  <c r="E657" i="15"/>
  <c r="O659" i="15" l="1"/>
  <c r="J659" i="15" s="1"/>
  <c r="C659" i="15" s="1"/>
  <c r="T846" i="15"/>
  <c r="R846" i="15" s="1"/>
  <c r="Q845" i="15"/>
  <c r="M659" i="15"/>
  <c r="B658" i="15"/>
  <c r="G658" i="15" l="1"/>
  <c r="D658" i="15"/>
  <c r="Q846" i="15"/>
  <c r="B659" i="15"/>
  <c r="G659" i="15"/>
  <c r="L659" i="15"/>
  <c r="D659" i="15" l="1"/>
  <c r="F658" i="15"/>
  <c r="O660" i="15"/>
  <c r="T847" i="15"/>
  <c r="R847" i="15" s="1"/>
  <c r="Q847" i="15" l="1"/>
  <c r="E658" i="15"/>
  <c r="F659" i="15"/>
  <c r="J660" i="15"/>
  <c r="C660" i="15" s="1"/>
  <c r="M660" i="15"/>
  <c r="L660" i="15"/>
  <c r="O661" i="15" l="1"/>
  <c r="J661" i="15" s="1"/>
  <c r="C661" i="15" s="1"/>
  <c r="B660" i="15"/>
  <c r="E659" i="15"/>
  <c r="T848" i="15"/>
  <c r="R848" i="15" s="1"/>
  <c r="Q848" i="15" l="1"/>
  <c r="M661" i="15"/>
  <c r="G660" i="15"/>
  <c r="D660" i="15"/>
  <c r="O662" i="15"/>
  <c r="J662" i="15" s="1"/>
  <c r="C662" i="15" s="1"/>
  <c r="B661" i="15"/>
  <c r="G661" i="15"/>
  <c r="R849" i="15"/>
  <c r="T849" i="15"/>
  <c r="Q849" i="15" s="1"/>
  <c r="L661" i="15"/>
  <c r="T850" i="15" l="1"/>
  <c r="Q850" i="15" s="1"/>
  <c r="D661" i="15"/>
  <c r="F660" i="15"/>
  <c r="B662" i="15"/>
  <c r="G662" i="15"/>
  <c r="M662" i="15"/>
  <c r="L662" i="15"/>
  <c r="T851" i="15" l="1"/>
  <c r="Q851" i="15" s="1"/>
  <c r="E660" i="15"/>
  <c r="F661" i="15"/>
  <c r="D662" i="15"/>
  <c r="R850" i="15"/>
  <c r="R851" i="15" s="1"/>
  <c r="O663" i="15"/>
  <c r="J663" i="15" s="1"/>
  <c r="C663" i="15" s="1"/>
  <c r="L663" i="15" l="1"/>
  <c r="M663" i="15"/>
  <c r="T852" i="15"/>
  <c r="Q852" i="15" s="1"/>
  <c r="O664" i="15"/>
  <c r="J664" i="15" s="1"/>
  <c r="C664" i="15" s="1"/>
  <c r="E661" i="15"/>
  <c r="F662" i="15"/>
  <c r="B663" i="15"/>
  <c r="G663" i="15"/>
  <c r="R852" i="15" l="1"/>
  <c r="T853" i="15"/>
  <c r="Q853" i="15" s="1"/>
  <c r="B664" i="15"/>
  <c r="G664" i="15"/>
  <c r="L664" i="15"/>
  <c r="D663" i="15"/>
  <c r="D664" i="15" s="1"/>
  <c r="E662" i="15"/>
  <c r="M664" i="15"/>
  <c r="R853" i="15" l="1"/>
  <c r="T854" i="15"/>
  <c r="Q854" i="15" s="1"/>
  <c r="O665" i="15"/>
  <c r="J665" i="15" s="1"/>
  <c r="C665" i="15" s="1"/>
  <c r="R854" i="15"/>
  <c r="F663" i="15"/>
  <c r="E663" i="15" l="1"/>
  <c r="F664" i="15"/>
  <c r="T855" i="15"/>
  <c r="Q855" i="15" s="1"/>
  <c r="B665" i="15"/>
  <c r="M665" i="15"/>
  <c r="L665" i="15"/>
  <c r="R855" i="15" l="1"/>
  <c r="G665" i="15"/>
  <c r="D665" i="15"/>
  <c r="E664" i="15"/>
  <c r="O666" i="15"/>
  <c r="J666" i="15" s="1"/>
  <c r="C666" i="15" s="1"/>
  <c r="L666" i="15" l="1"/>
  <c r="M666" i="15"/>
  <c r="O667" i="15"/>
  <c r="J667" i="15" s="1"/>
  <c r="C667" i="15" s="1"/>
  <c r="T856" i="15"/>
  <c r="Q856" i="15" s="1"/>
  <c r="F665" i="15"/>
  <c r="M667" i="15"/>
  <c r="B666" i="15"/>
  <c r="G666" i="15"/>
  <c r="E665" i="15" l="1"/>
  <c r="R856" i="15"/>
  <c r="B667" i="15"/>
  <c r="G667" i="15"/>
  <c r="L667" i="15"/>
  <c r="D666" i="15"/>
  <c r="F666" i="15" s="1"/>
  <c r="O668" i="15" l="1"/>
  <c r="T857" i="15"/>
  <c r="Q857" i="15" s="1"/>
  <c r="E666" i="15"/>
  <c r="D667" i="15"/>
  <c r="F667" i="15" l="1"/>
  <c r="R857" i="15"/>
  <c r="J668" i="15"/>
  <c r="C668" i="15" s="1"/>
  <c r="M668" i="15"/>
  <c r="L668" i="15"/>
  <c r="O669" i="15" l="1"/>
  <c r="J669" i="15" s="1"/>
  <c r="C669" i="15" s="1"/>
  <c r="T858" i="15"/>
  <c r="Q858" i="15" s="1"/>
  <c r="B668" i="15"/>
  <c r="E667" i="15"/>
  <c r="G668" i="15" l="1"/>
  <c r="D668" i="15"/>
  <c r="B669" i="15"/>
  <c r="G669" i="15"/>
  <c r="T859" i="15"/>
  <c r="Q859" i="15" s="1"/>
  <c r="R858" i="15"/>
  <c r="M669" i="15"/>
  <c r="L669" i="15"/>
  <c r="T860" i="15" l="1"/>
  <c r="Q860" i="15" s="1"/>
  <c r="R859" i="15"/>
  <c r="D669" i="15"/>
  <c r="F668" i="15"/>
  <c r="O670" i="15"/>
  <c r="J670" i="15" s="1"/>
  <c r="C670" i="15" s="1"/>
  <c r="R860" i="15" l="1"/>
  <c r="T861" i="15"/>
  <c r="Q861" i="15" s="1"/>
  <c r="M670" i="15"/>
  <c r="B670" i="15"/>
  <c r="G670" i="15"/>
  <c r="L670" i="15"/>
  <c r="E668" i="15"/>
  <c r="F669" i="15"/>
  <c r="T862" i="15" l="1"/>
  <c r="Q862" i="15" s="1"/>
  <c r="D670" i="15"/>
  <c r="O671" i="15"/>
  <c r="J671" i="15" s="1"/>
  <c r="C671" i="15" s="1"/>
  <c r="R861" i="15"/>
  <c r="E669" i="15"/>
  <c r="R862" i="15" l="1"/>
  <c r="T863" i="15"/>
  <c r="Q863" i="15" s="1"/>
  <c r="B671" i="15"/>
  <c r="G671" i="15"/>
  <c r="L671" i="15"/>
  <c r="R863" i="15"/>
  <c r="M671" i="15"/>
  <c r="F670" i="15"/>
  <c r="T864" i="15" l="1"/>
  <c r="Q864" i="15" s="1"/>
  <c r="O672" i="15"/>
  <c r="J672" i="15" s="1"/>
  <c r="C672" i="15" s="1"/>
  <c r="D671" i="15"/>
  <c r="R864" i="15"/>
  <c r="E670" i="15"/>
  <c r="M672" i="15" l="1"/>
  <c r="L672" i="15"/>
  <c r="T865" i="15"/>
  <c r="Q865" i="15" s="1"/>
  <c r="O673" i="15"/>
  <c r="J673" i="15" s="1"/>
  <c r="C673" i="15" s="1"/>
  <c r="B672" i="15"/>
  <c r="G672" i="15"/>
  <c r="F671" i="15"/>
  <c r="D672" i="15" l="1"/>
  <c r="M673" i="15"/>
  <c r="R865" i="15"/>
  <c r="B673" i="15"/>
  <c r="G673" i="15"/>
  <c r="L673" i="15"/>
  <c r="D673" i="15"/>
  <c r="E671" i="15"/>
  <c r="F672" i="15"/>
  <c r="T866" i="15" l="1"/>
  <c r="Q866" i="15" s="1"/>
  <c r="O674" i="15"/>
  <c r="J674" i="15" s="1"/>
  <c r="C674" i="15" s="1"/>
  <c r="E672" i="15"/>
  <c r="F673" i="15"/>
  <c r="E673" i="15" l="1"/>
  <c r="B674" i="15"/>
  <c r="M674" i="15"/>
  <c r="R866" i="15"/>
  <c r="L674" i="15"/>
  <c r="O675" i="15" l="1"/>
  <c r="J675" i="15" s="1"/>
  <c r="C675" i="15" s="1"/>
  <c r="G674" i="15"/>
  <c r="D674" i="15"/>
  <c r="L675" i="15"/>
  <c r="T867" i="15"/>
  <c r="Q867" i="15" s="1"/>
  <c r="R867" i="15" l="1"/>
  <c r="F674" i="15"/>
  <c r="B675" i="15"/>
  <c r="G675" i="15"/>
  <c r="M675" i="15"/>
  <c r="O676" i="15" l="1"/>
  <c r="E674" i="15"/>
  <c r="D675" i="15"/>
  <c r="T868" i="15"/>
  <c r="Q868" i="15" s="1"/>
  <c r="R868" i="15" l="1"/>
  <c r="F675" i="15"/>
  <c r="J676" i="15"/>
  <c r="C676" i="15" s="1"/>
  <c r="L676" i="15"/>
  <c r="M676" i="15"/>
  <c r="O677" i="15" l="1"/>
  <c r="J677" i="15" s="1"/>
  <c r="C677" i="15" s="1"/>
  <c r="B676" i="15"/>
  <c r="M677" i="15"/>
  <c r="E675" i="15"/>
  <c r="T869" i="15"/>
  <c r="Q869" i="15" s="1"/>
  <c r="R869" i="15" l="1"/>
  <c r="T870" i="15"/>
  <c r="R870" i="15" s="1"/>
  <c r="G676" i="15"/>
  <c r="D676" i="15"/>
  <c r="B677" i="15"/>
  <c r="G677" i="15"/>
  <c r="Q870" i="15"/>
  <c r="L677" i="15"/>
  <c r="T871" i="15" l="1"/>
  <c r="R871" i="15" s="1"/>
  <c r="Q871" i="15"/>
  <c r="D677" i="15"/>
  <c r="F676" i="15"/>
  <c r="O678" i="15"/>
  <c r="T872" i="15" l="1"/>
  <c r="R872" i="15" s="1"/>
  <c r="J678" i="15"/>
  <c r="C678" i="15" s="1"/>
  <c r="M678" i="15"/>
  <c r="L678" i="15"/>
  <c r="E676" i="15"/>
  <c r="F677" i="15"/>
  <c r="E677" i="15" l="1"/>
  <c r="O679" i="15"/>
  <c r="J679" i="15" s="1"/>
  <c r="C679" i="15" s="1"/>
  <c r="B678" i="15"/>
  <c r="Q872" i="15"/>
  <c r="G678" i="15" l="1"/>
  <c r="D678" i="15"/>
  <c r="L679" i="15"/>
  <c r="B679" i="15"/>
  <c r="G679" i="15"/>
  <c r="M679" i="15"/>
  <c r="T873" i="15"/>
  <c r="R873" i="15" s="1"/>
  <c r="Q873" i="15" l="1"/>
  <c r="O680" i="15"/>
  <c r="J680" i="15" s="1"/>
  <c r="C680" i="15" s="1"/>
  <c r="D679" i="15"/>
  <c r="F678" i="15"/>
  <c r="M680" i="15" l="1"/>
  <c r="E678" i="15"/>
  <c r="F679" i="15"/>
  <c r="B680" i="15"/>
  <c r="G680" i="15"/>
  <c r="L680" i="15"/>
  <c r="T874" i="15"/>
  <c r="R874" i="15" s="1"/>
  <c r="Q874" i="15" l="1"/>
  <c r="O681" i="15"/>
  <c r="D680" i="15"/>
  <c r="E679" i="15"/>
  <c r="F680" i="15"/>
  <c r="T875" i="15"/>
  <c r="Q875" i="15" s="1"/>
  <c r="T876" i="15" l="1"/>
  <c r="Q876" i="15" s="1"/>
  <c r="E680" i="15"/>
  <c r="R875" i="15"/>
  <c r="J681" i="15"/>
  <c r="C681" i="15" s="1"/>
  <c r="M681" i="15"/>
  <c r="L681" i="15"/>
  <c r="R876" i="15" l="1"/>
  <c r="T877" i="15" s="1"/>
  <c r="Q877" i="15" s="1"/>
  <c r="O682" i="15"/>
  <c r="J682" i="15" s="1"/>
  <c r="C682" i="15" s="1"/>
  <c r="B681" i="15"/>
  <c r="L682" i="15" l="1"/>
  <c r="O683" i="15"/>
  <c r="J683" i="15" s="1"/>
  <c r="C683" i="15" s="1"/>
  <c r="G681" i="15"/>
  <c r="D681" i="15"/>
  <c r="B682" i="15"/>
  <c r="G682" i="15"/>
  <c r="M682" i="15"/>
  <c r="M683" i="15" s="1"/>
  <c r="R877" i="15"/>
  <c r="D682" i="15" l="1"/>
  <c r="F681" i="15"/>
  <c r="B683" i="15"/>
  <c r="G683" i="15"/>
  <c r="L683" i="15"/>
  <c r="T878" i="15"/>
  <c r="Q878" i="15" s="1"/>
  <c r="R878" i="15" l="1"/>
  <c r="E681" i="15"/>
  <c r="F682" i="15"/>
  <c r="T879" i="15"/>
  <c r="Q879" i="15" s="1"/>
  <c r="O684" i="15"/>
  <c r="L684" i="15" s="1"/>
  <c r="D683" i="15"/>
  <c r="J684" i="15" l="1"/>
  <c r="C684" i="15" s="1"/>
  <c r="M684" i="15"/>
  <c r="E682" i="15"/>
  <c r="F683" i="15"/>
  <c r="R879" i="15"/>
  <c r="T880" i="15" l="1"/>
  <c r="Q880" i="15" s="1"/>
  <c r="E683" i="15"/>
  <c r="O685" i="15"/>
  <c r="M685" i="15" s="1"/>
  <c r="B684" i="15"/>
  <c r="O686" i="15" l="1"/>
  <c r="J686" i="15" s="1"/>
  <c r="C686" i="15" s="1"/>
  <c r="G684" i="15"/>
  <c r="D684" i="15"/>
  <c r="J685" i="15"/>
  <c r="C685" i="15" s="1"/>
  <c r="L685" i="15"/>
  <c r="L686" i="15" s="1"/>
  <c r="T881" i="15"/>
  <c r="Q881" i="15" s="1"/>
  <c r="R880" i="15"/>
  <c r="T882" i="15" l="1"/>
  <c r="Q882" i="15" s="1"/>
  <c r="B685" i="15"/>
  <c r="G685" i="15"/>
  <c r="O687" i="15"/>
  <c r="J687" i="15" s="1"/>
  <c r="C687" i="15" s="1"/>
  <c r="D685" i="15"/>
  <c r="D686" i="15" s="1"/>
  <c r="F684" i="15"/>
  <c r="B686" i="15"/>
  <c r="G686" i="15"/>
  <c r="R881" i="15"/>
  <c r="R882" i="15" s="1"/>
  <c r="M686" i="15"/>
  <c r="L687" i="15" l="1"/>
  <c r="M687" i="15"/>
  <c r="T883" i="15"/>
  <c r="Q883" i="15" s="1"/>
  <c r="O688" i="15"/>
  <c r="J688" i="15" s="1"/>
  <c r="C688" i="15" s="1"/>
  <c r="E684" i="15"/>
  <c r="F685" i="15"/>
  <c r="B687" i="15"/>
  <c r="G687" i="15"/>
  <c r="R883" i="15" l="1"/>
  <c r="D687" i="15"/>
  <c r="T884" i="15"/>
  <c r="Q884" i="15" s="1"/>
  <c r="E685" i="15"/>
  <c r="F686" i="15"/>
  <c r="L688" i="15"/>
  <c r="B688" i="15"/>
  <c r="G688" i="15"/>
  <c r="M688" i="15"/>
  <c r="R884" i="15" l="1"/>
  <c r="T885" i="15"/>
  <c r="Q885" i="15" s="1"/>
  <c r="L689" i="15"/>
  <c r="E686" i="15"/>
  <c r="F687" i="15"/>
  <c r="R885" i="15"/>
  <c r="D688" i="15"/>
  <c r="M689" i="15"/>
  <c r="O689" i="15"/>
  <c r="J689" i="15" s="1"/>
  <c r="C689" i="15" s="1"/>
  <c r="T886" i="15" l="1"/>
  <c r="Q886" i="15" s="1"/>
  <c r="R886" i="15"/>
  <c r="O690" i="15"/>
  <c r="J690" i="15" s="1"/>
  <c r="C690" i="15" s="1"/>
  <c r="D689" i="15"/>
  <c r="E687" i="15"/>
  <c r="F688" i="15"/>
  <c r="B689" i="15"/>
  <c r="G689" i="15"/>
  <c r="L690" i="15" l="1"/>
  <c r="T887" i="15"/>
  <c r="Q887" i="15" s="1"/>
  <c r="B690" i="15"/>
  <c r="G690" i="15"/>
  <c r="M690" i="15"/>
  <c r="E688" i="15"/>
  <c r="F689" i="15"/>
  <c r="R887" i="15" l="1"/>
  <c r="T888" i="15"/>
  <c r="Q888" i="15" s="1"/>
  <c r="O691" i="15"/>
  <c r="D690" i="15"/>
  <c r="E689" i="15"/>
  <c r="F690" i="15"/>
  <c r="R888" i="15" l="1"/>
  <c r="T889" i="15"/>
  <c r="Q889" i="15" s="1"/>
  <c r="E690" i="15"/>
  <c r="J691" i="15"/>
  <c r="C691" i="15" s="1"/>
  <c r="L691" i="15"/>
  <c r="M691" i="15"/>
  <c r="R889" i="15" l="1"/>
  <c r="T890" i="15"/>
  <c r="Q890" i="15" s="1"/>
  <c r="B691" i="15"/>
  <c r="R890" i="15"/>
  <c r="O692" i="15"/>
  <c r="J692" i="15" s="1"/>
  <c r="C692" i="15" s="1"/>
  <c r="T891" i="15" l="1"/>
  <c r="Q891" i="15" s="1"/>
  <c r="B692" i="15"/>
  <c r="G692" i="15"/>
  <c r="G691" i="15"/>
  <c r="D691" i="15"/>
  <c r="M692" i="15"/>
  <c r="L692" i="15"/>
  <c r="R891" i="15" l="1"/>
  <c r="O693" i="15"/>
  <c r="J693" i="15" s="1"/>
  <c r="C693" i="15" s="1"/>
  <c r="D692" i="15"/>
  <c r="F691" i="15"/>
  <c r="T892" i="15"/>
  <c r="R892" i="15" s="1"/>
  <c r="Q892" i="15" l="1"/>
  <c r="L693" i="15"/>
  <c r="M693" i="15"/>
  <c r="E691" i="15"/>
  <c r="F692" i="15"/>
  <c r="B693" i="15"/>
  <c r="G693" i="15"/>
  <c r="D693" i="15" l="1"/>
  <c r="F693" i="15" s="1"/>
  <c r="T893" i="15"/>
  <c r="R893" i="15" s="1"/>
  <c r="E692" i="15"/>
  <c r="O694" i="15"/>
  <c r="J694" i="15" s="1"/>
  <c r="C694" i="15" s="1"/>
  <c r="E693" i="15" l="1"/>
  <c r="B694" i="15"/>
  <c r="L694" i="15"/>
  <c r="T894" i="15"/>
  <c r="R894" i="15" s="1"/>
  <c r="Q893" i="15"/>
  <c r="M694" i="15"/>
  <c r="Q894" i="15" l="1"/>
  <c r="T895" i="15"/>
  <c r="R895" i="15" s="1"/>
  <c r="O695" i="15"/>
  <c r="J695" i="15" s="1"/>
  <c r="C695" i="15" s="1"/>
  <c r="G694" i="15"/>
  <c r="D694" i="15"/>
  <c r="M695" i="15" l="1"/>
  <c r="L695" i="15"/>
  <c r="T896" i="15"/>
  <c r="R896" i="15" s="1"/>
  <c r="F694" i="15"/>
  <c r="O696" i="15"/>
  <c r="J696" i="15" s="1"/>
  <c r="C696" i="15" s="1"/>
  <c r="B695" i="15"/>
  <c r="G695" i="15"/>
  <c r="Q895" i="15"/>
  <c r="D695" i="15" l="1"/>
  <c r="Q896" i="15"/>
  <c r="T897" i="15" s="1"/>
  <c r="R897" i="15" s="1"/>
  <c r="B696" i="15"/>
  <c r="G696" i="15"/>
  <c r="M696" i="15"/>
  <c r="L696" i="15"/>
  <c r="E694" i="15"/>
  <c r="F695" i="15"/>
  <c r="O697" i="15" l="1"/>
  <c r="J697" i="15" s="1"/>
  <c r="C697" i="15" s="1"/>
  <c r="Q897" i="15"/>
  <c r="E695" i="15"/>
  <c r="D696" i="15"/>
  <c r="F696" i="15" l="1"/>
  <c r="T898" i="15"/>
  <c r="R898" i="15" s="1"/>
  <c r="B697" i="15"/>
  <c r="G697" i="15"/>
  <c r="M697" i="15"/>
  <c r="L697" i="15"/>
  <c r="O698" i="15" l="1"/>
  <c r="J698" i="15" s="1"/>
  <c r="C698" i="15" s="1"/>
  <c r="L698" i="15"/>
  <c r="Q898" i="15"/>
  <c r="E696" i="15"/>
  <c r="D697" i="15"/>
  <c r="F697" i="15" s="1"/>
  <c r="E697" i="15" l="1"/>
  <c r="T899" i="15"/>
  <c r="R899" i="15" s="1"/>
  <c r="O699" i="15"/>
  <c r="J699" i="15" s="1"/>
  <c r="C699" i="15" s="1"/>
  <c r="B698" i="15"/>
  <c r="G698" i="15"/>
  <c r="M698" i="15"/>
  <c r="D698" i="15" l="1"/>
  <c r="L699" i="15"/>
  <c r="Q899" i="15"/>
  <c r="F698" i="15"/>
  <c r="B699" i="15"/>
  <c r="G699" i="15"/>
  <c r="M699" i="15"/>
  <c r="E698" i="15" l="1"/>
  <c r="D699" i="15"/>
  <c r="T900" i="15"/>
  <c r="R900" i="15" s="1"/>
  <c r="O700" i="15"/>
  <c r="J700" i="15" s="1"/>
  <c r="C700" i="15" s="1"/>
  <c r="B700" i="15" l="1"/>
  <c r="G700" i="15"/>
  <c r="L700" i="15"/>
  <c r="D700" i="15"/>
  <c r="Q900" i="15"/>
  <c r="F699" i="15"/>
  <c r="M700" i="15"/>
  <c r="O701" i="15" l="1"/>
  <c r="J701" i="15" s="1"/>
  <c r="C701" i="15" s="1"/>
  <c r="E699" i="15"/>
  <c r="F700" i="15"/>
  <c r="T901" i="15"/>
  <c r="R901" i="15" s="1"/>
  <c r="Q901" i="15" l="1"/>
  <c r="E700" i="15"/>
  <c r="B701" i="15"/>
  <c r="M701" i="15"/>
  <c r="L701" i="15"/>
  <c r="G701" i="15" l="1"/>
  <c r="D701" i="15"/>
  <c r="O702" i="15"/>
  <c r="J702" i="15" s="1"/>
  <c r="C702" i="15" s="1"/>
  <c r="T902" i="15"/>
  <c r="R902" i="15" s="1"/>
  <c r="B702" i="15" l="1"/>
  <c r="G702" i="15"/>
  <c r="Q902" i="15"/>
  <c r="M702" i="15"/>
  <c r="L702" i="15"/>
  <c r="D702" i="15"/>
  <c r="F701" i="15"/>
  <c r="E701" i="15" l="1"/>
  <c r="F702" i="15"/>
  <c r="T903" i="15"/>
  <c r="R903" i="15" s="1"/>
  <c r="O703" i="15"/>
  <c r="J703" i="15" s="1"/>
  <c r="C703" i="15" s="1"/>
  <c r="B703" i="15" l="1"/>
  <c r="L703" i="15"/>
  <c r="M703" i="15"/>
  <c r="E702" i="15"/>
  <c r="T904" i="15"/>
  <c r="R904" i="15" s="1"/>
  <c r="Q903" i="15"/>
  <c r="G703" i="15" l="1"/>
  <c r="D703" i="15"/>
  <c r="O704" i="15"/>
  <c r="J704" i="15" s="1"/>
  <c r="C704" i="15" s="1"/>
  <c r="Q904" i="15"/>
  <c r="T905" i="15" l="1"/>
  <c r="R905" i="15" s="1"/>
  <c r="B704" i="15"/>
  <c r="G704" i="15"/>
  <c r="M704" i="15"/>
  <c r="D704" i="15"/>
  <c r="F703" i="15"/>
  <c r="L704" i="15"/>
  <c r="E703" i="15" l="1"/>
  <c r="F704" i="15"/>
  <c r="O705" i="15"/>
  <c r="J705" i="15" s="1"/>
  <c r="C705" i="15" s="1"/>
  <c r="Q905" i="15"/>
  <c r="T906" i="15" l="1"/>
  <c r="R906" i="15" s="1"/>
  <c r="B705" i="15"/>
  <c r="M705" i="15"/>
  <c r="E704" i="15"/>
  <c r="L705" i="15"/>
  <c r="Q906" i="15" l="1"/>
  <c r="O706" i="15"/>
  <c r="J706" i="15" s="1"/>
  <c r="C706" i="15" s="1"/>
  <c r="G705" i="15"/>
  <c r="D705" i="15"/>
  <c r="T907" i="15"/>
  <c r="Q907" i="15" s="1"/>
  <c r="M706" i="15" l="1"/>
  <c r="R907" i="15"/>
  <c r="T908" i="15"/>
  <c r="Q908" i="15" s="1"/>
  <c r="F705" i="15"/>
  <c r="B706" i="15"/>
  <c r="G706" i="15"/>
  <c r="L706" i="15"/>
  <c r="T909" i="15" l="1"/>
  <c r="Q909" i="15" s="1"/>
  <c r="E705" i="15"/>
  <c r="D706" i="15"/>
  <c r="F706" i="15" s="1"/>
  <c r="R908" i="15"/>
  <c r="O707" i="15"/>
  <c r="L707" i="15" s="1"/>
  <c r="R909" i="15" l="1"/>
  <c r="O708" i="15"/>
  <c r="J708" i="15" s="1"/>
  <c r="C708" i="15" s="1"/>
  <c r="E706" i="15"/>
  <c r="T910" i="15"/>
  <c r="R910" i="15" s="1"/>
  <c r="J707" i="15"/>
  <c r="C707" i="15" s="1"/>
  <c r="M707" i="15"/>
  <c r="M708" i="15" s="1"/>
  <c r="B707" i="15" l="1"/>
  <c r="Q910" i="15"/>
  <c r="B708" i="15"/>
  <c r="G708" i="15"/>
  <c r="L708" i="15"/>
  <c r="O709" i="15" l="1"/>
  <c r="T911" i="15"/>
  <c r="R911" i="15" s="1"/>
  <c r="G707" i="15"/>
  <c r="D707" i="15"/>
  <c r="D708" i="15" l="1"/>
  <c r="F707" i="15"/>
  <c r="Q911" i="15"/>
  <c r="J709" i="15"/>
  <c r="C709" i="15" s="1"/>
  <c r="M709" i="15"/>
  <c r="L709" i="15"/>
  <c r="T912" i="15" l="1"/>
  <c r="R912" i="15" s="1"/>
  <c r="O710" i="15"/>
  <c r="J710" i="15" s="1"/>
  <c r="C710" i="15" s="1"/>
  <c r="E707" i="15"/>
  <c r="F708" i="15"/>
  <c r="B709" i="15"/>
  <c r="G709" i="15"/>
  <c r="D709" i="15"/>
  <c r="B710" i="15" l="1"/>
  <c r="G710" i="15"/>
  <c r="M710" i="15"/>
  <c r="E708" i="15"/>
  <c r="F709" i="15"/>
  <c r="L710" i="15"/>
  <c r="D710" i="15"/>
  <c r="Q912" i="15"/>
  <c r="E709" i="15" l="1"/>
  <c r="F710" i="15"/>
  <c r="O711" i="15"/>
  <c r="J711" i="15" s="1"/>
  <c r="C711" i="15" s="1"/>
  <c r="T913" i="15"/>
  <c r="R913" i="15" s="1"/>
  <c r="B711" i="15" l="1"/>
  <c r="L711" i="15"/>
  <c r="T914" i="15"/>
  <c r="R914" i="15" s="1"/>
  <c r="E710" i="15"/>
  <c r="Q913" i="15"/>
  <c r="M711" i="15"/>
  <c r="Q914" i="15" l="1"/>
  <c r="T915" i="15"/>
  <c r="R915" i="15" s="1"/>
  <c r="O712" i="15"/>
  <c r="J712" i="15" s="1"/>
  <c r="C712" i="15" s="1"/>
  <c r="G711" i="15"/>
  <c r="D711" i="15"/>
  <c r="M712" i="15"/>
  <c r="T916" i="15" l="1"/>
  <c r="R916" i="15" s="1"/>
  <c r="B712" i="15"/>
  <c r="G712" i="15"/>
  <c r="F711" i="15"/>
  <c r="L712" i="15"/>
  <c r="Q915" i="15"/>
  <c r="T917" i="15" l="1"/>
  <c r="R917" i="15" s="1"/>
  <c r="E711" i="15"/>
  <c r="D712" i="15"/>
  <c r="O713" i="15"/>
  <c r="Q916" i="15"/>
  <c r="Q917" i="15" l="1"/>
  <c r="T918" i="15"/>
  <c r="R918" i="15" s="1"/>
  <c r="F712" i="15"/>
  <c r="J713" i="15"/>
  <c r="C713" i="15" s="1"/>
  <c r="M713" i="15"/>
  <c r="L713" i="15"/>
  <c r="O714" i="15" l="1"/>
  <c r="J714" i="15" s="1"/>
  <c r="C714" i="15" s="1"/>
  <c r="E712" i="15"/>
  <c r="B713" i="15"/>
  <c r="Q918" i="15"/>
  <c r="M714" i="15" l="1"/>
  <c r="B714" i="15"/>
  <c r="G714" i="15"/>
  <c r="L714" i="15"/>
  <c r="G713" i="15"/>
  <c r="D713" i="15"/>
  <c r="T919" i="15"/>
  <c r="R919" i="15" s="1"/>
  <c r="Q919" i="15" l="1"/>
  <c r="D714" i="15"/>
  <c r="F713" i="15"/>
  <c r="O715" i="15"/>
  <c r="L715" i="15" s="1"/>
  <c r="J715" i="15" l="1"/>
  <c r="C715" i="15" s="1"/>
  <c r="M715" i="15"/>
  <c r="F714" i="15"/>
  <c r="E713" i="15"/>
  <c r="T920" i="15"/>
  <c r="R920" i="15" s="1"/>
  <c r="E714" i="15" l="1"/>
  <c r="Q920" i="15"/>
  <c r="O716" i="15"/>
  <c r="M716" i="15" s="1"/>
  <c r="B715" i="15"/>
  <c r="O717" i="15" l="1"/>
  <c r="J717" i="15" s="1"/>
  <c r="C717" i="15" s="1"/>
  <c r="J716" i="15"/>
  <c r="C716" i="15" s="1"/>
  <c r="L716" i="15"/>
  <c r="L717" i="15" s="1"/>
  <c r="G715" i="15"/>
  <c r="D715" i="15"/>
  <c r="T921" i="15"/>
  <c r="R921" i="15" s="1"/>
  <c r="F715" i="15" l="1"/>
  <c r="B717" i="15"/>
  <c r="G717" i="15"/>
  <c r="Q921" i="15"/>
  <c r="O718" i="15"/>
  <c r="J718" i="15" s="1"/>
  <c r="C718" i="15" s="1"/>
  <c r="B716" i="15"/>
  <c r="G716" i="15"/>
  <c r="M717" i="15"/>
  <c r="L718" i="15" l="1"/>
  <c r="T922" i="15"/>
  <c r="R922" i="15" s="1"/>
  <c r="M718" i="15"/>
  <c r="E715" i="15"/>
  <c r="B718" i="15"/>
  <c r="G718" i="15"/>
  <c r="D716" i="15"/>
  <c r="D717" i="15" s="1"/>
  <c r="F716" i="15" l="1"/>
  <c r="Q922" i="15"/>
  <c r="F717" i="15"/>
  <c r="E716" i="15"/>
  <c r="D718" i="15"/>
  <c r="O719" i="15"/>
  <c r="J719" i="15" s="1"/>
  <c r="C719" i="15" s="1"/>
  <c r="B719" i="15" l="1"/>
  <c r="G719" i="15"/>
  <c r="L719" i="15"/>
  <c r="F718" i="15"/>
  <c r="E717" i="15"/>
  <c r="D719" i="15"/>
  <c r="T923" i="15"/>
  <c r="R923" i="15" s="1"/>
  <c r="M719" i="15"/>
  <c r="Q923" i="15" l="1"/>
  <c r="O720" i="15"/>
  <c r="J720" i="15" s="1"/>
  <c r="C720" i="15" s="1"/>
  <c r="F719" i="15"/>
  <c r="E718" i="15"/>
  <c r="M720" i="15"/>
  <c r="E719" i="15" l="1"/>
  <c r="B720" i="15"/>
  <c r="L720" i="15"/>
  <c r="T924" i="15"/>
  <c r="R924" i="15" s="1"/>
  <c r="O721" i="15" l="1"/>
  <c r="L721" i="15" s="1"/>
  <c r="Q924" i="15"/>
  <c r="G720" i="15"/>
  <c r="D720" i="15"/>
  <c r="T925" i="15" l="1"/>
  <c r="R925" i="15" s="1"/>
  <c r="F720" i="15"/>
  <c r="J721" i="15"/>
  <c r="C721" i="15" s="1"/>
  <c r="M721" i="15"/>
  <c r="O722" i="15"/>
  <c r="J722" i="15" s="1"/>
  <c r="C722" i="15" s="1"/>
  <c r="E720" i="15" l="1"/>
  <c r="L722" i="15"/>
  <c r="B722" i="15"/>
  <c r="G722" i="15"/>
  <c r="M722" i="15"/>
  <c r="B721" i="15"/>
  <c r="Q925" i="15"/>
  <c r="O723" i="15" l="1"/>
  <c r="J723" i="15" s="1"/>
  <c r="C723" i="15" s="1"/>
  <c r="G721" i="15"/>
  <c r="D721" i="15"/>
  <c r="T926" i="15"/>
  <c r="R926" i="15" s="1"/>
  <c r="Q926" i="15" l="1"/>
  <c r="B723" i="15"/>
  <c r="G723" i="15"/>
  <c r="D722" i="15"/>
  <c r="D723" i="15" s="1"/>
  <c r="F721" i="15"/>
  <c r="L723" i="15"/>
  <c r="M723" i="15"/>
  <c r="O724" i="15" l="1"/>
  <c r="J724" i="15" s="1"/>
  <c r="C724" i="15" s="1"/>
  <c r="F722" i="15"/>
  <c r="E721" i="15"/>
  <c r="L724" i="15"/>
  <c r="T927" i="15"/>
  <c r="R927" i="15" s="1"/>
  <c r="Q927" i="15" l="1"/>
  <c r="F723" i="15"/>
  <c r="E722" i="15"/>
  <c r="B724" i="15"/>
  <c r="M724" i="15"/>
  <c r="O725" i="15" l="1"/>
  <c r="G724" i="15"/>
  <c r="D724" i="15"/>
  <c r="F724" i="15" s="1"/>
  <c r="E723" i="15"/>
  <c r="T928" i="15"/>
  <c r="R928" i="15" s="1"/>
  <c r="E724" i="15" l="1"/>
  <c r="Q928" i="15"/>
  <c r="J725" i="15"/>
  <c r="C725" i="15" s="1"/>
  <c r="L725" i="15"/>
  <c r="M725" i="15"/>
  <c r="B725" i="15" l="1"/>
  <c r="O726" i="15"/>
  <c r="J726" i="15" s="1"/>
  <c r="C726" i="15" s="1"/>
  <c r="T929" i="15"/>
  <c r="R929" i="15" s="1"/>
  <c r="G726" i="15" l="1"/>
  <c r="B726" i="15"/>
  <c r="Q929" i="15"/>
  <c r="L726" i="15"/>
  <c r="M726" i="15"/>
  <c r="G725" i="15"/>
  <c r="D725" i="15"/>
  <c r="T930" i="15" l="1"/>
  <c r="R930" i="15" s="1"/>
  <c r="D726" i="15"/>
  <c r="F725" i="15"/>
  <c r="O727" i="15"/>
  <c r="J727" i="15" s="1"/>
  <c r="C727" i="15" s="1"/>
  <c r="F726" i="15" l="1"/>
  <c r="E725" i="15"/>
  <c r="M727" i="15"/>
  <c r="Q930" i="15"/>
  <c r="G727" i="15"/>
  <c r="B727" i="15"/>
  <c r="L727" i="15"/>
  <c r="D727" i="15" l="1"/>
  <c r="T931" i="15"/>
  <c r="R931" i="15" s="1"/>
  <c r="O728" i="15"/>
  <c r="J728" i="15" s="1"/>
  <c r="C728" i="15" s="1"/>
  <c r="F727" i="15"/>
  <c r="E726" i="15"/>
  <c r="E727" i="15" l="1"/>
  <c r="G728" i="15"/>
  <c r="B728" i="15"/>
  <c r="L728" i="15"/>
  <c r="M728" i="15"/>
  <c r="Q931" i="15"/>
  <c r="O729" i="15" l="1"/>
  <c r="J729" i="15" s="1"/>
  <c r="C729" i="15" s="1"/>
  <c r="T932" i="15"/>
  <c r="R932" i="15" s="1"/>
  <c r="D728" i="15"/>
  <c r="Q932" i="15" l="1"/>
  <c r="T933" i="15"/>
  <c r="Q933" i="15" s="1"/>
  <c r="F728" i="15"/>
  <c r="G729" i="15"/>
  <c r="B729" i="15"/>
  <c r="L729" i="15"/>
  <c r="M729" i="15"/>
  <c r="O730" i="15" l="1"/>
  <c r="J730" i="15" s="1"/>
  <c r="C730" i="15" s="1"/>
  <c r="D729" i="15"/>
  <c r="F729" i="15" s="1"/>
  <c r="E728" i="15"/>
  <c r="R933" i="15"/>
  <c r="M730" i="15" l="1"/>
  <c r="O731" i="15"/>
  <c r="J731" i="15" s="1"/>
  <c r="C731" i="15" s="1"/>
  <c r="E729" i="15"/>
  <c r="G730" i="15"/>
  <c r="B730" i="15"/>
  <c r="T934" i="15"/>
  <c r="Q934" i="15" s="1"/>
  <c r="L730" i="15"/>
  <c r="L731" i="15" s="1"/>
  <c r="R934" i="15" l="1"/>
  <c r="G731" i="15"/>
  <c r="B731" i="15"/>
  <c r="D730" i="15"/>
  <c r="M731" i="15"/>
  <c r="O732" i="15" l="1"/>
  <c r="D731" i="15"/>
  <c r="F730" i="15"/>
  <c r="T935" i="15"/>
  <c r="Q935" i="15" s="1"/>
  <c r="F731" i="15" l="1"/>
  <c r="E730" i="15"/>
  <c r="J732" i="15"/>
  <c r="C732" i="15" s="1"/>
  <c r="L732" i="15"/>
  <c r="R935" i="15"/>
  <c r="M732" i="15"/>
  <c r="O733" i="15" l="1"/>
  <c r="J733" i="15" s="1"/>
  <c r="C733" i="15" s="1"/>
  <c r="T936" i="15"/>
  <c r="Q936" i="15" s="1"/>
  <c r="B732" i="15"/>
  <c r="E731" i="15"/>
  <c r="L733" i="15" l="1"/>
  <c r="G732" i="15"/>
  <c r="D732" i="15"/>
  <c r="R936" i="15"/>
  <c r="G733" i="15"/>
  <c r="B733" i="15"/>
  <c r="M733" i="15"/>
  <c r="O734" i="15" l="1"/>
  <c r="T937" i="15"/>
  <c r="Q937" i="15" s="1"/>
  <c r="D733" i="15"/>
  <c r="F732" i="15"/>
  <c r="F733" i="15" l="1"/>
  <c r="E732" i="15"/>
  <c r="J734" i="15"/>
  <c r="C734" i="15" s="1"/>
  <c r="L734" i="15"/>
  <c r="R937" i="15"/>
  <c r="M734" i="15"/>
  <c r="O735" i="15" l="1"/>
  <c r="J735" i="15" s="1"/>
  <c r="C735" i="15" s="1"/>
  <c r="T938" i="15"/>
  <c r="Q938" i="15" s="1"/>
  <c r="B734" i="15"/>
  <c r="L735" i="15"/>
  <c r="E733" i="15"/>
  <c r="G734" i="15" l="1"/>
  <c r="D734" i="15"/>
  <c r="O736" i="15"/>
  <c r="J736" i="15" s="1"/>
  <c r="C736" i="15" s="1"/>
  <c r="G735" i="15"/>
  <c r="B735" i="15"/>
  <c r="R938" i="15"/>
  <c r="M735" i="15"/>
  <c r="T939" i="15" l="1"/>
  <c r="Q939" i="15" s="1"/>
  <c r="D735" i="15"/>
  <c r="F734" i="15"/>
  <c r="G736" i="15"/>
  <c r="B736" i="15"/>
  <c r="L736" i="15"/>
  <c r="M736" i="15"/>
  <c r="D736" i="15" l="1"/>
  <c r="O737" i="15"/>
  <c r="J737" i="15" s="1"/>
  <c r="C737" i="15" s="1"/>
  <c r="F735" i="15"/>
  <c r="E734" i="15"/>
  <c r="T940" i="15"/>
  <c r="Q940" i="15" s="1"/>
  <c r="R939" i="15"/>
  <c r="B737" i="15" l="1"/>
  <c r="F736" i="15"/>
  <c r="E735" i="15"/>
  <c r="L737" i="15"/>
  <c r="R940" i="15"/>
  <c r="M737" i="15"/>
  <c r="T941" i="15" l="1"/>
  <c r="Q941" i="15" s="1"/>
  <c r="O738" i="15"/>
  <c r="J738" i="15" s="1"/>
  <c r="C738" i="15" s="1"/>
  <c r="E736" i="15"/>
  <c r="G737" i="15"/>
  <c r="D737" i="15"/>
  <c r="F737" i="15" s="1"/>
  <c r="E737" i="15" l="1"/>
  <c r="G738" i="15"/>
  <c r="B738" i="15"/>
  <c r="L738" i="15"/>
  <c r="M738" i="15"/>
  <c r="T942" i="15"/>
  <c r="Q942" i="15" s="1"/>
  <c r="R941" i="15"/>
  <c r="R942" i="15" l="1"/>
  <c r="O739" i="15"/>
  <c r="J739" i="15" s="1"/>
  <c r="C739" i="15" s="1"/>
  <c r="D738" i="15"/>
  <c r="G739" i="15" l="1"/>
  <c r="B739" i="15"/>
  <c r="M739" i="15"/>
  <c r="L739" i="15"/>
  <c r="D739" i="15"/>
  <c r="F738" i="15"/>
  <c r="T943" i="15"/>
  <c r="Q943" i="15" s="1"/>
  <c r="R943" i="15" l="1"/>
  <c r="T944" i="15"/>
  <c r="Q944" i="15"/>
  <c r="E738" i="15"/>
  <c r="F739" i="15"/>
  <c r="O740" i="15"/>
  <c r="J740" i="15" s="1"/>
  <c r="C740" i="15" s="1"/>
  <c r="R944" i="15" l="1"/>
  <c r="T945" i="15"/>
  <c r="M740" i="15"/>
  <c r="E739" i="15"/>
  <c r="L740" i="15"/>
  <c r="B740" i="15"/>
  <c r="R945" i="15" l="1"/>
  <c r="Q945" i="15"/>
  <c r="G740" i="15"/>
  <c r="D740" i="15"/>
  <c r="O741" i="15"/>
  <c r="J741" i="15" s="1"/>
  <c r="C741" i="15" s="1"/>
  <c r="T946" i="15"/>
  <c r="Q946" i="15" s="1"/>
  <c r="M741" i="15" l="1"/>
  <c r="R946" i="15"/>
  <c r="G741" i="15"/>
  <c r="B741" i="15"/>
  <c r="D741" i="15"/>
  <c r="F740" i="15"/>
  <c r="T947" i="15"/>
  <c r="R947" i="15" s="1"/>
  <c r="L741" i="15"/>
  <c r="T948" i="15" l="1"/>
  <c r="R948" i="15" s="1"/>
  <c r="Q947" i="15"/>
  <c r="Q948" i="15" s="1"/>
  <c r="E740" i="15"/>
  <c r="F741" i="15"/>
  <c r="O742" i="15"/>
  <c r="T949" i="15" l="1"/>
  <c r="R949" i="15" s="1"/>
  <c r="J742" i="15"/>
  <c r="C742" i="15" s="1"/>
  <c r="M742" i="15"/>
  <c r="L742" i="15"/>
  <c r="Q949" i="15"/>
  <c r="E741" i="15"/>
  <c r="T950" i="15" l="1"/>
  <c r="R950" i="15" s="1"/>
  <c r="O743" i="15"/>
  <c r="J743" i="15" s="1"/>
  <c r="C743" i="15" s="1"/>
  <c r="B742" i="15"/>
  <c r="Q950" i="15" l="1"/>
  <c r="T951" i="15"/>
  <c r="R951" i="15" s="1"/>
  <c r="G742" i="15"/>
  <c r="D742" i="15"/>
  <c r="L743" i="15"/>
  <c r="G743" i="15"/>
  <c r="B743" i="15"/>
  <c r="M743" i="15"/>
  <c r="T952" i="15" l="1"/>
  <c r="R952" i="15" s="1"/>
  <c r="O744" i="15"/>
  <c r="J744" i="15" s="1"/>
  <c r="C744" i="15" s="1"/>
  <c r="D743" i="15"/>
  <c r="F742" i="15"/>
  <c r="Q951" i="15"/>
  <c r="Q952" i="15" s="1"/>
  <c r="T953" i="15" l="1"/>
  <c r="R953" i="15" s="1"/>
  <c r="G744" i="15"/>
  <c r="B744" i="15"/>
  <c r="E742" i="15"/>
  <c r="F743" i="15"/>
  <c r="D744" i="15"/>
  <c r="M744" i="15"/>
  <c r="L744" i="15"/>
  <c r="Q953" i="15" l="1"/>
  <c r="T954" i="15"/>
  <c r="R954" i="15" s="1"/>
  <c r="E743" i="15"/>
  <c r="F744" i="15"/>
  <c r="O745" i="15"/>
  <c r="J745" i="15" s="1"/>
  <c r="C745" i="15" s="1"/>
  <c r="M745" i="15" l="1"/>
  <c r="L745" i="15"/>
  <c r="T955" i="15"/>
  <c r="R955" i="15" s="1"/>
  <c r="O746" i="15"/>
  <c r="J746" i="15" s="1"/>
  <c r="C746" i="15" s="1"/>
  <c r="E744" i="15"/>
  <c r="Q954" i="15"/>
  <c r="B745" i="15"/>
  <c r="Q955" i="15" l="1"/>
  <c r="T956" i="15"/>
  <c r="R956" i="15" s="1"/>
  <c r="G746" i="15"/>
  <c r="B746" i="15"/>
  <c r="M746" i="15"/>
  <c r="L746" i="15"/>
  <c r="G745" i="15"/>
  <c r="D745" i="15"/>
  <c r="O747" i="15" l="1"/>
  <c r="J747" i="15" s="1"/>
  <c r="C747" i="15" s="1"/>
  <c r="Q956" i="15"/>
  <c r="D746" i="15"/>
  <c r="F745" i="15"/>
  <c r="T957" i="15" l="1"/>
  <c r="R957" i="15" s="1"/>
  <c r="E745" i="15"/>
  <c r="F746" i="15"/>
  <c r="G747" i="15"/>
  <c r="B747" i="15"/>
  <c r="L747" i="15"/>
  <c r="M747" i="15"/>
  <c r="O748" i="15" l="1"/>
  <c r="J748" i="15" s="1"/>
  <c r="C748" i="15" s="1"/>
  <c r="E746" i="15"/>
  <c r="Q957" i="15"/>
  <c r="M748" i="15"/>
  <c r="D747" i="15"/>
  <c r="T958" i="15" l="1"/>
  <c r="R958" i="15" s="1"/>
  <c r="F747" i="15"/>
  <c r="G748" i="15"/>
  <c r="B748" i="15"/>
  <c r="L748" i="15"/>
  <c r="E747" i="15" l="1"/>
  <c r="D748" i="15"/>
  <c r="F748" i="15" s="1"/>
  <c r="O749" i="15"/>
  <c r="Q958" i="15"/>
  <c r="E748" i="15" l="1"/>
  <c r="T959" i="15"/>
  <c r="R959" i="15" s="1"/>
  <c r="J749" i="15"/>
  <c r="C749" i="15" s="1"/>
  <c r="M749" i="15"/>
  <c r="L749" i="15"/>
  <c r="B749" i="15" l="1"/>
  <c r="Q959" i="15"/>
  <c r="O750" i="15"/>
  <c r="J750" i="15" s="1"/>
  <c r="C750" i="15" s="1"/>
  <c r="L750" i="15" l="1"/>
  <c r="M750" i="15"/>
  <c r="T960" i="15"/>
  <c r="R960" i="15" s="1"/>
  <c r="B750" i="15"/>
  <c r="G750" i="15"/>
  <c r="G749" i="15"/>
  <c r="D749" i="15"/>
  <c r="D750" i="15" l="1"/>
  <c r="F749" i="15"/>
  <c r="Q960" i="15"/>
  <c r="O751" i="15"/>
  <c r="J751" i="15" s="1"/>
  <c r="C751" i="15" s="1"/>
  <c r="G751" i="15" l="1"/>
  <c r="B751" i="15"/>
  <c r="L751" i="15"/>
  <c r="M751" i="15"/>
  <c r="E749" i="15"/>
  <c r="F750" i="15"/>
  <c r="T961" i="15"/>
  <c r="R961" i="15" s="1"/>
  <c r="D751" i="15"/>
  <c r="Q961" i="15" l="1"/>
  <c r="O752" i="15"/>
  <c r="J752" i="15" s="1"/>
  <c r="C752" i="15" s="1"/>
  <c r="T962" i="15"/>
  <c r="Q962" i="15" s="1"/>
  <c r="E750" i="15"/>
  <c r="F751" i="15"/>
  <c r="B752" i="15" l="1"/>
  <c r="E751" i="15"/>
  <c r="M752" i="15"/>
  <c r="R962" i="15"/>
  <c r="L752" i="15"/>
  <c r="T963" i="15" l="1"/>
  <c r="Q963" i="15" s="1"/>
  <c r="G752" i="15"/>
  <c r="D752" i="15"/>
  <c r="O753" i="15"/>
  <c r="J753" i="15" s="1"/>
  <c r="C753" i="15" s="1"/>
  <c r="L753" i="15" l="1"/>
  <c r="F752" i="15"/>
  <c r="G753" i="15"/>
  <c r="B753" i="15"/>
  <c r="M753" i="15"/>
  <c r="R963" i="15"/>
  <c r="T964" i="15" l="1"/>
  <c r="Q964" i="15" s="1"/>
  <c r="O754" i="15"/>
  <c r="J754" i="15" s="1"/>
  <c r="C754" i="15" s="1"/>
  <c r="E752" i="15"/>
  <c r="D753" i="15"/>
  <c r="L754" i="15"/>
  <c r="B754" i="15" l="1"/>
  <c r="G754" i="15"/>
  <c r="M754" i="15"/>
  <c r="F753" i="15"/>
  <c r="R964" i="15"/>
  <c r="T965" i="15" l="1"/>
  <c r="Q965" i="15" s="1"/>
  <c r="O755" i="15"/>
  <c r="E753" i="15"/>
  <c r="D754" i="15"/>
  <c r="F754" i="15" s="1"/>
  <c r="E754" i="15" l="1"/>
  <c r="J755" i="15"/>
  <c r="C755" i="15" s="1"/>
  <c r="L755" i="15"/>
  <c r="M755" i="15"/>
  <c r="R965" i="15"/>
  <c r="T966" i="15" l="1"/>
  <c r="Q966" i="15" s="1"/>
  <c r="O756" i="15"/>
  <c r="J756" i="15" s="1"/>
  <c r="C756" i="15" s="1"/>
  <c r="B755" i="15"/>
  <c r="B756" i="15" l="1"/>
  <c r="G756" i="15"/>
  <c r="G755" i="15"/>
  <c r="D755" i="15"/>
  <c r="L756" i="15"/>
  <c r="M756" i="15"/>
  <c r="R966" i="15"/>
  <c r="O757" i="15" l="1"/>
  <c r="J757" i="15" s="1"/>
  <c r="C757" i="15" s="1"/>
  <c r="D756" i="15"/>
  <c r="F755" i="15"/>
  <c r="T967" i="15"/>
  <c r="Q967" i="15" s="1"/>
  <c r="M757" i="15"/>
  <c r="T968" i="15" l="1"/>
  <c r="Q968" i="15" s="1"/>
  <c r="R967" i="15"/>
  <c r="E755" i="15"/>
  <c r="F756" i="15"/>
  <c r="G757" i="15"/>
  <c r="B757" i="15"/>
  <c r="L757" i="15"/>
  <c r="R968" i="15" l="1"/>
  <c r="D757" i="15"/>
  <c r="E756" i="15"/>
  <c r="F757" i="15"/>
  <c r="T969" i="15"/>
  <c r="Q969" i="15" s="1"/>
  <c r="O758" i="15"/>
  <c r="T970" i="15" l="1"/>
  <c r="Q970" i="15" s="1"/>
  <c r="J758" i="15"/>
  <c r="C758" i="15" s="1"/>
  <c r="M758" i="15"/>
  <c r="L758" i="15"/>
  <c r="R969" i="15"/>
  <c r="R970" i="15" s="1"/>
  <c r="E757" i="15"/>
  <c r="T971" i="15" l="1"/>
  <c r="R971" i="15" s="1"/>
  <c r="O759" i="15"/>
  <c r="J759" i="15" s="1"/>
  <c r="C759" i="15" s="1"/>
  <c r="B758" i="15"/>
  <c r="Q971" i="15" l="1"/>
  <c r="M759" i="15"/>
  <c r="T972" i="15"/>
  <c r="R972" i="15" s="1"/>
  <c r="G758" i="15"/>
  <c r="D758" i="15"/>
  <c r="G759" i="15"/>
  <c r="B759" i="15"/>
  <c r="L759" i="15"/>
  <c r="Q972" i="15" l="1"/>
  <c r="T973" i="15"/>
  <c r="R973" i="15" s="1"/>
  <c r="D759" i="15"/>
  <c r="F758" i="15"/>
  <c r="O760" i="15"/>
  <c r="Q973" i="15" l="1"/>
  <c r="E758" i="15"/>
  <c r="F759" i="15"/>
  <c r="J760" i="15"/>
  <c r="C760" i="15" s="1"/>
  <c r="M760" i="15"/>
  <c r="L760" i="15"/>
  <c r="T974" i="15"/>
  <c r="R974" i="15" s="1"/>
  <c r="Q974" i="15" l="1"/>
  <c r="T975" i="15"/>
  <c r="R975" i="15" s="1"/>
  <c r="O761" i="15"/>
  <c r="J761" i="15" s="1"/>
  <c r="C761" i="15" s="1"/>
  <c r="B760" i="15"/>
  <c r="E759" i="15"/>
  <c r="Q975" i="15" l="1"/>
  <c r="G760" i="15"/>
  <c r="D760" i="15"/>
  <c r="G761" i="15"/>
  <c r="B761" i="15"/>
  <c r="M761" i="15"/>
  <c r="L761" i="15"/>
  <c r="T976" i="15"/>
  <c r="R976" i="15" s="1"/>
  <c r="O762" i="15" l="1"/>
  <c r="J762" i="15" s="1"/>
  <c r="C762" i="15" s="1"/>
  <c r="D761" i="15"/>
  <c r="F760" i="15"/>
  <c r="Q976" i="15"/>
  <c r="T977" i="15" l="1"/>
  <c r="R977" i="15" s="1"/>
  <c r="E760" i="15"/>
  <c r="F761" i="15"/>
  <c r="B762" i="15"/>
  <c r="G762" i="15"/>
  <c r="M762" i="15"/>
  <c r="L762" i="15"/>
  <c r="E761" i="15" l="1"/>
  <c r="D762" i="15"/>
  <c r="O763" i="15"/>
  <c r="J763" i="15" s="1"/>
  <c r="C763" i="15" s="1"/>
  <c r="Q977" i="15"/>
  <c r="T978" i="15" l="1"/>
  <c r="R978" i="15" s="1"/>
  <c r="Q978" i="15"/>
  <c r="L763" i="15"/>
  <c r="G763" i="15"/>
  <c r="B763" i="15"/>
  <c r="F762" i="15"/>
  <c r="M763" i="15"/>
  <c r="E762" i="15" l="1"/>
  <c r="O764" i="15"/>
  <c r="J764" i="15" s="1"/>
  <c r="C764" i="15" s="1"/>
  <c r="D763" i="15"/>
  <c r="T979" i="15"/>
  <c r="R979" i="15" s="1"/>
  <c r="T980" i="15" l="1"/>
  <c r="R980" i="15" s="1"/>
  <c r="F763" i="15"/>
  <c r="Q979" i="15"/>
  <c r="Q980" i="15" s="1"/>
  <c r="B764" i="15"/>
  <c r="G764" i="15"/>
  <c r="M764" i="15"/>
  <c r="L764" i="15"/>
  <c r="T981" i="15" l="1"/>
  <c r="R981" i="15" s="1"/>
  <c r="E763" i="15"/>
  <c r="O765" i="15"/>
  <c r="J765" i="15" s="1"/>
  <c r="C765" i="15" s="1"/>
  <c r="Q981" i="15"/>
  <c r="D764" i="15"/>
  <c r="F764" i="15" s="1"/>
  <c r="E764" i="15" l="1"/>
  <c r="T982" i="15"/>
  <c r="Q982" i="15" s="1"/>
  <c r="G765" i="15"/>
  <c r="B765" i="15"/>
  <c r="M765" i="15"/>
  <c r="L765" i="15"/>
  <c r="R982" i="15" l="1"/>
  <c r="D765" i="15"/>
  <c r="O766" i="15"/>
  <c r="J766" i="15" s="1"/>
  <c r="C766" i="15" s="1"/>
  <c r="M766" i="15" l="1"/>
  <c r="L766" i="15"/>
  <c r="B766" i="15"/>
  <c r="G766" i="15"/>
  <c r="F765" i="15"/>
  <c r="E765" i="15" l="1"/>
  <c r="D766" i="15"/>
  <c r="F766" i="15" s="1"/>
  <c r="O767" i="15"/>
  <c r="J767" i="15" s="1"/>
  <c r="C767" i="15" s="1"/>
  <c r="E766" i="15" l="1"/>
  <c r="M767" i="15"/>
  <c r="L767" i="15"/>
  <c r="G767" i="15"/>
  <c r="B767" i="15"/>
  <c r="D767" i="15"/>
  <c r="F767" i="15" l="1"/>
  <c r="O768" i="15"/>
  <c r="J768" i="15" s="1"/>
  <c r="C768" i="15" s="1"/>
  <c r="B768" i="15" l="1"/>
  <c r="M768" i="15"/>
  <c r="L768" i="15"/>
  <c r="E767" i="15"/>
  <c r="O769" i="15" l="1"/>
  <c r="J769" i="15" s="1"/>
  <c r="C769" i="15" s="1"/>
  <c r="G768" i="15"/>
  <c r="D768" i="15"/>
  <c r="M769" i="15"/>
  <c r="F768" i="15" l="1"/>
  <c r="G769" i="15"/>
  <c r="B769" i="15"/>
  <c r="L769" i="15"/>
  <c r="O770" i="15" l="1"/>
  <c r="E768" i="15"/>
  <c r="D769" i="15"/>
  <c r="F769" i="15" l="1"/>
  <c r="J770" i="15"/>
  <c r="C770" i="15" s="1"/>
  <c r="M770" i="15"/>
  <c r="L770" i="15"/>
  <c r="B770" i="15" l="1"/>
  <c r="O771" i="15"/>
  <c r="J771" i="15" s="1"/>
  <c r="C771" i="15" s="1"/>
  <c r="E769" i="15"/>
  <c r="L771" i="15" l="1"/>
  <c r="G771" i="15"/>
  <c r="B771" i="15"/>
  <c r="M771" i="15"/>
  <c r="G770" i="15"/>
  <c r="D770" i="15"/>
  <c r="D771" i="15" l="1"/>
  <c r="F770" i="15"/>
  <c r="O772" i="15"/>
  <c r="J772" i="15" s="1"/>
  <c r="C772" i="15" s="1"/>
  <c r="E770" i="15" l="1"/>
  <c r="F771" i="15"/>
  <c r="B772" i="15"/>
  <c r="G772" i="15"/>
  <c r="L772" i="15"/>
  <c r="D772" i="15"/>
  <c r="M772" i="15"/>
  <c r="O773" i="15" l="1"/>
  <c r="J773" i="15" s="1"/>
  <c r="C773" i="15" s="1"/>
  <c r="E771" i="15"/>
  <c r="F772" i="15"/>
  <c r="E772" i="15" l="1"/>
  <c r="B773" i="15"/>
  <c r="L773" i="15"/>
  <c r="M773" i="15"/>
  <c r="O774" i="15" l="1"/>
  <c r="J774" i="15" s="1"/>
  <c r="C774" i="15" s="1"/>
  <c r="G773" i="15"/>
  <c r="D773" i="15"/>
  <c r="F773" i="15" l="1"/>
  <c r="B774" i="15"/>
  <c r="G774" i="15"/>
  <c r="L774" i="15"/>
  <c r="M774" i="15"/>
  <c r="O775" i="15" l="1"/>
  <c r="J775" i="15" s="1"/>
  <c r="C775" i="15" s="1"/>
  <c r="E773" i="15"/>
  <c r="D774" i="15"/>
  <c r="F774" i="15" s="1"/>
  <c r="E774" i="15" l="1"/>
  <c r="G775" i="15"/>
  <c r="B775" i="15"/>
  <c r="M775" i="15"/>
  <c r="L775" i="15"/>
  <c r="D775" i="15" l="1"/>
  <c r="O776" i="15"/>
  <c r="J776" i="15" s="1"/>
  <c r="C776" i="15" s="1"/>
  <c r="M776" i="15" l="1"/>
  <c r="B776" i="15"/>
  <c r="G776" i="15"/>
  <c r="F775" i="15"/>
  <c r="L776" i="15"/>
  <c r="E775" i="15" l="1"/>
  <c r="D776" i="15"/>
  <c r="O777" i="15"/>
  <c r="J777" i="15" s="1"/>
  <c r="C777" i="15" s="1"/>
  <c r="B777" i="15" l="1"/>
  <c r="G777" i="15"/>
  <c r="M777" i="15"/>
  <c r="D777" i="15"/>
  <c r="L777" i="15"/>
  <c r="F776" i="15"/>
  <c r="E776" i="15" l="1"/>
  <c r="F777" i="15"/>
  <c r="O778" i="15"/>
  <c r="J778" i="15" s="1"/>
  <c r="C778" i="15" s="1"/>
  <c r="B778" i="15" l="1"/>
  <c r="L778" i="15"/>
  <c r="E777" i="15"/>
  <c r="M778" i="15"/>
  <c r="O779" i="15" l="1"/>
  <c r="J779" i="15" s="1"/>
  <c r="C779" i="15" s="1"/>
  <c r="G778" i="15"/>
  <c r="D778" i="15"/>
  <c r="F778" i="15" l="1"/>
  <c r="B779" i="15"/>
  <c r="G779" i="15"/>
  <c r="L779" i="15"/>
  <c r="M779" i="15"/>
  <c r="O780" i="15" l="1"/>
  <c r="J780" i="15" s="1"/>
  <c r="C780" i="15" s="1"/>
  <c r="E778" i="15"/>
  <c r="D779" i="15"/>
  <c r="M780" i="15" l="1"/>
  <c r="F779" i="15"/>
  <c r="B780" i="15"/>
  <c r="G780" i="15"/>
  <c r="L780" i="15"/>
  <c r="O781" i="15" l="1"/>
  <c r="E779" i="15"/>
  <c r="D780" i="15"/>
  <c r="F780" i="15" l="1"/>
  <c r="J781" i="15"/>
  <c r="C781" i="15" s="1"/>
  <c r="M781" i="15"/>
  <c r="L781" i="15"/>
  <c r="O782" i="15" l="1"/>
  <c r="J782" i="15" s="1"/>
  <c r="C782" i="15" s="1"/>
  <c r="B781" i="15"/>
  <c r="E780" i="15"/>
  <c r="M782" i="15" l="1"/>
  <c r="G781" i="15"/>
  <c r="D781" i="15"/>
  <c r="O783" i="15"/>
  <c r="J783" i="15" s="1"/>
  <c r="C783" i="15" s="1"/>
  <c r="B782" i="15"/>
  <c r="G782" i="15"/>
  <c r="L782" i="15"/>
  <c r="L783" i="15" s="1"/>
  <c r="B783" i="15" l="1"/>
  <c r="G783" i="15"/>
  <c r="O784" i="15"/>
  <c r="J784" i="15" s="1"/>
  <c r="C784" i="15" s="1"/>
  <c r="M783" i="15"/>
  <c r="D782" i="15"/>
  <c r="D783" i="15" s="1"/>
  <c r="F781" i="15"/>
  <c r="M784" i="15" l="1"/>
  <c r="E781" i="15"/>
  <c r="F782" i="15"/>
  <c r="B784" i="15"/>
  <c r="G784" i="15"/>
  <c r="L784" i="15"/>
  <c r="O785" i="15" l="1"/>
  <c r="D784" i="15"/>
  <c r="E782" i="15"/>
  <c r="F783" i="15"/>
  <c r="E783" i="15" l="1"/>
  <c r="F784" i="15"/>
  <c r="J785" i="15"/>
  <c r="C785" i="15" s="1"/>
  <c r="M785" i="15"/>
  <c r="L785" i="15"/>
  <c r="O786" i="15" l="1"/>
  <c r="J786" i="15" s="1"/>
  <c r="C786" i="15" s="1"/>
  <c r="L786" i="15"/>
  <c r="B785" i="15"/>
  <c r="E784" i="15"/>
  <c r="G785" i="15" l="1"/>
  <c r="D785" i="15"/>
  <c r="O787" i="15"/>
  <c r="J787" i="15" s="1"/>
  <c r="C787" i="15" s="1"/>
  <c r="B786" i="15"/>
  <c r="G786" i="15"/>
  <c r="M786" i="15"/>
  <c r="M787" i="15" l="1"/>
  <c r="L787" i="15"/>
  <c r="B787" i="15"/>
  <c r="G787" i="15"/>
  <c r="D786" i="15"/>
  <c r="D787" i="15" s="1"/>
  <c r="F785" i="15"/>
  <c r="E785" i="15" l="1"/>
  <c r="F786" i="15"/>
  <c r="O788" i="15"/>
  <c r="J788" i="15" l="1"/>
  <c r="C788" i="15" s="1"/>
  <c r="M788" i="15"/>
  <c r="L788" i="15"/>
  <c r="E786" i="15"/>
  <c r="F787" i="15"/>
  <c r="E787" i="15" l="1"/>
  <c r="O789" i="15"/>
  <c r="J789" i="15" s="1"/>
  <c r="C789" i="15" s="1"/>
  <c r="M789" i="15"/>
  <c r="B788" i="15"/>
  <c r="L789" i="15" l="1"/>
  <c r="G788" i="15"/>
  <c r="D788" i="15"/>
  <c r="B789" i="15"/>
  <c r="G789" i="15"/>
  <c r="D789" i="15" l="1"/>
  <c r="F788" i="15"/>
  <c r="O790" i="15"/>
  <c r="L790" i="15" s="1"/>
  <c r="O791" i="15" l="1"/>
  <c r="J791" i="15" s="1"/>
  <c r="C791" i="15" s="1"/>
  <c r="J790" i="15"/>
  <c r="C790" i="15" s="1"/>
  <c r="M790" i="15"/>
  <c r="E788" i="15"/>
  <c r="F789" i="15"/>
  <c r="M791" i="15" l="1"/>
  <c r="E789" i="15"/>
  <c r="B790" i="15"/>
  <c r="B791" i="15"/>
  <c r="G791" i="15"/>
  <c r="L791" i="15"/>
  <c r="O792" i="15" l="1"/>
  <c r="G790" i="15"/>
  <c r="D790" i="15"/>
  <c r="D791" i="15" l="1"/>
  <c r="F790" i="15"/>
  <c r="J792" i="15"/>
  <c r="C792" i="15" s="1"/>
  <c r="M792" i="15"/>
  <c r="L792" i="15"/>
  <c r="E790" i="15" l="1"/>
  <c r="F791" i="15"/>
  <c r="O793" i="15"/>
  <c r="J793" i="15" s="1"/>
  <c r="C793" i="15" s="1"/>
  <c r="B792" i="15"/>
  <c r="G792" i="15"/>
  <c r="M793" i="15" l="1"/>
  <c r="D792" i="15"/>
  <c r="B793" i="15"/>
  <c r="G793" i="15"/>
  <c r="L793" i="15"/>
  <c r="E791" i="15"/>
  <c r="F792" i="15"/>
  <c r="E792" i="15" l="1"/>
  <c r="D793" i="15"/>
  <c r="O794" i="15"/>
  <c r="J794" i="15" s="1"/>
  <c r="C794" i="15" s="1"/>
  <c r="B794" i="15" l="1"/>
  <c r="G794" i="15"/>
  <c r="M794" i="15"/>
  <c r="F793" i="15"/>
  <c r="L794" i="15"/>
  <c r="E793" i="15" l="1"/>
  <c r="O795" i="15"/>
  <c r="J795" i="15" s="1"/>
  <c r="C795" i="15" s="1"/>
  <c r="D794" i="15"/>
  <c r="M795" i="15" l="1"/>
  <c r="B795" i="15"/>
  <c r="G795" i="15"/>
  <c r="F794" i="15"/>
  <c r="L795" i="15"/>
  <c r="E794" i="15" l="1"/>
  <c r="O796" i="15"/>
  <c r="J796" i="15" s="1"/>
  <c r="C796" i="15" s="1"/>
  <c r="D795" i="15"/>
  <c r="B796" i="15" l="1"/>
  <c r="G796" i="15"/>
  <c r="M796" i="15"/>
  <c r="F795" i="15"/>
  <c r="L796" i="15"/>
  <c r="E795" i="15" l="1"/>
  <c r="O797" i="15"/>
  <c r="J797" i="15" s="1"/>
  <c r="C797" i="15" s="1"/>
  <c r="D796" i="15"/>
  <c r="L797" i="15" l="1"/>
  <c r="B797" i="15"/>
  <c r="G797" i="15"/>
  <c r="M797" i="15"/>
  <c r="F796" i="15"/>
  <c r="E796" i="15" l="1"/>
  <c r="O798" i="15"/>
  <c r="D797" i="15"/>
  <c r="J798" i="15" l="1"/>
  <c r="C798" i="15" s="1"/>
  <c r="L798" i="15"/>
  <c r="M798" i="15"/>
  <c r="F797" i="15"/>
  <c r="E797" i="15" l="1"/>
  <c r="O799" i="15"/>
  <c r="J799" i="15" s="1"/>
  <c r="C799" i="15" s="1"/>
  <c r="B798" i="15"/>
  <c r="G798" i="15" l="1"/>
  <c r="D798" i="15"/>
  <c r="B799" i="15"/>
  <c r="G799" i="15"/>
  <c r="L799" i="15"/>
  <c r="M799" i="15"/>
  <c r="O800" i="15" l="1"/>
  <c r="J800" i="15" s="1"/>
  <c r="C800" i="15" s="1"/>
  <c r="D799" i="15"/>
  <c r="F798" i="15"/>
  <c r="E798" i="15" l="1"/>
  <c r="F799" i="15"/>
  <c r="B800" i="15"/>
  <c r="G800" i="15"/>
  <c r="L800" i="15"/>
  <c r="M800" i="15"/>
  <c r="O801" i="15" l="1"/>
  <c r="J801" i="15" s="1"/>
  <c r="C801" i="15" s="1"/>
  <c r="E799" i="15"/>
  <c r="D800" i="15"/>
  <c r="F800" i="15" l="1"/>
  <c r="B801" i="15"/>
  <c r="G801" i="15"/>
  <c r="L801" i="15"/>
  <c r="M801" i="15"/>
  <c r="O802" i="15" l="1"/>
  <c r="J802" i="15" s="1"/>
  <c r="C802" i="15" s="1"/>
  <c r="E800" i="15"/>
  <c r="D801" i="15"/>
  <c r="M802" i="15" l="1"/>
  <c r="F801" i="15"/>
  <c r="B802" i="15"/>
  <c r="G802" i="15"/>
  <c r="L802" i="15"/>
  <c r="O803" i="15" l="1"/>
  <c r="E801" i="15"/>
  <c r="D802" i="15"/>
  <c r="F802" i="15" s="1"/>
  <c r="E802" i="15" l="1"/>
  <c r="J803" i="15"/>
  <c r="C803" i="15" s="1"/>
  <c r="M803" i="15"/>
  <c r="L803" i="15"/>
  <c r="O804" i="15" l="1"/>
  <c r="J804" i="15" s="1"/>
  <c r="C804" i="15" s="1"/>
  <c r="B803" i="15"/>
  <c r="M804" i="15" l="1"/>
  <c r="G803" i="15"/>
  <c r="D803" i="15"/>
  <c r="B804" i="15"/>
  <c r="G804" i="15"/>
  <c r="L804" i="15"/>
  <c r="D804" i="15" l="1"/>
  <c r="F803" i="15"/>
  <c r="O805" i="15"/>
  <c r="E803" i="15" l="1"/>
  <c r="F804" i="15"/>
  <c r="J805" i="15"/>
  <c r="C805" i="15" s="1"/>
  <c r="M805" i="15"/>
  <c r="L805" i="15"/>
  <c r="O806" i="15" l="1"/>
  <c r="J806" i="15" s="1"/>
  <c r="C806" i="15" s="1"/>
  <c r="B805" i="15"/>
  <c r="E804" i="15"/>
  <c r="M806" i="15" l="1"/>
  <c r="G805" i="15"/>
  <c r="D805" i="15"/>
  <c r="O807" i="15"/>
  <c r="J807" i="15" s="1"/>
  <c r="C807" i="15" s="1"/>
  <c r="B806" i="15"/>
  <c r="G806" i="15"/>
  <c r="L806" i="15"/>
  <c r="L807" i="15" s="1"/>
  <c r="B807" i="15" l="1"/>
  <c r="G807" i="15"/>
  <c r="M807" i="15"/>
  <c r="D806" i="15"/>
  <c r="D807" i="15" s="1"/>
  <c r="F805" i="15"/>
  <c r="E805" i="15" l="1"/>
  <c r="F806" i="15"/>
  <c r="O808" i="15"/>
  <c r="J808" i="15" l="1"/>
  <c r="C808" i="15" s="1"/>
  <c r="L808" i="15"/>
  <c r="M808" i="15"/>
  <c r="E806" i="15"/>
  <c r="F807" i="15"/>
  <c r="O809" i="15" l="1"/>
  <c r="J809" i="15" s="1"/>
  <c r="C809" i="15" s="1"/>
  <c r="E807" i="15"/>
  <c r="L809" i="15"/>
  <c r="B808" i="15"/>
  <c r="G808" i="15" l="1"/>
  <c r="D808" i="15"/>
  <c r="O810" i="15"/>
  <c r="J810" i="15" s="1"/>
  <c r="C810" i="15" s="1"/>
  <c r="B809" i="15"/>
  <c r="G809" i="15"/>
  <c r="M809" i="15"/>
  <c r="M810" i="15" s="1"/>
  <c r="L810" i="15" l="1"/>
  <c r="B810" i="15"/>
  <c r="G810" i="15"/>
  <c r="D809" i="15"/>
  <c r="D810" i="15" s="1"/>
  <c r="F808" i="15"/>
  <c r="E808" i="15" l="1"/>
  <c r="F809" i="15"/>
  <c r="O811" i="15"/>
  <c r="L811" i="15" s="1"/>
  <c r="O812" i="15" l="1"/>
  <c r="J812" i="15" s="1"/>
  <c r="C812" i="15" s="1"/>
  <c r="J811" i="15"/>
  <c r="C811" i="15" s="1"/>
  <c r="M811" i="15"/>
  <c r="M812" i="15" s="1"/>
  <c r="E809" i="15"/>
  <c r="F810" i="15"/>
  <c r="B811" i="15" l="1"/>
  <c r="E810" i="15"/>
  <c r="B812" i="15"/>
  <c r="G812" i="15"/>
  <c r="L812" i="15"/>
  <c r="O813" i="15" l="1"/>
  <c r="G811" i="15"/>
  <c r="D811" i="15"/>
  <c r="D812" i="15" l="1"/>
  <c r="F811" i="15"/>
  <c r="J813" i="15"/>
  <c r="C813" i="15" s="1"/>
  <c r="M813" i="15"/>
  <c r="L813" i="15"/>
  <c r="E811" i="15" l="1"/>
  <c r="F812" i="15"/>
  <c r="O814" i="15"/>
  <c r="J814" i="15" s="1"/>
  <c r="C814" i="15" s="1"/>
  <c r="B813" i="15"/>
  <c r="G813" i="15"/>
  <c r="D813" i="15"/>
  <c r="M814" i="15" l="1"/>
  <c r="O815" i="15"/>
  <c r="J815" i="15" s="1"/>
  <c r="C815" i="15" s="1"/>
  <c r="L814" i="15"/>
  <c r="L815" i="15" s="1"/>
  <c r="B814" i="15"/>
  <c r="G814" i="15"/>
  <c r="E812" i="15"/>
  <c r="F813" i="15"/>
  <c r="E813" i="15" l="1"/>
  <c r="B815" i="15"/>
  <c r="G815" i="15"/>
  <c r="M815" i="15"/>
  <c r="D814" i="15"/>
  <c r="D815" i="15" s="1"/>
  <c r="O816" i="15" l="1"/>
  <c r="F814" i="15"/>
  <c r="E814" i="15" l="1"/>
  <c r="F815" i="15"/>
  <c r="J816" i="15"/>
  <c r="C816" i="15" s="1"/>
  <c r="L816" i="15"/>
  <c r="M816" i="15"/>
  <c r="O817" i="15" l="1"/>
  <c r="J817" i="15" s="1"/>
  <c r="C817" i="15" s="1"/>
  <c r="B816" i="15"/>
  <c r="E815" i="15"/>
  <c r="L817" i="15" l="1"/>
  <c r="G816" i="15"/>
  <c r="D816" i="15"/>
  <c r="O818" i="15"/>
  <c r="J818" i="15" s="1"/>
  <c r="C818" i="15" s="1"/>
  <c r="B817" i="15"/>
  <c r="G817" i="15"/>
  <c r="M817" i="15"/>
  <c r="M818" i="15" l="1"/>
  <c r="L818" i="15"/>
  <c r="O819" i="15"/>
  <c r="J819" i="15" s="1"/>
  <c r="C819" i="15" s="1"/>
  <c r="B818" i="15"/>
  <c r="G818" i="15"/>
  <c r="D817" i="15"/>
  <c r="F816" i="15"/>
  <c r="D818" i="15" l="1"/>
  <c r="E816" i="15"/>
  <c r="F817" i="15"/>
  <c r="B819" i="15"/>
  <c r="G819" i="15"/>
  <c r="M819" i="15"/>
  <c r="L819" i="15"/>
  <c r="O820" i="15" l="1"/>
  <c r="J820" i="15" s="1"/>
  <c r="C820" i="15" s="1"/>
  <c r="L820" i="15"/>
  <c r="E817" i="15"/>
  <c r="F818" i="15"/>
  <c r="D819" i="15"/>
  <c r="O821" i="15" l="1"/>
  <c r="J821" i="15" s="1"/>
  <c r="C821" i="15" s="1"/>
  <c r="E818" i="15"/>
  <c r="F819" i="15"/>
  <c r="B820" i="15"/>
  <c r="G820" i="15"/>
  <c r="M820" i="15"/>
  <c r="M821" i="15" s="1"/>
  <c r="E819" i="15" l="1"/>
  <c r="B821" i="15"/>
  <c r="G821" i="15"/>
  <c r="L821" i="15"/>
  <c r="D820" i="15"/>
  <c r="D821" i="15" s="1"/>
  <c r="O822" i="15" l="1"/>
  <c r="F820" i="15"/>
  <c r="E820" i="15" l="1"/>
  <c r="F821" i="15"/>
  <c r="J822" i="15"/>
  <c r="C822" i="15" s="1"/>
  <c r="M822" i="15"/>
  <c r="L822" i="15"/>
  <c r="O823" i="15" l="1"/>
  <c r="J823" i="15" s="1"/>
  <c r="C823" i="15" s="1"/>
  <c r="M823" i="15"/>
  <c r="B822" i="15"/>
  <c r="E821" i="15"/>
  <c r="G822" i="15" l="1"/>
  <c r="D822" i="15"/>
  <c r="B823" i="15"/>
  <c r="G823" i="15"/>
  <c r="L823" i="15"/>
  <c r="D823" i="15" l="1"/>
  <c r="F822" i="15"/>
  <c r="O824" i="15"/>
  <c r="L824" i="15" s="1"/>
  <c r="J824" i="15" l="1"/>
  <c r="C824" i="15" s="1"/>
  <c r="M824" i="15"/>
  <c r="E822" i="15"/>
  <c r="F823" i="15"/>
  <c r="O825" i="15" l="1"/>
  <c r="E823" i="15"/>
  <c r="B824" i="15"/>
  <c r="G824" i="15" l="1"/>
  <c r="D824" i="15"/>
  <c r="J825" i="15"/>
  <c r="C825" i="15" s="1"/>
  <c r="L825" i="15"/>
  <c r="M825" i="15"/>
  <c r="F824" i="15" l="1"/>
  <c r="O826" i="15"/>
  <c r="J826" i="15" s="1"/>
  <c r="C826" i="15" s="1"/>
  <c r="B825" i="15"/>
  <c r="G825" i="15"/>
  <c r="L826" i="15" l="1"/>
  <c r="M826" i="15"/>
  <c r="B826" i="15"/>
  <c r="G826" i="15"/>
  <c r="E824" i="15"/>
  <c r="D825" i="15"/>
  <c r="D826" i="15" s="1"/>
  <c r="F825" i="15" l="1"/>
  <c r="O827" i="15"/>
  <c r="J827" i="15" l="1"/>
  <c r="C827" i="15" s="1"/>
  <c r="L827" i="15"/>
  <c r="M827" i="15"/>
  <c r="E825" i="15"/>
  <c r="F826" i="15"/>
  <c r="E826" i="15" l="1"/>
  <c r="O828" i="15"/>
  <c r="J828" i="15" s="1"/>
  <c r="C828" i="15" s="1"/>
  <c r="B827" i="15"/>
  <c r="B828" i="15" l="1"/>
  <c r="G828" i="15"/>
  <c r="G827" i="15"/>
  <c r="D827" i="15"/>
  <c r="M828" i="15"/>
  <c r="L828" i="15"/>
  <c r="D828" i="15" l="1"/>
  <c r="F827" i="15"/>
  <c r="O829" i="15"/>
  <c r="J829" i="15" s="1"/>
  <c r="C829" i="15" s="1"/>
  <c r="M829" i="15" l="1"/>
  <c r="B829" i="15"/>
  <c r="G829" i="15"/>
  <c r="E827" i="15"/>
  <c r="F828" i="15"/>
  <c r="L829" i="15"/>
  <c r="D829" i="15"/>
  <c r="E828" i="15" l="1"/>
  <c r="F829" i="15"/>
  <c r="O830" i="15"/>
  <c r="J830" i="15" s="1"/>
  <c r="C830" i="15" s="1"/>
  <c r="M830" i="15" l="1"/>
  <c r="L830" i="15"/>
  <c r="B830" i="15"/>
  <c r="E829" i="15"/>
  <c r="G830" i="15" l="1"/>
  <c r="D830" i="15"/>
  <c r="O831" i="15"/>
  <c r="J831" i="15" s="1"/>
  <c r="C831" i="15" s="1"/>
  <c r="B831" i="15" l="1"/>
  <c r="G831" i="15"/>
  <c r="M831" i="15"/>
  <c r="L831" i="15"/>
  <c r="D831" i="15"/>
  <c r="F830" i="15"/>
  <c r="E830" i="15" l="1"/>
  <c r="F831" i="15"/>
  <c r="O832" i="15"/>
  <c r="J832" i="15" s="1"/>
  <c r="C832" i="15" s="1"/>
  <c r="B832" i="15" l="1"/>
  <c r="M832" i="15"/>
  <c r="L832" i="15"/>
  <c r="E831" i="15"/>
  <c r="G832" i="15" l="1"/>
  <c r="D832" i="15"/>
  <c r="O833" i="15"/>
  <c r="J833" i="15" s="1"/>
  <c r="C833" i="15" s="1"/>
  <c r="F832" i="15" l="1"/>
  <c r="B833" i="15"/>
  <c r="G833" i="15"/>
  <c r="M833" i="15"/>
  <c r="L833" i="15"/>
  <c r="D833" i="15" l="1"/>
  <c r="O834" i="15"/>
  <c r="J834" i="15" s="1"/>
  <c r="C834" i="15" s="1"/>
  <c r="E832" i="15"/>
  <c r="F833" i="15"/>
  <c r="L834" i="15" l="1"/>
  <c r="E833" i="15"/>
  <c r="B834" i="15"/>
  <c r="M834" i="15"/>
  <c r="O835" i="15" l="1"/>
  <c r="G834" i="15"/>
  <c r="D834" i="15"/>
  <c r="F834" i="15" l="1"/>
  <c r="J835" i="15"/>
  <c r="C835" i="15" s="1"/>
  <c r="L835" i="15"/>
  <c r="M835" i="15"/>
  <c r="O836" i="15" l="1"/>
  <c r="J836" i="15" s="1"/>
  <c r="C836" i="15" s="1"/>
  <c r="B835" i="15"/>
  <c r="E834" i="15"/>
  <c r="L836" i="15" l="1"/>
  <c r="G835" i="15"/>
  <c r="D835" i="15"/>
  <c r="O837" i="15"/>
  <c r="J837" i="15" s="1"/>
  <c r="C837" i="15" s="1"/>
  <c r="B836" i="15"/>
  <c r="G836" i="15"/>
  <c r="M836" i="15"/>
  <c r="M837" i="15" s="1"/>
  <c r="B837" i="15" l="1"/>
  <c r="G837" i="15"/>
  <c r="O838" i="15"/>
  <c r="J838" i="15" s="1"/>
  <c r="C838" i="15" s="1"/>
  <c r="L837" i="15"/>
  <c r="D836" i="15"/>
  <c r="D837" i="15" s="1"/>
  <c r="F835" i="15"/>
  <c r="L838" i="15" l="1"/>
  <c r="O839" i="15"/>
  <c r="J839" i="15" s="1"/>
  <c r="C839" i="15" s="1"/>
  <c r="E835" i="15"/>
  <c r="F836" i="15"/>
  <c r="B838" i="15"/>
  <c r="G838" i="15"/>
  <c r="M838" i="15"/>
  <c r="M839" i="15" s="1"/>
  <c r="E836" i="15" l="1"/>
  <c r="F837" i="15"/>
  <c r="D838" i="15"/>
  <c r="B839" i="15"/>
  <c r="G839" i="15"/>
  <c r="L839" i="15"/>
  <c r="O840" i="15" l="1"/>
  <c r="D839" i="15"/>
  <c r="E837" i="15"/>
  <c r="F838" i="15"/>
  <c r="E838" i="15" l="1"/>
  <c r="F839" i="15"/>
  <c r="J840" i="15"/>
  <c r="C840" i="15" s="1"/>
  <c r="M840" i="15"/>
  <c r="L840" i="15"/>
  <c r="B840" i="15" l="1"/>
  <c r="O841" i="15"/>
  <c r="J841" i="15" s="1"/>
  <c r="C841" i="15" s="1"/>
  <c r="E839" i="15"/>
  <c r="L841" i="15" l="1"/>
  <c r="B841" i="15"/>
  <c r="G841" i="15"/>
  <c r="M841" i="15"/>
  <c r="G840" i="15"/>
  <c r="D840" i="15"/>
  <c r="O842" i="15" l="1"/>
  <c r="J842" i="15" s="1"/>
  <c r="C842" i="15" s="1"/>
  <c r="D841" i="15"/>
  <c r="F840" i="15"/>
  <c r="L842" i="15"/>
  <c r="O843" i="15" l="1"/>
  <c r="J843" i="15" s="1"/>
  <c r="C843" i="15" s="1"/>
  <c r="E840" i="15"/>
  <c r="F841" i="15"/>
  <c r="B842" i="15"/>
  <c r="G842" i="15"/>
  <c r="M842" i="15"/>
  <c r="M843" i="15" s="1"/>
  <c r="E841" i="15" l="1"/>
  <c r="B843" i="15"/>
  <c r="G843" i="15"/>
  <c r="L843" i="15"/>
  <c r="D842" i="15"/>
  <c r="D843" i="15" s="1"/>
  <c r="O844" i="15" l="1"/>
  <c r="F842" i="15"/>
  <c r="E842" i="15" l="1"/>
  <c r="F843" i="15"/>
  <c r="J844" i="15"/>
  <c r="C844" i="15" s="1"/>
  <c r="M844" i="15"/>
  <c r="L844" i="15"/>
  <c r="B844" i="15" l="1"/>
  <c r="O845" i="15"/>
  <c r="J845" i="15" s="1"/>
  <c r="C845" i="15" s="1"/>
  <c r="E843" i="15"/>
  <c r="M845" i="15" l="1"/>
  <c r="O846" i="15"/>
  <c r="J846" i="15" s="1"/>
  <c r="C846" i="15" s="1"/>
  <c r="G844" i="15"/>
  <c r="D844" i="15"/>
  <c r="B845" i="15"/>
  <c r="G845" i="15"/>
  <c r="L845" i="15"/>
  <c r="L846" i="15" s="1"/>
  <c r="D845" i="15" l="1"/>
  <c r="F844" i="15"/>
  <c r="O847" i="15"/>
  <c r="J847" i="15" s="1"/>
  <c r="C847" i="15" s="1"/>
  <c r="B846" i="15"/>
  <c r="G846" i="15"/>
  <c r="M846" i="15"/>
  <c r="M847" i="15" s="1"/>
  <c r="B847" i="15" l="1"/>
  <c r="G847" i="15"/>
  <c r="L847" i="15"/>
  <c r="E844" i="15"/>
  <c r="F845" i="15"/>
  <c r="D846" i="15"/>
  <c r="D847" i="15" s="1"/>
  <c r="O848" i="15" l="1"/>
  <c r="E845" i="15"/>
  <c r="F846" i="15"/>
  <c r="E846" i="15" l="1"/>
  <c r="F847" i="15"/>
  <c r="J848" i="15"/>
  <c r="C848" i="15" s="1"/>
  <c r="M848" i="15"/>
  <c r="L848" i="15"/>
  <c r="B848" i="15" l="1"/>
  <c r="O849" i="15"/>
  <c r="J849" i="15" s="1"/>
  <c r="C849" i="15" s="1"/>
  <c r="E847" i="15"/>
  <c r="B849" i="15" l="1"/>
  <c r="G849" i="15"/>
  <c r="G848" i="15"/>
  <c r="D848" i="15"/>
  <c r="M849" i="15"/>
  <c r="L849" i="15"/>
  <c r="D849" i="15" l="1"/>
  <c r="F848" i="15"/>
  <c r="O850" i="15"/>
  <c r="J850" i="15" s="1"/>
  <c r="C850" i="15" s="1"/>
  <c r="B850" i="15" l="1"/>
  <c r="G850" i="15"/>
  <c r="L850" i="15"/>
  <c r="M850" i="15"/>
  <c r="E848" i="15"/>
  <c r="F849" i="15"/>
  <c r="D850" i="15"/>
  <c r="O851" i="15" l="1"/>
  <c r="J851" i="15" s="1"/>
  <c r="C851" i="15" s="1"/>
  <c r="E849" i="15"/>
  <c r="F850" i="15"/>
  <c r="L851" i="15"/>
  <c r="O852" i="15" l="1"/>
  <c r="J852" i="15" s="1"/>
  <c r="C852" i="15" s="1"/>
  <c r="E850" i="15"/>
  <c r="B851" i="15"/>
  <c r="M851" i="15"/>
  <c r="M852" i="15" s="1"/>
  <c r="L852" i="15" l="1"/>
  <c r="G851" i="15"/>
  <c r="D851" i="15"/>
  <c r="B852" i="15"/>
  <c r="G852" i="15"/>
  <c r="O853" i="15"/>
  <c r="J853" i="15" s="1"/>
  <c r="C853" i="15" s="1"/>
  <c r="L853" i="15" l="1"/>
  <c r="O854" i="15" s="1"/>
  <c r="J854" i="15" s="1"/>
  <c r="C854" i="15" s="1"/>
  <c r="B853" i="15"/>
  <c r="G853" i="15"/>
  <c r="M853" i="15"/>
  <c r="D852" i="15"/>
  <c r="D853" i="15" s="1"/>
  <c r="F851" i="15"/>
  <c r="M854" i="15" l="1"/>
  <c r="E851" i="15"/>
  <c r="F852" i="15"/>
  <c r="B854" i="15"/>
  <c r="G854" i="15"/>
  <c r="L854" i="15"/>
  <c r="E852" i="15" l="1"/>
  <c r="F853" i="15"/>
  <c r="O855" i="15"/>
  <c r="L855" i="15" s="1"/>
  <c r="D854" i="15"/>
  <c r="J855" i="15" l="1"/>
  <c r="C855" i="15" s="1"/>
  <c r="M855" i="15"/>
  <c r="E853" i="15"/>
  <c r="F854" i="15"/>
  <c r="E854" i="15" l="1"/>
  <c r="O856" i="15"/>
  <c r="B855" i="15"/>
  <c r="G855" i="15" l="1"/>
  <c r="D855" i="15"/>
  <c r="J856" i="15"/>
  <c r="C856" i="15" s="1"/>
  <c r="L856" i="15"/>
  <c r="M856" i="15"/>
  <c r="O857" i="15" l="1"/>
  <c r="J857" i="15" s="1"/>
  <c r="C857" i="15" s="1"/>
  <c r="B856" i="15"/>
  <c r="G856" i="15"/>
  <c r="F855" i="15"/>
  <c r="L857" i="15" l="1"/>
  <c r="D856" i="15"/>
  <c r="E855" i="15"/>
  <c r="F856" i="15"/>
  <c r="O858" i="15"/>
  <c r="J858" i="15" s="1"/>
  <c r="C858" i="15" s="1"/>
  <c r="B857" i="15"/>
  <c r="G857" i="15"/>
  <c r="M857" i="15"/>
  <c r="M858" i="15" s="1"/>
  <c r="L858" i="15" l="1"/>
  <c r="B858" i="15"/>
  <c r="G858" i="15"/>
  <c r="E856" i="15"/>
  <c r="D857" i="15"/>
  <c r="D858" i="15" s="1"/>
  <c r="F857" i="15" l="1"/>
  <c r="O859" i="15"/>
  <c r="L859" i="15" s="1"/>
  <c r="J859" i="15" l="1"/>
  <c r="C859" i="15" s="1"/>
  <c r="M859" i="15"/>
  <c r="E857" i="15"/>
  <c r="F858" i="15"/>
  <c r="E858" i="15" l="1"/>
  <c r="O860" i="15"/>
  <c r="B859" i="15"/>
  <c r="G859" i="15" l="1"/>
  <c r="D859" i="15"/>
  <c r="J860" i="15"/>
  <c r="C860" i="15" s="1"/>
  <c r="L860" i="15"/>
  <c r="M860" i="15"/>
  <c r="O861" i="15" l="1"/>
  <c r="J861" i="15" s="1"/>
  <c r="C861" i="15" s="1"/>
  <c r="B860" i="15"/>
  <c r="G860" i="15"/>
  <c r="L861" i="15"/>
  <c r="D860" i="15"/>
  <c r="F859" i="15"/>
  <c r="E859" i="15" l="1"/>
  <c r="F860" i="15"/>
  <c r="B861" i="15"/>
  <c r="G861" i="15"/>
  <c r="M861" i="15"/>
  <c r="O862" i="15" l="1"/>
  <c r="E860" i="15"/>
  <c r="D861" i="15"/>
  <c r="F861" i="15" l="1"/>
  <c r="J862" i="15"/>
  <c r="C862" i="15" s="1"/>
  <c r="L862" i="15"/>
  <c r="M862" i="15"/>
  <c r="O863" i="15" l="1"/>
  <c r="J863" i="15" s="1"/>
  <c r="C863" i="15" s="1"/>
  <c r="B862" i="15"/>
  <c r="E861" i="15"/>
  <c r="L863" i="15" l="1"/>
  <c r="G862" i="15"/>
  <c r="D862" i="15"/>
  <c r="B863" i="15"/>
  <c r="G863" i="15"/>
  <c r="M863" i="15"/>
  <c r="O864" i="15" l="1"/>
  <c r="D863" i="15"/>
  <c r="F862" i="15"/>
  <c r="E862" i="15" l="1"/>
  <c r="F863" i="15"/>
  <c r="J864" i="15"/>
  <c r="C864" i="15" s="1"/>
  <c r="L864" i="15"/>
  <c r="M864" i="15"/>
  <c r="B864" i="15" l="1"/>
  <c r="O865" i="15"/>
  <c r="J865" i="15" s="1"/>
  <c r="C865" i="15" s="1"/>
  <c r="E863" i="15"/>
  <c r="B865" i="15" l="1"/>
  <c r="G865" i="15"/>
  <c r="M865" i="15"/>
  <c r="L865" i="15"/>
  <c r="G864" i="15"/>
  <c r="D864" i="15"/>
  <c r="O866" i="15" l="1"/>
  <c r="J866" i="15" s="1"/>
  <c r="C866" i="15" s="1"/>
  <c r="D865" i="15"/>
  <c r="F864" i="15"/>
  <c r="M866" i="15"/>
  <c r="L866" i="15" l="1"/>
  <c r="O867" i="15" s="1"/>
  <c r="J867" i="15" s="1"/>
  <c r="C867" i="15" s="1"/>
  <c r="E864" i="15"/>
  <c r="F865" i="15"/>
  <c r="B866" i="15"/>
  <c r="G866" i="15"/>
  <c r="E865" i="15" l="1"/>
  <c r="B867" i="15"/>
  <c r="G867" i="15"/>
  <c r="L867" i="15"/>
  <c r="D866" i="15"/>
  <c r="D867" i="15" s="1"/>
  <c r="M867" i="15"/>
  <c r="O868" i="15" l="1"/>
  <c r="J868" i="15" s="1"/>
  <c r="C868" i="15" s="1"/>
  <c r="F866" i="15"/>
  <c r="E866" i="15" l="1"/>
  <c r="F867" i="15"/>
  <c r="B868" i="15"/>
  <c r="L868" i="15"/>
  <c r="M868" i="15"/>
  <c r="O869" i="15" l="1"/>
  <c r="J869" i="15" s="1"/>
  <c r="C869" i="15" s="1"/>
  <c r="G868" i="15"/>
  <c r="D868" i="15"/>
  <c r="E867" i="15"/>
  <c r="M869" i="15" l="1"/>
  <c r="F868" i="15"/>
  <c r="B869" i="15"/>
  <c r="G869" i="15"/>
  <c r="L869" i="15"/>
  <c r="O870" i="15" l="1"/>
  <c r="E868" i="15"/>
  <c r="D869" i="15"/>
  <c r="F869" i="15" l="1"/>
  <c r="J870" i="15"/>
  <c r="C870" i="15" s="1"/>
  <c r="M870" i="15"/>
  <c r="L870" i="15"/>
  <c r="O871" i="15" l="1"/>
  <c r="J871" i="15" s="1"/>
  <c r="C871" i="15" s="1"/>
  <c r="B870" i="15"/>
  <c r="E869" i="15"/>
  <c r="G870" i="15" l="1"/>
  <c r="D870" i="15"/>
  <c r="B871" i="15"/>
  <c r="G871" i="15"/>
  <c r="M871" i="15"/>
  <c r="L871" i="15"/>
  <c r="O872" i="15" l="1"/>
  <c r="J872" i="15" s="1"/>
  <c r="C872" i="15" s="1"/>
  <c r="D871" i="15"/>
  <c r="F870" i="15"/>
  <c r="E870" i="15" l="1"/>
  <c r="F871" i="15"/>
  <c r="B872" i="15"/>
  <c r="G872" i="15"/>
  <c r="M872" i="15"/>
  <c r="L872" i="15"/>
  <c r="O873" i="15" l="1"/>
  <c r="J873" i="15" s="1"/>
  <c r="C873" i="15" s="1"/>
  <c r="E871" i="15"/>
  <c r="D872" i="15"/>
  <c r="L873" i="15" l="1"/>
  <c r="F872" i="15"/>
  <c r="B873" i="15"/>
  <c r="G873" i="15"/>
  <c r="M873" i="15"/>
  <c r="O874" i="15" l="1"/>
  <c r="D873" i="15"/>
  <c r="F873" i="15" s="1"/>
  <c r="E872" i="15"/>
  <c r="E873" i="15" l="1"/>
  <c r="J874" i="15"/>
  <c r="C874" i="15" s="1"/>
  <c r="L874" i="15"/>
  <c r="M874" i="15"/>
  <c r="O875" i="15" l="1"/>
  <c r="J875" i="15" s="1"/>
  <c r="C875" i="15" s="1"/>
  <c r="B874" i="15"/>
  <c r="L875" i="15"/>
  <c r="O876" i="15" l="1"/>
  <c r="J876" i="15" s="1"/>
  <c r="C876" i="15" s="1"/>
  <c r="G874" i="15"/>
  <c r="D874" i="15"/>
  <c r="B875" i="15"/>
  <c r="G875" i="15"/>
  <c r="M875" i="15"/>
  <c r="M876" i="15" l="1"/>
  <c r="D875" i="15"/>
  <c r="F874" i="15"/>
  <c r="B876" i="15"/>
  <c r="G876" i="15"/>
  <c r="L876" i="15"/>
  <c r="E874" i="15" l="1"/>
  <c r="F875" i="15"/>
  <c r="O877" i="15"/>
  <c r="D876" i="15"/>
  <c r="J877" i="15" l="1"/>
  <c r="C877" i="15" s="1"/>
  <c r="M877" i="15"/>
  <c r="E875" i="15"/>
  <c r="F876" i="15"/>
  <c r="L877" i="15"/>
  <c r="O878" i="15" l="1"/>
  <c r="J878" i="15" s="1"/>
  <c r="C878" i="15" s="1"/>
  <c r="E876" i="15"/>
  <c r="B877" i="15"/>
  <c r="G877" i="15" l="1"/>
  <c r="D877" i="15"/>
  <c r="M878" i="15"/>
  <c r="B878" i="15"/>
  <c r="G878" i="15"/>
  <c r="L878" i="15"/>
  <c r="D878" i="15" l="1"/>
  <c r="F877" i="15"/>
  <c r="O879" i="15"/>
  <c r="J879" i="15" s="1"/>
  <c r="C879" i="15" s="1"/>
  <c r="E877" i="15" l="1"/>
  <c r="F878" i="15"/>
  <c r="B879" i="15"/>
  <c r="G879" i="15"/>
  <c r="M879" i="15"/>
  <c r="L879" i="15"/>
  <c r="D879" i="15" l="1"/>
  <c r="O880" i="15"/>
  <c r="J880" i="15" s="1"/>
  <c r="C880" i="15" s="1"/>
  <c r="E878" i="15"/>
  <c r="F879" i="15"/>
  <c r="M880" i="15" l="1"/>
  <c r="E879" i="15"/>
  <c r="B880" i="15"/>
  <c r="L880" i="15"/>
  <c r="G880" i="15" l="1"/>
  <c r="D880" i="15"/>
  <c r="O881" i="15"/>
  <c r="J881" i="15" l="1"/>
  <c r="C881" i="15" s="1"/>
  <c r="M881" i="15"/>
  <c r="F880" i="15"/>
  <c r="L881" i="15"/>
  <c r="O882" i="15" l="1"/>
  <c r="J882" i="15" s="1"/>
  <c r="C882" i="15" s="1"/>
  <c r="E880" i="15"/>
  <c r="B881" i="15"/>
  <c r="M882" i="15" l="1"/>
  <c r="G881" i="15"/>
  <c r="D881" i="15"/>
  <c r="B882" i="15"/>
  <c r="G882" i="15"/>
  <c r="L882" i="15"/>
  <c r="O883" i="15" l="1"/>
  <c r="J883" i="15" s="1"/>
  <c r="C883" i="15" s="1"/>
  <c r="D882" i="15"/>
  <c r="F881" i="15"/>
  <c r="M883" i="15"/>
  <c r="E881" i="15" l="1"/>
  <c r="F882" i="15"/>
  <c r="B883" i="15"/>
  <c r="G883" i="15"/>
  <c r="L883" i="15"/>
  <c r="O884" i="15" l="1"/>
  <c r="E882" i="15"/>
  <c r="D883" i="15"/>
  <c r="F883" i="15" l="1"/>
  <c r="J884" i="15"/>
  <c r="C884" i="15" s="1"/>
  <c r="M884" i="15"/>
  <c r="L884" i="15"/>
  <c r="B884" i="15" l="1"/>
  <c r="O885" i="15"/>
  <c r="J885" i="15" s="1"/>
  <c r="C885" i="15" s="1"/>
  <c r="E883" i="15"/>
  <c r="M885" i="15" l="1"/>
  <c r="B885" i="15"/>
  <c r="G885" i="15"/>
  <c r="G884" i="15"/>
  <c r="D884" i="15"/>
  <c r="L885" i="15"/>
  <c r="D885" i="15" l="1"/>
  <c r="F884" i="15"/>
  <c r="O886" i="15"/>
  <c r="J886" i="15" s="1"/>
  <c r="C886" i="15" s="1"/>
  <c r="B886" i="15" l="1"/>
  <c r="G886" i="15"/>
  <c r="M886" i="15"/>
  <c r="L886" i="15"/>
  <c r="E884" i="15"/>
  <c r="F885" i="15"/>
  <c r="D886" i="15"/>
  <c r="E885" i="15" l="1"/>
  <c r="F886" i="15"/>
  <c r="O887" i="15"/>
  <c r="J887" i="15" s="1"/>
  <c r="C887" i="15" s="1"/>
  <c r="B887" i="15" l="1"/>
  <c r="M887" i="15"/>
  <c r="L887" i="15"/>
  <c r="E886" i="15"/>
  <c r="O888" i="15" l="1"/>
  <c r="J888" i="15" s="1"/>
  <c r="C888" i="15" s="1"/>
  <c r="G887" i="15"/>
  <c r="D887" i="15"/>
  <c r="L888" i="15"/>
  <c r="M888" i="15" l="1"/>
  <c r="O889" i="15"/>
  <c r="J889" i="15" s="1"/>
  <c r="C889" i="15" s="1"/>
  <c r="F887" i="15"/>
  <c r="B888" i="15"/>
  <c r="G888" i="15"/>
  <c r="M889" i="15"/>
  <c r="D888" i="15" l="1"/>
  <c r="E887" i="15"/>
  <c r="F888" i="15"/>
  <c r="B889" i="15"/>
  <c r="G889" i="15"/>
  <c r="L889" i="15"/>
  <c r="O890" i="15" l="1"/>
  <c r="E888" i="15"/>
  <c r="D889" i="15"/>
  <c r="F889" i="15" l="1"/>
  <c r="J890" i="15"/>
  <c r="C890" i="15" s="1"/>
  <c r="M890" i="15"/>
  <c r="L890" i="15"/>
  <c r="O891" i="15" l="1"/>
  <c r="J891" i="15" s="1"/>
  <c r="C891" i="15" s="1"/>
  <c r="B890" i="15"/>
  <c r="E889" i="15"/>
  <c r="L891" i="15" l="1"/>
  <c r="G890" i="15"/>
  <c r="D890" i="15"/>
  <c r="B891" i="15"/>
  <c r="G891" i="15"/>
  <c r="M891" i="15"/>
  <c r="O892" i="15" l="1"/>
  <c r="D891" i="15"/>
  <c r="F890" i="15"/>
  <c r="E890" i="15" l="1"/>
  <c r="F891" i="15"/>
  <c r="J892" i="15"/>
  <c r="C892" i="15" s="1"/>
  <c r="L892" i="15"/>
  <c r="M892" i="15"/>
  <c r="E891" i="15" l="1"/>
  <c r="O893" i="15"/>
  <c r="J893" i="15" s="1"/>
  <c r="C893" i="15" s="1"/>
  <c r="B892" i="15"/>
  <c r="G892" i="15" l="1"/>
  <c r="D892" i="15"/>
  <c r="B893" i="15"/>
  <c r="G893" i="15"/>
  <c r="L893" i="15"/>
  <c r="M893" i="15"/>
  <c r="O894" i="15" l="1"/>
  <c r="J894" i="15" s="1"/>
  <c r="C894" i="15" s="1"/>
  <c r="D893" i="15"/>
  <c r="F892" i="15"/>
  <c r="B894" i="15" l="1"/>
  <c r="G894" i="15"/>
  <c r="M894" i="15"/>
  <c r="E892" i="15"/>
  <c r="F893" i="15"/>
  <c r="L894" i="15"/>
  <c r="E893" i="15" l="1"/>
  <c r="O895" i="15"/>
  <c r="J895" i="15" s="1"/>
  <c r="C895" i="15" s="1"/>
  <c r="D894" i="15"/>
  <c r="L895" i="15" l="1"/>
  <c r="M895" i="15"/>
  <c r="B895" i="15"/>
  <c r="G895" i="15"/>
  <c r="F894" i="15"/>
  <c r="E894" i="15" l="1"/>
  <c r="D895" i="15"/>
  <c r="O896" i="15"/>
  <c r="J896" i="15" s="1"/>
  <c r="C896" i="15" s="1"/>
  <c r="B896" i="15" l="1"/>
  <c r="G896" i="15"/>
  <c r="L896" i="15"/>
  <c r="M896" i="15"/>
  <c r="F895" i="15"/>
  <c r="E895" i="15" l="1"/>
  <c r="O897" i="15"/>
  <c r="J897" i="15" s="1"/>
  <c r="C897" i="15" s="1"/>
  <c r="D896" i="15"/>
  <c r="B897" i="15" l="1"/>
  <c r="G897" i="15"/>
  <c r="L897" i="15"/>
  <c r="D897" i="15"/>
  <c r="M897" i="15"/>
  <c r="F896" i="15"/>
  <c r="E896" i="15" l="1"/>
  <c r="F897" i="15"/>
  <c r="O898" i="15"/>
  <c r="J898" i="15" s="1"/>
  <c r="C898" i="15" s="1"/>
  <c r="B898" i="15" l="1"/>
  <c r="M898" i="15"/>
  <c r="L898" i="15"/>
  <c r="E897" i="15"/>
  <c r="O899" i="15" l="1"/>
  <c r="J899" i="15" s="1"/>
  <c r="C899" i="15" s="1"/>
  <c r="G898" i="15"/>
  <c r="D898" i="15"/>
  <c r="F898" i="15" l="1"/>
  <c r="M899" i="15"/>
  <c r="B899" i="15"/>
  <c r="G899" i="15"/>
  <c r="L899" i="15"/>
  <c r="O900" i="15" l="1"/>
  <c r="J900" i="15" s="1"/>
  <c r="C900" i="15" s="1"/>
  <c r="E898" i="15"/>
  <c r="D899" i="15"/>
  <c r="F899" i="15" s="1"/>
  <c r="M900" i="15" l="1"/>
  <c r="O901" i="15" s="1"/>
  <c r="J901" i="15" s="1"/>
  <c r="C901" i="15" s="1"/>
  <c r="E899" i="15"/>
  <c r="B900" i="15"/>
  <c r="G900" i="15"/>
  <c r="L900" i="15"/>
  <c r="L901" i="15" l="1"/>
  <c r="B901" i="15"/>
  <c r="G901" i="15"/>
  <c r="M901" i="15"/>
  <c r="D900" i="15"/>
  <c r="D901" i="15" l="1"/>
  <c r="F900" i="15"/>
  <c r="O902" i="15"/>
  <c r="M902" i="15" s="1"/>
  <c r="O903" i="15" l="1"/>
  <c r="J903" i="15" s="1"/>
  <c r="C903" i="15" s="1"/>
  <c r="E900" i="15"/>
  <c r="F901" i="15"/>
  <c r="J902" i="15"/>
  <c r="C902" i="15" s="1"/>
  <c r="L902" i="15"/>
  <c r="L903" i="15" s="1"/>
  <c r="E901" i="15" l="1"/>
  <c r="B902" i="15"/>
  <c r="B903" i="15"/>
  <c r="G903" i="15"/>
  <c r="M903" i="15"/>
  <c r="O904" i="15" l="1"/>
  <c r="G902" i="15"/>
  <c r="D902" i="15"/>
  <c r="D903" i="15" l="1"/>
  <c r="F902" i="15"/>
  <c r="J904" i="15"/>
  <c r="C904" i="15" s="1"/>
  <c r="L904" i="15"/>
  <c r="M904" i="15"/>
  <c r="B904" i="15" l="1"/>
  <c r="G904" i="15"/>
  <c r="O905" i="15"/>
  <c r="J905" i="15" s="1"/>
  <c r="C905" i="15" s="1"/>
  <c r="E902" i="15"/>
  <c r="F903" i="15"/>
  <c r="D904" i="15"/>
  <c r="L905" i="15" l="1"/>
  <c r="B905" i="15"/>
  <c r="G905" i="15"/>
  <c r="M905" i="15"/>
  <c r="E903" i="15"/>
  <c r="F904" i="15"/>
  <c r="O906" i="15" l="1"/>
  <c r="E904" i="15"/>
  <c r="D905" i="15"/>
  <c r="F905" i="15" l="1"/>
  <c r="J906" i="15"/>
  <c r="C906" i="15" s="1"/>
  <c r="L906" i="15"/>
  <c r="M906" i="15"/>
  <c r="O907" i="15" l="1"/>
  <c r="J907" i="15" s="1"/>
  <c r="C907" i="15" s="1"/>
  <c r="B906" i="15"/>
  <c r="E905" i="15"/>
  <c r="G906" i="15" l="1"/>
  <c r="D906" i="15"/>
  <c r="B907" i="15"/>
  <c r="G907" i="15"/>
  <c r="M907" i="15"/>
  <c r="L907" i="15"/>
  <c r="O908" i="15" l="1"/>
  <c r="J908" i="15" s="1"/>
  <c r="C908" i="15" s="1"/>
  <c r="M908" i="15"/>
  <c r="D907" i="15"/>
  <c r="F906" i="15"/>
  <c r="E906" i="15" l="1"/>
  <c r="F907" i="15"/>
  <c r="B908" i="15"/>
  <c r="G908" i="15"/>
  <c r="L908" i="15"/>
  <c r="O909" i="15" l="1"/>
  <c r="E907" i="15"/>
  <c r="D908" i="15"/>
  <c r="F908" i="15" s="1"/>
  <c r="J909" i="15" l="1"/>
  <c r="C909" i="15" s="1"/>
  <c r="M909" i="15"/>
  <c r="E908" i="15"/>
  <c r="L909" i="15"/>
  <c r="O910" i="15" l="1"/>
  <c r="J910" i="15" s="1"/>
  <c r="C910" i="15" s="1"/>
  <c r="B909" i="15"/>
  <c r="B910" i="15" l="1"/>
  <c r="G910" i="15"/>
  <c r="G909" i="15"/>
  <c r="D909" i="15"/>
  <c r="M910" i="15"/>
  <c r="L910" i="15"/>
  <c r="O911" i="15" l="1"/>
  <c r="J911" i="15" s="1"/>
  <c r="C911" i="15" s="1"/>
  <c r="D910" i="15"/>
  <c r="F909" i="15"/>
  <c r="E909" i="15" l="1"/>
  <c r="F910" i="15"/>
  <c r="B911" i="15"/>
  <c r="G911" i="15"/>
  <c r="L911" i="15"/>
  <c r="M911" i="15"/>
  <c r="O912" i="15" l="1"/>
  <c r="J912" i="15" s="1"/>
  <c r="C912" i="15" s="1"/>
  <c r="D911" i="15"/>
  <c r="F911" i="15" s="1"/>
  <c r="M912" i="15"/>
  <c r="E910" i="15"/>
  <c r="E911" i="15" l="1"/>
  <c r="O913" i="15"/>
  <c r="J913" i="15" s="1"/>
  <c r="C913" i="15" s="1"/>
  <c r="B912" i="15"/>
  <c r="G912" i="15"/>
  <c r="L912" i="15"/>
  <c r="L913" i="15" s="1"/>
  <c r="D912" i="15" l="1"/>
  <c r="B913" i="15"/>
  <c r="G913" i="15"/>
  <c r="M913" i="15"/>
  <c r="O914" i="15" l="1"/>
  <c r="D913" i="15"/>
  <c r="F912" i="15"/>
  <c r="E912" i="15" l="1"/>
  <c r="F913" i="15"/>
  <c r="J914" i="15"/>
  <c r="C914" i="15" s="1"/>
  <c r="L914" i="15"/>
  <c r="M914" i="15"/>
  <c r="O915" i="15" l="1"/>
  <c r="J915" i="15" s="1"/>
  <c r="C915" i="15" s="1"/>
  <c r="B914" i="15"/>
  <c r="E913" i="15"/>
  <c r="G914" i="15" l="1"/>
  <c r="D914" i="15"/>
  <c r="B915" i="15"/>
  <c r="G915" i="15"/>
  <c r="L915" i="15"/>
  <c r="M915" i="15"/>
  <c r="O916" i="15" l="1"/>
  <c r="J916" i="15" s="1"/>
  <c r="C916" i="15" s="1"/>
  <c r="D915" i="15"/>
  <c r="F914" i="15"/>
  <c r="E914" i="15" l="1"/>
  <c r="F915" i="15"/>
  <c r="G916" i="15"/>
  <c r="B916" i="15"/>
  <c r="L916" i="15"/>
  <c r="M916" i="15"/>
  <c r="O917" i="15" l="1"/>
  <c r="J917" i="15" s="1"/>
  <c r="C917" i="15" s="1"/>
  <c r="E915" i="15"/>
  <c r="D916" i="15"/>
  <c r="M917" i="15" l="1"/>
  <c r="F916" i="15"/>
  <c r="B917" i="15"/>
  <c r="G917" i="15"/>
  <c r="L917" i="15"/>
  <c r="O918" i="15" l="1"/>
  <c r="E916" i="15"/>
  <c r="D917" i="15"/>
  <c r="F917" i="15" l="1"/>
  <c r="J918" i="15"/>
  <c r="C918" i="15" s="1"/>
  <c r="M918" i="15"/>
  <c r="L918" i="15"/>
  <c r="B918" i="15" l="1"/>
  <c r="O919" i="15"/>
  <c r="J919" i="15" s="1"/>
  <c r="C919" i="15" s="1"/>
  <c r="E917" i="15"/>
  <c r="M919" i="15" l="1"/>
  <c r="B919" i="15"/>
  <c r="G919" i="15"/>
  <c r="G918" i="15"/>
  <c r="D918" i="15"/>
  <c r="L919" i="15"/>
  <c r="D919" i="15" l="1"/>
  <c r="F918" i="15"/>
  <c r="O920" i="15"/>
  <c r="J920" i="15" s="1"/>
  <c r="C920" i="15" s="1"/>
  <c r="G920" i="15" l="1"/>
  <c r="B920" i="15"/>
  <c r="L920" i="15"/>
  <c r="M920" i="15"/>
  <c r="E918" i="15"/>
  <c r="F919" i="15"/>
  <c r="D920" i="15"/>
  <c r="E919" i="15" l="1"/>
  <c r="F920" i="15"/>
  <c r="O921" i="15"/>
  <c r="J921" i="15" s="1"/>
  <c r="C921" i="15" s="1"/>
  <c r="M921" i="15" l="1"/>
  <c r="B921" i="15"/>
  <c r="E920" i="15"/>
  <c r="L921" i="15"/>
  <c r="G921" i="15" l="1"/>
  <c r="D921" i="15"/>
  <c r="O922" i="15"/>
  <c r="J922" i="15" s="1"/>
  <c r="C922" i="15" s="1"/>
  <c r="M922" i="15" l="1"/>
  <c r="G922" i="15"/>
  <c r="B922" i="15"/>
  <c r="D922" i="15"/>
  <c r="F921" i="15"/>
  <c r="L922" i="15"/>
  <c r="E921" i="15" l="1"/>
  <c r="F922" i="15"/>
  <c r="O923" i="15"/>
  <c r="J923" i="15" s="1"/>
  <c r="C923" i="15" s="1"/>
  <c r="B923" i="15" l="1"/>
  <c r="M923" i="15"/>
  <c r="L923" i="15"/>
  <c r="E922" i="15"/>
  <c r="G923" i="15" l="1"/>
  <c r="D923" i="15"/>
  <c r="O924" i="15"/>
  <c r="J924" i="15" s="1"/>
  <c r="C924" i="15" s="1"/>
  <c r="M924" i="15" l="1"/>
  <c r="O925" i="15"/>
  <c r="J925" i="15" s="1"/>
  <c r="C925" i="15" s="1"/>
  <c r="L924" i="15"/>
  <c r="L925" i="15" s="1"/>
  <c r="B924" i="15"/>
  <c r="G924" i="15"/>
  <c r="F923" i="15"/>
  <c r="E923" i="15" l="1"/>
  <c r="D924" i="15"/>
  <c r="B925" i="15"/>
  <c r="G925" i="15"/>
  <c r="M925" i="15"/>
  <c r="O926" i="15" l="1"/>
  <c r="D925" i="15"/>
  <c r="F924" i="15"/>
  <c r="E924" i="15" l="1"/>
  <c r="F925" i="15"/>
  <c r="J926" i="15"/>
  <c r="C926" i="15" s="1"/>
  <c r="L926" i="15"/>
  <c r="M926" i="15"/>
  <c r="B926" i="15" l="1"/>
  <c r="O927" i="15"/>
  <c r="J927" i="15" s="1"/>
  <c r="C927" i="15" s="1"/>
  <c r="E925" i="15"/>
  <c r="G926" i="15" l="1"/>
  <c r="D926" i="15"/>
  <c r="G927" i="15"/>
  <c r="B927" i="15"/>
  <c r="M927" i="15"/>
  <c r="L927" i="15"/>
  <c r="O928" i="15" l="1"/>
  <c r="J928" i="15" s="1"/>
  <c r="C928" i="15" s="1"/>
  <c r="D927" i="15"/>
  <c r="F926" i="15"/>
  <c r="L928" i="15" l="1"/>
  <c r="E926" i="15"/>
  <c r="F927" i="15"/>
  <c r="O929" i="15"/>
  <c r="J929" i="15" s="1"/>
  <c r="C929" i="15" s="1"/>
  <c r="B928" i="15"/>
  <c r="G928" i="15"/>
  <c r="M928" i="15"/>
  <c r="M929" i="15" l="1"/>
  <c r="D928" i="15"/>
  <c r="B929" i="15"/>
  <c r="G929" i="15"/>
  <c r="L929" i="15"/>
  <c r="E927" i="15"/>
  <c r="F928" i="15"/>
  <c r="O930" i="15" l="1"/>
  <c r="E928" i="15"/>
  <c r="D929" i="15"/>
  <c r="F929" i="15" l="1"/>
  <c r="J930" i="15"/>
  <c r="C930" i="15" s="1"/>
  <c r="M930" i="15"/>
  <c r="L930" i="15"/>
  <c r="B930" i="15" l="1"/>
  <c r="O931" i="15"/>
  <c r="J931" i="15" s="1"/>
  <c r="C931" i="15" s="1"/>
  <c r="E929" i="15"/>
  <c r="M931" i="15" l="1"/>
  <c r="L931" i="15"/>
  <c r="O932" i="15"/>
  <c r="J932" i="15" s="1"/>
  <c r="C932" i="15" s="1"/>
  <c r="G931" i="15"/>
  <c r="B931" i="15"/>
  <c r="G930" i="15"/>
  <c r="D930" i="15"/>
  <c r="D931" i="15" l="1"/>
  <c r="F930" i="15"/>
  <c r="B932" i="15"/>
  <c r="G932" i="15"/>
  <c r="M932" i="15"/>
  <c r="L932" i="15"/>
  <c r="O933" i="15" l="1"/>
  <c r="J933" i="15" s="1"/>
  <c r="C933" i="15" s="1"/>
  <c r="E930" i="15"/>
  <c r="F931" i="15"/>
  <c r="D932" i="15"/>
  <c r="E931" i="15" l="1"/>
  <c r="F932" i="15"/>
  <c r="B933" i="15"/>
  <c r="G933" i="15"/>
  <c r="M933" i="15"/>
  <c r="L933" i="15"/>
  <c r="O934" i="15" l="1"/>
  <c r="J934" i="15" s="1"/>
  <c r="C934" i="15" s="1"/>
  <c r="D933" i="15"/>
  <c r="E932" i="15"/>
  <c r="F933" i="15"/>
  <c r="L934" i="15" l="1"/>
  <c r="E933" i="15"/>
  <c r="B934" i="15"/>
  <c r="G934" i="15"/>
  <c r="M934" i="15"/>
  <c r="O935" i="15" l="1"/>
  <c r="D934" i="15"/>
  <c r="F934" i="15" l="1"/>
  <c r="J935" i="15"/>
  <c r="C935" i="15" s="1"/>
  <c r="L935" i="15"/>
  <c r="M935" i="15"/>
  <c r="B935" i="15" l="1"/>
  <c r="O936" i="15"/>
  <c r="J936" i="15" s="1"/>
  <c r="C936" i="15" s="1"/>
  <c r="E934" i="15"/>
  <c r="B936" i="15" l="1"/>
  <c r="G936" i="15"/>
  <c r="L936" i="15"/>
  <c r="G935" i="15"/>
  <c r="D935" i="15"/>
  <c r="M936" i="15"/>
  <c r="D936" i="15" l="1"/>
  <c r="F935" i="15"/>
  <c r="O937" i="15"/>
  <c r="J937" i="15" s="1"/>
  <c r="C937" i="15" s="1"/>
  <c r="M937" i="15" l="1"/>
  <c r="E935" i="15"/>
  <c r="F936" i="15"/>
  <c r="B937" i="15"/>
  <c r="G937" i="15"/>
  <c r="L937" i="15"/>
  <c r="D937" i="15"/>
  <c r="O938" i="15" l="1"/>
  <c r="E936" i="15"/>
  <c r="F937" i="15"/>
  <c r="E937" i="15" l="1"/>
  <c r="J938" i="15"/>
  <c r="C938" i="15" s="1"/>
  <c r="M938" i="15"/>
  <c r="L938" i="15"/>
  <c r="O939" i="15" l="1"/>
  <c r="J939" i="15" s="1"/>
  <c r="C939" i="15" s="1"/>
  <c r="B938" i="15"/>
  <c r="M939" i="15" l="1"/>
  <c r="G938" i="15"/>
  <c r="D938" i="15"/>
  <c r="G939" i="15"/>
  <c r="B939" i="15"/>
  <c r="L939" i="15"/>
  <c r="D939" i="15" l="1"/>
  <c r="F938" i="15"/>
  <c r="O940" i="15"/>
  <c r="J940" i="15" s="1"/>
  <c r="C940" i="15" s="1"/>
  <c r="M940" i="15" l="1"/>
  <c r="B940" i="15"/>
  <c r="G940" i="15"/>
  <c r="L940" i="15"/>
  <c r="E938" i="15"/>
  <c r="F939" i="15"/>
  <c r="D940" i="15"/>
  <c r="E939" i="15" l="1"/>
  <c r="F940" i="15"/>
  <c r="O941" i="15"/>
  <c r="J941" i="15" s="1"/>
  <c r="C941" i="15" s="1"/>
  <c r="M941" i="15" l="1"/>
  <c r="O942" i="15"/>
  <c r="J942" i="15" s="1"/>
  <c r="C942" i="15" s="1"/>
  <c r="B941" i="15"/>
  <c r="E940" i="15"/>
  <c r="L941" i="15"/>
  <c r="L942" i="15" s="1"/>
  <c r="G941" i="15" l="1"/>
  <c r="D941" i="15"/>
  <c r="B942" i="15"/>
  <c r="G942" i="15"/>
  <c r="M942" i="15"/>
  <c r="O943" i="15" l="1"/>
  <c r="D942" i="15"/>
  <c r="F941" i="15"/>
  <c r="E941" i="15" l="1"/>
  <c r="F942" i="15"/>
  <c r="J943" i="15"/>
  <c r="C943" i="15" s="1"/>
  <c r="L943" i="15"/>
  <c r="M943" i="15"/>
  <c r="O944" i="15" l="1"/>
  <c r="J944" i="15" s="1"/>
  <c r="C944" i="15" s="1"/>
  <c r="L944" i="15"/>
  <c r="B943" i="15"/>
  <c r="E942" i="15"/>
  <c r="G943" i="15" l="1"/>
  <c r="D943" i="15"/>
  <c r="B944" i="15"/>
  <c r="G944" i="15"/>
  <c r="M944" i="15"/>
  <c r="O945" i="15" l="1"/>
  <c r="D944" i="15"/>
  <c r="F943" i="15"/>
  <c r="E943" i="15" l="1"/>
  <c r="F944" i="15"/>
  <c r="J945" i="15"/>
  <c r="C945" i="15" s="1"/>
  <c r="L945" i="15"/>
  <c r="M945" i="15"/>
  <c r="O946" i="15" l="1"/>
  <c r="J946" i="15" s="1"/>
  <c r="C946" i="15" s="1"/>
  <c r="B945" i="15"/>
  <c r="E944" i="15"/>
  <c r="G945" i="15" l="1"/>
  <c r="D945" i="15"/>
  <c r="B946" i="15"/>
  <c r="G946" i="15"/>
  <c r="M946" i="15"/>
  <c r="L946" i="15"/>
  <c r="O947" i="15" l="1"/>
  <c r="J947" i="15" s="1"/>
  <c r="C947" i="15" s="1"/>
  <c r="D946" i="15"/>
  <c r="F945" i="15"/>
  <c r="F946" i="15" l="1"/>
  <c r="E945" i="15"/>
  <c r="B947" i="15"/>
  <c r="G947" i="15"/>
  <c r="L947" i="15"/>
  <c r="M947" i="15"/>
  <c r="O948" i="15" l="1"/>
  <c r="J948" i="15" s="1"/>
  <c r="C948" i="15" s="1"/>
  <c r="M948" i="15"/>
  <c r="D947" i="15"/>
  <c r="F947" i="15" s="1"/>
  <c r="E946" i="15"/>
  <c r="O949" i="15" l="1"/>
  <c r="J949" i="15" s="1"/>
  <c r="C949" i="15" s="1"/>
  <c r="E947" i="15"/>
  <c r="B948" i="15"/>
  <c r="G948" i="15"/>
  <c r="L948" i="15"/>
  <c r="L949" i="15" s="1"/>
  <c r="D948" i="15" l="1"/>
  <c r="B949" i="15"/>
  <c r="G949" i="15"/>
  <c r="M949" i="15"/>
  <c r="O950" i="15" l="1"/>
  <c r="D949" i="15"/>
  <c r="F948" i="15"/>
  <c r="E948" i="15" l="1"/>
  <c r="F949" i="15"/>
  <c r="J950" i="15"/>
  <c r="C950" i="15" s="1"/>
  <c r="L950" i="15"/>
  <c r="M950" i="15"/>
  <c r="O951" i="15" l="1"/>
  <c r="J951" i="15" s="1"/>
  <c r="C951" i="15" s="1"/>
  <c r="B950" i="15"/>
  <c r="E949" i="15"/>
  <c r="G950" i="15" l="1"/>
  <c r="D950" i="15"/>
  <c r="B951" i="15"/>
  <c r="G951" i="15"/>
  <c r="M951" i="15"/>
  <c r="L951" i="15"/>
  <c r="O952" i="15" l="1"/>
  <c r="J952" i="15" s="1"/>
  <c r="C952" i="15" s="1"/>
  <c r="D951" i="15"/>
  <c r="F950" i="15"/>
  <c r="M952" i="15" l="1"/>
  <c r="F951" i="15"/>
  <c r="E950" i="15"/>
  <c r="B952" i="15"/>
  <c r="G952" i="15"/>
  <c r="L952" i="15"/>
  <c r="O953" i="15" l="1"/>
  <c r="D952" i="15"/>
  <c r="E951" i="15"/>
  <c r="F952" i="15" l="1"/>
  <c r="J953" i="15"/>
  <c r="C953" i="15" s="1"/>
  <c r="M953" i="15"/>
  <c r="L953" i="15"/>
  <c r="O954" i="15" l="1"/>
  <c r="J954" i="15" s="1"/>
  <c r="C954" i="15" s="1"/>
  <c r="B953" i="15"/>
  <c r="M954" i="15"/>
  <c r="E952" i="15"/>
  <c r="O955" i="15" l="1"/>
  <c r="J955" i="15" s="1"/>
  <c r="C955" i="15" s="1"/>
  <c r="G953" i="15"/>
  <c r="D953" i="15"/>
  <c r="B954" i="15"/>
  <c r="G954" i="15"/>
  <c r="L954" i="15"/>
  <c r="L955" i="15" s="1"/>
  <c r="D954" i="15" l="1"/>
  <c r="F953" i="15"/>
  <c r="B955" i="15"/>
  <c r="G955" i="15"/>
  <c r="M955" i="15"/>
  <c r="O956" i="15" l="1"/>
  <c r="M956" i="15"/>
  <c r="F954" i="15"/>
  <c r="E953" i="15"/>
  <c r="D955" i="15"/>
  <c r="F955" i="15" l="1"/>
  <c r="E954" i="15"/>
  <c r="O957" i="15"/>
  <c r="J957" i="15" s="1"/>
  <c r="C957" i="15" s="1"/>
  <c r="J956" i="15"/>
  <c r="C956" i="15" s="1"/>
  <c r="L956" i="15"/>
  <c r="L957" i="15" s="1"/>
  <c r="B956" i="15" l="1"/>
  <c r="B957" i="15"/>
  <c r="G957" i="15"/>
  <c r="M957" i="15"/>
  <c r="E955" i="15"/>
  <c r="O958" i="15" l="1"/>
  <c r="G956" i="15"/>
  <c r="D956" i="15"/>
  <c r="D957" i="15" l="1"/>
  <c r="F956" i="15"/>
  <c r="J958" i="15"/>
  <c r="C958" i="15" s="1"/>
  <c r="L958" i="15"/>
  <c r="M958" i="15"/>
  <c r="B958" i="15" l="1"/>
  <c r="G958" i="15"/>
  <c r="O959" i="15"/>
  <c r="J959" i="15" s="1"/>
  <c r="C959" i="15" s="1"/>
  <c r="E956" i="15"/>
  <c r="F957" i="15"/>
  <c r="D958" i="15"/>
  <c r="F958" i="15" l="1"/>
  <c r="E957" i="15"/>
  <c r="B959" i="15"/>
  <c r="G959" i="15"/>
  <c r="L959" i="15"/>
  <c r="M959" i="15"/>
  <c r="O960" i="15" l="1"/>
  <c r="J960" i="15" s="1"/>
  <c r="C960" i="15" s="1"/>
  <c r="E958" i="15"/>
  <c r="D959" i="15"/>
  <c r="L960" i="15" l="1"/>
  <c r="F959" i="15"/>
  <c r="B960" i="15"/>
  <c r="G960" i="15"/>
  <c r="M960" i="15"/>
  <c r="O961" i="15" l="1"/>
  <c r="E959" i="15"/>
  <c r="D960" i="15"/>
  <c r="F960" i="15" l="1"/>
  <c r="J961" i="15"/>
  <c r="C961" i="15" s="1"/>
  <c r="L961" i="15"/>
  <c r="M961" i="15"/>
  <c r="O962" i="15" l="1"/>
  <c r="J962" i="15" s="1"/>
  <c r="C962" i="15" s="1"/>
  <c r="B961" i="15"/>
  <c r="E960" i="15"/>
  <c r="L962" i="15" l="1"/>
  <c r="M962" i="15"/>
  <c r="G961" i="15"/>
  <c r="D961" i="15"/>
  <c r="O963" i="15"/>
  <c r="J963" i="15" s="1"/>
  <c r="C963" i="15" s="1"/>
  <c r="B962" i="15"/>
  <c r="G962" i="15"/>
  <c r="B963" i="15" l="1"/>
  <c r="G963" i="15"/>
  <c r="L963" i="15"/>
  <c r="M963" i="15"/>
  <c r="D962" i="15"/>
  <c r="D963" i="15" s="1"/>
  <c r="F961" i="15"/>
  <c r="E961" i="15" l="1"/>
  <c r="F962" i="15"/>
  <c r="O964" i="15"/>
  <c r="J964" i="15" s="1"/>
  <c r="C964" i="15" s="1"/>
  <c r="B964" i="15" l="1"/>
  <c r="M964" i="15"/>
  <c r="F963" i="15"/>
  <c r="E962" i="15"/>
  <c r="L964" i="15"/>
  <c r="G964" i="15" l="1"/>
  <c r="D964" i="15"/>
  <c r="E963" i="15"/>
  <c r="F964" i="15"/>
  <c r="O965" i="15"/>
  <c r="J965" i="15" s="1"/>
  <c r="C965" i="15" s="1"/>
  <c r="B965" i="15" l="1"/>
  <c r="G965" i="15"/>
  <c r="M965" i="15"/>
  <c r="L965" i="15"/>
  <c r="E964" i="15"/>
  <c r="D965" i="15"/>
  <c r="F965" i="15" l="1"/>
  <c r="O966" i="15"/>
  <c r="J966" i="15" s="1"/>
  <c r="C966" i="15" s="1"/>
  <c r="L966" i="15" l="1"/>
  <c r="B966" i="15"/>
  <c r="E965" i="15"/>
  <c r="M966" i="15"/>
  <c r="G966" i="15" l="1"/>
  <c r="D966" i="15"/>
  <c r="O967" i="15"/>
  <c r="J967" i="15" s="1"/>
  <c r="C967" i="15" s="1"/>
  <c r="F966" i="15" l="1"/>
  <c r="B967" i="15"/>
  <c r="G967" i="15"/>
  <c r="L967" i="15"/>
  <c r="M967" i="15"/>
  <c r="O968" i="15" l="1"/>
  <c r="J968" i="15" s="1"/>
  <c r="C968" i="15" s="1"/>
  <c r="E966" i="15"/>
  <c r="D967" i="15"/>
  <c r="B968" i="15" l="1"/>
  <c r="G968" i="15"/>
  <c r="F967" i="15"/>
  <c r="M968" i="15"/>
  <c r="L968" i="15"/>
  <c r="E967" i="15" l="1"/>
  <c r="O969" i="15"/>
  <c r="J969" i="15" s="1"/>
  <c r="C969" i="15" s="1"/>
  <c r="D968" i="15"/>
  <c r="B969" i="15" l="1"/>
  <c r="G969" i="15"/>
  <c r="D969" i="15"/>
  <c r="L969" i="15"/>
  <c r="F968" i="15"/>
  <c r="M969" i="15"/>
  <c r="F969" i="15" l="1"/>
  <c r="E968" i="15"/>
  <c r="O970" i="15"/>
  <c r="J970" i="15" s="1"/>
  <c r="C970" i="15" s="1"/>
  <c r="L970" i="15" l="1"/>
  <c r="M970" i="15"/>
  <c r="O971" i="15" s="1"/>
  <c r="J971" i="15" s="1"/>
  <c r="C971" i="15" s="1"/>
  <c r="B970" i="15"/>
  <c r="E969" i="15"/>
  <c r="G970" i="15" l="1"/>
  <c r="D970" i="15"/>
  <c r="B971" i="15"/>
  <c r="G971" i="15"/>
  <c r="M971" i="15"/>
  <c r="L971" i="15"/>
  <c r="O972" i="15" l="1"/>
  <c r="J972" i="15" s="1"/>
  <c r="C972" i="15" s="1"/>
  <c r="D971" i="15"/>
  <c r="F970" i="15"/>
  <c r="E970" i="15" l="1"/>
  <c r="F971" i="15"/>
  <c r="B972" i="15"/>
  <c r="G972" i="15"/>
  <c r="L972" i="15"/>
  <c r="M972" i="15"/>
  <c r="O973" i="15" l="1"/>
  <c r="J973" i="15" s="1"/>
  <c r="C973" i="15" s="1"/>
  <c r="E971" i="15"/>
  <c r="D972" i="15"/>
  <c r="M973" i="15" l="1"/>
  <c r="F972" i="15"/>
  <c r="O974" i="15"/>
  <c r="J974" i="15" s="1"/>
  <c r="C974" i="15" s="1"/>
  <c r="B973" i="15"/>
  <c r="G973" i="15"/>
  <c r="L973" i="15"/>
  <c r="L974" i="15" s="1"/>
  <c r="B974" i="15" l="1"/>
  <c r="G974" i="15"/>
  <c r="M974" i="15"/>
  <c r="E972" i="15"/>
  <c r="D973" i="15"/>
  <c r="D974" i="15" s="1"/>
  <c r="F973" i="15" l="1"/>
  <c r="O975" i="15"/>
  <c r="J975" i="15" l="1"/>
  <c r="C975" i="15" s="1"/>
  <c r="L975" i="15"/>
  <c r="M975" i="15"/>
  <c r="F974" i="15"/>
  <c r="E973" i="15"/>
  <c r="E974" i="15" l="1"/>
  <c r="O976" i="15"/>
  <c r="J976" i="15" s="1"/>
  <c r="C976" i="15" s="1"/>
  <c r="B975" i="15"/>
  <c r="G975" i="15" l="1"/>
  <c r="D975" i="15"/>
  <c r="B976" i="15"/>
  <c r="G976" i="15"/>
  <c r="L976" i="15"/>
  <c r="M976" i="15"/>
  <c r="O977" i="15" l="1"/>
  <c r="J977" i="15" s="1"/>
  <c r="C977" i="15" s="1"/>
  <c r="L977" i="15"/>
  <c r="D976" i="15"/>
  <c r="F975" i="15"/>
  <c r="E975" i="15" l="1"/>
  <c r="F976" i="15"/>
  <c r="B977" i="15"/>
  <c r="G977" i="15"/>
  <c r="M977" i="15"/>
  <c r="O978" i="15" l="1"/>
  <c r="M978" i="15"/>
  <c r="D977" i="15"/>
  <c r="E976" i="15"/>
  <c r="F977" i="15" l="1"/>
  <c r="J978" i="15"/>
  <c r="C978" i="15" s="1"/>
  <c r="L978" i="15"/>
  <c r="B978" i="15" l="1"/>
  <c r="O979" i="15"/>
  <c r="E977" i="15"/>
  <c r="G978" i="15" l="1"/>
  <c r="D978" i="15"/>
  <c r="J979" i="15"/>
  <c r="C979" i="15" s="1"/>
  <c r="M979" i="15"/>
  <c r="L979" i="15"/>
  <c r="O980" i="15" l="1"/>
  <c r="J980" i="15" s="1"/>
  <c r="C980" i="15" s="1"/>
  <c r="B979" i="15"/>
  <c r="G979" i="15"/>
  <c r="F978" i="15"/>
  <c r="M980" i="15" l="1"/>
  <c r="E978" i="15"/>
  <c r="D979" i="15"/>
  <c r="B980" i="15"/>
  <c r="G980" i="15"/>
  <c r="L980" i="15"/>
  <c r="O981" i="15" l="1"/>
  <c r="D980" i="15"/>
  <c r="F979" i="15"/>
  <c r="F980" i="15" l="1"/>
  <c r="E979" i="15"/>
  <c r="J981" i="15"/>
  <c r="C981" i="15" s="1"/>
  <c r="M981" i="15"/>
  <c r="L981" i="15"/>
  <c r="O982" i="15" l="1"/>
  <c r="J982" i="15" s="1"/>
  <c r="C982" i="15" s="1"/>
  <c r="B981" i="15"/>
  <c r="E980" i="15"/>
  <c r="M982" i="15" l="1"/>
  <c r="G981" i="15"/>
  <c r="D981" i="15"/>
  <c r="B982" i="15"/>
  <c r="G982" i="15"/>
  <c r="G2" i="15" s="1"/>
  <c r="L982" i="15"/>
  <c r="D982" i="15" l="1"/>
  <c r="H2" i="15" s="1"/>
  <c r="F981" i="15"/>
  <c r="E981" i="15" l="1"/>
  <c r="F982" i="15"/>
  <c r="E982" i="15" s="1"/>
  <c r="E2" i="15" s="1"/>
</calcChain>
</file>

<file path=xl/sharedStrings.xml><?xml version="1.0" encoding="utf-8"?>
<sst xmlns="http://schemas.openxmlformats.org/spreadsheetml/2006/main" count="35" uniqueCount="30">
  <si>
    <t>Datum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</si>
  <si>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</si>
  <si>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</si>
  <si>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</si>
  <si>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</si>
  <si>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</si>
  <si>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</si>
  <si>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</si>
  <si>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</si>
  <si>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</si>
  <si>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</si>
  <si>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</si>
  <si>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</si>
  <si>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S&amp;P 500</t>
  </si>
  <si>
    <t>EURUSD</t>
  </si>
  <si>
    <t>DAX</t>
  </si>
  <si>
    <t>Nikkei 225</t>
  </si>
  <si>
    <t>In Sample</t>
  </si>
  <si>
    <t>Total</t>
  </si>
  <si>
    <t>YENUSD</t>
  </si>
  <si>
    <t>Bond</t>
  </si>
  <si>
    <t>EURUSD=X</t>
  </si>
  <si>
    <t>JPY=X</t>
  </si>
  <si>
    <t>USD</t>
  </si>
  <si>
    <t>EUR</t>
  </si>
  <si>
    <t>YEN</t>
  </si>
  <si>
    <t>^GSPC</t>
  </si>
  <si>
    <t>^GDAXI</t>
  </si>
  <si>
    <t>^N225</t>
  </si>
  <si>
    <t>Contrarian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</si>
</sst>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CHF&quot;\ * #,##0.00_ ;_ &quot;CHF&quot;\ * \-#,##0.00_ ;_ &quot;CHF&quot;\ * &quot;-&quot;??_ ;_ @_ "/>
    <numFmt numFmtId="164" formatCode="0.0000"/>
    <numFmt numFmtId="165" formatCode="0.00000000"/>
    <numFmt numFmtId="166" formatCode="0.0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">
    <xf numFmtId="0" fontId="0" fillId="0" borderId="0" xfId="0"/>
    <xf numFmtId="164" fontId="6" fillId="0" borderId="0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14" fontId="6" fillId="0" borderId="0" xfId="0" applyNumberFormat="1" applyFont="1" applyFill="1" applyBorder="1" applyAlignment="1">
      <alignment horizontal="right" vertical="center"/>
    </xf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2" fontId="6" fillId="0" borderId="0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/>
    <xf numFmtId="0" fontId="5" fillId="0" borderId="0" xfId="0" applyFont="1" applyFill="1" applyBorder="1" applyAlignment="1"/>
    <xf numFmtId="10" fontId="3" fillId="0" borderId="0" xfId="1" applyNumberFormat="1" applyFont="1" applyFill="1" applyBorder="1" applyAlignment="1">
      <alignment vertical="center"/>
    </xf>
    <xf numFmtId="1" fontId="6" fillId="0" borderId="0" xfId="0" applyNumberFormat="1" applyFont="1" applyFill="1" applyBorder="1" applyAlignment="1">
      <alignment horizontal="right" vertical="center"/>
    </xf>
    <xf numFmtId="165" fontId="6" fillId="0" borderId="0" xfId="0" applyNumberFormat="1" applyFont="1" applyFill="1" applyBorder="1" applyAlignment="1">
      <alignment horizontal="right" vertical="center"/>
    </xf>
    <xf numFmtId="166" fontId="6" fillId="0" borderId="0" xfId="0" applyNumberFormat="1" applyFont="1" applyFill="1" applyBorder="1" applyAlignment="1">
      <alignment horizontal="right" vertical="center"/>
    </xf>
    <xf numFmtId="164" fontId="5" fillId="0" borderId="0" xfId="0" applyNumberFormat="1" applyFont="1" applyFill="1" applyBorder="1" applyAlignment="1"/>
    <xf numFmtId="165" fontId="5" fillId="0" borderId="0" xfId="0" applyNumberFormat="1" applyFont="1" applyFill="1" applyBorder="1" applyAlignment="1"/>
    <xf numFmtId="14" fontId="6" fillId="0" borderId="0" xfId="0" applyNumberFormat="1" applyFont="1" applyAlignment="1">
      <alignment horizontal="right" vertical="center"/>
    </xf>
    <xf numFmtId="2" fontId="3" fillId="0" borderId="0" xfId="0" applyNumberFormat="1" applyFont="1" applyAlignment="1">
      <alignment horizontal="right"/>
    </xf>
    <xf numFmtId="0" fontId="3" fillId="0" borderId="0" xfId="0" applyFont="1" applyAlignment="1">
      <alignment vertical="center"/>
    </xf>
    <xf numFmtId="1" fontId="6" fillId="0" borderId="0" xfId="0" applyNumberFormat="1" applyFont="1" applyAlignment="1">
      <alignment horizontal="right" vertical="center"/>
    </xf>
    <xf numFmtId="0" fontId="2" fillId="0" borderId="0" xfId="0" applyFont="1" applyFill="1" applyBorder="1" applyAlignment="1">
      <alignment horizontal="center"/>
    </xf>
    <xf numFmtId="14" fontId="6" fillId="0" borderId="0" xfId="2" applyNumberFormat="1" applyFont="1" applyFill="1" applyBorder="1" applyAlignment="1">
      <alignment horizontal="right" vertical="center"/>
    </xf>
    <xf numFmtId="164" fontId="3" fillId="0" borderId="0" xfId="0" applyNumberFormat="1" applyFont="1"/>
    <xf numFmtId="2" fontId="3" fillId="0" borderId="0" xfId="0" applyNumberFormat="1" applyFont="1"/>
    <xf numFmtId="0" fontId="3" fillId="0" borderId="0" xfId="0" applyFont="1"/>
    <xf numFmtId="0" fontId="2" fillId="0" borderId="0" xfId="0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415E6C"/>
      <color rgb="FF9A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5F3D8-98CC-4AE4-B0DA-6F3DFCCA4A4C}">
  <dimension ref="A1:AE982"/>
  <sheetViews>
    <sheetView tabSelected="1" workbookViewId="0">
      <pane ySplit="1320" topLeftCell="A947"/>
      <selection activeCell="H3" sqref="H3"/>
      <selection pane="bottomLeft" activeCell="D968" sqref="D968"/>
    </sheetView>
  </sheetViews>
  <sheetFormatPr defaultColWidth="8.85546875" defaultRowHeight="12.75" x14ac:dyDescent="0.2"/>
  <cols>
    <col min="1" max="1" width="9.7109375" style="4" customWidth="1"/>
    <col min="2" max="3" width="9.140625" style="10" customWidth="1"/>
    <col min="4" max="5" width="10.5703125" style="10" customWidth="1"/>
    <col min="6" max="6" width="1.7109375" style="10" customWidth="1"/>
    <col min="7" max="12" width="9.140625" style="10" customWidth="1"/>
    <col min="13" max="16" width="8.85546875" style="11"/>
    <col min="17" max="17" width="9.140625" style="10" customWidth="1"/>
    <col min="18" max="22" width="8.85546875" style="11"/>
    <col min="23" max="23" width="9.140625" style="10" customWidth="1"/>
    <col min="24" max="26" width="8.85546875" style="11"/>
    <col min="27" max="27" width="17" style="11" bestFit="1" customWidth="1"/>
    <col min="28" max="28" width="10.5703125" style="11" bestFit="1" customWidth="1"/>
    <col min="29" max="29" width="9.28515625" style="11" customWidth="1"/>
    <col min="30" max="30" width="10.5703125" style="11" bestFit="1" customWidth="1"/>
    <col min="31" max="256" width="8.85546875" style="11"/>
    <col min="257" max="257" width="9.7109375" style="11" customWidth="1"/>
    <col min="258" max="259" width="9.140625" style="11" customWidth="1"/>
    <col min="260" max="261" width="10.5703125" style="11" customWidth="1"/>
    <col min="262" max="262" width="1.7109375" style="11" customWidth="1"/>
    <col min="263" max="268" width="9.140625" style="11" customWidth="1"/>
    <col min="269" max="272" width="8.85546875" style="11"/>
    <col min="273" max="273" width="9.140625" style="11" customWidth="1"/>
    <col min="274" max="512" width="8.85546875" style="11"/>
    <col min="513" max="513" width="9.7109375" style="11" customWidth="1"/>
    <col min="514" max="515" width="9.140625" style="11" customWidth="1"/>
    <col min="516" max="517" width="10.5703125" style="11" customWidth="1"/>
    <col min="518" max="518" width="1.7109375" style="11" customWidth="1"/>
    <col min="519" max="524" width="9.140625" style="11" customWidth="1"/>
    <col min="525" max="528" width="8.85546875" style="11"/>
    <col min="529" max="529" width="9.140625" style="11" customWidth="1"/>
    <col min="530" max="768" width="8.85546875" style="11"/>
    <col min="769" max="769" width="9.7109375" style="11" customWidth="1"/>
    <col min="770" max="771" width="9.140625" style="11" customWidth="1"/>
    <col min="772" max="773" width="10.5703125" style="11" customWidth="1"/>
    <col min="774" max="774" width="1.7109375" style="11" customWidth="1"/>
    <col min="775" max="780" width="9.140625" style="11" customWidth="1"/>
    <col min="781" max="784" width="8.85546875" style="11"/>
    <col min="785" max="785" width="9.140625" style="11" customWidth="1"/>
    <col min="786" max="1024" width="8.85546875" style="11"/>
    <col min="1025" max="1025" width="9.7109375" style="11" customWidth="1"/>
    <col min="1026" max="1027" width="9.140625" style="11" customWidth="1"/>
    <col min="1028" max="1029" width="10.5703125" style="11" customWidth="1"/>
    <col min="1030" max="1030" width="1.7109375" style="11" customWidth="1"/>
    <col min="1031" max="1036" width="9.140625" style="11" customWidth="1"/>
    <col min="1037" max="1040" width="8.85546875" style="11"/>
    <col min="1041" max="1041" width="9.140625" style="11" customWidth="1"/>
    <col min="1042" max="1280" width="8.85546875" style="11"/>
    <col min="1281" max="1281" width="9.7109375" style="11" customWidth="1"/>
    <col min="1282" max="1283" width="9.140625" style="11" customWidth="1"/>
    <col min="1284" max="1285" width="10.5703125" style="11" customWidth="1"/>
    <col min="1286" max="1286" width="1.7109375" style="11" customWidth="1"/>
    <col min="1287" max="1292" width="9.140625" style="11" customWidth="1"/>
    <col min="1293" max="1296" width="8.85546875" style="11"/>
    <col min="1297" max="1297" width="9.140625" style="11" customWidth="1"/>
    <col min="1298" max="1536" width="8.85546875" style="11"/>
    <col min="1537" max="1537" width="9.7109375" style="11" customWidth="1"/>
    <col min="1538" max="1539" width="9.140625" style="11" customWidth="1"/>
    <col min="1540" max="1541" width="10.5703125" style="11" customWidth="1"/>
    <col min="1542" max="1542" width="1.7109375" style="11" customWidth="1"/>
    <col min="1543" max="1548" width="9.140625" style="11" customWidth="1"/>
    <col min="1549" max="1552" width="8.85546875" style="11"/>
    <col min="1553" max="1553" width="9.140625" style="11" customWidth="1"/>
    <col min="1554" max="1792" width="8.85546875" style="11"/>
    <col min="1793" max="1793" width="9.7109375" style="11" customWidth="1"/>
    <col min="1794" max="1795" width="9.140625" style="11" customWidth="1"/>
    <col min="1796" max="1797" width="10.5703125" style="11" customWidth="1"/>
    <col min="1798" max="1798" width="1.7109375" style="11" customWidth="1"/>
    <col min="1799" max="1804" width="9.140625" style="11" customWidth="1"/>
    <col min="1805" max="1808" width="8.85546875" style="11"/>
    <col min="1809" max="1809" width="9.140625" style="11" customWidth="1"/>
    <col min="1810" max="2048" width="8.85546875" style="11"/>
    <col min="2049" max="2049" width="9.7109375" style="11" customWidth="1"/>
    <col min="2050" max="2051" width="9.140625" style="11" customWidth="1"/>
    <col min="2052" max="2053" width="10.5703125" style="11" customWidth="1"/>
    <col min="2054" max="2054" width="1.7109375" style="11" customWidth="1"/>
    <col min="2055" max="2060" width="9.140625" style="11" customWidth="1"/>
    <col min="2061" max="2064" width="8.85546875" style="11"/>
    <col min="2065" max="2065" width="9.140625" style="11" customWidth="1"/>
    <col min="2066" max="2304" width="8.85546875" style="11"/>
    <col min="2305" max="2305" width="9.7109375" style="11" customWidth="1"/>
    <col min="2306" max="2307" width="9.140625" style="11" customWidth="1"/>
    <col min="2308" max="2309" width="10.5703125" style="11" customWidth="1"/>
    <col min="2310" max="2310" width="1.7109375" style="11" customWidth="1"/>
    <col min="2311" max="2316" width="9.140625" style="11" customWidth="1"/>
    <col min="2317" max="2320" width="8.85546875" style="11"/>
    <col min="2321" max="2321" width="9.140625" style="11" customWidth="1"/>
    <col min="2322" max="2560" width="8.85546875" style="11"/>
    <col min="2561" max="2561" width="9.7109375" style="11" customWidth="1"/>
    <col min="2562" max="2563" width="9.140625" style="11" customWidth="1"/>
    <col min="2564" max="2565" width="10.5703125" style="11" customWidth="1"/>
    <col min="2566" max="2566" width="1.7109375" style="11" customWidth="1"/>
    <col min="2567" max="2572" width="9.140625" style="11" customWidth="1"/>
    <col min="2573" max="2576" width="8.85546875" style="11"/>
    <col min="2577" max="2577" width="9.140625" style="11" customWidth="1"/>
    <col min="2578" max="2816" width="8.85546875" style="11"/>
    <col min="2817" max="2817" width="9.7109375" style="11" customWidth="1"/>
    <col min="2818" max="2819" width="9.140625" style="11" customWidth="1"/>
    <col min="2820" max="2821" width="10.5703125" style="11" customWidth="1"/>
    <col min="2822" max="2822" width="1.7109375" style="11" customWidth="1"/>
    <col min="2823" max="2828" width="9.140625" style="11" customWidth="1"/>
    <col min="2829" max="2832" width="8.85546875" style="11"/>
    <col min="2833" max="2833" width="9.140625" style="11" customWidth="1"/>
    <col min="2834" max="3072" width="8.85546875" style="11"/>
    <col min="3073" max="3073" width="9.7109375" style="11" customWidth="1"/>
    <col min="3074" max="3075" width="9.140625" style="11" customWidth="1"/>
    <col min="3076" max="3077" width="10.5703125" style="11" customWidth="1"/>
    <col min="3078" max="3078" width="1.7109375" style="11" customWidth="1"/>
    <col min="3079" max="3084" width="9.140625" style="11" customWidth="1"/>
    <col min="3085" max="3088" width="8.85546875" style="11"/>
    <col min="3089" max="3089" width="9.140625" style="11" customWidth="1"/>
    <col min="3090" max="3328" width="8.85546875" style="11"/>
    <col min="3329" max="3329" width="9.7109375" style="11" customWidth="1"/>
    <col min="3330" max="3331" width="9.140625" style="11" customWidth="1"/>
    <col min="3332" max="3333" width="10.5703125" style="11" customWidth="1"/>
    <col min="3334" max="3334" width="1.7109375" style="11" customWidth="1"/>
    <col min="3335" max="3340" width="9.140625" style="11" customWidth="1"/>
    <col min="3341" max="3344" width="8.85546875" style="11"/>
    <col min="3345" max="3345" width="9.140625" style="11" customWidth="1"/>
    <col min="3346" max="3584" width="8.85546875" style="11"/>
    <col min="3585" max="3585" width="9.7109375" style="11" customWidth="1"/>
    <col min="3586" max="3587" width="9.140625" style="11" customWidth="1"/>
    <col min="3588" max="3589" width="10.5703125" style="11" customWidth="1"/>
    <col min="3590" max="3590" width="1.7109375" style="11" customWidth="1"/>
    <col min="3591" max="3596" width="9.140625" style="11" customWidth="1"/>
    <col min="3597" max="3600" width="8.85546875" style="11"/>
    <col min="3601" max="3601" width="9.140625" style="11" customWidth="1"/>
    <col min="3602" max="3840" width="8.85546875" style="11"/>
    <col min="3841" max="3841" width="9.7109375" style="11" customWidth="1"/>
    <col min="3842" max="3843" width="9.140625" style="11" customWidth="1"/>
    <col min="3844" max="3845" width="10.5703125" style="11" customWidth="1"/>
    <col min="3846" max="3846" width="1.7109375" style="11" customWidth="1"/>
    <col min="3847" max="3852" width="9.140625" style="11" customWidth="1"/>
    <col min="3853" max="3856" width="8.85546875" style="11"/>
    <col min="3857" max="3857" width="9.140625" style="11" customWidth="1"/>
    <col min="3858" max="4096" width="8.85546875" style="11"/>
    <col min="4097" max="4097" width="9.7109375" style="11" customWidth="1"/>
    <col min="4098" max="4099" width="9.140625" style="11" customWidth="1"/>
    <col min="4100" max="4101" width="10.5703125" style="11" customWidth="1"/>
    <col min="4102" max="4102" width="1.7109375" style="11" customWidth="1"/>
    <col min="4103" max="4108" width="9.140625" style="11" customWidth="1"/>
    <col min="4109" max="4112" width="8.85546875" style="11"/>
    <col min="4113" max="4113" width="9.140625" style="11" customWidth="1"/>
    <col min="4114" max="4352" width="8.85546875" style="11"/>
    <col min="4353" max="4353" width="9.7109375" style="11" customWidth="1"/>
    <col min="4354" max="4355" width="9.140625" style="11" customWidth="1"/>
    <col min="4356" max="4357" width="10.5703125" style="11" customWidth="1"/>
    <col min="4358" max="4358" width="1.7109375" style="11" customWidth="1"/>
    <col min="4359" max="4364" width="9.140625" style="11" customWidth="1"/>
    <col min="4365" max="4368" width="8.85546875" style="11"/>
    <col min="4369" max="4369" width="9.140625" style="11" customWidth="1"/>
    <col min="4370" max="4608" width="8.85546875" style="11"/>
    <col min="4609" max="4609" width="9.7109375" style="11" customWidth="1"/>
    <col min="4610" max="4611" width="9.140625" style="11" customWidth="1"/>
    <col min="4612" max="4613" width="10.5703125" style="11" customWidth="1"/>
    <col min="4614" max="4614" width="1.7109375" style="11" customWidth="1"/>
    <col min="4615" max="4620" width="9.140625" style="11" customWidth="1"/>
    <col min="4621" max="4624" width="8.85546875" style="11"/>
    <col min="4625" max="4625" width="9.140625" style="11" customWidth="1"/>
    <col min="4626" max="4864" width="8.85546875" style="11"/>
    <col min="4865" max="4865" width="9.7109375" style="11" customWidth="1"/>
    <col min="4866" max="4867" width="9.140625" style="11" customWidth="1"/>
    <col min="4868" max="4869" width="10.5703125" style="11" customWidth="1"/>
    <col min="4870" max="4870" width="1.7109375" style="11" customWidth="1"/>
    <col min="4871" max="4876" width="9.140625" style="11" customWidth="1"/>
    <col min="4877" max="4880" width="8.85546875" style="11"/>
    <col min="4881" max="4881" width="9.140625" style="11" customWidth="1"/>
    <col min="4882" max="5120" width="8.85546875" style="11"/>
    <col min="5121" max="5121" width="9.7109375" style="11" customWidth="1"/>
    <col min="5122" max="5123" width="9.140625" style="11" customWidth="1"/>
    <col min="5124" max="5125" width="10.5703125" style="11" customWidth="1"/>
    <col min="5126" max="5126" width="1.7109375" style="11" customWidth="1"/>
    <col min="5127" max="5132" width="9.140625" style="11" customWidth="1"/>
    <col min="5133" max="5136" width="8.85546875" style="11"/>
    <col min="5137" max="5137" width="9.140625" style="11" customWidth="1"/>
    <col min="5138" max="5376" width="8.85546875" style="11"/>
    <col min="5377" max="5377" width="9.7109375" style="11" customWidth="1"/>
    <col min="5378" max="5379" width="9.140625" style="11" customWidth="1"/>
    <col min="5380" max="5381" width="10.5703125" style="11" customWidth="1"/>
    <col min="5382" max="5382" width="1.7109375" style="11" customWidth="1"/>
    <col min="5383" max="5388" width="9.140625" style="11" customWidth="1"/>
    <col min="5389" max="5392" width="8.85546875" style="11"/>
    <col min="5393" max="5393" width="9.140625" style="11" customWidth="1"/>
    <col min="5394" max="5632" width="8.85546875" style="11"/>
    <col min="5633" max="5633" width="9.7109375" style="11" customWidth="1"/>
    <col min="5634" max="5635" width="9.140625" style="11" customWidth="1"/>
    <col min="5636" max="5637" width="10.5703125" style="11" customWidth="1"/>
    <col min="5638" max="5638" width="1.7109375" style="11" customWidth="1"/>
    <col min="5639" max="5644" width="9.140625" style="11" customWidth="1"/>
    <col min="5645" max="5648" width="8.85546875" style="11"/>
    <col min="5649" max="5649" width="9.140625" style="11" customWidth="1"/>
    <col min="5650" max="5888" width="8.85546875" style="11"/>
    <col min="5889" max="5889" width="9.7109375" style="11" customWidth="1"/>
    <col min="5890" max="5891" width="9.140625" style="11" customWidth="1"/>
    <col min="5892" max="5893" width="10.5703125" style="11" customWidth="1"/>
    <col min="5894" max="5894" width="1.7109375" style="11" customWidth="1"/>
    <col min="5895" max="5900" width="9.140625" style="11" customWidth="1"/>
    <col min="5901" max="5904" width="8.85546875" style="11"/>
    <col min="5905" max="5905" width="9.140625" style="11" customWidth="1"/>
    <col min="5906" max="6144" width="8.85546875" style="11"/>
    <col min="6145" max="6145" width="9.7109375" style="11" customWidth="1"/>
    <col min="6146" max="6147" width="9.140625" style="11" customWidth="1"/>
    <col min="6148" max="6149" width="10.5703125" style="11" customWidth="1"/>
    <col min="6150" max="6150" width="1.7109375" style="11" customWidth="1"/>
    <col min="6151" max="6156" width="9.140625" style="11" customWidth="1"/>
    <col min="6157" max="6160" width="8.85546875" style="11"/>
    <col min="6161" max="6161" width="9.140625" style="11" customWidth="1"/>
    <col min="6162" max="6400" width="8.85546875" style="11"/>
    <col min="6401" max="6401" width="9.7109375" style="11" customWidth="1"/>
    <col min="6402" max="6403" width="9.140625" style="11" customWidth="1"/>
    <col min="6404" max="6405" width="10.5703125" style="11" customWidth="1"/>
    <col min="6406" max="6406" width="1.7109375" style="11" customWidth="1"/>
    <col min="6407" max="6412" width="9.140625" style="11" customWidth="1"/>
    <col min="6413" max="6416" width="8.85546875" style="11"/>
    <col min="6417" max="6417" width="9.140625" style="11" customWidth="1"/>
    <col min="6418" max="6656" width="8.85546875" style="11"/>
    <col min="6657" max="6657" width="9.7109375" style="11" customWidth="1"/>
    <col min="6658" max="6659" width="9.140625" style="11" customWidth="1"/>
    <col min="6660" max="6661" width="10.5703125" style="11" customWidth="1"/>
    <col min="6662" max="6662" width="1.7109375" style="11" customWidth="1"/>
    <col min="6663" max="6668" width="9.140625" style="11" customWidth="1"/>
    <col min="6669" max="6672" width="8.85546875" style="11"/>
    <col min="6673" max="6673" width="9.140625" style="11" customWidth="1"/>
    <col min="6674" max="6912" width="8.85546875" style="11"/>
    <col min="6913" max="6913" width="9.7109375" style="11" customWidth="1"/>
    <col min="6914" max="6915" width="9.140625" style="11" customWidth="1"/>
    <col min="6916" max="6917" width="10.5703125" style="11" customWidth="1"/>
    <col min="6918" max="6918" width="1.7109375" style="11" customWidth="1"/>
    <col min="6919" max="6924" width="9.140625" style="11" customWidth="1"/>
    <col min="6925" max="6928" width="8.85546875" style="11"/>
    <col min="6929" max="6929" width="9.140625" style="11" customWidth="1"/>
    <col min="6930" max="7168" width="8.85546875" style="11"/>
    <col min="7169" max="7169" width="9.7109375" style="11" customWidth="1"/>
    <col min="7170" max="7171" width="9.140625" style="11" customWidth="1"/>
    <col min="7172" max="7173" width="10.5703125" style="11" customWidth="1"/>
    <col min="7174" max="7174" width="1.7109375" style="11" customWidth="1"/>
    <col min="7175" max="7180" width="9.140625" style="11" customWidth="1"/>
    <col min="7181" max="7184" width="8.85546875" style="11"/>
    <col min="7185" max="7185" width="9.140625" style="11" customWidth="1"/>
    <col min="7186" max="7424" width="8.85546875" style="11"/>
    <col min="7425" max="7425" width="9.7109375" style="11" customWidth="1"/>
    <col min="7426" max="7427" width="9.140625" style="11" customWidth="1"/>
    <col min="7428" max="7429" width="10.5703125" style="11" customWidth="1"/>
    <col min="7430" max="7430" width="1.7109375" style="11" customWidth="1"/>
    <col min="7431" max="7436" width="9.140625" style="11" customWidth="1"/>
    <col min="7437" max="7440" width="8.85546875" style="11"/>
    <col min="7441" max="7441" width="9.140625" style="11" customWidth="1"/>
    <col min="7442" max="7680" width="8.85546875" style="11"/>
    <col min="7681" max="7681" width="9.7109375" style="11" customWidth="1"/>
    <col min="7682" max="7683" width="9.140625" style="11" customWidth="1"/>
    <col min="7684" max="7685" width="10.5703125" style="11" customWidth="1"/>
    <col min="7686" max="7686" width="1.7109375" style="11" customWidth="1"/>
    <col min="7687" max="7692" width="9.140625" style="11" customWidth="1"/>
    <col min="7693" max="7696" width="8.85546875" style="11"/>
    <col min="7697" max="7697" width="9.140625" style="11" customWidth="1"/>
    <col min="7698" max="7936" width="8.85546875" style="11"/>
    <col min="7937" max="7937" width="9.7109375" style="11" customWidth="1"/>
    <col min="7938" max="7939" width="9.140625" style="11" customWidth="1"/>
    <col min="7940" max="7941" width="10.5703125" style="11" customWidth="1"/>
    <col min="7942" max="7942" width="1.7109375" style="11" customWidth="1"/>
    <col min="7943" max="7948" width="9.140625" style="11" customWidth="1"/>
    <col min="7949" max="7952" width="8.85546875" style="11"/>
    <col min="7953" max="7953" width="9.140625" style="11" customWidth="1"/>
    <col min="7954" max="8192" width="8.85546875" style="11"/>
    <col min="8193" max="8193" width="9.7109375" style="11" customWidth="1"/>
    <col min="8194" max="8195" width="9.140625" style="11" customWidth="1"/>
    <col min="8196" max="8197" width="10.5703125" style="11" customWidth="1"/>
    <col min="8198" max="8198" width="1.7109375" style="11" customWidth="1"/>
    <col min="8199" max="8204" width="9.140625" style="11" customWidth="1"/>
    <col min="8205" max="8208" width="8.85546875" style="11"/>
    <col min="8209" max="8209" width="9.140625" style="11" customWidth="1"/>
    <col min="8210" max="8448" width="8.85546875" style="11"/>
    <col min="8449" max="8449" width="9.7109375" style="11" customWidth="1"/>
    <col min="8450" max="8451" width="9.140625" style="11" customWidth="1"/>
    <col min="8452" max="8453" width="10.5703125" style="11" customWidth="1"/>
    <col min="8454" max="8454" width="1.7109375" style="11" customWidth="1"/>
    <col min="8455" max="8460" width="9.140625" style="11" customWidth="1"/>
    <col min="8461" max="8464" width="8.85546875" style="11"/>
    <col min="8465" max="8465" width="9.140625" style="11" customWidth="1"/>
    <col min="8466" max="8704" width="8.85546875" style="11"/>
    <col min="8705" max="8705" width="9.7109375" style="11" customWidth="1"/>
    <col min="8706" max="8707" width="9.140625" style="11" customWidth="1"/>
    <col min="8708" max="8709" width="10.5703125" style="11" customWidth="1"/>
    <col min="8710" max="8710" width="1.7109375" style="11" customWidth="1"/>
    <col min="8711" max="8716" width="9.140625" style="11" customWidth="1"/>
    <col min="8717" max="8720" width="8.85546875" style="11"/>
    <col min="8721" max="8721" width="9.140625" style="11" customWidth="1"/>
    <col min="8722" max="8960" width="8.85546875" style="11"/>
    <col min="8961" max="8961" width="9.7109375" style="11" customWidth="1"/>
    <col min="8962" max="8963" width="9.140625" style="11" customWidth="1"/>
    <col min="8964" max="8965" width="10.5703125" style="11" customWidth="1"/>
    <col min="8966" max="8966" width="1.7109375" style="11" customWidth="1"/>
    <col min="8967" max="8972" width="9.140625" style="11" customWidth="1"/>
    <col min="8973" max="8976" width="8.85546875" style="11"/>
    <col min="8977" max="8977" width="9.140625" style="11" customWidth="1"/>
    <col min="8978" max="9216" width="8.85546875" style="11"/>
    <col min="9217" max="9217" width="9.7109375" style="11" customWidth="1"/>
    <col min="9218" max="9219" width="9.140625" style="11" customWidth="1"/>
    <col min="9220" max="9221" width="10.5703125" style="11" customWidth="1"/>
    <col min="9222" max="9222" width="1.7109375" style="11" customWidth="1"/>
    <col min="9223" max="9228" width="9.140625" style="11" customWidth="1"/>
    <col min="9229" max="9232" width="8.85546875" style="11"/>
    <col min="9233" max="9233" width="9.140625" style="11" customWidth="1"/>
    <col min="9234" max="9472" width="8.85546875" style="11"/>
    <col min="9473" max="9473" width="9.7109375" style="11" customWidth="1"/>
    <col min="9474" max="9475" width="9.140625" style="11" customWidth="1"/>
    <col min="9476" max="9477" width="10.5703125" style="11" customWidth="1"/>
    <col min="9478" max="9478" width="1.7109375" style="11" customWidth="1"/>
    <col min="9479" max="9484" width="9.140625" style="11" customWidth="1"/>
    <col min="9485" max="9488" width="8.85546875" style="11"/>
    <col min="9489" max="9489" width="9.140625" style="11" customWidth="1"/>
    <col min="9490" max="9728" width="8.85546875" style="11"/>
    <col min="9729" max="9729" width="9.7109375" style="11" customWidth="1"/>
    <col min="9730" max="9731" width="9.140625" style="11" customWidth="1"/>
    <col min="9732" max="9733" width="10.5703125" style="11" customWidth="1"/>
    <col min="9734" max="9734" width="1.7109375" style="11" customWidth="1"/>
    <col min="9735" max="9740" width="9.140625" style="11" customWidth="1"/>
    <col min="9741" max="9744" width="8.85546875" style="11"/>
    <col min="9745" max="9745" width="9.140625" style="11" customWidth="1"/>
    <col min="9746" max="9984" width="8.85546875" style="11"/>
    <col min="9985" max="9985" width="9.7109375" style="11" customWidth="1"/>
    <col min="9986" max="9987" width="9.140625" style="11" customWidth="1"/>
    <col min="9988" max="9989" width="10.5703125" style="11" customWidth="1"/>
    <col min="9990" max="9990" width="1.7109375" style="11" customWidth="1"/>
    <col min="9991" max="9996" width="9.140625" style="11" customWidth="1"/>
    <col min="9997" max="10000" width="8.85546875" style="11"/>
    <col min="10001" max="10001" width="9.140625" style="11" customWidth="1"/>
    <col min="10002" max="10240" width="8.85546875" style="11"/>
    <col min="10241" max="10241" width="9.7109375" style="11" customWidth="1"/>
    <col min="10242" max="10243" width="9.140625" style="11" customWidth="1"/>
    <col min="10244" max="10245" width="10.5703125" style="11" customWidth="1"/>
    <col min="10246" max="10246" width="1.7109375" style="11" customWidth="1"/>
    <col min="10247" max="10252" width="9.140625" style="11" customWidth="1"/>
    <col min="10253" max="10256" width="8.85546875" style="11"/>
    <col min="10257" max="10257" width="9.140625" style="11" customWidth="1"/>
    <col min="10258" max="10496" width="8.85546875" style="11"/>
    <col min="10497" max="10497" width="9.7109375" style="11" customWidth="1"/>
    <col min="10498" max="10499" width="9.140625" style="11" customWidth="1"/>
    <col min="10500" max="10501" width="10.5703125" style="11" customWidth="1"/>
    <col min="10502" max="10502" width="1.7109375" style="11" customWidth="1"/>
    <col min="10503" max="10508" width="9.140625" style="11" customWidth="1"/>
    <col min="10509" max="10512" width="8.85546875" style="11"/>
    <col min="10513" max="10513" width="9.140625" style="11" customWidth="1"/>
    <col min="10514" max="10752" width="8.85546875" style="11"/>
    <col min="10753" max="10753" width="9.7109375" style="11" customWidth="1"/>
    <col min="10754" max="10755" width="9.140625" style="11" customWidth="1"/>
    <col min="10756" max="10757" width="10.5703125" style="11" customWidth="1"/>
    <col min="10758" max="10758" width="1.7109375" style="11" customWidth="1"/>
    <col min="10759" max="10764" width="9.140625" style="11" customWidth="1"/>
    <col min="10765" max="10768" width="8.85546875" style="11"/>
    <col min="10769" max="10769" width="9.140625" style="11" customWidth="1"/>
    <col min="10770" max="11008" width="8.85546875" style="11"/>
    <col min="11009" max="11009" width="9.7109375" style="11" customWidth="1"/>
    <col min="11010" max="11011" width="9.140625" style="11" customWidth="1"/>
    <col min="11012" max="11013" width="10.5703125" style="11" customWidth="1"/>
    <col min="11014" max="11014" width="1.7109375" style="11" customWidth="1"/>
    <col min="11015" max="11020" width="9.140625" style="11" customWidth="1"/>
    <col min="11021" max="11024" width="8.85546875" style="11"/>
    <col min="11025" max="11025" width="9.140625" style="11" customWidth="1"/>
    <col min="11026" max="11264" width="8.85546875" style="11"/>
    <col min="11265" max="11265" width="9.7109375" style="11" customWidth="1"/>
    <col min="11266" max="11267" width="9.140625" style="11" customWidth="1"/>
    <col min="11268" max="11269" width="10.5703125" style="11" customWidth="1"/>
    <col min="11270" max="11270" width="1.7109375" style="11" customWidth="1"/>
    <col min="11271" max="11276" width="9.140625" style="11" customWidth="1"/>
    <col min="11277" max="11280" width="8.85546875" style="11"/>
    <col min="11281" max="11281" width="9.140625" style="11" customWidth="1"/>
    <col min="11282" max="11520" width="8.85546875" style="11"/>
    <col min="11521" max="11521" width="9.7109375" style="11" customWidth="1"/>
    <col min="11522" max="11523" width="9.140625" style="11" customWidth="1"/>
    <col min="11524" max="11525" width="10.5703125" style="11" customWidth="1"/>
    <col min="11526" max="11526" width="1.7109375" style="11" customWidth="1"/>
    <col min="11527" max="11532" width="9.140625" style="11" customWidth="1"/>
    <col min="11533" max="11536" width="8.85546875" style="11"/>
    <col min="11537" max="11537" width="9.140625" style="11" customWidth="1"/>
    <col min="11538" max="11776" width="8.85546875" style="11"/>
    <col min="11777" max="11777" width="9.7109375" style="11" customWidth="1"/>
    <col min="11778" max="11779" width="9.140625" style="11" customWidth="1"/>
    <col min="11780" max="11781" width="10.5703125" style="11" customWidth="1"/>
    <col min="11782" max="11782" width="1.7109375" style="11" customWidth="1"/>
    <col min="11783" max="11788" width="9.140625" style="11" customWidth="1"/>
    <col min="11789" max="11792" width="8.85546875" style="11"/>
    <col min="11793" max="11793" width="9.140625" style="11" customWidth="1"/>
    <col min="11794" max="12032" width="8.85546875" style="11"/>
    <col min="12033" max="12033" width="9.7109375" style="11" customWidth="1"/>
    <col min="12034" max="12035" width="9.140625" style="11" customWidth="1"/>
    <col min="12036" max="12037" width="10.5703125" style="11" customWidth="1"/>
    <col min="12038" max="12038" width="1.7109375" style="11" customWidth="1"/>
    <col min="12039" max="12044" width="9.140625" style="11" customWidth="1"/>
    <col min="12045" max="12048" width="8.85546875" style="11"/>
    <col min="12049" max="12049" width="9.140625" style="11" customWidth="1"/>
    <col min="12050" max="12288" width="8.85546875" style="11"/>
    <col min="12289" max="12289" width="9.7109375" style="11" customWidth="1"/>
    <col min="12290" max="12291" width="9.140625" style="11" customWidth="1"/>
    <col min="12292" max="12293" width="10.5703125" style="11" customWidth="1"/>
    <col min="12294" max="12294" width="1.7109375" style="11" customWidth="1"/>
    <col min="12295" max="12300" width="9.140625" style="11" customWidth="1"/>
    <col min="12301" max="12304" width="8.85546875" style="11"/>
    <col min="12305" max="12305" width="9.140625" style="11" customWidth="1"/>
    <col min="12306" max="12544" width="8.85546875" style="11"/>
    <col min="12545" max="12545" width="9.7109375" style="11" customWidth="1"/>
    <col min="12546" max="12547" width="9.140625" style="11" customWidth="1"/>
    <col min="12548" max="12549" width="10.5703125" style="11" customWidth="1"/>
    <col min="12550" max="12550" width="1.7109375" style="11" customWidth="1"/>
    <col min="12551" max="12556" width="9.140625" style="11" customWidth="1"/>
    <col min="12557" max="12560" width="8.85546875" style="11"/>
    <col min="12561" max="12561" width="9.140625" style="11" customWidth="1"/>
    <col min="12562" max="12800" width="8.85546875" style="11"/>
    <col min="12801" max="12801" width="9.7109375" style="11" customWidth="1"/>
    <col min="12802" max="12803" width="9.140625" style="11" customWidth="1"/>
    <col min="12804" max="12805" width="10.5703125" style="11" customWidth="1"/>
    <col min="12806" max="12806" width="1.7109375" style="11" customWidth="1"/>
    <col min="12807" max="12812" width="9.140625" style="11" customWidth="1"/>
    <col min="12813" max="12816" width="8.85546875" style="11"/>
    <col min="12817" max="12817" width="9.140625" style="11" customWidth="1"/>
    <col min="12818" max="13056" width="8.85546875" style="11"/>
    <col min="13057" max="13057" width="9.7109375" style="11" customWidth="1"/>
    <col min="13058" max="13059" width="9.140625" style="11" customWidth="1"/>
    <col min="13060" max="13061" width="10.5703125" style="11" customWidth="1"/>
    <col min="13062" max="13062" width="1.7109375" style="11" customWidth="1"/>
    <col min="13063" max="13068" width="9.140625" style="11" customWidth="1"/>
    <col min="13069" max="13072" width="8.85546875" style="11"/>
    <col min="13073" max="13073" width="9.140625" style="11" customWidth="1"/>
    <col min="13074" max="13312" width="8.85546875" style="11"/>
    <col min="13313" max="13313" width="9.7109375" style="11" customWidth="1"/>
    <col min="13314" max="13315" width="9.140625" style="11" customWidth="1"/>
    <col min="13316" max="13317" width="10.5703125" style="11" customWidth="1"/>
    <col min="13318" max="13318" width="1.7109375" style="11" customWidth="1"/>
    <col min="13319" max="13324" width="9.140625" style="11" customWidth="1"/>
    <col min="13325" max="13328" width="8.85546875" style="11"/>
    <col min="13329" max="13329" width="9.140625" style="11" customWidth="1"/>
    <col min="13330" max="13568" width="8.85546875" style="11"/>
    <col min="13569" max="13569" width="9.7109375" style="11" customWidth="1"/>
    <col min="13570" max="13571" width="9.140625" style="11" customWidth="1"/>
    <col min="13572" max="13573" width="10.5703125" style="11" customWidth="1"/>
    <col min="13574" max="13574" width="1.7109375" style="11" customWidth="1"/>
    <col min="13575" max="13580" width="9.140625" style="11" customWidth="1"/>
    <col min="13581" max="13584" width="8.85546875" style="11"/>
    <col min="13585" max="13585" width="9.140625" style="11" customWidth="1"/>
    <col min="13586" max="13824" width="8.85546875" style="11"/>
    <col min="13825" max="13825" width="9.7109375" style="11" customWidth="1"/>
    <col min="13826" max="13827" width="9.140625" style="11" customWidth="1"/>
    <col min="13828" max="13829" width="10.5703125" style="11" customWidth="1"/>
    <col min="13830" max="13830" width="1.7109375" style="11" customWidth="1"/>
    <col min="13831" max="13836" width="9.140625" style="11" customWidth="1"/>
    <col min="13837" max="13840" width="8.85546875" style="11"/>
    <col min="13841" max="13841" width="9.140625" style="11" customWidth="1"/>
    <col min="13842" max="14080" width="8.85546875" style="11"/>
    <col min="14081" max="14081" width="9.7109375" style="11" customWidth="1"/>
    <col min="14082" max="14083" width="9.140625" style="11" customWidth="1"/>
    <col min="14084" max="14085" width="10.5703125" style="11" customWidth="1"/>
    <col min="14086" max="14086" width="1.7109375" style="11" customWidth="1"/>
    <col min="14087" max="14092" width="9.140625" style="11" customWidth="1"/>
    <col min="14093" max="14096" width="8.85546875" style="11"/>
    <col min="14097" max="14097" width="9.140625" style="11" customWidth="1"/>
    <col min="14098" max="14336" width="8.85546875" style="11"/>
    <col min="14337" max="14337" width="9.7109375" style="11" customWidth="1"/>
    <col min="14338" max="14339" width="9.140625" style="11" customWidth="1"/>
    <col min="14340" max="14341" width="10.5703125" style="11" customWidth="1"/>
    <col min="14342" max="14342" width="1.7109375" style="11" customWidth="1"/>
    <col min="14343" max="14348" width="9.140625" style="11" customWidth="1"/>
    <col min="14349" max="14352" width="8.85546875" style="11"/>
    <col min="14353" max="14353" width="9.140625" style="11" customWidth="1"/>
    <col min="14354" max="14592" width="8.85546875" style="11"/>
    <col min="14593" max="14593" width="9.7109375" style="11" customWidth="1"/>
    <col min="14594" max="14595" width="9.140625" style="11" customWidth="1"/>
    <col min="14596" max="14597" width="10.5703125" style="11" customWidth="1"/>
    <col min="14598" max="14598" width="1.7109375" style="11" customWidth="1"/>
    <col min="14599" max="14604" width="9.140625" style="11" customWidth="1"/>
    <col min="14605" max="14608" width="8.85546875" style="11"/>
    <col min="14609" max="14609" width="9.140625" style="11" customWidth="1"/>
    <col min="14610" max="14848" width="8.85546875" style="11"/>
    <col min="14849" max="14849" width="9.7109375" style="11" customWidth="1"/>
    <col min="14850" max="14851" width="9.140625" style="11" customWidth="1"/>
    <col min="14852" max="14853" width="10.5703125" style="11" customWidth="1"/>
    <col min="14854" max="14854" width="1.7109375" style="11" customWidth="1"/>
    <col min="14855" max="14860" width="9.140625" style="11" customWidth="1"/>
    <col min="14861" max="14864" width="8.85546875" style="11"/>
    <col min="14865" max="14865" width="9.140625" style="11" customWidth="1"/>
    <col min="14866" max="15104" width="8.85546875" style="11"/>
    <col min="15105" max="15105" width="9.7109375" style="11" customWidth="1"/>
    <col min="15106" max="15107" width="9.140625" style="11" customWidth="1"/>
    <col min="15108" max="15109" width="10.5703125" style="11" customWidth="1"/>
    <col min="15110" max="15110" width="1.7109375" style="11" customWidth="1"/>
    <col min="15111" max="15116" width="9.140625" style="11" customWidth="1"/>
    <col min="15117" max="15120" width="8.85546875" style="11"/>
    <col min="15121" max="15121" width="9.140625" style="11" customWidth="1"/>
    <col min="15122" max="15360" width="8.85546875" style="11"/>
    <col min="15361" max="15361" width="9.7109375" style="11" customWidth="1"/>
    <col min="15362" max="15363" width="9.140625" style="11" customWidth="1"/>
    <col min="15364" max="15365" width="10.5703125" style="11" customWidth="1"/>
    <col min="15366" max="15366" width="1.7109375" style="11" customWidth="1"/>
    <col min="15367" max="15372" width="9.140625" style="11" customWidth="1"/>
    <col min="15373" max="15376" width="8.85546875" style="11"/>
    <col min="15377" max="15377" width="9.140625" style="11" customWidth="1"/>
    <col min="15378" max="15616" width="8.85546875" style="11"/>
    <col min="15617" max="15617" width="9.7109375" style="11" customWidth="1"/>
    <col min="15618" max="15619" width="9.140625" style="11" customWidth="1"/>
    <col min="15620" max="15621" width="10.5703125" style="11" customWidth="1"/>
    <col min="15622" max="15622" width="1.7109375" style="11" customWidth="1"/>
    <col min="15623" max="15628" width="9.140625" style="11" customWidth="1"/>
    <col min="15629" max="15632" width="8.85546875" style="11"/>
    <col min="15633" max="15633" width="9.140625" style="11" customWidth="1"/>
    <col min="15634" max="15872" width="8.85546875" style="11"/>
    <col min="15873" max="15873" width="9.7109375" style="11" customWidth="1"/>
    <col min="15874" max="15875" width="9.140625" style="11" customWidth="1"/>
    <col min="15876" max="15877" width="10.5703125" style="11" customWidth="1"/>
    <col min="15878" max="15878" width="1.7109375" style="11" customWidth="1"/>
    <col min="15879" max="15884" width="9.140625" style="11" customWidth="1"/>
    <col min="15885" max="15888" width="8.85546875" style="11"/>
    <col min="15889" max="15889" width="9.140625" style="11" customWidth="1"/>
    <col min="15890" max="16128" width="8.85546875" style="11"/>
    <col min="16129" max="16129" width="9.7109375" style="11" customWidth="1"/>
    <col min="16130" max="16131" width="9.140625" style="11" customWidth="1"/>
    <col min="16132" max="16133" width="10.5703125" style="11" customWidth="1"/>
    <col min="16134" max="16134" width="1.7109375" style="11" customWidth="1"/>
    <col min="16135" max="16140" width="9.140625" style="11" customWidth="1"/>
    <col min="16141" max="16144" width="8.85546875" style="11"/>
    <col min="16145" max="16145" width="9.140625" style="11" customWidth="1"/>
    <col min="16146" max="16384" width="8.85546875" style="11"/>
  </cols>
  <sheetData>
    <row r="1" spans="1:31" x14ac:dyDescent="0.2">
      <c r="A1" s="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/>
      <c r="G1" s="22" t="s">
        <v>5</v>
      </c>
      <c r="H1" s="22" t="s">
        <v>6</v>
      </c>
      <c r="I1" s="22"/>
      <c r="J1" s="22" t="s">
        <v>7</v>
      </c>
      <c r="K1" s="22"/>
      <c r="L1" s="27" t="s">
        <v>8</v>
      </c>
      <c r="M1" s="27"/>
      <c r="N1" s="27"/>
      <c r="O1" s="27"/>
      <c r="Q1" s="27" t="s">
        <v>29</v>
      </c>
      <c r="R1" s="27"/>
      <c r="S1" s="27"/>
      <c r="T1" s="27"/>
      <c r="W1" s="27"/>
      <c r="X1" s="27"/>
      <c r="Y1" s="27"/>
      <c r="Z1" s="27"/>
    </row>
    <row r="2" spans="1:31" x14ac:dyDescent="0.2">
      <c r="B2" s="3"/>
      <c r="C2" s="3"/>
      <c r="D2" s="3" t="s">
        <v>18</v>
      </c>
      <c r="E2" s="12">
        <f ca="1">MAX(E4:E2000)</f>
        <v>7.7639048174243719E-2</v>
      </c>
      <c r="F2" s="3"/>
      <c r="G2" s="12">
        <f ca="1">SUM(G4:G2000)/COUNT(G4:G2000)</f>
        <v>0.50828157349896486</v>
      </c>
      <c r="H2" s="12">
        <f ca="1">D982/SUM(H4:H2000)</f>
        <v>9.7751852213977572E-2</v>
      </c>
      <c r="I2" s="3"/>
      <c r="J2" s="3"/>
      <c r="K2" s="3"/>
      <c r="L2" s="7" t="s">
        <v>9</v>
      </c>
      <c r="M2" s="7" t="s">
        <v>10</v>
      </c>
      <c r="N2" s="7" t="s">
        <v>11</v>
      </c>
      <c r="O2" s="7" t="s">
        <v>12</v>
      </c>
      <c r="Q2" s="7" t="s">
        <v>9</v>
      </c>
      <c r="R2" s="7" t="s">
        <v>10</v>
      </c>
      <c r="S2" s="7" t="s">
        <v>11</v>
      </c>
      <c r="T2" s="7" t="s">
        <v>12</v>
      </c>
      <c r="W2" s="7"/>
      <c r="X2" s="7"/>
      <c r="Y2" s="7"/>
      <c r="Z2" s="7"/>
    </row>
    <row r="3" spans="1:31" x14ac:dyDescent="0.2">
      <c r="B3" s="8"/>
      <c r="C3" s="8"/>
      <c r="D3" s="20" t="s">
        <v>17</v>
      </c>
      <c r="E3" s="12">
        <f ca="1">MAX(E4:E352)</f>
        <v>6.1039373681750664E-2</v>
      </c>
      <c r="F3" s="20"/>
      <c r="G3" s="12">
        <f ca="1">SUM(G4:G352)/COUNT(G4:G352)</f>
        <v>0.5178571428571429</v>
      </c>
      <c r="H3" s="12">
        <f ca="1">D352/SUM(H4:H352)</f>
        <v>7.3660696097945427E-2</v>
      </c>
      <c r="I3" s="8"/>
      <c r="J3" s="8"/>
      <c r="K3" s="8"/>
      <c r="L3" s="9"/>
      <c r="M3" s="9"/>
      <c r="N3" s="9">
        <v>2</v>
      </c>
      <c r="O3" s="9">
        <v>0.1</v>
      </c>
      <c r="P3" s="9"/>
      <c r="Q3" s="9"/>
      <c r="R3" s="9"/>
      <c r="S3" s="9">
        <v>4</v>
      </c>
      <c r="T3" s="9">
        <v>0.02</v>
      </c>
      <c r="W3" s="9"/>
      <c r="X3" s="9"/>
      <c r="Y3" s="9"/>
      <c r="Z3" s="1"/>
    </row>
    <row r="4" spans="1:31" x14ac:dyDescent="0.2">
      <c r="A4" s="4">
        <v>33512</v>
      </c>
      <c r="B4" s="9"/>
      <c r="C4" s="9"/>
      <c r="D4" s="9"/>
      <c r="E4" s="9"/>
      <c r="F4" s="9"/>
      <c r="G4" s="9"/>
      <c r="H4" s="9"/>
      <c r="I4" s="13"/>
      <c r="J4" s="9"/>
      <c r="K4" s="9"/>
      <c r="L4" s="9">
        <v>1</v>
      </c>
      <c r="M4" s="1">
        <v>0.01</v>
      </c>
      <c r="N4" s="9"/>
      <c r="O4" s="9"/>
      <c r="P4" s="9"/>
      <c r="Q4" s="9">
        <v>1</v>
      </c>
      <c r="R4" s="1">
        <v>0.01</v>
      </c>
      <c r="S4" s="9"/>
      <c r="T4" s="9"/>
      <c r="W4" s="9"/>
      <c r="X4" s="1"/>
      <c r="Y4" s="9"/>
      <c r="Z4" s="9"/>
    </row>
    <row r="5" spans="1:31" x14ac:dyDescent="0.2">
      <c r="A5" s="4">
        <v>33513</v>
      </c>
      <c r="B5" s="9"/>
      <c r="C5" s="9"/>
      <c r="D5" s="9"/>
      <c r="E5" s="9"/>
      <c r="F5" s="9"/>
      <c r="G5" s="9"/>
      <c r="H5" s="9"/>
      <c r="I5" s="13"/>
      <c r="J5" s="9"/>
      <c r="K5" s="9"/>
      <c r="L5" s="9">
        <f>L4-O5*Prices!C5</f>
        <v>1</v>
      </c>
      <c r="M5" s="1">
        <f>M4+O5</f>
        <v>0.01</v>
      </c>
      <c r="N5" s="13"/>
      <c r="O5" s="9"/>
      <c r="P5" s="9"/>
      <c r="Q5" s="9">
        <f>Q4-T5*Prices!C5</f>
        <v>1</v>
      </c>
      <c r="R5" s="1">
        <f t="shared" ref="R5:R68" si="0">R4+T5</f>
        <v>0.01</v>
      </c>
      <c r="S5" s="9"/>
      <c r="T5" s="9"/>
      <c r="W5" s="9"/>
      <c r="X5" s="1"/>
      <c r="Y5" s="13"/>
      <c r="Z5" s="9"/>
    </row>
    <row r="6" spans="1:31" x14ac:dyDescent="0.2">
      <c r="A6" s="4">
        <v>33514</v>
      </c>
      <c r="B6" s="9"/>
      <c r="C6" s="9"/>
      <c r="D6" s="9"/>
      <c r="E6" s="9"/>
      <c r="F6" s="9"/>
      <c r="G6" s="9"/>
      <c r="H6" s="9"/>
      <c r="I6" s="13"/>
      <c r="J6" s="9"/>
      <c r="K6" s="9"/>
      <c r="L6" s="9">
        <f>L5-O6*Prices!C6</f>
        <v>1</v>
      </c>
      <c r="M6" s="1">
        <f>M5+O6</f>
        <v>0.01</v>
      </c>
      <c r="N6" s="13"/>
      <c r="O6" s="9"/>
      <c r="P6" s="9"/>
      <c r="Q6" s="9">
        <f>Q5-T6*Prices!C6</f>
        <v>1</v>
      </c>
      <c r="R6" s="1">
        <f t="shared" si="0"/>
        <v>0.01</v>
      </c>
      <c r="S6" s="9"/>
      <c r="T6" s="9"/>
      <c r="W6" s="9"/>
      <c r="X6" s="1"/>
      <c r="Y6" s="13"/>
      <c r="Z6" s="9"/>
    </row>
    <row r="7" spans="1:31" x14ac:dyDescent="0.2">
      <c r="A7" s="4">
        <v>33515</v>
      </c>
      <c r="B7" s="9"/>
      <c r="C7" s="9"/>
      <c r="D7" s="9"/>
      <c r="E7" s="9"/>
      <c r="F7" s="9"/>
      <c r="G7" s="9"/>
      <c r="H7" s="9"/>
      <c r="I7" s="13"/>
      <c r="J7" s="9"/>
      <c r="K7" s="9"/>
      <c r="L7" s="9">
        <f>L6-O7*Prices!C7</f>
        <v>1</v>
      </c>
      <c r="M7" s="1">
        <f>M6+O7</f>
        <v>0.01</v>
      </c>
      <c r="N7" s="9"/>
      <c r="O7" s="9"/>
      <c r="P7" s="14"/>
      <c r="Q7" s="9">
        <f>Q6-T7*Prices!C7</f>
        <v>1</v>
      </c>
      <c r="R7" s="1">
        <f t="shared" si="0"/>
        <v>0.01</v>
      </c>
      <c r="S7" s="9"/>
      <c r="T7" s="9"/>
      <c r="U7" s="15"/>
      <c r="W7" s="9"/>
      <c r="X7" s="1"/>
      <c r="Y7" s="9"/>
      <c r="Z7" s="9"/>
    </row>
    <row r="8" spans="1:31" x14ac:dyDescent="0.2">
      <c r="A8" s="4">
        <v>33518</v>
      </c>
      <c r="B8" s="9"/>
      <c r="C8" s="9"/>
      <c r="D8" s="9"/>
      <c r="E8" s="9"/>
      <c r="F8" s="9"/>
      <c r="G8" s="13"/>
      <c r="H8" s="9"/>
      <c r="I8" s="13"/>
      <c r="J8" s="1"/>
      <c r="K8" s="9"/>
      <c r="L8" s="9">
        <f>L7-O8*Prices!C8</f>
        <v>1</v>
      </c>
      <c r="M8" s="1">
        <f>M7+O8</f>
        <v>0.01</v>
      </c>
      <c r="N8" s="9"/>
      <c r="O8" s="1"/>
      <c r="P8" s="14"/>
      <c r="Q8" s="9">
        <f>Q7-T8*Prices!C8</f>
        <v>1</v>
      </c>
      <c r="R8" s="1">
        <f t="shared" si="0"/>
        <v>0.01</v>
      </c>
      <c r="S8" s="9"/>
      <c r="T8" s="1"/>
      <c r="U8" s="15"/>
      <c r="V8" s="9"/>
      <c r="W8" s="9"/>
      <c r="X8" s="1"/>
      <c r="Y8" s="9"/>
      <c r="Z8" s="1"/>
    </row>
    <row r="9" spans="1:31" x14ac:dyDescent="0.2">
      <c r="A9" s="4">
        <v>33519</v>
      </c>
      <c r="B9" s="9"/>
      <c r="C9" s="9"/>
      <c r="D9" s="9"/>
      <c r="E9" s="9"/>
      <c r="F9" s="9"/>
      <c r="G9" s="13"/>
      <c r="H9" s="9"/>
      <c r="I9" s="13"/>
      <c r="J9" s="1"/>
      <c r="K9" s="9"/>
      <c r="L9" s="9">
        <f>L8-O9*Prices!C9</f>
        <v>1</v>
      </c>
      <c r="M9" s="1">
        <f t="shared" ref="M9:M72" si="1">M8+O9</f>
        <v>0.01</v>
      </c>
      <c r="N9" s="9"/>
      <c r="O9" s="1"/>
      <c r="P9" s="14"/>
      <c r="Q9" s="9">
        <f>Q8-T9*Prices!C9</f>
        <v>1</v>
      </c>
      <c r="R9" s="1">
        <f t="shared" si="0"/>
        <v>0.01</v>
      </c>
      <c r="S9" s="9"/>
      <c r="T9" s="1"/>
      <c r="V9" s="9"/>
      <c r="W9" s="9"/>
      <c r="X9" s="1"/>
      <c r="Y9" s="9"/>
      <c r="Z9" s="1"/>
    </row>
    <row r="10" spans="1:31" x14ac:dyDescent="0.2">
      <c r="A10" s="4">
        <v>33520</v>
      </c>
      <c r="B10" s="9"/>
      <c r="C10" s="9"/>
      <c r="D10" s="9"/>
      <c r="E10" s="9"/>
      <c r="F10" s="9"/>
      <c r="G10" s="13"/>
      <c r="H10" s="9"/>
      <c r="I10" s="13"/>
      <c r="J10" s="1"/>
      <c r="K10" s="9"/>
      <c r="L10" s="9">
        <f>L9-O10*Prices!C10</f>
        <v>1</v>
      </c>
      <c r="M10" s="1">
        <f t="shared" si="1"/>
        <v>0.01</v>
      </c>
      <c r="N10" s="9"/>
      <c r="O10" s="1"/>
      <c r="P10" s="14"/>
      <c r="Q10" s="9">
        <f>Q9-T10*Prices!C10</f>
        <v>1</v>
      </c>
      <c r="R10" s="1">
        <f t="shared" si="0"/>
        <v>0.01</v>
      </c>
      <c r="S10" s="9"/>
      <c r="T10" s="1"/>
      <c r="V10" s="9"/>
      <c r="W10" s="9"/>
      <c r="X10" s="1"/>
      <c r="Y10" s="9"/>
      <c r="Z10" s="1"/>
    </row>
    <row r="11" spans="1:31" x14ac:dyDescent="0.2">
      <c r="A11" s="4">
        <v>33521</v>
      </c>
      <c r="B11" s="9"/>
      <c r="C11" s="9"/>
      <c r="D11" s="9"/>
      <c r="E11" s="9"/>
      <c r="F11" s="9"/>
      <c r="G11" s="13"/>
      <c r="H11" s="9"/>
      <c r="I11" s="13"/>
      <c r="J11" s="1"/>
      <c r="K11" s="9"/>
      <c r="L11" s="9">
        <f>L10-O11*Prices!C11</f>
        <v>1</v>
      </c>
      <c r="M11" s="1">
        <f t="shared" si="1"/>
        <v>0.01</v>
      </c>
      <c r="N11" s="9"/>
      <c r="O11" s="1"/>
      <c r="P11" s="14"/>
      <c r="Q11" s="9">
        <f>Q10-T11*Prices!C11</f>
        <v>1</v>
      </c>
      <c r="R11" s="1">
        <f t="shared" si="0"/>
        <v>0.01</v>
      </c>
      <c r="S11" s="9"/>
      <c r="T11" s="1"/>
      <c r="V11" s="9"/>
      <c r="W11" s="9"/>
      <c r="X11" s="1"/>
      <c r="Y11" s="9"/>
      <c r="Z11" s="1"/>
    </row>
    <row r="12" spans="1:31" x14ac:dyDescent="0.2">
      <c r="A12" s="4">
        <v>33522</v>
      </c>
      <c r="B12" s="9"/>
      <c r="C12" s="9"/>
      <c r="D12" s="9"/>
      <c r="E12" s="9"/>
      <c r="F12" s="9"/>
      <c r="G12" s="13"/>
      <c r="H12" s="9"/>
      <c r="I12" s="13"/>
      <c r="J12" s="1"/>
      <c r="K12" s="9"/>
      <c r="L12" s="9">
        <f>L11-O12*Prices!C12</f>
        <v>1</v>
      </c>
      <c r="M12" s="1">
        <f t="shared" si="1"/>
        <v>0.01</v>
      </c>
      <c r="N12" s="9"/>
      <c r="O12" s="1"/>
      <c r="P12" s="14"/>
      <c r="Q12" s="9">
        <f>Q11-T12*Prices!C12</f>
        <v>1</v>
      </c>
      <c r="R12" s="1">
        <f t="shared" si="0"/>
        <v>0.01</v>
      </c>
      <c r="S12" s="9"/>
      <c r="T12" s="1"/>
      <c r="V12" s="9"/>
      <c r="W12" s="9"/>
      <c r="X12" s="1"/>
      <c r="Y12" s="9"/>
      <c r="Z12" s="1"/>
    </row>
    <row r="13" spans="1:31" x14ac:dyDescent="0.2">
      <c r="A13" s="4">
        <v>33525</v>
      </c>
      <c r="B13" s="9"/>
      <c r="C13" s="9"/>
      <c r="D13" s="9"/>
      <c r="E13" s="9"/>
      <c r="F13" s="9"/>
      <c r="G13" s="13"/>
      <c r="H13" s="9"/>
      <c r="I13" s="13"/>
      <c r="J13" s="1"/>
      <c r="K13" s="9"/>
      <c r="L13" s="9">
        <f>L12-O13*Prices!C13</f>
        <v>1</v>
      </c>
      <c r="M13" s="1">
        <f t="shared" si="1"/>
        <v>0.01</v>
      </c>
      <c r="N13" s="9"/>
      <c r="O13" s="1"/>
      <c r="P13" s="14"/>
      <c r="Q13" s="9">
        <f>Q12-T13*Prices!C13</f>
        <v>1</v>
      </c>
      <c r="R13" s="1">
        <f t="shared" si="0"/>
        <v>0.01</v>
      </c>
      <c r="S13" s="9"/>
      <c r="T13" s="1"/>
      <c r="V13" s="9"/>
      <c r="W13" s="9"/>
      <c r="X13" s="1"/>
      <c r="Y13" s="9"/>
      <c r="Z13" s="1"/>
    </row>
    <row r="14" spans="1:31" x14ac:dyDescent="0.2">
      <c r="A14" s="4">
        <v>33526</v>
      </c>
      <c r="B14" s="9"/>
      <c r="C14" s="9"/>
      <c r="D14" s="9"/>
      <c r="E14" s="9"/>
      <c r="F14" s="9"/>
      <c r="G14" s="13"/>
      <c r="H14" s="9"/>
      <c r="I14" s="13"/>
      <c r="J14" s="1"/>
      <c r="K14" s="9"/>
      <c r="L14" s="9">
        <f>L13-O14*Prices!C14</f>
        <v>1</v>
      </c>
      <c r="M14" s="1">
        <f t="shared" si="1"/>
        <v>0.01</v>
      </c>
      <c r="N14" s="9"/>
      <c r="O14" s="1"/>
      <c r="P14" s="14"/>
      <c r="Q14" s="9">
        <f>Q13-T14*Prices!C14</f>
        <v>1</v>
      </c>
      <c r="R14" s="1">
        <f t="shared" si="0"/>
        <v>0.01</v>
      </c>
      <c r="S14" s="9"/>
      <c r="T14" s="1"/>
      <c r="V14" s="9"/>
      <c r="W14" s="1"/>
      <c r="X14" s="1"/>
      <c r="Y14" s="1"/>
      <c r="Z14" s="1"/>
      <c r="AA14" s="9"/>
      <c r="AB14" s="1"/>
      <c r="AC14" s="1"/>
      <c r="AD14" s="1"/>
      <c r="AE14" s="16"/>
    </row>
    <row r="15" spans="1:31" x14ac:dyDescent="0.2">
      <c r="A15" s="4">
        <v>33527</v>
      </c>
      <c r="B15" s="9"/>
      <c r="C15" s="9"/>
      <c r="D15" s="9"/>
      <c r="E15" s="9"/>
      <c r="F15" s="9"/>
      <c r="G15" s="13"/>
      <c r="H15" s="9"/>
      <c r="I15" s="13"/>
      <c r="J15" s="1"/>
      <c r="K15" s="9"/>
      <c r="L15" s="9">
        <f>L14-O15*Prices!C15</f>
        <v>1</v>
      </c>
      <c r="M15" s="1">
        <f t="shared" si="1"/>
        <v>0.01</v>
      </c>
      <c r="N15" s="9"/>
      <c r="O15" s="1"/>
      <c r="P15" s="14"/>
      <c r="Q15" s="9">
        <f>Q14-T15*Prices!C15</f>
        <v>1</v>
      </c>
      <c r="R15" s="1">
        <f t="shared" si="0"/>
        <v>0.01</v>
      </c>
      <c r="S15" s="9"/>
      <c r="T15" s="1"/>
      <c r="V15" s="1"/>
      <c r="W15" s="1"/>
      <c r="X15" s="1"/>
      <c r="Y15" s="1"/>
      <c r="Z15" s="1"/>
      <c r="AA15" s="1"/>
      <c r="AB15" s="1"/>
      <c r="AC15" s="1"/>
      <c r="AD15" s="1"/>
      <c r="AE15" s="16"/>
    </row>
    <row r="16" spans="1:31" x14ac:dyDescent="0.2">
      <c r="A16" s="4">
        <v>33528</v>
      </c>
      <c r="B16" s="9"/>
      <c r="C16" s="9"/>
      <c r="D16" s="9"/>
      <c r="E16" s="9"/>
      <c r="F16" s="9">
        <f t="shared" ref="F16:F79" si="2">MAX(F15,D16)</f>
        <v>0</v>
      </c>
      <c r="G16" s="13"/>
      <c r="H16" s="9"/>
      <c r="I16" s="13"/>
      <c r="J16" s="1"/>
      <c r="K16" s="9"/>
      <c r="L16" s="9">
        <f>L15-O16*Prices!C16</f>
        <v>1</v>
      </c>
      <c r="M16" s="1">
        <f t="shared" si="1"/>
        <v>0.01</v>
      </c>
      <c r="N16" s="9"/>
      <c r="O16" s="1"/>
      <c r="P16" s="14"/>
      <c r="Q16" s="9">
        <f>Q15-T16*Prices!C16</f>
        <v>1</v>
      </c>
      <c r="R16" s="1">
        <f t="shared" si="0"/>
        <v>0.01</v>
      </c>
      <c r="S16" s="9"/>
      <c r="T16" s="1"/>
      <c r="V16" s="1"/>
      <c r="W16" s="1"/>
      <c r="X16" s="1"/>
      <c r="Y16" s="1"/>
      <c r="Z16" s="1"/>
      <c r="AA16" s="1"/>
      <c r="AB16" s="1"/>
      <c r="AC16" s="1"/>
      <c r="AD16" s="1"/>
      <c r="AE16" s="16"/>
    </row>
    <row r="17" spans="1:31" x14ac:dyDescent="0.2">
      <c r="A17" s="4">
        <v>33529</v>
      </c>
      <c r="B17" s="9">
        <f ca="1">Prices!C16*(1+J17/(50*(ABS(O17)+ABS(T17)+0.0001)))</f>
        <v>131.21350534656602</v>
      </c>
      <c r="C17" s="21">
        <f ca="1">IF(J17&gt;0,1,IF(J17&lt;0,-1,0))</f>
        <v>1</v>
      </c>
      <c r="D17" s="9">
        <f ca="1">D16+C17*(Prices!C17-Prices!C16)/Prices!C16</f>
        <v>-4.6214280212587437E-4</v>
      </c>
      <c r="E17" s="9">
        <f t="shared" ref="E17:E80" ca="1" si="3">F17-D17</f>
        <v>4.6214280212587437E-4</v>
      </c>
      <c r="F17" s="9">
        <f t="shared" ca="1" si="2"/>
        <v>0</v>
      </c>
      <c r="G17" s="13">
        <f ca="1">IF((Prices!C17-Prices!C16)*C17&gt;0,1,0)</f>
        <v>0</v>
      </c>
      <c r="H17" s="9">
        <f>ABS(Prices!C17-Prices!C16)/Prices!C16</f>
        <v>4.6214280212587437E-4</v>
      </c>
      <c r="I17" s="13"/>
      <c r="J17" s="1">
        <f t="shared" ref="J17:J80" ca="1" si="4">O17+T17</f>
        <v>5.7023800354309478E-4</v>
      </c>
      <c r="K17" s="9"/>
      <c r="L17" s="9">
        <f ca="1">L16-O17*Prices!C17</f>
        <v>0.90004621428021259</v>
      </c>
      <c r="M17" s="1">
        <f t="shared" ca="1" si="1"/>
        <v>1.0770238003543094E-2</v>
      </c>
      <c r="N17" s="9">
        <f ca="1">IF(Prices!D16&gt;OFFSET(Prices!D16,-$N$3,0),1,-1)</f>
        <v>1</v>
      </c>
      <c r="O17" s="1">
        <f ca="1">IF(N17=1,O$3*L16/Prices!C16,-O$3*M16)</f>
        <v>7.7023800354309477E-4</v>
      </c>
      <c r="P17" s="14"/>
      <c r="Q17" s="9">
        <f ca="1">Q16-T17*Prices!C17</f>
        <v>1.025954</v>
      </c>
      <c r="R17" s="1">
        <f t="shared" ca="1" si="0"/>
        <v>9.7999999999999997E-3</v>
      </c>
      <c r="S17" s="9">
        <f ca="1">IF(Prices!C16&lt;OFFSET(Prices!C16,-S$3,0),1,-1)</f>
        <v>-1</v>
      </c>
      <c r="T17" s="1">
        <f ca="1">IF(S17=1,T$3*Q16/Prices!C16,-T$3*R16)</f>
        <v>-2.0000000000000001E-4</v>
      </c>
      <c r="V17" s="1"/>
      <c r="W17" s="1"/>
      <c r="X17" s="1"/>
      <c r="Y17" s="1"/>
      <c r="Z17" s="1"/>
      <c r="AA17" s="1"/>
      <c r="AB17" s="1"/>
      <c r="AC17" s="1"/>
      <c r="AD17" s="1"/>
      <c r="AE17" s="16"/>
    </row>
    <row r="18" spans="1:31" x14ac:dyDescent="0.2">
      <c r="A18" s="4">
        <v>33532</v>
      </c>
      <c r="B18" s="9">
        <f ca="1">Prices!C17*(1+J18/(50*(ABS(O18)+ABS(T18)+0.0001)))</f>
        <v>131.07500480096033</v>
      </c>
      <c r="C18" s="21">
        <f t="shared" ref="C18:C81" ca="1" si="5">IF(J18&gt;0,1,IF(J18&lt;0,-1,0))</f>
        <v>1</v>
      </c>
      <c r="D18" s="9">
        <f ca="1">D17+C18*(Prices!C18-Prices!C17)/Prices!C17</f>
        <v>6.9355608273723108E-3</v>
      </c>
      <c r="E18" s="9">
        <f t="shared" ref="E18:E81" ca="1" si="6">F18-D18</f>
        <v>0</v>
      </c>
      <c r="F18" s="9">
        <f t="shared" ref="F18:F81" ca="1" si="7">MAX(F17,D18)</f>
        <v>6.9355608273723108E-3</v>
      </c>
      <c r="G18" s="13">
        <f ca="1">IF((Prices!C18-Prices!C17)*C18&gt;0,1,0)</f>
        <v>1</v>
      </c>
      <c r="H18" s="9">
        <f>ABS(Prices!C18-Prices!C17)/Prices!C17</f>
        <v>7.3977036294981847E-3</v>
      </c>
      <c r="I18" s="13"/>
      <c r="J18" s="1">
        <f t="shared" ref="J18:J81" ca="1" si="8">O18+T18</f>
        <v>4.9757032771843455E-4</v>
      </c>
      <c r="K18" s="9"/>
      <c r="L18" s="9">
        <f ca="1">L17-O18*Prices!C18</f>
        <v>0.8093757653375816</v>
      </c>
      <c r="M18" s="1">
        <f t="shared" ref="M18:M81" ca="1" si="9">M17+O18</f>
        <v>1.1463808331261529E-2</v>
      </c>
      <c r="N18" s="9">
        <f ca="1">IF(Prices!D17&gt;OFFSET(Prices!D17,-$N$3,0),1,-1)</f>
        <v>1</v>
      </c>
      <c r="O18" s="1">
        <f ca="1">IF(N18=1,O$3*L17/Prices!C17,-O$3*M17)</f>
        <v>6.9357032771843454E-4</v>
      </c>
      <c r="P18" s="14"/>
      <c r="Q18" s="9">
        <f ca="1">Q17-T18*Prices!C18</f>
        <v>1.0515770799999999</v>
      </c>
      <c r="R18" s="1">
        <f t="shared" ref="R18:R81" ca="1" si="10">R17+T18</f>
        <v>9.6039999999999997E-3</v>
      </c>
      <c r="S18" s="9">
        <f ca="1">IF(Prices!C17&lt;OFFSET(Prices!C17,-S$3,0),1,-1)</f>
        <v>-1</v>
      </c>
      <c r="T18" s="1">
        <f ca="1">IF(S18=1,T$3*Q17/Prices!C17,-T$3*R17)</f>
        <v>-1.9599999999999999E-4</v>
      </c>
      <c r="V18" s="1"/>
      <c r="W18" s="1"/>
      <c r="X18" s="1"/>
      <c r="Y18" s="1"/>
      <c r="Z18" s="1"/>
      <c r="AA18" s="1"/>
      <c r="AB18" s="1"/>
      <c r="AC18" s="1"/>
      <c r="AD18" s="1"/>
      <c r="AE18" s="16"/>
    </row>
    <row r="19" spans="1:31" x14ac:dyDescent="0.2">
      <c r="A19" s="4">
        <v>33533</v>
      </c>
      <c r="B19" s="9">
        <f ca="1">Prices!C18*(1+J19/(50*(ABS(O19)+ABS(T19)+0.0001)))</f>
        <v>131.9553500715611</v>
      </c>
      <c r="C19" s="21">
        <f t="shared" ca="1" si="5"/>
        <v>1</v>
      </c>
      <c r="D19" s="9">
        <f ca="1">D18+C19*(Prices!C19-Prices!C18)/Prices!C18</f>
        <v>1.0530757033292901E-2</v>
      </c>
      <c r="E19" s="9">
        <f t="shared" ca="1" si="6"/>
        <v>0</v>
      </c>
      <c r="F19" s="9">
        <f t="shared" ca="1" si="7"/>
        <v>1.0530757033292901E-2</v>
      </c>
      <c r="G19" s="13">
        <f ca="1">IF((Prices!C19-Prices!C18)*C19&gt;0,1,0)</f>
        <v>1</v>
      </c>
      <c r="H19" s="9">
        <f>ABS(Prices!C19-Prices!C18)/Prices!C18</f>
        <v>3.5951962059205915E-3</v>
      </c>
      <c r="I19" s="13"/>
      <c r="J19" s="1">
        <f t="shared" ca="1" si="8"/>
        <v>4.2704014483101183E-4</v>
      </c>
      <c r="K19" s="9"/>
      <c r="L19" s="9">
        <f ca="1">L18-O19*Prices!C19</f>
        <v>0.72814720233575292</v>
      </c>
      <c r="M19" s="1">
        <f t="shared" ca="1" si="9"/>
        <v>1.2082928476092542E-2</v>
      </c>
      <c r="N19" s="9">
        <f ca="1">IF(Prices!D18&gt;OFFSET(Prices!D18,-$N$3,0),1,-1)</f>
        <v>1</v>
      </c>
      <c r="O19" s="1">
        <f ca="1">IF(N19=1,O$3*L18/Prices!C18,-O$3*M18)</f>
        <v>6.1912014483101179E-4</v>
      </c>
      <c r="P19" s="14"/>
      <c r="Q19" s="9">
        <f ca="1">Q18-T19*Prices!C19</f>
        <v>1.076777976</v>
      </c>
      <c r="R19" s="1">
        <f t="shared" ca="1" si="10"/>
        <v>9.411919999999999E-3</v>
      </c>
      <c r="S19" s="9">
        <f ca="1">IF(Prices!C18&lt;OFFSET(Prices!C18,-S$3,0),1,-1)</f>
        <v>-1</v>
      </c>
      <c r="T19" s="1">
        <f ca="1">IF(S19=1,T$3*Q18/Prices!C18,-T$3*R18)</f>
        <v>-1.9207999999999999E-4</v>
      </c>
      <c r="V19" s="1"/>
      <c r="W19" s="1"/>
      <c r="X19" s="1"/>
      <c r="Y19" s="1"/>
      <c r="Z19" s="1"/>
      <c r="AA19" s="1"/>
      <c r="AB19" s="1"/>
      <c r="AC19" s="1"/>
      <c r="AD19" s="1"/>
      <c r="AE19" s="16"/>
    </row>
    <row r="20" spans="1:31" x14ac:dyDescent="0.2">
      <c r="A20" s="4">
        <v>33534</v>
      </c>
      <c r="B20" s="9">
        <f ca="1">Prices!C19*(1+J20/(50*(ABS(O20)+ABS(T20)+0.0001)))</f>
        <v>132.34127626948953</v>
      </c>
      <c r="C20" s="21">
        <f t="shared" ca="1" si="5"/>
        <v>1</v>
      </c>
      <c r="D20" s="9">
        <f ca="1">D19+C20*(Prices!C20-Prices!C19)/Prices!C19</f>
        <v>1.3198439960122344E-2</v>
      </c>
      <c r="E20" s="9">
        <f t="shared" ca="1" si="6"/>
        <v>0</v>
      </c>
      <c r="F20" s="9">
        <f t="shared" ca="1" si="7"/>
        <v>1.3198439960122344E-2</v>
      </c>
      <c r="G20" s="13">
        <f ca="1">IF((Prices!C20-Prices!C19)*C20&gt;0,1,0)</f>
        <v>1</v>
      </c>
      <c r="H20" s="9">
        <f>ABS(Prices!C20-Prices!C19)/Prices!C19</f>
        <v>2.667682926829442E-3</v>
      </c>
      <c r="I20" s="13"/>
      <c r="J20" s="1">
        <f t="shared" ca="1" si="8"/>
        <v>3.6675184568273859E-4</v>
      </c>
      <c r="K20" s="9"/>
      <c r="L20" s="9">
        <f ca="1">L19-O20*Prices!C20</f>
        <v>0.65513823551618866</v>
      </c>
      <c r="M20" s="1">
        <f t="shared" ca="1" si="9"/>
        <v>1.263791872177528E-2</v>
      </c>
      <c r="N20" s="9">
        <f ca="1">IF(Prices!D19&gt;OFFSET(Prices!D19,-$N$3,0),1,-1)</f>
        <v>1</v>
      </c>
      <c r="O20" s="1">
        <f ca="1">IF(N20=1,O$3*L19/Prices!C19,-O$3*M19)</f>
        <v>5.5499024568273858E-4</v>
      </c>
      <c r="P20" s="14"/>
      <c r="Q20" s="9">
        <f ca="1">Q19-T20*Prices!C20</f>
        <v>1.1015407375199999</v>
      </c>
      <c r="R20" s="1">
        <f t="shared" ca="1" si="10"/>
        <v>9.2236815999999985E-3</v>
      </c>
      <c r="S20" s="9">
        <f ca="1">IF(Prices!C19&lt;OFFSET(Prices!C19,-S$3,0),1,-1)</f>
        <v>-1</v>
      </c>
      <c r="T20" s="1">
        <f ca="1">IF(S20=1,T$3*Q19/Prices!C19,-T$3*R19)</f>
        <v>-1.882384E-4</v>
      </c>
      <c r="V20" s="1"/>
      <c r="W20" s="1"/>
      <c r="X20" s="1"/>
      <c r="Y20" s="1"/>
      <c r="Z20" s="1"/>
      <c r="AA20" s="1"/>
      <c r="AB20" s="1"/>
      <c r="AC20" s="1"/>
      <c r="AD20" s="1"/>
      <c r="AE20" s="16"/>
    </row>
    <row r="21" spans="1:31" x14ac:dyDescent="0.2">
      <c r="A21" s="4">
        <v>33535</v>
      </c>
      <c r="B21" s="9">
        <f ca="1">Prices!C20*(1+J21/(50*(ABS(O21)+ABS(T21)+0.0001)))</f>
        <v>132.60423479624507</v>
      </c>
      <c r="C21" s="21">
        <f t="shared" ca="1" si="5"/>
        <v>1</v>
      </c>
      <c r="D21" s="9">
        <f ca="1">D20+C21*(Prices!C21-Prices!C20)/Prices!C20</f>
        <v>1.0385821183991562E-2</v>
      </c>
      <c r="E21" s="9">
        <f t="shared" ca="1" si="6"/>
        <v>2.8126187761307823E-3</v>
      </c>
      <c r="F21" s="9">
        <f t="shared" ca="1" si="7"/>
        <v>1.3198439960122344E-2</v>
      </c>
      <c r="G21" s="13">
        <f ca="1">IF((Prices!C21-Prices!C20)*C21&gt;0,1,0)</f>
        <v>0</v>
      </c>
      <c r="H21" s="9">
        <f>ABS(Prices!C21-Prices!C20)/Prices!C20</f>
        <v>2.8126187761307831E-3</v>
      </c>
      <c r="I21" s="13"/>
      <c r="J21" s="1">
        <f t="shared" ca="1" si="8"/>
        <v>3.1354099020918945E-4</v>
      </c>
      <c r="K21" s="9"/>
      <c r="L21" s="9">
        <f ca="1">L20-O21*Prices!C21</f>
        <v>0.58980867737478715</v>
      </c>
      <c r="M21" s="1">
        <f t="shared" ca="1" si="9"/>
        <v>1.313593334398447E-2</v>
      </c>
      <c r="N21" s="9">
        <f ca="1">IF(Prices!D20&gt;OFFSET(Prices!D20,-$N$3,0),1,-1)</f>
        <v>1</v>
      </c>
      <c r="O21" s="1">
        <f ca="1">IF(N21=1,O$3*L20/Prices!C20,-O$3*M20)</f>
        <v>4.9801462220918941E-4</v>
      </c>
      <c r="P21" s="14"/>
      <c r="Q21" s="9">
        <f ca="1">Q20-T21*Prices!C21</f>
        <v>1.12573998856576</v>
      </c>
      <c r="R21" s="1">
        <f t="shared" ca="1" si="10"/>
        <v>9.0392079679999984E-3</v>
      </c>
      <c r="S21" s="9">
        <f ca="1">IF(Prices!C20&lt;OFFSET(Prices!C20,-S$3,0),1,-1)</f>
        <v>-1</v>
      </c>
      <c r="T21" s="1">
        <f ca="1">IF(S21=1,T$3*Q20/Prices!C20,-T$3*R20)</f>
        <v>-1.8447363199999996E-4</v>
      </c>
      <c r="V21" s="1"/>
      <c r="W21" s="1"/>
      <c r="X21" s="1"/>
      <c r="Y21" s="1"/>
      <c r="Z21" s="1"/>
      <c r="AA21" s="1"/>
      <c r="AB21" s="1"/>
      <c r="AC21" s="1"/>
      <c r="AD21" s="1"/>
      <c r="AE21" s="16"/>
    </row>
    <row r="22" spans="1:31" x14ac:dyDescent="0.2">
      <c r="A22" s="4">
        <v>33536</v>
      </c>
      <c r="B22" s="9">
        <f ca="1">Prices!C21*(1+J22/(50*(ABS(O22)+ABS(T22)+0.0001)))</f>
        <v>128.7209532510507</v>
      </c>
      <c r="C22" s="21">
        <f t="shared" ca="1" si="5"/>
        <v>-1</v>
      </c>
      <c r="D22" s="9">
        <f ca="1">D21+C22*(Prices!C22-Prices!C21)/Prices!C21</f>
        <v>8.7087362625096372E-3</v>
      </c>
      <c r="E22" s="9">
        <f t="shared" ca="1" si="6"/>
        <v>4.4897036976127066E-3</v>
      </c>
      <c r="F22" s="9">
        <f t="shared" ca="1" si="7"/>
        <v>1.3198439960122344E-2</v>
      </c>
      <c r="G22" s="13">
        <f ca="1">IF((Prices!C22-Prices!C21)*C22&gt;0,1,0)</f>
        <v>0</v>
      </c>
      <c r="H22" s="9">
        <f>ABS(Prices!C22-Prices!C21)/Prices!C21</f>
        <v>1.6770849214819245E-3</v>
      </c>
      <c r="I22" s="13"/>
      <c r="J22" s="1">
        <f t="shared" ca="1" si="8"/>
        <v>-1.4943774937584472E-3</v>
      </c>
      <c r="K22" s="9"/>
      <c r="L22" s="9">
        <f ca="1">L21-O22*Prices!C22</f>
        <v>0.76241484151474315</v>
      </c>
      <c r="M22" s="1">
        <f t="shared" ca="1" si="9"/>
        <v>1.1822340009586024E-2</v>
      </c>
      <c r="N22" s="9">
        <f ca="1">IF(Prices!D21&gt;OFFSET(Prices!D21,-$N$3,0),1,-1)</f>
        <v>-1</v>
      </c>
      <c r="O22" s="1">
        <f ca="1">IF(N22=1,O$3*L21/Prices!C21,-O$3*M21)</f>
        <v>-1.3135933343984471E-3</v>
      </c>
      <c r="P22" s="14"/>
      <c r="Q22" s="9">
        <f ca="1">Q21-T22*Prices!C22</f>
        <v>1.1494950271056639</v>
      </c>
      <c r="R22" s="1">
        <f t="shared" ca="1" si="10"/>
        <v>8.8584238086399977E-3</v>
      </c>
      <c r="S22" s="9">
        <f ca="1">IF(Prices!C21&lt;OFFSET(Prices!C21,-S$3,0),1,-1)</f>
        <v>-1</v>
      </c>
      <c r="T22" s="1">
        <f ca="1">IF(S22=1,T$3*Q21/Prices!C21,-T$3*R21)</f>
        <v>-1.8078415935999996E-4</v>
      </c>
      <c r="V22" s="1"/>
      <c r="W22" s="1"/>
      <c r="X22" s="1"/>
      <c r="Y22" s="1"/>
      <c r="Z22" s="1"/>
      <c r="AA22" s="1"/>
      <c r="AB22" s="1"/>
      <c r="AC22" s="1"/>
      <c r="AD22" s="1"/>
      <c r="AE22" s="16"/>
    </row>
    <row r="23" spans="1:31" x14ac:dyDescent="0.2">
      <c r="A23" s="4">
        <v>33539</v>
      </c>
      <c r="B23" s="9">
        <f ca="1">Prices!C22*(1+J23/(50*(ABS(O23)+ABS(T23)+0.0001)))</f>
        <v>128.95207369736454</v>
      </c>
      <c r="C23" s="21">
        <f t="shared" ca="1" si="5"/>
        <v>-1</v>
      </c>
      <c r="D23" s="9">
        <f ca="1">D22+C23*(Prices!C23-Prices!C22)/Prices!C22</f>
        <v>2.2399386978217053E-3</v>
      </c>
      <c r="E23" s="9">
        <f t="shared" ca="1" si="6"/>
        <v>1.0958501262300639E-2</v>
      </c>
      <c r="F23" s="9">
        <f t="shared" ca="1" si="7"/>
        <v>1.3198439960122344E-2</v>
      </c>
      <c r="G23" s="13">
        <f ca="1">IF((Prices!C23-Prices!C22)*C23&gt;0,1,0)</f>
        <v>0</v>
      </c>
      <c r="H23" s="9">
        <f>ABS(Prices!C23-Prices!C22)/Prices!C22</f>
        <v>6.4687975646879319E-3</v>
      </c>
      <c r="I23" s="13"/>
      <c r="J23" s="1">
        <f t="shared" ca="1" si="8"/>
        <v>-1.3594024771314023E-3</v>
      </c>
      <c r="K23" s="9"/>
      <c r="L23" s="9">
        <f ca="1">L22-O23*Prices!C23</f>
        <v>0.91876528814151825</v>
      </c>
      <c r="M23" s="1">
        <f t="shared" ca="1" si="9"/>
        <v>1.0640106008627422E-2</v>
      </c>
      <c r="N23" s="9">
        <f ca="1">IF(Prices!D22&gt;OFFSET(Prices!D22,-$N$3,0),1,-1)</f>
        <v>-1</v>
      </c>
      <c r="O23" s="1">
        <f ca="1">IF(N23=1,O$3*L22/Prices!C22,-O$3*M22)</f>
        <v>-1.1822340009586024E-3</v>
      </c>
      <c r="P23" s="14"/>
      <c r="Q23" s="9">
        <f ca="1">Q22-T23*Prices!C23</f>
        <v>1.1729255580795166</v>
      </c>
      <c r="R23" s="1">
        <f t="shared" ca="1" si="10"/>
        <v>8.6812553324671984E-3</v>
      </c>
      <c r="S23" s="9">
        <f ca="1">IF(Prices!C22&lt;OFFSET(Prices!C22,-S$3,0),1,-1)</f>
        <v>-1</v>
      </c>
      <c r="T23" s="1">
        <f ca="1">IF(S23=1,T$3*Q22/Prices!C22,-T$3*R22)</f>
        <v>-1.7716847617279996E-4</v>
      </c>
      <c r="V23" s="1"/>
      <c r="W23" s="1"/>
      <c r="X23" s="1"/>
      <c r="Y23" s="1"/>
      <c r="Z23" s="1"/>
      <c r="AA23" s="1"/>
      <c r="AB23" s="1"/>
      <c r="AC23" s="1"/>
      <c r="AD23" s="1"/>
      <c r="AE23" s="16"/>
    </row>
    <row r="24" spans="1:31" x14ac:dyDescent="0.2">
      <c r="A24" s="4">
        <v>33540</v>
      </c>
      <c r="B24" s="9">
        <f ca="1">Prices!C23*(1+J24/(50*(ABS(O24)+ABS(T24)+0.0001)))</f>
        <v>129.8027369462512</v>
      </c>
      <c r="C24" s="21">
        <f t="shared" ca="1" si="5"/>
        <v>-1</v>
      </c>
      <c r="D24" s="9">
        <f ca="1">D23+C24*(Prices!C24-Prices!C23)/Prices!C23</f>
        <v>1.3582093707273502E-2</v>
      </c>
      <c r="E24" s="9">
        <f t="shared" ca="1" si="6"/>
        <v>0</v>
      </c>
      <c r="F24" s="9">
        <f t="shared" ca="1" si="7"/>
        <v>1.3582093707273502E-2</v>
      </c>
      <c r="G24" s="13">
        <f ca="1">IF((Prices!C24-Prices!C23)*C24&gt;0,1,0)</f>
        <v>1</v>
      </c>
      <c r="H24" s="9">
        <f>ABS(Prices!C24-Prices!C23)/Prices!C23</f>
        <v>1.1342155009451797E-2</v>
      </c>
      <c r="I24" s="13"/>
      <c r="J24" s="1">
        <f t="shared" ca="1" si="8"/>
        <v>-1.2376357075120862E-3</v>
      </c>
      <c r="K24" s="9"/>
      <c r="L24" s="9">
        <f ca="1">L23-O24*Prices!C24</f>
        <v>1.0578846742043218</v>
      </c>
      <c r="M24" s="1">
        <f t="shared" ca="1" si="9"/>
        <v>9.5760954077646794E-3</v>
      </c>
      <c r="N24" s="9">
        <f ca="1">IF(Prices!D23&gt;OFFSET(Prices!D23,-$N$3,0),1,-1)</f>
        <v>-1</v>
      </c>
      <c r="O24" s="1">
        <f ca="1">IF(N24=1,O$3*L23/Prices!C23,-O$3*M23)</f>
        <v>-1.0640106008627422E-3</v>
      </c>
      <c r="P24" s="14"/>
      <c r="Q24" s="9">
        <f ca="1">Q23-T24*Prices!C24</f>
        <v>1.1956270407739182</v>
      </c>
      <c r="R24" s="1">
        <f t="shared" ca="1" si="10"/>
        <v>8.5076302258178544E-3</v>
      </c>
      <c r="S24" s="9">
        <f ca="1">IF(Prices!C23&lt;OFFSET(Prices!C23,-S$3,0),1,-1)</f>
        <v>-1</v>
      </c>
      <c r="T24" s="1">
        <f ca="1">IF(S24=1,T$3*Q23/Prices!C23,-T$3*R23)</f>
        <v>-1.7362510664934398E-4</v>
      </c>
      <c r="V24" s="1"/>
      <c r="W24" s="1"/>
      <c r="X24" s="1"/>
      <c r="Y24" s="1"/>
      <c r="Z24" s="1"/>
      <c r="AA24" s="1"/>
      <c r="AB24" s="1"/>
      <c r="AC24" s="1"/>
      <c r="AD24" s="1"/>
      <c r="AE24" s="16"/>
    </row>
    <row r="25" spans="1:31" x14ac:dyDescent="0.2">
      <c r="A25" s="4">
        <v>33541</v>
      </c>
      <c r="B25" s="9">
        <f ca="1">Prices!C24*(1+J25/(50*(ABS(O25)+ABS(T25)+0.0001)))</f>
        <v>129.11686580955191</v>
      </c>
      <c r="C25" s="21">
        <f t="shared" ca="1" si="5"/>
        <v>-1</v>
      </c>
      <c r="D25" s="9">
        <f ca="1">D24+C25*(Prices!C25-Prices!C24)/Prices!C24</f>
        <v>1.105819313365964E-2</v>
      </c>
      <c r="E25" s="9">
        <f t="shared" ca="1" si="6"/>
        <v>2.5239005736138621E-3</v>
      </c>
      <c r="F25" s="9">
        <f t="shared" ca="1" si="7"/>
        <v>1.3582093707273502E-2</v>
      </c>
      <c r="G25" s="13">
        <f ca="1">IF((Prices!C25-Prices!C24)*C25&gt;0,1,0)</f>
        <v>0</v>
      </c>
      <c r="H25" s="9">
        <f>ABS(Prices!C25-Prices!C24)/Prices!C24</f>
        <v>2.5239005736138625E-3</v>
      </c>
      <c r="I25" s="13"/>
      <c r="J25" s="1">
        <f t="shared" ca="1" si="8"/>
        <v>-7.7472203931965445E-4</v>
      </c>
      <c r="K25" s="9"/>
      <c r="L25" s="9">
        <f ca="1">L24-O25*Prices!C25</f>
        <v>1.1834081328093011</v>
      </c>
      <c r="M25" s="1">
        <f t="shared" ca="1" si="9"/>
        <v>8.6184858669882108E-3</v>
      </c>
      <c r="N25" s="9">
        <f ca="1">IF(Prices!D24&gt;OFFSET(Prices!D24,-$N$3,0),1,-1)</f>
        <v>-1</v>
      </c>
      <c r="O25" s="1">
        <f ca="1">IF(N25=1,O$3*L24/Prices!C24,-O$3*M24)</f>
        <v>-9.5760954077646798E-4</v>
      </c>
      <c r="P25" s="14"/>
      <c r="Q25" s="9">
        <f ca="1">Q24-T25*Prices!C25</f>
        <v>1.1716541470829591</v>
      </c>
      <c r="R25" s="1">
        <f t="shared" ca="1" si="10"/>
        <v>8.6905177272746676E-3</v>
      </c>
      <c r="S25" s="9">
        <f ca="1">IF(Prices!C24&lt;OFFSET(Prices!C24,-S$3,0),1,-1)</f>
        <v>1</v>
      </c>
      <c r="T25" s="1">
        <f ca="1">IF(S25=1,T$3*Q24/Prices!C24,-T$3*R24)</f>
        <v>1.828875014568135E-4</v>
      </c>
      <c r="V25" s="1"/>
      <c r="W25" s="1"/>
      <c r="X25" s="1"/>
      <c r="Y25" s="1"/>
      <c r="Z25" s="1"/>
      <c r="AA25" s="1"/>
      <c r="AB25" s="1"/>
      <c r="AC25" s="1"/>
      <c r="AD25" s="1"/>
      <c r="AE25" s="16"/>
    </row>
    <row r="26" spans="1:31" x14ac:dyDescent="0.2">
      <c r="A26" s="4">
        <v>33542</v>
      </c>
      <c r="B26" s="9">
        <f ca="1">Prices!C25*(1+J26/(50*(ABS(O26)+ABS(T26)+0.0001)))</f>
        <v>129.51000834912602</v>
      </c>
      <c r="C26" s="21">
        <f t="shared" ca="1" si="5"/>
        <v>-1</v>
      </c>
      <c r="D26" s="9">
        <f ca="1">D25+C26*(Prices!C26-Prices!C25)/Prices!C25</f>
        <v>1.4720079004883459E-2</v>
      </c>
      <c r="E26" s="9">
        <f t="shared" ca="1" si="6"/>
        <v>0</v>
      </c>
      <c r="F26" s="9">
        <f t="shared" ca="1" si="7"/>
        <v>1.4720079004883459E-2</v>
      </c>
      <c r="G26" s="13">
        <f ca="1">IF((Prices!C26-Prices!C25)*C26&gt;0,1,0)</f>
        <v>1</v>
      </c>
      <c r="H26" s="9">
        <f>ABS(Prices!C26-Prices!C25)/Prices!C25</f>
        <v>3.6618858712238185E-3</v>
      </c>
      <c r="I26" s="13"/>
      <c r="J26" s="1">
        <f t="shared" ca="1" si="8"/>
        <v>-6.8307926306699956E-4</v>
      </c>
      <c r="K26" s="9"/>
      <c r="L26" s="9">
        <f ca="1">L25-O26*Prices!C26</f>
        <v>1.2959655582321672</v>
      </c>
      <c r="M26" s="1">
        <f t="shared" ca="1" si="9"/>
        <v>7.7566372802893892E-3</v>
      </c>
      <c r="N26" s="9">
        <f ca="1">IF(Prices!D25&gt;OFFSET(Prices!D25,-$N$3,0),1,-1)</f>
        <v>-1</v>
      </c>
      <c r="O26" s="1">
        <f ca="1">IF(N26=1,O$3*L25/Prices!C25,-O$3*M25)</f>
        <v>-8.6184858669882116E-4</v>
      </c>
      <c r="P26" s="14"/>
      <c r="Q26" s="9">
        <f ca="1">Q25-T26*Prices!C26</f>
        <v>1.1483068734166433</v>
      </c>
      <c r="R26" s="1">
        <f t="shared" ca="1" si="10"/>
        <v>8.8692870509064891E-3</v>
      </c>
      <c r="S26" s="9">
        <f ca="1">IF(Prices!C25&lt;OFFSET(Prices!C25,-S$3,0),1,-1)</f>
        <v>1</v>
      </c>
      <c r="T26" s="1">
        <f ca="1">IF(S26=1,T$3*Q25/Prices!C25,-T$3*R25)</f>
        <v>1.7876932363182163E-4</v>
      </c>
      <c r="V26" s="1"/>
      <c r="W26" s="1"/>
      <c r="X26" s="1"/>
      <c r="Y26" s="1"/>
      <c r="Z26" s="1"/>
      <c r="AA26" s="1"/>
      <c r="AB26" s="1"/>
      <c r="AC26" s="1"/>
      <c r="AD26" s="1"/>
      <c r="AE26" s="16"/>
    </row>
    <row r="27" spans="1:31" x14ac:dyDescent="0.2">
      <c r="A27" s="4">
        <v>33543</v>
      </c>
      <c r="B27" s="9">
        <f ca="1">Prices!C26*(1+J27/(50*(ABS(O27)+ABS(T27)+0.0001)))</f>
        <v>129.110043747167</v>
      </c>
      <c r="C27" s="21">
        <f t="shared" ca="1" si="5"/>
        <v>-1</v>
      </c>
      <c r="D27" s="9">
        <f ca="1">D26+C27*(Prices!C27-Prices!C26)/Prices!C26</f>
        <v>1.7017169357103849E-2</v>
      </c>
      <c r="E27" s="9">
        <f t="shared" ca="1" si="6"/>
        <v>0</v>
      </c>
      <c r="F27" s="9">
        <f t="shared" ca="1" si="7"/>
        <v>1.7017169357103849E-2</v>
      </c>
      <c r="G27" s="13">
        <f ca="1">IF((Prices!C27-Prices!C26)*C27&gt;0,1,0)</f>
        <v>1</v>
      </c>
      <c r="H27" s="9">
        <f>ABS(Prices!C27-Prices!C26)/Prices!C26</f>
        <v>2.2970903522203903E-3</v>
      </c>
      <c r="I27" s="13"/>
      <c r="J27" s="1">
        <f t="shared" ca="1" si="8"/>
        <v>-5.998127520080135E-4</v>
      </c>
      <c r="K27" s="9"/>
      <c r="L27" s="9">
        <f ca="1">L26-O27*Prices!C27</f>
        <v>1.397034541994338</v>
      </c>
      <c r="M27" s="1">
        <f t="shared" ca="1" si="9"/>
        <v>6.9809735522604506E-3</v>
      </c>
      <c r="N27" s="9">
        <f ca="1">IF(Prices!D26&gt;OFFSET(Prices!D26,-$N$3,0),1,-1)</f>
        <v>-1</v>
      </c>
      <c r="O27" s="1">
        <f ca="1">IF(N27=1,O$3*L26/Prices!C26,-O$3*M26)</f>
        <v>-7.75663728028939E-4</v>
      </c>
      <c r="P27" s="14"/>
      <c r="Q27" s="9">
        <f ca="1">Q26-T27*Prices!C27</f>
        <v>1.1253934912411168</v>
      </c>
      <c r="R27" s="1">
        <f t="shared" ca="1" si="10"/>
        <v>9.0451380269274146E-3</v>
      </c>
      <c r="S27" s="9">
        <f ca="1">IF(Prices!C26&lt;OFFSET(Prices!C26,-S$3,0),1,-1)</f>
        <v>1</v>
      </c>
      <c r="T27" s="1">
        <f ca="1">IF(S27=1,T$3*Q26/Prices!C26,-T$3*R26)</f>
        <v>1.7585097602092548E-4</v>
      </c>
      <c r="V27" s="1"/>
      <c r="W27" s="1"/>
      <c r="X27" s="1"/>
      <c r="Y27" s="1"/>
      <c r="Z27" s="1"/>
      <c r="AA27" s="1"/>
      <c r="AB27" s="1"/>
      <c r="AC27" s="1"/>
      <c r="AD27" s="1"/>
      <c r="AE27" s="16"/>
    </row>
    <row r="28" spans="1:31" x14ac:dyDescent="0.2">
      <c r="A28" s="4">
        <v>33546</v>
      </c>
      <c r="B28" s="9">
        <f ca="1">Prices!C27*(1+J28/(50*(ABS(O28)+ABS(T28)+0.0001)))</f>
        <v>128.88978854612978</v>
      </c>
      <c r="C28" s="21">
        <f t="shared" ca="1" si="5"/>
        <v>-1</v>
      </c>
      <c r="D28" s="9">
        <f ca="1">D27+C28*(Prices!C28-Prices!C27)/Prices!C27</f>
        <v>2.7761605274218244E-2</v>
      </c>
      <c r="E28" s="9">
        <f t="shared" ca="1" si="6"/>
        <v>0</v>
      </c>
      <c r="F28" s="9">
        <f t="shared" ca="1" si="7"/>
        <v>2.7761605274218244E-2</v>
      </c>
      <c r="G28" s="13">
        <f ca="1">IF((Prices!C28-Prices!C27)*C28&gt;0,1,0)</f>
        <v>1</v>
      </c>
      <c r="H28" s="9">
        <f>ABS(Prices!C28-Prices!C27)/Prices!C27</f>
        <v>1.0744435917114395E-2</v>
      </c>
      <c r="I28" s="13"/>
      <c r="J28" s="1">
        <f t="shared" ca="1" si="8"/>
        <v>-5.2535852310921986E-4</v>
      </c>
      <c r="K28" s="9"/>
      <c r="L28" s="9">
        <f ca="1">L27-O28*Prices!C28</f>
        <v>1.4870192910829751</v>
      </c>
      <c r="M28" s="1">
        <f t="shared" ca="1" si="9"/>
        <v>6.2828761970344059E-3</v>
      </c>
      <c r="N28" s="9">
        <f ca="1">IF(Prices!D27&gt;OFFSET(Prices!D27,-$N$3,0),1,-1)</f>
        <v>-1</v>
      </c>
      <c r="O28" s="1">
        <f ca="1">IF(N28=1,O$3*L27/Prices!C27,-O$3*M27)</f>
        <v>-6.9809735522604515E-4</v>
      </c>
      <c r="P28" s="14"/>
      <c r="Q28" s="9">
        <f ca="1">Q27-T28*Prices!C28</f>
        <v>1.103127455781258</v>
      </c>
      <c r="R28" s="1">
        <f t="shared" ca="1" si="10"/>
        <v>9.2178768590442401E-3</v>
      </c>
      <c r="S28" s="9">
        <f ca="1">IF(Prices!C27&lt;OFFSET(Prices!C27,-S$3,0),1,-1)</f>
        <v>1</v>
      </c>
      <c r="T28" s="1">
        <f ca="1">IF(S28=1,T$3*Q27/Prices!C27,-T$3*R27)</f>
        <v>1.7273883211682529E-4</v>
      </c>
      <c r="V28" s="1"/>
      <c r="W28" s="1"/>
      <c r="X28" s="1"/>
      <c r="Y28" s="1"/>
      <c r="Z28" s="1"/>
      <c r="AA28" s="1"/>
      <c r="AB28" s="1"/>
      <c r="AC28" s="1"/>
      <c r="AD28" s="1"/>
      <c r="AE28" s="16"/>
    </row>
    <row r="29" spans="1:31" x14ac:dyDescent="0.2">
      <c r="A29" s="4">
        <v>33547</v>
      </c>
      <c r="B29" s="9">
        <f ca="1">Prices!C28*(1+J29/(50*(ABS(O29)+ABS(T29)+0.0001)))</f>
        <v>131.29706011592333</v>
      </c>
      <c r="C29" s="21">
        <f t="shared" ca="1" si="5"/>
        <v>1</v>
      </c>
      <c r="D29" s="9">
        <f ca="1">D28+C29*(Prices!C29-Prices!C28)/Prices!C28</f>
        <v>3.4743761984846681E-2</v>
      </c>
      <c r="E29" s="9">
        <f t="shared" ca="1" si="6"/>
        <v>0</v>
      </c>
      <c r="F29" s="9">
        <f t="shared" ca="1" si="7"/>
        <v>3.4743761984846681E-2</v>
      </c>
      <c r="G29" s="13">
        <f ca="1">IF((Prices!C29-Prices!C28)*C29&gt;0,1,0)</f>
        <v>1</v>
      </c>
      <c r="H29" s="9">
        <f>ABS(Prices!C29-Prices!C28)/Prices!C28</f>
        <v>6.9821567106284378E-3</v>
      </c>
      <c r="I29" s="13"/>
      <c r="J29" s="1">
        <f t="shared" ca="1" si="8"/>
        <v>1.3247826084090198E-3</v>
      </c>
      <c r="K29" s="9"/>
      <c r="L29" s="9">
        <f ca="1">L28-O29*Prices!C29</f>
        <v>1.3372791018024708</v>
      </c>
      <c r="M29" s="1">
        <f t="shared" ca="1" si="9"/>
        <v>7.4364986105976139E-3</v>
      </c>
      <c r="N29" s="9">
        <f ca="1">IF(Prices!D28&gt;OFFSET(Prices!D28,-$N$3,0),1,-1)</f>
        <v>1</v>
      </c>
      <c r="O29" s="1">
        <f ca="1">IF(N29=1,O$3*L28/Prices!C28,-O$3*M28)</f>
        <v>1.153622413563208E-3</v>
      </c>
      <c r="P29" s="14"/>
      <c r="Q29" s="9">
        <f ca="1">Q28-T29*Prices!C29</f>
        <v>1.0809108624902717</v>
      </c>
      <c r="R29" s="1">
        <f t="shared" ca="1" si="10"/>
        <v>9.3890370538900515E-3</v>
      </c>
      <c r="S29" s="9">
        <f ca="1">IF(Prices!C28&lt;OFFSET(Prices!C28,-S$3,0),1,-1)</f>
        <v>1</v>
      </c>
      <c r="T29" s="1">
        <f ca="1">IF(S29=1,T$3*Q28/Prices!C28,-T$3*R28)</f>
        <v>1.7116019484581194E-4</v>
      </c>
      <c r="V29" s="1"/>
      <c r="W29" s="1"/>
      <c r="X29" s="1"/>
      <c r="Y29" s="1"/>
      <c r="Z29" s="1"/>
      <c r="AA29" s="1"/>
      <c r="AB29" s="1"/>
      <c r="AC29" s="1"/>
      <c r="AD29" s="1"/>
      <c r="AE29" s="16"/>
    </row>
    <row r="30" spans="1:31" x14ac:dyDescent="0.2">
      <c r="A30" s="4">
        <v>33548</v>
      </c>
      <c r="B30" s="9">
        <f ca="1">Prices!C29*(1+J30/(50*(ABS(O30)+ABS(T30)+0.0001)))</f>
        <v>132.19581669801082</v>
      </c>
      <c r="C30" s="21">
        <f t="shared" ca="1" si="5"/>
        <v>1</v>
      </c>
      <c r="D30" s="9">
        <f ca="1">D29+C30*(Prices!C30-Prices!C29)/Prices!C29</f>
        <v>3.551417800949995E-2</v>
      </c>
      <c r="E30" s="9">
        <f t="shared" ca="1" si="6"/>
        <v>0</v>
      </c>
      <c r="F30" s="9">
        <f t="shared" ca="1" si="7"/>
        <v>3.551417800949995E-2</v>
      </c>
      <c r="G30" s="13">
        <f ca="1">IF((Prices!C30-Prices!C29)*C30&gt;0,1,0)</f>
        <v>1</v>
      </c>
      <c r="H30" s="9">
        <f>ABS(Prices!C30-Prices!C29)/Prices!C29</f>
        <v>7.7041602465326891E-4</v>
      </c>
      <c r="I30" s="13"/>
      <c r="J30" s="1">
        <f t="shared" ca="1" si="8"/>
        <v>1.1968114593994799E-3</v>
      </c>
      <c r="K30" s="9"/>
      <c r="L30" s="9">
        <f ca="1">L29-O30*Prices!C30</f>
        <v>1.2034481654972775</v>
      </c>
      <c r="M30" s="1">
        <f t="shared" ca="1" si="9"/>
        <v>8.4667598600602252E-3</v>
      </c>
      <c r="N30" s="9">
        <f ca="1">IF(Prices!D29&gt;OFFSET(Prices!D29,-$N$3,0),1,-1)</f>
        <v>1</v>
      </c>
      <c r="O30" s="1">
        <f ca="1">IF(N30=1,O$3*L29/Prices!C29,-O$3*M29)</f>
        <v>1.0302612494626122E-3</v>
      </c>
      <c r="P30" s="14"/>
      <c r="Q30" s="9">
        <f ca="1">Q29-T30*Prices!C30</f>
        <v>1.0592759902194726</v>
      </c>
      <c r="R30" s="1">
        <f t="shared" ca="1" si="10"/>
        <v>9.5555872638269194E-3</v>
      </c>
      <c r="S30" s="9">
        <f ca="1">IF(Prices!C29&lt;OFFSET(Prices!C29,-S$3,0),1,-1)</f>
        <v>1</v>
      </c>
      <c r="T30" s="1">
        <f ca="1">IF(S30=1,T$3*Q29/Prices!C29,-T$3*R29)</f>
        <v>1.6655020993686776E-4</v>
      </c>
      <c r="V30" s="1"/>
      <c r="W30" s="1"/>
      <c r="X30" s="1"/>
      <c r="Y30" s="1"/>
      <c r="Z30" s="1"/>
      <c r="AA30" s="1"/>
      <c r="AB30" s="1"/>
      <c r="AC30" s="1"/>
      <c r="AD30" s="1"/>
      <c r="AE30" s="16"/>
    </row>
    <row r="31" spans="1:31" x14ac:dyDescent="0.2">
      <c r="A31" s="4">
        <v>33549</v>
      </c>
      <c r="B31" s="9">
        <f ca="1">Prices!C30*(1+J31/(50*(ABS(O31)+ABS(T31)+0.0001)))</f>
        <v>132.27959496156765</v>
      </c>
      <c r="C31" s="21">
        <f t="shared" ca="1" si="5"/>
        <v>1</v>
      </c>
      <c r="D31" s="9">
        <f ca="1">D30+C31*(Prices!C31-Prices!C30)/Prices!C30</f>
        <v>3.3974532128052549E-2</v>
      </c>
      <c r="E31" s="9">
        <f t="shared" ca="1" si="6"/>
        <v>1.5396458814474004E-3</v>
      </c>
      <c r="F31" s="9">
        <f t="shared" ca="1" si="7"/>
        <v>3.551417800949995E-2</v>
      </c>
      <c r="G31" s="13">
        <f ca="1">IF((Prices!C31-Prices!C30)*C31&gt;0,1,0)</f>
        <v>0</v>
      </c>
      <c r="H31" s="9">
        <f>ABS(Prices!C31-Prices!C30)/Prices!C30</f>
        <v>1.5396458814473984E-3</v>
      </c>
      <c r="I31" s="13"/>
      <c r="J31" s="1">
        <f t="shared" ca="1" si="8"/>
        <v>1.089532997337315E-3</v>
      </c>
      <c r="K31" s="9"/>
      <c r="L31" s="9">
        <f ca="1">L30-O31*Prices!C31</f>
        <v>1.0832886373487041</v>
      </c>
      <c r="M31" s="1">
        <f t="shared" ca="1" si="9"/>
        <v>9.3932018658318007E-3</v>
      </c>
      <c r="N31" s="9">
        <f ca="1">IF(Prices!D30&gt;OFFSET(Prices!D30,-$N$3,0),1,-1)</f>
        <v>1</v>
      </c>
      <c r="O31" s="1">
        <f ca="1">IF(N31=1,O$3*L30/Prices!C30,-O$3*M30)</f>
        <v>9.2644200577157623E-4</v>
      </c>
      <c r="P31" s="14"/>
      <c r="Q31" s="9">
        <f ca="1">Q30-T31*Prices!C31</f>
        <v>1.0381230886133963</v>
      </c>
      <c r="R31" s="1">
        <f t="shared" ca="1" si="10"/>
        <v>9.7186782553926581E-3</v>
      </c>
      <c r="S31" s="9">
        <f ca="1">IF(Prices!C30&lt;OFFSET(Prices!C30,-S$3,0),1,-1)</f>
        <v>1</v>
      </c>
      <c r="T31" s="1">
        <f ca="1">IF(S31=1,T$3*Q30/Prices!C30,-T$3*R30)</f>
        <v>1.6309099156573868E-4</v>
      </c>
      <c r="V31" s="1"/>
      <c r="W31" s="1"/>
      <c r="X31" s="1"/>
      <c r="Y31" s="1"/>
      <c r="Z31" s="1"/>
      <c r="AA31" s="1"/>
      <c r="AB31" s="1"/>
      <c r="AC31" s="1"/>
      <c r="AD31" s="1"/>
      <c r="AE31" s="16"/>
    </row>
    <row r="32" spans="1:31" x14ac:dyDescent="0.2">
      <c r="A32" s="4">
        <v>33550</v>
      </c>
      <c r="B32" s="9">
        <f ca="1">Prices!C31*(1+J32/(50*(ABS(O32)+ABS(T32)+0.0001)))</f>
        <v>128.01470243488876</v>
      </c>
      <c r="C32" s="21">
        <f t="shared" ca="1" si="5"/>
        <v>-1</v>
      </c>
      <c r="D32" s="9">
        <f ca="1">D31+C32*(Prices!C32-Prices!C31)/Prices!C31</f>
        <v>2.9194269984644649E-2</v>
      </c>
      <c r="E32" s="9">
        <f t="shared" ca="1" si="6"/>
        <v>6.3199080248553009E-3</v>
      </c>
      <c r="F32" s="9">
        <f t="shared" ca="1" si="7"/>
        <v>3.551417800949995E-2</v>
      </c>
      <c r="G32" s="13">
        <f ca="1">IF((Prices!C32-Prices!C31)*C32&gt;0,1,0)</f>
        <v>0</v>
      </c>
      <c r="H32" s="9">
        <f>ABS(Prices!C32-Prices!C31)/Prices!C31</f>
        <v>4.7802621434078997E-3</v>
      </c>
      <c r="I32" s="13"/>
      <c r="J32" s="1">
        <f t="shared" ca="1" si="8"/>
        <v>-7.7923952527039731E-4</v>
      </c>
      <c r="K32" s="9"/>
      <c r="L32" s="9">
        <f ca="1">L31-O32*Prices!C32</f>
        <v>1.2057008440642241</v>
      </c>
      <c r="M32" s="1">
        <f t="shared" ca="1" si="9"/>
        <v>8.4538816792486208E-3</v>
      </c>
      <c r="N32" s="9">
        <f ca="1">IF(Prices!D31&gt;OFFSET(Prices!D31,-$N$3,0),1,-1)</f>
        <v>-1</v>
      </c>
      <c r="O32" s="1">
        <f ca="1">IF(N32=1,O$3*L31/Prices!C31,-O$3*M31)</f>
        <v>-9.3932018658318011E-4</v>
      </c>
      <c r="P32" s="14"/>
      <c r="Q32" s="9">
        <f ca="1">Q31-T32*Prices!C32</f>
        <v>1.0172613768311145</v>
      </c>
      <c r="R32" s="1">
        <f t="shared" ca="1" si="10"/>
        <v>9.8787589167054404E-3</v>
      </c>
      <c r="S32" s="9">
        <f ca="1">IF(Prices!C31&lt;OFFSET(Prices!C31,-S$3,0),1,-1)</f>
        <v>1</v>
      </c>
      <c r="T32" s="1">
        <f ca="1">IF(S32=1,T$3*Q31/Prices!C31,-T$3*R31)</f>
        <v>1.600806613127828E-4</v>
      </c>
      <c r="V32" s="1"/>
      <c r="W32" s="1"/>
      <c r="X32" s="1"/>
      <c r="Y32" s="1"/>
      <c r="Z32" s="1"/>
      <c r="AA32" s="1"/>
      <c r="AB32" s="1"/>
      <c r="AC32" s="1"/>
      <c r="AD32" s="1"/>
      <c r="AE32" s="16"/>
    </row>
    <row r="33" spans="1:31" x14ac:dyDescent="0.2">
      <c r="A33" s="4">
        <v>33553</v>
      </c>
      <c r="B33" s="9">
        <f ca="1">Prices!C32*(1+J33/(50*(ABS(O33)+ABS(T33)+0.0001)))</f>
        <v>127.9416388088149</v>
      </c>
      <c r="C33" s="21">
        <f t="shared" ca="1" si="5"/>
        <v>-1</v>
      </c>
      <c r="D33" s="9">
        <f ca="1">D32+C33*(Prices!C33-Prices!C32)/Prices!C32</f>
        <v>3.2340371887652604E-2</v>
      </c>
      <c r="E33" s="9">
        <f t="shared" ca="1" si="6"/>
        <v>3.173806121847346E-3</v>
      </c>
      <c r="F33" s="9">
        <f t="shared" ca="1" si="7"/>
        <v>3.551417800949995E-2</v>
      </c>
      <c r="G33" s="13">
        <f ca="1">IF((Prices!C33-Prices!C32)*C33&gt;0,1,0)</f>
        <v>1</v>
      </c>
      <c r="H33" s="9">
        <f>ABS(Prices!C33-Prices!C32)/Prices!C32</f>
        <v>3.1461019030079545E-3</v>
      </c>
      <c r="I33" s="13"/>
      <c r="J33" s="1">
        <f t="shared" ca="1" si="8"/>
        <v>-1.042963346258971E-3</v>
      </c>
      <c r="K33" s="9"/>
      <c r="L33" s="9">
        <f ca="1">L32-O33*Prices!C33</f>
        <v>1.3155252209593429</v>
      </c>
      <c r="M33" s="1">
        <f t="shared" ca="1" si="9"/>
        <v>7.6084935113237585E-3</v>
      </c>
      <c r="N33" s="9">
        <f ca="1">IF(Prices!D32&gt;OFFSET(Prices!D32,-$N$3,0),1,-1)</f>
        <v>-1</v>
      </c>
      <c r="O33" s="1">
        <f ca="1">IF(N33=1,O$3*L32/Prices!C32,-O$3*M32)</f>
        <v>-8.4538816792486214E-4</v>
      </c>
      <c r="P33" s="14"/>
      <c r="Q33" s="9">
        <f ca="1">Q32-T33*Prices!C33</f>
        <v>1.0429283682484987</v>
      </c>
      <c r="R33" s="1">
        <f t="shared" ca="1" si="10"/>
        <v>9.6811837383713323E-3</v>
      </c>
      <c r="S33" s="9">
        <f ca="1">IF(Prices!C32&lt;OFFSET(Prices!C32,-S$3,0),1,-1)</f>
        <v>-1</v>
      </c>
      <c r="T33" s="1">
        <f ca="1">IF(S33=1,T$3*Q32/Prices!C32,-T$3*R32)</f>
        <v>-1.9757517833410881E-4</v>
      </c>
      <c r="V33" s="9"/>
      <c r="W33" s="1"/>
      <c r="X33" s="1"/>
      <c r="Y33" s="1"/>
      <c r="Z33" s="1"/>
      <c r="AA33" s="1"/>
      <c r="AB33" s="1"/>
      <c r="AC33" s="1"/>
      <c r="AD33" s="1"/>
      <c r="AE33" s="16"/>
    </row>
    <row r="34" spans="1:31" x14ac:dyDescent="0.2">
      <c r="A34" s="4">
        <v>33554</v>
      </c>
      <c r="B34" s="9">
        <f ca="1">Prices!C33*(1+J34/(50*(ABS(O34)+ABS(T34)+0.0001)))</f>
        <v>127.55819795767016</v>
      </c>
      <c r="C34" s="21">
        <f t="shared" ca="1" si="5"/>
        <v>-1</v>
      </c>
      <c r="D34" s="9">
        <f ca="1">D33+C34*(Prices!C34-Prices!C33)/Prices!C33</f>
        <v>3.4341757462281124E-2</v>
      </c>
      <c r="E34" s="9">
        <f t="shared" ca="1" si="6"/>
        <v>1.1724205472188262E-3</v>
      </c>
      <c r="F34" s="9">
        <f t="shared" ca="1" si="7"/>
        <v>3.551417800949995E-2</v>
      </c>
      <c r="G34" s="13">
        <f ca="1">IF((Prices!C34-Prices!C33)*C34&gt;0,1,0)</f>
        <v>1</v>
      </c>
      <c r="H34" s="9">
        <f>ABS(Prices!C34-Prices!C33)/Prices!C33</f>
        <v>2.0013855746285189E-3</v>
      </c>
      <c r="I34" s="13"/>
      <c r="J34" s="1">
        <f t="shared" ca="1" si="8"/>
        <v>-9.5447302589980244E-4</v>
      </c>
      <c r="K34" s="9"/>
      <c r="L34" s="9">
        <f ca="1">L33-O34*Prices!C34</f>
        <v>1.4141693393336554</v>
      </c>
      <c r="M34" s="1">
        <f t="shared" ca="1" si="9"/>
        <v>6.8476441601913827E-3</v>
      </c>
      <c r="N34" s="9">
        <f ca="1">IF(Prices!D33&gt;OFFSET(Prices!D33,-$N$3,0),1,-1)</f>
        <v>-1</v>
      </c>
      <c r="O34" s="1">
        <f ca="1">IF(N34=1,O$3*L33/Prices!C33,-O$3*M33)</f>
        <v>-7.6084935113237585E-4</v>
      </c>
      <c r="P34" s="14"/>
      <c r="Q34" s="9">
        <f ca="1">Q33-T34*Prices!C34</f>
        <v>1.0680316776820955</v>
      </c>
      <c r="R34" s="1">
        <f t="shared" ca="1" si="10"/>
        <v>9.4875600636039059E-3</v>
      </c>
      <c r="S34" s="9">
        <f ca="1">IF(Prices!C33&lt;OFFSET(Prices!C33,-S$3,0),1,-1)</f>
        <v>-1</v>
      </c>
      <c r="T34" s="1">
        <f ca="1">IF(S34=1,T$3*Q33/Prices!C33,-T$3*R33)</f>
        <v>-1.9362367476742664E-4</v>
      </c>
      <c r="V34" s="9"/>
      <c r="W34" s="1"/>
      <c r="X34" s="1"/>
      <c r="Y34" s="1"/>
      <c r="Z34" s="1"/>
      <c r="AA34" s="1"/>
      <c r="AB34" s="1"/>
      <c r="AC34" s="1"/>
      <c r="AD34" s="1"/>
      <c r="AE34" s="16"/>
    </row>
    <row r="35" spans="1:31" x14ac:dyDescent="0.2">
      <c r="A35" s="4">
        <v>33555</v>
      </c>
      <c r="B35" s="9">
        <f ca="1">Prices!C34*(1+J35/(50*(ABS(O35)+ABS(T35)+0.0001)))</f>
        <v>128.22993441944118</v>
      </c>
      <c r="C35" s="21">
        <f t="shared" ca="1" si="5"/>
        <v>-1</v>
      </c>
      <c r="D35" s="9">
        <f ca="1">D34+C35*(Prices!C35-Prices!C34)/Prices!C34</f>
        <v>3.071661284215001E-2</v>
      </c>
      <c r="E35" s="9">
        <f t="shared" ca="1" si="6"/>
        <v>4.7975651673499396E-3</v>
      </c>
      <c r="F35" s="9">
        <f t="shared" ca="1" si="7"/>
        <v>3.551417800949995E-2</v>
      </c>
      <c r="G35" s="13">
        <f ca="1">IF((Prices!C35-Prices!C34)*C35&gt;0,1,0)</f>
        <v>0</v>
      </c>
      <c r="H35" s="9">
        <f>ABS(Prices!C35-Prices!C34)/Prices!C34</f>
        <v>3.6251446201311134E-3</v>
      </c>
      <c r="I35" s="13"/>
      <c r="J35" s="1">
        <f t="shared" ca="1" si="8"/>
        <v>-5.2000827599876114E-4</v>
      </c>
      <c r="K35" s="9"/>
      <c r="L35" s="9">
        <f ca="1">L34-O35*Prices!C35</f>
        <v>1.5032708851460657</v>
      </c>
      <c r="M35" s="1">
        <f t="shared" ca="1" si="9"/>
        <v>6.1628797441722442E-3</v>
      </c>
      <c r="N35" s="9">
        <f ca="1">IF(Prices!D34&gt;OFFSET(Prices!D34,-$N$3,0),1,-1)</f>
        <v>-1</v>
      </c>
      <c r="O35" s="1">
        <f ca="1">IF(N35=1,O$3*L34/Prices!C34,-O$3*M34)</f>
        <v>-6.8476441601913833E-4</v>
      </c>
      <c r="P35" s="14"/>
      <c r="Q35" s="9">
        <f ca="1">Q34-T35*Prices!C35</f>
        <v>1.046593608742644</v>
      </c>
      <c r="R35" s="1">
        <f t="shared" ca="1" si="10"/>
        <v>9.6523162036242834E-3</v>
      </c>
      <c r="S35" s="9">
        <f ca="1">IF(Prices!C34&lt;OFFSET(Prices!C34,-S$3,0),1,-1)</f>
        <v>1</v>
      </c>
      <c r="T35" s="1">
        <f ca="1">IF(S35=1,T$3*Q34/Prices!C34,-T$3*R34)</f>
        <v>1.6475614002037724E-4</v>
      </c>
      <c r="V35" s="9"/>
      <c r="W35" s="1"/>
      <c r="X35" s="1"/>
      <c r="Y35" s="1"/>
      <c r="Z35" s="1"/>
      <c r="AA35" s="1"/>
      <c r="AB35" s="1"/>
      <c r="AC35" s="1"/>
      <c r="AD35" s="1"/>
      <c r="AE35" s="16"/>
    </row>
    <row r="36" spans="1:31" x14ac:dyDescent="0.2">
      <c r="A36" s="4">
        <v>33556</v>
      </c>
      <c r="B36" s="9">
        <f ca="1">Prices!C35*(1+J36/(50*(ABS(O36)+ABS(T36)+0.0001)))</f>
        <v>127.80378737952833</v>
      </c>
      <c r="C36" s="21">
        <f t="shared" ca="1" si="5"/>
        <v>-1</v>
      </c>
      <c r="D36" s="9">
        <f ca="1">D35+C36*(Prices!C36-Prices!C35)/Prices!C35</f>
        <v>3.263791625438487E-2</v>
      </c>
      <c r="E36" s="9">
        <f t="shared" ca="1" si="6"/>
        <v>2.8762617551150796E-3</v>
      </c>
      <c r="F36" s="9">
        <f t="shared" ca="1" si="7"/>
        <v>3.551417800949995E-2</v>
      </c>
      <c r="G36" s="13">
        <f ca="1">IF((Prices!C36-Prices!C35)*C36&gt;0,1,0)</f>
        <v>1</v>
      </c>
      <c r="H36" s="9">
        <f>ABS(Prices!C36-Prices!C35)/Prices!C35</f>
        <v>1.92130341223486E-3</v>
      </c>
      <c r="I36" s="13"/>
      <c r="J36" s="1">
        <f t="shared" ca="1" si="8"/>
        <v>-8.0933429848971015E-4</v>
      </c>
      <c r="K36" s="9"/>
      <c r="L36" s="9">
        <f ca="1">L35-O36*Prices!C36</f>
        <v>1.5833082043836306</v>
      </c>
      <c r="M36" s="1">
        <f t="shared" ca="1" si="9"/>
        <v>5.5465917697550202E-3</v>
      </c>
      <c r="N36" s="9">
        <f ca="1">IF(Prices!D35&gt;OFFSET(Prices!D35,-$N$3,0),1,-1)</f>
        <v>-1</v>
      </c>
      <c r="O36" s="1">
        <f ca="1">IF(N36=1,O$3*L35/Prices!C35,-O$3*M35)</f>
        <v>-6.1628797441722451E-4</v>
      </c>
      <c r="P36" s="14"/>
      <c r="Q36" s="9">
        <f ca="1">Q35-T36*Prices!C36</f>
        <v>1.0716645348499376</v>
      </c>
      <c r="R36" s="1">
        <f t="shared" ca="1" si="10"/>
        <v>9.459269879551797E-3</v>
      </c>
      <c r="S36" s="9">
        <f ca="1">IF(Prices!C35&lt;OFFSET(Prices!C35,-S$3,0),1,-1)</f>
        <v>-1</v>
      </c>
      <c r="T36" s="1">
        <f ca="1">IF(S36=1,T$3*Q35/Prices!C35,-T$3*R35)</f>
        <v>-1.9304632407248567E-4</v>
      </c>
      <c r="V36" s="9"/>
      <c r="W36" s="1"/>
      <c r="X36" s="1"/>
      <c r="Y36" s="1"/>
      <c r="Z36" s="1"/>
      <c r="AA36" s="1"/>
      <c r="AB36" s="1"/>
      <c r="AC36" s="1"/>
      <c r="AD36" s="1"/>
      <c r="AE36" s="16"/>
    </row>
    <row r="37" spans="1:31" x14ac:dyDescent="0.2">
      <c r="A37" s="4">
        <v>33557</v>
      </c>
      <c r="B37" s="9">
        <f ca="1">Prices!C36*(1+J37/(50*(ABS(O37)+ABS(T37)+0.0001)))</f>
        <v>128.63538823302278</v>
      </c>
      <c r="C37" s="21">
        <f t="shared" ca="1" si="5"/>
        <v>-1</v>
      </c>
      <c r="D37" s="9">
        <f ca="1">D36+C37*(Prices!C37-Prices!C36)/Prices!C36</f>
        <v>3.1251914868383433E-2</v>
      </c>
      <c r="E37" s="9">
        <f t="shared" ca="1" si="6"/>
        <v>4.2622631411165166E-3</v>
      </c>
      <c r="F37" s="9">
        <f t="shared" ca="1" si="7"/>
        <v>3.551417800949995E-2</v>
      </c>
      <c r="G37" s="13">
        <f ca="1">IF((Prices!C37-Prices!C36)*C37&gt;0,1,0)</f>
        <v>0</v>
      </c>
      <c r="H37" s="9">
        <f>ABS(Prices!C37-Prices!C36)/Prices!C36</f>
        <v>1.3860013860014385E-3</v>
      </c>
      <c r="I37" s="13"/>
      <c r="J37" s="1">
        <f t="shared" ca="1" si="8"/>
        <v>-3.8962267357210825E-4</v>
      </c>
      <c r="K37" s="9"/>
      <c r="L37" s="9">
        <f ca="1">L36-O37*Prices!C37</f>
        <v>1.6554416303492947</v>
      </c>
      <c r="M37" s="1">
        <f t="shared" ca="1" si="9"/>
        <v>4.9919325927795183E-3</v>
      </c>
      <c r="N37" s="9">
        <f ca="1">IF(Prices!D36&gt;OFFSET(Prices!D36,-$N$3,0),1,-1)</f>
        <v>-1</v>
      </c>
      <c r="O37" s="1">
        <f ca="1">IF(N37=1,O$3*L36/Prices!C36,-O$3*M36)</f>
        <v>-5.5465917697550206E-4</v>
      </c>
      <c r="P37" s="14"/>
      <c r="Q37" s="9">
        <f ca="1">Q36-T37*Prices!C37</f>
        <v>1.0502015375823262</v>
      </c>
      <c r="R37" s="1">
        <f t="shared" ca="1" si="10"/>
        <v>9.624306382955191E-3</v>
      </c>
      <c r="S37" s="9">
        <f ca="1">IF(Prices!C36&lt;OFFSET(Prices!C36,-S$3,0),1,-1)</f>
        <v>1</v>
      </c>
      <c r="T37" s="1">
        <f ca="1">IF(S37=1,T$3*Q36/Prices!C36,-T$3*R36)</f>
        <v>1.6503650340339381E-4</v>
      </c>
      <c r="V37" s="9"/>
      <c r="W37" s="1"/>
      <c r="X37" s="1"/>
      <c r="Y37" s="1"/>
      <c r="Z37" s="1"/>
      <c r="AA37" s="1"/>
      <c r="AB37" s="1"/>
      <c r="AC37" s="1"/>
      <c r="AD37" s="1"/>
      <c r="AE37" s="16"/>
    </row>
    <row r="38" spans="1:31" x14ac:dyDescent="0.2">
      <c r="A38" s="4">
        <v>33560</v>
      </c>
      <c r="B38" s="9">
        <f ca="1">Prices!C37*(1+J38/(50*(ABS(O38)+ABS(T38)+0.0001)))</f>
        <v>127.77754208950206</v>
      </c>
      <c r="C38" s="21">
        <f t="shared" ca="1" si="5"/>
        <v>-1</v>
      </c>
      <c r="D38" s="9">
        <f ca="1">D37+C38*(Prices!C38-Prices!C37)/Prices!C37</f>
        <v>3.7018927555811348E-2</v>
      </c>
      <c r="E38" s="9">
        <f t="shared" ca="1" si="6"/>
        <v>0</v>
      </c>
      <c r="F38" s="9">
        <f t="shared" ca="1" si="7"/>
        <v>3.7018927555811348E-2</v>
      </c>
      <c r="G38" s="13">
        <f ca="1">IF((Prices!C38-Prices!C37)*C38&gt;0,1,0)</f>
        <v>1</v>
      </c>
      <c r="H38" s="9">
        <f>ABS(Prices!C38-Prices!C37)/Prices!C37</f>
        <v>5.7670126874279116E-3</v>
      </c>
      <c r="I38" s="13"/>
      <c r="J38" s="1">
        <f t="shared" ca="1" si="8"/>
        <v>-6.916793869370557E-4</v>
      </c>
      <c r="K38" s="9"/>
      <c r="L38" s="9">
        <f ca="1">L37-O38*Prices!C38</f>
        <v>1.7199873187739338</v>
      </c>
      <c r="M38" s="1">
        <f t="shared" ca="1" si="9"/>
        <v>4.4927393335015666E-3</v>
      </c>
      <c r="N38" s="9">
        <f ca="1">IF(Prices!D37&gt;OFFSET(Prices!D37,-$N$3,0),1,-1)</f>
        <v>-1</v>
      </c>
      <c r="O38" s="1">
        <f ca="1">IF(N38=1,O$3*L37/Prices!C37,-O$3*M37)</f>
        <v>-4.9919325927795185E-4</v>
      </c>
      <c r="P38" s="14"/>
      <c r="Q38" s="9">
        <f ca="1">Q37-T38*Prices!C38</f>
        <v>1.0750899938886482</v>
      </c>
      <c r="R38" s="1">
        <f t="shared" ca="1" si="10"/>
        <v>9.4318202552960868E-3</v>
      </c>
      <c r="S38" s="9">
        <f ca="1">IF(Prices!C37&lt;OFFSET(Prices!C37,-S$3,0),1,-1)</f>
        <v>-1</v>
      </c>
      <c r="T38" s="1">
        <f ca="1">IF(S38=1,T$3*Q37/Prices!C37,-T$3*R37)</f>
        <v>-1.9248612765910381E-4</v>
      </c>
      <c r="V38" s="9"/>
      <c r="W38" s="1"/>
      <c r="X38" s="1"/>
      <c r="Y38" s="1"/>
      <c r="Z38" s="1"/>
      <c r="AA38" s="1"/>
      <c r="AB38" s="1"/>
      <c r="AC38" s="1"/>
      <c r="AD38" s="1"/>
      <c r="AE38" s="16"/>
    </row>
    <row r="39" spans="1:31" x14ac:dyDescent="0.2">
      <c r="A39" s="4">
        <v>33561</v>
      </c>
      <c r="B39" s="9">
        <f ca="1">Prices!C38*(1+J39/(50*(ABS(O39)+ABS(T39)+0.0001)))</f>
        <v>128.27733468303987</v>
      </c>
      <c r="C39" s="21">
        <f t="shared" ca="1" si="5"/>
        <v>-1</v>
      </c>
      <c r="D39" s="9">
        <f ca="1">D38+C39*(Prices!C39-Prices!C38)/Prices!C38</f>
        <v>3.1991858723638286E-2</v>
      </c>
      <c r="E39" s="9">
        <f t="shared" ca="1" si="6"/>
        <v>5.0270688321730622E-3</v>
      </c>
      <c r="F39" s="9">
        <f t="shared" ca="1" si="7"/>
        <v>3.7018927555811348E-2</v>
      </c>
      <c r="G39" s="13">
        <f ca="1">IF((Prices!C39-Prices!C38)*C39&gt;0,1,0)</f>
        <v>0</v>
      </c>
      <c r="H39" s="9">
        <f>ABS(Prices!C39-Prices!C38)/Prices!C38</f>
        <v>5.027068832173064E-3</v>
      </c>
      <c r="I39" s="13"/>
      <c r="J39" s="1">
        <f t="shared" ca="1" si="8"/>
        <v>-2.8298004411757386E-4</v>
      </c>
      <c r="K39" s="9"/>
      <c r="L39" s="9">
        <f ca="1">L38-O39*Prices!C39</f>
        <v>1.7783704664127866</v>
      </c>
      <c r="M39" s="1">
        <f t="shared" ca="1" si="9"/>
        <v>4.0434654001514098E-3</v>
      </c>
      <c r="N39" s="9">
        <f ca="1">IF(Prices!D38&gt;OFFSET(Prices!D38,-$N$3,0),1,-1)</f>
        <v>-1</v>
      </c>
      <c r="O39" s="1">
        <f ca="1">IF(N39=1,O$3*L38/Prices!C38,-O$3*M38)</f>
        <v>-4.4927393335015669E-4</v>
      </c>
      <c r="P39" s="14"/>
      <c r="Q39" s="9">
        <f ca="1">Q38-T39*Prices!C39</f>
        <v>1.0534801029828742</v>
      </c>
      <c r="R39" s="1">
        <f t="shared" ca="1" si="10"/>
        <v>9.5981141445286699E-3</v>
      </c>
      <c r="S39" s="9">
        <f ca="1">IF(Prices!C38&lt;OFFSET(Prices!C38,-S$3,0),1,-1)</f>
        <v>1</v>
      </c>
      <c r="T39" s="1">
        <f ca="1">IF(S39=1,T$3*Q38/Prices!C38,-T$3*R38)</f>
        <v>1.6629388923258283E-4</v>
      </c>
      <c r="V39" s="9"/>
      <c r="W39" s="1"/>
      <c r="X39" s="1"/>
      <c r="Y39" s="1"/>
      <c r="Z39" s="1"/>
      <c r="AA39" s="1"/>
      <c r="AB39" s="1"/>
      <c r="AC39" s="1"/>
      <c r="AD39" s="1"/>
      <c r="AE39" s="16"/>
    </row>
    <row r="40" spans="1:31" x14ac:dyDescent="0.2">
      <c r="A40" s="4">
        <v>33562</v>
      </c>
      <c r="B40" s="9">
        <f ca="1">Prices!C39*(1+J40/(50*(ABS(O40)+ABS(T40)+0.0001)))</f>
        <v>132.38961471344348</v>
      </c>
      <c r="C40" s="21">
        <f t="shared" ca="1" si="5"/>
        <v>1</v>
      </c>
      <c r="D40" s="9">
        <f ca="1">D39+C40*(Prices!C40-Prices!C39)/Prices!C39</f>
        <v>3.06067105897408E-2</v>
      </c>
      <c r="E40" s="9">
        <f t="shared" ca="1" si="6"/>
        <v>6.4122169660705483E-3</v>
      </c>
      <c r="F40" s="9">
        <f t="shared" ca="1" si="7"/>
        <v>3.7018927555811348E-2</v>
      </c>
      <c r="G40" s="13">
        <f ca="1">IF((Prices!C40-Prices!C39)*C40&gt;0,1,0)</f>
        <v>0</v>
      </c>
      <c r="H40" s="9">
        <f>ABS(Prices!C40-Prices!C39)/Prices!C39</f>
        <v>1.3851481338974867E-3</v>
      </c>
      <c r="I40" s="13"/>
      <c r="J40" s="1">
        <f t="shared" ca="1" si="8"/>
        <v>1.530639851488543E-3</v>
      </c>
      <c r="K40" s="9"/>
      <c r="L40" s="9">
        <f ca="1">L39-O40*Prices!C40</f>
        <v>1.6007797504248009</v>
      </c>
      <c r="M40" s="1">
        <f t="shared" ca="1" si="9"/>
        <v>5.4119690295571709E-3</v>
      </c>
      <c r="N40" s="9">
        <f ca="1">IF(Prices!D39&gt;OFFSET(Prices!D39,-$N$3,0),1,-1)</f>
        <v>1</v>
      </c>
      <c r="O40" s="1">
        <f ca="1">IF(N40=1,O$3*L39/Prices!C39,-O$3*M39)</f>
        <v>1.3685036294057613E-3</v>
      </c>
      <c r="P40" s="14"/>
      <c r="Q40" s="9">
        <f ca="1">Q39-T40*Prices!C40</f>
        <v>1.0324396854431916</v>
      </c>
      <c r="R40" s="1">
        <f t="shared" ca="1" si="10"/>
        <v>9.7602503666114511E-3</v>
      </c>
      <c r="S40" s="9">
        <f ca="1">IF(Prices!C39&lt;OFFSET(Prices!C39,-S$3,0),1,-1)</f>
        <v>1</v>
      </c>
      <c r="T40" s="1">
        <f ca="1">IF(S40=1,T$3*Q39/Prices!C39,-T$3*R39)</f>
        <v>1.6213622208278172E-4</v>
      </c>
      <c r="V40" s="9"/>
      <c r="W40" s="1"/>
      <c r="X40" s="1"/>
      <c r="Y40" s="1"/>
      <c r="Z40" s="1"/>
      <c r="AA40" s="1"/>
      <c r="AB40" s="1"/>
      <c r="AC40" s="1"/>
      <c r="AD40" s="1"/>
      <c r="AE40" s="16"/>
    </row>
    <row r="41" spans="1:31" x14ac:dyDescent="0.2">
      <c r="A41" s="4">
        <v>33563</v>
      </c>
      <c r="B41" s="9">
        <f ca="1">Prices!C40*(1+J41/(50*(ABS(O41)+ABS(T41)+0.0001)))</f>
        <v>132.19152364221353</v>
      </c>
      <c r="C41" s="21">
        <f t="shared" ca="1" si="5"/>
        <v>1</v>
      </c>
      <c r="D41" s="9">
        <f ca="1">D40+C41*(Prices!C41-Prices!C40)/Prices!C40</f>
        <v>2.9450819397631639E-2</v>
      </c>
      <c r="E41" s="9">
        <f t="shared" ca="1" si="6"/>
        <v>7.5681081581797094E-3</v>
      </c>
      <c r="F41" s="9">
        <f t="shared" ca="1" si="7"/>
        <v>3.7018927555811348E-2</v>
      </c>
      <c r="G41" s="13">
        <f ca="1">IF((Prices!C41-Prices!C40)*C41&gt;0,1,0)</f>
        <v>0</v>
      </c>
      <c r="H41" s="9">
        <f>ABS(Prices!C41-Prices!C40)/Prices!C40</f>
        <v>1.1558911921091598E-3</v>
      </c>
      <c r="I41" s="13"/>
      <c r="J41" s="1">
        <f t="shared" ca="1" si="8"/>
        <v>1.3926698678534632E-3</v>
      </c>
      <c r="K41" s="9"/>
      <c r="L41" s="9">
        <f ca="1">L40-O41*Prices!C41</f>
        <v>1.4408868081037232</v>
      </c>
      <c r="M41" s="1">
        <f t="shared" ca="1" si="9"/>
        <v>6.6455205055722753E-3</v>
      </c>
      <c r="N41" s="9">
        <f ca="1">IF(Prices!D40&gt;OFFSET(Prices!D40,-$N$3,0),1,-1)</f>
        <v>1</v>
      </c>
      <c r="O41" s="1">
        <f ca="1">IF(N41=1,O$3*L40/Prices!C40,-O$3*M40)</f>
        <v>1.2335514760151043E-3</v>
      </c>
      <c r="P41" s="14"/>
      <c r="Q41" s="9">
        <f ca="1">Q40-T41*Prices!C41</f>
        <v>1.0118147594931035</v>
      </c>
      <c r="R41" s="1">
        <f t="shared" ca="1" si="10"/>
        <v>9.9193687584498095E-3</v>
      </c>
      <c r="S41" s="9">
        <f ca="1">IF(Prices!C40&lt;OFFSET(Prices!C40,-S$3,0),1,-1)</f>
        <v>1</v>
      </c>
      <c r="T41" s="1">
        <f ca="1">IF(S41=1,T$3*Q40/Prices!C40,-T$3*R40)</f>
        <v>1.5911839183835888E-4</v>
      </c>
      <c r="V41" s="9"/>
      <c r="W41" s="1"/>
      <c r="X41" s="1"/>
      <c r="Y41" s="1"/>
      <c r="Z41" s="1"/>
      <c r="AA41" s="1"/>
      <c r="AB41" s="1"/>
      <c r="AC41" s="1"/>
      <c r="AD41" s="1"/>
      <c r="AE41" s="16"/>
    </row>
    <row r="42" spans="1:31" x14ac:dyDescent="0.2">
      <c r="A42" s="4">
        <v>33564</v>
      </c>
      <c r="B42" s="9">
        <f ca="1">Prices!C41*(1+J42/(50*(ABS(O42)+ABS(T42)+0.0001)))</f>
        <v>132.02286160548221</v>
      </c>
      <c r="C42" s="21">
        <f t="shared" ca="1" si="5"/>
        <v>1</v>
      </c>
      <c r="D42" s="9">
        <f ca="1">D41+C42*(Prices!C42-Prices!C41)/Prices!C41</f>
        <v>2.8756482104004086E-2</v>
      </c>
      <c r="E42" s="9">
        <f t="shared" ca="1" si="6"/>
        <v>8.2624454518072619E-3</v>
      </c>
      <c r="F42" s="9">
        <f t="shared" ca="1" si="7"/>
        <v>3.7018927555811348E-2</v>
      </c>
      <c r="G42" s="13">
        <f ca="1">IF((Prices!C42-Prices!C41)*C42&gt;0,1,0)</f>
        <v>0</v>
      </c>
      <c r="H42" s="9">
        <f>ABS(Prices!C42-Prices!C41)/Prices!C41</f>
        <v>6.9433729362755289E-4</v>
      </c>
      <c r="I42" s="13"/>
      <c r="J42" s="1">
        <f t="shared" ca="1" si="8"/>
        <v>1.2677439901267891E-3</v>
      </c>
      <c r="K42" s="9"/>
      <c r="L42" s="9">
        <f ca="1">L41-O42*Prices!C42</f>
        <v>1.2968981734380272</v>
      </c>
      <c r="M42" s="1">
        <f t="shared" ca="1" si="9"/>
        <v>7.757144335308214E-3</v>
      </c>
      <c r="N42" s="9">
        <f ca="1">IF(Prices!D41&gt;OFFSET(Prices!D41,-$N$3,0),1,-1)</f>
        <v>1</v>
      </c>
      <c r="O42" s="1">
        <f ca="1">IF(N42=1,O$3*L41/Prices!C41,-O$3*M41)</f>
        <v>1.1116238297359383E-3</v>
      </c>
      <c r="P42" s="14"/>
      <c r="Q42" s="9">
        <f ca="1">Q41-T42*Prices!C42</f>
        <v>0.99159251511767665</v>
      </c>
      <c r="R42" s="1">
        <f t="shared" ca="1" si="10"/>
        <v>1.007548891884066E-2</v>
      </c>
      <c r="S42" s="9">
        <f ca="1">IF(Prices!C41&lt;OFFSET(Prices!C41,-S$3,0),1,-1)</f>
        <v>1</v>
      </c>
      <c r="T42" s="1">
        <f ca="1">IF(S42=1,T$3*Q41/Prices!C41,-T$3*R41)</f>
        <v>1.5612016039085074E-4</v>
      </c>
      <c r="V42" s="9"/>
      <c r="W42" s="1"/>
      <c r="X42" s="1"/>
      <c r="Y42" s="1"/>
      <c r="Z42" s="1"/>
      <c r="AA42" s="1"/>
      <c r="AB42" s="1"/>
      <c r="AC42" s="1"/>
      <c r="AD42" s="1"/>
      <c r="AE42" s="16"/>
    </row>
    <row r="43" spans="1:31" x14ac:dyDescent="0.2">
      <c r="A43" s="4">
        <v>33567</v>
      </c>
      <c r="B43" s="9">
        <f ca="1">Prices!C42*(1+J43/(50*(ABS(O43)+ABS(T43)+0.0001)))</f>
        <v>131.12030918267155</v>
      </c>
      <c r="C43" s="21">
        <f t="shared" ca="1" si="5"/>
        <v>1</v>
      </c>
      <c r="D43" s="9">
        <f ca="1">D42+C43*(Prices!C43-Prices!C42)/Prices!C42</f>
        <v>1.5168896216564844E-2</v>
      </c>
      <c r="E43" s="9">
        <f t="shared" ca="1" si="6"/>
        <v>2.1850031339246505E-2</v>
      </c>
      <c r="F43" s="9">
        <f t="shared" ca="1" si="7"/>
        <v>3.7018927555811348E-2</v>
      </c>
      <c r="G43" s="13">
        <f ca="1">IF((Prices!C43-Prices!C42)*C43&gt;0,1,0)</f>
        <v>0</v>
      </c>
      <c r="H43" s="9">
        <f>ABS(Prices!C43-Prices!C42)/Prices!C42</f>
        <v>1.3587585887439243E-2</v>
      </c>
      <c r="I43" s="13"/>
      <c r="J43" s="1">
        <f t="shared" ca="1" si="8"/>
        <v>7.9972404655797203E-4</v>
      </c>
      <c r="K43" s="9"/>
      <c r="L43" s="9">
        <f ca="1">L42-O43*Prices!C43</f>
        <v>1.1689705276261098</v>
      </c>
      <c r="M43" s="1">
        <f t="shared" ca="1" si="9"/>
        <v>8.7583781602430001E-3</v>
      </c>
      <c r="N43" s="9">
        <f ca="1">IF(Prices!D42&gt;OFFSET(Prices!D42,-$N$3,0),1,-1)</f>
        <v>1</v>
      </c>
      <c r="O43" s="1">
        <f ca="1">IF(N43=1,O$3*L42/Prices!C42,-O$3*M42)</f>
        <v>1.0012338249347852E-3</v>
      </c>
      <c r="P43" s="14"/>
      <c r="Q43" s="9">
        <f ca="1">Q42-T43*Prices!C43</f>
        <v>1.017339419500882</v>
      </c>
      <c r="R43" s="1">
        <f t="shared" ca="1" si="10"/>
        <v>9.8739791404638469E-3</v>
      </c>
      <c r="S43" s="9">
        <f ca="1">IF(Prices!C42&lt;OFFSET(Prices!C42,-S$3,0),1,-1)</f>
        <v>-1</v>
      </c>
      <c r="T43" s="1">
        <f ca="1">IF(S43=1,T$3*Q42/Prices!C42,-T$3*R42)</f>
        <v>-2.015097783768132E-4</v>
      </c>
      <c r="V43" s="9"/>
      <c r="W43" s="1"/>
      <c r="X43" s="1"/>
      <c r="Y43" s="1"/>
      <c r="Z43" s="1"/>
      <c r="AA43" s="1"/>
      <c r="AB43" s="1"/>
      <c r="AC43" s="1"/>
      <c r="AD43" s="1"/>
      <c r="AE43" s="16"/>
    </row>
    <row r="44" spans="1:31" x14ac:dyDescent="0.2">
      <c r="A44" s="4">
        <v>33568</v>
      </c>
      <c r="B44" s="9">
        <f ca="1">Prices!C43*(1+J44/(50*(ABS(O44)+ABS(T44)+0.0001)))</f>
        <v>130.10776126694702</v>
      </c>
      <c r="C44" s="21">
        <f t="shared" ca="1" si="5"/>
        <v>1</v>
      </c>
      <c r="D44" s="9">
        <f ca="1">D43+C44*(Prices!C44-Prices!C43)/Prices!C43</f>
        <v>1.7751662124054851E-2</v>
      </c>
      <c r="E44" s="9">
        <f t="shared" ca="1" si="6"/>
        <v>1.9267265431756497E-2</v>
      </c>
      <c r="F44" s="9">
        <f t="shared" ca="1" si="7"/>
        <v>3.7018927555811348E-2</v>
      </c>
      <c r="G44" s="13">
        <f ca="1">IF((Prices!C44-Prices!C43)*C44&gt;0,1,0)</f>
        <v>1</v>
      </c>
      <c r="H44" s="9">
        <f>ABS(Prices!C44-Prices!C43)/Prices!C43</f>
        <v>2.5827659074900079E-3</v>
      </c>
      <c r="I44" s="13"/>
      <c r="J44" s="1">
        <f t="shared" ca="1" si="8"/>
        <v>1.0741476180060156E-3</v>
      </c>
      <c r="K44" s="9"/>
      <c r="L44" s="9">
        <f ca="1">L43-O44*Prices!C44</f>
        <v>1.0517715571409374</v>
      </c>
      <c r="M44" s="1">
        <f t="shared" ca="1" si="9"/>
        <v>9.6732803498228003E-3</v>
      </c>
      <c r="N44" s="9">
        <f ca="1">IF(Prices!D43&gt;OFFSET(Prices!D43,-$N$3,0),1,-1)</f>
        <v>1</v>
      </c>
      <c r="O44" s="1">
        <f ca="1">IF(N44=1,O$3*L43/Prices!C43,-O$3*M43)</f>
        <v>9.1490218957979944E-4</v>
      </c>
      <c r="P44" s="14"/>
      <c r="Q44" s="9">
        <f ca="1">Q43-T44*Prices!C44</f>
        <v>0.99694008011948376</v>
      </c>
      <c r="R44" s="1">
        <f t="shared" ca="1" si="10"/>
        <v>1.0033224568890064E-2</v>
      </c>
      <c r="S44" s="9">
        <f ca="1">IF(Prices!C43&lt;OFFSET(Prices!C43,-S$3,0),1,-1)</f>
        <v>1</v>
      </c>
      <c r="T44" s="1">
        <f ca="1">IF(S44=1,T$3*Q43/Prices!C43,-T$3*R43)</f>
        <v>1.5924542842621619E-4</v>
      </c>
      <c r="V44" s="9"/>
      <c r="W44" s="1"/>
      <c r="X44" s="1"/>
      <c r="Y44" s="1"/>
      <c r="Z44" s="1"/>
      <c r="AA44" s="1"/>
      <c r="AB44" s="1"/>
      <c r="AC44" s="1"/>
      <c r="AD44" s="1"/>
      <c r="AE44" s="16"/>
    </row>
    <row r="45" spans="1:31" x14ac:dyDescent="0.2">
      <c r="A45" s="4">
        <v>33569</v>
      </c>
      <c r="B45" s="9">
        <f ca="1">Prices!C44*(1+J45/(50*(ABS(O45)+ABS(T45)+0.0001)))</f>
        <v>126.39962775434917</v>
      </c>
      <c r="C45" s="21">
        <f t="shared" ca="1" si="5"/>
        <v>-1</v>
      </c>
      <c r="D45" s="9">
        <f ca="1">D44+C45*(Prices!C45-Prices!C44)/Prices!C44</f>
        <v>7.3370740118204256E-4</v>
      </c>
      <c r="E45" s="9">
        <f t="shared" ca="1" si="6"/>
        <v>3.6285220154629302E-2</v>
      </c>
      <c r="F45" s="9">
        <f t="shared" ca="1" si="7"/>
        <v>3.7018927555811348E-2</v>
      </c>
      <c r="G45" s="13">
        <f ca="1">IF((Prices!C45-Prices!C44)*C45&gt;0,1,0)</f>
        <v>0</v>
      </c>
      <c r="H45" s="9">
        <f>ABS(Prices!C45-Prices!C44)/Prices!C44</f>
        <v>1.7017954722872809E-2</v>
      </c>
      <c r="I45" s="13"/>
      <c r="J45" s="1">
        <f t="shared" ca="1" si="8"/>
        <v>-8.1167774924933956E-4</v>
      </c>
      <c r="K45" s="9"/>
      <c r="L45" s="9">
        <f ca="1">L44-O45*Prices!C45</f>
        <v>1.1777950535384289</v>
      </c>
      <c r="M45" s="1">
        <f t="shared" ca="1" si="9"/>
        <v>8.7059523148405212E-3</v>
      </c>
      <c r="N45" s="9">
        <f ca="1">IF(Prices!D44&gt;OFFSET(Prices!D44,-$N$3,0),1,-1)</f>
        <v>-1</v>
      </c>
      <c r="O45" s="1">
        <f ca="1">IF(N45=1,O$3*L44/Prices!C44,-O$3*M44)</f>
        <v>-9.6732803498228003E-4</v>
      </c>
      <c r="P45" s="14"/>
      <c r="Q45" s="9">
        <f ca="1">Q44-T45*Prices!C45</f>
        <v>0.97666196089419632</v>
      </c>
      <c r="R45" s="1">
        <f t="shared" ca="1" si="10"/>
        <v>1.0188874854623005E-2</v>
      </c>
      <c r="S45" s="9">
        <f ca="1">IF(Prices!C44&lt;OFFSET(Prices!C44,-S$3,0),1,-1)</f>
        <v>1</v>
      </c>
      <c r="T45" s="1">
        <f ca="1">IF(S45=1,T$3*Q44/Prices!C44,-T$3*R44)</f>
        <v>1.556502857329405E-4</v>
      </c>
      <c r="V45" s="9"/>
      <c r="W45" s="1"/>
      <c r="X45" s="1"/>
      <c r="Y45" s="1"/>
      <c r="Z45" s="1"/>
      <c r="AA45" s="1"/>
      <c r="AB45" s="1"/>
      <c r="AC45" s="1"/>
      <c r="AD45" s="1"/>
      <c r="AE45" s="16"/>
    </row>
    <row r="46" spans="1:31" x14ac:dyDescent="0.2">
      <c r="A46" s="4">
        <v>33570</v>
      </c>
      <c r="B46" s="9">
        <f ca="1">Prices!C45*(1+J46/(50*(ABS(O46)+ABS(T46)+0.0001)))</f>
        <v>127.89627163722359</v>
      </c>
      <c r="C46" s="21">
        <f t="shared" ca="1" si="5"/>
        <v>-1</v>
      </c>
      <c r="D46" s="9">
        <f ca="1">D45+C46*(Prices!C46-Prices!C45)/Prices!C45</f>
        <v>3.6505019974362291E-3</v>
      </c>
      <c r="E46" s="9">
        <f t="shared" ca="1" si="6"/>
        <v>3.3368425558375117E-2</v>
      </c>
      <c r="F46" s="9">
        <f t="shared" ca="1" si="7"/>
        <v>3.7018927555811348E-2</v>
      </c>
      <c r="G46" s="13">
        <f ca="1">IF((Prices!C46-Prices!C45)*C46&gt;0,1,0)</f>
        <v>1</v>
      </c>
      <c r="H46" s="9">
        <f>ABS(Prices!C46-Prices!C45)/Prices!C45</f>
        <v>2.9167945962541865E-3</v>
      </c>
      <c r="I46" s="13"/>
      <c r="J46" s="1">
        <f t="shared" ca="1" si="8"/>
        <v>-1.0743727285765121E-3</v>
      </c>
      <c r="K46" s="9"/>
      <c r="L46" s="9">
        <f ca="1">L45-O46*Prices!C46</f>
        <v>1.2908853741082074</v>
      </c>
      <c r="M46" s="1">
        <f t="shared" ca="1" si="9"/>
        <v>7.8353570833564687E-3</v>
      </c>
      <c r="N46" s="9">
        <f ca="1">IF(Prices!D45&gt;OFFSET(Prices!D45,-$N$3,0),1,-1)</f>
        <v>-1</v>
      </c>
      <c r="O46" s="1">
        <f ca="1">IF(N46=1,O$3*L45/Prices!C45,-O$3*M45)</f>
        <v>-8.7059523148405214E-4</v>
      </c>
      <c r="P46" s="14"/>
      <c r="Q46" s="9">
        <f ca="1">Q45-T46*Prices!C46</f>
        <v>1.003132657766507</v>
      </c>
      <c r="R46" s="1">
        <f t="shared" ca="1" si="10"/>
        <v>9.9850973575305452E-3</v>
      </c>
      <c r="S46" s="9">
        <f ca="1">IF(Prices!C45&lt;OFFSET(Prices!C45,-S$3,0),1,-1)</f>
        <v>-1</v>
      </c>
      <c r="T46" s="1">
        <f ca="1">IF(S46=1,T$3*Q45/Prices!C45,-T$3*R45)</f>
        <v>-2.0377749709246011E-4</v>
      </c>
      <c r="V46" s="9"/>
      <c r="W46" s="1"/>
      <c r="X46" s="1"/>
      <c r="Y46" s="1"/>
      <c r="Z46" s="1"/>
      <c r="AA46" s="1"/>
      <c r="AB46" s="1"/>
      <c r="AC46" s="1"/>
      <c r="AD46" s="1"/>
      <c r="AE46" s="16"/>
    </row>
    <row r="47" spans="1:31" x14ac:dyDescent="0.2">
      <c r="A47" s="4">
        <v>33571</v>
      </c>
      <c r="B47" s="9">
        <f ca="1">Prices!C46*(1+J47/(50*(ABS(O47)+ABS(T47)+0.0001)))</f>
        <v>127.54183656650432</v>
      </c>
      <c r="C47" s="21">
        <f t="shared" ca="1" si="5"/>
        <v>-1</v>
      </c>
      <c r="D47" s="9">
        <f ca="1">D46+C47*(Prices!C47-Prices!C46)/Prices!C46</f>
        <v>2.2648207041336362E-3</v>
      </c>
      <c r="E47" s="9">
        <f t="shared" ca="1" si="6"/>
        <v>3.4754106851677714E-2</v>
      </c>
      <c r="F47" s="9">
        <f t="shared" ca="1" si="7"/>
        <v>3.7018927555811348E-2</v>
      </c>
      <c r="G47" s="13">
        <f ca="1">IF((Prices!C47-Prices!C46)*C47&gt;0,1,0)</f>
        <v>0</v>
      </c>
      <c r="H47" s="9">
        <f>ABS(Prices!C47-Prices!C46)/Prices!C46</f>
        <v>1.3856812933025929E-3</v>
      </c>
      <c r="I47" s="13"/>
      <c r="J47" s="1">
        <f t="shared" ca="1" si="8"/>
        <v>-9.8323765548625781E-4</v>
      </c>
      <c r="K47" s="9"/>
      <c r="L47" s="9">
        <f ca="1">L46-O47*Prices!C47</f>
        <v>1.3928076990485083</v>
      </c>
      <c r="M47" s="1">
        <f t="shared" ca="1" si="9"/>
        <v>7.0518213750208215E-3</v>
      </c>
      <c r="N47" s="9">
        <f ca="1">IF(Prices!D46&gt;OFFSET(Prices!D46,-$N$3,0),1,-1)</f>
        <v>-1</v>
      </c>
      <c r="O47" s="1">
        <f ca="1">IF(N47=1,O$3*L46/Prices!C46,-O$3*M46)</f>
        <v>-7.8353570833564689E-4</v>
      </c>
      <c r="P47" s="14"/>
      <c r="Q47" s="9">
        <f ca="1">Q46-T47*Prices!C47</f>
        <v>1.0291098870518585</v>
      </c>
      <c r="R47" s="1">
        <f t="shared" ca="1" si="10"/>
        <v>9.7853954103799337E-3</v>
      </c>
      <c r="S47" s="9">
        <f ca="1">IF(Prices!C46&lt;OFFSET(Prices!C46,-S$3,0),1,-1)</f>
        <v>-1</v>
      </c>
      <c r="T47" s="1">
        <f ca="1">IF(S47=1,T$3*Q46/Prices!C46,-T$3*R46)</f>
        <v>-1.9970194715061092E-4</v>
      </c>
      <c r="V47" s="9"/>
      <c r="W47" s="1"/>
      <c r="X47" s="1"/>
      <c r="Y47" s="1"/>
      <c r="Z47" s="1"/>
      <c r="AA47" s="1"/>
      <c r="AB47" s="1"/>
      <c r="AC47" s="1"/>
      <c r="AD47" s="1"/>
      <c r="AE47" s="16"/>
    </row>
    <row r="48" spans="1:31" x14ac:dyDescent="0.2">
      <c r="A48" s="4">
        <v>33574</v>
      </c>
      <c r="B48" s="9">
        <f ca="1">Prices!C47*(1+J48/(50*(ABS(O48)+ABS(T48)+0.0001)))</f>
        <v>127.73832865161882</v>
      </c>
      <c r="C48" s="21">
        <f t="shared" ca="1" si="5"/>
        <v>-1</v>
      </c>
      <c r="D48" s="9">
        <f ca="1">D47+C48*(Prices!C48-Prices!C47)/Prices!C47</f>
        <v>3.2642056979837581E-3</v>
      </c>
      <c r="E48" s="9">
        <f t="shared" ca="1" si="6"/>
        <v>3.3754721857827588E-2</v>
      </c>
      <c r="F48" s="9">
        <f t="shared" ca="1" si="7"/>
        <v>3.7018927555811348E-2</v>
      </c>
      <c r="G48" s="13">
        <f ca="1">IF((Prices!C48-Prices!C47)*C48&gt;0,1,0)</f>
        <v>1</v>
      </c>
      <c r="H48" s="9">
        <f>ABS(Prices!C48-Prices!C47)/Prices!C47</f>
        <v>9.9938499385012185E-4</v>
      </c>
      <c r="I48" s="13"/>
      <c r="J48" s="1">
        <f t="shared" ca="1" si="8"/>
        <v>-9.0089004570968083E-4</v>
      </c>
      <c r="K48" s="9"/>
      <c r="L48" s="9">
        <f ca="1">L47-O48*Prices!C48</f>
        <v>1.4844461178169039</v>
      </c>
      <c r="M48" s="1">
        <f t="shared" ca="1" si="9"/>
        <v>6.3466392375187393E-3</v>
      </c>
      <c r="N48" s="9">
        <f ca="1">IF(Prices!D47&gt;OFFSET(Prices!D47,-$N$3,0),1,-1)</f>
        <v>-1</v>
      </c>
      <c r="O48" s="1">
        <f ca="1">IF(N48=1,O$3*L47/Prices!C47,-O$3*M47)</f>
        <v>-7.0518213750208215E-4</v>
      </c>
      <c r="P48" s="14"/>
      <c r="Q48" s="9">
        <f ca="1">Q47-T48*Prices!C48</f>
        <v>1.0545421297234359</v>
      </c>
      <c r="R48" s="1">
        <f t="shared" ca="1" si="10"/>
        <v>9.5896875021723345E-3</v>
      </c>
      <c r="S48" s="9">
        <f ca="1">IF(Prices!C47&lt;OFFSET(Prices!C47,-S$3,0),1,-1)</f>
        <v>-1</v>
      </c>
      <c r="T48" s="1">
        <f ca="1">IF(S48=1,T$3*Q47/Prices!C47,-T$3*R47)</f>
        <v>-1.9570790820759869E-4</v>
      </c>
      <c r="V48" s="9"/>
      <c r="W48" s="1"/>
      <c r="X48" s="1"/>
      <c r="Y48" s="1"/>
      <c r="Z48" s="1"/>
      <c r="AA48" s="1"/>
      <c r="AB48" s="1"/>
      <c r="AC48" s="1"/>
      <c r="AD48" s="1"/>
      <c r="AE48" s="16"/>
    </row>
    <row r="49" spans="1:31" x14ac:dyDescent="0.2">
      <c r="A49" s="4">
        <v>33575</v>
      </c>
      <c r="B49" s="9">
        <f ca="1">Prices!C48*(1+J49/(50*(ABS(O49)+ABS(T49)+0.0001)))</f>
        <v>127.63153089455807</v>
      </c>
      <c r="C49" s="21">
        <f t="shared" ca="1" si="5"/>
        <v>-1</v>
      </c>
      <c r="D49" s="9">
        <f ca="1">D48+C49*(Prices!C49-Prices!C48)/Prices!C48</f>
        <v>6.3423126622005905E-3</v>
      </c>
      <c r="E49" s="9">
        <f t="shared" ca="1" si="6"/>
        <v>3.067661489361076E-2</v>
      </c>
      <c r="F49" s="9">
        <f t="shared" ca="1" si="7"/>
        <v>3.7018927555811348E-2</v>
      </c>
      <c r="G49" s="13">
        <f ca="1">IF((Prices!C49-Prices!C48)*C49&gt;0,1,0)</f>
        <v>1</v>
      </c>
      <c r="H49" s="9">
        <f>ABS(Prices!C49-Prices!C48)/Prices!C48</f>
        <v>3.078106964216832E-3</v>
      </c>
      <c r="I49" s="13"/>
      <c r="J49" s="1">
        <f t="shared" ca="1" si="8"/>
        <v>-8.264576737953207E-4</v>
      </c>
      <c r="K49" s="9"/>
      <c r="L49" s="9">
        <f ca="1">L48-O49*Prices!C49</f>
        <v>1.5666668291389592</v>
      </c>
      <c r="M49" s="1">
        <f t="shared" ca="1" si="9"/>
        <v>5.7119753137668651E-3</v>
      </c>
      <c r="N49" s="9">
        <f ca="1">IF(Prices!D48&gt;OFFSET(Prices!D48,-$N$3,0),1,-1)</f>
        <v>-1</v>
      </c>
      <c r="O49" s="1">
        <f ca="1">IF(N49=1,O$3*L48/Prices!C48,-O$3*M48)</f>
        <v>-6.3466392375187398E-4</v>
      </c>
      <c r="P49" s="14"/>
      <c r="Q49" s="9">
        <f ca="1">Q48-T49*Prices!C49</f>
        <v>1.0793890100415644</v>
      </c>
      <c r="R49" s="1">
        <f t="shared" ca="1" si="10"/>
        <v>9.3978937521288879E-3</v>
      </c>
      <c r="S49" s="9">
        <f ca="1">IF(Prices!C48&lt;OFFSET(Prices!C48,-S$3,0),1,-1)</f>
        <v>-1</v>
      </c>
      <c r="T49" s="1">
        <f ca="1">IF(S49=1,T$3*Q48/Prices!C48,-T$3*R48)</f>
        <v>-1.917937500434467E-4</v>
      </c>
      <c r="V49" s="9"/>
      <c r="W49" s="1"/>
      <c r="X49" s="1"/>
      <c r="Y49" s="1"/>
      <c r="Z49" s="1"/>
      <c r="AA49" s="1"/>
      <c r="AB49" s="1"/>
      <c r="AC49" s="1"/>
      <c r="AD49" s="1"/>
      <c r="AE49" s="16"/>
    </row>
    <row r="50" spans="1:31" x14ac:dyDescent="0.2">
      <c r="A50" s="4">
        <v>33576</v>
      </c>
      <c r="B50" s="9">
        <f ca="1">Prices!C49*(1+J50/(50*(ABS(O50)+ABS(T50)+0.0001)))</f>
        <v>128.2988966171369</v>
      </c>
      <c r="C50" s="21">
        <f t="shared" ca="1" si="5"/>
        <v>-1</v>
      </c>
      <c r="D50" s="9">
        <f ca="1">D49+C50*(Prices!C50-Prices!C49)/Prices!C49</f>
        <v>6.3423126622005905E-3</v>
      </c>
      <c r="E50" s="9">
        <f t="shared" ca="1" si="6"/>
        <v>3.067661489361076E-2</v>
      </c>
      <c r="F50" s="9">
        <f t="shared" ca="1" si="7"/>
        <v>3.7018927555811348E-2</v>
      </c>
      <c r="G50" s="13">
        <f ca="1">IF((Prices!C50-Prices!C49)*C50&gt;0,1,0)</f>
        <v>0</v>
      </c>
      <c r="H50" s="9">
        <f>ABS(Prices!C50-Prices!C49)/Prices!C49</f>
        <v>0</v>
      </c>
      <c r="I50" s="13"/>
      <c r="J50" s="1">
        <f t="shared" ca="1" si="8"/>
        <v>-4.0456086444630218E-4</v>
      </c>
      <c r="K50" s="9"/>
      <c r="L50" s="9">
        <f ca="1">L49-O50*Prices!C50</f>
        <v>1.640665469328809</v>
      </c>
      <c r="M50" s="1">
        <f t="shared" ca="1" si="9"/>
        <v>5.1407777823901787E-3</v>
      </c>
      <c r="N50" s="9">
        <f ca="1">IF(Prices!D49&gt;OFFSET(Prices!D49,-$N$3,0),1,-1)</f>
        <v>-1</v>
      </c>
      <c r="O50" s="1">
        <f ca="1">IF(N50=1,O$3*L49/Prices!C49,-O$3*M49)</f>
        <v>-5.7119753137668653E-4</v>
      </c>
      <c r="P50" s="14"/>
      <c r="Q50" s="9">
        <f ca="1">Q49-T50*Prices!C50</f>
        <v>1.0578012298407331</v>
      </c>
      <c r="R50" s="1">
        <f t="shared" ca="1" si="10"/>
        <v>9.5645304190592716E-3</v>
      </c>
      <c r="S50" s="9">
        <f ca="1">IF(Prices!C49&lt;OFFSET(Prices!C49,-S$3,0),1,-1)</f>
        <v>1</v>
      </c>
      <c r="T50" s="1">
        <f ca="1">IF(S50=1,T$3*Q49/Prices!C49,-T$3*R49)</f>
        <v>1.6663666693038433E-4</v>
      </c>
      <c r="V50" s="9"/>
      <c r="W50" s="1"/>
      <c r="X50" s="1"/>
      <c r="Y50" s="1"/>
      <c r="Z50" s="1"/>
      <c r="AA50" s="1"/>
      <c r="AB50" s="1"/>
      <c r="AC50" s="1"/>
      <c r="AD50" s="1"/>
      <c r="AE50" s="16"/>
    </row>
    <row r="51" spans="1:31" x14ac:dyDescent="0.2">
      <c r="A51" s="4">
        <v>33577</v>
      </c>
      <c r="B51" s="9">
        <f ca="1">Prices!C50*(1+J51/(50*(ABS(O51)+ABS(T51)+0.0001)))</f>
        <v>128.38087675250222</v>
      </c>
      <c r="C51" s="21">
        <f t="shared" ca="1" si="5"/>
        <v>-1</v>
      </c>
      <c r="D51" s="9">
        <f ca="1">D50+C51*(Prices!C51-Prices!C50)/Prices!C50</f>
        <v>1.2363154036187476E-2</v>
      </c>
      <c r="E51" s="9">
        <f t="shared" ca="1" si="6"/>
        <v>2.4655773519623871E-2</v>
      </c>
      <c r="F51" s="9">
        <f t="shared" ca="1" si="7"/>
        <v>3.7018927555811348E-2</v>
      </c>
      <c r="G51" s="13">
        <f ca="1">IF((Prices!C51-Prices!C50)*C51&gt;0,1,0)</f>
        <v>1</v>
      </c>
      <c r="H51" s="9">
        <f>ABS(Prices!C51-Prices!C50)/Prices!C50</f>
        <v>6.0208413739868856E-3</v>
      </c>
      <c r="I51" s="13"/>
      <c r="J51" s="1">
        <f t="shared" ca="1" si="8"/>
        <v>-3.5077384464724123E-4</v>
      </c>
      <c r="K51" s="9"/>
      <c r="L51" s="9">
        <f ca="1">L50-O51*Prices!C51</f>
        <v>1.7068632648326474</v>
      </c>
      <c r="M51" s="1">
        <f t="shared" ca="1" si="9"/>
        <v>4.6267000041511613E-3</v>
      </c>
      <c r="N51" s="9">
        <f ca="1">IF(Prices!D50&gt;OFFSET(Prices!D50,-$N$3,0),1,-1)</f>
        <v>-1</v>
      </c>
      <c r="O51" s="1">
        <f ca="1">IF(N51=1,O$3*L50/Prices!C50,-O$3*M50)</f>
        <v>-5.1407777823901787E-4</v>
      </c>
      <c r="P51" s="14"/>
      <c r="Q51" s="9">
        <f ca="1">Q50-T51*Prices!C51</f>
        <v>1.0367725823121201</v>
      </c>
      <c r="R51" s="1">
        <f t="shared" ca="1" si="10"/>
        <v>9.7278343526510484E-3</v>
      </c>
      <c r="S51" s="9">
        <f ca="1">IF(Prices!C50&lt;OFFSET(Prices!C50,-S$3,0),1,-1)</f>
        <v>1</v>
      </c>
      <c r="T51" s="1">
        <f ca="1">IF(S51=1,T$3*Q50/Prices!C50,-T$3*R50)</f>
        <v>1.6330393359177662E-4</v>
      </c>
      <c r="V51" s="9"/>
      <c r="W51" s="1"/>
      <c r="X51" s="1"/>
      <c r="Y51" s="1"/>
      <c r="Z51" s="1"/>
      <c r="AA51" s="1"/>
      <c r="AB51" s="1"/>
      <c r="AC51" s="1"/>
      <c r="AD51" s="1"/>
      <c r="AE51" s="16"/>
    </row>
    <row r="52" spans="1:31" x14ac:dyDescent="0.2">
      <c r="A52" s="4">
        <v>33578</v>
      </c>
      <c r="B52" s="9">
        <f ca="1">Prices!C51*(1+J52/(50*(ABS(O52)+ABS(T52)+0.0001)))</f>
        <v>127.69655179554954</v>
      </c>
      <c r="C52" s="21">
        <f t="shared" ca="1" si="5"/>
        <v>-1</v>
      </c>
      <c r="D52" s="9">
        <f ca="1">D51+C52*(Prices!C52-Prices!C51)/Prices!C51</f>
        <v>1.678965089104514E-2</v>
      </c>
      <c r="E52" s="9">
        <f t="shared" ca="1" si="6"/>
        <v>2.0229276664766208E-2</v>
      </c>
      <c r="F52" s="9">
        <f t="shared" ca="1" si="7"/>
        <v>3.7018927555811348E-2</v>
      </c>
      <c r="G52" s="13">
        <f ca="1">IF((Prices!C52-Prices!C51)*C52&gt;0,1,0)</f>
        <v>1</v>
      </c>
      <c r="H52" s="9">
        <f>ABS(Prices!C52-Prices!C51)/Prices!C51</f>
        <v>4.4264968548576649E-3</v>
      </c>
      <c r="I52" s="13"/>
      <c r="J52" s="1">
        <f t="shared" ca="1" si="8"/>
        <v>-3.0164296270258689E-4</v>
      </c>
      <c r="K52" s="9"/>
      <c r="L52" s="9">
        <f ca="1">L51-O52*Prices!C52</f>
        <v>1.7661775588858653</v>
      </c>
      <c r="M52" s="1">
        <f t="shared" ca="1" si="9"/>
        <v>4.1640300037360453E-3</v>
      </c>
      <c r="N52" s="9">
        <f ca="1">IF(Prices!D51&gt;OFFSET(Prices!D51,-$N$3,0),1,-1)</f>
        <v>-1</v>
      </c>
      <c r="O52" s="1">
        <f ca="1">IF(N52=1,O$3*L51/Prices!C51,-O$3*M51)</f>
        <v>-4.6267000041511617E-4</v>
      </c>
      <c r="P52" s="14"/>
      <c r="Q52" s="9">
        <f ca="1">Q51-T52*Prices!C52</f>
        <v>1.0161289160773739</v>
      </c>
      <c r="R52" s="1">
        <f t="shared" ca="1" si="10"/>
        <v>9.8888613903635771E-3</v>
      </c>
      <c r="S52" s="9">
        <f ca="1">IF(Prices!C51&lt;OFFSET(Prices!C51,-S$3,0),1,-1)</f>
        <v>1</v>
      </c>
      <c r="T52" s="1">
        <f ca="1">IF(S52=1,T$3*Q51/Prices!C51,-T$3*R51)</f>
        <v>1.6102703771252931E-4</v>
      </c>
      <c r="V52" s="9"/>
      <c r="W52" s="1"/>
      <c r="X52" s="1"/>
      <c r="Y52" s="1"/>
      <c r="Z52" s="1"/>
      <c r="AA52" s="1"/>
      <c r="AB52" s="1"/>
      <c r="AC52" s="1"/>
      <c r="AD52" s="1"/>
      <c r="AE52" s="16"/>
    </row>
    <row r="53" spans="1:31" x14ac:dyDescent="0.2">
      <c r="A53" s="4">
        <v>33581</v>
      </c>
      <c r="B53" s="9">
        <f ca="1">Prices!C52*(1+J53/(50*(ABS(O53)+ABS(T53)+0.0001)))</f>
        <v>130.60729506279736</v>
      </c>
      <c r="C53" s="21">
        <f t="shared" ca="1" si="5"/>
        <v>1</v>
      </c>
      <c r="D53" s="9">
        <f ca="1">D52+C53*(Prices!C53-Prices!C52)/Prices!C52</f>
        <v>1.8349713293541372E-2</v>
      </c>
      <c r="E53" s="9">
        <f t="shared" ca="1" si="6"/>
        <v>1.8669214262269977E-2</v>
      </c>
      <c r="F53" s="9">
        <f t="shared" ca="1" si="7"/>
        <v>3.7018927555811348E-2</v>
      </c>
      <c r="G53" s="13">
        <f ca="1">IF((Prices!C53-Prices!C52)*C53&gt;0,1,0)</f>
        <v>1</v>
      </c>
      <c r="H53" s="9">
        <f>ABS(Prices!C53-Prices!C52)/Prices!C52</f>
        <v>1.560062402496233E-3</v>
      </c>
      <c r="I53" s="13"/>
      <c r="J53" s="1">
        <f t="shared" ca="1" si="8"/>
        <v>1.5361960546812325E-3</v>
      </c>
      <c r="K53" s="9"/>
      <c r="L53" s="9">
        <f ca="1">L52-O53*Prices!C53</f>
        <v>1.5892842682767037</v>
      </c>
      <c r="M53" s="1">
        <f t="shared" ca="1" si="9"/>
        <v>5.5417036066111348E-3</v>
      </c>
      <c r="N53" s="9">
        <f ca="1">IF(Prices!D52&gt;OFFSET(Prices!D52,-$N$3,0),1,-1)</f>
        <v>1</v>
      </c>
      <c r="O53" s="1">
        <f ca="1">IF(N53=1,O$3*L52/Prices!C52,-O$3*M52)</f>
        <v>1.37767360287509E-3</v>
      </c>
      <c r="P53" s="14"/>
      <c r="Q53" s="9">
        <f ca="1">Q52-T53*Prices!C53</f>
        <v>0.99577463326546511</v>
      </c>
      <c r="R53" s="1">
        <f t="shared" ca="1" si="10"/>
        <v>1.0047383842169719E-2</v>
      </c>
      <c r="S53" s="9">
        <f ca="1">IF(Prices!C52&lt;OFFSET(Prices!C52,-S$3,0),1,-1)</f>
        <v>1</v>
      </c>
      <c r="T53" s="1">
        <f ca="1">IF(S53=1,T$3*Q52/Prices!C52,-T$3*R52)</f>
        <v>1.5852245180614257E-4</v>
      </c>
      <c r="V53" s="9"/>
      <c r="W53" s="1"/>
      <c r="X53" s="1"/>
      <c r="Y53" s="1"/>
      <c r="Z53" s="1"/>
      <c r="AA53" s="1"/>
      <c r="AB53" s="1"/>
      <c r="AC53" s="1"/>
      <c r="AD53" s="1"/>
      <c r="AE53" s="16"/>
    </row>
    <row r="54" spans="1:31" x14ac:dyDescent="0.2">
      <c r="A54" s="4">
        <v>33582</v>
      </c>
      <c r="B54" s="9">
        <f ca="1">Prices!C53*(1+J54/(50*(ABS(O54)+ABS(T54)+0.0001)))</f>
        <v>130.79598181460807</v>
      </c>
      <c r="C54" s="21">
        <f t="shared" ca="1" si="5"/>
        <v>1</v>
      </c>
      <c r="D54" s="9">
        <f ca="1">D53+C54*(Prices!C54-Prices!C53)/Prices!C53</f>
        <v>2.0686161891672081E-2</v>
      </c>
      <c r="E54" s="9">
        <f t="shared" ca="1" si="6"/>
        <v>1.6332765664139267E-2</v>
      </c>
      <c r="F54" s="9">
        <f t="shared" ca="1" si="7"/>
        <v>3.7018927555811348E-2</v>
      </c>
      <c r="G54" s="13">
        <f ca="1">IF((Prices!C54-Prices!C53)*C54&gt;0,1,0)</f>
        <v>1</v>
      </c>
      <c r="H54" s="9">
        <f>ABS(Prices!C54-Prices!C53)/Prices!C53</f>
        <v>2.3364485981307082E-3</v>
      </c>
      <c r="I54" s="13"/>
      <c r="J54" s="1">
        <f t="shared" ca="1" si="8"/>
        <v>1.3928654166119913E-3</v>
      </c>
      <c r="K54" s="9"/>
      <c r="L54" s="9">
        <f ca="1">L53-O54*Prices!C54</f>
        <v>1.4299845133489686</v>
      </c>
      <c r="M54" s="1">
        <f t="shared" ca="1" si="9"/>
        <v>6.7794639401599693E-3</v>
      </c>
      <c r="N54" s="9">
        <f ca="1">IF(Prices!D53&gt;OFFSET(Prices!D53,-$N$3,0),1,-1)</f>
        <v>1</v>
      </c>
      <c r="O54" s="1">
        <f ca="1">IF(N54=1,O$3*L53/Prices!C53,-O$3*M53)</f>
        <v>1.2377603335488347E-3</v>
      </c>
      <c r="P54" s="14"/>
      <c r="Q54" s="9">
        <f ca="1">Q53-T54*Prices!C54</f>
        <v>0.97581260907523681</v>
      </c>
      <c r="R54" s="1">
        <f t="shared" ca="1" si="10"/>
        <v>1.0202488925232876E-2</v>
      </c>
      <c r="S54" s="9">
        <f ca="1">IF(Prices!C53&lt;OFFSET(Prices!C53,-S$3,0),1,-1)</f>
        <v>1</v>
      </c>
      <c r="T54" s="1">
        <f ca="1">IF(S54=1,T$3*Q53/Prices!C53,-T$3*R53)</f>
        <v>1.5510508306315656E-4</v>
      </c>
      <c r="V54" s="9"/>
      <c r="W54" s="1"/>
      <c r="X54" s="1"/>
      <c r="Y54" s="1"/>
      <c r="Z54" s="1"/>
      <c r="AA54" s="1"/>
      <c r="AB54" s="1"/>
      <c r="AC54" s="1"/>
      <c r="AD54" s="1"/>
      <c r="AE54" s="16"/>
    </row>
    <row r="55" spans="1:31" x14ac:dyDescent="0.2">
      <c r="A55" s="4">
        <v>33583</v>
      </c>
      <c r="B55" s="9">
        <f ca="1">Prices!C54*(1+J55/(50*(ABS(O55)+ABS(T55)+0.0001)))</f>
        <v>127.24267779979787</v>
      </c>
      <c r="C55" s="21">
        <f t="shared" ca="1" si="5"/>
        <v>-1</v>
      </c>
      <c r="D55" s="9">
        <f ca="1">D54+C55*(Prices!C55-Prices!C54)/Prices!C54</f>
        <v>1.7189658395168454E-2</v>
      </c>
      <c r="E55" s="9">
        <f t="shared" ca="1" si="6"/>
        <v>1.9829269160642895E-2</v>
      </c>
      <c r="F55" s="9">
        <f t="shared" ca="1" si="7"/>
        <v>3.7018927555811348E-2</v>
      </c>
      <c r="G55" s="13">
        <f ca="1">IF((Prices!C55-Prices!C54)*C55&gt;0,1,0)</f>
        <v>0</v>
      </c>
      <c r="H55" s="9">
        <f>ABS(Prices!C55-Prices!C54)/Prices!C54</f>
        <v>3.4965034965036292E-3</v>
      </c>
      <c r="I55" s="13"/>
      <c r="J55" s="1">
        <f t="shared" ca="1" si="8"/>
        <v>-5.2630496292427396E-4</v>
      </c>
      <c r="K55" s="9"/>
      <c r="L55" s="9">
        <f ca="1">L54-O55*Prices!C55</f>
        <v>1.5175412901361347</v>
      </c>
      <c r="M55" s="1">
        <f t="shared" ca="1" si="9"/>
        <v>6.1015175461439728E-3</v>
      </c>
      <c r="N55" s="9">
        <f ca="1">IF(Prices!D54&gt;OFFSET(Prices!D54,-$N$3,0),1,-1)</f>
        <v>-1</v>
      </c>
      <c r="O55" s="1">
        <f ca="1">IF(N55=1,O$3*L54/Prices!C54,-O$3*M54)</f>
        <v>-6.7794639401599693E-4</v>
      </c>
      <c r="P55" s="14"/>
      <c r="Q55" s="9">
        <f ca="1">Q54-T55*Prices!C55</f>
        <v>0.95622811824974074</v>
      </c>
      <c r="R55" s="1">
        <f t="shared" ca="1" si="10"/>
        <v>1.0354130356324598E-2</v>
      </c>
      <c r="S55" s="9">
        <f ca="1">IF(Prices!C54&lt;OFFSET(Prices!C54,-S$3,0),1,-1)</f>
        <v>1</v>
      </c>
      <c r="T55" s="1">
        <f ca="1">IF(S55=1,T$3*Q54/Prices!C54,-T$3*R54)</f>
        <v>1.5164143109172291E-4</v>
      </c>
      <c r="V55" s="9"/>
      <c r="W55" s="1"/>
      <c r="X55" s="1"/>
      <c r="Y55" s="1"/>
      <c r="Z55" s="1"/>
      <c r="AA55" s="1"/>
      <c r="AB55" s="1"/>
      <c r="AC55" s="1"/>
      <c r="AD55" s="1"/>
      <c r="AE55" s="16"/>
    </row>
    <row r="56" spans="1:31" x14ac:dyDescent="0.2">
      <c r="A56" s="4">
        <v>33584</v>
      </c>
      <c r="B56" s="9">
        <f ca="1">Prices!C55*(1+J56/(50*(ABS(O56)+ABS(T56)+0.0001)))</f>
        <v>126.84860741766124</v>
      </c>
      <c r="C56" s="21">
        <f t="shared" ca="1" si="5"/>
        <v>-1</v>
      </c>
      <c r="D56" s="9">
        <f ca="1">D55+C56*(Prices!C56-Prices!C55)/Prices!C55</f>
        <v>1.6492794283670169E-2</v>
      </c>
      <c r="E56" s="9">
        <f t="shared" ca="1" si="6"/>
        <v>2.052613327214118E-2</v>
      </c>
      <c r="F56" s="9">
        <f t="shared" ca="1" si="7"/>
        <v>3.7018927555811348E-2</v>
      </c>
      <c r="G56" s="13">
        <f ca="1">IF((Prices!C56-Prices!C55)*C56&gt;0,1,0)</f>
        <v>0</v>
      </c>
      <c r="H56" s="9">
        <f>ABS(Prices!C56-Prices!C55)/Prices!C55</f>
        <v>6.9686411149828419E-4</v>
      </c>
      <c r="I56" s="13"/>
      <c r="J56" s="1">
        <f t="shared" ca="1" si="8"/>
        <v>-8.1723436174088921E-4</v>
      </c>
      <c r="K56" s="9"/>
      <c r="L56" s="9">
        <f ca="1">L55-O56*Prices!C56</f>
        <v>1.5963973029024994</v>
      </c>
      <c r="M56" s="1">
        <f t="shared" ca="1" si="9"/>
        <v>5.4913657915295752E-3</v>
      </c>
      <c r="N56" s="9">
        <f ca="1">IF(Prices!D55&gt;OFFSET(Prices!D55,-$N$3,0),1,-1)</f>
        <v>-1</v>
      </c>
      <c r="O56" s="1">
        <f ca="1">IF(N56=1,O$3*L55/Prices!C55,-O$3*M55)</f>
        <v>-6.101517546143973E-4</v>
      </c>
      <c r="P56" s="14"/>
      <c r="Q56" s="9">
        <f ca="1">Q55-T56*Prices!C56</f>
        <v>0.98299147439476853</v>
      </c>
      <c r="R56" s="1">
        <f t="shared" ca="1" si="10"/>
        <v>1.0147047749198106E-2</v>
      </c>
      <c r="S56" s="9">
        <f ca="1">IF(Prices!C55&lt;OFFSET(Prices!C55,-S$3,0),1,-1)</f>
        <v>-1</v>
      </c>
      <c r="T56" s="1">
        <f ca="1">IF(S56=1,T$3*Q55/Prices!C55,-T$3*R55)</f>
        <v>-2.0708260712649196E-4</v>
      </c>
      <c r="V56" s="9"/>
      <c r="W56" s="1"/>
      <c r="X56" s="1"/>
      <c r="Y56" s="1"/>
      <c r="Z56" s="1"/>
      <c r="AA56" s="1"/>
      <c r="AB56" s="1"/>
      <c r="AC56" s="1"/>
      <c r="AD56" s="1"/>
      <c r="AE56" s="16"/>
    </row>
    <row r="57" spans="1:31" x14ac:dyDescent="0.2">
      <c r="A57" s="4">
        <v>33585</v>
      </c>
      <c r="B57" s="9">
        <f ca="1">Prices!C56*(1+J57/(50*(ABS(O57)+ABS(T57)+0.0001)))</f>
        <v>126.9585526758358</v>
      </c>
      <c r="C57" s="21">
        <f t="shared" ca="1" si="5"/>
        <v>-1</v>
      </c>
      <c r="D57" s="9">
        <f ca="1">D56+C57*(Prices!C57-Prices!C56)/Prices!C56</f>
        <v>1.9897313008523137E-2</v>
      </c>
      <c r="E57" s="9">
        <f t="shared" ca="1" si="6"/>
        <v>1.7121614547288212E-2</v>
      </c>
      <c r="F57" s="9">
        <f t="shared" ca="1" si="7"/>
        <v>3.7018927555811348E-2</v>
      </c>
      <c r="G57" s="13">
        <f ca="1">IF((Prices!C57-Prices!C56)*C57&gt;0,1,0)</f>
        <v>1</v>
      </c>
      <c r="H57" s="9">
        <f>ABS(Prices!C57-Prices!C56)/Prices!C56</f>
        <v>3.4045187248529689E-3</v>
      </c>
      <c r="I57" s="13"/>
      <c r="J57" s="1">
        <f t="shared" ca="1" si="8"/>
        <v>-7.5207753413691967E-4</v>
      </c>
      <c r="K57" s="9"/>
      <c r="L57" s="9">
        <f ca="1">L56-O57*Prices!C57</f>
        <v>1.6671260942974002</v>
      </c>
      <c r="M57" s="1">
        <f t="shared" ca="1" si="9"/>
        <v>4.9422292123766174E-3</v>
      </c>
      <c r="N57" s="9">
        <f ca="1">IF(Prices!D56&gt;OFFSET(Prices!D56,-$N$3,0),1,-1)</f>
        <v>-1</v>
      </c>
      <c r="O57" s="1">
        <f ca="1">IF(N57=1,O$3*L56/Prices!C56,-O$3*M56)</f>
        <v>-5.4913657915295756E-4</v>
      </c>
      <c r="P57" s="14"/>
      <c r="Q57" s="9">
        <f ca="1">Q56-T57*Prices!C57</f>
        <v>1.0091302693967028</v>
      </c>
      <c r="R57" s="1">
        <f t="shared" ca="1" si="10"/>
        <v>9.9441067942141435E-3</v>
      </c>
      <c r="S57" s="9">
        <f ca="1">IF(Prices!C56&lt;OFFSET(Prices!C56,-S$3,0),1,-1)</f>
        <v>-1</v>
      </c>
      <c r="T57" s="1">
        <f ca="1">IF(S57=1,T$3*Q56/Prices!C56,-T$3*R56)</f>
        <v>-2.0294095498396211E-4</v>
      </c>
      <c r="V57" s="9"/>
      <c r="W57" s="1"/>
      <c r="X57" s="1"/>
      <c r="Y57" s="1"/>
      <c r="Z57" s="1"/>
      <c r="AA57" s="1"/>
      <c r="AB57" s="1"/>
      <c r="AC57" s="1"/>
      <c r="AD57" s="1"/>
      <c r="AE57" s="16"/>
    </row>
    <row r="58" spans="1:31" x14ac:dyDescent="0.2">
      <c r="A58" s="4">
        <v>33588</v>
      </c>
      <c r="B58" s="9">
        <f ca="1">Prices!C57*(1+J58/(50*(ABS(O58)+ABS(T58)+0.0001)))</f>
        <v>126.54879934112991</v>
      </c>
      <c r="C58" s="21">
        <f t="shared" ca="1" si="5"/>
        <v>-1</v>
      </c>
      <c r="D58" s="9">
        <f ca="1">D57+C58*(Prices!C58-Prices!C57)/Prices!C57</f>
        <v>2.2459424809765469E-2</v>
      </c>
      <c r="E58" s="9">
        <f t="shared" ca="1" si="6"/>
        <v>1.455950274604588E-2</v>
      </c>
      <c r="F58" s="9">
        <f t="shared" ca="1" si="7"/>
        <v>3.7018927555811348E-2</v>
      </c>
      <c r="G58" s="13">
        <f ca="1">IF((Prices!C58-Prices!C57)*C58&gt;0,1,0)</f>
        <v>1</v>
      </c>
      <c r="H58" s="9">
        <f>ABS(Prices!C58-Prices!C57)/Prices!C57</f>
        <v>2.5621118012423331E-3</v>
      </c>
      <c r="I58" s="13"/>
      <c r="J58" s="1">
        <f t="shared" ca="1" si="8"/>
        <v>-6.9310505712194461E-4</v>
      </c>
      <c r="K58" s="9"/>
      <c r="L58" s="9">
        <f ca="1">L57-O58*Prices!C58</f>
        <v>1.7306189129888025</v>
      </c>
      <c r="M58" s="1">
        <f t="shared" ca="1" si="9"/>
        <v>4.4480062911389558E-3</v>
      </c>
      <c r="N58" s="9">
        <f ca="1">IF(Prices!D57&gt;OFFSET(Prices!D57,-$N$3,0),1,-1)</f>
        <v>-1</v>
      </c>
      <c r="O58" s="1">
        <f ca="1">IF(N58=1,O$3*L57/Prices!C57,-O$3*M57)</f>
        <v>-4.9422292123766178E-4</v>
      </c>
      <c r="P58" s="14"/>
      <c r="Q58" s="9">
        <f ca="1">Q57-T58*Prices!C58</f>
        <v>1.0346806573937566</v>
      </c>
      <c r="R58" s="1">
        <f t="shared" ca="1" si="10"/>
        <v>9.7452246583298614E-3</v>
      </c>
      <c r="S58" s="9">
        <f ca="1">IF(Prices!C57&lt;OFFSET(Prices!C57,-S$3,0),1,-1)</f>
        <v>-1</v>
      </c>
      <c r="T58" s="1">
        <f ca="1">IF(S58=1,T$3*Q57/Prices!C57,-T$3*R57)</f>
        <v>-1.9888213588428288E-4</v>
      </c>
      <c r="V58" s="9"/>
      <c r="W58" s="1"/>
      <c r="X58" s="1"/>
      <c r="Y58" s="1"/>
      <c r="Z58" s="1"/>
      <c r="AA58" s="1"/>
      <c r="AB58" s="1"/>
      <c r="AC58" s="1"/>
      <c r="AD58" s="1"/>
      <c r="AE58" s="16"/>
    </row>
    <row r="59" spans="1:31" x14ac:dyDescent="0.2">
      <c r="A59" s="4">
        <v>33589</v>
      </c>
      <c r="B59" s="9">
        <f ca="1">Prices!C58*(1+J59/(50*(ABS(O59)+ABS(T59)+0.0001)))</f>
        <v>130.87962903358121</v>
      </c>
      <c r="C59" s="21">
        <f t="shared" ca="1" si="5"/>
        <v>1</v>
      </c>
      <c r="D59" s="9">
        <f ca="1">D58+C59*(Prices!C59-Prices!C58)/Prices!C58</f>
        <v>2.3471334204954973E-2</v>
      </c>
      <c r="E59" s="9">
        <f t="shared" ca="1" si="6"/>
        <v>1.3547593350856375E-2</v>
      </c>
      <c r="F59" s="9">
        <f t="shared" ca="1" si="7"/>
        <v>3.7018927555811348E-2</v>
      </c>
      <c r="G59" s="13">
        <f ca="1">IF((Prices!C59-Prices!C58)*C59&gt;0,1,0)</f>
        <v>1</v>
      </c>
      <c r="H59" s="9">
        <f>ABS(Prices!C59-Prices!C58)/Prices!C58</f>
        <v>1.0119093951895029E-3</v>
      </c>
      <c r="I59" s="13"/>
      <c r="J59" s="1">
        <f t="shared" ca="1" si="8"/>
        <v>1.5081770409181555E-3</v>
      </c>
      <c r="K59" s="9"/>
      <c r="L59" s="9">
        <f ca="1">L58-O59*Prices!C59</f>
        <v>1.5573818987361676</v>
      </c>
      <c r="M59" s="1">
        <f t="shared" ca="1" si="9"/>
        <v>5.7951059354051683E-3</v>
      </c>
      <c r="N59" s="9">
        <f ca="1">IF(Prices!D58&gt;OFFSET(Prices!D58,-$N$3,0),1,-1)</f>
        <v>1</v>
      </c>
      <c r="O59" s="1">
        <f ca="1">IF(N59=1,O$3*L58/Prices!C58,-O$3*M58)</f>
        <v>1.3470996442662123E-3</v>
      </c>
      <c r="P59" s="14"/>
      <c r="Q59" s="9">
        <f ca="1">Q58-T59*Prices!C59</f>
        <v>1.0139661041843167</v>
      </c>
      <c r="R59" s="1">
        <f t="shared" ca="1" si="10"/>
        <v>9.9063020549818043E-3</v>
      </c>
      <c r="S59" s="9">
        <f ca="1">IF(Prices!C58&lt;OFFSET(Prices!C58,-S$3,0),1,-1)</f>
        <v>1</v>
      </c>
      <c r="T59" s="1">
        <f ca="1">IF(S59=1,T$3*Q58/Prices!C58,-T$3*R58)</f>
        <v>1.6107739665194312E-4</v>
      </c>
      <c r="V59" s="9"/>
      <c r="W59" s="1"/>
      <c r="X59" s="1"/>
      <c r="Y59" s="1"/>
      <c r="Z59" s="1"/>
      <c r="AA59" s="1"/>
      <c r="AB59" s="1"/>
      <c r="AC59" s="1"/>
      <c r="AD59" s="1"/>
      <c r="AE59" s="16"/>
    </row>
    <row r="60" spans="1:31" x14ac:dyDescent="0.2">
      <c r="A60" s="4">
        <v>33590</v>
      </c>
      <c r="B60" s="9">
        <f ca="1">Prices!C59*(1+J60/(50*(ABS(O60)+ABS(T60)+0.0001)))</f>
        <v>127.30412072968761</v>
      </c>
      <c r="C60" s="21">
        <f t="shared" ca="1" si="5"/>
        <v>-1</v>
      </c>
      <c r="D60" s="9">
        <f ca="1">D59+C60*(Prices!C60-Prices!C59)/Prices!C59</f>
        <v>2.4637741669962795E-2</v>
      </c>
      <c r="E60" s="9">
        <f t="shared" ca="1" si="6"/>
        <v>1.2381185885848554E-2</v>
      </c>
      <c r="F60" s="9">
        <f t="shared" ca="1" si="7"/>
        <v>3.7018927555811348E-2</v>
      </c>
      <c r="G60" s="13">
        <f ca="1">IF((Prices!C60-Prices!C59)*C60&gt;0,1,0)</f>
        <v>1</v>
      </c>
      <c r="H60" s="9">
        <f>ABS(Prices!C60-Prices!C59)/Prices!C59</f>
        <v>1.1664074650078204E-3</v>
      </c>
      <c r="I60" s="13"/>
      <c r="J60" s="1">
        <f t="shared" ca="1" si="8"/>
        <v>-4.2181757578245828E-4</v>
      </c>
      <c r="K60" s="9"/>
      <c r="L60" s="9">
        <f ca="1">L59-O60*Prices!C60</f>
        <v>1.6318200344764471</v>
      </c>
      <c r="M60" s="1">
        <f t="shared" ca="1" si="9"/>
        <v>5.2155953418646511E-3</v>
      </c>
      <c r="N60" s="9">
        <f ca="1">IF(Prices!D59&gt;OFFSET(Prices!D59,-$N$3,0),1,-1)</f>
        <v>-1</v>
      </c>
      <c r="O60" s="1">
        <f ca="1">IF(N60=1,O$3*L59/Prices!C59,-O$3*M59)</f>
        <v>-5.7951059354051685E-4</v>
      </c>
      <c r="P60" s="14"/>
      <c r="Q60" s="9">
        <f ca="1">Q59-T60*Prices!C60</f>
        <v>0.99371043605329401</v>
      </c>
      <c r="R60" s="1">
        <f t="shared" ca="1" si="10"/>
        <v>1.0063995072739864E-2</v>
      </c>
      <c r="S60" s="9">
        <f ca="1">IF(Prices!C59&lt;OFFSET(Prices!C59,-S$3,0),1,-1)</f>
        <v>1</v>
      </c>
      <c r="T60" s="1">
        <f ca="1">IF(S60=1,T$3*Q59/Prices!C59,-T$3*R59)</f>
        <v>1.576930177580586E-4</v>
      </c>
      <c r="V60" s="9"/>
      <c r="W60" s="1"/>
      <c r="X60" s="1"/>
      <c r="Y60" s="1"/>
      <c r="Z60" s="1"/>
      <c r="AA60" s="1"/>
      <c r="AB60" s="1"/>
      <c r="AC60" s="1"/>
      <c r="AD60" s="1"/>
      <c r="AE60" s="16"/>
    </row>
    <row r="61" spans="1:31" x14ac:dyDescent="0.2">
      <c r="A61" s="4">
        <v>33591</v>
      </c>
      <c r="B61" s="9">
        <f ca="1">Prices!C60*(1+J61/(50*(ABS(O61)+ABS(T61)+0.0001)))</f>
        <v>127.23600656938446</v>
      </c>
      <c r="C61" s="21">
        <f t="shared" ca="1" si="5"/>
        <v>-1</v>
      </c>
      <c r="D61" s="9">
        <f ca="1">D60+C61*(Prices!C61-Prices!C60)/Prices!C60</f>
        <v>2.5571957318074715E-2</v>
      </c>
      <c r="E61" s="9">
        <f t="shared" ca="1" si="6"/>
        <v>1.1446970237736633E-2</v>
      </c>
      <c r="F61" s="9">
        <f t="shared" ca="1" si="7"/>
        <v>3.7018927555811348E-2</v>
      </c>
      <c r="G61" s="13">
        <f ca="1">IF((Prices!C61-Prices!C60)*C61&gt;0,1,0)</f>
        <v>1</v>
      </c>
      <c r="H61" s="9">
        <f>ABS(Prices!C61-Prices!C60)/Prices!C60</f>
        <v>9.342156481119201E-4</v>
      </c>
      <c r="I61" s="13"/>
      <c r="J61" s="1">
        <f t="shared" ca="1" si="8"/>
        <v>-3.6683622767758322E-4</v>
      </c>
      <c r="K61" s="9"/>
      <c r="L61" s="9">
        <f ca="1">L60-O61*Prices!C61</f>
        <v>1.6987517694985961</v>
      </c>
      <c r="M61" s="1">
        <f t="shared" ca="1" si="9"/>
        <v>4.6940358076781857E-3</v>
      </c>
      <c r="N61" s="9">
        <f ca="1">IF(Prices!D60&gt;OFFSET(Prices!D60,-$N$3,0),1,-1)</f>
        <v>-1</v>
      </c>
      <c r="O61" s="1">
        <f ca="1">IF(N61=1,O$3*L60/Prices!C60,-O$3*M60)</f>
        <v>-5.2155953418646513E-4</v>
      </c>
      <c r="P61" s="14"/>
      <c r="Q61" s="9">
        <f ca="1">Q60-T61*Prices!C61</f>
        <v>0.97385479412900922</v>
      </c>
      <c r="R61" s="1">
        <f t="shared" ca="1" si="10"/>
        <v>1.0218718379248745E-2</v>
      </c>
      <c r="S61" s="9">
        <f ca="1">IF(Prices!C60&lt;OFFSET(Prices!C60,-S$3,0),1,-1)</f>
        <v>1</v>
      </c>
      <c r="T61" s="1">
        <f ca="1">IF(S61=1,T$3*Q60/Prices!C60,-T$3*R60)</f>
        <v>1.5472330650888192E-4</v>
      </c>
      <c r="V61" s="9"/>
      <c r="W61" s="1"/>
      <c r="X61" s="1"/>
      <c r="Y61" s="1"/>
      <c r="Z61" s="1"/>
      <c r="AA61" s="1"/>
      <c r="AB61" s="1"/>
      <c r="AC61" s="1"/>
      <c r="AD61" s="1"/>
      <c r="AE61" s="16"/>
    </row>
    <row r="62" spans="1:31" x14ac:dyDescent="0.2">
      <c r="A62" s="4">
        <v>33592</v>
      </c>
      <c r="B62" s="9">
        <f ca="1">Prices!C61*(1+J62/(50*(ABS(O62)+ABS(T62)+0.0001)))</f>
        <v>127.19958513887649</v>
      </c>
      <c r="C62" s="21">
        <f t="shared" ca="1" si="5"/>
        <v>-1</v>
      </c>
      <c r="D62" s="9">
        <f ca="1">D61+C62*(Prices!C62-Prices!C61)/Prices!C61</f>
        <v>3.1494189064353986E-2</v>
      </c>
      <c r="E62" s="9">
        <f t="shared" ca="1" si="6"/>
        <v>5.5247384914573622E-3</v>
      </c>
      <c r="F62" s="9">
        <f t="shared" ca="1" si="7"/>
        <v>3.7018927555811348E-2</v>
      </c>
      <c r="G62" s="13">
        <f ca="1">IF((Prices!C62-Prices!C61)*C62&gt;0,1,0)</f>
        <v>1</v>
      </c>
      <c r="H62" s="9">
        <f>ABS(Prices!C62-Prices!C61)/Prices!C61</f>
        <v>5.9222317462792745E-3</v>
      </c>
      <c r="I62" s="13"/>
      <c r="J62" s="1">
        <f t="shared" ca="1" si="8"/>
        <v>-3.1763006029263596E-4</v>
      </c>
      <c r="K62" s="9"/>
      <c r="L62" s="9">
        <f ca="1">L61-O62*Prices!C62</f>
        <v>1.7586335842971468</v>
      </c>
      <c r="M62" s="1">
        <f t="shared" ca="1" si="9"/>
        <v>4.2246322269103671E-3</v>
      </c>
      <c r="N62" s="9">
        <f ca="1">IF(Prices!D61&gt;OFFSET(Prices!D61,-$N$3,0),1,-1)</f>
        <v>-1</v>
      </c>
      <c r="O62" s="1">
        <f ca="1">IF(N62=1,O$3*L61/Prices!C61,-O$3*M61)</f>
        <v>-4.6940358076781857E-4</v>
      </c>
      <c r="P62" s="14"/>
      <c r="Q62" s="9">
        <f ca="1">Q61-T62*Prices!C62</f>
        <v>0.95449304612199015</v>
      </c>
      <c r="R62" s="1">
        <f t="shared" ca="1" si="10"/>
        <v>1.0370491899723928E-2</v>
      </c>
      <c r="S62" s="9">
        <f ca="1">IF(Prices!C61&lt;OFFSET(Prices!C61,-S$3,0),1,-1)</f>
        <v>1</v>
      </c>
      <c r="T62" s="1">
        <f ca="1">IF(S62=1,T$3*Q61/Prices!C61,-T$3*R61)</f>
        <v>1.517735204751826E-4</v>
      </c>
      <c r="V62" s="9"/>
      <c r="W62" s="1"/>
      <c r="X62" s="1"/>
      <c r="Y62" s="1"/>
      <c r="Z62" s="1"/>
      <c r="AA62" s="1"/>
      <c r="AB62" s="1"/>
      <c r="AC62" s="1"/>
      <c r="AD62" s="1"/>
      <c r="AE62" s="16"/>
    </row>
    <row r="63" spans="1:31" x14ac:dyDescent="0.2">
      <c r="A63" s="4">
        <v>33595</v>
      </c>
      <c r="B63" s="9">
        <f ca="1">Prices!C62*(1+J63/(50*(ABS(O63)+ABS(T63)+0.0001)))</f>
        <v>126.53433598059195</v>
      </c>
      <c r="C63" s="21">
        <f t="shared" ca="1" si="5"/>
        <v>-1</v>
      </c>
      <c r="D63" s="9">
        <f ca="1">D62+C63*(Prices!C63-Prices!C62)/Prices!C62</f>
        <v>3.9489799317548278E-2</v>
      </c>
      <c r="E63" s="9">
        <f t="shared" ca="1" si="6"/>
        <v>0</v>
      </c>
      <c r="F63" s="9">
        <f t="shared" ca="1" si="7"/>
        <v>3.9489799317548278E-2</v>
      </c>
      <c r="G63" s="13">
        <f ca="1">IF((Prices!C63-Prices!C62)*C63&gt;0,1,0)</f>
        <v>1</v>
      </c>
      <c r="H63" s="9">
        <f>ABS(Prices!C63-Prices!C62)/Prices!C62</f>
        <v>7.9956102531942939E-3</v>
      </c>
      <c r="I63" s="13"/>
      <c r="J63" s="1">
        <f t="shared" ca="1" si="8"/>
        <v>-2.7282097982484713E-4</v>
      </c>
      <c r="K63" s="9"/>
      <c r="L63" s="9">
        <f ca="1">L62-O63*Prices!C63</f>
        <v>1.8120963051286976</v>
      </c>
      <c r="M63" s="1">
        <f t="shared" ca="1" si="9"/>
        <v>3.8021690042193304E-3</v>
      </c>
      <c r="N63" s="9">
        <f ca="1">IF(Prices!D62&gt;OFFSET(Prices!D62,-$N$3,0),1,-1)</f>
        <v>-1</v>
      </c>
      <c r="O63" s="1">
        <f ca="1">IF(N63=1,O$3*L62/Prices!C62,-O$3*M62)</f>
        <v>-4.2246322269103671E-4</v>
      </c>
      <c r="P63" s="14"/>
      <c r="Q63" s="9">
        <f ca="1">Q62-T63*Prices!C63</f>
        <v>0.93555582028727391</v>
      </c>
      <c r="R63" s="1">
        <f t="shared" ca="1" si="10"/>
        <v>1.0520134142590117E-2</v>
      </c>
      <c r="S63" s="9">
        <f ca="1">IF(Prices!C62&lt;OFFSET(Prices!C62,-S$3,0),1,-1)</f>
        <v>1</v>
      </c>
      <c r="T63" s="1">
        <f ca="1">IF(S63=1,T$3*Q62/Prices!C62,-T$3*R62)</f>
        <v>1.4964224286618958E-4</v>
      </c>
      <c r="V63" s="9"/>
      <c r="W63" s="1"/>
      <c r="X63" s="1"/>
      <c r="Y63" s="1"/>
      <c r="Z63" s="1"/>
      <c r="AA63" s="1"/>
      <c r="AB63" s="1"/>
      <c r="AC63" s="1"/>
      <c r="AD63" s="1"/>
      <c r="AE63" s="16"/>
    </row>
    <row r="64" spans="1:31" x14ac:dyDescent="0.2">
      <c r="A64" s="4">
        <v>33596</v>
      </c>
      <c r="B64" s="9">
        <f ca="1">Prices!C63*(1+J64/(50*(ABS(O64)+ABS(T64)+0.0001)))</f>
        <v>125.61363243291261</v>
      </c>
      <c r="C64" s="21">
        <f t="shared" ca="1" si="5"/>
        <v>-1</v>
      </c>
      <c r="D64" s="9">
        <f ca="1">D63+C64*(Prices!C64-Prices!C63)/Prices!C63</f>
        <v>3.1587784303719751E-2</v>
      </c>
      <c r="E64" s="9">
        <f t="shared" ca="1" si="6"/>
        <v>7.9020150138285269E-3</v>
      </c>
      <c r="F64" s="9">
        <f t="shared" ca="1" si="7"/>
        <v>3.9489799317548278E-2</v>
      </c>
      <c r="G64" s="13">
        <f ca="1">IF((Prices!C64-Prices!C63)*C64&gt;0,1,0)</f>
        <v>0</v>
      </c>
      <c r="H64" s="9">
        <f>ABS(Prices!C64-Prices!C63)/Prices!C63</f>
        <v>7.9020150138285269E-3</v>
      </c>
      <c r="I64" s="13"/>
      <c r="J64" s="1">
        <f t="shared" ca="1" si="8"/>
        <v>-2.3236137765823901E-4</v>
      </c>
      <c r="K64" s="9"/>
      <c r="L64" s="9">
        <f ca="1">L63-O64*Prices!C64</f>
        <v>1.8605929707775151</v>
      </c>
      <c r="M64" s="1">
        <f t="shared" ca="1" si="9"/>
        <v>3.4219521037973976E-3</v>
      </c>
      <c r="N64" s="9">
        <f ca="1">IF(Prices!D63&gt;OFFSET(Prices!D63,-$N$3,0),1,-1)</f>
        <v>-1</v>
      </c>
      <c r="O64" s="1">
        <f ca="1">IF(N64=1,O$3*L63/Prices!C63,-O$3*M63)</f>
        <v>-3.8021690042193304E-4</v>
      </c>
      <c r="P64" s="14"/>
      <c r="Q64" s="9">
        <f ca="1">Q63-T64*Prices!C64</f>
        <v>0.91669684835876475</v>
      </c>
      <c r="R64" s="1">
        <f t="shared" ca="1" si="10"/>
        <v>1.0667989665353811E-2</v>
      </c>
      <c r="S64" s="9">
        <f ca="1">IF(Prices!C63&lt;OFFSET(Prices!C63,-S$3,0),1,-1)</f>
        <v>1</v>
      </c>
      <c r="T64" s="1">
        <f ca="1">IF(S64=1,T$3*Q63/Prices!C63,-T$3*R63)</f>
        <v>1.4785552276369403E-4</v>
      </c>
      <c r="V64" s="9"/>
      <c r="W64" s="1"/>
      <c r="X64" s="1"/>
      <c r="Y64" s="1"/>
      <c r="Z64" s="1"/>
      <c r="AA64" s="1"/>
      <c r="AB64" s="1"/>
      <c r="AC64" s="1"/>
      <c r="AD64" s="1"/>
      <c r="AE64" s="16"/>
    </row>
    <row r="65" spans="1:31" x14ac:dyDescent="0.2">
      <c r="A65" s="4">
        <v>33597</v>
      </c>
      <c r="B65" s="9">
        <f ca="1">Prices!C64*(1+J65/(50*(ABS(O65)+ABS(T65)+0.0001)))</f>
        <v>126.68597628033059</v>
      </c>
      <c r="C65" s="21">
        <f t="shared" ca="1" si="5"/>
        <v>-1</v>
      </c>
      <c r="D65" s="9">
        <f ca="1">D64+C65*(Prices!C65-Prices!C64)/Prices!C64</f>
        <v>3.5743017545585697E-2</v>
      </c>
      <c r="E65" s="9">
        <f t="shared" ca="1" si="6"/>
        <v>3.7467817719625818E-3</v>
      </c>
      <c r="F65" s="9">
        <f t="shared" ca="1" si="7"/>
        <v>3.9489799317548278E-2</v>
      </c>
      <c r="G65" s="13">
        <f ca="1">IF((Prices!C65-Prices!C64)*C65&gt;0,1,0)</f>
        <v>1</v>
      </c>
      <c r="H65" s="9">
        <f>ABS(Prices!C65-Prices!C64)/Prices!C64</f>
        <v>4.1552332418659443E-3</v>
      </c>
      <c r="I65" s="13"/>
      <c r="J65" s="1">
        <f t="shared" ca="1" si="8"/>
        <v>-1.9845599464335956E-4</v>
      </c>
      <c r="K65" s="9"/>
      <c r="L65" s="9">
        <f ca="1">L64-O65*Prices!C65</f>
        <v>1.9040586063999496</v>
      </c>
      <c r="M65" s="1">
        <f t="shared" ca="1" si="9"/>
        <v>3.0797568934176579E-3</v>
      </c>
      <c r="N65" s="9">
        <f ca="1">IF(Prices!D64&gt;OFFSET(Prices!D64,-$N$3,0),1,-1)</f>
        <v>-1</v>
      </c>
      <c r="O65" s="1">
        <f ca="1">IF(N65=1,O$3*L64/Prices!C64,-O$3*M64)</f>
        <v>-3.4219521037973978E-4</v>
      </c>
      <c r="P65" s="14"/>
      <c r="Q65" s="9">
        <f ca="1">Q64-T65*Prices!C65</f>
        <v>0.89843909317592974</v>
      </c>
      <c r="R65" s="1">
        <f t="shared" ca="1" si="10"/>
        <v>1.0811728881090192E-2</v>
      </c>
      <c r="S65" s="9">
        <f ca="1">IF(Prices!C64&lt;OFFSET(Prices!C64,-S$3,0),1,-1)</f>
        <v>1</v>
      </c>
      <c r="T65" s="1">
        <f ca="1">IF(S65=1,T$3*Q64/Prices!C64,-T$3*R64)</f>
        <v>1.4373921573638022E-4</v>
      </c>
      <c r="V65" s="9"/>
      <c r="W65" s="1"/>
      <c r="X65" s="1"/>
      <c r="Y65" s="1"/>
      <c r="Z65" s="1"/>
      <c r="AA65" s="1"/>
      <c r="AB65" s="1"/>
      <c r="AC65" s="1"/>
      <c r="AD65" s="1"/>
      <c r="AE65" s="16"/>
    </row>
    <row r="66" spans="1:31" x14ac:dyDescent="0.2">
      <c r="A66" s="4">
        <v>33598</v>
      </c>
      <c r="B66" s="9">
        <f ca="1">Prices!C65*(1+J66/(50*(ABS(O66)+ABS(T66)+0.0001)))</f>
        <v>126.250114490935</v>
      </c>
      <c r="C66" s="21">
        <f t="shared" ca="1" si="5"/>
        <v>-1</v>
      </c>
      <c r="D66" s="9">
        <f ca="1">D65+C66*(Prices!C66-Prices!C65)/Prices!C65</f>
        <v>3.7632483771376873E-2</v>
      </c>
      <c r="E66" s="9">
        <f t="shared" ca="1" si="6"/>
        <v>1.857315546171405E-3</v>
      </c>
      <c r="F66" s="9">
        <f t="shared" ca="1" si="7"/>
        <v>3.9489799317548278E-2</v>
      </c>
      <c r="G66" s="13">
        <f ca="1">IF((Prices!C66-Prices!C65)*C66&gt;0,1,0)</f>
        <v>1</v>
      </c>
      <c r="H66" s="9">
        <f>ABS(Prices!C66-Prices!C65)/Prices!C65</f>
        <v>1.8894662257911738E-3</v>
      </c>
      <c r="I66" s="13"/>
      <c r="J66" s="1">
        <f t="shared" ca="1" si="8"/>
        <v>-1.6651149580123204E-4</v>
      </c>
      <c r="K66" s="9"/>
      <c r="L66" s="9">
        <f ca="1">L65-O66*Prices!C66</f>
        <v>1.9431037642946987</v>
      </c>
      <c r="M66" s="1">
        <f t="shared" ca="1" si="9"/>
        <v>2.7717812040758921E-3</v>
      </c>
      <c r="N66" s="9">
        <f ca="1">IF(Prices!D65&gt;OFFSET(Prices!D65,-$N$3,0),1,-1)</f>
        <v>-1</v>
      </c>
      <c r="O66" s="1">
        <f ca="1">IF(N66=1,O$3*L65/Prices!C65,-O$3*M65)</f>
        <v>-3.0797568934176579E-4</v>
      </c>
      <c r="P66" s="14"/>
      <c r="Q66" s="9">
        <f ca="1">Q65-T66*Prices!C66</f>
        <v>0.88050426271886084</v>
      </c>
      <c r="R66" s="1">
        <f t="shared" ca="1" si="10"/>
        <v>1.0953193074630725E-2</v>
      </c>
      <c r="S66" s="9">
        <f ca="1">IF(Prices!C65&lt;OFFSET(Prices!C65,-S$3,0),1,-1)</f>
        <v>1</v>
      </c>
      <c r="T66" s="1">
        <f ca="1">IF(S66=1,T$3*Q65/Prices!C65,-T$3*R65)</f>
        <v>1.4146419354053375E-4</v>
      </c>
      <c r="V66" s="9"/>
      <c r="W66" s="1"/>
      <c r="X66" s="1"/>
      <c r="Y66" s="1"/>
      <c r="Z66" s="1"/>
      <c r="AA66" s="1"/>
      <c r="AB66" s="1"/>
      <c r="AC66" s="1"/>
      <c r="AD66" s="1"/>
      <c r="AE66" s="16"/>
    </row>
    <row r="67" spans="1:31" x14ac:dyDescent="0.2">
      <c r="A67" s="4">
        <v>33599</v>
      </c>
      <c r="B67" s="9">
        <f ca="1">Prices!C66*(1+J67/(50*(ABS(O67)+ABS(T67)+0.0001)))</f>
        <v>126.10062747137358</v>
      </c>
      <c r="C67" s="21">
        <f t="shared" ca="1" si="5"/>
        <v>-1</v>
      </c>
      <c r="D67" s="9">
        <f ca="1">D66+C67*(Prices!C67-Prices!C66)/Prices!C66</f>
        <v>4.7176575899472849E-2</v>
      </c>
      <c r="E67" s="9">
        <f t="shared" ca="1" si="6"/>
        <v>0</v>
      </c>
      <c r="F67" s="9">
        <f t="shared" ca="1" si="7"/>
        <v>4.7176575899472849E-2</v>
      </c>
      <c r="G67" s="13">
        <f ca="1">IF((Prices!C67-Prices!C66)*C67&gt;0,1,0)</f>
        <v>1</v>
      </c>
      <c r="H67" s="9">
        <f>ABS(Prices!C67-Prices!C66)/Prices!C66</f>
        <v>9.5440921280959771E-3</v>
      </c>
      <c r="I67" s="13"/>
      <c r="J67" s="1">
        <f t="shared" ca="1" si="8"/>
        <v>-1.3827541292709374E-4</v>
      </c>
      <c r="K67" s="9"/>
      <c r="L67" s="9">
        <f ca="1">L66-O67*Prices!C67</f>
        <v>1.9779090208742796</v>
      </c>
      <c r="M67" s="1">
        <f t="shared" ca="1" si="9"/>
        <v>2.4946030836683029E-3</v>
      </c>
      <c r="N67" s="9">
        <f ca="1">IF(Prices!D66&gt;OFFSET(Prices!D66,-$N$3,0),1,-1)</f>
        <v>-1</v>
      </c>
      <c r="O67" s="1">
        <f ca="1">IF(N67=1,O$3*L66/Prices!C66,-O$3*M66)</f>
        <v>-2.7717812040758922E-4</v>
      </c>
      <c r="P67" s="14"/>
      <c r="Q67" s="9">
        <f ca="1">Q66-T67*Prices!C67</f>
        <v>0.86306224974053503</v>
      </c>
      <c r="R67" s="1">
        <f t="shared" ca="1" si="10"/>
        <v>1.1092095782111221E-2</v>
      </c>
      <c r="S67" s="9">
        <f ca="1">IF(Prices!C66&lt;OFFSET(Prices!C66,-S$3,0),1,-1)</f>
        <v>1</v>
      </c>
      <c r="T67" s="1">
        <f ca="1">IF(S67=1,T$3*Q66/Prices!C66,-T$3*R66)</f>
        <v>1.3890270748049549E-4</v>
      </c>
      <c r="V67" s="9"/>
      <c r="W67" s="1"/>
      <c r="X67" s="1"/>
      <c r="Y67" s="1"/>
      <c r="Z67" s="1"/>
      <c r="AA67" s="1"/>
      <c r="AB67" s="1"/>
      <c r="AC67" s="1"/>
      <c r="AD67" s="1"/>
      <c r="AE67" s="16"/>
    </row>
    <row r="68" spans="1:31" x14ac:dyDescent="0.2">
      <c r="A68" s="4">
        <v>33602</v>
      </c>
      <c r="B68" s="9">
        <f ca="1">Prices!C67*(1+J68/(50*(ABS(O68)+ABS(T68)+0.0001)))</f>
        <v>124.99235329525229</v>
      </c>
      <c r="C68" s="21">
        <f t="shared" ca="1" si="5"/>
        <v>-1</v>
      </c>
      <c r="D68" s="9">
        <f ca="1">D67+C68*(Prices!C68-Prices!C67)/Prices!C67</f>
        <v>4.5743112492608096E-2</v>
      </c>
      <c r="E68" s="9">
        <f t="shared" ca="1" si="6"/>
        <v>1.4334634068647531E-3</v>
      </c>
      <c r="F68" s="9">
        <f t="shared" ca="1" si="7"/>
        <v>4.7176575899472849E-2</v>
      </c>
      <c r="G68" s="13">
        <f ca="1">IF((Prices!C68-Prices!C67)*C68&gt;0,1,0)</f>
        <v>0</v>
      </c>
      <c r="H68" s="9">
        <f>ABS(Prices!C68-Prices!C67)/Prices!C67</f>
        <v>1.4334634068647514E-3</v>
      </c>
      <c r="I68" s="13"/>
      <c r="J68" s="1">
        <f t="shared" ca="1" si="8"/>
        <v>-1.1199718027245502E-4</v>
      </c>
      <c r="K68" s="9"/>
      <c r="L68" s="9">
        <f ca="1">L67-O68*Prices!C68</f>
        <v>2.0092786546514083</v>
      </c>
      <c r="M68" s="1">
        <f t="shared" ca="1" si="9"/>
        <v>2.2451427753014726E-3</v>
      </c>
      <c r="N68" s="9">
        <f ca="1">IF(Prices!D67&gt;OFFSET(Prices!D67,-$N$3,0),1,-1)</f>
        <v>-1</v>
      </c>
      <c r="O68" s="1">
        <f ca="1">IF(N68=1,O$3*L67/Prices!C67,-O$3*M67)</f>
        <v>-2.4946030836683029E-4</v>
      </c>
      <c r="P68" s="14"/>
      <c r="Q68" s="9">
        <f ca="1">Q67-T68*Prices!C68</f>
        <v>0.84577626138266737</v>
      </c>
      <c r="R68" s="1">
        <f t="shared" ca="1" si="10"/>
        <v>1.1229558910205596E-2</v>
      </c>
      <c r="S68" s="9">
        <f ca="1">IF(Prices!C67&lt;OFFSET(Prices!C67,-S$3,0),1,-1)</f>
        <v>1</v>
      </c>
      <c r="T68" s="1">
        <f ca="1">IF(S68=1,T$3*Q67/Prices!C67,-T$3*R67)</f>
        <v>1.3746312809437527E-4</v>
      </c>
      <c r="V68" s="9"/>
      <c r="W68" s="1"/>
      <c r="X68" s="1"/>
      <c r="Y68" s="1"/>
      <c r="Z68" s="1"/>
      <c r="AA68" s="1"/>
      <c r="AB68" s="1"/>
      <c r="AC68" s="1"/>
      <c r="AD68" s="1"/>
      <c r="AE68" s="16"/>
    </row>
    <row r="69" spans="1:31" x14ac:dyDescent="0.2">
      <c r="A69" s="4">
        <v>33603</v>
      </c>
      <c r="B69" s="9">
        <f ca="1">Prices!C68*(1+J69/(50*(ABS(O69)+ABS(T69)+0.0001)))</f>
        <v>125.25691191300513</v>
      </c>
      <c r="C69" s="21">
        <f t="shared" ca="1" si="5"/>
        <v>-1</v>
      </c>
      <c r="D69" s="9">
        <f ca="1">D68+C69*(Prices!C69-Prices!C68)/Prices!C68</f>
        <v>5.2502555832568291E-2</v>
      </c>
      <c r="E69" s="9">
        <f t="shared" ca="1" si="6"/>
        <v>0</v>
      </c>
      <c r="F69" s="9">
        <f t="shared" ca="1" si="7"/>
        <v>5.2502555832568291E-2</v>
      </c>
      <c r="G69" s="13">
        <f ca="1">IF((Prices!C69-Prices!C68)*C69&gt;0,1,0)</f>
        <v>1</v>
      </c>
      <c r="H69" s="9">
        <f>ABS(Prices!C69-Prices!C68)/Prices!C68</f>
        <v>6.7594433399601932E-3</v>
      </c>
      <c r="I69" s="13"/>
      <c r="J69" s="1">
        <f t="shared" ca="1" si="8"/>
        <v>-8.9997178304275722E-5</v>
      </c>
      <c r="K69" s="9"/>
      <c r="L69" s="9">
        <f ca="1">L68-O69*Prices!C69</f>
        <v>2.0373204879149238</v>
      </c>
      <c r="M69" s="1">
        <f t="shared" ca="1" si="9"/>
        <v>2.0206284977713255E-3</v>
      </c>
      <c r="N69" s="9">
        <f ca="1">IF(Prices!D68&gt;OFFSET(Prices!D68,-$N$3,0),1,-1)</f>
        <v>-1</v>
      </c>
      <c r="O69" s="1">
        <f ca="1">IF(N69=1,O$3*L68/Prices!C68,-O$3*M68)</f>
        <v>-2.2451427753014729E-4</v>
      </c>
      <c r="P69" s="14"/>
      <c r="Q69" s="9">
        <f ca="1">Q68-T69*Prices!C69</f>
        <v>0.82897507568935602</v>
      </c>
      <c r="R69" s="1">
        <f t="shared" ca="1" si="10"/>
        <v>1.1364076009431467E-2</v>
      </c>
      <c r="S69" s="9">
        <f ca="1">IF(Prices!C68&lt;OFFSET(Prices!C68,-S$3,0),1,-1)</f>
        <v>1</v>
      </c>
      <c r="T69" s="1">
        <f ca="1">IF(S69=1,T$3*Q68/Prices!C68,-T$3*R68)</f>
        <v>1.3451709922587156E-4</v>
      </c>
      <c r="V69" s="9"/>
      <c r="W69" s="1"/>
      <c r="X69" s="1"/>
      <c r="Y69" s="1"/>
      <c r="Z69" s="1"/>
      <c r="AA69" s="1"/>
      <c r="AB69" s="1"/>
      <c r="AC69" s="1"/>
      <c r="AD69" s="1"/>
      <c r="AE69" s="16"/>
    </row>
    <row r="70" spans="1:31" x14ac:dyDescent="0.2">
      <c r="A70" s="4">
        <v>33604</v>
      </c>
      <c r="B70" s="9">
        <f ca="1">Prices!C69*(1+J70/(50*(ABS(O70)+ABS(T70)+0.0001)))</f>
        <v>124.5017457335959</v>
      </c>
      <c r="C70" s="21">
        <f t="shared" ca="1" si="5"/>
        <v>-1</v>
      </c>
      <c r="D70" s="9">
        <f ca="1">D69+C70*(Prices!C70-Prices!C69)/Prices!C69</f>
        <v>5.2502555832568291E-2</v>
      </c>
      <c r="E70" s="9">
        <f t="shared" ca="1" si="6"/>
        <v>0</v>
      </c>
      <c r="F70" s="9">
        <f t="shared" ca="1" si="7"/>
        <v>5.2502555832568291E-2</v>
      </c>
      <c r="G70" s="13">
        <f ca="1">IF((Prices!C70-Prices!C69)*C70&gt;0,1,0)</f>
        <v>0</v>
      </c>
      <c r="H70" s="9">
        <f>ABS(Prices!C70-Prices!C69)/Prices!C69</f>
        <v>0</v>
      </c>
      <c r="I70" s="13"/>
      <c r="J70" s="1">
        <f t="shared" ca="1" si="8"/>
        <v>-6.9320643902135597E-5</v>
      </c>
      <c r="K70" s="9"/>
      <c r="L70" s="9">
        <f ca="1">L69-O70*Prices!C70</f>
        <v>2.0625581378520876</v>
      </c>
      <c r="M70" s="1">
        <f t="shared" ca="1" si="9"/>
        <v>1.8185656479941929E-3</v>
      </c>
      <c r="N70" s="9">
        <f ca="1">IF(Prices!D69&gt;OFFSET(Prices!D69,-$N$3,0),1,-1)</f>
        <v>-1</v>
      </c>
      <c r="O70" s="1">
        <f ca="1">IF(N70=1,O$3*L69/Prices!C69,-O$3*M69)</f>
        <v>-2.0206284977713256E-4</v>
      </c>
      <c r="P70" s="14"/>
      <c r="Q70" s="9">
        <f ca="1">Q69-T70*Prices!C70</f>
        <v>0.81239557417556885</v>
      </c>
      <c r="R70" s="1">
        <f t="shared" ca="1" si="10"/>
        <v>1.1496818215306464E-2</v>
      </c>
      <c r="S70" s="9">
        <f ca="1">IF(Prices!C69&lt;OFFSET(Prices!C69,-S$3,0),1,-1)</f>
        <v>1</v>
      </c>
      <c r="T70" s="1">
        <f ca="1">IF(S70=1,T$3*Q69/Prices!C69,-T$3*R69)</f>
        <v>1.3274220587499697E-4</v>
      </c>
      <c r="V70" s="9"/>
      <c r="W70" s="1"/>
      <c r="X70" s="1"/>
      <c r="Y70" s="1"/>
      <c r="Z70" s="1"/>
      <c r="AA70" s="1"/>
      <c r="AB70" s="1"/>
      <c r="AC70" s="1"/>
      <c r="AD70" s="1"/>
      <c r="AE70" s="16"/>
    </row>
    <row r="71" spans="1:31" x14ac:dyDescent="0.2">
      <c r="A71" s="4">
        <v>33605</v>
      </c>
      <c r="B71" s="9">
        <f ca="1">Prices!C70*(1+J71/(50*(ABS(O71)+ABS(T71)+0.0001)))</f>
        <v>124.58607506783851</v>
      </c>
      <c r="C71" s="21">
        <f t="shared" ca="1" si="5"/>
        <v>-1</v>
      </c>
      <c r="D71" s="9">
        <f ca="1">D70+C71*(Prices!C71-Prices!C70)/Prices!C70</f>
        <v>5.5705117882208048E-2</v>
      </c>
      <c r="E71" s="9">
        <f t="shared" ca="1" si="6"/>
        <v>0</v>
      </c>
      <c r="F71" s="9">
        <f t="shared" ca="1" si="7"/>
        <v>5.5705117882208048E-2</v>
      </c>
      <c r="G71" s="13">
        <f ca="1">IF((Prices!C71-Prices!C70)*C71&gt;0,1,0)</f>
        <v>1</v>
      </c>
      <c r="H71" s="9">
        <f>ABS(Prices!C71-Prices!C70)/Prices!C70</f>
        <v>3.2025620496397571E-3</v>
      </c>
      <c r="I71" s="13"/>
      <c r="J71" s="1">
        <f t="shared" ca="1" si="8"/>
        <v>-5.176920304192229E-5</v>
      </c>
      <c r="K71" s="9"/>
      <c r="L71" s="9">
        <f ca="1">L70-O71*Prices!C71</f>
        <v>2.0851992801696153</v>
      </c>
      <c r="M71" s="1">
        <f t="shared" ca="1" si="9"/>
        <v>1.6367090831947736E-3</v>
      </c>
      <c r="N71" s="9">
        <f ca="1">IF(Prices!D70&gt;OFFSET(Prices!D70,-$N$3,0),1,-1)</f>
        <v>-1</v>
      </c>
      <c r="O71" s="1">
        <f ca="1">IF(N71=1,O$3*L70/Prices!C70,-O$3*M70)</f>
        <v>-1.818565647994193E-4</v>
      </c>
      <c r="P71" s="14"/>
      <c r="Q71" s="9">
        <f ca="1">Q70-T71*Prices!C71</f>
        <v>0.79619969763676046</v>
      </c>
      <c r="R71" s="1">
        <f t="shared" ca="1" si="10"/>
        <v>1.1626905577063961E-2</v>
      </c>
      <c r="S71" s="9">
        <f ca="1">IF(Prices!C70&lt;OFFSET(Prices!C70,-S$3,0),1,-1)</f>
        <v>1</v>
      </c>
      <c r="T71" s="1">
        <f ca="1">IF(S71=1,T$3*Q70/Prices!C70,-T$3*R70)</f>
        <v>1.3008736175749701E-4</v>
      </c>
      <c r="V71" s="9"/>
      <c r="W71" s="1"/>
      <c r="X71" s="1"/>
      <c r="Y71" s="1"/>
      <c r="Z71" s="1"/>
      <c r="AA71" s="1"/>
      <c r="AB71" s="1"/>
      <c r="AC71" s="1"/>
      <c r="AD71" s="1"/>
      <c r="AE71" s="16"/>
    </row>
    <row r="72" spans="1:31" x14ac:dyDescent="0.2">
      <c r="A72" s="4">
        <v>33606</v>
      </c>
      <c r="B72" s="9">
        <f ca="1">Prices!C71*(1+J72/(50*(ABS(O72)+ABS(T72)+0.0001)))</f>
        <v>126.85913763028513</v>
      </c>
      <c r="C72" s="21">
        <f t="shared" ca="1" si="5"/>
        <v>1</v>
      </c>
      <c r="D72" s="9">
        <f ca="1">D71+C72*(Prices!C72-Prices!C71)/Prices!C71</f>
        <v>5.8114756436424893E-2</v>
      </c>
      <c r="E72" s="9">
        <f t="shared" ca="1" si="6"/>
        <v>0</v>
      </c>
      <c r="F72" s="9">
        <f t="shared" ca="1" si="7"/>
        <v>5.8114756436424893E-2</v>
      </c>
      <c r="G72" s="13">
        <f ca="1">IF((Prices!C72-Prices!C71)*C72&gt;0,1,0)</f>
        <v>1</v>
      </c>
      <c r="H72" s="9">
        <f>ABS(Prices!C72-Prices!C71)/Prices!C71</f>
        <v>2.4096385542168447E-3</v>
      </c>
      <c r="I72" s="13"/>
      <c r="J72" s="1">
        <f t="shared" ca="1" si="8"/>
        <v>1.8027624254594115E-3</v>
      </c>
      <c r="K72" s="9"/>
      <c r="L72" s="9">
        <f ca="1">L71-O72*Prices!C72</f>
        <v>1.8761768944947816</v>
      </c>
      <c r="M72" s="1">
        <f t="shared" ca="1" si="9"/>
        <v>3.311567942768762E-3</v>
      </c>
      <c r="N72" s="9">
        <f ca="1">IF(Prices!D71&gt;OFFSET(Prices!D71,-$N$3,0),1,-1)</f>
        <v>1</v>
      </c>
      <c r="O72" s="1">
        <f ca="1">IF(N72=1,O$3*L71/Prices!C71,-O$3*M71)</f>
        <v>1.6748588595739881E-3</v>
      </c>
      <c r="P72" s="14"/>
      <c r="Q72" s="9">
        <f ca="1">Q71-T72*Prices!C72</f>
        <v>0.78023733261425965</v>
      </c>
      <c r="R72" s="1">
        <f t="shared" ca="1" si="10"/>
        <v>1.1754809142949385E-2</v>
      </c>
      <c r="S72" s="9">
        <f ca="1">IF(Prices!C71&lt;OFFSET(Prices!C71,-S$3,0),1,-1)</f>
        <v>1</v>
      </c>
      <c r="T72" s="1">
        <f ca="1">IF(S72=1,T$3*Q71/Prices!C71,-T$3*R71)</f>
        <v>1.2790356588542338E-4</v>
      </c>
      <c r="V72" s="9"/>
      <c r="W72" s="1"/>
      <c r="X72" s="1"/>
      <c r="Y72" s="1"/>
      <c r="Z72" s="1"/>
      <c r="AA72" s="1"/>
      <c r="AB72" s="1"/>
      <c r="AC72" s="1"/>
      <c r="AD72" s="1"/>
      <c r="AE72" s="16"/>
    </row>
    <row r="73" spans="1:31" x14ac:dyDescent="0.2">
      <c r="A73" s="4">
        <v>33609</v>
      </c>
      <c r="B73" s="9">
        <f ca="1">Prices!C72*(1+J73/(50*(ABS(O73)+ABS(T73)+0.0001)))</f>
        <v>127.15158772277702</v>
      </c>
      <c r="C73" s="21">
        <f t="shared" ca="1" si="5"/>
        <v>1</v>
      </c>
      <c r="D73" s="9">
        <f ca="1">D72+C73*(Prices!C73-Prices!C72)/Prices!C72</f>
        <v>5.2505782077450512E-2</v>
      </c>
      <c r="E73" s="9">
        <f t="shared" ca="1" si="6"/>
        <v>5.6089743589743807E-3</v>
      </c>
      <c r="F73" s="9">
        <f t="shared" ca="1" si="7"/>
        <v>5.8114756436424893E-2</v>
      </c>
      <c r="G73" s="13">
        <f ca="1">IF((Prices!C73-Prices!C72)*C73&gt;0,1,0)</f>
        <v>0</v>
      </c>
      <c r="H73" s="9">
        <f>ABS(Prices!C73-Prices!C72)/Prices!C72</f>
        <v>5.6089743589743815E-3</v>
      </c>
      <c r="I73" s="13"/>
      <c r="J73" s="1">
        <f t="shared" ca="1" si="8"/>
        <v>1.6283849046615656E-3</v>
      </c>
      <c r="K73" s="9"/>
      <c r="L73" s="9">
        <f ca="1">L72-O73*Prices!C73</f>
        <v>1.6896115478547156</v>
      </c>
      <c r="M73" s="1">
        <f t="shared" ca="1" si="9"/>
        <v>4.8149148133575298E-3</v>
      </c>
      <c r="N73" s="9">
        <f ca="1">IF(Prices!D72&gt;OFFSET(Prices!D72,-$N$3,0),1,-1)</f>
        <v>1</v>
      </c>
      <c r="O73" s="1">
        <f ca="1">IF(N73=1,O$3*L72/Prices!C72,-O$3*M72)</f>
        <v>1.5033468705887675E-3</v>
      </c>
      <c r="P73" s="14"/>
      <c r="Q73" s="9">
        <f ca="1">Q72-T73*Prices!C73</f>
        <v>0.7647201125858254</v>
      </c>
      <c r="R73" s="1">
        <f t="shared" ca="1" si="10"/>
        <v>1.1879847177022182E-2</v>
      </c>
      <c r="S73" s="9">
        <f ca="1">IF(Prices!C72&lt;OFFSET(Prices!C72,-S$3,0),1,-1)</f>
        <v>1</v>
      </c>
      <c r="T73" s="1">
        <f ca="1">IF(S73=1,T$3*Q72/Prices!C72,-T$3*R72)</f>
        <v>1.2503803407279803E-4</v>
      </c>
      <c r="V73" s="9"/>
      <c r="W73" s="1"/>
      <c r="X73" s="1"/>
      <c r="Y73" s="1"/>
      <c r="Z73" s="1"/>
      <c r="AA73" s="1"/>
      <c r="AB73" s="1"/>
      <c r="AC73" s="1"/>
      <c r="AD73" s="1"/>
      <c r="AE73" s="16"/>
    </row>
    <row r="74" spans="1:31" x14ac:dyDescent="0.2">
      <c r="A74" s="4">
        <v>33610</v>
      </c>
      <c r="B74" s="9">
        <f ca="1">Prices!C73*(1+J74/(50*(ABS(O74)+ABS(T74)+0.0001)))</f>
        <v>126.42538070954551</v>
      </c>
      <c r="C74" s="21">
        <f t="shared" ca="1" si="5"/>
        <v>1</v>
      </c>
      <c r="D74" s="9">
        <f ca="1">D73+C74*(Prices!C74-Prices!C73)/Prices!C73</f>
        <v>5.4923187395742305E-2</v>
      </c>
      <c r="E74" s="9">
        <f t="shared" ca="1" si="6"/>
        <v>3.1915690406825875E-3</v>
      </c>
      <c r="F74" s="9">
        <f t="shared" ca="1" si="7"/>
        <v>5.8114756436424893E-2</v>
      </c>
      <c r="G74" s="13">
        <f ca="1">IF((Prices!C74-Prices!C73)*C74&gt;0,1,0)</f>
        <v>1</v>
      </c>
      <c r="H74" s="9">
        <f>ABS(Prices!C74-Prices!C73)/Prices!C73</f>
        <v>2.4174053182917919E-3</v>
      </c>
      <c r="I74" s="13"/>
      <c r="J74" s="1">
        <f t="shared" ca="1" si="8"/>
        <v>1.4847345450216608E-3</v>
      </c>
      <c r="K74" s="9"/>
      <c r="L74" s="9">
        <f ca="1">L73-O74*Prices!C74</f>
        <v>1.5202419454750808</v>
      </c>
      <c r="M74" s="1">
        <f t="shared" ca="1" si="9"/>
        <v>6.1764067939012171E-3</v>
      </c>
      <c r="N74" s="9">
        <f ca="1">IF(Prices!D73&gt;OFFSET(Prices!D73,-$N$3,0),1,-1)</f>
        <v>1</v>
      </c>
      <c r="O74" s="1">
        <f ca="1">IF(N74=1,O$3*L73/Prices!C73,-O$3*M73)</f>
        <v>1.3614919805436873E-3</v>
      </c>
      <c r="P74" s="14"/>
      <c r="Q74" s="9">
        <f ca="1">Q73-T74*Prices!C74</f>
        <v>0.74938873756476554</v>
      </c>
      <c r="R74" s="1">
        <f t="shared" ca="1" si="10"/>
        <v>1.2003089741500156E-2</v>
      </c>
      <c r="S74" s="9">
        <f ca="1">IF(Prices!C73&lt;OFFSET(Prices!C73,-S$3,0),1,-1)</f>
        <v>1</v>
      </c>
      <c r="T74" s="1">
        <f ca="1">IF(S74=1,T$3*Q73/Prices!C73,-T$3*R73)</f>
        <v>1.2324256447797348E-4</v>
      </c>
      <c r="V74" s="9"/>
      <c r="W74" s="1"/>
      <c r="X74" s="1"/>
      <c r="Y74" s="1"/>
      <c r="Z74" s="1"/>
      <c r="AA74" s="1"/>
      <c r="AB74" s="1"/>
      <c r="AC74" s="1"/>
      <c r="AD74" s="1"/>
      <c r="AE74" s="16"/>
    </row>
    <row r="75" spans="1:31" x14ac:dyDescent="0.2">
      <c r="A75" s="4">
        <v>33611</v>
      </c>
      <c r="B75" s="9">
        <f ca="1">Prices!C74*(1+J75/(50*(ABS(O75)+ABS(T75)+0.0001)))</f>
        <v>122.92415791514014</v>
      </c>
      <c r="C75" s="21">
        <f t="shared" ca="1" si="5"/>
        <v>-1</v>
      </c>
      <c r="D75" s="9">
        <f ca="1">D74+C75*(Prices!C75-Prices!C74)/Prices!C74</f>
        <v>5.0903894791240696E-2</v>
      </c>
      <c r="E75" s="9">
        <f t="shared" ca="1" si="6"/>
        <v>7.2108616451841967E-3</v>
      </c>
      <c r="F75" s="9">
        <f t="shared" ca="1" si="7"/>
        <v>5.8114756436424893E-2</v>
      </c>
      <c r="G75" s="13">
        <f ca="1">IF((Prices!C75-Prices!C74)*C75&gt;0,1,0)</f>
        <v>0</v>
      </c>
      <c r="H75" s="9">
        <f>ABS(Prices!C75-Prices!C74)/Prices!C74</f>
        <v>4.0192926045016075E-3</v>
      </c>
      <c r="I75" s="13"/>
      <c r="J75" s="1">
        <f t="shared" ca="1" si="8"/>
        <v>-4.9716017495848744E-4</v>
      </c>
      <c r="K75" s="9"/>
      <c r="L75" s="9">
        <f ca="1">L74-O75*Prices!C75</f>
        <v>1.5973852663309072</v>
      </c>
      <c r="M75" s="1">
        <f t="shared" ca="1" si="9"/>
        <v>5.5587661145110956E-3</v>
      </c>
      <c r="N75" s="9">
        <f ca="1">IF(Prices!D74&gt;OFFSET(Prices!D74,-$N$3,0),1,-1)</f>
        <v>-1</v>
      </c>
      <c r="O75" s="1">
        <f ca="1">IF(N75=1,O$3*L74/Prices!C74,-O$3*M74)</f>
        <v>-6.1764067939012177E-4</v>
      </c>
      <c r="P75" s="14"/>
      <c r="Q75" s="9">
        <f ca="1">Q74-T75*Prices!C75</f>
        <v>0.73434072256125438</v>
      </c>
      <c r="R75" s="1">
        <f t="shared" ca="1" si="10"/>
        <v>1.2123570245931791E-2</v>
      </c>
      <c r="S75" s="9">
        <f ca="1">IF(Prices!C74&lt;OFFSET(Prices!C74,-S$3,0),1,-1)</f>
        <v>1</v>
      </c>
      <c r="T75" s="1">
        <f ca="1">IF(S75=1,T$3*Q74/Prices!C74,-T$3*R74)</f>
        <v>1.2048050443163433E-4</v>
      </c>
      <c r="V75" s="9"/>
      <c r="W75" s="1"/>
      <c r="X75" s="1"/>
      <c r="Y75" s="1"/>
      <c r="Z75" s="1"/>
      <c r="AA75" s="1"/>
      <c r="AB75" s="1"/>
      <c r="AC75" s="1"/>
      <c r="AD75" s="1"/>
      <c r="AE75" s="16"/>
    </row>
    <row r="76" spans="1:31" x14ac:dyDescent="0.2">
      <c r="A76" s="4">
        <v>33612</v>
      </c>
      <c r="B76" s="9">
        <f ca="1">Prices!C75*(1+J76/(50*(ABS(O76)+ABS(T76)+0.0001)))</f>
        <v>122.68006595600829</v>
      </c>
      <c r="C76" s="21">
        <f t="shared" ca="1" si="5"/>
        <v>-1</v>
      </c>
      <c r="D76" s="9">
        <f ca="1">D75+C76*(Prices!C76-Prices!C75)/Prices!C75</f>
        <v>4.6900692229191056E-2</v>
      </c>
      <c r="E76" s="9">
        <f t="shared" ca="1" si="6"/>
        <v>1.1214064207233837E-2</v>
      </c>
      <c r="F76" s="9">
        <f t="shared" ca="1" si="7"/>
        <v>5.8114756436424893E-2</v>
      </c>
      <c r="G76" s="13">
        <f ca="1">IF((Prices!C76-Prices!C75)*C76&gt;0,1,0)</f>
        <v>0</v>
      </c>
      <c r="H76" s="9">
        <f>ABS(Prices!C76-Prices!C75)/Prices!C75</f>
        <v>4.0032025620496394E-3</v>
      </c>
      <c r="I76" s="13"/>
      <c r="J76" s="1">
        <f t="shared" ca="1" si="8"/>
        <v>-7.9834801636974534E-4</v>
      </c>
      <c r="K76" s="9"/>
      <c r="L76" s="9">
        <f ca="1">L75-O76*Prices!C76</f>
        <v>1.6670921934068763</v>
      </c>
      <c r="M76" s="1">
        <f t="shared" ca="1" si="9"/>
        <v>5.002889503059986E-3</v>
      </c>
      <c r="N76" s="9">
        <f ca="1">IF(Prices!D75&gt;OFFSET(Prices!D75,-$N$3,0),1,-1)</f>
        <v>-1</v>
      </c>
      <c r="O76" s="1">
        <f ca="1">IF(N76=1,O$3*L75/Prices!C75,-O$3*M75)</f>
        <v>-5.5587661145110954E-4</v>
      </c>
      <c r="P76" s="14"/>
      <c r="Q76" s="9">
        <f ca="1">Q75-T76*Prices!C76</f>
        <v>0.76474663673805132</v>
      </c>
      <c r="R76" s="1">
        <f t="shared" ca="1" si="10"/>
        <v>1.1881098841013155E-2</v>
      </c>
      <c r="S76" s="9">
        <f ca="1">IF(Prices!C75&lt;OFFSET(Prices!C75,-S$3,0),1,-1)</f>
        <v>-1</v>
      </c>
      <c r="T76" s="1">
        <f ca="1">IF(S76=1,T$3*Q75/Prices!C75,-T$3*R75)</f>
        <v>-2.4247140491863583E-4</v>
      </c>
      <c r="V76" s="9"/>
      <c r="W76" s="1"/>
      <c r="X76" s="1"/>
      <c r="Y76" s="1"/>
      <c r="Z76" s="1"/>
      <c r="AA76" s="1"/>
      <c r="AB76" s="1"/>
      <c r="AC76" s="1"/>
      <c r="AD76" s="1"/>
      <c r="AE76" s="16"/>
    </row>
    <row r="77" spans="1:31" x14ac:dyDescent="0.2">
      <c r="A77" s="4">
        <v>33613</v>
      </c>
      <c r="B77" s="9">
        <f ca="1">Prices!C76*(1+J77/(50*(ABS(O77)+ABS(T77)+0.0001)))</f>
        <v>127.04256758041663</v>
      </c>
      <c r="C77" s="21">
        <f t="shared" ca="1" si="5"/>
        <v>1</v>
      </c>
      <c r="D77" s="9">
        <f ca="1">D76+C77*(Prices!C77-Prices!C76)/Prices!C76</f>
        <v>6.0058586966033091E-2</v>
      </c>
      <c r="E77" s="9">
        <f t="shared" ca="1" si="6"/>
        <v>0</v>
      </c>
      <c r="F77" s="9">
        <f t="shared" ca="1" si="7"/>
        <v>6.0058586966033091E-2</v>
      </c>
      <c r="G77" s="13">
        <f ca="1">IF((Prices!C77-Prices!C76)*C77&gt;0,1,0)</f>
        <v>1</v>
      </c>
      <c r="H77" s="9">
        <f>ABS(Prices!C77-Prices!C76)/Prices!C76</f>
        <v>1.3157894736842037E-2</v>
      </c>
      <c r="I77" s="13"/>
      <c r="J77" s="1">
        <f t="shared" ca="1" si="8"/>
        <v>1.0917976351469429E-3</v>
      </c>
      <c r="K77" s="9"/>
      <c r="L77" s="9">
        <f ca="1">L76-O77*Prices!C77</f>
        <v>1.4981894317064428</v>
      </c>
      <c r="M77" s="1">
        <f t="shared" ca="1" si="9"/>
        <v>6.3323091150271921E-3</v>
      </c>
      <c r="N77" s="9">
        <f ca="1">IF(Prices!D76&gt;OFFSET(Prices!D76,-$N$3,0),1,-1)</f>
        <v>1</v>
      </c>
      <c r="O77" s="1">
        <f ca="1">IF(N77=1,O$3*L76/Prices!C76,-O$3*M76)</f>
        <v>1.3294196119672059E-3</v>
      </c>
      <c r="P77" s="14"/>
      <c r="Q77" s="9">
        <f ca="1">Q76-T77*Prices!C77</f>
        <v>0.79493650889306577</v>
      </c>
      <c r="R77" s="1">
        <f t="shared" ca="1" si="10"/>
        <v>1.1643476864192891E-2</v>
      </c>
      <c r="S77" s="9">
        <f ca="1">IF(Prices!C76&lt;OFFSET(Prices!C76,-S$3,0),1,-1)</f>
        <v>-1</v>
      </c>
      <c r="T77" s="1">
        <f ca="1">IF(S77=1,T$3*Q76/Prices!C76,-T$3*R76)</f>
        <v>-2.3762197682026308E-4</v>
      </c>
      <c r="V77" s="9"/>
      <c r="W77" s="1"/>
      <c r="X77" s="1"/>
      <c r="Y77" s="1"/>
      <c r="Z77" s="1"/>
      <c r="AA77" s="1"/>
      <c r="AB77" s="1"/>
      <c r="AC77" s="1"/>
      <c r="AD77" s="1"/>
      <c r="AE77" s="16"/>
    </row>
    <row r="78" spans="1:31" x14ac:dyDescent="0.2">
      <c r="A78" s="4">
        <v>33616</v>
      </c>
      <c r="B78" s="9">
        <f ca="1">Prices!C77*(1+J78/(50*(ABS(O78)+ABS(T78)+0.0001)))</f>
        <v>128.6402956135291</v>
      </c>
      <c r="C78" s="21">
        <f t="shared" ca="1" si="5"/>
        <v>1</v>
      </c>
      <c r="D78" s="9">
        <f ca="1">D77+C78*(Prices!C78-Prices!C77)/Prices!C77</f>
        <v>5.8484403573667861E-2</v>
      </c>
      <c r="E78" s="9">
        <f t="shared" ca="1" si="6"/>
        <v>1.5741833923652304E-3</v>
      </c>
      <c r="F78" s="9">
        <f t="shared" ca="1" si="7"/>
        <v>6.0058586966033091E-2</v>
      </c>
      <c r="G78" s="13">
        <f ca="1">IF((Prices!C78-Prices!C77)*C78&gt;0,1,0)</f>
        <v>0</v>
      </c>
      <c r="H78" s="9">
        <f>ABS(Prices!C78-Prices!C77)/Prices!C77</f>
        <v>1.574183392365233E-3</v>
      </c>
      <c r="I78" s="13"/>
      <c r="J78" s="1">
        <f t="shared" ca="1" si="8"/>
        <v>9.4634292372081975E-4</v>
      </c>
      <c r="K78" s="9"/>
      <c r="L78" s="9">
        <f ca="1">L77-O78*Prices!C78</f>
        <v>1.3486063310279994</v>
      </c>
      <c r="M78" s="1">
        <f t="shared" ca="1" si="9"/>
        <v>7.5115215760318699E-3</v>
      </c>
      <c r="N78" s="9">
        <f ca="1">IF(Prices!D77&gt;OFFSET(Prices!D77,-$N$3,0),1,-1)</f>
        <v>1</v>
      </c>
      <c r="O78" s="1">
        <f ca="1">IF(N78=1,O$3*L77/Prices!C77,-O$3*M77)</f>
        <v>1.1792124610046776E-3</v>
      </c>
      <c r="P78" s="14"/>
      <c r="Q78" s="9">
        <f ca="1">Q77-T78*Prices!C78</f>
        <v>0.8244760096975231</v>
      </c>
      <c r="R78" s="1">
        <f t="shared" ca="1" si="10"/>
        <v>1.1410607326909033E-2</v>
      </c>
      <c r="S78" s="9">
        <f ca="1">IF(Prices!C77&lt;OFFSET(Prices!C77,-S$3,0),1,-1)</f>
        <v>-1</v>
      </c>
      <c r="T78" s="1">
        <f ca="1">IF(S78=1,T$3*Q77/Prices!C77,-T$3*R77)</f>
        <v>-2.3286953728385781E-4</v>
      </c>
      <c r="V78" s="9"/>
      <c r="W78" s="1"/>
      <c r="X78" s="1"/>
      <c r="Y78" s="1"/>
      <c r="Z78" s="1"/>
      <c r="AA78" s="1"/>
      <c r="AB78" s="1"/>
      <c r="AC78" s="1"/>
      <c r="AD78" s="1"/>
      <c r="AE78" s="16"/>
    </row>
    <row r="79" spans="1:31" x14ac:dyDescent="0.2">
      <c r="A79" s="4">
        <v>33617</v>
      </c>
      <c r="B79" s="9">
        <f ca="1">Prices!C78*(1+J79/(50*(ABS(O79)+ABS(T79)+0.0001)))</f>
        <v>128.37242015799328</v>
      </c>
      <c r="C79" s="21">
        <f t="shared" ca="1" si="5"/>
        <v>1</v>
      </c>
      <c r="D79" s="9">
        <f ca="1">D78+C79*(Prices!C79-Prices!C78)/Prices!C78</f>
        <v>5.8090237235473165E-2</v>
      </c>
      <c r="E79" s="9">
        <f t="shared" ca="1" si="6"/>
        <v>1.9683497305599262E-3</v>
      </c>
      <c r="F79" s="9">
        <f t="shared" ca="1" si="7"/>
        <v>6.0058586966033091E-2</v>
      </c>
      <c r="G79" s="13">
        <f ca="1">IF((Prices!C79-Prices!C78)*C79&gt;0,1,0)</f>
        <v>0</v>
      </c>
      <c r="H79" s="9">
        <f>ABS(Prices!C79-Prices!C78)/Prices!C78</f>
        <v>3.9416633819469577E-4</v>
      </c>
      <c r="I79" s="13"/>
      <c r="J79" s="1">
        <f t="shared" ca="1" si="8"/>
        <v>8.3493829179686024E-4</v>
      </c>
      <c r="K79" s="9"/>
      <c r="L79" s="9">
        <f ca="1">L78-O79*Prices!C79</f>
        <v>1.2137988554471162</v>
      </c>
      <c r="M79" s="1">
        <f t="shared" ca="1" si="9"/>
        <v>8.5746720143669106E-3</v>
      </c>
      <c r="N79" s="9">
        <f ca="1">IF(Prices!D78&gt;OFFSET(Prices!D78,-$N$3,0),1,-1)</f>
        <v>1</v>
      </c>
      <c r="O79" s="1">
        <f ca="1">IF(N79=1,O$3*L78/Prices!C78,-O$3*M78)</f>
        <v>1.0631504383350409E-3</v>
      </c>
      <c r="P79" s="14"/>
      <c r="Q79" s="9">
        <f ca="1">Q78-T79*Prices!C79</f>
        <v>0.85341330987856445</v>
      </c>
      <c r="R79" s="1">
        <f t="shared" ca="1" si="10"/>
        <v>1.1182395180370851E-2</v>
      </c>
      <c r="S79" s="9">
        <f ca="1">IF(Prices!C78&lt;OFFSET(Prices!C78,-S$3,0),1,-1)</f>
        <v>-1</v>
      </c>
      <c r="T79" s="1">
        <f ca="1">IF(S79=1,T$3*Q78/Prices!C78,-T$3*R78)</f>
        <v>-2.2821214653818067E-4</v>
      </c>
      <c r="V79" s="9"/>
      <c r="W79" s="1"/>
      <c r="X79" s="1"/>
      <c r="Y79" s="1"/>
      <c r="Z79" s="1"/>
      <c r="AA79" s="1"/>
      <c r="AB79" s="1"/>
      <c r="AC79" s="1"/>
      <c r="AD79" s="1"/>
      <c r="AE79" s="16"/>
    </row>
    <row r="80" spans="1:31" x14ac:dyDescent="0.2">
      <c r="A80" s="4">
        <v>33618</v>
      </c>
      <c r="B80" s="9">
        <f ca="1">Prices!C79*(1+J80/(50*(ABS(O80)+ABS(T80)+0.0001)))</f>
        <v>128.25243419867249</v>
      </c>
      <c r="C80" s="21">
        <f t="shared" ca="1" si="5"/>
        <v>1</v>
      </c>
      <c r="D80" s="9">
        <f ca="1">D79+C80*(Prices!C80-Prices!C79)/Prices!C79</f>
        <v>7.0708533765441686E-2</v>
      </c>
      <c r="E80" s="9">
        <f t="shared" ca="1" si="6"/>
        <v>0</v>
      </c>
      <c r="F80" s="9">
        <f t="shared" ca="1" si="7"/>
        <v>7.0708533765441686E-2</v>
      </c>
      <c r="G80" s="13">
        <f ca="1">IF((Prices!C80-Prices!C79)*C80&gt;0,1,0)</f>
        <v>1</v>
      </c>
      <c r="H80" s="9">
        <f>ABS(Prices!C80-Prices!C79)/Prices!C79</f>
        <v>1.2618296529968522E-2</v>
      </c>
      <c r="I80" s="13"/>
      <c r="J80" s="1">
        <f t="shared" ca="1" si="8"/>
        <v>7.3360671425308477E-4</v>
      </c>
      <c r="K80" s="9"/>
      <c r="L80" s="9">
        <f ca="1">L79-O80*Prices!C80</f>
        <v>1.0908873625138278</v>
      </c>
      <c r="M80" s="1">
        <f t="shared" ca="1" si="9"/>
        <v>9.5319266322274124E-3</v>
      </c>
      <c r="N80" s="9">
        <f ca="1">IF(Prices!D79&gt;OFFSET(Prices!D79,-$N$3,0),1,-1)</f>
        <v>1</v>
      </c>
      <c r="O80" s="1">
        <f ca="1">IF(N80=1,O$3*L79/Prices!C79,-O$3*M79)</f>
        <v>9.5725461786050185E-4</v>
      </c>
      <c r="P80" s="14"/>
      <c r="Q80" s="9">
        <f ca="1">Q79-T80*Prices!C80</f>
        <v>0.88212970070175678</v>
      </c>
      <c r="R80" s="1">
        <f t="shared" ca="1" si="10"/>
        <v>1.0958747276763435E-2</v>
      </c>
      <c r="S80" s="9">
        <f ca="1">IF(Prices!C79&lt;OFFSET(Prices!C79,-S$3,0),1,-1)</f>
        <v>-1</v>
      </c>
      <c r="T80" s="1">
        <f ca="1">IF(S80=1,T$3*Q79/Prices!C79,-T$3*R79)</f>
        <v>-2.2364790360741702E-4</v>
      </c>
      <c r="V80" s="9"/>
      <c r="W80" s="1"/>
      <c r="X80" s="1"/>
      <c r="Y80" s="1"/>
      <c r="Z80" s="1"/>
      <c r="AA80" s="1"/>
      <c r="AB80" s="1"/>
      <c r="AC80" s="1"/>
      <c r="AD80" s="1"/>
      <c r="AE80" s="16"/>
    </row>
    <row r="81" spans="1:31" x14ac:dyDescent="0.2">
      <c r="A81" s="4">
        <v>33619</v>
      </c>
      <c r="B81" s="9">
        <f ca="1">Prices!C80*(1+J81/(50*(ABS(O81)+ABS(T81)+0.0001)))</f>
        <v>129.78515326046042</v>
      </c>
      <c r="C81" s="21">
        <f t="shared" ca="1" si="5"/>
        <v>1</v>
      </c>
      <c r="D81" s="9">
        <f ca="1">D80+C81*(Prices!C81-Prices!C80)/Prices!C80</f>
        <v>6.9773954326189311E-2</v>
      </c>
      <c r="E81" s="9">
        <f t="shared" ca="1" si="6"/>
        <v>9.3457943925237541E-4</v>
      </c>
      <c r="F81" s="9">
        <f t="shared" ca="1" si="7"/>
        <v>7.0708533765441686E-2</v>
      </c>
      <c r="G81" s="13">
        <f ca="1">IF((Prices!C81-Prices!C80)*C81&gt;0,1,0)</f>
        <v>0</v>
      </c>
      <c r="H81" s="9">
        <f>ABS(Prices!C81-Prices!C80)/Prices!C80</f>
        <v>9.3457943925237183E-4</v>
      </c>
      <c r="I81" s="13"/>
      <c r="J81" s="1">
        <f t="shared" ca="1" si="8"/>
        <v>6.3042580408609252E-4</v>
      </c>
      <c r="K81" s="9"/>
      <c r="L81" s="9">
        <f ca="1">L80-O81*Prices!C81</f>
        <v>0.98190057835239952</v>
      </c>
      <c r="M81" s="1">
        <f t="shared" ca="1" si="9"/>
        <v>1.0381527381848773E-2</v>
      </c>
      <c r="N81" s="9">
        <f ca="1">IF(Prices!D80&gt;OFFSET(Prices!D80,-$N$3,0),1,-1)</f>
        <v>1</v>
      </c>
      <c r="O81" s="1">
        <f ca="1">IF(N81=1,O$3*L80/Prices!C80,-O$3*M80)</f>
        <v>8.4960074962136124E-4</v>
      </c>
      <c r="P81" s="14"/>
      <c r="Q81" s="9">
        <f ca="1">Q80-T81*Prices!C81</f>
        <v>0.91024546271502105</v>
      </c>
      <c r="R81" s="1">
        <f t="shared" ca="1" si="10"/>
        <v>1.0739572331228166E-2</v>
      </c>
      <c r="S81" s="9">
        <f ca="1">IF(Prices!C80&lt;OFFSET(Prices!C80,-S$3,0),1,-1)</f>
        <v>-1</v>
      </c>
      <c r="T81" s="1">
        <f ca="1">IF(S81=1,T$3*Q80/Prices!C80,-T$3*R80)</f>
        <v>-2.1917494553526869E-4</v>
      </c>
      <c r="V81" s="9"/>
      <c r="W81" s="1"/>
      <c r="X81" s="1"/>
      <c r="Y81" s="1"/>
      <c r="Z81" s="1"/>
      <c r="AA81" s="1"/>
      <c r="AB81" s="1"/>
      <c r="AC81" s="1"/>
      <c r="AD81" s="1"/>
      <c r="AE81" s="16"/>
    </row>
    <row r="82" spans="1:31" x14ac:dyDescent="0.2">
      <c r="A82" s="4">
        <v>33620</v>
      </c>
      <c r="B82" s="9">
        <f ca="1">Prices!C81*(1+J82/(50*(ABS(O82)+ABS(T82)+0.0001)))</f>
        <v>129.58781064875953</v>
      </c>
      <c r="C82" s="21">
        <f t="shared" ref="C82:C145" ca="1" si="11">IF(J82&gt;0,1,IF(J82&lt;0,-1,0))</f>
        <v>1</v>
      </c>
      <c r="D82" s="9">
        <f ca="1">D81+C82*(Prices!C82-Prices!C81)/Prices!C81</f>
        <v>6.3303732935481499E-2</v>
      </c>
      <c r="E82" s="9">
        <f t="shared" ref="E82:E145" ca="1" si="12">F82-D82</f>
        <v>7.404800829960187E-3</v>
      </c>
      <c r="F82" s="9">
        <f t="shared" ref="F82:F145" ca="1" si="13">MAX(F81,D82)</f>
        <v>7.0708533765441686E-2</v>
      </c>
      <c r="G82" s="13">
        <f ca="1">IF((Prices!C82-Prices!C81)*C82&gt;0,1,0)</f>
        <v>0</v>
      </c>
      <c r="H82" s="9">
        <f>ABS(Prices!C82-Prices!C81)/Prices!C81</f>
        <v>6.4702213907078133E-3</v>
      </c>
      <c r="I82" s="13"/>
      <c r="J82" s="1">
        <f t="shared" ref="J82:J145" ca="1" si="14">O82+T82</f>
        <v>5.5064399019520553E-4</v>
      </c>
      <c r="K82" s="9"/>
      <c r="L82" s="9">
        <f ca="1">L81-O82*Prices!C82</f>
        <v>0.88434583192971994</v>
      </c>
      <c r="M82" s="1">
        <f t="shared" ref="M82:M145" ca="1" si="15">M81+O82</f>
        <v>1.1146962818668543E-2</v>
      </c>
      <c r="N82" s="9">
        <f ca="1">IF(Prices!D81&gt;OFFSET(Prices!D81,-$N$3,0),1,-1)</f>
        <v>1</v>
      </c>
      <c r="O82" s="1">
        <f ca="1">IF(N82=1,O$3*L81/Prices!C81,-O$3*M81)</f>
        <v>7.6543543681976891E-4</v>
      </c>
      <c r="P82" s="14"/>
      <c r="Q82" s="9">
        <f ca="1">Q81-T82*Prices!C82</f>
        <v>0.93762063258732165</v>
      </c>
      <c r="R82" s="1">
        <f t="shared" ref="R82:R145" ca="1" si="16">R81+T82</f>
        <v>1.0524780884603603E-2</v>
      </c>
      <c r="S82" s="9">
        <f ca="1">IF(Prices!C81&lt;OFFSET(Prices!C81,-S$3,0),1,-1)</f>
        <v>-1</v>
      </c>
      <c r="T82" s="1">
        <f ca="1">IF(S82=1,T$3*Q81/Prices!C81,-T$3*R81)</f>
        <v>-2.1479144662456333E-4</v>
      </c>
      <c r="V82" s="9"/>
      <c r="W82" s="1"/>
      <c r="X82" s="1"/>
      <c r="Y82" s="1"/>
      <c r="Z82" s="1"/>
      <c r="AA82" s="1"/>
      <c r="AB82" s="1"/>
      <c r="AC82" s="1"/>
      <c r="AD82" s="1"/>
      <c r="AE82" s="16"/>
    </row>
    <row r="83" spans="1:31" x14ac:dyDescent="0.2">
      <c r="A83" s="4">
        <v>33623</v>
      </c>
      <c r="B83" s="9">
        <f ca="1">Prices!C82*(1+J83/(50*(ABS(O83)+ABS(T83)+0.0001)))</f>
        <v>128.67677450786564</v>
      </c>
      <c r="C83" s="21">
        <f t="shared" ca="1" si="11"/>
        <v>1</v>
      </c>
      <c r="D83" s="9">
        <f ca="1">D82+C83*(Prices!C83-Prices!C82)/Prices!C82</f>
        <v>3.5998907513747458E-2</v>
      </c>
      <c r="E83" s="9">
        <f t="shared" ca="1" si="12"/>
        <v>3.4709626251694228E-2</v>
      </c>
      <c r="F83" s="9">
        <f t="shared" ca="1" si="13"/>
        <v>7.0708533765441686E-2</v>
      </c>
      <c r="G83" s="13">
        <f ca="1">IF((Prices!C83-Prices!C82)*C83&gt;0,1,0)</f>
        <v>0</v>
      </c>
      <c r="H83" s="9">
        <f>ABS(Prices!C83-Prices!C82)/Prices!C82</f>
        <v>2.7304825421734045E-2</v>
      </c>
      <c r="I83" s="13"/>
      <c r="J83" s="1">
        <f t="shared" ca="1" si="14"/>
        <v>4.8338106487342018E-4</v>
      </c>
      <c r="K83" s="9"/>
      <c r="L83" s="9">
        <f ca="1">L82-O83*Prices!C83</f>
        <v>0.79832593959207587</v>
      </c>
      <c r="M83" s="1">
        <f t="shared" ca="1" si="15"/>
        <v>1.1840839501234034E-2</v>
      </c>
      <c r="N83" s="9">
        <f ca="1">IF(Prices!D82&gt;OFFSET(Prices!D82,-$N$3,0),1,-1)</f>
        <v>1</v>
      </c>
      <c r="O83" s="1">
        <f ca="1">IF(N83=1,O$3*L82/Prices!C82,-O$3*M82)</f>
        <v>6.9387668256549225E-4</v>
      </c>
      <c r="P83" s="14"/>
      <c r="Q83" s="9">
        <f ca="1">Q82-T83*Prices!C83</f>
        <v>0.9637157743126078</v>
      </c>
      <c r="R83" s="1">
        <f t="shared" ca="1" si="16"/>
        <v>1.031428526691153E-2</v>
      </c>
      <c r="S83" s="9">
        <f ca="1">IF(Prices!C82&lt;OFFSET(Prices!C82,-S$3,0),1,-1)</f>
        <v>-1</v>
      </c>
      <c r="T83" s="1">
        <f ca="1">IF(S83=1,T$3*Q82/Prices!C82,-T$3*R82)</f>
        <v>-2.1049561769207208E-4</v>
      </c>
      <c r="V83" s="9"/>
      <c r="W83" s="1"/>
      <c r="X83" s="1"/>
      <c r="Y83" s="1"/>
      <c r="Z83" s="1"/>
      <c r="AA83" s="1"/>
      <c r="AB83" s="1"/>
      <c r="AC83" s="1"/>
      <c r="AD83" s="1"/>
      <c r="AE83" s="16"/>
    </row>
    <row r="84" spans="1:31" x14ac:dyDescent="0.2">
      <c r="A84" s="4">
        <v>33624</v>
      </c>
      <c r="B84" s="9">
        <f ca="1">Prices!C83*(1+J84/(50*(ABS(O84)+ABS(T84)+0.0001)))</f>
        <v>122.19839467844395</v>
      </c>
      <c r="C84" s="21">
        <f t="shared" ca="1" si="11"/>
        <v>-1</v>
      </c>
      <c r="D84" s="9">
        <f ca="1">D83+C84*(Prices!C84-Prices!C83)/Prices!C83</f>
        <v>4.221008763797103E-2</v>
      </c>
      <c r="E84" s="9">
        <f t="shared" ca="1" si="12"/>
        <v>2.8498446127470656E-2</v>
      </c>
      <c r="F84" s="9">
        <f t="shared" ca="1" si="13"/>
        <v>7.0708533765441686E-2</v>
      </c>
      <c r="G84" s="13">
        <f ca="1">IF((Prices!C84-Prices!C83)*C84&gt;0,1,0)</f>
        <v>1</v>
      </c>
      <c r="H84" s="9">
        <f>ABS(Prices!C84-Prices!C83)/Prices!C83</f>
        <v>6.2111801242235708E-3</v>
      </c>
      <c r="I84" s="13"/>
      <c r="J84" s="1">
        <f t="shared" ca="1" si="14"/>
        <v>-1.0286083069335013E-3</v>
      </c>
      <c r="K84" s="9"/>
      <c r="L84" s="9">
        <f ca="1">L83-O84*Prices!C84</f>
        <v>0.94420508224727917</v>
      </c>
      <c r="M84" s="1">
        <f t="shared" ca="1" si="15"/>
        <v>1.065675555111063E-2</v>
      </c>
      <c r="N84" s="9">
        <f ca="1">IF(Prices!D83&gt;OFFSET(Prices!D83,-$N$3,0),1,-1)</f>
        <v>-1</v>
      </c>
      <c r="O84" s="1">
        <f ca="1">IF(N84=1,O$3*L83/Prices!C83,-O$3*M83)</f>
        <v>-1.1840839501234034E-3</v>
      </c>
      <c r="P84" s="14"/>
      <c r="Q84" s="9">
        <f ca="1">Q83-T84*Prices!C84</f>
        <v>0.94456117507161186</v>
      </c>
      <c r="R84" s="1">
        <f t="shared" ca="1" si="16"/>
        <v>1.0469760910101433E-2</v>
      </c>
      <c r="S84" s="9">
        <f ca="1">IF(Prices!C83&lt;OFFSET(Prices!C83,-S$3,0),1,-1)</f>
        <v>1</v>
      </c>
      <c r="T84" s="1">
        <f ca="1">IF(S84=1,T$3*Q83/Prices!C83,-T$3*R83)</f>
        <v>1.5547564318990205E-4</v>
      </c>
      <c r="V84" s="9"/>
      <c r="W84" s="1"/>
      <c r="X84" s="1"/>
      <c r="Y84" s="1"/>
      <c r="Z84" s="1"/>
      <c r="AA84" s="1"/>
      <c r="AB84" s="1"/>
      <c r="AC84" s="1"/>
      <c r="AD84" s="1"/>
      <c r="AE84" s="16"/>
    </row>
    <row r="85" spans="1:31" x14ac:dyDescent="0.2">
      <c r="A85" s="4">
        <v>33625</v>
      </c>
      <c r="B85" s="9">
        <f ca="1">Prices!C84*(1+J85/(50*(ABS(O85)+ABS(T85)+0.0001)))</f>
        <v>121.49569579522269</v>
      </c>
      <c r="C85" s="21">
        <f t="shared" ca="1" si="11"/>
        <v>-1</v>
      </c>
      <c r="D85" s="9">
        <f ca="1">D84+C85*(Prices!C85-Prices!C84)/Prices!C84</f>
        <v>4.2047749975633403E-2</v>
      </c>
      <c r="E85" s="9">
        <f t="shared" ca="1" si="12"/>
        <v>2.8660783789808283E-2</v>
      </c>
      <c r="F85" s="9">
        <f t="shared" ca="1" si="13"/>
        <v>7.0708533765441686E-2</v>
      </c>
      <c r="G85" s="13">
        <f ca="1">IF((Prices!C85-Prices!C84)*C85&gt;0,1,0)</f>
        <v>0</v>
      </c>
      <c r="H85" s="9">
        <f>ABS(Prices!C85-Prices!C84)/Prices!C84</f>
        <v>1.6233766233763003E-4</v>
      </c>
      <c r="I85" s="13"/>
      <c r="J85" s="1">
        <f t="shared" ca="1" si="14"/>
        <v>-9.1233770201502222E-4</v>
      </c>
      <c r="K85" s="9"/>
      <c r="L85" s="9">
        <f ca="1">L84-O85*Prices!C85</f>
        <v>1.0755176241480644</v>
      </c>
      <c r="M85" s="1">
        <f t="shared" ca="1" si="15"/>
        <v>9.5910799959995664E-3</v>
      </c>
      <c r="N85" s="9">
        <f ca="1">IF(Prices!D84&gt;OFFSET(Prices!D84,-$N$3,0),1,-1)</f>
        <v>-1</v>
      </c>
      <c r="O85" s="1">
        <f ca="1">IF(N85=1,O$3*L84/Prices!C84,-O$3*M84)</f>
        <v>-1.0656755551110631E-3</v>
      </c>
      <c r="P85" s="14"/>
      <c r="Q85" s="9">
        <f ca="1">Q84-T85*Prices!C85</f>
        <v>0.92566688481311765</v>
      </c>
      <c r="R85" s="1">
        <f t="shared" ca="1" si="16"/>
        <v>1.0623098763197475E-2</v>
      </c>
      <c r="S85" s="9">
        <f ca="1">IF(Prices!C84&lt;OFFSET(Prices!C84,-S$3,0),1,-1)</f>
        <v>1</v>
      </c>
      <c r="T85" s="1">
        <f ca="1">IF(S85=1,T$3*Q84/Prices!C84,-T$3*R84)</f>
        <v>1.5333785309604088E-4</v>
      </c>
      <c r="V85" s="9"/>
      <c r="W85" s="1"/>
      <c r="X85" s="1"/>
      <c r="Y85" s="1"/>
      <c r="Z85" s="1"/>
      <c r="AA85" s="1"/>
      <c r="AB85" s="1"/>
      <c r="AC85" s="1"/>
      <c r="AD85" s="1"/>
      <c r="AE85" s="16"/>
    </row>
    <row r="86" spans="1:31" x14ac:dyDescent="0.2">
      <c r="A86" s="4">
        <v>33626</v>
      </c>
      <c r="B86" s="9">
        <f ca="1">Prices!C85*(1+J86/(50*(ABS(O86)+ABS(T86)+0.0001)))</f>
        <v>121.57171615687312</v>
      </c>
      <c r="C86" s="21">
        <f t="shared" ca="1" si="11"/>
        <v>-1</v>
      </c>
      <c r="D86" s="9">
        <f ca="1">D85+C86*(Prices!C86-Prices!C85)/Prices!C85</f>
        <v>3.6529165330283567E-2</v>
      </c>
      <c r="E86" s="9">
        <f t="shared" ca="1" si="12"/>
        <v>3.417936843515812E-2</v>
      </c>
      <c r="F86" s="9">
        <f t="shared" ca="1" si="13"/>
        <v>7.0708533765441686E-2</v>
      </c>
      <c r="G86" s="13">
        <f ca="1">IF((Prices!C86-Prices!C85)*C86&gt;0,1,0)</f>
        <v>0</v>
      </c>
      <c r="H86" s="9">
        <f>ABS(Prices!C86-Prices!C85)/Prices!C85</f>
        <v>5.5185846453498361E-3</v>
      </c>
      <c r="I86" s="13"/>
      <c r="J86" s="1">
        <f t="shared" ca="1" si="14"/>
        <v>-8.0886179203412028E-4</v>
      </c>
      <c r="K86" s="9"/>
      <c r="L86" s="9">
        <f ca="1">L85-O86*Prices!C86</f>
        <v>1.194351105298499</v>
      </c>
      <c r="M86" s="1">
        <f t="shared" ca="1" si="15"/>
        <v>8.6319719963996091E-3</v>
      </c>
      <c r="N86" s="9">
        <f ca="1">IF(Prices!D85&gt;OFFSET(Prices!D85,-$N$3,0),1,-1)</f>
        <v>-1</v>
      </c>
      <c r="O86" s="1">
        <f ca="1">IF(N86=1,O$3*L85/Prices!C85,-O$3*M85)</f>
        <v>-9.5910799959995669E-4</v>
      </c>
      <c r="P86" s="14"/>
      <c r="Q86" s="9">
        <f ca="1">Q85-T86*Prices!C86</f>
        <v>0.90705137969571048</v>
      </c>
      <c r="R86" s="1">
        <f t="shared" ca="1" si="16"/>
        <v>1.0773344970763311E-2</v>
      </c>
      <c r="S86" s="9">
        <f ca="1">IF(Prices!C85&lt;OFFSET(Prices!C85,-S$3,0),1,-1)</f>
        <v>1</v>
      </c>
      <c r="T86" s="1">
        <f ca="1">IF(S86=1,T$3*Q85/Prices!C85,-T$3*R85)</f>
        <v>1.5024620756583636E-4</v>
      </c>
      <c r="V86" s="9"/>
      <c r="W86" s="1"/>
      <c r="X86" s="1"/>
      <c r="Y86" s="1"/>
      <c r="Z86" s="1"/>
      <c r="AA86" s="1"/>
      <c r="AB86" s="1"/>
      <c r="AC86" s="1"/>
      <c r="AD86" s="1"/>
      <c r="AE86" s="16"/>
    </row>
    <row r="87" spans="1:31" x14ac:dyDescent="0.2">
      <c r="A87" s="4">
        <v>33627</v>
      </c>
      <c r="B87" s="9">
        <f ca="1">Prices!C86*(1+J87/(50*(ABS(O87)+ABS(T87)+0.0001)))</f>
        <v>126.17327098327584</v>
      </c>
      <c r="C87" s="21">
        <f t="shared" ca="1" si="11"/>
        <v>1</v>
      </c>
      <c r="D87" s="9">
        <f ca="1">D86+C87*(Prices!C87-Prices!C86)/Prices!C86</f>
        <v>3.2655073320598305E-2</v>
      </c>
      <c r="E87" s="9">
        <f t="shared" ca="1" si="12"/>
        <v>3.8053460444843382E-2</v>
      </c>
      <c r="F87" s="9">
        <f t="shared" ca="1" si="13"/>
        <v>7.0708533765441686E-2</v>
      </c>
      <c r="G87" s="13">
        <f ca="1">IF((Prices!C87-Prices!C86)*C87&gt;0,1,0)</f>
        <v>0</v>
      </c>
      <c r="H87" s="9">
        <f>ABS(Prices!C87-Prices!C86)/Prices!C86</f>
        <v>3.8740920096852621E-3</v>
      </c>
      <c r="I87" s="13"/>
      <c r="J87" s="1">
        <f t="shared" ca="1" si="14"/>
        <v>1.1103804529763043E-3</v>
      </c>
      <c r="K87" s="9"/>
      <c r="L87" s="9">
        <f ca="1">L86-O87*Prices!C87</f>
        <v>1.0753786973760286</v>
      </c>
      <c r="M87" s="1">
        <f t="shared" ca="1" si="15"/>
        <v>9.5959357617736996E-3</v>
      </c>
      <c r="N87" s="9">
        <f ca="1">IF(Prices!D86&gt;OFFSET(Prices!D86,-$N$3,0),1,-1)</f>
        <v>1</v>
      </c>
      <c r="O87" s="1">
        <f ca="1">IF(N87=1,O$3*L86/Prices!C86,-O$3*M86)</f>
        <v>9.6396376537409112E-4</v>
      </c>
      <c r="P87" s="14"/>
      <c r="Q87" s="9">
        <f ca="1">Q86-T87*Prices!C87</f>
        <v>0.8889806321118453</v>
      </c>
      <c r="R87" s="1">
        <f t="shared" ca="1" si="16"/>
        <v>1.0919761658365524E-2</v>
      </c>
      <c r="S87" s="9">
        <f ca="1">IF(Prices!C86&lt;OFFSET(Prices!C86,-S$3,0),1,-1)</f>
        <v>1</v>
      </c>
      <c r="T87" s="1">
        <f ca="1">IF(S87=1,T$3*Q86/Prices!C86,-T$3*R86)</f>
        <v>1.4641668760221314E-4</v>
      </c>
      <c r="V87" s="9"/>
      <c r="W87" s="1"/>
      <c r="X87" s="1"/>
      <c r="Y87" s="1"/>
      <c r="Z87" s="1"/>
      <c r="AA87" s="1"/>
      <c r="AB87" s="1"/>
      <c r="AC87" s="1"/>
      <c r="AD87" s="1"/>
      <c r="AE87" s="16"/>
    </row>
    <row r="88" spans="1:31" x14ac:dyDescent="0.2">
      <c r="A88" s="4">
        <v>33630</v>
      </c>
      <c r="B88" s="9">
        <f ca="1">Prices!C87*(1+J88/(50*(ABS(O88)+ABS(T88)+0.0001)))</f>
        <v>125.66709310364006</v>
      </c>
      <c r="C88" s="21">
        <f t="shared" ca="1" si="11"/>
        <v>1</v>
      </c>
      <c r="D88" s="9">
        <f ca="1">D87+C88*(Prices!C88-Prices!C87)/Prices!C87</f>
        <v>4.8697854069261443E-2</v>
      </c>
      <c r="E88" s="9">
        <f t="shared" ca="1" si="12"/>
        <v>2.2010679696180244E-2</v>
      </c>
      <c r="F88" s="9">
        <f t="shared" ca="1" si="13"/>
        <v>7.0708533765441686E-2</v>
      </c>
      <c r="G88" s="13">
        <f ca="1">IF((Prices!C88-Prices!C87)*C88&gt;0,1,0)</f>
        <v>1</v>
      </c>
      <c r="H88" s="9">
        <f>ABS(Prices!C88-Prices!C87)/Prices!C87</f>
        <v>1.6042780748663134E-2</v>
      </c>
      <c r="I88" s="13"/>
      <c r="J88" s="1">
        <f t="shared" ca="1" si="14"/>
        <v>1.0153741887849602E-3</v>
      </c>
      <c r="K88" s="9"/>
      <c r="L88" s="9">
        <f ca="1">L87-O88*Prices!C88</f>
        <v>0.96611562117204708</v>
      </c>
      <c r="M88" s="1">
        <f t="shared" ca="1" si="15"/>
        <v>1.0467252158934636E-2</v>
      </c>
      <c r="N88" s="9">
        <f ca="1">IF(Prices!D87&gt;OFFSET(Prices!D87,-$N$3,0),1,-1)</f>
        <v>1</v>
      </c>
      <c r="O88" s="1">
        <f ca="1">IF(N88=1,O$3*L87/Prices!C87,-O$3*M87)</f>
        <v>8.7131639716093729E-4</v>
      </c>
      <c r="P88" s="14"/>
      <c r="Q88" s="9">
        <f ca="1">Q87-T88*Prices!C88</f>
        <v>0.8709157850421928</v>
      </c>
      <c r="R88" s="1">
        <f t="shared" ca="1" si="16"/>
        <v>1.1063819449989546E-2</v>
      </c>
      <c r="S88" s="9">
        <f ca="1">IF(Prices!C87&lt;OFFSET(Prices!C87,-S$3,0),1,-1)</f>
        <v>1</v>
      </c>
      <c r="T88" s="1">
        <f ca="1">IF(S88=1,T$3*Q87/Prices!C87,-T$3*R87)</f>
        <v>1.440577916240229E-4</v>
      </c>
      <c r="V88" s="9"/>
      <c r="W88" s="1"/>
      <c r="X88" s="1"/>
      <c r="Y88" s="1"/>
      <c r="Z88" s="1"/>
      <c r="AA88" s="1"/>
      <c r="AB88" s="1"/>
      <c r="AC88" s="1"/>
      <c r="AD88" s="1"/>
      <c r="AE88" s="16"/>
    </row>
    <row r="89" spans="1:31" x14ac:dyDescent="0.2">
      <c r="A89" s="4">
        <v>33631</v>
      </c>
      <c r="B89" s="9">
        <f ca="1">Prices!C88*(1+J89/(50*(ABS(O89)+ABS(T89)+0.0001)))</f>
        <v>126.66157883950167</v>
      </c>
      <c r="C89" s="21">
        <f t="shared" ca="1" si="11"/>
        <v>1</v>
      </c>
      <c r="D89" s="9">
        <f ca="1">D88+C89*(Prices!C89-Prices!C88)/Prices!C88</f>
        <v>5.0452240034173715E-2</v>
      </c>
      <c r="E89" s="9">
        <f t="shared" ca="1" si="12"/>
        <v>2.0256293731267971E-2</v>
      </c>
      <c r="F89" s="9">
        <f t="shared" ca="1" si="13"/>
        <v>7.0708533765441686E-2</v>
      </c>
      <c r="G89" s="13">
        <f ca="1">IF((Prices!C89-Prices!C88)*C89&gt;0,1,0)</f>
        <v>1</v>
      </c>
      <c r="H89" s="9">
        <f>ABS(Prices!C89-Prices!C88)/Prices!C88</f>
        <v>1.7543859649122716E-3</v>
      </c>
      <c r="I89" s="13"/>
      <c r="J89" s="1">
        <f t="shared" ca="1" si="14"/>
        <v>5.4915074112145868E-4</v>
      </c>
      <c r="K89" s="9"/>
      <c r="L89" s="9">
        <f ca="1">L88-O89*Prices!C89</f>
        <v>0.86933456508621565</v>
      </c>
      <c r="M89" s="1">
        <f t="shared" ca="1" si="15"/>
        <v>1.1237679289055886E-2</v>
      </c>
      <c r="N89" s="9">
        <f ca="1">IF(Prices!D88&gt;OFFSET(Prices!D88,-$N$3,0),1,-1)</f>
        <v>1</v>
      </c>
      <c r="O89" s="1">
        <f ca="1">IF(N89=1,O$3*L88/Prices!C88,-O$3*M88)</f>
        <v>7.7042713012124967E-4</v>
      </c>
      <c r="P89" s="14"/>
      <c r="Q89" s="9">
        <f ca="1">Q88-T89*Prices!C89</f>
        <v>0.89871252502834653</v>
      </c>
      <c r="R89" s="1">
        <f t="shared" ca="1" si="16"/>
        <v>1.0842543060989756E-2</v>
      </c>
      <c r="S89" s="9">
        <f ca="1">IF(Prices!C88&lt;OFFSET(Prices!C88,-S$3,0),1,-1)</f>
        <v>-1</v>
      </c>
      <c r="T89" s="1">
        <f ca="1">IF(S89=1,T$3*Q88/Prices!C88,-T$3*R88)</f>
        <v>-2.2127638899979094E-4</v>
      </c>
      <c r="V89" s="9"/>
      <c r="W89" s="1"/>
      <c r="X89" s="1"/>
      <c r="Y89" s="1"/>
      <c r="Z89" s="1"/>
      <c r="AA89" s="1"/>
      <c r="AB89" s="1"/>
      <c r="AC89" s="1"/>
      <c r="AD89" s="1"/>
      <c r="AE89" s="16"/>
    </row>
    <row r="90" spans="1:31" x14ac:dyDescent="0.2">
      <c r="A90" s="4">
        <v>33632</v>
      </c>
      <c r="B90" s="9">
        <f ca="1">Prices!C89*(1+J90/(50*(ABS(O90)+ABS(T90)+0.0001)))</f>
        <v>123.28199728103098</v>
      </c>
      <c r="C90" s="21">
        <f t="shared" ca="1" si="11"/>
        <v>-1</v>
      </c>
      <c r="D90" s="9">
        <f ca="1">D89+C90*(Prices!C90-Prices!C89)/Prices!C89</f>
        <v>5.1805527727216236E-2</v>
      </c>
      <c r="E90" s="9">
        <f t="shared" ca="1" si="12"/>
        <v>1.8903006038225451E-2</v>
      </c>
      <c r="F90" s="9">
        <f t="shared" ca="1" si="13"/>
        <v>7.0708533765441686E-2</v>
      </c>
      <c r="G90" s="13">
        <f ca="1">IF((Prices!C90-Prices!C89)*C90&gt;0,1,0)</f>
        <v>1</v>
      </c>
      <c r="H90" s="9">
        <f>ABS(Prices!C90-Prices!C89)/Prices!C89</f>
        <v>1.3532876930425228E-3</v>
      </c>
      <c r="I90" s="13"/>
      <c r="J90" s="1">
        <f t="shared" ca="1" si="14"/>
        <v>-1.3406187901253838E-3</v>
      </c>
      <c r="K90" s="9"/>
      <c r="L90" s="9">
        <f ca="1">L89-O90*Prices!C90</f>
        <v>1.0103112517674218</v>
      </c>
      <c r="M90" s="1">
        <f t="shared" ca="1" si="15"/>
        <v>1.0113911360150296E-2</v>
      </c>
      <c r="N90" s="9">
        <f ca="1">IF(Prices!D89&gt;OFFSET(Prices!D89,-$N$3,0),1,-1)</f>
        <v>-1</v>
      </c>
      <c r="O90" s="1">
        <f ca="1">IF(N90=1,O$3*L89/Prices!C89,-O$3*M89)</f>
        <v>-1.1237679289055886E-3</v>
      </c>
      <c r="P90" s="14"/>
      <c r="Q90" s="9">
        <f ca="1">Q89-T90*Prices!C90</f>
        <v>0.92591646556836982</v>
      </c>
      <c r="R90" s="1">
        <f t="shared" ca="1" si="16"/>
        <v>1.0625692199769962E-2</v>
      </c>
      <c r="S90" s="9">
        <f ca="1">IF(Prices!C89&lt;OFFSET(Prices!C89,-S$3,0),1,-1)</f>
        <v>-1</v>
      </c>
      <c r="T90" s="1">
        <f ca="1">IF(S90=1,T$3*Q89/Prices!C89,-T$3*R89)</f>
        <v>-2.1685086121979512E-4</v>
      </c>
      <c r="V90" s="9"/>
      <c r="W90" s="1"/>
      <c r="X90" s="1"/>
      <c r="Y90" s="1"/>
      <c r="Z90" s="1"/>
      <c r="AA90" s="1"/>
      <c r="AB90" s="1"/>
      <c r="AC90" s="1"/>
      <c r="AD90" s="1"/>
      <c r="AE90" s="16"/>
    </row>
    <row r="91" spans="1:31" x14ac:dyDescent="0.2">
      <c r="A91" s="4">
        <v>33633</v>
      </c>
      <c r="B91" s="9">
        <f ca="1">Prices!C90*(1+J91/(50*(ABS(O91)+ABS(T91)+0.0001)))</f>
        <v>126.78059640472277</v>
      </c>
      <c r="C91" s="21">
        <f t="shared" ca="1" si="11"/>
        <v>1</v>
      </c>
      <c r="D91" s="9">
        <f ca="1">D90+C91*(Prices!C91-Prices!C90)/Prices!C90</f>
        <v>5.6189744546666191E-2</v>
      </c>
      <c r="E91" s="9">
        <f t="shared" ca="1" si="12"/>
        <v>1.4518789218775495E-2</v>
      </c>
      <c r="F91" s="9">
        <f t="shared" ca="1" si="13"/>
        <v>7.0708533765441686E-2</v>
      </c>
      <c r="G91" s="13">
        <f ca="1">IF((Prices!C91-Prices!C90)*C91&gt;0,1,0)</f>
        <v>1</v>
      </c>
      <c r="H91" s="9">
        <f>ABS(Prices!C91-Prices!C90)/Prices!C90</f>
        <v>4.3842168194499574E-3</v>
      </c>
      <c r="I91" s="13"/>
      <c r="J91" s="1">
        <f t="shared" ca="1" si="14"/>
        <v>5.9283589834610876E-4</v>
      </c>
      <c r="K91" s="9"/>
      <c r="L91" s="9">
        <f ca="1">L90-O91*Prices!C91</f>
        <v>0.90883718423239179</v>
      </c>
      <c r="M91" s="1">
        <f t="shared" ca="1" si="15"/>
        <v>1.0919261102491805E-2</v>
      </c>
      <c r="N91" s="9">
        <f ca="1">IF(Prices!D90&gt;OFFSET(Prices!D90,-$N$3,0),1,-1)</f>
        <v>1</v>
      </c>
      <c r="O91" s="1">
        <f ca="1">IF(N91=1,O$3*L90/Prices!C90,-O$3*M90)</f>
        <v>8.0534974234150794E-4</v>
      </c>
      <c r="P91" s="14"/>
      <c r="Q91" s="9">
        <f ca="1">Q90-T91*Prices!C91</f>
        <v>0.95269320991179007</v>
      </c>
      <c r="R91" s="1">
        <f t="shared" ca="1" si="16"/>
        <v>1.0413178355774563E-2</v>
      </c>
      <c r="S91" s="9">
        <f ca="1">IF(Prices!C90&lt;OFFSET(Prices!C90,-S$3,0),1,-1)</f>
        <v>-1</v>
      </c>
      <c r="T91" s="1">
        <f ca="1">IF(S91=1,T$3*Q90/Prices!C90,-T$3*R90)</f>
        <v>-2.1251384399539923E-4</v>
      </c>
      <c r="V91" s="9"/>
      <c r="W91" s="1"/>
      <c r="X91" s="1"/>
      <c r="Y91" s="1"/>
      <c r="Z91" s="1"/>
      <c r="AA91" s="1"/>
      <c r="AB91" s="1"/>
      <c r="AC91" s="1"/>
      <c r="AD91" s="1"/>
      <c r="AE91" s="16"/>
    </row>
    <row r="92" spans="1:31" x14ac:dyDescent="0.2">
      <c r="A92" s="4">
        <v>33634</v>
      </c>
      <c r="B92" s="9">
        <f ca="1">Prices!C91*(1+J92/(50*(ABS(O92)+ABS(T92)+0.0001)))</f>
        <v>127.25572721649151</v>
      </c>
      <c r="C92" s="21">
        <f t="shared" ca="1" si="11"/>
        <v>1</v>
      </c>
      <c r="D92" s="9">
        <f ca="1">D91+C92*(Prices!C92-Prices!C91)/Prices!C91</f>
        <v>5.2618315975237598E-2</v>
      </c>
      <c r="E92" s="9">
        <f t="shared" ca="1" si="12"/>
        <v>1.8090217790204088E-2</v>
      </c>
      <c r="F92" s="9">
        <f t="shared" ca="1" si="13"/>
        <v>7.0708533765441686E-2</v>
      </c>
      <c r="G92" s="13">
        <f ca="1">IF((Prices!C92-Prices!C91)*C92&gt;0,1,0)</f>
        <v>0</v>
      </c>
      <c r="H92" s="9">
        <f>ABS(Prices!C92-Prices!C91)/Prices!C91</f>
        <v>3.5714285714285939E-3</v>
      </c>
      <c r="I92" s="13"/>
      <c r="J92" s="1">
        <f t="shared" ca="1" si="14"/>
        <v>5.1303578544989903E-4</v>
      </c>
      <c r="K92" s="9"/>
      <c r="L92" s="9">
        <f ca="1">L91-O92*Prices!C92</f>
        <v>0.818278050517807</v>
      </c>
      <c r="M92" s="1">
        <f t="shared" ca="1" si="15"/>
        <v>1.1640560455057194E-2</v>
      </c>
      <c r="N92" s="9">
        <f ca="1">IF(Prices!D91&gt;OFFSET(Prices!D91,-$N$3,0),1,-1)</f>
        <v>1</v>
      </c>
      <c r="O92" s="1">
        <f ca="1">IF(N92=1,O$3*L91/Prices!C91,-O$3*M91)</f>
        <v>7.212993525653903E-4</v>
      </c>
      <c r="P92" s="14"/>
      <c r="Q92" s="9">
        <f ca="1">Q91-T92*Prices!C92</f>
        <v>0.97884070076314</v>
      </c>
      <c r="R92" s="1">
        <f t="shared" ca="1" si="16"/>
        <v>1.0204914788659071E-2</v>
      </c>
      <c r="S92" s="9">
        <f ca="1">IF(Prices!C91&lt;OFFSET(Prices!C91,-S$3,0),1,-1)</f>
        <v>-1</v>
      </c>
      <c r="T92" s="1">
        <f ca="1">IF(S92=1,T$3*Q91/Prices!C91,-T$3*R91)</f>
        <v>-2.0826356711549127E-4</v>
      </c>
      <c r="V92" s="9"/>
      <c r="W92" s="1"/>
      <c r="X92" s="1"/>
      <c r="Y92" s="1"/>
      <c r="Z92" s="1"/>
      <c r="AA92" s="1"/>
      <c r="AB92" s="1"/>
      <c r="AC92" s="1"/>
      <c r="AD92" s="1"/>
      <c r="AE92" s="16"/>
    </row>
    <row r="93" spans="1:31" x14ac:dyDescent="0.2">
      <c r="A93" s="4">
        <v>33637</v>
      </c>
      <c r="B93" s="9">
        <f ca="1">Prices!C92*(1+J93/(50*(ABS(O93)+ABS(T93)+0.0001)))</f>
        <v>126.72598130906569</v>
      </c>
      <c r="C93" s="21">
        <f t="shared" ca="1" si="11"/>
        <v>1</v>
      </c>
      <c r="D93" s="9">
        <f ca="1">D92+C93*(Prices!C93-Prices!C92)/Prices!C92</f>
        <v>5.580429765584298E-2</v>
      </c>
      <c r="E93" s="9">
        <f t="shared" ca="1" si="12"/>
        <v>1.4904236109598706E-2</v>
      </c>
      <c r="F93" s="9">
        <f t="shared" ca="1" si="13"/>
        <v>7.0708533765441686E-2</v>
      </c>
      <c r="G93" s="13">
        <f ca="1">IF((Prices!C93-Prices!C92)*C93&gt;0,1,0)</f>
        <v>1</v>
      </c>
      <c r="H93" s="9">
        <f>ABS(Prices!C93-Prices!C92)/Prices!C92</f>
        <v>3.185981680605382E-3</v>
      </c>
      <c r="I93" s="13"/>
      <c r="J93" s="1">
        <f t="shared" ca="1" si="14"/>
        <v>4.4765642387461395E-4</v>
      </c>
      <c r="K93" s="9"/>
      <c r="L93" s="9">
        <f ca="1">L92-O93*Prices!C93</f>
        <v>0.73618954357816713</v>
      </c>
      <c r="M93" s="1">
        <f t="shared" ca="1" si="15"/>
        <v>1.229231517470499E-2</v>
      </c>
      <c r="N93" s="9">
        <f ca="1">IF(Prices!D92&gt;OFFSET(Prices!D92,-$N$3,0),1,-1)</f>
        <v>1</v>
      </c>
      <c r="O93" s="1">
        <f ca="1">IF(N93=1,O$3*L92/Prices!C92,-O$3*M92)</f>
        <v>6.517547196477954E-4</v>
      </c>
      <c r="P93" s="14"/>
      <c r="Q93" s="9">
        <f ca="1">Q92-T93*Prices!C93</f>
        <v>1.0045468811157723</v>
      </c>
      <c r="R93" s="1">
        <f t="shared" ca="1" si="16"/>
        <v>1.0000816492885889E-2</v>
      </c>
      <c r="S93" s="9">
        <f ca="1">IF(Prices!C92&lt;OFFSET(Prices!C92,-S$3,0),1,-1)</f>
        <v>-1</v>
      </c>
      <c r="T93" s="1">
        <f ca="1">IF(S93=1,T$3*Q92/Prices!C92,-T$3*R92)</f>
        <v>-2.0409829577318142E-4</v>
      </c>
      <c r="V93" s="9"/>
      <c r="W93" s="1"/>
      <c r="X93" s="1"/>
      <c r="Y93" s="1"/>
      <c r="Z93" s="1"/>
      <c r="AA93" s="1"/>
      <c r="AB93" s="1"/>
      <c r="AC93" s="1"/>
      <c r="AD93" s="1"/>
      <c r="AE93" s="16"/>
    </row>
    <row r="94" spans="1:31" x14ac:dyDescent="0.2">
      <c r="A94" s="4">
        <v>33638</v>
      </c>
      <c r="B94" s="9">
        <f ca="1">Prices!C93*(1+J94/(50*(ABS(O94)+ABS(T94)+0.0001)))</f>
        <v>127.04498000940011</v>
      </c>
      <c r="C94" s="21">
        <f t="shared" ca="1" si="11"/>
        <v>1</v>
      </c>
      <c r="D94" s="9">
        <f ca="1">D93+C94*(Prices!C94-Prices!C93)/Prices!C93</f>
        <v>5.7392229374779086E-2</v>
      </c>
      <c r="E94" s="9">
        <f t="shared" ca="1" si="12"/>
        <v>1.3316304390662601E-2</v>
      </c>
      <c r="F94" s="9">
        <f t="shared" ca="1" si="13"/>
        <v>7.0708533765441686E-2</v>
      </c>
      <c r="G94" s="13">
        <f ca="1">IF((Prices!C94-Prices!C93)*C94&gt;0,1,0)</f>
        <v>1</v>
      </c>
      <c r="H94" s="9">
        <f>ABS(Prices!C94-Prices!C93)/Prices!C93</f>
        <v>1.5879317189361082E-3</v>
      </c>
      <c r="I94" s="13"/>
      <c r="J94" s="1">
        <f t="shared" ca="1" si="14"/>
        <v>3.8449303384070798E-4</v>
      </c>
      <c r="K94" s="9"/>
      <c r="L94" s="9">
        <f ca="1">L93-O94*Prices!C94</f>
        <v>0.66245368734761068</v>
      </c>
      <c r="M94" s="1">
        <f t="shared" ca="1" si="15"/>
        <v>1.2876824538403416E-2</v>
      </c>
      <c r="N94" s="9">
        <f ca="1">IF(Prices!D93&gt;OFFSET(Prices!D93,-$N$3,0),1,-1)</f>
        <v>1</v>
      </c>
      <c r="O94" s="1">
        <f ca="1">IF(N94=1,O$3*L93/Prices!C93,-O$3*M93)</f>
        <v>5.8450936369842574E-4</v>
      </c>
      <c r="P94" s="14"/>
      <c r="Q94" s="9">
        <f ca="1">Q93-T94*Prices!C94</f>
        <v>1.0297789411273235</v>
      </c>
      <c r="R94" s="1">
        <f t="shared" ca="1" si="16"/>
        <v>9.800800163028171E-3</v>
      </c>
      <c r="S94" s="9">
        <f ca="1">IF(Prices!C93&lt;OFFSET(Prices!C93,-S$3,0),1,-1)</f>
        <v>-1</v>
      </c>
      <c r="T94" s="1">
        <f ca="1">IF(S94=1,T$3*Q93/Prices!C93,-T$3*R93)</f>
        <v>-2.0001632985771779E-4</v>
      </c>
      <c r="V94" s="9"/>
      <c r="W94" s="1"/>
      <c r="X94" s="1"/>
      <c r="Y94" s="1"/>
      <c r="Z94" s="1"/>
      <c r="AA94" s="1"/>
      <c r="AB94" s="1"/>
      <c r="AC94" s="1"/>
      <c r="AD94" s="1"/>
      <c r="AE94" s="16"/>
    </row>
    <row r="95" spans="1:31" x14ac:dyDescent="0.2">
      <c r="A95" s="4">
        <v>33639</v>
      </c>
      <c r="B95" s="9">
        <f ca="1">Prices!C94*(1+J95/(50*(ABS(O95)+ABS(T95)+0.0001)))</f>
        <v>123.78631063067515</v>
      </c>
      <c r="C95" s="21">
        <f t="shared" ca="1" si="11"/>
        <v>-1</v>
      </c>
      <c r="D95" s="9">
        <f ca="1">D94+C95*(Prices!C95-Prices!C94)/Prices!C94</f>
        <v>5.9928892077910335E-2</v>
      </c>
      <c r="E95" s="9">
        <f t="shared" ca="1" si="12"/>
        <v>1.0779641687531351E-2</v>
      </c>
      <c r="F95" s="9">
        <f t="shared" ca="1" si="13"/>
        <v>7.0708533765441686E-2</v>
      </c>
      <c r="G95" s="13">
        <f ca="1">IF((Prices!C95-Prices!C94)*C95&gt;0,1,0)</f>
        <v>1</v>
      </c>
      <c r="H95" s="9">
        <f>ABS(Prices!C95-Prices!C94)/Prices!C94</f>
        <v>2.5366627031312514E-3</v>
      </c>
      <c r="I95" s="13"/>
      <c r="J95" s="1">
        <f t="shared" ca="1" si="14"/>
        <v>-1.4836984571009052E-3</v>
      </c>
      <c r="K95" s="9"/>
      <c r="L95" s="9">
        <f ca="1">L94-O95*Prices!C95</f>
        <v>0.82448277051434093</v>
      </c>
      <c r="M95" s="1">
        <f t="shared" ca="1" si="15"/>
        <v>1.1589142084563074E-2</v>
      </c>
      <c r="N95" s="9">
        <f ca="1">IF(Prices!D94&gt;OFFSET(Prices!D94,-$N$3,0),1,-1)</f>
        <v>-1</v>
      </c>
      <c r="O95" s="1">
        <f ca="1">IF(N95=1,O$3*L94/Prices!C94,-O$3*M94)</f>
        <v>-1.2876824538403417E-3</v>
      </c>
      <c r="P95" s="14"/>
      <c r="Q95" s="9">
        <f ca="1">Q94-T95*Prices!C95</f>
        <v>1.0544436348176003</v>
      </c>
      <c r="R95" s="1">
        <f t="shared" ca="1" si="16"/>
        <v>9.604784159767607E-3</v>
      </c>
      <c r="S95" s="9">
        <f ca="1">IF(Prices!C94&lt;OFFSET(Prices!C94,-S$3,0),1,-1)</f>
        <v>-1</v>
      </c>
      <c r="T95" s="1">
        <f ca="1">IF(S95=1,T$3*Q94/Prices!C94,-T$3*R94)</f>
        <v>-1.9601600326056342E-4</v>
      </c>
      <c r="V95" s="9"/>
      <c r="W95" s="1"/>
      <c r="X95" s="1"/>
      <c r="Y95" s="1"/>
      <c r="Z95" s="1"/>
      <c r="AA95" s="1"/>
      <c r="AB95" s="1"/>
      <c r="AC95" s="1"/>
      <c r="AD95" s="1"/>
      <c r="AE95" s="16"/>
    </row>
    <row r="96" spans="1:31" x14ac:dyDescent="0.2">
      <c r="A96" s="4">
        <v>33640</v>
      </c>
      <c r="B96" s="9">
        <f ca="1">Prices!C95*(1+J96/(50*(ABS(O96)+ABS(T96)+0.0001)))</f>
        <v>124.08115705217433</v>
      </c>
      <c r="C96" s="21">
        <f t="shared" ca="1" si="11"/>
        <v>-1</v>
      </c>
      <c r="D96" s="9">
        <f ca="1">D95+C96*(Prices!C96-Prices!C95)/Prices!C95</f>
        <v>6.13593935481479E-2</v>
      </c>
      <c r="E96" s="9">
        <f t="shared" ca="1" si="12"/>
        <v>9.349140217293786E-3</v>
      </c>
      <c r="F96" s="9">
        <f t="shared" ca="1" si="13"/>
        <v>7.0708533765441686E-2</v>
      </c>
      <c r="G96" s="13">
        <f ca="1">IF((Prices!C96-Prices!C95)*C96&gt;0,1,0)</f>
        <v>1</v>
      </c>
      <c r="H96" s="9">
        <f>ABS(Prices!C96-Prices!C95)/Prices!C95</f>
        <v>1.4305014702375636E-3</v>
      </c>
      <c r="I96" s="13"/>
      <c r="J96" s="1">
        <f t="shared" ca="1" si="14"/>
        <v>-9.9131607846860955E-4</v>
      </c>
      <c r="K96" s="9"/>
      <c r="L96" s="9">
        <f ca="1">L95-O96*Prices!C96</f>
        <v>0.97010034080687602</v>
      </c>
      <c r="M96" s="1">
        <f t="shared" ca="1" si="15"/>
        <v>1.0430227876106767E-2</v>
      </c>
      <c r="N96" s="9">
        <f ca="1">IF(Prices!D95&gt;OFFSET(Prices!D95,-$N$3,0),1,-1)</f>
        <v>-1</v>
      </c>
      <c r="O96" s="1">
        <f ca="1">IF(N96=1,O$3*L95/Prices!C95,-O$3*M95)</f>
        <v>-1.1589142084563074E-3</v>
      </c>
      <c r="P96" s="14"/>
      <c r="Q96" s="9">
        <f ca="1">Q95-T96*Prices!C96</f>
        <v>1.033384929784646</v>
      </c>
      <c r="R96" s="1">
        <f t="shared" ca="1" si="16"/>
        <v>9.7723822897553044E-3</v>
      </c>
      <c r="S96" s="9">
        <f ca="1">IF(Prices!C95&lt;OFFSET(Prices!C95,-S$3,0),1,-1)</f>
        <v>1</v>
      </c>
      <c r="T96" s="1">
        <f ca="1">IF(S96=1,T$3*Q95/Prices!C95,-T$3*R95)</f>
        <v>1.6759812998769772E-4</v>
      </c>
      <c r="V96" s="9"/>
      <c r="W96" s="1"/>
      <c r="X96" s="1"/>
      <c r="Y96" s="1"/>
      <c r="Z96" s="1"/>
      <c r="AA96" s="1"/>
      <c r="AB96" s="1"/>
      <c r="AC96" s="1"/>
      <c r="AD96" s="1"/>
      <c r="AE96" s="16"/>
    </row>
    <row r="97" spans="1:31" x14ac:dyDescent="0.2">
      <c r="A97" s="4">
        <v>33641</v>
      </c>
      <c r="B97" s="9">
        <f ca="1">Prices!C96*(1+J97/(50*(ABS(O97)+ABS(T97)+0.0001)))</f>
        <v>123.32475162583201</v>
      </c>
      <c r="C97" s="21">
        <f t="shared" ca="1" si="11"/>
        <v>-1</v>
      </c>
      <c r="D97" s="9">
        <f ca="1">D96+C97*(Prices!C97-Prices!C96)/Prices!C96</f>
        <v>6.478159808455862E-2</v>
      </c>
      <c r="E97" s="9">
        <f t="shared" ca="1" si="12"/>
        <v>5.9269356808830664E-3</v>
      </c>
      <c r="F97" s="9">
        <f t="shared" ca="1" si="13"/>
        <v>7.0708533765441686E-2</v>
      </c>
      <c r="G97" s="13">
        <f ca="1">IF((Prices!C97-Prices!C96)*C97&gt;0,1,0)</f>
        <v>1</v>
      </c>
      <c r="H97" s="9">
        <f>ABS(Prices!C97-Prices!C96)/Prices!C96</f>
        <v>3.4222045364107187E-3</v>
      </c>
      <c r="I97" s="13"/>
      <c r="J97" s="1">
        <f t="shared" ca="1" si="14"/>
        <v>-1.2384704334057828E-3</v>
      </c>
      <c r="K97" s="9"/>
      <c r="L97" s="9">
        <f ca="1">L96-O97*Prices!C97</f>
        <v>1.1007076542714849</v>
      </c>
      <c r="M97" s="1">
        <f t="shared" ca="1" si="15"/>
        <v>9.3872050884960898E-3</v>
      </c>
      <c r="N97" s="9">
        <f ca="1">IF(Prices!D96&gt;OFFSET(Prices!D96,-$N$3,0),1,-1)</f>
        <v>-1</v>
      </c>
      <c r="O97" s="1">
        <f ca="1">IF(N97=1,O$3*L96/Prices!C96,-O$3*M96)</f>
        <v>-1.0430227876106768E-3</v>
      </c>
      <c r="P97" s="14"/>
      <c r="Q97" s="9">
        <f ca="1">Q96-T97*Prices!C97</f>
        <v>1.0578588839911092</v>
      </c>
      <c r="R97" s="1">
        <f t="shared" ca="1" si="16"/>
        <v>9.5769346439601982E-3</v>
      </c>
      <c r="S97" s="9">
        <f ca="1">IF(Prices!C96&lt;OFFSET(Prices!C96,-S$3,0),1,-1)</f>
        <v>-1</v>
      </c>
      <c r="T97" s="1">
        <f ca="1">IF(S97=1,T$3*Q96/Prices!C96,-T$3*R96)</f>
        <v>-1.954476457951061E-4</v>
      </c>
      <c r="V97" s="9"/>
      <c r="W97" s="1"/>
      <c r="X97" s="1"/>
      <c r="Y97" s="1"/>
      <c r="Z97" s="1"/>
      <c r="AA97" s="1"/>
      <c r="AB97" s="1"/>
      <c r="AC97" s="1"/>
      <c r="AD97" s="1"/>
      <c r="AE97" s="16"/>
    </row>
    <row r="98" spans="1:31" x14ac:dyDescent="0.2">
      <c r="A98" s="4">
        <v>33644</v>
      </c>
      <c r="B98" s="9">
        <f ca="1">Prices!C97*(1+J98/(50*(ABS(O98)+ABS(T98)+0.0001)))</f>
        <v>123.62372682010104</v>
      </c>
      <c r="C98" s="21">
        <f t="shared" ca="1" si="11"/>
        <v>-1</v>
      </c>
      <c r="D98" s="9">
        <f ca="1">D97+C98*(Prices!C98-Prices!C97)/Prices!C97</f>
        <v>5.2962399873410212E-2</v>
      </c>
      <c r="E98" s="9">
        <f t="shared" ca="1" si="12"/>
        <v>1.7746133892031474E-2</v>
      </c>
      <c r="F98" s="9">
        <f t="shared" ca="1" si="13"/>
        <v>7.0708533765441686E-2</v>
      </c>
      <c r="G98" s="13">
        <f ca="1">IF((Prices!C98-Prices!C97)*C98&gt;0,1,0)</f>
        <v>0</v>
      </c>
      <c r="H98" s="9">
        <f>ABS(Prices!C98-Prices!C97)/Prices!C97</f>
        <v>1.1819198211148411E-2</v>
      </c>
      <c r="I98" s="13"/>
      <c r="J98" s="1">
        <f t="shared" ca="1" si="14"/>
        <v>-7.6976045710210712E-4</v>
      </c>
      <c r="K98" s="9"/>
      <c r="L98" s="9">
        <f ca="1">L97-O98*Prices!C98</f>
        <v>1.2196435427427303</v>
      </c>
      <c r="M98" s="1">
        <f t="shared" ca="1" si="15"/>
        <v>8.448484579646481E-3</v>
      </c>
      <c r="N98" s="9">
        <f ca="1">IF(Prices!D97&gt;OFFSET(Prices!D97,-$N$3,0),1,-1)</f>
        <v>-1</v>
      </c>
      <c r="O98" s="1">
        <f ca="1">IF(N98=1,O$3*L97/Prices!C97,-O$3*M97)</f>
        <v>-9.3872050884960903E-4</v>
      </c>
      <c r="P98" s="14"/>
      <c r="Q98" s="9">
        <f ca="1">Q97-T98*Prices!C98</f>
        <v>1.0364516454347006</v>
      </c>
      <c r="R98" s="1">
        <f t="shared" ca="1" si="16"/>
        <v>9.7458946957076995E-3</v>
      </c>
      <c r="S98" s="9">
        <f ca="1">IF(Prices!C97&lt;OFFSET(Prices!C97,-S$3,0),1,-1)</f>
        <v>1</v>
      </c>
      <c r="T98" s="1">
        <f ca="1">IF(S98=1,T$3*Q97/Prices!C97,-T$3*R97)</f>
        <v>1.6896005174750188E-4</v>
      </c>
      <c r="V98" s="9"/>
      <c r="W98" s="1"/>
      <c r="X98" s="1"/>
      <c r="Y98" s="1"/>
      <c r="Z98" s="1"/>
      <c r="AA98" s="1"/>
      <c r="AB98" s="1"/>
      <c r="AC98" s="1"/>
      <c r="AD98" s="1"/>
      <c r="AE98" s="16"/>
    </row>
    <row r="99" spans="1:31" x14ac:dyDescent="0.2">
      <c r="A99" s="4">
        <v>33645</v>
      </c>
      <c r="B99" s="9">
        <f ca="1">Prices!C98*(1+J99/(50*(ABS(O99)+ABS(T99)+0.0001)))</f>
        <v>128.24695955050149</v>
      </c>
      <c r="C99" s="21">
        <f t="shared" ca="1" si="11"/>
        <v>1</v>
      </c>
      <c r="D99" s="9">
        <f ca="1">D98+C99*(Prices!C99-Prices!C98)/Prices!C98</f>
        <v>5.4777711633473385E-2</v>
      </c>
      <c r="E99" s="9">
        <f t="shared" ca="1" si="12"/>
        <v>1.5930822131968302E-2</v>
      </c>
      <c r="F99" s="9">
        <f t="shared" ca="1" si="13"/>
        <v>7.0708533765441686E-2</v>
      </c>
      <c r="G99" s="13">
        <f ca="1">IF((Prices!C99-Prices!C98)*C99&gt;0,1,0)</f>
        <v>1</v>
      </c>
      <c r="H99" s="9">
        <f>ABS(Prices!C99-Prices!C98)/Prices!C98</f>
        <v>1.8153117600631726E-3</v>
      </c>
      <c r="I99" s="13"/>
      <c r="J99" s="1">
        <f t="shared" ca="1" si="14"/>
        <v>7.6770526531452039E-4</v>
      </c>
      <c r="K99" s="9"/>
      <c r="L99" s="9">
        <f ca="1">L98-O99*Prices!C99</f>
        <v>1.0974577851418348</v>
      </c>
      <c r="M99" s="1">
        <f t="shared" ca="1" si="15"/>
        <v>9.4111077388751557E-3</v>
      </c>
      <c r="N99" s="9">
        <f ca="1">IF(Prices!D98&gt;OFFSET(Prices!D98,-$N$3,0),1,-1)</f>
        <v>1</v>
      </c>
      <c r="O99" s="1">
        <f ca="1">IF(N99=1,O$3*L98/Prices!C98,-O$3*M98)</f>
        <v>9.6262315922867442E-4</v>
      </c>
      <c r="P99" s="14"/>
      <c r="Q99" s="9">
        <f ca="1">Q98-T99*Prices!C99</f>
        <v>1.0611925737092243</v>
      </c>
      <c r="R99" s="1">
        <f t="shared" ca="1" si="16"/>
        <v>9.5509768017935457E-3</v>
      </c>
      <c r="S99" s="9">
        <f ca="1">IF(Prices!C98&lt;OFFSET(Prices!C98,-S$3,0),1,-1)</f>
        <v>-1</v>
      </c>
      <c r="T99" s="1">
        <f ca="1">IF(S99=1,T$3*Q98/Prices!C98,-T$3*R98)</f>
        <v>-1.9491789391415401E-4</v>
      </c>
      <c r="V99" s="9"/>
      <c r="W99" s="1"/>
      <c r="X99" s="1"/>
      <c r="Y99" s="1"/>
      <c r="Z99" s="1"/>
      <c r="AA99" s="1"/>
      <c r="AB99" s="1"/>
      <c r="AC99" s="1"/>
      <c r="AD99" s="1"/>
      <c r="AE99" s="16"/>
    </row>
    <row r="100" spans="1:31" x14ac:dyDescent="0.2">
      <c r="A100" s="4">
        <v>33646</v>
      </c>
      <c r="B100" s="9">
        <f ca="1">Prices!C99*(1+J100/(50*(ABS(O100)+ABS(T100)+0.0001)))</f>
        <v>128.40969884190429</v>
      </c>
      <c r="C100" s="21">
        <f t="shared" ca="1" si="11"/>
        <v>1</v>
      </c>
      <c r="D100" s="9">
        <f ca="1">D99+C100*(Prices!C100-Prices!C99)/Prices!C99</f>
        <v>6.0686480246094514E-2</v>
      </c>
      <c r="E100" s="9">
        <f t="shared" ca="1" si="12"/>
        <v>1.0022053519347172E-2</v>
      </c>
      <c r="F100" s="9">
        <f t="shared" ca="1" si="13"/>
        <v>7.0708533765441686E-2</v>
      </c>
      <c r="G100" s="13">
        <f ca="1">IF((Prices!C100-Prices!C99)*C100&gt;0,1,0)</f>
        <v>1</v>
      </c>
      <c r="H100" s="9">
        <f>ABS(Prices!C100-Prices!C99)/Prices!C99</f>
        <v>5.9087686126211292E-3</v>
      </c>
      <c r="I100" s="13"/>
      <c r="J100" s="1">
        <f t="shared" ca="1" si="14"/>
        <v>6.7359701256716601E-4</v>
      </c>
      <c r="K100" s="9"/>
      <c r="L100" s="9">
        <f ca="1">L99-O100*Prices!C100</f>
        <v>0.98706354421619902</v>
      </c>
      <c r="M100" s="1">
        <f t="shared" ca="1" si="15"/>
        <v>1.0275724287478192E-2</v>
      </c>
      <c r="N100" s="9">
        <f ca="1">IF(Prices!D99&gt;OFFSET(Prices!D99,-$N$3,0),1,-1)</f>
        <v>1</v>
      </c>
      <c r="O100" s="1">
        <f ca="1">IF(N100=1,O$3*L99/Prices!C99,-O$3*M99)</f>
        <v>8.6461654860303693E-4</v>
      </c>
      <c r="P100" s="14"/>
      <c r="Q100" s="9">
        <f ca="1">Q99-T100*Prices!C100</f>
        <v>1.0855819480702842</v>
      </c>
      <c r="R100" s="1">
        <f t="shared" ca="1" si="16"/>
        <v>9.3599572657576749E-3</v>
      </c>
      <c r="S100" s="9">
        <f ca="1">IF(Prices!C99&lt;OFFSET(Prices!C99,-S$3,0),1,-1)</f>
        <v>-1</v>
      </c>
      <c r="T100" s="1">
        <f ca="1">IF(S100=1,T$3*Q99/Prices!C99,-T$3*R99)</f>
        <v>-1.9101953603587092E-4</v>
      </c>
      <c r="V100" s="9"/>
      <c r="W100" s="1"/>
      <c r="X100" s="1"/>
      <c r="Y100" s="1"/>
      <c r="Z100" s="1"/>
      <c r="AA100" s="1"/>
      <c r="AB100" s="1"/>
      <c r="AC100" s="1"/>
      <c r="AD100" s="1"/>
      <c r="AE100" s="16"/>
    </row>
    <row r="101" spans="1:31" x14ac:dyDescent="0.2">
      <c r="A101" s="4">
        <v>33647</v>
      </c>
      <c r="B101" s="9">
        <f ca="1">Prices!C100*(1+J101/(50*(ABS(O101)+ABS(T101)+0.0001)))</f>
        <v>129.09104433019684</v>
      </c>
      <c r="C101" s="21">
        <f t="shared" ca="1" si="11"/>
        <v>1</v>
      </c>
      <c r="D101" s="9">
        <f ca="1">D100+C101*(Prices!C101-Prices!C100)/Prices!C100</f>
        <v>6.0686480246094514E-2</v>
      </c>
      <c r="E101" s="9">
        <f t="shared" ca="1" si="12"/>
        <v>1.0022053519347172E-2</v>
      </c>
      <c r="F101" s="9">
        <f t="shared" ca="1" si="13"/>
        <v>7.0708533765441686E-2</v>
      </c>
      <c r="G101" s="13">
        <f ca="1">IF((Prices!C101-Prices!C100)*C101&gt;0,1,0)</f>
        <v>0</v>
      </c>
      <c r="H101" s="9">
        <f>ABS(Prices!C101-Prices!C100)/Prices!C100</f>
        <v>0</v>
      </c>
      <c r="I101" s="13"/>
      <c r="J101" s="1">
        <f t="shared" ca="1" si="14"/>
        <v>5.8587693881407502E-4</v>
      </c>
      <c r="K101" s="9"/>
      <c r="L101" s="9">
        <f ca="1">L100-O101*Prices!C101</f>
        <v>0.88835718979457912</v>
      </c>
      <c r="M101" s="1">
        <f t="shared" ca="1" si="15"/>
        <v>1.1048800371607421E-2</v>
      </c>
      <c r="N101" s="9">
        <f ca="1">IF(Prices!D100&gt;OFFSET(Prices!D100,-$N$3,0),1,-1)</f>
        <v>1</v>
      </c>
      <c r="O101" s="1">
        <f ca="1">IF(N101=1,O$3*L100/Prices!C100,-O$3*M100)</f>
        <v>7.7307608412922847E-4</v>
      </c>
      <c r="P101" s="14"/>
      <c r="Q101" s="9">
        <f ca="1">Q100-T101*Prices!C101</f>
        <v>1.109483534944123</v>
      </c>
      <c r="R101" s="1">
        <f t="shared" ca="1" si="16"/>
        <v>9.1727581204425219E-3</v>
      </c>
      <c r="S101" s="9">
        <f ca="1">IF(Prices!C100&lt;OFFSET(Prices!C100,-S$3,0),1,-1)</f>
        <v>-1</v>
      </c>
      <c r="T101" s="1">
        <f ca="1">IF(S101=1,T$3*Q100/Prices!C100,-T$3*R100)</f>
        <v>-1.871991453151535E-4</v>
      </c>
      <c r="V101" s="9"/>
      <c r="W101" s="1"/>
      <c r="X101" s="1"/>
      <c r="Y101" s="1"/>
      <c r="Z101" s="1"/>
      <c r="AA101" s="1"/>
      <c r="AB101" s="1"/>
      <c r="AC101" s="1"/>
      <c r="AD101" s="1"/>
      <c r="AE101" s="16"/>
    </row>
    <row r="102" spans="1:31" x14ac:dyDescent="0.2">
      <c r="A102" s="4">
        <v>33648</v>
      </c>
      <c r="B102" s="9">
        <f ca="1">Prices!C101*(1+J102/(50*(ABS(O102)+ABS(T102)+0.0001)))</f>
        <v>129.01600050685735</v>
      </c>
      <c r="C102" s="21">
        <f t="shared" ca="1" si="11"/>
        <v>1</v>
      </c>
      <c r="D102" s="9">
        <f ca="1">D101+C102*(Prices!C102-Prices!C101)/Prices!C101</f>
        <v>6.2644500296219832E-2</v>
      </c>
      <c r="E102" s="9">
        <f t="shared" ca="1" si="12"/>
        <v>8.064033469221854E-3</v>
      </c>
      <c r="F102" s="9">
        <f t="shared" ca="1" si="13"/>
        <v>7.0708533765441686E-2</v>
      </c>
      <c r="G102" s="13">
        <f ca="1">IF((Prices!C102-Prices!C101)*C102&gt;0,1,0)</f>
        <v>1</v>
      </c>
      <c r="H102" s="9">
        <f>ABS(Prices!C102-Prices!C101)/Prices!C101</f>
        <v>1.9580200501253132E-3</v>
      </c>
      <c r="I102" s="13"/>
      <c r="J102" s="1">
        <f t="shared" ca="1" si="14"/>
        <v>5.123133133074552E-4</v>
      </c>
      <c r="K102" s="9"/>
      <c r="L102" s="9">
        <f ca="1">L101-O102*Prices!C102</f>
        <v>0.79934752869619208</v>
      </c>
      <c r="M102" s="1">
        <f t="shared" ca="1" si="15"/>
        <v>1.1744568847323727E-2</v>
      </c>
      <c r="N102" s="9">
        <f ca="1">IF(Prices!D101&gt;OFFSET(Prices!D101,-$N$3,0),1,-1)</f>
        <v>1</v>
      </c>
      <c r="O102" s="1">
        <f ca="1">IF(N102=1,O$3*L101/Prices!C101,-O$3*M101)</f>
        <v>6.9576847571630569E-4</v>
      </c>
      <c r="P102" s="14"/>
      <c r="Q102" s="9">
        <f ca="1">Q101-T102*Prices!C102</f>
        <v>1.1329529538710872</v>
      </c>
      <c r="R102" s="1">
        <f t="shared" ca="1" si="16"/>
        <v>8.9893029580336709E-3</v>
      </c>
      <c r="S102" s="9">
        <f ca="1">IF(Prices!C101&lt;OFFSET(Prices!C101,-S$3,0),1,-1)</f>
        <v>-1</v>
      </c>
      <c r="T102" s="1">
        <f ca="1">IF(S102=1,T$3*Q101/Prices!C101,-T$3*R101)</f>
        <v>-1.8345516240885043E-4</v>
      </c>
      <c r="V102" s="9"/>
      <c r="W102" s="1"/>
      <c r="X102" s="1"/>
      <c r="Y102" s="1"/>
      <c r="Z102" s="1"/>
      <c r="AA102" s="1"/>
      <c r="AB102" s="1"/>
      <c r="AC102" s="1"/>
      <c r="AD102" s="1"/>
      <c r="AE102" s="16"/>
    </row>
    <row r="103" spans="1:31" x14ac:dyDescent="0.2">
      <c r="A103" s="4">
        <v>33651</v>
      </c>
      <c r="B103" s="9">
        <f ca="1">Prices!C102*(1+J103/(50*(ABS(O103)+ABS(T103)+0.0001)))</f>
        <v>129.18875719925259</v>
      </c>
      <c r="C103" s="21">
        <f t="shared" ca="1" si="11"/>
        <v>1</v>
      </c>
      <c r="D103" s="9">
        <f ca="1">D102+C103*(Prices!C103-Prices!C102)/Prices!C102</f>
        <v>5.5374899733411996E-2</v>
      </c>
      <c r="E103" s="9">
        <f t="shared" ca="1" si="12"/>
        <v>1.533363403202969E-2</v>
      </c>
      <c r="F103" s="9">
        <f t="shared" ca="1" si="13"/>
        <v>7.0708533765441686E-2</v>
      </c>
      <c r="G103" s="13">
        <f ca="1">IF((Prices!C103-Prices!C102)*C103&gt;0,1,0)</f>
        <v>0</v>
      </c>
      <c r="H103" s="9">
        <f>ABS(Prices!C103-Prices!C102)/Prices!C102</f>
        <v>7.2696005628078387E-3</v>
      </c>
      <c r="I103" s="13"/>
      <c r="J103" s="1">
        <f t="shared" ca="1" si="14"/>
        <v>4.4504590261232118E-4</v>
      </c>
      <c r="K103" s="9"/>
      <c r="L103" s="9">
        <f ca="1">L102-O103*Prices!C103</f>
        <v>0.71999386955102174</v>
      </c>
      <c r="M103" s="1">
        <f t="shared" ca="1" si="15"/>
        <v>1.2369400809096721E-2</v>
      </c>
      <c r="N103" s="9">
        <f ca="1">IF(Prices!D102&gt;OFFSET(Prices!D102,-$N$3,0),1,-1)</f>
        <v>1</v>
      </c>
      <c r="O103" s="1">
        <f ca="1">IF(N103=1,O$3*L102/Prices!C102,-O$3*M102)</f>
        <v>6.2483196177299464E-4</v>
      </c>
      <c r="P103" s="14"/>
      <c r="Q103" s="9">
        <f ca="1">Q102-T103*Prices!C103</f>
        <v>1.1557857833844927</v>
      </c>
      <c r="R103" s="1">
        <f t="shared" ca="1" si="16"/>
        <v>8.8095168988729967E-3</v>
      </c>
      <c r="S103" s="9">
        <f ca="1">IF(Prices!C102&lt;OFFSET(Prices!C102,-S$3,0),1,-1)</f>
        <v>-1</v>
      </c>
      <c r="T103" s="1">
        <f ca="1">IF(S103=1,T$3*Q102/Prices!C102,-T$3*R102)</f>
        <v>-1.7978605916067343E-4</v>
      </c>
      <c r="V103" s="9"/>
      <c r="W103" s="1"/>
      <c r="X103" s="1"/>
      <c r="Y103" s="1"/>
      <c r="Z103" s="1"/>
      <c r="AA103" s="1"/>
      <c r="AB103" s="1"/>
      <c r="AC103" s="1"/>
      <c r="AD103" s="1"/>
      <c r="AE103" s="16"/>
    </row>
    <row r="104" spans="1:31" x14ac:dyDescent="0.2">
      <c r="A104" s="4">
        <v>33652</v>
      </c>
      <c r="B104" s="9">
        <f ca="1">Prices!C103*(1+J104/(50*(ABS(O104)+ABS(T104)+0.0001)))</f>
        <v>128.17714036503307</v>
      </c>
      <c r="C104" s="21">
        <f t="shared" ca="1" si="11"/>
        <v>1</v>
      </c>
      <c r="D104" s="9">
        <f ca="1">D103+C104*(Prices!C104-Prices!C103)/Prices!C103</f>
        <v>6.3248915481443485E-2</v>
      </c>
      <c r="E104" s="9">
        <f t="shared" ca="1" si="12"/>
        <v>7.4596182839982011E-3</v>
      </c>
      <c r="F104" s="9">
        <f t="shared" ca="1" si="13"/>
        <v>7.0708533765441686E-2</v>
      </c>
      <c r="G104" s="13">
        <f ca="1">IF((Prices!C104-Prices!C103)*C104&gt;0,1,0)</f>
        <v>1</v>
      </c>
      <c r="H104" s="9">
        <f>ABS(Prices!C104-Prices!C103)/Prices!C103</f>
        <v>7.874015748031496E-3</v>
      </c>
      <c r="I104" s="13"/>
      <c r="J104" s="1">
        <f t="shared" ca="1" si="14"/>
        <v>3.9073396875562811E-4</v>
      </c>
      <c r="K104" s="9"/>
      <c r="L104" s="9">
        <f ca="1">L103-O104*Prices!C104</f>
        <v>0.64742755828918641</v>
      </c>
      <c r="M104" s="1">
        <f t="shared" ca="1" si="15"/>
        <v>1.293632511582981E-2</v>
      </c>
      <c r="N104" s="9">
        <f ca="1">IF(Prices!D103&gt;OFFSET(Prices!D103,-$N$3,0),1,-1)</f>
        <v>1</v>
      </c>
      <c r="O104" s="1">
        <f ca="1">IF(N104=1,O$3*L103/Prices!C103,-O$3*M103)</f>
        <v>5.6692430673308805E-4</v>
      </c>
      <c r="P104" s="14"/>
      <c r="Q104" s="9">
        <f ca="1">Q103-T104*Prices!C104</f>
        <v>1.1783381466456075</v>
      </c>
      <c r="R104" s="1">
        <f t="shared" ca="1" si="16"/>
        <v>8.6333265608955368E-3</v>
      </c>
      <c r="S104" s="9">
        <f ca="1">IF(Prices!C103&lt;OFFSET(Prices!C103,-S$3,0),1,-1)</f>
        <v>-1</v>
      </c>
      <c r="T104" s="1">
        <f ca="1">IF(S104=1,T$3*Q103/Prices!C103,-T$3*R103)</f>
        <v>-1.7619033797745993E-4</v>
      </c>
      <c r="V104" s="9"/>
      <c r="W104" s="1"/>
      <c r="X104" s="1"/>
      <c r="Y104" s="1"/>
      <c r="Z104" s="1"/>
      <c r="AA104" s="1"/>
      <c r="AB104" s="1"/>
      <c r="AC104" s="1"/>
      <c r="AD104" s="1"/>
      <c r="AE104" s="16"/>
    </row>
    <row r="105" spans="1:31" x14ac:dyDescent="0.2">
      <c r="A105" s="4">
        <v>33653</v>
      </c>
      <c r="B105" s="9">
        <f ca="1">Prices!C104*(1+J105/(50*(ABS(O105)+ABS(T105)+0.0001)))</f>
        <v>129.09552012451348</v>
      </c>
      <c r="C105" s="21">
        <f t="shared" ca="1" si="11"/>
        <v>1</v>
      </c>
      <c r="D105" s="9">
        <f ca="1">D104+C105*(Prices!C105-Prices!C104)/Prices!C104</f>
        <v>6.6373915481443529E-2</v>
      </c>
      <c r="E105" s="9">
        <f t="shared" ca="1" si="12"/>
        <v>4.3346182839981567E-3</v>
      </c>
      <c r="F105" s="9">
        <f t="shared" ca="1" si="13"/>
        <v>7.0708533765441686E-2</v>
      </c>
      <c r="G105" s="13">
        <f ca="1">IF((Prices!C105-Prices!C104)*C105&gt;0,1,0)</f>
        <v>1</v>
      </c>
      <c r="H105" s="9">
        <f>ABS(Prices!C105-Prices!C104)/Prices!C104</f>
        <v>3.1250000000000444E-3</v>
      </c>
      <c r="I105" s="13"/>
      <c r="J105" s="1">
        <f t="shared" ca="1" si="14"/>
        <v>3.3313624869551616E-4</v>
      </c>
      <c r="K105" s="9"/>
      <c r="L105" s="9">
        <f ca="1">L104-O105*Prices!C105</f>
        <v>0.58248248134830238</v>
      </c>
      <c r="M105" s="1">
        <f t="shared" ca="1" si="15"/>
        <v>1.3442127895743236E-2</v>
      </c>
      <c r="N105" s="9">
        <f ca="1">IF(Prices!D104&gt;OFFSET(Prices!D104,-$N$3,0),1,-1)</f>
        <v>1</v>
      </c>
      <c r="O105" s="1">
        <f ca="1">IF(N105=1,O$3*L104/Prices!C104,-O$3*M104)</f>
        <v>5.0580277991342688E-4</v>
      </c>
      <c r="P105" s="14"/>
      <c r="Q105" s="9">
        <f ca="1">Q104-T105*Prices!C105</f>
        <v>1.2005085292539872</v>
      </c>
      <c r="R105" s="1">
        <f t="shared" ca="1" si="16"/>
        <v>8.4606600296776267E-3</v>
      </c>
      <c r="S105" s="9">
        <f ca="1">IF(Prices!C104&lt;OFFSET(Prices!C104,-S$3,0),1,-1)</f>
        <v>-1</v>
      </c>
      <c r="T105" s="1">
        <f ca="1">IF(S105=1,T$3*Q104/Prices!C104,-T$3*R104)</f>
        <v>-1.7266653121791073E-4</v>
      </c>
      <c r="V105" s="9"/>
      <c r="W105" s="1"/>
      <c r="X105" s="1"/>
      <c r="Y105" s="1"/>
      <c r="Z105" s="1"/>
      <c r="AA105" s="1"/>
      <c r="AB105" s="1"/>
      <c r="AC105" s="1"/>
      <c r="AD105" s="1"/>
      <c r="AE105" s="16"/>
    </row>
    <row r="106" spans="1:31" x14ac:dyDescent="0.2">
      <c r="A106" s="4">
        <v>33654</v>
      </c>
      <c r="B106" s="9">
        <f ca="1">Prices!C105*(1+J106/(50*(ABS(O106)+ABS(T106)+0.0001)))</f>
        <v>129.41046602485343</v>
      </c>
      <c r="C106" s="21">
        <f t="shared" ca="1" si="11"/>
        <v>1</v>
      </c>
      <c r="D106" s="9">
        <f ca="1">D105+C106*(Prices!C106-Prices!C105)/Prices!C105</f>
        <v>6.8320955979885897E-2</v>
      </c>
      <c r="E106" s="9">
        <f t="shared" ca="1" si="12"/>
        <v>2.3875777855557889E-3</v>
      </c>
      <c r="F106" s="9">
        <f t="shared" ca="1" si="13"/>
        <v>7.0708533765441686E-2</v>
      </c>
      <c r="G106" s="13">
        <f ca="1">IF((Prices!C106-Prices!C105)*C106&gt;0,1,0)</f>
        <v>1</v>
      </c>
      <c r="H106" s="9">
        <f>ABS(Prices!C106-Prices!C105)/Prices!C105</f>
        <v>1.9470404984423676E-3</v>
      </c>
      <c r="I106" s="13"/>
      <c r="J106" s="1">
        <f t="shared" ca="1" si="14"/>
        <v>2.8443359173378573E-4</v>
      </c>
      <c r="K106" s="9"/>
      <c r="L106" s="9">
        <f ca="1">L105-O106*Prices!C106</f>
        <v>0.5241208215153903</v>
      </c>
      <c r="M106" s="1">
        <f t="shared" ca="1" si="15"/>
        <v>1.3895774688070574E-2</v>
      </c>
      <c r="N106" s="9">
        <f ca="1">IF(Prices!D105&gt;OFFSET(Prices!D105,-$N$3,0),1,-1)</f>
        <v>1</v>
      </c>
      <c r="O106" s="1">
        <f ca="1">IF(N106=1,O$3*L105/Prices!C105,-O$3*M105)</f>
        <v>4.5364679232733827E-4</v>
      </c>
      <c r="P106" s="14"/>
      <c r="Q106" s="9">
        <f ca="1">Q105-T106*Prices!C106</f>
        <v>1.2222778075103478</v>
      </c>
      <c r="R106" s="1">
        <f t="shared" ca="1" si="16"/>
        <v>8.2914468290840749E-3</v>
      </c>
      <c r="S106" s="9">
        <f ca="1">IF(Prices!C105&lt;OFFSET(Prices!C105,-S$3,0),1,-1)</f>
        <v>-1</v>
      </c>
      <c r="T106" s="1">
        <f ca="1">IF(S106=1,T$3*Q105/Prices!C105,-T$3*R105)</f>
        <v>-1.6921320059355255E-4</v>
      </c>
      <c r="V106" s="9"/>
      <c r="W106" s="1"/>
      <c r="X106" s="1"/>
      <c r="Y106" s="1"/>
      <c r="Z106" s="1"/>
      <c r="AA106" s="1"/>
      <c r="AB106" s="1"/>
      <c r="AC106" s="1"/>
      <c r="AD106" s="1"/>
      <c r="AE106" s="16"/>
    </row>
    <row r="107" spans="1:31" x14ac:dyDescent="0.2">
      <c r="A107" s="4">
        <v>33655</v>
      </c>
      <c r="B107" s="9">
        <f ca="1">Prices!C106*(1+J107/(50*(ABS(O107)+ABS(T107)+0.0001)))</f>
        <v>126.23243011019073</v>
      </c>
      <c r="C107" s="21">
        <f t="shared" ca="1" si="11"/>
        <v>-1</v>
      </c>
      <c r="D107" s="9">
        <f ca="1">D106+C107*(Prices!C107-Prices!C106)/Prices!C106</f>
        <v>6.7776844048288598E-2</v>
      </c>
      <c r="E107" s="9">
        <f t="shared" ca="1" si="12"/>
        <v>2.9316897171530881E-3</v>
      </c>
      <c r="F107" s="9">
        <f t="shared" ca="1" si="13"/>
        <v>7.0708533765441686E-2</v>
      </c>
      <c r="G107" s="13">
        <f ca="1">IF((Prices!C107-Prices!C106)*C107&gt;0,1,0)</f>
        <v>0</v>
      </c>
      <c r="H107" s="9">
        <f>ABS(Prices!C107-Prices!C106)/Prices!C106</f>
        <v>5.4411193159730408E-4</v>
      </c>
      <c r="I107" s="13"/>
      <c r="J107" s="1">
        <f t="shared" ca="1" si="14"/>
        <v>-1.5554064053887391E-3</v>
      </c>
      <c r="K107" s="9"/>
      <c r="L107" s="9">
        <f ca="1">L106-O107*Prices!C107</f>
        <v>0.70298723330023472</v>
      </c>
      <c r="M107" s="1">
        <f t="shared" ca="1" si="15"/>
        <v>1.2506197219263517E-2</v>
      </c>
      <c r="N107" s="9">
        <f ca="1">IF(Prices!D106&gt;OFFSET(Prices!D106,-$N$3,0),1,-1)</f>
        <v>-1</v>
      </c>
      <c r="O107" s="1">
        <f ca="1">IF(N107=1,O$3*L106/Prices!C106,-O$3*M106)</f>
        <v>-1.3895774688070575E-3</v>
      </c>
      <c r="P107" s="14"/>
      <c r="Q107" s="9">
        <f ca="1">Q106-T107*Prices!C107</f>
        <v>1.2436233082271417</v>
      </c>
      <c r="R107" s="1">
        <f t="shared" ca="1" si="16"/>
        <v>8.1256178925023931E-3</v>
      </c>
      <c r="S107" s="9">
        <f ca="1">IF(Prices!C106&lt;OFFSET(Prices!C106,-S$3,0),1,-1)</f>
        <v>-1</v>
      </c>
      <c r="T107" s="1">
        <f ca="1">IF(S107=1,T$3*Q106/Prices!C106,-T$3*R106)</f>
        <v>-1.6582893658168151E-4</v>
      </c>
      <c r="V107" s="9"/>
      <c r="W107" s="1"/>
      <c r="X107" s="1"/>
      <c r="Y107" s="1"/>
      <c r="Z107" s="1"/>
      <c r="AA107" s="1"/>
      <c r="AB107" s="1"/>
      <c r="AC107" s="1"/>
      <c r="AD107" s="1"/>
      <c r="AE107" s="16"/>
    </row>
    <row r="108" spans="1:31" x14ac:dyDescent="0.2">
      <c r="A108" s="4">
        <v>33658</v>
      </c>
      <c r="B108" s="9">
        <f ca="1">Prices!C107*(1+J108/(50*(ABS(O108)+ABS(T108)+0.0001)))</f>
        <v>129.94129936793257</v>
      </c>
      <c r="C108" s="21">
        <f t="shared" ca="1" si="11"/>
        <v>1</v>
      </c>
      <c r="D108" s="9">
        <f ca="1">D107+C108*(Prices!C108-Prices!C107)/Prices!C107</f>
        <v>7.0728988237225787E-2</v>
      </c>
      <c r="E108" s="9">
        <f t="shared" ca="1" si="12"/>
        <v>0</v>
      </c>
      <c r="F108" s="9">
        <f t="shared" ca="1" si="13"/>
        <v>7.0728988237225787E-2</v>
      </c>
      <c r="G108" s="13">
        <f ca="1">IF((Prices!C108-Prices!C107)*C108&gt;0,1,0)</f>
        <v>1</v>
      </c>
      <c r="H108" s="9">
        <f>ABS(Prices!C108-Prices!C107)/Prices!C107</f>
        <v>2.9521441889371926E-3</v>
      </c>
      <c r="I108" s="13"/>
      <c r="J108" s="1">
        <f t="shared" ca="1" si="14"/>
        <v>3.8362439890899096E-4</v>
      </c>
      <c r="K108" s="9"/>
      <c r="L108" s="9">
        <f ca="1">L107-O108*Prices!C108</f>
        <v>0.6324809780026428</v>
      </c>
      <c r="M108" s="1">
        <f t="shared" ca="1" si="15"/>
        <v>1.3052333976022555E-2</v>
      </c>
      <c r="N108" s="9">
        <f ca="1">IF(Prices!D107&gt;OFFSET(Prices!D107,-$N$3,0),1,-1)</f>
        <v>1</v>
      </c>
      <c r="O108" s="1">
        <f ca="1">IF(N108=1,O$3*L107/Prices!C107,-O$3*M107)</f>
        <v>5.4613675675903881E-4</v>
      </c>
      <c r="P108" s="14"/>
      <c r="Q108" s="9">
        <f ca="1">Q107-T108*Prices!C108</f>
        <v>1.2646036536255829</v>
      </c>
      <c r="R108" s="1">
        <f t="shared" ca="1" si="16"/>
        <v>7.9631055346523448E-3</v>
      </c>
      <c r="S108" s="9">
        <f ca="1">IF(Prices!C107&lt;OFFSET(Prices!C107,-S$3,0),1,-1)</f>
        <v>-1</v>
      </c>
      <c r="T108" s="1">
        <f ca="1">IF(S108=1,T$3*Q107/Prices!C107,-T$3*R107)</f>
        <v>-1.6251235785004787E-4</v>
      </c>
      <c r="V108" s="9"/>
      <c r="W108" s="1"/>
      <c r="X108" s="1"/>
      <c r="Y108" s="1"/>
      <c r="Z108" s="1"/>
      <c r="AA108" s="1"/>
      <c r="AB108" s="1"/>
      <c r="AC108" s="1"/>
      <c r="AD108" s="1"/>
      <c r="AE108" s="16"/>
    </row>
    <row r="109" spans="1:31" x14ac:dyDescent="0.2">
      <c r="A109" s="4">
        <v>33659</v>
      </c>
      <c r="B109" s="9">
        <f ca="1">Prices!C108*(1+J109/(50*(ABS(O109)+ABS(T109)+0.0001)))</f>
        <v>130.23957907233876</v>
      </c>
      <c r="C109" s="21">
        <f t="shared" ca="1" si="11"/>
        <v>1</v>
      </c>
      <c r="D109" s="9">
        <f ca="1">D108+C109*(Prices!C109-Prices!C108)/Prices!C108</f>
        <v>7.3440064921966253E-2</v>
      </c>
      <c r="E109" s="9">
        <f t="shared" ca="1" si="12"/>
        <v>0</v>
      </c>
      <c r="F109" s="9">
        <f t="shared" ca="1" si="13"/>
        <v>7.3440064921966253E-2</v>
      </c>
      <c r="G109" s="13">
        <f ca="1">IF((Prices!C109-Prices!C108)*C109&gt;0,1,0)</f>
        <v>1</v>
      </c>
      <c r="H109" s="9">
        <f>ABS(Prices!C109-Prices!C108)/Prices!C108</f>
        <v>2.7110766847404672E-3</v>
      </c>
      <c r="I109" s="13"/>
      <c r="J109" s="1">
        <f t="shared" ca="1" si="14"/>
        <v>3.3065344159405059E-4</v>
      </c>
      <c r="K109" s="9"/>
      <c r="L109" s="9">
        <f ca="1">L108-O109*Prices!C109</f>
        <v>0.56906140975907804</v>
      </c>
      <c r="M109" s="1">
        <f t="shared" ca="1" si="15"/>
        <v>1.3542249528309652E-2</v>
      </c>
      <c r="N109" s="9">
        <f ca="1">IF(Prices!D108&gt;OFFSET(Prices!D108,-$N$3,0),1,-1)</f>
        <v>1</v>
      </c>
      <c r="O109" s="1">
        <f ca="1">IF(N109=1,O$3*L108/Prices!C108,-O$3*M108)</f>
        <v>4.8991555228709751E-4</v>
      </c>
      <c r="P109" s="14"/>
      <c r="Q109" s="9">
        <f ca="1">Q108-T109*Prices!C109</f>
        <v>1.2852201338547979</v>
      </c>
      <c r="R109" s="1">
        <f t="shared" ca="1" si="16"/>
        <v>7.8038434239592978E-3</v>
      </c>
      <c r="S109" s="9">
        <f ca="1">IF(Prices!C108&lt;OFFSET(Prices!C108,-S$3,0),1,-1)</f>
        <v>-1</v>
      </c>
      <c r="T109" s="1">
        <f ca="1">IF(S109=1,T$3*Q108/Prices!C108,-T$3*R108)</f>
        <v>-1.592621106930469E-4</v>
      </c>
      <c r="V109" s="9"/>
      <c r="W109" s="1"/>
      <c r="X109" s="1"/>
      <c r="Y109" s="1"/>
      <c r="Z109" s="1"/>
      <c r="AA109" s="1"/>
      <c r="AB109" s="1"/>
      <c r="AC109" s="1"/>
      <c r="AD109" s="1"/>
      <c r="AE109" s="16"/>
    </row>
    <row r="110" spans="1:31" x14ac:dyDescent="0.2">
      <c r="A110" s="4">
        <v>33660</v>
      </c>
      <c r="B110" s="9">
        <f ca="1">Prices!C109*(1+J110/(50*(ABS(O110)+ABS(T110)+0.0001)))</f>
        <v>127.02177731303151</v>
      </c>
      <c r="C110" s="21">
        <f t="shared" ca="1" si="11"/>
        <v>-1</v>
      </c>
      <c r="D110" s="9">
        <f ca="1">D109+C110*(Prices!C110-Prices!C109)/Prices!C109</f>
        <v>7.1663317142900834E-2</v>
      </c>
      <c r="E110" s="9">
        <f t="shared" ca="1" si="12"/>
        <v>1.7767477790654185E-3</v>
      </c>
      <c r="F110" s="9">
        <f t="shared" ca="1" si="13"/>
        <v>7.3440064921966253E-2</v>
      </c>
      <c r="G110" s="13">
        <f ca="1">IF((Prices!C110-Prices!C109)*C110&gt;0,1,0)</f>
        <v>0</v>
      </c>
      <c r="H110" s="9">
        <f>ABS(Prices!C110-Prices!C109)/Prices!C109</f>
        <v>1.7767477790654167E-3</v>
      </c>
      <c r="I110" s="13"/>
      <c r="J110" s="1">
        <f t="shared" ca="1" si="14"/>
        <v>-1.5103018213101513E-3</v>
      </c>
      <c r="K110" s="9"/>
      <c r="L110" s="9">
        <f ca="1">L109-O110*Prices!C110</f>
        <v>0.7446773016421977</v>
      </c>
      <c r="M110" s="1">
        <f t="shared" ca="1" si="15"/>
        <v>1.2188024575478688E-2</v>
      </c>
      <c r="N110" s="9">
        <f ca="1">IF(Prices!D109&gt;OFFSET(Prices!D109,-$N$3,0),1,-1)</f>
        <v>-1</v>
      </c>
      <c r="O110" s="1">
        <f ca="1">IF(N110=1,O$3*L109/Prices!C109,-O$3*M109)</f>
        <v>-1.3542249528309654E-3</v>
      </c>
      <c r="P110" s="14"/>
      <c r="Q110" s="9">
        <f ca="1">Q109-T110*Prices!C110</f>
        <v>1.3054601821591787</v>
      </c>
      <c r="R110" s="1">
        <f t="shared" ca="1" si="16"/>
        <v>7.6477665554801118E-3</v>
      </c>
      <c r="S110" s="9">
        <f ca="1">IF(Prices!C109&lt;OFFSET(Prices!C109,-S$3,0),1,-1)</f>
        <v>-1</v>
      </c>
      <c r="T110" s="1">
        <f ca="1">IF(S110=1,T$3*Q109/Prices!C109,-T$3*R109)</f>
        <v>-1.5607686847918595E-4</v>
      </c>
      <c r="V110" s="9"/>
      <c r="W110" s="1"/>
      <c r="X110" s="1"/>
      <c r="Y110" s="1"/>
      <c r="Z110" s="1"/>
      <c r="AA110" s="1"/>
      <c r="AB110" s="1"/>
      <c r="AC110" s="1"/>
      <c r="AD110" s="1"/>
      <c r="AE110" s="16"/>
    </row>
    <row r="111" spans="1:31" x14ac:dyDescent="0.2">
      <c r="A111" s="4">
        <v>33661</v>
      </c>
      <c r="B111" s="9">
        <f ca="1">Prices!C110*(1+J111/(50*(ABS(O111)+ABS(T111)+0.0001)))</f>
        <v>127.26262464919081</v>
      </c>
      <c r="C111" s="21">
        <f t="shared" ca="1" si="11"/>
        <v>-1</v>
      </c>
      <c r="D111" s="9">
        <f ca="1">D110+C111*(Prices!C111-Prices!C110)/Prices!C110</f>
        <v>7.3745365261346313E-2</v>
      </c>
      <c r="E111" s="9">
        <f t="shared" ca="1" si="12"/>
        <v>0</v>
      </c>
      <c r="F111" s="9">
        <f t="shared" ca="1" si="13"/>
        <v>7.3745365261346313E-2</v>
      </c>
      <c r="G111" s="13">
        <f ca="1">IF((Prices!C111-Prices!C110)*C111&gt;0,1,0)</f>
        <v>1</v>
      </c>
      <c r="H111" s="9">
        <f>ABS(Prices!C111-Prices!C110)/Prices!C110</f>
        <v>2.082048118445483E-3</v>
      </c>
      <c r="I111" s="13"/>
      <c r="J111" s="1">
        <f t="shared" ca="1" si="14"/>
        <v>-1.3717577886574711E-3</v>
      </c>
      <c r="K111" s="9"/>
      <c r="L111" s="9">
        <f ca="1">L110-O111*Prices!C111</f>
        <v>0.9024025276734674</v>
      </c>
      <c r="M111" s="1">
        <f t="shared" ca="1" si="15"/>
        <v>1.0969222117930819E-2</v>
      </c>
      <c r="N111" s="9">
        <f ca="1">IF(Prices!D110&gt;OFFSET(Prices!D110,-$N$3,0),1,-1)</f>
        <v>-1</v>
      </c>
      <c r="O111" s="1">
        <f ca="1">IF(N111=1,O$3*L110/Prices!C110,-O$3*M110)</f>
        <v>-1.2188024575478689E-3</v>
      </c>
      <c r="P111" s="14"/>
      <c r="Q111" s="9">
        <f ca="1">Q110-T111*Prices!C111</f>
        <v>1.3252541315580724</v>
      </c>
      <c r="R111" s="1">
        <f t="shared" ca="1" si="16"/>
        <v>7.4948112243705097E-3</v>
      </c>
      <c r="S111" s="9">
        <f ca="1">IF(Prices!C110&lt;OFFSET(Prices!C110,-S$3,0),1,-1)</f>
        <v>-1</v>
      </c>
      <c r="T111" s="1">
        <f ca="1">IF(S111=1,T$3*Q110/Prices!C110,-T$3*R110)</f>
        <v>-1.5295533110960225E-4</v>
      </c>
      <c r="V111" s="9"/>
      <c r="W111" s="1"/>
      <c r="X111" s="1"/>
      <c r="Y111" s="1"/>
      <c r="Z111" s="1"/>
      <c r="AA111" s="1"/>
      <c r="AB111" s="1"/>
      <c r="AC111" s="1"/>
      <c r="AD111" s="1"/>
      <c r="AE111" s="16"/>
    </row>
    <row r="112" spans="1:31" x14ac:dyDescent="0.2">
      <c r="A112" s="4">
        <v>33662</v>
      </c>
      <c r="B112" s="9">
        <f ca="1">Prices!C111*(1+J112/(50*(ABS(O112)+ABS(T112)+0.0001)))</f>
        <v>127.01397141154882</v>
      </c>
      <c r="C112" s="21">
        <f t="shared" ca="1" si="11"/>
        <v>-1</v>
      </c>
      <c r="D112" s="9">
        <f ca="1">D111+C112*(Prices!C112-Prices!C111)/Prices!C111</f>
        <v>7.5754483567504957E-2</v>
      </c>
      <c r="E112" s="9">
        <f t="shared" ca="1" si="12"/>
        <v>0</v>
      </c>
      <c r="F112" s="9">
        <f t="shared" ca="1" si="13"/>
        <v>7.5754483567504957E-2</v>
      </c>
      <c r="G112" s="13">
        <f ca="1">IF((Prices!C112-Prices!C111)*C112&gt;0,1,0)</f>
        <v>1</v>
      </c>
      <c r="H112" s="9">
        <f>ABS(Prices!C112-Prices!C111)/Prices!C111</f>
        <v>2.0091183061586499E-3</v>
      </c>
      <c r="I112" s="13"/>
      <c r="J112" s="1">
        <f t="shared" ca="1" si="14"/>
        <v>-1.2468184362804922E-3</v>
      </c>
      <c r="K112" s="9"/>
      <c r="L112" s="9">
        <f ca="1">L111-O112*Prices!C112</f>
        <v>1.0440700313265439</v>
      </c>
      <c r="M112" s="1">
        <f t="shared" ca="1" si="15"/>
        <v>9.8722999061377371E-3</v>
      </c>
      <c r="N112" s="9">
        <f ca="1">IF(Prices!D111&gt;OFFSET(Prices!D111,-$N$3,0),1,-1)</f>
        <v>-1</v>
      </c>
      <c r="O112" s="1">
        <f ca="1">IF(N112=1,O$3*L111/Prices!C111,-O$3*M111)</f>
        <v>-1.0969222117930819E-3</v>
      </c>
      <c r="P112" s="14"/>
      <c r="Q112" s="9">
        <f ca="1">Q111-T112*Prices!C112</f>
        <v>1.3446132289506214</v>
      </c>
      <c r="R112" s="1">
        <f t="shared" ca="1" si="16"/>
        <v>7.3449149998830992E-3</v>
      </c>
      <c r="S112" s="9">
        <f ca="1">IF(Prices!C111&lt;OFFSET(Prices!C111,-S$3,0),1,-1)</f>
        <v>-1</v>
      </c>
      <c r="T112" s="1">
        <f ca="1">IF(S112=1,T$3*Q111/Prices!C111,-T$3*R111)</f>
        <v>-1.4989622448741019E-4</v>
      </c>
      <c r="V112" s="9"/>
      <c r="W112" s="1"/>
      <c r="X112" s="1"/>
      <c r="Y112" s="1"/>
      <c r="Z112" s="1"/>
      <c r="AA112" s="1"/>
      <c r="AB112" s="1"/>
      <c r="AC112" s="1"/>
      <c r="AD112" s="1"/>
      <c r="AE112" s="16"/>
    </row>
    <row r="113" spans="1:31" x14ac:dyDescent="0.2">
      <c r="A113" s="4">
        <v>33665</v>
      </c>
      <c r="B113" s="9">
        <f ca="1">Prices!C112*(1+J113/(50*(ABS(O113)+ABS(T113)+0.0001)))</f>
        <v>126.77629752762741</v>
      </c>
      <c r="C113" s="21">
        <f t="shared" ca="1" si="11"/>
        <v>-1</v>
      </c>
      <c r="D113" s="9">
        <f ca="1">D112+C113*(Prices!C113-Prices!C112)/Prices!C112</f>
        <v>7.2037874972847665E-2</v>
      </c>
      <c r="E113" s="9">
        <f t="shared" ca="1" si="12"/>
        <v>3.7166085946572919E-3</v>
      </c>
      <c r="F113" s="9">
        <f t="shared" ca="1" si="13"/>
        <v>7.5754483567504957E-2</v>
      </c>
      <c r="G113" s="13">
        <f ca="1">IF((Prices!C113-Prices!C112)*C113&gt;0,1,0)</f>
        <v>0</v>
      </c>
      <c r="H113" s="9">
        <f>ABS(Prices!C113-Prices!C112)/Prices!C112</f>
        <v>3.7166085946572958E-3</v>
      </c>
      <c r="I113" s="13"/>
      <c r="J113" s="1">
        <f t="shared" ca="1" si="14"/>
        <v>-1.1341282906114358E-3</v>
      </c>
      <c r="K113" s="9"/>
      <c r="L113" s="9">
        <f ca="1">L112-O113*Prices!C113</f>
        <v>1.1720446550098074</v>
      </c>
      <c r="M113" s="1">
        <f t="shared" ca="1" si="15"/>
        <v>8.8850699155239628E-3</v>
      </c>
      <c r="N113" s="9">
        <f ca="1">IF(Prices!D112&gt;OFFSET(Prices!D112,-$N$3,0),1,-1)</f>
        <v>-1</v>
      </c>
      <c r="O113" s="1">
        <f ca="1">IF(N113=1,O$3*L112/Prices!C112,-O$3*M112)</f>
        <v>-9.8722999061377379E-4</v>
      </c>
      <c r="P113" s="14"/>
      <c r="Q113" s="9">
        <f ca="1">Q112-T113*Prices!C113</f>
        <v>1.3636556555793182</v>
      </c>
      <c r="R113" s="1">
        <f t="shared" ca="1" si="16"/>
        <v>7.1980166998854376E-3</v>
      </c>
      <c r="S113" s="9">
        <f ca="1">IF(Prices!C112&lt;OFFSET(Prices!C112,-S$3,0),1,-1)</f>
        <v>-1</v>
      </c>
      <c r="T113" s="1">
        <f ca="1">IF(S113=1,T$3*Q112/Prices!C112,-T$3*R112)</f>
        <v>-1.4689829999766198E-4</v>
      </c>
      <c r="V113" s="9"/>
      <c r="W113" s="1"/>
      <c r="X113" s="1"/>
      <c r="Y113" s="1"/>
      <c r="Z113" s="1"/>
      <c r="AA113" s="1"/>
      <c r="AB113" s="1"/>
      <c r="AC113" s="1"/>
      <c r="AD113" s="1"/>
      <c r="AE113" s="16"/>
    </row>
    <row r="114" spans="1:31" x14ac:dyDescent="0.2">
      <c r="A114" s="4">
        <v>33666</v>
      </c>
      <c r="B114" s="9">
        <f ca="1">Prices!C113*(1+J114/(50*(ABS(O114)+ABS(T114)+0.0001)))</f>
        <v>131.34661581443373</v>
      </c>
      <c r="C114" s="21">
        <f t="shared" ca="1" si="11"/>
        <v>1</v>
      </c>
      <c r="D114" s="9">
        <f ca="1">D113+C114*(Prices!C114-Prices!C113)/Prices!C113</f>
        <v>8.1372134017821882E-2</v>
      </c>
      <c r="E114" s="9">
        <f t="shared" ca="1" si="12"/>
        <v>0</v>
      </c>
      <c r="F114" s="9">
        <f t="shared" ca="1" si="13"/>
        <v>8.1372134017821882E-2</v>
      </c>
      <c r="G114" s="13">
        <f ca="1">IF((Prices!C114-Prices!C113)*C114&gt;0,1,0)</f>
        <v>1</v>
      </c>
      <c r="H114" s="9">
        <f>ABS(Prices!C114-Prices!C113)/Prices!C113</f>
        <v>9.3342590449742198E-3</v>
      </c>
      <c r="I114" s="13"/>
      <c r="J114" s="1">
        <f t="shared" ca="1" si="14"/>
        <v>7.6018581659228384E-4</v>
      </c>
      <c r="K114" s="9"/>
      <c r="L114" s="9">
        <f ca="1">L113-O114*Prices!C114</f>
        <v>1.0537461726666126</v>
      </c>
      <c r="M114" s="1">
        <f t="shared" ca="1" si="15"/>
        <v>9.7892160661139562E-3</v>
      </c>
      <c r="N114" s="9">
        <f ca="1">IF(Prices!D113&gt;OFFSET(Prices!D113,-$N$3,0),1,-1)</f>
        <v>1</v>
      </c>
      <c r="O114" s="1">
        <f ca="1">IF(N114=1,O$3*L113/Prices!C113,-O$3*M113)</f>
        <v>9.0414615058999261E-4</v>
      </c>
      <c r="P114" s="14"/>
      <c r="Q114" s="9">
        <f ca="1">Q113-T114*Prices!C114</f>
        <v>1.3824914256795784</v>
      </c>
      <c r="R114" s="1">
        <f t="shared" ca="1" si="16"/>
        <v>7.0540563658877285E-3</v>
      </c>
      <c r="S114" s="9">
        <f ca="1">IF(Prices!C113&lt;OFFSET(Prices!C113,-S$3,0),1,-1)</f>
        <v>-1</v>
      </c>
      <c r="T114" s="1">
        <f ca="1">IF(S114=1,T$3*Q113/Prices!C113,-T$3*R113)</f>
        <v>-1.4396033399770875E-4</v>
      </c>
      <c r="V114" s="9"/>
      <c r="W114" s="1"/>
      <c r="X114" s="1"/>
      <c r="Y114" s="1"/>
      <c r="Z114" s="1"/>
      <c r="AA114" s="1"/>
      <c r="AB114" s="1"/>
      <c r="AC114" s="1"/>
      <c r="AD114" s="1"/>
      <c r="AE114" s="16"/>
    </row>
    <row r="115" spans="1:31" x14ac:dyDescent="0.2">
      <c r="A115" s="4">
        <v>33667</v>
      </c>
      <c r="B115" s="9">
        <f ca="1">Prices!C114*(1+J115/(50*(ABS(O115)+ABS(T115)+0.0001)))</f>
        <v>132.50114892887814</v>
      </c>
      <c r="C115" s="21">
        <f t="shared" ca="1" si="11"/>
        <v>1</v>
      </c>
      <c r="D115" s="9">
        <f ca="1">D114+C115*(Prices!C115-Prices!C114)/Prices!C114</f>
        <v>9.1078645787922852E-2</v>
      </c>
      <c r="E115" s="9">
        <f t="shared" ca="1" si="12"/>
        <v>0</v>
      </c>
      <c r="F115" s="9">
        <f t="shared" ca="1" si="13"/>
        <v>9.1078645787922852E-2</v>
      </c>
      <c r="G115" s="13">
        <f ca="1">IF((Prices!C115-Prices!C114)*C115&gt;0,1,0)</f>
        <v>1</v>
      </c>
      <c r="H115" s="9">
        <f>ABS(Prices!C115-Prices!C114)/Prices!C114</f>
        <v>9.7065117701009649E-3</v>
      </c>
      <c r="I115" s="13"/>
      <c r="J115" s="1">
        <f t="shared" ca="1" si="14"/>
        <v>6.6428892210643729E-4</v>
      </c>
      <c r="K115" s="9"/>
      <c r="L115" s="9">
        <f ca="1">L114-O115*Prices!C115</f>
        <v>0.94734873543718268</v>
      </c>
      <c r="M115" s="1">
        <f t="shared" ca="1" si="15"/>
        <v>1.0594586115538148E-2</v>
      </c>
      <c r="N115" s="9">
        <f ca="1">IF(Prices!D114&gt;OFFSET(Prices!D114,-$N$3,0),1,-1)</f>
        <v>1</v>
      </c>
      <c r="O115" s="1">
        <f ca="1">IF(N115=1,O$3*L114/Prices!C114,-O$3*M114)</f>
        <v>8.0537004942419187E-4</v>
      </c>
      <c r="P115" s="14"/>
      <c r="Q115" s="9">
        <f ca="1">Q114-T115*Prices!C115</f>
        <v>1.401129653409527</v>
      </c>
      <c r="R115" s="1">
        <f t="shared" ca="1" si="16"/>
        <v>6.9129752385699737E-3</v>
      </c>
      <c r="S115" s="9">
        <f ca="1">IF(Prices!C114&lt;OFFSET(Prices!C114,-S$3,0),1,-1)</f>
        <v>-1</v>
      </c>
      <c r="T115" s="1">
        <f ca="1">IF(S115=1,T$3*Q114/Prices!C114,-T$3*R114)</f>
        <v>-1.4108112731775458E-4</v>
      </c>
      <c r="V115" s="9"/>
      <c r="W115" s="1"/>
      <c r="X115" s="1"/>
      <c r="Y115" s="1"/>
      <c r="Z115" s="1"/>
      <c r="AA115" s="1"/>
      <c r="AB115" s="1"/>
      <c r="AC115" s="1"/>
      <c r="AD115" s="1"/>
      <c r="AE115" s="16"/>
    </row>
    <row r="116" spans="1:31" x14ac:dyDescent="0.2">
      <c r="A116" s="4">
        <v>33668</v>
      </c>
      <c r="B116" s="9">
        <f ca="1">Prices!C115*(1+J116/(50*(ABS(O116)+ABS(T116)+0.0001)))</f>
        <v>133.7108663035163</v>
      </c>
      <c r="C116" s="21">
        <f t="shared" ca="1" si="11"/>
        <v>1</v>
      </c>
      <c r="D116" s="9">
        <f ca="1">D115+C116*(Prices!C116-Prices!C115)/Prices!C115</f>
        <v>8.911058886566095E-2</v>
      </c>
      <c r="E116" s="9">
        <f t="shared" ca="1" si="12"/>
        <v>1.9680569222619015E-3</v>
      </c>
      <c r="F116" s="9">
        <f t="shared" ca="1" si="13"/>
        <v>9.1078645787922852E-2</v>
      </c>
      <c r="G116" s="13">
        <f ca="1">IF((Prices!C116-Prices!C115)*C116&gt;0,1,0)</f>
        <v>0</v>
      </c>
      <c r="H116" s="9">
        <f>ABS(Prices!C116-Prices!C115)/Prices!C115</f>
        <v>1.9680569222618976E-3</v>
      </c>
      <c r="I116" s="13"/>
      <c r="J116" s="1">
        <f t="shared" ca="1" si="14"/>
        <v>5.7883135544900977E-4</v>
      </c>
      <c r="K116" s="9"/>
      <c r="L116" s="9">
        <f ca="1">L115-O116*Prices!C116</f>
        <v>0.85280030551712172</v>
      </c>
      <c r="M116" s="1">
        <f t="shared" ca="1" si="15"/>
        <v>1.1311676975758557E-2</v>
      </c>
      <c r="N116" s="9">
        <f ca="1">IF(Prices!D115&gt;OFFSET(Prices!D115,-$N$3,0),1,-1)</f>
        <v>1</v>
      </c>
      <c r="O116" s="1">
        <f ca="1">IF(N116=1,O$3*L115/Prices!C115,-O$3*M115)</f>
        <v>7.1709086022040921E-4</v>
      </c>
      <c r="P116" s="14"/>
      <c r="Q116" s="9">
        <f ca="1">Q115-T116*Prices!C116</f>
        <v>1.419359169113636</v>
      </c>
      <c r="R116" s="1">
        <f t="shared" ca="1" si="16"/>
        <v>6.7747157337985746E-3</v>
      </c>
      <c r="S116" s="9">
        <f ca="1">IF(Prices!C115&lt;OFFSET(Prices!C115,-S$3,0),1,-1)</f>
        <v>-1</v>
      </c>
      <c r="T116" s="1">
        <f ca="1">IF(S116=1,T$3*Q115/Prices!C115,-T$3*R115)</f>
        <v>-1.3825950477139949E-4</v>
      </c>
      <c r="V116" s="9"/>
      <c r="W116" s="1"/>
      <c r="X116" s="1"/>
      <c r="Y116" s="1"/>
      <c r="Z116" s="1"/>
      <c r="AA116" s="1"/>
      <c r="AB116" s="1"/>
      <c r="AC116" s="1"/>
      <c r="AD116" s="1"/>
      <c r="AE116" s="16"/>
    </row>
    <row r="117" spans="1:31" x14ac:dyDescent="0.2">
      <c r="A117" s="4">
        <v>33669</v>
      </c>
      <c r="B117" s="9">
        <f ca="1">Prices!C116*(1+J117/(50*(ABS(O117)+ABS(T117)+0.0001)))</f>
        <v>133.37818447210964</v>
      </c>
      <c r="C117" s="21">
        <f t="shared" ca="1" si="11"/>
        <v>1</v>
      </c>
      <c r="D117" s="9">
        <f ca="1">D116+C117*(Prices!C117-Prices!C116)/Prices!C116</f>
        <v>8.8427995009005639E-2</v>
      </c>
      <c r="E117" s="9">
        <f t="shared" ca="1" si="12"/>
        <v>2.6506507789172129E-3</v>
      </c>
      <c r="F117" s="9">
        <f t="shared" ca="1" si="13"/>
        <v>9.1078645787922852E-2</v>
      </c>
      <c r="G117" s="13">
        <f ca="1">IF((Prices!C117-Prices!C116)*C117&gt;0,1,0)</f>
        <v>0</v>
      </c>
      <c r="H117" s="9">
        <f>ABS(Prices!C117-Prices!C116)/Prices!C116</f>
        <v>6.8259385665531602E-4</v>
      </c>
      <c r="I117" s="13"/>
      <c r="J117" s="1">
        <f t="shared" ca="1" si="14"/>
        <v>5.1130151810151951E-4</v>
      </c>
      <c r="K117" s="9"/>
      <c r="L117" s="9">
        <f ca="1">L116-O117*Prices!C117</f>
        <v>0.76757848659035954</v>
      </c>
      <c r="M117" s="1">
        <f t="shared" ca="1" si="15"/>
        <v>1.1958472808536048E-2</v>
      </c>
      <c r="N117" s="9">
        <f ca="1">IF(Prices!D116&gt;OFFSET(Prices!D116,-$N$3,0),1,-1)</f>
        <v>1</v>
      </c>
      <c r="O117" s="1">
        <f ca="1">IF(N117=1,O$3*L116/Prices!C116,-O$3*M116)</f>
        <v>6.4679583277749099E-4</v>
      </c>
      <c r="P117" s="14"/>
      <c r="Q117" s="9">
        <f ca="1">Q116-T117*Prices!C117</f>
        <v>1.437211900015342</v>
      </c>
      <c r="R117" s="1">
        <f t="shared" ca="1" si="16"/>
        <v>6.6392214191226028E-3</v>
      </c>
      <c r="S117" s="9">
        <f ca="1">IF(Prices!C116&lt;OFFSET(Prices!C116,-S$3,0),1,-1)</f>
        <v>-1</v>
      </c>
      <c r="T117" s="1">
        <f ca="1">IF(S117=1,T$3*Q116/Prices!C116,-T$3*R116)</f>
        <v>-1.3549431467597151E-4</v>
      </c>
      <c r="V117" s="9"/>
      <c r="W117" s="1"/>
      <c r="X117" s="1"/>
      <c r="Y117" s="1"/>
      <c r="Z117" s="1"/>
      <c r="AA117" s="1"/>
      <c r="AB117" s="1"/>
      <c r="AC117" s="1"/>
      <c r="AD117" s="1"/>
      <c r="AE117" s="16"/>
    </row>
    <row r="118" spans="1:31" x14ac:dyDescent="0.2">
      <c r="A118" s="4">
        <v>33672</v>
      </c>
      <c r="B118" s="9">
        <f ca="1">Prices!C117*(1+J118/(50*(ABS(O118)+ABS(T118)+0.0001)))</f>
        <v>133.21367557686625</v>
      </c>
      <c r="C118" s="21">
        <f t="shared" ca="1" si="11"/>
        <v>1</v>
      </c>
      <c r="D118" s="9">
        <f ca="1">D117+C118*(Prices!C118-Prices!C117)/Prices!C117</f>
        <v>8.9642324092187156E-2</v>
      </c>
      <c r="E118" s="9">
        <f t="shared" ca="1" si="12"/>
        <v>1.4363216957356956E-3</v>
      </c>
      <c r="F118" s="9">
        <f t="shared" ca="1" si="13"/>
        <v>9.1078645787922852E-2</v>
      </c>
      <c r="G118" s="13">
        <f ca="1">IF((Prices!C118-Prices!C117)*C118&gt;0,1,0)</f>
        <v>1</v>
      </c>
      <c r="H118" s="9">
        <f>ABS(Prices!C118-Prices!C117)/Prices!C117</f>
        <v>1.2143290831815165E-3</v>
      </c>
      <c r="I118" s="13"/>
      <c r="J118" s="1">
        <f t="shared" ca="1" si="14"/>
        <v>4.4977362154951486E-4</v>
      </c>
      <c r="K118" s="9"/>
      <c r="L118" s="9">
        <f ca="1">L117-O118*Prices!C118</f>
        <v>0.69072742864333447</v>
      </c>
      <c r="M118" s="1">
        <f t="shared" ca="1" si="15"/>
        <v>1.2541030858468015E-2</v>
      </c>
      <c r="N118" s="9">
        <f ca="1">IF(Prices!D117&gt;OFFSET(Prices!D117,-$N$3,0),1,-1)</f>
        <v>1</v>
      </c>
      <c r="O118" s="1">
        <f ca="1">IF(N118=1,O$3*L117/Prices!C117,-O$3*M117)</f>
        <v>5.8255804993196693E-4</v>
      </c>
      <c r="P118" s="14"/>
      <c r="Q118" s="9">
        <f ca="1">Q117-T118*Prices!C118</f>
        <v>1.4547288218075551</v>
      </c>
      <c r="R118" s="1">
        <f t="shared" ca="1" si="16"/>
        <v>6.5064369907401505E-3</v>
      </c>
      <c r="S118" s="9">
        <f ca="1">IF(Prices!C117&lt;OFFSET(Prices!C117,-S$3,0),1,-1)</f>
        <v>-1</v>
      </c>
      <c r="T118" s="1">
        <f ca="1">IF(S118=1,T$3*Q117/Prices!C117,-T$3*R117)</f>
        <v>-1.3278442838245206E-4</v>
      </c>
      <c r="V118" s="9"/>
      <c r="W118" s="1"/>
      <c r="X118" s="1"/>
      <c r="Y118" s="1"/>
      <c r="Z118" s="1"/>
      <c r="AA118" s="1"/>
      <c r="AB118" s="1"/>
      <c r="AC118" s="1"/>
      <c r="AD118" s="1"/>
      <c r="AE118" s="16"/>
    </row>
    <row r="119" spans="1:31" x14ac:dyDescent="0.2">
      <c r="A119" s="4">
        <v>33673</v>
      </c>
      <c r="B119" s="9">
        <f ca="1">Prices!C118*(1+J119/(50*(ABS(O119)+ABS(T119)+0.0001)))</f>
        <v>129.45936198801178</v>
      </c>
      <c r="C119" s="21">
        <f t="shared" ca="1" si="11"/>
        <v>-1</v>
      </c>
      <c r="D119" s="9">
        <f ca="1">D118+C119*(Prices!C119-Prices!C118)/Prices!C118</f>
        <v>8.2365186432999712E-2</v>
      </c>
      <c r="E119" s="9">
        <f t="shared" ca="1" si="12"/>
        <v>8.7134593549231393E-3</v>
      </c>
      <c r="F119" s="9">
        <f t="shared" ca="1" si="13"/>
        <v>9.1078645787922852E-2</v>
      </c>
      <c r="G119" s="13">
        <f ca="1">IF((Prices!C119-Prices!C118)*C119&gt;0,1,0)</f>
        <v>0</v>
      </c>
      <c r="H119" s="9">
        <f>ABS(Prices!C119-Prices!C118)/Prices!C118</f>
        <v>7.2771376591874472E-3</v>
      </c>
      <c r="I119" s="13"/>
      <c r="J119" s="1">
        <f t="shared" ca="1" si="14"/>
        <v>-1.3842318256616045E-3</v>
      </c>
      <c r="K119" s="9"/>
      <c r="L119" s="9">
        <f ca="1">L118-O119*Prices!C119</f>
        <v>0.85737264669065749</v>
      </c>
      <c r="M119" s="1">
        <f t="shared" ca="1" si="15"/>
        <v>1.1286927772621214E-2</v>
      </c>
      <c r="N119" s="9">
        <f ca="1">IF(Prices!D118&gt;OFFSET(Prices!D118,-$N$3,0),1,-1)</f>
        <v>-1</v>
      </c>
      <c r="O119" s="1">
        <f ca="1">IF(N119=1,O$3*L118/Prices!C118,-O$3*M118)</f>
        <v>-1.2541030858468016E-3</v>
      </c>
      <c r="P119" s="14"/>
      <c r="Q119" s="9">
        <f ca="1">Q118-T119*Prices!C119</f>
        <v>1.4720203287541462</v>
      </c>
      <c r="R119" s="1">
        <f t="shared" ca="1" si="16"/>
        <v>6.3763082509253471E-3</v>
      </c>
      <c r="S119" s="9">
        <f ca="1">IF(Prices!C118&lt;OFFSET(Prices!C118,-S$3,0),1,-1)</f>
        <v>-1</v>
      </c>
      <c r="T119" s="1">
        <f ca="1">IF(S119=1,T$3*Q118/Prices!C118,-T$3*R118)</f>
        <v>-1.30128739814803E-4</v>
      </c>
      <c r="V119" s="9"/>
      <c r="W119" s="1"/>
      <c r="X119" s="1"/>
      <c r="Y119" s="1"/>
      <c r="Z119" s="1"/>
      <c r="AA119" s="1"/>
      <c r="AB119" s="1"/>
      <c r="AC119" s="1"/>
      <c r="AD119" s="1"/>
      <c r="AE119" s="16"/>
    </row>
    <row r="120" spans="1:31" x14ac:dyDescent="0.2">
      <c r="A120" s="4">
        <v>33674</v>
      </c>
      <c r="B120" s="9">
        <f ca="1">Prices!C119*(1+J120/(50*(ABS(O120)+ABS(T120)+0.0001)))</f>
        <v>130.41835656107935</v>
      </c>
      <c r="C120" s="21">
        <f t="shared" ca="1" si="11"/>
        <v>-1</v>
      </c>
      <c r="D120" s="9">
        <f ca="1">D119+C120*(Prices!C120-Prices!C119)/Prices!C119</f>
        <v>7.8075601845401937E-2</v>
      </c>
      <c r="E120" s="9">
        <f t="shared" ca="1" si="12"/>
        <v>1.3003043942520914E-2</v>
      </c>
      <c r="F120" s="9">
        <f t="shared" ca="1" si="13"/>
        <v>9.1078645787922852E-2</v>
      </c>
      <c r="G120" s="13">
        <f ca="1">IF((Prices!C120-Prices!C119)*C120&gt;0,1,0)</f>
        <v>0</v>
      </c>
      <c r="H120" s="9">
        <f>ABS(Prices!C120-Prices!C119)/Prices!C119</f>
        <v>4.2895845875977811E-3</v>
      </c>
      <c r="I120" s="13"/>
      <c r="J120" s="1">
        <f t="shared" ca="1" si="14"/>
        <v>-1.2562189422806282E-3</v>
      </c>
      <c r="K120" s="9"/>
      <c r="L120" s="9">
        <f ca="1">L119-O120*Prices!C120</f>
        <v>1.0079966978162875</v>
      </c>
      <c r="M120" s="1">
        <f t="shared" ca="1" si="15"/>
        <v>1.0158234995359092E-2</v>
      </c>
      <c r="N120" s="9">
        <f ca="1">IF(Prices!D119&gt;OFFSET(Prices!D119,-$N$3,0),1,-1)</f>
        <v>-1</v>
      </c>
      <c r="O120" s="1">
        <f ca="1">IF(N120=1,O$3*L119/Prices!C119,-O$3*M119)</f>
        <v>-1.1286927772621214E-3</v>
      </c>
      <c r="P120" s="14"/>
      <c r="Q120" s="9">
        <f ca="1">Q119-T120*Prices!C120</f>
        <v>1.4890386954758661</v>
      </c>
      <c r="R120" s="1">
        <f t="shared" ca="1" si="16"/>
        <v>6.2487820859068403E-3</v>
      </c>
      <c r="S120" s="9">
        <f ca="1">IF(Prices!C119&lt;OFFSET(Prices!C119,-S$3,0),1,-1)</f>
        <v>-1</v>
      </c>
      <c r="T120" s="1">
        <f ca="1">IF(S120=1,T$3*Q119/Prices!C119,-T$3*R119)</f>
        <v>-1.2752616501850695E-4</v>
      </c>
      <c r="V120" s="9"/>
      <c r="W120" s="1"/>
      <c r="X120" s="1"/>
      <c r="Y120" s="1"/>
      <c r="Z120" s="1"/>
      <c r="AA120" s="1"/>
      <c r="AB120" s="1"/>
      <c r="AC120" s="1"/>
      <c r="AD120" s="1"/>
      <c r="AE120" s="16"/>
    </row>
    <row r="121" spans="1:31" x14ac:dyDescent="0.2">
      <c r="A121" s="4">
        <v>33675</v>
      </c>
      <c r="B121" s="9">
        <f ca="1">Prices!C120*(1+J121/(50*(ABS(O121)+ABS(T121)+0.0001)))</f>
        <v>135.16622196450226</v>
      </c>
      <c r="C121" s="21">
        <f t="shared" ca="1" si="11"/>
        <v>1</v>
      </c>
      <c r="D121" s="9">
        <f ca="1">D120+C121*(Prices!C121-Prices!C120)/Prices!C120</f>
        <v>8.4070356435136009E-2</v>
      </c>
      <c r="E121" s="9">
        <f t="shared" ca="1" si="12"/>
        <v>7.0082893527868423E-3</v>
      </c>
      <c r="F121" s="9">
        <f t="shared" ca="1" si="13"/>
        <v>9.1078645787922852E-2</v>
      </c>
      <c r="G121" s="13">
        <f ca="1">IF((Prices!C121-Prices!C120)*C121&gt;0,1,0)</f>
        <v>1</v>
      </c>
      <c r="H121" s="9">
        <f>ABS(Prices!C121-Prices!C120)/Prices!C120</f>
        <v>5.9947545897340686E-3</v>
      </c>
      <c r="I121" s="13"/>
      <c r="J121" s="1">
        <f t="shared" ca="1" si="14"/>
        <v>6.3036096211572428E-4</v>
      </c>
      <c r="K121" s="9"/>
      <c r="L121" s="9">
        <f ca="1">L120-O121*Prices!C121</f>
        <v>0.90659275875159173</v>
      </c>
      <c r="M121" s="1">
        <f t="shared" ca="1" si="15"/>
        <v>1.0913571599192953E-2</v>
      </c>
      <c r="N121" s="9">
        <f ca="1">IF(Prices!D120&gt;OFFSET(Prices!D120,-$N$3,0),1,-1)</f>
        <v>1</v>
      </c>
      <c r="O121" s="1">
        <f ca="1">IF(N121=1,O$3*L120/Prices!C120,-O$3*M120)</f>
        <v>7.5533660383386107E-4</v>
      </c>
      <c r="P121" s="14"/>
      <c r="Q121" s="9">
        <f ca="1">Q120-T121*Prices!C121</f>
        <v>1.5058166753765259</v>
      </c>
      <c r="R121" s="1">
        <f t="shared" ca="1" si="16"/>
        <v>6.123806444188703E-3</v>
      </c>
      <c r="S121" s="9">
        <f ca="1">IF(Prices!C120&lt;OFFSET(Prices!C120,-S$3,0),1,-1)</f>
        <v>-1</v>
      </c>
      <c r="T121" s="1">
        <f ca="1">IF(S121=1,T$3*Q120/Prices!C120,-T$3*R120)</f>
        <v>-1.2497564171813682E-4</v>
      </c>
      <c r="V121" s="9"/>
      <c r="W121" s="1"/>
      <c r="X121" s="1"/>
      <c r="Y121" s="1"/>
      <c r="Z121" s="1"/>
      <c r="AA121" s="1"/>
      <c r="AB121" s="1"/>
      <c r="AC121" s="1"/>
      <c r="AD121" s="1"/>
      <c r="AE121" s="16"/>
    </row>
    <row r="122" spans="1:31" x14ac:dyDescent="0.2">
      <c r="A122" s="4">
        <v>33676</v>
      </c>
      <c r="B122" s="9">
        <f ca="1">Prices!C121*(1+J122/(50*(ABS(O122)+ABS(T122)+0.0001)))</f>
        <v>135.90334538763281</v>
      </c>
      <c r="C122" s="21">
        <f t="shared" ca="1" si="11"/>
        <v>1</v>
      </c>
      <c r="D122" s="9">
        <f ca="1">D121+C122*(Prices!C122-Prices!C121)/Prices!C121</f>
        <v>7.9228643213534483E-2</v>
      </c>
      <c r="E122" s="9">
        <f t="shared" ca="1" si="12"/>
        <v>1.1850002574388369E-2</v>
      </c>
      <c r="F122" s="9">
        <f t="shared" ca="1" si="13"/>
        <v>9.1078645787922852E-2</v>
      </c>
      <c r="G122" s="13">
        <f ca="1">IF((Prices!C122-Prices!C121)*C122&gt;0,1,0)</f>
        <v>0</v>
      </c>
      <c r="H122" s="9">
        <f>ABS(Prices!C122-Prices!C121)/Prices!C121</f>
        <v>4.8417132216015324E-3</v>
      </c>
      <c r="I122" s="13"/>
      <c r="J122" s="1">
        <f t="shared" ca="1" si="14"/>
        <v>5.5282573983249546E-4</v>
      </c>
      <c r="K122" s="9"/>
      <c r="L122" s="9">
        <f ca="1">L121-O122*Prices!C122</f>
        <v>0.81637242909109808</v>
      </c>
      <c r="M122" s="1">
        <f t="shared" ca="1" si="15"/>
        <v>1.1588873467909221E-2</v>
      </c>
      <c r="N122" s="9">
        <f ca="1">IF(Prices!D121&gt;OFFSET(Prices!D121,-$N$3,0),1,-1)</f>
        <v>1</v>
      </c>
      <c r="O122" s="1">
        <f ca="1">IF(N122=1,O$3*L121/Prices!C121,-O$3*M121)</f>
        <v>6.753018687162695E-4</v>
      </c>
      <c r="P122" s="14"/>
      <c r="Q122" s="9">
        <f ca="1">Q121-T122*Prices!C122</f>
        <v>1.5221794861953981</v>
      </c>
      <c r="R122" s="1">
        <f t="shared" ca="1" si="16"/>
        <v>6.0013303153049289E-3</v>
      </c>
      <c r="S122" s="9">
        <f ca="1">IF(Prices!C121&lt;OFFSET(Prices!C121,-S$3,0),1,-1)</f>
        <v>-1</v>
      </c>
      <c r="T122" s="1">
        <f ca="1">IF(S122=1,T$3*Q121/Prices!C121,-T$3*R121)</f>
        <v>-1.2247612888377407E-4</v>
      </c>
      <c r="V122" s="9"/>
      <c r="W122" s="1"/>
      <c r="X122" s="1"/>
      <c r="Y122" s="1"/>
      <c r="Z122" s="1"/>
      <c r="AA122" s="1"/>
      <c r="AB122" s="1"/>
      <c r="AC122" s="1"/>
      <c r="AD122" s="1"/>
      <c r="AE122" s="16"/>
    </row>
    <row r="123" spans="1:31" x14ac:dyDescent="0.2">
      <c r="A123" s="4">
        <v>33679</v>
      </c>
      <c r="B123" s="9">
        <f ca="1">Prices!C122*(1+J123/(50*(ABS(O123)+ABS(T123)+0.0001)))</f>
        <v>135.178702104997</v>
      </c>
      <c r="C123" s="21">
        <f t="shared" ca="1" si="11"/>
        <v>1</v>
      </c>
      <c r="D123" s="9">
        <f ca="1">D122+C123*(Prices!C123-Prices!C122)/Prices!C122</f>
        <v>8.2072954590779956E-2</v>
      </c>
      <c r="E123" s="9">
        <f t="shared" ca="1" si="12"/>
        <v>9.0056911971428955E-3</v>
      </c>
      <c r="F123" s="9">
        <f t="shared" ca="1" si="13"/>
        <v>9.1078645787922852E-2</v>
      </c>
      <c r="G123" s="13">
        <f ca="1">IF((Prices!C123-Prices!C122)*C123&gt;0,1,0)</f>
        <v>1</v>
      </c>
      <c r="H123" s="9">
        <f>ABS(Prices!C123-Prices!C122)/Prices!C122</f>
        <v>2.8443113772454749E-3</v>
      </c>
      <c r="I123" s="13"/>
      <c r="J123" s="1">
        <f t="shared" ca="1" si="14"/>
        <v>4.9103060109741798E-4</v>
      </c>
      <c r="K123" s="9"/>
      <c r="L123" s="9">
        <f ca="1">L122-O123*Prices!C123</f>
        <v>0.73450298444317497</v>
      </c>
      <c r="M123" s="1">
        <f t="shared" ca="1" si="15"/>
        <v>1.2199930675312737E-2</v>
      </c>
      <c r="N123" s="9">
        <f ca="1">IF(Prices!D122&gt;OFFSET(Prices!D122,-$N$3,0),1,-1)</f>
        <v>1</v>
      </c>
      <c r="O123" s="1">
        <f ca="1">IF(N123=1,O$3*L122/Prices!C122,-O$3*M122)</f>
        <v>6.1105720740351659E-4</v>
      </c>
      <c r="P123" s="14"/>
      <c r="Q123" s="9">
        <f ca="1">Q122-T123*Prices!C123</f>
        <v>1.5382606509082892</v>
      </c>
      <c r="R123" s="1">
        <f t="shared" ca="1" si="16"/>
        <v>5.8813037089988302E-3</v>
      </c>
      <c r="S123" s="9">
        <f ca="1">IF(Prices!C122&lt;OFFSET(Prices!C122,-S$3,0),1,-1)</f>
        <v>-1</v>
      </c>
      <c r="T123" s="1">
        <f ca="1">IF(S123=1,T$3*Q122/Prices!C122,-T$3*R122)</f>
        <v>-1.2002660630609858E-4</v>
      </c>
      <c r="V123" s="9"/>
      <c r="W123" s="1"/>
      <c r="X123" s="1"/>
      <c r="Y123" s="1"/>
      <c r="Z123" s="1"/>
      <c r="AA123" s="1"/>
      <c r="AB123" s="1"/>
      <c r="AC123" s="1"/>
      <c r="AD123" s="1"/>
      <c r="AE123" s="16"/>
    </row>
    <row r="124" spans="1:31" x14ac:dyDescent="0.2">
      <c r="A124" s="4">
        <v>33680</v>
      </c>
      <c r="B124" s="9">
        <f ca="1">Prices!C123*(1+J124/(50*(ABS(O124)+ABS(T124)+0.0001)))</f>
        <v>135.4865920180417</v>
      </c>
      <c r="C124" s="21">
        <f t="shared" ca="1" si="11"/>
        <v>1</v>
      </c>
      <c r="D124" s="9">
        <f ca="1">D123+C124*(Prices!C124-Prices!C123)/Prices!C123</f>
        <v>7.8117140290138054E-2</v>
      </c>
      <c r="E124" s="9">
        <f t="shared" ca="1" si="12"/>
        <v>1.2961505497784798E-2</v>
      </c>
      <c r="F124" s="9">
        <f t="shared" ca="1" si="13"/>
        <v>9.1078645787922852E-2</v>
      </c>
      <c r="G124" s="13">
        <f ca="1">IF((Prices!C124-Prices!C123)*C124&gt;0,1,0)</f>
        <v>0</v>
      </c>
      <c r="H124" s="9">
        <f>ABS(Prices!C124-Prices!C123)/Prices!C123</f>
        <v>3.9558143006418953E-3</v>
      </c>
      <c r="I124" s="13"/>
      <c r="J124" s="1">
        <f t="shared" ca="1" si="14"/>
        <v>4.3059230501331716E-4</v>
      </c>
      <c r="K124" s="9"/>
      <c r="L124" s="9">
        <f ca="1">L123-O124*Prices!C124</f>
        <v>0.66134324173982995</v>
      </c>
      <c r="M124" s="1">
        <f t="shared" ca="1" si="15"/>
        <v>1.2748149054506032E-2</v>
      </c>
      <c r="N124" s="9">
        <f ca="1">IF(Prices!D123&gt;OFFSET(Prices!D123,-$N$3,0),1,-1)</f>
        <v>1</v>
      </c>
      <c r="O124" s="1">
        <f ca="1">IF(N124=1,O$3*L123/Prices!C123,-O$3*M123)</f>
        <v>5.4821837919329379E-4</v>
      </c>
      <c r="P124" s="14"/>
      <c r="Q124" s="9">
        <f ca="1">Q123-T124*Prices!C124</f>
        <v>1.553957850507607</v>
      </c>
      <c r="R124" s="1">
        <f t="shared" ca="1" si="16"/>
        <v>5.7636776348188538E-3</v>
      </c>
      <c r="S124" s="9">
        <f ca="1">IF(Prices!C123&lt;OFFSET(Prices!C123,-S$3,0),1,-1)</f>
        <v>-1</v>
      </c>
      <c r="T124" s="1">
        <f ca="1">IF(S124=1,T$3*Q123/Prices!C123,-T$3*R123)</f>
        <v>-1.176260741799766E-4</v>
      </c>
      <c r="V124" s="9"/>
      <c r="W124" s="1"/>
      <c r="X124" s="1"/>
      <c r="Y124" s="1"/>
      <c r="Z124" s="1"/>
      <c r="AA124" s="1"/>
      <c r="AB124" s="1"/>
      <c r="AC124" s="1"/>
      <c r="AD124" s="1"/>
      <c r="AE124" s="16"/>
    </row>
    <row r="125" spans="1:31" x14ac:dyDescent="0.2">
      <c r="A125" s="4">
        <v>33681</v>
      </c>
      <c r="B125" s="9">
        <f ca="1">Prices!C124*(1+J125/(50*(ABS(O125)+ABS(T125)+0.0001)))</f>
        <v>130.96011688298819</v>
      </c>
      <c r="C125" s="21">
        <f t="shared" ca="1" si="11"/>
        <v>-1</v>
      </c>
      <c r="D125" s="9">
        <f ca="1">D124+C125*(Prices!C125-Prices!C124)/Prices!C124</f>
        <v>8.8607960822172357E-2</v>
      </c>
      <c r="E125" s="9">
        <f t="shared" ca="1" si="12"/>
        <v>2.4706849657504942E-3</v>
      </c>
      <c r="F125" s="9">
        <f t="shared" ca="1" si="13"/>
        <v>9.1078645787922852E-2</v>
      </c>
      <c r="G125" s="13">
        <f ca="1">IF((Prices!C125-Prices!C124)*C125&gt;0,1,0)</f>
        <v>1</v>
      </c>
      <c r="H125" s="9">
        <f>ABS(Prices!C125-Prices!C124)/Prices!C124</f>
        <v>1.04908205320343E-2</v>
      </c>
      <c r="I125" s="13"/>
      <c r="J125" s="1">
        <f t="shared" ca="1" si="14"/>
        <v>-1.3900884581469805E-3</v>
      </c>
      <c r="K125" s="9"/>
      <c r="L125" s="9">
        <f ca="1">L124-O125*Prices!C125</f>
        <v>0.82968255000458213</v>
      </c>
      <c r="M125" s="1">
        <f t="shared" ca="1" si="15"/>
        <v>1.1473334149055429E-2</v>
      </c>
      <c r="N125" s="9">
        <f ca="1">IF(Prices!D124&gt;OFFSET(Prices!D124,-$N$3,0),1,-1)</f>
        <v>-1</v>
      </c>
      <c r="O125" s="1">
        <f ca="1">IF(N125=1,O$3*L124/Prices!C124,-O$3*M124)</f>
        <v>-1.2748149054506034E-3</v>
      </c>
      <c r="P125" s="14"/>
      <c r="Q125" s="9">
        <f ca="1">Q124-T125*Prices!C125</f>
        <v>1.5691797231411637</v>
      </c>
      <c r="R125" s="1">
        <f t="shared" ca="1" si="16"/>
        <v>5.6484040821224765E-3</v>
      </c>
      <c r="S125" s="9">
        <f ca="1">IF(Prices!C124&lt;OFFSET(Prices!C124,-S$3,0),1,-1)</f>
        <v>-1</v>
      </c>
      <c r="T125" s="1">
        <f ca="1">IF(S125=1,T$3*Q124/Prices!C124,-T$3*R124)</f>
        <v>-1.1527355269637707E-4</v>
      </c>
      <c r="V125" s="9"/>
      <c r="W125" s="1"/>
      <c r="X125" s="1"/>
      <c r="Y125" s="1"/>
      <c r="Z125" s="1"/>
      <c r="AA125" s="1"/>
      <c r="AB125" s="1"/>
      <c r="AC125" s="1"/>
      <c r="AD125" s="1"/>
      <c r="AE125" s="16"/>
    </row>
    <row r="126" spans="1:31" x14ac:dyDescent="0.2">
      <c r="A126" s="4">
        <v>33682</v>
      </c>
      <c r="B126" s="9">
        <f ca="1">Prices!C125*(1+J126/(50*(ABS(O126)+ABS(T126)+0.0001)))</f>
        <v>130.43219591473127</v>
      </c>
      <c r="C126" s="21">
        <f t="shared" ca="1" si="11"/>
        <v>-1</v>
      </c>
      <c r="D126" s="9">
        <f ca="1">D125+C126*(Prices!C126-Prices!C125)/Prices!C125</f>
        <v>7.9369036172418486E-2</v>
      </c>
      <c r="E126" s="9">
        <f t="shared" ca="1" si="12"/>
        <v>1.1709609615504366E-2</v>
      </c>
      <c r="F126" s="9">
        <f t="shared" ca="1" si="13"/>
        <v>9.1078645787922852E-2</v>
      </c>
      <c r="G126" s="13">
        <f ca="1">IF((Prices!C126-Prices!C125)*C126&gt;0,1,0)</f>
        <v>0</v>
      </c>
      <c r="H126" s="9">
        <f>ABS(Prices!C126-Prices!C125)/Prices!C125</f>
        <v>9.2389246497538713E-3</v>
      </c>
      <c r="I126" s="13"/>
      <c r="J126" s="1">
        <f t="shared" ca="1" si="14"/>
        <v>-9.0966893582320092E-4</v>
      </c>
      <c r="K126" s="9"/>
      <c r="L126" s="9">
        <f ca="1">L125-O126*Prices!C126</f>
        <v>0.9825876742090438</v>
      </c>
      <c r="M126" s="1">
        <f t="shared" ca="1" si="15"/>
        <v>1.0326000734149887E-2</v>
      </c>
      <c r="N126" s="9">
        <f ca="1">IF(Prices!D125&gt;OFFSET(Prices!D125,-$N$3,0),1,-1)</f>
        <v>-1</v>
      </c>
      <c r="O126" s="1">
        <f ca="1">IF(N126=1,O$3*L125/Prices!C125,-O$3*M125)</f>
        <v>-1.147333414905543E-3</v>
      </c>
      <c r="P126" s="14"/>
      <c r="Q126" s="9">
        <f ca="1">Q125-T126*Prices!C126</f>
        <v>1.5375061780138599</v>
      </c>
      <c r="R126" s="1">
        <f t="shared" ca="1" si="16"/>
        <v>5.8860685612048182E-3</v>
      </c>
      <c r="S126" s="9">
        <f ca="1">IF(Prices!C125&lt;OFFSET(Prices!C125,-S$3,0),1,-1)</f>
        <v>1</v>
      </c>
      <c r="T126" s="1">
        <f ca="1">IF(S126=1,T$3*Q125/Prices!C125,-T$3*R125)</f>
        <v>2.3766447908234208E-4</v>
      </c>
      <c r="V126" s="9"/>
      <c r="W126" s="1"/>
      <c r="X126" s="1"/>
      <c r="Y126" s="1"/>
      <c r="Z126" s="1"/>
      <c r="AA126" s="1"/>
      <c r="AB126" s="1"/>
      <c r="AC126" s="1"/>
      <c r="AD126" s="1"/>
      <c r="AE126" s="16"/>
    </row>
    <row r="127" spans="1:31" x14ac:dyDescent="0.2">
      <c r="A127" s="4">
        <v>33683</v>
      </c>
      <c r="B127" s="9">
        <f ca="1">Prices!C126*(1+J127/(50*(ABS(O127)+ABS(T127)+0.0001)))</f>
        <v>131.7023084020756</v>
      </c>
      <c r="C127" s="21">
        <f t="shared" ca="1" si="11"/>
        <v>-1</v>
      </c>
      <c r="D127" s="9">
        <f ca="1">D126+C127*(Prices!C127-Prices!C126)/Prices!C126</f>
        <v>7.2765899682585844E-2</v>
      </c>
      <c r="E127" s="9">
        <f t="shared" ca="1" si="12"/>
        <v>1.8312746105337008E-2</v>
      </c>
      <c r="F127" s="9">
        <f t="shared" ca="1" si="13"/>
        <v>9.1078645787922852E-2</v>
      </c>
      <c r="G127" s="13">
        <f ca="1">IF((Prices!C127-Prices!C126)*C127&gt;0,1,0)</f>
        <v>0</v>
      </c>
      <c r="H127" s="9">
        <f>ABS(Prices!C127-Prices!C126)/Prices!C126</f>
        <v>6.6031364898326362E-3</v>
      </c>
      <c r="I127" s="13"/>
      <c r="J127" s="1">
        <f t="shared" ca="1" si="14"/>
        <v>-8.0186454733802322E-4</v>
      </c>
      <c r="K127" s="9"/>
      <c r="L127" s="9">
        <f ca="1">L126-O127*Prices!C127</f>
        <v>1.1211109740576646</v>
      </c>
      <c r="M127" s="1">
        <f t="shared" ca="1" si="15"/>
        <v>9.2934006607348976E-3</v>
      </c>
      <c r="N127" s="9">
        <f ca="1">IF(Prices!D126&gt;OFFSET(Prices!D126,-$N$3,0),1,-1)</f>
        <v>-1</v>
      </c>
      <c r="O127" s="1">
        <f ca="1">IF(N127=1,O$3*L126/Prices!C126,-O$3*M126)</f>
        <v>-1.0326000734149888E-3</v>
      </c>
      <c r="P127" s="14"/>
      <c r="Q127" s="9">
        <f ca="1">Q126-T127*Prices!C127</f>
        <v>1.506553007190635</v>
      </c>
      <c r="R127" s="1">
        <f t="shared" ca="1" si="16"/>
        <v>6.1168040872817842E-3</v>
      </c>
      <c r="S127" s="9">
        <f ca="1">IF(Prices!C126&lt;OFFSET(Prices!C126,-S$3,0),1,-1)</f>
        <v>1</v>
      </c>
      <c r="T127" s="1">
        <f ca="1">IF(S127=1,T$3*Q126/Prices!C126,-T$3*R126)</f>
        <v>2.3073552607696555E-4</v>
      </c>
      <c r="V127" s="9"/>
      <c r="W127" s="1"/>
      <c r="X127" s="1"/>
      <c r="Y127" s="1"/>
      <c r="Z127" s="1"/>
      <c r="AA127" s="1"/>
      <c r="AB127" s="1"/>
      <c r="AC127" s="1"/>
      <c r="AD127" s="1"/>
      <c r="AE127" s="16"/>
    </row>
    <row r="128" spans="1:31" x14ac:dyDescent="0.2">
      <c r="A128" s="4">
        <v>33686</v>
      </c>
      <c r="B128" s="9">
        <f ca="1">Prices!C127*(1+J128/(50*(ABS(O128)+ABS(T128)+0.0001)))</f>
        <v>135.9589818305061</v>
      </c>
      <c r="C128" s="21">
        <f t="shared" ca="1" si="11"/>
        <v>1</v>
      </c>
      <c r="D128" s="9">
        <f ca="1">D127+C128*(Prices!C128-Prices!C127)/Prices!C127</f>
        <v>6.9411445713148515E-2</v>
      </c>
      <c r="E128" s="9">
        <f t="shared" ca="1" si="12"/>
        <v>2.1667200074774337E-2</v>
      </c>
      <c r="F128" s="9">
        <f t="shared" ca="1" si="13"/>
        <v>9.1078645787922852E-2</v>
      </c>
      <c r="G128" s="13">
        <f ca="1">IF((Prices!C128-Prices!C127)*C128&gt;0,1,0)</f>
        <v>0</v>
      </c>
      <c r="H128" s="9">
        <f>ABS(Prices!C128-Prices!C127)/Prices!C127</f>
        <v>3.3544539694373241E-3</v>
      </c>
      <c r="I128" s="13"/>
      <c r="J128" s="1">
        <f t="shared" ca="1" si="14"/>
        <v>7.133783976115501E-4</v>
      </c>
      <c r="K128" s="9"/>
      <c r="L128" s="9">
        <f ca="1">L127-O128*Prices!C128</f>
        <v>1.0093759481676088</v>
      </c>
      <c r="M128" s="1">
        <f t="shared" ca="1" si="15"/>
        <v>1.0129115140092083E-2</v>
      </c>
      <c r="N128" s="9">
        <f ca="1">IF(Prices!D127&gt;OFFSET(Prices!D127,-$N$3,0),1,-1)</f>
        <v>1</v>
      </c>
      <c r="O128" s="1">
        <f ca="1">IF(N128=1,O$3*L127/Prices!C127,-O$3*M127)</f>
        <v>8.3571447935718577E-4</v>
      </c>
      <c r="P128" s="14"/>
      <c r="Q128" s="9">
        <f ca="1">Q127-T128*Prices!C128</f>
        <v>1.5229093413200265</v>
      </c>
      <c r="R128" s="1">
        <f t="shared" ca="1" si="16"/>
        <v>5.9944680055361481E-3</v>
      </c>
      <c r="S128" s="9">
        <f ca="1">IF(Prices!C127&lt;OFFSET(Prices!C127,-S$3,0),1,-1)</f>
        <v>-1</v>
      </c>
      <c r="T128" s="1">
        <f ca="1">IF(S128=1,T$3*Q127/Prices!C127,-T$3*R127)</f>
        <v>-1.2233608174563569E-4</v>
      </c>
      <c r="V128" s="9"/>
      <c r="W128" s="1"/>
      <c r="X128" s="1"/>
      <c r="Y128" s="1"/>
      <c r="Z128" s="1"/>
      <c r="AA128" s="1"/>
      <c r="AB128" s="1"/>
      <c r="AC128" s="1"/>
      <c r="AD128" s="1"/>
      <c r="AE128" s="16"/>
    </row>
    <row r="129" spans="1:31" x14ac:dyDescent="0.2">
      <c r="A129" s="4">
        <v>33687</v>
      </c>
      <c r="B129" s="9">
        <f ca="1">Prices!C128*(1+J129/(50*(ABS(O129)+ABS(T129)+0.0001)))</f>
        <v>135.44198709715263</v>
      </c>
      <c r="C129" s="21">
        <f t="shared" ca="1" si="11"/>
        <v>1</v>
      </c>
      <c r="D129" s="9">
        <f ca="1">D128+C129*(Prices!C129-Prices!C128)/Prices!C128</f>
        <v>6.9336651397516574E-2</v>
      </c>
      <c r="E129" s="9">
        <f t="shared" ca="1" si="12"/>
        <v>2.1741994390406277E-2</v>
      </c>
      <c r="F129" s="9">
        <f t="shared" ca="1" si="13"/>
        <v>9.1078645787922852E-2</v>
      </c>
      <c r="G129" s="13">
        <f ca="1">IF((Prices!C129-Prices!C128)*C129&gt;0,1,0)</f>
        <v>0</v>
      </c>
      <c r="H129" s="9">
        <f>ABS(Prices!C129-Prices!C128)/Prices!C128</f>
        <v>7.4794315631943951E-5</v>
      </c>
      <c r="I129" s="13"/>
      <c r="J129" s="1">
        <f t="shared" ca="1" si="14"/>
        <v>6.3506647247537197E-4</v>
      </c>
      <c r="K129" s="9"/>
      <c r="L129" s="9">
        <f ca="1">L128-O129*Prices!C129</f>
        <v>0.90844590290917371</v>
      </c>
      <c r="M129" s="1">
        <f t="shared" ca="1" si="15"/>
        <v>1.0884070972678178E-2</v>
      </c>
      <c r="N129" s="9">
        <f ca="1">IF(Prices!D128&gt;OFFSET(Prices!D128,-$N$3,0),1,-1)</f>
        <v>1</v>
      </c>
      <c r="O129" s="1">
        <f ca="1">IF(N129=1,O$3*L128/Prices!C128,-O$3*M128)</f>
        <v>7.5495583258609498E-4</v>
      </c>
      <c r="P129" s="14"/>
      <c r="Q129" s="9">
        <f ca="1">Q128-T129*Prices!C129</f>
        <v>1.5389373498732291</v>
      </c>
      <c r="R129" s="1">
        <f t="shared" ca="1" si="16"/>
        <v>5.874578645425425E-3</v>
      </c>
      <c r="S129" s="9">
        <f ca="1">IF(Prices!C128&lt;OFFSET(Prices!C128,-S$3,0),1,-1)</f>
        <v>-1</v>
      </c>
      <c r="T129" s="1">
        <f ca="1">IF(S129=1,T$3*Q128/Prices!C128,-T$3*R128)</f>
        <v>-1.1988936011072297E-4</v>
      </c>
      <c r="V129" s="9"/>
      <c r="W129" s="1"/>
      <c r="X129" s="1"/>
      <c r="Y129" s="1"/>
      <c r="Z129" s="1"/>
      <c r="AA129" s="1"/>
      <c r="AB129" s="1"/>
      <c r="AC129" s="1"/>
      <c r="AD129" s="1"/>
      <c r="AE129" s="16"/>
    </row>
    <row r="130" spans="1:31" x14ac:dyDescent="0.2">
      <c r="A130" s="4">
        <v>33688</v>
      </c>
      <c r="B130" s="9">
        <f ca="1">Prices!C129*(1+J130/(50*(ABS(O130)+ABS(T130)+0.0001)))</f>
        <v>131.22094789208867</v>
      </c>
      <c r="C130" s="21">
        <f t="shared" ca="1" si="11"/>
        <v>-1</v>
      </c>
      <c r="D130" s="9">
        <f ca="1">D129+C130*(Prices!C130-Prices!C129)/Prices!C129</f>
        <v>7.1879848345680258E-2</v>
      </c>
      <c r="E130" s="9">
        <f t="shared" ca="1" si="12"/>
        <v>1.9198797442242593E-2</v>
      </c>
      <c r="F130" s="9">
        <f t="shared" ca="1" si="13"/>
        <v>9.1078645787922852E-2</v>
      </c>
      <c r="G130" s="13">
        <f ca="1">IF((Prices!C130-Prices!C129)*C130&gt;0,1,0)</f>
        <v>1</v>
      </c>
      <c r="H130" s="9">
        <f>ABS(Prices!C130-Prices!C129)/Prices!C129</f>
        <v>2.5431969481636879E-3</v>
      </c>
      <c r="I130" s="13"/>
      <c r="J130" s="1">
        <f t="shared" ca="1" si="14"/>
        <v>-1.2058986701763265E-3</v>
      </c>
      <c r="K130" s="9"/>
      <c r="L130" s="9">
        <f ca="1">L129-O130*Prices!C130</f>
        <v>1.0535849893298372</v>
      </c>
      <c r="M130" s="1">
        <f t="shared" ca="1" si="15"/>
        <v>9.7956638754103601E-3</v>
      </c>
      <c r="N130" s="9">
        <f ca="1">IF(Prices!D129&gt;OFFSET(Prices!D129,-$N$3,0),1,-1)</f>
        <v>-1</v>
      </c>
      <c r="O130" s="1">
        <f ca="1">IF(N130=1,O$3*L129/Prices!C129,-O$3*M129)</f>
        <v>-1.0884070972678179E-3</v>
      </c>
      <c r="P130" s="14"/>
      <c r="Q130" s="9">
        <f ca="1">Q129-T130*Prices!C130</f>
        <v>1.5546048511205786</v>
      </c>
      <c r="R130" s="1">
        <f t="shared" ca="1" si="16"/>
        <v>5.7570870725169162E-3</v>
      </c>
      <c r="S130" s="9">
        <f ca="1">IF(Prices!C129&lt;OFFSET(Prices!C129,-S$3,0),1,-1)</f>
        <v>-1</v>
      </c>
      <c r="T130" s="1">
        <f ca="1">IF(S130=1,T$3*Q129/Prices!C129,-T$3*R129)</f>
        <v>-1.1749157290850851E-4</v>
      </c>
      <c r="V130" s="9"/>
      <c r="W130" s="1"/>
      <c r="X130" s="1"/>
      <c r="Y130" s="1"/>
      <c r="Z130" s="1"/>
      <c r="AA130" s="1"/>
      <c r="AB130" s="1"/>
      <c r="AC130" s="1"/>
      <c r="AD130" s="1"/>
      <c r="AE130" s="16"/>
    </row>
    <row r="131" spans="1:31" x14ac:dyDescent="0.2">
      <c r="A131" s="4">
        <v>33689</v>
      </c>
      <c r="B131" s="9">
        <f ca="1">Prices!C130*(1+J131/(50*(ABS(O131)+ABS(T131)+0.0001)))</f>
        <v>130.90623443988378</v>
      </c>
      <c r="C131" s="21">
        <f t="shared" ca="1" si="11"/>
        <v>-1</v>
      </c>
      <c r="D131" s="9">
        <f ca="1">D130+C131*(Prices!C131-Prices!C130)/Prices!C130</f>
        <v>6.7380410775376584E-2</v>
      </c>
      <c r="E131" s="9">
        <f t="shared" ca="1" si="12"/>
        <v>2.3698235012546268E-2</v>
      </c>
      <c r="F131" s="9">
        <f t="shared" ca="1" si="13"/>
        <v>9.1078645787922852E-2</v>
      </c>
      <c r="G131" s="13">
        <f ca="1">IF((Prices!C131-Prices!C130)*C131&gt;0,1,0)</f>
        <v>0</v>
      </c>
      <c r="H131" s="9">
        <f>ABS(Prices!C131-Prices!C130)/Prices!C130</f>
        <v>4.49943757030367E-3</v>
      </c>
      <c r="I131" s="13"/>
      <c r="J131" s="1">
        <f t="shared" ca="1" si="14"/>
        <v>-1.0947081289913742E-3</v>
      </c>
      <c r="K131" s="9"/>
      <c r="L131" s="9">
        <f ca="1">L130-O131*Prices!C131</f>
        <v>1.1847979069409589</v>
      </c>
      <c r="M131" s="1">
        <f t="shared" ca="1" si="15"/>
        <v>8.8160974878693232E-3</v>
      </c>
      <c r="N131" s="9">
        <f ca="1">IF(Prices!D130&gt;OFFSET(Prices!D130,-$N$3,0),1,-1)</f>
        <v>-1</v>
      </c>
      <c r="O131" s="1">
        <f ca="1">IF(N131=1,O$3*L130/Prices!C130,-O$3*M130)</f>
        <v>-9.7956638754103601E-4</v>
      </c>
      <c r="P131" s="14"/>
      <c r="Q131" s="9">
        <f ca="1">Q130-T131*Prices!C131</f>
        <v>1.5700280873878514</v>
      </c>
      <c r="R131" s="1">
        <f t="shared" ca="1" si="16"/>
        <v>5.6419453310665776E-3</v>
      </c>
      <c r="S131" s="9">
        <f ca="1">IF(Prices!C130&lt;OFFSET(Prices!C130,-S$3,0),1,-1)</f>
        <v>-1</v>
      </c>
      <c r="T131" s="1">
        <f ca="1">IF(S131=1,T$3*Q130/Prices!C130,-T$3*R130)</f>
        <v>-1.1514174145033833E-4</v>
      </c>
      <c r="V131" s="9"/>
      <c r="W131" s="1"/>
      <c r="X131" s="1"/>
      <c r="Y131" s="1"/>
      <c r="Z131" s="1"/>
      <c r="AA131" s="1"/>
      <c r="AB131" s="1"/>
      <c r="AC131" s="1"/>
      <c r="AD131" s="1"/>
      <c r="AE131" s="16"/>
    </row>
    <row r="132" spans="1:31" x14ac:dyDescent="0.2">
      <c r="A132" s="4">
        <v>33690</v>
      </c>
      <c r="B132" s="9">
        <f ca="1">Prices!C131*(1+J132/(50*(ABS(O132)+ABS(T132)+0.0001)))</f>
        <v>136.40921664345953</v>
      </c>
      <c r="C132" s="21">
        <f t="shared" ca="1" si="11"/>
        <v>1</v>
      </c>
      <c r="D132" s="9">
        <f ca="1">D131+C132*(Prices!C132-Prices!C131)/Prices!C131</f>
        <v>6.1184068856750345E-2</v>
      </c>
      <c r="E132" s="9">
        <f t="shared" ca="1" si="12"/>
        <v>2.9894576931172506E-2</v>
      </c>
      <c r="F132" s="9">
        <f t="shared" ca="1" si="13"/>
        <v>9.1078645787922852E-2</v>
      </c>
      <c r="G132" s="13">
        <f ca="1">IF((Prices!C132-Prices!C131)*C132&gt;0,1,0)</f>
        <v>0</v>
      </c>
      <c r="H132" s="9">
        <f>ABS(Prices!C132-Prices!C131)/Prices!C131</f>
        <v>6.1963419186262352E-3</v>
      </c>
      <c r="I132" s="13"/>
      <c r="J132" s="1">
        <f t="shared" ca="1" si="14"/>
        <v>1.1189276031493313E-3</v>
      </c>
      <c r="K132" s="9"/>
      <c r="L132" s="9">
        <f ca="1">L131-O132*Prices!C132</f>
        <v>1.0670522575404509</v>
      </c>
      <c r="M132" s="1">
        <f t="shared" ca="1" si="15"/>
        <v>9.7006050705053509E-3</v>
      </c>
      <c r="N132" s="9">
        <f ca="1">IF(Prices!D131&gt;OFFSET(Prices!D131,-$N$3,0),1,-1)</f>
        <v>1</v>
      </c>
      <c r="O132" s="1">
        <f ca="1">IF(N132=1,O$3*L131/Prices!C131,-O$3*M131)</f>
        <v>8.8450758263602762E-4</v>
      </c>
      <c r="P132" s="14"/>
      <c r="Q132" s="9">
        <f ca="1">Q131-T132*Prices!C132</f>
        <v>1.5388220942571205</v>
      </c>
      <c r="R132" s="1">
        <f t="shared" ca="1" si="16"/>
        <v>5.8763653515798812E-3</v>
      </c>
      <c r="S132" s="9">
        <f ca="1">IF(Prices!C131&lt;OFFSET(Prices!C131,-S$3,0),1,-1)</f>
        <v>1</v>
      </c>
      <c r="T132" s="1">
        <f ca="1">IF(S132=1,T$3*Q131/Prices!C131,-T$3*R131)</f>
        <v>2.3442002051330372E-4</v>
      </c>
      <c r="V132" s="9"/>
      <c r="W132" s="1"/>
      <c r="X132" s="1"/>
      <c r="Y132" s="1"/>
      <c r="Z132" s="1"/>
      <c r="AA132" s="1"/>
      <c r="AB132" s="1"/>
      <c r="AC132" s="1"/>
      <c r="AD132" s="1"/>
      <c r="AE132" s="16"/>
    </row>
    <row r="133" spans="1:31" x14ac:dyDescent="0.2">
      <c r="A133" s="4">
        <v>33693</v>
      </c>
      <c r="B133" s="9">
        <f ca="1">Prices!C132*(1+J133/(50*(ABS(O133)+ABS(T133)+0.0001)))</f>
        <v>135.54736447526693</v>
      </c>
      <c r="C133" s="21">
        <f t="shared" ca="1" si="11"/>
        <v>1</v>
      </c>
      <c r="D133" s="9">
        <f ca="1">D132+C133*(Prices!C133-Prices!C132)/Prices!C132</f>
        <v>6.0733347702904172E-2</v>
      </c>
      <c r="E133" s="9">
        <f t="shared" ca="1" si="12"/>
        <v>3.0345298085018679E-2</v>
      </c>
      <c r="F133" s="9">
        <f t="shared" ca="1" si="13"/>
        <v>9.1078645787922852E-2</v>
      </c>
      <c r="G133" s="13">
        <f ca="1">IF((Prices!C133-Prices!C132)*C133&gt;0,1,0)</f>
        <v>0</v>
      </c>
      <c r="H133" s="9">
        <f>ABS(Prices!C133-Prices!C132)/Prices!C132</f>
        <v>4.5072115384617089E-4</v>
      </c>
      <c r="I133" s="13"/>
      <c r="J133" s="1">
        <f t="shared" ca="1" si="14"/>
        <v>1.0327649311838002E-3</v>
      </c>
      <c r="K133" s="9"/>
      <c r="L133" s="9">
        <f ca="1">L132-O133*Prices!C133</f>
        <v>0.960395126088879</v>
      </c>
      <c r="M133" s="1">
        <f t="shared" ca="1" si="15"/>
        <v>1.050217677839331E-2</v>
      </c>
      <c r="N133" s="9">
        <f ca="1">IF(Prices!D132&gt;OFFSET(Prices!D132,-$N$3,0),1,-1)</f>
        <v>1</v>
      </c>
      <c r="O133" s="1">
        <f ca="1">IF(N133=1,O$3*L132/Prices!C132,-O$3*M132)</f>
        <v>8.0157170788795892E-4</v>
      </c>
      <c r="P133" s="14"/>
      <c r="Q133" s="9">
        <f ca="1">Q132-T133*Prices!C133</f>
        <v>1.5080595239653758</v>
      </c>
      <c r="R133" s="1">
        <f t="shared" ca="1" si="16"/>
        <v>6.1075585748757225E-3</v>
      </c>
      <c r="S133" s="9">
        <f ca="1">IF(Prices!C132&lt;OFFSET(Prices!C132,-S$3,0),1,-1)</f>
        <v>1</v>
      </c>
      <c r="T133" s="1">
        <f ca="1">IF(S133=1,T$3*Q132/Prices!C132,-T$3*R132)</f>
        <v>2.3119322329584141E-4</v>
      </c>
      <c r="V133" s="9"/>
      <c r="W133" s="1"/>
      <c r="X133" s="1"/>
      <c r="Y133" s="1"/>
      <c r="Z133" s="1"/>
      <c r="AA133" s="1"/>
      <c r="AB133" s="1"/>
      <c r="AC133" s="1"/>
      <c r="AD133" s="1"/>
      <c r="AE133" s="16"/>
    </row>
    <row r="134" spans="1:31" x14ac:dyDescent="0.2">
      <c r="A134" s="4">
        <v>33694</v>
      </c>
      <c r="B134" s="9">
        <f ca="1">Prices!C133*(1+J134/(50*(ABS(O134)+ABS(T134)+0.0001)))</f>
        <v>131.46828720840844</v>
      </c>
      <c r="C134" s="21">
        <f t="shared" ca="1" si="11"/>
        <v>-1</v>
      </c>
      <c r="D134" s="9">
        <f ca="1">D133+C134*(Prices!C134-Prices!C133)/Prices!C133</f>
        <v>6.178550462459375E-2</v>
      </c>
      <c r="E134" s="9">
        <f t="shared" ca="1" si="12"/>
        <v>2.9293141163329102E-2</v>
      </c>
      <c r="F134" s="9">
        <f t="shared" ca="1" si="13"/>
        <v>9.1078645787922852E-2</v>
      </c>
      <c r="G134" s="13">
        <f ca="1">IF((Prices!C134-Prices!C133)*C134&gt;0,1,0)</f>
        <v>1</v>
      </c>
      <c r="H134" s="9">
        <f>ABS(Prices!C134-Prices!C133)/Prices!C133</f>
        <v>1.0521569216895745E-3</v>
      </c>
      <c r="I134" s="13"/>
      <c r="J134" s="1">
        <f t="shared" ca="1" si="14"/>
        <v>-8.2354406834506144E-4</v>
      </c>
      <c r="K134" s="9"/>
      <c r="L134" s="9">
        <f ca="1">L133-O134*Prices!C134</f>
        <v>1.0999900598272829</v>
      </c>
      <c r="M134" s="1">
        <f t="shared" ca="1" si="15"/>
        <v>9.4519591005539794E-3</v>
      </c>
      <c r="N134" s="9">
        <f ca="1">IF(Prices!D133&gt;OFFSET(Prices!D133,-$N$3,0),1,-1)</f>
        <v>-1</v>
      </c>
      <c r="O134" s="1">
        <f ca="1">IF(N134=1,O$3*L133/Prices!C133,-O$3*M133)</f>
        <v>-1.0502176778393311E-3</v>
      </c>
      <c r="P134" s="14"/>
      <c r="Q134" s="9">
        <f ca="1">Q133-T134*Prices!C134</f>
        <v>1.4779300677913976</v>
      </c>
      <c r="R134" s="1">
        <f t="shared" ca="1" si="16"/>
        <v>6.3342321843699919E-3</v>
      </c>
      <c r="S134" s="9">
        <f ca="1">IF(Prices!C133&lt;OFFSET(Prices!C133,-S$3,0),1,-1)</f>
        <v>1</v>
      </c>
      <c r="T134" s="1">
        <f ca="1">IF(S134=1,T$3*Q133/Prices!C133,-T$3*R133)</f>
        <v>2.2667360949426963E-4</v>
      </c>
      <c r="V134" s="9"/>
      <c r="W134" s="1"/>
      <c r="X134" s="1"/>
      <c r="Y134" s="1"/>
      <c r="Z134" s="1"/>
      <c r="AA134" s="1"/>
      <c r="AB134" s="1"/>
      <c r="AC134" s="1"/>
      <c r="AD134" s="1"/>
      <c r="AE134" s="16"/>
    </row>
    <row r="135" spans="1:31" x14ac:dyDescent="0.2">
      <c r="A135" s="4">
        <v>33695</v>
      </c>
      <c r="B135" s="9">
        <f ca="1">Prices!C134*(1+J135/(50*(ABS(O135)+ABS(T135)+0.0001)))</f>
        <v>131.40408410445841</v>
      </c>
      <c r="C135" s="21">
        <f t="shared" ca="1" si="11"/>
        <v>-1</v>
      </c>
      <c r="D135" s="9">
        <f ca="1">D134+C135*(Prices!C135-Prices!C134)/Prices!C134</f>
        <v>4.9898655391972531E-2</v>
      </c>
      <c r="E135" s="9">
        <f t="shared" ca="1" si="12"/>
        <v>4.1179990395950321E-2</v>
      </c>
      <c r="F135" s="9">
        <f t="shared" ca="1" si="13"/>
        <v>9.1078645787922852E-2</v>
      </c>
      <c r="G135" s="13">
        <f ca="1">IF((Prices!C135-Prices!C134)*C135&gt;0,1,0)</f>
        <v>0</v>
      </c>
      <c r="H135" s="9">
        <f>ABS(Prices!C135-Prices!C134)/Prices!C134</f>
        <v>1.1886849232621221E-2</v>
      </c>
      <c r="I135" s="13"/>
      <c r="J135" s="1">
        <f t="shared" ca="1" si="14"/>
        <v>-7.2281702534408333E-4</v>
      </c>
      <c r="K135" s="9"/>
      <c r="L135" s="9">
        <f ca="1">L134-O135*Prices!C135</f>
        <v>1.2271189097297339</v>
      </c>
      <c r="M135" s="1">
        <f t="shared" ca="1" si="15"/>
        <v>8.506763190498581E-3</v>
      </c>
      <c r="N135" s="9">
        <f ca="1">IF(Prices!D134&gt;OFFSET(Prices!D134,-$N$3,0),1,-1)</f>
        <v>-1</v>
      </c>
      <c r="O135" s="1">
        <f ca="1">IF(N135=1,O$3*L134/Prices!C134,-O$3*M134)</f>
        <v>-9.4519591005539803E-4</v>
      </c>
      <c r="P135" s="14"/>
      <c r="Q135" s="9">
        <f ca="1">Q134-T135*Prices!C135</f>
        <v>1.4480201077977257</v>
      </c>
      <c r="R135" s="1">
        <f t="shared" ca="1" si="16"/>
        <v>6.556611069081307E-3</v>
      </c>
      <c r="S135" s="9">
        <f ca="1">IF(Prices!C134&lt;OFFSET(Prices!C134,-S$3,0),1,-1)</f>
        <v>1</v>
      </c>
      <c r="T135" s="1">
        <f ca="1">IF(S135=1,T$3*Q134/Prices!C134,-T$3*R134)</f>
        <v>2.2237888471131472E-4</v>
      </c>
      <c r="V135" s="9"/>
      <c r="W135" s="1"/>
      <c r="X135" s="1"/>
      <c r="Y135" s="1"/>
      <c r="Z135" s="1"/>
      <c r="AA135" s="1"/>
      <c r="AB135" s="1"/>
      <c r="AC135" s="1"/>
      <c r="AD135" s="1"/>
      <c r="AE135" s="16"/>
    </row>
    <row r="136" spans="1:31" x14ac:dyDescent="0.2">
      <c r="A136" s="4">
        <v>33696</v>
      </c>
      <c r="B136" s="9">
        <f ca="1">Prices!C135*(1+J136/(50*(ABS(O136)+ABS(T136)+0.0001)))</f>
        <v>132.05865767827336</v>
      </c>
      <c r="C136" s="21">
        <f t="shared" ca="1" si="11"/>
        <v>-1</v>
      </c>
      <c r="D136" s="9">
        <f ca="1">D135+C136*(Prices!C136-Prices!C135)/Prices!C135</f>
        <v>5.4880068031377641E-2</v>
      </c>
      <c r="E136" s="9">
        <f t="shared" ca="1" si="12"/>
        <v>3.6198577756545211E-2</v>
      </c>
      <c r="F136" s="9">
        <f t="shared" ca="1" si="13"/>
        <v>9.1078645787922852E-2</v>
      </c>
      <c r="G136" s="13">
        <f ca="1">IF((Prices!C136-Prices!C135)*C136&gt;0,1,0)</f>
        <v>1</v>
      </c>
      <c r="H136" s="9">
        <f>ABS(Prices!C136-Prices!C135)/Prices!C135</f>
        <v>4.9814126394051115E-3</v>
      </c>
      <c r="I136" s="13"/>
      <c r="J136" s="1">
        <f t="shared" ca="1" si="14"/>
        <v>-9.8180854043148432E-4</v>
      </c>
      <c r="K136" s="9"/>
      <c r="L136" s="9">
        <f ca="1">L135-O136*Prices!C136</f>
        <v>1.3409649215081765</v>
      </c>
      <c r="M136" s="1">
        <f t="shared" ca="1" si="15"/>
        <v>7.6560868714487225E-3</v>
      </c>
      <c r="N136" s="9">
        <f ca="1">IF(Prices!D135&gt;OFFSET(Prices!D135,-$N$3,0),1,-1)</f>
        <v>-1</v>
      </c>
      <c r="O136" s="1">
        <f ca="1">IF(N136=1,O$3*L135/Prices!C135,-O$3*M135)</f>
        <v>-8.5067631904985812E-4</v>
      </c>
      <c r="P136" s="14"/>
      <c r="Q136" s="9">
        <f ca="1">Q135-T136*Prices!C136</f>
        <v>1.4655695329852287</v>
      </c>
      <c r="R136" s="1">
        <f t="shared" ca="1" si="16"/>
        <v>6.4254788476996805E-3</v>
      </c>
      <c r="S136" s="9">
        <f ca="1">IF(Prices!C135&lt;OFFSET(Prices!C135,-S$3,0),1,-1)</f>
        <v>-1</v>
      </c>
      <c r="T136" s="1">
        <f ca="1">IF(S136=1,T$3*Q135/Prices!C135,-T$3*R135)</f>
        <v>-1.3113222138162614E-4</v>
      </c>
      <c r="V136" s="9"/>
      <c r="W136" s="1"/>
      <c r="X136" s="1"/>
      <c r="Y136" s="1"/>
      <c r="Z136" s="1"/>
      <c r="AA136" s="1"/>
      <c r="AB136" s="1"/>
      <c r="AC136" s="1"/>
      <c r="AD136" s="1"/>
      <c r="AE136" s="16"/>
    </row>
    <row r="137" spans="1:31" x14ac:dyDescent="0.2">
      <c r="A137" s="4">
        <v>33697</v>
      </c>
      <c r="B137" s="9">
        <f ca="1">Prices!C136*(1+J137/(50*(ABS(O137)+ABS(T137)+0.0001)))</f>
        <v>131.42264361986514</v>
      </c>
      <c r="C137" s="21">
        <f t="shared" ca="1" si="11"/>
        <v>-1</v>
      </c>
      <c r="D137" s="9">
        <f ca="1">D136+C137*(Prices!C137-Prices!C136)/Prices!C136</f>
        <v>5.9213924416343738E-2</v>
      </c>
      <c r="E137" s="9">
        <f t="shared" ca="1" si="12"/>
        <v>3.1864721371579113E-2</v>
      </c>
      <c r="F137" s="9">
        <f t="shared" ca="1" si="13"/>
        <v>9.1078645787922852E-2</v>
      </c>
      <c r="G137" s="13">
        <f ca="1">IF((Prices!C137-Prices!C136)*C137&gt;0,1,0)</f>
        <v>1</v>
      </c>
      <c r="H137" s="9">
        <f>ABS(Prices!C137-Prices!C136)/Prices!C136</f>
        <v>4.3338563849660951E-3</v>
      </c>
      <c r="I137" s="13"/>
      <c r="J137" s="1">
        <f t="shared" ca="1" si="14"/>
        <v>-8.9411826409886599E-4</v>
      </c>
      <c r="K137" s="9"/>
      <c r="L137" s="9">
        <f ca="1">L136-O137*Prices!C137</f>
        <v>1.4429822790702307</v>
      </c>
      <c r="M137" s="1">
        <f t="shared" ca="1" si="15"/>
        <v>6.8904781843038502E-3</v>
      </c>
      <c r="N137" s="9">
        <f ca="1">IF(Prices!D136&gt;OFFSET(Prices!D136,-$N$3,0),1,-1)</f>
        <v>-1</v>
      </c>
      <c r="O137" s="1">
        <f ca="1">IF(N137=1,O$3*L136/Prices!C136,-O$3*M136)</f>
        <v>-7.6560868714487234E-4</v>
      </c>
      <c r="P137" s="14"/>
      <c r="Q137" s="9">
        <f ca="1">Q136-T137*Prices!C137</f>
        <v>1.4826934341143483</v>
      </c>
      <c r="R137" s="1">
        <f t="shared" ca="1" si="16"/>
        <v>6.2969692707456866E-3</v>
      </c>
      <c r="S137" s="9">
        <f ca="1">IF(Prices!C136&lt;OFFSET(Prices!C136,-S$3,0),1,-1)</f>
        <v>-1</v>
      </c>
      <c r="T137" s="1">
        <f ca="1">IF(S137=1,T$3*Q136/Prices!C136,-T$3*R136)</f>
        <v>-1.285095769539936E-4</v>
      </c>
      <c r="V137" s="9"/>
      <c r="W137" s="1"/>
      <c r="X137" s="1"/>
      <c r="Y137" s="1"/>
      <c r="Z137" s="1"/>
      <c r="AA137" s="1"/>
      <c r="AB137" s="1"/>
      <c r="AC137" s="1"/>
      <c r="AD137" s="1"/>
      <c r="AE137" s="16"/>
    </row>
    <row r="138" spans="1:31" x14ac:dyDescent="0.2">
      <c r="A138" s="4">
        <v>33700</v>
      </c>
      <c r="B138" s="9">
        <f ca="1">Prices!C137*(1+J138/(50*(ABS(O138)+ABS(T138)+0.0001)))</f>
        <v>130.87626090384654</v>
      </c>
      <c r="C138" s="21">
        <f t="shared" ca="1" si="11"/>
        <v>-1</v>
      </c>
      <c r="D138" s="9">
        <f ca="1">D137+C138*(Prices!C138-Prices!C137)/Prices!C137</f>
        <v>6.3191410345049187E-2</v>
      </c>
      <c r="E138" s="9">
        <f t="shared" ca="1" si="12"/>
        <v>2.7887235442873665E-2</v>
      </c>
      <c r="F138" s="9">
        <f t="shared" ca="1" si="13"/>
        <v>9.1078645787922852E-2</v>
      </c>
      <c r="G138" s="13">
        <f ca="1">IF((Prices!C138-Prices!C137)*C138&gt;0,1,0)</f>
        <v>1</v>
      </c>
      <c r="H138" s="9">
        <f>ABS(Prices!C138-Prices!C137)/Prices!C137</f>
        <v>3.9774859287054496E-3</v>
      </c>
      <c r="I138" s="13"/>
      <c r="J138" s="1">
        <f t="shared" ca="1" si="14"/>
        <v>-8.149872038452988E-4</v>
      </c>
      <c r="K138" s="9"/>
      <c r="L138" s="9">
        <f ca="1">L137-O138*Prices!C138</f>
        <v>1.5344327055323115</v>
      </c>
      <c r="M138" s="1">
        <f t="shared" ca="1" si="15"/>
        <v>6.2014303658734652E-3</v>
      </c>
      <c r="N138" s="9">
        <f ca="1">IF(Prices!D137&gt;OFFSET(Prices!D137,-$N$3,0),1,-1)</f>
        <v>-1</v>
      </c>
      <c r="O138" s="1">
        <f ca="1">IF(N138=1,O$3*L137/Prices!C137,-O$3*M137)</f>
        <v>-6.8904781843038502E-4</v>
      </c>
      <c r="P138" s="14"/>
      <c r="Q138" s="9">
        <f ca="1">Q137-T138*Prices!C138</f>
        <v>1.4994081093466156</v>
      </c>
      <c r="R138" s="1">
        <f t="shared" ca="1" si="16"/>
        <v>6.1710298853307729E-3</v>
      </c>
      <c r="S138" s="9">
        <f ca="1">IF(Prices!C137&lt;OFFSET(Prices!C137,-S$3,0),1,-1)</f>
        <v>-1</v>
      </c>
      <c r="T138" s="1">
        <f ca="1">IF(S138=1,T$3*Q137/Prices!C137,-T$3*R137)</f>
        <v>-1.2593938541491373E-4</v>
      </c>
      <c r="V138" s="9"/>
      <c r="W138" s="1"/>
      <c r="X138" s="1"/>
      <c r="Y138" s="1"/>
      <c r="Z138" s="1"/>
      <c r="AA138" s="1"/>
      <c r="AB138" s="1"/>
      <c r="AC138" s="1"/>
      <c r="AD138" s="1"/>
      <c r="AE138" s="16"/>
    </row>
    <row r="139" spans="1:31" x14ac:dyDescent="0.2">
      <c r="A139" s="4">
        <v>33701</v>
      </c>
      <c r="B139" s="9">
        <f ca="1">Prices!C138*(1+J139/(50*(ABS(O139)+ABS(T139)+0.0001)))</f>
        <v>131.61403711836081</v>
      </c>
      <c r="C139" s="21">
        <f t="shared" ca="1" si="11"/>
        <v>-1</v>
      </c>
      <c r="D139" s="9">
        <f ca="1">D138+C139*(Prices!C139-Prices!C138)/Prices!C138</f>
        <v>5.8972001062348747E-2</v>
      </c>
      <c r="E139" s="9">
        <f t="shared" ca="1" si="12"/>
        <v>3.2106644725574104E-2</v>
      </c>
      <c r="F139" s="9">
        <f t="shared" ca="1" si="13"/>
        <v>9.1078645787922852E-2</v>
      </c>
      <c r="G139" s="13">
        <f ca="1">IF((Prices!C139-Prices!C138)*C139&gt;0,1,0)</f>
        <v>0</v>
      </c>
      <c r="H139" s="9">
        <f>ABS(Prices!C139-Prices!C138)/Prices!C138</f>
        <v>4.2194092827004389E-3</v>
      </c>
      <c r="I139" s="13"/>
      <c r="J139" s="1">
        <f t="shared" ca="1" si="14"/>
        <v>-3.9419244747543943E-4</v>
      </c>
      <c r="K139" s="9"/>
      <c r="L139" s="9">
        <f ca="1">L138-O139*Prices!C139</f>
        <v>1.6170853694486731</v>
      </c>
      <c r="M139" s="1">
        <f t="shared" ca="1" si="15"/>
        <v>5.5812873292861182E-3</v>
      </c>
      <c r="N139" s="9">
        <f ca="1">IF(Prices!D138&gt;OFFSET(Prices!D138,-$N$3,0),1,-1)</f>
        <v>-1</v>
      </c>
      <c r="O139" s="1">
        <f ca="1">IF(N139=1,O$3*L138/Prices!C138,-O$3*M138)</f>
        <v>-6.2014303658734652E-4</v>
      </c>
      <c r="P139" s="14"/>
      <c r="Q139" s="9">
        <f ca="1">Q138-T139*Prices!C139</f>
        <v>1.4692934148297807</v>
      </c>
      <c r="R139" s="1">
        <f t="shared" ca="1" si="16"/>
        <v>6.3969804744426796E-3</v>
      </c>
      <c r="S139" s="9">
        <f ca="1">IF(Prices!C138&lt;OFFSET(Prices!C138,-S$3,0),1,-1)</f>
        <v>1</v>
      </c>
      <c r="T139" s="1">
        <f ca="1">IF(S139=1,T$3*Q138/Prices!C138,-T$3*R138)</f>
        <v>2.2595058911190711E-4</v>
      </c>
      <c r="V139" s="9"/>
      <c r="W139" s="1"/>
      <c r="X139" s="1"/>
      <c r="Y139" s="1"/>
      <c r="Z139" s="1"/>
      <c r="AA139" s="1"/>
      <c r="AB139" s="1"/>
      <c r="AC139" s="1"/>
      <c r="AD139" s="1"/>
      <c r="AE139" s="16"/>
    </row>
    <row r="140" spans="1:31" x14ac:dyDescent="0.2">
      <c r="A140" s="4">
        <v>33702</v>
      </c>
      <c r="B140" s="9">
        <f ca="1">Prices!C139*(1+J140/(50*(ABS(O140)+ABS(T140)+0.0001)))</f>
        <v>132.25562101084768</v>
      </c>
      <c r="C140" s="21">
        <f t="shared" ca="1" si="11"/>
        <v>-1</v>
      </c>
      <c r="D140" s="9">
        <f ca="1">D139+C140*(Prices!C140-Prices!C139)/Prices!C139</f>
        <v>6.4074041878675325E-2</v>
      </c>
      <c r="E140" s="9">
        <f t="shared" ca="1" si="12"/>
        <v>2.7004603909247527E-2</v>
      </c>
      <c r="F140" s="9">
        <f t="shared" ca="1" si="13"/>
        <v>9.1078645787922852E-2</v>
      </c>
      <c r="G140" s="13">
        <f ca="1">IF((Prices!C140-Prices!C139)*C140&gt;0,1,0)</f>
        <v>1</v>
      </c>
      <c r="H140" s="9">
        <f>ABS(Prices!C140-Prices!C139)/Prices!C139</f>
        <v>5.1020408163265814E-3</v>
      </c>
      <c r="I140" s="13"/>
      <c r="J140" s="1">
        <f t="shared" ca="1" si="14"/>
        <v>-3.3764652782210215E-4</v>
      </c>
      <c r="K140" s="9"/>
      <c r="L140" s="9">
        <f ca="1">L139-O140*Prices!C140</f>
        <v>1.6910932394350071</v>
      </c>
      <c r="M140" s="1">
        <f t="shared" ca="1" si="15"/>
        <v>5.0231585963575066E-3</v>
      </c>
      <c r="N140" s="9">
        <f ca="1">IF(Prices!D139&gt;OFFSET(Prices!D139,-$N$3,0),1,-1)</f>
        <v>-1</v>
      </c>
      <c r="O140" s="1">
        <f ca="1">IF(N140=1,O$3*L139/Prices!C139,-O$3*M139)</f>
        <v>-5.5812873292861187E-4</v>
      </c>
      <c r="P140" s="14"/>
      <c r="Q140" s="9">
        <f ca="1">Q139-T140*Prices!C140</f>
        <v>1.4400574744326575</v>
      </c>
      <c r="R140" s="1">
        <f t="shared" ca="1" si="16"/>
        <v>6.6174626795491897E-3</v>
      </c>
      <c r="S140" s="9">
        <f ca="1">IF(Prices!C139&lt;OFFSET(Prices!C139,-S$3,0),1,-1)</f>
        <v>1</v>
      </c>
      <c r="T140" s="1">
        <f ca="1">IF(S140=1,T$3*Q139/Prices!C139,-T$3*R139)</f>
        <v>2.2048220510650972E-4</v>
      </c>
      <c r="V140" s="9"/>
      <c r="W140" s="1"/>
      <c r="X140" s="1"/>
      <c r="Y140" s="1"/>
      <c r="Z140" s="1"/>
      <c r="AA140" s="1"/>
      <c r="AB140" s="1"/>
      <c r="AC140" s="1"/>
      <c r="AD140" s="1"/>
      <c r="AE140" s="16"/>
    </row>
    <row r="141" spans="1:31" x14ac:dyDescent="0.2">
      <c r="A141" s="4">
        <v>33703</v>
      </c>
      <c r="B141" s="9">
        <f ca="1">Prices!C140*(1+J141/(50*(ABS(O141)+ABS(T141)+0.0001)))</f>
        <v>135.08547330984084</v>
      </c>
      <c r="C141" s="21">
        <f t="shared" ca="1" si="11"/>
        <v>1</v>
      </c>
      <c r="D141" s="9">
        <f ca="1">D140+C141*(Prices!C141-Prices!C140)/Prices!C140</f>
        <v>6.1283694970681327E-2</v>
      </c>
      <c r="E141" s="9">
        <f t="shared" ca="1" si="12"/>
        <v>2.9794950817241525E-2</v>
      </c>
      <c r="F141" s="9">
        <f t="shared" ca="1" si="13"/>
        <v>9.1078645787922852E-2</v>
      </c>
      <c r="G141" s="13">
        <f ca="1">IF((Prices!C141-Prices!C140)*C141&gt;0,1,0)</f>
        <v>0</v>
      </c>
      <c r="H141" s="9">
        <f>ABS(Prices!C141-Prices!C140)/Prices!C140</f>
        <v>2.7903469079940011E-3</v>
      </c>
      <c r="I141" s="13"/>
      <c r="J141" s="1">
        <f t="shared" ca="1" si="14"/>
        <v>1.4925375070298182E-3</v>
      </c>
      <c r="K141" s="9"/>
      <c r="L141" s="9">
        <f ca="1">L140-O141*Prices!C141</f>
        <v>1.5224557891706851</v>
      </c>
      <c r="M141" s="1">
        <f t="shared" ca="1" si="15"/>
        <v>6.2984928644080401E-3</v>
      </c>
      <c r="N141" s="9">
        <f ca="1">IF(Prices!D140&gt;OFFSET(Prices!D140,-$N$3,0),1,-1)</f>
        <v>1</v>
      </c>
      <c r="O141" s="1">
        <f ca="1">IF(N141=1,O$3*L140/Prices!C140,-O$3*M140)</f>
        <v>1.2753342680505335E-3</v>
      </c>
      <c r="P141" s="14"/>
      <c r="Q141" s="9">
        <f ca="1">Q140-T141*Prices!C141</f>
        <v>1.4113366901424267</v>
      </c>
      <c r="R141" s="1">
        <f t="shared" ca="1" si="16"/>
        <v>6.834665918528474E-3</v>
      </c>
      <c r="S141" s="9">
        <f ca="1">IF(Prices!C140&lt;OFFSET(Prices!C140,-S$3,0),1,-1)</f>
        <v>1</v>
      </c>
      <c r="T141" s="1">
        <f ca="1">IF(S141=1,T$3*Q140/Prices!C140,-T$3*R140)</f>
        <v>2.172032389792847E-4</v>
      </c>
      <c r="V141" s="9"/>
      <c r="W141" s="1"/>
      <c r="X141" s="1"/>
      <c r="Y141" s="1"/>
      <c r="Z141" s="1"/>
      <c r="AA141" s="1"/>
      <c r="AB141" s="1"/>
      <c r="AC141" s="1"/>
      <c r="AD141" s="1"/>
      <c r="AE141" s="16"/>
    </row>
    <row r="142" spans="1:31" x14ac:dyDescent="0.2">
      <c r="A142" s="4">
        <v>33704</v>
      </c>
      <c r="B142" s="9">
        <f ca="1">Prices!C141*(1+J142/(50*(ABS(O142)+ABS(T142)+0.0001)))</f>
        <v>131.06266638152141</v>
      </c>
      <c r="C142" s="21">
        <f t="shared" ca="1" si="11"/>
        <v>-1</v>
      </c>
      <c r="D142" s="9">
        <f ca="1">D141+C142*(Prices!C142-Prices!C141)/Prices!C141</f>
        <v>5.6216766134562321E-2</v>
      </c>
      <c r="E142" s="9">
        <f t="shared" ca="1" si="12"/>
        <v>3.4861879653360531E-2</v>
      </c>
      <c r="F142" s="9">
        <f t="shared" ca="1" si="13"/>
        <v>9.1078645787922852E-2</v>
      </c>
      <c r="G142" s="13">
        <f ca="1">IF((Prices!C142-Prices!C141)*C142&gt;0,1,0)</f>
        <v>0</v>
      </c>
      <c r="H142" s="9">
        <f>ABS(Prices!C142-Prices!C141)/Prices!C141</f>
        <v>5.0669288361190048E-3</v>
      </c>
      <c r="I142" s="13"/>
      <c r="J142" s="1">
        <f t="shared" ca="1" si="14"/>
        <v>-4.1638234397049822E-4</v>
      </c>
      <c r="K142" s="9"/>
      <c r="L142" s="9">
        <f ca="1">L141-O142*Prices!C142</f>
        <v>1.606162759338668</v>
      </c>
      <c r="M142" s="1">
        <f t="shared" ca="1" si="15"/>
        <v>5.6686435779672358E-3</v>
      </c>
      <c r="N142" s="9">
        <f ca="1">IF(Prices!D141&gt;OFFSET(Prices!D141,-$N$3,0),1,-1)</f>
        <v>-1</v>
      </c>
      <c r="O142" s="1">
        <f ca="1">IF(N142=1,O$3*L141/Prices!C141,-O$3*M141)</f>
        <v>-6.2984928644080405E-4</v>
      </c>
      <c r="P142" s="14"/>
      <c r="Q142" s="9">
        <f ca="1">Q141-T142*Prices!C142</f>
        <v>1.3829669334881229</v>
      </c>
      <c r="R142" s="1">
        <f t="shared" ca="1" si="16"/>
        <v>7.0481328609987796E-3</v>
      </c>
      <c r="S142" s="9">
        <f ca="1">IF(Prices!C141&lt;OFFSET(Prices!C141,-S$3,0),1,-1)</f>
        <v>1</v>
      </c>
      <c r="T142" s="1">
        <f ca="1">IF(S142=1,T$3*Q141/Prices!C141,-T$3*R141)</f>
        <v>2.1346694247030581E-4</v>
      </c>
      <c r="V142" s="9"/>
      <c r="W142" s="1"/>
      <c r="X142" s="1"/>
      <c r="Y142" s="1"/>
      <c r="Z142" s="1"/>
      <c r="AA142" s="1"/>
      <c r="AB142" s="1"/>
      <c r="AC142" s="1"/>
      <c r="AD142" s="1"/>
      <c r="AE142" s="16"/>
    </row>
    <row r="143" spans="1:31" x14ac:dyDescent="0.2">
      <c r="A143" s="4">
        <v>33707</v>
      </c>
      <c r="B143" s="9">
        <f ca="1">Prices!C142*(1+J143/(50*(ABS(O143)+ABS(T143)+0.0001)))</f>
        <v>130.57103083835901</v>
      </c>
      <c r="C143" s="21">
        <f t="shared" ca="1" si="11"/>
        <v>-1</v>
      </c>
      <c r="D143" s="9">
        <f ca="1">D142+C143*(Prices!C143-Prices!C142)/Prices!C142</f>
        <v>5.3357473433283197E-2</v>
      </c>
      <c r="E143" s="9">
        <f t="shared" ca="1" si="12"/>
        <v>3.7721172354639655E-2</v>
      </c>
      <c r="F143" s="9">
        <f t="shared" ca="1" si="13"/>
        <v>9.1078645787922852E-2</v>
      </c>
      <c r="G143" s="13">
        <f ca="1">IF((Prices!C143-Prices!C142)*C143&gt;0,1,0)</f>
        <v>0</v>
      </c>
      <c r="H143" s="9">
        <f>ABS(Prices!C143-Prices!C142)/Prices!C142</f>
        <v>2.8592927012791231E-3</v>
      </c>
      <c r="I143" s="13"/>
      <c r="J143" s="1">
        <f t="shared" ca="1" si="14"/>
        <v>-7.0782701501669921E-4</v>
      </c>
      <c r="K143" s="9"/>
      <c r="L143" s="9">
        <f ca="1">L142-O143*Prices!C143</f>
        <v>1.6817144409458153</v>
      </c>
      <c r="M143" s="1">
        <f t="shared" ca="1" si="15"/>
        <v>5.1017792201705119E-3</v>
      </c>
      <c r="N143" s="9">
        <f ca="1">IF(Prices!D142&gt;OFFSET(Prices!D142,-$N$3,0),1,-1)</f>
        <v>-1</v>
      </c>
      <c r="O143" s="1">
        <f ca="1">IF(N143=1,O$3*L142/Prices!C142,-O$3*M142)</f>
        <v>-5.668643577967236E-4</v>
      </c>
      <c r="P143" s="14"/>
      <c r="Q143" s="9">
        <f ca="1">Q142-T143*Prices!C143</f>
        <v>1.4017544364424013</v>
      </c>
      <c r="R143" s="1">
        <f t="shared" ca="1" si="16"/>
        <v>6.9071702037788044E-3</v>
      </c>
      <c r="S143" s="9">
        <f ca="1">IF(Prices!C142&lt;OFFSET(Prices!C142,-S$3,0),1,-1)</f>
        <v>-1</v>
      </c>
      <c r="T143" s="1">
        <f ca="1">IF(S143=1,T$3*Q142/Prices!C142,-T$3*R142)</f>
        <v>-1.4096265721997558E-4</v>
      </c>
      <c r="V143" s="9"/>
      <c r="W143" s="1"/>
      <c r="X143" s="1"/>
      <c r="Y143" s="1"/>
      <c r="Z143" s="1"/>
      <c r="AA143" s="1"/>
      <c r="AB143" s="1"/>
      <c r="AC143" s="1"/>
      <c r="AD143" s="1"/>
      <c r="AE143" s="16"/>
    </row>
    <row r="144" spans="1:31" x14ac:dyDescent="0.2">
      <c r="A144" s="4">
        <v>33708</v>
      </c>
      <c r="B144" s="9">
        <f ca="1">Prices!C143*(1+J144/(50*(ABS(O144)+ABS(T144)+0.0001)))</f>
        <v>130.9706106152872</v>
      </c>
      <c r="C144" s="21">
        <f t="shared" ca="1" si="11"/>
        <v>-1</v>
      </c>
      <c r="D144" s="9">
        <f ca="1">D143+C144*(Prices!C144-Prices!C143)/Prices!C143</f>
        <v>5.7033944021518561E-2</v>
      </c>
      <c r="E144" s="9">
        <f t="shared" ca="1" si="12"/>
        <v>3.4044701766404291E-2</v>
      </c>
      <c r="F144" s="9">
        <f t="shared" ca="1" si="13"/>
        <v>9.1078645787922852E-2</v>
      </c>
      <c r="G144" s="13">
        <f ca="1">IF((Prices!C144-Prices!C143)*C144&gt;0,1,0)</f>
        <v>1</v>
      </c>
      <c r="H144" s="9">
        <f>ABS(Prices!C144-Prices!C143)/Prices!C143</f>
        <v>3.6764705882353622E-3</v>
      </c>
      <c r="I144" s="13"/>
      <c r="J144" s="1">
        <f t="shared" ca="1" si="14"/>
        <v>-6.4832132609262739E-4</v>
      </c>
      <c r="K144" s="9"/>
      <c r="L144" s="9">
        <f ca="1">L143-O144*Prices!C144</f>
        <v>1.7494609672104595</v>
      </c>
      <c r="M144" s="1">
        <f t="shared" ca="1" si="15"/>
        <v>4.591601298153461E-3</v>
      </c>
      <c r="N144" s="9">
        <f ca="1">IF(Prices!D143&gt;OFFSET(Prices!D143,-$N$3,0),1,-1)</f>
        <v>-1</v>
      </c>
      <c r="O144" s="1">
        <f ca="1">IF(N144=1,O$3*L143/Prices!C143,-O$3*M143)</f>
        <v>-5.1017792201705125E-4</v>
      </c>
      <c r="P144" s="14"/>
      <c r="Q144" s="9">
        <f ca="1">Q143-T144*Prices!C144</f>
        <v>1.4200984990695971</v>
      </c>
      <c r="R144" s="1">
        <f t="shared" ca="1" si="16"/>
        <v>6.7690267997032282E-3</v>
      </c>
      <c r="S144" s="9">
        <f ca="1">IF(Prices!C143&lt;OFFSET(Prices!C143,-S$3,0),1,-1)</f>
        <v>-1</v>
      </c>
      <c r="T144" s="1">
        <f ca="1">IF(S144=1,T$3*Q143/Prices!C143,-T$3*R143)</f>
        <v>-1.3814340407557608E-4</v>
      </c>
      <c r="V144" s="9"/>
      <c r="W144" s="1"/>
      <c r="X144" s="1"/>
      <c r="Y144" s="1"/>
      <c r="Z144" s="1"/>
      <c r="AA144" s="1"/>
      <c r="AB144" s="1"/>
      <c r="AC144" s="1"/>
      <c r="AD144" s="1"/>
      <c r="AE144" s="16"/>
    </row>
    <row r="145" spans="1:31" x14ac:dyDescent="0.2">
      <c r="A145" s="4">
        <v>33709</v>
      </c>
      <c r="B145" s="9">
        <f ca="1">Prices!C144*(1+J145/(50*(ABS(O145)+ABS(T145)+0.0001)))</f>
        <v>130.51658221759195</v>
      </c>
      <c r="C145" s="21">
        <f t="shared" ca="1" si="11"/>
        <v>-1</v>
      </c>
      <c r="D145" s="9">
        <f ca="1">D144+C145*(Prices!C145-Prices!C144)/Prices!C144</f>
        <v>5.2515531490454515E-2</v>
      </c>
      <c r="E145" s="9">
        <f t="shared" ca="1" si="12"/>
        <v>3.8563114297468337E-2</v>
      </c>
      <c r="F145" s="9">
        <f t="shared" ca="1" si="13"/>
        <v>9.1078645787922852E-2</v>
      </c>
      <c r="G145" s="13">
        <f ca="1">IF((Prices!C145-Prices!C144)*C145&gt;0,1,0)</f>
        <v>0</v>
      </c>
      <c r="H145" s="9">
        <f>ABS(Prices!C145-Prices!C144)/Prices!C144</f>
        <v>4.5184125310640437E-3</v>
      </c>
      <c r="I145" s="13"/>
      <c r="J145" s="1">
        <f t="shared" ca="1" si="14"/>
        <v>-5.945406658094106E-4</v>
      </c>
      <c r="K145" s="9"/>
      <c r="L145" s="9">
        <f ca="1">L144-O145*Prices!C145</f>
        <v>1.8107083369265284</v>
      </c>
      <c r="M145" s="1">
        <f t="shared" ca="1" si="15"/>
        <v>4.1324411683381149E-3</v>
      </c>
      <c r="N145" s="9">
        <f ca="1">IF(Prices!D144&gt;OFFSET(Prices!D144,-$N$3,0),1,-1)</f>
        <v>-1</v>
      </c>
      <c r="O145" s="1">
        <f ca="1">IF(N145=1,O$3*L144/Prices!C144,-O$3*M144)</f>
        <v>-4.591601298153461E-4</v>
      </c>
      <c r="P145" s="14"/>
      <c r="Q145" s="9">
        <f ca="1">Q144-T145*Prices!C145</f>
        <v>1.4381569087658452</v>
      </c>
      <c r="R145" s="1">
        <f t="shared" ca="1" si="16"/>
        <v>6.6336462637091639E-3</v>
      </c>
      <c r="S145" s="9">
        <f ca="1">IF(Prices!C144&lt;OFFSET(Prices!C144,-S$3,0),1,-1)</f>
        <v>-1</v>
      </c>
      <c r="T145" s="1">
        <f ca="1">IF(S145=1,T$3*Q144/Prices!C144,-T$3*R144)</f>
        <v>-1.3538053599406456E-4</v>
      </c>
      <c r="V145" s="9"/>
      <c r="W145" s="1"/>
      <c r="X145" s="1"/>
      <c r="Y145" s="1"/>
      <c r="Z145" s="1"/>
      <c r="AA145" s="1"/>
      <c r="AB145" s="1"/>
      <c r="AC145" s="1"/>
      <c r="AD145" s="1"/>
      <c r="AE145" s="16"/>
    </row>
    <row r="146" spans="1:31" x14ac:dyDescent="0.2">
      <c r="A146" s="4">
        <v>33710</v>
      </c>
      <c r="B146" s="9">
        <f ca="1">Prices!C145*(1+J146/(50*(ABS(O146)+ABS(T146)+0.0001)))</f>
        <v>135.44484927291893</v>
      </c>
      <c r="C146" s="21">
        <f t="shared" ref="C146:C209" ca="1" si="17">IF(J146&gt;0,1,IF(J146&lt;0,-1,0))</f>
        <v>1</v>
      </c>
      <c r="D146" s="9">
        <f ca="1">D145+C146*(Prices!C146-Prices!C145)/Prices!C145</f>
        <v>5.6338906556051782E-2</v>
      </c>
      <c r="E146" s="9">
        <f t="shared" ref="E146:E209" ca="1" si="18">F146-D146</f>
        <v>3.473973923187107E-2</v>
      </c>
      <c r="F146" s="9">
        <f t="shared" ref="F146:F209" ca="1" si="19">MAX(F145,D146)</f>
        <v>9.1078645787922852E-2</v>
      </c>
      <c r="G146" s="13">
        <f ca="1">IF((Prices!C146-Prices!C145)*C146&gt;0,1,0)</f>
        <v>1</v>
      </c>
      <c r="H146" s="9">
        <f>ABS(Prices!C146-Prices!C145)/Prices!C145</f>
        <v>3.8233750655972667E-3</v>
      </c>
      <c r="I146" s="13"/>
      <c r="J146" s="1">
        <f t="shared" ref="J146:J209" ca="1" si="20">O146+T146</f>
        <v>1.2247814093285072E-3</v>
      </c>
      <c r="K146" s="9"/>
      <c r="L146" s="9">
        <f ca="1">L145-O146*Prices!C146</f>
        <v>1.6289452015232282</v>
      </c>
      <c r="M146" s="1">
        <f t="shared" ref="M146:M209" ca="1" si="21">M145+O146</f>
        <v>5.4898955029408052E-3</v>
      </c>
      <c r="N146" s="9">
        <f ca="1">IF(Prices!D145&gt;OFFSET(Prices!D145,-$N$3,0),1,-1)</f>
        <v>1</v>
      </c>
      <c r="O146" s="1">
        <f ca="1">IF(N146=1,O$3*L145/Prices!C145,-O$3*M145)</f>
        <v>1.3574543346026905E-3</v>
      </c>
      <c r="P146" s="14"/>
      <c r="Q146" s="9">
        <f ca="1">Q145-T146*Prices!C146</f>
        <v>1.4559218134600584</v>
      </c>
      <c r="R146" s="1">
        <f t="shared" ref="R146:R209" ca="1" si="22">R145+T146</f>
        <v>6.5009733384349807E-3</v>
      </c>
      <c r="S146" s="9">
        <f ca="1">IF(Prices!C145&lt;OFFSET(Prices!C145,-S$3,0),1,-1)</f>
        <v>-1</v>
      </c>
      <c r="T146" s="1">
        <f ca="1">IF(S146=1,T$3*Q145/Prices!C145,-T$3*R145)</f>
        <v>-1.3267292527418327E-4</v>
      </c>
      <c r="V146" s="9"/>
      <c r="W146" s="1"/>
      <c r="X146" s="1"/>
      <c r="Y146" s="1"/>
      <c r="Z146" s="1"/>
      <c r="AA146" s="1"/>
      <c r="AB146" s="1"/>
      <c r="AC146" s="1"/>
      <c r="AD146" s="1"/>
      <c r="AE146" s="16"/>
    </row>
    <row r="147" spans="1:31" x14ac:dyDescent="0.2">
      <c r="A147" s="4">
        <v>33711</v>
      </c>
      <c r="B147" s="9">
        <f ca="1">Prices!C146*(1+J147/(50*(ABS(O147)+ABS(T147)+0.0001)))</f>
        <v>135.91146315081494</v>
      </c>
      <c r="C147" s="21">
        <f t="shared" ca="1" si="17"/>
        <v>1</v>
      </c>
      <c r="D147" s="9">
        <f ca="1">D146+C147*(Prices!C147-Prices!C146)/Prices!C146</f>
        <v>5.7085732545596173E-2</v>
      </c>
      <c r="E147" s="9">
        <f t="shared" ca="1" si="18"/>
        <v>3.3992913242326679E-2</v>
      </c>
      <c r="F147" s="9">
        <f t="shared" ca="1" si="19"/>
        <v>9.1078645787922852E-2</v>
      </c>
      <c r="G147" s="13">
        <f ca="1">IF((Prices!C147-Prices!C146)*C147&gt;0,1,0)</f>
        <v>1</v>
      </c>
      <c r="H147" s="9">
        <f>ABS(Prices!C147-Prices!C146)/Prices!C146</f>
        <v>7.468259895443937E-4</v>
      </c>
      <c r="I147" s="13"/>
      <c r="J147" s="1">
        <f t="shared" ca="1" si="20"/>
        <v>1.0865191452725464E-3</v>
      </c>
      <c r="K147" s="9"/>
      <c r="L147" s="9">
        <f ca="1">L146-O147*Prices!C147</f>
        <v>1.4659290275097012</v>
      </c>
      <c r="M147" s="1">
        <f t="shared" ca="1" si="21"/>
        <v>6.7064341149820506E-3</v>
      </c>
      <c r="N147" s="9">
        <f ca="1">IF(Prices!D146&gt;OFFSET(Prices!D146,-$N$3,0),1,-1)</f>
        <v>1</v>
      </c>
      <c r="O147" s="1">
        <f ca="1">IF(N147=1,O$3*L146/Prices!C146,-O$3*M146)</f>
        <v>1.2165386120412459E-3</v>
      </c>
      <c r="P147" s="14"/>
      <c r="Q147" s="9">
        <f ca="1">Q146-T147*Prices!C147</f>
        <v>1.4733444220070642</v>
      </c>
      <c r="R147" s="1">
        <f t="shared" ca="1" si="22"/>
        <v>6.3709538716662812E-3</v>
      </c>
      <c r="S147" s="9">
        <f ca="1">IF(Prices!C146&lt;OFFSET(Prices!C146,-S$3,0),1,-1)</f>
        <v>-1</v>
      </c>
      <c r="T147" s="1">
        <f ca="1">IF(S147=1,T$3*Q146/Prices!C146,-T$3*R146)</f>
        <v>-1.3001946676869961E-4</v>
      </c>
      <c r="V147" s="9"/>
      <c r="W147" s="1"/>
      <c r="X147" s="1"/>
      <c r="Y147" s="1"/>
      <c r="Z147" s="1"/>
      <c r="AA147" s="1"/>
      <c r="AB147" s="1"/>
      <c r="AC147" s="1"/>
      <c r="AD147" s="1"/>
      <c r="AE147" s="16"/>
    </row>
    <row r="148" spans="1:31" x14ac:dyDescent="0.2">
      <c r="A148" s="4">
        <v>33714</v>
      </c>
      <c r="B148" s="9">
        <f ca="1">Prices!C147*(1+J148/(50*(ABS(O148)+ABS(T148)+0.0001)))</f>
        <v>135.96033210240259</v>
      </c>
      <c r="C148" s="21">
        <f t="shared" ca="1" si="17"/>
        <v>1</v>
      </c>
      <c r="D148" s="9">
        <f ca="1">D147+C148*(Prices!C148-Prices!C147)/Prices!C147</f>
        <v>6.0817075829178259E-2</v>
      </c>
      <c r="E148" s="9">
        <f t="shared" ca="1" si="18"/>
        <v>3.0261569958744593E-2</v>
      </c>
      <c r="F148" s="9">
        <f t="shared" ca="1" si="19"/>
        <v>9.1078645787922852E-2</v>
      </c>
      <c r="G148" s="13">
        <f ca="1">IF((Prices!C148-Prices!C147)*C148&gt;0,1,0)</f>
        <v>1</v>
      </c>
      <c r="H148" s="9">
        <f>ABS(Prices!C148-Prices!C147)/Prices!C147</f>
        <v>3.7313432835820895E-3</v>
      </c>
      <c r="I148" s="13"/>
      <c r="J148" s="1">
        <f t="shared" ca="1" si="20"/>
        <v>9.6655780876794383E-4</v>
      </c>
      <c r="K148" s="9"/>
      <c r="L148" s="9">
        <f ca="1">L147-O148*Prices!C148</f>
        <v>1.3187891363156306</v>
      </c>
      <c r="M148" s="1">
        <f t="shared" ca="1" si="21"/>
        <v>7.8004110011833201E-3</v>
      </c>
      <c r="N148" s="9">
        <f ca="1">IF(Prices!D147&gt;OFFSET(Prices!D147,-$N$3,0),1,-1)</f>
        <v>1</v>
      </c>
      <c r="O148" s="1">
        <f ca="1">IF(N148=1,O$3*L147/Prices!C147,-O$3*M147)</f>
        <v>1.0939768862012695E-3</v>
      </c>
      <c r="P148" s="14"/>
      <c r="Q148" s="9">
        <f ca="1">Q147-T148*Prices!C148</f>
        <v>1.4904822879218464</v>
      </c>
      <c r="R148" s="1">
        <f t="shared" ca="1" si="22"/>
        <v>6.2435347942329557E-3</v>
      </c>
      <c r="S148" s="9">
        <f ca="1">IF(Prices!C147&lt;OFFSET(Prices!C147,-S$3,0),1,-1)</f>
        <v>-1</v>
      </c>
      <c r="T148" s="1">
        <f ca="1">IF(S148=1,T$3*Q147/Prices!C147,-T$3*R147)</f>
        <v>-1.2741907743332563E-4</v>
      </c>
      <c r="V148" s="9"/>
      <c r="W148" s="1"/>
      <c r="X148" s="1"/>
      <c r="Y148" s="1"/>
      <c r="Z148" s="1"/>
      <c r="AA148" s="1"/>
      <c r="AB148" s="1"/>
      <c r="AC148" s="1"/>
      <c r="AD148" s="1"/>
      <c r="AE148" s="16"/>
    </row>
    <row r="149" spans="1:31" x14ac:dyDescent="0.2">
      <c r="A149" s="4">
        <v>33715</v>
      </c>
      <c r="B149" s="9">
        <f ca="1">Prices!C148*(1+J149/(50*(ABS(O149)+ABS(T149)+0.0001)))</f>
        <v>136.40949762589096</v>
      </c>
      <c r="C149" s="21">
        <f t="shared" ca="1" si="17"/>
        <v>1</v>
      </c>
      <c r="D149" s="9">
        <f ca="1">D148+C149*(Prices!C149-Prices!C148)/Prices!C148</f>
        <v>5.8809640884940263E-2</v>
      </c>
      <c r="E149" s="9">
        <f t="shared" ca="1" si="18"/>
        <v>3.2269004902982588E-2</v>
      </c>
      <c r="F149" s="9">
        <f t="shared" ca="1" si="19"/>
        <v>9.1078645787922852E-2</v>
      </c>
      <c r="G149" s="13">
        <f ca="1">IF((Prices!C149-Prices!C148)*C149&gt;0,1,0)</f>
        <v>0</v>
      </c>
      <c r="H149" s="9">
        <f>ABS(Prices!C149-Prices!C148)/Prices!C148</f>
        <v>2.0074349442379944E-3</v>
      </c>
      <c r="I149" s="13"/>
      <c r="J149" s="1">
        <f t="shared" ca="1" si="20"/>
        <v>8.5564167312324473E-4</v>
      </c>
      <c r="K149" s="9"/>
      <c r="L149" s="9">
        <f ca="1">L148-O149*Prices!C149</f>
        <v>1.1871749610236997</v>
      </c>
      <c r="M149" s="1">
        <f t="shared" ca="1" si="21"/>
        <v>8.7809233701912244E-3</v>
      </c>
      <c r="N149" s="9">
        <f ca="1">IF(Prices!D148&gt;OFFSET(Prices!D148,-$N$3,0),1,-1)</f>
        <v>1</v>
      </c>
      <c r="O149" s="1">
        <f ca="1">IF(N149=1,O$3*L148/Prices!C148,-O$3*M148)</f>
        <v>9.8051236900790388E-4</v>
      </c>
      <c r="P149" s="14"/>
      <c r="Q149" s="9">
        <f ca="1">Q148-T149*Prices!C149</f>
        <v>1.5072436814304442</v>
      </c>
      <c r="R149" s="1">
        <f t="shared" ca="1" si="22"/>
        <v>6.1186640983482967E-3</v>
      </c>
      <c r="S149" s="9">
        <f ca="1">IF(Prices!C148&lt;OFFSET(Prices!C148,-S$3,0),1,-1)</f>
        <v>-1</v>
      </c>
      <c r="T149" s="1">
        <f ca="1">IF(S149=1,T$3*Q148/Prices!C148,-T$3*R148)</f>
        <v>-1.248706958846591E-4</v>
      </c>
      <c r="V149" s="9"/>
      <c r="W149" s="1"/>
      <c r="X149" s="1"/>
      <c r="Y149" s="1"/>
      <c r="Z149" s="1"/>
      <c r="AA149" s="1"/>
      <c r="AB149" s="1"/>
      <c r="AC149" s="1"/>
      <c r="AD149" s="1"/>
      <c r="AE149" s="16"/>
    </row>
    <row r="150" spans="1:31" x14ac:dyDescent="0.2">
      <c r="A150" s="4">
        <v>33716</v>
      </c>
      <c r="B150" s="9">
        <f ca="1">Prices!C149*(1+J150/(50*(ABS(O150)+ABS(T150)+0.0001)))</f>
        <v>136.07840463227623</v>
      </c>
      <c r="C150" s="21">
        <f t="shared" ca="1" si="17"/>
        <v>1</v>
      </c>
      <c r="D150" s="9">
        <f ca="1">D149+C150*(Prices!C150-Prices!C149)/Prices!C149</f>
        <v>5.8213648930831766E-2</v>
      </c>
      <c r="E150" s="9">
        <f t="shared" ca="1" si="18"/>
        <v>3.2864996857091086E-2</v>
      </c>
      <c r="F150" s="9">
        <f t="shared" ca="1" si="19"/>
        <v>9.1078645787922852E-2</v>
      </c>
      <c r="G150" s="13">
        <f ca="1">IF((Prices!C150-Prices!C149)*C150&gt;0,1,0)</f>
        <v>0</v>
      </c>
      <c r="H150" s="9">
        <f>ABS(Prices!C150-Prices!C149)/Prices!C149</f>
        <v>5.9599195410850101E-4</v>
      </c>
      <c r="I150" s="13"/>
      <c r="J150" s="1">
        <f t="shared" ca="1" si="20"/>
        <v>7.6206012414470792E-4</v>
      </c>
      <c r="K150" s="9"/>
      <c r="L150" s="9">
        <f ca="1">L149-O150*Prices!C150</f>
        <v>1.0685282195938186</v>
      </c>
      <c r="M150" s="1">
        <f t="shared" ca="1" si="21"/>
        <v>9.6653567763028986E-3</v>
      </c>
      <c r="N150" s="9">
        <f ca="1">IF(Prices!D149&gt;OFFSET(Prices!D149,-$N$3,0),1,-1)</f>
        <v>1</v>
      </c>
      <c r="O150" s="1">
        <f ca="1">IF(N150=1,O$3*L149/Prices!C149,-O$3*M149)</f>
        <v>8.8443340611167392E-4</v>
      </c>
      <c r="P150" s="14"/>
      <c r="Q150" s="9">
        <f ca="1">Q149-T150*Prices!C150</f>
        <v>1.5236600572063126</v>
      </c>
      <c r="R150" s="1">
        <f t="shared" ca="1" si="22"/>
        <v>5.9962908163813311E-3</v>
      </c>
      <c r="S150" s="9">
        <f ca="1">IF(Prices!C149&lt;OFFSET(Prices!C149,-S$3,0),1,-1)</f>
        <v>-1</v>
      </c>
      <c r="T150" s="1">
        <f ca="1">IF(S150=1,T$3*Q149/Prices!C149,-T$3*R149)</f>
        <v>-1.2237328196696595E-4</v>
      </c>
      <c r="V150" s="9"/>
      <c r="W150" s="1"/>
      <c r="X150" s="1"/>
      <c r="Y150" s="1"/>
      <c r="Z150" s="1"/>
      <c r="AA150" s="1"/>
      <c r="AB150" s="1"/>
      <c r="AC150" s="1"/>
      <c r="AD150" s="1"/>
      <c r="AE150" s="16"/>
    </row>
    <row r="151" spans="1:31" x14ac:dyDescent="0.2">
      <c r="A151" s="4">
        <v>33717</v>
      </c>
      <c r="B151" s="9">
        <f ca="1">Prices!C150*(1+J151/(50*(ABS(O151)+ABS(T151)+0.0001)))</f>
        <v>131.69313460391791</v>
      </c>
      <c r="C151" s="21">
        <f t="shared" ca="1" si="17"/>
        <v>-1</v>
      </c>
      <c r="D151" s="9">
        <f ca="1">D150+C151*(Prices!C151-Prices!C150)/Prices!C150</f>
        <v>5.5380998912195945E-2</v>
      </c>
      <c r="E151" s="9">
        <f t="shared" ca="1" si="18"/>
        <v>3.5697646875726907E-2</v>
      </c>
      <c r="F151" s="9">
        <f t="shared" ca="1" si="19"/>
        <v>9.1078645787922852E-2</v>
      </c>
      <c r="G151" s="13">
        <f ca="1">IF((Prices!C151-Prices!C150)*C151&gt;0,1,0)</f>
        <v>0</v>
      </c>
      <c r="H151" s="9">
        <f>ABS(Prices!C151-Prices!C150)/Prices!C150</f>
        <v>2.8326500186358215E-3</v>
      </c>
      <c r="I151" s="13"/>
      <c r="J151" s="1">
        <f t="shared" ca="1" si="20"/>
        <v>-1.0864614939579166E-3</v>
      </c>
      <c r="K151" s="9"/>
      <c r="L151" s="9">
        <f ca="1">L150-O151*Prices!C151</f>
        <v>1.1985562643054215</v>
      </c>
      <c r="M151" s="1">
        <f t="shared" ca="1" si="21"/>
        <v>8.698821098672609E-3</v>
      </c>
      <c r="N151" s="9">
        <f ca="1">IF(Prices!D150&gt;OFFSET(Prices!D150,-$N$3,0),1,-1)</f>
        <v>-1</v>
      </c>
      <c r="O151" s="1">
        <f ca="1">IF(N151=1,O$3*L150/Prices!C150,-O$3*M150)</f>
        <v>-9.6653567763028991E-4</v>
      </c>
      <c r="P151" s="14"/>
      <c r="Q151" s="9">
        <f ca="1">Q150-T151*Prices!C151</f>
        <v>1.5397936772768681</v>
      </c>
      <c r="R151" s="1">
        <f t="shared" ca="1" si="22"/>
        <v>5.8763650000537042E-3</v>
      </c>
      <c r="S151" s="9">
        <f ca="1">IF(Prices!C150&lt;OFFSET(Prices!C150,-S$3,0),1,-1)</f>
        <v>-1</v>
      </c>
      <c r="T151" s="1">
        <f ca="1">IF(S151=1,T$3*Q150/Prices!C150,-T$3*R150)</f>
        <v>-1.1992581632762662E-4</v>
      </c>
      <c r="V151" s="9"/>
      <c r="W151" s="1"/>
      <c r="X151" s="1"/>
      <c r="Y151" s="1"/>
      <c r="Z151" s="1"/>
      <c r="AA151" s="1"/>
      <c r="AB151" s="1"/>
      <c r="AC151" s="1"/>
      <c r="AD151" s="1"/>
      <c r="AE151" s="16"/>
    </row>
    <row r="152" spans="1:31" x14ac:dyDescent="0.2">
      <c r="A152" s="4">
        <v>33718</v>
      </c>
      <c r="B152" s="9">
        <f ca="1">Prices!C151*(1+J152/(50*(ABS(O152)+ABS(T152)+0.0001)))</f>
        <v>136.40730292529051</v>
      </c>
      <c r="C152" s="21">
        <f t="shared" ca="1" si="17"/>
        <v>1</v>
      </c>
      <c r="D152" s="9">
        <f ca="1">D151+C152*(Prices!C152-Prices!C151)/Prices!C151</f>
        <v>5.5380998912195945E-2</v>
      </c>
      <c r="E152" s="9">
        <f t="shared" ca="1" si="18"/>
        <v>3.5697646875726907E-2</v>
      </c>
      <c r="F152" s="9">
        <f t="shared" ca="1" si="19"/>
        <v>9.1078645787922852E-2</v>
      </c>
      <c r="G152" s="13">
        <f ca="1">IF((Prices!C152-Prices!C151)*C152&gt;0,1,0)</f>
        <v>0</v>
      </c>
      <c r="H152" s="9">
        <f>ABS(Prices!C152-Prices!C151)/Prices!C151</f>
        <v>0</v>
      </c>
      <c r="I152" s="13"/>
      <c r="J152" s="1">
        <f t="shared" ca="1" si="20"/>
        <v>7.7339388063181187E-4</v>
      </c>
      <c r="K152" s="9"/>
      <c r="L152" s="9">
        <f ca="1">L151-O152*Prices!C152</f>
        <v>1.0787006378748794</v>
      </c>
      <c r="M152" s="1">
        <f t="shared" ca="1" si="21"/>
        <v>9.5897422793054955E-3</v>
      </c>
      <c r="N152" s="9">
        <f ca="1">IF(Prices!D151&gt;OFFSET(Prices!D151,-$N$3,0),1,-1)</f>
        <v>1</v>
      </c>
      <c r="O152" s="1">
        <f ca="1">IF(N152=1,O$3*L151/Prices!C151,-O$3*M151)</f>
        <v>8.9092118063288596E-4</v>
      </c>
      <c r="P152" s="14"/>
      <c r="Q152" s="9">
        <f ca="1">Q151-T152*Prices!C152</f>
        <v>1.5556046249460127</v>
      </c>
      <c r="R152" s="1">
        <f t="shared" ca="1" si="22"/>
        <v>5.7588377000526297E-3</v>
      </c>
      <c r="S152" s="9">
        <f ca="1">IF(Prices!C151&lt;OFFSET(Prices!C151,-S$3,0),1,-1)</f>
        <v>-1</v>
      </c>
      <c r="T152" s="1">
        <f ca="1">IF(S152=1,T$3*Q151/Prices!C151,-T$3*R151)</f>
        <v>-1.1752730000107409E-4</v>
      </c>
      <c r="V152" s="9"/>
      <c r="W152" s="1"/>
      <c r="X152" s="1"/>
      <c r="Y152" s="1"/>
      <c r="Z152" s="1"/>
      <c r="AA152" s="1"/>
      <c r="AB152" s="1"/>
      <c r="AC152" s="1"/>
      <c r="AD152" s="1"/>
      <c r="AE152" s="16"/>
    </row>
    <row r="153" spans="1:31" x14ac:dyDescent="0.2">
      <c r="A153" s="4">
        <v>33721</v>
      </c>
      <c r="B153" s="9">
        <f ca="1">Prices!C152*(1+J153/(50*(ABS(O153)+ABS(T153)+0.0001)))</f>
        <v>132.06855281266243</v>
      </c>
      <c r="C153" s="21">
        <f t="shared" ca="1" si="17"/>
        <v>-1</v>
      </c>
      <c r="D153" s="9">
        <f ca="1">D152+C153*(Prices!C153-Prices!C152)/Prices!C152</f>
        <v>6.5787599670391189E-2</v>
      </c>
      <c r="E153" s="9">
        <f t="shared" ca="1" si="18"/>
        <v>2.5291046117531663E-2</v>
      </c>
      <c r="F153" s="9">
        <f t="shared" ca="1" si="19"/>
        <v>9.1078645787922852E-2</v>
      </c>
      <c r="G153" s="13">
        <f ca="1">IF((Prices!C153-Prices!C152)*C153&gt;0,1,0)</f>
        <v>1</v>
      </c>
      <c r="H153" s="9">
        <f>ABS(Prices!C153-Prices!C152)/Prices!C152</f>
        <v>1.0406600758195239E-2</v>
      </c>
      <c r="I153" s="13"/>
      <c r="J153" s="1">
        <f t="shared" ca="1" si="20"/>
        <v>-1.0741509819316023E-3</v>
      </c>
      <c r="K153" s="9"/>
      <c r="L153" s="9">
        <f ca="1">L152-O153*Prices!C153</f>
        <v>1.2063688768392735</v>
      </c>
      <c r="M153" s="1">
        <f t="shared" ca="1" si="21"/>
        <v>8.6307680513749464E-3</v>
      </c>
      <c r="N153" s="9">
        <f ca="1">IF(Prices!D152&gt;OFFSET(Prices!D152,-$N$3,0),1,-1)</f>
        <v>-1</v>
      </c>
      <c r="O153" s="1">
        <f ca="1">IF(N153=1,O$3*L152/Prices!C152,-O$3*M152)</f>
        <v>-9.5897422793054957E-4</v>
      </c>
      <c r="P153" s="14"/>
      <c r="Q153" s="9">
        <f ca="1">Q152-T153*Prices!C153</f>
        <v>1.5709381062061729</v>
      </c>
      <c r="R153" s="1">
        <f t="shared" ca="1" si="22"/>
        <v>5.6436609460515774E-3</v>
      </c>
      <c r="S153" s="9">
        <f ca="1">IF(Prices!C152&lt;OFFSET(Prices!C152,-S$3,0),1,-1)</f>
        <v>-1</v>
      </c>
      <c r="T153" s="1">
        <f ca="1">IF(S153=1,T$3*Q152/Prices!C152,-T$3*R152)</f>
        <v>-1.151767540010526E-4</v>
      </c>
      <c r="V153" s="9"/>
      <c r="W153" s="1"/>
      <c r="X153" s="1"/>
      <c r="Y153" s="1"/>
      <c r="Z153" s="1"/>
      <c r="AA153" s="1"/>
      <c r="AB153" s="1"/>
      <c r="AC153" s="1"/>
      <c r="AD153" s="1"/>
      <c r="AE153" s="16"/>
    </row>
    <row r="154" spans="1:31" x14ac:dyDescent="0.2">
      <c r="A154" s="4">
        <v>33722</v>
      </c>
      <c r="B154" s="9">
        <f ca="1">Prices!C153*(1+J154/(50*(ABS(O154)+ABS(T154)+0.0001)))</f>
        <v>135.57824743776317</v>
      </c>
      <c r="C154" s="21">
        <f t="shared" ca="1" si="17"/>
        <v>1</v>
      </c>
      <c r="D154" s="9">
        <f ca="1">D153+C154*(Prices!C154-Prices!C153)/Prices!C153</f>
        <v>6.7289890664156804E-2</v>
      </c>
      <c r="E154" s="9">
        <f t="shared" ca="1" si="18"/>
        <v>2.3788755123766048E-2</v>
      </c>
      <c r="F154" s="9">
        <f t="shared" ca="1" si="19"/>
        <v>9.1078645787922852E-2</v>
      </c>
      <c r="G154" s="13">
        <f ca="1">IF((Prices!C154-Prices!C153)*C154&gt;0,1,0)</f>
        <v>1</v>
      </c>
      <c r="H154" s="9">
        <f>ABS(Prices!C154-Prices!C153)/Prices!C153</f>
        <v>1.5022909937656205E-3</v>
      </c>
      <c r="I154" s="13"/>
      <c r="J154" s="1">
        <f t="shared" ca="1" si="20"/>
        <v>1.142159166288972E-3</v>
      </c>
      <c r="K154" s="9"/>
      <c r="L154" s="9">
        <f ca="1">L153-O154*Prices!C154</f>
        <v>1.0855507574454626</v>
      </c>
      <c r="M154" s="1">
        <f t="shared" ca="1" si="21"/>
        <v>9.5369266007922626E-3</v>
      </c>
      <c r="N154" s="9">
        <f ca="1">IF(Prices!D153&gt;OFFSET(Prices!D153,-$N$3,0),1,-1)</f>
        <v>1</v>
      </c>
      <c r="O154" s="1">
        <f ca="1">IF(N154=1,O$3*L153/Prices!C153,-O$3*M153)</f>
        <v>9.0615854941731666E-4</v>
      </c>
      <c r="P154" s="14"/>
      <c r="Q154" s="9">
        <f ca="1">Q153-T154*Prices!C154</f>
        <v>1.5394721439586752</v>
      </c>
      <c r="R154" s="1">
        <f t="shared" ca="1" si="22"/>
        <v>5.8796615629232328E-3</v>
      </c>
      <c r="S154" s="9">
        <f ca="1">IF(Prices!C153&lt;OFFSET(Prices!C153,-S$3,0),1,-1)</f>
        <v>1</v>
      </c>
      <c r="T154" s="1">
        <f ca="1">IF(S154=1,T$3*Q153/Prices!C153,-T$3*R153)</f>
        <v>2.360006168716552E-4</v>
      </c>
      <c r="V154" s="9"/>
      <c r="W154" s="1"/>
      <c r="X154" s="1"/>
      <c r="Y154" s="1"/>
      <c r="Z154" s="1"/>
      <c r="AA154" s="1"/>
      <c r="AB154" s="1"/>
      <c r="AC154" s="1"/>
      <c r="AD154" s="1"/>
      <c r="AE154" s="16"/>
    </row>
    <row r="155" spans="1:31" x14ac:dyDescent="0.2">
      <c r="A155" s="4">
        <v>33723</v>
      </c>
      <c r="B155" s="9">
        <f ca="1">Prices!C154*(1+J155/(50*(ABS(O155)+ABS(T155)+0.0001)))</f>
        <v>135.76373154549216</v>
      </c>
      <c r="C155" s="21">
        <f t="shared" ca="1" si="17"/>
        <v>1</v>
      </c>
      <c r="D155" s="9">
        <f ca="1">D154+C155*(Prices!C155-Prices!C154)/Prices!C154</f>
        <v>6.856492253995361E-2</v>
      </c>
      <c r="E155" s="9">
        <f t="shared" ca="1" si="18"/>
        <v>2.2513723247969242E-2</v>
      </c>
      <c r="F155" s="9">
        <f t="shared" ca="1" si="19"/>
        <v>9.1078645787922852E-2</v>
      </c>
      <c r="G155" s="13">
        <f ca="1">IF((Prices!C155-Prices!C154)*C155&gt;0,1,0)</f>
        <v>1</v>
      </c>
      <c r="H155" s="9">
        <f>ABS(Prices!C155-Prices!C154)/Prices!C154</f>
        <v>1.275031875796801E-3</v>
      </c>
      <c r="I155" s="13"/>
      <c r="J155" s="1">
        <f t="shared" ca="1" si="20"/>
        <v>1.0451100174283339E-3</v>
      </c>
      <c r="K155" s="9"/>
      <c r="L155" s="9">
        <f ca="1">L154-O155*Prices!C155</f>
        <v>0.97685727051906246</v>
      </c>
      <c r="M155" s="1">
        <f t="shared" ca="1" si="21"/>
        <v>1.0351110023461927E-2</v>
      </c>
      <c r="N155" s="9">
        <f ca="1">IF(Prices!D154&gt;OFFSET(Prices!D154,-$N$3,0),1,-1)</f>
        <v>1</v>
      </c>
      <c r="O155" s="1">
        <f ca="1">IF(N155=1,O$3*L154/Prices!C154,-O$3*M154)</f>
        <v>8.141834226696636E-4</v>
      </c>
      <c r="P155" s="14"/>
      <c r="Q155" s="9">
        <f ca="1">Q154-T155*Prices!C155</f>
        <v>1.5086434435583926</v>
      </c>
      <c r="R155" s="1">
        <f t="shared" ca="1" si="22"/>
        <v>6.1105881576819033E-3</v>
      </c>
      <c r="S155" s="9">
        <f ca="1">IF(Prices!C154&lt;OFFSET(Prices!C154,-S$3,0),1,-1)</f>
        <v>1</v>
      </c>
      <c r="T155" s="1">
        <f ca="1">IF(S155=1,T$3*Q154/Prices!C154,-T$3*R154)</f>
        <v>2.3092659475867024E-4</v>
      </c>
      <c r="V155" s="9"/>
      <c r="W155" s="1"/>
      <c r="X155" s="1"/>
      <c r="Y155" s="1"/>
      <c r="Z155" s="1"/>
      <c r="AA155" s="1"/>
      <c r="AB155" s="1"/>
      <c r="AC155" s="1"/>
      <c r="AD155" s="1"/>
      <c r="AE155" s="16"/>
    </row>
    <row r="156" spans="1:31" x14ac:dyDescent="0.2">
      <c r="A156" s="4">
        <v>33724</v>
      </c>
      <c r="B156" s="9">
        <f ca="1">Prices!C155*(1+J156/(50*(ABS(O156)+ABS(T156)+0.0001)))</f>
        <v>131.91286509567533</v>
      </c>
      <c r="C156" s="21">
        <f t="shared" ca="1" si="17"/>
        <v>-1</v>
      </c>
      <c r="D156" s="9">
        <f ca="1">D155+C156*(Prices!C156-Prices!C155)/Prices!C155</f>
        <v>7.0063049880777495E-2</v>
      </c>
      <c r="E156" s="9">
        <f t="shared" ca="1" si="18"/>
        <v>2.1015595907145357E-2</v>
      </c>
      <c r="F156" s="9">
        <f t="shared" ca="1" si="19"/>
        <v>9.1078645787922852E-2</v>
      </c>
      <c r="G156" s="13">
        <f ca="1">IF((Prices!C156-Prices!C155)*C156&gt;0,1,0)</f>
        <v>1</v>
      </c>
      <c r="H156" s="9">
        <f>ABS(Prices!C156-Prices!C155)/Prices!C155</f>
        <v>1.4981273408238849E-3</v>
      </c>
      <c r="I156" s="13"/>
      <c r="J156" s="1">
        <f t="shared" ca="1" si="20"/>
        <v>-8.0909700331122754E-4</v>
      </c>
      <c r="K156" s="9"/>
      <c r="L156" s="9">
        <f ca="1">L155-O156*Prices!C156</f>
        <v>1.11483756713181</v>
      </c>
      <c r="M156" s="1">
        <f t="shared" ca="1" si="21"/>
        <v>9.3159990211157343E-3</v>
      </c>
      <c r="N156" s="9">
        <f ca="1">IF(Prices!D155&gt;OFFSET(Prices!D155,-$N$3,0),1,-1)</f>
        <v>-1</v>
      </c>
      <c r="O156" s="1">
        <f ca="1">IF(N156=1,O$3*L155/Prices!C155,-O$3*M155)</f>
        <v>-1.0351110023461927E-3</v>
      </c>
      <c r="P156" s="14"/>
      <c r="Q156" s="9">
        <f ca="1">Q155-T156*Prices!C156</f>
        <v>1.4785157774870317</v>
      </c>
      <c r="R156" s="1">
        <f t="shared" ca="1" si="22"/>
        <v>6.3366021567168689E-3</v>
      </c>
      <c r="S156" s="9">
        <f ca="1">IF(Prices!C155&lt;OFFSET(Prices!C155,-S$3,0),1,-1)</f>
        <v>1</v>
      </c>
      <c r="T156" s="1">
        <f ca="1">IF(S156=1,T$3*Q155/Prices!C155,-T$3*R155)</f>
        <v>2.2601399903496519E-4</v>
      </c>
      <c r="V156" s="9"/>
      <c r="W156" s="1"/>
      <c r="X156" s="1"/>
      <c r="Y156" s="1"/>
      <c r="Z156" s="1"/>
      <c r="AA156" s="1"/>
      <c r="AB156" s="1"/>
      <c r="AC156" s="1"/>
      <c r="AD156" s="1"/>
      <c r="AE156" s="16"/>
    </row>
    <row r="157" spans="1:31" x14ac:dyDescent="0.2">
      <c r="A157" s="4">
        <v>33725</v>
      </c>
      <c r="B157" s="9">
        <f ca="1">Prices!C156*(1+J157/(50*(ABS(O157)+ABS(T157)+0.0001)))</f>
        <v>135.7358092848628</v>
      </c>
      <c r="C157" s="21">
        <f t="shared" ca="1" si="17"/>
        <v>1</v>
      </c>
      <c r="D157" s="9">
        <f ca="1">D156+C157*(Prices!C157-Prices!C156)/Prices!C156</f>
        <v>6.5937018372900447E-2</v>
      </c>
      <c r="E157" s="9">
        <f t="shared" ca="1" si="18"/>
        <v>2.5141627415022405E-2</v>
      </c>
      <c r="F157" s="9">
        <f t="shared" ca="1" si="19"/>
        <v>9.1078645787922852E-2</v>
      </c>
      <c r="G157" s="13">
        <f ca="1">IF((Prices!C157-Prices!C156)*C157&gt;0,1,0)</f>
        <v>0</v>
      </c>
      <c r="H157" s="9">
        <f>ABS(Prices!C157-Prices!C156)/Prices!C156</f>
        <v>4.1260315078770543E-3</v>
      </c>
      <c r="I157" s="13"/>
      <c r="J157" s="1">
        <f t="shared" ca="1" si="20"/>
        <v>1.0581700844930354E-3</v>
      </c>
      <c r="K157" s="9"/>
      <c r="L157" s="9">
        <f ca="1">L156-O157*Prices!C157</f>
        <v>1.0038137959114442</v>
      </c>
      <c r="M157" s="1">
        <f t="shared" ca="1" si="21"/>
        <v>1.0152336280779507E-2</v>
      </c>
      <c r="N157" s="9">
        <f ca="1">IF(Prices!D156&gt;OFFSET(Prices!D156,-$N$3,0),1,-1)</f>
        <v>1</v>
      </c>
      <c r="O157" s="1">
        <f ca="1">IF(N157=1,O$3*L156/Prices!C156,-O$3*M156)</f>
        <v>8.3633725966377338E-4</v>
      </c>
      <c r="P157" s="14"/>
      <c r="Q157" s="9">
        <f ca="1">Q156-T157*Prices!C157</f>
        <v>1.4490674699909472</v>
      </c>
      <c r="R157" s="1">
        <f t="shared" ca="1" si="22"/>
        <v>6.558434981546131E-3</v>
      </c>
      <c r="S157" s="9">
        <f ca="1">IF(Prices!C156&lt;OFFSET(Prices!C156,-S$3,0),1,-1)</f>
        <v>1</v>
      </c>
      <c r="T157" s="1">
        <f ca="1">IF(S157=1,T$3*Q156/Prices!C156,-T$3*R156)</f>
        <v>2.2183282482926206E-4</v>
      </c>
      <c r="V157" s="9"/>
      <c r="W157" s="1"/>
      <c r="X157" s="1"/>
      <c r="Y157" s="1"/>
      <c r="Z157" s="1"/>
      <c r="AA157" s="1"/>
      <c r="AB157" s="1"/>
      <c r="AC157" s="1"/>
      <c r="AD157" s="1"/>
      <c r="AE157" s="16"/>
    </row>
    <row r="158" spans="1:31" x14ac:dyDescent="0.2">
      <c r="A158" s="4">
        <v>33728</v>
      </c>
      <c r="B158" s="9">
        <f ca="1">Prices!C157*(1+J158/(50*(ABS(O158)+ABS(T158)+0.0001)))</f>
        <v>131.16339276738736</v>
      </c>
      <c r="C158" s="21">
        <f t="shared" ca="1" si="17"/>
        <v>-1</v>
      </c>
      <c r="D158" s="9">
        <f ca="1">D157+C158*(Prices!C158-Prices!C157)/Prices!C157</f>
        <v>6.6313666207175478E-2</v>
      </c>
      <c r="E158" s="9">
        <f t="shared" ca="1" si="18"/>
        <v>2.4764979580747373E-2</v>
      </c>
      <c r="F158" s="9">
        <f t="shared" ca="1" si="19"/>
        <v>9.1078645787922852E-2</v>
      </c>
      <c r="G158" s="13">
        <f ca="1">IF((Prices!C158-Prices!C157)*C158&gt;0,1,0)</f>
        <v>1</v>
      </c>
      <c r="H158" s="9">
        <f>ABS(Prices!C158-Prices!C157)/Prices!C157</f>
        <v>3.7664783427503857E-4</v>
      </c>
      <c r="I158" s="13"/>
      <c r="J158" s="1">
        <f t="shared" ca="1" si="20"/>
        <v>-7.9691837836180042E-4</v>
      </c>
      <c r="K158" s="9"/>
      <c r="L158" s="9">
        <f ca="1">L157-O158*Prices!C158</f>
        <v>1.1385352983573882</v>
      </c>
      <c r="M158" s="1">
        <f t="shared" ca="1" si="21"/>
        <v>9.1371026527015571E-3</v>
      </c>
      <c r="N158" s="9">
        <f ca="1">IF(Prices!D157&gt;OFFSET(Prices!D157,-$N$3,0),1,-1)</f>
        <v>-1</v>
      </c>
      <c r="O158" s="1">
        <f ca="1">IF(N158=1,O$3*L157/Prices!C157,-O$3*M157)</f>
        <v>-1.0152336280779507E-3</v>
      </c>
      <c r="P158" s="14"/>
      <c r="Q158" s="9">
        <f ca="1">Q157-T158*Prices!C158</f>
        <v>1.4200970363536141</v>
      </c>
      <c r="R158" s="1">
        <f t="shared" ca="1" si="22"/>
        <v>6.7767502312622808E-3</v>
      </c>
      <c r="S158" s="9">
        <f ca="1">IF(Prices!C157&lt;OFFSET(Prices!C157,-S$3,0),1,-1)</f>
        <v>1</v>
      </c>
      <c r="T158" s="1">
        <f ca="1">IF(S158=1,T$3*Q157/Prices!C157,-T$3*R157)</f>
        <v>2.1831524971615025E-4</v>
      </c>
      <c r="V158" s="9"/>
      <c r="W158" s="1"/>
      <c r="X158" s="1"/>
      <c r="Y158" s="1"/>
      <c r="Z158" s="1"/>
      <c r="AA158" s="1"/>
      <c r="AB158" s="1"/>
      <c r="AC158" s="1"/>
      <c r="AD158" s="1"/>
      <c r="AE158" s="16"/>
    </row>
    <row r="159" spans="1:31" x14ac:dyDescent="0.2">
      <c r="A159" s="4">
        <v>33729</v>
      </c>
      <c r="B159" s="9">
        <f ca="1">Prices!C158*(1+J159/(50*(ABS(O159)+ABS(T159)+0.0001)))</f>
        <v>131.18750874963291</v>
      </c>
      <c r="C159" s="21">
        <f t="shared" ca="1" si="17"/>
        <v>-1</v>
      </c>
      <c r="D159" s="9">
        <f ca="1">D158+C159*(Prices!C159-Prices!C158)/Prices!C158</f>
        <v>6.3525422047416596E-2</v>
      </c>
      <c r="E159" s="9">
        <f t="shared" ca="1" si="18"/>
        <v>2.7553223740506255E-2</v>
      </c>
      <c r="F159" s="9">
        <f t="shared" ca="1" si="19"/>
        <v>9.1078645787922852E-2</v>
      </c>
      <c r="G159" s="13">
        <f ca="1">IF((Prices!C159-Prices!C158)*C159&gt;0,1,0)</f>
        <v>0</v>
      </c>
      <c r="H159" s="9">
        <f>ABS(Prices!C159-Prices!C158)/Prices!C158</f>
        <v>2.7882441597588889E-3</v>
      </c>
      <c r="I159" s="13"/>
      <c r="J159" s="1">
        <f t="shared" ca="1" si="20"/>
        <v>-6.9967906159967884E-4</v>
      </c>
      <c r="K159" s="9"/>
      <c r="L159" s="9">
        <f ca="1">L158-O159*Prices!C159</f>
        <v>1.2601227233568879</v>
      </c>
      <c r="M159" s="1">
        <f t="shared" ca="1" si="21"/>
        <v>8.2233923874314007E-3</v>
      </c>
      <c r="N159" s="9">
        <f ca="1">IF(Prices!D158&gt;OFFSET(Prices!D158,-$N$3,0),1,-1)</f>
        <v>-1</v>
      </c>
      <c r="O159" s="1">
        <f ca="1">IF(N159=1,O$3*L158/Prices!C158,-O$3*M158)</f>
        <v>-9.1371026527015575E-4</v>
      </c>
      <c r="P159" s="14"/>
      <c r="Q159" s="9">
        <f ca="1">Q158-T159*Prices!C159</f>
        <v>1.3916159040811837</v>
      </c>
      <c r="R159" s="1">
        <f t="shared" ca="1" si="22"/>
        <v>6.9907814349327579E-3</v>
      </c>
      <c r="S159" s="9">
        <f ca="1">IF(Prices!C158&lt;OFFSET(Prices!C158,-S$3,0),1,-1)</f>
        <v>1</v>
      </c>
      <c r="T159" s="1">
        <f ca="1">IF(S159=1,T$3*Q158/Prices!C158,-T$3*R158)</f>
        <v>2.1403120367047688E-4</v>
      </c>
      <c r="V159" s="9"/>
      <c r="W159" s="1"/>
      <c r="X159" s="1"/>
      <c r="Y159" s="1"/>
      <c r="Z159" s="1"/>
      <c r="AA159" s="1"/>
      <c r="AB159" s="1"/>
      <c r="AC159" s="1"/>
      <c r="AD159" s="1"/>
      <c r="AE159" s="16"/>
    </row>
    <row r="160" spans="1:31" x14ac:dyDescent="0.2">
      <c r="A160" s="4">
        <v>33730</v>
      </c>
      <c r="B160" s="9">
        <f ca="1">Prices!C159*(1+J160/(50*(ABS(O160)+ABS(T160)+0.0001)))</f>
        <v>131.62772432772132</v>
      </c>
      <c r="C160" s="21">
        <f t="shared" ca="1" si="17"/>
        <v>-1</v>
      </c>
      <c r="D160" s="9">
        <f ca="1">D159+C160*(Prices!C160-Prices!C159)/Prices!C159</f>
        <v>6.7808881880587063E-2</v>
      </c>
      <c r="E160" s="9">
        <f t="shared" ca="1" si="18"/>
        <v>2.3269763907335789E-2</v>
      </c>
      <c r="F160" s="9">
        <f t="shared" ca="1" si="19"/>
        <v>9.1078645787922852E-2</v>
      </c>
      <c r="G160" s="13">
        <f ca="1">IF((Prices!C160-Prices!C159)*C160&gt;0,1,0)</f>
        <v>1</v>
      </c>
      <c r="H160" s="9">
        <f>ABS(Prices!C160-Prices!C159)/Prices!C159</f>
        <v>4.2834598331704605E-3</v>
      </c>
      <c r="I160" s="13"/>
      <c r="J160" s="1">
        <f t="shared" ca="1" si="20"/>
        <v>-6.1318377108233243E-4</v>
      </c>
      <c r="K160" s="9"/>
      <c r="L160" s="9">
        <f ca="1">L159-O160*Prices!C160</f>
        <v>1.369082672490354</v>
      </c>
      <c r="M160" s="1">
        <f t="shared" ca="1" si="21"/>
        <v>7.4010531486882608E-3</v>
      </c>
      <c r="N160" s="9">
        <f ca="1">IF(Prices!D159&gt;OFFSET(Prices!D159,-$N$3,0),1,-1)</f>
        <v>-1</v>
      </c>
      <c r="O160" s="1">
        <f ca="1">IF(N160=1,O$3*L159/Prices!C159,-O$3*M159)</f>
        <v>-8.2233923874314011E-4</v>
      </c>
      <c r="P160" s="14"/>
      <c r="Q160" s="9">
        <f ca="1">Q159-T160*Prices!C160</f>
        <v>1.3639028046161268</v>
      </c>
      <c r="R160" s="1">
        <f t="shared" ca="1" si="22"/>
        <v>7.1999369025935655E-3</v>
      </c>
      <c r="S160" s="9">
        <f ca="1">IF(Prices!C159&lt;OFFSET(Prices!C159,-S$3,0),1,-1)</f>
        <v>1</v>
      </c>
      <c r="T160" s="1">
        <f ca="1">IF(S160=1,T$3*Q159/Prices!C159,-T$3*R159)</f>
        <v>2.0915546766080766E-4</v>
      </c>
      <c r="V160" s="9"/>
      <c r="W160" s="1"/>
      <c r="X160" s="1"/>
      <c r="Y160" s="1"/>
      <c r="Z160" s="1"/>
      <c r="AA160" s="1"/>
      <c r="AB160" s="1"/>
      <c r="AC160" s="1"/>
      <c r="AD160" s="1"/>
      <c r="AE160" s="16"/>
    </row>
    <row r="161" spans="1:31" x14ac:dyDescent="0.2">
      <c r="A161" s="4">
        <v>33731</v>
      </c>
      <c r="B161" s="9">
        <f ca="1">Prices!C160*(1+J161/(50*(ABS(O161)+ABS(T161)+0.0001)))</f>
        <v>131.14651194815792</v>
      </c>
      <c r="C161" s="21">
        <f t="shared" ca="1" si="17"/>
        <v>-1</v>
      </c>
      <c r="D161" s="9">
        <f ca="1">D160+C161*(Prices!C161-Prices!C160)/Prices!C160</f>
        <v>6.6299447918322998E-2</v>
      </c>
      <c r="E161" s="9">
        <f t="shared" ca="1" si="18"/>
        <v>2.4779197869599853E-2</v>
      </c>
      <c r="F161" s="9">
        <f t="shared" ca="1" si="19"/>
        <v>9.1078645787922852E-2</v>
      </c>
      <c r="G161" s="13">
        <f ca="1">IF((Prices!C161-Prices!C160)*C161&gt;0,1,0)</f>
        <v>0</v>
      </c>
      <c r="H161" s="9">
        <f>ABS(Prices!C161-Prices!C160)/Prices!C160</f>
        <v>1.5094339622640652E-3</v>
      </c>
      <c r="I161" s="13"/>
      <c r="J161" s="1">
        <f t="shared" ca="1" si="20"/>
        <v>-5.3423319341733527E-4</v>
      </c>
      <c r="K161" s="9"/>
      <c r="L161" s="9">
        <f ca="1">L160-O161*Prices!C161</f>
        <v>1.4672946477734472</v>
      </c>
      <c r="M161" s="1">
        <f t="shared" ca="1" si="21"/>
        <v>6.6609478338194349E-3</v>
      </c>
      <c r="N161" s="9">
        <f ca="1">IF(Prices!D160&gt;OFFSET(Prices!D160,-$N$3,0),1,-1)</f>
        <v>-1</v>
      </c>
      <c r="O161" s="1">
        <f ca="1">IF(N161=1,O$3*L160/Prices!C160,-O$3*M160)</f>
        <v>-7.4010531486882612E-4</v>
      </c>
      <c r="P161" s="14"/>
      <c r="Q161" s="9">
        <f ca="1">Q160-T161*Prices!C161</f>
        <v>1.336583574099514</v>
      </c>
      <c r="R161" s="1">
        <f t="shared" ca="1" si="22"/>
        <v>7.4058090240450561E-3</v>
      </c>
      <c r="S161" s="9">
        <f ca="1">IF(Prices!C160&lt;OFFSET(Prices!C160,-S$3,0),1,-1)</f>
        <v>1</v>
      </c>
      <c r="T161" s="1">
        <f ca="1">IF(S161=1,T$3*Q160/Prices!C160,-T$3*R160)</f>
        <v>2.0587212145149086E-4</v>
      </c>
      <c r="V161" s="9"/>
      <c r="W161" s="1"/>
      <c r="X161" s="1"/>
      <c r="Y161" s="1"/>
      <c r="Z161" s="1"/>
      <c r="AA161" s="1"/>
      <c r="AB161" s="1"/>
      <c r="AC161" s="1"/>
      <c r="AD161" s="1"/>
      <c r="AE161" s="16"/>
    </row>
    <row r="162" spans="1:31" x14ac:dyDescent="0.2">
      <c r="A162" s="4">
        <v>33732</v>
      </c>
      <c r="B162" s="9">
        <f ca="1">Prices!C161*(1+J162/(50*(ABS(O162)+ABS(T162)+0.0001)))</f>
        <v>131.42544476703443</v>
      </c>
      <c r="C162" s="21">
        <f t="shared" ca="1" si="17"/>
        <v>-1</v>
      </c>
      <c r="D162" s="9">
        <f ca="1">D161+C162*(Prices!C162-Prices!C161)/Prices!C161</f>
        <v>6.102439139986017E-2</v>
      </c>
      <c r="E162" s="9">
        <f t="shared" ca="1" si="18"/>
        <v>3.0054254388062682E-2</v>
      </c>
      <c r="F162" s="9">
        <f t="shared" ca="1" si="19"/>
        <v>9.1078645787922852E-2</v>
      </c>
      <c r="G162" s="13">
        <f ca="1">IF((Prices!C162-Prices!C161)*C162&gt;0,1,0)</f>
        <v>0</v>
      </c>
      <c r="H162" s="9">
        <f>ABS(Prices!C162-Prices!C161)/Prices!C161</f>
        <v>5.2750565184628267E-3</v>
      </c>
      <c r="I162" s="13"/>
      <c r="J162" s="1">
        <f t="shared" ca="1" si="20"/>
        <v>-4.6465038638126318E-4</v>
      </c>
      <c r="K162" s="9"/>
      <c r="L162" s="9">
        <f ca="1">L161-O162*Prices!C162</f>
        <v>1.5561516918765985</v>
      </c>
      <c r="M162" s="1">
        <f t="shared" ca="1" si="21"/>
        <v>5.9948530504374915E-3</v>
      </c>
      <c r="N162" s="9">
        <f ca="1">IF(Prices!D161&gt;OFFSET(Prices!D161,-$N$3,0),1,-1)</f>
        <v>-1</v>
      </c>
      <c r="O162" s="1">
        <f ca="1">IF(N162=1,O$3*L161/Prices!C161,-O$3*M161)</f>
        <v>-6.6609478338194351E-4</v>
      </c>
      <c r="P162" s="14"/>
      <c r="Q162" s="9">
        <f ca="1">Q161-T162*Prices!C162</f>
        <v>1.3097108915396232</v>
      </c>
      <c r="R162" s="1">
        <f t="shared" ca="1" si="22"/>
        <v>7.6072534210457361E-3</v>
      </c>
      <c r="S162" s="9">
        <f ca="1">IF(Prices!C161&lt;OFFSET(Prices!C161,-S$3,0),1,-1)</f>
        <v>1</v>
      </c>
      <c r="T162" s="1">
        <f ca="1">IF(S162=1,T$3*Q161/Prices!C161,-T$3*R161)</f>
        <v>2.0144439700068035E-4</v>
      </c>
      <c r="V162" s="9"/>
      <c r="W162" s="1"/>
      <c r="X162" s="1"/>
      <c r="Y162" s="1"/>
      <c r="Z162" s="1"/>
      <c r="AA162" s="1"/>
      <c r="AB162" s="1"/>
      <c r="AC162" s="1"/>
      <c r="AD162" s="1"/>
      <c r="AE162" s="16"/>
    </row>
    <row r="163" spans="1:31" x14ac:dyDescent="0.2">
      <c r="A163" s="4">
        <v>33735</v>
      </c>
      <c r="B163" s="9">
        <f ca="1">Prices!C162*(1+J163/(50*(ABS(O163)+ABS(T163)+0.0001)))</f>
        <v>131.04528145203957</v>
      </c>
      <c r="C163" s="21">
        <f t="shared" ca="1" si="17"/>
        <v>-1</v>
      </c>
      <c r="D163" s="9">
        <f ca="1">D162+C163*(Prices!C163-Prices!C162)/Prices!C162</f>
        <v>6.2748529330894795E-2</v>
      </c>
      <c r="E163" s="9">
        <f t="shared" ca="1" si="18"/>
        <v>2.8330116457028057E-2</v>
      </c>
      <c r="F163" s="9">
        <f t="shared" ca="1" si="19"/>
        <v>9.1078645787922852E-2</v>
      </c>
      <c r="G163" s="13">
        <f ca="1">IF((Prices!C163-Prices!C162)*C163&gt;0,1,0)</f>
        <v>1</v>
      </c>
      <c r="H163" s="9">
        <f>ABS(Prices!C163-Prices!C162)/Prices!C162</f>
        <v>1.7241379310346191E-3</v>
      </c>
      <c r="I163" s="13"/>
      <c r="J163" s="1">
        <f t="shared" ca="1" si="20"/>
        <v>-7.5163037346466402E-4</v>
      </c>
      <c r="K163" s="9"/>
      <c r="L163" s="9">
        <f ca="1">L162-O163*Prices!C163</f>
        <v>1.6359851499492746</v>
      </c>
      <c r="M163" s="1">
        <f t="shared" ca="1" si="21"/>
        <v>5.3953677453937423E-3</v>
      </c>
      <c r="N163" s="9">
        <f ca="1">IF(Prices!D162&gt;OFFSET(Prices!D162,-$N$3,0),1,-1)</f>
        <v>-1</v>
      </c>
      <c r="O163" s="1">
        <f ca="1">IF(N163=1,O$3*L162/Prices!C162,-O$3*M162)</f>
        <v>-5.9948530504374924E-4</v>
      </c>
      <c r="P163" s="14"/>
      <c r="Q163" s="9">
        <f ca="1">Q162-T163*Prices!C163</f>
        <v>1.3299720503012364</v>
      </c>
      <c r="R163" s="1">
        <f t="shared" ca="1" si="22"/>
        <v>7.4551083526248211E-3</v>
      </c>
      <c r="S163" s="9">
        <f ca="1">IF(Prices!C162&lt;OFFSET(Prices!C162,-S$3,0),1,-1)</f>
        <v>-1</v>
      </c>
      <c r="T163" s="1">
        <f ca="1">IF(S163=1,T$3*Q162/Prices!C162,-T$3*R162)</f>
        <v>-1.5214506842091473E-4</v>
      </c>
      <c r="V163" s="9"/>
      <c r="W163" s="1"/>
      <c r="X163" s="1"/>
      <c r="Y163" s="1"/>
      <c r="Z163" s="1"/>
      <c r="AA163" s="1"/>
      <c r="AB163" s="1"/>
      <c r="AC163" s="1"/>
      <c r="AD163" s="1"/>
      <c r="AE163" s="16"/>
    </row>
    <row r="164" spans="1:31" x14ac:dyDescent="0.2">
      <c r="A164" s="4">
        <v>33736</v>
      </c>
      <c r="B164" s="9">
        <f ca="1">Prices!C163*(1+J164/(50*(ABS(O164)+ABS(T164)+0.0001)))</f>
        <v>130.84432108623292</v>
      </c>
      <c r="C164" s="21">
        <f t="shared" ca="1" si="17"/>
        <v>-1</v>
      </c>
      <c r="D164" s="9">
        <f ca="1">D163+C164*(Prices!C164-Prices!C163)/Prices!C163</f>
        <v>8.2798090042766753E-2</v>
      </c>
      <c r="E164" s="9">
        <f t="shared" ca="1" si="18"/>
        <v>8.2805557451560985E-3</v>
      </c>
      <c r="F164" s="9">
        <f t="shared" ca="1" si="19"/>
        <v>9.1078645787922852E-2</v>
      </c>
      <c r="G164" s="13">
        <f ca="1">IF((Prices!C164-Prices!C163)*C164&gt;0,1,0)</f>
        <v>1</v>
      </c>
      <c r="H164" s="9">
        <f>ABS(Prices!C164-Prices!C163)/Prices!C163</f>
        <v>2.0049560711871951E-2</v>
      </c>
      <c r="I164" s="13"/>
      <c r="J164" s="1">
        <f t="shared" ca="1" si="20"/>
        <v>-6.8863894159187065E-4</v>
      </c>
      <c r="K164" s="9"/>
      <c r="L164" s="9">
        <f ca="1">L163-O164*Prices!C164</f>
        <v>1.706394699026663</v>
      </c>
      <c r="M164" s="1">
        <f t="shared" ca="1" si="21"/>
        <v>4.8558309708543676E-3</v>
      </c>
      <c r="N164" s="9">
        <f ca="1">IF(Prices!D163&gt;OFFSET(Prices!D163,-$N$3,0),1,-1)</f>
        <v>-1</v>
      </c>
      <c r="O164" s="1">
        <f ca="1">IF(N164=1,O$3*L163/Prices!C163,-O$3*M163)</f>
        <v>-5.3953677453937423E-4</v>
      </c>
      <c r="P164" s="14"/>
      <c r="Q164" s="9">
        <f ca="1">Q163-T164*Prices!C164</f>
        <v>1.3494298831015872</v>
      </c>
      <c r="R164" s="1">
        <f t="shared" ca="1" si="22"/>
        <v>7.3060061855723243E-3</v>
      </c>
      <c r="S164" s="9">
        <f ca="1">IF(Prices!C163&lt;OFFSET(Prices!C163,-S$3,0),1,-1)</f>
        <v>-1</v>
      </c>
      <c r="T164" s="1">
        <f ca="1">IF(S164=1,T$3*Q163/Prices!C163,-T$3*R163)</f>
        <v>-1.4910216705249643E-4</v>
      </c>
      <c r="V164" s="9"/>
      <c r="W164" s="1"/>
      <c r="X164" s="1"/>
      <c r="Y164" s="1"/>
      <c r="Z164" s="1"/>
      <c r="AA164" s="1"/>
      <c r="AB164" s="1"/>
      <c r="AC164" s="1"/>
      <c r="AD164" s="1"/>
      <c r="AE164" s="16"/>
    </row>
    <row r="165" spans="1:31" x14ac:dyDescent="0.2">
      <c r="A165" s="4">
        <v>33737</v>
      </c>
      <c r="B165" s="9">
        <f ca="1">Prices!C164*(1+J165/(50*(ABS(O165)+ABS(T165)+0.0001)))</f>
        <v>129.58176801629583</v>
      </c>
      <c r="C165" s="21">
        <f t="shared" ca="1" si="17"/>
        <v>-1</v>
      </c>
      <c r="D165" s="9">
        <f ca="1">D164+C165*(Prices!C165-Prices!C164)/Prices!C164</f>
        <v>8.3564373567670922E-2</v>
      </c>
      <c r="E165" s="9">
        <f t="shared" ca="1" si="18"/>
        <v>7.5142722202519302E-3</v>
      </c>
      <c r="F165" s="9">
        <f t="shared" ca="1" si="19"/>
        <v>9.1078645787922852E-2</v>
      </c>
      <c r="G165" s="13">
        <f ca="1">IF((Prices!C165-Prices!C164)*C165&gt;0,1,0)</f>
        <v>1</v>
      </c>
      <c r="H165" s="9">
        <f>ABS(Prices!C165-Prices!C164)/Prices!C164</f>
        <v>7.66283524904171E-4</v>
      </c>
      <c r="I165" s="13"/>
      <c r="J165" s="1">
        <f t="shared" ca="1" si="20"/>
        <v>-2.7877391959860349E-4</v>
      </c>
      <c r="K165" s="9"/>
      <c r="L165" s="9">
        <f ca="1">L164-O165*Prices!C165</f>
        <v>1.769714734886604</v>
      </c>
      <c r="M165" s="1">
        <f t="shared" ca="1" si="21"/>
        <v>4.3702478737689312E-3</v>
      </c>
      <c r="N165" s="9">
        <f ca="1">IF(Prices!D164&gt;OFFSET(Prices!D164,-$N$3,0),1,-1)</f>
        <v>-1</v>
      </c>
      <c r="O165" s="1">
        <f ca="1">IF(N165=1,O$3*L164/Prices!C164,-O$3*M164)</f>
        <v>-4.8558309708543679E-4</v>
      </c>
      <c r="P165" s="14"/>
      <c r="Q165" s="9">
        <f ca="1">Q164-T165*Prices!C165</f>
        <v>1.3224619663573041</v>
      </c>
      <c r="R165" s="1">
        <f t="shared" ca="1" si="22"/>
        <v>7.5128153630591573E-3</v>
      </c>
      <c r="S165" s="9">
        <f ca="1">IF(Prices!C164&lt;OFFSET(Prices!C164,-S$3,0),1,-1)</f>
        <v>1</v>
      </c>
      <c r="T165" s="1">
        <f ca="1">IF(S165=1,T$3*Q164/Prices!C164,-T$3*R164)</f>
        <v>2.068091774868333E-4</v>
      </c>
      <c r="V165" s="9"/>
      <c r="W165" s="1"/>
      <c r="X165" s="1"/>
      <c r="Y165" s="1"/>
      <c r="Z165" s="1"/>
      <c r="AA165" s="1"/>
      <c r="AB165" s="1"/>
      <c r="AC165" s="1"/>
      <c r="AD165" s="1"/>
      <c r="AE165" s="16"/>
    </row>
    <row r="166" spans="1:31" x14ac:dyDescent="0.2">
      <c r="A166" s="4">
        <v>33738</v>
      </c>
      <c r="B166" s="9">
        <f ca="1">Prices!C165*(1+J166/(50*(ABS(O166)+ABS(T166)+0.0001)))</f>
        <v>129.57446699431378</v>
      </c>
      <c r="C166" s="21">
        <f t="shared" ca="1" si="17"/>
        <v>-1</v>
      </c>
      <c r="D166" s="9">
        <f ca="1">D165+C166*(Prices!C166-Prices!C165)/Prices!C165</f>
        <v>8.5098115898959395E-2</v>
      </c>
      <c r="E166" s="9">
        <f t="shared" ca="1" si="18"/>
        <v>5.9805298889634567E-3</v>
      </c>
      <c r="F166" s="9">
        <f t="shared" ca="1" si="19"/>
        <v>9.1078645787922852E-2</v>
      </c>
      <c r="G166" s="13">
        <f ca="1">IF((Prices!C166-Prices!C165)*C166&gt;0,1,0)</f>
        <v>1</v>
      </c>
      <c r="H166" s="9">
        <f>ABS(Prices!C166-Prices!C165)/Prices!C165</f>
        <v>1.5337423312884743E-3</v>
      </c>
      <c r="I166" s="13"/>
      <c r="J166" s="1">
        <f t="shared" ca="1" si="20"/>
        <v>-2.3419319744479128E-4</v>
      </c>
      <c r="K166" s="9"/>
      <c r="L166" s="9">
        <f ca="1">L165-O166*Prices!C166</f>
        <v>1.8266153622030754</v>
      </c>
      <c r="M166" s="1">
        <f t="shared" ca="1" si="21"/>
        <v>3.9332230863920381E-3</v>
      </c>
      <c r="N166" s="9">
        <f ca="1">IF(Prices!D165&gt;OFFSET(Prices!D165,-$N$3,0),1,-1)</f>
        <v>-1</v>
      </c>
      <c r="O166" s="1">
        <f ca="1">IF(N166=1,O$3*L165/Prices!C165,-O$3*M165)</f>
        <v>-4.3702478737689312E-4</v>
      </c>
      <c r="P166" s="14"/>
      <c r="Q166" s="9">
        <f ca="1">Q165-T166*Prices!C166</f>
        <v>1.2960532933481443</v>
      </c>
      <c r="R166" s="1">
        <f t="shared" ca="1" si="22"/>
        <v>7.7156469529912593E-3</v>
      </c>
      <c r="S166" s="9">
        <f ca="1">IF(Prices!C165&lt;OFFSET(Prices!C165,-S$3,0),1,-1)</f>
        <v>1</v>
      </c>
      <c r="T166" s="1">
        <f ca="1">IF(S166=1,T$3*Q165/Prices!C165,-T$3*R165)</f>
        <v>2.0283158993210184E-4</v>
      </c>
      <c r="V166" s="9"/>
      <c r="W166" s="1"/>
      <c r="X166" s="1"/>
      <c r="Y166" s="1"/>
      <c r="Z166" s="1"/>
      <c r="AA166" s="1"/>
      <c r="AB166" s="1"/>
      <c r="AC166" s="1"/>
      <c r="AD166" s="1"/>
      <c r="AE166" s="16"/>
    </row>
    <row r="167" spans="1:31" x14ac:dyDescent="0.2">
      <c r="A167" s="4">
        <v>33739</v>
      </c>
      <c r="B167" s="9">
        <f ca="1">Prices!C166*(1+J167/(50*(ABS(O167)+ABS(T167)+0.0001)))</f>
        <v>129.46952120187632</v>
      </c>
      <c r="C167" s="21">
        <f t="shared" ca="1" si="17"/>
        <v>-1</v>
      </c>
      <c r="D167" s="9">
        <f ca="1">D166+C167*(Prices!C167-Prices!C166)/Prices!C166</f>
        <v>8.4714091321386339E-2</v>
      </c>
      <c r="E167" s="9">
        <f t="shared" ca="1" si="18"/>
        <v>6.3645544665365122E-3</v>
      </c>
      <c r="F167" s="9">
        <f t="shared" ca="1" si="19"/>
        <v>9.1078645787922852E-2</v>
      </c>
      <c r="G167" s="13">
        <f ca="1">IF((Prices!C167-Prices!C166)*C167&gt;0,1,0)</f>
        <v>0</v>
      </c>
      <c r="H167" s="9">
        <f>ABS(Prices!C167-Prices!C166)/Prices!C166</f>
        <v>3.84024577573052E-4</v>
      </c>
      <c r="I167" s="13"/>
      <c r="J167" s="1">
        <f t="shared" ca="1" si="20"/>
        <v>-1.9423578124317547E-4</v>
      </c>
      <c r="K167" s="9"/>
      <c r="L167" s="9">
        <f ca="1">L166-O167*Prices!C167</f>
        <v>1.8778455929033318</v>
      </c>
      <c r="M167" s="1">
        <f t="shared" ca="1" si="21"/>
        <v>3.5399007777528343E-3</v>
      </c>
      <c r="N167" s="9">
        <f ca="1">IF(Prices!D166&gt;OFFSET(Prices!D166,-$N$3,0),1,-1)</f>
        <v>-1</v>
      </c>
      <c r="O167" s="1">
        <f ca="1">IF(N167=1,O$3*L166/Prices!C166,-O$3*M166)</f>
        <v>-3.9332230863920381E-4</v>
      </c>
      <c r="P167" s="14"/>
      <c r="Q167" s="9">
        <f ca="1">Q166-T167*Prices!C167</f>
        <v>1.2701222731548116</v>
      </c>
      <c r="R167" s="1">
        <f t="shared" ca="1" si="22"/>
        <v>7.9147334803872874E-3</v>
      </c>
      <c r="S167" s="9">
        <f ca="1">IF(Prices!C166&lt;OFFSET(Prices!C166,-S$3,0),1,-1)</f>
        <v>1</v>
      </c>
      <c r="T167" s="1">
        <f ca="1">IF(S167=1,T$3*Q166/Prices!C166,-T$3*R166)</f>
        <v>1.9908652739602834E-4</v>
      </c>
      <c r="V167" s="9"/>
      <c r="W167" s="1"/>
      <c r="X167" s="1"/>
      <c r="Y167" s="1"/>
      <c r="Z167" s="1"/>
      <c r="AA167" s="1"/>
      <c r="AB167" s="1"/>
      <c r="AC167" s="1"/>
      <c r="AD167" s="1"/>
      <c r="AE167" s="16"/>
    </row>
    <row r="168" spans="1:31" x14ac:dyDescent="0.2">
      <c r="A168" s="4">
        <v>33742</v>
      </c>
      <c r="B168" s="9">
        <f ca="1">Prices!C167*(1+J168/(50*(ABS(O168)+ABS(T168)+0.0001)))</f>
        <v>129.61196691567611</v>
      </c>
      <c r="C168" s="21">
        <f t="shared" ca="1" si="17"/>
        <v>-1</v>
      </c>
      <c r="D168" s="9">
        <f ca="1">D167+C168*(Prices!C168-Prices!C167)/Prices!C167</f>
        <v>9.5846528941347861E-2</v>
      </c>
      <c r="E168" s="9">
        <f t="shared" ca="1" si="18"/>
        <v>0</v>
      </c>
      <c r="F168" s="9">
        <f t="shared" ca="1" si="19"/>
        <v>9.5846528941347861E-2</v>
      </c>
      <c r="G168" s="13">
        <f ca="1">IF((Prices!C168-Prices!C167)*C168&gt;0,1,0)</f>
        <v>1</v>
      </c>
      <c r="H168" s="9">
        <f>ABS(Prices!C168-Prices!C167)/Prices!C167</f>
        <v>1.1132437619961525E-2</v>
      </c>
      <c r="I168" s="13"/>
      <c r="J168" s="1">
        <f t="shared" ca="1" si="20"/>
        <v>-1.5896170569776915E-4</v>
      </c>
      <c r="K168" s="9"/>
      <c r="L168" s="9">
        <f ca="1">L167-O168*Prices!C168</f>
        <v>1.9234395149207884</v>
      </c>
      <c r="M168" s="1">
        <f t="shared" ca="1" si="21"/>
        <v>3.1859106999775509E-3</v>
      </c>
      <c r="N168" s="9">
        <f ca="1">IF(Prices!D167&gt;OFFSET(Prices!D167,-$N$3,0),1,-1)</f>
        <v>-1</v>
      </c>
      <c r="O168" s="1">
        <f ca="1">IF(N168=1,O$3*L167/Prices!C167,-O$3*M167)</f>
        <v>-3.5399007777528344E-4</v>
      </c>
      <c r="P168" s="14"/>
      <c r="Q168" s="9">
        <f ca="1">Q167-T168*Prices!C168</f>
        <v>1.2450026188312278</v>
      </c>
      <c r="R168" s="1">
        <f t="shared" ca="1" si="22"/>
        <v>8.1097618524648019E-3</v>
      </c>
      <c r="S168" s="9">
        <f ca="1">IF(Prices!C167&lt;OFFSET(Prices!C167,-S$3,0),1,-1)</f>
        <v>1</v>
      </c>
      <c r="T168" s="1">
        <f ca="1">IF(S168=1,T$3*Q167/Prices!C167,-T$3*R167)</f>
        <v>1.9502837207751428E-4</v>
      </c>
      <c r="V168" s="9"/>
      <c r="W168" s="1"/>
      <c r="X168" s="1"/>
      <c r="Y168" s="1"/>
      <c r="Z168" s="1"/>
      <c r="AA168" s="1"/>
      <c r="AB168" s="1"/>
      <c r="AC168" s="1"/>
      <c r="AD168" s="1"/>
      <c r="AE168" s="16"/>
    </row>
    <row r="169" spans="1:31" x14ac:dyDescent="0.2">
      <c r="A169" s="4">
        <v>33743</v>
      </c>
      <c r="B169" s="9">
        <f ca="1">Prices!C168*(1+J169/(50*(ABS(O169)+ABS(T169)+0.0001)))</f>
        <v>128.27265578618866</v>
      </c>
      <c r="C169" s="21">
        <f t="shared" ca="1" si="17"/>
        <v>-1</v>
      </c>
      <c r="D169" s="9">
        <f ca="1">D168+C169*(Prices!C169-Prices!C168)/Prices!C168</f>
        <v>9.3517336394764145E-2</v>
      </c>
      <c r="E169" s="9">
        <f t="shared" ca="1" si="18"/>
        <v>2.3291925465837165E-3</v>
      </c>
      <c r="F169" s="9">
        <f t="shared" ca="1" si="19"/>
        <v>9.5846528941347861E-2</v>
      </c>
      <c r="G169" s="13">
        <f ca="1">IF((Prices!C169-Prices!C168)*C169&gt;0,1,0)</f>
        <v>0</v>
      </c>
      <c r="H169" s="9">
        <f>ABS(Prices!C169-Prices!C168)/Prices!C168</f>
        <v>2.3291925465837183E-3</v>
      </c>
      <c r="I169" s="13"/>
      <c r="J169" s="1">
        <f t="shared" ca="1" si="20"/>
        <v>-1.2526768198048373E-4</v>
      </c>
      <c r="K169" s="9"/>
      <c r="L169" s="9">
        <f ca="1">L168-O169*Prices!C169</f>
        <v>1.9645696220574986</v>
      </c>
      <c r="M169" s="1">
        <f t="shared" ca="1" si="21"/>
        <v>2.8673196299797959E-3</v>
      </c>
      <c r="N169" s="9">
        <f ca="1">IF(Prices!D168&gt;OFFSET(Prices!D168,-$N$3,0),1,-1)</f>
        <v>-1</v>
      </c>
      <c r="O169" s="1">
        <f ca="1">IF(N169=1,O$3*L168/Prices!C168,-O$3*M168)</f>
        <v>-3.1859106999775511E-4</v>
      </c>
      <c r="P169" s="14"/>
      <c r="Q169" s="9">
        <f ca="1">Q168-T169*Prices!C169</f>
        <v>1.2200445694381981</v>
      </c>
      <c r="R169" s="1">
        <f t="shared" ca="1" si="22"/>
        <v>8.3030852404820735E-3</v>
      </c>
      <c r="S169" s="9">
        <f ca="1">IF(Prices!C168&lt;OFFSET(Prices!C168,-S$3,0),1,-1)</f>
        <v>1</v>
      </c>
      <c r="T169" s="1">
        <f ca="1">IF(S169=1,T$3*Q168/Prices!C168,-T$3*R168)</f>
        <v>1.9332338801727138E-4</v>
      </c>
      <c r="V169" s="9"/>
      <c r="W169" s="1"/>
      <c r="X169" s="1"/>
      <c r="Y169" s="1"/>
      <c r="Z169" s="1"/>
      <c r="AA169" s="1"/>
      <c r="AB169" s="1"/>
      <c r="AC169" s="1"/>
      <c r="AD169" s="1"/>
      <c r="AE169" s="16"/>
    </row>
    <row r="170" spans="1:31" x14ac:dyDescent="0.2">
      <c r="A170" s="4">
        <v>33744</v>
      </c>
      <c r="B170" s="9">
        <f ca="1">Prices!C169*(1+J170/(50*(ABS(O170)+ABS(T170)+0.0001)))</f>
        <v>128.66173922693861</v>
      </c>
      <c r="C170" s="21">
        <f t="shared" ca="1" si="17"/>
        <v>-1</v>
      </c>
      <c r="D170" s="9">
        <f ca="1">D169+C170*(Prices!C170-Prices!C169)/Prices!C169</f>
        <v>8.9799288369977012E-2</v>
      </c>
      <c r="E170" s="9">
        <f t="shared" ca="1" si="18"/>
        <v>6.0472405713708488E-3</v>
      </c>
      <c r="F170" s="9">
        <f t="shared" ca="1" si="19"/>
        <v>9.5846528941347861E-2</v>
      </c>
      <c r="G170" s="13">
        <f ca="1">IF((Prices!C170-Prices!C169)*C170&gt;0,1,0)</f>
        <v>0</v>
      </c>
      <c r="H170" s="9">
        <f>ABS(Prices!C170-Prices!C169)/Prices!C169</f>
        <v>3.7180480247871279E-3</v>
      </c>
      <c r="I170" s="13"/>
      <c r="J170" s="1">
        <f t="shared" ca="1" si="20"/>
        <v>-9.7724283766655344E-5</v>
      </c>
      <c r="K170" s="9"/>
      <c r="L170" s="9">
        <f ca="1">L169-O170*Prices!C170</f>
        <v>2.0017243498227768</v>
      </c>
      <c r="M170" s="1">
        <f t="shared" ca="1" si="21"/>
        <v>2.5805876669818162E-3</v>
      </c>
      <c r="N170" s="9">
        <f ca="1">IF(Prices!D169&gt;OFFSET(Prices!D169,-$N$3,0),1,-1)</f>
        <v>-1</v>
      </c>
      <c r="O170" s="1">
        <f ca="1">IF(N170=1,O$3*L169/Prices!C169,-O$3*M169)</f>
        <v>-2.8673196299797962E-4</v>
      </c>
      <c r="P170" s="14"/>
      <c r="Q170" s="9">
        <f ca="1">Q169-T170*Prices!C170</f>
        <v>1.1955529543634031</v>
      </c>
      <c r="R170" s="1">
        <f t="shared" ca="1" si="22"/>
        <v>8.4920929197133972E-3</v>
      </c>
      <c r="S170" s="9">
        <f ca="1">IF(Prices!C169&lt;OFFSET(Prices!C169,-S$3,0),1,-1)</f>
        <v>1</v>
      </c>
      <c r="T170" s="1">
        <f ca="1">IF(S170=1,T$3*Q169/Prices!C169,-T$3*R169)</f>
        <v>1.8900767923132428E-4</v>
      </c>
      <c r="V170" s="9"/>
      <c r="W170" s="1"/>
      <c r="X170" s="1"/>
      <c r="Y170" s="1"/>
      <c r="Z170" s="1"/>
      <c r="AA170" s="1"/>
      <c r="AB170" s="1"/>
      <c r="AC170" s="1"/>
      <c r="AD170" s="1"/>
      <c r="AE170" s="16"/>
    </row>
    <row r="171" spans="1:31" x14ac:dyDescent="0.2">
      <c r="A171" s="4">
        <v>33745</v>
      </c>
      <c r="B171" s="9">
        <f ca="1">Prices!C170*(1+J171/(50*(ABS(O171)+ABS(T171)+0.0001)))</f>
        <v>129.22878588225595</v>
      </c>
      <c r="C171" s="21">
        <f t="shared" ca="1" si="17"/>
        <v>-1</v>
      </c>
      <c r="D171" s="9">
        <f ca="1">D170+C171*(Prices!C171-Prices!C170)/Prices!C170</f>
        <v>8.462873735901863E-2</v>
      </c>
      <c r="E171" s="9">
        <f t="shared" ca="1" si="18"/>
        <v>1.1217791582329231E-2</v>
      </c>
      <c r="F171" s="9">
        <f t="shared" ca="1" si="19"/>
        <v>9.5846528941347861E-2</v>
      </c>
      <c r="G171" s="13">
        <f ca="1">IF((Prices!C171-Prices!C170)*C171&gt;0,1,0)</f>
        <v>0</v>
      </c>
      <c r="H171" s="9">
        <f>ABS(Prices!C171-Prices!C170)/Prices!C170</f>
        <v>5.1705510109583842E-3</v>
      </c>
      <c r="I171" s="13"/>
      <c r="J171" s="1">
        <f t="shared" ca="1" si="20"/>
        <v>-7.3531377538835587E-5</v>
      </c>
      <c r="K171" s="9"/>
      <c r="L171" s="9">
        <f ca="1">L170-O171*Prices!C171</f>
        <v>2.0353365041852149</v>
      </c>
      <c r="M171" s="1">
        <f t="shared" ca="1" si="21"/>
        <v>2.3225289002836345E-3</v>
      </c>
      <c r="N171" s="9">
        <f ca="1">IF(Prices!D170&gt;OFFSET(Prices!D170,-$N$3,0),1,-1)</f>
        <v>-1</v>
      </c>
      <c r="O171" s="1">
        <f ca="1">IF(N171=1,O$3*L170/Prices!C170,-O$3*M170)</f>
        <v>-2.5805876669818164E-4</v>
      </c>
      <c r="P171" s="14"/>
      <c r="Q171" s="9">
        <f ca="1">Q170-T171*Prices!C171</f>
        <v>1.1715182619253983</v>
      </c>
      <c r="R171" s="1">
        <f t="shared" ca="1" si="22"/>
        <v>8.6766203088727428E-3</v>
      </c>
      <c r="S171" s="9">
        <f ca="1">IF(Prices!C170&lt;OFFSET(Prices!C170,-S$3,0),1,-1)</f>
        <v>1</v>
      </c>
      <c r="T171" s="1">
        <f ca="1">IF(S171=1,T$3*Q170/Prices!C170,-T$3*R170)</f>
        <v>1.8452738915934606E-4</v>
      </c>
      <c r="V171" s="9"/>
      <c r="W171" s="1"/>
      <c r="X171" s="1"/>
      <c r="Y171" s="1"/>
      <c r="Z171" s="1"/>
      <c r="AA171" s="1"/>
      <c r="AB171" s="1"/>
      <c r="AC171" s="1"/>
      <c r="AD171" s="1"/>
      <c r="AE171" s="16"/>
    </row>
    <row r="172" spans="1:31" x14ac:dyDescent="0.2">
      <c r="A172" s="4">
        <v>33746</v>
      </c>
      <c r="B172" s="9">
        <f ca="1">Prices!C171*(1+J172/(50*(ABS(O172)+ABS(T172)+0.0001)))</f>
        <v>132.22074318793236</v>
      </c>
      <c r="C172" s="21">
        <f t="shared" ca="1" si="17"/>
        <v>1</v>
      </c>
      <c r="D172" s="9">
        <f ca="1">D171+C172*(Prices!C172-Prices!C171)/Prices!C171</f>
        <v>7.8102825650765317E-2</v>
      </c>
      <c r="E172" s="9">
        <f t="shared" ca="1" si="18"/>
        <v>1.7743703290582544E-2</v>
      </c>
      <c r="F172" s="9">
        <f t="shared" ca="1" si="19"/>
        <v>9.5846528941347861E-2</v>
      </c>
      <c r="G172" s="13">
        <f ca="1">IF((Prices!C172-Prices!C171)*C172&gt;0,1,0)</f>
        <v>0</v>
      </c>
      <c r="H172" s="9">
        <f>ABS(Prices!C172-Prices!C171)/Prices!C171</f>
        <v>6.5259117082533151E-3</v>
      </c>
      <c r="I172" s="13"/>
      <c r="J172" s="1">
        <f t="shared" ca="1" si="20"/>
        <v>1.389105984751693E-3</v>
      </c>
      <c r="K172" s="9"/>
      <c r="L172" s="9">
        <f ca="1">L171-O172*Prices!C172</f>
        <v>1.8331310963989833</v>
      </c>
      <c r="M172" s="1">
        <f t="shared" ca="1" si="21"/>
        <v>3.8851672912127823E-3</v>
      </c>
      <c r="N172" s="9">
        <f ca="1">IF(Prices!D171&gt;OFFSET(Prices!D171,-$N$3,0),1,-1)</f>
        <v>1</v>
      </c>
      <c r="O172" s="1">
        <f ca="1">IF(N172=1,O$3*L171/Prices!C171,-O$3*M171)</f>
        <v>1.5626383909291479E-3</v>
      </c>
      <c r="P172" s="14"/>
      <c r="Q172" s="9">
        <f ca="1">Q171-T172*Prices!C172</f>
        <v>1.1939733552847609</v>
      </c>
      <c r="R172" s="1">
        <f t="shared" ca="1" si="22"/>
        <v>8.5030879026952878E-3</v>
      </c>
      <c r="S172" s="9">
        <f ca="1">IF(Prices!C171&lt;OFFSET(Prices!C171,-S$3,0),1,-1)</f>
        <v>-1</v>
      </c>
      <c r="T172" s="1">
        <f ca="1">IF(S172=1,T$3*Q171/Prices!C171,-T$3*R171)</f>
        <v>-1.7353240617745485E-4</v>
      </c>
      <c r="V172" s="9"/>
      <c r="W172" s="1"/>
      <c r="X172" s="1"/>
      <c r="Y172" s="1"/>
      <c r="Z172" s="1"/>
      <c r="AA172" s="1"/>
      <c r="AB172" s="1"/>
      <c r="AC172" s="1"/>
      <c r="AD172" s="1"/>
      <c r="AE172" s="16"/>
    </row>
    <row r="173" spans="1:31" x14ac:dyDescent="0.2">
      <c r="A173" s="4">
        <v>33749</v>
      </c>
      <c r="B173" s="9">
        <f ca="1">Prices!C172*(1+J173/(50*(ABS(O173)+ABS(T173)+0.0001)))</f>
        <v>131.3126937644341</v>
      </c>
      <c r="C173" s="21">
        <f t="shared" ca="1" si="17"/>
        <v>1</v>
      </c>
      <c r="D173" s="9">
        <f ca="1">D172+C173*(Prices!C173-Prices!C172)/Prices!C172</f>
        <v>7.6170831833145533E-2</v>
      </c>
      <c r="E173" s="9">
        <f t="shared" ca="1" si="18"/>
        <v>1.9675697108202328E-2</v>
      </c>
      <c r="F173" s="9">
        <f t="shared" ca="1" si="19"/>
        <v>9.5846528941347861E-2</v>
      </c>
      <c r="G173" s="13">
        <f ca="1">IF((Prices!C173-Prices!C172)*C173&gt;0,1,0)</f>
        <v>0</v>
      </c>
      <c r="H173" s="9">
        <f>ABS(Prices!C173-Prices!C172)/Prices!C172</f>
        <v>1.9319938176197836E-3</v>
      </c>
      <c r="I173" s="13"/>
      <c r="J173" s="1">
        <f t="shared" ca="1" si="20"/>
        <v>1.2465774199978588E-3</v>
      </c>
      <c r="K173" s="9"/>
      <c r="L173" s="9">
        <f ca="1">L172-O173*Prices!C173</f>
        <v>1.6501721465535979</v>
      </c>
      <c r="M173" s="1">
        <f t="shared" ca="1" si="21"/>
        <v>5.3018064692645465E-3</v>
      </c>
      <c r="N173" s="9">
        <f ca="1">IF(Prices!D172&gt;OFFSET(Prices!D172,-$N$3,0),1,-1)</f>
        <v>1</v>
      </c>
      <c r="O173" s="1">
        <f ca="1">IF(N173=1,O$3*L172/Prices!C172,-O$3*M172)</f>
        <v>1.4166391780517644E-3</v>
      </c>
      <c r="P173" s="14"/>
      <c r="Q173" s="9">
        <f ca="1">Q172-T173*Prices!C173</f>
        <v>1.2159368313374228</v>
      </c>
      <c r="R173" s="1">
        <f t="shared" ca="1" si="22"/>
        <v>8.3330261446413825E-3</v>
      </c>
      <c r="S173" s="9">
        <f ca="1">IF(Prices!C172&lt;OFFSET(Prices!C172,-S$3,0),1,-1)</f>
        <v>-1</v>
      </c>
      <c r="T173" s="1">
        <f ca="1">IF(S173=1,T$3*Q172/Prices!C172,-T$3*R172)</f>
        <v>-1.7006175805390575E-4</v>
      </c>
      <c r="V173" s="9"/>
      <c r="W173" s="1"/>
      <c r="X173" s="1"/>
      <c r="Y173" s="1"/>
      <c r="Z173" s="1"/>
      <c r="AA173" s="1"/>
      <c r="AB173" s="1"/>
      <c r="AC173" s="1"/>
      <c r="AD173" s="1"/>
      <c r="AE173" s="16"/>
    </row>
    <row r="174" spans="1:31" x14ac:dyDescent="0.2">
      <c r="A174" s="4">
        <v>33750</v>
      </c>
      <c r="B174" s="9">
        <f ca="1">Prices!C173*(1+J174/(50*(ABS(O174)+ABS(T174)+0.0001)))</f>
        <v>126.89115493800175</v>
      </c>
      <c r="C174" s="21">
        <f t="shared" ca="1" si="17"/>
        <v>-1</v>
      </c>
      <c r="D174" s="9">
        <f ca="1">D173+C174*(Prices!C174-Prices!C173)/Prices!C173</f>
        <v>7.4777103610148971E-2</v>
      </c>
      <c r="E174" s="9">
        <f t="shared" ca="1" si="18"/>
        <v>2.106942533119889E-2</v>
      </c>
      <c r="F174" s="9">
        <f t="shared" ca="1" si="19"/>
        <v>9.5846528941347861E-2</v>
      </c>
      <c r="G174" s="13">
        <f ca="1">IF((Prices!C174-Prices!C173)*C174&gt;0,1,0)</f>
        <v>0</v>
      </c>
      <c r="H174" s="9">
        <f>ABS(Prices!C174-Prices!C173)/Prices!C173</f>
        <v>1.3937282229965684E-3</v>
      </c>
      <c r="I174" s="13"/>
      <c r="J174" s="1">
        <f t="shared" ca="1" si="20"/>
        <v>-6.9684116981928235E-4</v>
      </c>
      <c r="K174" s="9"/>
      <c r="L174" s="9">
        <f ca="1">L173-O174*Prices!C174</f>
        <v>1.7187404096205963</v>
      </c>
      <c r="M174" s="1">
        <f t="shared" ca="1" si="21"/>
        <v>4.7716258223380915E-3</v>
      </c>
      <c r="N174" s="9">
        <f ca="1">IF(Prices!D173&gt;OFFSET(Prices!D173,-$N$3,0),1,-1)</f>
        <v>-1</v>
      </c>
      <c r="O174" s="1">
        <f ca="1">IF(N174=1,O$3*L173/Prices!C173,-O$3*M173)</f>
        <v>-5.3018064692645468E-4</v>
      </c>
      <c r="P174" s="14"/>
      <c r="Q174" s="9">
        <f ca="1">Q173-T174*Prices!C174</f>
        <v>1.2374910367631522</v>
      </c>
      <c r="R174" s="1">
        <f t="shared" ca="1" si="22"/>
        <v>8.1663656217485555E-3</v>
      </c>
      <c r="S174" s="9">
        <f ca="1">IF(Prices!C173&lt;OFFSET(Prices!C173,-S$3,0),1,-1)</f>
        <v>-1</v>
      </c>
      <c r="T174" s="1">
        <f ca="1">IF(S174=1,T$3*Q173/Prices!C173,-T$3*R173)</f>
        <v>-1.6666052289282765E-4</v>
      </c>
      <c r="V174" s="9"/>
      <c r="W174" s="1"/>
      <c r="X174" s="1"/>
      <c r="Y174" s="1"/>
      <c r="Z174" s="1"/>
      <c r="AA174" s="1"/>
      <c r="AB174" s="1"/>
      <c r="AC174" s="1"/>
      <c r="AD174" s="1"/>
      <c r="AE174" s="16"/>
    </row>
    <row r="175" spans="1:31" x14ac:dyDescent="0.2">
      <c r="A175" s="4">
        <v>33751</v>
      </c>
      <c r="B175" s="9">
        <f ca="1">Prices!C174*(1+J175/(50*(ABS(O175)+ABS(T175)+0.0001)))</f>
        <v>131.75696553358813</v>
      </c>
      <c r="C175" s="21">
        <f t="shared" ca="1" si="17"/>
        <v>1</v>
      </c>
      <c r="D175" s="9">
        <f ca="1">D174+C175*(Prices!C175-Prices!C174)/Prices!C174</f>
        <v>7.9571041598241257E-2</v>
      </c>
      <c r="E175" s="9">
        <f t="shared" ca="1" si="18"/>
        <v>1.6275487343106604E-2</v>
      </c>
      <c r="F175" s="9">
        <f t="shared" ca="1" si="19"/>
        <v>9.5846528941347861E-2</v>
      </c>
      <c r="G175" s="13">
        <f ca="1">IF((Prices!C175-Prices!C174)*C175&gt;0,1,0)</f>
        <v>1</v>
      </c>
      <c r="H175" s="9">
        <f>ABS(Prices!C175-Prices!C174)/Prices!C174</f>
        <v>4.7939379880922919E-3</v>
      </c>
      <c r="I175" s="13"/>
      <c r="J175" s="1">
        <f t="shared" ca="1" si="20"/>
        <v>1.5203267741229619E-3</v>
      </c>
      <c r="K175" s="9"/>
      <c r="L175" s="9">
        <f ca="1">L174-O175*Prices!C175</f>
        <v>1.5460424151644017</v>
      </c>
      <c r="M175" s="1">
        <f t="shared" ca="1" si="21"/>
        <v>6.100583070942898E-3</v>
      </c>
      <c r="N175" s="9">
        <f ca="1">IF(Prices!D174&gt;OFFSET(Prices!D174,-$N$3,0),1,-1)</f>
        <v>1</v>
      </c>
      <c r="O175" s="1">
        <f ca="1">IF(N175=1,O$3*L174/Prices!C174,-O$3*M174)</f>
        <v>1.3289572486048064E-3</v>
      </c>
      <c r="P175" s="14"/>
      <c r="Q175" s="9">
        <f ca="1">Q174-T175*Prices!C175</f>
        <v>1.2126225669220678</v>
      </c>
      <c r="R175" s="1">
        <f t="shared" ca="1" si="22"/>
        <v>8.3577351472667108E-3</v>
      </c>
      <c r="S175" s="9">
        <f ca="1">IF(Prices!C174&lt;OFFSET(Prices!C174,-S$3,0),1,-1)</f>
        <v>1</v>
      </c>
      <c r="T175" s="1">
        <f ca="1">IF(S175=1,T$3*Q174/Prices!C174,-T$3*R174)</f>
        <v>1.9136952551815543E-4</v>
      </c>
      <c r="V175" s="9"/>
      <c r="W175" s="1"/>
      <c r="X175" s="1"/>
      <c r="Y175" s="1"/>
      <c r="Z175" s="1"/>
      <c r="AA175" s="1"/>
      <c r="AB175" s="1"/>
      <c r="AC175" s="1"/>
      <c r="AD175" s="1"/>
      <c r="AE175" s="16"/>
    </row>
    <row r="176" spans="1:31" x14ac:dyDescent="0.2">
      <c r="A176" s="4">
        <v>33752</v>
      </c>
      <c r="B176" s="9">
        <f ca="1">Prices!C175*(1+J176/(50*(ABS(O176)+ABS(T176)+0.0001)))</f>
        <v>132.37295774310132</v>
      </c>
      <c r="C176" s="21">
        <f t="shared" ca="1" si="17"/>
        <v>1</v>
      </c>
      <c r="D176" s="9">
        <f ca="1">D175+C176*(Prices!C176-Prices!C175)/Prices!C175</f>
        <v>7.7031603352762351E-2</v>
      </c>
      <c r="E176" s="9">
        <f t="shared" ca="1" si="18"/>
        <v>1.881492558858551E-2</v>
      </c>
      <c r="F176" s="9">
        <f t="shared" ca="1" si="19"/>
        <v>9.5846528941347861E-2</v>
      </c>
      <c r="G176" s="13">
        <f ca="1">IF((Prices!C176-Prices!C175)*C176&gt;0,1,0)</f>
        <v>0</v>
      </c>
      <c r="H176" s="9">
        <f>ABS(Prices!C176-Prices!C175)/Prices!C175</f>
        <v>2.5394382454789082E-3</v>
      </c>
      <c r="I176" s="13"/>
      <c r="J176" s="1">
        <f t="shared" ca="1" si="20"/>
        <v>1.3763500796835824E-3</v>
      </c>
      <c r="K176" s="9"/>
      <c r="L176" s="9">
        <f ca="1">L175-O176*Prices!C176</f>
        <v>1.3918307815717816</v>
      </c>
      <c r="M176" s="1">
        <f t="shared" ca="1" si="21"/>
        <v>7.2903040522160041E-3</v>
      </c>
      <c r="N176" s="9">
        <f ca="1">IF(Prices!D175&gt;OFFSET(Prices!D175,-$N$3,0),1,-1)</f>
        <v>1</v>
      </c>
      <c r="O176" s="1">
        <f ca="1">IF(N176=1,O$3*L175/Prices!C175,-O$3*M175)</f>
        <v>1.1897209812731064E-3</v>
      </c>
      <c r="P176" s="14"/>
      <c r="Q176" s="9">
        <f ca="1">Q175-T176*Prices!C176</f>
        <v>1.188431703186102</v>
      </c>
      <c r="R176" s="1">
        <f t="shared" ca="1" si="22"/>
        <v>8.5443642456771874E-3</v>
      </c>
      <c r="S176" s="9">
        <f ca="1">IF(Prices!C175&lt;OFFSET(Prices!C175,-S$3,0),1,-1)</f>
        <v>1</v>
      </c>
      <c r="T176" s="1">
        <f ca="1">IF(S176=1,T$3*Q175/Prices!C175,-T$3*R175)</f>
        <v>1.8662909841047601E-4</v>
      </c>
      <c r="V176" s="9"/>
      <c r="W176" s="1"/>
      <c r="X176" s="1"/>
      <c r="Y176" s="1"/>
      <c r="Z176" s="1"/>
      <c r="AA176" s="1"/>
      <c r="AB176" s="1"/>
      <c r="AC176" s="1"/>
      <c r="AD176" s="1"/>
      <c r="AE176" s="16"/>
    </row>
    <row r="177" spans="1:31" x14ac:dyDescent="0.2">
      <c r="A177" s="4">
        <v>33753</v>
      </c>
      <c r="B177" s="9">
        <f ca="1">Prices!C176*(1+J177/(50*(ABS(O177)+ABS(T177)+0.0001)))</f>
        <v>127.28686133976585</v>
      </c>
      <c r="C177" s="21">
        <f t="shared" ca="1" si="17"/>
        <v>-1</v>
      </c>
      <c r="D177" s="9">
        <f ca="1">D176+C177*(Prices!C177-Prices!C176)/Prices!C176</f>
        <v>9.1458389342578772E-2</v>
      </c>
      <c r="E177" s="9">
        <f t="shared" ca="1" si="18"/>
        <v>4.3881395987690891E-3</v>
      </c>
      <c r="F177" s="9">
        <f t="shared" ca="1" si="19"/>
        <v>9.5846528941347861E-2</v>
      </c>
      <c r="G177" s="13">
        <f ca="1">IF((Prices!C177-Prices!C176)*C177&gt;0,1,0)</f>
        <v>1</v>
      </c>
      <c r="H177" s="9">
        <f>ABS(Prices!C177-Prices!C176)/Prices!C176</f>
        <v>1.4426785989816421E-2</v>
      </c>
      <c r="I177" s="13"/>
      <c r="J177" s="1">
        <f t="shared" ca="1" si="20"/>
        <v>-8.9991769013514421E-4</v>
      </c>
      <c r="K177" s="9"/>
      <c r="L177" s="9">
        <f ca="1">L176-O177*Prices!C177</f>
        <v>1.4849644158388411</v>
      </c>
      <c r="M177" s="1">
        <f t="shared" ca="1" si="21"/>
        <v>6.5612736469944036E-3</v>
      </c>
      <c r="N177" s="9">
        <f ca="1">IF(Prices!D176&gt;OFFSET(Prices!D176,-$N$3,0),1,-1)</f>
        <v>-1</v>
      </c>
      <c r="O177" s="1">
        <f ca="1">IF(N177=1,O$3*L176/Prices!C176,-O$3*M176)</f>
        <v>-7.290304052216005E-4</v>
      </c>
      <c r="P177" s="14"/>
      <c r="Q177" s="9">
        <f ca="1">Q176-T177*Prices!C177</f>
        <v>1.2102625538338072</v>
      </c>
      <c r="R177" s="1">
        <f t="shared" ca="1" si="22"/>
        <v>8.3734769607636435E-3</v>
      </c>
      <c r="S177" s="9">
        <f ca="1">IF(Prices!C176&lt;OFFSET(Prices!C176,-S$3,0),1,-1)</f>
        <v>-1</v>
      </c>
      <c r="T177" s="1">
        <f ca="1">IF(S177=1,T$3*Q176/Prices!C176,-T$3*R176)</f>
        <v>-1.7088728491354376E-4</v>
      </c>
      <c r="V177" s="9"/>
      <c r="W177" s="1"/>
      <c r="X177" s="1"/>
      <c r="Y177" s="1"/>
      <c r="Z177" s="1"/>
      <c r="AA177" s="1"/>
      <c r="AB177" s="1"/>
      <c r="AC177" s="1"/>
      <c r="AD177" s="1"/>
      <c r="AE177" s="16"/>
    </row>
    <row r="178" spans="1:31" x14ac:dyDescent="0.2">
      <c r="A178" s="4">
        <v>33756</v>
      </c>
      <c r="B178" s="9">
        <f ca="1">Prices!C177*(1+J178/(50*(ABS(O178)+ABS(T178)+0.0001)))</f>
        <v>126.48910829954184</v>
      </c>
      <c r="C178" s="21">
        <f t="shared" ca="1" si="17"/>
        <v>-1</v>
      </c>
      <c r="D178" s="9">
        <f ca="1">D177+C178*(Prices!C178-Prices!C177)/Prices!C177</f>
        <v>9.380672593749069E-2</v>
      </c>
      <c r="E178" s="9">
        <f t="shared" ca="1" si="18"/>
        <v>2.0398030038571713E-3</v>
      </c>
      <c r="F178" s="9">
        <f t="shared" ca="1" si="19"/>
        <v>9.5846528941347861E-2</v>
      </c>
      <c r="G178" s="13">
        <f ca="1">IF((Prices!C178-Prices!C177)*C178&gt;0,1,0)</f>
        <v>1</v>
      </c>
      <c r="H178" s="9">
        <f>ABS(Prices!C178-Prices!C177)/Prices!C177</f>
        <v>2.3483365949119152E-3</v>
      </c>
      <c r="I178" s="13"/>
      <c r="J178" s="1">
        <f t="shared" ca="1" si="20"/>
        <v>-4.6665377505813988E-4</v>
      </c>
      <c r="K178" s="9"/>
      <c r="L178" s="9">
        <f ca="1">L177-O178*Prices!C178</f>
        <v>1.5685878484697848</v>
      </c>
      <c r="M178" s="1">
        <f t="shared" ca="1" si="21"/>
        <v>5.9051462822949635E-3</v>
      </c>
      <c r="N178" s="9">
        <f ca="1">IF(Prices!D177&gt;OFFSET(Prices!D177,-$N$3,0),1,-1)</f>
        <v>-1</v>
      </c>
      <c r="O178" s="1">
        <f ca="1">IF(N178=1,O$3*L177/Prices!C177,-O$3*M177)</f>
        <v>-6.5612736469944041E-4</v>
      </c>
      <c r="P178" s="14"/>
      <c r="Q178" s="9">
        <f ca="1">Q177-T178*Prices!C178</f>
        <v>1.1861141448340236</v>
      </c>
      <c r="R178" s="1">
        <f t="shared" ca="1" si="22"/>
        <v>8.5629505504049436E-3</v>
      </c>
      <c r="S178" s="9">
        <f ca="1">IF(Prices!C177&lt;OFFSET(Prices!C177,-S$3,0),1,-1)</f>
        <v>1</v>
      </c>
      <c r="T178" s="1">
        <f ca="1">IF(S178=1,T$3*Q177/Prices!C177,-T$3*R177)</f>
        <v>1.8947358964130055E-4</v>
      </c>
      <c r="V178" s="9"/>
      <c r="W178" s="1"/>
      <c r="X178" s="1"/>
      <c r="Y178" s="1"/>
      <c r="Z178" s="1"/>
      <c r="AA178" s="1"/>
      <c r="AB178" s="1"/>
      <c r="AC178" s="1"/>
      <c r="AD178" s="1"/>
      <c r="AE178" s="16"/>
    </row>
    <row r="179" spans="1:31" x14ac:dyDescent="0.2">
      <c r="A179" s="4">
        <v>33757</v>
      </c>
      <c r="B179" s="9">
        <f ca="1">Prices!C178*(1+J179/(50*(ABS(O179)+ABS(T179)+0.0001)))</f>
        <v>129.8309574520955</v>
      </c>
      <c r="C179" s="21">
        <f t="shared" ca="1" si="17"/>
        <v>1</v>
      </c>
      <c r="D179" s="9">
        <f ca="1">D178+C179*(Prices!C179-Prices!C178)/Prices!C178</f>
        <v>9.4434423073622487E-2</v>
      </c>
      <c r="E179" s="9">
        <f t="shared" ca="1" si="18"/>
        <v>1.4121058677253745E-3</v>
      </c>
      <c r="F179" s="9">
        <f t="shared" ca="1" si="19"/>
        <v>9.5846528941347861E-2</v>
      </c>
      <c r="G179" s="13">
        <f ca="1">IF((Prices!C179-Prices!C178)*C179&gt;0,1,0)</f>
        <v>1</v>
      </c>
      <c r="H179" s="9">
        <f>ABS(Prices!C179-Prices!C178)/Prices!C178</f>
        <v>6.2769713613180296E-4</v>
      </c>
      <c r="I179" s="13"/>
      <c r="J179" s="1">
        <f t="shared" ca="1" si="20"/>
        <v>1.4168777382790032E-3</v>
      </c>
      <c r="K179" s="9"/>
      <c r="L179" s="9">
        <f ca="1">L178-O179*Prices!C179</f>
        <v>1.4116306038127808</v>
      </c>
      <c r="M179" s="1">
        <f t="shared" ca="1" si="21"/>
        <v>7.1358939076145277E-3</v>
      </c>
      <c r="N179" s="9">
        <f ca="1">IF(Prices!D178&gt;OFFSET(Prices!D178,-$N$3,0),1,-1)</f>
        <v>1</v>
      </c>
      <c r="O179" s="1">
        <f ca="1">IF(N179=1,O$3*L178/Prices!C178,-O$3*M178)</f>
        <v>1.2307476253195645E-3</v>
      </c>
      <c r="P179" s="14"/>
      <c r="Q179" s="9">
        <f ca="1">Q178-T179*Prices!C179</f>
        <v>1.1623769715283063</v>
      </c>
      <c r="R179" s="1">
        <f t="shared" ca="1" si="22"/>
        <v>8.7490806633643819E-3</v>
      </c>
      <c r="S179" s="9">
        <f ca="1">IF(Prices!C178&lt;OFFSET(Prices!C178,-S$3,0),1,-1)</f>
        <v>1</v>
      </c>
      <c r="T179" s="1">
        <f ca="1">IF(S179=1,T$3*Q178/Prices!C178,-T$3*R178)</f>
        <v>1.8613011295943877E-4</v>
      </c>
      <c r="V179" s="9"/>
      <c r="W179" s="1"/>
      <c r="X179" s="1"/>
      <c r="Y179" s="1"/>
      <c r="Z179" s="1"/>
      <c r="AA179" s="1"/>
      <c r="AB179" s="1"/>
      <c r="AC179" s="1"/>
      <c r="AD179" s="1"/>
      <c r="AE179" s="16"/>
    </row>
    <row r="180" spans="1:31" x14ac:dyDescent="0.2">
      <c r="A180" s="4">
        <v>33758</v>
      </c>
      <c r="B180" s="9">
        <f ca="1">Prices!C179*(1+J180/(50*(ABS(O180)+ABS(T180)+0.0001)))</f>
        <v>129.89699681156543</v>
      </c>
      <c r="C180" s="21">
        <f t="shared" ca="1" si="17"/>
        <v>1</v>
      </c>
      <c r="D180" s="9">
        <f ca="1">D179+C180*(Prices!C180-Prices!C179)/Prices!C179</f>
        <v>9.6551571979762191E-2</v>
      </c>
      <c r="E180" s="9">
        <f t="shared" ca="1" si="18"/>
        <v>0</v>
      </c>
      <c r="F180" s="9">
        <f t="shared" ca="1" si="19"/>
        <v>9.6551571979762191E-2</v>
      </c>
      <c r="G180" s="13">
        <f ca="1">IF((Prices!C180-Prices!C179)*C180&gt;0,1,0)</f>
        <v>1</v>
      </c>
      <c r="H180" s="9">
        <f>ABS(Prices!C180-Prices!C179)/Prices!C179</f>
        <v>2.1171489061397007E-3</v>
      </c>
      <c r="I180" s="13"/>
      <c r="J180" s="1">
        <f t="shared" ca="1" si="20"/>
        <v>1.2891915612941599E-3</v>
      </c>
      <c r="K180" s="9"/>
      <c r="L180" s="9">
        <f ca="1">L179-O180*Prices!C180</f>
        <v>1.2701686802126291</v>
      </c>
      <c r="M180" s="1">
        <f t="shared" ca="1" si="21"/>
        <v>8.242794718257342E-3</v>
      </c>
      <c r="N180" s="9">
        <f ca="1">IF(Prices!D179&gt;OFFSET(Prices!D179,-$N$3,0),1,-1)</f>
        <v>1</v>
      </c>
      <c r="O180" s="1">
        <f ca="1">IF(N180=1,O$3*L179/Prices!C179,-O$3*M179)</f>
        <v>1.1069008106428142E-3</v>
      </c>
      <c r="P180" s="14"/>
      <c r="Q180" s="9">
        <f ca="1">Q179-T180*Prices!C180</f>
        <v>1.1390802135950644</v>
      </c>
      <c r="R180" s="1">
        <f t="shared" ca="1" si="22"/>
        <v>8.9313714140157284E-3</v>
      </c>
      <c r="S180" s="9">
        <f ca="1">IF(Prices!C179&lt;OFFSET(Prices!C179,-S$3,0),1,-1)</f>
        <v>1</v>
      </c>
      <c r="T180" s="1">
        <f ca="1">IF(S180=1,T$3*Q179/Prices!C179,-T$3*R179)</f>
        <v>1.8229075065134576E-4</v>
      </c>
      <c r="V180" s="9"/>
      <c r="W180" s="1"/>
      <c r="X180" s="1"/>
      <c r="Y180" s="1"/>
      <c r="Z180" s="1"/>
      <c r="AA180" s="1"/>
      <c r="AB180" s="1"/>
      <c r="AC180" s="1"/>
      <c r="AD180" s="1"/>
      <c r="AE180" s="16"/>
    </row>
    <row r="181" spans="1:31" x14ac:dyDescent="0.2">
      <c r="A181" s="4">
        <v>33759</v>
      </c>
      <c r="B181" s="9">
        <f ca="1">Prices!C180*(1+J181/(50*(ABS(O181)+ABS(T181)+0.0001)))</f>
        <v>126.302342487677</v>
      </c>
      <c r="C181" s="21">
        <f t="shared" ca="1" si="17"/>
        <v>-1</v>
      </c>
      <c r="D181" s="9">
        <f ca="1">D180+C181*(Prices!C181-Prices!C180)/Prices!C180</f>
        <v>9.8351258990716839E-2</v>
      </c>
      <c r="E181" s="9">
        <f t="shared" ca="1" si="18"/>
        <v>0</v>
      </c>
      <c r="F181" s="9">
        <f t="shared" ca="1" si="19"/>
        <v>9.8351258990716839E-2</v>
      </c>
      <c r="G181" s="13">
        <f ca="1">IF((Prices!C181-Prices!C180)*C181&gt;0,1,0)</f>
        <v>1</v>
      </c>
      <c r="H181" s="9">
        <f>ABS(Prices!C181-Prices!C180)/Prices!C180</f>
        <v>1.7996870109546477E-3</v>
      </c>
      <c r="I181" s="13"/>
      <c r="J181" s="1">
        <f t="shared" ca="1" si="20"/>
        <v>-6.4601965749160831E-4</v>
      </c>
      <c r="K181" s="9"/>
      <c r="L181" s="9">
        <f ca="1">L180-O181*Prices!C181</f>
        <v>1.375322012433438</v>
      </c>
      <c r="M181" s="1">
        <f t="shared" ca="1" si="21"/>
        <v>7.4185152464316074E-3</v>
      </c>
      <c r="N181" s="9">
        <f ca="1">IF(Prices!D180&gt;OFFSET(Prices!D180,-$N$3,0),1,-1)</f>
        <v>-1</v>
      </c>
      <c r="O181" s="1">
        <f ca="1">IF(N181=1,O$3*L180/Prices!C180,-O$3*M180)</f>
        <v>-8.2427947182573422E-4</v>
      </c>
      <c r="P181" s="14"/>
      <c r="Q181" s="9">
        <f ca="1">Q180-T181*Prices!C181</f>
        <v>1.11633960908046</v>
      </c>
      <c r="R181" s="1">
        <f t="shared" ca="1" si="22"/>
        <v>9.1096312283498546E-3</v>
      </c>
      <c r="S181" s="9">
        <f ca="1">IF(Prices!C180&lt;OFFSET(Prices!C180,-S$3,0),1,-1)</f>
        <v>1</v>
      </c>
      <c r="T181" s="1">
        <f ca="1">IF(S181=1,T$3*Q180/Prices!C180,-T$3*R180)</f>
        <v>1.7825981433412588E-4</v>
      </c>
      <c r="V181" s="9"/>
      <c r="W181" s="1"/>
      <c r="X181" s="1"/>
      <c r="Y181" s="1"/>
      <c r="Z181" s="1"/>
      <c r="AA181" s="1"/>
      <c r="AB181" s="1"/>
      <c r="AC181" s="1"/>
      <c r="AD181" s="1"/>
      <c r="AE181" s="16"/>
    </row>
    <row r="182" spans="1:31" x14ac:dyDescent="0.2">
      <c r="A182" s="4">
        <v>33760</v>
      </c>
      <c r="B182" s="9">
        <f ca="1">Prices!C181*(1+J182/(50*(ABS(O182)+ABS(T182)+0.0001)))</f>
        <v>126.14776545178354</v>
      </c>
      <c r="C182" s="21">
        <f t="shared" ca="1" si="17"/>
        <v>-1</v>
      </c>
      <c r="D182" s="9">
        <f ca="1">D181+C182*(Prices!C182-Prices!C181)/Prices!C181</f>
        <v>0.10438716084852037</v>
      </c>
      <c r="E182" s="9">
        <f t="shared" ca="1" si="18"/>
        <v>0</v>
      </c>
      <c r="F182" s="9">
        <f t="shared" ca="1" si="19"/>
        <v>0.10438716084852037</v>
      </c>
      <c r="G182" s="13">
        <f ca="1">IF((Prices!C182-Prices!C181)*C182&gt;0,1,0)</f>
        <v>1</v>
      </c>
      <c r="H182" s="9">
        <f>ABS(Prices!C182-Prices!C181)/Prices!C181</f>
        <v>6.0359018578035276E-3</v>
      </c>
      <c r="I182" s="13"/>
      <c r="J182" s="1">
        <f t="shared" ca="1" si="20"/>
        <v>-5.6683551632138291E-4</v>
      </c>
      <c r="K182" s="9"/>
      <c r="L182" s="9">
        <f ca="1">L181-O182*Prices!C182</f>
        <v>1.4693887857581909</v>
      </c>
      <c r="M182" s="1">
        <f t="shared" ca="1" si="21"/>
        <v>6.6766637217884469E-3</v>
      </c>
      <c r="N182" s="9">
        <f ca="1">IF(Prices!D181&gt;OFFSET(Prices!D181,-$N$3,0),1,-1)</f>
        <v>-1</v>
      </c>
      <c r="O182" s="1">
        <f ca="1">IF(N182=1,O$3*L181/Prices!C181,-O$3*M181)</f>
        <v>-7.4185152464316081E-4</v>
      </c>
      <c r="P182" s="14"/>
      <c r="Q182" s="9">
        <f ca="1">Q181-T182*Prices!C182</f>
        <v>1.0941475792252586</v>
      </c>
      <c r="R182" s="1">
        <f t="shared" ca="1" si="22"/>
        <v>9.284647236671632E-3</v>
      </c>
      <c r="S182" s="9">
        <f ca="1">IF(Prices!C181&lt;OFFSET(Prices!C181,-S$3,0),1,-1)</f>
        <v>1</v>
      </c>
      <c r="T182" s="1">
        <f ca="1">IF(S182=1,T$3*Q181/Prices!C181,-T$3*R181)</f>
        <v>1.7501600832177787E-4</v>
      </c>
      <c r="V182" s="9"/>
      <c r="W182" s="1"/>
      <c r="X182" s="1"/>
      <c r="Y182" s="1"/>
      <c r="Z182" s="1"/>
      <c r="AA182" s="1"/>
      <c r="AB182" s="1"/>
      <c r="AC182" s="1"/>
      <c r="AD182" s="1"/>
      <c r="AE182" s="16"/>
    </row>
    <row r="183" spans="1:31" x14ac:dyDescent="0.2">
      <c r="A183" s="4">
        <v>33763</v>
      </c>
      <c r="B183" s="9">
        <f ca="1">Prices!C182*(1+J183/(50*(ABS(O183)+ABS(T183)+0.0001)))</f>
        <v>125.46466390975637</v>
      </c>
      <c r="C183" s="21">
        <f t="shared" ca="1" si="17"/>
        <v>-1</v>
      </c>
      <c r="D183" s="9">
        <f ca="1">D182+C183*(Prices!C183-Prices!C182)/Prices!C182</f>
        <v>0.10123258671602821</v>
      </c>
      <c r="E183" s="9">
        <f t="shared" ca="1" si="18"/>
        <v>3.1545741324921633E-3</v>
      </c>
      <c r="F183" s="9">
        <f t="shared" ca="1" si="19"/>
        <v>0.10438716084852037</v>
      </c>
      <c r="G183" s="13">
        <f ca="1">IF((Prices!C183-Prices!C182)*C183&gt;0,1,0)</f>
        <v>0</v>
      </c>
      <c r="H183" s="9">
        <f>ABS(Prices!C183-Prices!C182)/Prices!C182</f>
        <v>3.1545741324921586E-3</v>
      </c>
      <c r="I183" s="13"/>
      <c r="J183" s="1">
        <f t="shared" ca="1" si="20"/>
        <v>-4.9508788965120141E-4</v>
      </c>
      <c r="K183" s="9"/>
      <c r="L183" s="9">
        <f ca="1">L182-O183*Prices!C183</f>
        <v>1.5543159482993398</v>
      </c>
      <c r="M183" s="1">
        <f t="shared" ca="1" si="21"/>
        <v>6.008997349609602E-3</v>
      </c>
      <c r="N183" s="9">
        <f ca="1">IF(Prices!D182&gt;OFFSET(Prices!D182,-$N$3,0),1,-1)</f>
        <v>-1</v>
      </c>
      <c r="O183" s="1">
        <f ca="1">IF(N183=1,O$3*L182/Prices!C182,-O$3*M182)</f>
        <v>-6.6766637217884474E-4</v>
      </c>
      <c r="P183" s="14"/>
      <c r="Q183" s="9">
        <f ca="1">Q182-T183*Prices!C183</f>
        <v>1.0721955962477423</v>
      </c>
      <c r="R183" s="1">
        <f t="shared" ca="1" si="22"/>
        <v>9.4572257191992762E-3</v>
      </c>
      <c r="S183" s="9">
        <f ca="1">IF(Prices!C182&lt;OFFSET(Prices!C182,-S$3,0),1,-1)</f>
        <v>1</v>
      </c>
      <c r="T183" s="1">
        <f ca="1">IF(S183=1,T$3*Q182/Prices!C182,-T$3*R182)</f>
        <v>1.7257848252764333E-4</v>
      </c>
      <c r="V183" s="9"/>
      <c r="W183" s="1"/>
      <c r="X183" s="1"/>
      <c r="Y183" s="1"/>
      <c r="Z183" s="1"/>
      <c r="AA183" s="1"/>
      <c r="AB183" s="1"/>
      <c r="AC183" s="1"/>
      <c r="AD183" s="1"/>
      <c r="AE183" s="16"/>
    </row>
    <row r="184" spans="1:31" x14ac:dyDescent="0.2">
      <c r="A184" s="4">
        <v>33764</v>
      </c>
      <c r="B184" s="9">
        <f ca="1">Prices!C183*(1+J184/(50*(ABS(O184)+ABS(T184)+0.0001)))</f>
        <v>125.93509949262553</v>
      </c>
      <c r="C184" s="21">
        <f t="shared" ca="1" si="17"/>
        <v>-1</v>
      </c>
      <c r="D184" s="9">
        <f ca="1">D183+C184*(Prices!C184-Prices!C183)/Prices!C183</f>
        <v>9.8481014388984225E-2</v>
      </c>
      <c r="E184" s="9">
        <f t="shared" ca="1" si="18"/>
        <v>5.9061464595361463E-3</v>
      </c>
      <c r="F184" s="9">
        <f t="shared" ca="1" si="19"/>
        <v>0.10438716084852037</v>
      </c>
      <c r="G184" s="13">
        <f ca="1">IF((Prices!C184-Prices!C183)*C184&gt;0,1,0)</f>
        <v>0</v>
      </c>
      <c r="H184" s="9">
        <f>ABS(Prices!C184-Prices!C183)/Prices!C183</f>
        <v>2.7515723270439803E-3</v>
      </c>
      <c r="I184" s="13"/>
      <c r="J184" s="1">
        <f t="shared" ca="1" si="20"/>
        <v>-4.3231552171445989E-4</v>
      </c>
      <c r="K184" s="9"/>
      <c r="L184" s="9">
        <f ca="1">L183-O184*Prices!C184</f>
        <v>1.6309607094936103</v>
      </c>
      <c r="M184" s="1">
        <f t="shared" ca="1" si="21"/>
        <v>5.4080976146486416E-3</v>
      </c>
      <c r="N184" s="9">
        <f ca="1">IF(Prices!D183&gt;OFFSET(Prices!D183,-$N$3,0),1,-1)</f>
        <v>-1</v>
      </c>
      <c r="O184" s="1">
        <f ca="1">IF(N184=1,O$3*L183/Prices!C183,-O$3*M183)</f>
        <v>-6.0089973496096026E-4</v>
      </c>
      <c r="P184" s="14"/>
      <c r="Q184" s="9">
        <f ca="1">Q183-T184*Prices!C184</f>
        <v>1.0506926798481513</v>
      </c>
      <c r="R184" s="1">
        <f t="shared" ca="1" si="22"/>
        <v>9.6258099324457759E-3</v>
      </c>
      <c r="S184" s="9">
        <f ca="1">IF(Prices!C183&lt;OFFSET(Prices!C183,-S$3,0),1,-1)</f>
        <v>1</v>
      </c>
      <c r="T184" s="1">
        <f ca="1">IF(S184=1,T$3*Q183/Prices!C183,-T$3*R183)</f>
        <v>1.6858421324650034E-4</v>
      </c>
      <c r="V184" s="9"/>
      <c r="W184" s="1"/>
      <c r="X184" s="1"/>
      <c r="Y184" s="1"/>
      <c r="Z184" s="1"/>
      <c r="AA184" s="1"/>
      <c r="AB184" s="1"/>
      <c r="AC184" s="1"/>
      <c r="AD184" s="1"/>
      <c r="AE184" s="16"/>
    </row>
    <row r="185" spans="1:31" x14ac:dyDescent="0.2">
      <c r="A185" s="4">
        <v>33765</v>
      </c>
      <c r="B185" s="9">
        <f ca="1">Prices!C184*(1+J185/(50*(ABS(O185)+ABS(T185)+0.0001)))</f>
        <v>129.93571913508725</v>
      </c>
      <c r="C185" s="21">
        <f t="shared" ca="1" si="17"/>
        <v>1</v>
      </c>
      <c r="D185" s="9">
        <f ca="1">D184+C185*(Prices!C185-Prices!C184)/Prices!C184</f>
        <v>9.9265020661034473E-2</v>
      </c>
      <c r="E185" s="9">
        <f t="shared" ca="1" si="18"/>
        <v>5.1221401874858991E-3</v>
      </c>
      <c r="F185" s="9">
        <f t="shared" ca="1" si="19"/>
        <v>0.10438716084852037</v>
      </c>
      <c r="G185" s="13">
        <f ca="1">IF((Prices!C185-Prices!C184)*C185&gt;0,1,0)</f>
        <v>1</v>
      </c>
      <c r="H185" s="9">
        <f>ABS(Prices!C185-Prices!C184)/Prices!C184</f>
        <v>7.840062720502433E-4</v>
      </c>
      <c r="I185" s="13"/>
      <c r="J185" s="1">
        <f t="shared" ca="1" si="20"/>
        <v>1.4434333559100281E-3</v>
      </c>
      <c r="K185" s="9"/>
      <c r="L185" s="9">
        <f ca="1">L184-O185*Prices!C185</f>
        <v>1.4677367702016781</v>
      </c>
      <c r="M185" s="1">
        <f t="shared" ca="1" si="21"/>
        <v>6.6867810403590383E-3</v>
      </c>
      <c r="N185" s="9">
        <f ca="1">IF(Prices!D184&gt;OFFSET(Prices!D184,-$N$3,0),1,-1)</f>
        <v>1</v>
      </c>
      <c r="O185" s="1">
        <f ca="1">IF(N185=1,O$3*L184/Prices!C184,-O$3*M184)</f>
        <v>1.2786834257103963E-3</v>
      </c>
      <c r="P185" s="14"/>
      <c r="Q185" s="9">
        <f ca="1">Q184-T185*Prices!C185</f>
        <v>1.0296623512581684</v>
      </c>
      <c r="R185" s="1">
        <f t="shared" ca="1" si="22"/>
        <v>9.7905598626454073E-3</v>
      </c>
      <c r="S185" s="9">
        <f ca="1">IF(Prices!C184&lt;OFFSET(Prices!C184,-S$3,0),1,-1)</f>
        <v>1</v>
      </c>
      <c r="T185" s="1">
        <f ca="1">IF(S185=1,T$3*Q184/Prices!C184,-T$3*R184)</f>
        <v>1.6474993019963174E-4</v>
      </c>
      <c r="V185" s="9"/>
      <c r="W185" s="1"/>
      <c r="X185" s="1"/>
      <c r="Y185" s="1"/>
      <c r="Z185" s="1"/>
      <c r="AA185" s="1"/>
      <c r="AB185" s="1"/>
      <c r="AC185" s="1"/>
      <c r="AD185" s="1"/>
      <c r="AE185" s="16"/>
    </row>
    <row r="186" spans="1:31" x14ac:dyDescent="0.2">
      <c r="A186" s="4">
        <v>33766</v>
      </c>
      <c r="B186" s="9">
        <f ca="1">Prices!C185*(1+J186/(50*(ABS(O186)+ABS(T186)+0.0001)))</f>
        <v>129.33478566600584</v>
      </c>
      <c r="C186" s="21">
        <f t="shared" ca="1" si="17"/>
        <v>1</v>
      </c>
      <c r="D186" s="9">
        <f ca="1">D185+C186*(Prices!C186-Prices!C185)/Prices!C185</f>
        <v>9.2214491871375204E-2</v>
      </c>
      <c r="E186" s="9">
        <f t="shared" ca="1" si="18"/>
        <v>1.2172668977145168E-2</v>
      </c>
      <c r="F186" s="9">
        <f t="shared" ca="1" si="19"/>
        <v>0.10438716084852037</v>
      </c>
      <c r="G186" s="13">
        <f ca="1">IF((Prices!C186-Prices!C185)*C186&gt;0,1,0)</f>
        <v>0</v>
      </c>
      <c r="H186" s="9">
        <f>ABS(Prices!C186-Prices!C185)/Prices!C185</f>
        <v>7.0505287896592689E-3</v>
      </c>
      <c r="I186" s="13"/>
      <c r="J186" s="1">
        <f t="shared" ca="1" si="20"/>
        <v>9.5400217540802276E-4</v>
      </c>
      <c r="K186" s="9"/>
      <c r="L186" s="9">
        <f ca="1">L185-O186*Prices!C186</f>
        <v>1.3219979252169052</v>
      </c>
      <c r="M186" s="1">
        <f t="shared" ca="1" si="21"/>
        <v>7.8365944130199695E-3</v>
      </c>
      <c r="N186" s="9">
        <f ca="1">IF(Prices!D185&gt;OFFSET(Prices!D185,-$N$3,0),1,-1)</f>
        <v>1</v>
      </c>
      <c r="O186" s="1">
        <f ca="1">IF(N186=1,O$3*L185/Prices!C185,-O$3*M185)</f>
        <v>1.1498133726609309E-3</v>
      </c>
      <c r="P186" s="14"/>
      <c r="Q186" s="9">
        <f ca="1">Q185-T186*Prices!C186</f>
        <v>1.0544814205099746</v>
      </c>
      <c r="R186" s="1">
        <f t="shared" ca="1" si="22"/>
        <v>9.5947486653924999E-3</v>
      </c>
      <c r="S186" s="9">
        <f ca="1">IF(Prices!C185&lt;OFFSET(Prices!C185,-S$3,0),1,-1)</f>
        <v>-1</v>
      </c>
      <c r="T186" s="1">
        <f ca="1">IF(S186=1,T$3*Q185/Prices!C185,-T$3*R185)</f>
        <v>-1.9581119725290815E-4</v>
      </c>
      <c r="V186" s="9"/>
      <c r="W186" s="1"/>
      <c r="X186" s="1"/>
      <c r="Y186" s="1"/>
      <c r="Z186" s="1"/>
      <c r="AA186" s="1"/>
      <c r="AB186" s="1"/>
      <c r="AC186" s="1"/>
      <c r="AD186" s="1"/>
      <c r="AE186" s="16"/>
    </row>
    <row r="187" spans="1:31" x14ac:dyDescent="0.2">
      <c r="A187" s="4">
        <v>33767</v>
      </c>
      <c r="B187" s="9">
        <f ca="1">Prices!C186*(1+J187/(50*(ABS(O187)+ABS(T187)+0.0001)))</f>
        <v>125.25979617802578</v>
      </c>
      <c r="C187" s="21">
        <f t="shared" ca="1" si="17"/>
        <v>-1</v>
      </c>
      <c r="D187" s="9">
        <f ca="1">D186+C187*(Prices!C187-Prices!C186)/Prices!C186</f>
        <v>9.3003446506483636E-2</v>
      </c>
      <c r="E187" s="9">
        <f t="shared" ca="1" si="18"/>
        <v>1.1383714342036735E-2</v>
      </c>
      <c r="F187" s="9">
        <f t="shared" ca="1" si="19"/>
        <v>0.10438716084852037</v>
      </c>
      <c r="G187" s="13">
        <f ca="1">IF((Prices!C187-Prices!C186)*C187&gt;0,1,0)</f>
        <v>1</v>
      </c>
      <c r="H187" s="9">
        <f>ABS(Prices!C187-Prices!C186)/Prices!C186</f>
        <v>7.8895463510843646E-4</v>
      </c>
      <c r="I187" s="13"/>
      <c r="J187" s="1">
        <f t="shared" ca="1" si="20"/>
        <v>-6.17271840432573E-4</v>
      </c>
      <c r="K187" s="9"/>
      <c r="L187" s="9">
        <f ca="1">L186-O187*Prices!C187</f>
        <v>1.4212483934578031</v>
      </c>
      <c r="M187" s="1">
        <f t="shared" ca="1" si="21"/>
        <v>7.052934971717972E-3</v>
      </c>
      <c r="N187" s="9">
        <f ca="1">IF(Prices!D186&gt;OFFSET(Prices!D186,-$N$3,0),1,-1)</f>
        <v>-1</v>
      </c>
      <c r="O187" s="1">
        <f ca="1">IF(N187=1,O$3*L186/Prices!C186,-O$3*M186)</f>
        <v>-7.8365944130199703E-4</v>
      </c>
      <c r="P187" s="14"/>
      <c r="Q187" s="9">
        <f ca="1">Q186-T187*Prices!C187</f>
        <v>1.0334084308598621</v>
      </c>
      <c r="R187" s="1">
        <f t="shared" ca="1" si="22"/>
        <v>9.7611362662619241E-3</v>
      </c>
      <c r="S187" s="9">
        <f ca="1">IF(Prices!C186&lt;OFFSET(Prices!C186,-S$3,0),1,-1)</f>
        <v>1</v>
      </c>
      <c r="T187" s="1">
        <f ca="1">IF(S187=1,T$3*Q186/Prices!C186,-T$3*R186)</f>
        <v>1.66387600869424E-4</v>
      </c>
      <c r="V187" s="9"/>
      <c r="W187" s="1"/>
      <c r="X187" s="1"/>
      <c r="Y187" s="1"/>
      <c r="Z187" s="1"/>
      <c r="AA187" s="1"/>
      <c r="AB187" s="1"/>
      <c r="AC187" s="1"/>
      <c r="AD187" s="1"/>
      <c r="AE187" s="16"/>
    </row>
    <row r="188" spans="1:31" x14ac:dyDescent="0.2">
      <c r="A188" s="4">
        <v>33770</v>
      </c>
      <c r="B188" s="9">
        <f ca="1">Prices!C187*(1+J188/(50*(ABS(O188)+ABS(T188)+0.0001)))</f>
        <v>125.23217169059907</v>
      </c>
      <c r="C188" s="21">
        <f t="shared" ca="1" si="17"/>
        <v>-1</v>
      </c>
      <c r="D188" s="9">
        <f ca="1">D187+C188*(Prices!C188-Prices!C187)/Prices!C187</f>
        <v>9.1819080142488435E-2</v>
      </c>
      <c r="E188" s="9">
        <f t="shared" ca="1" si="18"/>
        <v>1.2568080706031937E-2</v>
      </c>
      <c r="F188" s="9">
        <f t="shared" ca="1" si="19"/>
        <v>0.10438716084852037</v>
      </c>
      <c r="G188" s="13">
        <f ca="1">IF((Prices!C188-Prices!C187)*C188&gt;0,1,0)</f>
        <v>0</v>
      </c>
      <c r="H188" s="9">
        <f>ABS(Prices!C188-Prices!C187)/Prices!C187</f>
        <v>1.1843663639951952E-3</v>
      </c>
      <c r="I188" s="13"/>
      <c r="J188" s="1">
        <f t="shared" ca="1" si="20"/>
        <v>-5.4210227240119137E-4</v>
      </c>
      <c r="K188" s="9"/>
      <c r="L188" s="9">
        <f ca="1">L187-O188*Prices!C188</f>
        <v>1.510679608899187</v>
      </c>
      <c r="M188" s="1">
        <f t="shared" ca="1" si="21"/>
        <v>6.3476414745461743E-3</v>
      </c>
      <c r="N188" s="9">
        <f ca="1">IF(Prices!D187&gt;OFFSET(Prices!D187,-$N$3,0),1,-1)</f>
        <v>-1</v>
      </c>
      <c r="O188" s="1">
        <f ca="1">IF(N188=1,O$3*L187/Prices!C187,-O$3*M187)</f>
        <v>-7.0529349717179729E-4</v>
      </c>
      <c r="P188" s="14"/>
      <c r="Q188" s="9">
        <f ca="1">Q187-T188*Prices!C188</f>
        <v>1.0127157835589493</v>
      </c>
      <c r="R188" s="1">
        <f t="shared" ca="1" si="22"/>
        <v>9.9243274910325308E-3</v>
      </c>
      <c r="S188" s="9">
        <f ca="1">IF(Prices!C187&lt;OFFSET(Prices!C187,-S$3,0),1,-1)</f>
        <v>1</v>
      </c>
      <c r="T188" s="1">
        <f ca="1">IF(S188=1,T$3*Q187/Prices!C187,-T$3*R187)</f>
        <v>1.6319122477060594E-4</v>
      </c>
      <c r="V188" s="9"/>
      <c r="W188" s="1"/>
      <c r="X188" s="1"/>
      <c r="Y188" s="1"/>
      <c r="Z188" s="1"/>
      <c r="AA188" s="1"/>
      <c r="AB188" s="1"/>
      <c r="AC188" s="1"/>
      <c r="AD188" s="1"/>
      <c r="AE188" s="16"/>
    </row>
    <row r="189" spans="1:31" x14ac:dyDescent="0.2">
      <c r="A189" s="4">
        <v>33771</v>
      </c>
      <c r="B189" s="9">
        <f ca="1">Prices!C188*(1+J189/(50*(ABS(O189)+ABS(T189)+0.0001)))</f>
        <v>125.4532391424011</v>
      </c>
      <c r="C189" s="21">
        <f t="shared" ca="1" si="17"/>
        <v>-1</v>
      </c>
      <c r="D189" s="9">
        <f ca="1">D188+C189*(Prices!C189-Prices!C188)/Prices!C188</f>
        <v>9.2607723675611417E-2</v>
      </c>
      <c r="E189" s="9">
        <f t="shared" ca="1" si="18"/>
        <v>1.1779437172908955E-2</v>
      </c>
      <c r="F189" s="9">
        <f t="shared" ca="1" si="19"/>
        <v>0.10438716084852037</v>
      </c>
      <c r="G189" s="13">
        <f ca="1">IF((Prices!C189-Prices!C188)*C189&gt;0,1,0)</f>
        <v>1</v>
      </c>
      <c r="H189" s="9">
        <f>ABS(Prices!C189-Prices!C188)/Prices!C188</f>
        <v>7.8864353312298359E-4</v>
      </c>
      <c r="I189" s="13"/>
      <c r="J189" s="1">
        <f t="shared" ca="1" si="20"/>
        <v>-4.7502979673554025E-4</v>
      </c>
      <c r="K189" s="9"/>
      <c r="L189" s="9">
        <f ca="1">L188-O189*Prices!C189</f>
        <v>1.591104226381687</v>
      </c>
      <c r="M189" s="1">
        <f t="shared" ca="1" si="21"/>
        <v>5.7128773270915569E-3</v>
      </c>
      <c r="N189" s="9">
        <f ca="1">IF(Prices!D188&gt;OFFSET(Prices!D188,-$N$3,0),1,-1)</f>
        <v>-1</v>
      </c>
      <c r="O189" s="1">
        <f ca="1">IF(N189=1,O$3*L188/Prices!C188,-O$3*M188)</f>
        <v>-6.3476414745461743E-4</v>
      </c>
      <c r="P189" s="14"/>
      <c r="Q189" s="9">
        <f ca="1">Q188-T189*Prices!C189</f>
        <v>0.99247744132284221</v>
      </c>
      <c r="R189" s="1">
        <f t="shared" ca="1" si="22"/>
        <v>1.0084061841751608E-2</v>
      </c>
      <c r="S189" s="9">
        <f ca="1">IF(Prices!C188&lt;OFFSET(Prices!C188,-S$3,0),1,-1)</f>
        <v>1</v>
      </c>
      <c r="T189" s="1">
        <f ca="1">IF(S189=1,T$3*Q188/Prices!C188,-T$3*R188)</f>
        <v>1.5973435071907718E-4</v>
      </c>
      <c r="V189" s="9"/>
      <c r="W189" s="1"/>
      <c r="X189" s="1"/>
      <c r="Y189" s="1"/>
      <c r="Z189" s="1"/>
      <c r="AA189" s="1"/>
      <c r="AB189" s="1"/>
      <c r="AC189" s="1"/>
      <c r="AD189" s="1"/>
      <c r="AE189" s="16"/>
    </row>
    <row r="190" spans="1:31" x14ac:dyDescent="0.2">
      <c r="A190" s="4">
        <v>33772</v>
      </c>
      <c r="B190" s="9">
        <f ca="1">Prices!C189*(1+J190/(50*(ABS(O190)+ABS(T190)+0.0001)))</f>
        <v>125.43102513956471</v>
      </c>
      <c r="C190" s="21">
        <f t="shared" ca="1" si="17"/>
        <v>-1</v>
      </c>
      <c r="D190" s="9">
        <f ca="1">D189+C190*(Prices!C190-Prices!C189)/Prices!C189</f>
        <v>8.9845292736384946E-2</v>
      </c>
      <c r="E190" s="9">
        <f t="shared" ca="1" si="18"/>
        <v>1.4541868112135425E-2</v>
      </c>
      <c r="F190" s="9">
        <f t="shared" ca="1" si="19"/>
        <v>0.10438716084852037</v>
      </c>
      <c r="G190" s="13">
        <f ca="1">IF((Prices!C190-Prices!C189)*C190&gt;0,1,0)</f>
        <v>0</v>
      </c>
      <c r="H190" s="9">
        <f>ABS(Prices!C190-Prices!C189)/Prices!C189</f>
        <v>2.7624309392264746E-3</v>
      </c>
      <c r="I190" s="13"/>
      <c r="J190" s="1">
        <f t="shared" ca="1" si="20"/>
        <v>-4.14621996115179E-4</v>
      </c>
      <c r="K190" s="9"/>
      <c r="L190" s="9">
        <f ca="1">L189-O190*Prices!C190</f>
        <v>1.6636863328223852</v>
      </c>
      <c r="M190" s="1">
        <f t="shared" ca="1" si="21"/>
        <v>5.1415895943824012E-3</v>
      </c>
      <c r="N190" s="9">
        <f ca="1">IF(Prices!D189&gt;OFFSET(Prices!D189,-$N$3,0),1,-1)</f>
        <v>-1</v>
      </c>
      <c r="O190" s="1">
        <f ca="1">IF(N190=1,O$3*L189/Prices!C189,-O$3*M189)</f>
        <v>-5.7128773270915569E-4</v>
      </c>
      <c r="P190" s="14"/>
      <c r="Q190" s="9">
        <f ca="1">Q189-T190*Prices!C190</f>
        <v>0.97257305948857753</v>
      </c>
      <c r="R190" s="1">
        <f t="shared" ca="1" si="22"/>
        <v>1.0240727578345585E-2</v>
      </c>
      <c r="S190" s="9">
        <f ca="1">IF(Prices!C189&lt;OFFSET(Prices!C189,-S$3,0),1,-1)</f>
        <v>1</v>
      </c>
      <c r="T190" s="1">
        <f ca="1">IF(S190=1,T$3*Q189/Prices!C189,-T$3*R189)</f>
        <v>1.5666573659397668E-4</v>
      </c>
      <c r="V190" s="9"/>
      <c r="W190" s="1"/>
      <c r="X190" s="1"/>
      <c r="Y190" s="1"/>
      <c r="Z190" s="1"/>
      <c r="AA190" s="1"/>
      <c r="AB190" s="1"/>
      <c r="AC190" s="1"/>
      <c r="AD190" s="1"/>
      <c r="AE190" s="16"/>
    </row>
    <row r="191" spans="1:31" x14ac:dyDescent="0.2">
      <c r="A191" s="4">
        <v>33773</v>
      </c>
      <c r="B191" s="9">
        <f ca="1">Prices!C190*(1+J191/(50*(ABS(O191)+ABS(T191)+0.0001)))</f>
        <v>124.81926644523354</v>
      </c>
      <c r="C191" s="21">
        <f t="shared" ca="1" si="17"/>
        <v>-1</v>
      </c>
      <c r="D191" s="9">
        <f ca="1">D190+C191*(Prices!C191-Prices!C190)/Prices!C190</f>
        <v>9.2993659521115296E-2</v>
      </c>
      <c r="E191" s="9">
        <f t="shared" ca="1" si="18"/>
        <v>1.1393501327405076E-2</v>
      </c>
      <c r="F191" s="9">
        <f t="shared" ca="1" si="19"/>
        <v>0.10438716084852037</v>
      </c>
      <c r="G191" s="13">
        <f ca="1">IF((Prices!C191-Prices!C190)*C191&gt;0,1,0)</f>
        <v>1</v>
      </c>
      <c r="H191" s="9">
        <f>ABS(Prices!C191-Prices!C190)/Prices!C190</f>
        <v>3.1483667847303541E-3</v>
      </c>
      <c r="I191" s="13"/>
      <c r="J191" s="1">
        <f t="shared" ca="1" si="20"/>
        <v>-7.1897351100515185E-4</v>
      </c>
      <c r="K191" s="9"/>
      <c r="L191" s="9">
        <f ca="1">L190-O191*Prices!C191</f>
        <v>1.7288045650352384</v>
      </c>
      <c r="M191" s="1">
        <f t="shared" ca="1" si="21"/>
        <v>4.6274306349441607E-3</v>
      </c>
      <c r="N191" s="9">
        <f ca="1">IF(Prices!D190&gt;OFFSET(Prices!D190,-$N$3,0),1,-1)</f>
        <v>-1</v>
      </c>
      <c r="O191" s="1">
        <f ca="1">IF(N191=1,O$3*L190/Prices!C190,-O$3*M190)</f>
        <v>-5.1415895943824014E-4</v>
      </c>
      <c r="P191" s="14"/>
      <c r="Q191" s="9">
        <f ca="1">Q190-T191*Prices!C191</f>
        <v>0.99851282244452688</v>
      </c>
      <c r="R191" s="1">
        <f t="shared" ca="1" si="22"/>
        <v>1.0035913026778674E-2</v>
      </c>
      <c r="S191" s="9">
        <f ca="1">IF(Prices!C190&lt;OFFSET(Prices!C190,-S$3,0),1,-1)</f>
        <v>-1</v>
      </c>
      <c r="T191" s="1">
        <f ca="1">IF(S191=1,T$3*Q190/Prices!C190,-T$3*R190)</f>
        <v>-2.0481455156691171E-4</v>
      </c>
      <c r="V191" s="9"/>
      <c r="W191" s="1"/>
      <c r="X191" s="1"/>
      <c r="Y191" s="1"/>
      <c r="Z191" s="1"/>
      <c r="AA191" s="1"/>
      <c r="AB191" s="1"/>
      <c r="AC191" s="1"/>
      <c r="AD191" s="1"/>
      <c r="AE191" s="16"/>
    </row>
    <row r="192" spans="1:31" x14ac:dyDescent="0.2">
      <c r="A192" s="4">
        <v>33774</v>
      </c>
      <c r="B192" s="9">
        <f ca="1">Prices!C191*(1+J192/(50*(ABS(O192)+ABS(T192)+0.0001)))</f>
        <v>124.44877843071728</v>
      </c>
      <c r="C192" s="21">
        <f t="shared" ca="1" si="17"/>
        <v>-1</v>
      </c>
      <c r="D192" s="9">
        <f ca="1">D191+C192*(Prices!C192-Prices!C191)/Prices!C191</f>
        <v>9.0782842308324133E-2</v>
      </c>
      <c r="E192" s="9">
        <f t="shared" ca="1" si="18"/>
        <v>1.3604318540196239E-2</v>
      </c>
      <c r="F192" s="9">
        <f t="shared" ca="1" si="19"/>
        <v>0.10438716084852037</v>
      </c>
      <c r="G192" s="13">
        <f ca="1">IF((Prices!C192-Prices!C191)*C192&gt;0,1,0)</f>
        <v>0</v>
      </c>
      <c r="H192" s="9">
        <f>ABS(Prices!C192-Prices!C191)/Prices!C191</f>
        <v>2.2108172127911657E-3</v>
      </c>
      <c r="I192" s="13"/>
      <c r="J192" s="1">
        <f t="shared" ca="1" si="20"/>
        <v>-6.6346132402998964E-4</v>
      </c>
      <c r="K192" s="9"/>
      <c r="L192" s="9">
        <f ca="1">L191-O192*Prices!C192</f>
        <v>1.7875405420845847</v>
      </c>
      <c r="M192" s="1">
        <f t="shared" ca="1" si="21"/>
        <v>4.1646875714497445E-3</v>
      </c>
      <c r="N192" s="9">
        <f ca="1">IF(Prices!D191&gt;OFFSET(Prices!D191,-$N$3,0),1,-1)</f>
        <v>-1</v>
      </c>
      <c r="O192" s="1">
        <f ca="1">IF(N192=1,O$3*L191/Prices!C191,-O$3*M191)</f>
        <v>-4.627430634944161E-4</v>
      </c>
      <c r="P192" s="14"/>
      <c r="Q192" s="9">
        <f ca="1">Q191-T192*Prices!C192</f>
        <v>1.0239899912543071</v>
      </c>
      <c r="R192" s="1">
        <f t="shared" ca="1" si="22"/>
        <v>9.8351947662431004E-3</v>
      </c>
      <c r="S192" s="9">
        <f ca="1">IF(Prices!C191&lt;OFFSET(Prices!C191,-S$3,0),1,-1)</f>
        <v>-1</v>
      </c>
      <c r="T192" s="1">
        <f ca="1">IF(S192=1,T$3*Q191/Prices!C191,-T$3*R191)</f>
        <v>-2.0071826053557349E-4</v>
      </c>
      <c r="V192" s="9"/>
      <c r="W192" s="1"/>
      <c r="X192" s="1"/>
      <c r="Y192" s="1"/>
      <c r="Z192" s="1"/>
      <c r="AA192" s="1"/>
      <c r="AB192" s="1"/>
      <c r="AC192" s="1"/>
      <c r="AD192" s="1"/>
      <c r="AE192" s="16"/>
    </row>
    <row r="193" spans="1:31" x14ac:dyDescent="0.2">
      <c r="A193" s="4">
        <v>33777</v>
      </c>
      <c r="B193" s="9">
        <f ca="1">Prices!C192*(1+J193/(50*(ABS(O193)+ABS(T193)+0.0001)))</f>
        <v>128.73395446710745</v>
      </c>
      <c r="C193" s="21">
        <f t="shared" ca="1" si="17"/>
        <v>1</v>
      </c>
      <c r="D193" s="9">
        <f ca="1">D192+C193*(Prices!C193-Prices!C192)/Prices!C192</f>
        <v>9.2122163193851483E-2</v>
      </c>
      <c r="E193" s="9">
        <f t="shared" ca="1" si="18"/>
        <v>1.2264997654668888E-2</v>
      </c>
      <c r="F193" s="9">
        <f t="shared" ca="1" si="19"/>
        <v>0.10438716084852037</v>
      </c>
      <c r="G193" s="13">
        <f ca="1">IF((Prices!C193-Prices!C192)*C193&gt;0,1,0)</f>
        <v>1</v>
      </c>
      <c r="H193" s="9">
        <f>ABS(Prices!C193-Prices!C192)/Prices!C192</f>
        <v>1.3393208855273576E-3</v>
      </c>
      <c r="I193" s="13"/>
      <c r="J193" s="1">
        <f t="shared" ca="1" si="20"/>
        <v>1.2115845645227583E-3</v>
      </c>
      <c r="K193" s="9"/>
      <c r="L193" s="9">
        <f ca="1">L192-O193*Prices!C193</f>
        <v>1.6085470788379521</v>
      </c>
      <c r="M193" s="1">
        <f t="shared" ca="1" si="21"/>
        <v>5.5729760312973652E-3</v>
      </c>
      <c r="N193" s="9">
        <f ca="1">IF(Prices!D192&gt;OFFSET(Prices!D192,-$N$3,0),1,-1)</f>
        <v>1</v>
      </c>
      <c r="O193" s="1">
        <f ca="1">IF(N193=1,O$3*L192/Prices!C192,-O$3*M192)</f>
        <v>1.4082884598476204E-3</v>
      </c>
      <c r="P193" s="14"/>
      <c r="Q193" s="9">
        <f ca="1">Q192-T193*Prices!C193</f>
        <v>1.048991056350097</v>
      </c>
      <c r="R193" s="1">
        <f t="shared" ca="1" si="22"/>
        <v>9.6384908709182381E-3</v>
      </c>
      <c r="S193" s="9">
        <f ca="1">IF(Prices!C192&lt;OFFSET(Prices!C192,-S$3,0),1,-1)</f>
        <v>-1</v>
      </c>
      <c r="T193" s="1">
        <f ca="1">IF(S193=1,T$3*Q192/Prices!C192,-T$3*R192)</f>
        <v>-1.9670389532486202E-4</v>
      </c>
      <c r="V193" s="9"/>
      <c r="W193" s="1"/>
      <c r="X193" s="1"/>
      <c r="Y193" s="1"/>
      <c r="Z193" s="1"/>
      <c r="AA193" s="1"/>
      <c r="AB193" s="1"/>
      <c r="AC193" s="1"/>
      <c r="AD193" s="1"/>
      <c r="AE193" s="16"/>
    </row>
    <row r="194" spans="1:31" x14ac:dyDescent="0.2">
      <c r="A194" s="4">
        <v>33778</v>
      </c>
      <c r="B194" s="9">
        <f ca="1">Prices!C193*(1+J194/(50*(ABS(O194)+ABS(T194)+0.0001)))</f>
        <v>128.84997954558369</v>
      </c>
      <c r="C194" s="21">
        <f t="shared" ca="1" si="17"/>
        <v>1</v>
      </c>
      <c r="D194" s="9">
        <f ca="1">D193+C194*(Prices!C194-Prices!C193)/Prices!C193</f>
        <v>9.3144979873631267E-2</v>
      </c>
      <c r="E194" s="9">
        <f t="shared" ca="1" si="18"/>
        <v>1.1242180974889104E-2</v>
      </c>
      <c r="F194" s="9">
        <f t="shared" ca="1" si="19"/>
        <v>0.10438716084852037</v>
      </c>
      <c r="G194" s="13">
        <f ca="1">IF((Prices!C194-Prices!C193)*C194&gt;0,1,0)</f>
        <v>1</v>
      </c>
      <c r="H194" s="9">
        <f>ABS(Prices!C194-Prices!C193)/Prices!C193</f>
        <v>1.0228166797797771E-3</v>
      </c>
      <c r="I194" s="13"/>
      <c r="J194" s="1">
        <f t="shared" ca="1" si="20"/>
        <v>1.072806169078844E-3</v>
      </c>
      <c r="K194" s="9"/>
      <c r="L194" s="9">
        <f ca="1">L193-O194*Prices!C194</f>
        <v>1.4475278460759122</v>
      </c>
      <c r="M194" s="1">
        <f t="shared" ca="1" si="21"/>
        <v>6.8385520177945743E-3</v>
      </c>
      <c r="N194" s="9">
        <f ca="1">IF(Prices!D193&gt;OFFSET(Prices!D193,-$N$3,0),1,-1)</f>
        <v>1</v>
      </c>
      <c r="O194" s="1">
        <f ca="1">IF(N194=1,O$3*L193/Prices!C193,-O$3*M193)</f>
        <v>1.2655759864972087E-3</v>
      </c>
      <c r="P194" s="14"/>
      <c r="Q194" s="9">
        <f ca="1">Q193-T194*Prices!C194</f>
        <v>1.0735171602202356</v>
      </c>
      <c r="R194" s="1">
        <f t="shared" ca="1" si="22"/>
        <v>9.4457210534998736E-3</v>
      </c>
      <c r="S194" s="9">
        <f ca="1">IF(Prices!C193&lt;OFFSET(Prices!C193,-S$3,0),1,-1)</f>
        <v>-1</v>
      </c>
      <c r="T194" s="1">
        <f ca="1">IF(S194=1,T$3*Q193/Prices!C193,-T$3*R193)</f>
        <v>-1.9276981741836476E-4</v>
      </c>
      <c r="V194" s="9"/>
      <c r="W194" s="1"/>
      <c r="X194" s="1"/>
      <c r="Y194" s="1"/>
      <c r="Z194" s="1"/>
      <c r="AA194" s="1"/>
      <c r="AB194" s="1"/>
      <c r="AC194" s="1"/>
      <c r="AD194" s="1"/>
      <c r="AE194" s="16"/>
    </row>
    <row r="195" spans="1:31" x14ac:dyDescent="0.2">
      <c r="A195" s="4">
        <v>33779</v>
      </c>
      <c r="B195" s="9">
        <f ca="1">Prices!C194*(1+J195/(50*(ABS(O195)+ABS(T195)+0.0001)))</f>
        <v>128.92232924843503</v>
      </c>
      <c r="C195" s="21">
        <f t="shared" ca="1" si="17"/>
        <v>1</v>
      </c>
      <c r="D195" s="9">
        <f ca="1">D194+C195*(Prices!C195-Prices!C194)/Prices!C194</f>
        <v>8.8822100049690392E-2</v>
      </c>
      <c r="E195" s="9">
        <f t="shared" ca="1" si="18"/>
        <v>1.556506079882998E-2</v>
      </c>
      <c r="F195" s="9">
        <f t="shared" ca="1" si="19"/>
        <v>0.10438716084852037</v>
      </c>
      <c r="G195" s="13">
        <f ca="1">IF((Prices!C195-Prices!C194)*C195&gt;0,1,0)</f>
        <v>0</v>
      </c>
      <c r="H195" s="9">
        <f>ABS(Prices!C195-Prices!C194)/Prices!C194</f>
        <v>4.3228798239408721E-3</v>
      </c>
      <c r="I195" s="13"/>
      <c r="J195" s="1">
        <f t="shared" ca="1" si="20"/>
        <v>9.4881083718349008E-4</v>
      </c>
      <c r="K195" s="9"/>
      <c r="L195" s="9">
        <f ca="1">L194-O195*Prices!C195</f>
        <v>1.3034008103603605</v>
      </c>
      <c r="M195" s="1">
        <f t="shared" ca="1" si="21"/>
        <v>7.9762772760480615E-3</v>
      </c>
      <c r="N195" s="9">
        <f ca="1">IF(Prices!D194&gt;OFFSET(Prices!D194,-$N$3,0),1,-1)</f>
        <v>1</v>
      </c>
      <c r="O195" s="1">
        <f ca="1">IF(N195=1,O$3*L194/Prices!C194,-O$3*M194)</f>
        <v>1.1377252582534876E-3</v>
      </c>
      <c r="P195" s="14"/>
      <c r="Q195" s="9">
        <f ca="1">Q194-T195*Prices!C195</f>
        <v>1.0974488390813828</v>
      </c>
      <c r="R195" s="1">
        <f t="shared" ca="1" si="22"/>
        <v>9.2568066324298769E-3</v>
      </c>
      <c r="S195" s="9">
        <f ca="1">IF(Prices!C194&lt;OFFSET(Prices!C194,-S$3,0),1,-1)</f>
        <v>-1</v>
      </c>
      <c r="T195" s="1">
        <f ca="1">IF(S195=1,T$3*Q194/Prices!C194,-T$3*R194)</f>
        <v>-1.8891442106999749E-4</v>
      </c>
      <c r="V195" s="9"/>
      <c r="W195" s="1"/>
      <c r="X195" s="1"/>
      <c r="Y195" s="1"/>
      <c r="Z195" s="1"/>
      <c r="AA195" s="1"/>
      <c r="AB195" s="1"/>
      <c r="AC195" s="1"/>
      <c r="AD195" s="1"/>
      <c r="AE195" s="16"/>
    </row>
    <row r="196" spans="1:31" x14ac:dyDescent="0.2">
      <c r="A196" s="4">
        <v>33780</v>
      </c>
      <c r="B196" s="9">
        <f ca="1">Prices!C195*(1+J196/(50*(ABS(O196)+ABS(T196)+0.0001)))</f>
        <v>124.38039377214226</v>
      </c>
      <c r="C196" s="21">
        <f t="shared" ca="1" si="17"/>
        <v>-1</v>
      </c>
      <c r="D196" s="9">
        <f ca="1">D195+C196*(Prices!C196-Prices!C195)/Prices!C195</f>
        <v>9.8531604312399615E-2</v>
      </c>
      <c r="E196" s="9">
        <f t="shared" ca="1" si="18"/>
        <v>5.8555565361207568E-3</v>
      </c>
      <c r="F196" s="9">
        <f t="shared" ca="1" si="19"/>
        <v>0.10438716084852037</v>
      </c>
      <c r="G196" s="13">
        <f ca="1">IF((Prices!C196-Prices!C195)*C196&gt;0,1,0)</f>
        <v>1</v>
      </c>
      <c r="H196" s="9">
        <f>ABS(Prices!C196-Prices!C195)/Prices!C195</f>
        <v>9.7095042627092197E-3</v>
      </c>
      <c r="I196" s="13"/>
      <c r="J196" s="1">
        <f t="shared" ca="1" si="20"/>
        <v>-9.8276386025340388E-4</v>
      </c>
      <c r="K196" s="9"/>
      <c r="L196" s="9">
        <f ca="1">L195-O196*Prices!C196</f>
        <v>1.4034632087883834</v>
      </c>
      <c r="M196" s="1">
        <f t="shared" ca="1" si="21"/>
        <v>7.1786495484432548E-3</v>
      </c>
      <c r="N196" s="9">
        <f ca="1">IF(Prices!D195&gt;OFFSET(Prices!D195,-$N$3,0),1,-1)</f>
        <v>-1</v>
      </c>
      <c r="O196" s="1">
        <f ca="1">IF(N196=1,O$3*L195/Prices!C195,-O$3*M195)</f>
        <v>-7.9762772760480624E-4</v>
      </c>
      <c r="P196" s="14"/>
      <c r="Q196" s="9">
        <f ca="1">Q195-T196*Prices!C196</f>
        <v>1.1206741669221494</v>
      </c>
      <c r="R196" s="1">
        <f t="shared" ca="1" si="22"/>
        <v>9.0716704997812793E-3</v>
      </c>
      <c r="S196" s="9">
        <f ca="1">IF(Prices!C195&lt;OFFSET(Prices!C195,-S$3,0),1,-1)</f>
        <v>-1</v>
      </c>
      <c r="T196" s="1">
        <f ca="1">IF(S196=1,T$3*Q195/Prices!C195,-T$3*R195)</f>
        <v>-1.8513613264859753E-4</v>
      </c>
      <c r="V196" s="9"/>
      <c r="W196" s="1"/>
      <c r="X196" s="1"/>
      <c r="Y196" s="1"/>
      <c r="Z196" s="1"/>
      <c r="AA196" s="1"/>
      <c r="AB196" s="1"/>
      <c r="AC196" s="1"/>
      <c r="AD196" s="1"/>
      <c r="AE196" s="16"/>
    </row>
    <row r="197" spans="1:31" x14ac:dyDescent="0.2">
      <c r="A197" s="4">
        <v>33781</v>
      </c>
      <c r="B197" s="9">
        <f ca="1">Prices!C196*(1+J197/(50*(ABS(O197)+ABS(T197)+0.0001)))</f>
        <v>124.0924352413232</v>
      </c>
      <c r="C197" s="21">
        <f t="shared" ca="1" si="17"/>
        <v>-1</v>
      </c>
      <c r="D197" s="9">
        <f ca="1">D196+C197*(Prices!C197-Prices!C196)/Prices!C196</f>
        <v>9.6379352419215109E-2</v>
      </c>
      <c r="E197" s="9">
        <f t="shared" ca="1" si="18"/>
        <v>8.0078084293052632E-3</v>
      </c>
      <c r="F197" s="9">
        <f t="shared" ca="1" si="19"/>
        <v>0.10438716084852037</v>
      </c>
      <c r="G197" s="13">
        <f ca="1">IF((Prices!C197-Prices!C196)*C197&gt;0,1,0)</f>
        <v>0</v>
      </c>
      <c r="H197" s="9">
        <f>ABS(Prices!C197-Prices!C196)/Prices!C196</f>
        <v>2.1522518931845038E-3</v>
      </c>
      <c r="I197" s="13"/>
      <c r="J197" s="1">
        <f t="shared" ca="1" si="20"/>
        <v>-5.3920028096275522E-4</v>
      </c>
      <c r="K197" s="9"/>
      <c r="L197" s="9">
        <f ca="1">L196-O197*Prices!C197</f>
        <v>1.4937131909114121</v>
      </c>
      <c r="M197" s="1">
        <f t="shared" ca="1" si="21"/>
        <v>6.4607845935989294E-3</v>
      </c>
      <c r="N197" s="9">
        <f ca="1">IF(Prices!D196&gt;OFFSET(Prices!D196,-$N$3,0),1,-1)</f>
        <v>-1</v>
      </c>
      <c r="O197" s="1">
        <f ca="1">IF(N197=1,O$3*L196/Prices!C196,-O$3*M196)</f>
        <v>-7.1786495484432548E-4</v>
      </c>
      <c r="P197" s="14"/>
      <c r="Q197" s="9">
        <f ca="1">Q196-T197*Prices!C197</f>
        <v>1.0982124441217584</v>
      </c>
      <c r="R197" s="1">
        <f t="shared" ca="1" si="22"/>
        <v>9.2503351736628499E-3</v>
      </c>
      <c r="S197" s="9">
        <f ca="1">IF(Prices!C196&lt;OFFSET(Prices!C196,-S$3,0),1,-1)</f>
        <v>1</v>
      </c>
      <c r="T197" s="1">
        <f ca="1">IF(S197=1,T$3*Q196/Prices!C196,-T$3*R196)</f>
        <v>1.7866467388157024E-4</v>
      </c>
      <c r="V197" s="9"/>
      <c r="W197" s="1"/>
      <c r="X197" s="1"/>
      <c r="Y197" s="1"/>
      <c r="Z197" s="1"/>
      <c r="AA197" s="1"/>
      <c r="AB197" s="1"/>
      <c r="AC197" s="1"/>
      <c r="AD197" s="1"/>
      <c r="AE197" s="16"/>
    </row>
    <row r="198" spans="1:31" x14ac:dyDescent="0.2">
      <c r="A198" s="4">
        <v>33784</v>
      </c>
      <c r="B198" s="9">
        <f ca="1">Prices!C197*(1+J198/(50*(ABS(O198)+ABS(T198)+0.0001)))</f>
        <v>124.43282303617677</v>
      </c>
      <c r="C198" s="21">
        <f t="shared" ca="1" si="17"/>
        <v>-1</v>
      </c>
      <c r="D198" s="9">
        <f ca="1">D197+C198*(Prices!C198-Prices!C197)/Prices!C197</f>
        <v>0.10011781885255903</v>
      </c>
      <c r="E198" s="9">
        <f t="shared" ca="1" si="18"/>
        <v>4.2693419959613371E-3</v>
      </c>
      <c r="F198" s="9">
        <f t="shared" ca="1" si="19"/>
        <v>0.10438716084852037</v>
      </c>
      <c r="G198" s="13">
        <f ca="1">IF((Prices!C198-Prices!C197)*C198&gt;0,1,0)</f>
        <v>1</v>
      </c>
      <c r="H198" s="9">
        <f>ABS(Prices!C198-Prices!C197)/Prices!C197</f>
        <v>3.7384664333439299E-3</v>
      </c>
      <c r="I198" s="13"/>
      <c r="J198" s="1">
        <f t="shared" ca="1" si="20"/>
        <v>-4.7137078450756111E-4</v>
      </c>
      <c r="K198" s="9"/>
      <c r="L198" s="9">
        <f ca="1">L197-O198*Prices!C198</f>
        <v>1.5746345179462387</v>
      </c>
      <c r="M198" s="1">
        <f t="shared" ca="1" si="21"/>
        <v>5.8147061342390359E-3</v>
      </c>
      <c r="N198" s="9">
        <f ca="1">IF(Prices!D197&gt;OFFSET(Prices!D197,-$N$3,0),1,-1)</f>
        <v>-1</v>
      </c>
      <c r="O198" s="1">
        <f ca="1">IF(N198=1,O$3*L197/Prices!C197,-O$3*M197)</f>
        <v>-6.4607845935989302E-4</v>
      </c>
      <c r="P198" s="14"/>
      <c r="Q198" s="9">
        <f ca="1">Q197-T198*Prices!C198</f>
        <v>1.0763303078465039</v>
      </c>
      <c r="R198" s="1">
        <f t="shared" ca="1" si="22"/>
        <v>9.4250428485151815E-3</v>
      </c>
      <c r="S198" s="9">
        <f ca="1">IF(Prices!C197&lt;OFFSET(Prices!C197,-S$3,0),1,-1)</f>
        <v>1</v>
      </c>
      <c r="T198" s="1">
        <f ca="1">IF(S198=1,T$3*Q197/Prices!C197,-T$3*R197)</f>
        <v>1.7470767485233191E-4</v>
      </c>
      <c r="V198" s="9"/>
      <c r="W198" s="1"/>
      <c r="X198" s="1"/>
      <c r="Y198" s="1"/>
      <c r="Z198" s="1"/>
      <c r="AA198" s="1"/>
      <c r="AB198" s="1"/>
      <c r="AC198" s="1"/>
      <c r="AD198" s="1"/>
      <c r="AE198" s="16"/>
    </row>
    <row r="199" spans="1:31" x14ac:dyDescent="0.2">
      <c r="A199" s="4">
        <v>33785</v>
      </c>
      <c r="B199" s="9">
        <f ca="1">Prices!C198*(1+J199/(50*(ABS(O199)+ABS(T199)+0.0001)))</f>
        <v>124.04760459512084</v>
      </c>
      <c r="C199" s="21">
        <f t="shared" ca="1" si="17"/>
        <v>-1</v>
      </c>
      <c r="D199" s="9">
        <f ca="1">D198+C199*(Prices!C199-Prices!C198)/Prices!C198</f>
        <v>9.5167719052159802E-2</v>
      </c>
      <c r="E199" s="9">
        <f t="shared" ca="1" si="18"/>
        <v>9.2194417963605696E-3</v>
      </c>
      <c r="F199" s="9">
        <f t="shared" ca="1" si="19"/>
        <v>0.10438716084852037</v>
      </c>
      <c r="G199" s="13">
        <f ca="1">IF((Prices!C199-Prices!C198)*C199&gt;0,1,0)</f>
        <v>0</v>
      </c>
      <c r="H199" s="9">
        <f>ABS(Prices!C199-Prices!C198)/Prices!C198</f>
        <v>4.9500998003992377E-3</v>
      </c>
      <c r="I199" s="13"/>
      <c r="J199" s="1">
        <f t="shared" ca="1" si="20"/>
        <v>-4.0960150239052978E-4</v>
      </c>
      <c r="K199" s="9"/>
      <c r="L199" s="9">
        <f ca="1">L198-O199*Prices!C199</f>
        <v>1.6478242240579055</v>
      </c>
      <c r="M199" s="1">
        <f t="shared" ca="1" si="21"/>
        <v>5.2332355208151325E-3</v>
      </c>
      <c r="N199" s="9">
        <f ca="1">IF(Prices!D198&gt;OFFSET(Prices!D198,-$N$3,0),1,-1)</f>
        <v>-1</v>
      </c>
      <c r="O199" s="1">
        <f ca="1">IF(N199=1,O$3*L198/Prices!C198,-O$3*M198)</f>
        <v>-5.8147061342390363E-4</v>
      </c>
      <c r="P199" s="14"/>
      <c r="Q199" s="9">
        <f ca="1">Q198-T199*Prices!C199</f>
        <v>1.054697142840733</v>
      </c>
      <c r="R199" s="1">
        <f t="shared" ca="1" si="22"/>
        <v>9.5969119595485548E-3</v>
      </c>
      <c r="S199" s="9">
        <f ca="1">IF(Prices!C198&lt;OFFSET(Prices!C198,-S$3,0),1,-1)</f>
        <v>1</v>
      </c>
      <c r="T199" s="1">
        <f ca="1">IF(S199=1,T$3*Q198/Prices!C198,-T$3*R198)</f>
        <v>1.7186911103337388E-4</v>
      </c>
      <c r="V199" s="9"/>
      <c r="W199" s="1"/>
      <c r="X199" s="1"/>
      <c r="Y199" s="1"/>
      <c r="Z199" s="1"/>
      <c r="AA199" s="1"/>
      <c r="AB199" s="1"/>
      <c r="AC199" s="1"/>
      <c r="AD199" s="1"/>
      <c r="AE199" s="16"/>
    </row>
    <row r="200" spans="1:31" x14ac:dyDescent="0.2">
      <c r="A200" s="4">
        <v>33786</v>
      </c>
      <c r="B200" s="9">
        <f ca="1">Prices!C199*(1+J200/(50*(ABS(O200)+ABS(T200)+0.0001)))</f>
        <v>124.73771273311304</v>
      </c>
      <c r="C200" s="21">
        <f t="shared" ca="1" si="17"/>
        <v>-1</v>
      </c>
      <c r="D200" s="9">
        <f ca="1">D199+C200*(Prices!C200-Prices!C199)/Prices!C199</f>
        <v>0.10271518866366376</v>
      </c>
      <c r="E200" s="9">
        <f t="shared" ca="1" si="18"/>
        <v>1.6719721848566099E-3</v>
      </c>
      <c r="F200" s="9">
        <f t="shared" ca="1" si="19"/>
        <v>0.10438716084852037</v>
      </c>
      <c r="G200" s="13">
        <f ca="1">IF((Prices!C200-Prices!C199)*C200&gt;0,1,0)</f>
        <v>1</v>
      </c>
      <c r="H200" s="9">
        <f>ABS(Prices!C200-Prices!C199)/Prices!C199</f>
        <v>7.5474696115039553E-3</v>
      </c>
      <c r="I200" s="13"/>
      <c r="J200" s="1">
        <f t="shared" ca="1" si="20"/>
        <v>-3.5573840187245098E-4</v>
      </c>
      <c r="K200" s="9"/>
      <c r="L200" s="9">
        <f ca="1">L199-O200*Prices!C200</f>
        <v>1.7131978021839283</v>
      </c>
      <c r="M200" s="1">
        <f t="shared" ca="1" si="21"/>
        <v>4.7099119687336191E-3</v>
      </c>
      <c r="N200" s="9">
        <f ca="1">IF(Prices!D199&gt;OFFSET(Prices!D199,-$N$3,0),1,-1)</f>
        <v>-1</v>
      </c>
      <c r="O200" s="1">
        <f ca="1">IF(N200=1,O$3*L199/Prices!C199,-O$3*M199)</f>
        <v>-5.2332355208151323E-4</v>
      </c>
      <c r="P200" s="14"/>
      <c r="Q200" s="9">
        <f ca="1">Q199-T200*Prices!C200</f>
        <v>1.0337624058766171</v>
      </c>
      <c r="R200" s="1">
        <f t="shared" ca="1" si="22"/>
        <v>9.7644971097576166E-3</v>
      </c>
      <c r="S200" s="9">
        <f ca="1">IF(Prices!C199&lt;OFFSET(Prices!C199,-S$3,0),1,-1)</f>
        <v>1</v>
      </c>
      <c r="T200" s="1">
        <f ca="1">IF(S200=1,T$3*Q199/Prices!C199,-T$3*R199)</f>
        <v>1.6758515020906222E-4</v>
      </c>
      <c r="V200" s="9"/>
      <c r="W200" s="1"/>
      <c r="X200" s="1"/>
      <c r="Y200" s="1"/>
      <c r="Z200" s="1"/>
      <c r="AA200" s="1"/>
      <c r="AB200" s="1"/>
      <c r="AC200" s="1"/>
      <c r="AD200" s="1"/>
      <c r="AE200" s="16"/>
    </row>
    <row r="201" spans="1:31" x14ac:dyDescent="0.2">
      <c r="A201" s="4">
        <v>33787</v>
      </c>
      <c r="B201" s="9">
        <f ca="1">Prices!C200*(1+J201/(50*(ABS(O201)+ABS(T201)+0.0001)))</f>
        <v>123.88371979708832</v>
      </c>
      <c r="C201" s="21">
        <f t="shared" ca="1" si="17"/>
        <v>-1</v>
      </c>
      <c r="D201" s="9">
        <f ca="1">D200+C201*(Prices!C201-Prices!C200)/Prices!C200</f>
        <v>0.10527682811291134</v>
      </c>
      <c r="E201" s="9">
        <f t="shared" ca="1" si="18"/>
        <v>0</v>
      </c>
      <c r="F201" s="9">
        <f t="shared" ca="1" si="19"/>
        <v>0.10527682811291134</v>
      </c>
      <c r="G201" s="13">
        <f ca="1">IF((Prices!C201-Prices!C200)*C201&gt;0,1,0)</f>
        <v>1</v>
      </c>
      <c r="H201" s="9">
        <f>ABS(Prices!C201-Prices!C200)/Prices!C200</f>
        <v>2.5616394492475776E-3</v>
      </c>
      <c r="I201" s="13"/>
      <c r="J201" s="1">
        <f t="shared" ca="1" si="20"/>
        <v>-3.0548328687070151E-4</v>
      </c>
      <c r="K201" s="9"/>
      <c r="L201" s="9">
        <f ca="1">L200-O201*Prices!C201</f>
        <v>1.7718833053143492</v>
      </c>
      <c r="M201" s="1">
        <f t="shared" ca="1" si="21"/>
        <v>4.2389207718602573E-3</v>
      </c>
      <c r="N201" s="9">
        <f ca="1">IF(Prices!D200&gt;OFFSET(Prices!D200,-$N$3,0),1,-1)</f>
        <v>-1</v>
      </c>
      <c r="O201" s="1">
        <f ca="1">IF(N201=1,O$3*L200/Prices!C200,-O$3*M200)</f>
        <v>-4.7099119687336194E-4</v>
      </c>
      <c r="P201" s="14"/>
      <c r="Q201" s="9">
        <f ca="1">Q200-T201*Prices!C201</f>
        <v>1.0131401202902857</v>
      </c>
      <c r="R201" s="1">
        <f t="shared" ca="1" si="22"/>
        <v>9.9300050197602772E-3</v>
      </c>
      <c r="S201" s="9">
        <f ca="1">IF(Prices!C200&lt;OFFSET(Prices!C200,-S$3,0),1,-1)</f>
        <v>1</v>
      </c>
      <c r="T201" s="1">
        <f ca="1">IF(S201=1,T$3*Q200/Prices!C200,-T$3*R200)</f>
        <v>1.6550791000266042E-4</v>
      </c>
      <c r="V201" s="9"/>
      <c r="W201" s="1"/>
      <c r="X201" s="1"/>
      <c r="Y201" s="1"/>
      <c r="Z201" s="1"/>
      <c r="AA201" s="1"/>
      <c r="AB201" s="1"/>
      <c r="AC201" s="1"/>
      <c r="AD201" s="1"/>
      <c r="AE201" s="16"/>
    </row>
    <row r="202" spans="1:31" x14ac:dyDescent="0.2">
      <c r="A202" s="4">
        <v>33788</v>
      </c>
      <c r="B202" s="9">
        <f ca="1">Prices!C201*(1+J202/(50*(ABS(O202)+ABS(T202)+0.0001)))</f>
        <v>123.65161123486997</v>
      </c>
      <c r="C202" s="21">
        <f t="shared" ca="1" si="17"/>
        <v>-1</v>
      </c>
      <c r="D202" s="9">
        <f ca="1">D201+C202*(Prices!C202-Prices!C201)/Prices!C201</f>
        <v>0.1036716916763142</v>
      </c>
      <c r="E202" s="9">
        <f t="shared" ca="1" si="18"/>
        <v>1.6051364365971404E-3</v>
      </c>
      <c r="F202" s="9">
        <f t="shared" ca="1" si="19"/>
        <v>0.10527682811291134</v>
      </c>
      <c r="G202" s="13">
        <f ca="1">IF((Prices!C202-Prices!C201)*C202&gt;0,1,0)</f>
        <v>0</v>
      </c>
      <c r="H202" s="9">
        <f>ABS(Prices!C202-Prices!C201)/Prices!C201</f>
        <v>1.6051364365971337E-3</v>
      </c>
      <c r="I202" s="13"/>
      <c r="J202" s="1">
        <f t="shared" ca="1" si="20"/>
        <v>-2.6126926494039401E-4</v>
      </c>
      <c r="K202" s="9"/>
      <c r="L202" s="9">
        <f ca="1">L201-O202*Prices!C202</f>
        <v>1.8247850365471652</v>
      </c>
      <c r="M202" s="1">
        <f t="shared" ca="1" si="21"/>
        <v>3.8150286946742316E-3</v>
      </c>
      <c r="N202" s="9">
        <f ca="1">IF(Prices!D201&gt;OFFSET(Prices!D201,-$N$3,0),1,-1)</f>
        <v>-1</v>
      </c>
      <c r="O202" s="1">
        <f ca="1">IF(N202=1,O$3*L201/Prices!C201,-O$3*M201)</f>
        <v>-4.2389207718602573E-4</v>
      </c>
      <c r="P202" s="14"/>
      <c r="Q202" s="9">
        <f ca="1">Q201-T202*Prices!C202</f>
        <v>0.99284479332203079</v>
      </c>
      <c r="R202" s="1">
        <f t="shared" ca="1" si="22"/>
        <v>1.0092627832005908E-2</v>
      </c>
      <c r="S202" s="9">
        <f ca="1">IF(Prices!C201&lt;OFFSET(Prices!C201,-S$3,0),1,-1)</f>
        <v>1</v>
      </c>
      <c r="T202" s="1">
        <f ca="1">IF(S202=1,T$3*Q201/Prices!C201,-T$3*R201)</f>
        <v>1.6262281224563175E-4</v>
      </c>
      <c r="V202" s="9"/>
      <c r="W202" s="1"/>
      <c r="X202" s="1"/>
      <c r="Y202" s="1"/>
      <c r="Z202" s="1"/>
      <c r="AA202" s="1"/>
      <c r="AB202" s="1"/>
      <c r="AC202" s="1"/>
      <c r="AD202" s="1"/>
      <c r="AE202" s="16"/>
    </row>
    <row r="203" spans="1:31" x14ac:dyDescent="0.2">
      <c r="A203" s="4">
        <v>33791</v>
      </c>
      <c r="B203" s="9">
        <f ca="1">Prices!C202*(1+J203/(50*(ABS(O203)+ABS(T203)+0.0001)))</f>
        <v>123.93349622771217</v>
      </c>
      <c r="C203" s="21">
        <f t="shared" ca="1" si="17"/>
        <v>-1</v>
      </c>
      <c r="D203" s="9">
        <f ca="1">D202+C203*(Prices!C203-Prices!C202)/Prices!C202</f>
        <v>0.10567489680451933</v>
      </c>
      <c r="E203" s="9">
        <f t="shared" ca="1" si="18"/>
        <v>0</v>
      </c>
      <c r="F203" s="9">
        <f t="shared" ca="1" si="19"/>
        <v>0.10567489680451933</v>
      </c>
      <c r="G203" s="13">
        <f ca="1">IF((Prices!C203-Prices!C202)*C203&gt;0,1,0)</f>
        <v>1</v>
      </c>
      <c r="H203" s="9">
        <f>ABS(Prices!C203-Prices!C202)/Prices!C202</f>
        <v>2.0032051282051285E-3</v>
      </c>
      <c r="I203" s="13"/>
      <c r="J203" s="1">
        <f t="shared" ca="1" si="20"/>
        <v>-2.2239312694786694E-4</v>
      </c>
      <c r="K203" s="9"/>
      <c r="L203" s="9">
        <f ca="1">L202-O203*Prices!C203</f>
        <v>1.8723012189393327</v>
      </c>
      <c r="M203" s="1">
        <f t="shared" ca="1" si="21"/>
        <v>3.4335258252068085E-3</v>
      </c>
      <c r="N203" s="9">
        <f ca="1">IF(Prices!D202&gt;OFFSET(Prices!D202,-$N$3,0),1,-1)</f>
        <v>-1</v>
      </c>
      <c r="O203" s="1">
        <f ca="1">IF(N203=1,O$3*L202/Prices!C202,-O$3*M202)</f>
        <v>-3.8150286946742317E-4</v>
      </c>
      <c r="P203" s="14"/>
      <c r="Q203" s="9">
        <f ca="1">Q202-T203*Prices!C203</f>
        <v>0.97302767489122011</v>
      </c>
      <c r="R203" s="1">
        <f t="shared" ca="1" si="22"/>
        <v>1.0251737574525464E-2</v>
      </c>
      <c r="S203" s="9">
        <f ca="1">IF(Prices!C202&lt;OFFSET(Prices!C202,-S$3,0),1,-1)</f>
        <v>1</v>
      </c>
      <c r="T203" s="1">
        <f ca="1">IF(S203=1,T$3*Q202/Prices!C202,-T$3*R202)</f>
        <v>1.5910974251955623E-4</v>
      </c>
      <c r="V203" s="9"/>
      <c r="W203" s="1"/>
      <c r="X203" s="1"/>
      <c r="Y203" s="1"/>
      <c r="Z203" s="1"/>
      <c r="AA203" s="1"/>
      <c r="AB203" s="1"/>
      <c r="AC203" s="1"/>
      <c r="AD203" s="1"/>
      <c r="AE203" s="16"/>
    </row>
    <row r="204" spans="1:31" x14ac:dyDescent="0.2">
      <c r="A204" s="4">
        <v>33792</v>
      </c>
      <c r="B204" s="9">
        <f ca="1">Prices!C203*(1+J204/(50*(ABS(O204)+ABS(T204)+0.0001)))</f>
        <v>123.77268078348003</v>
      </c>
      <c r="C204" s="21">
        <f t="shared" ca="1" si="17"/>
        <v>-1</v>
      </c>
      <c r="D204" s="9">
        <f ca="1">D203+C204*(Prices!C204-Prices!C203)/Prices!C203</f>
        <v>0.10671865433161684</v>
      </c>
      <c r="E204" s="9">
        <f t="shared" ca="1" si="18"/>
        <v>0</v>
      </c>
      <c r="F204" s="9">
        <f t="shared" ca="1" si="19"/>
        <v>0.10671865433161684</v>
      </c>
      <c r="G204" s="13">
        <f ca="1">IF((Prices!C204-Prices!C203)*C204&gt;0,1,0)</f>
        <v>1</v>
      </c>
      <c r="H204" s="9">
        <f>ABS(Prices!C204-Prices!C203)/Prices!C203</f>
        <v>1.0437575270975147E-3</v>
      </c>
      <c r="I204" s="13"/>
      <c r="J204" s="1">
        <f t="shared" ca="1" si="20"/>
        <v>-1.8710566563730552E-4</v>
      </c>
      <c r="K204" s="9"/>
      <c r="L204" s="9">
        <f ca="1">L203-O204*Prices!C204</f>
        <v>1.9150211472565557</v>
      </c>
      <c r="M204" s="1">
        <f t="shared" ca="1" si="21"/>
        <v>3.0901732426861276E-3</v>
      </c>
      <c r="N204" s="9">
        <f ca="1">IF(Prices!D203&gt;OFFSET(Prices!D203,-$N$3,0),1,-1)</f>
        <v>-1</v>
      </c>
      <c r="O204" s="1">
        <f ca="1">IF(N204=1,O$3*L203/Prices!C203,-O$3*M203)</f>
        <v>-3.4335258252068089E-4</v>
      </c>
      <c r="P204" s="14"/>
      <c r="Q204" s="9">
        <f ca="1">Q203-T204*Prices!C204</f>
        <v>0.95358743349259056</v>
      </c>
      <c r="R204" s="1">
        <f t="shared" ca="1" si="22"/>
        <v>1.0407984491408839E-2</v>
      </c>
      <c r="S204" s="9">
        <f ca="1">IF(Prices!C203&lt;OFFSET(Prices!C203,-S$3,0),1,-1)</f>
        <v>1</v>
      </c>
      <c r="T204" s="1">
        <f ca="1">IF(S204=1,T$3*Q203/Prices!C203,-T$3*R203)</f>
        <v>1.5624691688337537E-4</v>
      </c>
      <c r="V204" s="9"/>
      <c r="W204" s="1"/>
      <c r="X204" s="1"/>
      <c r="Y204" s="1"/>
      <c r="Z204" s="1"/>
      <c r="AA204" s="1"/>
      <c r="AB204" s="1"/>
      <c r="AC204" s="1"/>
      <c r="AD204" s="1"/>
      <c r="AE204" s="16"/>
    </row>
    <row r="205" spans="1:31" x14ac:dyDescent="0.2">
      <c r="A205" s="4">
        <v>33793</v>
      </c>
      <c r="B205" s="9">
        <f ca="1">Prices!C204*(1+J205/(50*(ABS(O205)+ABS(T205)+0.0001)))</f>
        <v>123.73082700689429</v>
      </c>
      <c r="C205" s="21">
        <f t="shared" ca="1" si="17"/>
        <v>-1</v>
      </c>
      <c r="D205" s="9">
        <f ca="1">D204+C205*(Prices!C205-Prices!C204)/Prices!C204</f>
        <v>0.10326261832454409</v>
      </c>
      <c r="E205" s="9">
        <f t="shared" ca="1" si="18"/>
        <v>3.4560360070727547E-3</v>
      </c>
      <c r="F205" s="9">
        <f t="shared" ca="1" si="19"/>
        <v>0.10671865433161684</v>
      </c>
      <c r="G205" s="13">
        <f ca="1">IF((Prices!C205-Prices!C204)*C205&gt;0,1,0)</f>
        <v>0</v>
      </c>
      <c r="H205" s="9">
        <f>ABS(Prices!C205-Prices!C204)/Prices!C204</f>
        <v>3.4560360070727586E-3</v>
      </c>
      <c r="I205" s="13"/>
      <c r="J205" s="1">
        <f t="shared" ca="1" si="20"/>
        <v>-1.5573209142942448E-4</v>
      </c>
      <c r="K205" s="9"/>
      <c r="L205" s="9">
        <f ca="1">L204-O205*Prices!C205</f>
        <v>1.953601960191492</v>
      </c>
      <c r="M205" s="1">
        <f t="shared" ca="1" si="21"/>
        <v>2.7811559184175148E-3</v>
      </c>
      <c r="N205" s="9">
        <f ca="1">IF(Prices!D204&gt;OFFSET(Prices!D204,-$N$3,0),1,-1)</f>
        <v>-1</v>
      </c>
      <c r="O205" s="1">
        <f ca="1">IF(N205=1,O$3*L204/Prices!C204,-O$3*M204)</f>
        <v>-3.090173242686128E-4</v>
      </c>
      <c r="P205" s="14"/>
      <c r="Q205" s="9">
        <f ca="1">Q204-T205*Prices!C205</f>
        <v>0.93444977217261793</v>
      </c>
      <c r="R205" s="1">
        <f t="shared" ca="1" si="22"/>
        <v>1.0561269724248028E-2</v>
      </c>
      <c r="S205" s="9">
        <f ca="1">IF(Prices!C204&lt;OFFSET(Prices!C204,-S$3,0),1,-1)</f>
        <v>1</v>
      </c>
      <c r="T205" s="1">
        <f ca="1">IF(S205=1,T$3*Q204/Prices!C204,-T$3*R204)</f>
        <v>1.5328523283918833E-4</v>
      </c>
      <c r="V205" s="9"/>
      <c r="W205" s="1"/>
      <c r="X205" s="1"/>
      <c r="Y205" s="1"/>
      <c r="Z205" s="1"/>
      <c r="AA205" s="1"/>
      <c r="AB205" s="1"/>
      <c r="AC205" s="1"/>
      <c r="AD205" s="1"/>
      <c r="AE205" s="16"/>
    </row>
    <row r="206" spans="1:31" x14ac:dyDescent="0.2">
      <c r="A206" s="4">
        <v>33794</v>
      </c>
      <c r="B206" s="9">
        <f ca="1">Prices!C205*(1+J206/(50*(ABS(O206)+ABS(T206)+0.0001)))</f>
        <v>126.65160006507732</v>
      </c>
      <c r="C206" s="21">
        <f t="shared" ca="1" si="17"/>
        <v>1</v>
      </c>
      <c r="D206" s="9">
        <f ca="1">D205+C206*(Prices!C206-Prices!C205)/Prices!C205</f>
        <v>0.11087174928169269</v>
      </c>
      <c r="E206" s="9">
        <f t="shared" ca="1" si="18"/>
        <v>0</v>
      </c>
      <c r="F206" s="9">
        <f t="shared" ca="1" si="19"/>
        <v>0.11087174928169269</v>
      </c>
      <c r="G206" s="13">
        <f ca="1">IF((Prices!C206-Prices!C205)*C206&gt;0,1,0)</f>
        <v>1</v>
      </c>
      <c r="H206" s="9">
        <f>ABS(Prices!C206-Prices!C205)/Prices!C205</f>
        <v>7.6091309571486012E-3</v>
      </c>
      <c r="I206" s="13"/>
      <c r="J206" s="1">
        <f t="shared" ca="1" si="20"/>
        <v>1.3535338848033793E-3</v>
      </c>
      <c r="K206" s="9"/>
      <c r="L206" s="9">
        <f ca="1">L205-O206*Prices!C206</f>
        <v>1.7567552428570188</v>
      </c>
      <c r="M206" s="1">
        <f t="shared" ca="1" si="21"/>
        <v>4.3459151977058548E-3</v>
      </c>
      <c r="N206" s="9">
        <f ca="1">IF(Prices!D205&gt;OFFSET(Prices!D205,-$N$3,0),1,-1)</f>
        <v>1</v>
      </c>
      <c r="O206" s="1">
        <f ca="1">IF(N206=1,O$3*L205/Prices!C205,-O$3*M205)</f>
        <v>1.5647592792883398E-3</v>
      </c>
      <c r="P206" s="14"/>
      <c r="Q206" s="9">
        <f ca="1">Q205-T206*Prices!C206</f>
        <v>0.96102192679882592</v>
      </c>
      <c r="R206" s="1">
        <f t="shared" ca="1" si="22"/>
        <v>1.0350044329763067E-2</v>
      </c>
      <c r="S206" s="9">
        <f ca="1">IF(Prices!C205&lt;OFFSET(Prices!C205,-S$3,0),1,-1)</f>
        <v>-1</v>
      </c>
      <c r="T206" s="1">
        <f ca="1">IF(S206=1,T$3*Q205/Prices!C205,-T$3*R205)</f>
        <v>-2.1122539448496056E-4</v>
      </c>
      <c r="V206" s="9"/>
      <c r="W206" s="1"/>
      <c r="X206" s="1"/>
      <c r="Y206" s="1"/>
      <c r="Z206" s="1"/>
      <c r="AA206" s="1"/>
      <c r="AB206" s="1"/>
      <c r="AC206" s="1"/>
      <c r="AD206" s="1"/>
      <c r="AE206" s="16"/>
    </row>
    <row r="207" spans="1:31" x14ac:dyDescent="0.2">
      <c r="A207" s="4">
        <v>33795</v>
      </c>
      <c r="B207" s="9">
        <f ca="1">Prices!C206*(1+J207/(50*(ABS(O207)+ABS(T207)+0.0001)))</f>
        <v>127.55682595377637</v>
      </c>
      <c r="C207" s="21">
        <f t="shared" ca="1" si="17"/>
        <v>1</v>
      </c>
      <c r="D207" s="9">
        <f ca="1">D206+C207*(Prices!C207-Prices!C206)/Prices!C206</f>
        <v>0.10769209904321898</v>
      </c>
      <c r="E207" s="9">
        <f t="shared" ca="1" si="18"/>
        <v>3.1796502384737052E-3</v>
      </c>
      <c r="F207" s="9">
        <f t="shared" ca="1" si="19"/>
        <v>0.11087174928169269</v>
      </c>
      <c r="G207" s="13">
        <f ca="1">IF((Prices!C207-Prices!C206)*C207&gt;0,1,0)</f>
        <v>0</v>
      </c>
      <c r="H207" s="9">
        <f>ABS(Prices!C207-Prices!C206)/Prices!C206</f>
        <v>3.1796502384737E-3</v>
      </c>
      <c r="I207" s="13"/>
      <c r="J207" s="1">
        <f t="shared" ca="1" si="20"/>
        <v>1.1894659201273292E-3</v>
      </c>
      <c r="K207" s="9"/>
      <c r="L207" s="9">
        <f ca="1">L206-O207*Prices!C207</f>
        <v>1.581638305294006</v>
      </c>
      <c r="M207" s="1">
        <f t="shared" ca="1" si="21"/>
        <v>5.7423820044284453E-3</v>
      </c>
      <c r="N207" s="9">
        <f ca="1">IF(Prices!D206&gt;OFFSET(Prices!D206,-$N$3,0),1,-1)</f>
        <v>1</v>
      </c>
      <c r="O207" s="1">
        <f ca="1">IF(N207=1,O$3*L206/Prices!C206,-O$3*M206)</f>
        <v>1.3964668067225905E-3</v>
      </c>
      <c r="P207" s="14"/>
      <c r="Q207" s="9">
        <f ca="1">Q206-T207*Prices!C207</f>
        <v>0.9869798379778717</v>
      </c>
      <c r="R207" s="1">
        <f t="shared" ca="1" si="22"/>
        <v>1.0143043443167805E-2</v>
      </c>
      <c r="S207" s="9">
        <f ca="1">IF(Prices!C206&lt;OFFSET(Prices!C206,-S$3,0),1,-1)</f>
        <v>-1</v>
      </c>
      <c r="T207" s="1">
        <f ca="1">IF(S207=1,T$3*Q206/Prices!C206,-T$3*R206)</f>
        <v>-2.0700088659526134E-4</v>
      </c>
      <c r="V207" s="9"/>
      <c r="W207" s="1"/>
      <c r="X207" s="1"/>
      <c r="Y207" s="1"/>
      <c r="Z207" s="1"/>
      <c r="AA207" s="1"/>
      <c r="AB207" s="1"/>
      <c r="AC207" s="1"/>
      <c r="AD207" s="1"/>
      <c r="AE207" s="16"/>
    </row>
    <row r="208" spans="1:31" x14ac:dyDescent="0.2">
      <c r="A208" s="4">
        <v>33798</v>
      </c>
      <c r="B208" s="9">
        <f ca="1">Prices!C207*(1+J208/(50*(ABS(O208)+ABS(T208)+0.0001)))</f>
        <v>127.09710467070053</v>
      </c>
      <c r="C208" s="21">
        <f t="shared" ca="1" si="17"/>
        <v>1</v>
      </c>
      <c r="D208" s="9">
        <f ca="1">D207+C208*(Prices!C208-Prices!C207)/Prices!C207</f>
        <v>0.10410358229680748</v>
      </c>
      <c r="E208" s="9">
        <f t="shared" ca="1" si="18"/>
        <v>6.7681669848852072E-3</v>
      </c>
      <c r="F208" s="9">
        <f t="shared" ca="1" si="19"/>
        <v>0.11087174928169269</v>
      </c>
      <c r="G208" s="13">
        <f ca="1">IF((Prices!C208-Prices!C207)*C208&gt;0,1,0)</f>
        <v>0</v>
      </c>
      <c r="H208" s="9">
        <f>ABS(Prices!C208-Prices!C207)/Prices!C207</f>
        <v>3.5885167464115059E-3</v>
      </c>
      <c r="I208" s="13"/>
      <c r="J208" s="1">
        <f t="shared" ca="1" si="20"/>
        <v>1.0584136967618481E-3</v>
      </c>
      <c r="K208" s="9"/>
      <c r="L208" s="9">
        <f ca="1">L207-O208*Prices!C208</f>
        <v>1.4240420483191367</v>
      </c>
      <c r="M208" s="1">
        <f t="shared" ca="1" si="21"/>
        <v>7.0036565700536497E-3</v>
      </c>
      <c r="N208" s="9">
        <f ca="1">IF(Prices!D207&gt;OFFSET(Prices!D207,-$N$3,0),1,-1)</f>
        <v>1</v>
      </c>
      <c r="O208" s="1">
        <f ca="1">IF(N208=1,O$3*L207/Prices!C207,-O$3*M207)</f>
        <v>1.2612745656252042E-3</v>
      </c>
      <c r="P208" s="14"/>
      <c r="Q208" s="9">
        <f ca="1">Q207-T208*Prices!C208</f>
        <v>1.0123273035423481</v>
      </c>
      <c r="R208" s="1">
        <f t="shared" ca="1" si="22"/>
        <v>9.94018257430445E-3</v>
      </c>
      <c r="S208" s="9">
        <f ca="1">IF(Prices!C207&lt;OFFSET(Prices!C207,-S$3,0),1,-1)</f>
        <v>-1</v>
      </c>
      <c r="T208" s="1">
        <f ca="1">IF(S208=1,T$3*Q207/Prices!C207,-T$3*R207)</f>
        <v>-2.0286086886335612E-4</v>
      </c>
      <c r="V208" s="9"/>
      <c r="W208" s="1"/>
      <c r="X208" s="1"/>
      <c r="Y208" s="1"/>
      <c r="Z208" s="1"/>
      <c r="AA208" s="1"/>
      <c r="AB208" s="1"/>
      <c r="AC208" s="1"/>
      <c r="AD208" s="1"/>
      <c r="AE208" s="16"/>
    </row>
    <row r="209" spans="1:31" x14ac:dyDescent="0.2">
      <c r="A209" s="4">
        <v>33799</v>
      </c>
      <c r="B209" s="9">
        <f ca="1">Prices!C208*(1+J209/(50*(ABS(O209)+ABS(T209)+0.0001)))</f>
        <v>126.58453941056879</v>
      </c>
      <c r="C209" s="21">
        <f t="shared" ca="1" si="17"/>
        <v>1</v>
      </c>
      <c r="D209" s="9">
        <f ca="1">D208+C209*(Prices!C209-Prices!C208)/Prices!C208</f>
        <v>0.1069047027449867</v>
      </c>
      <c r="E209" s="9">
        <f t="shared" ca="1" si="18"/>
        <v>3.9670465367059871E-3</v>
      </c>
      <c r="F209" s="9">
        <f t="shared" ca="1" si="19"/>
        <v>0.11087174928169269</v>
      </c>
      <c r="G209" s="13">
        <f ca="1">IF((Prices!C209-Prices!C208)*C209&gt;0,1,0)</f>
        <v>1</v>
      </c>
      <c r="H209" s="9">
        <f>ABS(Prices!C209-Prices!C208)/Prices!C208</f>
        <v>2.8011204481792262E-3</v>
      </c>
      <c r="I209" s="13"/>
      <c r="J209" s="1">
        <f t="shared" ca="1" si="20"/>
        <v>9.4088586297500485E-4</v>
      </c>
      <c r="K209" s="9"/>
      <c r="L209" s="9">
        <f ca="1">L208-O209*Prices!C209</f>
        <v>1.2812389521571617</v>
      </c>
      <c r="M209" s="1">
        <f t="shared" ca="1" si="21"/>
        <v>8.1433460845147434E-3</v>
      </c>
      <c r="N209" s="9">
        <f ca="1">IF(Prices!D208&gt;OFFSET(Prices!D208,-$N$3,0),1,-1)</f>
        <v>1</v>
      </c>
      <c r="O209" s="1">
        <f ca="1">IF(N209=1,O$3*L208/Prices!C208,-O$3*M208)</f>
        <v>1.1396895144610939E-3</v>
      </c>
      <c r="P209" s="14"/>
      <c r="Q209" s="9">
        <f ca="1">Q208-T209*Prices!C209</f>
        <v>1.037237401073555</v>
      </c>
      <c r="R209" s="1">
        <f t="shared" ca="1" si="22"/>
        <v>9.7413789228183618E-3</v>
      </c>
      <c r="S209" s="9">
        <f ca="1">IF(Prices!C208&lt;OFFSET(Prices!C208,-S$3,0),1,-1)</f>
        <v>-1</v>
      </c>
      <c r="T209" s="1">
        <f ca="1">IF(S209=1,T$3*Q208/Prices!C208,-T$3*R208)</f>
        <v>-1.9880365148608901E-4</v>
      </c>
      <c r="V209" s="9"/>
      <c r="W209" s="1"/>
      <c r="X209" s="1"/>
      <c r="Y209" s="1"/>
      <c r="Z209" s="1"/>
      <c r="AA209" s="1"/>
      <c r="AB209" s="1"/>
      <c r="AC209" s="1"/>
      <c r="AD209" s="1"/>
      <c r="AE209" s="16"/>
    </row>
    <row r="210" spans="1:31" x14ac:dyDescent="0.2">
      <c r="A210" s="4">
        <v>33800</v>
      </c>
      <c r="B210" s="9">
        <f ca="1">Prices!C209*(1+J210/(50*(ABS(O210)+ABS(T210)+0.0001)))</f>
        <v>126.87453746068063</v>
      </c>
      <c r="C210" s="21">
        <f t="shared" ref="C210:C273" ca="1" si="23">IF(J210&gt;0,1,IF(J210&lt;0,-1,0))</f>
        <v>1</v>
      </c>
      <c r="D210" s="9">
        <f ca="1">D209+C210*(Prices!C210-Prices!C209)/Prices!C209</f>
        <v>0.10451044895408489</v>
      </c>
      <c r="E210" s="9">
        <f t="shared" ref="E210:E273" ca="1" si="24">F210-D210</f>
        <v>6.3613003276078023E-3</v>
      </c>
      <c r="F210" s="9">
        <f t="shared" ref="F210:F273" ca="1" si="25">MAX(F209,D210)</f>
        <v>0.11087174928169269</v>
      </c>
      <c r="G210" s="13">
        <f ca="1">IF((Prices!C210-Prices!C209)*C210&gt;0,1,0)</f>
        <v>0</v>
      </c>
      <c r="H210" s="9">
        <f>ABS(Prices!C210-Prices!C209)/Prices!C209</f>
        <v>2.3942537909018131E-3</v>
      </c>
      <c r="I210" s="13"/>
      <c r="J210" s="1">
        <f t="shared" ref="J210:J273" ca="1" si="26">O210+T210</f>
        <v>8.2770949429475946E-4</v>
      </c>
      <c r="K210" s="9"/>
      <c r="L210" s="9">
        <f ca="1">L209-O210*Prices!C210</f>
        <v>1.1534218180632707</v>
      </c>
      <c r="M210" s="1">
        <f t="shared" ref="M210:M273" ca="1" si="27">M209+O210</f>
        <v>9.1658831572658701E-3</v>
      </c>
      <c r="N210" s="9">
        <f ca="1">IF(Prices!D209&gt;OFFSET(Prices!D209,-$N$3,0),1,-1)</f>
        <v>1</v>
      </c>
      <c r="O210" s="1">
        <f ca="1">IF(N210=1,O$3*L209/Prices!C209,-O$3*M209)</f>
        <v>1.0225370727511267E-3</v>
      </c>
      <c r="P210" s="14"/>
      <c r="Q210" s="9">
        <f ca="1">Q209-T210*Prices!C210</f>
        <v>1.0615908483806009</v>
      </c>
      <c r="R210" s="1">
        <f t="shared" ref="R210:R273" ca="1" si="28">R209+T210</f>
        <v>9.5465513443619941E-3</v>
      </c>
      <c r="S210" s="9">
        <f ca="1">IF(Prices!C209&lt;OFFSET(Prices!C209,-S$3,0),1,-1)</f>
        <v>-1</v>
      </c>
      <c r="T210" s="1">
        <f ca="1">IF(S210=1,T$3*Q209/Prices!C209,-T$3*R209)</f>
        <v>-1.9482757845636723E-4</v>
      </c>
      <c r="V210" s="9"/>
      <c r="W210" s="1"/>
      <c r="X210" s="1"/>
      <c r="Y210" s="1"/>
      <c r="Z210" s="1"/>
      <c r="AA210" s="1"/>
      <c r="AB210" s="1"/>
      <c r="AC210" s="1"/>
      <c r="AD210" s="1"/>
      <c r="AE210" s="16"/>
    </row>
    <row r="211" spans="1:31" x14ac:dyDescent="0.2">
      <c r="A211" s="4">
        <v>33801</v>
      </c>
      <c r="B211" s="9">
        <f ca="1">Prices!C210*(1+J211/(50*(ABS(O211)+ABS(T211)+0.0001)))</f>
        <v>123.42652813183949</v>
      </c>
      <c r="C211" s="21">
        <f t="shared" ca="1" si="23"/>
        <v>-1</v>
      </c>
      <c r="D211" s="9">
        <f ca="1">D210+C211*(Prices!C211-Prices!C210)/Prices!C210</f>
        <v>0.10091044895408487</v>
      </c>
      <c r="E211" s="9">
        <f t="shared" ca="1" si="24"/>
        <v>9.9613003276078221E-3</v>
      </c>
      <c r="F211" s="9">
        <f t="shared" ca="1" si="25"/>
        <v>0.11087174928169269</v>
      </c>
      <c r="G211" s="13">
        <f ca="1">IF((Prices!C211-Prices!C210)*C211&gt;0,1,0)</f>
        <v>0</v>
      </c>
      <c r="H211" s="9">
        <f>ABS(Prices!C211-Prices!C210)/Prices!C210</f>
        <v>3.6000000000000229E-3</v>
      </c>
      <c r="I211" s="13"/>
      <c r="J211" s="1">
        <f t="shared" ca="1" si="26"/>
        <v>-7.4673377998569091E-4</v>
      </c>
      <c r="K211" s="9"/>
      <c r="L211" s="9">
        <f ca="1">L210-O211*Prices!C211</f>
        <v>1.268407822271171</v>
      </c>
      <c r="M211" s="1">
        <f t="shared" ca="1" si="27"/>
        <v>8.2492948415392835E-3</v>
      </c>
      <c r="N211" s="9">
        <f ca="1">IF(Prices!D210&gt;OFFSET(Prices!D210,-$N$3,0),1,-1)</f>
        <v>-1</v>
      </c>
      <c r="O211" s="1">
        <f ca="1">IF(N211=1,O$3*L210/Prices!C210,-O$3*M210)</f>
        <v>-9.165883157265871E-4</v>
      </c>
      <c r="P211" s="14"/>
      <c r="Q211" s="9">
        <f ca="1">Q210-T211*Prices!C211</f>
        <v>1.0402825968719054</v>
      </c>
      <c r="R211" s="1">
        <f t="shared" ca="1" si="28"/>
        <v>9.7164058801028907E-3</v>
      </c>
      <c r="S211" s="9">
        <f ca="1">IF(Prices!C210&lt;OFFSET(Prices!C210,-S$3,0),1,-1)</f>
        <v>1</v>
      </c>
      <c r="T211" s="1">
        <f ca="1">IF(S211=1,T$3*Q210/Prices!C210,-T$3*R210)</f>
        <v>1.6985453574089616E-4</v>
      </c>
      <c r="V211" s="9"/>
      <c r="W211" s="1"/>
      <c r="X211" s="1"/>
      <c r="Y211" s="1"/>
      <c r="Z211" s="1"/>
      <c r="AA211" s="1"/>
      <c r="AB211" s="1"/>
      <c r="AC211" s="1"/>
      <c r="AD211" s="1"/>
      <c r="AE211" s="16"/>
    </row>
    <row r="212" spans="1:31" x14ac:dyDescent="0.2">
      <c r="A212" s="4">
        <v>33802</v>
      </c>
      <c r="B212" s="9">
        <f ca="1">Prices!C211*(1+J212/(50*(ABS(O212)+ABS(T212)+0.0001)))</f>
        <v>123.16516644712206</v>
      </c>
      <c r="C212" s="21">
        <f t="shared" ca="1" si="23"/>
        <v>-1</v>
      </c>
      <c r="D212" s="9">
        <f ca="1">D211+C212*(Prices!C212-Prices!C211)/Prices!C211</f>
        <v>0.1080846219313667</v>
      </c>
      <c r="E212" s="9">
        <f t="shared" ca="1" si="24"/>
        <v>2.7871273503259908E-3</v>
      </c>
      <c r="F212" s="9">
        <f t="shared" ca="1" si="25"/>
        <v>0.11087174928169269</v>
      </c>
      <c r="G212" s="13">
        <f ca="1">IF((Prices!C212-Prices!C211)*C212&gt;0,1,0)</f>
        <v>1</v>
      </c>
      <c r="H212" s="9">
        <f>ABS(Prices!C212-Prices!C211)/Prices!C211</f>
        <v>7.1741729772818305E-3</v>
      </c>
      <c r="I212" s="13"/>
      <c r="J212" s="1">
        <f t="shared" ca="1" si="26"/>
        <v>-1.0192576017559862E-3</v>
      </c>
      <c r="K212" s="9"/>
      <c r="L212" s="9">
        <f ca="1">L211-O212*Prices!C212</f>
        <v>1.3711527895225428</v>
      </c>
      <c r="M212" s="1">
        <f t="shared" ca="1" si="27"/>
        <v>7.4243653573853553E-3</v>
      </c>
      <c r="N212" s="9">
        <f ca="1">IF(Prices!D211&gt;OFFSET(Prices!D211,-$N$3,0),1,-1)</f>
        <v>-1</v>
      </c>
      <c r="O212" s="1">
        <f ca="1">IF(N212=1,O$3*L211/Prices!C211,-O$3*M211)</f>
        <v>-8.2492948415392839E-4</v>
      </c>
      <c r="P212" s="14"/>
      <c r="Q212" s="9">
        <f ca="1">Q211-T212*Prices!C212</f>
        <v>1.0644861639192418</v>
      </c>
      <c r="R212" s="1">
        <f t="shared" ca="1" si="28"/>
        <v>9.5220777625008336E-3</v>
      </c>
      <c r="S212" s="9">
        <f ca="1">IF(Prices!C211&lt;OFFSET(Prices!C211,-S$3,0),1,-1)</f>
        <v>-1</v>
      </c>
      <c r="T212" s="1">
        <f ca="1">IF(S212=1,T$3*Q211/Prices!C211,-T$3*R211)</f>
        <v>-1.9432811760205783E-4</v>
      </c>
      <c r="V212" s="9"/>
      <c r="W212" s="1"/>
      <c r="X212" s="1"/>
      <c r="Y212" s="1"/>
      <c r="Z212" s="1"/>
      <c r="AA212" s="1"/>
      <c r="AB212" s="1"/>
      <c r="AC212" s="1"/>
      <c r="AD212" s="1"/>
      <c r="AE212" s="16"/>
    </row>
    <row r="213" spans="1:31" x14ac:dyDescent="0.2">
      <c r="A213" s="4">
        <v>33805</v>
      </c>
      <c r="B213" s="9">
        <f ca="1">Prices!C212*(1+J213/(50*(ABS(O213)+ABS(T213)+0.0001)))</f>
        <v>123.14516722155598</v>
      </c>
      <c r="C213" s="21">
        <f t="shared" ca="1" si="23"/>
        <v>-1</v>
      </c>
      <c r="D213" s="9">
        <f ca="1">D212+C213*(Prices!C213-Prices!C212)/Prices!C212</f>
        <v>0.10246438909314909</v>
      </c>
      <c r="E213" s="9">
        <f t="shared" ca="1" si="24"/>
        <v>8.4073601885436E-3</v>
      </c>
      <c r="F213" s="9">
        <f t="shared" ca="1" si="25"/>
        <v>0.11087174928169269</v>
      </c>
      <c r="G213" s="13">
        <f ca="1">IF((Prices!C213-Prices!C212)*C213&gt;0,1,0)</f>
        <v>0</v>
      </c>
      <c r="H213" s="9">
        <f>ABS(Prices!C213-Prices!C212)/Prices!C212</f>
        <v>5.6202328382176066E-3</v>
      </c>
      <c r="I213" s="13"/>
      <c r="J213" s="1">
        <f t="shared" ca="1" si="26"/>
        <v>-5.7150339018747305E-4</v>
      </c>
      <c r="K213" s="9"/>
      <c r="L213" s="9">
        <f ca="1">L212-O213*Prices!C213</f>
        <v>1.4641429656237943</v>
      </c>
      <c r="M213" s="1">
        <f t="shared" ca="1" si="27"/>
        <v>6.6819288216468202E-3</v>
      </c>
      <c r="N213" s="9">
        <f ca="1">IF(Prices!D212&gt;OFFSET(Prices!D212,-$N$3,0),1,-1)</f>
        <v>-1</v>
      </c>
      <c r="O213" s="1">
        <f ca="1">IF(N213=1,O$3*L212/Prices!C212,-O$3*M212)</f>
        <v>-7.4243653573853553E-4</v>
      </c>
      <c r="P213" s="14"/>
      <c r="Q213" s="9">
        <f ca="1">Q212-T213*Prices!C213</f>
        <v>1.0430767874389713</v>
      </c>
      <c r="R213" s="1">
        <f t="shared" ca="1" si="28"/>
        <v>9.693010908051896E-3</v>
      </c>
      <c r="S213" s="9">
        <f ca="1">IF(Prices!C212&lt;OFFSET(Prices!C212,-S$3,0),1,-1)</f>
        <v>1</v>
      </c>
      <c r="T213" s="1">
        <f ca="1">IF(S213=1,T$3*Q212/Prices!C212,-T$3*R212)</f>
        <v>1.7093314555106251E-4</v>
      </c>
      <c r="V213" s="9"/>
      <c r="W213" s="1"/>
      <c r="X213" s="1"/>
      <c r="Y213" s="1"/>
      <c r="Z213" s="1"/>
      <c r="AA213" s="1"/>
      <c r="AB213" s="1"/>
      <c r="AC213" s="1"/>
      <c r="AD213" s="1"/>
      <c r="AE213" s="16"/>
    </row>
    <row r="214" spans="1:31" x14ac:dyDescent="0.2">
      <c r="A214" s="4">
        <v>33806</v>
      </c>
      <c r="B214" s="9">
        <f ca="1">Prices!C213*(1+J214/(50*(ABS(O214)+ABS(T214)+0.0001)))</f>
        <v>127.58050066873049</v>
      </c>
      <c r="C214" s="21">
        <f t="shared" ca="1" si="23"/>
        <v>1</v>
      </c>
      <c r="D214" s="9">
        <f ca="1">D213+C214*(Prices!C214-Prices!C213)/Prices!C213</f>
        <v>0.10286359068995546</v>
      </c>
      <c r="E214" s="9">
        <f t="shared" ca="1" si="24"/>
        <v>8.00815859173723E-3</v>
      </c>
      <c r="F214" s="9">
        <f t="shared" ca="1" si="25"/>
        <v>0.11087174928169269</v>
      </c>
      <c r="G214" s="13">
        <f ca="1">IF((Prices!C214-Prices!C213)*C214&gt;0,1,0)</f>
        <v>1</v>
      </c>
      <c r="H214" s="9">
        <f>ABS(Prices!C214-Prices!C213)/Prices!C213</f>
        <v>3.9920159680636454E-4</v>
      </c>
      <c r="I214" s="13"/>
      <c r="J214" s="1">
        <f t="shared" ca="1" si="26"/>
        <v>1.3355355873146417E-3</v>
      </c>
      <c r="K214" s="9"/>
      <c r="L214" s="9">
        <f ca="1">L213-O214*Prices!C214</f>
        <v>1.3176702202404318</v>
      </c>
      <c r="M214" s="1">
        <f t="shared" ca="1" si="27"/>
        <v>7.8509052413065356E-3</v>
      </c>
      <c r="N214" s="9">
        <f ca="1">IF(Prices!D213&gt;OFFSET(Prices!D213,-$N$3,0),1,-1)</f>
        <v>1</v>
      </c>
      <c r="O214" s="1">
        <f ca="1">IF(N214=1,O$3*L213/Prices!C213,-O$3*M213)</f>
        <v>1.1689764196597162E-3</v>
      </c>
      <c r="P214" s="14"/>
      <c r="Q214" s="9">
        <f ca="1">Q213-T214*Prices!C214</f>
        <v>1.022206923731809</v>
      </c>
      <c r="R214" s="1">
        <f t="shared" ca="1" si="28"/>
        <v>9.8595700757068208E-3</v>
      </c>
      <c r="S214" s="9">
        <f ca="1">IF(Prices!C213&lt;OFFSET(Prices!C213,-S$3,0),1,-1)</f>
        <v>1</v>
      </c>
      <c r="T214" s="1">
        <f ca="1">IF(S214=1,T$3*Q213/Prices!C213,-T$3*R213)</f>
        <v>1.6655916765492555E-4</v>
      </c>
      <c r="V214" s="9"/>
      <c r="W214" s="1"/>
      <c r="X214" s="1"/>
      <c r="Y214" s="1"/>
      <c r="Z214" s="1"/>
      <c r="AA214" s="1"/>
      <c r="AB214" s="1"/>
      <c r="AC214" s="1"/>
      <c r="AD214" s="1"/>
      <c r="AE214" s="16"/>
    </row>
    <row r="215" spans="1:31" x14ac:dyDescent="0.2">
      <c r="A215" s="4">
        <v>33807</v>
      </c>
      <c r="B215" s="9">
        <f ca="1">Prices!C214*(1+J215/(50*(ABS(O215)+ABS(T215)+0.0001)))</f>
        <v>123.02554780105072</v>
      </c>
      <c r="C215" s="21">
        <f t="shared" ca="1" si="23"/>
        <v>-1</v>
      </c>
      <c r="D215" s="9">
        <f ca="1">D214+C215*(Prices!C215-Prices!C214)/Prices!C214</f>
        <v>9.009423713847893E-2</v>
      </c>
      <c r="E215" s="9">
        <f t="shared" ca="1" si="24"/>
        <v>2.0777512143213758E-2</v>
      </c>
      <c r="F215" s="9">
        <f t="shared" ca="1" si="25"/>
        <v>0.11087174928169269</v>
      </c>
      <c r="G215" s="13">
        <f ca="1">IF((Prices!C215-Prices!C214)*C215&gt;0,1,0)</f>
        <v>0</v>
      </c>
      <c r="H215" s="9">
        <f>ABS(Prices!C215-Prices!C214)/Prices!C214</f>
        <v>1.2769353551476525E-2</v>
      </c>
      <c r="I215" s="13"/>
      <c r="J215" s="1">
        <f t="shared" ca="1" si="26"/>
        <v>-9.8228192564478998E-4</v>
      </c>
      <c r="K215" s="9"/>
      <c r="L215" s="9">
        <f ca="1">L214-O215*Prices!C215</f>
        <v>1.4172982077526117</v>
      </c>
      <c r="M215" s="1">
        <f t="shared" ca="1" si="27"/>
        <v>7.0658147171758822E-3</v>
      </c>
      <c r="N215" s="9">
        <f ca="1">IF(Prices!D214&gt;OFFSET(Prices!D214,-$N$3,0),1,-1)</f>
        <v>-1</v>
      </c>
      <c r="O215" s="1">
        <f ca="1">IF(N215=1,O$3*L214/Prices!C214,-O$3*M214)</f>
        <v>-7.850905241306536E-4</v>
      </c>
      <c r="P215" s="14"/>
      <c r="Q215" s="9">
        <f ca="1">Q214-T215*Prices!C215</f>
        <v>1.0472305125839529</v>
      </c>
      <c r="R215" s="1">
        <f t="shared" ca="1" si="28"/>
        <v>9.6623786741926836E-3</v>
      </c>
      <c r="S215" s="9">
        <f ca="1">IF(Prices!C214&lt;OFFSET(Prices!C214,-S$3,0),1,-1)</f>
        <v>-1</v>
      </c>
      <c r="T215" s="1">
        <f ca="1">IF(S215=1,T$3*Q214/Prices!C214,-T$3*R214)</f>
        <v>-1.9719140151413641E-4</v>
      </c>
      <c r="V215" s="9"/>
      <c r="W215" s="1"/>
      <c r="X215" s="1"/>
      <c r="Y215" s="1"/>
      <c r="Z215" s="1"/>
      <c r="AA215" s="1"/>
      <c r="AB215" s="1"/>
      <c r="AC215" s="1"/>
      <c r="AD215" s="1"/>
      <c r="AE215" s="16"/>
    </row>
    <row r="216" spans="1:31" x14ac:dyDescent="0.2">
      <c r="A216" s="4">
        <v>33808</v>
      </c>
      <c r="B216" s="9">
        <f ca="1">Prices!C215*(1+J216/(50*(ABS(O216)+ABS(T216)+0.0001)))</f>
        <v>124.61584339574659</v>
      </c>
      <c r="C216" s="21">
        <f t="shared" ca="1" si="23"/>
        <v>-1</v>
      </c>
      <c r="D216" s="9">
        <f ca="1">D215+C216*(Prices!C216-Prices!C215)/Prices!C215</f>
        <v>9.2221896712947102E-2</v>
      </c>
      <c r="E216" s="9">
        <f t="shared" ca="1" si="24"/>
        <v>1.8649852568745587E-2</v>
      </c>
      <c r="F216" s="9">
        <f t="shared" ca="1" si="25"/>
        <v>0.11087174928169269</v>
      </c>
      <c r="G216" s="13">
        <f ca="1">IF((Prices!C216-Prices!C215)*C216&gt;0,1,0)</f>
        <v>1</v>
      </c>
      <c r="H216" s="9">
        <f>ABS(Prices!C216-Prices!C215)/Prices!C215</f>
        <v>2.1276595744681658E-3</v>
      </c>
      <c r="I216" s="13"/>
      <c r="J216" s="1">
        <f t="shared" ca="1" si="26"/>
        <v>-8.9982904520144198E-4</v>
      </c>
      <c r="K216" s="9"/>
      <c r="L216" s="9">
        <f ca="1">L215-O216*Prices!C216</f>
        <v>1.5067726195162099</v>
      </c>
      <c r="M216" s="1">
        <f t="shared" ca="1" si="27"/>
        <v>6.359233245458294E-3</v>
      </c>
      <c r="N216" s="9">
        <f ca="1">IF(Prices!D215&gt;OFFSET(Prices!D215,-$N$3,0),1,-1)</f>
        <v>-1</v>
      </c>
      <c r="O216" s="1">
        <f ca="1">IF(N216=1,O$3*L215/Prices!C215,-O$3*M215)</f>
        <v>-7.0658147171758824E-4</v>
      </c>
      <c r="P216" s="14"/>
      <c r="Q216" s="9">
        <f ca="1">Q215-T216*Prices!C216</f>
        <v>1.0717014528142133</v>
      </c>
      <c r="R216" s="1">
        <f t="shared" ca="1" si="28"/>
        <v>9.4691311007088306E-3</v>
      </c>
      <c r="S216" s="9">
        <f ca="1">IF(Prices!C215&lt;OFFSET(Prices!C215,-S$3,0),1,-1)</f>
        <v>-1</v>
      </c>
      <c r="T216" s="1">
        <f ca="1">IF(S216=1,T$3*Q215/Prices!C215,-T$3*R215)</f>
        <v>-1.9324757348385368E-4</v>
      </c>
      <c r="V216" s="9"/>
      <c r="W216" s="1"/>
      <c r="X216" s="1"/>
      <c r="Y216" s="1"/>
      <c r="Z216" s="1"/>
      <c r="AA216" s="1"/>
      <c r="AB216" s="1"/>
      <c r="AC216" s="1"/>
      <c r="AD216" s="1"/>
      <c r="AE216" s="16"/>
    </row>
    <row r="217" spans="1:31" x14ac:dyDescent="0.2">
      <c r="A217" s="4">
        <v>33809</v>
      </c>
      <c r="B217" s="9">
        <f ca="1">Prices!C216*(1+J217/(50*(ABS(O217)+ABS(T217)+0.0001)))</f>
        <v>124.37110406614325</v>
      </c>
      <c r="C217" s="21">
        <f t="shared" ca="1" si="23"/>
        <v>-1</v>
      </c>
      <c r="D217" s="9">
        <f ca="1">D216+C217*(Prices!C217-Prices!C216)/Prices!C216</f>
        <v>8.0613273164025057E-2</v>
      </c>
      <c r="E217" s="9">
        <f t="shared" ca="1" si="24"/>
        <v>3.0258476117667632E-2</v>
      </c>
      <c r="F217" s="9">
        <f t="shared" ca="1" si="25"/>
        <v>0.11087174928169269</v>
      </c>
      <c r="G217" s="13">
        <f ca="1">IF((Prices!C217-Prices!C216)*C217&gt;0,1,0)</f>
        <v>0</v>
      </c>
      <c r="H217" s="9">
        <f>ABS(Prices!C217-Prices!C216)/Prices!C216</f>
        <v>1.1608623548922049E-2</v>
      </c>
      <c r="I217" s="13"/>
      <c r="J217" s="1">
        <f t="shared" ca="1" si="26"/>
        <v>-8.2530594656000608E-4</v>
      </c>
      <c r="K217" s="9"/>
      <c r="L217" s="9">
        <f ca="1">L216-O217*Prices!C217</f>
        <v>1.5882343973905306</v>
      </c>
      <c r="M217" s="1">
        <f t="shared" ca="1" si="27"/>
        <v>5.7233099209124646E-3</v>
      </c>
      <c r="N217" s="9">
        <f ca="1">IF(Prices!D216&gt;OFFSET(Prices!D216,-$N$3,0),1,-1)</f>
        <v>-1</v>
      </c>
      <c r="O217" s="1">
        <f ca="1">IF(N217=1,O$3*L216/Prices!C216,-O$3*M216)</f>
        <v>-6.3592332454582949E-4</v>
      </c>
      <c r="P217" s="14"/>
      <c r="Q217" s="9">
        <f ca="1">Q216-T217*Prices!C217</f>
        <v>1.0959613666942292</v>
      </c>
      <c r="R217" s="1">
        <f t="shared" ca="1" si="28"/>
        <v>9.2797484786946542E-3</v>
      </c>
      <c r="S217" s="9">
        <f ca="1">IF(Prices!C216&lt;OFFSET(Prices!C216,-S$3,0),1,-1)</f>
        <v>-1</v>
      </c>
      <c r="T217" s="1">
        <f ca="1">IF(S217=1,T$3*Q216/Prices!C216,-T$3*R216)</f>
        <v>-1.8938262201417661E-4</v>
      </c>
      <c r="V217" s="9"/>
      <c r="W217" s="1"/>
      <c r="X217" s="1"/>
      <c r="Y217" s="1"/>
      <c r="Z217" s="1"/>
      <c r="AA217" s="1"/>
      <c r="AB217" s="1"/>
      <c r="AC217" s="1"/>
      <c r="AD217" s="1"/>
      <c r="AE217" s="16"/>
    </row>
    <row r="218" spans="1:31" x14ac:dyDescent="0.2">
      <c r="A218" s="4">
        <v>33812</v>
      </c>
      <c r="B218" s="9">
        <f ca="1">Prices!C217*(1+J218/(50*(ABS(O218)+ABS(T218)+0.0001)))</f>
        <v>125.83662716766695</v>
      </c>
      <c r="C218" s="21">
        <f t="shared" ca="1" si="23"/>
        <v>-1</v>
      </c>
      <c r="D218" s="9">
        <f ca="1">D217+C218*(Prices!C218-Prices!C217)/Prices!C217</f>
        <v>8.4906793850988344E-2</v>
      </c>
      <c r="E218" s="9">
        <f t="shared" ca="1" si="24"/>
        <v>2.5964955430704345E-2</v>
      </c>
      <c r="F218" s="9">
        <f t="shared" ca="1" si="25"/>
        <v>0.11087174928169269</v>
      </c>
      <c r="G218" s="13">
        <f ca="1">IF((Prices!C218-Prices!C217)*C218&gt;0,1,0)</f>
        <v>1</v>
      </c>
      <c r="H218" s="9">
        <f>ABS(Prices!C218-Prices!C217)/Prices!C217</f>
        <v>4.2935206869632878E-3</v>
      </c>
      <c r="I218" s="13"/>
      <c r="J218" s="1">
        <f t="shared" ca="1" si="26"/>
        <v>-7.5792596166513967E-4</v>
      </c>
      <c r="K218" s="9"/>
      <c r="L218" s="9">
        <f ca="1">L217-O218*Prices!C218</f>
        <v>1.6612352154317691</v>
      </c>
      <c r="M218" s="1">
        <f t="shared" ca="1" si="27"/>
        <v>5.1509789288212184E-3</v>
      </c>
      <c r="N218" s="9">
        <f ca="1">IF(Prices!D217&gt;OFFSET(Prices!D217,-$N$3,0),1,-1)</f>
        <v>-1</v>
      </c>
      <c r="O218" s="1">
        <f ca="1">IF(N218=1,O$3*L217/Prices!C217,-O$3*M217)</f>
        <v>-5.7233099209124652E-4</v>
      </c>
      <c r="P218" s="14"/>
      <c r="Q218" s="9">
        <f ca="1">Q217-T218*Prices!C218</f>
        <v>1.1196340050633793</v>
      </c>
      <c r="R218" s="1">
        <f t="shared" ca="1" si="28"/>
        <v>9.0941535091207618E-3</v>
      </c>
      <c r="S218" s="9">
        <f ca="1">IF(Prices!C217&lt;OFFSET(Prices!C217,-S$3,0),1,-1)</f>
        <v>-1</v>
      </c>
      <c r="T218" s="1">
        <f ca="1">IF(S218=1,T$3*Q217/Prices!C217,-T$3*R217)</f>
        <v>-1.855949695738931E-4</v>
      </c>
      <c r="V218" s="9"/>
      <c r="W218" s="1"/>
      <c r="X218" s="1"/>
      <c r="Y218" s="1"/>
      <c r="Z218" s="1"/>
      <c r="AA218" s="1"/>
      <c r="AB218" s="1"/>
      <c r="AC218" s="1"/>
      <c r="AD218" s="1"/>
      <c r="AE218" s="16"/>
    </row>
    <row r="219" spans="1:31" x14ac:dyDescent="0.2">
      <c r="A219" s="4">
        <v>33813</v>
      </c>
      <c r="B219" s="9">
        <f ca="1">Prices!C218*(1+J219/(50*(ABS(O219)+ABS(T219)+0.0001)))</f>
        <v>125.31908292772653</v>
      </c>
      <c r="C219" s="21">
        <f t="shared" ca="1" si="23"/>
        <v>-1</v>
      </c>
      <c r="D219" s="9">
        <f ca="1">D218+C219*(Prices!C219-Prices!C218)/Prices!C218</f>
        <v>8.6161203886268606E-2</v>
      </c>
      <c r="E219" s="9">
        <f t="shared" ca="1" si="24"/>
        <v>2.4710545395424083E-2</v>
      </c>
      <c r="F219" s="9">
        <f t="shared" ca="1" si="25"/>
        <v>0.11087174928169269</v>
      </c>
      <c r="G219" s="13">
        <f ca="1">IF((Prices!C219-Prices!C218)*C219&gt;0,1,0)</f>
        <v>1</v>
      </c>
      <c r="H219" s="9">
        <f>ABS(Prices!C219-Prices!C218)/Prices!C218</f>
        <v>1.2544100352802556E-3</v>
      </c>
      <c r="I219" s="13"/>
      <c r="J219" s="1">
        <f t="shared" ca="1" si="26"/>
        <v>-6.9698096306453701E-4</v>
      </c>
      <c r="K219" s="9"/>
      <c r="L219" s="9">
        <f ca="1">L218-O219*Prices!C219</f>
        <v>1.7268535360060226</v>
      </c>
      <c r="M219" s="1">
        <f t="shared" ca="1" si="27"/>
        <v>4.6358810359390969E-3</v>
      </c>
      <c r="N219" s="9">
        <f ca="1">IF(Prices!D218&gt;OFFSET(Prices!D218,-$N$3,0),1,-1)</f>
        <v>-1</v>
      </c>
      <c r="O219" s="1">
        <f ca="1">IF(N219=1,O$3*L218/Prices!C218,-O$3*M218)</f>
        <v>-5.1509789288212181E-4</v>
      </c>
      <c r="P219" s="14"/>
      <c r="Q219" s="9">
        <f ca="1">Q218-T219*Prices!C219</f>
        <v>1.1428040893739171</v>
      </c>
      <c r="R219" s="1">
        <f t="shared" ca="1" si="28"/>
        <v>8.9122704389383474E-3</v>
      </c>
      <c r="S219" s="9">
        <f ca="1">IF(Prices!C218&lt;OFFSET(Prices!C218,-S$3,0),1,-1)</f>
        <v>-1</v>
      </c>
      <c r="T219" s="1">
        <f ca="1">IF(S219=1,T$3*Q218/Prices!C218,-T$3*R218)</f>
        <v>-1.8188307018241525E-4</v>
      </c>
      <c r="V219" s="9"/>
      <c r="W219" s="1"/>
      <c r="X219" s="1"/>
      <c r="Y219" s="1"/>
      <c r="Z219" s="1"/>
      <c r="AA219" s="1"/>
      <c r="AB219" s="1"/>
      <c r="AC219" s="1"/>
      <c r="AD219" s="1"/>
      <c r="AE219" s="16"/>
    </row>
    <row r="220" spans="1:31" x14ac:dyDescent="0.2">
      <c r="A220" s="4">
        <v>33814</v>
      </c>
      <c r="B220" s="9">
        <f ca="1">Prices!C219*(1+J220/(50*(ABS(O220)+ABS(T220)+0.0001)))</f>
        <v>125.18564633364582</v>
      </c>
      <c r="C220" s="21">
        <f t="shared" ca="1" si="23"/>
        <v>-1</v>
      </c>
      <c r="D220" s="9">
        <f ca="1">D219+C220*(Prices!C220-Prices!C219)/Prices!C219</f>
        <v>8.2707243606811837E-2</v>
      </c>
      <c r="E220" s="9">
        <f t="shared" ca="1" si="24"/>
        <v>2.8164505674880852E-2</v>
      </c>
      <c r="F220" s="9">
        <f t="shared" ca="1" si="25"/>
        <v>0.11087174928169269</v>
      </c>
      <c r="G220" s="13">
        <f ca="1">IF((Prices!C220-Prices!C219)*C220&gt;0,1,0)</f>
        <v>0</v>
      </c>
      <c r="H220" s="9">
        <f>ABS(Prices!C220-Prices!C219)/Prices!C219</f>
        <v>3.4539602794567683E-3</v>
      </c>
      <c r="I220" s="13"/>
      <c r="J220" s="1">
        <f t="shared" ca="1" si="26"/>
        <v>-6.418335123726767E-4</v>
      </c>
      <c r="K220" s="9"/>
      <c r="L220" s="9">
        <f ca="1">L219-O220*Prices!C220</f>
        <v>1.7861140032884322</v>
      </c>
      <c r="M220" s="1">
        <f t="shared" ca="1" si="27"/>
        <v>4.1722929323451874E-3</v>
      </c>
      <c r="N220" s="9">
        <f ca="1">IF(Prices!D219&gt;OFFSET(Prices!D219,-$N$3,0),1,-1)</f>
        <v>-1</v>
      </c>
      <c r="O220" s="1">
        <f ca="1">IF(N220=1,O$3*L219/Prices!C219,-O$3*M219)</f>
        <v>-4.6358810359390973E-4</v>
      </c>
      <c r="P220" s="14"/>
      <c r="Q220" s="9">
        <f ca="1">Q219-T220*Prices!C220</f>
        <v>1.1655891999781069</v>
      </c>
      <c r="R220" s="1">
        <f t="shared" ca="1" si="28"/>
        <v>8.7340250301595809E-3</v>
      </c>
      <c r="S220" s="9">
        <f ca="1">IF(Prices!C219&lt;OFFSET(Prices!C219,-S$3,0),1,-1)</f>
        <v>-1</v>
      </c>
      <c r="T220" s="1">
        <f ca="1">IF(S220=1,T$3*Q219/Prices!C219,-T$3*R219)</f>
        <v>-1.7824540877876694E-4</v>
      </c>
      <c r="V220" s="9"/>
      <c r="W220" s="1"/>
      <c r="X220" s="1"/>
      <c r="Y220" s="1"/>
      <c r="Z220" s="1"/>
      <c r="AA220" s="1"/>
      <c r="AB220" s="1"/>
      <c r="AC220" s="1"/>
      <c r="AD220" s="1"/>
      <c r="AE220" s="16"/>
    </row>
    <row r="221" spans="1:31" x14ac:dyDescent="0.2">
      <c r="A221" s="4">
        <v>33815</v>
      </c>
      <c r="B221" s="9">
        <f ca="1">Prices!C220*(1+J221/(50*(ABS(O221)+ABS(T221)+0.0001)))</f>
        <v>125.64289903336672</v>
      </c>
      <c r="C221" s="21">
        <f t="shared" ca="1" si="23"/>
        <v>-1</v>
      </c>
      <c r="D221" s="9">
        <f ca="1">D220+C221*(Prices!C221-Prices!C220)/Prices!C220</f>
        <v>8.4897652743947102E-2</v>
      </c>
      <c r="E221" s="9">
        <f t="shared" ca="1" si="24"/>
        <v>2.5974096537745586E-2</v>
      </c>
      <c r="F221" s="9">
        <f t="shared" ca="1" si="25"/>
        <v>0.11087174928169269</v>
      </c>
      <c r="G221" s="13">
        <f ca="1">IF((Prices!C221-Prices!C220)*C221&gt;0,1,0)</f>
        <v>1</v>
      </c>
      <c r="H221" s="9">
        <f>ABS(Prices!C221-Prices!C220)/Prices!C220</f>
        <v>2.1904091371352666E-3</v>
      </c>
      <c r="I221" s="13"/>
      <c r="J221" s="1">
        <f t="shared" ca="1" si="26"/>
        <v>-5.9190979383771047E-4</v>
      </c>
      <c r="K221" s="9"/>
      <c r="L221" s="9">
        <f ca="1">L220-O221*Prices!C221</f>
        <v>1.8393315996404951</v>
      </c>
      <c r="M221" s="1">
        <f t="shared" ca="1" si="27"/>
        <v>3.7550636391106684E-3</v>
      </c>
      <c r="N221" s="9">
        <f ca="1">IF(Prices!D220&gt;OFFSET(Prices!D220,-$N$3,0),1,-1)</f>
        <v>-1</v>
      </c>
      <c r="O221" s="1">
        <f ca="1">IF(N221=1,O$3*L220/Prices!C220,-O$3*M220)</f>
        <v>-4.1722929323451878E-4</v>
      </c>
      <c r="P221" s="14"/>
      <c r="Q221" s="9">
        <f ca="1">Q220-T221*Prices!C221</f>
        <v>1.187869697830044</v>
      </c>
      <c r="R221" s="1">
        <f t="shared" ca="1" si="28"/>
        <v>8.55934452955639E-3</v>
      </c>
      <c r="S221" s="9">
        <f ca="1">IF(Prices!C220&lt;OFFSET(Prices!C220,-S$3,0),1,-1)</f>
        <v>-1</v>
      </c>
      <c r="T221" s="1">
        <f ca="1">IF(S221=1,T$3*Q220/Prices!C220,-T$3*R220)</f>
        <v>-1.7468050060319163E-4</v>
      </c>
      <c r="V221" s="9"/>
      <c r="W221" s="1"/>
      <c r="X221" s="1"/>
      <c r="Y221" s="1"/>
      <c r="Z221" s="1"/>
      <c r="AA221" s="1"/>
      <c r="AB221" s="1"/>
      <c r="AC221" s="1"/>
      <c r="AD221" s="1"/>
      <c r="AE221" s="16"/>
    </row>
    <row r="222" spans="1:31" x14ac:dyDescent="0.2">
      <c r="A222" s="4">
        <v>33816</v>
      </c>
      <c r="B222" s="9">
        <f ca="1">Prices!C221*(1+J222/(50*(ABS(O222)+ABS(T222)+0.0001)))</f>
        <v>129.95339890566487</v>
      </c>
      <c r="C222" s="21">
        <f t="shared" ca="1" si="23"/>
        <v>1</v>
      </c>
      <c r="D222" s="9">
        <f ca="1">D221+C222*(Prices!C222-Prices!C221)/Prices!C221</f>
        <v>8.2153630791771529E-2</v>
      </c>
      <c r="E222" s="9">
        <f t="shared" ca="1" si="24"/>
        <v>2.871811848992116E-2</v>
      </c>
      <c r="F222" s="9">
        <f t="shared" ca="1" si="25"/>
        <v>0.11087174928169269</v>
      </c>
      <c r="G222" s="13">
        <f ca="1">IF((Prices!C222-Prices!C221)*C222&gt;0,1,0)</f>
        <v>0</v>
      </c>
      <c r="H222" s="9">
        <f>ABS(Prices!C222-Prices!C221)/Prices!C221</f>
        <v>2.7440219521755729E-3</v>
      </c>
      <c r="I222" s="13"/>
      <c r="J222" s="1">
        <f t="shared" ca="1" si="26"/>
        <v>1.6283069691936528E-3</v>
      </c>
      <c r="K222" s="9"/>
      <c r="L222" s="9">
        <f ca="1">L221-O222*Prices!C222</f>
        <v>1.6559031563051199</v>
      </c>
      <c r="M222" s="1">
        <f t="shared" ca="1" si="27"/>
        <v>5.1971111496089007E-3</v>
      </c>
      <c r="N222" s="9">
        <f ca="1">IF(Prices!D221&gt;OFFSET(Prices!D221,-$N$3,0),1,-1)</f>
        <v>1</v>
      </c>
      <c r="O222" s="1">
        <f ca="1">IF(N222=1,O$3*L221/Prices!C221,-O$3*M221)</f>
        <v>1.4420475104982323E-3</v>
      </c>
      <c r="P222" s="14"/>
      <c r="Q222" s="9">
        <f ca="1">Q221-T222*Prices!C222</f>
        <v>1.1641774946839865</v>
      </c>
      <c r="R222" s="1">
        <f t="shared" ca="1" si="28"/>
        <v>8.7456039882518113E-3</v>
      </c>
      <c r="S222" s="9">
        <f ca="1">IF(Prices!C221&lt;OFFSET(Prices!C221,-S$3,0),1,-1)</f>
        <v>1</v>
      </c>
      <c r="T222" s="1">
        <f ca="1">IF(S222=1,T$3*Q221/Prices!C221,-T$3*R221)</f>
        <v>1.8625945869542047E-4</v>
      </c>
      <c r="V222" s="9"/>
      <c r="W222" s="1"/>
      <c r="X222" s="1"/>
      <c r="Y222" s="1"/>
      <c r="Z222" s="1"/>
      <c r="AA222" s="1"/>
      <c r="AB222" s="1"/>
      <c r="AC222" s="1"/>
      <c r="AD222" s="1"/>
      <c r="AE222" s="16"/>
    </row>
    <row r="223" spans="1:31" x14ac:dyDescent="0.2">
      <c r="A223" s="4">
        <v>33819</v>
      </c>
      <c r="B223" s="9">
        <f ca="1">Prices!C222*(1+J223/(50*(ABS(O223)+ABS(T223)+0.0001)))</f>
        <v>129.58348082985634</v>
      </c>
      <c r="C223" s="21">
        <f t="shared" ca="1" si="23"/>
        <v>1</v>
      </c>
      <c r="D223" s="9">
        <f ca="1">D222+C223*(Prices!C223-Prices!C222)/Prices!C222</f>
        <v>8.1996398087369041E-2</v>
      </c>
      <c r="E223" s="9">
        <f t="shared" ca="1" si="24"/>
        <v>2.8875351194323648E-2</v>
      </c>
      <c r="F223" s="9">
        <f t="shared" ca="1" si="25"/>
        <v>0.11087174928169269</v>
      </c>
      <c r="G223" s="13">
        <f ca="1">IF((Prices!C223-Prices!C222)*C223&gt;0,1,0)</f>
        <v>0</v>
      </c>
      <c r="H223" s="9">
        <f>ABS(Prices!C223-Prices!C222)/Prices!C222</f>
        <v>1.5723270440248444E-4</v>
      </c>
      <c r="I223" s="13"/>
      <c r="J223" s="1">
        <f t="shared" ca="1" si="26"/>
        <v>1.4848574333662871E-3</v>
      </c>
      <c r="K223" s="9"/>
      <c r="L223" s="9">
        <f ca="1">L222-O223*Prices!C223</f>
        <v>1.4903388768877572</v>
      </c>
      <c r="M223" s="1">
        <f t="shared" ca="1" si="27"/>
        <v>6.4989218070814793E-3</v>
      </c>
      <c r="N223" s="9">
        <f ca="1">IF(Prices!D222&gt;OFFSET(Prices!D222,-$N$3,0),1,-1)</f>
        <v>1</v>
      </c>
      <c r="O223" s="1">
        <f ca="1">IF(N223=1,O$3*L222/Prices!C222,-O$3*M222)</f>
        <v>1.3018106574725786E-3</v>
      </c>
      <c r="P223" s="14"/>
      <c r="Q223" s="9">
        <f ca="1">Q222-T223*Prices!C223</f>
        <v>1.1408976057258247</v>
      </c>
      <c r="R223" s="1">
        <f t="shared" ca="1" si="28"/>
        <v>8.9286507641455192E-3</v>
      </c>
      <c r="S223" s="9">
        <f ca="1">IF(Prices!C222&lt;OFFSET(Prices!C222,-S$3,0),1,-1)</f>
        <v>1</v>
      </c>
      <c r="T223" s="1">
        <f ca="1">IF(S223=1,T$3*Q222/Prices!C222,-T$3*R222)</f>
        <v>1.8304677589370854E-4</v>
      </c>
      <c r="V223" s="9"/>
      <c r="W223" s="1"/>
      <c r="X223" s="1"/>
      <c r="Y223" s="1"/>
      <c r="Z223" s="1"/>
      <c r="AA223" s="1"/>
      <c r="AB223" s="1"/>
      <c r="AC223" s="1"/>
      <c r="AD223" s="1"/>
      <c r="AE223" s="16"/>
    </row>
    <row r="224" spans="1:31" x14ac:dyDescent="0.2">
      <c r="A224" s="4">
        <v>33820</v>
      </c>
      <c r="B224" s="9">
        <f ca="1">Prices!C223*(1+J224/(50*(ABS(O224)+ABS(T224)+0.0001)))</f>
        <v>129.54833027643912</v>
      </c>
      <c r="C224" s="21">
        <f t="shared" ca="1" si="23"/>
        <v>1</v>
      </c>
      <c r="D224" s="9">
        <f ca="1">D223+C224*(Prices!C224-Prices!C223)/Prices!C223</f>
        <v>8.2546799093816542E-2</v>
      </c>
      <c r="E224" s="9">
        <f t="shared" ca="1" si="24"/>
        <v>2.8324950187876147E-2</v>
      </c>
      <c r="F224" s="9">
        <f t="shared" ca="1" si="25"/>
        <v>0.11087174928169269</v>
      </c>
      <c r="G224" s="13">
        <f ca="1">IF((Prices!C224-Prices!C223)*C224&gt;0,1,0)</f>
        <v>1</v>
      </c>
      <c r="H224" s="9">
        <f>ABS(Prices!C224-Prices!C223)/Prices!C223</f>
        <v>5.5040100644750101E-4</v>
      </c>
      <c r="I224" s="13"/>
      <c r="J224" s="1">
        <f t="shared" ca="1" si="26"/>
        <v>1.3512489369656567E-3</v>
      </c>
      <c r="K224" s="9"/>
      <c r="L224" s="9">
        <f ca="1">L223-O224*Prices!C224</f>
        <v>1.3412229607972028</v>
      </c>
      <c r="M224" s="1">
        <f t="shared" ca="1" si="27"/>
        <v>7.6707561182056787E-3</v>
      </c>
      <c r="N224" s="9">
        <f ca="1">IF(Prices!D223&gt;OFFSET(Prices!D223,-$N$3,0),1,-1)</f>
        <v>1</v>
      </c>
      <c r="O224" s="1">
        <f ca="1">IF(N224=1,O$3*L223/Prices!C223,-O$3*M223)</f>
        <v>1.1718343111241998E-3</v>
      </c>
      <c r="P224" s="14"/>
      <c r="Q224" s="9">
        <f ca="1">Q223-T224*Prices!C224</f>
        <v>1.1180670945874993</v>
      </c>
      <c r="R224" s="1">
        <f t="shared" ca="1" si="28"/>
        <v>9.1080653899869753E-3</v>
      </c>
      <c r="S224" s="9">
        <f ca="1">IF(Prices!C223&lt;OFFSET(Prices!C223,-S$3,0),1,-1)</f>
        <v>1</v>
      </c>
      <c r="T224" s="1">
        <f ca="1">IF(S224=1,T$3*Q223/Prices!C223,-T$3*R223)</f>
        <v>1.7941462584145692E-4</v>
      </c>
      <c r="V224" s="9"/>
      <c r="W224" s="1"/>
      <c r="X224" s="1"/>
      <c r="Y224" s="1"/>
      <c r="Z224" s="1"/>
      <c r="AA224" s="1"/>
      <c r="AB224" s="1"/>
      <c r="AC224" s="1"/>
      <c r="AD224" s="1"/>
      <c r="AE224" s="16"/>
    </row>
    <row r="225" spans="1:31" x14ac:dyDescent="0.2">
      <c r="A225" s="4">
        <v>33821</v>
      </c>
      <c r="B225" s="9">
        <f ca="1">Prices!C224*(1+J225/(50*(ABS(O225)+ABS(T225)+0.0001)))</f>
        <v>125.80679334044702</v>
      </c>
      <c r="C225" s="21">
        <f t="shared" ca="1" si="23"/>
        <v>-1</v>
      </c>
      <c r="D225" s="9">
        <f ca="1">D224+C225*(Prices!C225-Prices!C224)/Prices!C224</f>
        <v>7.9796307934681024E-2</v>
      </c>
      <c r="E225" s="9">
        <f t="shared" ca="1" si="24"/>
        <v>3.1075441347011665E-2</v>
      </c>
      <c r="F225" s="9">
        <f t="shared" ca="1" si="25"/>
        <v>0.11087174928169269</v>
      </c>
      <c r="G225" s="13">
        <f ca="1">IF((Prices!C225-Prices!C224)*C225&gt;0,1,0)</f>
        <v>0</v>
      </c>
      <c r="H225" s="9">
        <f>ABS(Prices!C225-Prices!C224)/Prices!C224</f>
        <v>2.7504911591355154E-3</v>
      </c>
      <c r="I225" s="13"/>
      <c r="J225" s="1">
        <f t="shared" ca="1" si="26"/>
        <v>-5.9134797416437947E-4</v>
      </c>
      <c r="K225" s="9"/>
      <c r="L225" s="9">
        <f ca="1">L224-O225*Prices!C225</f>
        <v>1.4391018088655072</v>
      </c>
      <c r="M225" s="1">
        <f t="shared" ca="1" si="27"/>
        <v>6.9036805063851106E-3</v>
      </c>
      <c r="N225" s="9">
        <f ca="1">IF(Prices!D224&gt;OFFSET(Prices!D224,-$N$3,0),1,-1)</f>
        <v>-1</v>
      </c>
      <c r="O225" s="1">
        <f ca="1">IF(N225=1,O$3*L224/Prices!C224,-O$3*M224)</f>
        <v>-7.6707561182056793E-4</v>
      </c>
      <c r="P225" s="14"/>
      <c r="Q225" s="9">
        <f ca="1">Q224-T225*Prices!C225</f>
        <v>1.0956442480225697</v>
      </c>
      <c r="R225" s="1">
        <f t="shared" ca="1" si="28"/>
        <v>9.2837930276431641E-3</v>
      </c>
      <c r="S225" s="9">
        <f ca="1">IF(Prices!C224&lt;OFFSET(Prices!C224,-S$3,0),1,-1)</f>
        <v>1</v>
      </c>
      <c r="T225" s="1">
        <f ca="1">IF(S225=1,T$3*Q224/Prices!C224,-T$3*R224)</f>
        <v>1.7572763765618849E-4</v>
      </c>
      <c r="V225" s="9"/>
      <c r="W225" s="1"/>
      <c r="X225" s="1"/>
      <c r="Y225" s="1"/>
      <c r="Z225" s="1"/>
      <c r="AA225" s="1"/>
      <c r="AB225" s="1"/>
      <c r="AC225" s="1"/>
      <c r="AD225" s="1"/>
      <c r="AE225" s="16"/>
    </row>
    <row r="226" spans="1:31" x14ac:dyDescent="0.2">
      <c r="A226" s="4">
        <v>33822</v>
      </c>
      <c r="B226" s="9">
        <f ca="1">Prices!C225*(1+J226/(50*(ABS(O226)+ABS(T226)+0.0001)))</f>
        <v>125.30946364633175</v>
      </c>
      <c r="C226" s="21">
        <f t="shared" ca="1" si="23"/>
        <v>-1</v>
      </c>
      <c r="D226" s="9">
        <f ca="1">D225+C226*(Prices!C226-Prices!C225)/Prices!C225</f>
        <v>7.9012608875119822E-2</v>
      </c>
      <c r="E226" s="9">
        <f t="shared" ca="1" si="24"/>
        <v>3.1859140406572867E-2</v>
      </c>
      <c r="F226" s="9">
        <f t="shared" ca="1" si="25"/>
        <v>0.11087174928169269</v>
      </c>
      <c r="G226" s="13">
        <f ca="1">IF((Prices!C226-Prices!C225)*C226&gt;0,1,0)</f>
        <v>0</v>
      </c>
      <c r="H226" s="9">
        <f>ABS(Prices!C226-Prices!C225)/Prices!C225</f>
        <v>7.8369905956119539E-4</v>
      </c>
      <c r="I226" s="13"/>
      <c r="J226" s="1">
        <f t="shared" ca="1" si="26"/>
        <v>-8.7604391119137438E-4</v>
      </c>
      <c r="K226" s="9"/>
      <c r="L226" s="9">
        <f ca="1">L225-O226*Prices!C226</f>
        <v>1.5272618089320451</v>
      </c>
      <c r="M226" s="1">
        <f t="shared" ca="1" si="27"/>
        <v>6.2133124557465997E-3</v>
      </c>
      <c r="N226" s="9">
        <f ca="1">IF(Prices!D225&gt;OFFSET(Prices!D225,-$N$3,0),1,-1)</f>
        <v>-1</v>
      </c>
      <c r="O226" s="1">
        <f ca="1">IF(N226=1,O$3*L225/Prices!C225,-O$3*M225)</f>
        <v>-6.9036805063851109E-4</v>
      </c>
      <c r="P226" s="14"/>
      <c r="Q226" s="9">
        <f ca="1">Q225-T226*Prices!C226</f>
        <v>1.1193550554151703</v>
      </c>
      <c r="R226" s="1">
        <f t="shared" ca="1" si="28"/>
        <v>9.098117167090301E-3</v>
      </c>
      <c r="S226" s="9">
        <f ca="1">IF(Prices!C225&lt;OFFSET(Prices!C225,-S$3,0),1,-1)</f>
        <v>-1</v>
      </c>
      <c r="T226" s="1">
        <f ca="1">IF(S226=1,T$3*Q225/Prices!C225,-T$3*R225)</f>
        <v>-1.8567586055286329E-4</v>
      </c>
      <c r="V226" s="9"/>
      <c r="W226" s="1"/>
      <c r="X226" s="1"/>
      <c r="Y226" s="1"/>
      <c r="Z226" s="1"/>
      <c r="AA226" s="1"/>
      <c r="AB226" s="1"/>
      <c r="AC226" s="1"/>
      <c r="AD226" s="1"/>
      <c r="AE226" s="16"/>
    </row>
    <row r="227" spans="1:31" x14ac:dyDescent="0.2">
      <c r="A227" s="4">
        <v>33823</v>
      </c>
      <c r="B227" s="9">
        <f ca="1">Prices!C226*(1+J227/(50*(ABS(O227)+ABS(T227)+0.0001)))</f>
        <v>125.42874306729705</v>
      </c>
      <c r="C227" s="21">
        <f t="shared" ca="1" si="23"/>
        <v>-1</v>
      </c>
      <c r="D227" s="9">
        <f ca="1">D226+C227*(Prices!C227-Prices!C226)/Prices!C226</f>
        <v>8.0735396658988254E-2</v>
      </c>
      <c r="E227" s="9">
        <f t="shared" ca="1" si="24"/>
        <v>3.0136352622704435E-2</v>
      </c>
      <c r="F227" s="9">
        <f t="shared" ca="1" si="25"/>
        <v>0.11087174928169269</v>
      </c>
      <c r="G227" s="13">
        <f ca="1">IF((Prices!C227-Prices!C226)*C227&gt;0,1,0)</f>
        <v>1</v>
      </c>
      <c r="H227" s="9">
        <f>ABS(Prices!C227-Prices!C226)/Prices!C226</f>
        <v>1.7227877838684328E-3</v>
      </c>
      <c r="I227" s="13"/>
      <c r="J227" s="1">
        <f t="shared" ca="1" si="26"/>
        <v>-8.03293588916466E-4</v>
      </c>
      <c r="K227" s="9"/>
      <c r="L227" s="9">
        <f ca="1">L226-O227*Prices!C227</f>
        <v>1.6064691161179028</v>
      </c>
      <c r="M227" s="1">
        <f t="shared" ca="1" si="27"/>
        <v>5.59198121017194E-3</v>
      </c>
      <c r="N227" s="9">
        <f ca="1">IF(Prices!D226&gt;OFFSET(Prices!D226,-$N$3,0),1,-1)</f>
        <v>-1</v>
      </c>
      <c r="O227" s="1">
        <f ca="1">IF(N227=1,O$3*L226/Prices!C226,-O$3*M226)</f>
        <v>-6.2133124557466003E-4</v>
      </c>
      <c r="P227" s="14"/>
      <c r="Q227" s="9">
        <f ca="1">Q226-T227*Prices!C227</f>
        <v>1.1425516149443837</v>
      </c>
      <c r="R227" s="1">
        <f t="shared" ca="1" si="28"/>
        <v>8.9161548237484956E-3</v>
      </c>
      <c r="S227" s="9">
        <f ca="1">IF(Prices!C226&lt;OFFSET(Prices!C226,-S$3,0),1,-1)</f>
        <v>-1</v>
      </c>
      <c r="T227" s="1">
        <f ca="1">IF(S227=1,T$3*Q226/Prices!C226,-T$3*R226)</f>
        <v>-1.8196234334180603E-4</v>
      </c>
      <c r="V227" s="9"/>
      <c r="W227" s="1"/>
      <c r="X227" s="1"/>
      <c r="Y227" s="1"/>
      <c r="Z227" s="1"/>
      <c r="AA227" s="1"/>
      <c r="AB227" s="1"/>
      <c r="AC227" s="1"/>
      <c r="AD227" s="1"/>
      <c r="AE227" s="16"/>
    </row>
    <row r="228" spans="1:31" x14ac:dyDescent="0.2">
      <c r="A228" s="4">
        <v>33826</v>
      </c>
      <c r="B228" s="9">
        <f ca="1">Prices!C227*(1+J228/(50*(ABS(O228)+ABS(T228)+0.0001)))</f>
        <v>125.23482213841871</v>
      </c>
      <c r="C228" s="21">
        <f t="shared" ca="1" si="23"/>
        <v>-1</v>
      </c>
      <c r="D228" s="9">
        <f ca="1">D227+C228*(Prices!C228-Prices!C227)/Prices!C227</f>
        <v>7.7283874851645951E-2</v>
      </c>
      <c r="E228" s="9">
        <f t="shared" ca="1" si="24"/>
        <v>3.3587874430046738E-2</v>
      </c>
      <c r="F228" s="9">
        <f t="shared" ca="1" si="25"/>
        <v>0.11087174928169269</v>
      </c>
      <c r="G228" s="13">
        <f ca="1">IF((Prices!C228-Prices!C227)*C228&gt;0,1,0)</f>
        <v>0</v>
      </c>
      <c r="H228" s="9">
        <f>ABS(Prices!C228-Prices!C227)/Prices!C227</f>
        <v>3.4515218073423101E-3</v>
      </c>
      <c r="I228" s="13"/>
      <c r="J228" s="1">
        <f t="shared" ca="1" si="26"/>
        <v>-7.3752121749216392E-4</v>
      </c>
      <c r="K228" s="9"/>
      <c r="L228" s="9">
        <f ca="1">L227-O228*Prices!C228</f>
        <v>1.6780017397584222</v>
      </c>
      <c r="M228" s="1">
        <f t="shared" ca="1" si="27"/>
        <v>5.032783089154746E-3</v>
      </c>
      <c r="N228" s="9">
        <f ca="1">IF(Prices!D227&gt;OFFSET(Prices!D227,-$N$3,0),1,-1)</f>
        <v>-1</v>
      </c>
      <c r="O228" s="1">
        <f ca="1">IF(N228=1,O$3*L227/Prices!C227,-O$3*M227)</f>
        <v>-5.59198121017194E-4</v>
      </c>
      <c r="P228" s="14"/>
      <c r="Q228" s="9">
        <f ca="1">Q227-T228*Prices!C228</f>
        <v>1.1653627054454618</v>
      </c>
      <c r="R228" s="1">
        <f t="shared" ca="1" si="28"/>
        <v>8.7378317272735258E-3</v>
      </c>
      <c r="S228" s="9">
        <f ca="1">IF(Prices!C227&lt;OFFSET(Prices!C227,-S$3,0),1,-1)</f>
        <v>-1</v>
      </c>
      <c r="T228" s="1">
        <f ca="1">IF(S228=1,T$3*Q227/Prices!C227,-T$3*R227)</f>
        <v>-1.7832309647496992E-4</v>
      </c>
      <c r="V228" s="9"/>
      <c r="W228" s="1"/>
      <c r="X228" s="1"/>
      <c r="Y228" s="1"/>
      <c r="Z228" s="1"/>
      <c r="AA228" s="1"/>
      <c r="AB228" s="1"/>
      <c r="AC228" s="1"/>
      <c r="AD228" s="1"/>
      <c r="AE228" s="16"/>
    </row>
    <row r="229" spans="1:31" x14ac:dyDescent="0.2">
      <c r="A229" s="4">
        <v>33827</v>
      </c>
      <c r="B229" s="9">
        <f ca="1">Prices!C228*(1+J229/(50*(ABS(O229)+ABS(T229)+0.0001)))</f>
        <v>125.69042841850514</v>
      </c>
      <c r="C229" s="21">
        <f t="shared" ca="1" si="23"/>
        <v>-1</v>
      </c>
      <c r="D229" s="9">
        <f ca="1">D228+C229*(Prices!C229-Prices!C228)/Prices!C228</f>
        <v>7.6658483982352657E-2</v>
      </c>
      <c r="E229" s="9">
        <f t="shared" ca="1" si="24"/>
        <v>3.4213265299340032E-2</v>
      </c>
      <c r="F229" s="9">
        <f t="shared" ca="1" si="25"/>
        <v>0.11087174928169269</v>
      </c>
      <c r="G229" s="13">
        <f ca="1">IF((Prices!C229-Prices!C228)*C229&gt;0,1,0)</f>
        <v>0</v>
      </c>
      <c r="H229" s="9">
        <f>ABS(Prices!C229-Prices!C228)/Prices!C228</f>
        <v>6.2539086929329498E-4</v>
      </c>
      <c r="I229" s="13"/>
      <c r="J229" s="1">
        <f t="shared" ca="1" si="26"/>
        <v>-6.780349434609451E-4</v>
      </c>
      <c r="K229" s="9"/>
      <c r="L229" s="9">
        <f ca="1">L228-O229*Prices!C229</f>
        <v>1.7424213632996028</v>
      </c>
      <c r="M229" s="1">
        <f t="shared" ca="1" si="27"/>
        <v>4.5295047802392709E-3</v>
      </c>
      <c r="N229" s="9">
        <f ca="1">IF(Prices!D228&gt;OFFSET(Prices!D228,-$N$3,0),1,-1)</f>
        <v>-1</v>
      </c>
      <c r="O229" s="1">
        <f ca="1">IF(N229=1,O$3*L228/Prices!C228,-O$3*M228)</f>
        <v>-5.032783089154746E-4</v>
      </c>
      <c r="P229" s="14"/>
      <c r="Q229" s="9">
        <f ca="1">Q228-T229*Prices!C229</f>
        <v>1.187731554667282</v>
      </c>
      <c r="R229" s="1">
        <f t="shared" ca="1" si="28"/>
        <v>8.563075092728056E-3</v>
      </c>
      <c r="S229" s="9">
        <f ca="1">IF(Prices!C228&lt;OFFSET(Prices!C228,-S$3,0),1,-1)</f>
        <v>-1</v>
      </c>
      <c r="T229" s="1">
        <f ca="1">IF(S229=1,T$3*Q228/Prices!C228,-T$3*R228)</f>
        <v>-1.7475663454547051E-4</v>
      </c>
      <c r="V229" s="9"/>
      <c r="W229" s="1"/>
      <c r="X229" s="1"/>
      <c r="Y229" s="1"/>
      <c r="Z229" s="1"/>
      <c r="AA229" s="1"/>
      <c r="AB229" s="1"/>
      <c r="AC229" s="1"/>
      <c r="AD229" s="1"/>
      <c r="AE229" s="16"/>
    </row>
    <row r="230" spans="1:31" x14ac:dyDescent="0.2">
      <c r="A230" s="4">
        <v>33828</v>
      </c>
      <c r="B230" s="9">
        <f ca="1">Prices!C229*(1+J230/(50*(ABS(O230)+ABS(T230)+0.0001)))</f>
        <v>125.79348766260806</v>
      </c>
      <c r="C230" s="21">
        <f t="shared" ca="1" si="23"/>
        <v>-1</v>
      </c>
      <c r="D230" s="9">
        <f ca="1">D229+C230*(Prices!C230-Prices!C229)/Prices!C229</f>
        <v>8.2361608982352688E-2</v>
      </c>
      <c r="E230" s="9">
        <f t="shared" ca="1" si="24"/>
        <v>2.851014029934E-2</v>
      </c>
      <c r="F230" s="9">
        <f t="shared" ca="1" si="25"/>
        <v>0.11087174928169269</v>
      </c>
      <c r="G230" s="13">
        <f ca="1">IF((Prices!C230-Prices!C229)*C230&gt;0,1,0)</f>
        <v>1</v>
      </c>
      <c r="H230" s="9">
        <f>ABS(Prices!C230-Prices!C229)/Prices!C229</f>
        <v>5.7031250000000311E-3</v>
      </c>
      <c r="I230" s="13"/>
      <c r="J230" s="1">
        <f t="shared" ca="1" si="26"/>
        <v>-6.242119798784882E-4</v>
      </c>
      <c r="K230" s="9"/>
      <c r="L230" s="9">
        <f ca="1">L229-O230*Prices!C230</f>
        <v>1.8000683706377081</v>
      </c>
      <c r="M230" s="1">
        <f t="shared" ca="1" si="27"/>
        <v>4.0765543022153435E-3</v>
      </c>
      <c r="N230" s="9">
        <f ca="1">IF(Prices!D229&gt;OFFSET(Prices!D229,-$N$3,0),1,-1)</f>
        <v>-1</v>
      </c>
      <c r="O230" s="1">
        <f ca="1">IF(N230=1,O$3*L229/Prices!C229,-O$3*M229)</f>
        <v>-4.5295047802392711E-4</v>
      </c>
      <c r="P230" s="14"/>
      <c r="Q230" s="9">
        <f ca="1">Q229-T230*Prices!C230</f>
        <v>1.209528006008312</v>
      </c>
      <c r="R230" s="1">
        <f t="shared" ca="1" si="28"/>
        <v>8.3918135908734957E-3</v>
      </c>
      <c r="S230" s="9">
        <f ca="1">IF(Prices!C229&lt;OFFSET(Prices!C229,-S$3,0),1,-1)</f>
        <v>-1</v>
      </c>
      <c r="T230" s="1">
        <f ca="1">IF(S230=1,T$3*Q229/Prices!C229,-T$3*R229)</f>
        <v>-1.7126150185456113E-4</v>
      </c>
      <c r="V230" s="9"/>
      <c r="W230" s="1"/>
      <c r="X230" s="1"/>
      <c r="Y230" s="1"/>
      <c r="Z230" s="1"/>
      <c r="AA230" s="1"/>
      <c r="AB230" s="1"/>
      <c r="AC230" s="1"/>
      <c r="AD230" s="1"/>
      <c r="AE230" s="16"/>
    </row>
    <row r="231" spans="1:31" x14ac:dyDescent="0.2">
      <c r="A231" s="4">
        <v>33829</v>
      </c>
      <c r="B231" s="9">
        <f ca="1">Prices!C230*(1+J231/(50*(ABS(O231)+ABS(T231)+0.0001)))</f>
        <v>126.47623111159146</v>
      </c>
      <c r="C231" s="21">
        <f t="shared" ca="1" si="23"/>
        <v>-1</v>
      </c>
      <c r="D231" s="9">
        <f ca="1">D230+C231*(Prices!C231-Prices!C230)/Prices!C230</f>
        <v>8.9433189087640586E-2</v>
      </c>
      <c r="E231" s="9">
        <f t="shared" ca="1" si="24"/>
        <v>2.1438560194052103E-2</v>
      </c>
      <c r="F231" s="9">
        <f t="shared" ca="1" si="25"/>
        <v>0.11087174928169269</v>
      </c>
      <c r="G231" s="13">
        <f ca="1">IF((Prices!C231-Prices!C230)*C231&gt;0,1,0)</f>
        <v>1</v>
      </c>
      <c r="H231" s="9">
        <f>ABS(Prices!C231-Prices!C230)/Prices!C230</f>
        <v>7.0715801052879034E-3</v>
      </c>
      <c r="I231" s="13"/>
      <c r="J231" s="1">
        <f t="shared" ca="1" si="26"/>
        <v>-2.1758267057537864E-4</v>
      </c>
      <c r="K231" s="9"/>
      <c r="L231" s="9">
        <f ca="1">L230-O231*Prices!C231</f>
        <v>1.8515837873548033</v>
      </c>
      <c r="M231" s="1">
        <f t="shared" ca="1" si="27"/>
        <v>3.6688988719938091E-3</v>
      </c>
      <c r="N231" s="9">
        <f ca="1">IF(Prices!D230&gt;OFFSET(Prices!D230,-$N$3,0),1,-1)</f>
        <v>-1</v>
      </c>
      <c r="O231" s="1">
        <f ca="1">IF(N231=1,O$3*L230/Prices!C230,-O$3*M230)</f>
        <v>-4.0765543022153438E-4</v>
      </c>
      <c r="P231" s="14"/>
      <c r="Q231" s="9">
        <f ca="1">Q230-T231*Prices!C231</f>
        <v>1.1855085113718273</v>
      </c>
      <c r="R231" s="1">
        <f t="shared" ca="1" si="28"/>
        <v>8.5818863505196519E-3</v>
      </c>
      <c r="S231" s="9">
        <f ca="1">IF(Prices!C230&lt;OFFSET(Prices!C230,-S$3,0),1,-1)</f>
        <v>1</v>
      </c>
      <c r="T231" s="1">
        <f ca="1">IF(S231=1,T$3*Q230/Prices!C230,-T$3*R230)</f>
        <v>1.9007275964615574E-4</v>
      </c>
      <c r="V231" s="9"/>
      <c r="W231" s="1"/>
      <c r="X231" s="1"/>
      <c r="Y231" s="1"/>
      <c r="Z231" s="1"/>
      <c r="AA231" s="1"/>
      <c r="AB231" s="1"/>
      <c r="AC231" s="1"/>
      <c r="AD231" s="1"/>
      <c r="AE231" s="16"/>
    </row>
    <row r="232" spans="1:31" x14ac:dyDescent="0.2">
      <c r="A232" s="4">
        <v>33830</v>
      </c>
      <c r="B232" s="9">
        <f ca="1">Prices!C231*(1+J232/(50*(ABS(O232)+ABS(T232)+0.0001)))</f>
        <v>128.75321059278409</v>
      </c>
      <c r="C232" s="21">
        <f t="shared" ca="1" si="23"/>
        <v>1</v>
      </c>
      <c r="D232" s="9">
        <f ca="1">D231+C232*(Prices!C232-Prices!C231)/Prices!C231</f>
        <v>8.6900942510130044E-2</v>
      </c>
      <c r="E232" s="9">
        <f t="shared" ca="1" si="24"/>
        <v>2.3970806771562644E-2</v>
      </c>
      <c r="F232" s="9">
        <f t="shared" ca="1" si="25"/>
        <v>0.11087174928169269</v>
      </c>
      <c r="G232" s="13">
        <f ca="1">IF((Prices!C232-Prices!C231)*C232&gt;0,1,0)</f>
        <v>0</v>
      </c>
      <c r="H232" s="9">
        <f>ABS(Prices!C232-Prices!C231)/Prices!C231</f>
        <v>2.5322465775105434E-3</v>
      </c>
      <c r="I232" s="13"/>
      <c r="J232" s="1">
        <f t="shared" ca="1" si="26"/>
        <v>1.6528333383153985E-3</v>
      </c>
      <c r="K232" s="9"/>
      <c r="L232" s="9">
        <f ca="1">L231-O232*Prices!C232</f>
        <v>1.6668942752901732</v>
      </c>
      <c r="M232" s="1">
        <f t="shared" ca="1" si="27"/>
        <v>5.1341072184010288E-3</v>
      </c>
      <c r="N232" s="9">
        <f ca="1">IF(Prices!D231&gt;OFFSET(Prices!D231,-$N$3,0),1,-1)</f>
        <v>1</v>
      </c>
      <c r="O232" s="1">
        <f ca="1">IF(N232=1,O$3*L231/Prices!C231,-O$3*M231)</f>
        <v>1.4652083464072197E-3</v>
      </c>
      <c r="P232" s="14"/>
      <c r="Q232" s="9">
        <f ca="1">Q231-T232*Prices!C232</f>
        <v>1.1618583811418015</v>
      </c>
      <c r="R232" s="1">
        <f t="shared" ca="1" si="28"/>
        <v>8.7695113424278298E-3</v>
      </c>
      <c r="S232" s="9">
        <f ca="1">IF(Prices!C231&lt;OFFSET(Prices!C231,-S$3,0),1,-1)</f>
        <v>1</v>
      </c>
      <c r="T232" s="1">
        <f ca="1">IF(S232=1,T$3*Q231/Prices!C231,-T$3*R231)</f>
        <v>1.8762499190817873E-4</v>
      </c>
      <c r="V232" s="9"/>
      <c r="W232" s="1"/>
      <c r="X232" s="1"/>
      <c r="Y232" s="1"/>
      <c r="Z232" s="1"/>
      <c r="AA232" s="1"/>
      <c r="AB232" s="1"/>
      <c r="AC232" s="1"/>
      <c r="AD232" s="1"/>
      <c r="AE232" s="16"/>
    </row>
    <row r="233" spans="1:31" x14ac:dyDescent="0.2">
      <c r="A233" s="4">
        <v>33833</v>
      </c>
      <c r="B233" s="9">
        <f ca="1">Prices!C232*(1+J233/(50*(ABS(O233)+ABS(T233)+0.0001)))</f>
        <v>128.41410001125416</v>
      </c>
      <c r="C233" s="21">
        <f t="shared" ca="1" si="23"/>
        <v>1</v>
      </c>
      <c r="D233" s="9">
        <f ca="1">D232+C233*(Prices!C233-Prices!C232)/Prices!C232</f>
        <v>8.4044932990098312E-2</v>
      </c>
      <c r="E233" s="9">
        <f t="shared" ca="1" si="24"/>
        <v>2.6826816291594377E-2</v>
      </c>
      <c r="F233" s="9">
        <f t="shared" ca="1" si="25"/>
        <v>0.11087174928169269</v>
      </c>
      <c r="G233" s="13">
        <f ca="1">IF((Prices!C233-Prices!C232)*C233&gt;0,1,0)</f>
        <v>0</v>
      </c>
      <c r="H233" s="9">
        <f>ABS(Prices!C233-Prices!C232)/Prices!C232</f>
        <v>2.8560095200317291E-3</v>
      </c>
      <c r="I233" s="13"/>
      <c r="J233" s="1">
        <f t="shared" ca="1" si="26"/>
        <v>1.5067560107247392E-3</v>
      </c>
      <c r="K233" s="9"/>
      <c r="L233" s="9">
        <f ca="1">L232-O233*Prices!C233</f>
        <v>1.5006809143530673</v>
      </c>
      <c r="M233" s="1">
        <f t="shared" ca="1" si="27"/>
        <v>6.4565144181552327E-3</v>
      </c>
      <c r="N233" s="9">
        <f ca="1">IF(Prices!D232&gt;OFFSET(Prices!D232,-$N$3,0),1,-1)</f>
        <v>1</v>
      </c>
      <c r="O233" s="1">
        <f ca="1">IF(N233=1,O$3*L232/Prices!C232,-O$3*M232)</f>
        <v>1.3224071997542035E-3</v>
      </c>
      <c r="P233" s="14"/>
      <c r="Q233" s="9">
        <f ca="1">Q232-T233*Prices!C233</f>
        <v>1.1386875790909148</v>
      </c>
      <c r="R233" s="1">
        <f t="shared" ca="1" si="28"/>
        <v>8.9538601533983662E-3</v>
      </c>
      <c r="S233" s="9">
        <f ca="1">IF(Prices!C232&lt;OFFSET(Prices!C232,-S$3,0),1,-1)</f>
        <v>1</v>
      </c>
      <c r="T233" s="1">
        <f ca="1">IF(S233=1,T$3*Q232/Prices!C232,-T$3*R232)</f>
        <v>1.8434881097053577E-4</v>
      </c>
      <c r="V233" s="9"/>
      <c r="W233" s="1"/>
      <c r="X233" s="1"/>
      <c r="Y233" s="1"/>
      <c r="Z233" s="1"/>
      <c r="AA233" s="1"/>
      <c r="AB233" s="1"/>
      <c r="AC233" s="1"/>
      <c r="AD233" s="1"/>
      <c r="AE233" s="16"/>
    </row>
    <row r="234" spans="1:31" x14ac:dyDescent="0.2">
      <c r="A234" s="4">
        <v>33834</v>
      </c>
      <c r="B234" s="9">
        <f ca="1">Prices!C233*(1+J234/(50*(ABS(O234)+ABS(T234)+0.0001)))</f>
        <v>128.03338951221056</v>
      </c>
      <c r="C234" s="21">
        <f t="shared" ca="1" si="23"/>
        <v>1</v>
      </c>
      <c r="D234" s="9">
        <f ca="1">D233+C234*(Prices!C234-Prices!C233)/Prices!C233</f>
        <v>8.7863852554105032E-2</v>
      </c>
      <c r="E234" s="9">
        <f t="shared" ca="1" si="24"/>
        <v>2.3007896727587657E-2</v>
      </c>
      <c r="F234" s="9">
        <f t="shared" ca="1" si="25"/>
        <v>0.11087174928169269</v>
      </c>
      <c r="G234" s="13">
        <f ca="1">IF((Prices!C234-Prices!C233)*C234&gt;0,1,0)</f>
        <v>1</v>
      </c>
      <c r="H234" s="9">
        <f>ABS(Prices!C234-Prices!C233)/Prices!C233</f>
        <v>3.8189195640067146E-3</v>
      </c>
      <c r="I234" s="13"/>
      <c r="J234" s="1">
        <f t="shared" ca="1" si="26"/>
        <v>1.3751439495355642E-3</v>
      </c>
      <c r="K234" s="9"/>
      <c r="L234" s="9">
        <f ca="1">L233-O234*Prices!C234</f>
        <v>1.350039724947445</v>
      </c>
      <c r="M234" s="1">
        <f t="shared" ca="1" si="27"/>
        <v>7.650468522979059E-3</v>
      </c>
      <c r="N234" s="9">
        <f ca="1">IF(Prices!D233&gt;OFFSET(Prices!D233,-$N$3,0),1,-1)</f>
        <v>1</v>
      </c>
      <c r="O234" s="1">
        <f ca="1">IF(N234=1,O$3*L233/Prices!C233,-O$3*M233)</f>
        <v>1.1939541048238266E-3</v>
      </c>
      <c r="P234" s="14"/>
      <c r="Q234" s="9">
        <f ca="1">Q233-T234*Prices!C234</f>
        <v>1.1158268563836349</v>
      </c>
      <c r="R234" s="1">
        <f t="shared" ca="1" si="28"/>
        <v>9.1350499981101042E-3</v>
      </c>
      <c r="S234" s="9">
        <f ca="1">IF(Prices!C233&lt;OFFSET(Prices!C233,-S$3,0),1,-1)</f>
        <v>1</v>
      </c>
      <c r="T234" s="1">
        <f ca="1">IF(S234=1,T$3*Q233/Prices!C233,-T$3*R233)</f>
        <v>1.8118984471173757E-4</v>
      </c>
      <c r="V234" s="9"/>
      <c r="W234" s="1"/>
      <c r="X234" s="1"/>
      <c r="Y234" s="1"/>
      <c r="Z234" s="1"/>
      <c r="AA234" s="1"/>
      <c r="AB234" s="1"/>
      <c r="AC234" s="1"/>
      <c r="AD234" s="1"/>
      <c r="AE234" s="16"/>
    </row>
    <row r="235" spans="1:31" x14ac:dyDescent="0.2">
      <c r="A235" s="4">
        <v>33835</v>
      </c>
      <c r="B235" s="9">
        <f ca="1">Prices!C234*(1+J235/(50*(ABS(O235)+ABS(T235)+0.0001)))</f>
        <v>124.74553038573862</v>
      </c>
      <c r="C235" s="21">
        <f t="shared" ca="1" si="23"/>
        <v>-1</v>
      </c>
      <c r="D235" s="9">
        <f ca="1">D234+C235*(Prices!C235-Prices!C234)/Prices!C234</f>
        <v>8.501055937823121E-2</v>
      </c>
      <c r="E235" s="9">
        <f t="shared" ca="1" si="24"/>
        <v>2.5861189903461479E-2</v>
      </c>
      <c r="F235" s="9">
        <f t="shared" ca="1" si="25"/>
        <v>0.11087174928169269</v>
      </c>
      <c r="G235" s="13">
        <f ca="1">IF((Prices!C235-Prices!C234)*C235&gt;0,1,0)</f>
        <v>0</v>
      </c>
      <c r="H235" s="9">
        <f>ABS(Prices!C235-Prices!C234)/Prices!C234</f>
        <v>2.8532931758738166E-3</v>
      </c>
      <c r="I235" s="13"/>
      <c r="J235" s="1">
        <f t="shared" ca="1" si="26"/>
        <v>-5.8817012147700798E-4</v>
      </c>
      <c r="K235" s="9"/>
      <c r="L235" s="9">
        <f ca="1">L234-O235*Prices!C235</f>
        <v>1.446841103168699</v>
      </c>
      <c r="M235" s="1">
        <f t="shared" ca="1" si="27"/>
        <v>6.8854216706811531E-3</v>
      </c>
      <c r="N235" s="9">
        <f ca="1">IF(Prices!D234&gt;OFFSET(Prices!D234,-$N$3,0),1,-1)</f>
        <v>-1</v>
      </c>
      <c r="O235" s="1">
        <f ca="1">IF(N235=1,O$3*L234/Prices!C234,-O$3*M234)</f>
        <v>-7.6504685229790599E-4</v>
      </c>
      <c r="P235" s="14"/>
      <c r="Q235" s="9">
        <f ca="1">Q234-T235*Prices!C235</f>
        <v>1.0934466436328667</v>
      </c>
      <c r="R235" s="1">
        <f t="shared" ca="1" si="28"/>
        <v>9.3119267289310022E-3</v>
      </c>
      <c r="S235" s="9">
        <f ca="1">IF(Prices!C234&lt;OFFSET(Prices!C234,-S$3,0),1,-1)</f>
        <v>1</v>
      </c>
      <c r="T235" s="1">
        <f ca="1">IF(S235=1,T$3*Q234/Prices!C234,-T$3*R234)</f>
        <v>1.7687673082089799E-4</v>
      </c>
      <c r="V235" s="9"/>
      <c r="W235" s="1"/>
      <c r="X235" s="1"/>
      <c r="Y235" s="1"/>
      <c r="Z235" s="1"/>
      <c r="AA235" s="1"/>
      <c r="AB235" s="1"/>
      <c r="AC235" s="1"/>
      <c r="AD235" s="1"/>
      <c r="AE235" s="16"/>
    </row>
    <row r="236" spans="1:31" x14ac:dyDescent="0.2">
      <c r="A236" s="4">
        <v>33836</v>
      </c>
      <c r="B236" s="9">
        <f ca="1">Prices!C235*(1+J236/(50*(ABS(O236)+ABS(T236)+0.0001)))</f>
        <v>124.25900710914003</v>
      </c>
      <c r="C236" s="21">
        <f t="shared" ca="1" si="23"/>
        <v>-1</v>
      </c>
      <c r="D236" s="9">
        <f ca="1">D235+C236*(Prices!C236-Prices!C235)/Prices!C235</f>
        <v>8.5247657299672777E-2</v>
      </c>
      <c r="E236" s="9">
        <f t="shared" ca="1" si="24"/>
        <v>2.5624091982019911E-2</v>
      </c>
      <c r="F236" s="9">
        <f t="shared" ca="1" si="25"/>
        <v>0.11087174928169269</v>
      </c>
      <c r="G236" s="13">
        <f ca="1">IF((Prices!C236-Prices!C235)*C236&gt;0,1,0)</f>
        <v>1</v>
      </c>
      <c r="H236" s="9">
        <f>ABS(Prices!C236-Prices!C235)/Prices!C235</f>
        <v>2.3709792144156435E-4</v>
      </c>
      <c r="I236" s="13"/>
      <c r="J236" s="1">
        <f t="shared" ca="1" si="26"/>
        <v>-8.7478070164673542E-4</v>
      </c>
      <c r="K236" s="9"/>
      <c r="L236" s="9">
        <f ca="1">L235-O236*Prices!C236</f>
        <v>1.5339416873028155</v>
      </c>
      <c r="M236" s="1">
        <f t="shared" ca="1" si="27"/>
        <v>6.1968795036130373E-3</v>
      </c>
      <c r="N236" s="9">
        <f ca="1">IF(Prices!D235&gt;OFFSET(Prices!D235,-$N$3,0),1,-1)</f>
        <v>-1</v>
      </c>
      <c r="O236" s="1">
        <f ca="1">IF(N236=1,O$3*L235/Prices!C235,-O$3*M235)</f>
        <v>-6.8854216706811531E-4</v>
      </c>
      <c r="P236" s="14"/>
      <c r="Q236" s="9">
        <f ca="1">Q235-T236*Prices!C236</f>
        <v>1.1170058182570621</v>
      </c>
      <c r="R236" s="1">
        <f t="shared" ca="1" si="28"/>
        <v>9.125688194352383E-3</v>
      </c>
      <c r="S236" s="9">
        <f ca="1">IF(Prices!C235&lt;OFFSET(Prices!C235,-S$3,0),1,-1)</f>
        <v>-1</v>
      </c>
      <c r="T236" s="1">
        <f ca="1">IF(S236=1,T$3*Q235/Prices!C235,-T$3*R235)</f>
        <v>-1.8623853457862006E-4</v>
      </c>
      <c r="V236" s="9"/>
      <c r="W236" s="1"/>
      <c r="X236" s="1"/>
      <c r="Y236" s="1"/>
      <c r="Z236" s="1"/>
      <c r="AA236" s="1"/>
      <c r="AB236" s="1"/>
      <c r="AC236" s="1"/>
      <c r="AD236" s="1"/>
      <c r="AE236" s="16"/>
    </row>
    <row r="237" spans="1:31" x14ac:dyDescent="0.2">
      <c r="A237" s="4">
        <v>33837</v>
      </c>
      <c r="B237" s="9">
        <f ca="1">Prices!C236*(1+J237/(50*(ABS(O237)+ABS(T237)+0.0001)))</f>
        <v>124.25042509341803</v>
      </c>
      <c r="C237" s="21">
        <f t="shared" ca="1" si="23"/>
        <v>-1</v>
      </c>
      <c r="D237" s="9">
        <f ca="1">D236+C237*(Prices!C237-Prices!C236)/Prices!C236</f>
        <v>9.1334613821411878E-2</v>
      </c>
      <c r="E237" s="9">
        <f t="shared" ca="1" si="24"/>
        <v>1.9537135460280811E-2</v>
      </c>
      <c r="F237" s="9">
        <f t="shared" ca="1" si="25"/>
        <v>0.11087174928169269</v>
      </c>
      <c r="G237" s="13">
        <f ca="1">IF((Prices!C237-Prices!C236)*C237&gt;0,1,0)</f>
        <v>1</v>
      </c>
      <c r="H237" s="9">
        <f>ABS(Prices!C237-Prices!C236)/Prices!C236</f>
        <v>6.0869565217390991E-3</v>
      </c>
      <c r="I237" s="13"/>
      <c r="J237" s="1">
        <f t="shared" ca="1" si="26"/>
        <v>-8.0220171424835143E-4</v>
      </c>
      <c r="K237" s="9"/>
      <c r="L237" s="9">
        <f ca="1">L236-O237*Prices!C237</f>
        <v>1.6118550533017424</v>
      </c>
      <c r="M237" s="1">
        <f t="shared" ca="1" si="27"/>
        <v>5.5771915532517331E-3</v>
      </c>
      <c r="N237" s="9">
        <f ca="1">IF(Prices!D236&gt;OFFSET(Prices!D236,-$N$3,0),1,-1)</f>
        <v>-1</v>
      </c>
      <c r="O237" s="1">
        <f ca="1">IF(N237=1,O$3*L236/Prices!C236,-O$3*M236)</f>
        <v>-6.1968795036130382E-4</v>
      </c>
      <c r="P237" s="14"/>
      <c r="Q237" s="9">
        <f ca="1">Q236-T237*Prices!C237</f>
        <v>1.1399532737905806</v>
      </c>
      <c r="R237" s="1">
        <f t="shared" ca="1" si="28"/>
        <v>8.9431744304653352E-3</v>
      </c>
      <c r="S237" s="9">
        <f ca="1">IF(Prices!C236&lt;OFFSET(Prices!C236,-S$3,0),1,-1)</f>
        <v>-1</v>
      </c>
      <c r="T237" s="1">
        <f ca="1">IF(S237=1,T$3*Q236/Prices!C236,-T$3*R236)</f>
        <v>-1.8251376388704767E-4</v>
      </c>
      <c r="V237" s="9"/>
      <c r="W237" s="1"/>
      <c r="X237" s="1"/>
      <c r="Y237" s="1"/>
      <c r="Z237" s="1"/>
      <c r="AA237" s="1"/>
      <c r="AB237" s="1"/>
      <c r="AC237" s="1"/>
      <c r="AD237" s="1"/>
      <c r="AE237" s="16"/>
    </row>
    <row r="238" spans="1:31" x14ac:dyDescent="0.2">
      <c r="A238" s="4">
        <v>33840</v>
      </c>
      <c r="B238" s="9">
        <f ca="1">Prices!C237*(1+J238/(50*(ABS(O238)+ABS(T238)+0.0001)))</f>
        <v>127.50718616113903</v>
      </c>
      <c r="C238" s="21">
        <f t="shared" ca="1" si="23"/>
        <v>1</v>
      </c>
      <c r="D238" s="9">
        <f ca="1">D237+C238*(Prices!C238-Prices!C237)/Prices!C237</f>
        <v>8.1790352308646411E-2</v>
      </c>
      <c r="E238" s="9">
        <f t="shared" ca="1" si="24"/>
        <v>2.9081396973046278E-2</v>
      </c>
      <c r="F238" s="9">
        <f t="shared" ca="1" si="25"/>
        <v>0.11087174928169269</v>
      </c>
      <c r="G238" s="13">
        <f ca="1">IF((Prices!C238-Prices!C237)*C238&gt;0,1,0)</f>
        <v>0</v>
      </c>
      <c r="H238" s="9">
        <f>ABS(Prices!C238-Prices!C237)/Prices!C237</f>
        <v>9.5442615127654725E-3</v>
      </c>
      <c r="I238" s="13"/>
      <c r="J238" s="1">
        <f t="shared" ca="1" si="26"/>
        <v>1.1031336905060537E-3</v>
      </c>
      <c r="K238" s="9"/>
      <c r="L238" s="9">
        <f ca="1">L237-O238*Prices!C238</f>
        <v>1.4522079445865066</v>
      </c>
      <c r="M238" s="1">
        <f t="shared" ca="1" si="27"/>
        <v>6.8591887323670936E-3</v>
      </c>
      <c r="N238" s="9">
        <f ca="1">IF(Prices!D237&gt;OFFSET(Prices!D237,-$N$3,0),1,-1)</f>
        <v>1</v>
      </c>
      <c r="O238" s="1">
        <f ca="1">IF(N238=1,O$3*L237/Prices!C237,-O$3*M237)</f>
        <v>1.2819971791153603E-3</v>
      </c>
      <c r="P238" s="14"/>
      <c r="Q238" s="9">
        <f ca="1">Q237-T238*Prices!C238</f>
        <v>1.1622271440270977</v>
      </c>
      <c r="R238" s="1">
        <f t="shared" ca="1" si="28"/>
        <v>8.764310941856028E-3</v>
      </c>
      <c r="S238" s="9">
        <f ca="1">IF(Prices!C237&lt;OFFSET(Prices!C237,-S$3,0),1,-1)</f>
        <v>-1</v>
      </c>
      <c r="T238" s="1">
        <f ca="1">IF(S238=1,T$3*Q237/Prices!C237,-T$3*R237)</f>
        <v>-1.7886348860930671E-4</v>
      </c>
      <c r="V238" s="9"/>
      <c r="W238" s="1"/>
      <c r="X238" s="1"/>
      <c r="Y238" s="1"/>
      <c r="Z238" s="1"/>
      <c r="AA238" s="1"/>
      <c r="AB238" s="1"/>
      <c r="AC238" s="1"/>
      <c r="AD238" s="1"/>
      <c r="AE238" s="16"/>
    </row>
    <row r="239" spans="1:31" x14ac:dyDescent="0.2">
      <c r="A239" s="4">
        <v>33841</v>
      </c>
      <c r="B239" s="9">
        <f ca="1">Prices!C238*(1+J239/(50*(ABS(O239)+ABS(T239)+0.0001)))</f>
        <v>126.8491666215147</v>
      </c>
      <c r="C239" s="21">
        <f t="shared" ca="1" si="23"/>
        <v>1</v>
      </c>
      <c r="D239" s="9">
        <f ca="1">D238+C239*(Prices!C239-Prices!C238)/Prices!C238</f>
        <v>8.1629748438093161E-2</v>
      </c>
      <c r="E239" s="9">
        <f t="shared" ca="1" si="24"/>
        <v>2.9242000843599528E-2</v>
      </c>
      <c r="F239" s="9">
        <f t="shared" ca="1" si="25"/>
        <v>0.11087174928169269</v>
      </c>
      <c r="G239" s="13">
        <f ca="1">IF((Prices!C239-Prices!C238)*C239&gt;0,1,0)</f>
        <v>0</v>
      </c>
      <c r="H239" s="9">
        <f>ABS(Prices!C239-Prices!C238)/Prices!C238</f>
        <v>1.6060387055324838E-4</v>
      </c>
      <c r="I239" s="13"/>
      <c r="J239" s="1">
        <f t="shared" ca="1" si="26"/>
        <v>1.3528092615369199E-3</v>
      </c>
      <c r="K239" s="9"/>
      <c r="L239" s="9">
        <f ca="1">L238-O239*Prices!C239</f>
        <v>1.3070104731495309</v>
      </c>
      <c r="M239" s="1">
        <f t="shared" ca="1" si="27"/>
        <v>8.0253398161111763E-3</v>
      </c>
      <c r="N239" s="9">
        <f ca="1">IF(Prices!D238&gt;OFFSET(Prices!D238,-$N$3,0),1,-1)</f>
        <v>1</v>
      </c>
      <c r="O239" s="1">
        <f ca="1">IF(N239=1,O$3*L238/Prices!C238,-O$3*M238)</f>
        <v>1.1661510837440831E-3</v>
      </c>
      <c r="P239" s="14"/>
      <c r="Q239" s="9">
        <f ca="1">Q238-T239*Prices!C239</f>
        <v>1.1389863343101116</v>
      </c>
      <c r="R239" s="1">
        <f t="shared" ca="1" si="28"/>
        <v>8.9509691196488651E-3</v>
      </c>
      <c r="S239" s="9">
        <f ca="1">IF(Prices!C238&lt;OFFSET(Prices!C238,-S$3,0),1,-1)</f>
        <v>1</v>
      </c>
      <c r="T239" s="1">
        <f ca="1">IF(S239=1,T$3*Q238/Prices!C238,-T$3*R238)</f>
        <v>1.8665817779283671E-4</v>
      </c>
      <c r="V239" s="9"/>
      <c r="W239" s="1"/>
      <c r="X239" s="1"/>
      <c r="Y239" s="1"/>
      <c r="Z239" s="1"/>
      <c r="AA239" s="1"/>
      <c r="AB239" s="1"/>
      <c r="AC239" s="1"/>
      <c r="AD239" s="1"/>
      <c r="AE239" s="16"/>
    </row>
    <row r="240" spans="1:31" x14ac:dyDescent="0.2">
      <c r="A240" s="4">
        <v>33842</v>
      </c>
      <c r="B240" s="9">
        <f ca="1">Prices!C239*(1+J240/(50*(ABS(O240)+ABS(T240)+0.0001)))</f>
        <v>126.81334320065196</v>
      </c>
      <c r="C240" s="21">
        <f t="shared" ca="1" si="23"/>
        <v>1</v>
      </c>
      <c r="D240" s="9">
        <f ca="1">D239+C240*(Prices!C240-Prices!C239)/Prices!C239</f>
        <v>8.4119508296738962E-2</v>
      </c>
      <c r="E240" s="9">
        <f t="shared" ca="1" si="24"/>
        <v>2.6752240984953726E-2</v>
      </c>
      <c r="F240" s="9">
        <f t="shared" ca="1" si="25"/>
        <v>0.11087174928169269</v>
      </c>
      <c r="G240" s="13">
        <f ca="1">IF((Prices!C240-Prices!C239)*C240&gt;0,1,0)</f>
        <v>1</v>
      </c>
      <c r="H240" s="9">
        <f>ABS(Prices!C240-Prices!C239)/Prices!C239</f>
        <v>2.4897598586457958E-3</v>
      </c>
      <c r="I240" s="13"/>
      <c r="J240" s="1">
        <f t="shared" ca="1" si="26"/>
        <v>1.2326782909096083E-3</v>
      </c>
      <c r="K240" s="9"/>
      <c r="L240" s="9">
        <f ca="1">L239-O240*Prices!C240</f>
        <v>1.1759840116134901</v>
      </c>
      <c r="M240" s="1">
        <f t="shared" ca="1" si="27"/>
        <v>9.0750631099426205E-3</v>
      </c>
      <c r="N240" s="9">
        <f ca="1">IF(Prices!D239&gt;OFFSET(Prices!D239,-$N$3,0),1,-1)</f>
        <v>1</v>
      </c>
      <c r="O240" s="1">
        <f ca="1">IF(N240=1,O$3*L239/Prices!C239,-O$3*M239)</f>
        <v>1.049723293831444E-3</v>
      </c>
      <c r="P240" s="14"/>
      <c r="Q240" s="9">
        <f ca="1">Q239-T240*Prices!C240</f>
        <v>1.1161498915748151</v>
      </c>
      <c r="R240" s="1">
        <f t="shared" ca="1" si="28"/>
        <v>9.1339241167270289E-3</v>
      </c>
      <c r="S240" s="9">
        <f ca="1">IF(Prices!C239&lt;OFFSET(Prices!C239,-S$3,0),1,-1)</f>
        <v>1</v>
      </c>
      <c r="T240" s="1">
        <f ca="1">IF(S240=1,T$3*Q239/Prices!C239,-T$3*R239)</f>
        <v>1.8295499707816427E-4</v>
      </c>
      <c r="V240" s="9"/>
      <c r="W240" s="1"/>
      <c r="X240" s="1"/>
      <c r="Y240" s="1"/>
      <c r="Z240" s="1"/>
      <c r="AA240" s="1"/>
      <c r="AB240" s="1"/>
      <c r="AC240" s="1"/>
      <c r="AD240" s="1"/>
      <c r="AE240" s="16"/>
    </row>
    <row r="241" spans="1:31" x14ac:dyDescent="0.2">
      <c r="A241" s="4">
        <v>33843</v>
      </c>
      <c r="B241" s="9">
        <f ca="1">Prices!C240*(1+J241/(50*(ABS(O241)+ABS(T241)+0.0001)))</f>
        <v>123.28669015684214</v>
      </c>
      <c r="C241" s="21">
        <f t="shared" ca="1" si="23"/>
        <v>-1</v>
      </c>
      <c r="D241" s="9">
        <f ca="1">D240+C241*(Prices!C241-Prices!C240)/Prices!C240</f>
        <v>8.4439969761247791E-2</v>
      </c>
      <c r="E241" s="9">
        <f t="shared" ca="1" si="24"/>
        <v>2.6431779520444898E-2</v>
      </c>
      <c r="F241" s="9">
        <f t="shared" ca="1" si="25"/>
        <v>0.11087174928169269</v>
      </c>
      <c r="G241" s="13">
        <f ca="1">IF((Prices!C241-Prices!C240)*C241&gt;0,1,0)</f>
        <v>1</v>
      </c>
      <c r="H241" s="9">
        <f>ABS(Prices!C241-Prices!C240)/Prices!C240</f>
        <v>3.2046146450882905E-4</v>
      </c>
      <c r="I241" s="13"/>
      <c r="J241" s="1">
        <f t="shared" ca="1" si="26"/>
        <v>-7.2866479656150855E-4</v>
      </c>
      <c r="K241" s="9"/>
      <c r="L241" s="9">
        <f ca="1">L240-O241*Prices!C241</f>
        <v>1.2892226490993541</v>
      </c>
      <c r="M241" s="1">
        <f t="shared" ca="1" si="27"/>
        <v>8.1675567989483583E-3</v>
      </c>
      <c r="N241" s="9">
        <f ca="1">IF(Prices!D240&gt;OFFSET(Prices!D240,-$N$3,0),1,-1)</f>
        <v>-1</v>
      </c>
      <c r="O241" s="1">
        <f ca="1">IF(N241=1,O$3*L240/Prices!C240,-O$3*M240)</f>
        <v>-9.0750631099426212E-4</v>
      </c>
      <c r="P241" s="14"/>
      <c r="Q241" s="9">
        <f ca="1">Q240-T241*Prices!C241</f>
        <v>1.0938340474038961</v>
      </c>
      <c r="R241" s="1">
        <f t="shared" ca="1" si="28"/>
        <v>9.3127656311597831E-3</v>
      </c>
      <c r="S241" s="9">
        <f ca="1">IF(Prices!C240&lt;OFFSET(Prices!C240,-S$3,0),1,-1)</f>
        <v>1</v>
      </c>
      <c r="T241" s="1">
        <f ca="1">IF(S241=1,T$3*Q240/Prices!C240,-T$3*R240)</f>
        <v>1.7884151443275359E-4</v>
      </c>
      <c r="V241" s="9"/>
      <c r="W241" s="1"/>
      <c r="X241" s="1"/>
      <c r="Y241" s="1"/>
      <c r="Z241" s="1"/>
      <c r="AA241" s="1"/>
      <c r="AB241" s="1"/>
      <c r="AC241" s="1"/>
      <c r="AD241" s="1"/>
      <c r="AE241" s="16"/>
    </row>
    <row r="242" spans="1:31" x14ac:dyDescent="0.2">
      <c r="A242" s="4">
        <v>33844</v>
      </c>
      <c r="B242" s="9">
        <f ca="1">Prices!C241*(1+J242/(50*(ABS(O242)+ABS(T242)+0.0001)))</f>
        <v>123.31420515385541</v>
      </c>
      <c r="C242" s="21">
        <f t="shared" ca="1" si="23"/>
        <v>-1</v>
      </c>
      <c r="D242" s="9">
        <f ca="1">D241+C242*(Prices!C242-Prices!C241)/Prices!C241</f>
        <v>9.6300844901494653E-2</v>
      </c>
      <c r="E242" s="9">
        <f t="shared" ca="1" si="24"/>
        <v>1.4570904380198035E-2</v>
      </c>
      <c r="F242" s="9">
        <f t="shared" ca="1" si="25"/>
        <v>0.11087174928169269</v>
      </c>
      <c r="G242" s="13">
        <f ca="1">IF((Prices!C242-Prices!C241)*C242&gt;0,1,0)</f>
        <v>1</v>
      </c>
      <c r="H242" s="9">
        <f>ABS(Prices!C242-Prices!C241)/Prices!C241</f>
        <v>1.1860875140246866E-2</v>
      </c>
      <c r="I242" s="13"/>
      <c r="J242" s="1">
        <f t="shared" ca="1" si="26"/>
        <v>-6.4143366556499196E-4</v>
      </c>
      <c r="K242" s="9"/>
      <c r="L242" s="9">
        <f ca="1">L241-O242*Prices!C242</f>
        <v>1.3899286244303874</v>
      </c>
      <c r="M242" s="1">
        <f t="shared" ca="1" si="27"/>
        <v>7.3508011190535228E-3</v>
      </c>
      <c r="N242" s="9">
        <f ca="1">IF(Prices!D241&gt;OFFSET(Prices!D241,-$N$3,0),1,-1)</f>
        <v>-1</v>
      </c>
      <c r="O242" s="1">
        <f ca="1">IF(N242=1,O$3*L241/Prices!C241,-O$3*M241)</f>
        <v>-8.1675567989483592E-4</v>
      </c>
      <c r="P242" s="14"/>
      <c r="Q242" s="9">
        <f ca="1">Q241-T242*Prices!C242</f>
        <v>1.0722168430370265</v>
      </c>
      <c r="R242" s="1">
        <f t="shared" ca="1" si="28"/>
        <v>9.4880876454896262E-3</v>
      </c>
      <c r="S242" s="9">
        <f ca="1">IF(Prices!C241&lt;OFFSET(Prices!C241,-S$3,0),1,-1)</f>
        <v>1</v>
      </c>
      <c r="T242" s="1">
        <f ca="1">IF(S242=1,T$3*Q241/Prices!C241,-T$3*R241)</f>
        <v>1.7532201432984392E-4</v>
      </c>
      <c r="V242" s="9"/>
      <c r="W242" s="1"/>
      <c r="X242" s="1"/>
      <c r="Y242" s="1"/>
      <c r="Z242" s="1"/>
      <c r="AA242" s="1"/>
      <c r="AB242" s="1"/>
      <c r="AC242" s="1"/>
      <c r="AD242" s="1"/>
      <c r="AE242" s="16"/>
    </row>
    <row r="243" spans="1:31" x14ac:dyDescent="0.2">
      <c r="A243" s="4">
        <v>33847</v>
      </c>
      <c r="B243" s="9">
        <f ca="1">Prices!C242*(1+J243/(50*(ABS(O243)+ABS(T243)+0.0001)))</f>
        <v>121.92852264054109</v>
      </c>
      <c r="C243" s="21">
        <f t="shared" ca="1" si="23"/>
        <v>-1</v>
      </c>
      <c r="D243" s="9">
        <f ca="1">D242+C243*(Prices!C243-Prices!C242)/Prices!C242</f>
        <v>9.8085110919337304E-2</v>
      </c>
      <c r="E243" s="9">
        <f t="shared" ca="1" si="24"/>
        <v>1.2786638362355385E-2</v>
      </c>
      <c r="F243" s="9">
        <f t="shared" ca="1" si="25"/>
        <v>0.11087174928169269</v>
      </c>
      <c r="G243" s="13">
        <f ca="1">IF((Prices!C243-Prices!C242)*C243&gt;0,1,0)</f>
        <v>1</v>
      </c>
      <c r="H243" s="9">
        <f>ABS(Prices!C243-Prices!C242)/Prices!C242</f>
        <v>1.784266017842651E-3</v>
      </c>
      <c r="I243" s="13"/>
      <c r="J243" s="1">
        <f t="shared" ca="1" si="26"/>
        <v>-5.6116010492448837E-4</v>
      </c>
      <c r="K243" s="9"/>
      <c r="L243" s="9">
        <f ca="1">L242-O243*Prices!C243</f>
        <v>1.4804022846036982</v>
      </c>
      <c r="M243" s="1">
        <f t="shared" ca="1" si="27"/>
        <v>6.6157210071481707E-3</v>
      </c>
      <c r="N243" s="9">
        <f ca="1">IF(Prices!D242&gt;OFFSET(Prices!D242,-$N$3,0),1,-1)</f>
        <v>-1</v>
      </c>
      <c r="O243" s="1">
        <f ca="1">IF(N243=1,O$3*L242/Prices!C242,-O$3*M242)</f>
        <v>-7.3508011190535232E-4</v>
      </c>
      <c r="P243" s="14"/>
      <c r="Q243" s="9">
        <f ca="1">Q242-T243*Prices!C243</f>
        <v>1.0508107685778216</v>
      </c>
      <c r="R243" s="1">
        <f t="shared" ca="1" si="28"/>
        <v>9.6620076524704911E-3</v>
      </c>
      <c r="S243" s="9">
        <f ca="1">IF(Prices!C242&lt;OFFSET(Prices!C242,-S$3,0),1,-1)</f>
        <v>1</v>
      </c>
      <c r="T243" s="1">
        <f ca="1">IF(S243=1,T$3*Q242/Prices!C242,-T$3*R242)</f>
        <v>1.7392000698086398E-4</v>
      </c>
      <c r="V243" s="9"/>
      <c r="W243" s="1"/>
      <c r="X243" s="1"/>
      <c r="Y243" s="1"/>
      <c r="Z243" s="1"/>
      <c r="AA243" s="1"/>
      <c r="AB243" s="1"/>
      <c r="AC243" s="1"/>
      <c r="AD243" s="1"/>
      <c r="AE243" s="16"/>
    </row>
    <row r="244" spans="1:31" x14ac:dyDescent="0.2">
      <c r="A244" s="4">
        <v>33848</v>
      </c>
      <c r="B244" s="9">
        <f ca="1">Prices!C243*(1+J244/(50*(ABS(O244)+ABS(T244)+0.0001)))</f>
        <v>121.784097693788</v>
      </c>
      <c r="C244" s="21">
        <f t="shared" ca="1" si="23"/>
        <v>-1</v>
      </c>
      <c r="D244" s="9">
        <f ca="1">D243+C244*(Prices!C244-Prices!C243)/Prices!C243</f>
        <v>9.9710070295352921E-2</v>
      </c>
      <c r="E244" s="9">
        <f t="shared" ca="1" si="24"/>
        <v>1.1161678986339768E-2</v>
      </c>
      <c r="F244" s="9">
        <f t="shared" ca="1" si="25"/>
        <v>0.11087174928169269</v>
      </c>
      <c r="G244" s="13">
        <f ca="1">IF((Prices!C244-Prices!C243)*C244&gt;0,1,0)</f>
        <v>1</v>
      </c>
      <c r="H244" s="9">
        <f>ABS(Prices!C244-Prices!C243)/Prices!C243</f>
        <v>1.6249593760156228E-3</v>
      </c>
      <c r="I244" s="13"/>
      <c r="J244" s="1">
        <f t="shared" ca="1" si="26"/>
        <v>-4.9081961963294823E-4</v>
      </c>
      <c r="K244" s="9"/>
      <c r="L244" s="9">
        <f ca="1">L243-O244*Prices!C244</f>
        <v>1.5616962643395349</v>
      </c>
      <c r="M244" s="1">
        <f t="shared" ca="1" si="27"/>
        <v>5.9541489064333531E-3</v>
      </c>
      <c r="N244" s="9">
        <f ca="1">IF(Prices!D243&gt;OFFSET(Prices!D243,-$N$3,0),1,-1)</f>
        <v>-1</v>
      </c>
      <c r="O244" s="1">
        <f ca="1">IF(N244=1,O$3*L243/Prices!C243,-O$3*M243)</f>
        <v>-6.6157210071481716E-4</v>
      </c>
      <c r="P244" s="14"/>
      <c r="Q244" s="9">
        <f ca="1">Q243-T244*Prices!C244</f>
        <v>1.0298287037024816</v>
      </c>
      <c r="R244" s="1">
        <f t="shared" ca="1" si="28"/>
        <v>9.8327601335523596E-3</v>
      </c>
      <c r="S244" s="9">
        <f ca="1">IF(Prices!C243&lt;OFFSET(Prices!C243,-S$3,0),1,-1)</f>
        <v>1</v>
      </c>
      <c r="T244" s="1">
        <f ca="1">IF(S244=1,T$3*Q243/Prices!C243,-T$3*R243)</f>
        <v>1.7075248108186898E-4</v>
      </c>
      <c r="V244" s="9"/>
      <c r="W244" s="1"/>
      <c r="X244" s="1"/>
      <c r="Y244" s="1"/>
      <c r="Z244" s="1"/>
      <c r="AA244" s="1"/>
      <c r="AB244" s="1"/>
      <c r="AC244" s="1"/>
      <c r="AD244" s="1"/>
      <c r="AE244" s="16"/>
    </row>
    <row r="245" spans="1:31" x14ac:dyDescent="0.2">
      <c r="A245" s="4">
        <v>33849</v>
      </c>
      <c r="B245" s="9">
        <f ca="1">Prices!C244*(1+J245/(50*(ABS(O245)+ABS(T245)+0.0001)))</f>
        <v>121.66178063110706</v>
      </c>
      <c r="C245" s="21">
        <f t="shared" ca="1" si="23"/>
        <v>-1</v>
      </c>
      <c r="D245" s="9">
        <f ca="1">D244+C245*(Prices!C245-Prices!C244)/Prices!C244</f>
        <v>9.7756945295352851E-2</v>
      </c>
      <c r="E245" s="9">
        <f t="shared" ca="1" si="24"/>
        <v>1.3114803986339837E-2</v>
      </c>
      <c r="F245" s="9">
        <f t="shared" ca="1" si="25"/>
        <v>0.11087174928169269</v>
      </c>
      <c r="G245" s="13">
        <f ca="1">IF((Prices!C245-Prices!C244)*C245&gt;0,1,0)</f>
        <v>0</v>
      </c>
      <c r="H245" s="9">
        <f>ABS(Prices!C245-Prices!C244)/Prices!C244</f>
        <v>1.9531250000000742E-3</v>
      </c>
      <c r="I245" s="13"/>
      <c r="J245" s="1">
        <f t="shared" ca="1" si="26"/>
        <v>-4.2779954173342632E-4</v>
      </c>
      <c r="K245" s="9"/>
      <c r="L245" s="9">
        <f ca="1">L244-O245*Prices!C245</f>
        <v>1.6350037456755424</v>
      </c>
      <c r="M245" s="1">
        <f t="shared" ca="1" si="27"/>
        <v>5.3587340157900173E-3</v>
      </c>
      <c r="N245" s="9">
        <f ca="1">IF(Prices!D244&gt;OFFSET(Prices!D244,-$N$3,0),1,-1)</f>
        <v>-1</v>
      </c>
      <c r="O245" s="1">
        <f ca="1">IF(N245=1,O$3*L244/Prices!C244,-O$3*M244)</f>
        <v>-5.954148906433354E-4</v>
      </c>
      <c r="P245" s="14"/>
      <c r="Q245" s="9">
        <f ca="1">Q244-T245*Prices!C245</f>
        <v>1.0091919019446935</v>
      </c>
      <c r="R245" s="1">
        <f t="shared" ca="1" si="28"/>
        <v>1.0000375482462269E-2</v>
      </c>
      <c r="S245" s="9">
        <f ca="1">IF(Prices!C244&lt;OFFSET(Prices!C244,-S$3,0),1,-1)</f>
        <v>1</v>
      </c>
      <c r="T245" s="1">
        <f ca="1">IF(S245=1,T$3*Q244/Prices!C244,-T$3*R244)</f>
        <v>1.676153489099091E-4</v>
      </c>
      <c r="V245" s="9"/>
      <c r="W245" s="1"/>
      <c r="X245" s="1"/>
      <c r="Y245" s="1"/>
      <c r="Z245" s="1"/>
      <c r="AA245" s="1"/>
      <c r="AB245" s="1"/>
      <c r="AC245" s="1"/>
      <c r="AD245" s="1"/>
      <c r="AE245" s="16"/>
    </row>
    <row r="246" spans="1:31" x14ac:dyDescent="0.2">
      <c r="A246" s="4">
        <v>33850</v>
      </c>
      <c r="B246" s="9">
        <f ca="1">Prices!C245*(1+J246/(50*(ABS(O246)+ABS(T246)+0.0001)))</f>
        <v>121.97490524285872</v>
      </c>
      <c r="C246" s="21">
        <f t="shared" ca="1" si="23"/>
        <v>-1</v>
      </c>
      <c r="D246" s="9">
        <f ca="1">D245+C246*(Prices!C246-Prices!C245)/Prices!C245</f>
        <v>8.9391123333039654E-2</v>
      </c>
      <c r="E246" s="9">
        <f t="shared" ca="1" si="24"/>
        <v>2.1480625948653034E-2</v>
      </c>
      <c r="F246" s="9">
        <f t="shared" ca="1" si="25"/>
        <v>0.11087174928169269</v>
      </c>
      <c r="G246" s="13">
        <f ca="1">IF((Prices!C246-Prices!C245)*C246&gt;0,1,0)</f>
        <v>0</v>
      </c>
      <c r="H246" s="9">
        <f>ABS(Prices!C246-Prices!C245)/Prices!C245</f>
        <v>8.3658219623131986E-3</v>
      </c>
      <c r="I246" s="13"/>
      <c r="J246" s="1">
        <f t="shared" ca="1" si="26"/>
        <v>-3.7193709522021466E-4</v>
      </c>
      <c r="K246" s="9"/>
      <c r="L246" s="9">
        <f ca="1">L245-O246*Prices!C246</f>
        <v>1.7015324284815754</v>
      </c>
      <c r="M246" s="1">
        <f t="shared" ca="1" si="27"/>
        <v>4.8228606142110154E-3</v>
      </c>
      <c r="N246" s="9">
        <f ca="1">IF(Prices!D245&gt;OFFSET(Prices!D245,-$N$3,0),1,-1)</f>
        <v>-1</v>
      </c>
      <c r="O246" s="1">
        <f ca="1">IF(N246=1,O$3*L245/Prices!C245,-O$3*M245)</f>
        <v>-5.3587340157900179E-4</v>
      </c>
      <c r="P246" s="14"/>
      <c r="Q246" s="9">
        <f ca="1">Q245-T246*Prices!C246</f>
        <v>0.98883920951025017</v>
      </c>
      <c r="R246" s="1">
        <f t="shared" ca="1" si="28"/>
        <v>1.0164311788821056E-2</v>
      </c>
      <c r="S246" s="9">
        <f ca="1">IF(Prices!C245&lt;OFFSET(Prices!C245,-S$3,0),1,-1)</f>
        <v>1</v>
      </c>
      <c r="T246" s="1">
        <f ca="1">IF(S246=1,T$3*Q245/Prices!C245,-T$3*R245)</f>
        <v>1.639363063587871E-4</v>
      </c>
      <c r="V246" s="9"/>
      <c r="W246" s="1"/>
      <c r="X246" s="1"/>
      <c r="Y246" s="1"/>
      <c r="Z246" s="1"/>
      <c r="AA246" s="1"/>
      <c r="AB246" s="1"/>
      <c r="AC246" s="1"/>
      <c r="AD246" s="1"/>
      <c r="AE246" s="16"/>
    </row>
    <row r="247" spans="1:31" x14ac:dyDescent="0.2">
      <c r="A247" s="4">
        <v>33851</v>
      </c>
      <c r="B247" s="9">
        <f ca="1">Prices!C246*(1+J247/(50*(ABS(O247)+ABS(T247)+0.0001)))</f>
        <v>121.9830753006258</v>
      </c>
      <c r="C247" s="21">
        <f t="shared" ca="1" si="23"/>
        <v>-1</v>
      </c>
      <c r="D247" s="9">
        <f ca="1">D246+C247*(Prices!C247-Prices!C246)/Prices!C246</f>
        <v>9.7526443510244684E-2</v>
      </c>
      <c r="E247" s="9">
        <f t="shared" ca="1" si="24"/>
        <v>1.3345305771448004E-2</v>
      </c>
      <c r="F247" s="9">
        <f t="shared" ca="1" si="25"/>
        <v>0.11087174928169269</v>
      </c>
      <c r="G247" s="13">
        <f ca="1">IF((Prices!C247-Prices!C246)*C247&gt;0,1,0)</f>
        <v>1</v>
      </c>
      <c r="H247" s="9">
        <f>ABS(Prices!C247-Prices!C246)/Prices!C246</f>
        <v>8.1353201772050351E-3</v>
      </c>
      <c r="I247" s="13"/>
      <c r="J247" s="1">
        <f t="shared" ca="1" si="26"/>
        <v>-6.8557229719752263E-4</v>
      </c>
      <c r="K247" s="9"/>
      <c r="L247" s="9">
        <f ca="1">L246-O247*Prices!C247</f>
        <v>1.7609211340849698</v>
      </c>
      <c r="M247" s="1">
        <f t="shared" ca="1" si="27"/>
        <v>4.3405745527899135E-3</v>
      </c>
      <c r="N247" s="9">
        <f ca="1">IF(Prices!D246&gt;OFFSET(Prices!D246,-$N$3,0),1,-1)</f>
        <v>-1</v>
      </c>
      <c r="O247" s="1">
        <f ca="1">IF(N247=1,O$3*L246/Prices!C246,-O$3*M246)</f>
        <v>-4.8228606142110156E-4</v>
      </c>
      <c r="P247" s="14"/>
      <c r="Q247" s="9">
        <f ca="1">Q246-T247*Prices!C247</f>
        <v>1.0138718765837587</v>
      </c>
      <c r="R247" s="1">
        <f t="shared" ca="1" si="28"/>
        <v>9.9610255530446345E-3</v>
      </c>
      <c r="S247" s="9">
        <f ca="1">IF(Prices!C246&lt;OFFSET(Prices!C246,-S$3,0),1,-1)</f>
        <v>-1</v>
      </c>
      <c r="T247" s="1">
        <f ca="1">IF(S247=1,T$3*Q246/Prices!C246,-T$3*R246)</f>
        <v>-2.0328623577642112E-4</v>
      </c>
      <c r="V247" s="9"/>
      <c r="W247" s="1"/>
      <c r="X247" s="1"/>
      <c r="Y247" s="1"/>
      <c r="Z247" s="1"/>
      <c r="AA247" s="1"/>
      <c r="AB247" s="1"/>
      <c r="AC247" s="1"/>
      <c r="AD247" s="1"/>
      <c r="AE247" s="16"/>
    </row>
    <row r="248" spans="1:31" x14ac:dyDescent="0.2">
      <c r="A248" s="4">
        <v>33854</v>
      </c>
      <c r="B248" s="9">
        <f ca="1">Prices!C247*(1+J248/(50*(ABS(O248)+ABS(T248)+0.0001)))</f>
        <v>121.01306172134599</v>
      </c>
      <c r="C248" s="21">
        <f t="shared" ca="1" si="23"/>
        <v>-1</v>
      </c>
      <c r="D248" s="9">
        <f ca="1">D247+C248*(Prices!C248-Prices!C247)/Prices!C247</f>
        <v>9.4602941804868695E-2</v>
      </c>
      <c r="E248" s="9">
        <f t="shared" ca="1" si="24"/>
        <v>1.6268807476823993E-2</v>
      </c>
      <c r="F248" s="9">
        <f t="shared" ca="1" si="25"/>
        <v>0.11087174928169269</v>
      </c>
      <c r="G248" s="13">
        <f ca="1">IF((Prices!C248-Prices!C247)*C248&gt;0,1,0)</f>
        <v>0</v>
      </c>
      <c r="H248" s="9">
        <f>ABS(Prices!C248-Prices!C247)/Prices!C247</f>
        <v>2.92350170537599E-3</v>
      </c>
      <c r="I248" s="13"/>
      <c r="J248" s="1">
        <f t="shared" ca="1" si="26"/>
        <v>-6.332779663398841E-4</v>
      </c>
      <c r="K248" s="9"/>
      <c r="L248" s="9">
        <f ca="1">L247-O248*Prices!C248</f>
        <v>1.8145272298119253</v>
      </c>
      <c r="M248" s="1">
        <f t="shared" ca="1" si="27"/>
        <v>3.9065170975109221E-3</v>
      </c>
      <c r="N248" s="9">
        <f ca="1">IF(Prices!D247&gt;OFFSET(Prices!D247,-$N$3,0),1,-1)</f>
        <v>-1</v>
      </c>
      <c r="O248" s="1">
        <f ca="1">IF(N248=1,O$3*L247/Prices!C247,-O$3*M247)</f>
        <v>-4.3405745527899138E-4</v>
      </c>
      <c r="P248" s="14"/>
      <c r="Q248" s="9">
        <f ca="1">Q247-T248*Prices!C248</f>
        <v>1.0384756096997789</v>
      </c>
      <c r="R248" s="1">
        <f t="shared" ca="1" si="28"/>
        <v>9.7618050419837413E-3</v>
      </c>
      <c r="S248" s="9">
        <f ca="1">IF(Prices!C247&lt;OFFSET(Prices!C247,-S$3,0),1,-1)</f>
        <v>-1</v>
      </c>
      <c r="T248" s="1">
        <f ca="1">IF(S248=1,T$3*Q247/Prices!C247,-T$3*R247)</f>
        <v>-1.992205110608927E-4</v>
      </c>
      <c r="V248" s="9"/>
      <c r="W248" s="1"/>
      <c r="X248" s="1"/>
      <c r="Y248" s="1"/>
      <c r="Z248" s="1"/>
      <c r="AA248" s="1"/>
      <c r="AB248" s="1"/>
      <c r="AC248" s="1"/>
      <c r="AD248" s="1"/>
      <c r="AE248" s="16"/>
    </row>
    <row r="249" spans="1:31" x14ac:dyDescent="0.2">
      <c r="A249" s="4">
        <v>33855</v>
      </c>
      <c r="B249" s="9">
        <f ca="1">Prices!C248*(1+J249/(50*(ABS(O249)+ABS(T249)+0.0001)))</f>
        <v>121.3901172031141</v>
      </c>
      <c r="C249" s="21">
        <f t="shared" ca="1" si="23"/>
        <v>-1</v>
      </c>
      <c r="D249" s="9">
        <f ca="1">D248+C249*(Prices!C249-Prices!C248)/Prices!C248</f>
        <v>9.9704156379767442E-2</v>
      </c>
      <c r="E249" s="9">
        <f t="shared" ca="1" si="24"/>
        <v>1.1167592901925247E-2</v>
      </c>
      <c r="F249" s="9">
        <f t="shared" ca="1" si="25"/>
        <v>0.11087174928169269</v>
      </c>
      <c r="G249" s="13">
        <f ca="1">IF((Prices!C249-Prices!C248)*C249&gt;0,1,0)</f>
        <v>1</v>
      </c>
      <c r="H249" s="9">
        <f>ABS(Prices!C249-Prices!C248)/Prices!C248</f>
        <v>5.101214574898749E-3</v>
      </c>
      <c r="I249" s="13"/>
      <c r="J249" s="1">
        <f t="shared" ca="1" si="26"/>
        <v>-5.8588781059076703E-4</v>
      </c>
      <c r="K249" s="9"/>
      <c r="L249" s="9">
        <f ca="1">L248-O249*Prices!C249</f>
        <v>1.8625266053890419</v>
      </c>
      <c r="M249" s="1">
        <f t="shared" ca="1" si="27"/>
        <v>3.5158653877598298E-3</v>
      </c>
      <c r="N249" s="9">
        <f ca="1">IF(Prices!D248&gt;OFFSET(Prices!D248,-$N$3,0),1,-1)</f>
        <v>-1</v>
      </c>
      <c r="O249" s="1">
        <f ca="1">IF(N249=1,O$3*L248/Prices!C248,-O$3*M248)</f>
        <v>-3.9065170975109221E-4</v>
      </c>
      <c r="P249" s="14"/>
      <c r="Q249" s="9">
        <f ca="1">Q248-T249*Prices!C249</f>
        <v>1.0624642694099498</v>
      </c>
      <c r="R249" s="1">
        <f t="shared" ca="1" si="28"/>
        <v>9.5665689411440664E-3</v>
      </c>
      <c r="S249" s="9">
        <f ca="1">IF(Prices!C248&lt;OFFSET(Prices!C248,-S$3,0),1,-1)</f>
        <v>-1</v>
      </c>
      <c r="T249" s="1">
        <f ca="1">IF(S249=1,T$3*Q248/Prices!C248,-T$3*R248)</f>
        <v>-1.9523610083967483E-4</v>
      </c>
      <c r="V249" s="9"/>
      <c r="W249" s="1"/>
      <c r="X249" s="1"/>
      <c r="Y249" s="1"/>
      <c r="Z249" s="1"/>
      <c r="AA249" s="1"/>
      <c r="AB249" s="1"/>
      <c r="AC249" s="1"/>
      <c r="AD249" s="1"/>
      <c r="AE249" s="16"/>
    </row>
    <row r="250" spans="1:31" x14ac:dyDescent="0.2">
      <c r="A250" s="4">
        <v>33856</v>
      </c>
      <c r="B250" s="9">
        <f ca="1">Prices!C249*(1+J250/(50*(ABS(O250)+ABS(T250)+0.0001)))</f>
        <v>122.16706396603044</v>
      </c>
      <c r="C250" s="21">
        <f t="shared" ca="1" si="23"/>
        <v>-1</v>
      </c>
      <c r="D250" s="9">
        <f ca="1">D249+C250*(Prices!C250-Prices!C249)/Prices!C249</f>
        <v>9.5634814799235177E-2</v>
      </c>
      <c r="E250" s="9">
        <f t="shared" ca="1" si="24"/>
        <v>1.5236934482457512E-2</v>
      </c>
      <c r="F250" s="9">
        <f t="shared" ca="1" si="25"/>
        <v>0.11087174928169269</v>
      </c>
      <c r="G250" s="13">
        <f ca="1">IF((Prices!C250-Prices!C249)*C250&gt;0,1,0)</f>
        <v>0</v>
      </c>
      <c r="H250" s="9">
        <f>ABS(Prices!C250-Prices!C249)/Prices!C249</f>
        <v>4.0693415805322696E-3</v>
      </c>
      <c r="I250" s="13"/>
      <c r="J250" s="1">
        <f t="shared" ca="1" si="26"/>
        <v>-1.7864533760239307E-4</v>
      </c>
      <c r="K250" s="9"/>
      <c r="L250" s="9">
        <f ca="1">L249-O250*Prices!C250</f>
        <v>1.9059018366778349</v>
      </c>
      <c r="M250" s="1">
        <f t="shared" ca="1" si="27"/>
        <v>3.1642788489838467E-3</v>
      </c>
      <c r="N250" s="9">
        <f ca="1">IF(Prices!D249&gt;OFFSET(Prices!D249,-$N$3,0),1,-1)</f>
        <v>-1</v>
      </c>
      <c r="O250" s="1">
        <f ca="1">IF(N250=1,O$3*L249/Prices!C249,-O$3*M249)</f>
        <v>-3.5158653877598301E-4</v>
      </c>
      <c r="P250" s="14"/>
      <c r="Q250" s="9">
        <f ca="1">Q249-T250*Prices!C250</f>
        <v>1.0411285134211639</v>
      </c>
      <c r="R250" s="1">
        <f t="shared" ca="1" si="28"/>
        <v>9.7395101423176558E-3</v>
      </c>
      <c r="S250" s="9">
        <f ca="1">IF(Prices!C249&lt;OFFSET(Prices!C249,-S$3,0),1,-1)</f>
        <v>1</v>
      </c>
      <c r="T250" s="1">
        <f ca="1">IF(S250=1,T$3*Q249/Prices!C249,-T$3*R249)</f>
        <v>1.7294120117358994E-4</v>
      </c>
      <c r="V250" s="9"/>
      <c r="W250" s="1"/>
      <c r="X250" s="1"/>
      <c r="Y250" s="1"/>
      <c r="Z250" s="1"/>
      <c r="AA250" s="1"/>
      <c r="AB250" s="1"/>
      <c r="AC250" s="1"/>
      <c r="AD250" s="1"/>
      <c r="AE250" s="16"/>
    </row>
    <row r="251" spans="1:31" x14ac:dyDescent="0.2">
      <c r="A251" s="4">
        <v>33857</v>
      </c>
      <c r="B251" s="9">
        <f ca="1">Prices!C250*(1+J251/(50*(ABS(O251)+ABS(T251)+0.0001)))</f>
        <v>122.74748302689729</v>
      </c>
      <c r="C251" s="21">
        <f t="shared" ca="1" si="23"/>
        <v>-1</v>
      </c>
      <c r="D251" s="9">
        <f ca="1">D250+C251*(Prices!C251-Prices!C250)/Prices!C250</f>
        <v>9.8633923172421561E-2</v>
      </c>
      <c r="E251" s="9">
        <f t="shared" ca="1" si="24"/>
        <v>1.2237826109271127E-2</v>
      </c>
      <c r="F251" s="9">
        <f t="shared" ca="1" si="25"/>
        <v>0.11087174928169269</v>
      </c>
      <c r="G251" s="13">
        <f ca="1">IF((Prices!C251-Prices!C250)*C251&gt;0,1,0)</f>
        <v>1</v>
      </c>
      <c r="H251" s="9">
        <f>ABS(Prices!C251-Prices!C250)/Prices!C250</f>
        <v>2.9991083731863866E-3</v>
      </c>
      <c r="I251" s="13"/>
      <c r="J251" s="1">
        <f t="shared" ca="1" si="26"/>
        <v>-1.4764641234895389E-4</v>
      </c>
      <c r="K251" s="9"/>
      <c r="L251" s="9">
        <f ca="1">L250-O251*Prices!C251</f>
        <v>1.9448224665203362</v>
      </c>
      <c r="M251" s="1">
        <f t="shared" ca="1" si="27"/>
        <v>2.8478509640854619E-3</v>
      </c>
      <c r="N251" s="9">
        <f ca="1">IF(Prices!D250&gt;OFFSET(Prices!D250,-$N$3,0),1,-1)</f>
        <v>-1</v>
      </c>
      <c r="O251" s="1">
        <f ca="1">IF(N251=1,O$3*L250/Prices!C250,-O$3*M250)</f>
        <v>-3.164278848983847E-4</v>
      </c>
      <c r="P251" s="14"/>
      <c r="Q251" s="9">
        <f ca="1">Q250-T251*Prices!C251</f>
        <v>1.0203683922975839</v>
      </c>
      <c r="R251" s="1">
        <f t="shared" ca="1" si="28"/>
        <v>9.9082916148670874E-3</v>
      </c>
      <c r="S251" s="9">
        <f ca="1">IF(Prices!C250&lt;OFFSET(Prices!C250,-S$3,0),1,-1)</f>
        <v>1</v>
      </c>
      <c r="T251" s="1">
        <f ca="1">IF(S251=1,T$3*Q250/Prices!C250,-T$3*R250)</f>
        <v>1.687814725494308E-4</v>
      </c>
      <c r="V251" s="9"/>
      <c r="W251" s="1"/>
      <c r="X251" s="1"/>
      <c r="Y251" s="1"/>
      <c r="Z251" s="1"/>
      <c r="AA251" s="1"/>
      <c r="AB251" s="1"/>
      <c r="AC251" s="1"/>
      <c r="AD251" s="1"/>
      <c r="AE251" s="16"/>
    </row>
    <row r="252" spans="1:31" x14ac:dyDescent="0.2">
      <c r="A252" s="4">
        <v>33858</v>
      </c>
      <c r="B252" s="9">
        <f ca="1">Prices!C251*(1+J252/(50*(ABS(O252)+ABS(T252)+0.0001)))</f>
        <v>125.3268160951509</v>
      </c>
      <c r="C252" s="21">
        <f t="shared" ca="1" si="23"/>
        <v>1</v>
      </c>
      <c r="D252" s="9">
        <f ca="1">D251+C252*(Prices!C252-Prices!C251)/Prices!C251</f>
        <v>0.10928432967648662</v>
      </c>
      <c r="E252" s="9">
        <f t="shared" ca="1" si="24"/>
        <v>1.5874196052060724E-3</v>
      </c>
      <c r="F252" s="9">
        <f t="shared" ca="1" si="25"/>
        <v>0.11087174928169269</v>
      </c>
      <c r="G252" s="13">
        <f ca="1">IF((Prices!C252-Prices!C251)*C252&gt;0,1,0)</f>
        <v>1</v>
      </c>
      <c r="H252" s="9">
        <f>ABS(Prices!C252-Prices!C251)/Prices!C251</f>
        <v>1.065040650406506E-2</v>
      </c>
      <c r="I252" s="13"/>
      <c r="J252" s="1">
        <f t="shared" ca="1" si="26"/>
        <v>1.7470700365689862E-3</v>
      </c>
      <c r="K252" s="9"/>
      <c r="L252" s="9">
        <f ca="1">L251-O252*Prices!C252</f>
        <v>1.7482689048836346</v>
      </c>
      <c r="M252" s="1">
        <f t="shared" ca="1" si="27"/>
        <v>4.4290074409312642E-3</v>
      </c>
      <c r="N252" s="9">
        <f ca="1">IF(Prices!D251&gt;OFFSET(Prices!D251,-$N$3,0),1,-1)</f>
        <v>1</v>
      </c>
      <c r="O252" s="1">
        <f ca="1">IF(N252=1,O$3*L251/Prices!C251,-O$3*M251)</f>
        <v>1.5811564768458018E-3</v>
      </c>
      <c r="P252" s="14"/>
      <c r="Q252" s="9">
        <f ca="1">Q251-T252*Prices!C252</f>
        <v>0.99974367768839489</v>
      </c>
      <c r="R252" s="1">
        <f t="shared" ca="1" si="28"/>
        <v>1.0074205174590272E-2</v>
      </c>
      <c r="S252" s="9">
        <f ca="1">IF(Prices!C251&lt;OFFSET(Prices!C251,-S$3,0),1,-1)</f>
        <v>1</v>
      </c>
      <c r="T252" s="1">
        <f ca="1">IF(S252=1,T$3*Q251/Prices!C251,-T$3*R251)</f>
        <v>1.659135597231844E-4</v>
      </c>
      <c r="V252" s="9"/>
      <c r="W252" s="1"/>
      <c r="X252" s="1"/>
      <c r="Y252" s="1"/>
      <c r="Z252" s="1"/>
      <c r="AA252" s="1"/>
      <c r="AB252" s="1"/>
      <c r="AC252" s="1"/>
      <c r="AD252" s="1"/>
      <c r="AE252" s="16"/>
    </row>
    <row r="253" spans="1:31" x14ac:dyDescent="0.2">
      <c r="A253" s="4">
        <v>33861</v>
      </c>
      <c r="B253" s="9">
        <f ca="1">Prices!C252*(1+J253/(50*(ABS(O253)+ABS(T253)+0.0001)))</f>
        <v>126.06401014091335</v>
      </c>
      <c r="C253" s="21">
        <f t="shared" ca="1" si="23"/>
        <v>1</v>
      </c>
      <c r="D253" s="9">
        <f ca="1">D252+C253*(Prices!C253-Prices!C252)/Prices!C252</f>
        <v>0.11065187854624771</v>
      </c>
      <c r="E253" s="9">
        <f t="shared" ca="1" si="24"/>
        <v>2.198707354449797E-4</v>
      </c>
      <c r="F253" s="9">
        <f t="shared" ca="1" si="25"/>
        <v>0.11087174928169269</v>
      </c>
      <c r="G253" s="13">
        <f ca="1">IF((Prices!C253-Prices!C252)*C253&gt;0,1,0)</f>
        <v>1</v>
      </c>
      <c r="H253" s="9">
        <f>ABS(Prices!C253-Prices!C252)/Prices!C252</f>
        <v>1.3675488697610949E-3</v>
      </c>
      <c r="I253" s="13"/>
      <c r="J253" s="1">
        <f t="shared" ca="1" si="26"/>
        <v>1.204894228809405E-3</v>
      </c>
      <c r="K253" s="9"/>
      <c r="L253" s="9">
        <f ca="1">L252-O253*Prices!C253</f>
        <v>1.57320293007878</v>
      </c>
      <c r="M253" s="1">
        <f t="shared" ca="1" si="27"/>
        <v>5.8353857732324748E-3</v>
      </c>
      <c r="N253" s="9">
        <f ca="1">IF(Prices!D252&gt;OFFSET(Prices!D252,-$N$3,0),1,-1)</f>
        <v>1</v>
      </c>
      <c r="O253" s="1">
        <f ca="1">IF(N253=1,O$3*L252/Prices!C252,-O$3*M252)</f>
        <v>1.4063783323012104E-3</v>
      </c>
      <c r="P253" s="14"/>
      <c r="Q253" s="9">
        <f ca="1">Q252-T253*Prices!C253</f>
        <v>1.0248244188910549</v>
      </c>
      <c r="R253" s="1">
        <f t="shared" ca="1" si="28"/>
        <v>9.8727210710984666E-3</v>
      </c>
      <c r="S253" s="9">
        <f ca="1">IF(Prices!C252&lt;OFFSET(Prices!C252,-S$3,0),1,-1)</f>
        <v>-1</v>
      </c>
      <c r="T253" s="1">
        <f ca="1">IF(S253=1,T$3*Q252/Prices!C252,-T$3*R252)</f>
        <v>-2.0148410349180544E-4</v>
      </c>
      <c r="V253" s="9"/>
      <c r="W253" s="1"/>
      <c r="X253" s="1"/>
      <c r="Y253" s="1"/>
      <c r="Z253" s="1"/>
      <c r="AA253" s="1"/>
      <c r="AB253" s="1"/>
      <c r="AC253" s="1"/>
      <c r="AD253" s="1"/>
      <c r="AE253" s="16"/>
    </row>
    <row r="254" spans="1:31" x14ac:dyDescent="0.2">
      <c r="A254" s="4">
        <v>33862</v>
      </c>
      <c r="B254" s="9">
        <f ca="1">Prices!C253*(1+J254/(50*(ABS(O254)+ABS(T254)+0.0001)))</f>
        <v>126.18042087249458</v>
      </c>
      <c r="C254" s="21">
        <f t="shared" ca="1" si="23"/>
        <v>1</v>
      </c>
      <c r="D254" s="9">
        <f ca="1">D253+C254*(Prices!C254-Prices!C253)/Prices!C253</f>
        <v>0.10952719988300863</v>
      </c>
      <c r="E254" s="9">
        <f t="shared" ca="1" si="24"/>
        <v>1.3445493986840584E-3</v>
      </c>
      <c r="F254" s="9">
        <f t="shared" ca="1" si="25"/>
        <v>0.11087174928169269</v>
      </c>
      <c r="G254" s="13">
        <f ca="1">IF((Prices!C254-Prices!C253)*C254&gt;0,1,0)</f>
        <v>0</v>
      </c>
      <c r="H254" s="9">
        <f>ABS(Prices!C254-Prices!C253)/Prices!C253</f>
        <v>1.1246786632390792E-3</v>
      </c>
      <c r="I254" s="13"/>
      <c r="J254" s="1">
        <f t="shared" ca="1" si="26"/>
        <v>1.0663654131528861E-3</v>
      </c>
      <c r="K254" s="9"/>
      <c r="L254" s="9">
        <f ca="1">L253-O254*Prices!C254</f>
        <v>1.4160595718477424</v>
      </c>
      <c r="M254" s="1">
        <f t="shared" ca="1" si="27"/>
        <v>7.0992056078073304E-3</v>
      </c>
      <c r="N254" s="9">
        <f ca="1">IF(Prices!D253&gt;OFFSET(Prices!D253,-$N$3,0),1,-1)</f>
        <v>1</v>
      </c>
      <c r="O254" s="1">
        <f ca="1">IF(N254=1,O$3*L253/Prices!C253,-O$3*M253)</f>
        <v>1.2638198345748554E-3</v>
      </c>
      <c r="P254" s="14"/>
      <c r="Q254" s="9">
        <f ca="1">Q253-T254*Prices!C254</f>
        <v>1.0493759016506625</v>
      </c>
      <c r="R254" s="1">
        <f t="shared" ca="1" si="28"/>
        <v>9.6752666496764967E-3</v>
      </c>
      <c r="S254" s="9">
        <f ca="1">IF(Prices!C253&lt;OFFSET(Prices!C253,-S$3,0),1,-1)</f>
        <v>-1</v>
      </c>
      <c r="T254" s="1">
        <f ca="1">IF(S254=1,T$3*Q253/Prices!C253,-T$3*R253)</f>
        <v>-1.9745442142196933E-4</v>
      </c>
      <c r="V254" s="9"/>
      <c r="W254" s="1"/>
      <c r="X254" s="1"/>
      <c r="Y254" s="1"/>
      <c r="Z254" s="1"/>
      <c r="AA254" s="1"/>
      <c r="AB254" s="1"/>
      <c r="AC254" s="1"/>
      <c r="AD254" s="1"/>
      <c r="AE254" s="16"/>
    </row>
    <row r="255" spans="1:31" x14ac:dyDescent="0.2">
      <c r="A255" s="4">
        <v>33863</v>
      </c>
      <c r="B255" s="9">
        <f ca="1">Prices!C254*(1+J255/(50*(ABS(O255)+ABS(T255)+0.0001)))</f>
        <v>125.9812772944902</v>
      </c>
      <c r="C255" s="21">
        <f t="shared" ca="1" si="23"/>
        <v>1</v>
      </c>
      <c r="D255" s="9">
        <f ca="1">D254+C255*(Prices!C255-Prices!C254)/Prices!C254</f>
        <v>0.11885645836780834</v>
      </c>
      <c r="E255" s="9">
        <f t="shared" ca="1" si="24"/>
        <v>0</v>
      </c>
      <c r="F255" s="9">
        <f t="shared" ca="1" si="25"/>
        <v>0.11885645836780834</v>
      </c>
      <c r="G255" s="13">
        <f ca="1">IF((Prices!C255-Prices!C254)*C255&gt;0,1,0)</f>
        <v>1</v>
      </c>
      <c r="H255" s="9">
        <f>ABS(Prices!C255-Prices!C254)/Prices!C254</f>
        <v>9.3292584847997143E-3</v>
      </c>
      <c r="I255" s="13"/>
      <c r="J255" s="1">
        <f t="shared" ca="1" si="26"/>
        <v>9.4535550973426689E-4</v>
      </c>
      <c r="K255" s="9"/>
      <c r="L255" s="9">
        <f ca="1">L254-O255*Prices!C255</f>
        <v>1.273132536085404</v>
      </c>
      <c r="M255" s="1">
        <f t="shared" ca="1" si="27"/>
        <v>8.2380664505351271E-3</v>
      </c>
      <c r="N255" s="9">
        <f ca="1">IF(Prices!D254&gt;OFFSET(Prices!D254,-$N$3,0),1,-1)</f>
        <v>1</v>
      </c>
      <c r="O255" s="1">
        <f ca="1">IF(N255=1,O$3*L254/Prices!C254,-O$3*M254)</f>
        <v>1.1388608427277968E-3</v>
      </c>
      <c r="P255" s="14"/>
      <c r="Q255" s="9">
        <f ca="1">Q254-T255*Prices!C255</f>
        <v>1.0736608209413505</v>
      </c>
      <c r="R255" s="1">
        <f t="shared" ca="1" si="28"/>
        <v>9.4817613166829663E-3</v>
      </c>
      <c r="S255" s="9">
        <f ca="1">IF(Prices!C254&lt;OFFSET(Prices!C254,-S$3,0),1,-1)</f>
        <v>-1</v>
      </c>
      <c r="T255" s="1">
        <f ca="1">IF(S255=1,T$3*Q254/Prices!C254,-T$3*R254)</f>
        <v>-1.9350533299352995E-4</v>
      </c>
      <c r="V255" s="9"/>
      <c r="W255" s="1"/>
      <c r="X255" s="1"/>
      <c r="Y255" s="1"/>
      <c r="Z255" s="1"/>
      <c r="AA255" s="1"/>
      <c r="AB255" s="1"/>
      <c r="AC255" s="1"/>
      <c r="AD255" s="1"/>
      <c r="AE255" s="16"/>
    </row>
    <row r="256" spans="1:31" x14ac:dyDescent="0.2">
      <c r="A256" s="4">
        <v>33864</v>
      </c>
      <c r="B256" s="9">
        <f ca="1">Prices!C255*(1+J256/(50*(ABS(O256)+ABS(T256)+0.0001)))</f>
        <v>127.08753692841732</v>
      </c>
      <c r="C256" s="21">
        <f t="shared" ca="1" si="23"/>
        <v>1</v>
      </c>
      <c r="D256" s="9">
        <f ca="1">D255+C256*(Prices!C256-Prices!C255)/Prices!C255</f>
        <v>0.11009151812876455</v>
      </c>
      <c r="E256" s="9">
        <f t="shared" ca="1" si="24"/>
        <v>8.7649402390437836E-3</v>
      </c>
      <c r="F256" s="9">
        <f t="shared" ca="1" si="25"/>
        <v>0.11885645836780834</v>
      </c>
      <c r="G256" s="13">
        <f ca="1">IF((Prices!C256-Prices!C255)*C256&gt;0,1,0)</f>
        <v>0</v>
      </c>
      <c r="H256" s="9">
        <f>ABS(Prices!C256-Prices!C255)/Prices!C255</f>
        <v>8.7649402390437801E-3</v>
      </c>
      <c r="I256" s="13"/>
      <c r="J256" s="1">
        <f t="shared" ca="1" si="26"/>
        <v>8.2481300959096537E-4</v>
      </c>
      <c r="K256" s="9"/>
      <c r="L256" s="9">
        <f ca="1">L255-O256*Prices!C256</f>
        <v>1.1469351755363806</v>
      </c>
      <c r="M256" s="1">
        <f t="shared" ca="1" si="27"/>
        <v>9.2525146864597518E-3</v>
      </c>
      <c r="N256" s="9">
        <f ca="1">IF(Prices!D255&gt;OFFSET(Prices!D255,-$N$3,0),1,-1)</f>
        <v>1</v>
      </c>
      <c r="O256" s="1">
        <f ca="1">IF(N256=1,O$3*L255/Prices!C255,-O$3*M255)</f>
        <v>1.0144482359246247E-3</v>
      </c>
      <c r="P256" s="14"/>
      <c r="Q256" s="9">
        <f ca="1">Q255-T256*Prices!C256</f>
        <v>1.0972514430972578</v>
      </c>
      <c r="R256" s="1">
        <f t="shared" ca="1" si="28"/>
        <v>9.2921260903493074E-3</v>
      </c>
      <c r="S256" s="9">
        <f ca="1">IF(Prices!C255&lt;OFFSET(Prices!C255,-S$3,0),1,-1)</f>
        <v>-1</v>
      </c>
      <c r="T256" s="1">
        <f ca="1">IF(S256=1,T$3*Q255/Prices!C255,-T$3*R255)</f>
        <v>-1.8963522633365934E-4</v>
      </c>
      <c r="V256" s="9"/>
      <c r="W256" s="1"/>
      <c r="X256" s="1"/>
      <c r="Y256" s="1"/>
      <c r="Z256" s="1"/>
      <c r="AA256" s="1"/>
      <c r="AB256" s="1"/>
      <c r="AC256" s="1"/>
      <c r="AD256" s="1"/>
      <c r="AE256" s="16"/>
    </row>
    <row r="257" spans="1:31" x14ac:dyDescent="0.2">
      <c r="A257" s="4">
        <v>33865</v>
      </c>
      <c r="B257" s="9">
        <f ca="1">Prices!C256*(1+J257/(50*(ABS(O257)+ABS(T257)+0.0001)))</f>
        <v>122.11743409674335</v>
      </c>
      <c r="C257" s="21">
        <f t="shared" ca="1" si="23"/>
        <v>-1</v>
      </c>
      <c r="D257" s="9">
        <f ca="1">D256+C257*(Prices!C257-Prices!C256)/Prices!C256</f>
        <v>0.10944843131204431</v>
      </c>
      <c r="E257" s="9">
        <f t="shared" ca="1" si="24"/>
        <v>9.4080270557640316E-3</v>
      </c>
      <c r="F257" s="9">
        <f t="shared" ca="1" si="25"/>
        <v>0.11885645836780834</v>
      </c>
      <c r="G257" s="13">
        <f ca="1">IF((Prices!C257-Prices!C256)*C257&gt;0,1,0)</f>
        <v>0</v>
      </c>
      <c r="H257" s="9">
        <f>ABS(Prices!C257-Prices!C256)/Prices!C256</f>
        <v>6.4308681672024348E-4</v>
      </c>
      <c r="I257" s="13"/>
      <c r="J257" s="1">
        <f t="shared" ca="1" si="26"/>
        <v>-1.1110939904529615E-3</v>
      </c>
      <c r="K257" s="9"/>
      <c r="L257" s="9">
        <f ca="1">L256-O257*Prices!C257</f>
        <v>1.2621104783534316</v>
      </c>
      <c r="M257" s="1">
        <f t="shared" ca="1" si="27"/>
        <v>8.3272632178137771E-3</v>
      </c>
      <c r="N257" s="9">
        <f ca="1">IF(Prices!D256&gt;OFFSET(Prices!D256,-$N$3,0),1,-1)</f>
        <v>-1</v>
      </c>
      <c r="O257" s="1">
        <f ca="1">IF(N257=1,O$3*L256/Prices!C256,-O$3*M256)</f>
        <v>-9.252514686459752E-4</v>
      </c>
      <c r="P257" s="14"/>
      <c r="Q257" s="9">
        <f ca="1">Q256-T257*Prices!C257</f>
        <v>1.1203851202117914</v>
      </c>
      <c r="R257" s="1">
        <f t="shared" ca="1" si="28"/>
        <v>9.1062835685423206E-3</v>
      </c>
      <c r="S257" s="9">
        <f ca="1">IF(Prices!C256&lt;OFFSET(Prices!C256,-S$3,0),1,-1)</f>
        <v>-1</v>
      </c>
      <c r="T257" s="1">
        <f ca="1">IF(S257=1,T$3*Q256/Prices!C256,-T$3*R256)</f>
        <v>-1.8584252180698616E-4</v>
      </c>
      <c r="V257" s="9"/>
      <c r="W257" s="1"/>
      <c r="X257" s="1"/>
      <c r="Y257" s="1"/>
      <c r="Z257" s="1"/>
      <c r="AA257" s="1"/>
      <c r="AB257" s="1"/>
      <c r="AC257" s="1"/>
      <c r="AD257" s="1"/>
      <c r="AE257" s="16"/>
    </row>
    <row r="258" spans="1:31" x14ac:dyDescent="0.2">
      <c r="A258" s="4">
        <v>33868</v>
      </c>
      <c r="B258" s="9">
        <f ca="1">Prices!C257*(1+J258/(50*(ABS(O258)+ABS(T258)+0.0001)))</f>
        <v>122.21371215401614</v>
      </c>
      <c r="C258" s="21">
        <f t="shared" ca="1" si="23"/>
        <v>-1</v>
      </c>
      <c r="D258" s="9">
        <f ca="1">D257+C258*(Prices!C258-Prices!C257)/Prices!C257</f>
        <v>0.11547349557939648</v>
      </c>
      <c r="E258" s="9">
        <f t="shared" ca="1" si="24"/>
        <v>3.3829627884118529E-3</v>
      </c>
      <c r="F258" s="9">
        <f t="shared" ca="1" si="25"/>
        <v>0.11885645836780834</v>
      </c>
      <c r="G258" s="13">
        <f ca="1">IF((Prices!C258-Prices!C257)*C258&gt;0,1,0)</f>
        <v>1</v>
      </c>
      <c r="H258" s="9">
        <f>ABS(Prices!C258-Prices!C257)/Prices!C257</f>
        <v>6.0250642673521848E-3</v>
      </c>
      <c r="I258" s="13"/>
      <c r="J258" s="1">
        <f t="shared" ca="1" si="26"/>
        <v>-1.0148519931522243E-3</v>
      </c>
      <c r="K258" s="9"/>
      <c r="L258" s="9">
        <f ca="1">L257-O258*Prices!C258</f>
        <v>1.3651437061474414</v>
      </c>
      <c r="M258" s="1">
        <f t="shared" ca="1" si="27"/>
        <v>7.4945368960323989E-3</v>
      </c>
      <c r="N258" s="9">
        <f ca="1">IF(Prices!D257&gt;OFFSET(Prices!D257,-$N$3,0),1,-1)</f>
        <v>-1</v>
      </c>
      <c r="O258" s="1">
        <f ca="1">IF(N258=1,O$3*L257/Prices!C257,-O$3*M257)</f>
        <v>-8.327263217813778E-4</v>
      </c>
      <c r="P258" s="14"/>
      <c r="Q258" s="9">
        <f ca="1">Q257-T258*Prices!C258</f>
        <v>1.1429195295305061</v>
      </c>
      <c r="R258" s="1">
        <f t="shared" ca="1" si="28"/>
        <v>8.9241578971714745E-3</v>
      </c>
      <c r="S258" s="9">
        <f ca="1">IF(Prices!C257&lt;OFFSET(Prices!C257,-S$3,0),1,-1)</f>
        <v>-1</v>
      </c>
      <c r="T258" s="1">
        <f ca="1">IF(S258=1,T$3*Q257/Prices!C257,-T$3*R257)</f>
        <v>-1.8212567137084642E-4</v>
      </c>
      <c r="V258" s="9"/>
      <c r="W258" s="1"/>
      <c r="X258" s="1"/>
      <c r="Y258" s="1"/>
      <c r="Z258" s="1"/>
      <c r="AA258" s="1"/>
      <c r="AB258" s="1"/>
      <c r="AC258" s="1"/>
      <c r="AD258" s="1"/>
      <c r="AE258" s="16"/>
    </row>
    <row r="259" spans="1:31" x14ac:dyDescent="0.2">
      <c r="A259" s="4">
        <v>33869</v>
      </c>
      <c r="B259" s="9">
        <f ca="1">Prices!C258*(1+J259/(50*(ABS(O259)+ABS(T259)+0.0001)))</f>
        <v>126.02632354307255</v>
      </c>
      <c r="C259" s="21">
        <f t="shared" ca="1" si="23"/>
        <v>1</v>
      </c>
      <c r="D259" s="9">
        <f ca="1">D258+C259*(Prices!C259-Prices!C258)/Prices!C258</f>
        <v>9.3732608163248438E-2</v>
      </c>
      <c r="E259" s="9">
        <f t="shared" ca="1" si="24"/>
        <v>2.51238502045599E-2</v>
      </c>
      <c r="F259" s="9">
        <f t="shared" ca="1" si="25"/>
        <v>0.11885645836780834</v>
      </c>
      <c r="G259" s="13">
        <f ca="1">IF((Prices!C259-Prices!C258)*C259&gt;0,1,0)</f>
        <v>0</v>
      </c>
      <c r="H259" s="9">
        <f>ABS(Prices!C259-Prices!C258)/Prices!C258</f>
        <v>2.1740887416148047E-2</v>
      </c>
      <c r="I259" s="13"/>
      <c r="J259" s="1">
        <f t="shared" ca="1" si="26"/>
        <v>1.2880688693554859E-3</v>
      </c>
      <c r="K259" s="9"/>
      <c r="L259" s="9">
        <f ca="1">L258-O259*Prices!C259</f>
        <v>1.2315972790949188</v>
      </c>
      <c r="M259" s="1">
        <f t="shared" ca="1" si="27"/>
        <v>8.597861640352646E-3</v>
      </c>
      <c r="N259" s="9">
        <f ca="1">IF(Prices!D258&gt;OFFSET(Prices!D258,-$N$3,0),1,-1)</f>
        <v>1</v>
      </c>
      <c r="O259" s="1">
        <f ca="1">IF(N259=1,O$3*L258/Prices!C258,-O$3*M258)</f>
        <v>1.1033247443202469E-3</v>
      </c>
      <c r="P259" s="14"/>
      <c r="Q259" s="9">
        <f ca="1">Q258-T259*Prices!C259</f>
        <v>1.1205581006362408</v>
      </c>
      <c r="R259" s="1">
        <f t="shared" ca="1" si="28"/>
        <v>9.1089020222067142E-3</v>
      </c>
      <c r="S259" s="9">
        <f ca="1">IF(Prices!C258&lt;OFFSET(Prices!C258,-S$3,0),1,-1)</f>
        <v>1</v>
      </c>
      <c r="T259" s="1">
        <f ca="1">IF(S259=1,T$3*Q258/Prices!C258,-T$3*R258)</f>
        <v>1.84744125035239E-4</v>
      </c>
      <c r="V259" s="9"/>
      <c r="W259" s="1"/>
      <c r="X259" s="1"/>
      <c r="Y259" s="1"/>
      <c r="Z259" s="1"/>
      <c r="AA259" s="1"/>
      <c r="AB259" s="1"/>
      <c r="AC259" s="1"/>
      <c r="AD259" s="1"/>
      <c r="AE259" s="16"/>
    </row>
    <row r="260" spans="1:31" x14ac:dyDescent="0.2">
      <c r="A260" s="4">
        <v>33870</v>
      </c>
      <c r="B260" s="9">
        <f ca="1">Prices!C259*(1+J260/(50*(ABS(O260)+ABS(T260)+0.0001)))</f>
        <v>123.27496595112605</v>
      </c>
      <c r="C260" s="21">
        <f t="shared" ca="1" si="23"/>
        <v>1</v>
      </c>
      <c r="D260" s="9">
        <f ca="1">D259+C260*(Prices!C260-Prices!C259)/Prices!C259</f>
        <v>8.5718728454061283E-2</v>
      </c>
      <c r="E260" s="9">
        <f t="shared" ca="1" si="24"/>
        <v>3.3137729913747055E-2</v>
      </c>
      <c r="F260" s="9">
        <f t="shared" ca="1" si="25"/>
        <v>0.11885645836780834</v>
      </c>
      <c r="G260" s="13">
        <f ca="1">IF((Prices!C260-Prices!C259)*C260&gt;0,1,0)</f>
        <v>0</v>
      </c>
      <c r="H260" s="9">
        <f>ABS(Prices!C260-Prices!C259)/Prices!C259</f>
        <v>8.0138797091871532E-3</v>
      </c>
      <c r="I260" s="13"/>
      <c r="J260" s="1">
        <f t="shared" ca="1" si="26"/>
        <v>1.2026676298927353E-3</v>
      </c>
      <c r="K260" s="9"/>
      <c r="L260" s="9">
        <f ca="1">L259-O260*Prices!C260</f>
        <v>1.1094245384299097</v>
      </c>
      <c r="M260" s="1">
        <f t="shared" ca="1" si="27"/>
        <v>9.6153742635308667E-3</v>
      </c>
      <c r="N260" s="9">
        <f ca="1">IF(Prices!D259&gt;OFFSET(Prices!D259,-$N$3,0),1,-1)</f>
        <v>1</v>
      </c>
      <c r="O260" s="1">
        <f ca="1">IF(N260=1,O$3*L259/Prices!C259,-O$3*M259)</f>
        <v>1.017512623178221E-3</v>
      </c>
      <c r="P260" s="14"/>
      <c r="Q260" s="9">
        <f ca="1">Q259-T260*Prices!C260</f>
        <v>1.0983265389800292</v>
      </c>
      <c r="R260" s="1">
        <f t="shared" ca="1" si="28"/>
        <v>9.2940570289212279E-3</v>
      </c>
      <c r="S260" s="9">
        <f ca="1">IF(Prices!C259&lt;OFFSET(Prices!C259,-S$3,0),1,-1)</f>
        <v>1</v>
      </c>
      <c r="T260" s="1">
        <f ca="1">IF(S260=1,T$3*Q259/Prices!C259,-T$3*R259)</f>
        <v>1.8515500671451433E-4</v>
      </c>
      <c r="V260" s="9"/>
      <c r="W260" s="1"/>
      <c r="X260" s="1"/>
      <c r="Y260" s="1"/>
      <c r="Z260" s="1"/>
      <c r="AA260" s="1"/>
      <c r="AB260" s="1"/>
      <c r="AC260" s="1"/>
      <c r="AD260" s="1"/>
      <c r="AE260" s="16"/>
    </row>
    <row r="261" spans="1:31" x14ac:dyDescent="0.2">
      <c r="A261" s="4">
        <v>33871</v>
      </c>
      <c r="B261" s="9">
        <f ca="1">Prices!C260*(1+J261/(50*(ABS(O261)+ABS(T261)+0.0001)))</f>
        <v>122.27243223343449</v>
      </c>
      <c r="C261" s="21">
        <f t="shared" ca="1" si="23"/>
        <v>1</v>
      </c>
      <c r="D261" s="9">
        <f ca="1">D260+C261*(Prices!C261-Prices!C260)/Prices!C260</f>
        <v>8.9216687977672529E-2</v>
      </c>
      <c r="E261" s="9">
        <f t="shared" ca="1" si="24"/>
        <v>2.9639770390135808E-2</v>
      </c>
      <c r="F261" s="9">
        <f t="shared" ca="1" si="25"/>
        <v>0.11885645836780834</v>
      </c>
      <c r="G261" s="13">
        <f ca="1">IF((Prices!C261-Prices!C260)*C261&gt;0,1,0)</f>
        <v>1</v>
      </c>
      <c r="H261" s="9">
        <f>ABS(Prices!C261-Prices!C260)/Prices!C260</f>
        <v>3.4979595236112413E-3</v>
      </c>
      <c r="I261" s="13"/>
      <c r="J261" s="1">
        <f t="shared" ca="1" si="26"/>
        <v>1.1069291631764103E-3</v>
      </c>
      <c r="K261" s="9"/>
      <c r="L261" s="9">
        <f ca="1">L260-O261*Prices!C261</f>
        <v>0.99809401237392592</v>
      </c>
      <c r="M261" s="1">
        <f t="shared" ca="1" si="27"/>
        <v>1.0539355723037746E-2</v>
      </c>
      <c r="N261" s="9">
        <f ca="1">IF(Prices!D260&gt;OFFSET(Prices!D260,-$N$3,0),1,-1)</f>
        <v>1</v>
      </c>
      <c r="O261" s="1">
        <f ca="1">IF(N261=1,O$3*L260/Prices!C260,-O$3*M260)</f>
        <v>9.239814595068792E-4</v>
      </c>
      <c r="P261" s="14"/>
      <c r="Q261" s="9">
        <f ca="1">Q260-T261*Prices!C261</f>
        <v>1.0762831701648874</v>
      </c>
      <c r="R261" s="1">
        <f t="shared" ca="1" si="28"/>
        <v>9.4770047325907596E-3</v>
      </c>
      <c r="S261" s="9">
        <f ca="1">IF(Prices!C260&lt;OFFSET(Prices!C260,-S$3,0),1,-1)</f>
        <v>1</v>
      </c>
      <c r="T261" s="1">
        <f ca="1">IF(S261=1,T$3*Q260/Prices!C260,-T$3*R260)</f>
        <v>1.8294770366953099E-4</v>
      </c>
      <c r="V261" s="9"/>
      <c r="W261" s="1"/>
      <c r="X261" s="1"/>
      <c r="Y261" s="1"/>
      <c r="Z261" s="1"/>
      <c r="AA261" s="1"/>
      <c r="AB261" s="1"/>
      <c r="AC261" s="1"/>
      <c r="AD261" s="1"/>
      <c r="AE261" s="16"/>
    </row>
    <row r="262" spans="1:31" x14ac:dyDescent="0.2">
      <c r="A262" s="4">
        <v>33872</v>
      </c>
      <c r="B262" s="9">
        <f ca="1">Prices!C261*(1+J262/(50*(ABS(O262)+ABS(T262)+0.0001)))</f>
        <v>118.90716804001006</v>
      </c>
      <c r="C262" s="21">
        <f t="shared" ca="1" si="23"/>
        <v>-1</v>
      </c>
      <c r="D262" s="9">
        <f ca="1">D261+C262*(Prices!C262-Prices!C261)/Prices!C261</f>
        <v>8.7390810311476178E-2</v>
      </c>
      <c r="E262" s="9">
        <f t="shared" ca="1" si="24"/>
        <v>3.146564805633216E-2</v>
      </c>
      <c r="F262" s="9">
        <f t="shared" ca="1" si="25"/>
        <v>0.11885645836780834</v>
      </c>
      <c r="G262" s="13">
        <f ca="1">IF((Prices!C262-Prices!C261)*C262&gt;0,1,0)</f>
        <v>0</v>
      </c>
      <c r="H262" s="9">
        <f>ABS(Prices!C262-Prices!C261)/Prices!C261</f>
        <v>1.8258776661963555E-3</v>
      </c>
      <c r="I262" s="13"/>
      <c r="J262" s="1">
        <f t="shared" ca="1" si="26"/>
        <v>-8.7528453567585745E-4</v>
      </c>
      <c r="K262" s="9"/>
      <c r="L262" s="9">
        <f ca="1">L261-O262*Prices!C262</f>
        <v>1.1253145753067146</v>
      </c>
      <c r="M262" s="1">
        <f t="shared" ca="1" si="27"/>
        <v>9.4854201507339718E-3</v>
      </c>
      <c r="N262" s="9">
        <f ca="1">IF(Prices!D261&gt;OFFSET(Prices!D261,-$N$3,0),1,-1)</f>
        <v>-1</v>
      </c>
      <c r="O262" s="1">
        <f ca="1">IF(N262=1,O$3*L261/Prices!C261,-O$3*M261)</f>
        <v>-1.0539355723037747E-3</v>
      </c>
      <c r="P262" s="14"/>
      <c r="Q262" s="9">
        <f ca="1">Q261-T262*Prices!C262</f>
        <v>1.0547182035335314</v>
      </c>
      <c r="R262" s="1">
        <f t="shared" ca="1" si="28"/>
        <v>9.6556557692186774E-3</v>
      </c>
      <c r="S262" s="9">
        <f ca="1">IF(Prices!C261&lt;OFFSET(Prices!C261,-S$3,0),1,-1)</f>
        <v>1</v>
      </c>
      <c r="T262" s="1">
        <f ca="1">IF(S262=1,T$3*Q261/Prices!C261,-T$3*R261)</f>
        <v>1.7865103662791727E-4</v>
      </c>
      <c r="V262" s="9"/>
      <c r="W262" s="1"/>
      <c r="X262" s="1"/>
      <c r="Y262" s="1"/>
      <c r="Z262" s="1"/>
      <c r="AA262" s="1"/>
      <c r="AB262" s="1"/>
      <c r="AC262" s="1"/>
      <c r="AD262" s="1"/>
      <c r="AE262" s="16"/>
    </row>
    <row r="263" spans="1:31" x14ac:dyDescent="0.2">
      <c r="A263" s="4">
        <v>33875</v>
      </c>
      <c r="B263" s="9">
        <f ca="1">Prices!C262*(1+J263/(50*(ABS(O263)+ABS(T263)+0.0001)))</f>
        <v>119.1829082347281</v>
      </c>
      <c r="C263" s="21">
        <f t="shared" ca="1" si="23"/>
        <v>-1</v>
      </c>
      <c r="D263" s="9">
        <f ca="1">D262+C263*(Prices!C263-Prices!C262)/Prices!C262</f>
        <v>9.5675128097906459E-2</v>
      </c>
      <c r="E263" s="9">
        <f t="shared" ca="1" si="24"/>
        <v>2.3181330269901879E-2</v>
      </c>
      <c r="F263" s="9">
        <f t="shared" ca="1" si="25"/>
        <v>0.11885645836780834</v>
      </c>
      <c r="G263" s="13">
        <f ca="1">IF((Prices!C263-Prices!C262)*C263&gt;0,1,0)</f>
        <v>1</v>
      </c>
      <c r="H263" s="9">
        <f>ABS(Prices!C263-Prices!C262)/Prices!C262</f>
        <v>8.2843177864302883E-3</v>
      </c>
      <c r="I263" s="13"/>
      <c r="J263" s="1">
        <f t="shared" ca="1" si="26"/>
        <v>-7.7378959960930447E-4</v>
      </c>
      <c r="K263" s="9"/>
      <c r="L263" s="9">
        <f ca="1">L262-O263*Prices!C263</f>
        <v>1.2388645399311511</v>
      </c>
      <c r="M263" s="1">
        <f t="shared" ca="1" si="27"/>
        <v>8.5368781356605743E-3</v>
      </c>
      <c r="N263" s="9">
        <f ca="1">IF(Prices!D262&gt;OFFSET(Prices!D262,-$N$3,0),1,-1)</f>
        <v>-1</v>
      </c>
      <c r="O263" s="1">
        <f ca="1">IF(N263=1,O$3*L262/Prices!C262,-O$3*M262)</f>
        <v>-9.485420150733972E-4</v>
      </c>
      <c r="P263" s="14"/>
      <c r="Q263" s="9">
        <f ca="1">Q262-T263*Prices!C263</f>
        <v>1.0337985918783248</v>
      </c>
      <c r="R263" s="1">
        <f t="shared" ca="1" si="28"/>
        <v>9.8304081846827696E-3</v>
      </c>
      <c r="S263" s="9">
        <f ca="1">IF(Prices!C262&lt;OFFSET(Prices!C262,-S$3,0),1,-1)</f>
        <v>1</v>
      </c>
      <c r="T263" s="1">
        <f ca="1">IF(S263=1,T$3*Q262/Prices!C262,-T$3*R262)</f>
        <v>1.747524154640927E-4</v>
      </c>
      <c r="V263" s="9"/>
      <c r="W263" s="1"/>
      <c r="X263" s="1"/>
      <c r="Y263" s="1"/>
      <c r="Z263" s="1"/>
      <c r="AA263" s="1"/>
      <c r="AB263" s="1"/>
      <c r="AC263" s="1"/>
      <c r="AD263" s="1"/>
      <c r="AE263" s="16"/>
    </row>
    <row r="264" spans="1:31" x14ac:dyDescent="0.2">
      <c r="A264" s="4">
        <v>33876</v>
      </c>
      <c r="B264" s="9">
        <f ca="1">Prices!C263*(1+J264/(50*(ABS(O264)+ABS(T264)+0.0001)))</f>
        <v>118.26258103672656</v>
      </c>
      <c r="C264" s="21">
        <f t="shared" ca="1" si="23"/>
        <v>-1</v>
      </c>
      <c r="D264" s="9">
        <f ca="1">D263+C264*(Prices!C264-Prices!C263)/Prices!C263</f>
        <v>9.9016536501548527E-2</v>
      </c>
      <c r="E264" s="9">
        <f t="shared" ca="1" si="24"/>
        <v>1.983992186625981E-2</v>
      </c>
      <c r="F264" s="9">
        <f t="shared" ca="1" si="25"/>
        <v>0.11885645836780834</v>
      </c>
      <c r="G264" s="13">
        <f ca="1">IF((Prices!C264-Prices!C263)*C264&gt;0,1,0)</f>
        <v>1</v>
      </c>
      <c r="H264" s="9">
        <f>ABS(Prices!C264-Prices!C263)/Prices!C263</f>
        <v>3.3414084036420639E-3</v>
      </c>
      <c r="I264" s="13"/>
      <c r="J264" s="1">
        <f t="shared" ca="1" si="26"/>
        <v>-6.8097064843727548E-4</v>
      </c>
      <c r="K264" s="9"/>
      <c r="L264" s="9">
        <f ca="1">L263-O264*Prices!C264</f>
        <v>1.3407180329677173</v>
      </c>
      <c r="M264" s="1">
        <f t="shared" ca="1" si="27"/>
        <v>7.6831903220945172E-3</v>
      </c>
      <c r="N264" s="9">
        <f ca="1">IF(Prices!D263&gt;OFFSET(Prices!D263,-$N$3,0),1,-1)</f>
        <v>-1</v>
      </c>
      <c r="O264" s="1">
        <f ca="1">IF(N264=1,O$3*L263/Prices!C263,-O$3*M263)</f>
        <v>-8.5368781356605751E-4</v>
      </c>
      <c r="P264" s="14"/>
      <c r="Q264" s="9">
        <f ca="1">Q263-T264*Prices!C264</f>
        <v>1.0131917069068097</v>
      </c>
      <c r="R264" s="1">
        <f t="shared" ca="1" si="28"/>
        <v>1.0003125349811551E-2</v>
      </c>
      <c r="S264" s="9">
        <f ca="1">IF(Prices!C263&lt;OFFSET(Prices!C263,-S$3,0),1,-1)</f>
        <v>1</v>
      </c>
      <c r="T264" s="1">
        <f ca="1">IF(S264=1,T$3*Q263/Prices!C263,-T$3*R263)</f>
        <v>1.7271716512878203E-4</v>
      </c>
      <c r="V264" s="9"/>
      <c r="W264" s="1"/>
      <c r="X264" s="1"/>
      <c r="Y264" s="1"/>
      <c r="Z264" s="1"/>
      <c r="AA264" s="1"/>
      <c r="AB264" s="1"/>
      <c r="AC264" s="1"/>
      <c r="AD264" s="1"/>
      <c r="AE264" s="16"/>
    </row>
    <row r="265" spans="1:31" x14ac:dyDescent="0.2">
      <c r="A265" s="4">
        <v>33877</v>
      </c>
      <c r="B265" s="9">
        <f ca="1">Prices!C264*(1+J265/(50*(ABS(O265)+ABS(T265)+0.0001)))</f>
        <v>117.93440766011264</v>
      </c>
      <c r="C265" s="21">
        <f t="shared" ca="1" si="23"/>
        <v>-1</v>
      </c>
      <c r="D265" s="9">
        <f ca="1">D264+C265*(Prices!C265-Prices!C264)/Prices!C264</f>
        <v>9.2646575894726038E-2</v>
      </c>
      <c r="E265" s="9">
        <f t="shared" ca="1" si="24"/>
        <v>2.6209882473082299E-2</v>
      </c>
      <c r="F265" s="9">
        <f t="shared" ca="1" si="25"/>
        <v>0.11885645836780834</v>
      </c>
      <c r="G265" s="13">
        <f ca="1">IF((Prices!C265-Prices!C264)*C265&gt;0,1,0)</f>
        <v>0</v>
      </c>
      <c r="H265" s="9">
        <f>ABS(Prices!C265-Prices!C264)/Prices!C264</f>
        <v>6.3699606068224864E-3</v>
      </c>
      <c r="I265" s="13"/>
      <c r="J265" s="1">
        <f t="shared" ca="1" si="26"/>
        <v>-5.9847715694219669E-4</v>
      </c>
      <c r="K265" s="9"/>
      <c r="L265" s="9">
        <f ca="1">L264-O265*Prices!C265</f>
        <v>1.4329700991651062</v>
      </c>
      <c r="M265" s="1">
        <f t="shared" ca="1" si="27"/>
        <v>6.9148712898850651E-3</v>
      </c>
      <c r="N265" s="9">
        <f ca="1">IF(Prices!D264&gt;OFFSET(Prices!D264,-$N$3,0),1,-1)</f>
        <v>-1</v>
      </c>
      <c r="O265" s="1">
        <f ca="1">IF(N265=1,O$3*L264/Prices!C264,-O$3*M264)</f>
        <v>-7.6831903220945174E-4</v>
      </c>
      <c r="P265" s="14"/>
      <c r="Q265" s="9">
        <f ca="1">Q264-T265*Prices!C265</f>
        <v>0.9927987929434704</v>
      </c>
      <c r="R265" s="1">
        <f t="shared" ca="1" si="28"/>
        <v>1.0172967225078806E-2</v>
      </c>
      <c r="S265" s="9">
        <f ca="1">IF(Prices!C264&lt;OFFSET(Prices!C264,-S$3,0),1,-1)</f>
        <v>1</v>
      </c>
      <c r="T265" s="1">
        <f ca="1">IF(S265=1,T$3*Q264/Prices!C264,-T$3*R264)</f>
        <v>1.69841875267255E-4</v>
      </c>
      <c r="V265" s="9"/>
      <c r="W265" s="1"/>
      <c r="X265" s="1"/>
      <c r="Y265" s="1"/>
      <c r="Z265" s="1"/>
      <c r="AA265" s="1"/>
      <c r="AB265" s="1"/>
      <c r="AC265" s="1"/>
      <c r="AD265" s="1"/>
      <c r="AE265" s="16"/>
    </row>
    <row r="266" spans="1:31" x14ac:dyDescent="0.2">
      <c r="A266" s="4">
        <v>33878</v>
      </c>
      <c r="B266" s="9">
        <f ca="1">Prices!C265*(1+J266/(50*(ABS(O266)+ABS(T266)+0.0001)))</f>
        <v>118.74961722126324</v>
      </c>
      <c r="C266" s="21">
        <f t="shared" ca="1" si="23"/>
        <v>-1</v>
      </c>
      <c r="D266" s="9">
        <f ca="1">D265+C266*(Prices!C266-Prices!C265)/Prices!C265</f>
        <v>9.4312270905969386E-2</v>
      </c>
      <c r="E266" s="9">
        <f t="shared" ca="1" si="24"/>
        <v>2.4544187461838951E-2</v>
      </c>
      <c r="F266" s="9">
        <f t="shared" ca="1" si="25"/>
        <v>0.11885645836780834</v>
      </c>
      <c r="G266" s="13">
        <f ca="1">IF((Prices!C266-Prices!C265)*C266&gt;0,1,0)</f>
        <v>1</v>
      </c>
      <c r="H266" s="9">
        <f>ABS(Prices!C266-Prices!C265)/Prices!C265</f>
        <v>1.6656950112433468E-3</v>
      </c>
      <c r="I266" s="13"/>
      <c r="J266" s="1">
        <f t="shared" ca="1" si="26"/>
        <v>-5.2611712933106169E-4</v>
      </c>
      <c r="K266" s="9"/>
      <c r="L266" s="9">
        <f ca="1">L265-O266*Prices!C266</f>
        <v>1.5158586613169585</v>
      </c>
      <c r="M266" s="1">
        <f t="shared" ca="1" si="27"/>
        <v>6.2233841608965584E-3</v>
      </c>
      <c r="N266" s="9">
        <f ca="1">IF(Prices!D265&gt;OFFSET(Prices!D265,-$N$3,0),1,-1)</f>
        <v>-1</v>
      </c>
      <c r="O266" s="1">
        <f ca="1">IF(N266=1,O$3*L265/Prices!C265,-O$3*M265)</f>
        <v>-6.9148712898850658E-4</v>
      </c>
      <c r="P266" s="14"/>
      <c r="Q266" s="9">
        <f ca="1">Q265-T266*Prices!C266</f>
        <v>0.97297589108453253</v>
      </c>
      <c r="R266" s="1">
        <f t="shared" ca="1" si="28"/>
        <v>1.0338337224736252E-2</v>
      </c>
      <c r="S266" s="9">
        <f ca="1">IF(Prices!C265&lt;OFFSET(Prices!C265,-S$3,0),1,-1)</f>
        <v>1</v>
      </c>
      <c r="T266" s="1">
        <f ca="1">IF(S266=1,T$3*Q265/Prices!C265,-T$3*R265)</f>
        <v>1.6536999965744488E-4</v>
      </c>
      <c r="V266" s="9"/>
      <c r="W266" s="1"/>
      <c r="X266" s="1"/>
      <c r="Y266" s="1"/>
      <c r="Z266" s="1"/>
      <c r="AA266" s="1"/>
      <c r="AB266" s="1"/>
      <c r="AC266" s="1"/>
      <c r="AD266" s="1"/>
      <c r="AE266" s="16"/>
    </row>
    <row r="267" spans="1:31" x14ac:dyDescent="0.2">
      <c r="A267" s="4">
        <v>33879</v>
      </c>
      <c r="B267" s="9">
        <f ca="1">Prices!C266*(1+J267/(50*(ABS(O267)+ABS(T267)+0.0001)))</f>
        <v>118.62343899761989</v>
      </c>
      <c r="C267" s="21">
        <f t="shared" ca="1" si="23"/>
        <v>-1</v>
      </c>
      <c r="D267" s="9">
        <f ca="1">D266+C267*(Prices!C267-Prices!C266)/Prices!C266</f>
        <v>9.8650303774910825E-2</v>
      </c>
      <c r="E267" s="9">
        <f t="shared" ca="1" si="24"/>
        <v>2.0206154592897513E-2</v>
      </c>
      <c r="F267" s="9">
        <f t="shared" ca="1" si="25"/>
        <v>0.11885645836780834</v>
      </c>
      <c r="G267" s="13">
        <f ca="1">IF((Prices!C267-Prices!C266)*C267&gt;0,1,0)</f>
        <v>1</v>
      </c>
      <c r="H267" s="9">
        <f>ABS(Prices!C267-Prices!C266)/Prices!C266</f>
        <v>4.3380328689414382E-3</v>
      </c>
      <c r="I267" s="13"/>
      <c r="J267" s="1">
        <f t="shared" ca="1" si="26"/>
        <v>-4.5999990085072491E-4</v>
      </c>
      <c r="K267" s="9"/>
      <c r="L267" s="9">
        <f ca="1">L266-O267*Prices!C267</f>
        <v>1.5901347512772588</v>
      </c>
      <c r="M267" s="1">
        <f t="shared" ca="1" si="27"/>
        <v>5.6010457448069026E-3</v>
      </c>
      <c r="N267" s="9">
        <f ca="1">IF(Prices!D266&gt;OFFSET(Prices!D266,-$N$3,0),1,-1)</f>
        <v>-1</v>
      </c>
      <c r="O267" s="1">
        <f ca="1">IF(N267=1,O$3*L266/Prices!C266,-O$3*M266)</f>
        <v>-6.2233841608965584E-4</v>
      </c>
      <c r="P267" s="14"/>
      <c r="Q267" s="9">
        <f ca="1">Q266-T267*Prices!C267</f>
        <v>0.95360078929076608</v>
      </c>
      <c r="R267" s="1">
        <f t="shared" ca="1" si="28"/>
        <v>1.0500675739975183E-2</v>
      </c>
      <c r="S267" s="9">
        <f ca="1">IF(Prices!C266&lt;OFFSET(Prices!C266,-S$3,0),1,-1)</f>
        <v>1</v>
      </c>
      <c r="T267" s="1">
        <f ca="1">IF(S267=1,T$3*Q266/Prices!C266,-T$3*R266)</f>
        <v>1.6233851523893094E-4</v>
      </c>
      <c r="V267" s="9"/>
      <c r="W267" s="1"/>
      <c r="X267" s="1"/>
      <c r="Y267" s="1"/>
      <c r="Z267" s="1"/>
      <c r="AA267" s="1"/>
      <c r="AB267" s="1"/>
      <c r="AC267" s="1"/>
      <c r="AD267" s="1"/>
      <c r="AE267" s="16"/>
    </row>
    <row r="268" spans="1:31" x14ac:dyDescent="0.2">
      <c r="A268" s="4">
        <v>33882</v>
      </c>
      <c r="B268" s="9">
        <f ca="1">Prices!C267*(1+J268/(50*(ABS(O268)+ABS(T268)+0.0001)))</f>
        <v>118.1845833788752</v>
      </c>
      <c r="C268" s="21">
        <f t="shared" ca="1" si="23"/>
        <v>-1</v>
      </c>
      <c r="D268" s="9">
        <f ca="1">D267+C268*(Prices!C268-Prices!C267)/Prices!C267</f>
        <v>9.5047455010771678E-2</v>
      </c>
      <c r="E268" s="9">
        <f t="shared" ca="1" si="24"/>
        <v>2.3809003357036659E-2</v>
      </c>
      <c r="F268" s="9">
        <f t="shared" ca="1" si="25"/>
        <v>0.11885645836780834</v>
      </c>
      <c r="G268" s="13">
        <f ca="1">IF((Prices!C268-Prices!C267)*C268&gt;0,1,0)</f>
        <v>0</v>
      </c>
      <c r="H268" s="9">
        <f>ABS(Prices!C268-Prices!C267)/Prices!C267</f>
        <v>3.602848764139144E-3</v>
      </c>
      <c r="I268" s="13"/>
      <c r="J268" s="1">
        <f t="shared" ca="1" si="26"/>
        <v>-4.0030553144914174E-4</v>
      </c>
      <c r="K268" s="9"/>
      <c r="L268" s="9">
        <f ca="1">L267-O268*Prices!C268</f>
        <v>1.6572240772085558</v>
      </c>
      <c r="M268" s="1">
        <f t="shared" ca="1" si="27"/>
        <v>5.0409411703262125E-3</v>
      </c>
      <c r="N268" s="9">
        <f ca="1">IF(Prices!D267&gt;OFFSET(Prices!D267,-$N$3,0),1,-1)</f>
        <v>-1</v>
      </c>
      <c r="O268" s="1">
        <f ca="1">IF(N268=1,O$3*L267/Prices!C267,-O$3*M267)</f>
        <v>-5.601045744806903E-4</v>
      </c>
      <c r="P268" s="14"/>
      <c r="Q268" s="9">
        <f ca="1">Q267-T268*Prices!C268</f>
        <v>0.93446005991644721</v>
      </c>
      <c r="R268" s="1">
        <f t="shared" ca="1" si="28"/>
        <v>1.0660474783006732E-2</v>
      </c>
      <c r="S268" s="9">
        <f ca="1">IF(Prices!C267&lt;OFFSET(Prices!C267,-S$3,0),1,-1)</f>
        <v>1</v>
      </c>
      <c r="T268" s="1">
        <f ca="1">IF(S268=1,T$3*Q267/Prices!C267,-T$3*R267)</f>
        <v>1.5979904303154859E-4</v>
      </c>
      <c r="V268" s="9"/>
      <c r="W268" s="1"/>
      <c r="X268" s="1"/>
      <c r="Y268" s="1"/>
      <c r="Z268" s="1"/>
      <c r="AA268" s="1"/>
      <c r="AB268" s="1"/>
      <c r="AC268" s="1"/>
      <c r="AD268" s="1"/>
      <c r="AE268" s="16"/>
    </row>
    <row r="269" spans="1:31" x14ac:dyDescent="0.2">
      <c r="A269" s="4">
        <v>33883</v>
      </c>
      <c r="B269" s="9">
        <f ca="1">Prices!C268*(1+J269/(50*(ABS(O269)+ABS(T269)+0.0001)))</f>
        <v>121.43236889102764</v>
      </c>
      <c r="C269" s="21">
        <f t="shared" ca="1" si="23"/>
        <v>1</v>
      </c>
      <c r="D269" s="9">
        <f ca="1">D268+C269*(Prices!C269-Prices!C268)/Prices!C268</f>
        <v>9.471350944389903E-2</v>
      </c>
      <c r="E269" s="9">
        <f t="shared" ca="1" si="24"/>
        <v>2.4142948923909308E-2</v>
      </c>
      <c r="F269" s="9">
        <f t="shared" ca="1" si="25"/>
        <v>0.11885645836780834</v>
      </c>
      <c r="G269" s="13">
        <f ca="1">IF((Prices!C269-Prices!C268)*C269&gt;0,1,0)</f>
        <v>0</v>
      </c>
      <c r="H269" s="9">
        <f>ABS(Prices!C269-Prices!C268)/Prices!C268</f>
        <v>3.3394556687265194E-4</v>
      </c>
      <c r="I269" s="13"/>
      <c r="J269" s="1">
        <f t="shared" ca="1" si="26"/>
        <v>1.1703470890856958E-3</v>
      </c>
      <c r="K269" s="9"/>
      <c r="L269" s="9">
        <f ca="1">L268-O269*Prices!C269</f>
        <v>1.4915570117510901</v>
      </c>
      <c r="M269" s="1">
        <f t="shared" ca="1" si="27"/>
        <v>6.4244977550720426E-3</v>
      </c>
      <c r="N269" s="9">
        <f ca="1">IF(Prices!D268&gt;OFFSET(Prices!D268,-$N$3,0),1,-1)</f>
        <v>1</v>
      </c>
      <c r="O269" s="1">
        <f ca="1">IF(N269=1,O$3*L268/Prices!C268,-O$3*M268)</f>
        <v>1.3835565847458305E-3</v>
      </c>
      <c r="P269" s="14"/>
      <c r="Q269" s="9">
        <f ca="1">Q268-T269*Prices!C269</f>
        <v>0.95998976492679178</v>
      </c>
      <c r="R269" s="1">
        <f t="shared" ca="1" si="28"/>
        <v>1.0447265287346597E-2</v>
      </c>
      <c r="S269" s="9">
        <f ca="1">IF(Prices!C268&lt;OFFSET(Prices!C268,-S$3,0),1,-1)</f>
        <v>-1</v>
      </c>
      <c r="T269" s="1">
        <f ca="1">IF(S269=1,T$3*Q268/Prices!C268,-T$3*R268)</f>
        <v>-2.1320949566013464E-4</v>
      </c>
      <c r="V269" s="9"/>
      <c r="W269" s="1"/>
      <c r="X269" s="1"/>
      <c r="Y269" s="1"/>
      <c r="Z269" s="1"/>
      <c r="AA269" s="1"/>
      <c r="AB269" s="1"/>
      <c r="AC269" s="1"/>
      <c r="AD269" s="1"/>
      <c r="AE269" s="16"/>
    </row>
    <row r="270" spans="1:31" x14ac:dyDescent="0.2">
      <c r="A270" s="4">
        <v>33884</v>
      </c>
      <c r="B270" s="9">
        <f ca="1">Prices!C269*(1+J270/(50*(ABS(O270)+ABS(T270)+0.0001)))</f>
        <v>121.97578366733813</v>
      </c>
      <c r="C270" s="21">
        <f t="shared" ca="1" si="23"/>
        <v>1</v>
      </c>
      <c r="D270" s="9">
        <f ca="1">D269+C270*(Prices!C270-Prices!C269)/Prices!C269</f>
        <v>0.10064302339078401</v>
      </c>
      <c r="E270" s="9">
        <f t="shared" ca="1" si="24"/>
        <v>1.8213434977024323E-2</v>
      </c>
      <c r="F270" s="9">
        <f t="shared" ca="1" si="25"/>
        <v>0.11885645836780834</v>
      </c>
      <c r="G270" s="13">
        <f ca="1">IF((Prices!C270-Prices!C269)*C270&gt;0,1,0)</f>
        <v>1</v>
      </c>
      <c r="H270" s="9">
        <f>ABS(Prices!C270-Prices!C269)/Prices!C269</f>
        <v>5.9295139468849845E-3</v>
      </c>
      <c r="I270" s="13"/>
      <c r="J270" s="1">
        <f t="shared" ca="1" si="26"/>
        <v>1.4060088230636782E-3</v>
      </c>
      <c r="K270" s="9"/>
      <c r="L270" s="9">
        <f ca="1">L269-O270*Prices!C270</f>
        <v>1.341516889765606</v>
      </c>
      <c r="M270" s="1">
        <f t="shared" ca="1" si="27"/>
        <v>7.6701608682765605E-3</v>
      </c>
      <c r="N270" s="9">
        <f ca="1">IF(Prices!D269&gt;OFFSET(Prices!D269,-$N$3,0),1,-1)</f>
        <v>1</v>
      </c>
      <c r="O270" s="1">
        <f ca="1">IF(N270=1,O$3*L269/Prices!C269,-O$3*M269)</f>
        <v>1.2456631132045182E-3</v>
      </c>
      <c r="P270" s="14"/>
      <c r="Q270" s="9">
        <f ca="1">Q269-T270*Prices!C270</f>
        <v>0.94067612417425595</v>
      </c>
      <c r="R270" s="1">
        <f t="shared" ca="1" si="28"/>
        <v>1.0607610997205757E-2</v>
      </c>
      <c r="S270" s="9">
        <f ca="1">IF(Prices!C269&lt;OFFSET(Prices!C269,-S$3,0),1,-1)</f>
        <v>1</v>
      </c>
      <c r="T270" s="1">
        <f ca="1">IF(S270=1,T$3*Q269/Prices!C269,-T$3*R269)</f>
        <v>1.6034570985916017E-4</v>
      </c>
      <c r="V270" s="9"/>
      <c r="W270" s="1"/>
      <c r="X270" s="1"/>
      <c r="Y270" s="1"/>
      <c r="Z270" s="1"/>
      <c r="AA270" s="1"/>
      <c r="AB270" s="1"/>
      <c r="AC270" s="1"/>
      <c r="AD270" s="1"/>
      <c r="AE270" s="16"/>
    </row>
    <row r="271" spans="1:31" x14ac:dyDescent="0.2">
      <c r="A271" s="4">
        <v>33885</v>
      </c>
      <c r="B271" s="9">
        <f ca="1">Prices!C270*(1+J271/(50*(ABS(O271)+ABS(T271)+0.0001)))</f>
        <v>121.97321295922309</v>
      </c>
      <c r="C271" s="21">
        <f t="shared" ca="1" si="23"/>
        <v>1</v>
      </c>
      <c r="D271" s="9">
        <f ca="1">D270+C271*(Prices!C271-Prices!C270)/Prices!C270</f>
        <v>0.11392654352361917</v>
      </c>
      <c r="E271" s="9">
        <f t="shared" ca="1" si="24"/>
        <v>4.9299148441891705E-3</v>
      </c>
      <c r="F271" s="9">
        <f t="shared" ca="1" si="25"/>
        <v>0.11885645836780834</v>
      </c>
      <c r="G271" s="13">
        <f ca="1">IF((Prices!C271-Prices!C270)*C271&gt;0,1,0)</f>
        <v>1</v>
      </c>
      <c r="H271" s="9">
        <f>ABS(Prices!C271-Prices!C270)/Prices!C270</f>
        <v>1.3283520132835154E-2</v>
      </c>
      <c r="I271" s="13"/>
      <c r="J271" s="1">
        <f t="shared" ca="1" si="26"/>
        <v>9.0160194341462781E-4</v>
      </c>
      <c r="K271" s="9"/>
      <c r="L271" s="9">
        <f ca="1">L270-O271*Prices!C271</f>
        <v>1.2055831941276713</v>
      </c>
      <c r="M271" s="1">
        <f t="shared" ca="1" si="27"/>
        <v>8.7839150316353035E-3</v>
      </c>
      <c r="N271" s="9">
        <f ca="1">IF(Prices!D270&gt;OFFSET(Prices!D270,-$N$3,0),1,-1)</f>
        <v>1</v>
      </c>
      <c r="O271" s="1">
        <f ca="1">IF(N271=1,O$3*L270/Prices!C270,-O$3*M270)</f>
        <v>1.113754163358743E-3</v>
      </c>
      <c r="P271" s="14"/>
      <c r="Q271" s="9">
        <f ca="1">Q270-T271*Prices!C271</f>
        <v>0.96656930261843521</v>
      </c>
      <c r="R271" s="1">
        <f t="shared" ca="1" si="28"/>
        <v>1.0395458777261642E-2</v>
      </c>
      <c r="S271" s="9">
        <f ca="1">IF(Prices!C270&lt;OFFSET(Prices!C270,-S$3,0),1,-1)</f>
        <v>-1</v>
      </c>
      <c r="T271" s="1">
        <f ca="1">IF(S271=1,T$3*Q270/Prices!C270,-T$3*R270)</f>
        <v>-2.1215221994411515E-4</v>
      </c>
      <c r="V271" s="9"/>
      <c r="W271" s="1"/>
      <c r="X271" s="1"/>
      <c r="Y271" s="1"/>
      <c r="Z271" s="1"/>
      <c r="AA271" s="1"/>
      <c r="AB271" s="1"/>
      <c r="AC271" s="1"/>
      <c r="AD271" s="1"/>
      <c r="AE271" s="16"/>
    </row>
    <row r="272" spans="1:31" x14ac:dyDescent="0.2">
      <c r="A272" s="4">
        <v>33886</v>
      </c>
      <c r="B272" s="9">
        <f ca="1">Prices!C271*(1+J272/(50*(ABS(O272)+ABS(T272)+0.0001)))</f>
        <v>123.51922802970928</v>
      </c>
      <c r="C272" s="21">
        <f t="shared" ca="1" si="23"/>
        <v>1</v>
      </c>
      <c r="D272" s="9">
        <f ca="1">D271+C272*(Prices!C272-Prices!C271)/Prices!C271</f>
        <v>0.11220593721472942</v>
      </c>
      <c r="E272" s="9">
        <f t="shared" ca="1" si="24"/>
        <v>6.6505211530789171E-3</v>
      </c>
      <c r="F272" s="9">
        <f t="shared" ca="1" si="25"/>
        <v>0.11885645836780834</v>
      </c>
      <c r="G272" s="13">
        <f ca="1">IF((Prices!C272-Prices!C271)*C272&gt;0,1,0)</f>
        <v>0</v>
      </c>
      <c r="H272" s="9">
        <f>ABS(Prices!C272-Prices!C271)/Prices!C271</f>
        <v>1.7206063088897482E-3</v>
      </c>
      <c r="I272" s="13"/>
      <c r="J272" s="1">
        <f t="shared" ca="1" si="26"/>
        <v>7.7986894336314191E-4</v>
      </c>
      <c r="K272" s="9"/>
      <c r="L272" s="9">
        <f ca="1">L271-O272*Prices!C272</f>
        <v>1.0852323081198749</v>
      </c>
      <c r="M272" s="1">
        <f t="shared" ca="1" si="27"/>
        <v>9.7716931505436779E-3</v>
      </c>
      <c r="N272" s="9">
        <f ca="1">IF(Prices!D271&gt;OFFSET(Prices!D271,-$N$3,0),1,-1)</f>
        <v>1</v>
      </c>
      <c r="O272" s="1">
        <f ca="1">IF(N272=1,O$3*L271/Prices!C271,-O$3*M271)</f>
        <v>9.8777811890837482E-4</v>
      </c>
      <c r="P272" s="14"/>
      <c r="Q272" s="9">
        <f ca="1">Q271-T272*Prices!C272</f>
        <v>0.99190095656686639</v>
      </c>
      <c r="R272" s="1">
        <f t="shared" ca="1" si="28"/>
        <v>1.018754960171641E-2</v>
      </c>
      <c r="S272" s="9">
        <f ca="1">IF(Prices!C271&lt;OFFSET(Prices!C271,-S$3,0),1,-1)</f>
        <v>-1</v>
      </c>
      <c r="T272" s="1">
        <f ca="1">IF(S272=1,T$3*Q271/Prices!C271,-T$3*R271)</f>
        <v>-2.0790917554523285E-4</v>
      </c>
      <c r="V272" s="9"/>
      <c r="W272" s="1"/>
      <c r="X272" s="1"/>
      <c r="Y272" s="1"/>
      <c r="Z272" s="1"/>
      <c r="AA272" s="1"/>
      <c r="AB272" s="1"/>
      <c r="AC272" s="1"/>
      <c r="AD272" s="1"/>
      <c r="AE272" s="16"/>
    </row>
    <row r="273" spans="1:31" x14ac:dyDescent="0.2">
      <c r="A273" s="4">
        <v>33889</v>
      </c>
      <c r="B273" s="9">
        <f ca="1">Prices!C272*(1+J273/(50*(ABS(O273)+ABS(T273)+0.0001)))</f>
        <v>123.24144741547994</v>
      </c>
      <c r="C273" s="21">
        <f t="shared" ca="1" si="23"/>
        <v>1</v>
      </c>
      <c r="D273" s="9">
        <f ca="1">D272+C273*(Prices!C273-Prices!C272)/Prices!C272</f>
        <v>0.10325977831781541</v>
      </c>
      <c r="E273" s="9">
        <f t="shared" ca="1" si="24"/>
        <v>1.5596680049992928E-2</v>
      </c>
      <c r="F273" s="9">
        <f t="shared" ca="1" si="25"/>
        <v>0.11885645836780834</v>
      </c>
      <c r="G273" s="13">
        <f ca="1">IF((Prices!C273-Prices!C272)*C273&gt;0,1,0)</f>
        <v>0</v>
      </c>
      <c r="H273" s="9">
        <f>ABS(Prices!C273-Prices!C272)/Prices!C272</f>
        <v>8.9461588969140127E-3</v>
      </c>
      <c r="I273" s="13"/>
      <c r="J273" s="1">
        <f t="shared" ca="1" si="26"/>
        <v>6.869518215899947E-4</v>
      </c>
      <c r="K273" s="9"/>
      <c r="L273" s="9">
        <f ca="1">L272-O273*Prices!C273</f>
        <v>0.97767994337473796</v>
      </c>
      <c r="M273" s="1">
        <f t="shared" ca="1" si="27"/>
        <v>1.0662395964168001E-2</v>
      </c>
      <c r="N273" s="9">
        <f ca="1">IF(Prices!D272&gt;OFFSET(Prices!D272,-$N$3,0),1,-1)</f>
        <v>1</v>
      </c>
      <c r="O273" s="1">
        <f ca="1">IF(N273=1,O$3*L272/Prices!C272,-O$3*M272)</f>
        <v>8.9070281362432291E-4</v>
      </c>
      <c r="P273" s="14"/>
      <c r="Q273" s="9">
        <f ca="1">Q272-T273*Prices!C273</f>
        <v>1.0165038888550115</v>
      </c>
      <c r="R273" s="1">
        <f t="shared" ca="1" si="28"/>
        <v>9.9837986096820812E-3</v>
      </c>
      <c r="S273" s="9">
        <f ca="1">IF(Prices!C272&lt;OFFSET(Prices!C272,-S$3,0),1,-1)</f>
        <v>-1</v>
      </c>
      <c r="T273" s="1">
        <f ca="1">IF(S273=1,T$3*Q272/Prices!C272,-T$3*R272)</f>
        <v>-2.0375099203432821E-4</v>
      </c>
      <c r="V273" s="9"/>
      <c r="W273" s="1"/>
      <c r="X273" s="1"/>
      <c r="Y273" s="1"/>
      <c r="Z273" s="1"/>
      <c r="AA273" s="1"/>
      <c r="AB273" s="1"/>
      <c r="AC273" s="1"/>
      <c r="AD273" s="1"/>
      <c r="AE273" s="16"/>
    </row>
    <row r="274" spans="1:31" x14ac:dyDescent="0.2">
      <c r="A274" s="4">
        <v>33890</v>
      </c>
      <c r="B274" s="9">
        <f ca="1">Prices!C273*(1+J274/(50*(ABS(O274)+ABS(T274)+0.0001)))</f>
        <v>122.07793437891168</v>
      </c>
      <c r="C274" s="21">
        <f t="shared" ref="C274:C337" ca="1" si="29">IF(J274&gt;0,1,IF(J274&lt;0,-1,0))</f>
        <v>1</v>
      </c>
      <c r="D274" s="9">
        <f ca="1">D273+C274*(Prices!C274-Prices!C273)/Prices!C273</f>
        <v>0.10847716962216319</v>
      </c>
      <c r="E274" s="9">
        <f t="shared" ref="E274:E337" ca="1" si="30">F274-D274</f>
        <v>1.0379288745645143E-2</v>
      </c>
      <c r="F274" s="9">
        <f t="shared" ref="F274:F337" ca="1" si="31">MAX(F273,D274)</f>
        <v>0.11885645836780834</v>
      </c>
      <c r="G274" s="13">
        <f ca="1">IF((Prices!C274-Prices!C273)*C274&gt;0,1,0)</f>
        <v>1</v>
      </c>
      <c r="H274" s="9">
        <f>ABS(Prices!C274-Prices!C273)/Prices!C273</f>
        <v>5.2173913043477883E-3</v>
      </c>
      <c r="I274" s="13"/>
      <c r="J274" s="1">
        <f t="shared" ref="J274:J337" ca="1" si="32">O274+T274</f>
        <v>6.0999685875852232E-4</v>
      </c>
      <c r="K274" s="9"/>
      <c r="L274" s="9">
        <f ca="1">L273-O274*Prices!C274</f>
        <v>0.87940185515376434</v>
      </c>
      <c r="M274" s="1">
        <f t="shared" ref="M274:M337" ca="1" si="33">M273+O274</f>
        <v>1.1472068795120164E-2</v>
      </c>
      <c r="N274" s="9">
        <f ca="1">IF(Prices!D273&gt;OFFSET(Prices!D273,-$N$3,0),1,-1)</f>
        <v>1</v>
      </c>
      <c r="O274" s="1">
        <f ca="1">IF(N274=1,O$3*L273/Prices!C273,-O$3*M273)</f>
        <v>8.0967283095216395E-4</v>
      </c>
      <c r="P274" s="14"/>
      <c r="Q274" s="9">
        <f ca="1">Q273-T274*Prices!C274</f>
        <v>1.0407405583598757</v>
      </c>
      <c r="R274" s="1">
        <f t="shared" ref="R274:R337" ca="1" si="34">R273+T274</f>
        <v>9.7841226374884398E-3</v>
      </c>
      <c r="S274" s="9">
        <f ca="1">IF(Prices!C273&lt;OFFSET(Prices!C273,-S$3,0),1,-1)</f>
        <v>-1</v>
      </c>
      <c r="T274" s="1">
        <f ca="1">IF(S274=1,T$3*Q273/Prices!C273,-T$3*R273)</f>
        <v>-1.9967597219364163E-4</v>
      </c>
      <c r="V274" s="9"/>
      <c r="W274" s="1"/>
      <c r="X274" s="1"/>
      <c r="Y274" s="1"/>
      <c r="Z274" s="1"/>
      <c r="AA274" s="1"/>
      <c r="AB274" s="1"/>
      <c r="AC274" s="1"/>
      <c r="AD274" s="1"/>
      <c r="AE274" s="16"/>
    </row>
    <row r="275" spans="1:31" x14ac:dyDescent="0.2">
      <c r="A275" s="4">
        <v>33891</v>
      </c>
      <c r="B275" s="9">
        <f ca="1">Prices!C274*(1+J275/(50*(ABS(O275)+ABS(T275)+0.0001)))</f>
        <v>119.12064575147384</v>
      </c>
      <c r="C275" s="21">
        <f t="shared" ca="1" si="29"/>
        <v>-1</v>
      </c>
      <c r="D275" s="9">
        <f ca="1">D274+C275*(Prices!C275-Prices!C274)/Prices!C274</f>
        <v>0.11045443111499557</v>
      </c>
      <c r="E275" s="9">
        <f t="shared" ca="1" si="30"/>
        <v>8.4020272528127632E-3</v>
      </c>
      <c r="F275" s="9">
        <f t="shared" ca="1" si="31"/>
        <v>0.11885645836780834</v>
      </c>
      <c r="G275" s="13">
        <f ca="1">IF((Prices!C275-Prices!C274)*C275&gt;0,1,0)</f>
        <v>1</v>
      </c>
      <c r="H275" s="9">
        <f>ABS(Prices!C275-Prices!C274)/Prices!C274</f>
        <v>1.9772614928323848E-3</v>
      </c>
      <c r="I275" s="13"/>
      <c r="J275" s="1">
        <f t="shared" ca="1" si="32"/>
        <v>-1.3428893322617852E-3</v>
      </c>
      <c r="K275" s="9"/>
      <c r="L275" s="9">
        <f ca="1">L274-O275*Prices!C275</f>
        <v>1.0183744965378501</v>
      </c>
      <c r="M275" s="1">
        <f t="shared" ca="1" si="33"/>
        <v>1.0324861915608148E-2</v>
      </c>
      <c r="N275" s="9">
        <f ca="1">IF(Prices!D274&gt;OFFSET(Prices!D274,-$N$3,0),1,-1)</f>
        <v>-1</v>
      </c>
      <c r="O275" s="1">
        <f ca="1">IF(N275=1,O$3*L274/Prices!C274,-O$3*M274)</f>
        <v>-1.1472068795120164E-3</v>
      </c>
      <c r="P275" s="14"/>
      <c r="Q275" s="9">
        <f ca="1">Q274-T275*Prices!C275</f>
        <v>1.0644455306859826</v>
      </c>
      <c r="R275" s="1">
        <f t="shared" ca="1" si="34"/>
        <v>9.5884401847386707E-3</v>
      </c>
      <c r="S275" s="9">
        <f ca="1">IF(Prices!C274&lt;OFFSET(Prices!C274,-S$3,0),1,-1)</f>
        <v>-1</v>
      </c>
      <c r="T275" s="1">
        <f ca="1">IF(S275=1,T$3*Q274/Prices!C274,-T$3*R274)</f>
        <v>-1.956824527497688E-4</v>
      </c>
      <c r="V275" s="9"/>
      <c r="W275" s="1"/>
      <c r="X275" s="1"/>
      <c r="Y275" s="1"/>
      <c r="Z275" s="1"/>
      <c r="AA275" s="1"/>
      <c r="AB275" s="1"/>
      <c r="AC275" s="1"/>
      <c r="AD275" s="1"/>
      <c r="AE275" s="16"/>
    </row>
    <row r="276" spans="1:31" x14ac:dyDescent="0.2">
      <c r="A276" s="4">
        <v>33892</v>
      </c>
      <c r="B276" s="9">
        <f ca="1">Prices!C275*(1+J276/(50*(ABS(O276)+ABS(T276)+0.0001)))</f>
        <v>119.55332301886681</v>
      </c>
      <c r="C276" s="21">
        <f t="shared" ca="1" si="29"/>
        <v>-1</v>
      </c>
      <c r="D276" s="9">
        <f ca="1">D275+C276*(Prices!C276-Prices!C275)/Prices!C275</f>
        <v>0.11796640073692059</v>
      </c>
      <c r="E276" s="9">
        <f t="shared" ca="1" si="30"/>
        <v>8.9005763088774448E-4</v>
      </c>
      <c r="F276" s="9">
        <f t="shared" ca="1" si="31"/>
        <v>0.11885645836780834</v>
      </c>
      <c r="G276" s="13">
        <f ca="1">IF((Prices!C276-Prices!C275)*C276&gt;0,1,0)</f>
        <v>1</v>
      </c>
      <c r="H276" s="9">
        <f>ABS(Prices!C276-Prices!C275)/Prices!C275</f>
        <v>7.511969621925017E-3</v>
      </c>
      <c r="I276" s="13"/>
      <c r="J276" s="1">
        <f t="shared" ca="1" si="32"/>
        <v>-8.5674811484197995E-4</v>
      </c>
      <c r="K276" s="9"/>
      <c r="L276" s="9">
        <f ca="1">L275-O276*Prices!C276</f>
        <v>1.1425103113492068</v>
      </c>
      <c r="M276" s="1">
        <f t="shared" ca="1" si="33"/>
        <v>9.2923757240473328E-3</v>
      </c>
      <c r="N276" s="9">
        <f ca="1">IF(Prices!D275&gt;OFFSET(Prices!D275,-$N$3,0),1,-1)</f>
        <v>-1</v>
      </c>
      <c r="O276" s="1">
        <f ca="1">IF(N276=1,O$3*L275/Prices!C275,-O$3*M275)</f>
        <v>-1.0324861915608147E-3</v>
      </c>
      <c r="P276" s="14"/>
      <c r="Q276" s="9">
        <f ca="1">Q275-T276*Prices!C276</f>
        <v>1.0433165417220771</v>
      </c>
      <c r="R276" s="1">
        <f t="shared" ca="1" si="34"/>
        <v>9.764178261457505E-3</v>
      </c>
      <c r="S276" s="9">
        <f ca="1">IF(Prices!C275&lt;OFFSET(Prices!C275,-S$3,0),1,-1)</f>
        <v>1</v>
      </c>
      <c r="T276" s="1">
        <f ca="1">IF(S276=1,T$3*Q275/Prices!C275,-T$3*R275)</f>
        <v>1.7573807671883483E-4</v>
      </c>
      <c r="V276" s="9"/>
      <c r="W276" s="1"/>
      <c r="X276" s="1"/>
      <c r="Y276" s="1"/>
      <c r="Z276" s="1"/>
      <c r="AA276" s="1"/>
      <c r="AB276" s="1"/>
      <c r="AC276" s="1"/>
      <c r="AD276" s="1"/>
      <c r="AE276" s="16"/>
    </row>
    <row r="277" spans="1:31" x14ac:dyDescent="0.2">
      <c r="A277" s="4">
        <v>33893</v>
      </c>
      <c r="B277" s="9">
        <f ca="1">Prices!C276*(1+J277/(50*(ABS(O277)+ABS(T277)+0.0001)))</f>
        <v>122.43811750251901</v>
      </c>
      <c r="C277" s="21">
        <f t="shared" ca="1" si="29"/>
        <v>1</v>
      </c>
      <c r="D277" s="9">
        <f ca="1">D276+C277*(Prices!C277-Prices!C276)/Prices!C276</f>
        <v>0.11114613957082221</v>
      </c>
      <c r="E277" s="9">
        <f t="shared" ca="1" si="30"/>
        <v>7.7103187969861237E-3</v>
      </c>
      <c r="F277" s="9">
        <f t="shared" ca="1" si="31"/>
        <v>0.11885645836780834</v>
      </c>
      <c r="G277" s="13">
        <f ca="1">IF((Prices!C277-Prices!C276)*C277&gt;0,1,0)</f>
        <v>0</v>
      </c>
      <c r="H277" s="9">
        <f>ABS(Prices!C277-Prices!C276)/Prices!C276</f>
        <v>6.8202611660983731E-3</v>
      </c>
      <c r="I277" s="13"/>
      <c r="J277" s="1">
        <f t="shared" ca="1" si="32"/>
        <v>1.123824020372305E-3</v>
      </c>
      <c r="K277" s="9"/>
      <c r="L277" s="9">
        <f ca="1">L276-O277*Prices!C277</f>
        <v>1.0290385020851223</v>
      </c>
      <c r="M277" s="1">
        <f t="shared" ca="1" si="33"/>
        <v>1.0242646298237807E-2</v>
      </c>
      <c r="N277" s="9">
        <f ca="1">IF(Prices!D276&gt;OFFSET(Prices!D276,-$N$3,0),1,-1)</f>
        <v>1</v>
      </c>
      <c r="O277" s="1">
        <f ca="1">IF(N277=1,O$3*L276/Prices!C276,-O$3*M276)</f>
        <v>9.5027057419047394E-4</v>
      </c>
      <c r="P277" s="14"/>
      <c r="Q277" s="9">
        <f ca="1">Q276-T277*Prices!C277</f>
        <v>1.0225925247135046</v>
      </c>
      <c r="R277" s="1">
        <f t="shared" ca="1" si="34"/>
        <v>9.937731707639336E-3</v>
      </c>
      <c r="S277" s="9">
        <f ca="1">IF(Prices!C276&lt;OFFSET(Prices!C276,-S$3,0),1,-1)</f>
        <v>1</v>
      </c>
      <c r="T277" s="1">
        <f ca="1">IF(S277=1,T$3*Q276/Prices!C276,-T$3*R276)</f>
        <v>1.7355344618183099E-4</v>
      </c>
      <c r="V277" s="9"/>
      <c r="W277" s="1"/>
      <c r="X277" s="1"/>
      <c r="Y277" s="1"/>
      <c r="Z277" s="1"/>
      <c r="AA277" s="1"/>
      <c r="AB277" s="1"/>
      <c r="AC277" s="1"/>
      <c r="AD277" s="1"/>
      <c r="AE277" s="16"/>
    </row>
    <row r="278" spans="1:31" x14ac:dyDescent="0.2">
      <c r="A278" s="4">
        <v>33896</v>
      </c>
      <c r="B278" s="9">
        <f ca="1">Prices!C277*(1+J278/(50*(ABS(O278)+ABS(T278)+0.0001)))</f>
        <v>121.58742253054309</v>
      </c>
      <c r="C278" s="21">
        <f t="shared" ca="1" si="29"/>
        <v>1</v>
      </c>
      <c r="D278" s="9">
        <f ca="1">D277+C278*(Prices!C278-Prices!C277)/Prices!C277</f>
        <v>0.12086056884810215</v>
      </c>
      <c r="E278" s="9">
        <f t="shared" ca="1" si="30"/>
        <v>0</v>
      </c>
      <c r="F278" s="9">
        <f t="shared" ca="1" si="31"/>
        <v>0.12086056884810215</v>
      </c>
      <c r="G278" s="13">
        <f ca="1">IF((Prices!C278-Prices!C277)*C278&gt;0,1,0)</f>
        <v>1</v>
      </c>
      <c r="H278" s="9">
        <f>ABS(Prices!C278-Prices!C277)/Prices!C277</f>
        <v>9.7144292772799318E-3</v>
      </c>
      <c r="I278" s="13"/>
      <c r="J278" s="1">
        <f t="shared" ca="1" si="32"/>
        <v>1.033043302091804E-3</v>
      </c>
      <c r="K278" s="9"/>
      <c r="L278" s="9">
        <f ca="1">L277-O278*Prices!C278</f>
        <v>0.92513499970139967</v>
      </c>
      <c r="M278" s="1">
        <f t="shared" ca="1" si="33"/>
        <v>1.1104415414798499E-2</v>
      </c>
      <c r="N278" s="9">
        <f ca="1">IF(Prices!D277&gt;OFFSET(Prices!D277,-$N$3,0),1,-1)</f>
        <v>1</v>
      </c>
      <c r="O278" s="1">
        <f ca="1">IF(N278=1,O$3*L277/Prices!C277,-O$3*M277)</f>
        <v>8.6176911656069195E-4</v>
      </c>
      <c r="P278" s="14"/>
      <c r="Q278" s="9">
        <f ca="1">Q277-T278*Prices!C278</f>
        <v>1.0019419961640184</v>
      </c>
      <c r="R278" s="1">
        <f t="shared" ca="1" si="34"/>
        <v>1.0109005893170448E-2</v>
      </c>
      <c r="S278" s="9">
        <f ca="1">IF(Prices!C277&lt;OFFSET(Prices!C277,-S$3,0),1,-1)</f>
        <v>1</v>
      </c>
      <c r="T278" s="1">
        <f ca="1">IF(S278=1,T$3*Q277/Prices!C277,-T$3*R277)</f>
        <v>1.7127418553111205E-4</v>
      </c>
      <c r="V278" s="9"/>
      <c r="W278" s="1"/>
      <c r="X278" s="1"/>
      <c r="Y278" s="1"/>
      <c r="Z278" s="1"/>
      <c r="AA278" s="1"/>
      <c r="AB278" s="1"/>
      <c r="AC278" s="1"/>
      <c r="AD278" s="1"/>
      <c r="AE278" s="16"/>
    </row>
    <row r="279" spans="1:31" x14ac:dyDescent="0.2">
      <c r="A279" s="4">
        <v>33897</v>
      </c>
      <c r="B279" s="9">
        <f ca="1">Prices!C278*(1+J279/(50*(ABS(O279)+ABS(T279)+0.0001)))</f>
        <v>122.74807680107391</v>
      </c>
      <c r="C279" s="21">
        <f t="shared" ca="1" si="29"/>
        <v>1</v>
      </c>
      <c r="D279" s="9">
        <f ca="1">D278+C279*(Prices!C279-Prices!C278)/Prices!C278</f>
        <v>0.13686786751277832</v>
      </c>
      <c r="E279" s="9">
        <f t="shared" ca="1" si="30"/>
        <v>0</v>
      </c>
      <c r="F279" s="9">
        <f t="shared" ca="1" si="31"/>
        <v>0.13686786751277832</v>
      </c>
      <c r="G279" s="13">
        <f ca="1">IF((Prices!C279-Prices!C278)*C279&gt;0,1,0)</f>
        <v>1</v>
      </c>
      <c r="H279" s="9">
        <f>ABS(Prices!C279-Prices!C278)/Prices!C278</f>
        <v>1.6007298664676178E-2</v>
      </c>
      <c r="I279" s="13"/>
      <c r="J279" s="1">
        <f t="shared" ca="1" si="32"/>
        <v>9.3350203113063237E-4</v>
      </c>
      <c r="K279" s="9"/>
      <c r="L279" s="9">
        <f ca="1">L278-O279*Prices!C279</f>
        <v>0.83114060850672322</v>
      </c>
      <c r="M279" s="1">
        <f t="shared" ca="1" si="33"/>
        <v>1.1871716567408102E-2</v>
      </c>
      <c r="N279" s="9">
        <f ca="1">IF(Prices!D278&gt;OFFSET(Prices!D278,-$N$3,0),1,-1)</f>
        <v>1</v>
      </c>
      <c r="O279" s="1">
        <f ca="1">IF(N279=1,O$3*L278/Prices!C278,-O$3*M278)</f>
        <v>7.6730115260960417E-4</v>
      </c>
      <c r="P279" s="14"/>
      <c r="Q279" s="9">
        <f ca="1">Q278-T279*Prices!C279</f>
        <v>0.98158238854519242</v>
      </c>
      <c r="R279" s="1">
        <f t="shared" ca="1" si="34"/>
        <v>1.0275206771691477E-2</v>
      </c>
      <c r="S279" s="9">
        <f ca="1">IF(Prices!C278&lt;OFFSET(Prices!C278,-S$3,0),1,-1)</f>
        <v>1</v>
      </c>
      <c r="T279" s="1">
        <f ca="1">IF(S279=1,T$3*Q278/Prices!C278,-T$3*R278)</f>
        <v>1.662008785210282E-4</v>
      </c>
      <c r="V279" s="9"/>
      <c r="W279" s="1"/>
      <c r="X279" s="1"/>
      <c r="Y279" s="1"/>
      <c r="Z279" s="1"/>
      <c r="AA279" s="1"/>
      <c r="AB279" s="1"/>
      <c r="AC279" s="1"/>
      <c r="AD279" s="1"/>
      <c r="AE279" s="16"/>
    </row>
    <row r="280" spans="1:31" x14ac:dyDescent="0.2">
      <c r="A280" s="4">
        <v>33898</v>
      </c>
      <c r="B280" s="9">
        <f ca="1">Prices!C279*(1+J280/(50*(ABS(O280)+ABS(T280)+0.0001)))</f>
        <v>123.67765473627236</v>
      </c>
      <c r="C280" s="21">
        <f t="shared" ca="1" si="29"/>
        <v>1</v>
      </c>
      <c r="D280" s="9">
        <f ca="1">D279+C280*(Prices!C280-Prices!C279)/Prices!C279</f>
        <v>0.13809235730869673</v>
      </c>
      <c r="E280" s="9">
        <f t="shared" ca="1" si="30"/>
        <v>0</v>
      </c>
      <c r="F280" s="9">
        <f t="shared" ca="1" si="31"/>
        <v>0.13809235730869673</v>
      </c>
      <c r="G280" s="13">
        <f ca="1">IF((Prices!C280-Prices!C279)*C280&gt;0,1,0)</f>
        <v>1</v>
      </c>
      <c r="H280" s="9">
        <f>ABS(Prices!C280-Prices!C279)/Prices!C279</f>
        <v>1.2244897959184137E-3</v>
      </c>
      <c r="I280" s="13"/>
      <c r="J280" s="1">
        <f t="shared" ca="1" si="32"/>
        <v>4.7297799395941398E-4</v>
      </c>
      <c r="K280" s="9"/>
      <c r="L280" s="9">
        <f ca="1">L279-O280*Prices!C280</f>
        <v>0.74792477533664192</v>
      </c>
      <c r="M280" s="1">
        <f t="shared" ca="1" si="33"/>
        <v>1.2550198696801346E-2</v>
      </c>
      <c r="N280" s="9">
        <f ca="1">IF(Prices!D279&gt;OFFSET(Prices!D279,-$N$3,0),1,-1)</f>
        <v>1</v>
      </c>
      <c r="O280" s="1">
        <f ca="1">IF(N280=1,O$3*L279/Prices!C279,-O$3*M279)</f>
        <v>6.7848212939324352E-4</v>
      </c>
      <c r="P280" s="14"/>
      <c r="Q280" s="9">
        <f ca="1">Q279-T280*Prices!C280</f>
        <v>1.0067874707561517</v>
      </c>
      <c r="R280" s="1">
        <f t="shared" ca="1" si="34"/>
        <v>1.0069702636257647E-2</v>
      </c>
      <c r="S280" s="9">
        <f ca="1">IF(Prices!C279&lt;OFFSET(Prices!C279,-S$3,0),1,-1)</f>
        <v>-1</v>
      </c>
      <c r="T280" s="1">
        <f ca="1">IF(S280=1,T$3*Q279/Prices!C279,-T$3*R279)</f>
        <v>-2.0550413543382953E-4</v>
      </c>
      <c r="V280" s="9"/>
      <c r="W280" s="1"/>
      <c r="X280" s="1"/>
      <c r="Y280" s="1"/>
      <c r="Z280" s="1"/>
      <c r="AA280" s="1"/>
      <c r="AB280" s="1"/>
      <c r="AC280" s="1"/>
      <c r="AD280" s="1"/>
      <c r="AE280" s="16"/>
    </row>
    <row r="281" spans="1:31" x14ac:dyDescent="0.2">
      <c r="A281" s="4">
        <v>33899</v>
      </c>
      <c r="B281" s="9">
        <f ca="1">Prices!C280*(1+J281/(50*(ABS(O281)+ABS(T281)+0.0001)))</f>
        <v>123.7494643640258</v>
      </c>
      <c r="C281" s="21">
        <f t="shared" ca="1" si="29"/>
        <v>1</v>
      </c>
      <c r="D281" s="9">
        <f ca="1">D280+C281*(Prices!C281-Prices!C280)/Prices!C280</f>
        <v>0.12260112208651976</v>
      </c>
      <c r="E281" s="9">
        <f t="shared" ca="1" si="30"/>
        <v>1.5491235222176977E-2</v>
      </c>
      <c r="F281" s="9">
        <f t="shared" ca="1" si="31"/>
        <v>0.13809235730869673</v>
      </c>
      <c r="G281" s="13">
        <f ca="1">IF((Prices!C281-Prices!C280)*C281&gt;0,1,0)</f>
        <v>0</v>
      </c>
      <c r="H281" s="9">
        <f>ABS(Prices!C281-Prices!C280)/Prices!C280</f>
        <v>1.5491235222176972E-2</v>
      </c>
      <c r="I281" s="13"/>
      <c r="J281" s="1">
        <f t="shared" ca="1" si="32"/>
        <v>4.0841008533978136E-4</v>
      </c>
      <c r="K281" s="9"/>
      <c r="L281" s="9">
        <f ca="1">L280-O281*Prices!C281</f>
        <v>0.67429092566530113</v>
      </c>
      <c r="M281" s="1">
        <f t="shared" ca="1" si="33"/>
        <v>1.3160002834866281E-2</v>
      </c>
      <c r="N281" s="9">
        <f ca="1">IF(Prices!D280&gt;OFFSET(Prices!D280,-$N$3,0),1,-1)</f>
        <v>1</v>
      </c>
      <c r="O281" s="1">
        <f ca="1">IF(N281=1,O$3*L280/Prices!C280,-O$3*M280)</f>
        <v>6.098041380649343E-4</v>
      </c>
      <c r="P281" s="14"/>
      <c r="Q281" s="9">
        <f ca="1">Q280-T281*Prices!C281</f>
        <v>1.031105802622714</v>
      </c>
      <c r="R281" s="1">
        <f t="shared" ca="1" si="34"/>
        <v>9.8683085835324941E-3</v>
      </c>
      <c r="S281" s="9">
        <f ca="1">IF(Prices!C280&lt;OFFSET(Prices!C280,-S$3,0),1,-1)</f>
        <v>-1</v>
      </c>
      <c r="T281" s="1">
        <f ca="1">IF(S281=1,T$3*Q280/Prices!C280,-T$3*R280)</f>
        <v>-2.0139405272515294E-4</v>
      </c>
      <c r="V281" s="9"/>
      <c r="W281" s="1"/>
      <c r="X281" s="1"/>
      <c r="Y281" s="1"/>
      <c r="Z281" s="1"/>
      <c r="AA281" s="1"/>
      <c r="AB281" s="1"/>
      <c r="AC281" s="1"/>
      <c r="AD281" s="1"/>
      <c r="AE281" s="16"/>
    </row>
    <row r="282" spans="1:31" x14ac:dyDescent="0.2">
      <c r="A282" s="4">
        <v>33900</v>
      </c>
      <c r="B282" s="9">
        <f ca="1">Prices!C281*(1+J282/(50*(ABS(O282)+ABS(T282)+0.0001)))</f>
        <v>118.48468700956192</v>
      </c>
      <c r="C282" s="21">
        <f t="shared" ca="1" si="29"/>
        <v>-1</v>
      </c>
      <c r="D282" s="9">
        <f ca="1">D281+C282*(Prices!C282-Prices!C281)/Prices!C281</f>
        <v>0.11531333740743077</v>
      </c>
      <c r="E282" s="9">
        <f t="shared" ca="1" si="30"/>
        <v>2.2779019901265962E-2</v>
      </c>
      <c r="F282" s="9">
        <f t="shared" ca="1" si="31"/>
        <v>0.13809235730869673</v>
      </c>
      <c r="G282" s="13">
        <f ca="1">IF((Prices!C282-Prices!C281)*C282&gt;0,1,0)</f>
        <v>0</v>
      </c>
      <c r="H282" s="9">
        <f>ABS(Prices!C282-Prices!C281)/Prices!C281</f>
        <v>7.2877846790889893E-3</v>
      </c>
      <c r="I282" s="13"/>
      <c r="J282" s="1">
        <f t="shared" ca="1" si="32"/>
        <v>-1.5133664551572781E-3</v>
      </c>
      <c r="K282" s="9"/>
      <c r="L282" s="9">
        <f ca="1">L281-O282*Prices!C282</f>
        <v>0.83435604014577969</v>
      </c>
      <c r="M282" s="1">
        <f t="shared" ca="1" si="33"/>
        <v>1.1844002551379653E-2</v>
      </c>
      <c r="N282" s="9">
        <f ca="1">IF(Prices!D281&gt;OFFSET(Prices!D281,-$N$3,0),1,-1)</f>
        <v>-1</v>
      </c>
      <c r="O282" s="1">
        <f ca="1">IF(N282=1,O$3*L281/Prices!C281,-O$3*M281)</f>
        <v>-1.3160002834866282E-3</v>
      </c>
      <c r="P282" s="14"/>
      <c r="Q282" s="9">
        <f ca="1">Q281-T282*Prices!C282</f>
        <v>1.0551114500830152</v>
      </c>
      <c r="R282" s="1">
        <f t="shared" ca="1" si="34"/>
        <v>9.6709424118618451E-3</v>
      </c>
      <c r="S282" s="9">
        <f ca="1">IF(Prices!C281&lt;OFFSET(Prices!C281,-S$3,0),1,-1)</f>
        <v>-1</v>
      </c>
      <c r="T282" s="1">
        <f ca="1">IF(S282=1,T$3*Q281/Prices!C281,-T$3*R281)</f>
        <v>-1.973661716706499E-4</v>
      </c>
      <c r="V282" s="9"/>
      <c r="W282" s="1"/>
      <c r="X282" s="1"/>
      <c r="Y282" s="1"/>
      <c r="Z282" s="1"/>
      <c r="AA282" s="1"/>
      <c r="AB282" s="1"/>
      <c r="AC282" s="1"/>
      <c r="AD282" s="1"/>
      <c r="AE282" s="16"/>
    </row>
    <row r="283" spans="1:31" x14ac:dyDescent="0.2">
      <c r="A283" s="4">
        <v>33903</v>
      </c>
      <c r="B283" s="9">
        <f ca="1">Prices!C282*(1+J283/(50*(ABS(O283)+ABS(T283)+0.0001)))</f>
        <v>122.85340641349327</v>
      </c>
      <c r="C283" s="21">
        <f t="shared" ca="1" si="29"/>
        <v>1</v>
      </c>
      <c r="D283" s="9">
        <f ca="1">D282+C283*(Prices!C283-Prices!C282)/Prices!C282</f>
        <v>0.1187664328608551</v>
      </c>
      <c r="E283" s="9">
        <f t="shared" ca="1" si="30"/>
        <v>1.9325924447841633E-2</v>
      </c>
      <c r="F283" s="9">
        <f t="shared" ca="1" si="31"/>
        <v>0.13809235730869673</v>
      </c>
      <c r="G283" s="13">
        <f ca="1">IF((Prices!C283-Prices!C282)*C283&gt;0,1,0)</f>
        <v>1</v>
      </c>
      <c r="H283" s="9">
        <f>ABS(Prices!C283-Prices!C282)/Prices!C282</f>
        <v>3.4530954534243339E-3</v>
      </c>
      <c r="I283" s="13"/>
      <c r="J283" s="1">
        <f t="shared" ca="1" si="32"/>
        <v>4.9255997289717065E-4</v>
      </c>
      <c r="K283" s="9"/>
      <c r="L283" s="9">
        <f ca="1">L282-O283*Prices!C283</f>
        <v>0.75063232502632526</v>
      </c>
      <c r="M283" s="1">
        <f t="shared" ca="1" si="33"/>
        <v>1.252998137251406E-2</v>
      </c>
      <c r="N283" s="9">
        <f ca="1">IF(Prices!D282&gt;OFFSET(Prices!D282,-$N$3,0),1,-1)</f>
        <v>1</v>
      </c>
      <c r="O283" s="1">
        <f ca="1">IF(N283=1,O$3*L282/Prices!C282,-O$3*M282)</f>
        <v>6.859788211344075E-4</v>
      </c>
      <c r="P283" s="14"/>
      <c r="Q283" s="9">
        <f ca="1">Q282-T283*Prices!C283</f>
        <v>1.07871822051037</v>
      </c>
      <c r="R283" s="1">
        <f t="shared" ca="1" si="34"/>
        <v>9.4775235636246086E-3</v>
      </c>
      <c r="S283" s="9">
        <f ca="1">IF(Prices!C282&lt;OFFSET(Prices!C282,-S$3,0),1,-1)</f>
        <v>-1</v>
      </c>
      <c r="T283" s="1">
        <f ca="1">IF(S283=1,T$3*Q282/Prices!C282,-T$3*R282)</f>
        <v>-1.934188482372369E-4</v>
      </c>
      <c r="V283" s="9"/>
      <c r="W283" s="1"/>
      <c r="X283" s="1"/>
      <c r="Y283" s="1"/>
      <c r="Z283" s="1"/>
      <c r="AA283" s="1"/>
      <c r="AB283" s="1"/>
      <c r="AC283" s="1"/>
      <c r="AD283" s="1"/>
      <c r="AE283" s="16"/>
    </row>
    <row r="284" spans="1:31" x14ac:dyDescent="0.2">
      <c r="A284" s="4">
        <v>33904</v>
      </c>
      <c r="B284" s="9">
        <f ca="1">Prices!C283*(1+J284/(50*(ABS(O284)+ABS(T284)+0.0001)))</f>
        <v>124.21727991388464</v>
      </c>
      <c r="C284" s="21">
        <f t="shared" ca="1" si="29"/>
        <v>1</v>
      </c>
      <c r="D284" s="9">
        <f ca="1">D283+C284*(Prices!C284-Prices!C283)/Prices!C283</f>
        <v>0.119995437367205</v>
      </c>
      <c r="E284" s="9">
        <f t="shared" ca="1" si="30"/>
        <v>1.8096919941491735E-2</v>
      </c>
      <c r="F284" s="9">
        <f t="shared" ca="1" si="31"/>
        <v>0.13809235730869673</v>
      </c>
      <c r="G284" s="13">
        <f ca="1">IF((Prices!C284-Prices!C283)*C284&gt;0,1,0)</f>
        <v>1</v>
      </c>
      <c r="H284" s="9">
        <f>ABS(Prices!C284-Prices!C283)/Prices!C283</f>
        <v>1.2290045063499033E-3</v>
      </c>
      <c r="I284" s="13"/>
      <c r="J284" s="1">
        <f t="shared" ca="1" si="32"/>
        <v>7.9178694725800841E-4</v>
      </c>
      <c r="K284" s="9"/>
      <c r="L284" s="9">
        <f ca="1">L283-O284*Prices!C284</f>
        <v>0.67547683947268577</v>
      </c>
      <c r="M284" s="1">
        <f t="shared" ca="1" si="33"/>
        <v>1.314500171256021E-2</v>
      </c>
      <c r="N284" s="9">
        <f ca="1">IF(Prices!D283&gt;OFFSET(Prices!D283,-$N$3,0),1,-1)</f>
        <v>1</v>
      </c>
      <c r="O284" s="1">
        <f ca="1">IF(N284=1,O$3*L283/Prices!C283,-O$3*M283)</f>
        <v>6.1502034004614931E-4</v>
      </c>
      <c r="P284" s="14"/>
      <c r="Q284" s="9">
        <f ca="1">Q283-T284*Prices!C284</f>
        <v>1.0571173411090808</v>
      </c>
      <c r="R284" s="1">
        <f t="shared" ca="1" si="34"/>
        <v>9.6542901708364676E-3</v>
      </c>
      <c r="S284" s="9">
        <f ca="1">IF(Prices!C283&lt;OFFSET(Prices!C283,-S$3,0),1,-1)</f>
        <v>1</v>
      </c>
      <c r="T284" s="1">
        <f ca="1">IF(S284=1,T$3*Q283/Prices!C283,-T$3*R283)</f>
        <v>1.767666072118591E-4</v>
      </c>
      <c r="V284" s="9"/>
      <c r="W284" s="1"/>
      <c r="X284" s="1"/>
      <c r="Y284" s="1"/>
      <c r="Z284" s="1"/>
      <c r="AA284" s="1"/>
      <c r="AB284" s="1"/>
      <c r="AC284" s="1"/>
      <c r="AD284" s="1"/>
      <c r="AE284" s="16"/>
    </row>
    <row r="285" spans="1:31" x14ac:dyDescent="0.2">
      <c r="A285" s="4">
        <v>33905</v>
      </c>
      <c r="B285" s="9">
        <f ca="1">Prices!C284*(1+J285/(50*(ABS(O285)+ABS(T285)+0.0001)))</f>
        <v>120.44266704852701</v>
      </c>
      <c r="C285" s="21">
        <f t="shared" ca="1" si="29"/>
        <v>-1</v>
      </c>
      <c r="D285" s="9">
        <f ca="1">D284+C285*(Prices!C285-Prices!C284)/Prices!C284</f>
        <v>0.11189396437211502</v>
      </c>
      <c r="E285" s="9">
        <f t="shared" ca="1" si="30"/>
        <v>2.6198392936581716E-2</v>
      </c>
      <c r="F285" s="9">
        <f t="shared" ca="1" si="31"/>
        <v>0.13809235730869673</v>
      </c>
      <c r="G285" s="13">
        <f ca="1">IF((Prices!C285-Prices!C284)*C285&gt;0,1,0)</f>
        <v>0</v>
      </c>
      <c r="H285" s="9">
        <f>ABS(Prices!C285-Prices!C284)/Prices!C284</f>
        <v>8.1014729950899741E-3</v>
      </c>
      <c r="I285" s="13"/>
      <c r="J285" s="1">
        <f t="shared" ca="1" si="32"/>
        <v>-1.1414858764754842E-3</v>
      </c>
      <c r="K285" s="9"/>
      <c r="L285" s="9">
        <f ca="1">L284-O285*Prices!C285</f>
        <v>0.83741011556971501</v>
      </c>
      <c r="M285" s="1">
        <f t="shared" ca="1" si="33"/>
        <v>1.1830501541304189E-2</v>
      </c>
      <c r="N285" s="9">
        <f ca="1">IF(Prices!D284&gt;OFFSET(Prices!D284,-$N$3,0),1,-1)</f>
        <v>-1</v>
      </c>
      <c r="O285" s="1">
        <f ca="1">IF(N285=1,O$3*L284/Prices!C284,-O$3*M284)</f>
        <v>-1.3145001712560212E-3</v>
      </c>
      <c r="P285" s="14"/>
      <c r="Q285" s="9">
        <f ca="1">Q284-T285*Prices!C285</f>
        <v>1.0358037101350666</v>
      </c>
      <c r="R285" s="1">
        <f t="shared" ca="1" si="34"/>
        <v>9.8273044656170053E-3</v>
      </c>
      <c r="S285" s="9">
        <f ca="1">IF(Prices!C284&lt;OFFSET(Prices!C284,-S$3,0),1,-1)</f>
        <v>1</v>
      </c>
      <c r="T285" s="1">
        <f ca="1">IF(S285=1,T$3*Q284/Prices!C284,-T$3*R284)</f>
        <v>1.7301429478053696E-4</v>
      </c>
      <c r="V285" s="9"/>
      <c r="W285" s="1"/>
      <c r="X285" s="1"/>
      <c r="Y285" s="1"/>
      <c r="Z285" s="1"/>
      <c r="AA285" s="1"/>
      <c r="AB285" s="1"/>
      <c r="AC285" s="1"/>
      <c r="AD285" s="1"/>
      <c r="AE285" s="16"/>
    </row>
    <row r="286" spans="1:31" x14ac:dyDescent="0.2">
      <c r="A286" s="4">
        <v>33906</v>
      </c>
      <c r="B286" s="9">
        <f ca="1">Prices!C285*(1+J286/(50*(ABS(O286)+ABS(T286)+0.0001)))</f>
        <v>120.8927184006055</v>
      </c>
      <c r="C286" s="21">
        <f t="shared" ca="1" si="29"/>
        <v>-1</v>
      </c>
      <c r="D286" s="9">
        <f ca="1">D285+C286*(Prices!C286-Prices!C285)/Prices!C285</f>
        <v>0.11124456101145264</v>
      </c>
      <c r="E286" s="9">
        <f t="shared" ca="1" si="30"/>
        <v>2.6847796297244098E-2</v>
      </c>
      <c r="F286" s="9">
        <f t="shared" ca="1" si="31"/>
        <v>0.13809235730869673</v>
      </c>
      <c r="G286" s="13">
        <f ca="1">IF((Prices!C286-Prices!C285)*C286&gt;0,1,0)</f>
        <v>0</v>
      </c>
      <c r="H286" s="9">
        <f>ABS(Prices!C286-Prices!C285)/Prices!C285</f>
        <v>6.4940336066237757E-4</v>
      </c>
      <c r="I286" s="13"/>
      <c r="J286" s="1">
        <f t="shared" ca="1" si="32"/>
        <v>-1.3795962434427593E-3</v>
      </c>
      <c r="K286" s="9"/>
      <c r="L286" s="9">
        <f ca="1">L285-O286*Prices!C286</f>
        <v>0.98324470806937181</v>
      </c>
      <c r="M286" s="1">
        <f t="shared" ca="1" si="33"/>
        <v>1.0647451387173771E-2</v>
      </c>
      <c r="N286" s="9">
        <f ca="1">IF(Prices!D285&gt;OFFSET(Prices!D285,-$N$3,0),1,-1)</f>
        <v>-1</v>
      </c>
      <c r="O286" s="1">
        <f ca="1">IF(N286=1,O$3*L285/Prices!C285,-O$3*M285)</f>
        <v>-1.1830501541304191E-3</v>
      </c>
      <c r="P286" s="14"/>
      <c r="Q286" s="9">
        <f ca="1">Q285-T286*Prices!C286</f>
        <v>1.0600319465645986</v>
      </c>
      <c r="R286" s="1">
        <f t="shared" ca="1" si="34"/>
        <v>9.6307583763046659E-3</v>
      </c>
      <c r="S286" s="9">
        <f ca="1">IF(Prices!C285&lt;OFFSET(Prices!C285,-S$3,0),1,-1)</f>
        <v>-1</v>
      </c>
      <c r="T286" s="1">
        <f ca="1">IF(S286=1,T$3*Q285/Prices!C285,-T$3*R285)</f>
        <v>-1.965460893123401E-4</v>
      </c>
      <c r="V286" s="9"/>
      <c r="W286" s="1"/>
      <c r="X286" s="1"/>
      <c r="Y286" s="1"/>
      <c r="Z286" s="1"/>
      <c r="AA286" s="1"/>
      <c r="AB286" s="1"/>
      <c r="AC286" s="1"/>
      <c r="AD286" s="1"/>
      <c r="AE286" s="16"/>
    </row>
    <row r="287" spans="1:31" x14ac:dyDescent="0.2">
      <c r="A287" s="4">
        <v>33907</v>
      </c>
      <c r="B287" s="9">
        <f ca="1">Prices!C286*(1+J287/(50*(ABS(O287)+ABS(T287)+0.0001)))</f>
        <v>120.98623195053368</v>
      </c>
      <c r="C287" s="21">
        <f t="shared" ca="1" si="29"/>
        <v>-1</v>
      </c>
      <c r="D287" s="9">
        <f ca="1">D286+C287*(Prices!C287-Prices!C286)/Prices!C286</f>
        <v>0.10978435171478673</v>
      </c>
      <c r="E287" s="9">
        <f t="shared" ca="1" si="30"/>
        <v>2.8308005593910002E-2</v>
      </c>
      <c r="F287" s="9">
        <f t="shared" ca="1" si="31"/>
        <v>0.13809235730869673</v>
      </c>
      <c r="G287" s="13">
        <f ca="1">IF((Prices!C287-Prices!C286)*C287&gt;0,1,0)</f>
        <v>0</v>
      </c>
      <c r="H287" s="9">
        <f>ABS(Prices!C287-Prices!C286)/Prices!C286</f>
        <v>1.4602092966659109E-3</v>
      </c>
      <c r="I287" s="13"/>
      <c r="J287" s="1">
        <f t="shared" ca="1" si="32"/>
        <v>-1.2573603062434706E-3</v>
      </c>
      <c r="K287" s="9"/>
      <c r="L287" s="9">
        <f ca="1">L286-O287*Prices!C287</f>
        <v>1.114687495444032</v>
      </c>
      <c r="M287" s="1">
        <f t="shared" ca="1" si="33"/>
        <v>9.5827062484563942E-3</v>
      </c>
      <c r="N287" s="9">
        <f ca="1">IF(Prices!D286&gt;OFFSET(Prices!D286,-$N$3,0),1,-1)</f>
        <v>-1</v>
      </c>
      <c r="O287" s="1">
        <f ca="1">IF(N287=1,O$3*L286/Prices!C286,-O$3*M286)</f>
        <v>-1.0647451387173772E-3</v>
      </c>
      <c r="P287" s="14"/>
      <c r="Q287" s="9">
        <f ca="1">Q286-T287*Prices!C287</f>
        <v>1.0838102889956949</v>
      </c>
      <c r="R287" s="1">
        <f t="shared" ca="1" si="34"/>
        <v>9.4381432087785721E-3</v>
      </c>
      <c r="S287" s="9">
        <f ca="1">IF(Prices!C286&lt;OFFSET(Prices!C286,-S$3,0),1,-1)</f>
        <v>-1</v>
      </c>
      <c r="T287" s="1">
        <f ca="1">IF(S287=1,T$3*Q286/Prices!C286,-T$3*R286)</f>
        <v>-1.9261516752609332E-4</v>
      </c>
      <c r="V287" s="9"/>
      <c r="W287" s="1"/>
      <c r="X287" s="1"/>
      <c r="Y287" s="1"/>
      <c r="Z287" s="1"/>
      <c r="AA287" s="1"/>
      <c r="AB287" s="1"/>
      <c r="AC287" s="1"/>
      <c r="AD287" s="1"/>
      <c r="AE287" s="16"/>
    </row>
    <row r="288" spans="1:31" x14ac:dyDescent="0.2">
      <c r="A288" s="4">
        <v>33910</v>
      </c>
      <c r="B288" s="9">
        <f ca="1">Prices!C287*(1+J288/(50*(ABS(O288)+ABS(T288)+0.0001)))</f>
        <v>124.92965559629872</v>
      </c>
      <c r="C288" s="21">
        <f t="shared" ca="1" si="29"/>
        <v>1</v>
      </c>
      <c r="D288" s="9">
        <f ca="1">D287+C288*(Prices!C288-Prices!C287)/Prices!C287</f>
        <v>0.11221448537213786</v>
      </c>
      <c r="E288" s="9">
        <f t="shared" ca="1" si="30"/>
        <v>2.5877871936558869E-2</v>
      </c>
      <c r="F288" s="9">
        <f t="shared" ca="1" si="31"/>
        <v>0.13809235730869673</v>
      </c>
      <c r="G288" s="13">
        <f ca="1">IF((Prices!C288-Prices!C287)*C288&gt;0,1,0)</f>
        <v>1</v>
      </c>
      <c r="H288" s="9">
        <f>ABS(Prices!C288-Prices!C287)/Prices!C287</f>
        <v>2.4301336573511311E-3</v>
      </c>
      <c r="I288" s="13"/>
      <c r="J288" s="1">
        <f t="shared" ca="1" si="32"/>
        <v>7.141836691934298E-4</v>
      </c>
      <c r="K288" s="9"/>
      <c r="L288" s="9">
        <f ca="1">L287-O288*Prices!C288</f>
        <v>1.0029478619396182</v>
      </c>
      <c r="M288" s="1">
        <f t="shared" ca="1" si="33"/>
        <v>1.0485652781825396E-2</v>
      </c>
      <c r="N288" s="9">
        <f ca="1">IF(Prices!D287&gt;OFFSET(Prices!D287,-$N$3,0),1,-1)</f>
        <v>1</v>
      </c>
      <c r="O288" s="1">
        <f ca="1">IF(N288=1,O$3*L287/Prices!C287,-O$3*M287)</f>
        <v>9.0294653336900127E-4</v>
      </c>
      <c r="P288" s="14"/>
      <c r="Q288" s="9">
        <f ca="1">Q287-T288*Prices!C288</f>
        <v>1.1071696934374218</v>
      </c>
      <c r="R288" s="1">
        <f t="shared" ca="1" si="34"/>
        <v>9.2493803446030004E-3</v>
      </c>
      <c r="S288" s="9">
        <f ca="1">IF(Prices!C287&lt;OFFSET(Prices!C287,-S$3,0),1,-1)</f>
        <v>-1</v>
      </c>
      <c r="T288" s="1">
        <f ca="1">IF(S288=1,T$3*Q287/Prices!C287,-T$3*R287)</f>
        <v>-1.8876286417557144E-4</v>
      </c>
      <c r="V288" s="9"/>
      <c r="W288" s="1"/>
      <c r="X288" s="1"/>
      <c r="Y288" s="1"/>
      <c r="Z288" s="1"/>
      <c r="AA288" s="1"/>
      <c r="AB288" s="1"/>
      <c r="AC288" s="1"/>
      <c r="AD288" s="1"/>
      <c r="AE288" s="16"/>
    </row>
    <row r="289" spans="1:31" x14ac:dyDescent="0.2">
      <c r="A289" s="4">
        <v>33911</v>
      </c>
      <c r="B289" s="9">
        <f ca="1">Prices!C288*(1+J289/(50*(ABS(O289)+ABS(T289)+0.0001)))</f>
        <v>125.1631641371293</v>
      </c>
      <c r="C289" s="21">
        <f t="shared" ca="1" si="29"/>
        <v>1</v>
      </c>
      <c r="D289" s="9">
        <f ca="1">D288+C289*(Prices!C289-Prices!C288)/Prices!C288</f>
        <v>0.10332559648324902</v>
      </c>
      <c r="E289" s="9">
        <f t="shared" ca="1" si="30"/>
        <v>3.4766760825447718E-2</v>
      </c>
      <c r="F289" s="9">
        <f t="shared" ca="1" si="31"/>
        <v>0.13809235730869673</v>
      </c>
      <c r="G289" s="13">
        <f ca="1">IF((Prices!C289-Prices!C288)*C289&gt;0,1,0)</f>
        <v>0</v>
      </c>
      <c r="H289" s="9">
        <f>ABS(Prices!C289-Prices!C288)/Prices!C288</f>
        <v>8.8888888888888438E-3</v>
      </c>
      <c r="I289" s="13"/>
      <c r="J289" s="1">
        <f t="shared" ca="1" si="32"/>
        <v>6.2547531184702543E-4</v>
      </c>
      <c r="K289" s="9"/>
      <c r="L289" s="9">
        <f ca="1">L288-O289*Prices!C289</f>
        <v>0.90354458495626933</v>
      </c>
      <c r="M289" s="1">
        <f t="shared" ca="1" si="33"/>
        <v>1.1296115700564482E-2</v>
      </c>
      <c r="N289" s="9">
        <f ca="1">IF(Prices!D288&gt;OFFSET(Prices!D288,-$N$3,0),1,-1)</f>
        <v>1</v>
      </c>
      <c r="O289" s="1">
        <f ca="1">IF(N289=1,O$3*L288/Prices!C288,-O$3*M288)</f>
        <v>8.1046291873908543E-4</v>
      </c>
      <c r="P289" s="14"/>
      <c r="Q289" s="9">
        <f ca="1">Q288-T289*Prices!C289</f>
        <v>1.1298584234227329</v>
      </c>
      <c r="R289" s="1">
        <f t="shared" ca="1" si="34"/>
        <v>9.0643927377109402E-3</v>
      </c>
      <c r="S289" s="9">
        <f ca="1">IF(Prices!C288&lt;OFFSET(Prices!C288,-S$3,0),1,-1)</f>
        <v>-1</v>
      </c>
      <c r="T289" s="1">
        <f ca="1">IF(S289=1,T$3*Q288/Prices!C288,-T$3*R288)</f>
        <v>-1.8498760689206E-4</v>
      </c>
      <c r="V289" s="9"/>
      <c r="W289" s="1"/>
      <c r="X289" s="1"/>
      <c r="Y289" s="1"/>
      <c r="Z289" s="1"/>
      <c r="AA289" s="1"/>
      <c r="AB289" s="1"/>
      <c r="AC289" s="1"/>
      <c r="AD289" s="1"/>
      <c r="AE289" s="16"/>
    </row>
    <row r="290" spans="1:31" x14ac:dyDescent="0.2">
      <c r="A290" s="4">
        <v>33912</v>
      </c>
      <c r="B290" s="9">
        <f ca="1">Prices!C289*(1+J290/(50*(ABS(O290)+ABS(T290)+0.0001)))</f>
        <v>124.86272803509051</v>
      </c>
      <c r="C290" s="21">
        <f t="shared" ca="1" si="29"/>
        <v>1</v>
      </c>
      <c r="D290" s="9">
        <f ca="1">D289+C290*(Prices!C290-Prices!C289)/Prices!C289</f>
        <v>0.10780990141598441</v>
      </c>
      <c r="E290" s="9">
        <f t="shared" ca="1" si="30"/>
        <v>3.0282455892712321E-2</v>
      </c>
      <c r="F290" s="9">
        <f t="shared" ca="1" si="31"/>
        <v>0.13809235730869673</v>
      </c>
      <c r="G290" s="13">
        <f ca="1">IF((Prices!C290-Prices!C289)*C290&gt;0,1,0)</f>
        <v>1</v>
      </c>
      <c r="H290" s="9">
        <f>ABS(Prices!C290-Prices!C289)/Prices!C289</f>
        <v>4.4843049327354025E-3</v>
      </c>
      <c r="I290" s="13"/>
      <c r="J290" s="1">
        <f t="shared" ca="1" si="32"/>
        <v>9.2092643264640522E-4</v>
      </c>
      <c r="K290" s="9"/>
      <c r="L290" s="9">
        <f ca="1">L289-O290*Prices!C290</f>
        <v>0.81278494951671576</v>
      </c>
      <c r="M290" s="1">
        <f t="shared" ca="1" si="33"/>
        <v>1.203280105315826E-2</v>
      </c>
      <c r="N290" s="9">
        <f ca="1">IF(Prices!D289&gt;OFFSET(Prices!D289,-$N$3,0),1,-1)</f>
        <v>1</v>
      </c>
      <c r="O290" s="1">
        <f ca="1">IF(N290=1,O$3*L289/Prices!C289,-O$3*M289)</f>
        <v>7.3668535259377855E-4</v>
      </c>
      <c r="P290" s="14"/>
      <c r="Q290" s="9">
        <f ca="1">Q289-T290*Prices!C290</f>
        <v>1.1071599223602493</v>
      </c>
      <c r="R290" s="1">
        <f t="shared" ca="1" si="34"/>
        <v>9.2486338177635661E-3</v>
      </c>
      <c r="S290" s="9">
        <f ca="1">IF(Prices!C289&lt;OFFSET(Prices!C289,-S$3,0),1,-1)</f>
        <v>1</v>
      </c>
      <c r="T290" s="1">
        <f ca="1">IF(S290=1,T$3*Q289/Prices!C289,-T$3*R289)</f>
        <v>1.8424108005262664E-4</v>
      </c>
      <c r="V290" s="9"/>
      <c r="W290" s="1"/>
      <c r="X290" s="1"/>
      <c r="Y290" s="1"/>
      <c r="Z290" s="1"/>
      <c r="AA290" s="1"/>
      <c r="AB290" s="1"/>
      <c r="AC290" s="1"/>
      <c r="AD290" s="1"/>
      <c r="AE290" s="16"/>
    </row>
    <row r="291" spans="1:31" x14ac:dyDescent="0.2">
      <c r="A291" s="4">
        <v>33913</v>
      </c>
      <c r="B291" s="9">
        <f ca="1">Prices!C290*(1+J291/(50*(ABS(O291)+ABS(T291)+0.0001)))</f>
        <v>125.40172217159997</v>
      </c>
      <c r="C291" s="21">
        <f t="shared" ca="1" si="29"/>
        <v>1</v>
      </c>
      <c r="D291" s="9">
        <f ca="1">D290+C291*(Prices!C291-Prices!C290)/Prices!C290</f>
        <v>0.10488782349390649</v>
      </c>
      <c r="E291" s="9">
        <f t="shared" ca="1" si="30"/>
        <v>3.3204533814790244E-2</v>
      </c>
      <c r="F291" s="9">
        <f t="shared" ca="1" si="31"/>
        <v>0.13809235730869673</v>
      </c>
      <c r="G291" s="13">
        <f ca="1">IF((Prices!C291-Prices!C290)*C291&gt;0,1,0)</f>
        <v>0</v>
      </c>
      <c r="H291" s="9">
        <f>ABS(Prices!C291-Prices!C290)/Prices!C290</f>
        <v>2.9220779220779174E-3</v>
      </c>
      <c r="I291" s="13"/>
      <c r="J291" s="1">
        <f t="shared" ca="1" si="32"/>
        <v>8.3946179706880333E-4</v>
      </c>
      <c r="K291" s="9"/>
      <c r="L291" s="9">
        <f ca="1">L290-O291*Prices!C291</f>
        <v>0.73174395666068215</v>
      </c>
      <c r="M291" s="1">
        <f t="shared" ca="1" si="33"/>
        <v>1.2692529096597153E-2</v>
      </c>
      <c r="N291" s="9">
        <f ca="1">IF(Prices!D290&gt;OFFSET(Prices!D290,-$N$3,0),1,-1)</f>
        <v>1</v>
      </c>
      <c r="O291" s="1">
        <f ca="1">IF(N291=1,O$3*L290/Prices!C290,-O$3*M290)</f>
        <v>6.5972804343889272E-4</v>
      </c>
      <c r="P291" s="14"/>
      <c r="Q291" s="9">
        <f ca="1">Q290-T291*Prices!C291</f>
        <v>1.085081428064351</v>
      </c>
      <c r="R291" s="1">
        <f t="shared" ca="1" si="34"/>
        <v>9.4283675713934759E-3</v>
      </c>
      <c r="S291" s="9">
        <f ca="1">IF(Prices!C290&lt;OFFSET(Prices!C290,-S$3,0),1,-1)</f>
        <v>1</v>
      </c>
      <c r="T291" s="1">
        <f ca="1">IF(S291=1,T$3*Q290/Prices!C290,-T$3*R290)</f>
        <v>1.797337536299106E-4</v>
      </c>
      <c r="V291" s="9"/>
      <c r="W291" s="1"/>
      <c r="X291" s="1"/>
      <c r="Y291" s="1"/>
      <c r="Z291" s="1"/>
      <c r="AA291" s="1"/>
      <c r="AB291" s="1"/>
      <c r="AC291" s="1"/>
      <c r="AD291" s="1"/>
      <c r="AE291" s="16"/>
    </row>
    <row r="292" spans="1:31" x14ac:dyDescent="0.2">
      <c r="A292" s="4">
        <v>33914</v>
      </c>
      <c r="B292" s="9">
        <f ca="1">Prices!C291*(1+J292/(50*(ABS(O292)+ABS(T292)+0.0001)))</f>
        <v>121.1036422364415</v>
      </c>
      <c r="C292" s="21">
        <f t="shared" ca="1" si="29"/>
        <v>-1</v>
      </c>
      <c r="D292" s="9">
        <f ca="1">D291+C292*(Prices!C292-Prices!C291)/Prices!C291</f>
        <v>0.10000342101914261</v>
      </c>
      <c r="E292" s="9">
        <f t="shared" ca="1" si="30"/>
        <v>3.8088936289554121E-2</v>
      </c>
      <c r="F292" s="9">
        <f t="shared" ca="1" si="31"/>
        <v>0.13809235730869673</v>
      </c>
      <c r="G292" s="13">
        <f ca="1">IF((Prices!C292-Prices!C291)*C292&gt;0,1,0)</f>
        <v>0</v>
      </c>
      <c r="H292" s="9">
        <f>ABS(Prices!C292-Prices!C291)/Prices!C291</f>
        <v>4.8844024747638744E-3</v>
      </c>
      <c r="I292" s="13"/>
      <c r="J292" s="1">
        <f t="shared" ca="1" si="32"/>
        <v>-1.092587095907786E-3</v>
      </c>
      <c r="K292" s="9"/>
      <c r="L292" s="9">
        <f ca="1">L291-O292*Prices!C292</f>
        <v>0.88842053582907743</v>
      </c>
      <c r="M292" s="1">
        <f t="shared" ca="1" si="33"/>
        <v>1.1423276186937437E-2</v>
      </c>
      <c r="N292" s="9">
        <f ca="1">IF(Prices!D291&gt;OFFSET(Prices!D291,-$N$3,0),1,-1)</f>
        <v>-1</v>
      </c>
      <c r="O292" s="1">
        <f ca="1">IF(N292=1,O$3*L291/Prices!C291,-O$3*M291)</f>
        <v>-1.2692529096597154E-3</v>
      </c>
      <c r="P292" s="14"/>
      <c r="Q292" s="9">
        <f ca="1">Q291-T292*Prices!C292</f>
        <v>1.0632738000148128</v>
      </c>
      <c r="R292" s="1">
        <f t="shared" ca="1" si="34"/>
        <v>9.6050333851454058E-3</v>
      </c>
      <c r="S292" s="9">
        <f ca="1">IF(Prices!C291&lt;OFFSET(Prices!C291,-S$3,0),1,-1)</f>
        <v>1</v>
      </c>
      <c r="T292" s="1">
        <f ca="1">IF(S292=1,T$3*Q291/Prices!C291,-T$3*R291)</f>
        <v>1.766658137519295E-4</v>
      </c>
      <c r="V292" s="9"/>
      <c r="W292" s="1"/>
      <c r="X292" s="1"/>
      <c r="Y292" s="1"/>
      <c r="Z292" s="1"/>
      <c r="AA292" s="1"/>
      <c r="AB292" s="1"/>
      <c r="AC292" s="1"/>
      <c r="AD292" s="1"/>
      <c r="AE292" s="16"/>
    </row>
    <row r="293" spans="1:31" x14ac:dyDescent="0.2">
      <c r="A293" s="4">
        <v>33917</v>
      </c>
      <c r="B293" s="9">
        <f ca="1">Prices!C292*(1+J293/(50*(ABS(O293)+ABS(T293)+0.0001)))</f>
        <v>125.65992710062726</v>
      </c>
      <c r="C293" s="21">
        <f t="shared" ca="1" si="29"/>
        <v>1</v>
      </c>
      <c r="D293" s="9">
        <f ca="1">D292+C293*(Prices!C293-Prices!C292)/Prices!C292</f>
        <v>0.10656531343651139</v>
      </c>
      <c r="E293" s="9">
        <f t="shared" ca="1" si="30"/>
        <v>3.1527043872185342E-2</v>
      </c>
      <c r="F293" s="9">
        <f t="shared" ca="1" si="31"/>
        <v>0.13809235730869673</v>
      </c>
      <c r="G293" s="13">
        <f ca="1">IF((Prices!C293-Prices!C292)*C293&gt;0,1,0)</f>
        <v>1</v>
      </c>
      <c r="H293" s="9">
        <f>ABS(Prices!C293-Prices!C292)/Prices!C292</f>
        <v>6.5618924173687808E-3</v>
      </c>
      <c r="I293" s="13"/>
      <c r="J293" s="1">
        <f t="shared" ca="1" si="32"/>
        <v>8.9199230057683087E-4</v>
      </c>
      <c r="K293" s="9"/>
      <c r="L293" s="9">
        <f ca="1">L292-O293*Prices!C293</f>
        <v>0.79899551024842053</v>
      </c>
      <c r="M293" s="1">
        <f t="shared" ca="1" si="33"/>
        <v>1.2142994702677131E-2</v>
      </c>
      <c r="N293" s="9">
        <f ca="1">IF(Prices!D292&gt;OFFSET(Prices!D292,-$N$3,0),1,-1)</f>
        <v>1</v>
      </c>
      <c r="O293" s="1">
        <f ca="1">IF(N293=1,O$3*L292/Prices!C292,-O$3*M292)</f>
        <v>7.1971851573969341E-4</v>
      </c>
      <c r="P293" s="14"/>
      <c r="Q293" s="9">
        <f ca="1">Q292-T293*Prices!C293</f>
        <v>1.0418687822487984</v>
      </c>
      <c r="R293" s="1">
        <f t="shared" ca="1" si="34"/>
        <v>9.7773071699825426E-3</v>
      </c>
      <c r="S293" s="9">
        <f ca="1">IF(Prices!C292&lt;OFFSET(Prices!C292,-S$3,0),1,-1)</f>
        <v>1</v>
      </c>
      <c r="T293" s="1">
        <f ca="1">IF(S293=1,T$3*Q292/Prices!C292,-T$3*R292)</f>
        <v>1.7227378483713752E-4</v>
      </c>
      <c r="V293" s="9"/>
      <c r="W293" s="1"/>
      <c r="X293" s="1"/>
      <c r="Y293" s="1"/>
      <c r="Z293" s="1"/>
      <c r="AA293" s="1"/>
      <c r="AB293" s="1"/>
      <c r="AC293" s="1"/>
      <c r="AD293" s="1"/>
      <c r="AE293" s="16"/>
    </row>
    <row r="294" spans="1:31" x14ac:dyDescent="0.2">
      <c r="A294" s="4">
        <v>33918</v>
      </c>
      <c r="B294" s="9">
        <f ca="1">Prices!C293*(1+J294/(50*(ABS(O294)+ABS(T294)+0.0001)))</f>
        <v>125.43480482793417</v>
      </c>
      <c r="C294" s="21">
        <f t="shared" ca="1" si="29"/>
        <v>1</v>
      </c>
      <c r="D294" s="9">
        <f ca="1">D293+C294*(Prices!C294-Prices!C293)/Prices!C293</f>
        <v>0.10656531343651139</v>
      </c>
      <c r="E294" s="9">
        <f t="shared" ca="1" si="30"/>
        <v>3.1527043872185342E-2</v>
      </c>
      <c r="F294" s="9">
        <f t="shared" ca="1" si="31"/>
        <v>0.13809235730869673</v>
      </c>
      <c r="G294" s="13">
        <f ca="1">IF((Prices!C294-Prices!C293)*C294&gt;0,1,0)</f>
        <v>0</v>
      </c>
      <c r="H294" s="9">
        <f>ABS(Prices!C294-Prices!C293)/Prices!C293</f>
        <v>0</v>
      </c>
      <c r="I294" s="13"/>
      <c r="J294" s="1">
        <f t="shared" ca="1" si="32"/>
        <v>4.4750859321879624E-4</v>
      </c>
      <c r="K294" s="9"/>
      <c r="L294" s="9">
        <f ca="1">L293-O294*Prices!C294</f>
        <v>0.7190959592235785</v>
      </c>
      <c r="M294" s="1">
        <f t="shared" ca="1" si="33"/>
        <v>1.2786049439295578E-2</v>
      </c>
      <c r="N294" s="9">
        <f ca="1">IF(Prices!D293&gt;OFFSET(Prices!D293,-$N$3,0),1,-1)</f>
        <v>1</v>
      </c>
      <c r="O294" s="1">
        <f ca="1">IF(N294=1,O$3*L293/Prices!C293,-O$3*M293)</f>
        <v>6.4305473661844712E-4</v>
      </c>
      <c r="P294" s="14"/>
      <c r="Q294" s="9">
        <f ca="1">Q293-T294*Prices!C294</f>
        <v>1.066165390566205</v>
      </c>
      <c r="R294" s="1">
        <f t="shared" ca="1" si="34"/>
        <v>9.5817610265828915E-3</v>
      </c>
      <c r="S294" s="9">
        <f ca="1">IF(Prices!C293&lt;OFFSET(Prices!C293,-S$3,0),1,-1)</f>
        <v>-1</v>
      </c>
      <c r="T294" s="1">
        <f ca="1">IF(S294=1,T$3*Q293/Prices!C293,-T$3*R293)</f>
        <v>-1.9554614339965085E-4</v>
      </c>
      <c r="V294" s="9"/>
      <c r="W294" s="1"/>
      <c r="X294" s="1"/>
      <c r="Y294" s="1"/>
      <c r="Z294" s="1"/>
      <c r="AA294" s="1"/>
      <c r="AB294" s="1"/>
      <c r="AC294" s="1"/>
      <c r="AD294" s="1"/>
      <c r="AE294" s="16"/>
    </row>
    <row r="295" spans="1:31" x14ac:dyDescent="0.2">
      <c r="A295" s="4">
        <v>33919</v>
      </c>
      <c r="B295" s="9">
        <f ca="1">Prices!C294*(1+J295/(50*(ABS(O295)+ABS(T295)+0.0001)))</f>
        <v>121.92325604619231</v>
      </c>
      <c r="C295" s="21">
        <f t="shared" ca="1" si="29"/>
        <v>-1</v>
      </c>
      <c r="D295" s="9">
        <f ca="1">D294+C295*(Prices!C295-Prices!C294)/Prices!C294</f>
        <v>0.10777255689727602</v>
      </c>
      <c r="E295" s="9">
        <f t="shared" ca="1" si="30"/>
        <v>3.0319800411420711E-2</v>
      </c>
      <c r="F295" s="9">
        <f t="shared" ca="1" si="31"/>
        <v>0.13809235730869673</v>
      </c>
      <c r="G295" s="13">
        <f ca="1">IF((Prices!C295-Prices!C294)*C295&gt;0,1,0)</f>
        <v>1</v>
      </c>
      <c r="H295" s="9">
        <f>ABS(Prices!C295-Prices!C294)/Prices!C294</f>
        <v>1.2072434607646332E-3</v>
      </c>
      <c r="I295" s="13"/>
      <c r="J295" s="1">
        <f t="shared" ca="1" si="32"/>
        <v>-1.4702401644612157E-3</v>
      </c>
      <c r="K295" s="9"/>
      <c r="L295" s="9">
        <f ca="1">L294-O295*Prices!C295</f>
        <v>0.8777708327652366</v>
      </c>
      <c r="M295" s="1">
        <f t="shared" ca="1" si="33"/>
        <v>1.1507444495366021E-2</v>
      </c>
      <c r="N295" s="9">
        <f ca="1">IF(Prices!D294&gt;OFFSET(Prices!D294,-$N$3,0),1,-1)</f>
        <v>-1</v>
      </c>
      <c r="O295" s="1">
        <f ca="1">IF(N295=1,O$3*L294/Prices!C294,-O$3*M294)</f>
        <v>-1.2786049439295578E-3</v>
      </c>
      <c r="P295" s="14"/>
      <c r="Q295" s="9">
        <f ca="1">Q294-T295*Prices!C295</f>
        <v>1.0899473214341837</v>
      </c>
      <c r="R295" s="1">
        <f t="shared" ca="1" si="34"/>
        <v>9.3901258060512336E-3</v>
      </c>
      <c r="S295" s="9">
        <f ca="1">IF(Prices!C294&lt;OFFSET(Prices!C294,-S$3,0),1,-1)</f>
        <v>-1</v>
      </c>
      <c r="T295" s="1">
        <f ca="1">IF(S295=1,T$3*Q294/Prices!C294,-T$3*R294)</f>
        <v>-1.9163522053165783E-4</v>
      </c>
      <c r="V295" s="9"/>
      <c r="W295" s="1"/>
      <c r="X295" s="1"/>
      <c r="Y295" s="1"/>
      <c r="Z295" s="1"/>
      <c r="AA295" s="1"/>
      <c r="AB295" s="1"/>
      <c r="AC295" s="1"/>
      <c r="AD295" s="1"/>
      <c r="AE295" s="16"/>
    </row>
    <row r="296" spans="1:31" x14ac:dyDescent="0.2">
      <c r="A296" s="4">
        <v>33920</v>
      </c>
      <c r="B296" s="9">
        <f ca="1">Prices!C295*(1+J296/(50*(ABS(O296)+ABS(T296)+0.0001)))</f>
        <v>121.79053520804342</v>
      </c>
      <c r="C296" s="21">
        <f t="shared" ca="1" si="29"/>
        <v>-1</v>
      </c>
      <c r="D296" s="9">
        <f ca="1">D295+C296*(Prices!C296-Prices!C295)/Prices!C295</f>
        <v>0.10922300008825098</v>
      </c>
      <c r="E296" s="9">
        <f t="shared" ca="1" si="30"/>
        <v>2.8869357220445757E-2</v>
      </c>
      <c r="F296" s="9">
        <f t="shared" ca="1" si="31"/>
        <v>0.13809235730869673</v>
      </c>
      <c r="G296" s="13">
        <f ca="1">IF((Prices!C296-Prices!C295)*C296&gt;0,1,0)</f>
        <v>1</v>
      </c>
      <c r="H296" s="9">
        <f>ABS(Prices!C296-Prices!C295)/Prices!C295</f>
        <v>1.4504431909749607E-3</v>
      </c>
      <c r="I296" s="13"/>
      <c r="J296" s="1">
        <f t="shared" ca="1" si="32"/>
        <v>-1.3385469656576269E-3</v>
      </c>
      <c r="K296" s="9"/>
      <c r="L296" s="9">
        <f ca="1">L295-O296*Prices!C296</f>
        <v>1.0203710849518124</v>
      </c>
      <c r="M296" s="1">
        <f t="shared" ca="1" si="33"/>
        <v>1.0356700045829418E-2</v>
      </c>
      <c r="N296" s="9">
        <f ca="1">IF(Prices!D295&gt;OFFSET(Prices!D295,-$N$3,0),1,-1)</f>
        <v>-1</v>
      </c>
      <c r="O296" s="1">
        <f ca="1">IF(N296=1,O$3*L295/Prices!C295,-O$3*M295)</f>
        <v>-1.1507444495366022E-3</v>
      </c>
      <c r="P296" s="14"/>
      <c r="Q296" s="9">
        <f ca="1">Q295-T296*Prices!C296</f>
        <v>1.113219809231901</v>
      </c>
      <c r="R296" s="1">
        <f t="shared" ca="1" si="34"/>
        <v>9.2023232899302084E-3</v>
      </c>
      <c r="S296" s="9">
        <f ca="1">IF(Prices!C295&lt;OFFSET(Prices!C295,-S$3,0),1,-1)</f>
        <v>-1</v>
      </c>
      <c r="T296" s="1">
        <f ca="1">IF(S296=1,T$3*Q295/Prices!C295,-T$3*R295)</f>
        <v>-1.8780251612102468E-4</v>
      </c>
      <c r="V296" s="9"/>
      <c r="W296" s="1"/>
      <c r="X296" s="1"/>
      <c r="Y296" s="1"/>
      <c r="Z296" s="1"/>
      <c r="AA296" s="1"/>
      <c r="AB296" s="1"/>
      <c r="AC296" s="1"/>
      <c r="AD296" s="1"/>
      <c r="AE296" s="16"/>
    </row>
    <row r="297" spans="1:31" x14ac:dyDescent="0.2">
      <c r="A297" s="4">
        <v>33921</v>
      </c>
      <c r="B297" s="9">
        <f ca="1">Prices!C296*(1+J297/(50*(ABS(O297)+ABS(T297)+0.0001)))</f>
        <v>121.62939791384156</v>
      </c>
      <c r="C297" s="21">
        <f t="shared" ca="1" si="29"/>
        <v>-1</v>
      </c>
      <c r="D297" s="9">
        <f ca="1">D296+C297*(Prices!C297-Prices!C296)/Prices!C296</f>
        <v>0.10833533062408054</v>
      </c>
      <c r="E297" s="9">
        <f t="shared" ca="1" si="30"/>
        <v>2.9757026684616189E-2</v>
      </c>
      <c r="F297" s="9">
        <f t="shared" ca="1" si="31"/>
        <v>0.13809235730869673</v>
      </c>
      <c r="G297" s="13">
        <f ca="1">IF((Prices!C297-Prices!C296)*C297&gt;0,1,0)</f>
        <v>0</v>
      </c>
      <c r="H297" s="9">
        <f>ABS(Prices!C297-Prices!C296)/Prices!C296</f>
        <v>8.876694641704279E-4</v>
      </c>
      <c r="I297" s="13"/>
      <c r="J297" s="1">
        <f t="shared" ca="1" si="32"/>
        <v>-1.219716470381546E-3</v>
      </c>
      <c r="K297" s="9"/>
      <c r="L297" s="9">
        <f ca="1">L296-O297*Prices!C297</f>
        <v>1.1488252356202346</v>
      </c>
      <c r="M297" s="1">
        <f t="shared" ca="1" si="33"/>
        <v>9.321030041246476E-3</v>
      </c>
      <c r="N297" s="9">
        <f ca="1">IF(Prices!D296&gt;OFFSET(Prices!D296,-$N$3,0),1,-1)</f>
        <v>-1</v>
      </c>
      <c r="O297" s="1">
        <f ca="1">IF(N297=1,O$3*L296/Prices!C296,-O$3*M296)</f>
        <v>-1.0356700045829419E-3</v>
      </c>
      <c r="P297" s="14"/>
      <c r="Q297" s="9">
        <f ca="1">Q296-T297*Prices!C297</f>
        <v>1.136047092384902</v>
      </c>
      <c r="R297" s="1">
        <f t="shared" ca="1" si="34"/>
        <v>9.0182768241316037E-3</v>
      </c>
      <c r="S297" s="9">
        <f ca="1">IF(Prices!C296&lt;OFFSET(Prices!C296,-S$3,0),1,-1)</f>
        <v>-1</v>
      </c>
      <c r="T297" s="1">
        <f ca="1">IF(S297=1,T$3*Q296/Prices!C296,-T$3*R296)</f>
        <v>-1.8404646579860416E-4</v>
      </c>
      <c r="V297" s="9"/>
      <c r="W297" s="1"/>
      <c r="X297" s="1"/>
      <c r="Y297" s="1"/>
      <c r="Z297" s="1"/>
      <c r="AA297" s="1"/>
      <c r="AB297" s="1"/>
      <c r="AC297" s="1"/>
      <c r="AD297" s="1"/>
      <c r="AE297" s="16"/>
    </row>
    <row r="298" spans="1:31" x14ac:dyDescent="0.2">
      <c r="A298" s="4">
        <v>33924</v>
      </c>
      <c r="B298" s="9">
        <f ca="1">Prices!C297*(1+J298/(50*(ABS(O298)+ABS(T298)+0.0001)))</f>
        <v>122.50135030648271</v>
      </c>
      <c r="C298" s="21">
        <f t="shared" ca="1" si="29"/>
        <v>-1</v>
      </c>
      <c r="D298" s="9">
        <f ca="1">D297+C298*(Prices!C298-Prices!C297)/Prices!C297</f>
        <v>0.10228840649282198</v>
      </c>
      <c r="E298" s="9">
        <f t="shared" ca="1" si="30"/>
        <v>3.5803950815874758E-2</v>
      </c>
      <c r="F298" s="9">
        <f t="shared" ca="1" si="31"/>
        <v>0.13809235730869673</v>
      </c>
      <c r="G298" s="13">
        <f ca="1">IF((Prices!C298-Prices!C297)*C298&gt;0,1,0)</f>
        <v>0</v>
      </c>
      <c r="H298" s="9">
        <f>ABS(Prices!C298-Prices!C297)/Prices!C297</f>
        <v>6.046924131258566E-3</v>
      </c>
      <c r="I298" s="13"/>
      <c r="J298" s="1">
        <f t="shared" ca="1" si="32"/>
        <v>-7.4891392206629043E-4</v>
      </c>
      <c r="K298" s="9"/>
      <c r="L298" s="9">
        <f ca="1">L297-O298*Prices!C298</f>
        <v>1.2651330484749082</v>
      </c>
      <c r="M298" s="1">
        <f t="shared" ca="1" si="33"/>
        <v>8.3889270371218291E-3</v>
      </c>
      <c r="N298" s="9">
        <f ca="1">IF(Prices!D297&gt;OFFSET(Prices!D297,-$N$3,0),1,-1)</f>
        <v>-1</v>
      </c>
      <c r="O298" s="1">
        <f ca="1">IF(N298=1,O$3*L297/Prices!C297,-O$3*M297)</f>
        <v>-9.3210300412464766E-4</v>
      </c>
      <c r="P298" s="14"/>
      <c r="Q298" s="9">
        <f ca="1">Q297-T298*Prices!C298</f>
        <v>1.1131887587256601</v>
      </c>
      <c r="R298" s="1">
        <f t="shared" ca="1" si="34"/>
        <v>9.2014659061899606E-3</v>
      </c>
      <c r="S298" s="9">
        <f ca="1">IF(Prices!C297&lt;OFFSET(Prices!C297,-S$3,0),1,-1)</f>
        <v>1</v>
      </c>
      <c r="T298" s="1">
        <f ca="1">IF(S298=1,T$3*Q297/Prices!C297,-T$3*R297)</f>
        <v>1.8318908205835718E-4</v>
      </c>
      <c r="V298" s="9"/>
      <c r="W298" s="1"/>
      <c r="X298" s="1"/>
      <c r="Y298" s="1"/>
      <c r="Z298" s="1"/>
      <c r="AA298" s="1"/>
      <c r="AB298" s="1"/>
      <c r="AC298" s="1"/>
      <c r="AD298" s="1"/>
      <c r="AE298" s="16"/>
    </row>
    <row r="299" spans="1:31" x14ac:dyDescent="0.2">
      <c r="A299" s="4">
        <v>33925</v>
      </c>
      <c r="B299" s="9">
        <f ca="1">Prices!C298*(1+J299/(50*(ABS(O299)+ABS(T299)+0.0001)))</f>
        <v>126.37563162887693</v>
      </c>
      <c r="C299" s="21">
        <f t="shared" ca="1" si="29"/>
        <v>1</v>
      </c>
      <c r="D299" s="9">
        <f ca="1">D298+C299*(Prices!C299-Prices!C298)/Prices!C298</f>
        <v>9.8842341418290749E-2</v>
      </c>
      <c r="E299" s="9">
        <f t="shared" ca="1" si="30"/>
        <v>3.9250015890405984E-2</v>
      </c>
      <c r="F299" s="9">
        <f t="shared" ca="1" si="31"/>
        <v>0.13809235730869673</v>
      </c>
      <c r="G299" s="13">
        <f ca="1">IF((Prices!C299-Prices!C298)*C299&gt;0,1,0)</f>
        <v>0</v>
      </c>
      <c r="H299" s="9">
        <f>ABS(Prices!C299-Prices!C298)/Prices!C298</f>
        <v>3.4460650745312296E-3</v>
      </c>
      <c r="I299" s="13"/>
      <c r="J299" s="1">
        <f t="shared" ca="1" si="32"/>
        <v>8.2986156861679069E-4</v>
      </c>
      <c r="K299" s="9"/>
      <c r="L299" s="9">
        <f ca="1">L298-O299*Prices!C299</f>
        <v>1.1390557167087159</v>
      </c>
      <c r="M299" s="1">
        <f t="shared" ca="1" si="33"/>
        <v>9.4028179238624197E-3</v>
      </c>
      <c r="N299" s="9">
        <f ca="1">IF(Prices!D298&gt;OFFSET(Prices!D298,-$N$3,0),1,-1)</f>
        <v>1</v>
      </c>
      <c r="O299" s="1">
        <f ca="1">IF(N299=1,O$3*L298/Prices!C298,-O$3*M298)</f>
        <v>1.01389088674059E-3</v>
      </c>
      <c r="P299" s="14"/>
      <c r="Q299" s="9">
        <f ca="1">Q298-T299*Prices!C299</f>
        <v>1.1360728044343547</v>
      </c>
      <c r="R299" s="1">
        <f t="shared" ca="1" si="34"/>
        <v>9.0174365880661619E-3</v>
      </c>
      <c r="S299" s="9">
        <f ca="1">IF(Prices!C298&lt;OFFSET(Prices!C298,-S$3,0),1,-1)</f>
        <v>-1</v>
      </c>
      <c r="T299" s="1">
        <f ca="1">IF(S299=1,T$3*Q298/Prices!C298,-T$3*R298)</f>
        <v>-1.8402931812379922E-4</v>
      </c>
      <c r="V299" s="9"/>
      <c r="W299" s="1"/>
      <c r="X299" s="1"/>
      <c r="Y299" s="1"/>
      <c r="Z299" s="1"/>
      <c r="AA299" s="1"/>
      <c r="AB299" s="1"/>
      <c r="AC299" s="1"/>
      <c r="AD299" s="1"/>
      <c r="AE299" s="16"/>
    </row>
    <row r="300" spans="1:31" x14ac:dyDescent="0.2">
      <c r="A300" s="4">
        <v>33926</v>
      </c>
      <c r="B300" s="9">
        <f ca="1">Prices!C299*(1+J300/(50*(ABS(O300)+ABS(T300)+0.0001)))</f>
        <v>125.87929671677692</v>
      </c>
      <c r="C300" s="21">
        <f t="shared" ca="1" si="29"/>
        <v>1</v>
      </c>
      <c r="D300" s="9">
        <f ca="1">D299+C300*(Prices!C300-Prices!C299)/Prices!C299</f>
        <v>9.401725094784448E-2</v>
      </c>
      <c r="E300" s="9">
        <f t="shared" ca="1" si="30"/>
        <v>4.4075106360852254E-2</v>
      </c>
      <c r="F300" s="9">
        <f t="shared" ca="1" si="31"/>
        <v>0.13809235730869673</v>
      </c>
      <c r="G300" s="13">
        <f ca="1">IF((Prices!C300-Prices!C299)*C300&gt;0,1,0)</f>
        <v>0</v>
      </c>
      <c r="H300" s="9">
        <f>ABS(Prices!C300-Prices!C299)/Prices!C299</f>
        <v>4.8250904704462754E-3</v>
      </c>
      <c r="I300" s="13"/>
      <c r="J300" s="1">
        <f t="shared" ca="1" si="32"/>
        <v>7.3565908223844831E-4</v>
      </c>
      <c r="K300" s="9"/>
      <c r="L300" s="9">
        <f ca="1">L299-O300*Prices!C300</f>
        <v>1.0256997497262441</v>
      </c>
      <c r="M300" s="1">
        <f t="shared" ca="1" si="33"/>
        <v>1.0318825737862192E-2</v>
      </c>
      <c r="N300" s="9">
        <f ca="1">IF(Prices!D299&gt;OFFSET(Prices!D299,-$N$3,0),1,-1)</f>
        <v>1</v>
      </c>
      <c r="O300" s="1">
        <f ca="1">IF(N300=1,O$3*L299/Prices!C299,-O$3*M299)</f>
        <v>9.160078139997716E-4</v>
      </c>
      <c r="P300" s="14"/>
      <c r="Q300" s="9">
        <f ca="1">Q299-T300*Prices!C300</f>
        <v>1.1583909599898183</v>
      </c>
      <c r="R300" s="1">
        <f t="shared" ca="1" si="34"/>
        <v>8.8370878563048382E-3</v>
      </c>
      <c r="S300" s="9">
        <f ca="1">IF(Prices!C299&lt;OFFSET(Prices!C299,-S$3,0),1,-1)</f>
        <v>-1</v>
      </c>
      <c r="T300" s="1">
        <f ca="1">IF(S300=1,T$3*Q299/Prices!C299,-T$3*R299)</f>
        <v>-1.8034873176132324E-4</v>
      </c>
      <c r="V300" s="9"/>
      <c r="W300" s="1"/>
      <c r="X300" s="1"/>
      <c r="Y300" s="1"/>
      <c r="Z300" s="1"/>
      <c r="AA300" s="1"/>
      <c r="AB300" s="1"/>
      <c r="AC300" s="1"/>
      <c r="AD300" s="1"/>
      <c r="AE300" s="16"/>
    </row>
    <row r="301" spans="1:31" x14ac:dyDescent="0.2">
      <c r="A301" s="4">
        <v>33927</v>
      </c>
      <c r="B301" s="9">
        <f ca="1">Prices!C300*(1+J301/(50*(ABS(O301)+ABS(T301)+0.0001)))</f>
        <v>122.16516389525502</v>
      </c>
      <c r="C301" s="21">
        <f t="shared" ca="1" si="29"/>
        <v>-1</v>
      </c>
      <c r="D301" s="9">
        <f ca="1">D300+C301*(Prices!C301-Prices!C300)/Prices!C300</f>
        <v>9.6199069129662626E-2</v>
      </c>
      <c r="E301" s="9">
        <f t="shared" ca="1" si="30"/>
        <v>4.1893288179034108E-2</v>
      </c>
      <c r="F301" s="9">
        <f t="shared" ca="1" si="31"/>
        <v>0.13809235730869673</v>
      </c>
      <c r="G301" s="13">
        <f ca="1">IF((Prices!C301-Prices!C300)*C301&gt;0,1,0)</f>
        <v>1</v>
      </c>
      <c r="H301" s="9">
        <f>ABS(Prices!C301-Prices!C300)/Prices!C300</f>
        <v>2.1818181818181498E-3</v>
      </c>
      <c r="I301" s="13"/>
      <c r="J301" s="1">
        <f t="shared" ca="1" si="32"/>
        <v>-8.4466787318180421E-4</v>
      </c>
      <c r="K301" s="9"/>
      <c r="L301" s="9">
        <f ca="1">L300-O301*Prices!C301</f>
        <v>1.1531166099373664</v>
      </c>
      <c r="M301" s="1">
        <f t="shared" ca="1" si="33"/>
        <v>9.2869431640759722E-3</v>
      </c>
      <c r="N301" s="9">
        <f ca="1">IF(Prices!D300&gt;OFFSET(Prices!D300,-$N$3,0),1,-1)</f>
        <v>-1</v>
      </c>
      <c r="O301" s="1">
        <f ca="1">IF(N301=1,O$3*L300/Prices!C300,-O$3*M300)</f>
        <v>-1.0318825737862193E-3</v>
      </c>
      <c r="P301" s="14"/>
      <c r="Q301" s="9">
        <f ca="1">Q300-T301*Prices!C301</f>
        <v>1.1352736887591852</v>
      </c>
      <c r="R301" s="1">
        <f t="shared" ca="1" si="34"/>
        <v>9.0243025569092528E-3</v>
      </c>
      <c r="S301" s="9">
        <f ca="1">IF(Prices!C300&lt;OFFSET(Prices!C300,-S$3,0),1,-1)</f>
        <v>1</v>
      </c>
      <c r="T301" s="1">
        <f ca="1">IF(S301=1,T$3*Q300/Prices!C300,-T$3*R300)</f>
        <v>1.8721470060441509E-4</v>
      </c>
      <c r="V301" s="9"/>
      <c r="W301" s="1"/>
      <c r="X301" s="1"/>
      <c r="Y301" s="1"/>
      <c r="Z301" s="1"/>
      <c r="AA301" s="1"/>
      <c r="AB301" s="1"/>
      <c r="AC301" s="1"/>
      <c r="AD301" s="1"/>
      <c r="AE301" s="16"/>
    </row>
    <row r="302" spans="1:31" x14ac:dyDescent="0.2">
      <c r="A302" s="4">
        <v>33928</v>
      </c>
      <c r="B302" s="9">
        <f ca="1">Prices!C301*(1+J302/(50*(ABS(O302)+ABS(T302)+0.0001)))</f>
        <v>121.96306669945183</v>
      </c>
      <c r="C302" s="21">
        <f t="shared" ca="1" si="29"/>
        <v>-1</v>
      </c>
      <c r="D302" s="9">
        <f ca="1">D301+C302*(Prices!C302-Prices!C301)/Prices!C301</f>
        <v>8.9315363266364967E-2</v>
      </c>
      <c r="E302" s="9">
        <f t="shared" ca="1" si="30"/>
        <v>4.8776994042331767E-2</v>
      </c>
      <c r="F302" s="9">
        <f t="shared" ca="1" si="31"/>
        <v>0.13809235730869673</v>
      </c>
      <c r="G302" s="13">
        <f ca="1">IF((Prices!C302-Prices!C301)*C302&gt;0,1,0)</f>
        <v>0</v>
      </c>
      <c r="H302" s="9">
        <f>ABS(Prices!C302-Prices!C301)/Prices!C301</f>
        <v>6.8837058632976534E-3</v>
      </c>
      <c r="I302" s="13"/>
      <c r="J302" s="1">
        <f t="shared" ca="1" si="32"/>
        <v>-7.4481454822502755E-4</v>
      </c>
      <c r="K302" s="9"/>
      <c r="L302" s="9">
        <f ca="1">L301-O302*Prices!C302</f>
        <v>1.2685811742963229</v>
      </c>
      <c r="M302" s="1">
        <f t="shared" ca="1" si="33"/>
        <v>8.3582488476683751E-3</v>
      </c>
      <c r="N302" s="9">
        <f ca="1">IF(Prices!D301&gt;OFFSET(Prices!D301,-$N$3,0),1,-1)</f>
        <v>-1</v>
      </c>
      <c r="O302" s="1">
        <f ca="1">IF(N302=1,O$3*L301/Prices!C301,-O$3*M301)</f>
        <v>-9.2869431640759726E-4</v>
      </c>
      <c r="P302" s="14"/>
      <c r="Q302" s="9">
        <f ca="1">Q301-T302*Prices!C302</f>
        <v>1.1124119171810463</v>
      </c>
      <c r="R302" s="1">
        <f t="shared" ca="1" si="34"/>
        <v>9.208182325091822E-3</v>
      </c>
      <c r="S302" s="9">
        <f ca="1">IF(Prices!C301&lt;OFFSET(Prices!C301,-S$3,0),1,-1)</f>
        <v>1</v>
      </c>
      <c r="T302" s="1">
        <f ca="1">IF(S302=1,T$3*Q301/Prices!C301,-T$3*R301)</f>
        <v>1.8387976818256968E-4</v>
      </c>
      <c r="V302" s="9"/>
      <c r="W302" s="1"/>
      <c r="X302" s="1"/>
      <c r="Y302" s="1"/>
      <c r="Z302" s="1"/>
      <c r="AA302" s="1"/>
      <c r="AB302" s="1"/>
      <c r="AC302" s="1"/>
      <c r="AD302" s="1"/>
      <c r="AE302" s="16"/>
    </row>
    <row r="303" spans="1:31" x14ac:dyDescent="0.2">
      <c r="A303" s="4">
        <v>33931</v>
      </c>
      <c r="B303" s="9">
        <f ca="1">Prices!C302*(1+J303/(50*(ABS(O303)+ABS(T303)+0.0001)))</f>
        <v>126.62521693020867</v>
      </c>
      <c r="C303" s="21">
        <f t="shared" ca="1" si="29"/>
        <v>1</v>
      </c>
      <c r="D303" s="9">
        <f ca="1">D302+C303*(Prices!C303-Prices!C302)/Prices!C302</f>
        <v>8.7706741051292156E-2</v>
      </c>
      <c r="E303" s="9">
        <f t="shared" ca="1" si="30"/>
        <v>5.0385616257404578E-2</v>
      </c>
      <c r="F303" s="9">
        <f t="shared" ca="1" si="31"/>
        <v>0.13809235730869673</v>
      </c>
      <c r="G303" s="13">
        <f ca="1">IF((Prices!C303-Prices!C302)*C303&gt;0,1,0)</f>
        <v>0</v>
      </c>
      <c r="H303" s="9">
        <f>ABS(Prices!C303-Prices!C302)/Prices!C302</f>
        <v>1.6086222150728129E-3</v>
      </c>
      <c r="I303" s="13"/>
      <c r="J303" s="1">
        <f t="shared" ca="1" si="32"/>
        <v>1.1992789815270105E-3</v>
      </c>
      <c r="K303" s="9"/>
      <c r="L303" s="9">
        <f ca="1">L302-O303*Prices!C303</f>
        <v>1.1419271236525503</v>
      </c>
      <c r="M303" s="1">
        <f t="shared" ca="1" si="33"/>
        <v>9.378582776966472E-3</v>
      </c>
      <c r="N303" s="9">
        <f ca="1">IF(Prices!D302&gt;OFFSET(Prices!D302,-$N$3,0),1,-1)</f>
        <v>1</v>
      </c>
      <c r="O303" s="1">
        <f ca="1">IF(N303=1,O$3*L302/Prices!C302,-O$3*M302)</f>
        <v>1.0203339292980962E-3</v>
      </c>
      <c r="P303" s="14"/>
      <c r="Q303" s="9">
        <f ca="1">Q302-T303*Prices!C303</f>
        <v>1.090199467847871</v>
      </c>
      <c r="R303" s="1">
        <f t="shared" ca="1" si="34"/>
        <v>9.3871273773207357E-3</v>
      </c>
      <c r="S303" s="9">
        <f ca="1">IF(Prices!C302&lt;OFFSET(Prices!C302,-S$3,0),1,-1)</f>
        <v>1</v>
      </c>
      <c r="T303" s="1">
        <f ca="1">IF(S303=1,T$3*Q302/Prices!C302,-T$3*R302)</f>
        <v>1.7894505222891441E-4</v>
      </c>
      <c r="V303" s="9"/>
      <c r="W303" s="1"/>
      <c r="X303" s="1"/>
      <c r="Y303" s="1"/>
      <c r="Z303" s="1"/>
      <c r="AA303" s="1"/>
      <c r="AB303" s="1"/>
      <c r="AC303" s="1"/>
      <c r="AD303" s="1"/>
      <c r="AE303" s="16"/>
    </row>
    <row r="304" spans="1:31" x14ac:dyDescent="0.2">
      <c r="A304" s="4">
        <v>33932</v>
      </c>
      <c r="B304" s="9">
        <f ca="1">Prices!C303*(1+J304/(50*(ABS(O304)+ABS(T304)+0.0001)))</f>
        <v>126.4049551260976</v>
      </c>
      <c r="C304" s="21">
        <f t="shared" ca="1" si="29"/>
        <v>1</v>
      </c>
      <c r="D304" s="9">
        <f ca="1">D303+C304*(Prices!C304-Prices!C303)/Prices!C303</f>
        <v>8.5692723489059014E-2</v>
      </c>
      <c r="E304" s="9">
        <f t="shared" ca="1" si="30"/>
        <v>5.239963381963772E-2</v>
      </c>
      <c r="F304" s="9">
        <f t="shared" ca="1" si="31"/>
        <v>0.13809235730869673</v>
      </c>
      <c r="G304" s="13">
        <f ca="1">IF((Prices!C304-Prices!C303)*C304&gt;0,1,0)</f>
        <v>0</v>
      </c>
      <c r="H304" s="9">
        <f>ABS(Prices!C304-Prices!C303)/Prices!C303</f>
        <v>2.0140175622331427E-3</v>
      </c>
      <c r="I304" s="13"/>
      <c r="J304" s="1">
        <f t="shared" ca="1" si="32"/>
        <v>1.0955989826972727E-3</v>
      </c>
      <c r="K304" s="9"/>
      <c r="L304" s="9">
        <f ca="1">L303-O304*Prices!C304</f>
        <v>1.027964397415478</v>
      </c>
      <c r="M304" s="1">
        <f t="shared" ca="1" si="33"/>
        <v>1.0298527289697117E-2</v>
      </c>
      <c r="N304" s="9">
        <f ca="1">IF(Prices!D303&gt;OFFSET(Prices!D303,-$N$3,0),1,-1)</f>
        <v>1</v>
      </c>
      <c r="O304" s="1">
        <f ca="1">IF(N304=1,O$3*L303/Prices!C303,-O$3*M303)</f>
        <v>9.1994451273064561E-4</v>
      </c>
      <c r="P304" s="14"/>
      <c r="Q304" s="9">
        <f ca="1">Q303-T304*Prices!C304</f>
        <v>1.0684393921084052</v>
      </c>
      <c r="R304" s="1">
        <f t="shared" ca="1" si="34"/>
        <v>9.5627818472873629E-3</v>
      </c>
      <c r="S304" s="9">
        <f ca="1">IF(Prices!C303&lt;OFFSET(Prices!C303,-S$3,0),1,-1)</f>
        <v>1</v>
      </c>
      <c r="T304" s="1">
        <f ca="1">IF(S304=1,T$3*Q303/Prices!C303,-T$3*R303)</f>
        <v>1.7565446996662711E-4</v>
      </c>
      <c r="V304" s="9"/>
      <c r="W304" s="1"/>
      <c r="X304" s="1"/>
      <c r="Y304" s="1"/>
      <c r="Z304" s="1"/>
      <c r="AA304" s="1"/>
      <c r="AB304" s="1"/>
      <c r="AC304" s="1"/>
      <c r="AD304" s="1"/>
      <c r="AE304" s="16"/>
    </row>
    <row r="305" spans="1:31" x14ac:dyDescent="0.2">
      <c r="A305" s="4">
        <v>33933</v>
      </c>
      <c r="B305" s="9">
        <f ca="1">Prices!C304*(1+J305/(50*(ABS(O305)+ABS(T305)+0.0001)))</f>
        <v>121.58993949819121</v>
      </c>
      <c r="C305" s="21">
        <f t="shared" ca="1" si="29"/>
        <v>-1</v>
      </c>
      <c r="D305" s="9">
        <f ca="1">D304+C305*(Prices!C305-Prices!C304)/Prices!C304</f>
        <v>8.6580679575594371E-2</v>
      </c>
      <c r="E305" s="9">
        <f t="shared" ca="1" si="30"/>
        <v>5.1511677733102362E-2</v>
      </c>
      <c r="F305" s="9">
        <f t="shared" ca="1" si="31"/>
        <v>0.13809235730869673</v>
      </c>
      <c r="G305" s="13">
        <f ca="1">IF((Prices!C305-Prices!C304)*C305&gt;0,1,0)</f>
        <v>1</v>
      </c>
      <c r="H305" s="9">
        <f>ABS(Prices!C305-Prices!C304)/Prices!C304</f>
        <v>8.879560865353522E-4</v>
      </c>
      <c r="I305" s="13"/>
      <c r="J305" s="1">
        <f t="shared" ca="1" si="32"/>
        <v>-1.221108365915459E-3</v>
      </c>
      <c r="K305" s="9"/>
      <c r="L305" s="9">
        <f ca="1">L304-O305*Prices!C305</f>
        <v>1.1554292696800592</v>
      </c>
      <c r="M305" s="1">
        <f t="shared" ca="1" si="33"/>
        <v>9.2686745607274048E-3</v>
      </c>
      <c r="N305" s="9">
        <f ca="1">IF(Prices!D304&gt;OFFSET(Prices!D304,-$N$3,0),1,-1)</f>
        <v>-1</v>
      </c>
      <c r="O305" s="1">
        <f ca="1">IF(N305=1,O$3*L304/Prices!C304,-O$3*M304)</f>
        <v>-1.0298527289697118E-3</v>
      </c>
      <c r="P305" s="14"/>
      <c r="Q305" s="9">
        <f ca="1">Q304-T305*Prices!C305</f>
        <v>1.0921111022931804</v>
      </c>
      <c r="R305" s="1">
        <f t="shared" ca="1" si="34"/>
        <v>9.3715262103416155E-3</v>
      </c>
      <c r="S305" s="9">
        <f ca="1">IF(Prices!C304&lt;OFFSET(Prices!C304,-S$3,0),1,-1)</f>
        <v>-1</v>
      </c>
      <c r="T305" s="1">
        <f ca="1">IF(S305=1,T$3*Q304/Prices!C304,-T$3*R304)</f>
        <v>-1.9125563694574727E-4</v>
      </c>
      <c r="V305" s="9"/>
      <c r="W305" s="1"/>
      <c r="X305" s="1"/>
      <c r="Y305" s="1"/>
      <c r="Z305" s="1"/>
      <c r="AA305" s="1"/>
      <c r="AB305" s="1"/>
      <c r="AC305" s="1"/>
      <c r="AD305" s="1"/>
      <c r="AE305" s="16"/>
    </row>
    <row r="306" spans="1:31" x14ac:dyDescent="0.2">
      <c r="A306" s="4">
        <v>33934</v>
      </c>
      <c r="B306" s="9">
        <f ca="1">Prices!C305*(1+J306/(50*(ABS(O306)+ABS(T306)+0.0001)))</f>
        <v>121.49845441137191</v>
      </c>
      <c r="C306" s="21">
        <f t="shared" ca="1" si="29"/>
        <v>-1</v>
      </c>
      <c r="D306" s="9">
        <f ca="1">D305+C306*(Prices!C306-Prices!C305)/Prices!C305</f>
        <v>8.3510468700584192E-2</v>
      </c>
      <c r="E306" s="9">
        <f t="shared" ca="1" si="30"/>
        <v>5.4581888608112542E-2</v>
      </c>
      <c r="F306" s="9">
        <f t="shared" ca="1" si="31"/>
        <v>0.13809235730869673</v>
      </c>
      <c r="G306" s="13">
        <f ca="1">IF((Prices!C306-Prices!C305)*C306&gt;0,1,0)</f>
        <v>0</v>
      </c>
      <c r="H306" s="9">
        <f>ABS(Prices!C306-Prices!C305)/Prices!C305</f>
        <v>3.0702108750101775E-3</v>
      </c>
      <c r="I306" s="13"/>
      <c r="J306" s="1">
        <f t="shared" ca="1" si="32"/>
        <v>-1.1142979802795728E-3</v>
      </c>
      <c r="K306" s="9"/>
      <c r="L306" s="9">
        <f ca="1">L305-O306*Prices!C306</f>
        <v>1.27049986435149</v>
      </c>
      <c r="M306" s="1">
        <f t="shared" ca="1" si="33"/>
        <v>8.3418071046546648E-3</v>
      </c>
      <c r="N306" s="9">
        <f ca="1">IF(Prices!D305&gt;OFFSET(Prices!D305,-$N$3,0),1,-1)</f>
        <v>-1</v>
      </c>
      <c r="O306" s="1">
        <f ca="1">IF(N306=1,O$3*L305/Prices!C305,-O$3*M305)</f>
        <v>-9.268674560727405E-4</v>
      </c>
      <c r="P306" s="14"/>
      <c r="Q306" s="9">
        <f ca="1">Q305-T306*Prices!C306</f>
        <v>1.1153806018734587</v>
      </c>
      <c r="R306" s="1">
        <f t="shared" ca="1" si="34"/>
        <v>9.1840956861347824E-3</v>
      </c>
      <c r="S306" s="9">
        <f ca="1">IF(Prices!C305&lt;OFFSET(Prices!C305,-S$3,0),1,-1)</f>
        <v>-1</v>
      </c>
      <c r="T306" s="1">
        <f ca="1">IF(S306=1,T$3*Q305/Prices!C305,-T$3*R305)</f>
        <v>-1.8743052420683231E-4</v>
      </c>
      <c r="V306" s="9"/>
      <c r="W306" s="1"/>
      <c r="X306" s="1"/>
      <c r="Y306" s="1"/>
      <c r="Z306" s="1"/>
      <c r="AA306" s="1"/>
      <c r="AB306" s="1"/>
      <c r="AC306" s="1"/>
      <c r="AD306" s="1"/>
      <c r="AE306" s="16"/>
    </row>
    <row r="307" spans="1:31" x14ac:dyDescent="0.2">
      <c r="A307" s="4">
        <v>33935</v>
      </c>
      <c r="B307" s="9">
        <f ca="1">Prices!C306*(1+J307/(50*(ABS(O307)+ABS(T307)+0.0001)))</f>
        <v>126.442445819063</v>
      </c>
      <c r="C307" s="21">
        <f t="shared" ca="1" si="29"/>
        <v>1</v>
      </c>
      <c r="D307" s="9">
        <f ca="1">D306+C307*(Prices!C307-Prices!C306)/Prices!C306</f>
        <v>8.5926900436387635E-2</v>
      </c>
      <c r="E307" s="9">
        <f t="shared" ca="1" si="30"/>
        <v>5.2165456872309099E-2</v>
      </c>
      <c r="F307" s="9">
        <f t="shared" ca="1" si="31"/>
        <v>0.13809235730869673</v>
      </c>
      <c r="G307" s="13">
        <f ca="1">IF((Prices!C307-Prices!C306)*C307&gt;0,1,0)</f>
        <v>1</v>
      </c>
      <c r="H307" s="9">
        <f>ABS(Prices!C307-Prices!C306)/Prices!C306</f>
        <v>2.4164317358034404E-3</v>
      </c>
      <c r="I307" s="13"/>
      <c r="J307" s="1">
        <f t="shared" ca="1" si="32"/>
        <v>1.2030414697754184E-3</v>
      </c>
      <c r="K307" s="9"/>
      <c r="L307" s="9">
        <f ca="1">L306-O307*Prices!C307</f>
        <v>1.1431428702970856</v>
      </c>
      <c r="M307" s="1">
        <f t="shared" ca="1" si="33"/>
        <v>9.3651658355056438E-3</v>
      </c>
      <c r="N307" s="9">
        <f ca="1">IF(Prices!D306&gt;OFFSET(Prices!D306,-$N$3,0),1,-1)</f>
        <v>1</v>
      </c>
      <c r="O307" s="1">
        <f ca="1">IF(N307=1,O$3*L306/Prices!C306,-O$3*M306)</f>
        <v>1.0233587308509787E-3</v>
      </c>
      <c r="P307" s="14"/>
      <c r="Q307" s="9">
        <f ca="1">Q306-T307*Prices!C307</f>
        <v>1.0930190850143122</v>
      </c>
      <c r="R307" s="1">
        <f t="shared" ca="1" si="34"/>
        <v>9.3637784250592219E-3</v>
      </c>
      <c r="S307" s="9">
        <f ca="1">IF(Prices!C306&lt;OFFSET(Prices!C306,-S$3,0),1,-1)</f>
        <v>1</v>
      </c>
      <c r="T307" s="1">
        <f ca="1">IF(S307=1,T$3*Q306/Prices!C306,-T$3*R306)</f>
        <v>1.7968273892443959E-4</v>
      </c>
      <c r="V307" s="9"/>
      <c r="W307" s="1"/>
      <c r="X307" s="1"/>
      <c r="Y307" s="1"/>
      <c r="Z307" s="1"/>
      <c r="AA307" s="1"/>
      <c r="AB307" s="1"/>
      <c r="AC307" s="1"/>
      <c r="AD307" s="1"/>
      <c r="AE307" s="16"/>
    </row>
    <row r="308" spans="1:31" x14ac:dyDescent="0.2">
      <c r="A308" s="4">
        <v>33938</v>
      </c>
      <c r="B308" s="9">
        <f ca="1">Prices!C307*(1+J308/(50*(ABS(O308)+ABS(T308)+0.0001)))</f>
        <v>125.95946200539936</v>
      </c>
      <c r="C308" s="21">
        <f t="shared" ca="1" si="29"/>
        <v>1</v>
      </c>
      <c r="D308" s="9">
        <f ca="1">D307+C308*(Prices!C308-Prices!C307)/Prices!C307</f>
        <v>8.8337507105732724E-2</v>
      </c>
      <c r="E308" s="9">
        <f t="shared" ca="1" si="30"/>
        <v>4.975485020296401E-2</v>
      </c>
      <c r="F308" s="9">
        <f t="shared" ca="1" si="31"/>
        <v>0.13809235730869673</v>
      </c>
      <c r="G308" s="13">
        <f ca="1">IF((Prices!C308-Prices!C307)*C308&gt;0,1,0)</f>
        <v>1</v>
      </c>
      <c r="H308" s="9">
        <f>ABS(Prices!C308-Prices!C307)/Prices!C307</f>
        <v>2.4106066693450954E-3</v>
      </c>
      <c r="I308" s="13"/>
      <c r="J308" s="1">
        <f t="shared" ca="1" si="32"/>
        <v>7.3128037388297434E-4</v>
      </c>
      <c r="K308" s="9"/>
      <c r="L308" s="9">
        <f ca="1">L307-O308*Prices!C308</f>
        <v>1.0285530164846617</v>
      </c>
      <c r="M308" s="1">
        <f t="shared" ca="1" si="33"/>
        <v>1.0283721777889802E-2</v>
      </c>
      <c r="N308" s="9">
        <f ca="1">IF(Prices!D307&gt;OFFSET(Prices!D307,-$N$3,0),1,-1)</f>
        <v>1</v>
      </c>
      <c r="O308" s="1">
        <f ca="1">IF(N308=1,O$3*L307/Prices!C307,-O$3*M307)</f>
        <v>9.1855594238415882E-4</v>
      </c>
      <c r="P308" s="14"/>
      <c r="Q308" s="9">
        <f ca="1">Q307-T308*Prices!C308</f>
        <v>1.116381712184835</v>
      </c>
      <c r="R308" s="1">
        <f t="shared" ca="1" si="34"/>
        <v>9.1765028565580376E-3</v>
      </c>
      <c r="S308" s="9">
        <f ca="1">IF(Prices!C307&lt;OFFSET(Prices!C307,-S$3,0),1,-1)</f>
        <v>-1</v>
      </c>
      <c r="T308" s="1">
        <f ca="1">IF(S308=1,T$3*Q307/Prices!C307,-T$3*R307)</f>
        <v>-1.8727556850118445E-4</v>
      </c>
      <c r="V308" s="9"/>
      <c r="W308" s="1"/>
      <c r="X308" s="1"/>
      <c r="Y308" s="1"/>
      <c r="Z308" s="1"/>
      <c r="AA308" s="1"/>
      <c r="AB308" s="1"/>
      <c r="AC308" s="1"/>
      <c r="AD308" s="1"/>
      <c r="AE308" s="16"/>
    </row>
    <row r="309" spans="1:31" x14ac:dyDescent="0.2">
      <c r="A309" s="4">
        <v>33939</v>
      </c>
      <c r="B309" s="9">
        <f ca="1">Prices!C308*(1+J309/(50*(ABS(O309)+ABS(T309)+0.0001)))</f>
        <v>126.19329203729515</v>
      </c>
      <c r="C309" s="21">
        <f t="shared" ca="1" si="29"/>
        <v>1</v>
      </c>
      <c r="D309" s="9">
        <f ca="1">D308+C309*(Prices!C309-Prices!C308)/Prices!C308</f>
        <v>8.3527887867255818E-2</v>
      </c>
      <c r="E309" s="9">
        <f t="shared" ca="1" si="30"/>
        <v>5.4564469441440916E-2</v>
      </c>
      <c r="F309" s="9">
        <f t="shared" ca="1" si="31"/>
        <v>0.13809235730869673</v>
      </c>
      <c r="G309" s="13">
        <f ca="1">IF((Prices!C309-Prices!C308)*C309&gt;0,1,0)</f>
        <v>0</v>
      </c>
      <c r="H309" s="9">
        <f>ABS(Prices!C309-Prices!C308)/Prices!C308</f>
        <v>4.8096192384769086E-3</v>
      </c>
      <c r="I309" s="13"/>
      <c r="J309" s="1">
        <f t="shared" ca="1" si="32"/>
        <v>6.4096133884852802E-4</v>
      </c>
      <c r="K309" s="9"/>
      <c r="L309" s="9">
        <f ca="1">L308-O309*Prices!C309</f>
        <v>0.92619240967378336</v>
      </c>
      <c r="M309" s="1">
        <f t="shared" ca="1" si="33"/>
        <v>1.110821317386949E-2</v>
      </c>
      <c r="N309" s="9">
        <f ca="1">IF(Prices!D308&gt;OFFSET(Prices!D308,-$N$3,0),1,-1)</f>
        <v>1</v>
      </c>
      <c r="O309" s="1">
        <f ca="1">IF(N309=1,O$3*L308/Prices!C308,-O$3*M308)</f>
        <v>8.2449139597968882E-4</v>
      </c>
      <c r="P309" s="14"/>
      <c r="Q309" s="9">
        <f ca="1">Q308-T309*Prices!C309</f>
        <v>1.1391669687776687</v>
      </c>
      <c r="R309" s="1">
        <f t="shared" ca="1" si="34"/>
        <v>8.9929727994268772E-3</v>
      </c>
      <c r="S309" s="9">
        <f ca="1">IF(Prices!C308&lt;OFFSET(Prices!C308,-S$3,0),1,-1)</f>
        <v>-1</v>
      </c>
      <c r="T309" s="1">
        <f ca="1">IF(S309=1,T$3*Q308/Prices!C308,-T$3*R308)</f>
        <v>-1.8353005713116075E-4</v>
      </c>
      <c r="V309" s="9"/>
      <c r="W309" s="1"/>
      <c r="X309" s="1"/>
      <c r="Y309" s="1"/>
      <c r="Z309" s="1"/>
      <c r="AA309" s="1"/>
      <c r="AB309" s="1"/>
      <c r="AC309" s="1"/>
      <c r="AD309" s="1"/>
      <c r="AE309" s="16"/>
    </row>
    <row r="310" spans="1:31" x14ac:dyDescent="0.2">
      <c r="A310" s="4">
        <v>33940</v>
      </c>
      <c r="B310" s="9">
        <f ca="1">Prices!C309*(1+J310/(50*(ABS(O310)+ABS(T310)+0.0001)))</f>
        <v>125.52032115420536</v>
      </c>
      <c r="C310" s="21">
        <f t="shared" ca="1" si="29"/>
        <v>1</v>
      </c>
      <c r="D310" s="9">
        <f ca="1">D309+C310*(Prices!C310-Prices!C309)/Prices!C309</f>
        <v>8.6266510501166321E-2</v>
      </c>
      <c r="E310" s="9">
        <f t="shared" ca="1" si="30"/>
        <v>5.1825846807530412E-2</v>
      </c>
      <c r="F310" s="9">
        <f t="shared" ca="1" si="31"/>
        <v>0.13809235730869673</v>
      </c>
      <c r="G310" s="13">
        <f ca="1">IF((Prices!C310-Prices!C309)*C310&gt;0,1,0)</f>
        <v>1</v>
      </c>
      <c r="H310" s="9">
        <f>ABS(Prices!C310-Prices!C309)/Prices!C309</f>
        <v>2.7386226339105048E-3</v>
      </c>
      <c r="I310" s="13"/>
      <c r="J310" s="1">
        <f t="shared" ca="1" si="32"/>
        <v>5.6616745474346664E-4</v>
      </c>
      <c r="K310" s="9"/>
      <c r="L310" s="9">
        <f ca="1">L309-O310*Prices!C310</f>
        <v>0.83331951955675621</v>
      </c>
      <c r="M310" s="1">
        <f t="shared" ca="1" si="33"/>
        <v>1.1854240084601494E-2</v>
      </c>
      <c r="N310" s="9">
        <f ca="1">IF(Prices!D309&gt;OFFSET(Prices!D309,-$N$3,0),1,-1)</f>
        <v>1</v>
      </c>
      <c r="O310" s="1">
        <f ca="1">IF(N310=1,O$3*L309/Prices!C309,-O$3*M309)</f>
        <v>7.4602691073200425E-4</v>
      </c>
      <c r="P310" s="14"/>
      <c r="Q310" s="9">
        <f ca="1">Q309-T310*Prices!C310</f>
        <v>1.1615576724536818</v>
      </c>
      <c r="R310" s="1">
        <f t="shared" ca="1" si="34"/>
        <v>8.8131133434383394E-3</v>
      </c>
      <c r="S310" s="9">
        <f ca="1">IF(Prices!C309&lt;OFFSET(Prices!C309,-S$3,0),1,-1)</f>
        <v>-1</v>
      </c>
      <c r="T310" s="1">
        <f ca="1">IF(S310=1,T$3*Q309/Prices!C309,-T$3*R309)</f>
        <v>-1.7985945598853755E-4</v>
      </c>
      <c r="V310" s="9"/>
      <c r="W310" s="1"/>
      <c r="X310" s="1"/>
      <c r="Y310" s="1"/>
      <c r="Z310" s="1"/>
      <c r="AA310" s="1"/>
      <c r="AB310" s="1"/>
      <c r="AC310" s="1"/>
      <c r="AD310" s="1"/>
      <c r="AE310" s="16"/>
    </row>
    <row r="311" spans="1:31" x14ac:dyDescent="0.2">
      <c r="A311" s="4">
        <v>33941</v>
      </c>
      <c r="B311" s="9">
        <f ca="1">Prices!C310*(1+J311/(50*(ABS(O311)+ABS(T311)+0.0001)))</f>
        <v>122.17053750963008</v>
      </c>
      <c r="C311" s="21">
        <f t="shared" ca="1" si="29"/>
        <v>-1</v>
      </c>
      <c r="D311" s="9">
        <f ca="1">D310+C311*(Prices!C311-Prices!C310)/Prices!C310</f>
        <v>8.4579628020645739E-2</v>
      </c>
      <c r="E311" s="9">
        <f t="shared" ca="1" si="30"/>
        <v>5.3512729288050995E-2</v>
      </c>
      <c r="F311" s="9">
        <f t="shared" ca="1" si="31"/>
        <v>0.13809235730869673</v>
      </c>
      <c r="G311" s="13">
        <f ca="1">IF((Prices!C311-Prices!C310)*C311&gt;0,1,0)</f>
        <v>0</v>
      </c>
      <c r="H311" s="9">
        <f>ABS(Prices!C311-Prices!C310)/Prices!C310</f>
        <v>1.6868824805205877E-3</v>
      </c>
      <c r="I311" s="13"/>
      <c r="J311" s="1">
        <f t="shared" ca="1" si="32"/>
        <v>-1.3616862753289163E-3</v>
      </c>
      <c r="K311" s="9"/>
      <c r="L311" s="9">
        <f ca="1">L310-O311*Prices!C311</f>
        <v>0.98114189341173685</v>
      </c>
      <c r="M311" s="1">
        <f t="shared" ca="1" si="33"/>
        <v>1.0668816076141344E-2</v>
      </c>
      <c r="N311" s="9">
        <f ca="1">IF(Prices!D310&gt;OFFSET(Prices!D310,-$N$3,0),1,-1)</f>
        <v>-1</v>
      </c>
      <c r="O311" s="1">
        <f ca="1">IF(N311=1,O$3*L310/Prices!C310,-O$3*M310)</f>
        <v>-1.1854240084601495E-3</v>
      </c>
      <c r="P311" s="14"/>
      <c r="Q311" s="9">
        <f ca="1">Q310-T311*Prices!C311</f>
        <v>1.183537577132217</v>
      </c>
      <c r="R311" s="1">
        <f t="shared" ca="1" si="34"/>
        <v>8.6368510765695728E-3</v>
      </c>
      <c r="S311" s="9">
        <f ca="1">IF(Prices!C310&lt;OFFSET(Prices!C310,-S$3,0),1,-1)</f>
        <v>-1</v>
      </c>
      <c r="T311" s="1">
        <f ca="1">IF(S311=1,T$3*Q310/Prices!C310,-T$3*R310)</f>
        <v>-1.762622668687668E-4</v>
      </c>
      <c r="V311" s="9"/>
      <c r="W311" s="1"/>
      <c r="X311" s="1"/>
      <c r="Y311" s="1"/>
      <c r="Z311" s="1"/>
      <c r="AA311" s="1"/>
      <c r="AB311" s="1"/>
      <c r="AC311" s="1"/>
      <c r="AD311" s="1"/>
      <c r="AE311" s="16"/>
    </row>
    <row r="312" spans="1:31" x14ac:dyDescent="0.2">
      <c r="A312" s="4">
        <v>33942</v>
      </c>
      <c r="B312" s="9">
        <f ca="1">Prices!C311*(1+J312/(50*(ABS(O312)+ABS(T312)+0.0001)))</f>
        <v>122.39217238859919</v>
      </c>
      <c r="C312" s="21">
        <f t="shared" ca="1" si="29"/>
        <v>-1</v>
      </c>
      <c r="D312" s="9">
        <f ca="1">D311+C312*(Prices!C312-Prices!C311)/Prices!C311</f>
        <v>8.2574816472931217E-2</v>
      </c>
      <c r="E312" s="9">
        <f t="shared" ca="1" si="30"/>
        <v>5.5517540835765516E-2</v>
      </c>
      <c r="F312" s="9">
        <f t="shared" ca="1" si="31"/>
        <v>0.13809235730869673</v>
      </c>
      <c r="G312" s="13">
        <f ca="1">IF((Prices!C312-Prices!C311)*C312&gt;0,1,0)</f>
        <v>0</v>
      </c>
      <c r="H312" s="9">
        <f>ABS(Prices!C312-Prices!C311)/Prices!C311</f>
        <v>2.0048115477145148E-3</v>
      </c>
      <c r="I312" s="13"/>
      <c r="J312" s="1">
        <f t="shared" ca="1" si="32"/>
        <v>-1.2396186291455261E-3</v>
      </c>
      <c r="K312" s="9"/>
      <c r="L312" s="9">
        <f ca="1">L311-O312*Prices!C312</f>
        <v>1.1144487502831231</v>
      </c>
      <c r="M312" s="1">
        <f t="shared" ca="1" si="33"/>
        <v>9.6019344685272096E-3</v>
      </c>
      <c r="N312" s="9">
        <f ca="1">IF(Prices!D311&gt;OFFSET(Prices!D311,-$N$3,0),1,-1)</f>
        <v>-1</v>
      </c>
      <c r="O312" s="1">
        <f ca="1">IF(N312=1,O$3*L311/Prices!C311,-O$3*M311)</f>
        <v>-1.0668816076141346E-3</v>
      </c>
      <c r="P312" s="14"/>
      <c r="Q312" s="9">
        <f ca="1">Q311-T312*Prices!C312</f>
        <v>1.2051210679725644</v>
      </c>
      <c r="R312" s="1">
        <f t="shared" ca="1" si="34"/>
        <v>8.4641140550381806E-3</v>
      </c>
      <c r="S312" s="9">
        <f ca="1">IF(Prices!C311&lt;OFFSET(Prices!C311,-S$3,0),1,-1)</f>
        <v>-1</v>
      </c>
      <c r="T312" s="1">
        <f ca="1">IF(S312=1,T$3*Q311/Prices!C311,-T$3*R311)</f>
        <v>-1.7273702153139145E-4</v>
      </c>
      <c r="V312" s="9"/>
      <c r="W312" s="1"/>
      <c r="X312" s="1"/>
      <c r="Y312" s="1"/>
      <c r="Z312" s="1"/>
      <c r="AA312" s="1"/>
      <c r="AB312" s="1"/>
      <c r="AC312" s="1"/>
      <c r="AD312" s="1"/>
      <c r="AE312" s="16"/>
    </row>
    <row r="313" spans="1:31" x14ac:dyDescent="0.2">
      <c r="A313" s="4">
        <v>33945</v>
      </c>
      <c r="B313" s="9">
        <f ca="1">Prices!C312*(1+J313/(50*(ABS(O313)+ABS(T313)+0.0001)))</f>
        <v>122.65425736760658</v>
      </c>
      <c r="C313" s="21">
        <f t="shared" ca="1" si="29"/>
        <v>-1</v>
      </c>
      <c r="D313" s="9">
        <f ca="1">D312+C313*(Prices!C313-Prices!C312)/Prices!C312</f>
        <v>9.1538401907104924E-2</v>
      </c>
      <c r="E313" s="9">
        <f t="shared" ca="1" si="30"/>
        <v>4.6553955401591809E-2</v>
      </c>
      <c r="F313" s="9">
        <f t="shared" ca="1" si="31"/>
        <v>0.13809235730869673</v>
      </c>
      <c r="G313" s="13">
        <f ca="1">IF((Prices!C313-Prices!C312)*C313&gt;0,1,0)</f>
        <v>1</v>
      </c>
      <c r="H313" s="9">
        <f>ABS(Prices!C313-Prices!C312)/Prices!C312</f>
        <v>8.9635854341737053E-3</v>
      </c>
      <c r="I313" s="13"/>
      <c r="J313" s="1">
        <f t="shared" ca="1" si="32"/>
        <v>-1.1294757279534846E-3</v>
      </c>
      <c r="K313" s="9"/>
      <c r="L313" s="9">
        <f ca="1">L312-O313*Prices!C313</f>
        <v>1.2333495048068954</v>
      </c>
      <c r="M313" s="1">
        <f t="shared" ca="1" si="33"/>
        <v>8.6417410216744883E-3</v>
      </c>
      <c r="N313" s="9">
        <f ca="1">IF(Prices!D312&gt;OFFSET(Prices!D312,-$N$3,0),1,-1)</f>
        <v>-1</v>
      </c>
      <c r="O313" s="1">
        <f ca="1">IF(N313=1,O$3*L312/Prices!C312,-O$3*M312)</f>
        <v>-9.6019344685272098E-4</v>
      </c>
      <c r="P313" s="14"/>
      <c r="Q313" s="9">
        <f ca="1">Q312-T313*Prices!C313</f>
        <v>1.2260832928412719</v>
      </c>
      <c r="R313" s="1">
        <f t="shared" ca="1" si="34"/>
        <v>8.2948317739374167E-3</v>
      </c>
      <c r="S313" s="9">
        <f ca="1">IF(Prices!C312&lt;OFFSET(Prices!C312,-S$3,0),1,-1)</f>
        <v>-1</v>
      </c>
      <c r="T313" s="1">
        <f ca="1">IF(S313=1,T$3*Q312/Prices!C312,-T$3*R312)</f>
        <v>-1.6928228110076361E-4</v>
      </c>
      <c r="V313" s="9"/>
      <c r="W313" s="1"/>
      <c r="X313" s="1"/>
      <c r="Y313" s="1"/>
      <c r="Z313" s="1"/>
      <c r="AA313" s="1"/>
      <c r="AB313" s="1"/>
      <c r="AC313" s="1"/>
      <c r="AD313" s="1"/>
      <c r="AE313" s="16"/>
    </row>
    <row r="314" spans="1:31" x14ac:dyDescent="0.2">
      <c r="A314" s="4">
        <v>33946</v>
      </c>
      <c r="B314" s="9">
        <f ca="1">Prices!C313*(1+J314/(50*(ABS(O314)+ABS(T314)+0.0001)))</f>
        <v>122.41046902344503</v>
      </c>
      <c r="C314" s="21">
        <f t="shared" ca="1" si="29"/>
        <v>-1</v>
      </c>
      <c r="D314" s="9">
        <f ca="1">D313+C314*(Prices!C314-Prices!C313)/Prices!C313</f>
        <v>9.1780669532074644E-2</v>
      </c>
      <c r="E314" s="9">
        <f t="shared" ca="1" si="30"/>
        <v>4.631168777662209E-2</v>
      </c>
      <c r="F314" s="9">
        <f t="shared" ca="1" si="31"/>
        <v>0.13809235730869673</v>
      </c>
      <c r="G314" s="13">
        <f ca="1">IF((Prices!C314-Prices!C313)*C314&gt;0,1,0)</f>
        <v>1</v>
      </c>
      <c r="H314" s="9">
        <f>ABS(Prices!C314-Prices!C313)/Prices!C313</f>
        <v>2.4226762496972574E-4</v>
      </c>
      <c r="I314" s="13"/>
      <c r="J314" s="1">
        <f t="shared" ca="1" si="32"/>
        <v>-6.6614724391964595E-4</v>
      </c>
      <c r="K314" s="9"/>
      <c r="L314" s="9">
        <f ca="1">L313-O314*Prices!C314</f>
        <v>1.3403342586552256</v>
      </c>
      <c r="M314" s="1">
        <f t="shared" ca="1" si="33"/>
        <v>7.7775669195070396E-3</v>
      </c>
      <c r="N314" s="9">
        <f ca="1">IF(Prices!D313&gt;OFFSET(Prices!D313,-$N$3,0),1,-1)</f>
        <v>-1</v>
      </c>
      <c r="O314" s="1">
        <f ca="1">IF(N314=1,O$3*L313/Prices!C313,-O$3*M313)</f>
        <v>-8.6417410216744887E-4</v>
      </c>
      <c r="P314" s="14"/>
      <c r="Q314" s="9">
        <f ca="1">Q313-T314*Prices!C314</f>
        <v>1.201567567790194</v>
      </c>
      <c r="R314" s="1">
        <f t="shared" ca="1" si="34"/>
        <v>8.4928586321852198E-3</v>
      </c>
      <c r="S314" s="9">
        <f ca="1">IF(Prices!C313&lt;OFFSET(Prices!C313,-S$3,0),1,-1)</f>
        <v>1</v>
      </c>
      <c r="T314" s="1">
        <f ca="1">IF(S314=1,T$3*Q313/Prices!C313,-T$3*R313)</f>
        <v>1.9802685824780295E-4</v>
      </c>
      <c r="V314" s="9"/>
      <c r="W314" s="1"/>
      <c r="X314" s="1"/>
      <c r="Y314" s="1"/>
      <c r="Z314" s="1"/>
      <c r="AA314" s="1"/>
      <c r="AB314" s="1"/>
      <c r="AC314" s="1"/>
      <c r="AD314" s="1"/>
      <c r="AE314" s="16"/>
    </row>
    <row r="315" spans="1:31" x14ac:dyDescent="0.2">
      <c r="A315" s="4">
        <v>33947</v>
      </c>
      <c r="B315" s="9">
        <f ca="1">Prices!C314*(1+J315/(50*(ABS(O315)+ABS(T315)+0.0001)))</f>
        <v>122.45179807836607</v>
      </c>
      <c r="C315" s="21">
        <f t="shared" ca="1" si="29"/>
        <v>-1</v>
      </c>
      <c r="D315" s="9">
        <f ca="1">D314+C315*(Prices!C315-Prices!C314)/Prices!C314</f>
        <v>8.9761283425451061E-2</v>
      </c>
      <c r="E315" s="9">
        <f t="shared" ca="1" si="30"/>
        <v>4.8331073883245673E-2</v>
      </c>
      <c r="F315" s="9">
        <f t="shared" ca="1" si="31"/>
        <v>0.13809235730869673</v>
      </c>
      <c r="G315" s="13">
        <f ca="1">IF((Prices!C315-Prices!C314)*C315&gt;0,1,0)</f>
        <v>0</v>
      </c>
      <c r="H315" s="9">
        <f>ABS(Prices!C315-Prices!C314)/Prices!C314</f>
        <v>2.0193861066235864E-3</v>
      </c>
      <c r="I315" s="13"/>
      <c r="J315" s="1">
        <f t="shared" ca="1" si="32"/>
        <v>-5.8364238374550292E-4</v>
      </c>
      <c r="K315" s="9"/>
      <c r="L315" s="9">
        <f ca="1">L314-O315*Prices!C315</f>
        <v>1.4368149762917104</v>
      </c>
      <c r="M315" s="1">
        <f t="shared" ca="1" si="33"/>
        <v>6.9998102275563353E-3</v>
      </c>
      <c r="N315" s="9">
        <f ca="1">IF(Prices!D314&gt;OFFSET(Prices!D314,-$N$3,0),1,-1)</f>
        <v>-1</v>
      </c>
      <c r="O315" s="1">
        <f ca="1">IF(N315=1,O$3*L314/Prices!C314,-O$3*M314)</f>
        <v>-7.7775669195070398E-4</v>
      </c>
      <c r="P315" s="14"/>
      <c r="Q315" s="9">
        <f ca="1">Q314-T315*Prices!C315</f>
        <v>1.1774876878573388</v>
      </c>
      <c r="R315" s="1">
        <f t="shared" ca="1" si="34"/>
        <v>8.6869729403904212E-3</v>
      </c>
      <c r="S315" s="9">
        <f ca="1">IF(Prices!C314&lt;OFFSET(Prices!C314,-S$3,0),1,-1)</f>
        <v>1</v>
      </c>
      <c r="T315" s="1">
        <f ca="1">IF(S315=1,T$3*Q314/Prices!C314,-T$3*R314)</f>
        <v>1.94114308205201E-4</v>
      </c>
      <c r="V315" s="9"/>
      <c r="W315" s="1"/>
      <c r="X315" s="1"/>
      <c r="Y315" s="1"/>
      <c r="Z315" s="1"/>
      <c r="AA315" s="1"/>
      <c r="AB315" s="1"/>
      <c r="AC315" s="1"/>
      <c r="AD315" s="1"/>
      <c r="AE315" s="16"/>
    </row>
    <row r="316" spans="1:31" x14ac:dyDescent="0.2">
      <c r="A316" s="4">
        <v>33948</v>
      </c>
      <c r="B316" s="9">
        <f ca="1">Prices!C315*(1+J316/(50*(ABS(O316)+ABS(T316)+0.0001)))</f>
        <v>122.77132762960893</v>
      </c>
      <c r="C316" s="21">
        <f t="shared" ca="1" si="29"/>
        <v>-1</v>
      </c>
      <c r="D316" s="9">
        <f ca="1">D315+C316*(Prices!C316-Prices!C315)/Prices!C315</f>
        <v>9.2502113735809813E-2</v>
      </c>
      <c r="E316" s="9">
        <f t="shared" ca="1" si="30"/>
        <v>4.5590243572886921E-2</v>
      </c>
      <c r="F316" s="9">
        <f t="shared" ca="1" si="31"/>
        <v>0.13809235730869673</v>
      </c>
      <c r="G316" s="13">
        <f ca="1">IF((Prices!C316-Prices!C315)*C316&gt;0,1,0)</f>
        <v>1</v>
      </c>
      <c r="H316" s="9">
        <f>ABS(Prices!C316-Prices!C315)/Prices!C315</f>
        <v>2.740830310358754E-3</v>
      </c>
      <c r="I316" s="13"/>
      <c r="J316" s="1">
        <f t="shared" ca="1" si="32"/>
        <v>-5.1014020246424477E-4</v>
      </c>
      <c r="K316" s="9"/>
      <c r="L316" s="9">
        <f ca="1">L315-O316*Prices!C316</f>
        <v>1.5234096286168097</v>
      </c>
      <c r="M316" s="1">
        <f t="shared" ca="1" si="33"/>
        <v>6.2998292048007014E-3</v>
      </c>
      <c r="N316" s="9">
        <f ca="1">IF(Prices!D315&gt;OFFSET(Prices!D315,-$N$3,0),1,-1)</f>
        <v>-1</v>
      </c>
      <c r="O316" s="1">
        <f ca="1">IF(N316=1,O$3*L315/Prices!C315,-O$3*M315)</f>
        <v>-6.9998102275563355E-4</v>
      </c>
      <c r="P316" s="14"/>
      <c r="Q316" s="9">
        <f ca="1">Q315-T316*Prices!C316</f>
        <v>1.1540024799790911</v>
      </c>
      <c r="R316" s="1">
        <f t="shared" ca="1" si="34"/>
        <v>8.87681376068181E-3</v>
      </c>
      <c r="S316" s="9">
        <f ca="1">IF(Prices!C315&lt;OFFSET(Prices!C315,-S$3,0),1,-1)</f>
        <v>1</v>
      </c>
      <c r="T316" s="1">
        <f ca="1">IF(S316=1,T$3*Q315/Prices!C315,-T$3*R315)</f>
        <v>1.8984082029138875E-4</v>
      </c>
      <c r="V316" s="9"/>
      <c r="W316" s="1"/>
      <c r="X316" s="1"/>
      <c r="Y316" s="1"/>
      <c r="Z316" s="1"/>
      <c r="AA316" s="1"/>
      <c r="AB316" s="1"/>
      <c r="AC316" s="1"/>
      <c r="AD316" s="1"/>
      <c r="AE316" s="16"/>
    </row>
    <row r="317" spans="1:31" x14ac:dyDescent="0.2">
      <c r="A317" s="4">
        <v>33949</v>
      </c>
      <c r="B317" s="9">
        <f ca="1">Prices!C316*(1+J317/(50*(ABS(O317)+ABS(T317)+0.0001)))</f>
        <v>126.02120942442207</v>
      </c>
      <c r="C317" s="21">
        <f t="shared" ca="1" si="29"/>
        <v>1</v>
      </c>
      <c r="D317" s="9">
        <f ca="1">D316+C317*(Prices!C317-Prices!C316)/Prices!C316</f>
        <v>9.4199632125592431E-2</v>
      </c>
      <c r="E317" s="9">
        <f t="shared" ca="1" si="30"/>
        <v>4.3892725183104303E-2</v>
      </c>
      <c r="F317" s="9">
        <f t="shared" ca="1" si="31"/>
        <v>0.13809235730869673</v>
      </c>
      <c r="G317" s="13">
        <f ca="1">IF((Prices!C317-Prices!C316)*C317&gt;0,1,0)</f>
        <v>1</v>
      </c>
      <c r="H317" s="9">
        <f>ABS(Prices!C317-Prices!C316)/Prices!C316</f>
        <v>1.6975183897826203E-3</v>
      </c>
      <c r="I317" s="13"/>
      <c r="J317" s="1">
        <f t="shared" ca="1" si="32"/>
        <v>1.418001879082231E-3</v>
      </c>
      <c r="K317" s="9"/>
      <c r="L317" s="9">
        <f ca="1">L316-O317*Prices!C317</f>
        <v>1.3708100641691539</v>
      </c>
      <c r="M317" s="1">
        <f t="shared" ca="1" si="33"/>
        <v>7.5312653284906293E-3</v>
      </c>
      <c r="N317" s="9">
        <f ca="1">IF(Prices!D316&gt;OFFSET(Prices!D316,-$N$3,0),1,-1)</f>
        <v>1</v>
      </c>
      <c r="O317" s="1">
        <f ca="1">IF(N317=1,O$3*L316/Prices!C316,-O$3*M316)</f>
        <v>1.2314361236899279E-3</v>
      </c>
      <c r="P317" s="14"/>
      <c r="Q317" s="9">
        <f ca="1">Q316-T317*Prices!C317</f>
        <v>1.1308832515708769</v>
      </c>
      <c r="R317" s="1">
        <f t="shared" ca="1" si="34"/>
        <v>9.0633795160741139E-3</v>
      </c>
      <c r="S317" s="9">
        <f ca="1">IF(Prices!C316&lt;OFFSET(Prices!C316,-S$3,0),1,-1)</f>
        <v>1</v>
      </c>
      <c r="T317" s="1">
        <f ca="1">IF(S317=1,T$3*Q316/Prices!C316,-T$3*R316)</f>
        <v>1.8656575539230315E-4</v>
      </c>
      <c r="V317" s="9"/>
      <c r="W317" s="1"/>
      <c r="X317" s="1"/>
      <c r="Y317" s="1"/>
      <c r="Z317" s="1"/>
      <c r="AA317" s="1"/>
      <c r="AB317" s="1"/>
      <c r="AC317" s="1"/>
      <c r="AD317" s="1"/>
      <c r="AE317" s="16"/>
    </row>
    <row r="318" spans="1:31" x14ac:dyDescent="0.2">
      <c r="A318" s="4">
        <v>33952</v>
      </c>
      <c r="B318" s="9">
        <f ca="1">Prices!C317*(1+J318/(50*(ABS(O318)+ABS(T318)+0.0001)))</f>
        <v>125.57218790216352</v>
      </c>
      <c r="C318" s="21">
        <f t="shared" ca="1" si="29"/>
        <v>1</v>
      </c>
      <c r="D318" s="9">
        <f ca="1">D317+C318*(Prices!C318-Prices!C317)/Prices!C317</f>
        <v>9.2424293197251581E-2</v>
      </c>
      <c r="E318" s="9">
        <f t="shared" ca="1" si="30"/>
        <v>4.5668064111445153E-2</v>
      </c>
      <c r="F318" s="9">
        <f t="shared" ca="1" si="31"/>
        <v>0.13809235730869673</v>
      </c>
      <c r="G318" s="13">
        <f ca="1">IF((Prices!C318-Prices!C317)*C318&gt;0,1,0)</f>
        <v>0</v>
      </c>
      <c r="H318" s="9">
        <f>ABS(Prices!C318-Prices!C317)/Prices!C317</f>
        <v>1.7753389283408558E-3</v>
      </c>
      <c r="I318" s="13"/>
      <c r="J318" s="1">
        <f t="shared" ca="1" si="32"/>
        <v>9.2493807798803512E-4</v>
      </c>
      <c r="K318" s="9"/>
      <c r="L318" s="9">
        <f ca="1">L317-O318*Prices!C318</f>
        <v>1.2339724229992666</v>
      </c>
      <c r="M318" s="1">
        <f t="shared" ca="1" si="33"/>
        <v>8.6374709968001472E-3</v>
      </c>
      <c r="N318" s="9">
        <f ca="1">IF(Prices!D317&gt;OFFSET(Prices!D317,-$N$3,0),1,-1)</f>
        <v>1</v>
      </c>
      <c r="O318" s="1">
        <f ca="1">IF(N318=1,O$3*L317/Prices!C317,-O$3*M317)</f>
        <v>1.1062056683095174E-3</v>
      </c>
      <c r="P318" s="14"/>
      <c r="Q318" s="9">
        <f ca="1">Q317-T318*Prices!C318</f>
        <v>1.1533060524936443</v>
      </c>
      <c r="R318" s="1">
        <f t="shared" ca="1" si="34"/>
        <v>8.8821119257526324E-3</v>
      </c>
      <c r="S318" s="9">
        <f ca="1">IF(Prices!C317&lt;OFFSET(Prices!C317,-S$3,0),1,-1)</f>
        <v>-1</v>
      </c>
      <c r="T318" s="1">
        <f ca="1">IF(S318=1,T$3*Q317/Prices!C317,-T$3*R317)</f>
        <v>-1.8126759032148227E-4</v>
      </c>
      <c r="V318" s="9"/>
      <c r="W318" s="1"/>
      <c r="X318" s="1"/>
      <c r="Y318" s="1"/>
      <c r="Z318" s="1"/>
      <c r="AA318" s="1"/>
      <c r="AB318" s="1"/>
      <c r="AC318" s="1"/>
      <c r="AD318" s="1"/>
      <c r="AE318" s="16"/>
    </row>
    <row r="319" spans="1:31" x14ac:dyDescent="0.2">
      <c r="A319" s="4">
        <v>33953</v>
      </c>
      <c r="B319" s="9">
        <f ca="1">Prices!C318*(1+J319/(50*(ABS(O319)+ABS(T319)+0.0001)))</f>
        <v>125.98132398184754</v>
      </c>
      <c r="C319" s="21">
        <f t="shared" ca="1" si="29"/>
        <v>1</v>
      </c>
      <c r="D319" s="9">
        <f ca="1">D318+C319*(Prices!C319-Prices!C318)/Prices!C318</f>
        <v>9.5577082202910432E-2</v>
      </c>
      <c r="E319" s="9">
        <f t="shared" ca="1" si="30"/>
        <v>4.2515275105786302E-2</v>
      </c>
      <c r="F319" s="9">
        <f t="shared" ca="1" si="31"/>
        <v>0.13809235730869673</v>
      </c>
      <c r="G319" s="13">
        <f ca="1">IF((Prices!C319-Prices!C318)*C319&gt;0,1,0)</f>
        <v>1</v>
      </c>
      <c r="H319" s="9">
        <f>ABS(Prices!C319-Prices!C318)/Prices!C318</f>
        <v>3.1527890056588567E-3</v>
      </c>
      <c r="I319" s="13"/>
      <c r="J319" s="1">
        <f t="shared" ca="1" si="32"/>
        <v>1.1840207223104248E-3</v>
      </c>
      <c r="K319" s="9"/>
      <c r="L319" s="9">
        <f ca="1">L318-O319*Prices!C319</f>
        <v>1.110186135230488</v>
      </c>
      <c r="M319" s="1">
        <f t="shared" ca="1" si="33"/>
        <v>9.6350234810356102E-3</v>
      </c>
      <c r="N319" s="9">
        <f ca="1">IF(Prices!D318&gt;OFFSET(Prices!D318,-$N$3,0),1,-1)</f>
        <v>1</v>
      </c>
      <c r="O319" s="1">
        <f ca="1">IF(N319=1,O$3*L318/Prices!C318,-O$3*M318)</f>
        <v>9.9755248423546213E-4</v>
      </c>
      <c r="P319" s="14"/>
      <c r="Q319" s="9">
        <f ca="1">Q318-T319*Prices!C319</f>
        <v>1.130167208830922</v>
      </c>
      <c r="R319" s="1">
        <f t="shared" ca="1" si="34"/>
        <v>9.0685801638275953E-3</v>
      </c>
      <c r="S319" s="9">
        <f ca="1">IF(Prices!C318&lt;OFFSET(Prices!C318,-S$3,0),1,-1)</f>
        <v>1</v>
      </c>
      <c r="T319" s="1">
        <f ca="1">IF(S319=1,T$3*Q318/Prices!C318,-T$3*R318)</f>
        <v>1.864682380749627E-4</v>
      </c>
      <c r="V319" s="9"/>
      <c r="W319" s="1"/>
      <c r="X319" s="1"/>
      <c r="Y319" s="1"/>
      <c r="Z319" s="1"/>
      <c r="AA319" s="1"/>
      <c r="AB319" s="1"/>
      <c r="AC319" s="1"/>
      <c r="AD319" s="1"/>
      <c r="AE319" s="16"/>
    </row>
    <row r="320" spans="1:31" x14ac:dyDescent="0.2">
      <c r="A320" s="4">
        <v>33954</v>
      </c>
      <c r="B320" s="9">
        <f ca="1">Prices!C319*(1+J320/(50*(ABS(O320)+ABS(T320)+0.0001)))</f>
        <v>125.5952666424032</v>
      </c>
      <c r="C320" s="21">
        <f t="shared" ca="1" si="29"/>
        <v>1</v>
      </c>
      <c r="D320" s="9">
        <f ca="1">D319+C320*(Prices!C320-Prices!C319)/Prices!C319</f>
        <v>8.6793135067766564E-2</v>
      </c>
      <c r="E320" s="9">
        <f t="shared" ca="1" si="30"/>
        <v>5.129922224093017E-2</v>
      </c>
      <c r="F320" s="9">
        <f t="shared" ca="1" si="31"/>
        <v>0.13809235730869673</v>
      </c>
      <c r="G320" s="13">
        <f ca="1">IF((Prices!C320-Prices!C319)*C320&gt;0,1,0)</f>
        <v>0</v>
      </c>
      <c r="H320" s="9">
        <f>ABS(Prices!C320-Prices!C319)/Prices!C319</f>
        <v>8.7839471351438738E-3</v>
      </c>
      <c r="I320" s="13"/>
      <c r="J320" s="1">
        <f t="shared" ca="1" si="32"/>
        <v>7.1329044461649997E-4</v>
      </c>
      <c r="K320" s="9"/>
      <c r="L320" s="9">
        <f ca="1">L319-O320*Prices!C320</f>
        <v>1.0001427033396426</v>
      </c>
      <c r="M320" s="1">
        <f t="shared" ca="1" si="33"/>
        <v>1.0529685528928662E-2</v>
      </c>
      <c r="N320" s="9">
        <f ca="1">IF(Prices!D319&gt;OFFSET(Prices!D319,-$N$3,0),1,-1)</f>
        <v>1</v>
      </c>
      <c r="O320" s="1">
        <f ca="1">IF(N320=1,O$3*L319/Prices!C319,-O$3*M319)</f>
        <v>8.9466204789305189E-4</v>
      </c>
      <c r="P320" s="14"/>
      <c r="Q320" s="9">
        <f ca="1">Q319-T320*Prices!C320</f>
        <v>1.152475916033938</v>
      </c>
      <c r="R320" s="1">
        <f t="shared" ca="1" si="34"/>
        <v>8.8872085605510437E-3</v>
      </c>
      <c r="S320" s="9">
        <f ca="1">IF(Prices!C319&lt;OFFSET(Prices!C319,-S$3,0),1,-1)</f>
        <v>-1</v>
      </c>
      <c r="T320" s="1">
        <f ca="1">IF(S320=1,T$3*Q319/Prices!C319,-T$3*R319)</f>
        <v>-1.8137160327655192E-4</v>
      </c>
      <c r="V320" s="9"/>
      <c r="W320" s="1"/>
      <c r="X320" s="1"/>
      <c r="Y320" s="1"/>
      <c r="Z320" s="1"/>
      <c r="AA320" s="1"/>
      <c r="AB320" s="1"/>
      <c r="AC320" s="1"/>
      <c r="AD320" s="1"/>
      <c r="AE320" s="16"/>
    </row>
    <row r="321" spans="1:31" x14ac:dyDescent="0.2">
      <c r="A321" s="4">
        <v>33955</v>
      </c>
      <c r="B321" s="9">
        <f ca="1">Prices!C320*(1+J321/(50*(ABS(O321)+ABS(T321)+0.0001)))</f>
        <v>121.41139134952962</v>
      </c>
      <c r="C321" s="21">
        <f t="shared" ca="1" si="29"/>
        <v>-1</v>
      </c>
      <c r="D321" s="9">
        <f ca="1">D320+C321*(Prices!C321-Prices!C320)/Prices!C320</f>
        <v>8.9069557831994217E-2</v>
      </c>
      <c r="E321" s="9">
        <f t="shared" ca="1" si="30"/>
        <v>4.9022799476702517E-2</v>
      </c>
      <c r="F321" s="9">
        <f t="shared" ca="1" si="31"/>
        <v>0.13809235730869673</v>
      </c>
      <c r="G321" s="13">
        <f ca="1">IF((Prices!C321-Prices!C320)*C321&gt;0,1,0)</f>
        <v>1</v>
      </c>
      <c r="H321" s="9">
        <f>ABS(Prices!C321-Prices!C320)/Prices!C320</f>
        <v>2.2764227642276514E-3</v>
      </c>
      <c r="I321" s="13"/>
      <c r="J321" s="1">
        <f t="shared" ca="1" si="32"/>
        <v>-8.6557409500116907E-4</v>
      </c>
      <c r="K321" s="9"/>
      <c r="L321" s="9">
        <f ca="1">L320-O321*Prices!C321</f>
        <v>1.129363004150655</v>
      </c>
      <c r="M321" s="1">
        <f t="shared" ca="1" si="33"/>
        <v>9.4767169760357952E-3</v>
      </c>
      <c r="N321" s="9">
        <f ca="1">IF(Prices!D320&gt;OFFSET(Prices!D320,-$N$3,0),1,-1)</f>
        <v>-1</v>
      </c>
      <c r="O321" s="1">
        <f ca="1">IF(N321=1,O$3*L320/Prices!C320,-O$3*M320)</f>
        <v>-1.0529685528928663E-3</v>
      </c>
      <c r="P321" s="14"/>
      <c r="Q321" s="9">
        <f ca="1">Q320-T321*Prices!C321</f>
        <v>1.1294788681614689</v>
      </c>
      <c r="R321" s="1">
        <f t="shared" ca="1" si="34"/>
        <v>9.0746030184427409E-3</v>
      </c>
      <c r="S321" s="9">
        <f ca="1">IF(Prices!C320&lt;OFFSET(Prices!C320,-S$3,0),1,-1)</f>
        <v>1</v>
      </c>
      <c r="T321" s="1">
        <f ca="1">IF(S321=1,T$3*Q320/Prices!C320,-T$3*R320)</f>
        <v>1.8739445789169723E-4</v>
      </c>
      <c r="V321" s="9"/>
      <c r="W321" s="1"/>
      <c r="X321" s="1"/>
      <c r="Y321" s="1"/>
      <c r="Z321" s="1"/>
      <c r="AA321" s="1"/>
      <c r="AB321" s="1"/>
      <c r="AC321" s="1"/>
      <c r="AD321" s="1"/>
      <c r="AE321" s="16"/>
    </row>
    <row r="322" spans="1:31" x14ac:dyDescent="0.2">
      <c r="A322" s="4">
        <v>33956</v>
      </c>
      <c r="B322" s="9">
        <f ca="1">Prices!C321*(1+J322/(50*(ABS(O322)+ABS(T322)+0.0001)))</f>
        <v>121.19844106817662</v>
      </c>
      <c r="C322" s="21">
        <f t="shared" ca="1" si="29"/>
        <v>-1</v>
      </c>
      <c r="D322" s="9">
        <f ca="1">D321+C322*(Prices!C322-Prices!C321)/Prices!C321</f>
        <v>8.5158214937600438E-2</v>
      </c>
      <c r="E322" s="9">
        <f t="shared" ca="1" si="30"/>
        <v>5.2934142371096296E-2</v>
      </c>
      <c r="F322" s="9">
        <f t="shared" ca="1" si="31"/>
        <v>0.13809235730869673</v>
      </c>
      <c r="G322" s="13">
        <f ca="1">IF((Prices!C322-Prices!C321)*C322&gt;0,1,0)</f>
        <v>0</v>
      </c>
      <c r="H322" s="9">
        <f>ABS(Prices!C322-Prices!C321)/Prices!C321</f>
        <v>3.9113428943937743E-3</v>
      </c>
      <c r="I322" s="13"/>
      <c r="J322" s="1">
        <f t="shared" ca="1" si="32"/>
        <v>-7.635975665472776E-4</v>
      </c>
      <c r="K322" s="9"/>
      <c r="L322" s="9">
        <f ca="1">L321-O322*Prices!C322</f>
        <v>1.246116157295416</v>
      </c>
      <c r="M322" s="1">
        <f t="shared" ca="1" si="33"/>
        <v>8.5290452784322155E-3</v>
      </c>
      <c r="N322" s="9">
        <f ca="1">IF(Prices!D321&gt;OFFSET(Prices!D321,-$N$3,0),1,-1)</f>
        <v>-1</v>
      </c>
      <c r="O322" s="1">
        <f ca="1">IF(N322=1,O$3*L321/Prices!C321,-O$3*M321)</f>
        <v>-9.4767169760357959E-4</v>
      </c>
      <c r="P322" s="14"/>
      <c r="Q322" s="9">
        <f ca="1">Q321-T322*Prices!C322</f>
        <v>1.1068009352153325</v>
      </c>
      <c r="R322" s="1">
        <f t="shared" ca="1" si="34"/>
        <v>9.2586771494990432E-3</v>
      </c>
      <c r="S322" s="9">
        <f ca="1">IF(Prices!C321&lt;OFFSET(Prices!C321,-S$3,0),1,-1)</f>
        <v>1</v>
      </c>
      <c r="T322" s="1">
        <f ca="1">IF(S322=1,T$3*Q321/Prices!C321,-T$3*R321)</f>
        <v>1.8407413105630199E-4</v>
      </c>
      <c r="V322" s="9"/>
      <c r="W322" s="1"/>
      <c r="X322" s="1"/>
      <c r="Y322" s="1"/>
      <c r="Z322" s="1"/>
      <c r="AA322" s="1"/>
      <c r="AB322" s="1"/>
      <c r="AC322" s="1"/>
      <c r="AD322" s="1"/>
      <c r="AE322" s="16"/>
    </row>
    <row r="323" spans="1:31" x14ac:dyDescent="0.2">
      <c r="A323" s="4">
        <v>33959</v>
      </c>
      <c r="B323" s="9">
        <f ca="1">Prices!C322*(1+J323/(50*(ABS(O323)+ABS(T323)+0.0001)))</f>
        <v>121.73534728128334</v>
      </c>
      <c r="C323" s="21">
        <f t="shared" ca="1" si="29"/>
        <v>-1</v>
      </c>
      <c r="D323" s="9">
        <f ca="1">D322+C323*(Prices!C323-Prices!C322)/Prices!C322</f>
        <v>8.5969903249288812E-2</v>
      </c>
      <c r="E323" s="9">
        <f t="shared" ca="1" si="30"/>
        <v>5.2122454059407922E-2</v>
      </c>
      <c r="F323" s="9">
        <f t="shared" ca="1" si="31"/>
        <v>0.13809235730869673</v>
      </c>
      <c r="G323" s="13">
        <f ca="1">IF((Prices!C323-Prices!C322)*C323&gt;0,1,0)</f>
        <v>1</v>
      </c>
      <c r="H323" s="9">
        <f>ABS(Prices!C323-Prices!C322)/Prices!C322</f>
        <v>8.1168831168838091E-4</v>
      </c>
      <c r="I323" s="13"/>
      <c r="J323" s="1">
        <f t="shared" ca="1" si="32"/>
        <v>-6.7322905134722607E-4</v>
      </c>
      <c r="K323" s="9"/>
      <c r="L323" s="9">
        <f ca="1">L322-O323*Prices!C323</f>
        <v>1.3511087046729167</v>
      </c>
      <c r="M323" s="1">
        <f t="shared" ca="1" si="33"/>
        <v>7.6761407505889934E-3</v>
      </c>
      <c r="N323" s="9">
        <f ca="1">IF(Prices!D322&gt;OFFSET(Prices!D322,-$N$3,0),1,-1)</f>
        <v>-1</v>
      </c>
      <c r="O323" s="1">
        <f ca="1">IF(N323=1,O$3*L322/Prices!C322,-O$3*M322)</f>
        <v>-8.5290452784322164E-4</v>
      </c>
      <c r="P323" s="14"/>
      <c r="Q323" s="9">
        <f ca="1">Q322-T323*Prices!C323</f>
        <v>1.0846828840586755</v>
      </c>
      <c r="R323" s="1">
        <f t="shared" ca="1" si="34"/>
        <v>9.4383526259950393E-3</v>
      </c>
      <c r="S323" s="9">
        <f ca="1">IF(Prices!C322&lt;OFFSET(Prices!C322,-S$3,0),1,-1)</f>
        <v>1</v>
      </c>
      <c r="T323" s="1">
        <f ca="1">IF(S323=1,T$3*Q322/Prices!C322,-T$3*R322)</f>
        <v>1.7967547649599554E-4</v>
      </c>
      <c r="V323" s="9"/>
      <c r="W323" s="1"/>
      <c r="X323" s="1"/>
      <c r="Y323" s="1"/>
      <c r="Z323" s="1"/>
      <c r="AA323" s="1"/>
      <c r="AB323" s="1"/>
      <c r="AC323" s="1"/>
      <c r="AD323" s="1"/>
      <c r="AE323" s="16"/>
    </row>
    <row r="324" spans="1:31" x14ac:dyDescent="0.2">
      <c r="A324" s="4">
        <v>33960</v>
      </c>
      <c r="B324" s="9">
        <f ca="1">Prices!C323*(1+J324/(50*(ABS(O324)+ABS(T324)+0.0001)))</f>
        <v>121.70515988262461</v>
      </c>
      <c r="C324" s="21">
        <f t="shared" ca="1" si="29"/>
        <v>-1</v>
      </c>
      <c r="D324" s="9">
        <f ca="1">D323+C324*(Prices!C324-Prices!C323)/Prices!C323</f>
        <v>7.9877295613220572E-2</v>
      </c>
      <c r="E324" s="9">
        <f t="shared" ca="1" si="30"/>
        <v>5.8215061695476161E-2</v>
      </c>
      <c r="F324" s="9">
        <f t="shared" ca="1" si="31"/>
        <v>0.13809235730869673</v>
      </c>
      <c r="G324" s="13">
        <f ca="1">IF((Prices!C324-Prices!C323)*C324&gt;0,1,0)</f>
        <v>0</v>
      </c>
      <c r="H324" s="9">
        <f>ABS(Prices!C324-Prices!C323)/Prices!C323</f>
        <v>6.0926076360682379E-3</v>
      </c>
      <c r="I324" s="13"/>
      <c r="J324" s="1">
        <f t="shared" ca="1" si="32"/>
        <v>-5.913861491354753E-4</v>
      </c>
      <c r="K324" s="9"/>
      <c r="L324" s="9">
        <f ca="1">L323-O324*Prices!C324</f>
        <v>1.4461777078689613</v>
      </c>
      <c r="M324" s="1">
        <f t="shared" ca="1" si="33"/>
        <v>6.9085266755300936E-3</v>
      </c>
      <c r="N324" s="9">
        <f ca="1">IF(Prices!D323&gt;OFFSET(Prices!D323,-$N$3,0),1,-1)</f>
        <v>-1</v>
      </c>
      <c r="O324" s="1">
        <f ca="1">IF(N324=1,O$3*L323/Prices!C323,-O$3*M323)</f>
        <v>-7.6761407505889943E-4</v>
      </c>
      <c r="P324" s="14"/>
      <c r="Q324" s="9">
        <f ca="1">Q323-T324*Prices!C324</f>
        <v>1.0628570554330594</v>
      </c>
      <c r="R324" s="1">
        <f t="shared" ca="1" si="34"/>
        <v>9.6145805519184634E-3</v>
      </c>
      <c r="S324" s="9">
        <f ca="1">IF(Prices!C323&lt;OFFSET(Prices!C323,-S$3,0),1,-1)</f>
        <v>1</v>
      </c>
      <c r="T324" s="1">
        <f ca="1">IF(S324=1,T$3*Q323/Prices!C323,-T$3*R323)</f>
        <v>1.7622792592342416E-4</v>
      </c>
      <c r="V324" s="9"/>
      <c r="W324" s="1"/>
      <c r="X324" s="1"/>
      <c r="Y324" s="1"/>
      <c r="Z324" s="1"/>
      <c r="AA324" s="1"/>
      <c r="AB324" s="1"/>
      <c r="AC324" s="1"/>
      <c r="AD324" s="1"/>
      <c r="AE324" s="16"/>
    </row>
    <row r="325" spans="1:31" x14ac:dyDescent="0.2">
      <c r="A325" s="4">
        <v>33961</v>
      </c>
      <c r="B325" s="9">
        <f ca="1">Prices!C324*(1+J325/(50*(ABS(O325)+ABS(T325)+0.0001)))</f>
        <v>121.62494674412883</v>
      </c>
      <c r="C325" s="21">
        <f t="shared" ca="1" si="29"/>
        <v>-1</v>
      </c>
      <c r="D325" s="9">
        <f ca="1">D324+C325*(Prices!C325-Prices!C324)/Prices!C324</f>
        <v>7.9796552779147059E-2</v>
      </c>
      <c r="E325" s="9">
        <f t="shared" ca="1" si="30"/>
        <v>5.8295804529549675E-2</v>
      </c>
      <c r="F325" s="9">
        <f t="shared" ca="1" si="31"/>
        <v>0.13809235730869673</v>
      </c>
      <c r="G325" s="13">
        <f ca="1">IF((Prices!C325-Prices!C324)*C325&gt;0,1,0)</f>
        <v>0</v>
      </c>
      <c r="H325" s="9">
        <f>ABS(Prices!C325-Prices!C324)/Prices!C324</f>
        <v>8.0742834073517291E-5</v>
      </c>
      <c r="I325" s="13"/>
      <c r="J325" s="1">
        <f t="shared" ca="1" si="32"/>
        <v>-8.8314427859137869E-4</v>
      </c>
      <c r="K325" s="9"/>
      <c r="L325" s="9">
        <f ca="1">L324-O325*Prices!C325</f>
        <v>1.5317467192720771</v>
      </c>
      <c r="M325" s="1">
        <f t="shared" ca="1" si="33"/>
        <v>6.2176740079770837E-3</v>
      </c>
      <c r="N325" s="9">
        <f ca="1">IF(Prices!D324&gt;OFFSET(Prices!D324,-$N$3,0),1,-1)</f>
        <v>-1</v>
      </c>
      <c r="O325" s="1">
        <f ca="1">IF(N325=1,O$3*L324/Prices!C324,-O$3*M324)</f>
        <v>-6.9085266755300944E-4</v>
      </c>
      <c r="P325" s="14"/>
      <c r="Q325" s="9">
        <f ca="1">Q324-T325*Prices!C325</f>
        <v>1.0866742943762719</v>
      </c>
      <c r="R325" s="1">
        <f t="shared" ca="1" si="34"/>
        <v>9.4222889408800935E-3</v>
      </c>
      <c r="S325" s="9">
        <f ca="1">IF(Prices!C324&lt;OFFSET(Prices!C324,-S$3,0),1,-1)</f>
        <v>-1</v>
      </c>
      <c r="T325" s="1">
        <f ca="1">IF(S325=1,T$3*Q324/Prices!C324,-T$3*R324)</f>
        <v>-1.9229161103836927E-4</v>
      </c>
      <c r="V325" s="9"/>
      <c r="W325" s="1"/>
      <c r="X325" s="1"/>
      <c r="Y325" s="1"/>
      <c r="Z325" s="1"/>
      <c r="AA325" s="1"/>
      <c r="AB325" s="1"/>
      <c r="AC325" s="1"/>
      <c r="AD325" s="1"/>
      <c r="AE325" s="16"/>
    </row>
    <row r="326" spans="1:31" x14ac:dyDescent="0.2">
      <c r="A326" s="4">
        <v>33962</v>
      </c>
      <c r="B326" s="9">
        <f ca="1">Prices!C325*(1+J326/(50*(ABS(O326)+ABS(T326)+0.0001)))</f>
        <v>121.65495602404779</v>
      </c>
      <c r="C326" s="21">
        <f t="shared" ca="1" si="29"/>
        <v>-1</v>
      </c>
      <c r="D326" s="9">
        <f ca="1">D325+C326*(Prices!C326-Prices!C325)/Prices!C325</f>
        <v>7.9069925942395855E-2</v>
      </c>
      <c r="E326" s="9">
        <f t="shared" ca="1" si="30"/>
        <v>5.9022431366300879E-2</v>
      </c>
      <c r="F326" s="9">
        <f t="shared" ca="1" si="31"/>
        <v>0.13809235730869673</v>
      </c>
      <c r="G326" s="13">
        <f ca="1">IF((Prices!C326-Prices!C325)*C326&gt;0,1,0)</f>
        <v>0</v>
      </c>
      <c r="H326" s="9">
        <f>ABS(Prices!C326-Prices!C325)/Prices!C325</f>
        <v>7.2662683675119824E-4</v>
      </c>
      <c r="I326" s="13"/>
      <c r="J326" s="1">
        <f t="shared" ca="1" si="32"/>
        <v>-8.1021317961531031E-4</v>
      </c>
      <c r="K326" s="9"/>
      <c r="L326" s="9">
        <f ca="1">L325-O326*Prices!C326</f>
        <v>1.6088147886009529</v>
      </c>
      <c r="M326" s="1">
        <f t="shared" ca="1" si="33"/>
        <v>5.5959066071793757E-3</v>
      </c>
      <c r="N326" s="9">
        <f ca="1">IF(Prices!D325&gt;OFFSET(Prices!D325,-$N$3,0),1,-1)</f>
        <v>-1</v>
      </c>
      <c r="O326" s="1">
        <f ca="1">IF(N326=1,O$3*L325/Prices!C325,-O$3*M325)</f>
        <v>-6.2176740079770846E-4</v>
      </c>
      <c r="P326" s="14"/>
      <c r="Q326" s="9">
        <f ca="1">Q325-T326*Prices!C326</f>
        <v>1.1100321486607136</v>
      </c>
      <c r="R326" s="1">
        <f t="shared" ca="1" si="34"/>
        <v>9.2338431620624922E-3</v>
      </c>
      <c r="S326" s="9">
        <f ca="1">IF(Prices!C325&lt;OFFSET(Prices!C325,-S$3,0),1,-1)</f>
        <v>-1</v>
      </c>
      <c r="T326" s="1">
        <f ca="1">IF(S326=1,T$3*Q325/Prices!C325,-T$3*R325)</f>
        <v>-1.8844577881760188E-4</v>
      </c>
      <c r="V326" s="9"/>
      <c r="W326" s="1"/>
      <c r="X326" s="1"/>
      <c r="Y326" s="1"/>
      <c r="Z326" s="1"/>
      <c r="AA326" s="1"/>
      <c r="AB326" s="1"/>
      <c r="AC326" s="1"/>
      <c r="AD326" s="1"/>
      <c r="AE326" s="16"/>
    </row>
    <row r="327" spans="1:31" x14ac:dyDescent="0.2">
      <c r="A327" s="4">
        <v>33963</v>
      </c>
      <c r="B327" s="9">
        <f ca="1">Prices!C326*(1+J327/(50*(ABS(O327)+ABS(T327)+0.0001)))</f>
        <v>125.69381440672748</v>
      </c>
      <c r="C327" s="21">
        <f t="shared" ca="1" si="29"/>
        <v>1</v>
      </c>
      <c r="D327" s="9">
        <f ca="1">D326+C327*(Prices!C327-Prices!C326)/Prices!C326</f>
        <v>7.705298362694607E-2</v>
      </c>
      <c r="E327" s="9">
        <f t="shared" ca="1" si="30"/>
        <v>6.1039373681750664E-2</v>
      </c>
      <c r="F327" s="9">
        <f t="shared" ca="1" si="31"/>
        <v>0.13809235730869673</v>
      </c>
      <c r="G327" s="13">
        <f ca="1">IF((Prices!C327-Prices!C326)*C327&gt;0,1,0)</f>
        <v>0</v>
      </c>
      <c r="H327" s="9">
        <f>ABS(Prices!C327-Prices!C326)/Prices!C326</f>
        <v>2.0169423154497781E-3</v>
      </c>
      <c r="I327" s="13"/>
      <c r="J327" s="1">
        <f t="shared" ca="1" si="32"/>
        <v>1.1132777866990106E-3</v>
      </c>
      <c r="K327" s="9"/>
      <c r="L327" s="9">
        <f ca="1">L326-O327*Prices!C327</f>
        <v>1.4482577984033427</v>
      </c>
      <c r="M327" s="1">
        <f t="shared" ca="1" si="33"/>
        <v>6.8938612571196357E-3</v>
      </c>
      <c r="N327" s="9">
        <f ca="1">IF(Prices!D326&gt;OFFSET(Prices!D326,-$N$3,0),1,-1)</f>
        <v>1</v>
      </c>
      <c r="O327" s="1">
        <f ca="1">IF(N327=1,O$3*L326/Prices!C326,-O$3*M326)</f>
        <v>1.2979546499402605E-3</v>
      </c>
      <c r="P327" s="14"/>
      <c r="Q327" s="9">
        <f ca="1">Q326-T327*Prices!C327</f>
        <v>1.1328766766436562</v>
      </c>
      <c r="R327" s="1">
        <f t="shared" ca="1" si="34"/>
        <v>9.0491662988212429E-3</v>
      </c>
      <c r="S327" s="9">
        <f ca="1">IF(Prices!C326&lt;OFFSET(Prices!C326,-S$3,0),1,-1)</f>
        <v>-1</v>
      </c>
      <c r="T327" s="1">
        <f ca="1">IF(S327=1,T$3*Q326/Prices!C326,-T$3*R326)</f>
        <v>-1.8467686324124985E-4</v>
      </c>
      <c r="V327" s="9"/>
      <c r="W327" s="1"/>
      <c r="X327" s="1"/>
      <c r="Y327" s="1"/>
      <c r="Z327" s="1"/>
      <c r="AA327" s="1"/>
      <c r="AB327" s="1"/>
      <c r="AC327" s="1"/>
      <c r="AD327" s="1"/>
      <c r="AE327" s="16"/>
    </row>
    <row r="328" spans="1:31" x14ac:dyDescent="0.2">
      <c r="A328" s="4">
        <v>33966</v>
      </c>
      <c r="B328" s="9">
        <f ca="1">Prices!C327*(1+J328/(50*(ABS(O328)+ABS(T328)+0.0001)))</f>
        <v>125.38674796902392</v>
      </c>
      <c r="C328" s="21">
        <f t="shared" ca="1" si="29"/>
        <v>1</v>
      </c>
      <c r="D328" s="9">
        <f ca="1">D327+C328*(Prices!C328-Prices!C327)/Prices!C327</f>
        <v>8.715807659380137E-2</v>
      </c>
      <c r="E328" s="9">
        <f t="shared" ca="1" si="30"/>
        <v>5.0934280714895364E-2</v>
      </c>
      <c r="F328" s="9">
        <f t="shared" ca="1" si="31"/>
        <v>0.13809235730869673</v>
      </c>
      <c r="G328" s="13">
        <f ca="1">IF((Prices!C328-Prices!C327)*C328&gt;0,1,0)</f>
        <v>1</v>
      </c>
      <c r="H328" s="9">
        <f>ABS(Prices!C328-Prices!C327)/Prices!C327</f>
        <v>1.0105092966855295E-2</v>
      </c>
      <c r="I328" s="13"/>
      <c r="J328" s="1">
        <f t="shared" ca="1" si="32"/>
        <v>9.8979904945069113E-4</v>
      </c>
      <c r="K328" s="9"/>
      <c r="L328" s="9">
        <f ca="1">L327-O328*Prices!C328</f>
        <v>1.3019685405937245</v>
      </c>
      <c r="M328" s="1">
        <f t="shared" ca="1" si="33"/>
        <v>8.0646436325467509E-3</v>
      </c>
      <c r="N328" s="9">
        <f ca="1">IF(Prices!D327&gt;OFFSET(Prices!D327,-$N$3,0),1,-1)</f>
        <v>1</v>
      </c>
      <c r="O328" s="1">
        <f ca="1">IF(N328=1,O$3*L327/Prices!C327,-O$3*M327)</f>
        <v>1.170782375427116E-3</v>
      </c>
      <c r="P328" s="14"/>
      <c r="Q328" s="9">
        <f ca="1">Q327-T328*Prices!C328</f>
        <v>1.1554905432244105</v>
      </c>
      <c r="R328" s="1">
        <f t="shared" ca="1" si="34"/>
        <v>8.8681829728448174E-3</v>
      </c>
      <c r="S328" s="9">
        <f ca="1">IF(Prices!C327&lt;OFFSET(Prices!C327,-S$3,0),1,-1)</f>
        <v>-1</v>
      </c>
      <c r="T328" s="1">
        <f ca="1">IF(S328=1,T$3*Q327/Prices!C327,-T$3*R327)</f>
        <v>-1.8098332597642487E-4</v>
      </c>
      <c r="V328" s="9"/>
      <c r="W328" s="1"/>
      <c r="X328" s="1"/>
      <c r="Y328" s="1"/>
      <c r="Z328" s="1"/>
      <c r="AA328" s="1"/>
      <c r="AB328" s="1"/>
      <c r="AC328" s="1"/>
      <c r="AD328" s="1"/>
      <c r="AE328" s="16"/>
    </row>
    <row r="329" spans="1:31" x14ac:dyDescent="0.2">
      <c r="A329" s="4">
        <v>33967</v>
      </c>
      <c r="B329" s="9">
        <f ca="1">Prices!C328*(1+J329/(50*(ABS(O329)+ABS(T329)+0.0001)))</f>
        <v>126.58769783234388</v>
      </c>
      <c r="C329" s="21">
        <f t="shared" ca="1" si="29"/>
        <v>1</v>
      </c>
      <c r="D329" s="9">
        <f ca="1">D328+C329*(Prices!C329-Prices!C328)/Prices!C328</f>
        <v>8.5397372312088687E-2</v>
      </c>
      <c r="E329" s="9">
        <f t="shared" ca="1" si="30"/>
        <v>5.2694984996608046E-2</v>
      </c>
      <c r="F329" s="9">
        <f t="shared" ca="1" si="31"/>
        <v>0.13809235730869673</v>
      </c>
      <c r="G329" s="13">
        <f ca="1">IF((Prices!C329-Prices!C328)*C329&gt;0,1,0)</f>
        <v>0</v>
      </c>
      <c r="H329" s="9">
        <f>ABS(Prices!C329-Prices!C328)/Prices!C328</f>
        <v>1.7607042817126758E-3</v>
      </c>
      <c r="I329" s="13"/>
      <c r="J329" s="1">
        <f t="shared" ca="1" si="32"/>
        <v>8.6462796966973391E-4</v>
      </c>
      <c r="K329" s="9"/>
      <c r="L329" s="9">
        <f ca="1">L328-O329*Prices!C329</f>
        <v>1.1720009246927598</v>
      </c>
      <c r="M329" s="1">
        <f t="shared" ca="1" si="33"/>
        <v>9.106635261673381E-3</v>
      </c>
      <c r="N329" s="9">
        <f ca="1">IF(Prices!D328&gt;OFFSET(Prices!D328,-$N$3,0),1,-1)</f>
        <v>1</v>
      </c>
      <c r="O329" s="1">
        <f ca="1">IF(N329=1,O$3*L328/Prices!C328,-O$3*M328)</f>
        <v>1.0419916291266303E-3</v>
      </c>
      <c r="P329" s="14"/>
      <c r="Q329" s="9">
        <f ca="1">Q328-T329*Prices!C329</f>
        <v>1.1776131124684692</v>
      </c>
      <c r="R329" s="1">
        <f t="shared" ca="1" si="34"/>
        <v>8.6908193133879205E-3</v>
      </c>
      <c r="S329" s="9">
        <f ca="1">IF(Prices!C328&lt;OFFSET(Prices!C328,-S$3,0),1,-1)</f>
        <v>-1</v>
      </c>
      <c r="T329" s="1">
        <f ca="1">IF(S329=1,T$3*Q328/Prices!C328,-T$3*R328)</f>
        <v>-1.7736365945689636E-4</v>
      </c>
      <c r="V329" s="9"/>
      <c r="W329" s="1"/>
      <c r="X329" s="1"/>
      <c r="Y329" s="1"/>
      <c r="Z329" s="1"/>
      <c r="AA329" s="1"/>
      <c r="AB329" s="1"/>
      <c r="AC329" s="1"/>
      <c r="AD329" s="1"/>
      <c r="AE329" s="16"/>
    </row>
    <row r="330" spans="1:31" x14ac:dyDescent="0.2">
      <c r="A330" s="4">
        <v>33968</v>
      </c>
      <c r="B330" s="9">
        <f ca="1">Prices!C329*(1+J330/(50*(ABS(O330)+ABS(T330)+0.0001)))</f>
        <v>122.44600720184536</v>
      </c>
      <c r="C330" s="21">
        <f t="shared" ca="1" si="29"/>
        <v>-1</v>
      </c>
      <c r="D330" s="9">
        <f ca="1">D329+C330*(Prices!C330-Prices!C329)/Prices!C329</f>
        <v>8.6038757704536367E-2</v>
      </c>
      <c r="E330" s="9">
        <f t="shared" ca="1" si="30"/>
        <v>5.2053599604160367E-2</v>
      </c>
      <c r="F330" s="9">
        <f t="shared" ca="1" si="31"/>
        <v>0.13809235730869673</v>
      </c>
      <c r="G330" s="13">
        <f ca="1">IF((Prices!C330-Prices!C329)*C330&gt;0,1,0)</f>
        <v>1</v>
      </c>
      <c r="H330" s="9">
        <f>ABS(Prices!C330-Prices!C329)/Prices!C329</f>
        <v>6.4138539244767328E-4</v>
      </c>
      <c r="I330" s="13"/>
      <c r="J330" s="1">
        <f t="shared" ca="1" si="32"/>
        <v>-1.0844799124350966E-3</v>
      </c>
      <c r="K330" s="9"/>
      <c r="L330" s="9">
        <f ca="1">L329-O330*Prices!C330</f>
        <v>1.2855151332295185</v>
      </c>
      <c r="M330" s="1">
        <f t="shared" ca="1" si="33"/>
        <v>8.195971735506043E-3</v>
      </c>
      <c r="N330" s="9">
        <f ca="1">IF(Prices!D329&gt;OFFSET(Prices!D329,-$N$3,0),1,-1)</f>
        <v>-1</v>
      </c>
      <c r="O330" s="1">
        <f ca="1">IF(N330=1,O$3*L329/Prices!C329,-O$3*M329)</f>
        <v>-9.1066352616733814E-4</v>
      </c>
      <c r="P330" s="14"/>
      <c r="Q330" s="9">
        <f ca="1">Q329-T330*Prices!C330</f>
        <v>1.1992793250167453</v>
      </c>
      <c r="R330" s="1">
        <f t="shared" ca="1" si="34"/>
        <v>8.5170029271201628E-3</v>
      </c>
      <c r="S330" s="9">
        <f ca="1">IF(Prices!C329&lt;OFFSET(Prices!C329,-S$3,0),1,-1)</f>
        <v>-1</v>
      </c>
      <c r="T330" s="1">
        <f ca="1">IF(S330=1,T$3*Q329/Prices!C329,-T$3*R329)</f>
        <v>-1.7381638626775842E-4</v>
      </c>
      <c r="V330" s="9"/>
      <c r="W330" s="1"/>
      <c r="X330" s="1"/>
      <c r="Y330" s="1"/>
      <c r="Z330" s="1"/>
      <c r="AA330" s="1"/>
      <c r="AB330" s="1"/>
      <c r="AC330" s="1"/>
      <c r="AD330" s="1"/>
      <c r="AE330" s="16"/>
    </row>
    <row r="331" spans="1:31" x14ac:dyDescent="0.2">
      <c r="A331" s="4">
        <v>33969</v>
      </c>
      <c r="B331" s="9">
        <f ca="1">Prices!C330*(1+J331/(50*(ABS(O331)+ABS(T331)+0.0001)))</f>
        <v>122.3857287677303</v>
      </c>
      <c r="C331" s="21">
        <f t="shared" ca="1" si="29"/>
        <v>-1</v>
      </c>
      <c r="D331" s="9">
        <f ca="1">D330+C331*(Prices!C331-Prices!C330)/Prices!C330</f>
        <v>8.4354040496353505E-2</v>
      </c>
      <c r="E331" s="9">
        <f t="shared" ca="1" si="30"/>
        <v>5.3738316812343229E-2</v>
      </c>
      <c r="F331" s="9">
        <f t="shared" ca="1" si="31"/>
        <v>0.13809235730869673</v>
      </c>
      <c r="G331" s="13">
        <f ca="1">IF((Prices!C331-Prices!C330)*C331&gt;0,1,0)</f>
        <v>0</v>
      </c>
      <c r="H331" s="9">
        <f>ABS(Prices!C331-Prices!C330)/Prices!C330</f>
        <v>1.6847172081828619E-3</v>
      </c>
      <c r="I331" s="13"/>
      <c r="J331" s="1">
        <f t="shared" ca="1" si="32"/>
        <v>-9.8993723209300755E-4</v>
      </c>
      <c r="K331" s="9"/>
      <c r="L331" s="9">
        <f ca="1">L330-O331*Prices!C331</f>
        <v>1.3878500363190469</v>
      </c>
      <c r="M331" s="1">
        <f t="shared" ca="1" si="33"/>
        <v>7.3763745619554386E-3</v>
      </c>
      <c r="N331" s="9">
        <f ca="1">IF(Prices!D330&gt;OFFSET(Prices!D330,-$N$3,0),1,-1)</f>
        <v>-1</v>
      </c>
      <c r="O331" s="1">
        <f ca="1">IF(N331=1,O$3*L330/Prices!C330,-O$3*M330)</f>
        <v>-8.1959717355060437E-4</v>
      </c>
      <c r="P331" s="14"/>
      <c r="Q331" s="9">
        <f ca="1">Q330-T331*Prices!C331</f>
        <v>1.2205479847263498</v>
      </c>
      <c r="R331" s="1">
        <f t="shared" ca="1" si="34"/>
        <v>8.3466628685777595E-3</v>
      </c>
      <c r="S331" s="9">
        <f ca="1">IF(Prices!C330&lt;OFFSET(Prices!C330,-S$3,0),1,-1)</f>
        <v>-1</v>
      </c>
      <c r="T331" s="1">
        <f ca="1">IF(S331=1,T$3*Q330/Prices!C330,-T$3*R330)</f>
        <v>-1.7034005854240326E-4</v>
      </c>
      <c r="V331" s="9"/>
      <c r="W331" s="1"/>
      <c r="X331" s="1"/>
      <c r="Y331" s="1"/>
      <c r="Z331" s="1"/>
      <c r="AA331" s="1"/>
      <c r="AB331" s="1"/>
      <c r="AC331" s="1"/>
      <c r="AD331" s="1"/>
      <c r="AE331" s="16"/>
    </row>
    <row r="332" spans="1:31" x14ac:dyDescent="0.2">
      <c r="A332" s="4">
        <v>33970</v>
      </c>
      <c r="B332" s="9">
        <f ca="1">Prices!C331*(1+J332/(50*(ABS(O332)+ABS(T332)+0.0001)))</f>
        <v>126.57121210058277</v>
      </c>
      <c r="C332" s="21">
        <f t="shared" ca="1" si="29"/>
        <v>1</v>
      </c>
      <c r="D332" s="9">
        <f ca="1">D331+C332*(Prices!C332-Prices!C331)/Prices!C331</f>
        <v>8.4354040496353505E-2</v>
      </c>
      <c r="E332" s="9">
        <f t="shared" ca="1" si="30"/>
        <v>5.3738316812343229E-2</v>
      </c>
      <c r="F332" s="9">
        <f t="shared" ca="1" si="31"/>
        <v>0.13809235730869673</v>
      </c>
      <c r="G332" s="13">
        <f ca="1">IF((Prices!C332-Prices!C331)*C332&gt;0,1,0)</f>
        <v>0</v>
      </c>
      <c r="H332" s="9">
        <f>ABS(Prices!C332-Prices!C331)/Prices!C331</f>
        <v>0</v>
      </c>
      <c r="I332" s="13"/>
      <c r="J332" s="1">
        <f t="shared" ca="1" si="32"/>
        <v>9.4459167961310499E-4</v>
      </c>
      <c r="K332" s="9"/>
      <c r="L332" s="9">
        <f ca="1">L331-O332*Prices!C332</f>
        <v>1.2490650326871422</v>
      </c>
      <c r="M332" s="1">
        <f t="shared" ca="1" si="33"/>
        <v>8.4878994989400994E-3</v>
      </c>
      <c r="N332" s="9">
        <f ca="1">IF(Prices!D331&gt;OFFSET(Prices!D331,-$N$3,0),1,-1)</f>
        <v>1</v>
      </c>
      <c r="O332" s="1">
        <f ca="1">IF(N332=1,O$3*L331/Prices!C331,-O$3*M331)</f>
        <v>1.1115249369846602E-3</v>
      </c>
      <c r="P332" s="14"/>
      <c r="Q332" s="9">
        <f ca="1">Q331-T332*Prices!C332</f>
        <v>1.2413912712417623</v>
      </c>
      <c r="R332" s="1">
        <f t="shared" ca="1" si="34"/>
        <v>8.1797296112062039E-3</v>
      </c>
      <c r="S332" s="9">
        <f ca="1">IF(Prices!C331&lt;OFFSET(Prices!C331,-S$3,0),1,-1)</f>
        <v>-1</v>
      </c>
      <c r="T332" s="1">
        <f ca="1">IF(S332=1,T$3*Q331/Prices!C331,-T$3*R331)</f>
        <v>-1.6693325737155519E-4</v>
      </c>
      <c r="V332" s="9"/>
      <c r="W332" s="1"/>
      <c r="X332" s="1"/>
      <c r="Y332" s="1"/>
      <c r="Z332" s="1"/>
      <c r="AA332" s="1"/>
      <c r="AB332" s="1"/>
      <c r="AC332" s="1"/>
      <c r="AD332" s="1"/>
      <c r="AE332" s="16"/>
    </row>
    <row r="333" spans="1:31" x14ac:dyDescent="0.2">
      <c r="A333" s="4">
        <v>33973</v>
      </c>
      <c r="B333" s="9">
        <f ca="1">Prices!C332*(1+J333/(50*(ABS(O333)+ABS(T333)+0.0001)))</f>
        <v>127.16499203536875</v>
      </c>
      <c r="C333" s="21">
        <f t="shared" ca="1" si="29"/>
        <v>1</v>
      </c>
      <c r="D333" s="9">
        <f ca="1">D332+C333*(Prices!C333-Prices!C332)/Prices!C332</f>
        <v>8.8278435819114959E-2</v>
      </c>
      <c r="E333" s="9">
        <f t="shared" ca="1" si="30"/>
        <v>4.9813921489581775E-2</v>
      </c>
      <c r="F333" s="9">
        <f t="shared" ca="1" si="31"/>
        <v>0.13809235730869673</v>
      </c>
      <c r="G333" s="13">
        <f ca="1">IF((Prices!C333-Prices!C332)*C333&gt;0,1,0)</f>
        <v>1</v>
      </c>
      <c r="H333" s="9">
        <f>ABS(Prices!C333-Prices!C332)/Prices!C332</f>
        <v>3.9243953227614519E-3</v>
      </c>
      <c r="I333" s="13"/>
      <c r="J333" s="1">
        <f t="shared" ca="1" si="32"/>
        <v>1.1992177534322398E-3</v>
      </c>
      <c r="K333" s="9"/>
      <c r="L333" s="9">
        <f ca="1">L332-O333*Prices!C333</f>
        <v>1.1236683469212179</v>
      </c>
      <c r="M333" s="1">
        <f t="shared" ca="1" si="33"/>
        <v>9.488271942226293E-3</v>
      </c>
      <c r="N333" s="9">
        <f ca="1">IF(Prices!D332&gt;OFFSET(Prices!D332,-$N$3,0),1,-1)</f>
        <v>1</v>
      </c>
      <c r="O333" s="1">
        <f ca="1">IF(N333=1,O$3*L332/Prices!C332,-O$3*M332)</f>
        <v>1.0003724432861942E-3</v>
      </c>
      <c r="P333" s="14"/>
      <c r="Q333" s="9">
        <f ca="1">Q332-T333*Prices!C333</f>
        <v>1.2164660116149555</v>
      </c>
      <c r="R333" s="1">
        <f t="shared" ca="1" si="34"/>
        <v>8.3785749213522494E-3</v>
      </c>
      <c r="S333" s="9">
        <f ca="1">IF(Prices!C332&lt;OFFSET(Prices!C332,-S$3,0),1,-1)</f>
        <v>1</v>
      </c>
      <c r="T333" s="1">
        <f ca="1">IF(S333=1,T$3*Q332/Prices!C332,-T$3*R332)</f>
        <v>1.9884531014604555E-4</v>
      </c>
      <c r="V333" s="9"/>
      <c r="W333" s="1"/>
      <c r="X333" s="1"/>
      <c r="Y333" s="1"/>
      <c r="Z333" s="1"/>
      <c r="AA333" s="1"/>
      <c r="AB333" s="1"/>
      <c r="AC333" s="1"/>
      <c r="AD333" s="1"/>
      <c r="AE333" s="16"/>
    </row>
    <row r="334" spans="1:31" x14ac:dyDescent="0.2">
      <c r="A334" s="4">
        <v>33974</v>
      </c>
      <c r="B334" s="9">
        <f ca="1">Prices!C333*(1+J334/(50*(ABS(O334)+ABS(T334)+0.0001)))</f>
        <v>123.04910018862638</v>
      </c>
      <c r="C334" s="21">
        <f t="shared" ca="1" si="29"/>
        <v>-1</v>
      </c>
      <c r="D334" s="9">
        <f ca="1">D333+C334*(Prices!C334-Prices!C333)/Prices!C333</f>
        <v>9.2267267091552141E-2</v>
      </c>
      <c r="E334" s="9">
        <f t="shared" ca="1" si="30"/>
        <v>4.5825090217144593E-2</v>
      </c>
      <c r="F334" s="9">
        <f t="shared" ca="1" si="31"/>
        <v>0.13809235730869673</v>
      </c>
      <c r="G334" s="13">
        <f ca="1">IF((Prices!C334-Prices!C333)*C334&gt;0,1,0)</f>
        <v>1</v>
      </c>
      <c r="H334" s="9">
        <f>ABS(Prices!C334-Prices!C333)/Prices!C333</f>
        <v>3.9888312724371761E-3</v>
      </c>
      <c r="I334" s="13"/>
      <c r="J334" s="1">
        <f t="shared" ca="1" si="32"/>
        <v>-1.1163986926496744E-3</v>
      </c>
      <c r="K334" s="9"/>
      <c r="L334" s="9">
        <f ca="1">L333-O334*Prices!C334</f>
        <v>1.2421294221199131</v>
      </c>
      <c r="M334" s="1">
        <f t="shared" ca="1" si="33"/>
        <v>8.5394447480036644E-3</v>
      </c>
      <c r="N334" s="9">
        <f ca="1">IF(Prices!D333&gt;OFFSET(Prices!D333,-$N$3,0),1,-1)</f>
        <v>-1</v>
      </c>
      <c r="O334" s="1">
        <f ca="1">IF(N334=1,O$3*L333/Prices!C333,-O$3*M333)</f>
        <v>-9.4882719422262937E-4</v>
      </c>
      <c r="P334" s="14"/>
      <c r="Q334" s="9">
        <f ca="1">Q333-T334*Prices!C334</f>
        <v>1.237387313193572</v>
      </c>
      <c r="R334" s="1">
        <f t="shared" ca="1" si="34"/>
        <v>8.211003422925205E-3</v>
      </c>
      <c r="S334" s="9">
        <f ca="1">IF(Prices!C333&lt;OFFSET(Prices!C333,-S$3,0),1,-1)</f>
        <v>-1</v>
      </c>
      <c r="T334" s="1">
        <f ca="1">IF(S334=1,T$3*Q333/Prices!C333,-T$3*R333)</f>
        <v>-1.6757149842704498E-4</v>
      </c>
      <c r="V334" s="9"/>
      <c r="W334" s="1"/>
      <c r="X334" s="1"/>
      <c r="Y334" s="1"/>
      <c r="Z334" s="1"/>
      <c r="AA334" s="1"/>
      <c r="AB334" s="1"/>
      <c r="AC334" s="1"/>
      <c r="AD334" s="1"/>
      <c r="AE334" s="16"/>
    </row>
    <row r="335" spans="1:31" x14ac:dyDescent="0.2">
      <c r="A335" s="4">
        <v>33975</v>
      </c>
      <c r="B335" s="9">
        <f ca="1">Prices!C334*(1+J335/(50*(ABS(O335)+ABS(T335)+0.0001)))</f>
        <v>122.57631239306895</v>
      </c>
      <c r="C335" s="21">
        <f t="shared" ca="1" si="29"/>
        <v>-1</v>
      </c>
      <c r="D335" s="9">
        <f ca="1">D334+C335*(Prices!C335-Prices!C334)/Prices!C334</f>
        <v>8.9704191400723082E-2</v>
      </c>
      <c r="E335" s="9">
        <f t="shared" ca="1" si="30"/>
        <v>4.8388165907973651E-2</v>
      </c>
      <c r="F335" s="9">
        <f t="shared" ca="1" si="31"/>
        <v>0.13809235730869673</v>
      </c>
      <c r="G335" s="13">
        <f ca="1">IF((Prices!C335-Prices!C334)*C335&gt;0,1,0)</f>
        <v>0</v>
      </c>
      <c r="H335" s="9">
        <f>ABS(Prices!C335-Prices!C334)/Prices!C334</f>
        <v>2.5630756908290543E-3</v>
      </c>
      <c r="I335" s="13"/>
      <c r="J335" s="1">
        <f t="shared" ca="1" si="32"/>
        <v>-1.0181645432588706E-3</v>
      </c>
      <c r="K335" s="9"/>
      <c r="L335" s="9">
        <f ca="1">L334-O335*Prices!C335</f>
        <v>1.3490176520306749</v>
      </c>
      <c r="M335" s="1">
        <f t="shared" ca="1" si="33"/>
        <v>7.6855002732032981E-3</v>
      </c>
      <c r="N335" s="9">
        <f ca="1">IF(Prices!D334&gt;OFFSET(Prices!D334,-$N$3,0),1,-1)</f>
        <v>-1</v>
      </c>
      <c r="O335" s="1">
        <f ca="1">IF(N335=1,O$3*L334/Prices!C334,-O$3*M334)</f>
        <v>-8.5394447480036649E-4</v>
      </c>
      <c r="P335" s="14"/>
      <c r="Q335" s="9">
        <f ca="1">Q334-T335*Prices!C335</f>
        <v>1.2579427391625229</v>
      </c>
      <c r="R335" s="1">
        <f t="shared" ca="1" si="34"/>
        <v>8.0467833544667008E-3</v>
      </c>
      <c r="S335" s="9">
        <f ca="1">IF(Prices!C334&lt;OFFSET(Prices!C334,-S$3,0),1,-1)</f>
        <v>-1</v>
      </c>
      <c r="T335" s="1">
        <f ca="1">IF(S335=1,T$3*Q334/Prices!C334,-T$3*R334)</f>
        <v>-1.6422006845850411E-4</v>
      </c>
      <c r="V335" s="9"/>
      <c r="W335" s="1"/>
      <c r="X335" s="1"/>
      <c r="Y335" s="1"/>
      <c r="Z335" s="1"/>
      <c r="AA335" s="1"/>
      <c r="AB335" s="1"/>
      <c r="AC335" s="1"/>
      <c r="AD335" s="1"/>
      <c r="AE335" s="16"/>
    </row>
    <row r="336" spans="1:31" x14ac:dyDescent="0.2">
      <c r="A336" s="4">
        <v>33976</v>
      </c>
      <c r="B336" s="9">
        <f ca="1">Prices!C335*(1+J336/(50*(ABS(O336)+ABS(T336)+0.0001)))</f>
        <v>126.88448143683085</v>
      </c>
      <c r="C336" s="21">
        <f t="shared" ca="1" si="29"/>
        <v>1</v>
      </c>
      <c r="D336" s="9">
        <f ca="1">D335+C336*(Prices!C336-Prices!C335)/Prices!C335</f>
        <v>9.0662887573927556E-2</v>
      </c>
      <c r="E336" s="9">
        <f t="shared" ca="1" si="30"/>
        <v>4.7429469734769178E-2</v>
      </c>
      <c r="F336" s="9">
        <f t="shared" ca="1" si="31"/>
        <v>0.13809235730869673</v>
      </c>
      <c r="G336" s="13">
        <f ca="1">IF((Prices!C336-Prices!C335)*C336&gt;0,1,0)</f>
        <v>1</v>
      </c>
      <c r="H336" s="9">
        <f>ABS(Prices!C336-Prices!C335)/Prices!C335</f>
        <v>9.586961732044783E-4</v>
      </c>
      <c r="I336" s="13"/>
      <c r="J336" s="1">
        <f t="shared" ca="1" si="32"/>
        <v>9.168127167332071E-4</v>
      </c>
      <c r="K336" s="9"/>
      <c r="L336" s="9">
        <f ca="1">L335-O336*Prices!C336</f>
        <v>1.2139865570215487</v>
      </c>
      <c r="M336" s="1">
        <f t="shared" ca="1" si="33"/>
        <v>8.7632486570258395E-3</v>
      </c>
      <c r="N336" s="9">
        <f ca="1">IF(Prices!D335&gt;OFFSET(Prices!D335,-$N$3,0),1,-1)</f>
        <v>1</v>
      </c>
      <c r="O336" s="1">
        <f ca="1">IF(N336=1,O$3*L335/Prices!C335,-O$3*M335)</f>
        <v>1.0777483838225411E-3</v>
      </c>
      <c r="P336" s="14"/>
      <c r="Q336" s="9">
        <f ca="1">Q335-T336*Prices!C336</f>
        <v>1.2781063688921455</v>
      </c>
      <c r="R336" s="1">
        <f t="shared" ca="1" si="34"/>
        <v>7.8858476873773665E-3</v>
      </c>
      <c r="S336" s="9">
        <f ca="1">IF(Prices!C335&lt;OFFSET(Prices!C335,-S$3,0),1,-1)</f>
        <v>-1</v>
      </c>
      <c r="T336" s="1">
        <f ca="1">IF(S336=1,T$3*Q335/Prices!C335,-T$3*R335)</f>
        <v>-1.6093566708933401E-4</v>
      </c>
      <c r="V336" s="9"/>
      <c r="W336" s="1"/>
      <c r="X336" s="1"/>
      <c r="Y336" s="1"/>
      <c r="Z336" s="1"/>
      <c r="AA336" s="1"/>
      <c r="AB336" s="1"/>
      <c r="AC336" s="1"/>
      <c r="AD336" s="1"/>
      <c r="AE336" s="16"/>
    </row>
    <row r="337" spans="1:31" x14ac:dyDescent="0.2">
      <c r="A337" s="4">
        <v>33977</v>
      </c>
      <c r="B337" s="9">
        <f ca="1">Prices!C336*(1+J337/(50*(ABS(O337)+ABS(T337)+0.0001)))</f>
        <v>126.94715753524194</v>
      </c>
      <c r="C337" s="21">
        <f t="shared" ca="1" si="29"/>
        <v>1</v>
      </c>
      <c r="D337" s="9">
        <f ca="1">D336+C337*(Prices!C337-Prices!C336)/Prices!C336</f>
        <v>9.1939924847452947E-2</v>
      </c>
      <c r="E337" s="9">
        <f t="shared" ca="1" si="30"/>
        <v>4.6152432461243786E-2</v>
      </c>
      <c r="F337" s="9">
        <f t="shared" ca="1" si="31"/>
        <v>0.13809235730869673</v>
      </c>
      <c r="G337" s="13">
        <f ca="1">IF((Prices!C337-Prices!C336)*C337&gt;0,1,0)</f>
        <v>1</v>
      </c>
      <c r="H337" s="9">
        <f>ABS(Prices!C337-Prices!C336)/Prices!C336</f>
        <v>1.2770372735253937E-3</v>
      </c>
      <c r="I337" s="13"/>
      <c r="J337" s="1">
        <f t="shared" ca="1" si="32"/>
        <v>8.112243480495224E-4</v>
      </c>
      <c r="K337" s="9"/>
      <c r="L337" s="9">
        <f ca="1">L336-O337*Prices!C337</f>
        <v>1.0924328707111062</v>
      </c>
      <c r="M337" s="1">
        <f t="shared" ca="1" si="33"/>
        <v>9.7321899588229087E-3</v>
      </c>
      <c r="N337" s="9">
        <f ca="1">IF(Prices!D336&gt;OFFSET(Prices!D336,-$N$3,0),1,-1)</f>
        <v>1</v>
      </c>
      <c r="O337" s="1">
        <f ca="1">IF(N337=1,O$3*L336/Prices!C336,-O$3*M336)</f>
        <v>9.6894130179706972E-4</v>
      </c>
      <c r="P337" s="14"/>
      <c r="Q337" s="9">
        <f ca="1">Q336-T337*Prices!C337</f>
        <v>1.2978919607397752</v>
      </c>
      <c r="R337" s="1">
        <f t="shared" ca="1" si="34"/>
        <v>7.7281307336298189E-3</v>
      </c>
      <c r="S337" s="9">
        <f ca="1">IF(Prices!C336&lt;OFFSET(Prices!C336,-S$3,0),1,-1)</f>
        <v>-1</v>
      </c>
      <c r="T337" s="1">
        <f ca="1">IF(S337=1,T$3*Q336/Prices!C336,-T$3*R336)</f>
        <v>-1.5771695374754732E-4</v>
      </c>
      <c r="V337" s="9"/>
      <c r="W337" s="1"/>
      <c r="X337" s="1"/>
      <c r="Y337" s="1"/>
      <c r="Z337" s="1"/>
      <c r="AA337" s="1"/>
      <c r="AB337" s="1"/>
      <c r="AC337" s="1"/>
      <c r="AD337" s="1"/>
      <c r="AE337" s="16"/>
    </row>
    <row r="338" spans="1:31" x14ac:dyDescent="0.2">
      <c r="A338" s="4">
        <v>33980</v>
      </c>
      <c r="B338" s="9">
        <f ca="1">Prices!C337*(1+J338/(50*(ABS(O338)+ABS(T338)+0.0001)))</f>
        <v>127.04686304883124</v>
      </c>
      <c r="C338" s="21">
        <f t="shared" ref="C338:C401" ca="1" si="35">IF(J338&gt;0,1,IF(J338&lt;0,-1,0))</f>
        <v>1</v>
      </c>
      <c r="D338" s="9">
        <f ca="1">D337+C338*(Prices!C338-Prices!C337)/Prices!C337</f>
        <v>8.9548533855025703E-2</v>
      </c>
      <c r="E338" s="9">
        <f t="shared" ref="E338:E401" ca="1" si="36">F338-D338</f>
        <v>4.8543823453671031E-2</v>
      </c>
      <c r="F338" s="9">
        <f t="shared" ref="F338:F401" ca="1" si="37">MAX(F337,D338)</f>
        <v>0.13809235730869673</v>
      </c>
      <c r="G338" s="13">
        <f ca="1">IF((Prices!C338-Prices!C337)*C338&gt;0,1,0)</f>
        <v>0</v>
      </c>
      <c r="H338" s="9">
        <f>ABS(Prices!C338-Prices!C337)/Prices!C337</f>
        <v>2.3913909924272391E-3</v>
      </c>
      <c r="I338" s="13"/>
      <c r="J338" s="1">
        <f t="shared" ref="J338:J401" ca="1" si="38">O338+T338</f>
        <v>7.1624876094406867E-4</v>
      </c>
      <c r="K338" s="9"/>
      <c r="L338" s="9">
        <f ca="1">L337-O338*Prices!C338</f>
        <v>0.9834508270526805</v>
      </c>
      <c r="M338" s="1">
        <f t="shared" ref="M338:M401" ca="1" si="39">M337+O338</f>
        <v>1.0603001334439574E-2</v>
      </c>
      <c r="N338" s="9">
        <f ca="1">IF(Prices!D337&gt;OFFSET(Prices!D337,-$N$3,0),1,-1)</f>
        <v>1</v>
      </c>
      <c r="O338" s="1">
        <f ca="1">IF(N338=1,O$3*L337/Prices!C337,-O$3*M337)</f>
        <v>8.7081137561666503E-4</v>
      </c>
      <c r="P338" s="14"/>
      <c r="Q338" s="9">
        <f ca="1">Q337-T338*Prices!C338</f>
        <v>1.3172354719660506</v>
      </c>
      <c r="R338" s="1">
        <f t="shared" ref="R338:R401" ca="1" si="40">R337+T338</f>
        <v>7.5735681189572227E-3</v>
      </c>
      <c r="S338" s="9">
        <f ca="1">IF(Prices!C337&lt;OFFSET(Prices!C337,-S$3,0),1,-1)</f>
        <v>-1</v>
      </c>
      <c r="T338" s="1">
        <f ca="1">IF(S338=1,T$3*Q337/Prices!C337,-T$3*R337)</f>
        <v>-1.5456261467259639E-4</v>
      </c>
      <c r="V338" s="9"/>
      <c r="W338" s="1"/>
      <c r="X338" s="1"/>
      <c r="Y338" s="1"/>
      <c r="Z338" s="1"/>
      <c r="AA338" s="1"/>
      <c r="AB338" s="1"/>
      <c r="AC338" s="1"/>
      <c r="AD338" s="1"/>
      <c r="AE338" s="16"/>
    </row>
    <row r="339" spans="1:31" x14ac:dyDescent="0.2">
      <c r="A339" s="4">
        <v>33981</v>
      </c>
      <c r="B339" s="9">
        <f ca="1">Prices!C338*(1+J339/(50*(ABS(O339)+ABS(T339)+0.0001)))</f>
        <v>122.83781067152093</v>
      </c>
      <c r="C339" s="21">
        <f t="shared" ca="1" si="35"/>
        <v>-1</v>
      </c>
      <c r="D339" s="9">
        <f ca="1">D338+C339*(Prices!C339-Prices!C338)/Prices!C338</f>
        <v>8.7950451553787279E-2</v>
      </c>
      <c r="E339" s="9">
        <f t="shared" ca="1" si="36"/>
        <v>5.0141905754909455E-2</v>
      </c>
      <c r="F339" s="9">
        <f t="shared" ca="1" si="37"/>
        <v>0.13809235730869673</v>
      </c>
      <c r="G339" s="13">
        <f ca="1">IF((Prices!C339-Prices!C338)*C339&gt;0,1,0)</f>
        <v>0</v>
      </c>
      <c r="H339" s="9">
        <f>ABS(Prices!C339-Prices!C338)/Prices!C338</f>
        <v>1.5980823012384229E-3</v>
      </c>
      <c r="I339" s="13"/>
      <c r="J339" s="1">
        <f t="shared" ca="1" si="38"/>
        <v>-1.2117714958231019E-3</v>
      </c>
      <c r="K339" s="9"/>
      <c r="L339" s="9">
        <f ca="1">L338-O339*Prices!C339</f>
        <v>1.1163594487798805</v>
      </c>
      <c r="M339" s="1">
        <f t="shared" ca="1" si="39"/>
        <v>9.5427012009956166E-3</v>
      </c>
      <c r="N339" s="9">
        <f ca="1">IF(Prices!D338&gt;OFFSET(Prices!D338,-$N$3,0),1,-1)</f>
        <v>-1</v>
      </c>
      <c r="O339" s="1">
        <f ca="1">IF(N339=1,O$3*L338/Prices!C338,-O$3*M338)</f>
        <v>-1.0603001334439574E-3</v>
      </c>
      <c r="P339" s="14"/>
      <c r="Q339" s="9">
        <f ca="1">Q338-T339*Prices!C339</f>
        <v>1.3362224072402764</v>
      </c>
      <c r="R339" s="1">
        <f t="shared" ca="1" si="40"/>
        <v>7.4220967565780784E-3</v>
      </c>
      <c r="S339" s="9">
        <f ca="1">IF(Prices!C338&lt;OFFSET(Prices!C338,-S$3,0),1,-1)</f>
        <v>-1</v>
      </c>
      <c r="T339" s="1">
        <f ca="1">IF(S339=1,T$3*Q338/Prices!C338,-T$3*R338)</f>
        <v>-1.5147136237914446E-4</v>
      </c>
      <c r="V339" s="9"/>
      <c r="W339" s="1"/>
      <c r="X339" s="1"/>
      <c r="Y339" s="1"/>
      <c r="Z339" s="1"/>
      <c r="AA339" s="1"/>
      <c r="AB339" s="1"/>
      <c r="AC339" s="1"/>
      <c r="AD339" s="1"/>
      <c r="AE339" s="16"/>
    </row>
    <row r="340" spans="1:31" x14ac:dyDescent="0.2">
      <c r="A340" s="4">
        <v>33982</v>
      </c>
      <c r="B340" s="9">
        <f ca="1">Prices!C339*(1+J340/(50*(ABS(O340)+ABS(T340)+0.0001)))</f>
        <v>123.05144557008437</v>
      </c>
      <c r="C340" s="21">
        <f t="shared" ca="1" si="35"/>
        <v>-1</v>
      </c>
      <c r="D340" s="9">
        <f ca="1">D339+C340*(Prices!C340-Prices!C339)/Prices!C339</f>
        <v>8.5397599539427424E-2</v>
      </c>
      <c r="E340" s="9">
        <f t="shared" ca="1" si="36"/>
        <v>5.269475776926931E-2</v>
      </c>
      <c r="F340" s="9">
        <f t="shared" ca="1" si="37"/>
        <v>0.13809235730869673</v>
      </c>
      <c r="G340" s="13">
        <f ca="1">IF((Prices!C340-Prices!C339)*C340&gt;0,1,0)</f>
        <v>0</v>
      </c>
      <c r="H340" s="9">
        <f>ABS(Prices!C340-Prices!C339)/Prices!C339</f>
        <v>2.5528520143598518E-3</v>
      </c>
      <c r="I340" s="13"/>
      <c r="J340" s="1">
        <f t="shared" ca="1" si="38"/>
        <v>-1.1027120552311233E-3</v>
      </c>
      <c r="K340" s="9"/>
      <c r="L340" s="9">
        <f ca="1">L339-O340*Prices!C340</f>
        <v>1.2362825747727924</v>
      </c>
      <c r="M340" s="1">
        <f t="shared" ca="1" si="39"/>
        <v>8.5884310808960543E-3</v>
      </c>
      <c r="N340" s="9">
        <f ca="1">IF(Prices!D339&gt;OFFSET(Prices!D339,-$N$3,0),1,-1)</f>
        <v>-1</v>
      </c>
      <c r="O340" s="1">
        <f ca="1">IF(N340=1,O$3*L339/Prices!C339,-O$3*M339)</f>
        <v>-9.5427012009956171E-4</v>
      </c>
      <c r="P340" s="14"/>
      <c r="Q340" s="9">
        <f ca="1">Q339-T340*Prices!C340</f>
        <v>1.3548771052282598</v>
      </c>
      <c r="R340" s="1">
        <f t="shared" ca="1" si="40"/>
        <v>7.2736548214465168E-3</v>
      </c>
      <c r="S340" s="9">
        <f ca="1">IF(Prices!C339&lt;OFFSET(Prices!C339,-S$3,0),1,-1)</f>
        <v>-1</v>
      </c>
      <c r="T340" s="1">
        <f ca="1">IF(S340=1,T$3*Q339/Prices!C339,-T$3*R339)</f>
        <v>-1.4844193513156157E-4</v>
      </c>
      <c r="V340" s="9"/>
      <c r="W340" s="1"/>
      <c r="X340" s="1"/>
      <c r="Y340" s="1"/>
      <c r="Z340" s="1"/>
      <c r="AA340" s="1"/>
      <c r="AB340" s="1"/>
      <c r="AC340" s="1"/>
      <c r="AD340" s="1"/>
      <c r="AE340" s="16"/>
    </row>
    <row r="341" spans="1:31" x14ac:dyDescent="0.2">
      <c r="A341" s="4">
        <v>33983</v>
      </c>
      <c r="B341" s="9">
        <f ca="1">Prices!C340*(1+J341/(50*(ABS(O341)+ABS(T341)+0.0001)))</f>
        <v>123.38419785555224</v>
      </c>
      <c r="C341" s="21">
        <f t="shared" ca="1" si="35"/>
        <v>-1</v>
      </c>
      <c r="D341" s="9">
        <f ca="1">D340+C341*(Prices!C341-Prices!C340)/Prices!C340</f>
        <v>8.3726556331024507E-2</v>
      </c>
      <c r="E341" s="9">
        <f t="shared" ca="1" si="36"/>
        <v>5.4365800977672227E-2</v>
      </c>
      <c r="F341" s="9">
        <f t="shared" ca="1" si="37"/>
        <v>0.13809235730869673</v>
      </c>
      <c r="G341" s="13">
        <f ca="1">IF((Prices!C341-Prices!C340)*C341&gt;0,1,0)</f>
        <v>0</v>
      </c>
      <c r="H341" s="9">
        <f>ABS(Prices!C341-Prices!C340)/Prices!C340</f>
        <v>1.6710432084029103E-3</v>
      </c>
      <c r="I341" s="13"/>
      <c r="J341" s="1">
        <f t="shared" ca="1" si="38"/>
        <v>-1.0043162045185359E-3</v>
      </c>
      <c r="K341" s="9"/>
      <c r="L341" s="9">
        <f ca="1">L340-O341*Prices!C341</f>
        <v>1.3443937452191119</v>
      </c>
      <c r="M341" s="1">
        <f t="shared" ca="1" si="39"/>
        <v>7.7295879728064487E-3</v>
      </c>
      <c r="N341" s="9">
        <f ca="1">IF(Prices!D340&gt;OFFSET(Prices!D340,-$N$3,0),1,-1)</f>
        <v>-1</v>
      </c>
      <c r="O341" s="1">
        <f ca="1">IF(N341=1,O$3*L340/Prices!C340,-O$3*M340)</f>
        <v>-8.5884310808960549E-4</v>
      </c>
      <c r="P341" s="14"/>
      <c r="Q341" s="9">
        <f ca="1">Q340-T341*Prices!C341</f>
        <v>1.3731892586067336</v>
      </c>
      <c r="R341" s="1">
        <f t="shared" ca="1" si="40"/>
        <v>7.1281817250175867E-3</v>
      </c>
      <c r="S341" s="9">
        <f ca="1">IF(Prices!C340&lt;OFFSET(Prices!C340,-S$3,0),1,-1)</f>
        <v>-1</v>
      </c>
      <c r="T341" s="1">
        <f ca="1">IF(S341=1,T$3*Q340/Prices!C340,-T$3*R340)</f>
        <v>-1.4547309642893035E-4</v>
      </c>
      <c r="V341" s="9"/>
      <c r="W341" s="1"/>
      <c r="X341" s="1"/>
      <c r="Y341" s="1"/>
      <c r="Z341" s="1"/>
      <c r="AA341" s="1"/>
      <c r="AB341" s="1"/>
      <c r="AC341" s="1"/>
      <c r="AD341" s="1"/>
      <c r="AE341" s="16"/>
    </row>
    <row r="342" spans="1:31" x14ac:dyDescent="0.2">
      <c r="A342" s="4">
        <v>33984</v>
      </c>
      <c r="B342" s="9">
        <f ca="1">Prices!C341*(1+J342/(50*(ABS(O342)+ABS(T342)+0.0001)))</f>
        <v>123.61031180590513</v>
      </c>
      <c r="C342" s="21">
        <f t="shared" ca="1" si="35"/>
        <v>-1</v>
      </c>
      <c r="D342" s="9">
        <f ca="1">D341+C342*(Prices!C342-Prices!C341)/Prices!C341</f>
        <v>8.1978860112403601E-2</v>
      </c>
      <c r="E342" s="9">
        <f t="shared" ca="1" si="36"/>
        <v>5.6113497196293133E-2</v>
      </c>
      <c r="F342" s="9">
        <f t="shared" ca="1" si="37"/>
        <v>0.13809235730869673</v>
      </c>
      <c r="G342" s="13">
        <f ca="1">IF((Prices!C342-Prices!C341)*C342&gt;0,1,0)</f>
        <v>0</v>
      </c>
      <c r="H342" s="9">
        <f>ABS(Prices!C342-Prices!C341)/Prices!C341</f>
        <v>1.7476962186208998E-3</v>
      </c>
      <c r="I342" s="13"/>
      <c r="J342" s="1">
        <f t="shared" ca="1" si="38"/>
        <v>-9.1552243178099669E-4</v>
      </c>
      <c r="K342" s="9"/>
      <c r="L342" s="9">
        <f ca="1">L341-O342*Prices!C342</f>
        <v>1.4418638495562013</v>
      </c>
      <c r="M342" s="1">
        <f t="shared" ca="1" si="39"/>
        <v>6.9566291755258037E-3</v>
      </c>
      <c r="N342" s="9">
        <f ca="1">IF(Prices!D341&gt;OFFSET(Prices!D341,-$N$3,0),1,-1)</f>
        <v>-1</v>
      </c>
      <c r="O342" s="1">
        <f ca="1">IF(N342=1,O$3*L341/Prices!C341,-O$3*M341)</f>
        <v>-7.7295879728064495E-4</v>
      </c>
      <c r="P342" s="14"/>
      <c r="Q342" s="9">
        <f ca="1">Q341-T342*Prices!C342</f>
        <v>1.391166532917228</v>
      </c>
      <c r="R342" s="1">
        <f t="shared" ca="1" si="40"/>
        <v>6.9856180905172351E-3</v>
      </c>
      <c r="S342" s="9">
        <f ca="1">IF(Prices!C341&lt;OFFSET(Prices!C341,-S$3,0),1,-1)</f>
        <v>-1</v>
      </c>
      <c r="T342" s="1">
        <f ca="1">IF(S342=1,T$3*Q341/Prices!C341,-T$3*R341)</f>
        <v>-1.4256363450035174E-4</v>
      </c>
      <c r="V342" s="9"/>
      <c r="W342" s="1"/>
      <c r="X342" s="1"/>
      <c r="Y342" s="1"/>
      <c r="Z342" s="1"/>
      <c r="AA342" s="1"/>
      <c r="AB342" s="1"/>
      <c r="AC342" s="1"/>
      <c r="AD342" s="1"/>
      <c r="AE342" s="16"/>
    </row>
    <row r="343" spans="1:31" x14ac:dyDescent="0.2">
      <c r="A343" s="4">
        <v>33987</v>
      </c>
      <c r="B343" s="9">
        <f ca="1">Prices!C342*(1+J343/(50*(ABS(O343)+ABS(T343)+0.0001)))</f>
        <v>123.84762440163243</v>
      </c>
      <c r="C343" s="21">
        <f t="shared" ca="1" si="35"/>
        <v>-1</v>
      </c>
      <c r="D343" s="9">
        <f ca="1">D342+C343*(Prices!C343-Prices!C342)/Prices!C342</f>
        <v>8.5547456464505012E-2</v>
      </c>
      <c r="E343" s="9">
        <f t="shared" ca="1" si="36"/>
        <v>5.2544900844191722E-2</v>
      </c>
      <c r="F343" s="9">
        <f t="shared" ca="1" si="37"/>
        <v>0.13809235730869673</v>
      </c>
      <c r="G343" s="13">
        <f ca="1">IF((Prices!C343-Prices!C342)*C343&gt;0,1,0)</f>
        <v>1</v>
      </c>
      <c r="H343" s="9">
        <f>ABS(Prices!C343-Prices!C342)/Prices!C342</f>
        <v>3.5685963521014169E-3</v>
      </c>
      <c r="I343" s="13"/>
      <c r="J343" s="1">
        <f t="shared" ca="1" si="38"/>
        <v>-8.3537527936292512E-4</v>
      </c>
      <c r="K343" s="9"/>
      <c r="L343" s="9">
        <f ca="1">L342-O343*Prices!C343</f>
        <v>1.5292738951466831</v>
      </c>
      <c r="M343" s="1">
        <f t="shared" ca="1" si="39"/>
        <v>6.2609662579732233E-3</v>
      </c>
      <c r="N343" s="9">
        <f ca="1">IF(Prices!D342&gt;OFFSET(Prices!D342,-$N$3,0),1,-1)</f>
        <v>-1</v>
      </c>
      <c r="O343" s="1">
        <f ca="1">IF(N343=1,O$3*L342/Prices!C342,-O$3*M342)</f>
        <v>-6.9566291755258046E-4</v>
      </c>
      <c r="P343" s="14"/>
      <c r="Q343" s="9">
        <f ca="1">Q342-T343*Prices!C343</f>
        <v>1.4087213911786978</v>
      </c>
      <c r="R343" s="1">
        <f t="shared" ca="1" si="40"/>
        <v>6.8459057287068902E-3</v>
      </c>
      <c r="S343" s="9">
        <f ca="1">IF(Prices!C342&lt;OFFSET(Prices!C342,-S$3,0),1,-1)</f>
        <v>-1</v>
      </c>
      <c r="T343" s="1">
        <f ca="1">IF(S343=1,T$3*Q342/Prices!C342,-T$3*R342)</f>
        <v>-1.3971236181034471E-4</v>
      </c>
      <c r="V343" s="9"/>
      <c r="W343" s="1"/>
      <c r="X343" s="1"/>
      <c r="Y343" s="1"/>
      <c r="Z343" s="1"/>
      <c r="AA343" s="1"/>
      <c r="AB343" s="1"/>
      <c r="AC343" s="1"/>
      <c r="AD343" s="1"/>
      <c r="AE343" s="16"/>
    </row>
    <row r="344" spans="1:31" x14ac:dyDescent="0.2">
      <c r="A344" s="4">
        <v>33988</v>
      </c>
      <c r="B344" s="9">
        <f ca="1">Prices!C343*(1+J344/(50*(ABS(O344)+ABS(T344)+0.0001)))</f>
        <v>123.42818853739605</v>
      </c>
      <c r="C344" s="21">
        <f t="shared" ca="1" si="35"/>
        <v>-1</v>
      </c>
      <c r="D344" s="9">
        <f ca="1">D343+C344*(Prices!C344-Prices!C343)/Prices!C343</f>
        <v>8.6980007200676973E-2</v>
      </c>
      <c r="E344" s="9">
        <f t="shared" ca="1" si="36"/>
        <v>5.1112350108019761E-2</v>
      </c>
      <c r="F344" s="9">
        <f t="shared" ca="1" si="37"/>
        <v>0.13809235730869673</v>
      </c>
      <c r="G344" s="13">
        <f ca="1">IF((Prices!C344-Prices!C343)*C344&gt;0,1,0)</f>
        <v>1</v>
      </c>
      <c r="H344" s="9">
        <f>ABS(Prices!C344-Prices!C343)/Prices!C343</f>
        <v>1.4325507361719603E-3</v>
      </c>
      <c r="I344" s="13"/>
      <c r="J344" s="1">
        <f t="shared" ca="1" si="38"/>
        <v>-7.6301474037146022E-4</v>
      </c>
      <c r="K344" s="9"/>
      <c r="L344" s="9">
        <f ca="1">L343-O344*Prices!C344</f>
        <v>1.607830238785473</v>
      </c>
      <c r="M344" s="1">
        <f t="shared" ca="1" si="39"/>
        <v>5.6348696321759009E-3</v>
      </c>
      <c r="N344" s="9">
        <f ca="1">IF(Prices!D343&gt;OFFSET(Prices!D343,-$N$3,0),1,-1)</f>
        <v>-1</v>
      </c>
      <c r="O344" s="1">
        <f ca="1">IF(N344=1,O$3*L343/Prices!C343,-O$3*M343)</f>
        <v>-6.2609662579732241E-4</v>
      </c>
      <c r="P344" s="14"/>
      <c r="Q344" s="9">
        <f ca="1">Q343-T344*Prices!C344</f>
        <v>1.4259005070143149</v>
      </c>
      <c r="R344" s="1">
        <f t="shared" ca="1" si="40"/>
        <v>6.7089876141327521E-3</v>
      </c>
      <c r="S344" s="9">
        <f ca="1">IF(Prices!C343&lt;OFFSET(Prices!C343,-S$3,0),1,-1)</f>
        <v>-1</v>
      </c>
      <c r="T344" s="1">
        <f ca="1">IF(S344=1,T$3*Q343/Prices!C343,-T$3*R343)</f>
        <v>-1.3691811457413781E-4</v>
      </c>
      <c r="V344" s="9"/>
      <c r="W344" s="1"/>
      <c r="X344" s="1"/>
      <c r="Y344" s="1"/>
      <c r="Z344" s="1"/>
      <c r="AA344" s="1"/>
      <c r="AB344" s="1"/>
      <c r="AC344" s="1"/>
      <c r="AD344" s="1"/>
      <c r="AE344" s="16"/>
    </row>
    <row r="345" spans="1:31" x14ac:dyDescent="0.2">
      <c r="A345" s="4">
        <v>33989</v>
      </c>
      <c r="B345" s="9">
        <f ca="1">Prices!C344*(1+J345/(50*(ABS(O345)+ABS(T345)+0.0001)))</f>
        <v>124.52290042633561</v>
      </c>
      <c r="C345" s="21">
        <f t="shared" ca="1" si="35"/>
        <v>-1</v>
      </c>
      <c r="D345" s="9">
        <f ca="1">D344+C345*(Prices!C345-Prices!C344)/Prices!C344</f>
        <v>9.3116932362070109E-2</v>
      </c>
      <c r="E345" s="9">
        <f t="shared" ca="1" si="36"/>
        <v>4.4975424946626624E-2</v>
      </c>
      <c r="F345" s="9">
        <f t="shared" ca="1" si="37"/>
        <v>0.13809235730869673</v>
      </c>
      <c r="G345" s="13">
        <f ca="1">IF((Prices!C345-Prices!C344)*C345&gt;0,1,0)</f>
        <v>1</v>
      </c>
      <c r="H345" s="9">
        <f>ABS(Prices!C345-Prices!C344)/Prices!C344</f>
        <v>6.1369251613931303E-3</v>
      </c>
      <c r="I345" s="13"/>
      <c r="J345" s="1">
        <f t="shared" ca="1" si="38"/>
        <v>-3.3619749051267019E-4</v>
      </c>
      <c r="K345" s="9"/>
      <c r="L345" s="9">
        <f ca="1">L344-O345*Prices!C345</f>
        <v>1.6780970630987064</v>
      </c>
      <c r="M345" s="1">
        <f t="shared" ca="1" si="39"/>
        <v>5.0713826689583108E-3</v>
      </c>
      <c r="N345" s="9">
        <f ca="1">IF(Prices!D344&gt;OFFSET(Prices!D344,-$N$3,0),1,-1)</f>
        <v>-1</v>
      </c>
      <c r="O345" s="1">
        <f ca="1">IF(N345=1,O$3*L344/Prices!C344,-O$3*M344)</f>
        <v>-5.6348696321759009E-4</v>
      </c>
      <c r="P345" s="14"/>
      <c r="Q345" s="9">
        <f ca="1">Q344-T345*Prices!C345</f>
        <v>1.3975575097680115</v>
      </c>
      <c r="R345" s="1">
        <f t="shared" ca="1" si="40"/>
        <v>6.9362770868376718E-3</v>
      </c>
      <c r="S345" s="9">
        <f ca="1">IF(Prices!C344&lt;OFFSET(Prices!C344,-S$3,0),1,-1)</f>
        <v>1</v>
      </c>
      <c r="T345" s="1">
        <f ca="1">IF(S345=1,T$3*Q344/Prices!C344,-T$3*R344)</f>
        <v>2.272894727049199E-4</v>
      </c>
      <c r="V345" s="9"/>
      <c r="W345" s="1"/>
      <c r="X345" s="1"/>
      <c r="Y345" s="1"/>
      <c r="Z345" s="1"/>
      <c r="AA345" s="1"/>
      <c r="AB345" s="1"/>
      <c r="AC345" s="1"/>
      <c r="AD345" s="1"/>
      <c r="AE345" s="16"/>
    </row>
    <row r="346" spans="1:31" x14ac:dyDescent="0.2">
      <c r="A346" s="4">
        <v>33990</v>
      </c>
      <c r="B346" s="9">
        <f ca="1">Prices!C345*(1+J346/(50*(ABS(O346)+ABS(T346)+0.0001)))</f>
        <v>127.04464567028174</v>
      </c>
      <c r="C346" s="21">
        <f t="shared" ca="1" si="35"/>
        <v>1</v>
      </c>
      <c r="D346" s="9">
        <f ca="1">D345+C346*(Prices!C346-Prices!C345)/Prices!C345</f>
        <v>9.5121743909784617E-2</v>
      </c>
      <c r="E346" s="9">
        <f t="shared" ca="1" si="36"/>
        <v>4.2970613398912116E-2</v>
      </c>
      <c r="F346" s="9">
        <f t="shared" ca="1" si="37"/>
        <v>0.13809235730869673</v>
      </c>
      <c r="G346" s="13">
        <f ca="1">IF((Prices!C346-Prices!C345)*C346&gt;0,1,0)</f>
        <v>1</v>
      </c>
      <c r="H346" s="9">
        <f>ABS(Prices!C346-Prices!C345)/Prices!C345</f>
        <v>2.0048115477145148E-3</v>
      </c>
      <c r="I346" s="13"/>
      <c r="J346" s="1">
        <f t="shared" ca="1" si="38"/>
        <v>1.569854502848684E-3</v>
      </c>
      <c r="K346" s="9"/>
      <c r="L346" s="9">
        <f ca="1">L345-O346*Prices!C346</f>
        <v>1.5099509299518072</v>
      </c>
      <c r="M346" s="1">
        <f t="shared" ca="1" si="39"/>
        <v>6.4170900170727506E-3</v>
      </c>
      <c r="N346" s="9">
        <f ca="1">IF(Prices!D345&gt;OFFSET(Prices!D345,-$N$3,0),1,-1)</f>
        <v>1</v>
      </c>
      <c r="O346" s="1">
        <f ca="1">IF(N346=1,O$3*L345/Prices!C345,-O$3*M345)</f>
        <v>1.3457073481144399E-3</v>
      </c>
      <c r="P346" s="14"/>
      <c r="Q346" s="9">
        <f ca="1">Q345-T346*Prices!C346</f>
        <v>1.3695503227839678</v>
      </c>
      <c r="R346" s="1">
        <f t="shared" ca="1" si="40"/>
        <v>7.1604242415719156E-3</v>
      </c>
      <c r="S346" s="9">
        <f ca="1">IF(Prices!C345&lt;OFFSET(Prices!C345,-S$3,0),1,-1)</f>
        <v>1</v>
      </c>
      <c r="T346" s="1">
        <f ca="1">IF(S346=1,T$3*Q345/Prices!C345,-T$3*R345)</f>
        <v>2.2414715473424403E-4</v>
      </c>
      <c r="V346" s="9"/>
      <c r="W346" s="1"/>
      <c r="X346" s="1"/>
      <c r="Y346" s="1"/>
      <c r="Z346" s="1"/>
      <c r="AA346" s="1"/>
      <c r="AB346" s="1"/>
      <c r="AC346" s="1"/>
      <c r="AD346" s="1"/>
      <c r="AE346" s="16"/>
    </row>
    <row r="347" spans="1:31" x14ac:dyDescent="0.2">
      <c r="A347" s="4">
        <v>33991</v>
      </c>
      <c r="B347" s="9">
        <f ca="1">Prices!C346*(1+J347/(50*(ABS(O347)+ABS(T347)+0.0001)))</f>
        <v>127.28541646506737</v>
      </c>
      <c r="C347" s="21">
        <f t="shared" ca="1" si="35"/>
        <v>1</v>
      </c>
      <c r="D347" s="9">
        <f ca="1">D346+C347*(Prices!C347-Prices!C346)/Prices!C346</f>
        <v>9.704251221710751E-2</v>
      </c>
      <c r="E347" s="9">
        <f t="shared" ca="1" si="36"/>
        <v>4.1049845091589224E-2</v>
      </c>
      <c r="F347" s="9">
        <f t="shared" ca="1" si="37"/>
        <v>0.13809235730869673</v>
      </c>
      <c r="G347" s="13">
        <f ca="1">IF((Prices!C347-Prices!C346)*C347&gt;0,1,0)</f>
        <v>1</v>
      </c>
      <c r="H347" s="9">
        <f>ABS(Prices!C347-Prices!C346)/Prices!C346</f>
        <v>1.9207683073228883E-3</v>
      </c>
      <c r="I347" s="13"/>
      <c r="J347" s="1">
        <f t="shared" ca="1" si="38"/>
        <v>1.427659859550701E-3</v>
      </c>
      <c r="K347" s="9"/>
      <c r="L347" s="9">
        <f ca="1">L346-O347*Prices!C347</f>
        <v>1.3586658103674401</v>
      </c>
      <c r="M347" s="1">
        <f t="shared" ca="1" si="39"/>
        <v>7.625534138682841E-3</v>
      </c>
      <c r="N347" s="9">
        <f ca="1">IF(Prices!D346&gt;OFFSET(Prices!D346,-$N$3,0),1,-1)</f>
        <v>1</v>
      </c>
      <c r="O347" s="1">
        <f ca="1">IF(N347=1,O$3*L346/Prices!C346,-O$3*M346)</f>
        <v>1.20844412161009E-3</v>
      </c>
      <c r="P347" s="14"/>
      <c r="Q347" s="9">
        <f ca="1">Q346-T347*Prices!C347</f>
        <v>1.3421067045511827</v>
      </c>
      <c r="R347" s="1">
        <f t="shared" ca="1" si="40"/>
        <v>7.379639979512527E-3</v>
      </c>
      <c r="S347" s="9">
        <f ca="1">IF(Prices!C346&lt;OFFSET(Prices!C346,-S$3,0),1,-1)</f>
        <v>1</v>
      </c>
      <c r="T347" s="1">
        <f ca="1">IF(S347=1,T$3*Q346/Prices!C346,-T$3*R346)</f>
        <v>2.192157379406111E-4</v>
      </c>
      <c r="V347" s="9"/>
      <c r="W347" s="1"/>
      <c r="X347" s="1"/>
      <c r="Y347" s="1"/>
      <c r="Z347" s="1"/>
      <c r="AA347" s="1"/>
      <c r="AB347" s="1"/>
      <c r="AC347" s="1"/>
      <c r="AD347" s="1"/>
      <c r="AE347" s="16"/>
    </row>
    <row r="348" spans="1:31" x14ac:dyDescent="0.2">
      <c r="A348" s="4">
        <v>33994</v>
      </c>
      <c r="B348" s="9">
        <f ca="1">Prices!C347*(1+J348/(50*(ABS(O348)+ABS(T348)+0.0001)))</f>
        <v>123.91564188345305</v>
      </c>
      <c r="C348" s="21">
        <f t="shared" ca="1" si="35"/>
        <v>-1</v>
      </c>
      <c r="D348" s="9">
        <f ca="1">D347+C348*(Prices!C348-Prices!C347)/Prices!C347</f>
        <v>0.11174017177458018</v>
      </c>
      <c r="E348" s="9">
        <f t="shared" ca="1" si="36"/>
        <v>2.6352185534116557E-2</v>
      </c>
      <c r="F348" s="9">
        <f t="shared" ca="1" si="37"/>
        <v>0.13809235730869673</v>
      </c>
      <c r="G348" s="13">
        <f ca="1">IF((Prices!C348-Prices!C347)*C348&gt;0,1,0)</f>
        <v>1</v>
      </c>
      <c r="H348" s="9">
        <f>ABS(Prices!C348-Prices!C347)/Prices!C347</f>
        <v>1.4697659557472669E-2</v>
      </c>
      <c r="I348" s="13"/>
      <c r="J348" s="1">
        <f t="shared" ca="1" si="38"/>
        <v>-5.4814224611507987E-4</v>
      </c>
      <c r="K348" s="9"/>
      <c r="L348" s="9">
        <f ca="1">L347-O348*Prices!C348</f>
        <v>1.4527267739680929</v>
      </c>
      <c r="M348" s="1">
        <f t="shared" ca="1" si="39"/>
        <v>6.8629807248145568E-3</v>
      </c>
      <c r="N348" s="9">
        <f ca="1">IF(Prices!D347&gt;OFFSET(Prices!D347,-$N$3,0),1,-1)</f>
        <v>-1</v>
      </c>
      <c r="O348" s="1">
        <f ca="1">IF(N348=1,O$3*L347/Prices!C347,-O$3*M347)</f>
        <v>-7.6255341386828417E-4</v>
      </c>
      <c r="P348" s="14"/>
      <c r="Q348" s="9">
        <f ca="1">Q347-T348*Prices!C348</f>
        <v>1.3156590870088249</v>
      </c>
      <c r="R348" s="1">
        <f t="shared" ca="1" si="40"/>
        <v>7.594051147265731E-3</v>
      </c>
      <c r="S348" s="9">
        <f ca="1">IF(Prices!C347&lt;OFFSET(Prices!C347,-S$3,0),1,-1)</f>
        <v>1</v>
      </c>
      <c r="T348" s="1">
        <f ca="1">IF(S348=1,T$3*Q347/Prices!C347,-T$3*R347)</f>
        <v>2.1441116775320436E-4</v>
      </c>
      <c r="V348" s="9"/>
      <c r="W348" s="1"/>
      <c r="X348" s="1"/>
      <c r="Y348" s="1"/>
      <c r="Z348" s="1"/>
      <c r="AA348" s="1"/>
      <c r="AB348" s="1"/>
      <c r="AC348" s="1"/>
      <c r="AD348" s="1"/>
      <c r="AE348" s="16"/>
    </row>
    <row r="349" spans="1:31" x14ac:dyDescent="0.2">
      <c r="A349" s="4">
        <v>33995</v>
      </c>
      <c r="B349" s="9">
        <f ca="1">Prices!C348*(1+J349/(50*(ABS(O349)+ABS(T349)+0.0001)))</f>
        <v>122.18272198603971</v>
      </c>
      <c r="C349" s="21">
        <f t="shared" ca="1" si="35"/>
        <v>-1</v>
      </c>
      <c r="D349" s="9">
        <f ca="1">D348+C349*(Prices!C349-Prices!C348)/Prices!C348</f>
        <v>0.10987555888443017</v>
      </c>
      <c r="E349" s="9">
        <f t="shared" ca="1" si="36"/>
        <v>2.8216798424266568E-2</v>
      </c>
      <c r="F349" s="9">
        <f t="shared" ca="1" si="37"/>
        <v>0.13809235730869673</v>
      </c>
      <c r="G349" s="13">
        <f ca="1">IF((Prices!C349-Prices!C348)*C349&gt;0,1,0)</f>
        <v>0</v>
      </c>
      <c r="H349" s="9">
        <f>ABS(Prices!C349-Prices!C348)/Prices!C348</f>
        <v>1.8646128901500122E-3</v>
      </c>
      <c r="I349" s="13"/>
      <c r="J349" s="1">
        <f t="shared" ca="1" si="38"/>
        <v>-4.7297677746583759E-4</v>
      </c>
      <c r="K349" s="9"/>
      <c r="L349" s="9">
        <f ca="1">L348-O349*Prices!C349</f>
        <v>1.5375394897653512</v>
      </c>
      <c r="M349" s="1">
        <f t="shared" ca="1" si="39"/>
        <v>6.1766826523331009E-3</v>
      </c>
      <c r="N349" s="9">
        <f ca="1">IF(Prices!D348&gt;OFFSET(Prices!D348,-$N$3,0),1,-1)</f>
        <v>-1</v>
      </c>
      <c r="O349" s="1">
        <f ca="1">IF(N349=1,O$3*L348/Prices!C348,-O$3*M348)</f>
        <v>-6.8629807248145574E-4</v>
      </c>
      <c r="P349" s="14"/>
      <c r="Q349" s="9">
        <f ca="1">Q348-T349*Prices!C349</f>
        <v>1.2892968413707948</v>
      </c>
      <c r="R349" s="1">
        <f t="shared" ca="1" si="40"/>
        <v>7.8073724422813495E-3</v>
      </c>
      <c r="S349" s="9">
        <f ca="1">IF(Prices!C348&lt;OFFSET(Prices!C348,-S$3,0),1,-1)</f>
        <v>1</v>
      </c>
      <c r="T349" s="1">
        <f ca="1">IF(S349=1,T$3*Q348/Prices!C348,-T$3*R348)</f>
        <v>2.1332129501561815E-4</v>
      </c>
      <c r="V349" s="9"/>
      <c r="W349" s="1"/>
      <c r="X349" s="1"/>
      <c r="Y349" s="1"/>
      <c r="Z349" s="1"/>
      <c r="AA349" s="1"/>
      <c r="AB349" s="1"/>
      <c r="AC349" s="1"/>
      <c r="AD349" s="1"/>
      <c r="AE349" s="16"/>
    </row>
    <row r="350" spans="1:31" x14ac:dyDescent="0.2">
      <c r="A350" s="4">
        <v>33996</v>
      </c>
      <c r="B350" s="9">
        <f ca="1">Prices!C349*(1+J350/(50*(ABS(O350)+ABS(T350)+0.0001)))</f>
        <v>122.48868870734434</v>
      </c>
      <c r="C350" s="21">
        <f t="shared" ca="1" si="35"/>
        <v>-1</v>
      </c>
      <c r="D350" s="9">
        <f ca="1">D349+C350*(Prices!C350-Prices!C349)/Prices!C349</f>
        <v>0.10518224281386861</v>
      </c>
      <c r="E350" s="9">
        <f t="shared" ca="1" si="36"/>
        <v>3.2910114494828127E-2</v>
      </c>
      <c r="F350" s="9">
        <f t="shared" ca="1" si="37"/>
        <v>0.13809235730869673</v>
      </c>
      <c r="G350" s="13">
        <f ca="1">IF((Prices!C350-Prices!C349)*C350&gt;0,1,0)</f>
        <v>0</v>
      </c>
      <c r="H350" s="9">
        <f>ABS(Prices!C350-Prices!C349)/Prices!C349</f>
        <v>4.6933160705615656E-3</v>
      </c>
      <c r="I350" s="13"/>
      <c r="J350" s="1">
        <f t="shared" ca="1" si="38"/>
        <v>-4.0901041746331589E-4</v>
      </c>
      <c r="K350" s="9"/>
      <c r="L350" s="9">
        <f ca="1">L349-O350*Prices!C350</f>
        <v>1.6142291815767189</v>
      </c>
      <c r="M350" s="1">
        <f t="shared" ca="1" si="39"/>
        <v>5.5590143870997907E-3</v>
      </c>
      <c r="N350" s="9">
        <f ca="1">IF(Prices!D349&gt;OFFSET(Prices!D349,-$N$3,0),1,-1)</f>
        <v>-1</v>
      </c>
      <c r="O350" s="1">
        <f ca="1">IF(N350=1,O$3*L349/Prices!C349,-O$3*M349)</f>
        <v>-6.1766826523331018E-4</v>
      </c>
      <c r="P350" s="14"/>
      <c r="Q350" s="9">
        <f ca="1">Q349-T350*Prices!C350</f>
        <v>1.2633898829916723</v>
      </c>
      <c r="R350" s="1">
        <f t="shared" ca="1" si="40"/>
        <v>8.0160302900513444E-3</v>
      </c>
      <c r="S350" s="9">
        <f ca="1">IF(Prices!C349&lt;OFFSET(Prices!C349,-S$3,0),1,-1)</f>
        <v>1</v>
      </c>
      <c r="T350" s="1">
        <f ca="1">IF(S350=1,T$3*Q349/Prices!C349,-T$3*R349)</f>
        <v>2.0865784776999429E-4</v>
      </c>
      <c r="V350" s="9"/>
      <c r="W350" s="1"/>
      <c r="X350" s="1"/>
      <c r="Y350" s="1"/>
      <c r="Z350" s="1"/>
      <c r="AA350" s="1"/>
      <c r="AB350" s="1"/>
      <c r="AC350" s="1"/>
      <c r="AD350" s="1"/>
      <c r="AE350" s="16"/>
    </row>
    <row r="351" spans="1:31" x14ac:dyDescent="0.2">
      <c r="A351" s="4">
        <v>33997</v>
      </c>
      <c r="B351" s="9">
        <f ca="1">Prices!C350*(1+J351/(50*(ABS(O351)+ABS(T351)+0.0001)))</f>
        <v>123.14179324557998</v>
      </c>
      <c r="C351" s="21">
        <f t="shared" ca="1" si="35"/>
        <v>-1</v>
      </c>
      <c r="D351" s="9">
        <f ca="1">D350+C351*(Prices!C351-Prices!C350)/Prices!C350</f>
        <v>0.10510170157675516</v>
      </c>
      <c r="E351" s="9">
        <f t="shared" ca="1" si="36"/>
        <v>3.2990655731941571E-2</v>
      </c>
      <c r="F351" s="9">
        <f t="shared" ca="1" si="37"/>
        <v>0.13809235730869673</v>
      </c>
      <c r="G351" s="13">
        <f ca="1">IF((Prices!C351-Prices!C350)*C351&gt;0,1,0)</f>
        <v>0</v>
      </c>
      <c r="H351" s="9">
        <f>ABS(Prices!C351-Prices!C350)/Prices!C350</f>
        <v>8.0541237113443274E-5</v>
      </c>
      <c r="I351" s="13"/>
      <c r="J351" s="1">
        <f t="shared" ca="1" si="38"/>
        <v>-3.5239147044456793E-4</v>
      </c>
      <c r="K351" s="9"/>
      <c r="L351" s="9">
        <f ca="1">L350-O351*Prices!C351</f>
        <v>1.683255463221337</v>
      </c>
      <c r="M351" s="1">
        <f t="shared" ca="1" si="39"/>
        <v>5.0031129483898117E-3</v>
      </c>
      <c r="N351" s="9">
        <f ca="1">IF(Prices!D350&gt;OFFSET(Prices!D350,-$N$3,0),1,-1)</f>
        <v>-1</v>
      </c>
      <c r="O351" s="1">
        <f ca="1">IF(N351=1,O$3*L350/Prices!C350,-O$3*M350)</f>
        <v>-5.5590143870997907E-4</v>
      </c>
      <c r="P351" s="14"/>
      <c r="Q351" s="9">
        <f ca="1">Q350-T351*Prices!C351</f>
        <v>1.2381200502321563</v>
      </c>
      <c r="R351" s="1">
        <f t="shared" ca="1" si="40"/>
        <v>8.219540258316756E-3</v>
      </c>
      <c r="S351" s="9">
        <f ca="1">IF(Prices!C350&lt;OFFSET(Prices!C350,-S$3,0),1,-1)</f>
        <v>1</v>
      </c>
      <c r="T351" s="1">
        <f ca="1">IF(S351=1,T$3*Q350/Prices!C350,-T$3*R350)</f>
        <v>2.0350996826541115E-4</v>
      </c>
      <c r="V351" s="9"/>
      <c r="W351" s="1"/>
      <c r="X351" s="1"/>
      <c r="Y351" s="1"/>
      <c r="Z351" s="1"/>
      <c r="AA351" s="1"/>
      <c r="AB351" s="1"/>
      <c r="AC351" s="1"/>
      <c r="AD351" s="1"/>
      <c r="AE351" s="16"/>
    </row>
    <row r="352" spans="1:31" x14ac:dyDescent="0.2">
      <c r="A352" s="4">
        <v>33998</v>
      </c>
      <c r="B352" s="9">
        <f ca="1">Prices!C351*(1+J352/(50*(ABS(O352)+ABS(T352)+0.0001)))</f>
        <v>123.2356588069817</v>
      </c>
      <c r="C352" s="21">
        <f t="shared" ca="1" si="35"/>
        <v>-1</v>
      </c>
      <c r="D352" s="9">
        <f ca="1">D351+C352*(Prices!C352-Prices!C351)/Prices!C351</f>
        <v>0.10059175553503814</v>
      </c>
      <c r="E352" s="9">
        <f t="shared" ca="1" si="36"/>
        <v>3.750060177365859E-2</v>
      </c>
      <c r="F352" s="9">
        <f t="shared" ca="1" si="37"/>
        <v>0.13809235730869673</v>
      </c>
      <c r="G352" s="13">
        <f ca="1">IF((Prices!C352-Prices!C351)*C352&gt;0,1,0)</f>
        <v>0</v>
      </c>
      <c r="H352" s="9">
        <f>ABS(Prices!C352-Prices!C351)/Prices!C351</f>
        <v>4.5099460417170195E-3</v>
      </c>
      <c r="I352" s="13"/>
      <c r="J352" s="1">
        <f t="shared" ca="1" si="38"/>
        <v>-3.0088791556344657E-4</v>
      </c>
      <c r="K352" s="9"/>
      <c r="L352" s="9">
        <f ca="1">L351-O352*Prices!C352</f>
        <v>1.7456592910266031</v>
      </c>
      <c r="M352" s="1">
        <f t="shared" ca="1" si="39"/>
        <v>4.5028016535508305E-3</v>
      </c>
      <c r="N352" s="9">
        <f ca="1">IF(Prices!D351&gt;OFFSET(Prices!D351,-$N$3,0),1,-1)</f>
        <v>-1</v>
      </c>
      <c r="O352" s="1">
        <f ca="1">IF(N352=1,O$3*L351/Prices!C351,-O$3*M351)</f>
        <v>-5.0031129483898117E-4</v>
      </c>
      <c r="P352" s="14"/>
      <c r="Q352" s="9">
        <f ca="1">Q351-T352*Prices!C352</f>
        <v>1.213245972135119</v>
      </c>
      <c r="R352" s="1">
        <f t="shared" ca="1" si="40"/>
        <v>8.4189636375922913E-3</v>
      </c>
      <c r="S352" s="9">
        <f ca="1">IF(Prices!C351&lt;OFFSET(Prices!C351,-S$3,0),1,-1)</f>
        <v>1</v>
      </c>
      <c r="T352" s="1">
        <f ca="1">IF(S352=1,T$3*Q351/Prices!C351,-T$3*R351)</f>
        <v>1.9942337927553457E-4</v>
      </c>
      <c r="V352" s="9"/>
      <c r="W352" s="1"/>
      <c r="X352" s="1"/>
      <c r="Y352" s="1"/>
      <c r="Z352" s="1"/>
      <c r="AA352" s="1"/>
      <c r="AB352" s="1"/>
      <c r="AC352" s="1"/>
      <c r="AD352" s="1"/>
      <c r="AE352" s="16"/>
    </row>
    <row r="353" spans="1:31" x14ac:dyDescent="0.2">
      <c r="A353" s="4">
        <v>34001</v>
      </c>
      <c r="B353" s="9">
        <f ca="1">Prices!C352*(1+J353/(50*(ABS(O353)+ABS(T353)+0.0001)))</f>
        <v>122.58251851924901</v>
      </c>
      <c r="C353" s="21">
        <f t="shared" ca="1" si="35"/>
        <v>-1</v>
      </c>
      <c r="D353" s="9">
        <f ca="1">D352+C353*(Prices!C353-Prices!C352)/Prices!C352</f>
        <v>9.7625348094967673E-2</v>
      </c>
      <c r="E353" s="9">
        <f t="shared" ca="1" si="36"/>
        <v>4.046700921372906E-2</v>
      </c>
      <c r="F353" s="9">
        <f t="shared" ca="1" si="37"/>
        <v>0.13809235730869673</v>
      </c>
      <c r="G353" s="13">
        <f ca="1">IF((Prices!C353-Prices!C352)*C353&gt;0,1,0)</f>
        <v>0</v>
      </c>
      <c r="H353" s="9">
        <f>ABS(Prices!C353-Prices!C352)/Prices!C352</f>
        <v>2.9664074400704748E-3</v>
      </c>
      <c r="I353" s="13"/>
      <c r="J353" s="1">
        <f t="shared" ca="1" si="38"/>
        <v>-6.1865943810692891E-4</v>
      </c>
      <c r="K353" s="9"/>
      <c r="L353" s="9">
        <f ca="1">L352-O353*Prices!C353</f>
        <v>1.801989339712524</v>
      </c>
      <c r="M353" s="1">
        <f t="shared" ca="1" si="39"/>
        <v>4.0525214881957476E-3</v>
      </c>
      <c r="N353" s="9">
        <f ca="1">IF(Prices!D352&gt;OFFSET(Prices!D352,-$N$3,0),1,-1)</f>
        <v>-1</v>
      </c>
      <c r="O353" s="1">
        <f ca="1">IF(N353=1,O$3*L352/Prices!C352,-O$3*M352)</f>
        <v>-4.5028016535508309E-4</v>
      </c>
      <c r="P353" s="14"/>
      <c r="Q353" s="9">
        <f ca="1">Q352-T353*Prices!C353</f>
        <v>1.2343102191563748</v>
      </c>
      <c r="R353" s="1">
        <f t="shared" ca="1" si="40"/>
        <v>8.2505843648404461E-3</v>
      </c>
      <c r="S353" s="9">
        <f ca="1">IF(Prices!C352&lt;OFFSET(Prices!C352,-S$3,0),1,-1)</f>
        <v>-1</v>
      </c>
      <c r="T353" s="1">
        <f ca="1">IF(S353=1,T$3*Q352/Prices!C352,-T$3*R352)</f>
        <v>-1.6837927275184582E-4</v>
      </c>
      <c r="V353" s="9"/>
      <c r="W353" s="1"/>
      <c r="X353" s="1"/>
      <c r="Y353" s="1"/>
      <c r="Z353" s="1"/>
      <c r="AA353" s="1"/>
      <c r="AB353" s="1"/>
      <c r="AC353" s="1"/>
      <c r="AD353" s="1"/>
      <c r="AE353" s="16"/>
    </row>
    <row r="354" spans="1:31" x14ac:dyDescent="0.2">
      <c r="A354" s="4">
        <v>34002</v>
      </c>
      <c r="B354" s="9">
        <f ca="1">Prices!C353*(1+J354/(50*(ABS(O354)+ABS(T354)+0.0001)))</f>
        <v>122.97128584136314</v>
      </c>
      <c r="C354" s="21">
        <f t="shared" ca="1" si="35"/>
        <v>-1</v>
      </c>
      <c r="D354" s="9">
        <f ca="1">D353+C354*(Prices!C354-Prices!C353)/Prices!C353</f>
        <v>0.10122247039712585</v>
      </c>
      <c r="E354" s="9">
        <f t="shared" ca="1" si="36"/>
        <v>3.6869886911570879E-2</v>
      </c>
      <c r="F354" s="9">
        <f t="shared" ca="1" si="37"/>
        <v>0.13809235730869673</v>
      </c>
      <c r="G354" s="13">
        <f ca="1">IF((Prices!C354-Prices!C353)*C354&gt;0,1,0)</f>
        <v>1</v>
      </c>
      <c r="H354" s="9">
        <f>ABS(Prices!C354-Prices!C353)/Prices!C353</f>
        <v>3.5971223021581825E-3</v>
      </c>
      <c r="I354" s="13"/>
      <c r="J354" s="1">
        <f t="shared" ca="1" si="38"/>
        <v>-5.702638361163837E-4</v>
      </c>
      <c r="K354" s="9"/>
      <c r="L354" s="9">
        <f ca="1">L353-O354*Prices!C354</f>
        <v>1.8525040200628839</v>
      </c>
      <c r="M354" s="1">
        <f t="shared" ca="1" si="39"/>
        <v>3.6472693393761729E-3</v>
      </c>
      <c r="N354" s="9">
        <f ca="1">IF(Prices!D353&gt;OFFSET(Prices!D353,-$N$3,0),1,-1)</f>
        <v>-1</v>
      </c>
      <c r="O354" s="1">
        <f ca="1">IF(N354=1,O$3*L353/Prices!C353,-O$3*M353)</f>
        <v>-4.0525214881957476E-4</v>
      </c>
      <c r="P354" s="14"/>
      <c r="Q354" s="9">
        <f ca="1">Q353-T354*Prices!C354</f>
        <v>1.2548789259779221</v>
      </c>
      <c r="R354" s="1">
        <f t="shared" ca="1" si="40"/>
        <v>8.0855726775436367E-3</v>
      </c>
      <c r="S354" s="9">
        <f ca="1">IF(Prices!C353&lt;OFFSET(Prices!C353,-S$3,0),1,-1)</f>
        <v>-1</v>
      </c>
      <c r="T354" s="1">
        <f ca="1">IF(S354=1,T$3*Q353/Prices!C353,-T$3*R353)</f>
        <v>-1.6501168729680891E-4</v>
      </c>
      <c r="V354" s="9"/>
      <c r="W354" s="1"/>
      <c r="X354" s="1"/>
      <c r="Y354" s="1"/>
      <c r="Z354" s="1"/>
      <c r="AA354" s="1"/>
      <c r="AB354" s="1"/>
      <c r="AC354" s="1"/>
      <c r="AD354" s="1"/>
      <c r="AE354" s="16"/>
    </row>
    <row r="355" spans="1:31" x14ac:dyDescent="0.2">
      <c r="A355" s="4">
        <v>34003</v>
      </c>
      <c r="B355" s="9">
        <f ca="1">Prices!C354*(1+J355/(50*(ABS(O355)+ABS(T355)+0.0001)))</f>
        <v>126.53907080273555</v>
      </c>
      <c r="C355" s="21">
        <f t="shared" ca="1" si="35"/>
        <v>1</v>
      </c>
      <c r="D355" s="9">
        <f ca="1">D354+C355*(Prices!C355-Prices!C354)/Prices!C354</f>
        <v>9.9617977817904005E-2</v>
      </c>
      <c r="E355" s="9">
        <f t="shared" ca="1" si="36"/>
        <v>3.8474379490792729E-2</v>
      </c>
      <c r="F355" s="9">
        <f t="shared" ca="1" si="37"/>
        <v>0.13809235730869673</v>
      </c>
      <c r="G355" s="13">
        <f ca="1">IF((Prices!C355-Prices!C354)*C355&gt;0,1,0)</f>
        <v>0</v>
      </c>
      <c r="H355" s="9">
        <f>ABS(Prices!C355-Prices!C354)/Prices!C354</f>
        <v>1.6044925792218438E-3</v>
      </c>
      <c r="I355" s="13"/>
      <c r="J355" s="1">
        <f t="shared" ca="1" si="38"/>
        <v>1.3244530230338716E-3</v>
      </c>
      <c r="K355" s="9"/>
      <c r="L355" s="9">
        <f ca="1">L354-O355*Prices!C355</f>
        <v>1.6675508509519126</v>
      </c>
      <c r="M355" s="1">
        <f t="shared" ca="1" si="39"/>
        <v>5.1334338159609175E-3</v>
      </c>
      <c r="N355" s="9">
        <f ca="1">IF(Prices!D354&gt;OFFSET(Prices!D354,-$N$3,0),1,-1)</f>
        <v>1</v>
      </c>
      <c r="O355" s="1">
        <f ca="1">IF(N355=1,O$3*L354/Prices!C354,-O$3*M354)</f>
        <v>1.4861644765847444E-3</v>
      </c>
      <c r="P355" s="14"/>
      <c r="Q355" s="9">
        <f ca="1">Q354-T355*Prices!C355</f>
        <v>1.2750039163723281</v>
      </c>
      <c r="R355" s="1">
        <f t="shared" ca="1" si="40"/>
        <v>7.9238612239927644E-3</v>
      </c>
      <c r="S355" s="9">
        <f ca="1">IF(Prices!C354&lt;OFFSET(Prices!C354,-S$3,0),1,-1)</f>
        <v>-1</v>
      </c>
      <c r="T355" s="1">
        <f ca="1">IF(S355=1,T$3*Q354/Prices!C354,-T$3*R354)</f>
        <v>-1.6171145355087273E-4</v>
      </c>
      <c r="V355" s="9"/>
      <c r="W355" s="1"/>
      <c r="X355" s="1"/>
      <c r="Y355" s="1"/>
      <c r="Z355" s="1"/>
      <c r="AA355" s="1"/>
      <c r="AB355" s="1"/>
      <c r="AC355" s="1"/>
      <c r="AD355" s="1"/>
      <c r="AE355" s="16"/>
    </row>
    <row r="356" spans="1:31" x14ac:dyDescent="0.2">
      <c r="A356" s="18">
        <v>34004</v>
      </c>
      <c r="B356" s="9">
        <f ca="1">Prices!C355*(1+J356/(50*(ABS(O356)+ABS(T356)+0.0001)))</f>
        <v>126.28973149592461</v>
      </c>
      <c r="C356" s="21">
        <f t="shared" ca="1" si="35"/>
        <v>1</v>
      </c>
      <c r="D356" s="9">
        <f ca="1">D355+C356*(Prices!C356-Prices!C355)/Prices!C355</f>
        <v>0.10202858448724909</v>
      </c>
      <c r="E356" s="9">
        <f t="shared" ca="1" si="36"/>
        <v>3.606377282144764E-2</v>
      </c>
      <c r="F356" s="9">
        <f t="shared" ca="1" si="37"/>
        <v>0.13809235730869673</v>
      </c>
      <c r="G356" s="13">
        <f ca="1">IF((Prices!C356-Prices!C355)*C356&gt;0,1,0)</f>
        <v>1</v>
      </c>
      <c r="H356" s="9">
        <f>ABS(Prices!C356-Prices!C355)/Prices!C355</f>
        <v>2.4106066693450954E-3</v>
      </c>
      <c r="I356" s="13"/>
      <c r="J356" s="1">
        <f t="shared" ca="1" si="38"/>
        <v>1.1814591764457475E-3</v>
      </c>
      <c r="K356" s="9"/>
      <c r="L356" s="9">
        <f ca="1">L355-O356*Prices!C356</f>
        <v>1.5003937849364437</v>
      </c>
      <c r="M356" s="1">
        <f t="shared" ca="1" si="39"/>
        <v>6.47337021688652E-3</v>
      </c>
      <c r="N356" s="9">
        <f ca="1">IF(Prices!D355&gt;OFFSET(Prices!D355,-$N$3,0),1,-1)</f>
        <v>1</v>
      </c>
      <c r="O356" s="1">
        <f ca="1">IF(N356=1,O$3*L355/Prices!C355,-O$3*M355)</f>
        <v>1.3399364009256027E-3</v>
      </c>
      <c r="P356" s="14"/>
      <c r="Q356" s="9">
        <f ca="1">Q355-T356*Prices!C356</f>
        <v>1.2947739501261901</v>
      </c>
      <c r="R356" s="1">
        <f t="shared" ca="1" si="40"/>
        <v>7.7653839995129089E-3</v>
      </c>
      <c r="S356" s="9">
        <f ca="1">IF(Prices!C355&lt;OFFSET(Prices!C355,-S$3,0),1,-1)</f>
        <v>-1</v>
      </c>
      <c r="T356" s="1">
        <f ca="1">IF(S356=1,T$3*Q355/Prices!C355,-T$3*R355)</f>
        <v>-1.584772244798553E-4</v>
      </c>
      <c r="V356" s="9"/>
      <c r="W356" s="1"/>
      <c r="X356" s="1"/>
      <c r="Y356" s="1"/>
      <c r="Z356" s="1"/>
      <c r="AA356" s="1"/>
      <c r="AB356" s="1"/>
      <c r="AC356" s="1"/>
      <c r="AD356" s="1"/>
      <c r="AE356" s="16"/>
    </row>
    <row r="357" spans="1:31" x14ac:dyDescent="0.2">
      <c r="A357" s="18">
        <v>34005</v>
      </c>
      <c r="B357" s="9">
        <f ca="1">Prices!C356*(1+J357/(50*(ABS(O357)+ABS(T357)+0.0001)))</f>
        <v>122.53140997563708</v>
      </c>
      <c r="C357" s="21">
        <f t="shared" ca="1" si="35"/>
        <v>-1</v>
      </c>
      <c r="D357" s="9">
        <f ca="1">D356+C357*(Prices!C357-Prices!C356)/Prices!C356</f>
        <v>0.10443339410648755</v>
      </c>
      <c r="E357" s="9">
        <f t="shared" ca="1" si="36"/>
        <v>3.365896320220918E-2</v>
      </c>
      <c r="F357" s="9">
        <f t="shared" ca="1" si="37"/>
        <v>0.13809235730869673</v>
      </c>
      <c r="G357" s="13">
        <f ca="1">IF((Prices!C357-Prices!C356)*C357&gt;0,1,0)</f>
        <v>1</v>
      </c>
      <c r="H357" s="9">
        <f>ABS(Prices!C357-Prices!C356)/Prices!C356</f>
        <v>2.4048096192384543E-3</v>
      </c>
      <c r="I357" s="13"/>
      <c r="J357" s="1">
        <f t="shared" ca="1" si="38"/>
        <v>-8.0264470167891021E-4</v>
      </c>
      <c r="K357" s="9"/>
      <c r="L357" s="9">
        <f ca="1">L356-O357*Prices!C357</f>
        <v>1.5809548772855964</v>
      </c>
      <c r="M357" s="1">
        <f t="shared" ca="1" si="39"/>
        <v>5.8260331951978678E-3</v>
      </c>
      <c r="N357" s="9">
        <f ca="1">IF(Prices!D356&gt;OFFSET(Prices!D356,-$N$3,0),1,-1)</f>
        <v>-1</v>
      </c>
      <c r="O357" s="1">
        <f ca="1">IF(N357=1,O$3*L356/Prices!C356,-O$3*M356)</f>
        <v>-6.4733702168865207E-4</v>
      </c>
      <c r="P357" s="14"/>
      <c r="Q357" s="9">
        <f ca="1">Q356-T357*Prices!C357</f>
        <v>1.3141019909009777</v>
      </c>
      <c r="R357" s="1">
        <f t="shared" ca="1" si="40"/>
        <v>7.6100763195226509E-3</v>
      </c>
      <c r="S357" s="9">
        <f ca="1">IF(Prices!C356&lt;OFFSET(Prices!C356,-S$3,0),1,-1)</f>
        <v>-1</v>
      </c>
      <c r="T357" s="1">
        <f ca="1">IF(S357=1,T$3*Q356/Prices!C356,-T$3*R356)</f>
        <v>-1.5530767999025817E-4</v>
      </c>
      <c r="V357" s="9"/>
      <c r="W357" s="1"/>
      <c r="X357" s="1"/>
      <c r="Y357" s="1"/>
      <c r="Z357" s="1"/>
      <c r="AA357" s="1"/>
      <c r="AB357" s="1"/>
      <c r="AC357" s="1"/>
      <c r="AD357" s="1"/>
      <c r="AE357" s="16"/>
    </row>
    <row r="358" spans="1:31" x14ac:dyDescent="0.2">
      <c r="A358" s="4">
        <v>34008</v>
      </c>
      <c r="B358" s="9">
        <f ca="1">Prices!C357*(1+J358/(50*(ABS(O358)+ABS(T358)+0.0001)))</f>
        <v>123.41568539498419</v>
      </c>
      <c r="C358" s="21">
        <f t="shared" ca="1" si="35"/>
        <v>-1</v>
      </c>
      <c r="D358" s="9">
        <f ca="1">D357+C358*(Prices!C358-Prices!C357)/Prices!C357</f>
        <v>0.10957602166775715</v>
      </c>
      <c r="E358" s="9">
        <f t="shared" ca="1" si="36"/>
        <v>2.8516335640939583E-2</v>
      </c>
      <c r="F358" s="9">
        <f t="shared" ca="1" si="37"/>
        <v>0.13809235730869673</v>
      </c>
      <c r="G358" s="13">
        <f ca="1">IF((Prices!C358-Prices!C357)*C358&gt;0,1,0)</f>
        <v>1</v>
      </c>
      <c r="H358" s="9">
        <f>ABS(Prices!C358-Prices!C357)/Prices!C357</f>
        <v>5.142627561269591E-3</v>
      </c>
      <c r="I358" s="13"/>
      <c r="J358" s="1">
        <f t="shared" ca="1" si="38"/>
        <v>-3.7141778462208049E-4</v>
      </c>
      <c r="K358" s="9"/>
      <c r="L358" s="9">
        <f ca="1">L357-O358*Prices!C358</f>
        <v>1.6530869942753412</v>
      </c>
      <c r="M358" s="1">
        <f t="shared" ca="1" si="39"/>
        <v>5.2434298756780812E-3</v>
      </c>
      <c r="N358" s="9">
        <f ca="1">IF(Prices!D357&gt;OFFSET(Prices!D357,-$N$3,0),1,-1)</f>
        <v>-1</v>
      </c>
      <c r="O358" s="1">
        <f ca="1">IF(N358=1,O$3*L357/Prices!C357,-O$3*M357)</f>
        <v>-5.8260331951978683E-4</v>
      </c>
      <c r="P358" s="14"/>
      <c r="Q358" s="9">
        <f ca="1">Q357-T358*Prices!C358</f>
        <v>1.2879551098252926</v>
      </c>
      <c r="R358" s="1">
        <f t="shared" ca="1" si="40"/>
        <v>7.8212618544203569E-3</v>
      </c>
      <c r="S358" s="9">
        <f ca="1">IF(Prices!C357&lt;OFFSET(Prices!C357,-S$3,0),1,-1)</f>
        <v>1</v>
      </c>
      <c r="T358" s="1">
        <f ca="1">IF(S358=1,T$3*Q357/Prices!C357,-T$3*R357)</f>
        <v>2.1118553489770633E-4</v>
      </c>
      <c r="V358" s="9"/>
      <c r="W358" s="1"/>
      <c r="X358" s="1"/>
      <c r="Y358" s="1"/>
      <c r="Z358" s="1"/>
      <c r="AA358" s="1"/>
      <c r="AB358" s="1"/>
      <c r="AC358" s="1"/>
      <c r="AD358" s="1"/>
      <c r="AE358" s="16"/>
    </row>
    <row r="359" spans="1:31" x14ac:dyDescent="0.2">
      <c r="A359" s="4">
        <v>34009</v>
      </c>
      <c r="B359" s="9">
        <f ca="1">Prices!C358*(1+J359/(50*(ABS(O359)+ABS(T359)+0.0001)))</f>
        <v>122.86910694478608</v>
      </c>
      <c r="C359" s="21">
        <f t="shared" ca="1" si="35"/>
        <v>-1</v>
      </c>
      <c r="D359" s="9">
        <f ca="1">D358+C359*(Prices!C359-Prices!C358)/Prices!C358</f>
        <v>0.13025286521835888</v>
      </c>
      <c r="E359" s="9">
        <f t="shared" ca="1" si="36"/>
        <v>7.8394920903378518E-3</v>
      </c>
      <c r="F359" s="9">
        <f t="shared" ca="1" si="37"/>
        <v>0.13809235730869673</v>
      </c>
      <c r="G359" s="13">
        <f ca="1">IF((Prices!C359-Prices!C358)*C359&gt;0,1,0)</f>
        <v>1</v>
      </c>
      <c r="H359" s="9">
        <f>ABS(Prices!C359-Prices!C358)/Prices!C358</f>
        <v>2.0676843550601745E-2</v>
      </c>
      <c r="I359" s="13"/>
      <c r="J359" s="1">
        <f t="shared" ca="1" si="38"/>
        <v>-3.1628950080174847E-4</v>
      </c>
      <c r="K359" s="9"/>
      <c r="L359" s="9">
        <f ca="1">L358-O359*Prices!C359</f>
        <v>1.7166635815179379</v>
      </c>
      <c r="M359" s="1">
        <f t="shared" ca="1" si="39"/>
        <v>4.7190868881102728E-3</v>
      </c>
      <c r="N359" s="9">
        <f ca="1">IF(Prices!D358&gt;OFFSET(Prices!D358,-$N$3,0),1,-1)</f>
        <v>-1</v>
      </c>
      <c r="O359" s="1">
        <f ca="1">IF(N359=1,O$3*L358/Prices!C358,-O$3*M358)</f>
        <v>-5.2434298756780815E-4</v>
      </c>
      <c r="P359" s="14"/>
      <c r="Q359" s="9">
        <f ca="1">Q358-T359*Prices!C359</f>
        <v>1.2627286245549079</v>
      </c>
      <c r="R359" s="1">
        <f t="shared" ca="1" si="40"/>
        <v>8.0293153411864163E-3</v>
      </c>
      <c r="S359" s="9">
        <f ca="1">IF(Prices!C358&lt;OFFSET(Prices!C358,-S$3,0),1,-1)</f>
        <v>1</v>
      </c>
      <c r="T359" s="1">
        <f ca="1">IF(S359=1,T$3*Q358/Prices!C358,-T$3*R358)</f>
        <v>2.0805348676605971E-4</v>
      </c>
      <c r="V359" s="9"/>
      <c r="W359" s="1"/>
      <c r="X359" s="1"/>
      <c r="Y359" s="1"/>
      <c r="Z359" s="1"/>
      <c r="AA359" s="1"/>
      <c r="AB359" s="1"/>
      <c r="AC359" s="1"/>
      <c r="AD359" s="1"/>
      <c r="AE359" s="16"/>
    </row>
    <row r="360" spans="1:31" x14ac:dyDescent="0.2">
      <c r="A360" s="4">
        <v>34010</v>
      </c>
      <c r="B360" s="9">
        <f ca="1">Prices!C359*(1+J360/(50*(ABS(O360)+ABS(T360)+0.0001)))</f>
        <v>123.53434610202852</v>
      </c>
      <c r="C360" s="21">
        <f t="shared" ca="1" si="35"/>
        <v>1</v>
      </c>
      <c r="D360" s="9">
        <f ca="1">D359+C360*(Prices!C360-Prices!C359)/Prices!C359</f>
        <v>0.13190234975444137</v>
      </c>
      <c r="E360" s="9">
        <f t="shared" ca="1" si="36"/>
        <v>6.1900075542553612E-3</v>
      </c>
      <c r="F360" s="9">
        <f t="shared" ca="1" si="37"/>
        <v>0.13809235730869673</v>
      </c>
      <c r="G360" s="13">
        <f ca="1">IF((Prices!C360-Prices!C359)*C360&gt;0,1,0)</f>
        <v>1</v>
      </c>
      <c r="H360" s="9">
        <f>ABS(Prices!C360-Prices!C359)/Prices!C359</f>
        <v>1.6494845360824977E-3</v>
      </c>
      <c r="I360" s="13"/>
      <c r="J360" s="1">
        <f t="shared" ca="1" si="38"/>
        <v>1.6240901496320985E-3</v>
      </c>
      <c r="K360" s="9"/>
      <c r="L360" s="9">
        <f ca="1">L359-O360*Prices!C360</f>
        <v>1.5447140623630071</v>
      </c>
      <c r="M360" s="1">
        <f t="shared" ca="1" si="39"/>
        <v>6.1348919037951697E-3</v>
      </c>
      <c r="N360" s="9">
        <f ca="1">IF(Prices!D359&gt;OFFSET(Prices!D359,-$N$3,0),1,-1)</f>
        <v>1</v>
      </c>
      <c r="O360" s="1">
        <f ca="1">IF(N360=1,O$3*L359/Prices!C359,-O$3*M359)</f>
        <v>1.4158050156848972E-3</v>
      </c>
      <c r="P360" s="14"/>
      <c r="Q360" s="9">
        <f ca="1">Q359-T360*Prices!C360</f>
        <v>1.2374323950370203</v>
      </c>
      <c r="R360" s="1">
        <f t="shared" ca="1" si="40"/>
        <v>8.2376004751336177E-3</v>
      </c>
      <c r="S360" s="9">
        <f ca="1">IF(Prices!C359&lt;OFFSET(Prices!C359,-S$3,0),1,-1)</f>
        <v>1</v>
      </c>
      <c r="T360" s="1">
        <f ca="1">IF(S360=1,T$3*Q359/Prices!C359,-T$3*R359)</f>
        <v>2.0828513394720131E-4</v>
      </c>
      <c r="V360" s="9"/>
      <c r="W360" s="1"/>
      <c r="X360" s="1"/>
      <c r="Y360" s="1"/>
      <c r="Z360" s="1"/>
      <c r="AA360" s="1"/>
      <c r="AB360" s="1"/>
      <c r="AC360" s="1"/>
      <c r="AD360" s="1"/>
      <c r="AE360" s="16"/>
    </row>
    <row r="361" spans="1:31" x14ac:dyDescent="0.2">
      <c r="A361" s="4">
        <v>34011</v>
      </c>
      <c r="B361" s="9">
        <f ca="1">Prices!C360*(1+J361/(50*(ABS(O361)+ABS(T361)+0.0001)))</f>
        <v>123.72484330125984</v>
      </c>
      <c r="C361" s="21">
        <f t="shared" ca="1" si="35"/>
        <v>1</v>
      </c>
      <c r="D361" s="9">
        <f ca="1">D360+C361*(Prices!C361-Prices!C360)/Prices!C360</f>
        <v>0.13066727359141128</v>
      </c>
      <c r="E361" s="9">
        <f t="shared" ca="1" si="36"/>
        <v>7.4250837172854522E-3</v>
      </c>
      <c r="F361" s="9">
        <f t="shared" ca="1" si="37"/>
        <v>0.13809235730869673</v>
      </c>
      <c r="G361" s="13">
        <f ca="1">IF((Prices!C361-Prices!C360)*C361&gt;0,1,0)</f>
        <v>0</v>
      </c>
      <c r="H361" s="9">
        <f>ABS(Prices!C361-Prices!C360)/Prices!C360</f>
        <v>1.2350761630301004E-3</v>
      </c>
      <c r="I361" s="13"/>
      <c r="J361" s="1">
        <f t="shared" ca="1" si="38"/>
        <v>1.4756694453441016E-3</v>
      </c>
      <c r="K361" s="9"/>
      <c r="L361" s="9">
        <f ca="1">L360-O361*Prices!C361</f>
        <v>1.3904334400784186</v>
      </c>
      <c r="M361" s="1">
        <f t="shared" ca="1" si="39"/>
        <v>7.4067849152097496E-3</v>
      </c>
      <c r="N361" s="9">
        <f ca="1">IF(Prices!D360&gt;OFFSET(Prices!D360,-$N$3,0),1,-1)</f>
        <v>1</v>
      </c>
      <c r="O361" s="1">
        <f ca="1">IF(N361=1,O$3*L360/Prices!C360,-O$3*M360)</f>
        <v>1.2718930114145799E-3</v>
      </c>
      <c r="P361" s="14"/>
      <c r="Q361" s="9">
        <f ca="1">Q360-T361*Prices!C361</f>
        <v>1.2127143136013694</v>
      </c>
      <c r="R361" s="1">
        <f t="shared" ca="1" si="40"/>
        <v>8.4413769090631394E-3</v>
      </c>
      <c r="S361" s="9">
        <f ca="1">IF(Prices!C360&lt;OFFSET(Prices!C360,-S$3,0),1,-1)</f>
        <v>1</v>
      </c>
      <c r="T361" s="1">
        <f ca="1">IF(S361=1,T$3*Q360/Prices!C360,-T$3*R360)</f>
        <v>2.0377643392952168E-4</v>
      </c>
      <c r="V361" s="9"/>
      <c r="W361" s="1"/>
      <c r="X361" s="1"/>
      <c r="Y361" s="1"/>
      <c r="Z361" s="1"/>
      <c r="AA361" s="1"/>
      <c r="AB361" s="1"/>
      <c r="AC361" s="1"/>
      <c r="AD361" s="1"/>
      <c r="AE361" s="16"/>
    </row>
    <row r="362" spans="1:31" x14ac:dyDescent="0.2">
      <c r="A362" s="4">
        <v>34012</v>
      </c>
      <c r="B362" s="9">
        <f ca="1">Prices!C361*(1+J362/(50*(ABS(O362)+ABS(T362)+0.0001)))</f>
        <v>120.03941886545716</v>
      </c>
      <c r="C362" s="21">
        <f t="shared" ca="1" si="35"/>
        <v>-1</v>
      </c>
      <c r="D362" s="9">
        <f ca="1">D361+C362*(Prices!C362-Prices!C361)/Prices!C361</f>
        <v>0.13561368744137001</v>
      </c>
      <c r="E362" s="9">
        <f t="shared" ca="1" si="36"/>
        <v>2.4786698673267271E-3</v>
      </c>
      <c r="F362" s="9">
        <f t="shared" ca="1" si="37"/>
        <v>0.13809235730869673</v>
      </c>
      <c r="G362" s="13">
        <f ca="1">IF((Prices!C362-Prices!C361)*C362&gt;0,1,0)</f>
        <v>1</v>
      </c>
      <c r="H362" s="9">
        <f>ABS(Prices!C362-Prices!C361)/Prices!C361</f>
        <v>4.9464138499587329E-3</v>
      </c>
      <c r="I362" s="13"/>
      <c r="J362" s="1">
        <f t="shared" ca="1" si="38"/>
        <v>-5.4072559562627273E-4</v>
      </c>
      <c r="K362" s="9"/>
      <c r="L362" s="9">
        <f ca="1">L361-O362*Prices!C362</f>
        <v>1.4798333340050003</v>
      </c>
      <c r="M362" s="1">
        <f t="shared" ca="1" si="39"/>
        <v>6.6661064236887748E-3</v>
      </c>
      <c r="N362" s="9">
        <f ca="1">IF(Prices!D361&gt;OFFSET(Prices!D361,-$N$3,0),1,-1)</f>
        <v>-1</v>
      </c>
      <c r="O362" s="1">
        <f ca="1">IF(N362=1,O$3*L361/Prices!C361,-O$3*M361)</f>
        <v>-7.40678491520975E-4</v>
      </c>
      <c r="P362" s="14"/>
      <c r="Q362" s="9">
        <f ca="1">Q361-T362*Prices!C362</f>
        <v>1.1885799990668788</v>
      </c>
      <c r="R362" s="1">
        <f t="shared" ca="1" si="40"/>
        <v>8.6413298049578414E-3</v>
      </c>
      <c r="S362" s="9">
        <f ca="1">IF(Prices!C361&lt;OFFSET(Prices!C361,-S$3,0),1,-1)</f>
        <v>1</v>
      </c>
      <c r="T362" s="1">
        <f ca="1">IF(S362=1,T$3*Q361/Prices!C361,-T$3*R361)</f>
        <v>1.999528958947023E-4</v>
      </c>
      <c r="V362" s="9"/>
      <c r="W362" s="1"/>
      <c r="X362" s="1"/>
      <c r="Y362" s="1"/>
      <c r="Z362" s="1"/>
      <c r="AA362" s="1"/>
      <c r="AB362" s="1"/>
      <c r="AC362" s="1"/>
      <c r="AD362" s="1"/>
      <c r="AE362" s="16"/>
    </row>
    <row r="363" spans="1:31" x14ac:dyDescent="0.2">
      <c r="A363" s="4">
        <v>34015</v>
      </c>
      <c r="B363" s="9">
        <f ca="1">Prices!C362*(1+J363/(50*(ABS(O363)+ABS(T363)+0.0001)))</f>
        <v>119.52335514265006</v>
      </c>
      <c r="C363" s="21">
        <f t="shared" ca="1" si="35"/>
        <v>-1</v>
      </c>
      <c r="D363" s="9">
        <f ca="1">D362+C363*(Prices!C363-Prices!C362)/Prices!C362</f>
        <v>0.13362528644716956</v>
      </c>
      <c r="E363" s="9">
        <f t="shared" ca="1" si="36"/>
        <v>4.4670708615271726E-3</v>
      </c>
      <c r="F363" s="9">
        <f t="shared" ca="1" si="37"/>
        <v>0.13809235730869673</v>
      </c>
      <c r="G363" s="13">
        <f ca="1">IF((Prices!C363-Prices!C362)*C363&gt;0,1,0)</f>
        <v>0</v>
      </c>
      <c r="H363" s="9">
        <f>ABS(Prices!C363-Prices!C362)/Prices!C362</f>
        <v>1.9884009942004546E-3</v>
      </c>
      <c r="I363" s="13"/>
      <c r="J363" s="1">
        <f t="shared" ca="1" si="38"/>
        <v>-4.6966283804959351E-4</v>
      </c>
      <c r="K363" s="9"/>
      <c r="L363" s="9">
        <f ca="1">L362-O363*Prices!C363</f>
        <v>1.5604532250930923</v>
      </c>
      <c r="M363" s="1">
        <f t="shared" ca="1" si="39"/>
        <v>5.9994957813198973E-3</v>
      </c>
      <c r="N363" s="9">
        <f ca="1">IF(Prices!D362&gt;OFFSET(Prices!D362,-$N$3,0),1,-1)</f>
        <v>-1</v>
      </c>
      <c r="O363" s="1">
        <f ca="1">IF(N363=1,O$3*L362/Prices!C362,-O$3*M362)</f>
        <v>-6.6661064236887748E-4</v>
      </c>
      <c r="P363" s="14"/>
      <c r="Q363" s="9">
        <f ca="1">Q362-T363*Prices!C363</f>
        <v>1.1647611316125046</v>
      </c>
      <c r="R363" s="1">
        <f t="shared" ca="1" si="40"/>
        <v>8.8382776092771256E-3</v>
      </c>
      <c r="S363" s="9">
        <f ca="1">IF(Prices!C362&lt;OFFSET(Prices!C362,-S$3,0),1,-1)</f>
        <v>1</v>
      </c>
      <c r="T363" s="1">
        <f ca="1">IF(S363=1,T$3*Q362/Prices!C362,-T$3*R362)</f>
        <v>1.96947804319284E-4</v>
      </c>
      <c r="V363" s="9"/>
      <c r="W363" s="1"/>
      <c r="X363" s="1"/>
      <c r="Y363" s="1"/>
      <c r="Z363" s="1"/>
      <c r="AA363" s="1"/>
      <c r="AB363" s="1"/>
      <c r="AC363" s="1"/>
      <c r="AD363" s="1"/>
      <c r="AE363" s="16"/>
    </row>
    <row r="364" spans="1:31" x14ac:dyDescent="0.2">
      <c r="A364" s="4">
        <v>34016</v>
      </c>
      <c r="B364" s="9">
        <f ca="1">Prices!C363*(1+J364/(50*(ABS(O364)+ABS(T364)+0.0001)))</f>
        <v>119.83615801038323</v>
      </c>
      <c r="C364" s="21">
        <f t="shared" ca="1" si="35"/>
        <v>-1</v>
      </c>
      <c r="D364" s="9">
        <f ca="1">D363+C364*(Prices!C364-Prices!C363)/Prices!C363</f>
        <v>0.14148042122474525</v>
      </c>
      <c r="E364" s="9">
        <f t="shared" ca="1" si="36"/>
        <v>0</v>
      </c>
      <c r="F364" s="9">
        <f t="shared" ca="1" si="37"/>
        <v>0.14148042122474525</v>
      </c>
      <c r="G364" s="13">
        <f ca="1">IF((Prices!C364-Prices!C363)*C364&gt;0,1,0)</f>
        <v>1</v>
      </c>
      <c r="H364" s="9">
        <f>ABS(Prices!C364-Prices!C363)/Prices!C363</f>
        <v>7.8551347775756807E-3</v>
      </c>
      <c r="I364" s="13"/>
      <c r="J364" s="1">
        <f t="shared" ca="1" si="38"/>
        <v>-4.0733156397414216E-4</v>
      </c>
      <c r="K364" s="9"/>
      <c r="L364" s="9">
        <f ca="1">L363-O364*Prices!C364</f>
        <v>1.6324411749731498</v>
      </c>
      <c r="M364" s="1">
        <f t="shared" ca="1" si="39"/>
        <v>5.3995462031879073E-3</v>
      </c>
      <c r="N364" s="9">
        <f ca="1">IF(Prices!D363&gt;OFFSET(Prices!D363,-$N$3,0),1,-1)</f>
        <v>-1</v>
      </c>
      <c r="O364" s="1">
        <f ca="1">IF(N364=1,O$3*L363/Prices!C363,-O$3*M363)</f>
        <v>-5.9994957813198978E-4</v>
      </c>
      <c r="P364" s="14"/>
      <c r="Q364" s="9">
        <f ca="1">Q363-T364*Prices!C364</f>
        <v>1.1416488960937046</v>
      </c>
      <c r="R364" s="1">
        <f t="shared" ca="1" si="40"/>
        <v>9.0308956234349726E-3</v>
      </c>
      <c r="S364" s="9">
        <f ca="1">IF(Prices!C363&lt;OFFSET(Prices!C363,-S$3,0),1,-1)</f>
        <v>1</v>
      </c>
      <c r="T364" s="1">
        <f ca="1">IF(S364=1,T$3*Q363/Prices!C363,-T$3*R363)</f>
        <v>1.9261801415784764E-4</v>
      </c>
      <c r="V364" s="9"/>
      <c r="W364" s="1"/>
      <c r="X364" s="1"/>
      <c r="Y364" s="1"/>
      <c r="Z364" s="1"/>
      <c r="AA364" s="1"/>
      <c r="AB364" s="1"/>
      <c r="AC364" s="1"/>
      <c r="AD364" s="1"/>
      <c r="AE364" s="16"/>
    </row>
    <row r="365" spans="1:31" x14ac:dyDescent="0.2">
      <c r="A365" s="4">
        <v>34017</v>
      </c>
      <c r="B365" s="9">
        <f ca="1">Prices!C364*(1+J365/(50*(ABS(O365)+ABS(T365)+0.0001)))</f>
        <v>118.97930647896671</v>
      </c>
      <c r="C365" s="21">
        <f t="shared" ca="1" si="35"/>
        <v>-1</v>
      </c>
      <c r="D365" s="9">
        <f ca="1">D364+C365*(Prices!C365-Prices!C364)/Prices!C364</f>
        <v>0.14389728929708454</v>
      </c>
      <c r="E365" s="9">
        <f t="shared" ca="1" si="36"/>
        <v>0</v>
      </c>
      <c r="F365" s="9">
        <f t="shared" ca="1" si="37"/>
        <v>0.14389728929708454</v>
      </c>
      <c r="G365" s="13">
        <f ca="1">IF((Prices!C365-Prices!C364)*C365&gt;0,1,0)</f>
        <v>1</v>
      </c>
      <c r="H365" s="9">
        <f>ABS(Prices!C365-Prices!C364)/Prices!C364</f>
        <v>2.4168680723392955E-3</v>
      </c>
      <c r="I365" s="13"/>
      <c r="J365" s="1">
        <f t="shared" ca="1" si="38"/>
        <v>-3.4966394674704231E-4</v>
      </c>
      <c r="K365" s="9"/>
      <c r="L365" s="9">
        <f ca="1">L364-O365*Prices!C365</f>
        <v>1.6970737430253091</v>
      </c>
      <c r="M365" s="1">
        <f t="shared" ca="1" si="39"/>
        <v>4.8595915828691166E-3</v>
      </c>
      <c r="N365" s="9">
        <f ca="1">IF(Prices!D364&gt;OFFSET(Prices!D364,-$N$3,0),1,-1)</f>
        <v>-1</v>
      </c>
      <c r="O365" s="1">
        <f ca="1">IF(N365=1,O$3*L364/Prices!C364,-O$3*M364)</f>
        <v>-5.3995462031879073E-4</v>
      </c>
      <c r="P365" s="14"/>
      <c r="Q365" s="9">
        <f ca="1">Q364-T365*Prices!C365</f>
        <v>1.1188711024671663</v>
      </c>
      <c r="R365" s="1">
        <f t="shared" ca="1" si="40"/>
        <v>9.2211862970067206E-3</v>
      </c>
      <c r="S365" s="9">
        <f ca="1">IF(Prices!C364&lt;OFFSET(Prices!C364,-S$3,0),1,-1)</f>
        <v>1</v>
      </c>
      <c r="T365" s="1">
        <f ca="1">IF(S365=1,T$3*Q364/Prices!C364,-T$3*R364)</f>
        <v>1.9029067357174842E-4</v>
      </c>
      <c r="V365" s="9"/>
      <c r="W365" s="1"/>
      <c r="X365" s="1"/>
      <c r="Y365" s="1"/>
      <c r="Z365" s="1"/>
      <c r="AA365" s="1"/>
      <c r="AB365" s="1"/>
      <c r="AC365" s="1"/>
      <c r="AD365" s="1"/>
      <c r="AE365" s="16"/>
    </row>
    <row r="366" spans="1:31" x14ac:dyDescent="0.2">
      <c r="A366" s="4">
        <v>34018</v>
      </c>
      <c r="B366" s="9">
        <f ca="1">Prices!C365*(1+J366/(50*(ABS(O366)+ABS(T366)+0.0001)))</f>
        <v>118.77383475738769</v>
      </c>
      <c r="C366" s="21">
        <f t="shared" ca="1" si="35"/>
        <v>-1</v>
      </c>
      <c r="D366" s="9">
        <f ca="1">D365+C366*(Prices!C366-Prices!C365)/Prices!C365</f>
        <v>0.14807439873735187</v>
      </c>
      <c r="E366" s="9">
        <f t="shared" ca="1" si="36"/>
        <v>0</v>
      </c>
      <c r="F366" s="9">
        <f t="shared" ca="1" si="37"/>
        <v>0.14807439873735187</v>
      </c>
      <c r="G366" s="13">
        <f ca="1">IF((Prices!C366-Prices!C365)*C366&gt;0,1,0)</f>
        <v>1</v>
      </c>
      <c r="H366" s="9">
        <f>ABS(Prices!C366-Prices!C365)/Prices!C365</f>
        <v>4.1771094402673348E-3</v>
      </c>
      <c r="I366" s="13"/>
      <c r="J366" s="1">
        <f t="shared" ca="1" si="38"/>
        <v>-2.9901327650459482E-4</v>
      </c>
      <c r="K366" s="9"/>
      <c r="L366" s="9">
        <f ca="1">L365-O366*Prices!C366</f>
        <v>1.7550000746931089</v>
      </c>
      <c r="M366" s="1">
        <f t="shared" ca="1" si="39"/>
        <v>4.373632424582205E-3</v>
      </c>
      <c r="N366" s="9">
        <f ca="1">IF(Prices!D365&gt;OFFSET(Prices!D365,-$N$3,0),1,-1)</f>
        <v>-1</v>
      </c>
      <c r="O366" s="1">
        <f ca="1">IF(N366=1,O$3*L365/Prices!C365,-O$3*M365)</f>
        <v>-4.8595915828691168E-4</v>
      </c>
      <c r="P366" s="14"/>
      <c r="Q366" s="9">
        <f ca="1">Q365-T366*Prices!C366</f>
        <v>1.0965871533587142</v>
      </c>
      <c r="R366" s="1">
        <f t="shared" ca="1" si="40"/>
        <v>9.408132178789037E-3</v>
      </c>
      <c r="S366" s="9">
        <f ca="1">IF(Prices!C365&lt;OFFSET(Prices!C365,-S$3,0),1,-1)</f>
        <v>1</v>
      </c>
      <c r="T366" s="1">
        <f ca="1">IF(S366=1,T$3*Q365/Prices!C365,-T$3*R365)</f>
        <v>1.8694588178231683E-4</v>
      </c>
      <c r="V366" s="9"/>
      <c r="W366" s="1"/>
      <c r="X366" s="1"/>
      <c r="Y366" s="1"/>
      <c r="Z366" s="1"/>
      <c r="AA366" s="1"/>
      <c r="AB366" s="1"/>
      <c r="AC366" s="1"/>
      <c r="AD366" s="1"/>
      <c r="AE366" s="16"/>
    </row>
    <row r="367" spans="1:31" x14ac:dyDescent="0.2">
      <c r="A367" s="4">
        <v>34019</v>
      </c>
      <c r="B367" s="9">
        <f ca="1">Prices!C366*(1+J367/(50*(ABS(O367)+ABS(T367)+0.0001)))</f>
        <v>118.36263194744213</v>
      </c>
      <c r="C367" s="21">
        <f t="shared" ca="1" si="35"/>
        <v>-1</v>
      </c>
      <c r="D367" s="9">
        <f ca="1">D366+C367*(Prices!C367-Prices!C366)/Prices!C366</f>
        <v>0.15520527122057343</v>
      </c>
      <c r="E367" s="9">
        <f t="shared" ca="1" si="36"/>
        <v>0</v>
      </c>
      <c r="F367" s="9">
        <f t="shared" ca="1" si="37"/>
        <v>0.15520527122057343</v>
      </c>
      <c r="G367" s="13">
        <f ca="1">IF((Prices!C367-Prices!C366)*C367&gt;0,1,0)</f>
        <v>1</v>
      </c>
      <c r="H367" s="9">
        <f>ABS(Prices!C367-Prices!C366)/Prices!C366</f>
        <v>7.1308724832215478E-3</v>
      </c>
      <c r="I367" s="13"/>
      <c r="J367" s="1">
        <f t="shared" ca="1" si="38"/>
        <v>-2.5337210934434231E-4</v>
      </c>
      <c r="K367" s="9"/>
      <c r="L367" s="9">
        <f ca="1">L366-O367*Prices!C367</f>
        <v>1.8067620144380394</v>
      </c>
      <c r="M367" s="1">
        <f t="shared" ca="1" si="39"/>
        <v>3.9362691821239843E-3</v>
      </c>
      <c r="N367" s="9">
        <f ca="1">IF(Prices!D366&gt;OFFSET(Prices!D366,-$N$3,0),1,-1)</f>
        <v>-1</v>
      </c>
      <c r="O367" s="1">
        <f ca="1">IF(N367=1,O$3*L366/Prices!C366,-O$3*M366)</f>
        <v>-4.3736324245822051E-4</v>
      </c>
      <c r="P367" s="14"/>
      <c r="Q367" s="9">
        <f ca="1">Q366-T367*Prices!C367</f>
        <v>1.0748118027546867</v>
      </c>
      <c r="R367" s="1">
        <f t="shared" ca="1" si="40"/>
        <v>9.592123311902916E-3</v>
      </c>
      <c r="S367" s="9">
        <f ca="1">IF(Prices!C366&lt;OFFSET(Prices!C366,-S$3,0),1,-1)</f>
        <v>1</v>
      </c>
      <c r="T367" s="1">
        <f ca="1">IF(S367=1,T$3*Q366/Prices!C366,-T$3*R366)</f>
        <v>1.839911331138782E-4</v>
      </c>
      <c r="V367" s="9"/>
      <c r="W367" s="1"/>
      <c r="X367" s="1"/>
      <c r="Y367" s="1"/>
      <c r="Z367" s="1"/>
      <c r="AA367" s="1"/>
      <c r="AB367" s="1"/>
      <c r="AC367" s="1"/>
      <c r="AD367" s="1"/>
      <c r="AE367" s="16"/>
    </row>
    <row r="368" spans="1:31" x14ac:dyDescent="0.2">
      <c r="A368" s="4">
        <v>34022</v>
      </c>
      <c r="B368" s="9">
        <f ca="1">Prices!C367*(1+J368/(50*(ABS(O368)+ABS(T368)+0.0001)))</f>
        <v>117.60689298895362</v>
      </c>
      <c r="C368" s="21">
        <f t="shared" ca="1" si="35"/>
        <v>-1</v>
      </c>
      <c r="D368" s="9">
        <f ca="1">D367+C368*(Prices!C368-Prices!C367)/Prices!C367</f>
        <v>0.17210429952644585</v>
      </c>
      <c r="E368" s="9">
        <f t="shared" ca="1" si="36"/>
        <v>0</v>
      </c>
      <c r="F368" s="9">
        <f t="shared" ca="1" si="37"/>
        <v>0.17210429952644585</v>
      </c>
      <c r="G368" s="13">
        <f ca="1">IF((Prices!C368-Prices!C367)*C368&gt;0,1,0)</f>
        <v>1</v>
      </c>
      <c r="H368" s="9">
        <f>ABS(Prices!C368-Prices!C367)/Prices!C367</f>
        <v>1.6899028305872414E-2</v>
      </c>
      <c r="I368" s="13"/>
      <c r="J368" s="1">
        <f t="shared" ca="1" si="38"/>
        <v>-2.119941674300264E-4</v>
      </c>
      <c r="K368" s="9"/>
      <c r="L368" s="9">
        <f ca="1">L367-O368*Prices!C368</f>
        <v>1.8525605063720521</v>
      </c>
      <c r="M368" s="1">
        <f t="shared" ca="1" si="39"/>
        <v>3.5426422639115857E-3</v>
      </c>
      <c r="N368" s="9">
        <f ca="1">IF(Prices!D367&gt;OFFSET(Prices!D367,-$N$3,0),1,-1)</f>
        <v>-1</v>
      </c>
      <c r="O368" s="1">
        <f ca="1">IF(N368=1,O$3*L367/Prices!C367,-O$3*M367)</f>
        <v>-3.9362691821239848E-4</v>
      </c>
      <c r="P368" s="14"/>
      <c r="Q368" s="9">
        <f ca="1">Q367-T368*Prices!C368</f>
        <v>1.0536788322011577</v>
      </c>
      <c r="R368" s="1">
        <f t="shared" ca="1" si="40"/>
        <v>9.7737560626852873E-3</v>
      </c>
      <c r="S368" s="9">
        <f ca="1">IF(Prices!C367&lt;OFFSET(Prices!C367,-S$3,0),1,-1)</f>
        <v>1</v>
      </c>
      <c r="T368" s="1">
        <f ca="1">IF(S368=1,T$3*Q367/Prices!C367,-T$3*R367)</f>
        <v>1.8163275078237208E-4</v>
      </c>
      <c r="V368" s="9"/>
      <c r="W368" s="1"/>
      <c r="X368" s="1"/>
      <c r="Y368" s="1"/>
      <c r="Z368" s="1"/>
      <c r="AA368" s="1"/>
      <c r="AB368" s="1"/>
      <c r="AC368" s="1"/>
      <c r="AD368" s="1"/>
      <c r="AE368" s="16"/>
    </row>
    <row r="369" spans="1:31" x14ac:dyDescent="0.2">
      <c r="A369" s="4">
        <v>34023</v>
      </c>
      <c r="B369" s="9">
        <f ca="1">Prices!C368*(1+J369/(50*(ABS(O369)+ABS(T369)+0.0001)))</f>
        <v>115.71589568501336</v>
      </c>
      <c r="C369" s="21">
        <f t="shared" ca="1" si="35"/>
        <v>-1</v>
      </c>
      <c r="D369" s="9">
        <f ca="1">D368+C369*(Prices!C369-Prices!C368)/Prices!C368</f>
        <v>0.16565823162786397</v>
      </c>
      <c r="E369" s="9">
        <f t="shared" ca="1" si="36"/>
        <v>6.4460678985818753E-3</v>
      </c>
      <c r="F369" s="9">
        <f t="shared" ca="1" si="37"/>
        <v>0.17210429952644585</v>
      </c>
      <c r="G369" s="13">
        <f ca="1">IF((Prices!C369-Prices!C368)*C369&gt;0,1,0)</f>
        <v>0</v>
      </c>
      <c r="H369" s="9">
        <f>ABS(Prices!C369-Prices!C368)/Prices!C368</f>
        <v>6.4460678985818658E-3</v>
      </c>
      <c r="I369" s="13"/>
      <c r="J369" s="1">
        <f t="shared" ca="1" si="38"/>
        <v>-1.7314195184003567E-4</v>
      </c>
      <c r="K369" s="9"/>
      <c r="L369" s="9">
        <f ca="1">L368-O369*Prices!C369</f>
        <v>1.8940448472824567</v>
      </c>
      <c r="M369" s="1">
        <f t="shared" ca="1" si="39"/>
        <v>3.1883780375204273E-3</v>
      </c>
      <c r="N369" s="9">
        <f ca="1">IF(Prices!D368&gt;OFFSET(Prices!D368,-$N$3,0),1,-1)</f>
        <v>-1</v>
      </c>
      <c r="O369" s="1">
        <f ca="1">IF(N369=1,O$3*L368/Prices!C368,-O$3*M368)</f>
        <v>-3.5426422639115861E-4</v>
      </c>
      <c r="P369" s="14"/>
      <c r="Q369" s="9">
        <f ca="1">Q368-T369*Prices!C369</f>
        <v>1.0324694138512212</v>
      </c>
      <c r="R369" s="1">
        <f t="shared" ca="1" si="40"/>
        <v>9.954878337236411E-3</v>
      </c>
      <c r="S369" s="9">
        <f ca="1">IF(Prices!C368&lt;OFFSET(Prices!C368,-S$3,0),1,-1)</f>
        <v>1</v>
      </c>
      <c r="T369" s="1">
        <f ca="1">IF(S369=1,T$3*Q368/Prices!C368,-T$3*R368)</f>
        <v>1.8112227455112294E-4</v>
      </c>
      <c r="V369" s="9"/>
      <c r="W369" s="1"/>
      <c r="X369" s="1"/>
      <c r="Y369" s="1"/>
      <c r="Z369" s="1"/>
      <c r="AA369" s="1"/>
      <c r="AB369" s="1"/>
      <c r="AC369" s="1"/>
      <c r="AD369" s="1"/>
      <c r="AE369" s="16"/>
    </row>
    <row r="370" spans="1:31" x14ac:dyDescent="0.2">
      <c r="A370" s="4">
        <v>34024</v>
      </c>
      <c r="B370" s="9">
        <f ca="1">Prices!C369*(1+J370/(50*(ABS(O370)+ABS(T370)+0.0001)))</f>
        <v>116.53927597448131</v>
      </c>
      <c r="C370" s="21">
        <f t="shared" ca="1" si="35"/>
        <v>-1</v>
      </c>
      <c r="D370" s="9">
        <f ca="1">D369+C370*(Prices!C370-Prices!C369)/Prices!C369</f>
        <v>0.16053440583794076</v>
      </c>
      <c r="E370" s="9">
        <f t="shared" ca="1" si="36"/>
        <v>1.1569893688505084E-2</v>
      </c>
      <c r="F370" s="9">
        <f t="shared" ca="1" si="37"/>
        <v>0.17210429952644585</v>
      </c>
      <c r="G370" s="13">
        <f ca="1">IF((Prices!C370-Prices!C369)*C370&gt;0,1,0)</f>
        <v>0</v>
      </c>
      <c r="H370" s="9">
        <f>ABS(Prices!C370-Prices!C369)/Prices!C369</f>
        <v>5.1238257899232156E-3</v>
      </c>
      <c r="I370" s="13"/>
      <c r="J370" s="1">
        <f t="shared" ca="1" si="38"/>
        <v>-1.4249802341878554E-4</v>
      </c>
      <c r="K370" s="9"/>
      <c r="L370" s="9">
        <f ca="1">L369-O370*Prices!C370</f>
        <v>1.9315720567840722</v>
      </c>
      <c r="M370" s="1">
        <f t="shared" ca="1" si="39"/>
        <v>2.8695402337683843E-3</v>
      </c>
      <c r="N370" s="9">
        <f ca="1">IF(Prices!D369&gt;OFFSET(Prices!D369,-$N$3,0),1,-1)</f>
        <v>-1</v>
      </c>
      <c r="O370" s="1">
        <f ca="1">IF(N370=1,O$3*L369/Prices!C369,-O$3*M369)</f>
        <v>-3.1883780375204277E-4</v>
      </c>
      <c r="P370" s="14"/>
      <c r="Q370" s="9">
        <f ca="1">Q369-T370*Prices!C370</f>
        <v>1.0117142217059967</v>
      </c>
      <c r="R370" s="1">
        <f t="shared" ca="1" si="40"/>
        <v>1.0131218117569668E-2</v>
      </c>
      <c r="S370" s="9">
        <f ca="1">IF(Prices!C369&lt;OFFSET(Prices!C369,-S$3,0),1,-1)</f>
        <v>1</v>
      </c>
      <c r="T370" s="1">
        <f ca="1">IF(S370=1,T$3*Q369/Prices!C369,-T$3*R369)</f>
        <v>1.7633978033325723E-4</v>
      </c>
      <c r="V370" s="9"/>
      <c r="W370" s="1"/>
      <c r="X370" s="1"/>
      <c r="Y370" s="1"/>
      <c r="Z370" s="1"/>
      <c r="AA370" s="1"/>
      <c r="AB370" s="1"/>
      <c r="AC370" s="1"/>
      <c r="AD370" s="1"/>
      <c r="AE370" s="16"/>
    </row>
    <row r="371" spans="1:31" x14ac:dyDescent="0.2">
      <c r="A371" s="4">
        <v>34025</v>
      </c>
      <c r="B371" s="9">
        <f ca="1">Prices!C370*(1+J371/(50*(ABS(O371)+ABS(T371)+0.0001)))</f>
        <v>117.21544185083546</v>
      </c>
      <c r="C371" s="21">
        <f t="shared" ca="1" si="35"/>
        <v>-1</v>
      </c>
      <c r="D371" s="9">
        <f ca="1">D370+C371*(Prices!C371-Prices!C370)/Prices!C370</f>
        <v>0.16223364118203595</v>
      </c>
      <c r="E371" s="9">
        <f t="shared" ca="1" si="36"/>
        <v>9.8706583444098939E-3</v>
      </c>
      <c r="F371" s="9">
        <f t="shared" ca="1" si="37"/>
        <v>0.17210429952644585</v>
      </c>
      <c r="G371" s="13">
        <f ca="1">IF((Prices!C371-Prices!C370)*C371&gt;0,1,0)</f>
        <v>1</v>
      </c>
      <c r="H371" s="9">
        <f>ABS(Prices!C371-Prices!C370)/Prices!C370</f>
        <v>1.6992353440951813E-3</v>
      </c>
      <c r="I371" s="13"/>
      <c r="J371" s="1">
        <f t="shared" ca="1" si="38"/>
        <v>-1.1503996701218313E-4</v>
      </c>
      <c r="K371" s="9"/>
      <c r="L371" s="9">
        <f ca="1">L370-O371*Prices!C371</f>
        <v>1.9652891545308506</v>
      </c>
      <c r="M371" s="1">
        <f t="shared" ca="1" si="39"/>
        <v>2.5825862103915458E-3</v>
      </c>
      <c r="N371" s="9">
        <f ca="1">IF(Prices!D370&gt;OFFSET(Prices!D370,-$N$3,0),1,-1)</f>
        <v>-1</v>
      </c>
      <c r="O371" s="1">
        <f ca="1">IF(N371=1,O$3*L370/Prices!C370,-O$3*M370)</f>
        <v>-2.8695402337683846E-4</v>
      </c>
      <c r="P371" s="14"/>
      <c r="Q371" s="9">
        <f ca="1">Q370-T371*Prices!C371</f>
        <v>0.99151432008314966</v>
      </c>
      <c r="R371" s="1">
        <f t="shared" ca="1" si="40"/>
        <v>1.0303132173934323E-2</v>
      </c>
      <c r="S371" s="9">
        <f ca="1">IF(Prices!C370&lt;OFFSET(Prices!C370,-S$3,0),1,-1)</f>
        <v>1</v>
      </c>
      <c r="T371" s="1">
        <f ca="1">IF(S371=1,T$3*Q370/Prices!C370,-T$3*R370)</f>
        <v>1.7191405636465533E-4</v>
      </c>
      <c r="V371" s="9"/>
      <c r="W371" s="1"/>
      <c r="X371" s="1"/>
      <c r="Y371" s="1"/>
      <c r="Z371" s="1"/>
      <c r="AA371" s="1"/>
      <c r="AB371" s="1"/>
      <c r="AC371" s="1"/>
      <c r="AD371" s="1"/>
      <c r="AE371" s="16"/>
    </row>
    <row r="372" spans="1:31" x14ac:dyDescent="0.2">
      <c r="A372" s="4">
        <v>34026</v>
      </c>
      <c r="B372" s="9">
        <f ca="1">Prices!C371*(1+J372/(50*(ABS(O372)+ABS(T372)+0.0001)))</f>
        <v>119.72895052117372</v>
      </c>
      <c r="C372" s="21">
        <f t="shared" ca="1" si="35"/>
        <v>1</v>
      </c>
      <c r="D372" s="9">
        <f ca="1">D371+C372*(Prices!C372-Prices!C371)/Prices!C371</f>
        <v>0.16861661990544022</v>
      </c>
      <c r="E372" s="9">
        <f t="shared" ca="1" si="36"/>
        <v>3.4876796210056293E-3</v>
      </c>
      <c r="F372" s="9">
        <f t="shared" ca="1" si="37"/>
        <v>0.17210429952644585</v>
      </c>
      <c r="G372" s="13">
        <f ca="1">IF((Prices!C372-Prices!C371)*C372&gt;0,1,0)</f>
        <v>1</v>
      </c>
      <c r="H372" s="9">
        <f>ABS(Prices!C372-Prices!C371)/Prices!C371</f>
        <v>6.382978723404255E-3</v>
      </c>
      <c r="I372" s="13"/>
      <c r="J372" s="1">
        <f t="shared" ca="1" si="38"/>
        <v>1.8413549094021112E-3</v>
      </c>
      <c r="K372" s="9"/>
      <c r="L372" s="9">
        <f ca="1">L371-O372*Prices!C372</f>
        <v>1.7675057991918948</v>
      </c>
      <c r="M372" s="1">
        <f t="shared" ca="1" si="39"/>
        <v>4.2551727248858872E-3</v>
      </c>
      <c r="N372" s="9">
        <f ca="1">IF(Prices!D371&gt;OFFSET(Prices!D371,-$N$3,0),1,-1)</f>
        <v>1</v>
      </c>
      <c r="O372" s="1">
        <f ca="1">IF(N372=1,O$3*L371/Prices!C371,-O$3*M371)</f>
        <v>1.672586514494341E-3</v>
      </c>
      <c r="P372" s="14"/>
      <c r="Q372" s="9">
        <f ca="1">Q371-T372*Prices!C372</f>
        <v>0.97155745738530586</v>
      </c>
      <c r="R372" s="1">
        <f t="shared" ca="1" si="40"/>
        <v>1.0471900568842092E-2</v>
      </c>
      <c r="S372" s="9">
        <f ca="1">IF(Prices!C371&lt;OFFSET(Prices!C371,-S$3,0),1,-1)</f>
        <v>1</v>
      </c>
      <c r="T372" s="1">
        <f ca="1">IF(S372=1,T$3*Q371/Prices!C371,-T$3*R371)</f>
        <v>1.6876839490777016E-4</v>
      </c>
      <c r="V372" s="9"/>
      <c r="W372" s="1"/>
      <c r="X372" s="1"/>
      <c r="Y372" s="1"/>
      <c r="Z372" s="1"/>
      <c r="AA372" s="1"/>
      <c r="AB372" s="1"/>
      <c r="AC372" s="1"/>
      <c r="AD372" s="1"/>
      <c r="AE372" s="16"/>
    </row>
    <row r="373" spans="1:31" x14ac:dyDescent="0.2">
      <c r="A373" s="4">
        <v>34029</v>
      </c>
      <c r="B373" s="9">
        <f ca="1">Prices!C372*(1+J373/(50*(ABS(O373)+ABS(T373)+0.0001)))</f>
        <v>119.93482557422395</v>
      </c>
      <c r="C373" s="21">
        <f t="shared" ca="1" si="35"/>
        <v>1</v>
      </c>
      <c r="D373" s="9">
        <f ca="1">D372+C373*(Prices!C373-Prices!C372)/Prices!C372</f>
        <v>0.17292951631135992</v>
      </c>
      <c r="E373" s="9">
        <f t="shared" ca="1" si="36"/>
        <v>0</v>
      </c>
      <c r="F373" s="9">
        <f t="shared" ca="1" si="37"/>
        <v>0.17292951631135992</v>
      </c>
      <c r="G373" s="13">
        <f ca="1">IF((Prices!C373-Prices!C372)*C373&gt;0,1,0)</f>
        <v>1</v>
      </c>
      <c r="H373" s="9">
        <f>ABS(Prices!C373-Prices!C372)/Prices!C372</f>
        <v>4.3128964059197051E-3</v>
      </c>
      <c r="I373" s="13"/>
      <c r="J373" s="1">
        <f t="shared" ca="1" si="38"/>
        <v>1.2852814805401939E-3</v>
      </c>
      <c r="K373" s="9"/>
      <c r="L373" s="9">
        <f ca="1">L372-O373*Prices!C373</f>
        <v>1.5899929123318275</v>
      </c>
      <c r="M373" s="1">
        <f t="shared" ca="1" si="39"/>
        <v>5.7498922168029232E-3</v>
      </c>
      <c r="N373" s="9">
        <f ca="1">IF(Prices!D372&gt;OFFSET(Prices!D372,-$N$3,0),1,-1)</f>
        <v>1</v>
      </c>
      <c r="O373" s="1">
        <f ca="1">IF(N373=1,O$3*L372/Prices!C372,-O$3*M372)</f>
        <v>1.4947194919170358E-3</v>
      </c>
      <c r="P373" s="14"/>
      <c r="Q373" s="9">
        <f ca="1">Q372-T373*Prices!C373</f>
        <v>0.99643031561641959</v>
      </c>
      <c r="R373" s="1">
        <f t="shared" ca="1" si="40"/>
        <v>1.0262462557465251E-2</v>
      </c>
      <c r="S373" s="9">
        <f ca="1">IF(Prices!C372&lt;OFFSET(Prices!C372,-S$3,0),1,-1)</f>
        <v>-1</v>
      </c>
      <c r="T373" s="1">
        <f ca="1">IF(S373=1,T$3*Q372/Prices!C372,-T$3*R372)</f>
        <v>-2.0943801137684185E-4</v>
      </c>
      <c r="V373" s="9"/>
      <c r="W373" s="1"/>
      <c r="X373" s="1"/>
      <c r="Y373" s="1"/>
      <c r="Z373" s="1"/>
      <c r="AA373" s="1"/>
      <c r="AB373" s="1"/>
      <c r="AC373" s="1"/>
      <c r="AD373" s="1"/>
      <c r="AE373" s="16"/>
    </row>
    <row r="374" spans="1:31" x14ac:dyDescent="0.2">
      <c r="A374" s="4">
        <v>34030</v>
      </c>
      <c r="B374" s="9">
        <f ca="1">Prices!C373*(1+J374/(50*(ABS(O374)+ABS(T374)+0.0001)))</f>
        <v>116.65463596756057</v>
      </c>
      <c r="C374" s="21">
        <f t="shared" ca="1" si="35"/>
        <v>-1</v>
      </c>
      <c r="D374" s="9">
        <f ca="1">D373+C374*(Prices!C374-Prices!C373)/Prices!C373</f>
        <v>0.18143406329687697</v>
      </c>
      <c r="E374" s="9">
        <f t="shared" ca="1" si="36"/>
        <v>0</v>
      </c>
      <c r="F374" s="9">
        <f t="shared" ca="1" si="37"/>
        <v>0.18143406329687697</v>
      </c>
      <c r="G374" s="13">
        <f ca="1">IF((Prices!C374-Prices!C373)*C374&gt;0,1,0)</f>
        <v>1</v>
      </c>
      <c r="H374" s="9">
        <f>ABS(Prices!C374-Prices!C373)/Prices!C373</f>
        <v>8.5045469855170516E-3</v>
      </c>
      <c r="I374" s="13"/>
      <c r="J374" s="1">
        <f t="shared" ca="1" si="38"/>
        <v>-7.8023847282959735E-4</v>
      </c>
      <c r="K374" s="9"/>
      <c r="L374" s="9">
        <f ca="1">L373-O374*Prices!C374</f>
        <v>1.657697893184682</v>
      </c>
      <c r="M374" s="1">
        <f t="shared" ca="1" si="39"/>
        <v>5.1749029951226305E-3</v>
      </c>
      <c r="N374" s="9">
        <f ca="1">IF(Prices!D373&gt;OFFSET(Prices!D373,-$N$3,0),1,-1)</f>
        <v>-1</v>
      </c>
      <c r="O374" s="1">
        <f ca="1">IF(N374=1,O$3*L373/Prices!C373,-O$3*M373)</f>
        <v>-5.7498922168029232E-4</v>
      </c>
      <c r="P374" s="14"/>
      <c r="Q374" s="9">
        <f ca="1">Q373-T374*Prices!C374</f>
        <v>1.0205984149392502</v>
      </c>
      <c r="R374" s="1">
        <f t="shared" ca="1" si="40"/>
        <v>1.0057213306315945E-2</v>
      </c>
      <c r="S374" s="9">
        <f ca="1">IF(Prices!C373&lt;OFFSET(Prices!C373,-S$3,0),1,-1)</f>
        <v>-1</v>
      </c>
      <c r="T374" s="1">
        <f ca="1">IF(S374=1,T$3*Q373/Prices!C373,-T$3*R373)</f>
        <v>-2.0524925114930503E-4</v>
      </c>
      <c r="V374" s="9"/>
      <c r="W374" s="1"/>
      <c r="X374" s="1"/>
      <c r="Y374" s="1"/>
      <c r="Z374" s="1"/>
      <c r="AA374" s="1"/>
      <c r="AB374" s="1"/>
      <c r="AC374" s="1"/>
      <c r="AD374" s="1"/>
      <c r="AE374" s="16"/>
    </row>
    <row r="375" spans="1:31" x14ac:dyDescent="0.2">
      <c r="A375" s="4">
        <v>34031</v>
      </c>
      <c r="B375" s="9">
        <f ca="1">Prices!C374*(1+J375/(50*(ABS(O375)+ABS(T375)+0.0001)))</f>
        <v>115.68267414654217</v>
      </c>
      <c r="C375" s="21">
        <f t="shared" ca="1" si="35"/>
        <v>-1</v>
      </c>
      <c r="D375" s="9">
        <f ca="1">D374+C375*(Prices!C375-Prices!C374)/Prices!C374</f>
        <v>0.19077588919921237</v>
      </c>
      <c r="E375" s="9">
        <f t="shared" ca="1" si="36"/>
        <v>0</v>
      </c>
      <c r="F375" s="9">
        <f t="shared" ca="1" si="37"/>
        <v>0.19077588919921237</v>
      </c>
      <c r="G375" s="13">
        <f ca="1">IF((Prices!C375-Prices!C374)*C375&gt;0,1,0)</f>
        <v>1</v>
      </c>
      <c r="H375" s="9">
        <f>ABS(Prices!C375-Prices!C374)/Prices!C374</f>
        <v>9.3418259023354076E-3</v>
      </c>
      <c r="I375" s="13"/>
      <c r="J375" s="1">
        <f t="shared" ca="1" si="38"/>
        <v>-7.1863456563858198E-4</v>
      </c>
      <c r="K375" s="9"/>
      <c r="L375" s="9">
        <f ca="1">L374-O375*Prices!C375</f>
        <v>1.7180631366227874</v>
      </c>
      <c r="M375" s="1">
        <f t="shared" ca="1" si="39"/>
        <v>4.6574126956103676E-3</v>
      </c>
      <c r="N375" s="9">
        <f ca="1">IF(Prices!D374&gt;OFFSET(Prices!D374,-$N$3,0),1,-1)</f>
        <v>-1</v>
      </c>
      <c r="O375" s="1">
        <f ca="1">IF(N375=1,O$3*L374/Prices!C374,-O$3*M374)</f>
        <v>-5.1749029951226309E-4</v>
      </c>
      <c r="P375" s="14"/>
      <c r="Q375" s="9">
        <f ca="1">Q374-T375*Prices!C375</f>
        <v>1.0440618935828854</v>
      </c>
      <c r="R375" s="1">
        <f t="shared" ca="1" si="40"/>
        <v>9.8560690401896262E-3</v>
      </c>
      <c r="S375" s="9">
        <f ca="1">IF(Prices!C374&lt;OFFSET(Prices!C374,-S$3,0),1,-1)</f>
        <v>-1</v>
      </c>
      <c r="T375" s="1">
        <f ca="1">IF(S375=1,T$3*Q374/Prices!C374,-T$3*R374)</f>
        <v>-2.0114426612631892E-4</v>
      </c>
      <c r="V375" s="9"/>
      <c r="W375" s="1"/>
      <c r="X375" s="1"/>
      <c r="Y375" s="1"/>
      <c r="Z375" s="1"/>
      <c r="AA375" s="1"/>
      <c r="AB375" s="1"/>
      <c r="AC375" s="1"/>
      <c r="AD375" s="1"/>
      <c r="AE375" s="16"/>
    </row>
    <row r="376" spans="1:31" x14ac:dyDescent="0.2">
      <c r="A376" s="4">
        <v>34032</v>
      </c>
      <c r="B376" s="9">
        <f ca="1">Prices!C375*(1+J376/(50*(ABS(O376)+ABS(T376)+0.0001)))</f>
        <v>115.75177827514788</v>
      </c>
      <c r="C376" s="21">
        <f t="shared" ca="1" si="35"/>
        <v>-1</v>
      </c>
      <c r="D376" s="9">
        <f ca="1">D375+C376*(Prices!C376-Prices!C375)/Prices!C375</f>
        <v>0.18948999121378596</v>
      </c>
      <c r="E376" s="9">
        <f t="shared" ca="1" si="36"/>
        <v>1.2858979854264152E-3</v>
      </c>
      <c r="F376" s="9">
        <f t="shared" ca="1" si="37"/>
        <v>0.19077588919921237</v>
      </c>
      <c r="G376" s="13">
        <f ca="1">IF((Prices!C376-Prices!C375)*C376&gt;0,1,0)</f>
        <v>0</v>
      </c>
      <c r="H376" s="9">
        <f>ABS(Prices!C376-Prices!C375)/Prices!C375</f>
        <v>1.2858979854264163E-3</v>
      </c>
      <c r="I376" s="13"/>
      <c r="J376" s="1">
        <f t="shared" ca="1" si="38"/>
        <v>-2.8673365814519704E-4</v>
      </c>
      <c r="K376" s="9"/>
      <c r="L376" s="9">
        <f ca="1">L375-O376*Prices!C376</f>
        <v>1.7724617169075165</v>
      </c>
      <c r="M376" s="1">
        <f t="shared" ca="1" si="39"/>
        <v>4.1916714260493305E-3</v>
      </c>
      <c r="N376" s="9">
        <f ca="1">IF(Prices!D375&gt;OFFSET(Prices!D375,-$N$3,0),1,-1)</f>
        <v>-1</v>
      </c>
      <c r="O376" s="1">
        <f ca="1">IF(N376=1,O$3*L375/Prices!C375,-O$3*M375)</f>
        <v>-4.6574126956103678E-4</v>
      </c>
      <c r="P376" s="14"/>
      <c r="Q376" s="9">
        <f ca="1">Q375-T376*Prices!C376</f>
        <v>1.0231538045695152</v>
      </c>
      <c r="R376" s="1">
        <f t="shared" ca="1" si="40"/>
        <v>1.0035076651605466E-2</v>
      </c>
      <c r="S376" s="9">
        <f ca="1">IF(Prices!C375&lt;OFFSET(Prices!C375,-S$3,0),1,-1)</f>
        <v>1</v>
      </c>
      <c r="T376" s="1">
        <f ca="1">IF(S376=1,T$3*Q375/Prices!C375,-T$3*R375)</f>
        <v>1.7900761141583974E-4</v>
      </c>
      <c r="V376" s="9"/>
      <c r="W376" s="1"/>
      <c r="X376" s="1"/>
      <c r="Y376" s="1"/>
      <c r="Z376" s="1"/>
      <c r="AA376" s="1"/>
      <c r="AB376" s="1"/>
      <c r="AC376" s="1"/>
      <c r="AD376" s="1"/>
      <c r="AE376" s="16"/>
    </row>
    <row r="377" spans="1:31" x14ac:dyDescent="0.2">
      <c r="A377" s="4">
        <v>34033</v>
      </c>
      <c r="B377" s="9">
        <f ca="1">Prices!C376*(1+J377/(50*(ABS(O377)+ABS(T377)+0.0001)))</f>
        <v>115.97923115396543</v>
      </c>
      <c r="C377" s="21">
        <f t="shared" ca="1" si="35"/>
        <v>-1</v>
      </c>
      <c r="D377" s="9">
        <f ca="1">D376+C377*(Prices!C377-Prices!C376)/Prices!C376</f>
        <v>0.18221259395351191</v>
      </c>
      <c r="E377" s="9">
        <f t="shared" ca="1" si="36"/>
        <v>8.5632952457004585E-3</v>
      </c>
      <c r="F377" s="9">
        <f t="shared" ca="1" si="37"/>
        <v>0.19077588919921237</v>
      </c>
      <c r="G377" s="13">
        <f ca="1">IF((Prices!C377-Prices!C376)*C377&gt;0,1,0)</f>
        <v>0</v>
      </c>
      <c r="H377" s="9">
        <f>ABS(Prices!C377-Prices!C376)/Prices!C376</f>
        <v>7.2773972602740459E-3</v>
      </c>
      <c r="I377" s="13"/>
      <c r="J377" s="1">
        <f t="shared" ca="1" si="38"/>
        <v>-2.4396957332933116E-4</v>
      </c>
      <c r="K377" s="9"/>
      <c r="L377" s="9">
        <f ca="1">L376-O377*Prices!C377</f>
        <v>1.8217767312349868</v>
      </c>
      <c r="M377" s="1">
        <f t="shared" ca="1" si="39"/>
        <v>3.7725042834443976E-3</v>
      </c>
      <c r="N377" s="9">
        <f ca="1">IF(Prices!D376&gt;OFFSET(Prices!D376,-$N$3,0),1,-1)</f>
        <v>-1</v>
      </c>
      <c r="O377" s="1">
        <f ca="1">IF(N377=1,O$3*L376/Prices!C376,-O$3*M376)</f>
        <v>-4.1916714260493309E-4</v>
      </c>
      <c r="P377" s="14"/>
      <c r="Q377" s="9">
        <f ca="1">Q376-T377*Prices!C377</f>
        <v>1.0025418105442407</v>
      </c>
      <c r="R377" s="1">
        <f t="shared" ca="1" si="40"/>
        <v>1.0210274220881069E-2</v>
      </c>
      <c r="S377" s="9">
        <f ca="1">IF(Prices!C376&lt;OFFSET(Prices!C376,-S$3,0),1,-1)</f>
        <v>1</v>
      </c>
      <c r="T377" s="1">
        <f ca="1">IF(S377=1,T$3*Q376/Prices!C376,-T$3*R376)</f>
        <v>1.7519756927560193E-4</v>
      </c>
      <c r="V377" s="9"/>
      <c r="W377" s="1"/>
      <c r="X377" s="1"/>
      <c r="Y377" s="1"/>
      <c r="Z377" s="1"/>
      <c r="AA377" s="1"/>
      <c r="AB377" s="1"/>
      <c r="AC377" s="1"/>
      <c r="AD377" s="1"/>
      <c r="AE377" s="16"/>
    </row>
    <row r="378" spans="1:31" x14ac:dyDescent="0.2">
      <c r="A378" s="4">
        <v>34036</v>
      </c>
      <c r="B378" s="9">
        <f ca="1">Prices!C377*(1+J378/(50*(ABS(O378)+ABS(T378)+0.0001)))</f>
        <v>119.87363605299943</v>
      </c>
      <c r="C378" s="21">
        <f t="shared" ca="1" si="35"/>
        <v>1</v>
      </c>
      <c r="D378" s="9">
        <f ca="1">D377+C378*(Prices!C378-Prices!C377)/Prices!C377</f>
        <v>0.17558275969936826</v>
      </c>
      <c r="E378" s="9">
        <f t="shared" ca="1" si="36"/>
        <v>1.519312949984411E-2</v>
      </c>
      <c r="F378" s="9">
        <f t="shared" ca="1" si="37"/>
        <v>0.19077588919921237</v>
      </c>
      <c r="G378" s="13">
        <f ca="1">IF((Prices!C378-Prices!C377)*C378&gt;0,1,0)</f>
        <v>0</v>
      </c>
      <c r="H378" s="9">
        <f>ABS(Prices!C378-Prices!C377)/Prices!C377</f>
        <v>6.629834254143656E-3</v>
      </c>
      <c r="I378" s="13"/>
      <c r="J378" s="1">
        <f t="shared" ca="1" si="38"/>
        <v>1.7188993568583383E-3</v>
      </c>
      <c r="K378" s="9"/>
      <c r="L378" s="9">
        <f ca="1">L377-O378*Prices!C378</f>
        <v>1.6408068658891026</v>
      </c>
      <c r="M378" s="1">
        <f t="shared" ca="1" si="39"/>
        <v>5.3209757932063924E-3</v>
      </c>
      <c r="N378" s="9">
        <f ca="1">IF(Prices!D377&gt;OFFSET(Prices!D377,-$N$3,0),1,-1)</f>
        <v>1</v>
      </c>
      <c r="O378" s="1">
        <f ca="1">IF(N378=1,O$3*L377/Prices!C377,-O$3*M377)</f>
        <v>1.5484715097619948E-3</v>
      </c>
      <c r="P378" s="14"/>
      <c r="Q378" s="9">
        <f ca="1">Q377-T378*Prices!C378</f>
        <v>0.98262390805409106</v>
      </c>
      <c r="R378" s="1">
        <f t="shared" ca="1" si="40"/>
        <v>1.0380702067977412E-2</v>
      </c>
      <c r="S378" s="9">
        <f ca="1">IF(Prices!C377&lt;OFFSET(Prices!C377,-S$3,0),1,-1)</f>
        <v>1</v>
      </c>
      <c r="T378" s="1">
        <f ca="1">IF(S378=1,T$3*Q377/Prices!C377,-T$3*R377)</f>
        <v>1.7042784709634352E-4</v>
      </c>
      <c r="V378" s="9"/>
      <c r="W378" s="1"/>
      <c r="X378" s="1"/>
      <c r="Y378" s="1"/>
      <c r="Z378" s="1"/>
      <c r="AA378" s="1"/>
      <c r="AB378" s="1"/>
      <c r="AC378" s="1"/>
      <c r="AD378" s="1"/>
      <c r="AE378" s="16"/>
    </row>
    <row r="379" spans="1:31" x14ac:dyDescent="0.2">
      <c r="A379" s="4">
        <v>34037</v>
      </c>
      <c r="B379" s="9">
        <f ca="1">Prices!C378*(1+J379/(50*(ABS(O379)+ABS(T379)+0.0001)))</f>
        <v>119.06761302440847</v>
      </c>
      <c r="C379" s="21">
        <f t="shared" ca="1" si="35"/>
        <v>1</v>
      </c>
      <c r="D379" s="9">
        <f ca="1">D378+C379*(Prices!C379-Prices!C378)/Prices!C378</f>
        <v>0.18268466780238871</v>
      </c>
      <c r="E379" s="9">
        <f t="shared" ca="1" si="36"/>
        <v>8.0912213968236668E-3</v>
      </c>
      <c r="F379" s="9">
        <f t="shared" ca="1" si="37"/>
        <v>0.19077588919921237</v>
      </c>
      <c r="G379" s="13">
        <f ca="1">IF((Prices!C379-Prices!C378)*C379&gt;0,1,0)</f>
        <v>1</v>
      </c>
      <c r="H379" s="9">
        <f>ABS(Prices!C379-Prices!C378)/Prices!C378</f>
        <v>7.1019081030204356E-3</v>
      </c>
      <c r="I379" s="13"/>
      <c r="J379" s="1">
        <f t="shared" ca="1" si="38"/>
        <v>1.5721157247368196E-3</v>
      </c>
      <c r="K379" s="9"/>
      <c r="L379" s="9">
        <f ca="1">L378-O379*Prices!C379</f>
        <v>1.4755608933425575</v>
      </c>
      <c r="M379" s="1">
        <f t="shared" ca="1" si="39"/>
        <v>6.724934778308731E-3</v>
      </c>
      <c r="N379" s="9">
        <f ca="1">IF(Prices!D378&gt;OFFSET(Prices!D378,-$N$3,0),1,-1)</f>
        <v>1</v>
      </c>
      <c r="O379" s="1">
        <f ca="1">IF(N379=1,O$3*L378/Prices!C378,-O$3*M378)</f>
        <v>1.4039589851023383E-3</v>
      </c>
      <c r="P379" s="14"/>
      <c r="Q379" s="9">
        <f ca="1">Q378-T379*Prices!C379</f>
        <v>0.96283185979911257</v>
      </c>
      <c r="R379" s="1">
        <f t="shared" ca="1" si="40"/>
        <v>1.0548858807611894E-2</v>
      </c>
      <c r="S379" s="9">
        <f ca="1">IF(Prices!C378&lt;OFFSET(Prices!C378,-S$3,0),1,-1)</f>
        <v>1</v>
      </c>
      <c r="T379" s="1">
        <f ca="1">IF(S379=1,T$3*Q378/Prices!C378,-T$3*R378)</f>
        <v>1.6815673963448125E-4</v>
      </c>
      <c r="V379" s="9"/>
      <c r="W379" s="1"/>
      <c r="X379" s="1"/>
      <c r="Y379" s="1"/>
      <c r="Z379" s="1"/>
      <c r="AA379" s="1"/>
      <c r="AB379" s="1"/>
      <c r="AC379" s="1"/>
      <c r="AD379" s="1"/>
      <c r="AE379" s="16"/>
    </row>
    <row r="380" spans="1:31" x14ac:dyDescent="0.2">
      <c r="A380" s="4">
        <v>34038</v>
      </c>
      <c r="B380" s="9">
        <f ca="1">Prices!C379*(1+J380/(50*(ABS(O380)+ABS(T380)+0.0001)))</f>
        <v>119.26871986377738</v>
      </c>
      <c r="C380" s="21">
        <f t="shared" ca="1" si="35"/>
        <v>1</v>
      </c>
      <c r="D380" s="9">
        <f ca="1">D379+C380*(Prices!C380-Prices!C379)/Prices!C379</f>
        <v>0.18565832965455517</v>
      </c>
      <c r="E380" s="9">
        <f t="shared" ca="1" si="36"/>
        <v>5.117559544657202E-3</v>
      </c>
      <c r="F380" s="9">
        <f t="shared" ca="1" si="37"/>
        <v>0.19077588919921237</v>
      </c>
      <c r="G380" s="13">
        <f ca="1">IF((Prices!C380-Prices!C379)*C380&gt;0,1,0)</f>
        <v>1</v>
      </c>
      <c r="H380" s="9">
        <f>ABS(Prices!C380-Prices!C379)/Prices!C379</f>
        <v>2.9736618521664765E-3</v>
      </c>
      <c r="I380" s="13"/>
      <c r="J380" s="1">
        <f t="shared" ca="1" si="38"/>
        <v>1.0426854350139114E-3</v>
      </c>
      <c r="K380" s="9"/>
      <c r="L380" s="9">
        <f ca="1">L379-O380*Prices!C380</f>
        <v>1.3275660220943934</v>
      </c>
      <c r="M380" s="1">
        <f t="shared" ca="1" si="39"/>
        <v>7.9785973894748799E-3</v>
      </c>
      <c r="N380" s="9">
        <f ca="1">IF(Prices!D379&gt;OFFSET(Prices!D379,-$N$3,0),1,-1)</f>
        <v>1</v>
      </c>
      <c r="O380" s="1">
        <f ca="1">IF(N380=1,O$3*L379/Prices!C379,-O$3*M379)</f>
        <v>1.2536626111661492E-3</v>
      </c>
      <c r="P380" s="14"/>
      <c r="Q380" s="9">
        <f ca="1">Q379-T380*Prices!C380</f>
        <v>0.98773771544388422</v>
      </c>
      <c r="R380" s="1">
        <f t="shared" ca="1" si="40"/>
        <v>1.0337881631459656E-2</v>
      </c>
      <c r="S380" s="9">
        <f ca="1">IF(Prices!C379&lt;OFFSET(Prices!C379,-S$3,0),1,-1)</f>
        <v>-1</v>
      </c>
      <c r="T380" s="1">
        <f ca="1">IF(S380=1,T$3*Q379/Prices!C379,-T$3*R379)</f>
        <v>-2.1097717615223787E-4</v>
      </c>
      <c r="V380" s="9"/>
      <c r="W380" s="1"/>
      <c r="X380" s="1"/>
      <c r="Y380" s="1"/>
      <c r="Z380" s="1"/>
      <c r="AA380" s="1"/>
      <c r="AB380" s="1"/>
      <c r="AC380" s="1"/>
      <c r="AD380" s="1"/>
      <c r="AE380" s="16"/>
    </row>
    <row r="381" spans="1:31" x14ac:dyDescent="0.2">
      <c r="A381" s="4">
        <v>34039</v>
      </c>
      <c r="B381" s="9">
        <f ca="1">Prices!C380*(1+J381/(50*(ABS(O381)+ABS(T381)+0.0001)))</f>
        <v>119.56395315872341</v>
      </c>
      <c r="C381" s="21">
        <f t="shared" ca="1" si="35"/>
        <v>1</v>
      </c>
      <c r="D381" s="9">
        <f ca="1">D380+C381*(Prices!C381-Prices!C380)/Prices!C380</f>
        <v>0.18210051516916761</v>
      </c>
      <c r="E381" s="9">
        <f t="shared" ca="1" si="36"/>
        <v>8.6753740300447579E-3</v>
      </c>
      <c r="F381" s="9">
        <f t="shared" ca="1" si="37"/>
        <v>0.19077588919921237</v>
      </c>
      <c r="G381" s="13">
        <f ca="1">IF((Prices!C381-Prices!C380)*C381&gt;0,1,0)</f>
        <v>0</v>
      </c>
      <c r="H381" s="9">
        <f>ABS(Prices!C381-Prices!C380)/Prices!C380</f>
        <v>3.557814485387562E-3</v>
      </c>
      <c r="I381" s="13"/>
      <c r="J381" s="1">
        <f t="shared" ca="1" si="38"/>
        <v>9.1782180158884465E-4</v>
      </c>
      <c r="K381" s="9"/>
      <c r="L381" s="9">
        <f ca="1">L380-O381*Prices!C381</f>
        <v>1.1952817432473257</v>
      </c>
      <c r="M381" s="1">
        <f t="shared" ca="1" si="39"/>
        <v>9.103176823692917E-3</v>
      </c>
      <c r="N381" s="9">
        <f ca="1">IF(Prices!D380&gt;OFFSET(Prices!D380,-$N$3,0),1,-1)</f>
        <v>1</v>
      </c>
      <c r="O381" s="1">
        <f ca="1">IF(N381=1,O$3*L380/Prices!C380,-O$3*M380)</f>
        <v>1.1245794342180377E-3</v>
      </c>
      <c r="P381" s="14"/>
      <c r="Q381" s="9">
        <f ca="1">Q380-T381*Prices!C381</f>
        <v>1.0120586157700562</v>
      </c>
      <c r="R381" s="1">
        <f t="shared" ca="1" si="40"/>
        <v>1.0131123998830462E-2</v>
      </c>
      <c r="S381" s="9">
        <f ca="1">IF(Prices!C380&lt;OFFSET(Prices!C380,-S$3,0),1,-1)</f>
        <v>-1</v>
      </c>
      <c r="T381" s="1">
        <f ca="1">IF(S381=1,T$3*Q380/Prices!C380,-T$3*R380)</f>
        <v>-2.067576326291931E-4</v>
      </c>
      <c r="V381" s="9"/>
      <c r="W381" s="1"/>
      <c r="X381" s="1"/>
      <c r="Y381" s="1"/>
      <c r="Z381" s="1"/>
      <c r="AA381" s="1"/>
      <c r="AB381" s="1"/>
      <c r="AC381" s="1"/>
      <c r="AD381" s="1"/>
      <c r="AE381" s="16"/>
    </row>
    <row r="382" spans="1:31" x14ac:dyDescent="0.2">
      <c r="A382" s="4">
        <v>34040</v>
      </c>
      <c r="B382" s="9">
        <f ca="1">Prices!C381*(1+J382/(50*(ABS(O382)+ABS(T382)+0.0001)))</f>
        <v>119.79997474266322</v>
      </c>
      <c r="C382" s="21">
        <f t="shared" ca="1" si="35"/>
        <v>1</v>
      </c>
      <c r="D382" s="9">
        <f ca="1">D381+C382*(Prices!C382-Prices!C381)/Prices!C381</f>
        <v>0.18592606987459992</v>
      </c>
      <c r="E382" s="9">
        <f t="shared" ca="1" si="36"/>
        <v>4.8498193246124532E-3</v>
      </c>
      <c r="F382" s="9">
        <f t="shared" ca="1" si="37"/>
        <v>0.19077588919921237</v>
      </c>
      <c r="G382" s="13">
        <f ca="1">IF((Prices!C382-Prices!C381)*C382&gt;0,1,0)</f>
        <v>1</v>
      </c>
      <c r="H382" s="9">
        <f>ABS(Prices!C382-Prices!C381)/Prices!C381</f>
        <v>3.8255547054323121E-3</v>
      </c>
      <c r="I382" s="13"/>
      <c r="J382" s="1">
        <f t="shared" ca="1" si="38"/>
        <v>1.1882117371430222E-3</v>
      </c>
      <c r="K382" s="9"/>
      <c r="L382" s="9">
        <f ca="1">L381-O382*Prices!C382</f>
        <v>1.0752963073528734</v>
      </c>
      <c r="M382" s="1">
        <f t="shared" ca="1" si="39"/>
        <v>1.0119313645292276E-2</v>
      </c>
      <c r="N382" s="9">
        <f ca="1">IF(Prices!D381&gt;OFFSET(Prices!D381,-$N$3,0),1,-1)</f>
        <v>1</v>
      </c>
      <c r="O382" s="1">
        <f ca="1">IF(N382=1,O$3*L381/Prices!C381,-O$3*M381)</f>
        <v>1.0161368215993588E-3</v>
      </c>
      <c r="P382" s="14"/>
      <c r="Q382" s="9">
        <f ca="1">Q381-T382*Prices!C382</f>
        <v>0.99174000974266041</v>
      </c>
      <c r="R382" s="1">
        <f t="shared" ca="1" si="40"/>
        <v>1.0303198914374125E-2</v>
      </c>
      <c r="S382" s="9">
        <f ca="1">IF(Prices!C381&lt;OFFSET(Prices!C381,-S$3,0),1,-1)</f>
        <v>1</v>
      </c>
      <c r="T382" s="1">
        <f ca="1">IF(S382=1,T$3*Q381/Prices!C381,-T$3*R381)</f>
        <v>1.7207491554366338E-4</v>
      </c>
      <c r="V382" s="9"/>
      <c r="W382" s="1"/>
      <c r="X382" s="1"/>
      <c r="Y382" s="1"/>
      <c r="Z382" s="1"/>
      <c r="AA382" s="1"/>
      <c r="AB382" s="1"/>
      <c r="AC382" s="1"/>
      <c r="AD382" s="1"/>
      <c r="AE382" s="16"/>
    </row>
    <row r="383" spans="1:31" x14ac:dyDescent="0.2">
      <c r="A383" s="4">
        <v>34043</v>
      </c>
      <c r="B383" s="9">
        <f ca="1">Prices!C382*(1+J383/(50*(ABS(O383)+ABS(T383)+0.0001)))</f>
        <v>119.44757778851891</v>
      </c>
      <c r="C383" s="21">
        <f t="shared" ca="1" si="35"/>
        <v>1</v>
      </c>
      <c r="D383" s="9">
        <f ca="1">D382+C383*(Prices!C383-Prices!C382)/Prices!C382</f>
        <v>0.19016048721877335</v>
      </c>
      <c r="E383" s="9">
        <f t="shared" ca="1" si="36"/>
        <v>6.1540198043902317E-4</v>
      </c>
      <c r="F383" s="9">
        <f t="shared" ca="1" si="37"/>
        <v>0.19077588919921237</v>
      </c>
      <c r="G383" s="13">
        <f ca="1">IF((Prices!C383-Prices!C382)*C383&gt;0,1,0)</f>
        <v>1</v>
      </c>
      <c r="H383" s="9">
        <f>ABS(Prices!C383-Prices!C382)/Prices!C382</f>
        <v>4.2344173441734422E-3</v>
      </c>
      <c r="I383" s="13"/>
      <c r="J383" s="1">
        <f t="shared" ca="1" si="38"/>
        <v>7.0458668850865015E-4</v>
      </c>
      <c r="K383" s="9"/>
      <c r="L383" s="9">
        <f ca="1">L382-O383*Prices!C383</f>
        <v>0.96731135128418799</v>
      </c>
      <c r="M383" s="1">
        <f t="shared" ca="1" si="39"/>
        <v>1.1029964312088409E-2</v>
      </c>
      <c r="N383" s="9">
        <f ca="1">IF(Prices!D382&gt;OFFSET(Prices!D382,-$N$3,0),1,-1)</f>
        <v>1</v>
      </c>
      <c r="O383" s="1">
        <f ca="1">IF(N383=1,O$3*L382/Prices!C382,-O$3*M382)</f>
        <v>9.1065066679613268E-4</v>
      </c>
      <c r="P383" s="14"/>
      <c r="Q383" s="9">
        <f ca="1">Q382-T383*Prices!C383</f>
        <v>1.0161750762879902</v>
      </c>
      <c r="R383" s="1">
        <f t="shared" ca="1" si="40"/>
        <v>1.0097134936086643E-2</v>
      </c>
      <c r="S383" s="9">
        <f ca="1">IF(Prices!C382&lt;OFFSET(Prices!C382,-S$3,0),1,-1)</f>
        <v>-1</v>
      </c>
      <c r="T383" s="1">
        <f ca="1">IF(S383=1,T$3*Q382/Prices!C382,-T$3*R382)</f>
        <v>-2.060639782874825E-4</v>
      </c>
      <c r="V383" s="9"/>
      <c r="W383" s="1"/>
      <c r="X383" s="1"/>
      <c r="Y383" s="1"/>
      <c r="Z383" s="1"/>
      <c r="AA383" s="1"/>
      <c r="AB383" s="1"/>
      <c r="AC383" s="1"/>
      <c r="AD383" s="1"/>
      <c r="AE383" s="16"/>
    </row>
    <row r="384" spans="1:31" x14ac:dyDescent="0.2">
      <c r="A384" s="4">
        <v>34044</v>
      </c>
      <c r="B384" s="9">
        <f ca="1">Prices!C383*(1+J384/(50*(ABS(O384)+ABS(T384)+0.0001)))</f>
        <v>119.88241603103704</v>
      </c>
      <c r="C384" s="21">
        <f t="shared" ca="1" si="35"/>
        <v>1</v>
      </c>
      <c r="D384" s="9">
        <f ca="1">D383+C384*(Prices!C384-Prices!C383)/Prices!C383</f>
        <v>0.1768361492191107</v>
      </c>
      <c r="E384" s="9">
        <f t="shared" ca="1" si="36"/>
        <v>1.3939739980101673E-2</v>
      </c>
      <c r="F384" s="9">
        <f t="shared" ca="1" si="37"/>
        <v>0.19077588919921237</v>
      </c>
      <c r="G384" s="13">
        <f ca="1">IF((Prices!C384-Prices!C383)*C384&gt;0,1,0)</f>
        <v>0</v>
      </c>
      <c r="H384" s="9">
        <f>ABS(Prices!C384-Prices!C383)/Prices!C383</f>
        <v>1.332433799966266E-2</v>
      </c>
      <c r="I384" s="13"/>
      <c r="J384" s="1">
        <f t="shared" ca="1" si="38"/>
        <v>6.1380308579858092E-4</v>
      </c>
      <c r="K384" s="9"/>
      <c r="L384" s="9">
        <f ca="1">L383-O384*Prices!C384</f>
        <v>0.87186909449531125</v>
      </c>
      <c r="M384" s="1">
        <f t="shared" ca="1" si="39"/>
        <v>1.1845710096608722E-2</v>
      </c>
      <c r="N384" s="9">
        <f ca="1">IF(Prices!D383&gt;OFFSET(Prices!D383,-$N$3,0),1,-1)</f>
        <v>1</v>
      </c>
      <c r="O384" s="1">
        <f ca="1">IF(N384=1,O$3*L383/Prices!C383,-O$3*M383)</f>
        <v>8.1574578452031372E-4</v>
      </c>
      <c r="P384" s="14"/>
      <c r="Q384" s="9">
        <f ca="1">Q383-T384*Prices!C384</f>
        <v>1.0398023720384328</v>
      </c>
      <c r="R384" s="1">
        <f t="shared" ca="1" si="40"/>
        <v>9.8951922373649095E-3</v>
      </c>
      <c r="S384" s="9">
        <f ca="1">IF(Prices!C383&lt;OFFSET(Prices!C383,-S$3,0),1,-1)</f>
        <v>-1</v>
      </c>
      <c r="T384" s="1">
        <f ca="1">IF(S384=1,T$3*Q383/Prices!C383,-T$3*R383)</f>
        <v>-2.0194269872173286E-4</v>
      </c>
      <c r="V384" s="9"/>
      <c r="W384" s="1"/>
      <c r="X384" s="1"/>
      <c r="Y384" s="1"/>
      <c r="Z384" s="1"/>
      <c r="AA384" s="1"/>
      <c r="AB384" s="1"/>
      <c r="AC384" s="1"/>
      <c r="AD384" s="1"/>
      <c r="AE384" s="16"/>
    </row>
    <row r="385" spans="1:31" x14ac:dyDescent="0.2">
      <c r="A385" s="4">
        <v>34045</v>
      </c>
      <c r="B385" s="9">
        <f ca="1">Prices!C384*(1+J385/(50*(ABS(O385)+ABS(T385)+0.0001)))</f>
        <v>115.38887298158949</v>
      </c>
      <c r="C385" s="21">
        <f t="shared" ca="1" si="35"/>
        <v>-1</v>
      </c>
      <c r="D385" s="9">
        <f ca="1">D384+C385*(Prices!C385-Prices!C384)/Prices!C384</f>
        <v>0.1744429868259483</v>
      </c>
      <c r="E385" s="9">
        <f t="shared" ca="1" si="36"/>
        <v>1.6332902373264069E-2</v>
      </c>
      <c r="F385" s="9">
        <f t="shared" ca="1" si="37"/>
        <v>0.19077588919921237</v>
      </c>
      <c r="G385" s="13">
        <f ca="1">IF((Prices!C385-Prices!C384)*C385&gt;0,1,0)</f>
        <v>0</v>
      </c>
      <c r="H385" s="9">
        <f>ABS(Prices!C385-Prices!C384)/Prices!C384</f>
        <v>2.3931623931624027E-3</v>
      </c>
      <c r="I385" s="13"/>
      <c r="J385" s="1">
        <f t="shared" ca="1" si="38"/>
        <v>-1.0068270144406274E-3</v>
      </c>
      <c r="K385" s="9"/>
      <c r="L385" s="9">
        <f ca="1">L384-O385*Prices!C385</f>
        <v>1.0107955825083383</v>
      </c>
      <c r="M385" s="1">
        <f t="shared" ca="1" si="39"/>
        <v>1.066113908694785E-2</v>
      </c>
      <c r="N385" s="9">
        <f ca="1">IF(Prices!D384&gt;OFFSET(Prices!D384,-$N$3,0),1,-1)</f>
        <v>-1</v>
      </c>
      <c r="O385" s="1">
        <f ca="1">IF(N385=1,O$3*L384/Prices!C384,-O$3*M384)</f>
        <v>-1.1845710096608723E-3</v>
      </c>
      <c r="P385" s="14"/>
      <c r="Q385" s="9">
        <f ca="1">Q384-T385*Prices!C385</f>
        <v>1.0189565562790026</v>
      </c>
      <c r="R385" s="1">
        <f t="shared" ca="1" si="40"/>
        <v>1.0072936232585154E-2</v>
      </c>
      <c r="S385" s="9">
        <f ca="1">IF(Prices!C384&lt;OFFSET(Prices!C384,-S$3,0),1,-1)</f>
        <v>1</v>
      </c>
      <c r="T385" s="1">
        <f ca="1">IF(S385=1,T$3*Q384/Prices!C384,-T$3*R384)</f>
        <v>1.7774399522024493E-4</v>
      </c>
      <c r="V385" s="9"/>
      <c r="W385" s="1"/>
      <c r="X385" s="1"/>
      <c r="Y385" s="1"/>
      <c r="Z385" s="1"/>
      <c r="AA385" s="1"/>
      <c r="AB385" s="1"/>
      <c r="AC385" s="1"/>
      <c r="AD385" s="1"/>
      <c r="AE385" s="16"/>
    </row>
    <row r="386" spans="1:31" x14ac:dyDescent="0.2">
      <c r="A386" s="4">
        <v>34046</v>
      </c>
      <c r="B386" s="9">
        <f ca="1">Prices!C385*(1+J386/(50*(ABS(O386)+ABS(T386)+0.0001)))</f>
        <v>115.71784798604756</v>
      </c>
      <c r="C386" s="21">
        <f t="shared" ca="1" si="35"/>
        <v>-1</v>
      </c>
      <c r="D386" s="9">
        <f ca="1">D385+C386*(Prices!C386-Prices!C385)/Prices!C385</f>
        <v>0.18748868941803562</v>
      </c>
      <c r="E386" s="9">
        <f t="shared" ca="1" si="36"/>
        <v>3.2871997811767528E-3</v>
      </c>
      <c r="F386" s="9">
        <f t="shared" ca="1" si="37"/>
        <v>0.19077588919921237</v>
      </c>
      <c r="G386" s="13">
        <f ca="1">IF((Prices!C386-Prices!C385)*C386&gt;0,1,0)</f>
        <v>1</v>
      </c>
      <c r="H386" s="9">
        <f>ABS(Prices!C386-Prices!C385)/Prices!C385</f>
        <v>1.3045702592087321E-2</v>
      </c>
      <c r="I386" s="13"/>
      <c r="J386" s="1">
        <f t="shared" ca="1" si="38"/>
        <v>-8.9234914807421843E-4</v>
      </c>
      <c r="K386" s="9"/>
      <c r="L386" s="9">
        <f ca="1">L385-O386*Prices!C386</f>
        <v>1.1341982674397597</v>
      </c>
      <c r="M386" s="1">
        <f t="shared" ca="1" si="39"/>
        <v>9.5950251782530652E-3</v>
      </c>
      <c r="N386" s="9">
        <f ca="1">IF(Prices!D385&gt;OFFSET(Prices!D385,-$N$3,0),1,-1)</f>
        <v>-1</v>
      </c>
      <c r="O386" s="1">
        <f ca="1">IF(N386=1,O$3*L385/Prices!C385,-O$3*M385)</f>
        <v>-1.066113908694785E-3</v>
      </c>
      <c r="P386" s="14"/>
      <c r="Q386" s="9">
        <f ca="1">Q385-T386*Prices!C386</f>
        <v>0.99884328523717203</v>
      </c>
      <c r="R386" s="1">
        <f t="shared" ca="1" si="40"/>
        <v>1.024670099320572E-2</v>
      </c>
      <c r="S386" s="9">
        <f ca="1">IF(Prices!C385&lt;OFFSET(Prices!C385,-S$3,0),1,-1)</f>
        <v>1</v>
      </c>
      <c r="T386" s="1">
        <f ca="1">IF(S386=1,T$3*Q385/Prices!C385,-T$3*R385)</f>
        <v>1.7376476062056661E-4</v>
      </c>
      <c r="V386" s="9"/>
      <c r="W386" s="1"/>
      <c r="X386" s="1"/>
      <c r="Y386" s="1"/>
      <c r="Z386" s="1"/>
      <c r="AA386" s="1"/>
      <c r="AB386" s="1"/>
      <c r="AC386" s="1"/>
      <c r="AD386" s="1"/>
      <c r="AE386" s="16"/>
    </row>
    <row r="387" spans="1:31" x14ac:dyDescent="0.2">
      <c r="A387" s="4">
        <v>34047</v>
      </c>
      <c r="B387" s="9">
        <f ca="1">Prices!C386*(1+J387/(50*(ABS(O387)+ABS(T387)+0.0001)))</f>
        <v>114.27144507001994</v>
      </c>
      <c r="C387" s="21">
        <f t="shared" ca="1" si="35"/>
        <v>-1</v>
      </c>
      <c r="D387" s="9">
        <f ca="1">D386+C387*(Prices!C387-Prices!C386)/Prices!C386</f>
        <v>0.18403296587591894</v>
      </c>
      <c r="E387" s="9">
        <f t="shared" ca="1" si="36"/>
        <v>6.7429233232934316E-3</v>
      </c>
      <c r="F387" s="9">
        <f t="shared" ca="1" si="37"/>
        <v>0.19077588919921237</v>
      </c>
      <c r="G387" s="13">
        <f ca="1">IF((Prices!C387-Prices!C386)*C387&gt;0,1,0)</f>
        <v>0</v>
      </c>
      <c r="H387" s="9">
        <f>ABS(Prices!C387-Prices!C386)/Prices!C386</f>
        <v>3.4557235421166796E-3</v>
      </c>
      <c r="I387" s="13"/>
      <c r="J387" s="1">
        <f t="shared" ca="1" si="38"/>
        <v>-7.8691620504134602E-4</v>
      </c>
      <c r="K387" s="9"/>
      <c r="L387" s="9">
        <f ca="1">L386-O387*Prices!C387</f>
        <v>1.2456444848851691</v>
      </c>
      <c r="M387" s="1">
        <f t="shared" ca="1" si="39"/>
        <v>8.635522660427759E-3</v>
      </c>
      <c r="N387" s="9">
        <f ca="1">IF(Prices!D386&gt;OFFSET(Prices!D386,-$N$3,0),1,-1)</f>
        <v>-1</v>
      </c>
      <c r="O387" s="1">
        <f ca="1">IF(N387=1,O$3*L386/Prices!C386,-O$3*M386)</f>
        <v>-9.595025178253066E-4</v>
      </c>
      <c r="P387" s="14"/>
      <c r="Q387" s="9">
        <f ca="1">Q386-T387*Prices!C387</f>
        <v>0.97879738500731506</v>
      </c>
      <c r="R387" s="1">
        <f t="shared" ca="1" si="40"/>
        <v>1.0419287305989681E-2</v>
      </c>
      <c r="S387" s="9">
        <f ca="1">IF(Prices!C386&lt;OFFSET(Prices!C386,-S$3,0),1,-1)</f>
        <v>1</v>
      </c>
      <c r="T387" s="1">
        <f ca="1">IF(S387=1,T$3*Q386/Prices!C386,-T$3*R386)</f>
        <v>1.7258631278396061E-4</v>
      </c>
      <c r="V387" s="9"/>
      <c r="W387" s="1"/>
      <c r="X387" s="1"/>
      <c r="Y387" s="1"/>
      <c r="Z387" s="1"/>
      <c r="AA387" s="1"/>
      <c r="AB387" s="1"/>
      <c r="AC387" s="1"/>
      <c r="AD387" s="1"/>
      <c r="AE387" s="16"/>
    </row>
    <row r="388" spans="1:31" x14ac:dyDescent="0.2">
      <c r="A388" s="18">
        <v>34050</v>
      </c>
      <c r="B388" s="9">
        <f ca="1">Prices!C387*(1+J388/(50*(ABS(O388)+ABS(T388)+0.0001)))</f>
        <v>114.72386833157697</v>
      </c>
      <c r="C388" s="21">
        <f t="shared" ca="1" si="35"/>
        <v>-1</v>
      </c>
      <c r="D388" s="9">
        <f ca="1">D387+C388*(Prices!C388-Prices!C387)/Prices!C387</f>
        <v>0.1873045973868962</v>
      </c>
      <c r="E388" s="9">
        <f t="shared" ca="1" si="36"/>
        <v>3.471291812316174E-3</v>
      </c>
      <c r="F388" s="9">
        <f t="shared" ca="1" si="37"/>
        <v>0.19077588919921237</v>
      </c>
      <c r="G388" s="13">
        <f ca="1">IF((Prices!C388-Prices!C387)*C388&gt;0,1,0)</f>
        <v>1</v>
      </c>
      <c r="H388" s="9">
        <f>ABS(Prices!C388-Prices!C387)/Prices!C387</f>
        <v>3.2716315109772675E-3</v>
      </c>
      <c r="I388" s="13"/>
      <c r="J388" s="1">
        <f t="shared" ca="1" si="38"/>
        <v>-6.9501203616635491E-4</v>
      </c>
      <c r="K388" s="9"/>
      <c r="L388" s="9">
        <f ca="1">L387-O388*Prices!C388</f>
        <v>1.3456179307249412</v>
      </c>
      <c r="M388" s="1">
        <f t="shared" ca="1" si="39"/>
        <v>7.7719703943849826E-3</v>
      </c>
      <c r="N388" s="9">
        <f ca="1">IF(Prices!D387&gt;OFFSET(Prices!D387,-$N$3,0),1,-1)</f>
        <v>-1</v>
      </c>
      <c r="O388" s="1">
        <f ca="1">IF(N388=1,O$3*L387/Prices!C387,-O$3*M387)</f>
        <v>-8.6355226604277599E-4</v>
      </c>
      <c r="P388" s="14"/>
      <c r="Q388" s="9">
        <f ca="1">Q387-T388*Prices!C388</f>
        <v>0.95928548259452184</v>
      </c>
      <c r="R388" s="1">
        <f t="shared" ca="1" si="40"/>
        <v>1.0587827535866103E-2</v>
      </c>
      <c r="S388" s="9">
        <f ca="1">IF(Prices!C387&lt;OFFSET(Prices!C387,-S$3,0),1,-1)</f>
        <v>1</v>
      </c>
      <c r="T388" s="1">
        <f ca="1">IF(S388=1,T$3*Q387/Prices!C387,-T$3*R387)</f>
        <v>1.6854022987642102E-4</v>
      </c>
      <c r="V388" s="9"/>
      <c r="W388" s="1"/>
      <c r="X388" s="1"/>
      <c r="Y388" s="1"/>
      <c r="Z388" s="1"/>
      <c r="AA388" s="1"/>
      <c r="AB388" s="1"/>
      <c r="AC388" s="1"/>
      <c r="AD388" s="1"/>
      <c r="AE388" s="16"/>
    </row>
    <row r="389" spans="1:31" x14ac:dyDescent="0.2">
      <c r="A389" s="18">
        <v>34051</v>
      </c>
      <c r="B389" s="9">
        <f ca="1">Prices!C388*(1+J389/(50*(ABS(O389)+ABS(T389)+0.0001)))</f>
        <v>117.92326199045951</v>
      </c>
      <c r="C389" s="21">
        <f t="shared" ca="1" si="35"/>
        <v>1</v>
      </c>
      <c r="D389" s="9">
        <f ca="1">D388+C389*(Prices!C389-Prices!C388)/Prices!C388</f>
        <v>0.19058696760370547</v>
      </c>
      <c r="E389" s="9">
        <f t="shared" ca="1" si="36"/>
        <v>1.8892159550690235E-4</v>
      </c>
      <c r="F389" s="9">
        <f t="shared" ca="1" si="37"/>
        <v>0.19077588919921237</v>
      </c>
      <c r="G389" s="13">
        <f ca="1">IF((Prices!C389-Prices!C388)*C389&gt;0,1,0)</f>
        <v>1</v>
      </c>
      <c r="H389" s="9">
        <f>ABS(Prices!C389-Prices!C388)/Prices!C388</f>
        <v>3.2823702168092743E-3</v>
      </c>
      <c r="I389" s="13"/>
      <c r="J389" s="1">
        <f t="shared" ca="1" si="38"/>
        <v>1.3280426943455522E-3</v>
      </c>
      <c r="K389" s="9"/>
      <c r="L389" s="9">
        <f ca="1">L388-O389*Prices!C389</f>
        <v>1.2106144560305454</v>
      </c>
      <c r="M389" s="1">
        <f t="shared" ca="1" si="39"/>
        <v>8.9342904520207621E-3</v>
      </c>
      <c r="N389" s="9">
        <f ca="1">IF(Prices!D388&gt;OFFSET(Prices!D388,-$N$3,0),1,-1)</f>
        <v>1</v>
      </c>
      <c r="O389" s="1">
        <f ca="1">IF(N389=1,O$3*L388/Prices!C388,-O$3*M388)</f>
        <v>1.1623200576357791E-3</v>
      </c>
      <c r="P389" s="14"/>
      <c r="Q389" s="9">
        <f ca="1">Q388-T389*Prices!C389</f>
        <v>0.94003679834068166</v>
      </c>
      <c r="R389" s="1">
        <f t="shared" ca="1" si="40"/>
        <v>1.0753550172575876E-2</v>
      </c>
      <c r="S389" s="9">
        <f ca="1">IF(Prices!C388&lt;OFFSET(Prices!C388,-S$3,0),1,-1)</f>
        <v>1</v>
      </c>
      <c r="T389" s="1">
        <f ca="1">IF(S389=1,T$3*Q388/Prices!C388,-T$3*R388)</f>
        <v>1.6572263670977313E-4</v>
      </c>
      <c r="V389" s="9"/>
      <c r="W389" s="1"/>
      <c r="X389" s="1"/>
      <c r="Y389" s="1"/>
      <c r="Z389" s="1"/>
      <c r="AA389" s="1"/>
      <c r="AB389" s="1"/>
      <c r="AC389" s="1"/>
      <c r="AD389" s="1"/>
      <c r="AE389" s="16"/>
    </row>
    <row r="390" spans="1:31" x14ac:dyDescent="0.2">
      <c r="A390" s="18">
        <v>34052</v>
      </c>
      <c r="B390" s="9">
        <f ca="1">Prices!C389*(1+J390/(50*(ABS(O390)+ABS(T390)+0.0001)))</f>
        <v>114.67901563208494</v>
      </c>
      <c r="C390" s="21">
        <f t="shared" ca="1" si="35"/>
        <v>-1</v>
      </c>
      <c r="D390" s="9">
        <f ca="1">D389+C390*(Prices!C390-Prices!C389)/Prices!C389</f>
        <v>0.17810311052234526</v>
      </c>
      <c r="E390" s="9">
        <f t="shared" ca="1" si="36"/>
        <v>1.2672778676867114E-2</v>
      </c>
      <c r="F390" s="9">
        <f t="shared" ca="1" si="37"/>
        <v>0.19077588919921237</v>
      </c>
      <c r="G390" s="13">
        <f ca="1">IF((Prices!C390-Prices!C389)*C390&gt;0,1,0)</f>
        <v>0</v>
      </c>
      <c r="H390" s="9">
        <f>ABS(Prices!C390-Prices!C389)/Prices!C389</f>
        <v>1.2483857081360211E-2</v>
      </c>
      <c r="I390" s="13"/>
      <c r="J390" s="1">
        <f t="shared" ca="1" si="38"/>
        <v>-7.315630446268406E-4</v>
      </c>
      <c r="K390" s="9"/>
      <c r="L390" s="9">
        <f ca="1">L389-O390*Prices!C390</f>
        <v>1.3156817117463095</v>
      </c>
      <c r="M390" s="1">
        <f t="shared" ca="1" si="39"/>
        <v>8.0408614068186862E-3</v>
      </c>
      <c r="N390" s="9">
        <f ca="1">IF(Prices!D389&gt;OFFSET(Prices!D389,-$N$3,0),1,-1)</f>
        <v>-1</v>
      </c>
      <c r="O390" s="1">
        <f ca="1">IF(N390=1,O$3*L389/Prices!C389,-O$3*M389)</f>
        <v>-8.9342904520207629E-4</v>
      </c>
      <c r="P390" s="14"/>
      <c r="Q390" s="9">
        <f ca="1">Q389-T390*Prices!C390</f>
        <v>0.92100135667303396</v>
      </c>
      <c r="R390" s="1">
        <f t="shared" ca="1" si="40"/>
        <v>1.0915416173151112E-2</v>
      </c>
      <c r="S390" s="9">
        <f ca="1">IF(Prices!C389&lt;OFFSET(Prices!C389,-S$3,0),1,-1)</f>
        <v>1</v>
      </c>
      <c r="T390" s="1">
        <f ca="1">IF(S390=1,T$3*Q389/Prices!C389,-T$3*R389)</f>
        <v>1.6186600057523575E-4</v>
      </c>
      <c r="V390" s="9"/>
      <c r="W390" s="1"/>
      <c r="X390" s="1"/>
      <c r="Y390" s="1"/>
      <c r="Z390" s="1"/>
      <c r="AA390" s="1"/>
      <c r="AB390" s="1"/>
      <c r="AC390" s="1"/>
      <c r="AD390" s="1"/>
      <c r="AE390" s="16"/>
    </row>
    <row r="391" spans="1:31" x14ac:dyDescent="0.2">
      <c r="A391" s="18">
        <v>34053</v>
      </c>
      <c r="B391" s="9">
        <f ca="1">Prices!C390*(1+J391/(50*(ABS(O391)+ABS(T391)+0.0001)))</f>
        <v>115.45755199576753</v>
      </c>
      <c r="C391" s="21">
        <f t="shared" ca="1" si="35"/>
        <v>-1</v>
      </c>
      <c r="D391" s="9">
        <f ca="1">D390+C391*(Prices!C391-Prices!C390)/Prices!C390</f>
        <v>0.1806541309305085</v>
      </c>
      <c r="E391" s="9">
        <f t="shared" ca="1" si="36"/>
        <v>1.0121758268703873E-2</v>
      </c>
      <c r="F391" s="9">
        <f t="shared" ca="1" si="37"/>
        <v>0.19077588919921237</v>
      </c>
      <c r="G391" s="13">
        <f ca="1">IF((Prices!C391-Prices!C390)*C391&gt;0,1,0)</f>
        <v>1</v>
      </c>
      <c r="H391" s="9">
        <f>ABS(Prices!C391-Prices!C390)/Prices!C390</f>
        <v>2.5510204081632413E-3</v>
      </c>
      <c r="I391" s="13"/>
      <c r="J391" s="1">
        <f t="shared" ca="1" si="38"/>
        <v>-1.022394464144891E-3</v>
      </c>
      <c r="K391" s="9"/>
      <c r="L391" s="9">
        <f ca="1">L390-O391*Prices!C391</f>
        <v>1.4100010160482928</v>
      </c>
      <c r="M391" s="1">
        <f t="shared" ca="1" si="39"/>
        <v>7.2367752661368174E-3</v>
      </c>
      <c r="N391" s="9">
        <f ca="1">IF(Prices!D390&gt;OFFSET(Prices!D390,-$N$3,0),1,-1)</f>
        <v>-1</v>
      </c>
      <c r="O391" s="1">
        <f ca="1">IF(N391=1,O$3*L390/Prices!C390,-O$3*M390)</f>
        <v>-8.0408614068186869E-4</v>
      </c>
      <c r="P391" s="14"/>
      <c r="Q391" s="9">
        <f ca="1">Q390-T391*Prices!C391</f>
        <v>0.94660892301524646</v>
      </c>
      <c r="R391" s="1">
        <f t="shared" ca="1" si="40"/>
        <v>1.069710784968809E-2</v>
      </c>
      <c r="S391" s="9">
        <f ca="1">IF(Prices!C390&lt;OFFSET(Prices!C390,-S$3,0),1,-1)</f>
        <v>-1</v>
      </c>
      <c r="T391" s="1">
        <f ca="1">IF(S391=1,T$3*Q390/Prices!C390,-T$3*R390)</f>
        <v>-2.1830832346302225E-4</v>
      </c>
      <c r="V391" s="9"/>
      <c r="W391" s="1"/>
      <c r="X391" s="1"/>
      <c r="Y391" s="1"/>
      <c r="Z391" s="1"/>
      <c r="AA391" s="1"/>
      <c r="AB391" s="1"/>
      <c r="AC391" s="1"/>
      <c r="AD391" s="1"/>
      <c r="AE391" s="16"/>
    </row>
    <row r="392" spans="1:31" x14ac:dyDescent="0.2">
      <c r="A392" s="4">
        <v>34054</v>
      </c>
      <c r="B392" s="9">
        <f ca="1">Prices!C391*(1+J392/(50*(ABS(O392)+ABS(T392)+0.0001)))</f>
        <v>118.82909661058166</v>
      </c>
      <c r="C392" s="21">
        <f t="shared" ca="1" si="35"/>
        <v>1</v>
      </c>
      <c r="D392" s="9">
        <f ca="1">D391+C392*(Prices!C392-Prices!C391)/Prices!C391</f>
        <v>0.17426026903792538</v>
      </c>
      <c r="E392" s="9">
        <f t="shared" ca="1" si="36"/>
        <v>1.6515620161286992E-2</v>
      </c>
      <c r="F392" s="9">
        <f t="shared" ca="1" si="37"/>
        <v>0.19077588919921237</v>
      </c>
      <c r="G392" s="13">
        <f ca="1">IF((Prices!C392-Prices!C391)*C392&gt;0,1,0)</f>
        <v>0</v>
      </c>
      <c r="H392" s="9">
        <f>ABS(Prices!C392-Prices!C391)/Prices!C391</f>
        <v>6.3938618925831201E-3</v>
      </c>
      <c r="I392" s="13"/>
      <c r="J392" s="1">
        <f t="shared" ca="1" si="38"/>
        <v>9.8810474500819279E-4</v>
      </c>
      <c r="K392" s="9"/>
      <c r="L392" s="9">
        <f ca="1">L391-O392*Prices!C392</f>
        <v>1.2699024496199649</v>
      </c>
      <c r="M392" s="1">
        <f t="shared" ca="1" si="39"/>
        <v>8.4388221681387723E-3</v>
      </c>
      <c r="N392" s="9">
        <f ca="1">IF(Prices!D391&gt;OFFSET(Prices!D391,-$N$3,0),1,-1)</f>
        <v>1</v>
      </c>
      <c r="O392" s="1">
        <f ca="1">IF(N392=1,O$3*L391/Prices!C391,-O$3*M391)</f>
        <v>1.2020469020019547E-3</v>
      </c>
      <c r="P392" s="14"/>
      <c r="Q392" s="9">
        <f ca="1">Q391-T392*Prices!C392</f>
        <v>0.9715438814128694</v>
      </c>
      <c r="R392" s="1">
        <f t="shared" ca="1" si="40"/>
        <v>1.0483165692694328E-2</v>
      </c>
      <c r="S392" s="9">
        <f ca="1">IF(Prices!C391&lt;OFFSET(Prices!C391,-S$3,0),1,-1)</f>
        <v>-1</v>
      </c>
      <c r="T392" s="1">
        <f ca="1">IF(S392=1,T$3*Q391/Prices!C391,-T$3*R391)</f>
        <v>-2.139421569937618E-4</v>
      </c>
      <c r="V392" s="9"/>
      <c r="W392" s="1"/>
      <c r="X392" s="1"/>
      <c r="Y392" s="1"/>
      <c r="Z392" s="1"/>
      <c r="AA392" s="1"/>
      <c r="AB392" s="1"/>
      <c r="AC392" s="1"/>
      <c r="AD392" s="1"/>
      <c r="AE392" s="16"/>
    </row>
    <row r="393" spans="1:31" x14ac:dyDescent="0.2">
      <c r="A393" s="4">
        <v>34057</v>
      </c>
      <c r="B393" s="9">
        <f ca="1">Prices!C392*(1+J393/(50*(ABS(O393)+ABS(T393)+0.0001)))</f>
        <v>118.015851948858</v>
      </c>
      <c r="C393" s="21">
        <f t="shared" ca="1" si="35"/>
        <v>1</v>
      </c>
      <c r="D393" s="9">
        <f ca="1">D392+C393*(Prices!C393-Prices!C392)/Prices!C392</f>
        <v>0.17640527118292754</v>
      </c>
      <c r="E393" s="9">
        <f t="shared" ca="1" si="36"/>
        <v>1.4370618016284836E-2</v>
      </c>
      <c r="F393" s="9">
        <f t="shared" ca="1" si="37"/>
        <v>0.19077588919921237</v>
      </c>
      <c r="G393" s="13">
        <f ca="1">IF((Prices!C393-Prices!C392)*C393&gt;0,1,0)</f>
        <v>1</v>
      </c>
      <c r="H393" s="9">
        <f>ABS(Prices!C393-Prices!C392)/Prices!C392</f>
        <v>2.1450021450021449E-3</v>
      </c>
      <c r="I393" s="13"/>
      <c r="J393" s="1">
        <f t="shared" ca="1" si="38"/>
        <v>8.7991407749743455E-4</v>
      </c>
      <c r="K393" s="9"/>
      <c r="L393" s="9">
        <f ca="1">L392-O393*Prices!C393</f>
        <v>1.1426398103101305</v>
      </c>
      <c r="M393" s="1">
        <f t="shared" ca="1" si="39"/>
        <v>9.528399559490093E-3</v>
      </c>
      <c r="N393" s="9">
        <f ca="1">IF(Prices!D392&gt;OFFSET(Prices!D392,-$N$3,0),1,-1)</f>
        <v>1</v>
      </c>
      <c r="O393" s="1">
        <f ca="1">IF(N393=1,O$3*L392/Prices!C392,-O$3*M392)</f>
        <v>1.0895773913513211E-3</v>
      </c>
      <c r="P393" s="14"/>
      <c r="Q393" s="9">
        <f ca="1">Q392-T393*Prices!C393</f>
        <v>0.99603255647100331</v>
      </c>
      <c r="R393" s="1">
        <f t="shared" ca="1" si="40"/>
        <v>1.0273502378840442E-2</v>
      </c>
      <c r="S393" s="9">
        <f ca="1">IF(Prices!C392&lt;OFFSET(Prices!C392,-S$3,0),1,-1)</f>
        <v>-1</v>
      </c>
      <c r="T393" s="1">
        <f ca="1">IF(S393=1,T$3*Q392/Prices!C392,-T$3*R392)</f>
        <v>-2.0966331385388658E-4</v>
      </c>
      <c r="V393" s="9"/>
      <c r="W393" s="1"/>
      <c r="X393" s="1"/>
      <c r="Y393" s="1"/>
      <c r="Z393" s="1"/>
      <c r="AA393" s="1"/>
      <c r="AB393" s="1"/>
      <c r="AC393" s="1"/>
      <c r="AD393" s="1"/>
      <c r="AE393" s="16"/>
    </row>
    <row r="394" spans="1:31" x14ac:dyDescent="0.2">
      <c r="A394" s="4">
        <v>34058</v>
      </c>
      <c r="B394" s="9">
        <f ca="1">Prices!C393*(1+J394/(50*(ABS(O394)+ABS(T394)+0.0001)))</f>
        <v>118.20626365194515</v>
      </c>
      <c r="C394" s="21">
        <f t="shared" ca="1" si="35"/>
        <v>1</v>
      </c>
      <c r="D394" s="9">
        <f ca="1">D393+C394*(Prices!C394-Prices!C393)/Prices!C393</f>
        <v>0.17512102460758514</v>
      </c>
      <c r="E394" s="9">
        <f t="shared" ca="1" si="36"/>
        <v>1.5654864591627238E-2</v>
      </c>
      <c r="F394" s="9">
        <f t="shared" ca="1" si="37"/>
        <v>0.19077588919921237</v>
      </c>
      <c r="G394" s="13">
        <f ca="1">IF((Prices!C394-Prices!C393)*C394&gt;0,1,0)</f>
        <v>0</v>
      </c>
      <c r="H394" s="9">
        <f>ABS(Prices!C394-Prices!C393)/Prices!C393</f>
        <v>1.2842465753423928E-3</v>
      </c>
      <c r="I394" s="13"/>
      <c r="J394" s="1">
        <f t="shared" ca="1" si="38"/>
        <v>7.7281746125035776E-4</v>
      </c>
      <c r="K394" s="9"/>
      <c r="L394" s="9">
        <f ca="1">L393-O394*Prices!C394</f>
        <v>1.0285225724054414</v>
      </c>
      <c r="M394" s="1">
        <f t="shared" ca="1" si="39"/>
        <v>1.0506687068317259E-2</v>
      </c>
      <c r="N394" s="9">
        <f ca="1">IF(Prices!D393&gt;OFFSET(Prices!D393,-$N$3,0),1,-1)</f>
        <v>1</v>
      </c>
      <c r="O394" s="1">
        <f ca="1">IF(N394=1,O$3*L393/Prices!C393,-O$3*M393)</f>
        <v>9.7828750882716659E-4</v>
      </c>
      <c r="P394" s="14"/>
      <c r="Q394" s="9">
        <f ca="1">Q393-T394*Prices!C394</f>
        <v>1.0200006375208381</v>
      </c>
      <c r="R394" s="1">
        <f t="shared" ca="1" si="40"/>
        <v>1.0068032331263634E-2</v>
      </c>
      <c r="S394" s="9">
        <f ca="1">IF(Prices!C393&lt;OFFSET(Prices!C393,-S$3,0),1,-1)</f>
        <v>-1</v>
      </c>
      <c r="T394" s="1">
        <f ca="1">IF(S394=1,T$3*Q393/Prices!C393,-T$3*R393)</f>
        <v>-2.0547004757680884E-4</v>
      </c>
      <c r="V394" s="9"/>
      <c r="W394" s="1"/>
      <c r="X394" s="1"/>
      <c r="Y394" s="1"/>
      <c r="Z394" s="1"/>
      <c r="AA394" s="1"/>
      <c r="AB394" s="1"/>
      <c r="AC394" s="1"/>
      <c r="AD394" s="1"/>
      <c r="AE394" s="16"/>
    </row>
    <row r="395" spans="1:31" x14ac:dyDescent="0.2">
      <c r="A395" s="4">
        <v>34059</v>
      </c>
      <c r="B395" s="9">
        <f ca="1">Prices!C394*(1+J395/(50*(ABS(O395)+ABS(T395)+0.0001)))</f>
        <v>115.1085957634273</v>
      </c>
      <c r="C395" s="21">
        <f t="shared" ca="1" si="35"/>
        <v>-1</v>
      </c>
      <c r="D395" s="9">
        <f ca="1">D394+C395*(Prices!C395-Prices!C394)/Prices!C394</f>
        <v>0.19029462083561779</v>
      </c>
      <c r="E395" s="9">
        <f t="shared" ca="1" si="36"/>
        <v>4.8126836359457803E-4</v>
      </c>
      <c r="F395" s="9">
        <f t="shared" ca="1" si="37"/>
        <v>0.19077588919921237</v>
      </c>
      <c r="G395" s="13">
        <f ca="1">IF((Prices!C395-Prices!C394)*C395&gt;0,1,0)</f>
        <v>1</v>
      </c>
      <c r="H395" s="9">
        <f>ABS(Prices!C395-Prices!C394)/Prices!C394</f>
        <v>1.5173596228032663E-2</v>
      </c>
      <c r="I395" s="13"/>
      <c r="J395" s="1">
        <f t="shared" ca="1" si="38"/>
        <v>-8.7578647150882193E-4</v>
      </c>
      <c r="K395" s="9"/>
      <c r="L395" s="9">
        <f ca="1">L394-O395*Prices!C395</f>
        <v>1.1492233934462701</v>
      </c>
      <c r="M395" s="1">
        <f t="shared" ca="1" si="39"/>
        <v>9.4560183614855325E-3</v>
      </c>
      <c r="N395" s="9">
        <f ca="1">IF(Prices!D394&gt;OFFSET(Prices!D394,-$N$3,0),1,-1)</f>
        <v>-1</v>
      </c>
      <c r="O395" s="1">
        <f ca="1">IF(N395=1,O$3*L394/Prices!C394,-O$3*M394)</f>
        <v>-1.050668706831726E-3</v>
      </c>
      <c r="P395" s="14"/>
      <c r="Q395" s="9">
        <f ca="1">Q394-T395*Prices!C395</f>
        <v>0.99991016632694296</v>
      </c>
      <c r="R395" s="1">
        <f t="shared" ca="1" si="40"/>
        <v>1.0242914566586539E-2</v>
      </c>
      <c r="S395" s="9">
        <f ca="1">IF(Prices!C394&lt;OFFSET(Prices!C394,-S$3,0),1,-1)</f>
        <v>1</v>
      </c>
      <c r="T395" s="1">
        <f ca="1">IF(S395=1,T$3*Q394/Prices!C394,-T$3*R394)</f>
        <v>1.7488223532290408E-4</v>
      </c>
      <c r="V395" s="9"/>
      <c r="W395" s="1"/>
      <c r="X395" s="1"/>
      <c r="Y395" s="1"/>
      <c r="Z395" s="1"/>
      <c r="AA395" s="1"/>
      <c r="AB395" s="1"/>
      <c r="AC395" s="1"/>
      <c r="AD395" s="1"/>
      <c r="AE395" s="16"/>
    </row>
    <row r="396" spans="1:31" x14ac:dyDescent="0.2">
      <c r="A396" s="4">
        <v>34060</v>
      </c>
      <c r="B396" s="9">
        <f ca="1">Prices!C395*(1+J396/(50*(ABS(O396)+ABS(T396)+0.0001)))</f>
        <v>113.42662747752972</v>
      </c>
      <c r="C396" s="21">
        <f t="shared" ca="1" si="35"/>
        <v>-1</v>
      </c>
      <c r="D396" s="9">
        <f ca="1">D395+C396*(Prices!C396-Prices!C395)/Prices!C395</f>
        <v>0.19751955119773476</v>
      </c>
      <c r="E396" s="9">
        <f t="shared" ca="1" si="36"/>
        <v>0</v>
      </c>
      <c r="F396" s="9">
        <f t="shared" ca="1" si="37"/>
        <v>0.19751955119773476</v>
      </c>
      <c r="G396" s="13">
        <f ca="1">IF((Prices!C396-Prices!C395)*C396&gt;0,1,0)</f>
        <v>1</v>
      </c>
      <c r="H396" s="9">
        <f>ABS(Prices!C396-Prices!C395)/Prices!C395</f>
        <v>7.2249303621169771E-3</v>
      </c>
      <c r="I396" s="13"/>
      <c r="J396" s="1">
        <f t="shared" ca="1" si="38"/>
        <v>-7.7152276819469835E-4</v>
      </c>
      <c r="K396" s="9"/>
      <c r="L396" s="9">
        <f ca="1">L395-O396*Prices!C396</f>
        <v>1.2570692828590126</v>
      </c>
      <c r="M396" s="1">
        <f t="shared" ca="1" si="39"/>
        <v>8.5104165253369786E-3</v>
      </c>
      <c r="N396" s="9">
        <f ca="1">IF(Prices!D395&gt;OFFSET(Prices!D395,-$N$3,0),1,-1)</f>
        <v>-1</v>
      </c>
      <c r="O396" s="1">
        <f ca="1">IF(N396=1,O$3*L395/Prices!C395,-O$3*M395)</f>
        <v>-9.456018361485533E-4</v>
      </c>
      <c r="P396" s="14"/>
      <c r="Q396" s="9">
        <f ca="1">Q395-T396*Prices!C396</f>
        <v>0.98005644862680574</v>
      </c>
      <c r="R396" s="1">
        <f t="shared" ca="1" si="40"/>
        <v>1.0416993634540394E-2</v>
      </c>
      <c r="S396" s="9">
        <f ca="1">IF(Prices!C395&lt;OFFSET(Prices!C395,-S$3,0),1,-1)</f>
        <v>1</v>
      </c>
      <c r="T396" s="1">
        <f ca="1">IF(S396=1,T$3*Q395/Prices!C395,-T$3*R395)</f>
        <v>1.74079067953855E-4</v>
      </c>
      <c r="V396" s="9"/>
      <c r="W396" s="1"/>
      <c r="X396" s="1"/>
      <c r="Y396" s="1"/>
      <c r="Z396" s="1"/>
      <c r="AA396" s="1"/>
      <c r="AB396" s="1"/>
      <c r="AC396" s="1"/>
      <c r="AD396" s="1"/>
      <c r="AE396" s="16"/>
    </row>
    <row r="397" spans="1:31" x14ac:dyDescent="0.2">
      <c r="A397" s="4">
        <v>34061</v>
      </c>
      <c r="B397" s="9">
        <f ca="1">Prices!C396*(1+J397/(50*(ABS(O397)+ABS(T397)+0.0001)))</f>
        <v>116.16499720830474</v>
      </c>
      <c r="C397" s="21">
        <f t="shared" ca="1" si="35"/>
        <v>1</v>
      </c>
      <c r="D397" s="9">
        <f ca="1">D396+C397*(Prices!C397-Prices!C396)/Prices!C396</f>
        <v>0.19532753015433274</v>
      </c>
      <c r="E397" s="9">
        <f t="shared" ca="1" si="36"/>
        <v>2.1920210434020204E-3</v>
      </c>
      <c r="F397" s="9">
        <f t="shared" ca="1" si="37"/>
        <v>0.19751955119773476</v>
      </c>
      <c r="G397" s="13">
        <f ca="1">IF((Prices!C397-Prices!C396)*C397&gt;0,1,0)</f>
        <v>0</v>
      </c>
      <c r="H397" s="9">
        <f>ABS(Prices!C397-Prices!C396)/Prices!C396</f>
        <v>2.1920210434020165E-3</v>
      </c>
      <c r="I397" s="13"/>
      <c r="J397" s="1">
        <f t="shared" ca="1" si="38"/>
        <v>1.2740732771454395E-3</v>
      </c>
      <c r="K397" s="9"/>
      <c r="L397" s="9">
        <f ca="1">L396-O397*Prices!C397</f>
        <v>1.1316379068052156</v>
      </c>
      <c r="M397" s="1">
        <f t="shared" ca="1" si="39"/>
        <v>9.6126254537534737E-3</v>
      </c>
      <c r="N397" s="9">
        <f ca="1">IF(Prices!D396&gt;OFFSET(Prices!D396,-$N$3,0),1,-1)</f>
        <v>1</v>
      </c>
      <c r="O397" s="1">
        <f ca="1">IF(N397=1,O$3*L396/Prices!C396,-O$3*M396)</f>
        <v>1.1022089284164951E-3</v>
      </c>
      <c r="P397" s="14"/>
      <c r="Q397" s="9">
        <f ca="1">Q396-T397*Prices!C397</f>
        <v>0.96049828574145191</v>
      </c>
      <c r="R397" s="1">
        <f t="shared" ca="1" si="40"/>
        <v>1.0588857983269338E-2</v>
      </c>
      <c r="S397" s="9">
        <f ca="1">IF(Prices!C396&lt;OFFSET(Prices!C396,-S$3,0),1,-1)</f>
        <v>1</v>
      </c>
      <c r="T397" s="1">
        <f ca="1">IF(S397=1,T$3*Q396/Prices!C396,-T$3*R396)</f>
        <v>1.7186434872894446E-4</v>
      </c>
      <c r="V397" s="9"/>
      <c r="W397" s="1"/>
      <c r="X397" s="1"/>
      <c r="Y397" s="1"/>
      <c r="Z397" s="1"/>
      <c r="AA397" s="1"/>
      <c r="AB397" s="1"/>
      <c r="AC397" s="1"/>
      <c r="AD397" s="1"/>
      <c r="AE397" s="16"/>
    </row>
    <row r="398" spans="1:31" x14ac:dyDescent="0.2">
      <c r="A398" s="18">
        <v>34064</v>
      </c>
      <c r="B398" s="9">
        <f ca="1">Prices!C397*(1+J398/(50*(ABS(O398)+ABS(T398)+0.0001)))</f>
        <v>115.89582467345919</v>
      </c>
      <c r="C398" s="21">
        <f t="shared" ca="1" si="35"/>
        <v>1</v>
      </c>
      <c r="D398" s="9">
        <f ca="1">D397+C398*(Prices!C398-Prices!C397)/Prices!C397</f>
        <v>0.19436092206997421</v>
      </c>
      <c r="E398" s="9">
        <f t="shared" ca="1" si="36"/>
        <v>3.1586291277605483E-3</v>
      </c>
      <c r="F398" s="9">
        <f t="shared" ca="1" si="37"/>
        <v>0.19751955119773476</v>
      </c>
      <c r="G398" s="13">
        <f ca="1">IF((Prices!C398-Prices!C397)*C398&gt;0,1,0)</f>
        <v>0</v>
      </c>
      <c r="H398" s="9">
        <f>ABS(Prices!C398-Prices!C397)/Prices!C397</f>
        <v>9.6660808435851875E-4</v>
      </c>
      <c r="I398" s="13"/>
      <c r="J398" s="1">
        <f t="shared" ca="1" si="38"/>
        <v>1.1632140280786521E-3</v>
      </c>
      <c r="K398" s="9"/>
      <c r="L398" s="9">
        <f ca="1">L397-O398*Prices!C398</f>
        <v>1.0185835011596225</v>
      </c>
      <c r="M398" s="1">
        <f t="shared" ca="1" si="39"/>
        <v>1.060703486219391E-2</v>
      </c>
      <c r="N398" s="9">
        <f ca="1">IF(Prices!D397&gt;OFFSET(Prices!D397,-$N$3,0),1,-1)</f>
        <v>1</v>
      </c>
      <c r="O398" s="1">
        <f ca="1">IF(N398=1,O$3*L397/Prices!C397,-O$3*M397)</f>
        <v>9.9440940844043569E-4</v>
      </c>
      <c r="P398" s="14"/>
      <c r="Q398" s="9">
        <f ca="1">Q397-T398*Prices!C398</f>
        <v>0.94130688853478306</v>
      </c>
      <c r="R398" s="1">
        <f t="shared" ca="1" si="40"/>
        <v>1.0757662602907555E-2</v>
      </c>
      <c r="S398" s="9">
        <f ca="1">IF(Prices!C397&lt;OFFSET(Prices!C397,-S$3,0),1,-1)</f>
        <v>1</v>
      </c>
      <c r="T398" s="1">
        <f ca="1">IF(S398=1,T$3*Q397/Prices!C397,-T$3*R397)</f>
        <v>1.6880461963821652E-4</v>
      </c>
      <c r="V398" s="9"/>
      <c r="W398" s="1"/>
      <c r="X398" s="1"/>
      <c r="Y398" s="1"/>
      <c r="Z398" s="1"/>
      <c r="AA398" s="1"/>
      <c r="AB398" s="1"/>
      <c r="AC398" s="1"/>
      <c r="AD398" s="1"/>
      <c r="AE398" s="16"/>
    </row>
    <row r="399" spans="1:31" x14ac:dyDescent="0.2">
      <c r="A399" s="4">
        <v>34065</v>
      </c>
      <c r="B399" s="9">
        <f ca="1">Prices!C398*(1+J399/(50*(ABS(O399)+ABS(T399)+0.0001)))</f>
        <v>115.76803968640503</v>
      </c>
      <c r="C399" s="21">
        <f t="shared" ca="1" si="35"/>
        <v>1</v>
      </c>
      <c r="D399" s="9">
        <f ca="1">D398+C399*(Prices!C399-Prices!C398)/Prices!C398</f>
        <v>0.19708763506144225</v>
      </c>
      <c r="E399" s="9">
        <f t="shared" ca="1" si="36"/>
        <v>4.3191613629250947E-4</v>
      </c>
      <c r="F399" s="9">
        <f t="shared" ca="1" si="37"/>
        <v>0.19751955119773476</v>
      </c>
      <c r="G399" s="13">
        <f ca="1">IF((Prices!C399-Prices!C398)*C399&gt;0,1,0)</f>
        <v>1</v>
      </c>
      <c r="H399" s="9">
        <f>ABS(Prices!C399-Prices!C398)/Prices!C398</f>
        <v>2.726712991468047E-3</v>
      </c>
      <c r="I399" s="13"/>
      <c r="J399" s="1">
        <f t="shared" ca="1" si="38"/>
        <v>1.0615224548039222E-3</v>
      </c>
      <c r="K399" s="9"/>
      <c r="L399" s="9">
        <f ca="1">L398-O399*Prices!C399</f>
        <v>0.9164474125571096</v>
      </c>
      <c r="M399" s="1">
        <f t="shared" ca="1" si="39"/>
        <v>1.1502965463970338E-2</v>
      </c>
      <c r="N399" s="9">
        <f ca="1">IF(Prices!D398&gt;OFFSET(Prices!D398,-$N$3,0),1,-1)</f>
        <v>1</v>
      </c>
      <c r="O399" s="1">
        <f ca="1">IF(N399=1,O$3*L398/Prices!C398,-O$3*M398)</f>
        <v>8.9593060177642933E-4</v>
      </c>
      <c r="P399" s="14"/>
      <c r="Q399" s="9">
        <f ca="1">Q398-T399*Prices!C399</f>
        <v>0.92242941728964889</v>
      </c>
      <c r="R399" s="1">
        <f t="shared" ca="1" si="40"/>
        <v>1.0923254455935047E-2</v>
      </c>
      <c r="S399" s="9">
        <f ca="1">IF(Prices!C398&lt;OFFSET(Prices!C398,-S$3,0),1,-1)</f>
        <v>1</v>
      </c>
      <c r="T399" s="1">
        <f ca="1">IF(S399=1,T$3*Q398/Prices!C398,-T$3*R398)</f>
        <v>1.6559185302749286E-4</v>
      </c>
      <c r="V399" s="9"/>
      <c r="W399" s="1"/>
      <c r="X399" s="1"/>
      <c r="Y399" s="1"/>
      <c r="Z399" s="1"/>
      <c r="AA399" s="1"/>
      <c r="AB399" s="1"/>
      <c r="AC399" s="1"/>
      <c r="AD399" s="1"/>
      <c r="AE399" s="16"/>
    </row>
    <row r="400" spans="1:31" x14ac:dyDescent="0.2">
      <c r="A400" s="4">
        <v>34066</v>
      </c>
      <c r="B400" s="9">
        <f ca="1">Prices!C399*(1+J400/(50*(ABS(O400)+ABS(T400)+0.0001)))</f>
        <v>112.40403481701493</v>
      </c>
      <c r="C400" s="21">
        <f t="shared" ca="1" si="35"/>
        <v>-1</v>
      </c>
      <c r="D400" s="9">
        <f ca="1">D399+C400*(Prices!C400-Prices!C399)/Prices!C399</f>
        <v>0.2010350034824949</v>
      </c>
      <c r="E400" s="9">
        <f t="shared" ca="1" si="36"/>
        <v>0</v>
      </c>
      <c r="F400" s="9">
        <f t="shared" ca="1" si="37"/>
        <v>0.2010350034824949</v>
      </c>
      <c r="G400" s="13">
        <f ca="1">IF((Prices!C400-Prices!C399)*C400&gt;0,1,0)</f>
        <v>1</v>
      </c>
      <c r="H400" s="9">
        <f>ABS(Prices!C400-Prices!C399)/Prices!C399</f>
        <v>3.9473684210526569E-3</v>
      </c>
      <c r="I400" s="13"/>
      <c r="J400" s="1">
        <f t="shared" ca="1" si="38"/>
        <v>-9.8846682406551647E-4</v>
      </c>
      <c r="K400" s="9"/>
      <c r="L400" s="9">
        <f ca="1">L399-O400*Prices!C400</f>
        <v>1.0470635854004928</v>
      </c>
      <c r="M400" s="1">
        <f t="shared" ca="1" si="39"/>
        <v>1.0352668917573304E-2</v>
      </c>
      <c r="N400" s="9">
        <f ca="1">IF(Prices!D399&gt;OFFSET(Prices!D399,-$N$3,0),1,-1)</f>
        <v>-1</v>
      </c>
      <c r="O400" s="1">
        <f ca="1">IF(N400=1,O$3*L399/Prices!C399,-O$3*M399)</f>
        <v>-1.1502965463970338E-3</v>
      </c>
      <c r="P400" s="14"/>
      <c r="Q400" s="9">
        <f ca="1">Q399-T400*Prices!C400</f>
        <v>0.90405365231890511</v>
      </c>
      <c r="R400" s="1">
        <f t="shared" ca="1" si="40"/>
        <v>1.1085084178266565E-2</v>
      </c>
      <c r="S400" s="9">
        <f ca="1">IF(Prices!C399&lt;OFFSET(Prices!C399,-S$3,0),1,-1)</f>
        <v>1</v>
      </c>
      <c r="T400" s="1">
        <f ca="1">IF(S400=1,T$3*Q399/Prices!C399,-T$3*R399)</f>
        <v>1.6182972233151735E-4</v>
      </c>
      <c r="V400" s="9"/>
      <c r="W400" s="1"/>
      <c r="X400" s="1"/>
      <c r="Y400" s="1"/>
      <c r="Z400" s="1"/>
      <c r="AA400" s="1"/>
      <c r="AB400" s="1"/>
      <c r="AC400" s="1"/>
      <c r="AD400" s="1"/>
      <c r="AE400" s="16"/>
    </row>
    <row r="401" spans="1:31" x14ac:dyDescent="0.2">
      <c r="A401" s="4">
        <v>34067</v>
      </c>
      <c r="B401" s="9">
        <f ca="1">Prices!C400*(1+J401/(50*(ABS(O401)+ABS(T401)+0.0001)))</f>
        <v>112.01313822228302</v>
      </c>
      <c r="C401" s="21">
        <f t="shared" ca="1" si="35"/>
        <v>-1</v>
      </c>
      <c r="D401" s="9">
        <f ca="1">D400+C401*(Prices!C401-Prices!C400)/Prices!C400</f>
        <v>0.2027963420998441</v>
      </c>
      <c r="E401" s="9">
        <f t="shared" ca="1" si="36"/>
        <v>0</v>
      </c>
      <c r="F401" s="9">
        <f t="shared" ca="1" si="37"/>
        <v>0.2027963420998441</v>
      </c>
      <c r="G401" s="13">
        <f ca="1">IF((Prices!C401-Prices!C400)*C401&gt;0,1,0)</f>
        <v>1</v>
      </c>
      <c r="H401" s="9">
        <f>ABS(Prices!C401-Prices!C400)/Prices!C400</f>
        <v>1.7613386173492105E-3</v>
      </c>
      <c r="I401" s="13"/>
      <c r="J401" s="1">
        <f t="shared" ca="1" si="38"/>
        <v>-8.7603243075884429E-4</v>
      </c>
      <c r="K401" s="9"/>
      <c r="L401" s="9">
        <f ca="1">L400-O401*Prices!C401</f>
        <v>1.1644110875811862</v>
      </c>
      <c r="M401" s="1">
        <f t="shared" ca="1" si="39"/>
        <v>9.3174020258159733E-3</v>
      </c>
      <c r="N401" s="9">
        <f ca="1">IF(Prices!D400&gt;OFFSET(Prices!D400,-$N$3,0),1,-1)</f>
        <v>-1</v>
      </c>
      <c r="O401" s="1">
        <f ca="1">IF(N401=1,O$3*L400/Prices!C400,-O$3*M400)</f>
        <v>-1.0352668917573305E-3</v>
      </c>
      <c r="P401" s="14"/>
      <c r="Q401" s="9">
        <f ca="1">Q400-T401*Prices!C401</f>
        <v>0.88600442616472674</v>
      </c>
      <c r="R401" s="1">
        <f t="shared" ca="1" si="40"/>
        <v>1.124431863926505E-2</v>
      </c>
      <c r="S401" s="9">
        <f ca="1">IF(Prices!C400&lt;OFFSET(Prices!C400,-S$3,0),1,-1)</f>
        <v>1</v>
      </c>
      <c r="T401" s="1">
        <f ca="1">IF(S401=1,T$3*Q400/Prices!C400,-T$3*R400)</f>
        <v>1.5923446099848614E-4</v>
      </c>
      <c r="V401" s="9"/>
      <c r="W401" s="1"/>
      <c r="X401" s="1"/>
      <c r="Y401" s="1"/>
      <c r="Z401" s="1"/>
      <c r="AA401" s="1"/>
      <c r="AB401" s="1"/>
      <c r="AC401" s="1"/>
      <c r="AD401" s="1"/>
      <c r="AE401" s="16"/>
    </row>
    <row r="402" spans="1:31" x14ac:dyDescent="0.2">
      <c r="A402" s="4">
        <v>34068</v>
      </c>
      <c r="B402" s="9">
        <f ca="1">Prices!C401*(1+J402/(50*(ABS(O402)+ABS(T402)+0.0001)))</f>
        <v>111.87041387685431</v>
      </c>
      <c r="C402" s="21">
        <f t="shared" ref="C402:C465" ca="1" si="41">IF(J402&gt;0,1,IF(J402&lt;0,-1,0))</f>
        <v>-1</v>
      </c>
      <c r="D402" s="9">
        <f ca="1">D401+C402*(Prices!C402-Prices!C401)/Prices!C401</f>
        <v>0.20411967690354935</v>
      </c>
      <c r="E402" s="9">
        <f t="shared" ref="E402:E465" ca="1" si="42">F402-D402</f>
        <v>0</v>
      </c>
      <c r="F402" s="9">
        <f t="shared" ref="F402:F465" ca="1" si="43">MAX(F401,D402)</f>
        <v>0.20411967690354935</v>
      </c>
      <c r="G402" s="13">
        <f ca="1">IF((Prices!C402-Prices!C401)*C402&gt;0,1,0)</f>
        <v>1</v>
      </c>
      <c r="H402" s="9">
        <f>ABS(Prices!C402-Prices!C401)/Prices!C401</f>
        <v>1.3233348037052623E-3</v>
      </c>
      <c r="I402" s="13"/>
      <c r="J402" s="1">
        <f t="shared" ref="J402:J465" ca="1" si="44">O402+T402</f>
        <v>-7.7540947013082946E-4</v>
      </c>
      <c r="K402" s="9"/>
      <c r="L402" s="9">
        <f ca="1">L401-O402*Prices!C402</f>
        <v>1.2698840785134229</v>
      </c>
      <c r="M402" s="1">
        <f t="shared" ref="M402:M465" ca="1" si="45">M401+O402</f>
        <v>8.3856618232343756E-3</v>
      </c>
      <c r="N402" s="9">
        <f ca="1">IF(Prices!D401&gt;OFFSET(Prices!D401,-$N$3,0),1,-1)</f>
        <v>-1</v>
      </c>
      <c r="O402" s="1">
        <f ca="1">IF(N402=1,O$3*L401/Prices!C401,-O$3*M401)</f>
        <v>-9.3174020258159735E-4</v>
      </c>
      <c r="P402" s="14"/>
      <c r="Q402" s="9">
        <f ca="1">Q401-T402*Prices!C402</f>
        <v>0.86830778725129987</v>
      </c>
      <c r="R402" s="1">
        <f t="shared" ref="R402:R465" ca="1" si="46">R401+T402</f>
        <v>1.1400649371715818E-2</v>
      </c>
      <c r="S402" s="9">
        <f ca="1">IF(Prices!C401&lt;OFFSET(Prices!C401,-S$3,0),1,-1)</f>
        <v>1</v>
      </c>
      <c r="T402" s="1">
        <f ca="1">IF(S402=1,T$3*Q401/Prices!C401,-T$3*R401)</f>
        <v>1.5633073245076786E-4</v>
      </c>
      <c r="V402" s="9"/>
      <c r="W402" s="1"/>
      <c r="X402" s="1"/>
      <c r="Y402" s="1"/>
      <c r="Z402" s="1"/>
      <c r="AA402" s="1"/>
      <c r="AB402" s="1"/>
      <c r="AC402" s="1"/>
      <c r="AD402" s="1"/>
      <c r="AE402" s="16"/>
    </row>
    <row r="403" spans="1:31" x14ac:dyDescent="0.2">
      <c r="A403" s="4">
        <v>34071</v>
      </c>
      <c r="B403" s="9">
        <f ca="1">Prices!C402*(1+J403/(50*(ABS(O403)+ABS(T403)+0.0001)))</f>
        <v>111.77946634445857</v>
      </c>
      <c r="C403" s="21">
        <f t="shared" ca="1" si="41"/>
        <v>-1</v>
      </c>
      <c r="D403" s="9">
        <f ca="1">D402+C403*(Prices!C403-Prices!C402)/Prices!C402</f>
        <v>0.20676985358199454</v>
      </c>
      <c r="E403" s="9">
        <f t="shared" ca="1" si="42"/>
        <v>0</v>
      </c>
      <c r="F403" s="9">
        <f t="shared" ca="1" si="43"/>
        <v>0.20676985358199454</v>
      </c>
      <c r="G403" s="13">
        <f ca="1">IF((Prices!C403-Prices!C402)*C403&gt;0,1,0)</f>
        <v>1</v>
      </c>
      <c r="H403" s="9">
        <f>ABS(Prices!C403-Prices!C402)/Prices!C402</f>
        <v>2.6501766784452047E-3</v>
      </c>
      <c r="I403" s="13"/>
      <c r="J403" s="1">
        <f t="shared" ca="1" si="44"/>
        <v>-6.8515491249105244E-4</v>
      </c>
      <c r="K403" s="9"/>
      <c r="L403" s="9">
        <f ca="1">L402-O403*Prices!C403</f>
        <v>1.364558200497739</v>
      </c>
      <c r="M403" s="1">
        <f t="shared" ca="1" si="45"/>
        <v>7.5470956409109382E-3</v>
      </c>
      <c r="N403" s="9">
        <f ca="1">IF(Prices!D402&gt;OFFSET(Prices!D402,-$N$3,0),1,-1)</f>
        <v>-1</v>
      </c>
      <c r="O403" s="1">
        <f ca="1">IF(N403=1,O$3*L402/Prices!C402,-O$3*M402)</f>
        <v>-8.3856618232343761E-4</v>
      </c>
      <c r="P403" s="14"/>
      <c r="Q403" s="9">
        <f ca="1">Q402-T403*Prices!C403</f>
        <v>0.85098765488722361</v>
      </c>
      <c r="R403" s="1">
        <f t="shared" ca="1" si="46"/>
        <v>1.1554060641548203E-2</v>
      </c>
      <c r="S403" s="9">
        <f ca="1">IF(Prices!C402&lt;OFFSET(Prices!C402,-S$3,0),1,-1)</f>
        <v>1</v>
      </c>
      <c r="T403" s="1">
        <f ca="1">IF(S403=1,T$3*Q402/Prices!C402,-T$3*R402)</f>
        <v>1.5341126983238514E-4</v>
      </c>
      <c r="V403" s="9"/>
      <c r="W403" s="1"/>
      <c r="X403" s="1"/>
      <c r="Y403" s="1"/>
      <c r="Z403" s="1"/>
      <c r="AA403" s="1"/>
      <c r="AB403" s="1"/>
      <c r="AC403" s="1"/>
      <c r="AD403" s="1"/>
      <c r="AE403" s="16"/>
    </row>
    <row r="404" spans="1:31" x14ac:dyDescent="0.2">
      <c r="A404" s="4">
        <v>34072</v>
      </c>
      <c r="B404" s="9">
        <f ca="1">Prices!C403*(1+J404/(50*(ABS(O404)+ABS(T404)+0.0001)))</f>
        <v>111.54366679254571</v>
      </c>
      <c r="C404" s="21">
        <f t="shared" ca="1" si="41"/>
        <v>-1</v>
      </c>
      <c r="D404" s="9">
        <f ca="1">D403+C404*(Prices!C404-Prices!C403)/Prices!C403</f>
        <v>0.20145541602663586</v>
      </c>
      <c r="E404" s="9">
        <f t="shared" ca="1" si="42"/>
        <v>5.3144375553586809E-3</v>
      </c>
      <c r="F404" s="9">
        <f t="shared" ca="1" si="43"/>
        <v>0.20676985358199454</v>
      </c>
      <c r="G404" s="13">
        <f ca="1">IF((Prices!C404-Prices!C403)*C404&gt;0,1,0)</f>
        <v>0</v>
      </c>
      <c r="H404" s="9">
        <f>ABS(Prices!C404-Prices!C403)/Prices!C403</f>
        <v>5.314437555358674E-3</v>
      </c>
      <c r="I404" s="13"/>
      <c r="J404" s="1">
        <f t="shared" ca="1" si="44"/>
        <v>-6.0395887234845013E-4</v>
      </c>
      <c r="K404" s="9"/>
      <c r="L404" s="9">
        <f ca="1">L403-O404*Prices!C404</f>
        <v>1.4502177360220783</v>
      </c>
      <c r="M404" s="1">
        <f t="shared" ca="1" si="45"/>
        <v>6.7923860768198448E-3</v>
      </c>
      <c r="N404" s="9">
        <f ca="1">IF(Prices!D403&gt;OFFSET(Prices!D403,-$N$3,0),1,-1)</f>
        <v>-1</v>
      </c>
      <c r="O404" s="1">
        <f ca="1">IF(N404=1,O$3*L403/Prices!C403,-O$3*M403)</f>
        <v>-7.5470956409109382E-4</v>
      </c>
      <c r="P404" s="14"/>
      <c r="Q404" s="9">
        <f ca="1">Q403-T404*Prices!C404</f>
        <v>0.83387745137443359</v>
      </c>
      <c r="R404" s="1">
        <f t="shared" ca="1" si="46"/>
        <v>1.1704811333290847E-2</v>
      </c>
      <c r="S404" s="9">
        <f ca="1">IF(Prices!C403&lt;OFFSET(Prices!C403,-S$3,0),1,-1)</f>
        <v>1</v>
      </c>
      <c r="T404" s="1">
        <f ca="1">IF(S404=1,T$3*Q403/Prices!C403,-T$3*R403)</f>
        <v>1.5075069174264369E-4</v>
      </c>
      <c r="V404" s="9"/>
      <c r="W404" s="1"/>
      <c r="X404" s="1"/>
      <c r="Y404" s="1"/>
      <c r="Z404" s="1"/>
      <c r="AA404" s="1"/>
      <c r="AB404" s="1"/>
      <c r="AC404" s="1"/>
      <c r="AD404" s="1"/>
      <c r="AE404" s="16"/>
    </row>
    <row r="405" spans="1:31" x14ac:dyDescent="0.2">
      <c r="A405" s="4">
        <v>34073</v>
      </c>
      <c r="B405" s="9">
        <f ca="1">Prices!C404*(1+J405/(50*(ABS(O405)+ABS(T405)+0.0001)))</f>
        <v>112.19536796760096</v>
      </c>
      <c r="C405" s="21">
        <f t="shared" ca="1" si="41"/>
        <v>-1</v>
      </c>
      <c r="D405" s="9">
        <f ca="1">D404+C405*(Prices!C405-Prices!C404)/Prices!C404</f>
        <v>0.19960519576231872</v>
      </c>
      <c r="E405" s="9">
        <f t="shared" ca="1" si="42"/>
        <v>7.1646578196758182E-3</v>
      </c>
      <c r="F405" s="9">
        <f t="shared" ca="1" si="43"/>
        <v>0.20676985358199454</v>
      </c>
      <c r="G405" s="13">
        <f ca="1">IF((Prices!C405-Prices!C404)*C405&gt;0,1,0)</f>
        <v>0</v>
      </c>
      <c r="H405" s="9">
        <f>ABS(Prices!C405-Prices!C404)/Prices!C404</f>
        <v>1.8502202643171256E-3</v>
      </c>
      <c r="I405" s="13"/>
      <c r="J405" s="1">
        <f t="shared" ca="1" si="44"/>
        <v>-5.3229984973054251E-4</v>
      </c>
      <c r="K405" s="9"/>
      <c r="L405" s="9">
        <f ca="1">L404-O405*Prices!C405</f>
        <v>1.5274539581015967</v>
      </c>
      <c r="M405" s="1">
        <f t="shared" ca="1" si="45"/>
        <v>6.1131474691378598E-3</v>
      </c>
      <c r="N405" s="9">
        <f ca="1">IF(Prices!D404&gt;OFFSET(Prices!D404,-$N$3,0),1,-1)</f>
        <v>-1</v>
      </c>
      <c r="O405" s="1">
        <f ca="1">IF(N405=1,O$3*L404/Prices!C404,-O$3*M404)</f>
        <v>-6.7923860768198457E-4</v>
      </c>
      <c r="P405" s="14"/>
      <c r="Q405" s="9">
        <f ca="1">Q404-T405*Prices!C405</f>
        <v>0.81716904520777511</v>
      </c>
      <c r="R405" s="1">
        <f t="shared" ca="1" si="46"/>
        <v>1.1851750091242289E-2</v>
      </c>
      <c r="S405" s="9">
        <f ca="1">IF(Prices!C404&lt;OFFSET(Prices!C404,-S$3,0),1,-1)</f>
        <v>1</v>
      </c>
      <c r="T405" s="1">
        <f ca="1">IF(S405=1,T$3*Q404/Prices!C404,-T$3*R404)</f>
        <v>1.4693875795144203E-4</v>
      </c>
      <c r="V405" s="9"/>
      <c r="W405" s="1"/>
      <c r="X405" s="1"/>
      <c r="Y405" s="1"/>
      <c r="Z405" s="1"/>
      <c r="AA405" s="1"/>
      <c r="AB405" s="1"/>
      <c r="AC405" s="1"/>
      <c r="AD405" s="1"/>
      <c r="AE405" s="16"/>
    </row>
    <row r="406" spans="1:31" x14ac:dyDescent="0.2">
      <c r="A406" s="4">
        <v>34074</v>
      </c>
      <c r="B406" s="9">
        <f ca="1">Prices!C405*(1+J406/(50*(ABS(O406)+ABS(T406)+0.0001)))</f>
        <v>111.6756060423409</v>
      </c>
      <c r="C406" s="21">
        <f t="shared" ca="1" si="41"/>
        <v>-1</v>
      </c>
      <c r="D406" s="9">
        <f ca="1">D405+C406*(Prices!C406-Prices!C405)/Prices!C405</f>
        <v>0.20426617544748263</v>
      </c>
      <c r="E406" s="9">
        <f t="shared" ca="1" si="42"/>
        <v>2.5036781345119108E-3</v>
      </c>
      <c r="F406" s="9">
        <f t="shared" ca="1" si="43"/>
        <v>0.20676985358199454</v>
      </c>
      <c r="G406" s="13">
        <f ca="1">IF((Prices!C406-Prices!C405)*C406&gt;0,1,0)</f>
        <v>1</v>
      </c>
      <c r="H406" s="9">
        <f>ABS(Prices!C406-Prices!C405)/Prices!C405</f>
        <v>4.6609796851638987E-3</v>
      </c>
      <c r="I406" s="13"/>
      <c r="J406" s="1">
        <f t="shared" ca="1" si="44"/>
        <v>-8.4834974873863184E-4</v>
      </c>
      <c r="K406" s="9"/>
      <c r="L406" s="9">
        <f ca="1">L405-O406*Prices!C406</f>
        <v>1.596642561157299</v>
      </c>
      <c r="M406" s="1">
        <f t="shared" ca="1" si="45"/>
        <v>5.5018327222240739E-3</v>
      </c>
      <c r="N406" s="9">
        <f ca="1">IF(Prices!D405&gt;OFFSET(Prices!D405,-$N$3,0),1,-1)</f>
        <v>-1</v>
      </c>
      <c r="O406" s="1">
        <f ca="1">IF(N406=1,O$3*L405/Prices!C405,-O$3*M405)</f>
        <v>-6.1131474691378598E-4</v>
      </c>
      <c r="P406" s="14"/>
      <c r="Q406" s="9">
        <f ca="1">Q405-T406*Prices!C406</f>
        <v>0.84399666671431117</v>
      </c>
      <c r="R406" s="1">
        <f t="shared" ca="1" si="46"/>
        <v>1.1614715089417443E-2</v>
      </c>
      <c r="S406" s="9">
        <f ca="1">IF(Prices!C405&lt;OFFSET(Prices!C405,-S$3,0),1,-1)</f>
        <v>-1</v>
      </c>
      <c r="T406" s="1">
        <f ca="1">IF(S406=1,T$3*Q405/Prices!C405,-T$3*R405)</f>
        <v>-2.370350018248458E-4</v>
      </c>
      <c r="V406" s="9"/>
      <c r="W406" s="1"/>
      <c r="X406" s="1"/>
      <c r="Y406" s="1"/>
      <c r="Z406" s="1"/>
      <c r="AA406" s="1"/>
      <c r="AB406" s="1"/>
      <c r="AC406" s="1"/>
      <c r="AD406" s="1"/>
      <c r="AE406" s="16"/>
    </row>
    <row r="407" spans="1:31" x14ac:dyDescent="0.2">
      <c r="A407" s="18">
        <v>34075</v>
      </c>
      <c r="B407" s="9">
        <f ca="1">Prices!C406*(1+J407/(50*(ABS(O407)+ABS(T407)+0.0001)))</f>
        <v>112.04429742599076</v>
      </c>
      <c r="C407" s="21">
        <f t="shared" ca="1" si="41"/>
        <v>-1</v>
      </c>
      <c r="D407" s="9">
        <f ca="1">D406+C407*(Prices!C407-Prices!C406)/Prices!C406</f>
        <v>0.21204140075230687</v>
      </c>
      <c r="E407" s="9">
        <f t="shared" ca="1" si="42"/>
        <v>0</v>
      </c>
      <c r="F407" s="9">
        <f t="shared" ca="1" si="43"/>
        <v>0.21204140075230687</v>
      </c>
      <c r="G407" s="13">
        <f ca="1">IF((Prices!C407-Prices!C406)*C407&gt;0,1,0)</f>
        <v>1</v>
      </c>
      <c r="H407" s="9">
        <f>ABS(Prices!C407-Prices!C406)/Prices!C406</f>
        <v>7.7752253048242589E-3</v>
      </c>
      <c r="I407" s="13"/>
      <c r="J407" s="1">
        <f t="shared" ca="1" si="44"/>
        <v>-4.0104090312639905E-4</v>
      </c>
      <c r="K407" s="9"/>
      <c r="L407" s="9">
        <f ca="1">L406-O407*Prices!C407</f>
        <v>1.6584281426278753</v>
      </c>
      <c r="M407" s="1">
        <f t="shared" ca="1" si="45"/>
        <v>4.9516494500016668E-3</v>
      </c>
      <c r="N407" s="9">
        <f ca="1">IF(Prices!D406&gt;OFFSET(Prices!D406,-$N$3,0),1,-1)</f>
        <v>-1</v>
      </c>
      <c r="O407" s="1">
        <f ca="1">IF(N407=1,O$3*L406/Prices!C406,-O$3*M406)</f>
        <v>-5.5018327222240736E-4</v>
      </c>
      <c r="P407" s="14"/>
      <c r="Q407" s="9">
        <f ca="1">Q406-T407*Prices!C407</f>
        <v>0.82724797866482946</v>
      </c>
      <c r="R407" s="1">
        <f t="shared" ca="1" si="46"/>
        <v>1.1763857458513452E-2</v>
      </c>
      <c r="S407" s="9">
        <f ca="1">IF(Prices!C406&lt;OFFSET(Prices!C406,-S$3,0),1,-1)</f>
        <v>1</v>
      </c>
      <c r="T407" s="1">
        <f ca="1">IF(S407=1,T$3*Q406/Prices!C406,-T$3*R406)</f>
        <v>1.4914236909600832E-4</v>
      </c>
      <c r="V407" s="9"/>
      <c r="W407" s="1"/>
      <c r="X407" s="1"/>
      <c r="Y407" s="1"/>
      <c r="Z407" s="1"/>
      <c r="AA407" s="1"/>
      <c r="AB407" s="1"/>
      <c r="AC407" s="1"/>
      <c r="AD407" s="1"/>
      <c r="AE407" s="16"/>
    </row>
    <row r="408" spans="1:31" x14ac:dyDescent="0.2">
      <c r="A408" s="4">
        <v>34078</v>
      </c>
      <c r="B408" s="9">
        <f ca="1">Prices!C407*(1+J408/(50*(ABS(O408)+ABS(T408)+0.0001)))</f>
        <v>111.24781351876018</v>
      </c>
      <c r="C408" s="21">
        <f t="shared" ca="1" si="41"/>
        <v>-1</v>
      </c>
      <c r="D408" s="9">
        <f ca="1">D407+C408*(Prices!C408-Prices!C407)/Prices!C407</f>
        <v>0.22290515854393642</v>
      </c>
      <c r="E408" s="9">
        <f t="shared" ca="1" si="42"/>
        <v>0</v>
      </c>
      <c r="F408" s="9">
        <f t="shared" ca="1" si="43"/>
        <v>0.22290515854393642</v>
      </c>
      <c r="G408" s="13">
        <f ca="1">IF((Prices!C408-Prices!C407)*C408&gt;0,1,0)</f>
        <v>1</v>
      </c>
      <c r="H408" s="9">
        <f>ABS(Prices!C408-Prices!C407)/Prices!C407</f>
        <v>1.0863757791629554E-2</v>
      </c>
      <c r="I408" s="13"/>
      <c r="J408" s="1">
        <f t="shared" ca="1" si="44"/>
        <v>-3.4783672083902169E-4</v>
      </c>
      <c r="K408" s="9"/>
      <c r="L408" s="9">
        <f ca="1">L407-O408*Prices!C408</f>
        <v>1.7134310647184938</v>
      </c>
      <c r="M408" s="1">
        <f t="shared" ca="1" si="45"/>
        <v>4.4564845050015E-3</v>
      </c>
      <c r="N408" s="9">
        <f ca="1">IF(Prices!D407&gt;OFFSET(Prices!D407,-$N$3,0),1,-1)</f>
        <v>-1</v>
      </c>
      <c r="O408" s="1">
        <f ca="1">IF(N408=1,O$3*L407/Prices!C407,-O$3*M407)</f>
        <v>-4.9516494500016675E-4</v>
      </c>
      <c r="P408" s="14"/>
      <c r="Q408" s="9">
        <f ca="1">Q407-T408*Prices!C408</f>
        <v>0.81088275952500943</v>
      </c>
      <c r="R408" s="1">
        <f t="shared" ca="1" si="46"/>
        <v>1.1911185682674597E-2</v>
      </c>
      <c r="S408" s="9">
        <f ca="1">IF(Prices!C407&lt;OFFSET(Prices!C407,-S$3,0),1,-1)</f>
        <v>1</v>
      </c>
      <c r="T408" s="1">
        <f ca="1">IF(S408=1,T$3*Q407/Prices!C407,-T$3*R407)</f>
        <v>1.4732822416114506E-4</v>
      </c>
      <c r="V408" s="9"/>
      <c r="W408" s="1"/>
      <c r="X408" s="1"/>
      <c r="Y408" s="1"/>
      <c r="Z408" s="1"/>
      <c r="AA408" s="1"/>
      <c r="AB408" s="1"/>
      <c r="AC408" s="1"/>
      <c r="AD408" s="1"/>
      <c r="AE408" s="16"/>
    </row>
    <row r="409" spans="1:31" x14ac:dyDescent="0.2">
      <c r="A409" s="18">
        <v>34079</v>
      </c>
      <c r="B409" s="9">
        <f ca="1">Prices!C408*(1+J409/(50*(ABS(O409)+ABS(T409)+0.0001)))</f>
        <v>110.11751724115281</v>
      </c>
      <c r="C409" s="21">
        <f t="shared" ca="1" si="41"/>
        <v>-1</v>
      </c>
      <c r="D409" s="9">
        <f ca="1">D408+C409*(Prices!C409-Prices!C408)/Prices!C408</f>
        <v>0.22767649451800917</v>
      </c>
      <c r="E409" s="9">
        <f t="shared" ca="1" si="42"/>
        <v>0</v>
      </c>
      <c r="F409" s="9">
        <f t="shared" ca="1" si="43"/>
        <v>0.22767649451800917</v>
      </c>
      <c r="G409" s="13">
        <f ca="1">IF((Prices!C409-Prices!C408)*C409&gt;0,1,0)</f>
        <v>1</v>
      </c>
      <c r="H409" s="9">
        <f>ABS(Prices!C409-Prices!C408)/Prices!C408</f>
        <v>4.7713359740727511E-3</v>
      </c>
      <c r="I409" s="13"/>
      <c r="J409" s="1">
        <f t="shared" ca="1" si="44"/>
        <v>-2.9964867384818576E-4</v>
      </c>
      <c r="K409" s="9"/>
      <c r="L409" s="9">
        <f ca="1">L408-O409*Prices!C409</f>
        <v>1.7626975009212855</v>
      </c>
      <c r="M409" s="1">
        <f t="shared" ca="1" si="45"/>
        <v>4.0108360545013499E-3</v>
      </c>
      <c r="N409" s="9">
        <f ca="1">IF(Prices!D408&gt;OFFSET(Prices!D408,-$N$3,0),1,-1)</f>
        <v>-1</v>
      </c>
      <c r="O409" s="1">
        <f ca="1">IF(N409=1,O$3*L408/Prices!C408,-O$3*M408)</f>
        <v>-4.4564845050015003E-4</v>
      </c>
      <c r="P409" s="14"/>
      <c r="Q409" s="9">
        <f ca="1">Q408-T409*Prices!C409</f>
        <v>0.7947424842161348</v>
      </c>
      <c r="R409" s="1">
        <f t="shared" ca="1" si="46"/>
        <v>1.2057185459326561E-2</v>
      </c>
      <c r="S409" s="9">
        <f ca="1">IF(Prices!C408&lt;OFFSET(Prices!C408,-S$3,0),1,-1)</f>
        <v>1</v>
      </c>
      <c r="T409" s="1">
        <f ca="1">IF(S409=1,T$3*Q408/Prices!C408,-T$3*R408)</f>
        <v>1.4599977665196427E-4</v>
      </c>
      <c r="V409" s="9"/>
      <c r="W409" s="1"/>
      <c r="X409" s="1"/>
      <c r="Y409" s="1"/>
      <c r="Z409" s="1"/>
      <c r="AA409" s="1"/>
      <c r="AB409" s="1"/>
      <c r="AC409" s="1"/>
      <c r="AD409" s="1"/>
      <c r="AE409" s="16"/>
    </row>
    <row r="410" spans="1:31" x14ac:dyDescent="0.2">
      <c r="A410" s="4">
        <v>34080</v>
      </c>
      <c r="B410" s="9">
        <f ca="1">Prices!C409*(1+J410/(50*(ABS(O410)+ABS(T410)+0.0001)))</f>
        <v>109.66779934997435</v>
      </c>
      <c r="C410" s="21">
        <f t="shared" ca="1" si="41"/>
        <v>-1</v>
      </c>
      <c r="D410" s="9">
        <f ca="1">D409+C410*(Prices!C410-Prices!C409)/Prices!C409</f>
        <v>0.22677192644926192</v>
      </c>
      <c r="E410" s="9">
        <f t="shared" ca="1" si="42"/>
        <v>9.0456806874725237E-4</v>
      </c>
      <c r="F410" s="9">
        <f t="shared" ca="1" si="43"/>
        <v>0.22767649451800917</v>
      </c>
      <c r="G410" s="13">
        <f ca="1">IF((Prices!C410-Prices!C409)*C410&gt;0,1,0)</f>
        <v>0</v>
      </c>
      <c r="H410" s="9">
        <f>ABS(Prices!C410-Prices!C409)/Prices!C409</f>
        <v>9.0456806874725042E-4</v>
      </c>
      <c r="I410" s="13"/>
      <c r="J410" s="1">
        <f t="shared" ca="1" si="44"/>
        <v>-2.5730387063039104E-4</v>
      </c>
      <c r="K410" s="9"/>
      <c r="L410" s="9">
        <f ca="1">L409-O410*Prices!C410</f>
        <v>1.807077401864343</v>
      </c>
      <c r="M410" s="1">
        <f t="shared" ca="1" si="45"/>
        <v>3.609752449051215E-3</v>
      </c>
      <c r="N410" s="9">
        <f ca="1">IF(Prices!D409&gt;OFFSET(Prices!D409,-$N$3,0),1,-1)</f>
        <v>-1</v>
      </c>
      <c r="O410" s="1">
        <f ca="1">IF(N410=1,O$3*L409/Prices!C409,-O$3*M409)</f>
        <v>-4.0108360545013501E-4</v>
      </c>
      <c r="P410" s="14"/>
      <c r="Q410" s="9">
        <f ca="1">Q409-T410*Prices!C410</f>
        <v>0.77883325655833013</v>
      </c>
      <c r="R410" s="1">
        <f t="shared" ca="1" si="46"/>
        <v>1.2200965194146304E-2</v>
      </c>
      <c r="S410" s="9">
        <f ca="1">IF(Prices!C409&lt;OFFSET(Prices!C409,-S$3,0),1,-1)</f>
        <v>1</v>
      </c>
      <c r="T410" s="1">
        <f ca="1">IF(S410=1,T$3*Q409/Prices!C409,-T$3*R409)</f>
        <v>1.4377973481974397E-4</v>
      </c>
      <c r="V410" s="9"/>
      <c r="W410" s="1"/>
      <c r="X410" s="1"/>
      <c r="Y410" s="1"/>
      <c r="Z410" s="1"/>
      <c r="AA410" s="1"/>
      <c r="AB410" s="1"/>
      <c r="AC410" s="1"/>
      <c r="AD410" s="1"/>
      <c r="AE410" s="16"/>
    </row>
    <row r="411" spans="1:31" x14ac:dyDescent="0.2">
      <c r="A411" s="4">
        <v>34081</v>
      </c>
      <c r="B411" s="9">
        <f ca="1">Prices!C410*(1+J411/(50*(ABS(O411)+ABS(T411)+0.0001)))</f>
        <v>109.84018634881855</v>
      </c>
      <c r="C411" s="21">
        <f t="shared" ca="1" si="41"/>
        <v>-1</v>
      </c>
      <c r="D411" s="9">
        <f ca="1">D410+C411*(Prices!C411-Prices!C410)/Prices!C410</f>
        <v>0.23273668017723309</v>
      </c>
      <c r="E411" s="9">
        <f t="shared" ca="1" si="42"/>
        <v>0</v>
      </c>
      <c r="F411" s="9">
        <f t="shared" ca="1" si="43"/>
        <v>0.23273668017723309</v>
      </c>
      <c r="G411" s="13">
        <f ca="1">IF((Prices!C411-Prices!C410)*C411&gt;0,1,0)</f>
        <v>1</v>
      </c>
      <c r="H411" s="9">
        <f>ABS(Prices!C411-Prices!C410)/Prices!C410</f>
        <v>5.964753727971177E-3</v>
      </c>
      <c r="I411" s="13"/>
      <c r="J411" s="1">
        <f t="shared" ca="1" si="44"/>
        <v>-2.2020104579832889E-4</v>
      </c>
      <c r="K411" s="9"/>
      <c r="L411" s="9">
        <f ca="1">L410-O411*Prices!C411</f>
        <v>1.8467810690514572</v>
      </c>
      <c r="M411" s="1">
        <f t="shared" ca="1" si="45"/>
        <v>3.2487772041460937E-3</v>
      </c>
      <c r="N411" s="9">
        <f ca="1">IF(Prices!D410&gt;OFFSET(Prices!D410,-$N$3,0),1,-1)</f>
        <v>-1</v>
      </c>
      <c r="O411" s="1">
        <f ca="1">IF(N411=1,O$3*L410/Prices!C410,-O$3*M410)</f>
        <v>-3.609752449051215E-4</v>
      </c>
      <c r="P411" s="14"/>
      <c r="Q411" s="9">
        <f ca="1">Q410-T411*Prices!C411</f>
        <v>0.76334950239857402</v>
      </c>
      <c r="R411" s="1">
        <f t="shared" ca="1" si="46"/>
        <v>1.2341739393253098E-2</v>
      </c>
      <c r="S411" s="9">
        <f ca="1">IF(Prices!C410&lt;OFFSET(Prices!C410,-S$3,0),1,-1)</f>
        <v>1</v>
      </c>
      <c r="T411" s="1">
        <f ca="1">IF(S411=1,T$3*Q410/Prices!C410,-T$3*R410)</f>
        <v>1.4077419910679261E-4</v>
      </c>
      <c r="V411" s="9"/>
      <c r="W411" s="1"/>
      <c r="X411" s="1"/>
      <c r="Y411" s="1"/>
      <c r="Z411" s="1"/>
      <c r="AA411" s="1"/>
      <c r="AB411" s="1"/>
      <c r="AC411" s="1"/>
      <c r="AD411" s="1"/>
      <c r="AE411" s="16"/>
    </row>
    <row r="412" spans="1:31" x14ac:dyDescent="0.2">
      <c r="A412" s="4">
        <v>34082</v>
      </c>
      <c r="B412" s="9">
        <f ca="1">Prices!C411*(1+J412/(50*(ABS(O412)+ABS(T412)+0.0001)))</f>
        <v>109.2638337924855</v>
      </c>
      <c r="C412" s="21">
        <f t="shared" ca="1" si="41"/>
        <v>-1</v>
      </c>
      <c r="D412" s="9">
        <f ca="1">D411+C412*(Prices!C412-Prices!C411)/Prices!C411</f>
        <v>0.22628154789247987</v>
      </c>
      <c r="E412" s="9">
        <f t="shared" ca="1" si="42"/>
        <v>6.4551322847532233E-3</v>
      </c>
      <c r="F412" s="9">
        <f t="shared" ca="1" si="43"/>
        <v>0.23273668017723309</v>
      </c>
      <c r="G412" s="13">
        <f ca="1">IF((Prices!C412-Prices!C411)*C412&gt;0,1,0)</f>
        <v>0</v>
      </c>
      <c r="H412" s="9">
        <f>ABS(Prices!C412-Prices!C411)/Prices!C411</f>
        <v>6.455132284753232E-3</v>
      </c>
      <c r="I412" s="13"/>
      <c r="J412" s="1">
        <f t="shared" ca="1" si="44"/>
        <v>-1.8607428330240388E-4</v>
      </c>
      <c r="K412" s="9"/>
      <c r="L412" s="9">
        <f ca="1">L411-O412*Prices!C412</f>
        <v>1.8827450327013544</v>
      </c>
      <c r="M412" s="1">
        <f t="shared" ca="1" si="45"/>
        <v>2.9238994837314843E-3</v>
      </c>
      <c r="N412" s="9">
        <f ca="1">IF(Prices!D411&gt;OFFSET(Prices!D411,-$N$3,0),1,-1)</f>
        <v>-1</v>
      </c>
      <c r="O412" s="1">
        <f ca="1">IF(N412=1,O$3*L411/Prices!C411,-O$3*M411)</f>
        <v>-3.2487772041460937E-4</v>
      </c>
      <c r="P412" s="14"/>
      <c r="Q412" s="9">
        <f ca="1">Q411-T412*Prices!C412</f>
        <v>0.74798396191025285</v>
      </c>
      <c r="R412" s="1">
        <f t="shared" ca="1" si="46"/>
        <v>1.2480542830365303E-2</v>
      </c>
      <c r="S412" s="9">
        <f ca="1">IF(Prices!C411&lt;OFFSET(Prices!C411,-S$3,0),1,-1)</f>
        <v>1</v>
      </c>
      <c r="T412" s="1">
        <f ca="1">IF(S412=1,T$3*Q411/Prices!C411,-T$3*R411)</f>
        <v>1.3880343711220549E-4</v>
      </c>
      <c r="V412" s="9"/>
      <c r="W412" s="1"/>
      <c r="X412" s="1"/>
      <c r="Y412" s="1"/>
      <c r="Z412" s="1"/>
      <c r="AA412" s="1"/>
      <c r="AB412" s="1"/>
      <c r="AC412" s="1"/>
      <c r="AD412" s="1"/>
      <c r="AE412" s="16"/>
    </row>
    <row r="413" spans="1:31" x14ac:dyDescent="0.2">
      <c r="A413" s="4">
        <v>34085</v>
      </c>
      <c r="B413" s="9">
        <f ca="1">Prices!C412*(1+J413/(50*(ABS(O413)+ABS(T413)+0.0001)))</f>
        <v>112.79963461658502</v>
      </c>
      <c r="C413" s="21">
        <f t="shared" ca="1" si="41"/>
        <v>1</v>
      </c>
      <c r="D413" s="9">
        <f ca="1">D412+C413*(Prices!C413-Prices!C412)/Prices!C412</f>
        <v>0.22519753705237142</v>
      </c>
      <c r="E413" s="9">
        <f t="shared" ca="1" si="42"/>
        <v>7.5391431248616747E-3</v>
      </c>
      <c r="F413" s="9">
        <f t="shared" ca="1" si="43"/>
        <v>0.23273668017723309</v>
      </c>
      <c r="G413" s="13">
        <f ca="1">IF((Prices!C413-Prices!C412)*C413&gt;0,1,0)</f>
        <v>0</v>
      </c>
      <c r="H413" s="9">
        <f>ABS(Prices!C413-Prices!C412)/Prices!C412</f>
        <v>1.0840108401084421E-3</v>
      </c>
      <c r="I413" s="13"/>
      <c r="J413" s="1">
        <f t="shared" ca="1" si="44"/>
        <v>1.8359004743300857E-3</v>
      </c>
      <c r="K413" s="9"/>
      <c r="L413" s="9">
        <f ca="1">L412-O413*Prices!C413</f>
        <v>1.6946746210336798</v>
      </c>
      <c r="M413" s="1">
        <f t="shared" ca="1" si="45"/>
        <v>4.6246628375719127E-3</v>
      </c>
      <c r="N413" s="9">
        <f ca="1">IF(Prices!D412&gt;OFFSET(Prices!D412,-$N$3,0),1,-1)</f>
        <v>1</v>
      </c>
      <c r="O413" s="1">
        <f ca="1">IF(N413=1,O$3*L412/Prices!C412,-O$3*M412)</f>
        <v>1.7007633538404286E-3</v>
      </c>
      <c r="P413" s="14"/>
      <c r="Q413" s="9">
        <f ca="1">Q412-T413*Prices!C413</f>
        <v>0.7330404991265066</v>
      </c>
      <c r="R413" s="1">
        <f t="shared" ca="1" si="46"/>
        <v>1.261567995085496E-2</v>
      </c>
      <c r="S413" s="9">
        <f ca="1">IF(Prices!C412&lt;OFFSET(Prices!C412,-S$3,0),1,-1)</f>
        <v>1</v>
      </c>
      <c r="T413" s="1">
        <f ca="1">IF(S413=1,T$3*Q412/Prices!C412,-T$3*R412)</f>
        <v>1.3513712048965722E-4</v>
      </c>
      <c r="V413" s="9"/>
      <c r="W413" s="1"/>
      <c r="X413" s="1"/>
      <c r="Y413" s="1"/>
      <c r="Z413" s="1"/>
      <c r="AA413" s="1"/>
      <c r="AB413" s="1"/>
      <c r="AC413" s="1"/>
      <c r="AD413" s="1"/>
      <c r="AE413" s="16"/>
    </row>
    <row r="414" spans="1:31" x14ac:dyDescent="0.2">
      <c r="A414" s="18">
        <v>34086</v>
      </c>
      <c r="B414" s="9">
        <f ca="1">Prices!C413*(1+J414/(50*(ABS(O414)+ABS(T414)+0.0001)))</f>
        <v>112.082155661408</v>
      </c>
      <c r="C414" s="21">
        <f t="shared" ca="1" si="41"/>
        <v>1</v>
      </c>
      <c r="D414" s="9">
        <f ca="1">D413+C414*(Prices!C414-Prices!C413)/Prices!C413</f>
        <v>0.23785805432493431</v>
      </c>
      <c r="E414" s="9">
        <f t="shared" ca="1" si="42"/>
        <v>0</v>
      </c>
      <c r="F414" s="9">
        <f t="shared" ca="1" si="43"/>
        <v>0.23785805432493431</v>
      </c>
      <c r="G414" s="13">
        <f ca="1">IF((Prices!C414-Prices!C413)*C414&gt;0,1,0)</f>
        <v>1</v>
      </c>
      <c r="H414" s="9">
        <f>ABS(Prices!C414-Prices!C413)/Prices!C413</f>
        <v>1.2660517272562902E-2</v>
      </c>
      <c r="I414" s="13"/>
      <c r="J414" s="1">
        <f t="shared" ca="1" si="44"/>
        <v>1.2802190660522442E-3</v>
      </c>
      <c r="K414" s="9"/>
      <c r="L414" s="9">
        <f ca="1">L413-O414*Prices!C414</f>
        <v>1.5230616131992147</v>
      </c>
      <c r="M414" s="1">
        <f t="shared" ca="1" si="45"/>
        <v>6.1571955026412557E-3</v>
      </c>
      <c r="N414" s="9">
        <f ca="1">IF(Prices!D413&gt;OFFSET(Prices!D413,-$N$3,0),1,-1)</f>
        <v>1</v>
      </c>
      <c r="O414" s="1">
        <f ca="1">IF(N414=1,O$3*L413/Prices!C413,-O$3*M413)</f>
        <v>1.5325326650693434E-3</v>
      </c>
      <c r="P414" s="14"/>
      <c r="Q414" s="9">
        <f ca="1">Q413-T414*Prices!C414</f>
        <v>0.76129457594444139</v>
      </c>
      <c r="R414" s="1">
        <f t="shared" ca="1" si="46"/>
        <v>1.2363366351837862E-2</v>
      </c>
      <c r="S414" s="9">
        <f ca="1">IF(Prices!C413&lt;OFFSET(Prices!C413,-S$3,0),1,-1)</f>
        <v>-1</v>
      </c>
      <c r="T414" s="1">
        <f ca="1">IF(S414=1,T$3*Q413/Prices!C413,-T$3*R413)</f>
        <v>-2.5231359901709921E-4</v>
      </c>
      <c r="V414" s="9"/>
      <c r="W414" s="1"/>
      <c r="X414" s="1"/>
      <c r="Y414" s="1"/>
      <c r="Z414" s="1"/>
      <c r="AA414" s="1"/>
      <c r="AB414" s="1"/>
      <c r="AC414" s="1"/>
      <c r="AD414" s="1"/>
      <c r="AE414" s="16"/>
    </row>
    <row r="415" spans="1:31" x14ac:dyDescent="0.2">
      <c r="A415" s="4">
        <v>34087</v>
      </c>
      <c r="B415" s="9">
        <f ca="1">Prices!C414*(1+J415/(50*(ABS(O415)+ABS(T415)+0.0001)))</f>
        <v>113.43974160383361</v>
      </c>
      <c r="C415" s="21">
        <f t="shared" ca="1" si="41"/>
        <v>1</v>
      </c>
      <c r="D415" s="9">
        <f ca="1">D414+C415*(Prices!C415-Prices!C414)/Prices!C414</f>
        <v>0.23866176927403226</v>
      </c>
      <c r="E415" s="9">
        <f t="shared" ca="1" si="42"/>
        <v>0</v>
      </c>
      <c r="F415" s="9">
        <f t="shared" ca="1" si="43"/>
        <v>0.23866176927403226</v>
      </c>
      <c r="G415" s="13">
        <f ca="1">IF((Prices!C415-Prices!C414)*C415&gt;0,1,0)</f>
        <v>1</v>
      </c>
      <c r="H415" s="9">
        <f>ABS(Prices!C415-Prices!C414)/Prices!C414</f>
        <v>8.0371494909795677E-4</v>
      </c>
      <c r="I415" s="13"/>
      <c r="J415" s="1">
        <f t="shared" ca="1" si="44"/>
        <v>1.1128519917694712E-3</v>
      </c>
      <c r="K415" s="9"/>
      <c r="L415" s="9">
        <f ca="1">L414-O415*Prices!C415</f>
        <v>1.3706330411406007</v>
      </c>
      <c r="M415" s="1">
        <f t="shared" ca="1" si="45"/>
        <v>7.5173148214474845E-3</v>
      </c>
      <c r="N415" s="9">
        <f ca="1">IF(Prices!D414&gt;OFFSET(Prices!D414,-$N$3,0),1,-1)</f>
        <v>1</v>
      </c>
      <c r="O415" s="1">
        <f ca="1">IF(N415=1,O$3*L414/Prices!C414,-O$3*M414)</f>
        <v>1.3601193188062285E-3</v>
      </c>
      <c r="P415" s="14"/>
      <c r="Q415" s="9">
        <f ca="1">Q414-T415*Prices!C415</f>
        <v>0.78900582528545082</v>
      </c>
      <c r="R415" s="1">
        <f t="shared" ca="1" si="46"/>
        <v>1.2116099024801104E-2</v>
      </c>
      <c r="S415" s="9">
        <f ca="1">IF(Prices!C414&lt;OFFSET(Prices!C414,-S$3,0),1,-1)</f>
        <v>-1</v>
      </c>
      <c r="T415" s="1">
        <f ca="1">IF(S415=1,T$3*Q414/Prices!C414,-T$3*R414)</f>
        <v>-2.4726732703675723E-4</v>
      </c>
      <c r="V415" s="9"/>
      <c r="W415" s="1"/>
      <c r="X415" s="1"/>
      <c r="Y415" s="1"/>
      <c r="Z415" s="1"/>
      <c r="AA415" s="1"/>
      <c r="AB415" s="1"/>
      <c r="AC415" s="1"/>
      <c r="AD415" s="1"/>
      <c r="AE415" s="16"/>
    </row>
    <row r="416" spans="1:31" x14ac:dyDescent="0.2">
      <c r="A416" s="18">
        <v>34088</v>
      </c>
      <c r="B416" s="9">
        <f ca="1">Prices!C415*(1+J416/(50*(ABS(O416)+ABS(T416)+0.0001)))</f>
        <v>113.47425062391781</v>
      </c>
      <c r="C416" s="21">
        <f t="shared" ca="1" si="41"/>
        <v>1</v>
      </c>
      <c r="D416" s="9">
        <f ca="1">D415+C416*(Prices!C416-Prices!C415)/Prices!C415</f>
        <v>0.23268336292086025</v>
      </c>
      <c r="E416" s="9">
        <f t="shared" ca="1" si="42"/>
        <v>5.9784063531720111E-3</v>
      </c>
      <c r="F416" s="9">
        <f t="shared" ca="1" si="43"/>
        <v>0.23866176927403226</v>
      </c>
      <c r="G416" s="13">
        <f ca="1">IF((Prices!C416-Prices!C415)*C416&gt;0,1,0)</f>
        <v>0</v>
      </c>
      <c r="H416" s="9">
        <f>ABS(Prices!C416-Prices!C415)/Prices!C415</f>
        <v>5.9784063531720137E-3</v>
      </c>
      <c r="I416" s="13"/>
      <c r="J416" s="1">
        <f t="shared" ca="1" si="44"/>
        <v>9.8069313607451487E-4</v>
      </c>
      <c r="K416" s="9"/>
      <c r="L416" s="9">
        <f ca="1">L415-O416*Prices!C416</f>
        <v>1.2343891571546428</v>
      </c>
      <c r="M416" s="1">
        <f t="shared" ca="1" si="45"/>
        <v>8.7403299380180207E-3</v>
      </c>
      <c r="N416" s="9">
        <f ca="1">IF(Prices!D415&gt;OFFSET(Prices!D415,-$N$3,0),1,-1)</f>
        <v>1</v>
      </c>
      <c r="O416" s="1">
        <f ca="1">IF(N416=1,O$3*L415/Prices!C415,-O$3*M415)</f>
        <v>1.2230151165705369E-3</v>
      </c>
      <c r="P416" s="14"/>
      <c r="Q416" s="9">
        <f ca="1">Q415-T416*Prices!C416</f>
        <v>0.81600049391270768</v>
      </c>
      <c r="R416" s="1">
        <f t="shared" ca="1" si="46"/>
        <v>1.1873777044305082E-2</v>
      </c>
      <c r="S416" s="9">
        <f ca="1">IF(Prices!C415&lt;OFFSET(Prices!C415,-S$3,0),1,-1)</f>
        <v>-1</v>
      </c>
      <c r="T416" s="1">
        <f ca="1">IF(S416=1,T$3*Q415/Prices!C415,-T$3*R415)</f>
        <v>-2.4232198049602209E-4</v>
      </c>
      <c r="W416" s="1"/>
      <c r="X416" s="1"/>
      <c r="Y416" s="1"/>
      <c r="Z416" s="1"/>
      <c r="AA416" s="1"/>
      <c r="AB416" s="1"/>
      <c r="AC416" s="1"/>
      <c r="AD416" s="1"/>
      <c r="AE416" s="16"/>
    </row>
    <row r="417" spans="1:31" x14ac:dyDescent="0.2">
      <c r="A417" s="4">
        <v>34089</v>
      </c>
      <c r="B417" s="9">
        <f ca="1">Prices!C416*(1+J417/(50*(ABS(O417)+ABS(T417)+0.0001)))</f>
        <v>109.35590295538232</v>
      </c>
      <c r="C417" s="21">
        <f t="shared" ca="1" si="41"/>
        <v>-1</v>
      </c>
      <c r="D417" s="9">
        <f ca="1">D416+C417*(Prices!C417-Prices!C416)/Prices!C416</f>
        <v>0.23582519415963951</v>
      </c>
      <c r="E417" s="9">
        <f t="shared" ca="1" si="42"/>
        <v>2.8365751143927531E-3</v>
      </c>
      <c r="F417" s="9">
        <f t="shared" ca="1" si="43"/>
        <v>0.23866176927403226</v>
      </c>
      <c r="G417" s="13">
        <f ca="1">IF((Prices!C417-Prices!C416)*C417&gt;0,1,0)</f>
        <v>1</v>
      </c>
      <c r="H417" s="9">
        <f>ABS(Prices!C417-Prices!C416)/Prices!C416</f>
        <v>3.1418312387792506E-3</v>
      </c>
      <c r="I417" s="13"/>
      <c r="J417" s="1">
        <f t="shared" ca="1" si="44"/>
        <v>-1.1115085346879037E-3</v>
      </c>
      <c r="K417" s="9"/>
      <c r="L417" s="9">
        <f ca="1">L416-O417*Prices!C417</f>
        <v>1.331450521116333</v>
      </c>
      <c r="M417" s="1">
        <f t="shared" ca="1" si="45"/>
        <v>7.8662969442162192E-3</v>
      </c>
      <c r="N417" s="9">
        <f ca="1">IF(Prices!D416&gt;OFFSET(Prices!D416,-$N$3,0),1,-1)</f>
        <v>-1</v>
      </c>
      <c r="O417" s="1">
        <f ca="1">IF(N417=1,O$3*L416/Prices!C416,-O$3*M416)</f>
        <v>-8.7403299380180209E-4</v>
      </c>
      <c r="P417" s="14"/>
      <c r="Q417" s="9">
        <f ca="1">Q416-T417*Prices!C417</f>
        <v>0.84237215272810928</v>
      </c>
      <c r="R417" s="1">
        <f t="shared" ca="1" si="46"/>
        <v>1.163630150341898E-2</v>
      </c>
      <c r="S417" s="9">
        <f ca="1">IF(Prices!C416&lt;OFFSET(Prices!C416,-S$3,0),1,-1)</f>
        <v>-1</v>
      </c>
      <c r="T417" s="1">
        <f ca="1">IF(S417=1,T$3*Q416/Prices!C416,-T$3*R416)</f>
        <v>-2.3747554088610165E-4</v>
      </c>
      <c r="W417" s="1"/>
      <c r="X417" s="1"/>
      <c r="Y417" s="1"/>
      <c r="Z417" s="1"/>
      <c r="AA417" s="1"/>
      <c r="AB417" s="1"/>
      <c r="AC417" s="1"/>
      <c r="AD417" s="1"/>
      <c r="AE417" s="16"/>
    </row>
    <row r="418" spans="1:31" x14ac:dyDescent="0.2">
      <c r="A418" s="4">
        <v>34092</v>
      </c>
      <c r="B418" s="9">
        <f ca="1">Prices!C417*(1+J418/(50*(ABS(O418)+ABS(T418)+0.0001)))</f>
        <v>112.45107673665991</v>
      </c>
      <c r="C418" s="21">
        <f t="shared" ca="1" si="41"/>
        <v>1</v>
      </c>
      <c r="D418" s="9">
        <f ca="1">D417+C418*(Prices!C418-Prices!C417)/Prices!C417</f>
        <v>0.23429435219655981</v>
      </c>
      <c r="E418" s="9">
        <f t="shared" ca="1" si="42"/>
        <v>4.3674170774724574E-3</v>
      </c>
      <c r="F418" s="9">
        <f t="shared" ca="1" si="43"/>
        <v>0.23866176927403226</v>
      </c>
      <c r="G418" s="13">
        <f ca="1">IF((Prices!C418-Prices!C417)*C418&gt;0,1,0)</f>
        <v>0</v>
      </c>
      <c r="H418" s="9">
        <f>ABS(Prices!C418-Prices!C417)/Prices!C417</f>
        <v>1.5308419630797093E-3</v>
      </c>
      <c r="I418" s="13"/>
      <c r="J418" s="1">
        <f t="shared" ca="1" si="44"/>
        <v>9.6623886963115497E-4</v>
      </c>
      <c r="K418" s="9"/>
      <c r="L418" s="9">
        <f ca="1">L417-O418*Prices!C418</f>
        <v>1.1985092930376486</v>
      </c>
      <c r="M418" s="1">
        <f t="shared" ca="1" si="45"/>
        <v>9.0652618439157531E-3</v>
      </c>
      <c r="N418" s="9">
        <f ca="1">IF(Prices!D417&gt;OFFSET(Prices!D417,-$N$3,0),1,-1)</f>
        <v>1</v>
      </c>
      <c r="O418" s="1">
        <f ca="1">IF(N418=1,O$3*L417/Prices!C417,-O$3*M417)</f>
        <v>1.1989648996995346E-3</v>
      </c>
      <c r="P418" s="14"/>
      <c r="Q418" s="9">
        <f ca="1">Q417-T418*Prices!C418</f>
        <v>0.8681768149420912</v>
      </c>
      <c r="R418" s="1">
        <f t="shared" ca="1" si="46"/>
        <v>1.1403575473350601E-2</v>
      </c>
      <c r="S418" s="9">
        <f ca="1">IF(Prices!C417&lt;OFFSET(Prices!C417,-S$3,0),1,-1)</f>
        <v>-1</v>
      </c>
      <c r="T418" s="1">
        <f ca="1">IF(S418=1,T$3*Q417/Prices!C417,-T$3*R417)</f>
        <v>-2.3272603006837961E-4</v>
      </c>
      <c r="W418" s="1"/>
      <c r="X418" s="1"/>
      <c r="Y418" s="1"/>
      <c r="Z418" s="1"/>
      <c r="AA418" s="1"/>
      <c r="AB418" s="1"/>
      <c r="AC418" s="1"/>
      <c r="AD418" s="1"/>
      <c r="AE418" s="16"/>
    </row>
    <row r="419" spans="1:31" x14ac:dyDescent="0.2">
      <c r="A419" s="4">
        <v>34093</v>
      </c>
      <c r="B419" s="9">
        <f ca="1">Prices!C418*(1+J419/(50*(ABS(O419)+ABS(T419)+0.0001)))</f>
        <v>109.45019361574444</v>
      </c>
      <c r="C419" s="21">
        <f t="shared" ca="1" si="41"/>
        <v>-1</v>
      </c>
      <c r="D419" s="9">
        <f ca="1">D418+C419*(Prices!C419-Prices!C418)/Prices!C418</f>
        <v>0.2408780462802538</v>
      </c>
      <c r="E419" s="9">
        <f t="shared" ca="1" si="42"/>
        <v>0</v>
      </c>
      <c r="F419" s="9">
        <f t="shared" ca="1" si="43"/>
        <v>0.2408780462802538</v>
      </c>
      <c r="G419" s="13">
        <f ca="1">IF((Prices!C419-Prices!C418)*C419&gt;0,1,0)</f>
        <v>1</v>
      </c>
      <c r="H419" s="9">
        <f>ABS(Prices!C419-Prices!C418)/Prices!C418</f>
        <v>6.583694083693992E-3</v>
      </c>
      <c r="I419" s="13"/>
      <c r="J419" s="1">
        <f t="shared" ca="1" si="44"/>
        <v>-7.4992863479884605E-4</v>
      </c>
      <c r="K419" s="9"/>
      <c r="L419" s="9">
        <f ca="1">L418-O419*Prices!C419</f>
        <v>1.2983631522483807</v>
      </c>
      <c r="M419" s="1">
        <f t="shared" ca="1" si="45"/>
        <v>8.1587356595241786E-3</v>
      </c>
      <c r="N419" s="9">
        <f ca="1">IF(Prices!D418&gt;OFFSET(Prices!D418,-$N$3,0),1,-1)</f>
        <v>-1</v>
      </c>
      <c r="O419" s="1">
        <f ca="1">IF(N419=1,O$3*L418/Prices!C418,-O$3*M418)</f>
        <v>-9.0652618439157531E-4</v>
      </c>
      <c r="P419" s="14"/>
      <c r="Q419" s="9">
        <f ca="1">Q418-T419*Prices!C419</f>
        <v>0.85092759485445202</v>
      </c>
      <c r="R419" s="1">
        <f t="shared" ca="1" si="46"/>
        <v>1.156017302294333E-2</v>
      </c>
      <c r="S419" s="9">
        <f ca="1">IF(Prices!C418&lt;OFFSET(Prices!C418,-S$3,0),1,-1)</f>
        <v>1</v>
      </c>
      <c r="T419" s="1">
        <f ca="1">IF(S419=1,T$3*Q418/Prices!C418,-T$3*R418)</f>
        <v>1.5659754959272931E-4</v>
      </c>
      <c r="W419" s="1"/>
      <c r="X419" s="1"/>
      <c r="Y419" s="1"/>
      <c r="Z419" s="1"/>
      <c r="AA419" s="1"/>
      <c r="AB419" s="1"/>
      <c r="AC419" s="1"/>
      <c r="AD419" s="1"/>
      <c r="AE419" s="16"/>
    </row>
    <row r="420" spans="1:31" x14ac:dyDescent="0.2">
      <c r="A420" s="4">
        <v>34094</v>
      </c>
      <c r="B420" s="9">
        <f ca="1">Prices!C419*(1+J420/(50*(ABS(O420)+ABS(T420)+0.0001)))</f>
        <v>108.78879881135521</v>
      </c>
      <c r="C420" s="21">
        <f t="shared" ca="1" si="41"/>
        <v>-1</v>
      </c>
      <c r="D420" s="9">
        <f ca="1">D419+C420*(Prices!C420-Prices!C419)/Prices!C419</f>
        <v>0.24042411981634099</v>
      </c>
      <c r="E420" s="9">
        <f t="shared" ca="1" si="42"/>
        <v>4.5392646391281821E-4</v>
      </c>
      <c r="F420" s="9">
        <f t="shared" ca="1" si="43"/>
        <v>0.2408780462802538</v>
      </c>
      <c r="G420" s="13">
        <f ca="1">IF((Prices!C420-Prices!C419)*C420&gt;0,1,0)</f>
        <v>0</v>
      </c>
      <c r="H420" s="9">
        <f>ABS(Prices!C420-Prices!C419)/Prices!C419</f>
        <v>4.5392646391282027E-4</v>
      </c>
      <c r="I420" s="13"/>
      <c r="J420" s="1">
        <f t="shared" ca="1" si="44"/>
        <v>-6.6137014428116014E-4</v>
      </c>
      <c r="K420" s="9"/>
      <c r="L420" s="9">
        <f ca="1">L419-O420*Prices!C420</f>
        <v>1.3882724192163372</v>
      </c>
      <c r="M420" s="1">
        <f t="shared" ca="1" si="45"/>
        <v>7.3428620935717609E-3</v>
      </c>
      <c r="N420" s="9">
        <f ca="1">IF(Prices!D419&gt;OFFSET(Prices!D419,-$N$3,0),1,-1)</f>
        <v>-1</v>
      </c>
      <c r="O420" s="1">
        <f ca="1">IF(N420=1,O$3*L419/Prices!C419,-O$3*M419)</f>
        <v>-8.1587356595241791E-4</v>
      </c>
      <c r="P420" s="14"/>
      <c r="Q420" s="9">
        <f ca="1">Q419-T420*Prices!C420</f>
        <v>0.83390131778627941</v>
      </c>
      <c r="R420" s="1">
        <f t="shared" ca="1" si="46"/>
        <v>1.1714676444614587E-2</v>
      </c>
      <c r="S420" s="9">
        <f ca="1">IF(Prices!C419&lt;OFFSET(Prices!C419,-S$3,0),1,-1)</f>
        <v>1</v>
      </c>
      <c r="T420" s="1">
        <f ca="1">IF(S420=1,T$3*Q419/Prices!C419,-T$3*R419)</f>
        <v>1.5450342167125776E-4</v>
      </c>
      <c r="W420" s="1"/>
      <c r="X420" s="1"/>
      <c r="Y420" s="1"/>
      <c r="Z420" s="1"/>
      <c r="AA420" s="1"/>
      <c r="AB420" s="1"/>
      <c r="AC420" s="1"/>
      <c r="AD420" s="1"/>
      <c r="AE420" s="16"/>
    </row>
    <row r="421" spans="1:31" x14ac:dyDescent="0.2">
      <c r="A421" s="4">
        <v>34095</v>
      </c>
      <c r="B421" s="9">
        <f ca="1">Prices!C420*(1+J421/(50*(ABS(O421)+ABS(T421)+0.0001)))</f>
        <v>108.89646116633612</v>
      </c>
      <c r="C421" s="21">
        <f t="shared" ca="1" si="41"/>
        <v>-1</v>
      </c>
      <c r="D421" s="9">
        <f ca="1">D420+C421*(Prices!C421-Prices!C420)/Prices!C420</f>
        <v>0.24178528134084196</v>
      </c>
      <c r="E421" s="9">
        <f t="shared" ca="1" si="42"/>
        <v>0</v>
      </c>
      <c r="F421" s="9">
        <f t="shared" ca="1" si="43"/>
        <v>0.24178528134084196</v>
      </c>
      <c r="G421" s="13">
        <f ca="1">IF((Prices!C421-Prices!C420)*C421&gt;0,1,0)</f>
        <v>1</v>
      </c>
      <c r="H421" s="9">
        <f>ABS(Prices!C421-Prices!C420)/Prices!C420</f>
        <v>1.361161524500959E-3</v>
      </c>
      <c r="I421" s="13"/>
      <c r="J421" s="1">
        <f t="shared" ca="1" si="44"/>
        <v>-5.8294295749033781E-4</v>
      </c>
      <c r="K421" s="9"/>
      <c r="L421" s="9">
        <f ca="1">L420-O421*Prices!C421</f>
        <v>1.4690806165560943</v>
      </c>
      <c r="M421" s="1">
        <f t="shared" ca="1" si="45"/>
        <v>6.6085758842145846E-3</v>
      </c>
      <c r="N421" s="9">
        <f ca="1">IF(Prices!D420&gt;OFFSET(Prices!D420,-$N$3,0),1,-1)</f>
        <v>-1</v>
      </c>
      <c r="O421" s="1">
        <f ca="1">IF(N421=1,O$3*L420/Prices!C420,-O$3*M420)</f>
        <v>-7.3428620935717614E-4</v>
      </c>
      <c r="P421" s="14"/>
      <c r="Q421" s="9">
        <f ca="1">Q420-T421*Prices!C421</f>
        <v>0.81724599291833389</v>
      </c>
      <c r="R421" s="1">
        <f t="shared" ca="1" si="46"/>
        <v>1.1866019696481425E-2</v>
      </c>
      <c r="S421" s="9">
        <f ca="1">IF(Prices!C420&lt;OFFSET(Prices!C420,-S$3,0),1,-1)</f>
        <v>1</v>
      </c>
      <c r="T421" s="1">
        <f ca="1">IF(S421=1,T$3*Q420/Prices!C420,-T$3*R420)</f>
        <v>1.5134325186683838E-4</v>
      </c>
      <c r="W421" s="1"/>
      <c r="X421" s="1"/>
      <c r="Y421" s="1"/>
      <c r="Z421" s="1"/>
      <c r="AA421" s="1"/>
      <c r="AB421" s="1"/>
      <c r="AC421" s="1"/>
      <c r="AD421" s="1"/>
      <c r="AE421" s="16"/>
    </row>
    <row r="422" spans="1:31" x14ac:dyDescent="0.2">
      <c r="A422" s="4">
        <v>34096</v>
      </c>
      <c r="B422" s="9">
        <f ca="1">Prices!C421*(1+J422/(50*(ABS(O422)+ABS(T422)+0.0001)))</f>
        <v>108.80998060852396</v>
      </c>
      <c r="C422" s="21">
        <f t="shared" ca="1" si="41"/>
        <v>-1</v>
      </c>
      <c r="D422" s="9">
        <f ca="1">D421+C422*(Prices!C422-Prices!C421)/Prices!C421</f>
        <v>0.23860490878291366</v>
      </c>
      <c r="E422" s="9">
        <f t="shared" ca="1" si="42"/>
        <v>3.1803725579283015E-3</v>
      </c>
      <c r="F422" s="9">
        <f t="shared" ca="1" si="43"/>
        <v>0.24178528134084196</v>
      </c>
      <c r="G422" s="13">
        <f ca="1">IF((Prices!C422-Prices!C421)*C422&gt;0,1,0)</f>
        <v>0</v>
      </c>
      <c r="H422" s="9">
        <f>ABS(Prices!C422-Prices!C421)/Prices!C421</f>
        <v>3.180372557928292E-3</v>
      </c>
      <c r="I422" s="13"/>
      <c r="J422" s="1">
        <f t="shared" ca="1" si="44"/>
        <v>-5.1233491819550046E-4</v>
      </c>
      <c r="K422" s="9"/>
      <c r="L422" s="9">
        <f ca="1">L421-O422*Prices!C422</f>
        <v>1.5420392943178234</v>
      </c>
      <c r="M422" s="1">
        <f t="shared" ca="1" si="45"/>
        <v>5.9477182957931264E-3</v>
      </c>
      <c r="N422" s="9">
        <f ca="1">IF(Prices!D421&gt;OFFSET(Prices!D421,-$N$3,0),1,-1)</f>
        <v>-1</v>
      </c>
      <c r="O422" s="1">
        <f ca="1">IF(N422=1,O$3*L421/Prices!C421,-O$3*M421)</f>
        <v>-6.6085758842145852E-4</v>
      </c>
      <c r="P422" s="14"/>
      <c r="Q422" s="9">
        <f ca="1">Q421-T422*Prices!C422</f>
        <v>0.80084909012538807</v>
      </c>
      <c r="R422" s="1">
        <f t="shared" ca="1" si="46"/>
        <v>1.2014542366707383E-2</v>
      </c>
      <c r="S422" s="9">
        <f ca="1">IF(Prices!C421&lt;OFFSET(Prices!C421,-S$3,0),1,-1)</f>
        <v>1</v>
      </c>
      <c r="T422" s="1">
        <f ca="1">IF(S422=1,T$3*Q421/Prices!C421,-T$3*R421)</f>
        <v>1.4852267022595801E-4</v>
      </c>
      <c r="W422" s="1"/>
      <c r="X422" s="1"/>
      <c r="Y422" s="1"/>
      <c r="Z422" s="1"/>
      <c r="AA422" s="1"/>
      <c r="AB422" s="1"/>
      <c r="AC422" s="1"/>
      <c r="AD422" s="1"/>
      <c r="AE422" s="16"/>
    </row>
    <row r="423" spans="1:31" x14ac:dyDescent="0.2">
      <c r="A423" s="4">
        <v>34099</v>
      </c>
      <c r="B423" s="9">
        <f ca="1">Prices!C422*(1+J423/(50*(ABS(O423)+ABS(T423)+0.0001)))</f>
        <v>109.21774984052237</v>
      </c>
      <c r="C423" s="21">
        <f t="shared" ca="1" si="41"/>
        <v>-1</v>
      </c>
      <c r="D423" s="9">
        <f ca="1">D422+C423*(Prices!C423-Prices!C422)/Prices!C422</f>
        <v>0.22565201023218909</v>
      </c>
      <c r="E423" s="9">
        <f t="shared" ca="1" si="42"/>
        <v>1.6133271108652869E-2</v>
      </c>
      <c r="F423" s="9">
        <f t="shared" ca="1" si="43"/>
        <v>0.24178528134084196</v>
      </c>
      <c r="G423" s="13">
        <f ca="1">IF((Prices!C423-Prices!C422)*C423&gt;0,1,0)</f>
        <v>0</v>
      </c>
      <c r="H423" s="9">
        <f>ABS(Prices!C423-Prices!C422)/Prices!C422</f>
        <v>1.2952898550724569E-2</v>
      </c>
      <c r="I423" s="13"/>
      <c r="J423" s="1">
        <f t="shared" ca="1" si="44"/>
        <v>-4.4969047267253955E-4</v>
      </c>
      <c r="K423" s="9"/>
      <c r="L423" s="9">
        <f ca="1">L422-O423*Prices!C423</f>
        <v>1.608552628019678</v>
      </c>
      <c r="M423" s="1">
        <f t="shared" ca="1" si="45"/>
        <v>5.352946466213814E-3</v>
      </c>
      <c r="N423" s="9">
        <f ca="1">IF(Prices!D422&gt;OFFSET(Prices!D422,-$N$3,0),1,-1)</f>
        <v>-1</v>
      </c>
      <c r="O423" s="1">
        <f ca="1">IF(N423=1,O$3*L422/Prices!C422,-O$3*M422)</f>
        <v>-5.947718295793127E-4</v>
      </c>
      <c r="P423" s="14"/>
      <c r="Q423" s="9">
        <f ca="1">Q422-T423*Prices!C423</f>
        <v>0.78462464198250359</v>
      </c>
      <c r="R423" s="1">
        <f t="shared" ca="1" si="46"/>
        <v>1.2159623723614156E-2</v>
      </c>
      <c r="S423" s="9">
        <f ca="1">IF(Prices!C422&lt;OFFSET(Prices!C422,-S$3,0),1,-1)</f>
        <v>1</v>
      </c>
      <c r="T423" s="1">
        <f ca="1">IF(S423=1,T$3*Q422/Prices!C422,-T$3*R422)</f>
        <v>1.4508135690677318E-4</v>
      </c>
      <c r="W423" s="1"/>
      <c r="X423" s="1"/>
      <c r="Y423" s="1"/>
      <c r="Z423" s="1"/>
      <c r="AA423" s="1"/>
      <c r="AB423" s="1"/>
      <c r="AC423" s="1"/>
      <c r="AD423" s="1"/>
      <c r="AE423" s="16"/>
    </row>
    <row r="424" spans="1:31" x14ac:dyDescent="0.2">
      <c r="A424" s="4">
        <v>34100</v>
      </c>
      <c r="B424" s="9">
        <f ca="1">Prices!C423*(1+J424/(50*(ABS(O424)+ABS(T424)+0.0001)))</f>
        <v>109.84799678876288</v>
      </c>
      <c r="C424" s="21">
        <f t="shared" ca="1" si="41"/>
        <v>-1</v>
      </c>
      <c r="D424" s="9">
        <f ca="1">D423+C424*(Prices!C424-Prices!C423)/Prices!C423</f>
        <v>0.22967597517898336</v>
      </c>
      <c r="E424" s="9">
        <f t="shared" ca="1" si="42"/>
        <v>1.2109306161858596E-2</v>
      </c>
      <c r="F424" s="9">
        <f t="shared" ca="1" si="43"/>
        <v>0.24178528134084196</v>
      </c>
      <c r="G424" s="13">
        <f ca="1">IF((Prices!C424-Prices!C423)*C424&gt;0,1,0)</f>
        <v>1</v>
      </c>
      <c r="H424" s="9">
        <f>ABS(Prices!C424-Prices!C423)/Prices!C423</f>
        <v>4.0239649467942668E-3</v>
      </c>
      <c r="I424" s="13"/>
      <c r="J424" s="1">
        <f t="shared" ca="1" si="44"/>
        <v>-7.7848712109366452E-4</v>
      </c>
      <c r="K424" s="9"/>
      <c r="L424" s="9">
        <f ca="1">L423-O424*Prices!C424</f>
        <v>1.6681737457603676</v>
      </c>
      <c r="M424" s="1">
        <f t="shared" ca="1" si="45"/>
        <v>4.817651819592433E-3</v>
      </c>
      <c r="N424" s="9">
        <f ca="1">IF(Prices!D423&gt;OFFSET(Prices!D423,-$N$3,0),1,-1)</f>
        <v>-1</v>
      </c>
      <c r="O424" s="1">
        <f ca="1">IF(N424=1,O$3*L423/Prices!C423,-O$3*M423)</f>
        <v>-5.352946466213814E-4</v>
      </c>
      <c r="P424" s="14"/>
      <c r="Q424" s="9">
        <f ca="1">Q423-T424*Prices!C424</f>
        <v>0.81171141978922645</v>
      </c>
      <c r="R424" s="1">
        <f t="shared" ca="1" si="46"/>
        <v>1.1916431249141874E-2</v>
      </c>
      <c r="S424" s="9">
        <f ca="1">IF(Prices!C423&lt;OFFSET(Prices!C423,-S$3,0),1,-1)</f>
        <v>-1</v>
      </c>
      <c r="T424" s="1">
        <f ca="1">IF(S424=1,T$3*Q423/Prices!C423,-T$3*R423)</f>
        <v>-2.4319247447228312E-4</v>
      </c>
      <c r="W424" s="1"/>
      <c r="X424" s="1"/>
      <c r="Y424" s="1"/>
      <c r="Z424" s="1"/>
      <c r="AA424" s="1"/>
      <c r="AB424" s="1"/>
      <c r="AC424" s="1"/>
      <c r="AD424" s="1"/>
      <c r="AE424" s="16"/>
    </row>
    <row r="425" spans="1:31" x14ac:dyDescent="0.2">
      <c r="A425" s="4">
        <v>34101</v>
      </c>
      <c r="B425" s="9">
        <f ca="1">Prices!C424*(1+J425/(50*(ABS(O425)+ABS(T425)+0.0001)))</f>
        <v>109.42402746275405</v>
      </c>
      <c r="C425" s="21">
        <f t="shared" ca="1" si="41"/>
        <v>-1</v>
      </c>
      <c r="D425" s="9">
        <f ca="1">D424+C425*(Prices!C425-Prices!C424)/Prices!C424</f>
        <v>0.22814966884032289</v>
      </c>
      <c r="E425" s="9">
        <f t="shared" ca="1" si="42"/>
        <v>1.3635612500519062E-2</v>
      </c>
      <c r="F425" s="9">
        <f t="shared" ca="1" si="43"/>
        <v>0.24178528134084196</v>
      </c>
      <c r="G425" s="13">
        <f ca="1">IF((Prices!C425-Prices!C424)*C425&gt;0,1,0)</f>
        <v>0</v>
      </c>
      <c r="H425" s="9">
        <f>ABS(Prices!C425-Prices!C424)/Prices!C424</f>
        <v>1.5263063386604572E-3</v>
      </c>
      <c r="I425" s="13"/>
      <c r="J425" s="1">
        <f t="shared" ca="1" si="44"/>
        <v>-7.2009380694208086E-4</v>
      </c>
      <c r="K425" s="9"/>
      <c r="L425" s="9">
        <f ca="1">L424-O425*Prices!C425</f>
        <v>1.7219146518079211</v>
      </c>
      <c r="M425" s="1">
        <f t="shared" ca="1" si="45"/>
        <v>4.3358866376331899E-3</v>
      </c>
      <c r="N425" s="9">
        <f ca="1">IF(Prices!D424&gt;OFFSET(Prices!D424,-$N$3,0),1,-1)</f>
        <v>-1</v>
      </c>
      <c r="O425" s="1">
        <f ca="1">IF(N425=1,O$3*L424/Prices!C424,-O$3*M424)</f>
        <v>-4.8176518195924335E-4</v>
      </c>
      <c r="P425" s="14"/>
      <c r="Q425" s="9">
        <f ca="1">Q424-T425*Prices!C425</f>
        <v>0.83829697790606195</v>
      </c>
      <c r="R425" s="1">
        <f t="shared" ca="1" si="46"/>
        <v>1.1678102624159036E-2</v>
      </c>
      <c r="S425" s="9">
        <f ca="1">IF(Prices!C424&lt;OFFSET(Prices!C424,-S$3,0),1,-1)</f>
        <v>-1</v>
      </c>
      <c r="T425" s="1">
        <f ca="1">IF(S425=1,T$3*Q424/Prices!C424,-T$3*R424)</f>
        <v>-2.3832862498283748E-4</v>
      </c>
      <c r="W425" s="1"/>
      <c r="X425" s="1"/>
      <c r="Y425" s="1"/>
      <c r="Z425" s="1"/>
      <c r="AA425" s="1"/>
      <c r="AB425" s="1"/>
      <c r="AC425" s="1"/>
      <c r="AD425" s="1"/>
      <c r="AE425" s="16"/>
    </row>
    <row r="426" spans="1:31" x14ac:dyDescent="0.2">
      <c r="A426" s="4">
        <v>34102</v>
      </c>
      <c r="B426" s="9">
        <f ca="1">Prices!C425*(1+J426/(50*(ABS(O426)+ABS(T426)+0.0001)))</f>
        <v>113.10698443301372</v>
      </c>
      <c r="C426" s="21">
        <f t="shared" ca="1" si="41"/>
        <v>1</v>
      </c>
      <c r="D426" s="9">
        <f ca="1">D425+C426*(Prices!C426-Prices!C425)/Prices!C425</f>
        <v>0.23173550478832833</v>
      </c>
      <c r="E426" s="9">
        <f t="shared" ca="1" si="42"/>
        <v>1.0049776552513628E-2</v>
      </c>
      <c r="F426" s="9">
        <f t="shared" ca="1" si="43"/>
        <v>0.24178528134084196</v>
      </c>
      <c r="G426" s="13">
        <f ca="1">IF((Prices!C426-Prices!C425)*C426&gt;0,1,0)</f>
        <v>1</v>
      </c>
      <c r="H426" s="9">
        <f>ABS(Prices!C426-Prices!C425)/Prices!C425</f>
        <v>3.5858359480054297E-3</v>
      </c>
      <c r="I426" s="13"/>
      <c r="J426" s="1">
        <f t="shared" ca="1" si="44"/>
        <v>1.3100638119793217E-3</v>
      </c>
      <c r="K426" s="9"/>
      <c r="L426" s="9">
        <f ca="1">L425-O426*Prices!C426</f>
        <v>1.5491057362813441</v>
      </c>
      <c r="M426" s="1">
        <f t="shared" ca="1" si="45"/>
        <v>5.8795125020956922E-3</v>
      </c>
      <c r="N426" s="9">
        <f ca="1">IF(Prices!D425&gt;OFFSET(Prices!D425,-$N$3,0),1,-1)</f>
        <v>1</v>
      </c>
      <c r="O426" s="1">
        <f ca="1">IF(N426=1,O$3*L425/Prices!C425,-O$3*M425)</f>
        <v>1.5436258644625023E-3</v>
      </c>
      <c r="P426" s="14"/>
      <c r="Q426" s="9">
        <f ca="1">Q425-T426*Prices!C426</f>
        <v>0.86444424968155398</v>
      </c>
      <c r="R426" s="1">
        <f t="shared" ca="1" si="46"/>
        <v>1.1444540571675856E-2</v>
      </c>
      <c r="S426" s="9">
        <f ca="1">IF(Prices!C425&lt;OFFSET(Prices!C425,-S$3,0),1,-1)</f>
        <v>-1</v>
      </c>
      <c r="T426" s="1">
        <f ca="1">IF(S426=1,T$3*Q425/Prices!C425,-T$3*R425)</f>
        <v>-2.3356205248318074E-4</v>
      </c>
      <c r="W426" s="1"/>
      <c r="X426" s="1"/>
      <c r="Y426" s="1"/>
      <c r="Z426" s="1"/>
      <c r="AA426" s="1"/>
      <c r="AB426" s="1"/>
      <c r="AC426" s="1"/>
      <c r="AD426" s="1"/>
      <c r="AE426" s="16"/>
    </row>
    <row r="427" spans="1:31" x14ac:dyDescent="0.2">
      <c r="A427" s="4">
        <v>34103</v>
      </c>
      <c r="B427" s="9">
        <f ca="1">Prices!C426*(1+J427/(50*(ABS(O427)+ABS(T427)+0.0001)))</f>
        <v>113.45979011477245</v>
      </c>
      <c r="C427" s="21">
        <f t="shared" ca="1" si="41"/>
        <v>1</v>
      </c>
      <c r="D427" s="9">
        <f ca="1">D426+C427*(Prices!C427-Prices!C426)/Prices!C426</f>
        <v>0.22083778259091877</v>
      </c>
      <c r="E427" s="9">
        <f t="shared" ca="1" si="42"/>
        <v>2.0947498749923188E-2</v>
      </c>
      <c r="F427" s="9">
        <f t="shared" ca="1" si="43"/>
        <v>0.24178528134084196</v>
      </c>
      <c r="G427" s="13">
        <f ca="1">IF((Prices!C427-Prices!C426)*C427&gt;0,1,0)</f>
        <v>0</v>
      </c>
      <c r="H427" s="9">
        <f>ABS(Prices!C427-Prices!C426)/Prices!C426</f>
        <v>1.0897722197409547E-2</v>
      </c>
      <c r="I427" s="13"/>
      <c r="J427" s="1">
        <f t="shared" ca="1" si="44"/>
        <v>1.1548570548294075E-3</v>
      </c>
      <c r="K427" s="9"/>
      <c r="L427" s="9">
        <f ca="1">L426-O427*Prices!C427</f>
        <v>1.3958833350500504</v>
      </c>
      <c r="M427" s="1">
        <f t="shared" ca="1" si="45"/>
        <v>7.2632603683586167E-3</v>
      </c>
      <c r="N427" s="9">
        <f ca="1">IF(Prices!D426&gt;OFFSET(Prices!D426,-$N$3,0),1,-1)</f>
        <v>1</v>
      </c>
      <c r="O427" s="1">
        <f ca="1">IF(N427=1,O$3*L426/Prices!C426,-O$3*M426)</f>
        <v>1.3837478662629247E-3</v>
      </c>
      <c r="P427" s="14"/>
      <c r="Q427" s="9">
        <f ca="1">Q426-T427*Prices!C427</f>
        <v>0.88978932923158738</v>
      </c>
      <c r="R427" s="1">
        <f t="shared" ca="1" si="46"/>
        <v>1.1215649760242339E-2</v>
      </c>
      <c r="S427" s="9">
        <f ca="1">IF(Prices!C426&lt;OFFSET(Prices!C426,-S$3,0),1,-1)</f>
        <v>-1</v>
      </c>
      <c r="T427" s="1">
        <f ca="1">IF(S427=1,T$3*Q426/Prices!C426,-T$3*R426)</f>
        <v>-2.2889081143351712E-4</v>
      </c>
      <c r="W427" s="1"/>
      <c r="X427" s="1"/>
      <c r="Y427" s="1"/>
      <c r="Z427" s="1"/>
      <c r="AA427" s="1"/>
      <c r="AB427" s="1"/>
      <c r="AC427" s="1"/>
      <c r="AD427" s="1"/>
      <c r="AE427" s="16"/>
    </row>
    <row r="428" spans="1:31" x14ac:dyDescent="0.2">
      <c r="A428" s="4">
        <v>34106</v>
      </c>
      <c r="B428" s="9">
        <f ca="1">Prices!C427*(1+J428/(50*(ABS(O428)+ABS(T428)+0.0001)))</f>
        <v>112.79903022065824</v>
      </c>
      <c r="C428" s="21">
        <f t="shared" ca="1" si="41"/>
        <v>1</v>
      </c>
      <c r="D428" s="9">
        <f ca="1">D427+C428*(Prices!C428-Prices!C427)/Prices!C427</f>
        <v>0.22634667810252357</v>
      </c>
      <c r="E428" s="9">
        <f t="shared" ca="1" si="42"/>
        <v>1.5438603238318388E-2</v>
      </c>
      <c r="F428" s="9">
        <f t="shared" ca="1" si="43"/>
        <v>0.24178528134084196</v>
      </c>
      <c r="G428" s="13">
        <f ca="1">IF((Prices!C428-Prices!C427)*C428&gt;0,1,0)</f>
        <v>1</v>
      </c>
      <c r="H428" s="9">
        <f>ABS(Prices!C428-Prices!C427)/Prices!C427</f>
        <v>5.5088955116047991E-3</v>
      </c>
      <c r="I428" s="13"/>
      <c r="J428" s="1">
        <f t="shared" ca="1" si="44"/>
        <v>1.4213322504256912E-3</v>
      </c>
      <c r="K428" s="9"/>
      <c r="L428" s="9">
        <f ca="1">L427-O428*Prices!C428</f>
        <v>1.2555260240011272</v>
      </c>
      <c r="M428" s="1">
        <f t="shared" ca="1" si="45"/>
        <v>8.523879292814545E-3</v>
      </c>
      <c r="N428" s="9">
        <f ca="1">IF(Prices!D427&gt;OFFSET(Prices!D427,-$N$3,0),1,-1)</f>
        <v>1</v>
      </c>
      <c r="O428" s="1">
        <f ca="1">IF(N428=1,O$3*L427/Prices!C427,-O$3*M427)</f>
        <v>1.2606189244559292E-3</v>
      </c>
      <c r="P428" s="14"/>
      <c r="Q428" s="9">
        <f ca="1">Q427-T428*Prices!C428</f>
        <v>0.87189550751811407</v>
      </c>
      <c r="R428" s="1">
        <f t="shared" ca="1" si="46"/>
        <v>1.13763630862121E-2</v>
      </c>
      <c r="S428" s="9">
        <f ca="1">IF(Prices!C427&lt;OFFSET(Prices!C427,-S$3,0),1,-1)</f>
        <v>1</v>
      </c>
      <c r="T428" s="1">
        <f ca="1">IF(S428=1,T$3*Q427/Prices!C427,-T$3*R427)</f>
        <v>1.60713325969762E-4</v>
      </c>
      <c r="W428" s="9"/>
      <c r="X428" s="1"/>
      <c r="Y428" s="9"/>
      <c r="Z428" s="1"/>
      <c r="AA428" s="17"/>
      <c r="AB428" s="16"/>
      <c r="AC428" s="16"/>
      <c r="AD428" s="16"/>
      <c r="AE428" s="16"/>
    </row>
    <row r="429" spans="1:31" x14ac:dyDescent="0.2">
      <c r="A429" s="4">
        <v>34107</v>
      </c>
      <c r="B429" s="9">
        <f ca="1">Prices!C428*(1+J429/(50*(ABS(O429)+ABS(T429)+0.0001)))</f>
        <v>113.40593531475483</v>
      </c>
      <c r="C429" s="21">
        <f t="shared" ca="1" si="41"/>
        <v>1</v>
      </c>
      <c r="D429" s="9">
        <f ca="1">D428+C429*(Prices!C429-Prices!C428)/Prices!C428</f>
        <v>0.22742445787618973</v>
      </c>
      <c r="E429" s="9">
        <f t="shared" ca="1" si="42"/>
        <v>1.4360823464652228E-2</v>
      </c>
      <c r="F429" s="9">
        <f t="shared" ca="1" si="43"/>
        <v>0.24178528134084196</v>
      </c>
      <c r="G429" s="13">
        <f ca="1">IF((Prices!C429-Prices!C428)*C429&gt;0,1,0)</f>
        <v>1</v>
      </c>
      <c r="H429" s="9">
        <f>ABS(Prices!C429-Prices!C428)/Prices!C428</f>
        <v>1.0777797736661607E-3</v>
      </c>
      <c r="I429" s="13"/>
      <c r="J429" s="1">
        <f t="shared" ca="1" si="44"/>
        <v>1.2842690187755974E-3</v>
      </c>
      <c r="K429" s="9"/>
      <c r="L429" s="9">
        <f ca="1">L428-O429*Prices!C429</f>
        <v>1.1298381035456164</v>
      </c>
      <c r="M429" s="1">
        <f t="shared" ca="1" si="45"/>
        <v>9.651529754464561E-3</v>
      </c>
      <c r="N429" s="9">
        <f ca="1">IF(Prices!D428&gt;OFFSET(Prices!D428,-$N$3,0),1,-1)</f>
        <v>1</v>
      </c>
      <c r="O429" s="1">
        <f ca="1">IF(N429=1,O$3*L428/Prices!C428,-O$3*M428)</f>
        <v>1.1276504616500155E-3</v>
      </c>
      <c r="P429" s="14"/>
      <c r="Q429" s="9">
        <f ca="1">Q428-T429*Prices!C429</f>
        <v>0.85443880314089671</v>
      </c>
      <c r="R429" s="1">
        <f t="shared" ca="1" si="46"/>
        <v>1.1532981643337683E-2</v>
      </c>
      <c r="S429" s="9">
        <f ca="1">IF(Prices!C428&lt;OFFSET(Prices!C428,-S$3,0),1,-1)</f>
        <v>1</v>
      </c>
      <c r="T429" s="1">
        <f ca="1">IF(S429=1,T$3*Q428/Prices!C428,-T$3*R428)</f>
        <v>1.5661855712558183E-4</v>
      </c>
      <c r="W429" s="9"/>
      <c r="X429" s="1"/>
      <c r="Y429" s="9"/>
      <c r="Z429" s="1"/>
      <c r="AA429" s="1"/>
      <c r="AB429" s="1"/>
      <c r="AC429" s="1"/>
    </row>
    <row r="430" spans="1:31" x14ac:dyDescent="0.2">
      <c r="A430" s="4">
        <v>34108</v>
      </c>
      <c r="B430" s="9">
        <f ca="1">Prices!C429*(1+J430/(50*(ABS(O430)+ABS(T430)+0.0001)))</f>
        <v>113.51325529023944</v>
      </c>
      <c r="C430" s="21">
        <f t="shared" ca="1" si="41"/>
        <v>1</v>
      </c>
      <c r="D430" s="9">
        <f ca="1">D429+C430*(Prices!C430-Prices!C429)/Prices!C429</f>
        <v>0.22150305109348745</v>
      </c>
      <c r="E430" s="9">
        <f t="shared" ca="1" si="42"/>
        <v>2.028223024735451E-2</v>
      </c>
      <c r="F430" s="9">
        <f t="shared" ca="1" si="43"/>
        <v>0.24178528134084196</v>
      </c>
      <c r="G430" s="13">
        <f ca="1">IF((Prices!C430-Prices!C429)*C430&gt;0,1,0)</f>
        <v>0</v>
      </c>
      <c r="H430" s="9">
        <f>ABS(Prices!C430-Prices!C429)/Prices!C429</f>
        <v>5.9214067827022846E-3</v>
      </c>
      <c r="I430" s="13"/>
      <c r="J430" s="1">
        <f t="shared" ca="1" si="44"/>
        <v>1.16698893250834E-3</v>
      </c>
      <c r="K430" s="9"/>
      <c r="L430" s="9">
        <f ca="1">L429-O430*Prices!C430</f>
        <v>1.0175233162920239</v>
      </c>
      <c r="M430" s="1">
        <f t="shared" ca="1" si="45"/>
        <v>1.0665201119569187E-2</v>
      </c>
      <c r="N430" s="9">
        <f ca="1">IF(Prices!D429&gt;OFFSET(Prices!D429,-$N$3,0),1,-1)</f>
        <v>1</v>
      </c>
      <c r="O430" s="1">
        <f ca="1">IF(N430=1,O$3*L429/Prices!C429,-O$3*M429)</f>
        <v>1.0136713651046263E-3</v>
      </c>
      <c r="P430" s="14"/>
      <c r="Q430" s="9">
        <f ca="1">Q429-T430*Prices!C430</f>
        <v>0.83745121667256517</v>
      </c>
      <c r="R430" s="1">
        <f t="shared" ca="1" si="46"/>
        <v>1.1686299210741397E-2</v>
      </c>
      <c r="S430" s="9">
        <f ca="1">IF(Prices!C429&lt;OFFSET(Prices!C429,-S$3,0),1,-1)</f>
        <v>1</v>
      </c>
      <c r="T430" s="1">
        <f ca="1">IF(S430=1,T$3*Q429/Prices!C429,-T$3*R429)</f>
        <v>1.5331756740371376E-4</v>
      </c>
    </row>
    <row r="431" spans="1:31" x14ac:dyDescent="0.2">
      <c r="A431" s="4">
        <v>34109</v>
      </c>
      <c r="B431" s="9">
        <f ca="1">Prices!C430*(1+J431/(50*(ABS(O431)+ABS(T431)+0.0001)))</f>
        <v>112.82651842051202</v>
      </c>
      <c r="C431" s="21">
        <f t="shared" ca="1" si="41"/>
        <v>1</v>
      </c>
      <c r="D431" s="9">
        <f ca="1">D430+C431*(Prices!C431-Prices!C430)/Prices!C430</f>
        <v>0.22105178755558133</v>
      </c>
      <c r="E431" s="9">
        <f t="shared" ca="1" si="42"/>
        <v>2.0733493785260626E-2</v>
      </c>
      <c r="F431" s="9">
        <f t="shared" ca="1" si="43"/>
        <v>0.24178528134084196</v>
      </c>
      <c r="G431" s="13">
        <f ca="1">IF((Prices!C431-Prices!C430)*C431&gt;0,1,0)</f>
        <v>0</v>
      </c>
      <c r="H431" s="9">
        <f>ABS(Prices!C431-Prices!C430)/Prices!C430</f>
        <v>4.5126353790611156E-4</v>
      </c>
      <c r="I431" s="13"/>
      <c r="J431" s="1">
        <f t="shared" ca="1" si="44"/>
        <v>1.0695068227676327E-3</v>
      </c>
      <c r="K431" s="9"/>
      <c r="L431" s="9">
        <f ca="1">L430-O431*Prices!C431</f>
        <v>0.91581690177998265</v>
      </c>
      <c r="M431" s="1">
        <f t="shared" ca="1" si="45"/>
        <v>1.1583543462793035E-2</v>
      </c>
      <c r="N431" s="9">
        <f ca="1">IF(Prices!D430&gt;OFFSET(Prices!D430,-$N$3,0),1,-1)</f>
        <v>1</v>
      </c>
      <c r="O431" s="1">
        <f ca="1">IF(N431=1,O$3*L430/Prices!C430,-O$3*M430)</f>
        <v>9.1834234322384827E-4</v>
      </c>
      <c r="P431" s="14"/>
      <c r="Q431" s="9">
        <f ca="1">Q430-T431*Prices!C431</f>
        <v>0.82070975056309103</v>
      </c>
      <c r="R431" s="1">
        <f t="shared" ca="1" si="46"/>
        <v>1.1837463690285181E-2</v>
      </c>
      <c r="S431" s="9">
        <f ca="1">IF(Prices!C430&lt;OFFSET(Prices!C430,-S$3,0),1,-1)</f>
        <v>1</v>
      </c>
      <c r="T431" s="1">
        <f ca="1">IF(S431=1,T$3*Q430/Prices!C430,-T$3*R430)</f>
        <v>1.5116447954378431E-4</v>
      </c>
    </row>
    <row r="432" spans="1:31" x14ac:dyDescent="0.2">
      <c r="A432" s="4">
        <v>34110</v>
      </c>
      <c r="B432" s="9">
        <f ca="1">Prices!C431*(1+J432/(50*(ABS(O432)+ABS(T432)+0.0001)))</f>
        <v>108.68315026666005</v>
      </c>
      <c r="C432" s="21">
        <f t="shared" ca="1" si="41"/>
        <v>-1</v>
      </c>
      <c r="D432" s="9">
        <f ca="1">D431+C432*(Prices!C432-Prices!C431)/Prices!C431</f>
        <v>0.22330912389869645</v>
      </c>
      <c r="E432" s="9">
        <f t="shared" ca="1" si="42"/>
        <v>1.8476157442145508E-2</v>
      </c>
      <c r="F432" s="9">
        <f t="shared" ca="1" si="43"/>
        <v>0.24178528134084196</v>
      </c>
      <c r="G432" s="13">
        <f ca="1">IF((Prices!C432-Prices!C431)*C432&gt;0,1,0)</f>
        <v>1</v>
      </c>
      <c r="H432" s="9">
        <f>ABS(Prices!C432-Prices!C431)/Prices!C431</f>
        <v>2.257336343115124E-3</v>
      </c>
      <c r="I432" s="13"/>
      <c r="J432" s="1">
        <f t="shared" ca="1" si="44"/>
        <v>-1.3951036200850072E-3</v>
      </c>
      <c r="K432" s="9"/>
      <c r="L432" s="9">
        <f ca="1">L431-O432*Prices!C432</f>
        <v>1.0438150570438456</v>
      </c>
      <c r="M432" s="1">
        <f t="shared" ca="1" si="45"/>
        <v>1.0425189116513731E-2</v>
      </c>
      <c r="N432" s="9">
        <f ca="1">IF(Prices!D431&gt;OFFSET(Prices!D431,-$N$3,0),1,-1)</f>
        <v>-1</v>
      </c>
      <c r="O432" s="1">
        <f ca="1">IF(N432=1,O$3*L431/Prices!C431,-O$3*M431)</f>
        <v>-1.1583543462793035E-3</v>
      </c>
      <c r="P432" s="14"/>
      <c r="Q432" s="9">
        <f ca="1">Q431-T432*Prices!C432</f>
        <v>0.84687054531862127</v>
      </c>
      <c r="R432" s="1">
        <f t="shared" ca="1" si="46"/>
        <v>1.1600714416479477E-2</v>
      </c>
      <c r="S432" s="9">
        <f ca="1">IF(Prices!C431&lt;OFFSET(Prices!C431,-S$3,0),1,-1)</f>
        <v>-1</v>
      </c>
      <c r="T432" s="1">
        <f ca="1">IF(S432=1,T$3*Q431/Prices!C431,-T$3*R431)</f>
        <v>-2.3674927380570363E-4</v>
      </c>
      <c r="Y432" s="9"/>
      <c r="Z432" s="9"/>
    </row>
    <row r="433" spans="1:20" x14ac:dyDescent="0.2">
      <c r="A433" s="4">
        <v>34113</v>
      </c>
      <c r="B433" s="9">
        <f ca="1">Prices!C432*(1+J433/(50*(ABS(O433)+ABS(T433)+0.0001)))</f>
        <v>112.52551182388376</v>
      </c>
      <c r="C433" s="21">
        <f t="shared" ca="1" si="41"/>
        <v>1</v>
      </c>
      <c r="D433" s="9">
        <f ca="1">D432+C433*(Prices!C433-Prices!C432)/Prices!C432</f>
        <v>0.22466658996204492</v>
      </c>
      <c r="E433" s="9">
        <f t="shared" ca="1" si="42"/>
        <v>1.7118691378797041E-2</v>
      </c>
      <c r="F433" s="9">
        <f t="shared" ca="1" si="43"/>
        <v>0.24178528134084196</v>
      </c>
      <c r="G433" s="13">
        <f ca="1">IF((Prices!C433-Prices!C432)*C433&gt;0,1,0)</f>
        <v>1</v>
      </c>
      <c r="H433" s="9">
        <f>ABS(Prices!C433-Prices!C432)/Prices!C432</f>
        <v>1.3574660633484676E-3</v>
      </c>
      <c r="I433" s="13"/>
      <c r="J433" s="1">
        <f t="shared" ca="1" si="44"/>
        <v>1.0979087476086606E-3</v>
      </c>
      <c r="K433" s="9"/>
      <c r="L433" s="9">
        <f ca="1">L432-O433*Prices!C433</f>
        <v>0.93929185698782613</v>
      </c>
      <c r="M433" s="1">
        <f t="shared" ca="1" si="45"/>
        <v>1.1369818127413138E-2</v>
      </c>
      <c r="N433" s="9">
        <f ca="1">IF(Prices!D432&gt;OFFSET(Prices!D432,-$N$3,0),1,-1)</f>
        <v>1</v>
      </c>
      <c r="O433" s="1">
        <f ca="1">IF(N433=1,O$3*L432/Prices!C432,-O$3*M432)</f>
        <v>9.4462901089940779E-4</v>
      </c>
      <c r="P433" s="14"/>
      <c r="Q433" s="9">
        <f ca="1">Q432-T433*Prices!C433</f>
        <v>0.82991014245174244</v>
      </c>
      <c r="R433" s="1">
        <f t="shared" ca="1" si="46"/>
        <v>1.1753994153188729E-2</v>
      </c>
      <c r="S433" s="9">
        <f ca="1">IF(Prices!C432&lt;OFFSET(Prices!C432,-S$3,0),1,-1)</f>
        <v>1</v>
      </c>
      <c r="T433" s="1">
        <f ca="1">IF(S433=1,T$3*Q432/Prices!C432,-T$3*R432)</f>
        <v>1.5327973670925272E-4</v>
      </c>
    </row>
    <row r="434" spans="1:20" x14ac:dyDescent="0.2">
      <c r="A434" s="4">
        <v>34114</v>
      </c>
      <c r="B434" s="9">
        <f ca="1">Prices!C433*(1+J434/(50*(ABS(O434)+ABS(T434)+0.0001)))</f>
        <v>112.66161531389878</v>
      </c>
      <c r="C434" s="21">
        <f t="shared" ca="1" si="41"/>
        <v>1</v>
      </c>
      <c r="D434" s="9">
        <f ca="1">D433+C434*(Prices!C434-Prices!C433)/Prices!C433</f>
        <v>0.21291783261907146</v>
      </c>
      <c r="E434" s="9">
        <f t="shared" ca="1" si="42"/>
        <v>2.8867448721770494E-2</v>
      </c>
      <c r="F434" s="9">
        <f t="shared" ca="1" si="43"/>
        <v>0.24178528134084196</v>
      </c>
      <c r="G434" s="13">
        <f ca="1">IF((Prices!C434-Prices!C433)*C434&gt;0,1,0)</f>
        <v>0</v>
      </c>
      <c r="H434" s="9">
        <f>ABS(Prices!C434-Prices!C433)/Prices!C433</f>
        <v>1.1748757342973442E-2</v>
      </c>
      <c r="I434" s="13"/>
      <c r="J434" s="1">
        <f t="shared" ca="1" si="44"/>
        <v>9.988918983083368E-4</v>
      </c>
      <c r="K434" s="9"/>
      <c r="L434" s="9">
        <f ca="1">L433-O434*Prices!C434</f>
        <v>0.84646622249924164</v>
      </c>
      <c r="M434" s="1">
        <f t="shared" ca="1" si="45"/>
        <v>1.2218703673719352E-2</v>
      </c>
      <c r="N434" s="9">
        <f ca="1">IF(Prices!D433&gt;OFFSET(Prices!D433,-$N$3,0),1,-1)</f>
        <v>1</v>
      </c>
      <c r="O434" s="1">
        <f ca="1">IF(N434=1,O$3*L433/Prices!C433,-O$3*M433)</f>
        <v>8.4888554630621431E-4</v>
      </c>
      <c r="P434" s="14"/>
      <c r="Q434" s="9">
        <f ca="1">Q433-T434*Prices!C434</f>
        <v>0.8135069478603103</v>
      </c>
      <c r="R434" s="1">
        <f t="shared" ca="1" si="46"/>
        <v>1.1904000505190852E-2</v>
      </c>
      <c r="S434" s="9">
        <f ca="1">IF(Prices!C433&lt;OFFSET(Prices!C433,-S$3,0),1,-1)</f>
        <v>1</v>
      </c>
      <c r="T434" s="1">
        <f ca="1">IF(S434=1,T$3*Q433/Prices!C433,-T$3*R433)</f>
        <v>1.5000635200212244E-4</v>
      </c>
    </row>
    <row r="435" spans="1:20" x14ac:dyDescent="0.2">
      <c r="A435" s="4">
        <v>34115</v>
      </c>
      <c r="B435" s="9">
        <f ca="1">Prices!C434*(1+J435/(50*(ABS(O435)+ABS(T435)+0.0001)))</f>
        <v>111.3231916098423</v>
      </c>
      <c r="C435" s="21">
        <f t="shared" ca="1" si="41"/>
        <v>1</v>
      </c>
      <c r="D435" s="9">
        <f ca="1">D434+C435*(Prices!C435-Prices!C434)/Prices!C434</f>
        <v>0.20514462731500202</v>
      </c>
      <c r="E435" s="9">
        <f t="shared" ca="1" si="42"/>
        <v>3.6640654025839936E-2</v>
      </c>
      <c r="F435" s="9">
        <f t="shared" ca="1" si="43"/>
        <v>0.24178528134084196</v>
      </c>
      <c r="G435" s="13">
        <f ca="1">IF((Prices!C435-Prices!C434)*C435&gt;0,1,0)</f>
        <v>0</v>
      </c>
      <c r="H435" s="9">
        <f>ABS(Prices!C435-Prices!C434)/Prices!C434</f>
        <v>7.7732053040694502E-3</v>
      </c>
      <c r="I435" s="13"/>
      <c r="J435" s="1">
        <f t="shared" ca="1" si="44"/>
        <v>9.2287847468797786E-4</v>
      </c>
      <c r="K435" s="9"/>
      <c r="L435" s="9">
        <f ca="1">L434-O435*Prices!C435</f>
        <v>0.76247757582236209</v>
      </c>
      <c r="M435" s="1">
        <f t="shared" ca="1" si="45"/>
        <v>1.299279258318368E-2</v>
      </c>
      <c r="N435" s="9">
        <f ca="1">IF(Prices!D434&gt;OFFSET(Prices!D434,-$N$3,0),1,-1)</f>
        <v>1</v>
      </c>
      <c r="O435" s="1">
        <f ca="1">IF(N435=1,O$3*L434/Prices!C434,-O$3*M434)</f>
        <v>7.7408890946432712E-4</v>
      </c>
      <c r="P435" s="14"/>
      <c r="Q435" s="9">
        <f ca="1">Q434-T435*Prices!C435</f>
        <v>0.79736328003354418</v>
      </c>
      <c r="R435" s="1">
        <f t="shared" ca="1" si="46"/>
        <v>1.2052790070414503E-2</v>
      </c>
      <c r="S435" s="9">
        <f ca="1">IF(Prices!C434&lt;OFFSET(Prices!C434,-S$3,0),1,-1)</f>
        <v>1</v>
      </c>
      <c r="T435" s="1">
        <f ca="1">IF(S435=1,T$3*Q434/Prices!C434,-T$3*R434)</f>
        <v>1.4878956522365074E-4</v>
      </c>
    </row>
    <row r="436" spans="1:20" x14ac:dyDescent="0.2">
      <c r="A436" s="4">
        <v>34116</v>
      </c>
      <c r="B436" s="9">
        <f ca="1">Prices!C435*(1+J436/(50*(ABS(O436)+ABS(T436)+0.0001)))</f>
        <v>106.88287685269049</v>
      </c>
      <c r="C436" s="21">
        <f t="shared" ca="1" si="41"/>
        <v>-1</v>
      </c>
      <c r="D436" s="9">
        <f ca="1">D435+C436*(Prices!C436-Prices!C435)/Prices!C435</f>
        <v>0.21555937385878077</v>
      </c>
      <c r="E436" s="9">
        <f t="shared" ca="1" si="42"/>
        <v>2.6225907482061189E-2</v>
      </c>
      <c r="F436" s="9">
        <f t="shared" ca="1" si="43"/>
        <v>0.24178528134084196</v>
      </c>
      <c r="G436" s="13">
        <f ca="1">IF((Prices!C436-Prices!C435)*C436&gt;0,1,0)</f>
        <v>1</v>
      </c>
      <c r="H436" s="9">
        <f>ABS(Prices!C436-Prices!C435)/Prices!C435</f>
        <v>1.0414746543778761E-2</v>
      </c>
      <c r="I436" s="13"/>
      <c r="J436" s="1">
        <f t="shared" ca="1" si="44"/>
        <v>-1.1522998518605717E-3</v>
      </c>
      <c r="K436" s="9"/>
      <c r="L436" s="9">
        <f ca="1">L435-O436*Prices!C436</f>
        <v>0.90198118978800523</v>
      </c>
      <c r="M436" s="1">
        <f t="shared" ca="1" si="45"/>
        <v>1.1693513324865311E-2</v>
      </c>
      <c r="N436" s="9">
        <f ca="1">IF(Prices!D435&gt;OFFSET(Prices!D435,-$N$3,0),1,-1)</f>
        <v>-1</v>
      </c>
      <c r="O436" s="1">
        <f ca="1">IF(N436=1,O$3*L435/Prices!C435,-O$3*M435)</f>
        <v>-1.299279258318368E-3</v>
      </c>
      <c r="P436" s="14"/>
      <c r="Q436" s="9">
        <f ca="1">Q435-T436*Prices!C436</f>
        <v>0.78158210116217064</v>
      </c>
      <c r="R436" s="1">
        <f t="shared" ca="1" si="46"/>
        <v>1.21997694768723E-2</v>
      </c>
      <c r="S436" s="9">
        <f ca="1">IF(Prices!C435&lt;OFFSET(Prices!C435,-S$3,0),1,-1)</f>
        <v>1</v>
      </c>
      <c r="T436" s="1">
        <f ca="1">IF(S436=1,T$3*Q435/Prices!C435,-T$3*R435)</f>
        <v>1.4697940645779615E-4</v>
      </c>
    </row>
    <row r="437" spans="1:20" x14ac:dyDescent="0.2">
      <c r="A437" s="4">
        <v>34117</v>
      </c>
      <c r="B437" s="9">
        <f ca="1">Prices!C436*(1+J437/(50*(ABS(O437)+ABS(T437)+0.0001)))</f>
        <v>105.81626959715354</v>
      </c>
      <c r="C437" s="21">
        <f t="shared" ca="1" si="41"/>
        <v>-1</v>
      </c>
      <c r="D437" s="9">
        <f ca="1">D436+C437*(Prices!C437-Prices!C436)/Prices!C436</f>
        <v>0.21947108103955754</v>
      </c>
      <c r="E437" s="9">
        <f t="shared" ca="1" si="42"/>
        <v>2.231420030128442E-2</v>
      </c>
      <c r="F437" s="9">
        <f t="shared" ca="1" si="43"/>
        <v>0.24178528134084196</v>
      </c>
      <c r="G437" s="13">
        <f ca="1">IF((Prices!C437-Prices!C436)*C437&gt;0,1,0)</f>
        <v>1</v>
      </c>
      <c r="H437" s="9">
        <f>ABS(Prices!C437-Prices!C436)/Prices!C436</f>
        <v>3.9117071807767689E-3</v>
      </c>
      <c r="I437" s="13"/>
      <c r="J437" s="1">
        <f t="shared" ca="1" si="44"/>
        <v>-1.0237646507016431E-3</v>
      </c>
      <c r="K437" s="9"/>
      <c r="L437" s="9">
        <f ca="1">L436-O437*Prices!C437</f>
        <v>1.0270433147974398</v>
      </c>
      <c r="M437" s="1">
        <f t="shared" ca="1" si="45"/>
        <v>1.052416199237878E-2</v>
      </c>
      <c r="N437" s="9">
        <f ca="1">IF(Prices!D436&gt;OFFSET(Prices!D436,-$N$3,0),1,-1)</f>
        <v>-1</v>
      </c>
      <c r="O437" s="1">
        <f ca="1">IF(N437=1,O$3*L436/Prices!C436,-O$3*M436)</f>
        <v>-1.169351332486531E-3</v>
      </c>
      <c r="P437" s="14"/>
      <c r="Q437" s="9">
        <f ca="1">Q436-T437*Prices!C437</f>
        <v>0.76601160554527692</v>
      </c>
      <c r="R437" s="1">
        <f t="shared" ca="1" si="46"/>
        <v>1.2345356158657188E-2</v>
      </c>
      <c r="S437" s="9">
        <f ca="1">IF(Prices!C436&lt;OFFSET(Prices!C436,-S$3,0),1,-1)</f>
        <v>1</v>
      </c>
      <c r="T437" s="1">
        <f ca="1">IF(S437=1,T$3*Q436/Prices!C436,-T$3*R436)</f>
        <v>1.4558668178488786E-4</v>
      </c>
    </row>
    <row r="438" spans="1:20" x14ac:dyDescent="0.2">
      <c r="A438" s="4">
        <v>34120</v>
      </c>
      <c r="B438" s="9">
        <f ca="1">Prices!C437*(1+J438/(50*(ABS(O438)+ABS(T438)+0.0001)))</f>
        <v>108.91127561714897</v>
      </c>
      <c r="C438" s="21">
        <f t="shared" ca="1" si="41"/>
        <v>1</v>
      </c>
      <c r="D438" s="9">
        <f ca="1">D437+C438*(Prices!C438-Prices!C437)/Prices!C437</f>
        <v>0.22068660231117976</v>
      </c>
      <c r="E438" s="9">
        <f t="shared" ca="1" si="42"/>
        <v>2.1098679029662198E-2</v>
      </c>
      <c r="F438" s="9">
        <f t="shared" ca="1" si="43"/>
        <v>0.24178528134084196</v>
      </c>
      <c r="G438" s="13">
        <f ca="1">IF((Prices!C438-Prices!C437)*C438&gt;0,1,0)</f>
        <v>1</v>
      </c>
      <c r="H438" s="9">
        <f>ABS(Prices!C438-Prices!C437)/Prices!C437</f>
        <v>1.2155212716222108E-3</v>
      </c>
      <c r="I438" s="13"/>
      <c r="J438" s="1">
        <f t="shared" ca="1" si="44"/>
        <v>1.1035489816797524E-3</v>
      </c>
      <c r="K438" s="9"/>
      <c r="L438" s="9">
        <f ca="1">L437-O438*Prices!C438</f>
        <v>0.92421414401809443</v>
      </c>
      <c r="M438" s="1">
        <f t="shared" ca="1" si="45"/>
        <v>1.1484464297004717E-2</v>
      </c>
      <c r="N438" s="9">
        <f ca="1">IF(Prices!D437&gt;OFFSET(Prices!D437,-$N$3,0),1,-1)</f>
        <v>1</v>
      </c>
      <c r="O438" s="1">
        <f ca="1">IF(N438=1,O$3*L437/Prices!C437,-O$3*M437)</f>
        <v>9.6030230462593722E-4</v>
      </c>
      <c r="P438" s="14"/>
      <c r="Q438" s="9">
        <f ca="1">Q437-T438*Prices!C438</f>
        <v>0.75067275136635436</v>
      </c>
      <c r="R438" s="1">
        <f t="shared" ca="1" si="46"/>
        <v>1.2488602835711004E-2</v>
      </c>
      <c r="S438" s="9">
        <f ca="1">IF(Prices!C437&lt;OFFSET(Prices!C437,-S$3,0),1,-1)</f>
        <v>1</v>
      </c>
      <c r="T438" s="1">
        <f ca="1">IF(S438=1,T$3*Q437/Prices!C437,-T$3*R437)</f>
        <v>1.4324667705381522E-4</v>
      </c>
    </row>
    <row r="439" spans="1:20" x14ac:dyDescent="0.2">
      <c r="A439" s="18">
        <v>34121</v>
      </c>
      <c r="B439" s="9">
        <f ca="1">Prices!C438*(1+J439/(50*(ABS(O439)+ABS(T439)+0.0001)))</f>
        <v>109.02749389007727</v>
      </c>
      <c r="C439" s="21">
        <f t="shared" ca="1" si="41"/>
        <v>1</v>
      </c>
      <c r="D439" s="9">
        <f ca="1">D438+C439*(Prices!C439-Prices!C438)/Prices!C438</f>
        <v>0.22087337855324174</v>
      </c>
      <c r="E439" s="9">
        <f t="shared" ca="1" si="42"/>
        <v>2.0911902787600217E-2</v>
      </c>
      <c r="F439" s="9">
        <f t="shared" ca="1" si="43"/>
        <v>0.24178528134084196</v>
      </c>
      <c r="G439" s="13">
        <f ca="1">IF((Prices!C439-Prices!C438)*C439&gt;0,1,0)</f>
        <v>1</v>
      </c>
      <c r="H439" s="9">
        <f>ABS(Prices!C439-Prices!C438)/Prices!C438</f>
        <v>1.8677624206197256E-4</v>
      </c>
      <c r="I439" s="13"/>
      <c r="J439" s="1">
        <f t="shared" ca="1" si="44"/>
        <v>1.0033140589198407E-3</v>
      </c>
      <c r="K439" s="9"/>
      <c r="L439" s="9">
        <f ca="1">L438-O439*Prices!C439</f>
        <v>0.83177546749181697</v>
      </c>
      <c r="M439" s="1">
        <f t="shared" ca="1" si="45"/>
        <v>1.2347570520406002E-2</v>
      </c>
      <c r="N439" s="9">
        <f ca="1">IF(Prices!D438&gt;OFFSET(Prices!D438,-$N$3,0),1,-1)</f>
        <v>1</v>
      </c>
      <c r="O439" s="1">
        <f ca="1">IF(N439=1,O$3*L438/Prices!C438,-O$3*M438)</f>
        <v>8.6310622340128368E-4</v>
      </c>
      <c r="P439" s="14"/>
      <c r="Q439" s="9">
        <f ca="1">Q438-T439*Prices!C439</f>
        <v>0.73565649218231688</v>
      </c>
      <c r="R439" s="1">
        <f t="shared" ca="1" si="46"/>
        <v>1.2628810671229561E-2</v>
      </c>
      <c r="S439" s="9">
        <f ca="1">IF(Prices!C438&lt;OFFSET(Prices!C438,-S$3,0),1,-1)</f>
        <v>1</v>
      </c>
      <c r="T439" s="1">
        <f ca="1">IF(S439=1,T$3*Q438/Prices!C438,-T$3*R438)</f>
        <v>1.4020783551855703E-4</v>
      </c>
    </row>
    <row r="440" spans="1:20" x14ac:dyDescent="0.2">
      <c r="A440" s="18">
        <v>34122</v>
      </c>
      <c r="B440" s="9">
        <f ca="1">Prices!C439*(1+J440/(50*(ABS(O440)+ABS(T440)+0.0001)))</f>
        <v>105.5032797739867</v>
      </c>
      <c r="C440" s="21">
        <f t="shared" ca="1" si="41"/>
        <v>-1</v>
      </c>
      <c r="D440" s="9">
        <f ca="1">D439+C440*(Prices!C440-Prices!C439)/Prices!C439</f>
        <v>0.2199396717371819</v>
      </c>
      <c r="E440" s="9">
        <f t="shared" ca="1" si="42"/>
        <v>2.1845609603660054E-2</v>
      </c>
      <c r="F440" s="9">
        <f t="shared" ca="1" si="43"/>
        <v>0.24178528134084196</v>
      </c>
      <c r="G440" s="13">
        <f ca="1">IF((Prices!C440-Prices!C439)*C440&gt;0,1,0)</f>
        <v>0</v>
      </c>
      <c r="H440" s="9">
        <f>ABS(Prices!C440-Prices!C439)/Prices!C439</f>
        <v>9.3370681605983686E-4</v>
      </c>
      <c r="I440" s="13"/>
      <c r="J440" s="1">
        <f t="shared" ca="1" si="44"/>
        <v>-1.0973795558347522E-3</v>
      </c>
      <c r="K440" s="9"/>
      <c r="L440" s="9">
        <f ca="1">L439-O440*Prices!C440</f>
        <v>0.9641414234705693</v>
      </c>
      <c r="M440" s="1">
        <f t="shared" ca="1" si="45"/>
        <v>1.1112813468365401E-2</v>
      </c>
      <c r="N440" s="9">
        <f ca="1">IF(Prices!D439&gt;OFFSET(Prices!D439,-$N$3,0),1,-1)</f>
        <v>-1</v>
      </c>
      <c r="O440" s="1">
        <f ca="1">IF(N440=1,O$3*L439/Prices!C439,-O$3*M439)</f>
        <v>-1.2347570520406003E-3</v>
      </c>
      <c r="P440" s="14"/>
      <c r="Q440" s="9">
        <f ca="1">Q439-T440*Prices!C440</f>
        <v>0.72092962458904997</v>
      </c>
      <c r="R440" s="1">
        <f t="shared" ca="1" si="46"/>
        <v>1.2766188167435409E-2</v>
      </c>
      <c r="S440" s="9">
        <f ca="1">IF(Prices!C439&lt;OFFSET(Prices!C439,-S$3,0),1,-1)</f>
        <v>1</v>
      </c>
      <c r="T440" s="1">
        <f ca="1">IF(S440=1,T$3*Q439/Prices!C439,-T$3*R439)</f>
        <v>1.3737749620584816E-4</v>
      </c>
    </row>
    <row r="441" spans="1:20" x14ac:dyDescent="0.2">
      <c r="A441" s="18">
        <v>34123</v>
      </c>
      <c r="B441" s="9">
        <f ca="1">Prices!C440*(1+J441/(50*(ABS(O441)+ABS(T441)+0.0001)))</f>
        <v>105.6438686355217</v>
      </c>
      <c r="C441" s="21">
        <f t="shared" ca="1" si="41"/>
        <v>-1</v>
      </c>
      <c r="D441" s="9">
        <f ca="1">D440+C441*(Prices!C441-Prices!C440)/Prices!C440</f>
        <v>0.2199396717371819</v>
      </c>
      <c r="E441" s="9">
        <f t="shared" ca="1" si="42"/>
        <v>2.1845609603660054E-2</v>
      </c>
      <c r="F441" s="9">
        <f t="shared" ca="1" si="43"/>
        <v>0.24178528134084196</v>
      </c>
      <c r="G441" s="13">
        <f ca="1">IF((Prices!C441-Prices!C440)*C441&gt;0,1,0)</f>
        <v>0</v>
      </c>
      <c r="H441" s="9">
        <f>ABS(Prices!C441-Prices!C440)/Prices!C440</f>
        <v>0</v>
      </c>
      <c r="I441" s="13"/>
      <c r="J441" s="1">
        <f t="shared" ca="1" si="44"/>
        <v>-9.7677955120425465E-4</v>
      </c>
      <c r="K441" s="9"/>
      <c r="L441" s="9">
        <f ca="1">L440-O441*Prices!C441</f>
        <v>1.0832707838514464</v>
      </c>
      <c r="M441" s="1">
        <f t="shared" ca="1" si="45"/>
        <v>1.000153212152886E-2</v>
      </c>
      <c r="N441" s="9">
        <f ca="1">IF(Prices!D440&gt;OFFSET(Prices!D440,-$N$3,0),1,-1)</f>
        <v>-1</v>
      </c>
      <c r="O441" s="1">
        <f ca="1">IF(N441=1,O$3*L440/Prices!C440,-O$3*M440)</f>
        <v>-1.1112813468365402E-3</v>
      </c>
      <c r="P441" s="14"/>
      <c r="Q441" s="9">
        <f ca="1">Q440-T441*Prices!C441</f>
        <v>0.70651103209726895</v>
      </c>
      <c r="R441" s="1">
        <f t="shared" ca="1" si="46"/>
        <v>1.2900689963067695E-2</v>
      </c>
      <c r="S441" s="9">
        <f ca="1">IF(Prices!C440&lt;OFFSET(Prices!C440,-S$3,0),1,-1)</f>
        <v>1</v>
      </c>
      <c r="T441" s="1">
        <f ca="1">IF(S441=1,T$3*Q440/Prices!C440,-T$3*R440)</f>
        <v>1.3450179563228543E-4</v>
      </c>
    </row>
    <row r="442" spans="1:20" x14ac:dyDescent="0.2">
      <c r="A442" s="18">
        <v>34124</v>
      </c>
      <c r="B442" s="9">
        <f ca="1">Prices!C441*(1+J442/(50*(ABS(O442)+ABS(T442)+0.0001)))</f>
        <v>105.21385982003549</v>
      </c>
      <c r="C442" s="21">
        <f t="shared" ca="1" si="41"/>
        <v>-1</v>
      </c>
      <c r="D442" s="9">
        <f ca="1">D441+C442*(Prices!C442-Prices!C441)/Prices!C441</f>
        <v>0.21443594039389829</v>
      </c>
      <c r="E442" s="9">
        <f t="shared" ca="1" si="42"/>
        <v>2.7349340946943662E-2</v>
      </c>
      <c r="F442" s="9">
        <f t="shared" ca="1" si="43"/>
        <v>0.24178528134084196</v>
      </c>
      <c r="G442" s="13">
        <f ca="1">IF((Prices!C442-Prices!C441)*C442&gt;0,1,0)</f>
        <v>0</v>
      </c>
      <c r="H442" s="9">
        <f>ABS(Prices!C442-Prices!C441)/Prices!C441</f>
        <v>5.5037313432836138E-3</v>
      </c>
      <c r="I442" s="13"/>
      <c r="J442" s="1">
        <f t="shared" ca="1" si="44"/>
        <v>-1.2581670114142399E-3</v>
      </c>
      <c r="K442" s="9"/>
      <c r="L442" s="9">
        <f ca="1">L441-O442*Prices!C442</f>
        <v>1.191077298589406</v>
      </c>
      <c r="M442" s="1">
        <f t="shared" ca="1" si="45"/>
        <v>9.0013789093759747E-3</v>
      </c>
      <c r="N442" s="9">
        <f ca="1">IF(Prices!D441&gt;OFFSET(Prices!D441,-$N$3,0),1,-1)</f>
        <v>-1</v>
      </c>
      <c r="O442" s="1">
        <f ca="1">IF(N442=1,O$3*L441/Prices!C441,-O$3*M441)</f>
        <v>-1.0001532121528861E-3</v>
      </c>
      <c r="P442" s="14"/>
      <c r="Q442" s="9">
        <f ca="1">Q441-T442*Prices!C442</f>
        <v>0.73432233951965031</v>
      </c>
      <c r="R442" s="1">
        <f t="shared" ca="1" si="46"/>
        <v>1.264267616380634E-2</v>
      </c>
      <c r="S442" s="9">
        <f ca="1">IF(Prices!C441&lt;OFFSET(Prices!C441,-S$3,0),1,-1)</f>
        <v>-1</v>
      </c>
      <c r="T442" s="1">
        <f ca="1">IF(S442=1,T$3*Q441/Prices!C441,-T$3*R441)</f>
        <v>-2.580137992613539E-4</v>
      </c>
    </row>
    <row r="443" spans="1:20" x14ac:dyDescent="0.2">
      <c r="A443" s="4">
        <v>34127</v>
      </c>
      <c r="B443" s="9">
        <f ca="1">Prices!C442*(1+J443/(50*(ABS(O443)+ABS(T443)+0.0001)))</f>
        <v>109.05010982304464</v>
      </c>
      <c r="C443" s="21">
        <f t="shared" ca="1" si="41"/>
        <v>1</v>
      </c>
      <c r="D443" s="9">
        <f ca="1">D442+C443*(Prices!C443-Prices!C442)/Prices!C442</f>
        <v>0.20933342624601806</v>
      </c>
      <c r="E443" s="9">
        <f t="shared" ca="1" si="42"/>
        <v>3.24518550948239E-2</v>
      </c>
      <c r="F443" s="9">
        <f t="shared" ca="1" si="43"/>
        <v>0.24178528134084196</v>
      </c>
      <c r="G443" s="13">
        <f ca="1">IF((Prices!C443-Prices!C442)*C443&gt;0,1,0)</f>
        <v>0</v>
      </c>
      <c r="H443" s="9">
        <f>ABS(Prices!C443-Prices!C442)/Prices!C442</f>
        <v>5.1025141478802426E-3</v>
      </c>
      <c r="I443" s="13"/>
      <c r="J443" s="1">
        <f t="shared" ca="1" si="44"/>
        <v>8.5214443440956387E-4</v>
      </c>
      <c r="K443" s="9"/>
      <c r="L443" s="9">
        <f ca="1">L442-O443*Prices!C443</f>
        <v>1.0725773176071927</v>
      </c>
      <c r="M443" s="1">
        <f t="shared" ca="1" si="45"/>
        <v>1.0106376867061666E-2</v>
      </c>
      <c r="N443" s="9">
        <f ca="1">IF(Prices!D442&gt;OFFSET(Prices!D442,-$N$3,0),1,-1)</f>
        <v>1</v>
      </c>
      <c r="O443" s="1">
        <f ca="1">IF(N443=1,O$3*L442/Prices!C442,-O$3*M442)</f>
        <v>1.1049979576856907E-3</v>
      </c>
      <c r="P443" s="14"/>
      <c r="Q443" s="9">
        <f ca="1">Q442-T443*Prices!C443</f>
        <v>0.76143835135578219</v>
      </c>
      <c r="R443" s="1">
        <f t="shared" ca="1" si="46"/>
        <v>1.2389822640530214E-2</v>
      </c>
      <c r="S443" s="9">
        <f ca="1">IF(Prices!C442&lt;OFFSET(Prices!C442,-S$3,0),1,-1)</f>
        <v>-1</v>
      </c>
      <c r="T443" s="1">
        <f ca="1">IF(S443=1,T$3*Q442/Prices!C442,-T$3*R442)</f>
        <v>-2.5285352327612679E-4</v>
      </c>
    </row>
    <row r="444" spans="1:20" x14ac:dyDescent="0.2">
      <c r="A444" s="4">
        <v>34128</v>
      </c>
      <c r="B444" s="9">
        <f ca="1">Prices!C443*(1+J444/(50*(ABS(O444)+ABS(T444)+0.0001)))</f>
        <v>108.43712650909582</v>
      </c>
      <c r="C444" s="21">
        <f t="shared" ca="1" si="41"/>
        <v>1</v>
      </c>
      <c r="D444" s="9">
        <f ca="1">D443+C444*(Prices!C444-Prices!C443)/Prices!C443</f>
        <v>0.20010179625720795</v>
      </c>
      <c r="E444" s="9">
        <f t="shared" ca="1" si="42"/>
        <v>4.1683485083634009E-2</v>
      </c>
      <c r="F444" s="9">
        <f t="shared" ca="1" si="43"/>
        <v>0.24178528134084196</v>
      </c>
      <c r="G444" s="13">
        <f ca="1">IF((Prices!C444-Prices!C443)*C444&gt;0,1,0)</f>
        <v>0</v>
      </c>
      <c r="H444" s="9">
        <f>ABS(Prices!C444-Prices!C443)/Prices!C443</f>
        <v>9.2316299888100979E-3</v>
      </c>
      <c r="I444" s="13"/>
      <c r="J444" s="1">
        <f t="shared" ca="1" si="44"/>
        <v>7.5236889370859823E-4</v>
      </c>
      <c r="K444" s="9"/>
      <c r="L444" s="9">
        <f ca="1">L443-O444*Prices!C444</f>
        <v>0.96630974953952742</v>
      </c>
      <c r="M444" s="1">
        <f t="shared" ca="1" si="45"/>
        <v>1.1106542213580869E-2</v>
      </c>
      <c r="N444" s="9">
        <f ca="1">IF(Prices!D443&gt;OFFSET(Prices!D443,-$N$3,0),1,-1)</f>
        <v>1</v>
      </c>
      <c r="O444" s="1">
        <f ca="1">IF(N444=1,O$3*L443/Prices!C443,-O$3*M443)</f>
        <v>1.0001653465192026E-3</v>
      </c>
      <c r="P444" s="14"/>
      <c r="Q444" s="9">
        <f ca="1">Q443-T444*Prices!C444</f>
        <v>0.78776672446690887</v>
      </c>
      <c r="R444" s="1">
        <f t="shared" ca="1" si="46"/>
        <v>1.2142026187719609E-2</v>
      </c>
      <c r="S444" s="9">
        <f ca="1">IF(Prices!C443&lt;OFFSET(Prices!C443,-S$3,0),1,-1)</f>
        <v>-1</v>
      </c>
      <c r="T444" s="1">
        <f ca="1">IF(S444=1,T$3*Q443/Prices!C443,-T$3*R443)</f>
        <v>-2.4779645281060428E-4</v>
      </c>
    </row>
    <row r="445" spans="1:20" x14ac:dyDescent="0.2">
      <c r="A445" s="4">
        <v>34129</v>
      </c>
      <c r="B445" s="9">
        <f ca="1">Prices!C444*(1+J445/(50*(ABS(O445)+ABS(T445)+0.0001)))</f>
        <v>104.74512565065359</v>
      </c>
      <c r="C445" s="21">
        <f t="shared" ca="1" si="41"/>
        <v>-1</v>
      </c>
      <c r="D445" s="9">
        <f ca="1">D444+C445*(Prices!C445-Prices!C444)/Prices!C444</f>
        <v>0.19897238449250201</v>
      </c>
      <c r="E445" s="9">
        <f t="shared" ca="1" si="42"/>
        <v>4.2812896848339943E-2</v>
      </c>
      <c r="F445" s="9">
        <f t="shared" ca="1" si="43"/>
        <v>0.24178528134084196</v>
      </c>
      <c r="G445" s="13">
        <f ca="1">IF((Prices!C445-Prices!C444)*C445&gt;0,1,0)</f>
        <v>0</v>
      </c>
      <c r="H445" s="9">
        <f>ABS(Prices!C445-Prices!C444)/Prices!C444</f>
        <v>1.1294117647059252E-3</v>
      </c>
      <c r="I445" s="13"/>
      <c r="J445" s="1">
        <f t="shared" ca="1" si="44"/>
        <v>-9.6236872028196299E-4</v>
      </c>
      <c r="K445" s="9"/>
      <c r="L445" s="9">
        <f ca="1">L444-O445*Prices!C445</f>
        <v>1.0844500390653871</v>
      </c>
      <c r="M445" s="1">
        <f t="shared" ca="1" si="45"/>
        <v>9.9958879922227815E-3</v>
      </c>
      <c r="N445" s="9">
        <f ca="1">IF(Prices!D444&gt;OFFSET(Prices!D444,-$N$3,0),1,-1)</f>
        <v>-1</v>
      </c>
      <c r="O445" s="1">
        <f ca="1">IF(N445=1,O$3*L444/Prices!C444,-O$3*M444)</f>
        <v>-1.110654221358087E-3</v>
      </c>
      <c r="P445" s="14"/>
      <c r="Q445" s="9">
        <f ca="1">Q444-T445*Prices!C445</f>
        <v>0.77199359571744153</v>
      </c>
      <c r="R445" s="1">
        <f t="shared" ca="1" si="46"/>
        <v>1.2290311688795734E-2</v>
      </c>
      <c r="S445" s="9">
        <f ca="1">IF(Prices!C444&lt;OFFSET(Prices!C444,-S$3,0),1,-1)</f>
        <v>1</v>
      </c>
      <c r="T445" s="1">
        <f ca="1">IF(S445=1,T$3*Q444/Prices!C444,-T$3*R444)</f>
        <v>1.4828550107612401E-4</v>
      </c>
    </row>
    <row r="446" spans="1:20" x14ac:dyDescent="0.2">
      <c r="A446" s="4">
        <v>34130</v>
      </c>
      <c r="B446" s="9">
        <f ca="1">Prices!C445*(1+J446/(50*(ABS(O446)+ABS(T446)+0.0001)))</f>
        <v>104.90967425392242</v>
      </c>
      <c r="C446" s="21">
        <f t="shared" ca="1" si="41"/>
        <v>-1</v>
      </c>
      <c r="D446" s="9">
        <f ca="1">D445+C446*(Prices!C446-Prices!C445)/Prices!C445</f>
        <v>0.20198075151327863</v>
      </c>
      <c r="E446" s="9">
        <f t="shared" ca="1" si="42"/>
        <v>3.9804529827563329E-2</v>
      </c>
      <c r="F446" s="9">
        <f t="shared" ca="1" si="43"/>
        <v>0.24178528134084196</v>
      </c>
      <c r="G446" s="13">
        <f ca="1">IF((Prices!C446-Prices!C445)*C446&gt;0,1,0)</f>
        <v>1</v>
      </c>
      <c r="H446" s="9">
        <f>ABS(Prices!C446-Prices!C445)/Prices!C445</f>
        <v>3.008367020776604E-3</v>
      </c>
      <c r="I446" s="13"/>
      <c r="J446" s="1">
        <f t="shared" ca="1" si="44"/>
        <v>-8.5443629462183797E-4</v>
      </c>
      <c r="K446" s="9"/>
      <c r="L446" s="9">
        <f ca="1">L445-O446*Prices!C446</f>
        <v>1.1904564312229096</v>
      </c>
      <c r="M446" s="1">
        <f t="shared" ca="1" si="45"/>
        <v>8.9962991930005037E-3</v>
      </c>
      <c r="N446" s="9">
        <f ca="1">IF(Prices!D445&gt;OFFSET(Prices!D445,-$N$3,0),1,-1)</f>
        <v>-1</v>
      </c>
      <c r="O446" s="1">
        <f ca="1">IF(N446=1,O$3*L445/Prices!C445,-O$3*M445)</f>
        <v>-9.9958879922227824E-4</v>
      </c>
      <c r="P446" s="14"/>
      <c r="Q446" s="9">
        <f ca="1">Q445-T446*Prices!C446</f>
        <v>0.7566001726045648</v>
      </c>
      <c r="R446" s="1">
        <f t="shared" ca="1" si="46"/>
        <v>1.2435464193396174E-2</v>
      </c>
      <c r="S446" s="9">
        <f ca="1">IF(Prices!C445&lt;OFFSET(Prices!C445,-S$3,0),1,-1)</f>
        <v>1</v>
      </c>
      <c r="T446" s="1">
        <f ca="1">IF(S446=1,T$3*Q445/Prices!C445,-T$3*R445)</f>
        <v>1.4515250460044024E-4</v>
      </c>
    </row>
    <row r="447" spans="1:20" x14ac:dyDescent="0.2">
      <c r="A447" s="4">
        <v>34131</v>
      </c>
      <c r="B447" s="9">
        <f ca="1">Prices!C446*(1+J447/(50*(ABS(O447)+ABS(T447)+0.0001)))</f>
        <v>104.64454557799515</v>
      </c>
      <c r="C447" s="21">
        <f t="shared" ca="1" si="41"/>
        <v>-1</v>
      </c>
      <c r="D447" s="9">
        <f ca="1">D446+C447*(Prices!C447-Prices!C446)/Prices!C446</f>
        <v>0.20075491464387732</v>
      </c>
      <c r="E447" s="9">
        <f t="shared" ca="1" si="42"/>
        <v>4.1030366696964637E-2</v>
      </c>
      <c r="F447" s="9">
        <f t="shared" ca="1" si="43"/>
        <v>0.24178528134084196</v>
      </c>
      <c r="G447" s="13">
        <f ca="1">IF((Prices!C447-Prices!C446)*C447&gt;0,1,0)</f>
        <v>0</v>
      </c>
      <c r="H447" s="9">
        <f>ABS(Prices!C447-Prices!C446)/Prices!C446</f>
        <v>1.2258368694013169E-3</v>
      </c>
      <c r="I447" s="13"/>
      <c r="J447" s="1">
        <f t="shared" ca="1" si="44"/>
        <v>-7.5694247515020329E-4</v>
      </c>
      <c r="K447" s="9"/>
      <c r="L447" s="9">
        <f ca="1">L446-O447*Prices!C447</f>
        <v>1.285979136054189</v>
      </c>
      <c r="M447" s="1">
        <f t="shared" ca="1" si="45"/>
        <v>8.0966692737004537E-3</v>
      </c>
      <c r="N447" s="9">
        <f ca="1">IF(Prices!D446&gt;OFFSET(Prices!D446,-$N$3,0),1,-1)</f>
        <v>-1</v>
      </c>
      <c r="O447" s="1">
        <f ca="1">IF(N447=1,O$3*L446/Prices!C446,-O$3*M446)</f>
        <v>-8.9962991930005046E-4</v>
      </c>
      <c r="P447" s="14"/>
      <c r="Q447" s="9">
        <f ca="1">Q446-T447*Prices!C447</f>
        <v>0.741449619784734</v>
      </c>
      <c r="R447" s="1">
        <f t="shared" ca="1" si="46"/>
        <v>1.2578151637546022E-2</v>
      </c>
      <c r="S447" s="9">
        <f ca="1">IF(Prices!C446&lt;OFFSET(Prices!C446,-S$3,0),1,-1)</f>
        <v>1</v>
      </c>
      <c r="T447" s="1">
        <f ca="1">IF(S447=1,T$3*Q446/Prices!C446,-T$3*R446)</f>
        <v>1.426874441498472E-4</v>
      </c>
    </row>
    <row r="448" spans="1:20" x14ac:dyDescent="0.2">
      <c r="A448" s="4">
        <v>34134</v>
      </c>
      <c r="B448" s="9">
        <f ca="1">Prices!C447*(1+J448/(50*(ABS(O448)+ABS(T448)+0.0001)))</f>
        <v>104.82405443075285</v>
      </c>
      <c r="C448" s="21">
        <f t="shared" ca="1" si="41"/>
        <v>-1</v>
      </c>
      <c r="D448" s="9">
        <f ca="1">D447+C448*(Prices!C448-Prices!C447)/Prices!C447</f>
        <v>0.2110205013833763</v>
      </c>
      <c r="E448" s="9">
        <f t="shared" ca="1" si="42"/>
        <v>3.0764779957465654E-2</v>
      </c>
      <c r="F448" s="9">
        <f t="shared" ca="1" si="43"/>
        <v>0.24178528134084196</v>
      </c>
      <c r="G448" s="13">
        <f ca="1">IF((Prices!C448-Prices!C447)*C448&gt;0,1,0)</f>
        <v>1</v>
      </c>
      <c r="H448" s="9">
        <f>ABS(Prices!C448-Prices!C447)/Prices!C447</f>
        <v>1.0265586739498995E-2</v>
      </c>
      <c r="I448" s="13"/>
      <c r="J448" s="1">
        <f t="shared" ca="1" si="44"/>
        <v>-6.7000792948254608E-4</v>
      </c>
      <c r="K448" s="9"/>
      <c r="L448" s="9">
        <f ca="1">L447-O448*Prices!C448</f>
        <v>1.3710670334515072</v>
      </c>
      <c r="M448" s="1">
        <f t="shared" ca="1" si="45"/>
        <v>7.2870023463304078E-3</v>
      </c>
      <c r="N448" s="9">
        <f ca="1">IF(Prices!D447&gt;OFFSET(Prices!D447,-$N$3,0),1,-1)</f>
        <v>-1</v>
      </c>
      <c r="O448" s="1">
        <f ca="1">IF(N448=1,O$3*L447/Prices!C447,-O$3*M447)</f>
        <v>-8.0966692737004546E-4</v>
      </c>
      <c r="P448" s="14"/>
      <c r="Q448" s="9">
        <f ca="1">Q447-T448*Prices!C448</f>
        <v>0.72677285569673666</v>
      </c>
      <c r="R448" s="1">
        <f t="shared" ca="1" si="46"/>
        <v>1.2717810635433521E-2</v>
      </c>
      <c r="S448" s="9">
        <f ca="1">IF(Prices!C447&lt;OFFSET(Prices!C447,-S$3,0),1,-1)</f>
        <v>1</v>
      </c>
      <c r="T448" s="1">
        <f ca="1">IF(S448=1,T$3*Q447/Prices!C447,-T$3*R447)</f>
        <v>1.3965899788749935E-4</v>
      </c>
    </row>
    <row r="449" spans="1:20" x14ac:dyDescent="0.2">
      <c r="A449" s="4">
        <v>34135</v>
      </c>
      <c r="B449" s="9">
        <f ca="1">Prices!C448*(1+J449/(50*(ABS(O449)+ABS(T449)+0.0001)))</f>
        <v>103.80680013384857</v>
      </c>
      <c r="C449" s="21">
        <f t="shared" ca="1" si="41"/>
        <v>-1</v>
      </c>
      <c r="D449" s="9">
        <f ca="1">D448+C449*(Prices!C449-Prices!C448)/Prices!C448</f>
        <v>0.2018854742637646</v>
      </c>
      <c r="E449" s="9">
        <f t="shared" ca="1" si="42"/>
        <v>3.9899807077077354E-2</v>
      </c>
      <c r="F449" s="9">
        <f t="shared" ca="1" si="43"/>
        <v>0.24178528134084196</v>
      </c>
      <c r="G449" s="13">
        <f ca="1">IF((Prices!C449-Prices!C448)*C449&gt;0,1,0)</f>
        <v>0</v>
      </c>
      <c r="H449" s="9">
        <f>ABS(Prices!C449-Prices!C448)/Prices!C448</f>
        <v>9.1350271196117012E-3</v>
      </c>
      <c r="I449" s="13"/>
      <c r="J449" s="1">
        <f t="shared" ca="1" si="44"/>
        <v>-5.9038586491247055E-4</v>
      </c>
      <c r="K449" s="9"/>
      <c r="L449" s="9">
        <f ca="1">L448-O449*Prices!C449</f>
        <v>1.448345693334341</v>
      </c>
      <c r="M449" s="1">
        <f t="shared" ca="1" si="45"/>
        <v>6.5583021116973669E-3</v>
      </c>
      <c r="N449" s="9">
        <f ca="1">IF(Prices!D448&gt;OFFSET(Prices!D448,-$N$3,0),1,-1)</f>
        <v>-1</v>
      </c>
      <c r="O449" s="1">
        <f ca="1">IF(N449=1,O$3*L448/Prices!C448,-O$3*M448)</f>
        <v>-7.2870023463304085E-4</v>
      </c>
      <c r="P449" s="14"/>
      <c r="Q449" s="9">
        <f ca="1">Q448-T449*Prices!C449</f>
        <v>0.71210461678787018</v>
      </c>
      <c r="R449" s="1">
        <f t="shared" ca="1" si="46"/>
        <v>1.2856125005154092E-2</v>
      </c>
      <c r="S449" s="9">
        <f ca="1">IF(Prices!C448&lt;OFFSET(Prices!C448,-S$3,0),1,-1)</f>
        <v>1</v>
      </c>
      <c r="T449" s="1">
        <f ca="1">IF(S449=1,T$3*Q448/Prices!C448,-T$3*R448)</f>
        <v>1.383143697205703E-4</v>
      </c>
    </row>
    <row r="450" spans="1:20" x14ac:dyDescent="0.2">
      <c r="A450" s="4">
        <v>34136</v>
      </c>
      <c r="B450" s="9">
        <f ca="1">Prices!C449*(1+J450/(50*(ABS(O450)+ABS(T450)+0.0001)))</f>
        <v>104.80728408028128</v>
      </c>
      <c r="C450" s="21">
        <f t="shared" ca="1" si="41"/>
        <v>-1</v>
      </c>
      <c r="D450" s="9">
        <f ca="1">D449+C450*(Prices!C450-Prices!C449)/Prices!C449</f>
        <v>0.19669924135475944</v>
      </c>
      <c r="E450" s="9">
        <f t="shared" ca="1" si="42"/>
        <v>4.5086039986082516E-2</v>
      </c>
      <c r="F450" s="9">
        <f t="shared" ca="1" si="43"/>
        <v>0.24178528134084196</v>
      </c>
      <c r="G450" s="13">
        <f ca="1">IF((Prices!C450-Prices!C449)*C450&gt;0,1,0)</f>
        <v>0</v>
      </c>
      <c r="H450" s="9">
        <f>ABS(Prices!C450-Prices!C449)/Prices!C449</f>
        <v>5.1862329090051592E-3</v>
      </c>
      <c r="I450" s="13"/>
      <c r="J450" s="1">
        <f t="shared" ca="1" si="44"/>
        <v>-5.2153419668829015E-4</v>
      </c>
      <c r="K450" s="9"/>
      <c r="L450" s="9">
        <f ca="1">L449-O450*Prices!C450</f>
        <v>1.5182571938450349</v>
      </c>
      <c r="M450" s="1">
        <f t="shared" ca="1" si="45"/>
        <v>5.9024719005276302E-3</v>
      </c>
      <c r="N450" s="9">
        <f ca="1">IF(Prices!D449&gt;OFFSET(Prices!D449,-$N$3,0),1,-1)</f>
        <v>-1</v>
      </c>
      <c r="O450" s="1">
        <f ca="1">IF(N450=1,O$3*L449/Prices!C449,-O$3*M449)</f>
        <v>-6.5583021116973669E-4</v>
      </c>
      <c r="P450" s="14"/>
      <c r="Q450" s="9">
        <f ca="1">Q449-T450*Prices!C450</f>
        <v>0.69778866164414799</v>
      </c>
      <c r="R450" s="1">
        <f t="shared" ca="1" si="46"/>
        <v>1.2990421019635538E-2</v>
      </c>
      <c r="S450" s="9">
        <f ca="1">IF(Prices!C449&lt;OFFSET(Prices!C449,-S$3,0),1,-1)</f>
        <v>1</v>
      </c>
      <c r="T450" s="1">
        <f ca="1">IF(S450=1,T$3*Q449/Prices!C449,-T$3*R449)</f>
        <v>1.3429601448144654E-4</v>
      </c>
    </row>
    <row r="451" spans="1:20" x14ac:dyDescent="0.2">
      <c r="A451" s="4">
        <v>34137</v>
      </c>
      <c r="B451" s="9">
        <f ca="1">Prices!C450*(1+J451/(50*(ABS(O451)+ABS(T451)+0.0001)))</f>
        <v>104.69240791639558</v>
      </c>
      <c r="C451" s="21">
        <f t="shared" ca="1" si="41"/>
        <v>-1</v>
      </c>
      <c r="D451" s="9">
        <f ca="1">D450+C451*(Prices!C451-Prices!C450)/Prices!C450</f>
        <v>0.19022644585757359</v>
      </c>
      <c r="E451" s="9">
        <f t="shared" ca="1" si="42"/>
        <v>5.1558835483268367E-2</v>
      </c>
      <c r="F451" s="9">
        <f t="shared" ca="1" si="43"/>
        <v>0.24178528134084196</v>
      </c>
      <c r="G451" s="13">
        <f ca="1">IF((Prices!C451-Prices!C450)*C451&gt;0,1,0)</f>
        <v>0</v>
      </c>
      <c r="H451" s="9">
        <f>ABS(Prices!C451-Prices!C450)/Prices!C450</f>
        <v>6.4727954971858532E-3</v>
      </c>
      <c r="I451" s="13"/>
      <c r="J451" s="1">
        <f t="shared" ca="1" si="44"/>
        <v>-8.5005561044547385E-4</v>
      </c>
      <c r="K451" s="9"/>
      <c r="L451" s="9">
        <f ca="1">L450-O451*Prices!C451</f>
        <v>1.5815848148657958</v>
      </c>
      <c r="M451" s="1">
        <f t="shared" ca="1" si="45"/>
        <v>5.3122247104748672E-3</v>
      </c>
      <c r="N451" s="9">
        <f ca="1">IF(Prices!D450&gt;OFFSET(Prices!D450,-$N$3,0),1,-1)</f>
        <v>-1</v>
      </c>
      <c r="O451" s="1">
        <f ca="1">IF(N451=1,O$3*L450/Prices!C450,-O$3*M450)</f>
        <v>-5.9024719005276304E-4</v>
      </c>
      <c r="P451" s="14"/>
      <c r="Q451" s="9">
        <f ca="1">Q450-T451*Prices!C451</f>
        <v>0.72566350706808191</v>
      </c>
      <c r="R451" s="1">
        <f t="shared" ca="1" si="46"/>
        <v>1.2730612599242828E-2</v>
      </c>
      <c r="S451" s="9">
        <f ca="1">IF(Prices!C450&lt;OFFSET(Prices!C450,-S$3,0),1,-1)</f>
        <v>-1</v>
      </c>
      <c r="T451" s="1">
        <f ca="1">IF(S451=1,T$3*Q450/Prices!C450,-T$3*R450)</f>
        <v>-2.5980842039271076E-4</v>
      </c>
    </row>
    <row r="452" spans="1:20" x14ac:dyDescent="0.2">
      <c r="A452" s="4">
        <v>34138</v>
      </c>
      <c r="B452" s="9">
        <f ca="1">Prices!C451*(1+J452/(50*(ABS(O452)+ABS(T452)+0.0001)))</f>
        <v>105.38643480342412</v>
      </c>
      <c r="C452" s="21">
        <f t="shared" ca="1" si="41"/>
        <v>-1</v>
      </c>
      <c r="D452" s="9">
        <f ca="1">D451+C452*(Prices!C452-Prices!C451)/Prices!C451</f>
        <v>0.16869601431688958</v>
      </c>
      <c r="E452" s="9">
        <f t="shared" ca="1" si="42"/>
        <v>7.3089267023952381E-2</v>
      </c>
      <c r="F452" s="9">
        <f t="shared" ca="1" si="43"/>
        <v>0.24178528134084196</v>
      </c>
      <c r="G452" s="13">
        <f ca="1">IF((Prices!C452-Prices!C451)*C452&gt;0,1,0)</f>
        <v>0</v>
      </c>
      <c r="H452" s="9">
        <f>ABS(Prices!C452-Prices!C451)/Prices!C451</f>
        <v>2.1530431540684014E-2</v>
      </c>
      <c r="I452" s="13"/>
      <c r="J452" s="1">
        <f t="shared" ca="1" si="44"/>
        <v>-7.8583472303234332E-4</v>
      </c>
      <c r="K452" s="9"/>
      <c r="L452" s="9">
        <f ca="1">L451-O452*Prices!C452</f>
        <v>1.6398067976926003</v>
      </c>
      <c r="M452" s="1">
        <f t="shared" ca="1" si="45"/>
        <v>4.7810022394273802E-3</v>
      </c>
      <c r="N452" s="9">
        <f ca="1">IF(Prices!D451&gt;OFFSET(Prices!D451,-$N$3,0),1,-1)</f>
        <v>-1</v>
      </c>
      <c r="O452" s="1">
        <f ca="1">IF(N452=1,O$3*L451/Prices!C451,-O$3*M451)</f>
        <v>-5.3122247104748675E-4</v>
      </c>
      <c r="P452" s="14"/>
      <c r="Q452" s="9">
        <f ca="1">Q451-T452*Prices!C452</f>
        <v>0.75356900988562214</v>
      </c>
      <c r="R452" s="1">
        <f t="shared" ca="1" si="46"/>
        <v>1.2476000347257972E-2</v>
      </c>
      <c r="S452" s="9">
        <f ca="1">IF(Prices!C451&lt;OFFSET(Prices!C451,-S$3,0),1,-1)</f>
        <v>-1</v>
      </c>
      <c r="T452" s="1">
        <f ca="1">IF(S452=1,T$3*Q451/Prices!C451,-T$3*R451)</f>
        <v>-2.5461225198485657E-4</v>
      </c>
    </row>
    <row r="453" spans="1:20" x14ac:dyDescent="0.2">
      <c r="A453" s="4">
        <v>34141</v>
      </c>
      <c r="B453" s="9">
        <f ca="1">Prices!C452*(1+J453/(50*(ABS(O453)+ABS(T453)+0.0001)))</f>
        <v>111.08056265194087</v>
      </c>
      <c r="C453" s="21">
        <f t="shared" ca="1" si="41"/>
        <v>1</v>
      </c>
      <c r="D453" s="9">
        <f ca="1">D452+C453*(Prices!C453-Prices!C452)/Prices!C452</f>
        <v>0.17845878803951737</v>
      </c>
      <c r="E453" s="9">
        <f t="shared" ca="1" si="42"/>
        <v>6.3326493301324588E-2</v>
      </c>
      <c r="F453" s="9">
        <f t="shared" ca="1" si="43"/>
        <v>0.24178528134084196</v>
      </c>
      <c r="G453" s="13">
        <f ca="1">IF((Prices!C453-Prices!C452)*C453&gt;0,1,0)</f>
        <v>1</v>
      </c>
      <c r="H453" s="9">
        <f>ABS(Prices!C453-Prices!C452)/Prices!C452</f>
        <v>9.7627737226278054E-3</v>
      </c>
      <c r="I453" s="13"/>
      <c r="J453" s="1">
        <f t="shared" ca="1" si="44"/>
        <v>1.24665407854079E-3</v>
      </c>
      <c r="K453" s="9"/>
      <c r="L453" s="9">
        <f ca="1">L452-O453*Prices!C453</f>
        <v>1.4742252116518704</v>
      </c>
      <c r="M453" s="1">
        <f t="shared" ca="1" si="45"/>
        <v>6.2771763249133295E-3</v>
      </c>
      <c r="N453" s="9">
        <f ca="1">IF(Prices!D452&gt;OFFSET(Prices!D452,-$N$3,0),1,-1)</f>
        <v>1</v>
      </c>
      <c r="O453" s="1">
        <f ca="1">IF(N453=1,O$3*L452/Prices!C452,-O$3*M452)</f>
        <v>1.4961740854859493E-3</v>
      </c>
      <c r="P453" s="14"/>
      <c r="Q453" s="9">
        <f ca="1">Q452-T453*Prices!C453</f>
        <v>0.78118338905424289</v>
      </c>
      <c r="R453" s="1">
        <f t="shared" ca="1" si="46"/>
        <v>1.2226480340312812E-2</v>
      </c>
      <c r="S453" s="9">
        <f ca="1">IF(Prices!C452&lt;OFFSET(Prices!C452,-S$3,0),1,-1)</f>
        <v>-1</v>
      </c>
      <c r="T453" s="1">
        <f ca="1">IF(S453=1,T$3*Q452/Prices!C452,-T$3*R452)</f>
        <v>-2.4952000694515944E-4</v>
      </c>
    </row>
    <row r="454" spans="1:20" x14ac:dyDescent="0.2">
      <c r="A454" s="4">
        <v>34142</v>
      </c>
      <c r="B454" s="9">
        <f ca="1">Prices!C453*(1+J454/(50*(ABS(O454)+ABS(T454)+0.0001)))</f>
        <v>108.68425814193508</v>
      </c>
      <c r="C454" s="21">
        <f t="shared" ca="1" si="41"/>
        <v>-1</v>
      </c>
      <c r="D454" s="9">
        <f ca="1">D453+C454*(Prices!C454-Prices!C453)/Prices!C453</f>
        <v>0.17610946121201212</v>
      </c>
      <c r="E454" s="9">
        <f t="shared" ca="1" si="42"/>
        <v>6.5675820128829832E-2</v>
      </c>
      <c r="F454" s="9">
        <f t="shared" ca="1" si="43"/>
        <v>0.24178528134084196</v>
      </c>
      <c r="G454" s="13">
        <f ca="1">IF((Prices!C454-Prices!C453)*C454&gt;0,1,0)</f>
        <v>0</v>
      </c>
      <c r="H454" s="9">
        <f>ABS(Prices!C454-Prices!C453)/Prices!C453</f>
        <v>2.349326827505242E-3</v>
      </c>
      <c r="I454" s="13"/>
      <c r="J454" s="1">
        <f t="shared" ca="1" si="44"/>
        <v>-8.7224723929758927E-4</v>
      </c>
      <c r="K454" s="9"/>
      <c r="L454" s="9">
        <f ca="1">L453-O454*Prices!C454</f>
        <v>1.5438579286241338</v>
      </c>
      <c r="M454" s="1">
        <f t="shared" ca="1" si="45"/>
        <v>5.649458692421996E-3</v>
      </c>
      <c r="N454" s="9">
        <f ca="1">IF(Prices!D453&gt;OFFSET(Prices!D453,-$N$3,0),1,-1)</f>
        <v>-1</v>
      </c>
      <c r="O454" s="1">
        <f ca="1">IF(N454=1,O$3*L453/Prices!C453,-O$3*M453)</f>
        <v>-6.2771763249133304E-4</v>
      </c>
      <c r="P454" s="14"/>
      <c r="Q454" s="9">
        <f ca="1">Q453-T454*Prices!C454</f>
        <v>0.80830905833726086</v>
      </c>
      <c r="R454" s="1">
        <f t="shared" ca="1" si="46"/>
        <v>1.1981950733506556E-2</v>
      </c>
      <c r="S454" s="9">
        <f ca="1">IF(Prices!C453&lt;OFFSET(Prices!C453,-S$3,0),1,-1)</f>
        <v>-1</v>
      </c>
      <c r="T454" s="1">
        <f ca="1">IF(S454=1,T$3*Q453/Prices!C453,-T$3*R453)</f>
        <v>-2.4452960680625623E-4</v>
      </c>
    </row>
    <row r="455" spans="1:20" x14ac:dyDescent="0.2">
      <c r="A455" s="4">
        <v>34143</v>
      </c>
      <c r="B455" s="9">
        <f ca="1">Prices!C454*(1+J455/(50*(ABS(O455)+ABS(T455)+0.0001)))</f>
        <v>108.95666167079033</v>
      </c>
      <c r="C455" s="21">
        <f t="shared" ca="1" si="41"/>
        <v>-1</v>
      </c>
      <c r="D455" s="9">
        <f ca="1">D454+C455*(Prices!C455-Prices!C454)/Prices!C454</f>
        <v>0.19486002463038418</v>
      </c>
      <c r="E455" s="9">
        <f t="shared" ca="1" si="42"/>
        <v>4.6925256710457774E-2</v>
      </c>
      <c r="F455" s="9">
        <f t="shared" ca="1" si="43"/>
        <v>0.24178528134084196</v>
      </c>
      <c r="G455" s="13">
        <f ca="1">IF((Prices!C455-Prices!C454)*C455&gt;0,1,0)</f>
        <v>1</v>
      </c>
      <c r="H455" s="9">
        <f>ABS(Prices!C455-Prices!C454)/Prices!C454</f>
        <v>1.8750563418372057E-2</v>
      </c>
      <c r="I455" s="13"/>
      <c r="J455" s="1">
        <f t="shared" ca="1" si="44"/>
        <v>-8.0458488391233081E-4</v>
      </c>
      <c r="K455" s="9"/>
      <c r="L455" s="9">
        <f ca="1">L454-O455*Prices!C455</f>
        <v>1.6053522864911474</v>
      </c>
      <c r="M455" s="1">
        <f t="shared" ca="1" si="45"/>
        <v>5.0845128231797963E-3</v>
      </c>
      <c r="N455" s="9">
        <f ca="1">IF(Prices!D454&gt;OFFSET(Prices!D454,-$N$3,0),1,-1)</f>
        <v>-1</v>
      </c>
      <c r="O455" s="1">
        <f ca="1">IF(N455=1,O$3*L454/Prices!C454,-O$3*M454)</f>
        <v>-5.6494586924219967E-4</v>
      </c>
      <c r="P455" s="14"/>
      <c r="Q455" s="9">
        <f ca="1">Q454-T455*Prices!C455</f>
        <v>0.83439376508410468</v>
      </c>
      <c r="R455" s="1">
        <f t="shared" ca="1" si="46"/>
        <v>1.1742311718836424E-2</v>
      </c>
      <c r="S455" s="9">
        <f ca="1">IF(Prices!C454&lt;OFFSET(Prices!C454,-S$3,0),1,-1)</f>
        <v>-1</v>
      </c>
      <c r="T455" s="1">
        <f ca="1">IF(S455=1,T$3*Q454/Prices!C454,-T$3*R454)</f>
        <v>-2.3963901467013112E-4</v>
      </c>
    </row>
    <row r="456" spans="1:20" x14ac:dyDescent="0.2">
      <c r="A456" s="4">
        <v>34144</v>
      </c>
      <c r="B456" s="9">
        <f ca="1">Prices!C455*(1+J456/(50*(ABS(O456)+ABS(T456)+0.0001)))</f>
        <v>106.93115325634216</v>
      </c>
      <c r="C456" s="21">
        <f t="shared" ca="1" si="41"/>
        <v>-1</v>
      </c>
      <c r="D456" s="9">
        <f ca="1">D455+C456*(Prices!C456-Prices!C455)/Prices!C455</f>
        <v>0.19715676326152795</v>
      </c>
      <c r="E456" s="9">
        <f t="shared" ca="1" si="42"/>
        <v>4.4628518079314006E-2</v>
      </c>
      <c r="F456" s="9">
        <f t="shared" ca="1" si="43"/>
        <v>0.24178528134084196</v>
      </c>
      <c r="G456" s="13">
        <f ca="1">IF((Prices!C456-Prices!C455)*C456&gt;0,1,0)</f>
        <v>1</v>
      </c>
      <c r="H456" s="9">
        <f>ABS(Prices!C456-Prices!C455)/Prices!C455</f>
        <v>2.2967386311437761E-3</v>
      </c>
      <c r="I456" s="13"/>
      <c r="J456" s="1">
        <f t="shared" ca="1" si="44"/>
        <v>-7.4329751669470815E-4</v>
      </c>
      <c r="K456" s="9"/>
      <c r="L456" s="9">
        <f ca="1">L455-O456*Prices!C456</f>
        <v>1.66057009575088</v>
      </c>
      <c r="M456" s="1">
        <f t="shared" ca="1" si="45"/>
        <v>4.5760615408618165E-3</v>
      </c>
      <c r="N456" s="9">
        <f ca="1">IF(Prices!D455&gt;OFFSET(Prices!D455,-$N$3,0),1,-1)</f>
        <v>-1</v>
      </c>
      <c r="O456" s="1">
        <f ca="1">IF(N456=1,O$3*L455/Prices!C455,-O$3*M455)</f>
        <v>-5.0845128231797969E-4</v>
      </c>
      <c r="P456" s="14"/>
      <c r="Q456" s="9">
        <f ca="1">Q455-T456*Prices!C456</f>
        <v>0.85989806613741737</v>
      </c>
      <c r="R456" s="1">
        <f t="shared" ca="1" si="46"/>
        <v>1.1507465484459696E-2</v>
      </c>
      <c r="S456" s="9">
        <f ca="1">IF(Prices!C455&lt;OFFSET(Prices!C455,-S$3,0),1,-1)</f>
        <v>-1</v>
      </c>
      <c r="T456" s="1">
        <f ca="1">IF(S456=1,T$3*Q455/Prices!C455,-T$3*R455)</f>
        <v>-2.3484623437672848E-4</v>
      </c>
    </row>
    <row r="457" spans="1:20" x14ac:dyDescent="0.2">
      <c r="A457" s="4">
        <v>34145</v>
      </c>
      <c r="B457" s="9">
        <f ca="1">Prices!C456*(1+J457/(50*(ABS(O457)+ABS(T457)+0.0001)))</f>
        <v>107.69219061478721</v>
      </c>
      <c r="C457" s="21">
        <f t="shared" ca="1" si="41"/>
        <v>-1</v>
      </c>
      <c r="D457" s="9">
        <f ca="1">D456+C457*(Prices!C457-Prices!C456)/Prices!C456</f>
        <v>0.2187958056188023</v>
      </c>
      <c r="E457" s="9">
        <f t="shared" ca="1" si="42"/>
        <v>2.2989475722039659E-2</v>
      </c>
      <c r="F457" s="9">
        <f t="shared" ca="1" si="43"/>
        <v>0.24178528134084196</v>
      </c>
      <c r="G457" s="13">
        <f ca="1">IF((Prices!C457-Prices!C456)*C457&gt;0,1,0)</f>
        <v>1</v>
      </c>
      <c r="H457" s="9">
        <f>ABS(Prices!C457-Prices!C456)/Prices!C456</f>
        <v>2.163904235727435E-2</v>
      </c>
      <c r="I457" s="13"/>
      <c r="J457" s="1">
        <f t="shared" ca="1" si="44"/>
        <v>-2.9924555258757808E-4</v>
      </c>
      <c r="K457" s="9"/>
      <c r="L457" s="9">
        <f ca="1">L456-O457*Prices!C457</f>
        <v>1.7091907496225367</v>
      </c>
      <c r="M457" s="1">
        <f t="shared" ca="1" si="45"/>
        <v>4.118455386775635E-3</v>
      </c>
      <c r="N457" s="9">
        <f ca="1">IF(Prices!D456&gt;OFFSET(Prices!D456,-$N$3,0),1,-1)</f>
        <v>-1</v>
      </c>
      <c r="O457" s="1">
        <f ca="1">IF(N457=1,O$3*L456/Prices!C456,-O$3*M456)</f>
        <v>-4.5760615408618169E-4</v>
      </c>
      <c r="P457" s="14"/>
      <c r="Q457" s="9">
        <f ca="1">Q456-T457*Prices!C457</f>
        <v>0.84307225222819071</v>
      </c>
      <c r="R457" s="1">
        <f t="shared" ca="1" si="46"/>
        <v>1.16658260859583E-2</v>
      </c>
      <c r="S457" s="9">
        <f ca="1">IF(Prices!C456&lt;OFFSET(Prices!C456,-S$3,0),1,-1)</f>
        <v>1</v>
      </c>
      <c r="T457" s="1">
        <f ca="1">IF(S457=1,T$3*Q456/Prices!C456,-T$3*R456)</f>
        <v>1.5836060149860358E-4</v>
      </c>
    </row>
    <row r="458" spans="1:20" x14ac:dyDescent="0.2">
      <c r="A458" s="4">
        <v>34148</v>
      </c>
      <c r="B458" s="9">
        <f ca="1">Prices!C457*(1+J458/(50*(ABS(O458)+ABS(T458)+0.0001)))</f>
        <v>105.44774857307722</v>
      </c>
      <c r="C458" s="21">
        <f t="shared" ca="1" si="41"/>
        <v>-1</v>
      </c>
      <c r="D458" s="9">
        <f ca="1">D457+C458*(Prices!C458-Prices!C457)/Prices!C457</f>
        <v>0.2186075703246847</v>
      </c>
      <c r="E458" s="9">
        <f t="shared" ca="1" si="42"/>
        <v>2.317771101615726E-2</v>
      </c>
      <c r="F458" s="9">
        <f t="shared" ca="1" si="43"/>
        <v>0.24178528134084196</v>
      </c>
      <c r="G458" s="13">
        <f ca="1">IF((Prices!C458-Prices!C457)*C458&gt;0,1,0)</f>
        <v>0</v>
      </c>
      <c r="H458" s="9">
        <f>ABS(Prices!C458-Prices!C457)/Prices!C457</f>
        <v>1.8823529411760961E-4</v>
      </c>
      <c r="I458" s="13"/>
      <c r="J458" s="1">
        <f t="shared" ca="1" si="44"/>
        <v>-2.5314958531696291E-4</v>
      </c>
      <c r="K458" s="9"/>
      <c r="L458" s="9">
        <f ca="1">L457-O458*Prices!C458</f>
        <v>1.7529575750178015</v>
      </c>
      <c r="M458" s="1">
        <f t="shared" ca="1" si="45"/>
        <v>3.7066098480980714E-3</v>
      </c>
      <c r="N458" s="9">
        <f ca="1">IF(Prices!D457&gt;OFFSET(Prices!D457,-$N$3,0),1,-1)</f>
        <v>-1</v>
      </c>
      <c r="O458" s="1">
        <f ca="1">IF(N458=1,O$3*L457/Prices!C457,-O$3*M457)</f>
        <v>-4.1184553867756353E-4</v>
      </c>
      <c r="P458" s="14"/>
      <c r="Q458" s="9">
        <f ca="1">Q457-T458*Prices!C458</f>
        <v>0.8262076332645597</v>
      </c>
      <c r="R458" s="1">
        <f t="shared" ca="1" si="46"/>
        <v>1.1824522039318901E-2</v>
      </c>
      <c r="S458" s="9">
        <f ca="1">IF(Prices!C457&lt;OFFSET(Prices!C457,-S$3,0),1,-1)</f>
        <v>1</v>
      </c>
      <c r="T458" s="1">
        <f ca="1">IF(S458=1,T$3*Q457/Prices!C457,-T$3*R457)</f>
        <v>1.586959533606006E-4</v>
      </c>
    </row>
    <row r="459" spans="1:20" x14ac:dyDescent="0.2">
      <c r="A459" s="4">
        <v>34149</v>
      </c>
      <c r="B459" s="9">
        <f ca="1">Prices!C458*(1+J459/(50*(ABS(O459)+ABS(T459)+0.0001)))</f>
        <v>105.53963586791878</v>
      </c>
      <c r="C459" s="21">
        <f t="shared" ca="1" si="41"/>
        <v>-1</v>
      </c>
      <c r="D459" s="9">
        <f ca="1">D458+C459*(Prices!C459-Prices!C458)/Prices!C458</f>
        <v>0.21719607131273394</v>
      </c>
      <c r="E459" s="9">
        <f t="shared" ca="1" si="42"/>
        <v>2.4589210028108016E-2</v>
      </c>
      <c r="F459" s="9">
        <f t="shared" ca="1" si="43"/>
        <v>0.24178528134084196</v>
      </c>
      <c r="G459" s="13">
        <f ca="1">IF((Prices!C459-Prices!C458)*C459&gt;0,1,0)</f>
        <v>0</v>
      </c>
      <c r="H459" s="9">
        <f>ABS(Prices!C459-Prices!C458)/Prices!C458</f>
        <v>1.4114990119507452E-3</v>
      </c>
      <c r="I459" s="13"/>
      <c r="J459" s="1">
        <f t="shared" ca="1" si="44"/>
        <v>-2.151688170739344E-4</v>
      </c>
      <c r="K459" s="9"/>
      <c r="L459" s="9">
        <f ca="1">L458-O459*Prices!C459</f>
        <v>1.7924033170212612</v>
      </c>
      <c r="M459" s="1">
        <f t="shared" ca="1" si="45"/>
        <v>3.3359488632882643E-3</v>
      </c>
      <c r="N459" s="9">
        <f ca="1">IF(Prices!D458&gt;OFFSET(Prices!D458,-$N$3,0),1,-1)</f>
        <v>-1</v>
      </c>
      <c r="O459" s="1">
        <f ca="1">IF(N459=1,O$3*L458/Prices!C458,-O$3*M458)</f>
        <v>-3.7066098480980714E-4</v>
      </c>
      <c r="P459" s="14"/>
      <c r="Q459" s="9">
        <f ca="1">Q458-T459*Prices!C459</f>
        <v>0.80966015677410808</v>
      </c>
      <c r="R459" s="1">
        <f t="shared" ca="1" si="46"/>
        <v>1.1980014207054773E-2</v>
      </c>
      <c r="S459" s="9">
        <f ca="1">IF(Prices!C458&lt;OFFSET(Prices!C458,-S$3,0),1,-1)</f>
        <v>1</v>
      </c>
      <c r="T459" s="1">
        <f ca="1">IF(S459=1,T$3*Q458/Prices!C458,-T$3*R458)</f>
        <v>1.5549216773587274E-4</v>
      </c>
    </row>
    <row r="460" spans="1:20" x14ac:dyDescent="0.2">
      <c r="A460" s="4">
        <v>34150</v>
      </c>
      <c r="B460" s="9">
        <f ca="1">Prices!C459*(1+J460/(50*(ABS(O460)+ABS(T460)+0.0001)))</f>
        <v>105.76075289626553</v>
      </c>
      <c r="C460" s="21">
        <f t="shared" ca="1" si="41"/>
        <v>-1</v>
      </c>
      <c r="D460" s="9">
        <f ca="1">D459+C460*(Prices!C460-Prices!C459)/Prices!C459</f>
        <v>0.20892694896731018</v>
      </c>
      <c r="E460" s="9">
        <f t="shared" ca="1" si="42"/>
        <v>3.2858332373531779E-2</v>
      </c>
      <c r="F460" s="9">
        <f t="shared" ca="1" si="43"/>
        <v>0.24178528134084196</v>
      </c>
      <c r="G460" s="13">
        <f ca="1">IF((Prices!C460-Prices!C459)*C460&gt;0,1,0)</f>
        <v>0</v>
      </c>
      <c r="H460" s="9">
        <f>ABS(Prices!C460-Prices!C459)/Prices!C459</f>
        <v>8.2691223454237489E-3</v>
      </c>
      <c r="I460" s="13"/>
      <c r="J460" s="1">
        <f t="shared" ca="1" si="44"/>
        <v>-1.8143172963382397E-4</v>
      </c>
      <c r="K460" s="9"/>
      <c r="L460" s="9">
        <f ca="1">L459-O460*Prices!C460</f>
        <v>1.8281980483243443</v>
      </c>
      <c r="M460" s="1">
        <f t="shared" ca="1" si="45"/>
        <v>3.002353976959438E-3</v>
      </c>
      <c r="N460" s="9">
        <f ca="1">IF(Prices!D459&gt;OFFSET(Prices!D459,-$N$3,0),1,-1)</f>
        <v>-1</v>
      </c>
      <c r="O460" s="1">
        <f ca="1">IF(N460=1,O$3*L459/Prices!C459,-O$3*M459)</f>
        <v>-3.3359488632882646E-4</v>
      </c>
      <c r="P460" s="14"/>
      <c r="Q460" s="9">
        <f ca="1">Q459-T460*Prices!C460</f>
        <v>0.79333305006073429</v>
      </c>
      <c r="R460" s="1">
        <f t="shared" ca="1" si="46"/>
        <v>1.2132177363749776E-2</v>
      </c>
      <c r="S460" s="9">
        <f ca="1">IF(Prices!C459&lt;OFFSET(Prices!C459,-S$3,0),1,-1)</f>
        <v>1</v>
      </c>
      <c r="T460" s="1">
        <f ca="1">IF(S460=1,T$3*Q459/Prices!C459,-T$3*R459)</f>
        <v>1.5216315669500249E-4</v>
      </c>
    </row>
    <row r="461" spans="1:20" x14ac:dyDescent="0.2">
      <c r="A461" s="4">
        <v>34151</v>
      </c>
      <c r="B461" s="9">
        <f ca="1">Prices!C460*(1+J461/(50*(ABS(O461)+ABS(T461)+0.0001)))</f>
        <v>106.70345273504211</v>
      </c>
      <c r="C461" s="21">
        <f t="shared" ca="1" si="41"/>
        <v>-1</v>
      </c>
      <c r="D461" s="9">
        <f ca="1">D460+C461*(Prices!C461-Prices!C460)/Prices!C460</f>
        <v>0.20827457245286463</v>
      </c>
      <c r="E461" s="9">
        <f t="shared" ca="1" si="42"/>
        <v>3.3510708887977331E-2</v>
      </c>
      <c r="F461" s="9">
        <f t="shared" ca="1" si="43"/>
        <v>0.24178528134084196</v>
      </c>
      <c r="G461" s="13">
        <f ca="1">IF((Prices!C461-Prices!C460)*C461&gt;0,1,0)</f>
        <v>0</v>
      </c>
      <c r="H461" s="9">
        <f>ABS(Prices!C461-Prices!C460)/Prices!C460</f>
        <v>6.5237651444554885E-4</v>
      </c>
      <c r="I461" s="13"/>
      <c r="J461" s="1">
        <f t="shared" ca="1" si="44"/>
        <v>-1.5236344055508002E-4</v>
      </c>
      <c r="K461" s="9"/>
      <c r="L461" s="9">
        <f ca="1">L460-O461*Prices!C461</f>
        <v>1.8604343229749578</v>
      </c>
      <c r="M461" s="1">
        <f t="shared" ca="1" si="45"/>
        <v>2.7021185792634943E-3</v>
      </c>
      <c r="N461" s="9">
        <f ca="1">IF(Prices!D460&gt;OFFSET(Prices!D460,-$N$3,0),1,-1)</f>
        <v>-1</v>
      </c>
      <c r="O461" s="1">
        <f ca="1">IF(N461=1,O$3*L460/Prices!C460,-O$3*M460)</f>
        <v>-3.0023539769594382E-4</v>
      </c>
      <c r="P461" s="14"/>
      <c r="Q461" s="9">
        <f ca="1">Q460-T461*Prices!C461</f>
        <v>0.77745603802251972</v>
      </c>
      <c r="R461" s="1">
        <f t="shared" ca="1" si="46"/>
        <v>1.228004932089064E-2</v>
      </c>
      <c r="S461" s="9">
        <f ca="1">IF(Prices!C460&lt;OFFSET(Prices!C460,-S$3,0),1,-1)</f>
        <v>1</v>
      </c>
      <c r="T461" s="1">
        <f ca="1">IF(S461=1,T$3*Q460/Prices!C460,-T$3*R460)</f>
        <v>1.4787195714086379E-4</v>
      </c>
    </row>
    <row r="462" spans="1:20" x14ac:dyDescent="0.2">
      <c r="A462" s="18">
        <v>34152</v>
      </c>
      <c r="B462" s="9">
        <f ca="1">Prices!C461*(1+J462/(50*(ABS(O462)+ABS(T462)+0.0001)))</f>
        <v>108.90655123840661</v>
      </c>
      <c r="C462" s="21">
        <f t="shared" ca="1" si="41"/>
        <v>1</v>
      </c>
      <c r="D462" s="9">
        <f ca="1">D461+C462*(Prices!C462-Prices!C461)/Prices!C461</f>
        <v>0.21973028633942501</v>
      </c>
      <c r="E462" s="9">
        <f t="shared" ca="1" si="42"/>
        <v>2.2054995001416944E-2</v>
      </c>
      <c r="F462" s="9">
        <f t="shared" ca="1" si="43"/>
        <v>0.24178528134084196</v>
      </c>
      <c r="G462" s="13">
        <f ca="1">IF((Prices!C462-Prices!C461)*C462&gt;0,1,0)</f>
        <v>1</v>
      </c>
      <c r="H462" s="9">
        <f>ABS(Prices!C462-Prices!C461)/Prices!C461</f>
        <v>1.1455713886560396E-2</v>
      </c>
      <c r="I462" s="13"/>
      <c r="J462" s="1">
        <f t="shared" ca="1" si="44"/>
        <v>1.487130989902349E-3</v>
      </c>
      <c r="K462" s="9"/>
      <c r="L462" s="9">
        <f ca="1">L461-O462*Prices!C462</f>
        <v>1.6722596303465882</v>
      </c>
      <c r="M462" s="1">
        <f t="shared" ca="1" si="45"/>
        <v>4.4348505555836561E-3</v>
      </c>
      <c r="N462" s="9">
        <f ca="1">IF(Prices!D461&gt;OFFSET(Prices!D461,-$N$3,0),1,-1)</f>
        <v>1</v>
      </c>
      <c r="O462" s="1">
        <f ca="1">IF(N462=1,O$3*L461/Prices!C461,-O$3*M461)</f>
        <v>1.7327319763201618E-3</v>
      </c>
      <c r="P462" s="14"/>
      <c r="Q462" s="9">
        <f ca="1">Q461-T462*Prices!C462</f>
        <v>0.80412830514749423</v>
      </c>
      <c r="R462" s="1">
        <f t="shared" ca="1" si="46"/>
        <v>1.2034448334472828E-2</v>
      </c>
      <c r="S462" s="9">
        <f ca="1">IF(Prices!C461&lt;OFFSET(Prices!C461,-S$3,0),1,-1)</f>
        <v>-1</v>
      </c>
      <c r="T462" s="1">
        <f ca="1">IF(S462=1,T$3*Q461/Prices!C461,-T$3*R461)</f>
        <v>-2.4560098641781278E-4</v>
      </c>
    </row>
    <row r="463" spans="1:20" x14ac:dyDescent="0.2">
      <c r="A463" s="4">
        <v>34155</v>
      </c>
      <c r="B463" s="9">
        <f ca="1">Prices!C462*(1+J463/(50*(ABS(O463)+ABS(T463)+0.0001)))</f>
        <v>106.70497933601192</v>
      </c>
      <c r="C463" s="21">
        <f t="shared" ca="1" si="41"/>
        <v>-1</v>
      </c>
      <c r="D463" s="9">
        <f ca="1">D462+C463*(Prices!C463-Prices!C462)/Prices!C462</f>
        <v>0.21558663993058522</v>
      </c>
      <c r="E463" s="9">
        <f t="shared" ca="1" si="42"/>
        <v>2.619864141025674E-2</v>
      </c>
      <c r="F463" s="9">
        <f t="shared" ca="1" si="43"/>
        <v>0.24178528134084196</v>
      </c>
      <c r="G463" s="13">
        <f ca="1">IF((Prices!C463-Prices!C462)*C463&gt;0,1,0)</f>
        <v>0</v>
      </c>
      <c r="H463" s="9">
        <f>ABS(Prices!C463-Prices!C462)/Prices!C462</f>
        <v>4.1436464088398057E-3</v>
      </c>
      <c r="I463" s="13"/>
      <c r="J463" s="1">
        <f t="shared" ca="1" si="44"/>
        <v>-6.8417402224782214E-4</v>
      </c>
      <c r="K463" s="9"/>
      <c r="L463" s="9">
        <f ca="1">L462-O463*Prices!C463</f>
        <v>1.7206216756552279</v>
      </c>
      <c r="M463" s="1">
        <f t="shared" ca="1" si="45"/>
        <v>3.9913655000252905E-3</v>
      </c>
      <c r="N463" s="9">
        <f ca="1">IF(Prices!D462&gt;OFFSET(Prices!D462,-$N$3,0),1,-1)</f>
        <v>-1</v>
      </c>
      <c r="O463" s="1">
        <f ca="1">IF(N463=1,O$3*L462/Prices!C462,-O$3*M462)</f>
        <v>-4.4348505555836561E-4</v>
      </c>
      <c r="P463" s="14"/>
      <c r="Q463" s="9">
        <f ca="1">Q462-T463*Prices!C463</f>
        <v>0.83037543696497951</v>
      </c>
      <c r="R463" s="1">
        <f t="shared" ca="1" si="46"/>
        <v>1.1793759367783371E-2</v>
      </c>
      <c r="S463" s="9">
        <f ca="1">IF(Prices!C462&lt;OFFSET(Prices!C462,-S$3,0),1,-1)</f>
        <v>-1</v>
      </c>
      <c r="T463" s="1">
        <f ca="1">IF(S463=1,T$3*Q462/Prices!C462,-T$3*R462)</f>
        <v>-2.4068896668945656E-4</v>
      </c>
    </row>
    <row r="464" spans="1:20" x14ac:dyDescent="0.2">
      <c r="A464" s="4">
        <v>34156</v>
      </c>
      <c r="B464" s="9">
        <f ca="1">Prices!C463*(1+J464/(50*(ABS(O464)+ABS(T464)+0.0001)))</f>
        <v>107.16572995533907</v>
      </c>
      <c r="C464" s="21">
        <f t="shared" ca="1" si="41"/>
        <v>-1</v>
      </c>
      <c r="D464" s="9">
        <f ca="1">D463+C464*(Prices!C464-Prices!C463)/Prices!C463</f>
        <v>0.21613684625795801</v>
      </c>
      <c r="E464" s="9">
        <f t="shared" ca="1" si="42"/>
        <v>2.5648435082883947E-2</v>
      </c>
      <c r="F464" s="9">
        <f t="shared" ca="1" si="43"/>
        <v>0.24178528134084196</v>
      </c>
      <c r="G464" s="13">
        <f ca="1">IF((Prices!C464-Prices!C463)*C464&gt;0,1,0)</f>
        <v>1</v>
      </c>
      <c r="H464" s="9">
        <f>ABS(Prices!C464-Prices!C463)/Prices!C463</f>
        <v>5.502063273727857E-4</v>
      </c>
      <c r="I464" s="13"/>
      <c r="J464" s="1">
        <f t="shared" ca="1" si="44"/>
        <v>-6.3501173735819641E-4</v>
      </c>
      <c r="K464" s="9"/>
      <c r="L464" s="9">
        <f ca="1">L463-O464*Prices!C464</f>
        <v>1.7641235682400036</v>
      </c>
      <c r="M464" s="1">
        <f t="shared" ca="1" si="45"/>
        <v>3.5922289500227612E-3</v>
      </c>
      <c r="N464" s="9">
        <f ca="1">IF(Prices!D463&gt;OFFSET(Prices!D463,-$N$3,0),1,-1)</f>
        <v>-1</v>
      </c>
      <c r="O464" s="1">
        <f ca="1">IF(N464=1,O$3*L463/Prices!C463,-O$3*M463)</f>
        <v>-3.9913655000252906E-4</v>
      </c>
      <c r="P464" s="14"/>
      <c r="Q464" s="9">
        <f ca="1">Q463-T464*Prices!C464</f>
        <v>0.85608347363487369</v>
      </c>
      <c r="R464" s="1">
        <f t="shared" ca="1" si="46"/>
        <v>1.1557884180427703E-2</v>
      </c>
      <c r="S464" s="9">
        <f ca="1">IF(Prices!C463&lt;OFFSET(Prices!C463,-S$3,0),1,-1)</f>
        <v>-1</v>
      </c>
      <c r="T464" s="1">
        <f ca="1">IF(S464=1,T$3*Q463/Prices!C463,-T$3*R463)</f>
        <v>-2.3587518735566741E-4</v>
      </c>
    </row>
    <row r="465" spans="1:20" x14ac:dyDescent="0.2">
      <c r="A465" s="4">
        <v>34157</v>
      </c>
      <c r="B465" s="9">
        <f ca="1">Prices!C464*(1+J465/(50*(ABS(O465)+ABS(T465)+0.0001)))</f>
        <v>110.54114319001303</v>
      </c>
      <c r="C465" s="21">
        <f t="shared" ca="1" si="41"/>
        <v>1</v>
      </c>
      <c r="D465" s="9">
        <f ca="1">D464+C465*(Prices!C465-Prices!C464)/Prices!C464</f>
        <v>0.20319987956376592</v>
      </c>
      <c r="E465" s="9">
        <f t="shared" ca="1" si="42"/>
        <v>3.8585401777076034E-2</v>
      </c>
      <c r="F465" s="9">
        <f t="shared" ca="1" si="43"/>
        <v>0.24178528134084196</v>
      </c>
      <c r="G465" s="13">
        <f ca="1">IF((Prices!C465-Prices!C464)*C465&gt;0,1,0)</f>
        <v>0</v>
      </c>
      <c r="H465" s="9">
        <f>ABS(Prices!C465-Prices!C464)/Prices!C464</f>
        <v>1.2936966694192097E-2</v>
      </c>
      <c r="I465" s="13"/>
      <c r="J465" s="1">
        <f t="shared" ca="1" si="44"/>
        <v>1.3874528019772827E-3</v>
      </c>
      <c r="K465" s="9"/>
      <c r="L465" s="9">
        <f ca="1">L464-O465*Prices!C465</f>
        <v>1.5899934522006793</v>
      </c>
      <c r="M465" s="1">
        <f t="shared" ca="1" si="45"/>
        <v>5.2108394356085979E-3</v>
      </c>
      <c r="N465" s="9">
        <f ca="1">IF(Prices!D464&gt;OFFSET(Prices!D464,-$N$3,0),1,-1)</f>
        <v>1</v>
      </c>
      <c r="O465" s="1">
        <f ca="1">IF(N465=1,O$3*L464/Prices!C464,-O$3*M464)</f>
        <v>1.6186104855858369E-3</v>
      </c>
      <c r="P465" s="14"/>
      <c r="Q465" s="9">
        <f ca="1">Q464-T465*Prices!C465</f>
        <v>0.88095141723748194</v>
      </c>
      <c r="R465" s="1">
        <f t="shared" ca="1" si="46"/>
        <v>1.1326726496819149E-2</v>
      </c>
      <c r="S465" s="9">
        <f ca="1">IF(Prices!C464&lt;OFFSET(Prices!C464,-S$3,0),1,-1)</f>
        <v>-1</v>
      </c>
      <c r="T465" s="1">
        <f ca="1">IF(S465=1,T$3*Q464/Prices!C464,-T$3*R464)</f>
        <v>-2.3115768360855408E-4</v>
      </c>
    </row>
    <row r="466" spans="1:20" x14ac:dyDescent="0.2">
      <c r="A466" s="4">
        <v>34158</v>
      </c>
      <c r="B466" s="9">
        <f ca="1">Prices!C465*(1+J466/(50*(ABS(O466)+ABS(T466)+0.0001)))</f>
        <v>109.07214613859483</v>
      </c>
      <c r="C466" s="21">
        <f t="shared" ref="C466:C529" ca="1" si="47">IF(J466&gt;0,1,IF(J466&lt;0,-1,0))</f>
        <v>1</v>
      </c>
      <c r="D466" s="9">
        <f ca="1">D465+C466*(Prices!C466-Prices!C465)/Prices!C465</f>
        <v>0.21268119579354838</v>
      </c>
      <c r="E466" s="9">
        <f t="shared" ref="E466:E529" ca="1" si="48">F466-D466</f>
        <v>2.9104085547293573E-2</v>
      </c>
      <c r="F466" s="9">
        <f t="shared" ref="F466:F529" ca="1" si="49">MAX(F465,D466)</f>
        <v>0.24178528134084196</v>
      </c>
      <c r="G466" s="13">
        <f ca="1">IF((Prices!C466-Prices!C465)*C466&gt;0,1,0)</f>
        <v>1</v>
      </c>
      <c r="H466" s="9">
        <f>ABS(Prices!C466-Prices!C465)/Prices!C465</f>
        <v>9.4813162297824501E-3</v>
      </c>
      <c r="I466" s="13"/>
      <c r="J466" s="1">
        <f t="shared" ref="J466:J529" ca="1" si="50">O466+T466</f>
        <v>1.251429266494812E-3</v>
      </c>
      <c r="K466" s="9"/>
      <c r="L466" s="9">
        <f ca="1">L465-O466*Prices!C466</f>
        <v>1.4294865839082516</v>
      </c>
      <c r="M466" s="1">
        <f t="shared" ref="M466:M529" ca="1" si="51">M465+O466</f>
        <v>6.6888032320397929E-3</v>
      </c>
      <c r="N466" s="9">
        <f ca="1">IF(Prices!D465&gt;OFFSET(Prices!D465,-$N$3,0),1,-1)</f>
        <v>1</v>
      </c>
      <c r="O466" s="1">
        <f ca="1">IF(N466=1,O$3*L465/Prices!C465,-O$3*M465)</f>
        <v>1.477963796431195E-3</v>
      </c>
      <c r="P466" s="14"/>
      <c r="Q466" s="9">
        <f ca="1">Q465-T466*Prices!C466</f>
        <v>0.90555306718857309</v>
      </c>
      <c r="R466" s="1">
        <f t="shared" ref="R466:R529" ca="1" si="52">R465+T466</f>
        <v>1.1100191966882765E-2</v>
      </c>
      <c r="S466" s="9">
        <f ca="1">IF(Prices!C465&lt;OFFSET(Prices!C465,-S$3,0),1,-1)</f>
        <v>-1</v>
      </c>
      <c r="T466" s="1">
        <f ca="1">IF(S466=1,T$3*Q465/Prices!C465,-T$3*R465)</f>
        <v>-2.2653452993638299E-4</v>
      </c>
    </row>
    <row r="467" spans="1:20" x14ac:dyDescent="0.2">
      <c r="A467" s="4">
        <v>34159</v>
      </c>
      <c r="B467" s="9">
        <f ca="1">Prices!C466*(1+J467/(50*(ABS(O467)+ABS(T467)+0.0001)))</f>
        <v>106.64719817493386</v>
      </c>
      <c r="C467" s="21">
        <f t="shared" ca="1" si="47"/>
        <v>-1</v>
      </c>
      <c r="D467" s="9">
        <f ca="1">D466+C467*(Prices!C467-Prices!C466)/Prices!C466</f>
        <v>0.19978985141049124</v>
      </c>
      <c r="E467" s="9">
        <f t="shared" ca="1" si="48"/>
        <v>4.1995429930350714E-2</v>
      </c>
      <c r="F467" s="9">
        <f t="shared" ca="1" si="49"/>
        <v>0.24178528134084196</v>
      </c>
      <c r="G467" s="13">
        <f ca="1">IF((Prices!C467-Prices!C466)*C467&gt;0,1,0)</f>
        <v>0</v>
      </c>
      <c r="H467" s="9">
        <f>ABS(Prices!C467-Prices!C466)/Prices!C466</f>
        <v>1.2891344383057144E-2</v>
      </c>
      <c r="I467" s="13"/>
      <c r="J467" s="1">
        <f t="shared" ca="1" si="50"/>
        <v>-8.9088416254163466E-4</v>
      </c>
      <c r="K467" s="9"/>
      <c r="L467" s="9">
        <f ca="1">L466-O467*Prices!C467</f>
        <v>1.5030634194606893</v>
      </c>
      <c r="M467" s="1">
        <f t="shared" ca="1" si="51"/>
        <v>6.0199229088358135E-3</v>
      </c>
      <c r="N467" s="9">
        <f ca="1">IF(Prices!D466&gt;OFFSET(Prices!D466,-$N$3,0),1,-1)</f>
        <v>-1</v>
      </c>
      <c r="O467" s="1">
        <f ca="1">IF(N467=1,O$3*L466/Prices!C466,-O$3*M466)</f>
        <v>-6.6888032320397937E-4</v>
      </c>
      <c r="P467" s="14"/>
      <c r="Q467" s="9">
        <f ca="1">Q466-T467*Prices!C467</f>
        <v>0.92997348951571512</v>
      </c>
      <c r="R467" s="1">
        <f t="shared" ca="1" si="52"/>
        <v>1.087818812754511E-2</v>
      </c>
      <c r="S467" s="9">
        <f ca="1">IF(Prices!C466&lt;OFFSET(Prices!C466,-S$3,0),1,-1)</f>
        <v>-1</v>
      </c>
      <c r="T467" s="1">
        <f ca="1">IF(S467=1,T$3*Q466/Prices!C466,-T$3*R466)</f>
        <v>-2.2200383933765531E-4</v>
      </c>
    </row>
    <row r="468" spans="1:20" x14ac:dyDescent="0.2">
      <c r="A468" s="4">
        <v>34162</v>
      </c>
      <c r="B468" s="9">
        <f ca="1">Prices!C467*(1+J468/(50*(ABS(O468)+ABS(T468)+0.0001)))</f>
        <v>108.03924588303053</v>
      </c>
      <c r="C468" s="21">
        <f t="shared" ca="1" si="47"/>
        <v>-1</v>
      </c>
      <c r="D468" s="9">
        <f ca="1">D467+C468*(Prices!C468-Prices!C467)/Prices!C467</f>
        <v>0.20569894231958219</v>
      </c>
      <c r="E468" s="9">
        <f t="shared" ca="1" si="48"/>
        <v>3.6086339021259767E-2</v>
      </c>
      <c r="F468" s="9">
        <f t="shared" ca="1" si="49"/>
        <v>0.24178528134084196</v>
      </c>
      <c r="G468" s="13">
        <f ca="1">IF((Prices!C468-Prices!C467)*C468&gt;0,1,0)</f>
        <v>1</v>
      </c>
      <c r="H468" s="9">
        <f>ABS(Prices!C468-Prices!C467)/Prices!C467</f>
        <v>5.909090909090961E-3</v>
      </c>
      <c r="I468" s="13"/>
      <c r="J468" s="1">
        <f t="shared" ca="1" si="50"/>
        <v>-8.1955605343448366E-4</v>
      </c>
      <c r="K468" s="9"/>
      <c r="L468" s="9">
        <f ca="1">L467-O468*Prices!C468</f>
        <v>1.568891276468809</v>
      </c>
      <c r="M468" s="1">
        <f t="shared" ca="1" si="51"/>
        <v>5.4179306179522324E-3</v>
      </c>
      <c r="N468" s="9">
        <f ca="1">IF(Prices!D467&gt;OFFSET(Prices!D467,-$N$3,0),1,-1)</f>
        <v>-1</v>
      </c>
      <c r="O468" s="1">
        <f ca="1">IF(N468=1,O$3*L467/Prices!C467,-O$3*M467)</f>
        <v>-6.0199229088358141E-4</v>
      </c>
      <c r="P468" s="14"/>
      <c r="Q468" s="9">
        <f ca="1">Q467-T468*Prices!C468</f>
        <v>0.95376408695065629</v>
      </c>
      <c r="R468" s="1">
        <f t="shared" ca="1" si="52"/>
        <v>1.0660624364994209E-2</v>
      </c>
      <c r="S468" s="9">
        <f ca="1">IF(Prices!C467&lt;OFFSET(Prices!C467,-S$3,0),1,-1)</f>
        <v>-1</v>
      </c>
      <c r="T468" s="1">
        <f ca="1">IF(S468=1,T$3*Q467/Prices!C467,-T$3*R467)</f>
        <v>-2.1756376255090221E-4</v>
      </c>
    </row>
    <row r="469" spans="1:20" x14ac:dyDescent="0.2">
      <c r="A469" s="4">
        <v>34163</v>
      </c>
      <c r="B469" s="9">
        <f ca="1">Prices!C468*(1+J469/(50*(ABS(O469)+ABS(T469)+0.0001)))</f>
        <v>107.41878781357789</v>
      </c>
      <c r="C469" s="21">
        <f t="shared" ca="1" si="47"/>
        <v>-1</v>
      </c>
      <c r="D469" s="9">
        <f ca="1">D468+C469*(Prices!C469-Prices!C468)/Prices!C468</f>
        <v>0.21685577816777604</v>
      </c>
      <c r="E469" s="9">
        <f t="shared" ca="1" si="48"/>
        <v>2.4929503173065914E-2</v>
      </c>
      <c r="F469" s="9">
        <f t="shared" ca="1" si="49"/>
        <v>0.24178528134084196</v>
      </c>
      <c r="G469" s="13">
        <f ca="1">IF((Prices!C469-Prices!C468)*C469&gt;0,1,0)</f>
        <v>1</v>
      </c>
      <c r="H469" s="9">
        <f>ABS(Prices!C469-Prices!C468)/Prices!C468</f>
        <v>1.1156835848193863E-2</v>
      </c>
      <c r="I469" s="13"/>
      <c r="J469" s="1">
        <f t="shared" ca="1" si="50"/>
        <v>-7.5500554909510749E-4</v>
      </c>
      <c r="K469" s="9"/>
      <c r="L469" s="9">
        <f ca="1">L468-O469*Prices!C469</f>
        <v>1.6274753602407266</v>
      </c>
      <c r="M469" s="1">
        <f t="shared" ca="1" si="51"/>
        <v>4.8761375561570093E-3</v>
      </c>
      <c r="N469" s="9">
        <f ca="1">IF(Prices!D468&gt;OFFSET(Prices!D468,-$N$3,0),1,-1)</f>
        <v>-1</v>
      </c>
      <c r="O469" s="1">
        <f ca="1">IF(N469=1,O$3*L468/Prices!C468,-O$3*M468)</f>
        <v>-5.4179306179522328E-4</v>
      </c>
      <c r="P469" s="14"/>
      <c r="Q469" s="9">
        <f ca="1">Q468-T469*Prices!C469</f>
        <v>0.97681875320239275</v>
      </c>
      <c r="R469" s="1">
        <f t="shared" ca="1" si="52"/>
        <v>1.0447411877694325E-2</v>
      </c>
      <c r="S469" s="9">
        <f ca="1">IF(Prices!C468&lt;OFFSET(Prices!C468,-S$3,0),1,-1)</f>
        <v>-1</v>
      </c>
      <c r="T469" s="1">
        <f ca="1">IF(S469=1,T$3*Q468/Prices!C468,-T$3*R468)</f>
        <v>-2.1321248729988418E-4</v>
      </c>
    </row>
    <row r="470" spans="1:20" x14ac:dyDescent="0.2">
      <c r="A470" s="4">
        <v>34164</v>
      </c>
      <c r="B470" s="9">
        <f ca="1">Prices!C469*(1+J470/(50*(ABS(O470)+ABS(T470)+0.0001)))</f>
        <v>109.67519812108773</v>
      </c>
      <c r="C470" s="21">
        <f t="shared" ca="1" si="47"/>
        <v>1</v>
      </c>
      <c r="D470" s="9">
        <f ca="1">D469+C470*(Prices!C470-Prices!C469)/Prices!C469</f>
        <v>0.20686780073320657</v>
      </c>
      <c r="E470" s="9">
        <f t="shared" ca="1" si="48"/>
        <v>3.4917480607635387E-2</v>
      </c>
      <c r="F470" s="9">
        <f t="shared" ca="1" si="49"/>
        <v>0.24178528134084196</v>
      </c>
      <c r="G470" s="13">
        <f ca="1">IF((Prices!C470-Prices!C469)*C470&gt;0,1,0)</f>
        <v>0</v>
      </c>
      <c r="H470" s="9">
        <f>ABS(Prices!C470-Prices!C469)/Prices!C469</f>
        <v>9.9879774345694849E-3</v>
      </c>
      <c r="I470" s="13"/>
      <c r="J470" s="1">
        <f t="shared" ca="1" si="50"/>
        <v>1.2961616859092843E-3</v>
      </c>
      <c r="K470" s="9"/>
      <c r="L470" s="9">
        <f ca="1">L469-O470*Prices!C470</f>
        <v>1.4663533429339941</v>
      </c>
      <c r="M470" s="1">
        <f t="shared" ca="1" si="51"/>
        <v>6.38124747962018E-3</v>
      </c>
      <c r="N470" s="9">
        <f ca="1">IF(Prices!D469&gt;OFFSET(Prices!D469,-$N$3,0),1,-1)</f>
        <v>1</v>
      </c>
      <c r="O470" s="1">
        <f ca="1">IF(N470=1,O$3*L469/Prices!C469,-O$3*M469)</f>
        <v>1.5051099234631709E-3</v>
      </c>
      <c r="P470" s="14"/>
      <c r="Q470" s="9">
        <f ca="1">Q469-T470*Prices!C470</f>
        <v>0.99918666203253625</v>
      </c>
      <c r="R470" s="1">
        <f t="shared" ca="1" si="52"/>
        <v>1.0238463640140439E-2</v>
      </c>
      <c r="S470" s="9">
        <f ca="1">IF(Prices!C469&lt;OFFSET(Prices!C469,-S$3,0),1,-1)</f>
        <v>-1</v>
      </c>
      <c r="T470" s="1">
        <f ca="1">IF(S470=1,T$3*Q469/Prices!C469,-T$3*R469)</f>
        <v>-2.0894823755388651E-4</v>
      </c>
    </row>
    <row r="471" spans="1:20" x14ac:dyDescent="0.2">
      <c r="A471" s="4">
        <v>34165</v>
      </c>
      <c r="B471" s="9">
        <f ca="1">Prices!C470*(1+J471/(50*(ABS(O471)+ABS(T471)+0.0001)))</f>
        <v>106.00485620630026</v>
      </c>
      <c r="C471" s="21">
        <f t="shared" ca="1" si="47"/>
        <v>-1</v>
      </c>
      <c r="D471" s="9">
        <f ca="1">D470+C471*(Prices!C471-Prices!C470)/Prices!C470</f>
        <v>0.19565808564679832</v>
      </c>
      <c r="E471" s="9">
        <f t="shared" ca="1" si="48"/>
        <v>4.6127195694043638E-2</v>
      </c>
      <c r="F471" s="9">
        <f t="shared" ca="1" si="49"/>
        <v>0.24178528134084196</v>
      </c>
      <c r="G471" s="13">
        <f ca="1">IF((Prices!C471-Prices!C470)*C471&gt;0,1,0)</f>
        <v>0</v>
      </c>
      <c r="H471" s="9">
        <f>ABS(Prices!C471-Prices!C470)/Prices!C470</f>
        <v>1.1209715086408247E-2</v>
      </c>
      <c r="I471" s="13"/>
      <c r="J471" s="1">
        <f t="shared" ca="1" si="50"/>
        <v>-4.5144811796995153E-4</v>
      </c>
      <c r="K471" s="9"/>
      <c r="L471" s="9">
        <f ca="1">L470-O471*Prices!C471</f>
        <v>1.5354303469008825</v>
      </c>
      <c r="M471" s="1">
        <f t="shared" ca="1" si="51"/>
        <v>5.7431227316581618E-3</v>
      </c>
      <c r="N471" s="9">
        <f ca="1">IF(Prices!D470&gt;OFFSET(Prices!D470,-$N$3,0),1,-1)</f>
        <v>-1</v>
      </c>
      <c r="O471" s="1">
        <f ca="1">IF(N471=1,O$3*L470/Prices!C470,-O$3*M470)</f>
        <v>-6.3812474796201806E-4</v>
      </c>
      <c r="P471" s="14"/>
      <c r="Q471" s="9">
        <f ca="1">Q470-T471*Prices!C471</f>
        <v>0.978978916835895</v>
      </c>
      <c r="R471" s="1">
        <f t="shared" ca="1" si="52"/>
        <v>1.0425140270132506E-2</v>
      </c>
      <c r="S471" s="9">
        <f ca="1">IF(Prices!C470&lt;OFFSET(Prices!C470,-S$3,0),1,-1)</f>
        <v>1</v>
      </c>
      <c r="T471" s="1">
        <f ca="1">IF(S471=1,T$3*Q470/Prices!C470,-T$3*R470)</f>
        <v>1.8667662999206656E-4</v>
      </c>
    </row>
    <row r="472" spans="1:20" x14ac:dyDescent="0.2">
      <c r="A472" s="4">
        <v>34166</v>
      </c>
      <c r="B472" s="9">
        <f ca="1">Prices!C471*(1+J472/(50*(ABS(O472)+ABS(T472)+0.0001)))</f>
        <v>107.25396577057013</v>
      </c>
      <c r="C472" s="21">
        <f t="shared" ca="1" si="47"/>
        <v>-1</v>
      </c>
      <c r="D472" s="9">
        <f ca="1">D471+C472*(Prices!C472-Prices!C471)/Prices!C471</f>
        <v>0.20212459834887686</v>
      </c>
      <c r="E472" s="9">
        <f t="shared" ca="1" si="48"/>
        <v>3.9660682991965096E-2</v>
      </c>
      <c r="F472" s="9">
        <f t="shared" ca="1" si="49"/>
        <v>0.24178528134084196</v>
      </c>
      <c r="G472" s="13">
        <f ca="1">IF((Prices!C472-Prices!C471)*C472&gt;0,1,0)</f>
        <v>1</v>
      </c>
      <c r="H472" s="9">
        <f>ABS(Prices!C472-Prices!C471)/Prices!C471</f>
        <v>6.4665127020785479E-3</v>
      </c>
      <c r="I472" s="13"/>
      <c r="J472" s="1">
        <f t="shared" ca="1" si="50"/>
        <v>-3.9343857028620516E-4</v>
      </c>
      <c r="K472" s="9"/>
      <c r="L472" s="9">
        <f ca="1">L471-O472*Prices!C472</f>
        <v>1.5971976318798662</v>
      </c>
      <c r="M472" s="1">
        <f t="shared" ca="1" si="51"/>
        <v>5.1688104584923459E-3</v>
      </c>
      <c r="N472" s="9">
        <f ca="1">IF(Prices!D471&gt;OFFSET(Prices!D471,-$N$3,0),1,-1)</f>
        <v>-1</v>
      </c>
      <c r="O472" s="1">
        <f ca="1">IF(N472=1,O$3*L471/Prices!C471,-O$3*M471)</f>
        <v>-5.7431227316581625E-4</v>
      </c>
      <c r="P472" s="14"/>
      <c r="Q472" s="9">
        <f ca="1">Q471-T472*Prices!C472</f>
        <v>0.95952595009119279</v>
      </c>
      <c r="R472" s="1">
        <f t="shared" ca="1" si="52"/>
        <v>1.0606013973012116E-2</v>
      </c>
      <c r="S472" s="9">
        <f ca="1">IF(Prices!C471&lt;OFFSET(Prices!C471,-S$3,0),1,-1)</f>
        <v>1</v>
      </c>
      <c r="T472" s="1">
        <f ca="1">IF(S472=1,T$3*Q471/Prices!C471,-T$3*R471)</f>
        <v>1.8087370287961108E-4</v>
      </c>
    </row>
    <row r="473" spans="1:20" x14ac:dyDescent="0.2">
      <c r="A473" s="4">
        <v>34169</v>
      </c>
      <c r="B473" s="9">
        <f ca="1">Prices!C472*(1+J473/(50*(ABS(O473)+ABS(T473)+0.0001)))</f>
        <v>106.63463791241468</v>
      </c>
      <c r="C473" s="21">
        <f t="shared" ca="1" si="47"/>
        <v>-1</v>
      </c>
      <c r="D473" s="9">
        <f ca="1">D472+C473*(Prices!C473-Prices!C472)/Prices!C472</f>
        <v>0.19282659741907676</v>
      </c>
      <c r="E473" s="9">
        <f t="shared" ca="1" si="48"/>
        <v>4.8958683921765195E-2</v>
      </c>
      <c r="F473" s="9">
        <f t="shared" ca="1" si="49"/>
        <v>0.24178528134084196</v>
      </c>
      <c r="G473" s="13">
        <f ca="1">IF((Prices!C473-Prices!C472)*C473&gt;0,1,0)</f>
        <v>0</v>
      </c>
      <c r="H473" s="9">
        <f>ABS(Prices!C473-Prices!C472)/Prices!C472</f>
        <v>9.2980009298000935E-3</v>
      </c>
      <c r="I473" s="13"/>
      <c r="J473" s="1">
        <f t="shared" ca="1" si="50"/>
        <v>-3.3844758232693002E-4</v>
      </c>
      <c r="K473" s="9"/>
      <c r="L473" s="9">
        <f ca="1">L472-O473*Prices!C473</f>
        <v>1.6533050694068006</v>
      </c>
      <c r="M473" s="1">
        <f t="shared" ca="1" si="51"/>
        <v>4.6519294126431115E-3</v>
      </c>
      <c r="N473" s="9">
        <f ca="1">IF(Prices!D472&gt;OFFSET(Prices!D472,-$N$3,0),1,-1)</f>
        <v>-1</v>
      </c>
      <c r="O473" s="1">
        <f ca="1">IF(N473=1,O$3*L472/Prices!C472,-O$3*M472)</f>
        <v>-5.1688104584923463E-4</v>
      </c>
      <c r="P473" s="14"/>
      <c r="Q473" s="9">
        <f ca="1">Q472-T473*Prices!C473</f>
        <v>0.94015699762584659</v>
      </c>
      <c r="R473" s="1">
        <f t="shared" ca="1" si="52"/>
        <v>1.0784447436534421E-2</v>
      </c>
      <c r="S473" s="9">
        <f ca="1">IF(Prices!C472&lt;OFFSET(Prices!C472,-S$3,0),1,-1)</f>
        <v>1</v>
      </c>
      <c r="T473" s="1">
        <f ca="1">IF(S473=1,T$3*Q472/Prices!C472,-T$3*R472)</f>
        <v>1.7843346352230458E-4</v>
      </c>
    </row>
    <row r="474" spans="1:20" x14ac:dyDescent="0.2">
      <c r="A474" s="4">
        <v>34170</v>
      </c>
      <c r="B474" s="9">
        <f ca="1">Prices!C473*(1+J474/(50*(ABS(O474)+ABS(T474)+0.0001)))</f>
        <v>106.6570189972153</v>
      </c>
      <c r="C474" s="21">
        <f t="shared" ca="1" si="47"/>
        <v>-1</v>
      </c>
      <c r="D474" s="9">
        <f ca="1">D473+C474*(Prices!C474-Prices!C473)/Prices!C473</f>
        <v>0.19632728834491733</v>
      </c>
      <c r="E474" s="9">
        <f t="shared" ca="1" si="48"/>
        <v>4.5457992995924623E-2</v>
      </c>
      <c r="F474" s="9">
        <f t="shared" ca="1" si="49"/>
        <v>0.24178528134084196</v>
      </c>
      <c r="G474" s="13">
        <f ca="1">IF((Prices!C474-Prices!C473)*C474&gt;0,1,0)</f>
        <v>1</v>
      </c>
      <c r="H474" s="9">
        <f>ABS(Prices!C474-Prices!C473)/Prices!C473</f>
        <v>3.5006909258405846E-3</v>
      </c>
      <c r="I474" s="13"/>
      <c r="J474" s="1">
        <f t="shared" ca="1" si="50"/>
        <v>-6.8088188999499962E-4</v>
      </c>
      <c r="K474" s="9"/>
      <c r="L474" s="9">
        <f ca="1">L473-O474*Prices!C474</f>
        <v>1.7036249898633611</v>
      </c>
      <c r="M474" s="1">
        <f t="shared" ca="1" si="51"/>
        <v>4.1867364713788005E-3</v>
      </c>
      <c r="N474" s="9">
        <f ca="1">IF(Prices!D473&gt;OFFSET(Prices!D473,-$N$3,0),1,-1)</f>
        <v>-1</v>
      </c>
      <c r="O474" s="1">
        <f ca="1">IF(N474=1,O$3*L473/Prices!C473,-O$3*M473)</f>
        <v>-4.6519294126431119E-4</v>
      </c>
      <c r="P474" s="14"/>
      <c r="Q474" s="9">
        <f ca="1">Q473-T474*Prices!C474</f>
        <v>0.9634880712100452</v>
      </c>
      <c r="R474" s="1">
        <f t="shared" ca="1" si="52"/>
        <v>1.0568758487803732E-2</v>
      </c>
      <c r="S474" s="9">
        <f ca="1">IF(Prices!C473&lt;OFFSET(Prices!C473,-S$3,0),1,-1)</f>
        <v>-1</v>
      </c>
      <c r="T474" s="1">
        <f ca="1">IF(S474=1,T$3*Q473/Prices!C473,-T$3*R473)</f>
        <v>-2.1568894873068842E-4</v>
      </c>
    </row>
    <row r="475" spans="1:20" x14ac:dyDescent="0.2">
      <c r="A475" s="4">
        <v>34171</v>
      </c>
      <c r="B475" s="9">
        <f ca="1">Prices!C474*(1+J475/(50*(ABS(O475)+ABS(T475)+0.0001)))</f>
        <v>109.73386539707926</v>
      </c>
      <c r="C475" s="21">
        <f t="shared" ca="1" si="47"/>
        <v>1</v>
      </c>
      <c r="D475" s="9">
        <f ca="1">D474+C475*(Prices!C475-Prices!C474)/Prices!C474</f>
        <v>0.19614239419681717</v>
      </c>
      <c r="E475" s="9">
        <f t="shared" ca="1" si="48"/>
        <v>4.5642887144024785E-2</v>
      </c>
      <c r="F475" s="9">
        <f t="shared" ca="1" si="49"/>
        <v>0.24178528134084196</v>
      </c>
      <c r="G475" s="13">
        <f ca="1">IF((Prices!C475-Prices!C474)*C475&gt;0,1,0)</f>
        <v>0</v>
      </c>
      <c r="H475" s="9">
        <f>ABS(Prices!C475-Prices!C474)/Prices!C474</f>
        <v>1.8489414810017585E-4</v>
      </c>
      <c r="I475" s="13"/>
      <c r="J475" s="1">
        <f t="shared" ca="1" si="50"/>
        <v>1.3635762861590232E-3</v>
      </c>
      <c r="K475" s="9"/>
      <c r="L475" s="9">
        <f ca="1">L474-O475*Prices!C475</f>
        <v>1.5332939899061433</v>
      </c>
      <c r="M475" s="1">
        <f t="shared" ca="1" si="51"/>
        <v>5.7616879272938985E-3</v>
      </c>
      <c r="N475" s="9">
        <f ca="1">IF(Prices!D474&gt;OFFSET(Prices!D474,-$N$3,0),1,-1)</f>
        <v>1</v>
      </c>
      <c r="O475" s="1">
        <f ca="1">IF(N475=1,O$3*L474/Prices!C474,-O$3*M474)</f>
        <v>1.5749514559150978E-3</v>
      </c>
      <c r="P475" s="14"/>
      <c r="Q475" s="9">
        <f ca="1">Q474-T475*Prices!C475</f>
        <v>0.98634829581916472</v>
      </c>
      <c r="R475" s="1">
        <f t="shared" ca="1" si="52"/>
        <v>1.0357383318047657E-2</v>
      </c>
      <c r="S475" s="9">
        <f ca="1">IF(Prices!C474&lt;OFFSET(Prices!C474,-S$3,0),1,-1)</f>
        <v>-1</v>
      </c>
      <c r="T475" s="1">
        <f ca="1">IF(S475=1,T$3*Q474/Prices!C474,-T$3*R474)</f>
        <v>-2.1137516975607465E-4</v>
      </c>
    </row>
    <row r="476" spans="1:20" x14ac:dyDescent="0.2">
      <c r="A476" s="4">
        <v>34172</v>
      </c>
      <c r="B476" s="9">
        <f ca="1">Prices!C475*(1+J476/(50*(ABS(O476)+ABS(T476)+0.0001)))</f>
        <v>110.18577603006953</v>
      </c>
      <c r="C476" s="21">
        <f t="shared" ca="1" si="47"/>
        <v>1</v>
      </c>
      <c r="D476" s="9">
        <f ca="1">D475+C476*(Prices!C476-Prices!C475)/Prices!C475</f>
        <v>0.17348867251396924</v>
      </c>
      <c r="E476" s="9">
        <f t="shared" ca="1" si="48"/>
        <v>6.8296608826872718E-2</v>
      </c>
      <c r="F476" s="9">
        <f t="shared" ca="1" si="49"/>
        <v>0.24178528134084196</v>
      </c>
      <c r="G476" s="13">
        <f ca="1">IF((Prices!C476-Prices!C475)*C476&gt;0,1,0)</f>
        <v>0</v>
      </c>
      <c r="H476" s="9">
        <f>ABS(Prices!C476-Prices!C475)/Prices!C475</f>
        <v>2.2653721682847922E-2</v>
      </c>
      <c r="I476" s="13"/>
      <c r="J476" s="1">
        <f t="shared" ca="1" si="50"/>
        <v>1.6001513167544859E-3</v>
      </c>
      <c r="K476" s="9"/>
      <c r="L476" s="9">
        <f ca="1">L475-O476*Prices!C476</f>
        <v>1.3834380724460607</v>
      </c>
      <c r="M476" s="1">
        <f t="shared" ca="1" si="51"/>
        <v>7.1794354907762318E-3</v>
      </c>
      <c r="N476" s="9">
        <f ca="1">IF(Prices!D475&gt;OFFSET(Prices!D475,-$N$3,0),1,-1)</f>
        <v>1</v>
      </c>
      <c r="O476" s="1">
        <f ca="1">IF(N476=1,O$3*L475/Prices!C475,-O$3*M475)</f>
        <v>1.4177475634823333E-3</v>
      </c>
      <c r="P476" s="14"/>
      <c r="Q476" s="9">
        <f ca="1">Q475-T476*Prices!C476</f>
        <v>0.96706821909829821</v>
      </c>
      <c r="R476" s="1">
        <f t="shared" ca="1" si="52"/>
        <v>1.053978707131981E-2</v>
      </c>
      <c r="S476" s="9">
        <f ca="1">IF(Prices!C475&lt;OFFSET(Prices!C475,-S$3,0),1,-1)</f>
        <v>1</v>
      </c>
      <c r="T476" s="1">
        <f ca="1">IF(S476=1,T$3*Q475/Prices!C475,-T$3*R475)</f>
        <v>1.8240375327215251E-4</v>
      </c>
    </row>
    <row r="477" spans="1:20" x14ac:dyDescent="0.2">
      <c r="A477" s="4">
        <v>34173</v>
      </c>
      <c r="B477" s="9">
        <f ca="1">Prices!C476*(1+J477/(50*(ABS(O477)+ABS(T477)+0.0001)))</f>
        <v>107.68119588001971</v>
      </c>
      <c r="C477" s="21">
        <f t="shared" ca="1" si="47"/>
        <v>1</v>
      </c>
      <c r="D477" s="9">
        <f ca="1">D476+C477*(Prices!C477-Prices!C476)/Prices!C476</f>
        <v>0.18644988348842514</v>
      </c>
      <c r="E477" s="9">
        <f t="shared" ca="1" si="48"/>
        <v>5.5335397852416812E-2</v>
      </c>
      <c r="F477" s="9">
        <f t="shared" ca="1" si="49"/>
        <v>0.24178528134084196</v>
      </c>
      <c r="G477" s="13">
        <f ca="1">IF((Prices!C477-Prices!C476)*C477&gt;0,1,0)</f>
        <v>1</v>
      </c>
      <c r="H477" s="9">
        <f>ABS(Prices!C477-Prices!C476)/Prices!C476</f>
        <v>1.2961210974455916E-2</v>
      </c>
      <c r="I477" s="13"/>
      <c r="J477" s="1">
        <f t="shared" ca="1" si="50"/>
        <v>1.4918180853980326E-3</v>
      </c>
      <c r="K477" s="9"/>
      <c r="L477" s="9">
        <f ca="1">L476-O477*Prices!C477</f>
        <v>1.2433011619287477</v>
      </c>
      <c r="M477" s="1">
        <f t="shared" ca="1" si="51"/>
        <v>8.4882699964016449E-3</v>
      </c>
      <c r="N477" s="9">
        <f ca="1">IF(Prices!D476&gt;OFFSET(Prices!D476,-$N$3,0),1,-1)</f>
        <v>1</v>
      </c>
      <c r="O477" s="1">
        <f ca="1">IF(N477=1,O$3*L476/Prices!C476,-O$3*M476)</f>
        <v>1.3088345056254122E-3</v>
      </c>
      <c r="P477" s="14"/>
      <c r="Q477" s="9">
        <f ca="1">Q476-T477*Prices!C477</f>
        <v>0.94747616721204375</v>
      </c>
      <c r="R477" s="1">
        <f t="shared" ca="1" si="52"/>
        <v>1.0722770651092429E-2</v>
      </c>
      <c r="S477" s="9">
        <f ca="1">IF(Prices!C476&lt;OFFSET(Prices!C476,-S$3,0),1,-1)</f>
        <v>1</v>
      </c>
      <c r="T477" s="1">
        <f ca="1">IF(S477=1,T$3*Q476/Prices!C476,-T$3*R476)</f>
        <v>1.829835797726203E-4</v>
      </c>
    </row>
    <row r="478" spans="1:20" x14ac:dyDescent="0.2">
      <c r="A478" s="4">
        <v>34176</v>
      </c>
      <c r="B478" s="9">
        <f ca="1">Prices!C477*(1+J478/(50*(ABS(O478)+ABS(T478)+0.0001)))</f>
        <v>109.06250416157583</v>
      </c>
      <c r="C478" s="21">
        <f t="shared" ca="1" si="47"/>
        <v>1</v>
      </c>
      <c r="D478" s="9">
        <f ca="1">D477+C478*(Prices!C478-Prices!C477)/Prices!C477</f>
        <v>0.1834611845064508</v>
      </c>
      <c r="E478" s="9">
        <f t="shared" ca="1" si="48"/>
        <v>5.8324096834391159E-2</v>
      </c>
      <c r="F478" s="9">
        <f t="shared" ca="1" si="49"/>
        <v>0.24178528134084196</v>
      </c>
      <c r="G478" s="13">
        <f ca="1">IF((Prices!C478-Prices!C477)*C478&gt;0,1,0)</f>
        <v>0</v>
      </c>
      <c r="H478" s="9">
        <f>ABS(Prices!C478-Prices!C477)/Prices!C477</f>
        <v>2.9886989819743457E-3</v>
      </c>
      <c r="I478" s="13"/>
      <c r="J478" s="1">
        <f t="shared" ca="1" si="50"/>
        <v>1.3381866025694933E-3</v>
      </c>
      <c r="K478" s="9"/>
      <c r="L478" s="9">
        <f ca="1">L477-O478*Prices!C478</f>
        <v>1.1193426310275674</v>
      </c>
      <c r="M478" s="1">
        <f t="shared" ca="1" si="51"/>
        <v>9.6494740329466609E-3</v>
      </c>
      <c r="N478" s="9">
        <f ca="1">IF(Prices!D477&gt;OFFSET(Prices!D477,-$N$3,0),1,-1)</f>
        <v>1</v>
      </c>
      <c r="O478" s="1">
        <f ca="1">IF(N478=1,O$3*L477/Prices!C477,-O$3*M477)</f>
        <v>1.1612040365450152E-3</v>
      </c>
      <c r="P478" s="14"/>
      <c r="Q478" s="9">
        <f ca="1">Q477-T478*Prices!C478</f>
        <v>0.92858327828893072</v>
      </c>
      <c r="R478" s="1">
        <f t="shared" ca="1" si="52"/>
        <v>1.0899753217116908E-2</v>
      </c>
      <c r="S478" s="9">
        <f ca="1">IF(Prices!C477&lt;OFFSET(Prices!C477,-S$3,0),1,-1)</f>
        <v>1</v>
      </c>
      <c r="T478" s="1">
        <f ca="1">IF(S478=1,T$3*Q477/Prices!C477,-T$3*R477)</f>
        <v>1.7698256602447816E-4</v>
      </c>
    </row>
    <row r="479" spans="1:20" x14ac:dyDescent="0.2">
      <c r="A479" s="4">
        <v>34177</v>
      </c>
      <c r="B479" s="9">
        <f ca="1">Prices!C478*(1+J479/(50*(ABS(O479)+ABS(T479)+0.0001)))</f>
        <v>108.72356796229532</v>
      </c>
      <c r="C479" s="21">
        <f t="shared" ca="1" si="47"/>
        <v>1</v>
      </c>
      <c r="D479" s="9">
        <f ca="1">D478+C479*(Prices!C479-Prices!C478)/Prices!C478</f>
        <v>0.17840263649708304</v>
      </c>
      <c r="E479" s="9">
        <f t="shared" ca="1" si="48"/>
        <v>6.3382644843758912E-2</v>
      </c>
      <c r="F479" s="9">
        <f t="shared" ca="1" si="49"/>
        <v>0.24178528134084196</v>
      </c>
      <c r="G479" s="13">
        <f ca="1">IF((Prices!C479-Prices!C478)*C479&gt;0,1,0)</f>
        <v>0</v>
      </c>
      <c r="H479" s="9">
        <f>ABS(Prices!C479-Prices!C478)/Prices!C478</f>
        <v>5.0585480093677405E-3</v>
      </c>
      <c r="I479" s="13"/>
      <c r="J479" s="1">
        <f t="shared" ca="1" si="50"/>
        <v>1.2225379734757411E-3</v>
      </c>
      <c r="K479" s="9"/>
      <c r="L479" s="9">
        <f ca="1">L478-O479*Prices!C479</f>
        <v>1.0079745927686092</v>
      </c>
      <c r="M479" s="1">
        <f t="shared" ca="1" si="51"/>
        <v>1.0698038558499417E-2</v>
      </c>
      <c r="N479" s="9">
        <f ca="1">IF(Prices!D478&gt;OFFSET(Prices!D478,-$N$3,0),1,-1)</f>
        <v>1</v>
      </c>
      <c r="O479" s="1">
        <f ca="1">IF(N479=1,O$3*L478/Prices!C478,-O$3*M478)</f>
        <v>1.0485645255527564E-3</v>
      </c>
      <c r="P479" s="14"/>
      <c r="Q479" s="9">
        <f ca="1">Q478-T479*Prices!C479</f>
        <v>0.91010555838503049</v>
      </c>
      <c r="R479" s="1">
        <f t="shared" ca="1" si="52"/>
        <v>1.1073726665039892E-2</v>
      </c>
      <c r="S479" s="9">
        <f ca="1">IF(Prices!C478&lt;OFFSET(Prices!C478,-S$3,0),1,-1)</f>
        <v>1</v>
      </c>
      <c r="T479" s="1">
        <f ca="1">IF(S479=1,T$3*Q478/Prices!C478,-T$3*R478)</f>
        <v>1.7397344792298468E-4</v>
      </c>
    </row>
    <row r="480" spans="1:20" x14ac:dyDescent="0.2">
      <c r="A480" s="4">
        <v>34178</v>
      </c>
      <c r="B480" s="9">
        <f ca="1">Prices!C479*(1+J480/(50*(ABS(O480)+ABS(T480)+0.0001)))</f>
        <v>104.78705023498723</v>
      </c>
      <c r="C480" s="21">
        <f t="shared" ca="1" si="47"/>
        <v>-1</v>
      </c>
      <c r="D480" s="9">
        <f ca="1">D479+C480*(Prices!C480-Prices!C479)/Prices!C479</f>
        <v>0.18019154526273598</v>
      </c>
      <c r="E480" s="9">
        <f t="shared" ca="1" si="48"/>
        <v>6.1593736078105976E-2</v>
      </c>
      <c r="F480" s="9">
        <f t="shared" ca="1" si="49"/>
        <v>0.24178528134084196</v>
      </c>
      <c r="G480" s="13">
        <f ca="1">IF((Prices!C480-Prices!C479)*C480&gt;0,1,0)</f>
        <v>1</v>
      </c>
      <c r="H480" s="9">
        <f>ABS(Prices!C480-Prices!C479)/Prices!C479</f>
        <v>1.7889087656529305E-3</v>
      </c>
      <c r="I480" s="13"/>
      <c r="J480" s="1">
        <f t="shared" ca="1" si="50"/>
        <v>-8.9842534942210432E-4</v>
      </c>
      <c r="K480" s="9"/>
      <c r="L480" s="9">
        <f ca="1">L479-O480*Prices!C480</f>
        <v>1.1213951975658201</v>
      </c>
      <c r="M480" s="1">
        <f t="shared" ca="1" si="51"/>
        <v>9.6282347026494745E-3</v>
      </c>
      <c r="N480" s="9">
        <f ca="1">IF(Prices!D479&gt;OFFSET(Prices!D479,-$N$3,0),1,-1)</f>
        <v>-1</v>
      </c>
      <c r="O480" s="1">
        <f ca="1">IF(N480=1,O$3*L479/Prices!C479,-O$3*M479)</f>
        <v>-1.0698038558499417E-3</v>
      </c>
      <c r="P480" s="14"/>
      <c r="Q480" s="9">
        <f ca="1">Q479-T480*Prices!C480</f>
        <v>0.8919360091335512</v>
      </c>
      <c r="R480" s="1">
        <f t="shared" ca="1" si="52"/>
        <v>1.1245105171467729E-2</v>
      </c>
      <c r="S480" s="9">
        <f ca="1">IF(Prices!C479&lt;OFFSET(Prices!C479,-S$3,0),1,-1)</f>
        <v>1</v>
      </c>
      <c r="T480" s="1">
        <f ca="1">IF(S480=1,T$3*Q479/Prices!C479,-T$3*R479)</f>
        <v>1.7137850642783741E-4</v>
      </c>
    </row>
    <row r="481" spans="1:20" x14ac:dyDescent="0.2">
      <c r="A481" s="4">
        <v>34179</v>
      </c>
      <c r="B481" s="9">
        <f ca="1">Prices!C480*(1+J481/(50*(ABS(O481)+ABS(T481)+0.0001)))</f>
        <v>104.06426241280872</v>
      </c>
      <c r="C481" s="21">
        <f t="shared" ca="1" si="47"/>
        <v>-1</v>
      </c>
      <c r="D481" s="9">
        <f ca="1">D480+C481*(Prices!C481-Prices!C480)/Prices!C480</f>
        <v>0.17519248848099667</v>
      </c>
      <c r="E481" s="9">
        <f t="shared" ca="1" si="48"/>
        <v>6.659279285984529E-2</v>
      </c>
      <c r="F481" s="9">
        <f t="shared" ca="1" si="49"/>
        <v>0.24178528134084196</v>
      </c>
      <c r="G481" s="13">
        <f ca="1">IF((Prices!C481-Prices!C480)*C481&gt;0,1,0)</f>
        <v>0</v>
      </c>
      <c r="H481" s="9">
        <f>ABS(Prices!C481-Prices!C480)/Prices!C480</f>
        <v>4.9990567817393052E-3</v>
      </c>
      <c r="I481" s="13"/>
      <c r="J481" s="1">
        <f t="shared" ca="1" si="50"/>
        <v>-1.1877255736943021E-3</v>
      </c>
      <c r="K481" s="9"/>
      <c r="L481" s="9">
        <f ca="1">L480-O481*Prices!C481</f>
        <v>1.2239840383225502</v>
      </c>
      <c r="M481" s="1">
        <f t="shared" ca="1" si="51"/>
        <v>8.6654112323845262E-3</v>
      </c>
      <c r="N481" s="9">
        <f ca="1">IF(Prices!D480&gt;OFFSET(Prices!D480,-$N$3,0),1,-1)</f>
        <v>-1</v>
      </c>
      <c r="O481" s="1">
        <f ca="1">IF(N481=1,O$3*L480/Prices!C480,-O$3*M480)</f>
        <v>-9.6282347026494745E-4</v>
      </c>
      <c r="P481" s="14"/>
      <c r="Q481" s="9">
        <f ca="1">Q480-T481*Prices!C481</f>
        <v>0.91589932825394893</v>
      </c>
      <c r="R481" s="1">
        <f t="shared" ca="1" si="52"/>
        <v>1.1020203068038375E-2</v>
      </c>
      <c r="S481" s="9">
        <f ca="1">IF(Prices!C480&lt;OFFSET(Prices!C480,-S$3,0),1,-1)</f>
        <v>-1</v>
      </c>
      <c r="T481" s="1">
        <f ca="1">IF(S481=1,T$3*Q480/Prices!C480,-T$3*R480)</f>
        <v>-2.2490210342935459E-4</v>
      </c>
    </row>
    <row r="482" spans="1:20" x14ac:dyDescent="0.2">
      <c r="A482" s="4">
        <v>34180</v>
      </c>
      <c r="B482" s="9">
        <f ca="1">Prices!C481*(1+J482/(50*(ABS(O482)+ABS(T482)+0.0001)))</f>
        <v>105.24978828133527</v>
      </c>
      <c r="C482" s="21">
        <f t="shared" ca="1" si="47"/>
        <v>-1</v>
      </c>
      <c r="D482" s="9">
        <f ca="1">D481+C482*(Prices!C482-Prices!C481)/Prices!C481</f>
        <v>0.18880112292491974</v>
      </c>
      <c r="E482" s="9">
        <f t="shared" ca="1" si="48"/>
        <v>5.2984158415922217E-2</v>
      </c>
      <c r="F482" s="9">
        <f t="shared" ca="1" si="49"/>
        <v>0.24178528134084196</v>
      </c>
      <c r="G482" s="13">
        <f ca="1">IF((Prices!C482-Prices!C481)*C482&gt;0,1,0)</f>
        <v>1</v>
      </c>
      <c r="H482" s="9">
        <f>ABS(Prices!C482-Prices!C481)/Prices!C481</f>
        <v>1.3608634443923068E-2</v>
      </c>
      <c r="I482" s="13"/>
      <c r="J482" s="1">
        <f t="shared" ca="1" si="50"/>
        <v>-6.946219626088986E-4</v>
      </c>
      <c r="K482" s="9"/>
      <c r="L482" s="9">
        <f ca="1">L481-O482*Prices!C482</f>
        <v>1.3150575103749116</v>
      </c>
      <c r="M482" s="1">
        <f t="shared" ca="1" si="51"/>
        <v>7.7988701091460735E-3</v>
      </c>
      <c r="N482" s="9">
        <f ca="1">IF(Prices!D481&gt;OFFSET(Prices!D481,-$N$3,0),1,-1)</f>
        <v>-1</v>
      </c>
      <c r="O482" s="1">
        <f ca="1">IF(N482=1,O$3*L481/Prices!C481,-O$3*M481)</f>
        <v>-8.6654112323845262E-4</v>
      </c>
      <c r="P482" s="14"/>
      <c r="Q482" s="9">
        <f ca="1">Q481-T482*Prices!C482</f>
        <v>0.89783062447178286</v>
      </c>
      <c r="R482" s="1">
        <f t="shared" ca="1" si="52"/>
        <v>1.1192122228667929E-2</v>
      </c>
      <c r="S482" s="9">
        <f ca="1">IF(Prices!C481&lt;OFFSET(Prices!C481,-S$3,0),1,-1)</f>
        <v>1</v>
      </c>
      <c r="T482" s="1">
        <f ca="1">IF(S482=1,T$3*Q481/Prices!C481,-T$3*R481)</f>
        <v>1.7191916062955399E-4</v>
      </c>
    </row>
    <row r="483" spans="1:20" x14ac:dyDescent="0.2">
      <c r="A483" s="4">
        <v>34183</v>
      </c>
      <c r="B483" s="9">
        <f ca="1">Prices!C482*(1+J483/(50*(ABS(O483)+ABS(T483)+0.0001)))</f>
        <v>103.88162944955526</v>
      </c>
      <c r="C483" s="21">
        <f t="shared" ca="1" si="47"/>
        <v>-1</v>
      </c>
      <c r="D483" s="9">
        <f ca="1">D482+C483*(Prices!C483-Prices!C482)/Prices!C482</f>
        <v>0.19603233129789777</v>
      </c>
      <c r="E483" s="9">
        <f t="shared" ca="1" si="48"/>
        <v>4.575295004294419E-2</v>
      </c>
      <c r="F483" s="9">
        <f t="shared" ca="1" si="49"/>
        <v>0.24178528134084196</v>
      </c>
      <c r="G483" s="13">
        <f ca="1">IF((Prices!C483-Prices!C482)*C483&gt;0,1,0)</f>
        <v>1</v>
      </c>
      <c r="H483" s="9">
        <f>ABS(Prices!C483-Prices!C482)/Prices!C482</f>
        <v>7.2312083729780298E-3</v>
      </c>
      <c r="I483" s="13"/>
      <c r="J483" s="1">
        <f t="shared" ca="1" si="50"/>
        <v>-6.0903437067259347E-4</v>
      </c>
      <c r="K483" s="9"/>
      <c r="L483" s="9">
        <f ca="1">L482-O483*Prices!C483</f>
        <v>1.3964309210937418</v>
      </c>
      <c r="M483" s="1">
        <f t="shared" ca="1" si="51"/>
        <v>7.0189830982314658E-3</v>
      </c>
      <c r="N483" s="9">
        <f ca="1">IF(Prices!D482&gt;OFFSET(Prices!D482,-$N$3,0),1,-1)</f>
        <v>-1</v>
      </c>
      <c r="O483" s="1">
        <f ca="1">IF(N483=1,O$3*L482/Prices!C482,-O$3*M482)</f>
        <v>-7.7988701091460738E-4</v>
      </c>
      <c r="P483" s="14"/>
      <c r="Q483" s="9">
        <f ca="1">Q482-T483*Prices!C483</f>
        <v>0.88000385998893116</v>
      </c>
      <c r="R483" s="1">
        <f t="shared" ca="1" si="52"/>
        <v>1.1362974868909942E-2</v>
      </c>
      <c r="S483" s="9">
        <f ca="1">IF(Prices!C482&lt;OFFSET(Prices!C482,-S$3,0),1,-1)</f>
        <v>1</v>
      </c>
      <c r="T483" s="1">
        <f ca="1">IF(S483=1,T$3*Q482/Prices!C482,-T$3*R482)</f>
        <v>1.708526402420139E-4</v>
      </c>
    </row>
    <row r="484" spans="1:20" x14ac:dyDescent="0.2">
      <c r="A484" s="4">
        <v>34184</v>
      </c>
      <c r="B484" s="9">
        <f ca="1">Prices!C483*(1+J484/(50*(ABS(O484)+ABS(T484)+0.0001)))</f>
        <v>106.29694528400194</v>
      </c>
      <c r="C484" s="21">
        <f t="shared" ca="1" si="47"/>
        <v>1</v>
      </c>
      <c r="D484" s="9">
        <f ca="1">D483+C484*(Prices!C484-Prices!C483)/Prices!C483</f>
        <v>0.19708657703299456</v>
      </c>
      <c r="E484" s="9">
        <f t="shared" ca="1" si="48"/>
        <v>4.4698704307847392E-2</v>
      </c>
      <c r="F484" s="9">
        <f t="shared" ca="1" si="49"/>
        <v>0.24178528134084196</v>
      </c>
      <c r="G484" s="13">
        <f ca="1">IF((Prices!C484-Prices!C483)*C484&gt;0,1,0)</f>
        <v>1</v>
      </c>
      <c r="H484" s="9">
        <f>ABS(Prices!C484-Prices!C483)/Prices!C483</f>
        <v>1.0542457350967934E-3</v>
      </c>
      <c r="I484" s="13"/>
      <c r="J484" s="1">
        <f t="shared" ca="1" si="50"/>
        <v>1.5070267328843472E-3</v>
      </c>
      <c r="K484" s="9"/>
      <c r="L484" s="9">
        <f ca="1">L483-O484*Prices!C484</f>
        <v>1.2566406108500756</v>
      </c>
      <c r="M484" s="1">
        <f t="shared" ca="1" si="51"/>
        <v>8.3573297736136212E-3</v>
      </c>
      <c r="N484" s="9">
        <f ca="1">IF(Prices!D483&gt;OFFSET(Prices!D483,-$N$3,0),1,-1)</f>
        <v>1</v>
      </c>
      <c r="O484" s="1">
        <f ca="1">IF(N484=1,O$3*L483/Prices!C483,-O$3*M483)</f>
        <v>1.338346675382156E-3</v>
      </c>
      <c r="P484" s="14"/>
      <c r="Q484" s="9">
        <f ca="1">Q483-T484*Prices!C484</f>
        <v>0.86238522798282724</v>
      </c>
      <c r="R484" s="1">
        <f t="shared" ca="1" si="52"/>
        <v>1.1531654926412133E-2</v>
      </c>
      <c r="S484" s="9">
        <f ca="1">IF(Prices!C483&lt;OFFSET(Prices!C483,-S$3,0),1,-1)</f>
        <v>1</v>
      </c>
      <c r="T484" s="1">
        <f ca="1">IF(S484=1,T$3*Q483/Prices!C483,-T$3*R483)</f>
        <v>1.6868005750219112E-4</v>
      </c>
    </row>
    <row r="485" spans="1:20" x14ac:dyDescent="0.2">
      <c r="A485" s="4">
        <v>34185</v>
      </c>
      <c r="B485" s="9">
        <f ca="1">Prices!C484*(1+J485/(50*(ABS(O485)+ABS(T485)+0.0001)))</f>
        <v>103.17745869620421</v>
      </c>
      <c r="C485" s="21">
        <f t="shared" ca="1" si="47"/>
        <v>-1</v>
      </c>
      <c r="D485" s="9">
        <f ca="1">D484+C485*(Prices!C485-Prices!C484)/Prices!C484</f>
        <v>0.19277829555860487</v>
      </c>
      <c r="E485" s="9">
        <f t="shared" ca="1" si="48"/>
        <v>4.9006985782237084E-2</v>
      </c>
      <c r="F485" s="9">
        <f t="shared" ca="1" si="49"/>
        <v>0.24178528134084196</v>
      </c>
      <c r="G485" s="13">
        <f ca="1">IF((Prices!C485-Prices!C484)*C485&gt;0,1,0)</f>
        <v>0</v>
      </c>
      <c r="H485" s="9">
        <f>ABS(Prices!C485-Prices!C484)/Prices!C484</f>
        <v>4.308281474389687E-3</v>
      </c>
      <c r="I485" s="13"/>
      <c r="J485" s="1">
        <f t="shared" ca="1" si="50"/>
        <v>-6.7060416396110803E-4</v>
      </c>
      <c r="K485" s="9"/>
      <c r="L485" s="9">
        <f ca="1">L484-O485*Prices!C485</f>
        <v>1.3443090001752824</v>
      </c>
      <c r="M485" s="1">
        <f t="shared" ca="1" si="51"/>
        <v>7.5215967962522588E-3</v>
      </c>
      <c r="N485" s="9">
        <f ca="1">IF(Prices!D484&gt;OFFSET(Prices!D484,-$N$3,0),1,-1)</f>
        <v>-1</v>
      </c>
      <c r="O485" s="1">
        <f ca="1">IF(N485=1,O$3*L484/Prices!C484,-O$3*M484)</f>
        <v>-8.3573297736136214E-4</v>
      </c>
      <c r="P485" s="14"/>
      <c r="Q485" s="9">
        <f ca="1">Q484-T485*Prices!C485</f>
        <v>0.84506321545714058</v>
      </c>
      <c r="R485" s="1">
        <f t="shared" ca="1" si="52"/>
        <v>1.1696783739812387E-2</v>
      </c>
      <c r="S485" s="9">
        <f ca="1">IF(Prices!C484&lt;OFFSET(Prices!C484,-S$3,0),1,-1)</f>
        <v>1</v>
      </c>
      <c r="T485" s="1">
        <f ca="1">IF(S485=1,T$3*Q484/Prices!C484,-T$3*R484)</f>
        <v>1.6512881340025414E-4</v>
      </c>
    </row>
    <row r="486" spans="1:20" x14ac:dyDescent="0.2">
      <c r="A486" s="4">
        <v>34186</v>
      </c>
      <c r="B486" s="9">
        <f ca="1">Prices!C485*(1+J486/(50*(ABS(O486)+ABS(T486)+0.0001)))</f>
        <v>106.86199872915077</v>
      </c>
      <c r="C486" s="21">
        <f t="shared" ca="1" si="47"/>
        <v>1</v>
      </c>
      <c r="D486" s="9">
        <f ca="1">D485+C486*(Prices!C486-Prices!C485)/Prices!C485</f>
        <v>0.18782119355669818</v>
      </c>
      <c r="E486" s="9">
        <f t="shared" ca="1" si="48"/>
        <v>5.3964087784143772E-2</v>
      </c>
      <c r="F486" s="9">
        <f t="shared" ca="1" si="49"/>
        <v>0.24178528134084196</v>
      </c>
      <c r="G486" s="13">
        <f ca="1">IF((Prices!C486-Prices!C485)*C486&gt;0,1,0)</f>
        <v>0</v>
      </c>
      <c r="H486" s="9">
        <f>ABS(Prices!C486-Prices!C485)/Prices!C485</f>
        <v>4.957102001906675E-3</v>
      </c>
      <c r="I486" s="13"/>
      <c r="J486" s="1">
        <f t="shared" ca="1" si="50"/>
        <v>1.4426326437242236E-3</v>
      </c>
      <c r="K486" s="9"/>
      <c r="L486" s="9">
        <f ca="1">L485-O486*Prices!C486</f>
        <v>1.2105444878413492</v>
      </c>
      <c r="M486" s="1">
        <f t="shared" ca="1" si="51"/>
        <v>8.8031115723964746E-3</v>
      </c>
      <c r="N486" s="9">
        <f ca="1">IF(Prices!D485&gt;OFFSET(Prices!D485,-$N$3,0),1,-1)</f>
        <v>1</v>
      </c>
      <c r="O486" s="1">
        <f ca="1">IF(N486=1,O$3*L485/Prices!C485,-O$3*M485)</f>
        <v>1.2815147761442158E-3</v>
      </c>
      <c r="P486" s="14"/>
      <c r="Q486" s="9">
        <f ca="1">Q485-T486*Prices!C486</f>
        <v>0.82824573243913935</v>
      </c>
      <c r="R486" s="1">
        <f t="shared" ca="1" si="52"/>
        <v>1.1857901607392396E-2</v>
      </c>
      <c r="S486" s="9">
        <f ca="1">IF(Prices!C485&lt;OFFSET(Prices!C485,-S$3,0),1,-1)</f>
        <v>1</v>
      </c>
      <c r="T486" s="1">
        <f ca="1">IF(S486=1,T$3*Q485/Prices!C485,-T$3*R485)</f>
        <v>1.6111786758000774E-4</v>
      </c>
    </row>
    <row r="487" spans="1:20" x14ac:dyDescent="0.2">
      <c r="A487" s="4">
        <v>34187</v>
      </c>
      <c r="B487" s="9">
        <f ca="1">Prices!C486*(1+J487/(50*(ABS(O487)+ABS(T487)+0.0001)))</f>
        <v>106.32042482211786</v>
      </c>
      <c r="C487" s="21">
        <f t="shared" ca="1" si="47"/>
        <v>1</v>
      </c>
      <c r="D487" s="9">
        <f ca="1">D486+C487*(Prices!C487-Prices!C486)/Prices!C486</f>
        <v>0.18801280114435875</v>
      </c>
      <c r="E487" s="9">
        <f t="shared" ca="1" si="48"/>
        <v>5.3772480196483202E-2</v>
      </c>
      <c r="F487" s="9">
        <f t="shared" ca="1" si="49"/>
        <v>0.24178528134084196</v>
      </c>
      <c r="G487" s="13">
        <f ca="1">IF((Prices!C487-Prices!C486)*C487&gt;0,1,0)</f>
        <v>1</v>
      </c>
      <c r="H487" s="9">
        <f>ABS(Prices!C487-Prices!C486)/Prices!C486</f>
        <v>1.916075876605694E-4</v>
      </c>
      <c r="I487" s="13"/>
      <c r="J487" s="1">
        <f t="shared" ca="1" si="50"/>
        <v>1.3184457121375524E-3</v>
      </c>
      <c r="K487" s="9"/>
      <c r="L487" s="9">
        <f ca="1">L486-O487*Prices!C487</f>
        <v>1.0894668441063071</v>
      </c>
      <c r="M487" s="1">
        <f t="shared" ca="1" si="51"/>
        <v>9.9628591177512837E-3</v>
      </c>
      <c r="N487" s="9">
        <f ca="1">IF(Prices!D486&gt;OFFSET(Prices!D486,-$N$3,0),1,-1)</f>
        <v>1</v>
      </c>
      <c r="O487" s="1">
        <f ca="1">IF(N487=1,O$3*L486/Prices!C486,-O$3*M486)</f>
        <v>1.1597475453548087E-3</v>
      </c>
      <c r="P487" s="14"/>
      <c r="Q487" s="9">
        <f ca="1">Q486-T487*Prices!C487</f>
        <v>0.8116776438270209</v>
      </c>
      <c r="R487" s="1">
        <f t="shared" ca="1" si="52"/>
        <v>1.201659977417514E-2</v>
      </c>
      <c r="S487" s="9">
        <f ca="1">IF(Prices!C486&lt;OFFSET(Prices!C486,-S$3,0),1,-1)</f>
        <v>1</v>
      </c>
      <c r="T487" s="1">
        <f ca="1">IF(S487=1,T$3*Q486/Prices!C486,-T$3*R486)</f>
        <v>1.5869816678274371E-4</v>
      </c>
    </row>
    <row r="488" spans="1:20" x14ac:dyDescent="0.2">
      <c r="A488" s="4">
        <v>34190</v>
      </c>
      <c r="B488" s="9">
        <f ca="1">Prices!C487*(1+J488/(50*(ABS(O488)+ABS(T488)+0.0001)))</f>
        <v>102.46821517478263</v>
      </c>
      <c r="C488" s="21">
        <f t="shared" ca="1" si="47"/>
        <v>-1</v>
      </c>
      <c r="D488" s="9">
        <f ca="1">D487+C488*(Prices!C488-Prices!C487)/Prices!C487</f>
        <v>0.18274460191064232</v>
      </c>
      <c r="E488" s="9">
        <f t="shared" ca="1" si="48"/>
        <v>5.9040679430199638E-2</v>
      </c>
      <c r="F488" s="9">
        <f t="shared" ca="1" si="49"/>
        <v>0.24178528134084196</v>
      </c>
      <c r="G488" s="13">
        <f ca="1">IF((Prices!C488-Prices!C487)*C488&gt;0,1,0)</f>
        <v>0</v>
      </c>
      <c r="H488" s="9">
        <f>ABS(Prices!C488-Prices!C487)/Prices!C487</f>
        <v>5.2681992337164476E-3</v>
      </c>
      <c r="I488" s="13"/>
      <c r="J488" s="1">
        <f t="shared" ca="1" si="50"/>
        <v>-1.2366179072586313E-3</v>
      </c>
      <c r="K488" s="9"/>
      <c r="L488" s="9">
        <f ca="1">L487-O488*Prices!C488</f>
        <v>1.1940270505471069</v>
      </c>
      <c r="M488" s="1">
        <f t="shared" ca="1" si="51"/>
        <v>8.9665732059761548E-3</v>
      </c>
      <c r="N488" s="9">
        <f ca="1">IF(Prices!D487&gt;OFFSET(Prices!D487,-$N$3,0),1,-1)</f>
        <v>-1</v>
      </c>
      <c r="O488" s="1">
        <f ca="1">IF(N488=1,O$3*L487/Prices!C487,-O$3*M487)</f>
        <v>-9.9628591177512845E-4</v>
      </c>
      <c r="P488" s="14"/>
      <c r="Q488" s="9">
        <f ca="1">Q487-T488*Prices!C488</f>
        <v>0.83690048675301454</v>
      </c>
      <c r="R488" s="1">
        <f t="shared" ca="1" si="52"/>
        <v>1.1776267778691637E-2</v>
      </c>
      <c r="S488" s="9">
        <f ca="1">IF(Prices!C487&lt;OFFSET(Prices!C487,-S$3,0),1,-1)</f>
        <v>-1</v>
      </c>
      <c r="T488" s="1">
        <f ca="1">IF(S488=1,T$3*Q487/Prices!C487,-T$3*R487)</f>
        <v>-2.403319954835028E-4</v>
      </c>
    </row>
    <row r="489" spans="1:20" x14ac:dyDescent="0.2">
      <c r="A489" s="4">
        <v>34191</v>
      </c>
      <c r="B489" s="9">
        <f ca="1">Prices!C488*(1+J489/(50*(ABS(O489)+ABS(T489)+0.0001)))</f>
        <v>103.02134811806654</v>
      </c>
      <c r="C489" s="21">
        <f t="shared" ca="1" si="47"/>
        <v>-1</v>
      </c>
      <c r="D489" s="9">
        <f ca="1">D488+C489*(Prices!C489-Prices!C488)/Prices!C488</f>
        <v>0.185698389428508</v>
      </c>
      <c r="E489" s="9">
        <f t="shared" ca="1" si="48"/>
        <v>5.6086891912333958E-2</v>
      </c>
      <c r="F489" s="9">
        <f t="shared" ca="1" si="49"/>
        <v>0.24178528134084196</v>
      </c>
      <c r="G489" s="13">
        <f ca="1">IF((Prices!C489-Prices!C488)*C489&gt;0,1,0)</f>
        <v>1</v>
      </c>
      <c r="H489" s="9">
        <f>ABS(Prices!C489-Prices!C488)/Prices!C488</f>
        <v>2.953787517865672E-3</v>
      </c>
      <c r="I489" s="13"/>
      <c r="J489" s="1">
        <f t="shared" ca="1" si="50"/>
        <v>-1.1321826761714483E-3</v>
      </c>
      <c r="K489" s="9"/>
      <c r="L489" s="9">
        <f ca="1">L488-O489*Prices!C489</f>
        <v>1.2878532725744414</v>
      </c>
      <c r="M489" s="1">
        <f t="shared" ca="1" si="51"/>
        <v>8.06991588537854E-3</v>
      </c>
      <c r="N489" s="9">
        <f ca="1">IF(Prices!D488&gt;OFFSET(Prices!D488,-$N$3,0),1,-1)</f>
        <v>-1</v>
      </c>
      <c r="O489" s="1">
        <f ca="1">IF(N489=1,O$3*L488/Prices!C488,-O$3*M488)</f>
        <v>-8.9665732059761554E-4</v>
      </c>
      <c r="P489" s="14"/>
      <c r="Q489" s="9">
        <f ca="1">Q488-T489*Prices!C489</f>
        <v>0.86154585996026034</v>
      </c>
      <c r="R489" s="1">
        <f t="shared" ca="1" si="52"/>
        <v>1.1540742423117804E-2</v>
      </c>
      <c r="S489" s="9">
        <f ca="1">IF(Prices!C488&lt;OFFSET(Prices!C488,-S$3,0),1,-1)</f>
        <v>-1</v>
      </c>
      <c r="T489" s="1">
        <f ca="1">IF(S489=1,T$3*Q488/Prices!C488,-T$3*R488)</f>
        <v>-2.3552535557383274E-4</v>
      </c>
    </row>
    <row r="490" spans="1:20" x14ac:dyDescent="0.2">
      <c r="A490" s="4">
        <v>34192</v>
      </c>
      <c r="B490" s="9">
        <f ca="1">Prices!C489*(1+J490/(50*(ABS(O490)+ABS(T490)+0.0001)))</f>
        <v>103.38563436425179</v>
      </c>
      <c r="C490" s="21">
        <f t="shared" ca="1" si="47"/>
        <v>-1</v>
      </c>
      <c r="D490" s="9">
        <f ca="1">D489+C490*(Prices!C490-Prices!C489)/Prices!C489</f>
        <v>0.19477713560587806</v>
      </c>
      <c r="E490" s="9">
        <f t="shared" ca="1" si="48"/>
        <v>4.7008145734963896E-2</v>
      </c>
      <c r="F490" s="9">
        <f t="shared" ca="1" si="49"/>
        <v>0.24178528134084196</v>
      </c>
      <c r="G490" s="13">
        <f ca="1">IF((Prices!C490-Prices!C489)*C490&gt;0,1,0)</f>
        <v>1</v>
      </c>
      <c r="H490" s="9">
        <f>ABS(Prices!C490-Prices!C489)/Prices!C489</f>
        <v>9.0787461773700583E-3</v>
      </c>
      <c r="I490" s="13"/>
      <c r="J490" s="1">
        <f t="shared" ca="1" si="50"/>
        <v>-6.4232303732220802E-4</v>
      </c>
      <c r="K490" s="9"/>
      <c r="L490" s="9">
        <f ca="1">L489-O490*Prices!C490</f>
        <v>1.3715302303899315</v>
      </c>
      <c r="M490" s="1">
        <f t="shared" ca="1" si="51"/>
        <v>7.2629242968406862E-3</v>
      </c>
      <c r="N490" s="9">
        <f ca="1">IF(Prices!D489&gt;OFFSET(Prices!D489,-$N$3,0),1,-1)</f>
        <v>-1</v>
      </c>
      <c r="O490" s="1">
        <f ca="1">IF(N490=1,O$3*L489/Prices!C489,-O$3*M489)</f>
        <v>-8.0699158853785404E-4</v>
      </c>
      <c r="P490" s="14"/>
      <c r="Q490" s="9">
        <f ca="1">Q489-T490*Prices!C490</f>
        <v>0.84447137788471005</v>
      </c>
      <c r="R490" s="1">
        <f t="shared" ca="1" si="52"/>
        <v>1.170541097433345E-2</v>
      </c>
      <c r="S490" s="9">
        <f ca="1">IF(Prices!C489&lt;OFFSET(Prices!C489,-S$3,0),1,-1)</f>
        <v>1</v>
      </c>
      <c r="T490" s="1">
        <f ca="1">IF(S490=1,T$3*Q489/Prices!C489,-T$3*R489)</f>
        <v>1.6466855121564607E-4</v>
      </c>
    </row>
    <row r="491" spans="1:20" x14ac:dyDescent="0.2">
      <c r="A491" s="4">
        <v>34193</v>
      </c>
      <c r="B491" s="9">
        <f ca="1">Prices!C490*(1+J491/(50*(ABS(O491)+ABS(T491)+0.0001)))</f>
        <v>102.50881854588718</v>
      </c>
      <c r="C491" s="21">
        <f t="shared" ca="1" si="47"/>
        <v>-1</v>
      </c>
      <c r="D491" s="9">
        <f ca="1">D490+C491*(Prices!C491-Prices!C490)/Prices!C490</f>
        <v>0.20152802768804609</v>
      </c>
      <c r="E491" s="9">
        <f t="shared" ca="1" si="48"/>
        <v>4.0257253652795866E-2</v>
      </c>
      <c r="F491" s="9">
        <f t="shared" ca="1" si="49"/>
        <v>0.24178528134084196</v>
      </c>
      <c r="G491" s="13">
        <f ca="1">IF((Prices!C491-Prices!C490)*C491&gt;0,1,0)</f>
        <v>1</v>
      </c>
      <c r="H491" s="9">
        <f>ABS(Prices!C491-Prices!C490)/Prices!C490</f>
        <v>6.7508920821680281E-3</v>
      </c>
      <c r="I491" s="13"/>
      <c r="J491" s="1">
        <f t="shared" ca="1" si="50"/>
        <v>-5.6340856858180029E-4</v>
      </c>
      <c r="K491" s="9"/>
      <c r="L491" s="9">
        <f ca="1">L490-O491*Prices!C491</f>
        <v>1.4463310877230937</v>
      </c>
      <c r="M491" s="1">
        <f t="shared" ca="1" si="51"/>
        <v>6.5366318671566176E-3</v>
      </c>
      <c r="N491" s="9">
        <f ca="1">IF(Prices!D490&gt;OFFSET(Prices!D490,-$N$3,0),1,-1)</f>
        <v>-1</v>
      </c>
      <c r="O491" s="1">
        <f ca="1">IF(N491=1,O$3*L490/Prices!C490,-O$3*M490)</f>
        <v>-7.2629242968406862E-4</v>
      </c>
      <c r="P491" s="14"/>
      <c r="Q491" s="9">
        <f ca="1">Q490-T491*Prices!C491</f>
        <v>0.82769596902978748</v>
      </c>
      <c r="R491" s="1">
        <f t="shared" ca="1" si="52"/>
        <v>1.1868294835435719E-2</v>
      </c>
      <c r="S491" s="9">
        <f ca="1">IF(Prices!C490&lt;OFFSET(Prices!C490,-S$3,0),1,-1)</f>
        <v>1</v>
      </c>
      <c r="T491" s="1">
        <f ca="1">IF(S491=1,T$3*Q490/Prices!C490,-T$3*R490)</f>
        <v>1.6288386110226833E-4</v>
      </c>
    </row>
    <row r="492" spans="1:20" x14ac:dyDescent="0.2">
      <c r="A492" s="4">
        <v>34194</v>
      </c>
      <c r="B492" s="9">
        <f ca="1">Prices!C491*(1+J492/(50*(ABS(O492)+ABS(T492)+0.0001)))</f>
        <v>101.87960960208166</v>
      </c>
      <c r="C492" s="21">
        <f t="shared" ca="1" si="47"/>
        <v>-1</v>
      </c>
      <c r="D492" s="9">
        <f ca="1">D491+C492*(Prices!C492-Prices!C491)/Prices!C491</f>
        <v>0.21259706351676733</v>
      </c>
      <c r="E492" s="9">
        <f t="shared" ca="1" si="48"/>
        <v>2.918821782407463E-2</v>
      </c>
      <c r="F492" s="9">
        <f t="shared" ca="1" si="49"/>
        <v>0.24178528134084196</v>
      </c>
      <c r="G492" s="13">
        <f ca="1">IF((Prices!C492-Prices!C491)*C492&gt;0,1,0)</f>
        <v>1</v>
      </c>
      <c r="H492" s="9">
        <f>ABS(Prices!C492-Prices!C491)/Prices!C491</f>
        <v>1.1069035828721241E-2</v>
      </c>
      <c r="I492" s="13"/>
      <c r="J492" s="1">
        <f t="shared" ca="1" si="50"/>
        <v>-4.9292991765462917E-4</v>
      </c>
      <c r="K492" s="9"/>
      <c r="L492" s="9">
        <f ca="1">L491-O492*Prices!C492</f>
        <v>1.5129066832900839</v>
      </c>
      <c r="M492" s="1">
        <f t="shared" ca="1" si="51"/>
        <v>5.8829686804409559E-3</v>
      </c>
      <c r="N492" s="9">
        <f ca="1">IF(Prices!D491&gt;OFFSET(Prices!D491,-$N$3,0),1,-1)</f>
        <v>-1</v>
      </c>
      <c r="O492" s="1">
        <f ca="1">IF(N492=1,O$3*L491/Prices!C491,-O$3*M491)</f>
        <v>-6.5366318671566178E-4</v>
      </c>
      <c r="P492" s="14"/>
      <c r="Q492" s="9">
        <f ca="1">Q491-T492*Prices!C492</f>
        <v>0.81132528557592132</v>
      </c>
      <c r="R492" s="1">
        <f t="shared" ca="1" si="52"/>
        <v>1.202902810449675E-2</v>
      </c>
      <c r="S492" s="9">
        <f ca="1">IF(Prices!C491&lt;OFFSET(Prices!C491,-S$3,0),1,-1)</f>
        <v>1</v>
      </c>
      <c r="T492" s="1">
        <f ca="1">IF(S492=1,T$3*Q491/Prices!C491,-T$3*R491)</f>
        <v>1.6073326906103263E-4</v>
      </c>
    </row>
    <row r="493" spans="1:20" x14ac:dyDescent="0.2">
      <c r="A493" s="4">
        <v>34197</v>
      </c>
      <c r="B493" s="9">
        <f ca="1">Prices!C492*(1+J493/(50*(ABS(O493)+ABS(T493)+0.0001)))</f>
        <v>100.8190707787446</v>
      </c>
      <c r="C493" s="21">
        <f t="shared" ca="1" si="47"/>
        <v>-1</v>
      </c>
      <c r="D493" s="9">
        <f ca="1">D492+C493*(Prices!C493-Prices!C492)/Prices!C492</f>
        <v>0.21485528639354681</v>
      </c>
      <c r="E493" s="9">
        <f t="shared" ca="1" si="48"/>
        <v>2.6929994947295144E-2</v>
      </c>
      <c r="F493" s="9">
        <f t="shared" ca="1" si="49"/>
        <v>0.24178528134084196</v>
      </c>
      <c r="G493" s="13">
        <f ca="1">IF((Prices!C493-Prices!C492)*C493&gt;0,1,0)</f>
        <v>1</v>
      </c>
      <c r="H493" s="9">
        <f>ABS(Prices!C493-Prices!C492)/Prices!C492</f>
        <v>2.2582228767794774E-3</v>
      </c>
      <c r="I493" s="13"/>
      <c r="J493" s="1">
        <f t="shared" ca="1" si="50"/>
        <v>-4.2897918800955049E-4</v>
      </c>
      <c r="K493" s="9"/>
      <c r="L493" s="9">
        <f ca="1">L492-O493*Prices!C493</f>
        <v>1.572689411020725</v>
      </c>
      <c r="M493" s="1">
        <f t="shared" ca="1" si="51"/>
        <v>5.2946718123968606E-3</v>
      </c>
      <c r="N493" s="9">
        <f ca="1">IF(Prices!D492&gt;OFFSET(Prices!D492,-$N$3,0),1,-1)</f>
        <v>-1</v>
      </c>
      <c r="O493" s="1">
        <f ca="1">IF(N493=1,O$3*L492/Prices!C492,-O$3*M492)</f>
        <v>-5.8829686804409568E-4</v>
      </c>
      <c r="P493" s="14"/>
      <c r="Q493" s="9">
        <f ca="1">Q492-T493*Prices!C493</f>
        <v>0.79513542293081085</v>
      </c>
      <c r="R493" s="1">
        <f t="shared" ca="1" si="52"/>
        <v>1.2188345784531296E-2</v>
      </c>
      <c r="S493" s="9">
        <f ca="1">IF(Prices!C492&lt;OFFSET(Prices!C492,-S$3,0),1,-1)</f>
        <v>1</v>
      </c>
      <c r="T493" s="1">
        <f ca="1">IF(S493=1,T$3*Q492/Prices!C492,-T$3*R492)</f>
        <v>1.5931768003454519E-4</v>
      </c>
    </row>
    <row r="494" spans="1:20" x14ac:dyDescent="0.2">
      <c r="A494" s="4">
        <v>34198</v>
      </c>
      <c r="B494" s="9">
        <f ca="1">Prices!C493*(1+J494/(50*(ABS(O494)+ABS(T494)+0.0001)))</f>
        <v>100.65552877869672</v>
      </c>
      <c r="C494" s="21">
        <f t="shared" ca="1" si="47"/>
        <v>-1</v>
      </c>
      <c r="D494" s="9">
        <f ca="1">D493+C494*(Prices!C494-Prices!C493)/Prices!C493</f>
        <v>0.22075963593103951</v>
      </c>
      <c r="E494" s="9">
        <f t="shared" ca="1" si="48"/>
        <v>2.1025645409802451E-2</v>
      </c>
      <c r="F494" s="9">
        <f t="shared" ca="1" si="49"/>
        <v>0.24178528134084196</v>
      </c>
      <c r="G494" s="13">
        <f ca="1">IF((Prices!C494-Prices!C493)*C494&gt;0,1,0)</f>
        <v>1</v>
      </c>
      <c r="H494" s="9">
        <f>ABS(Prices!C494-Prices!C493)/Prices!C493</f>
        <v>5.9043495374927028E-3</v>
      </c>
      <c r="I494" s="13"/>
      <c r="J494" s="1">
        <f t="shared" ca="1" si="50"/>
        <v>-3.729752656855017E-4</v>
      </c>
      <c r="K494" s="9"/>
      <c r="L494" s="9">
        <f ca="1">L493-O494*Prices!C494</f>
        <v>1.626176185669558</v>
      </c>
      <c r="M494" s="1">
        <f t="shared" ca="1" si="51"/>
        <v>4.7652046311571746E-3</v>
      </c>
      <c r="N494" s="9">
        <f ca="1">IF(Prices!D493&gt;OFFSET(Prices!D493,-$N$3,0),1,-1)</f>
        <v>-1</v>
      </c>
      <c r="O494" s="1">
        <f ca="1">IF(N494=1,O$3*L493/Prices!C493,-O$3*M493)</f>
        <v>-5.2946718123968606E-4</v>
      </c>
      <c r="P494" s="14"/>
      <c r="Q494" s="9">
        <f ca="1">Q493-T494*Prices!C494</f>
        <v>0.77932660962152711</v>
      </c>
      <c r="R494" s="1">
        <f t="shared" ca="1" si="52"/>
        <v>1.234483770008548E-2</v>
      </c>
      <c r="S494" s="9">
        <f ca="1">IF(Prices!C493&lt;OFFSET(Prices!C493,-S$3,0),1,-1)</f>
        <v>1</v>
      </c>
      <c r="T494" s="1">
        <f ca="1">IF(S494=1,T$3*Q493/Prices!C493,-T$3*R493)</f>
        <v>1.5649191555418436E-4</v>
      </c>
    </row>
    <row r="495" spans="1:20" x14ac:dyDescent="0.2">
      <c r="A495" s="18">
        <v>34199</v>
      </c>
      <c r="B495" s="9">
        <f ca="1">Prices!C494*(1+J495/(50*(ABS(O495)+ABS(T495)+0.0001)))</f>
        <v>100.12916721426392</v>
      </c>
      <c r="C495" s="21">
        <f t="shared" ca="1" si="47"/>
        <v>-1</v>
      </c>
      <c r="D495" s="9">
        <f ca="1">D494+C495*(Prices!C495-Prices!C494)/Prices!C494</f>
        <v>0.21472122769504665</v>
      </c>
      <c r="E495" s="9">
        <f t="shared" ca="1" si="48"/>
        <v>2.7064053645795311E-2</v>
      </c>
      <c r="F495" s="9">
        <f t="shared" ca="1" si="49"/>
        <v>0.24178528134084196</v>
      </c>
      <c r="G495" s="13">
        <f ca="1">IF((Prices!C495-Prices!C494)*C495&gt;0,1,0)</f>
        <v>0</v>
      </c>
      <c r="H495" s="9">
        <f>ABS(Prices!C495-Prices!C494)/Prices!C494</f>
        <v>6.0384082359928671E-3</v>
      </c>
      <c r="I495" s="13"/>
      <c r="J495" s="1">
        <f t="shared" ca="1" si="50"/>
        <v>-3.2222891498237213E-4</v>
      </c>
      <c r="K495" s="9"/>
      <c r="L495" s="9">
        <f ca="1">L494-O495*Prices!C495</f>
        <v>1.6746049603360085</v>
      </c>
      <c r="M495" s="1">
        <f t="shared" ca="1" si="51"/>
        <v>4.2886841680414567E-3</v>
      </c>
      <c r="N495" s="9">
        <f ca="1">IF(Prices!D494&gt;OFFSET(Prices!D494,-$N$3,0),1,-1)</f>
        <v>-1</v>
      </c>
      <c r="O495" s="1">
        <f ca="1">IF(N495=1,O$3*L494/Prices!C494,-O$3*M494)</f>
        <v>-4.7652046311571746E-4</v>
      </c>
      <c r="P495" s="14"/>
      <c r="Q495" s="9">
        <f ca="1">Q494-T495*Prices!C495</f>
        <v>0.76364595958473525</v>
      </c>
      <c r="R495" s="1">
        <f t="shared" ca="1" si="52"/>
        <v>1.2499129248218825E-2</v>
      </c>
      <c r="S495" s="9">
        <f ca="1">IF(Prices!C494&lt;OFFSET(Prices!C494,-S$3,0),1,-1)</f>
        <v>1</v>
      </c>
      <c r="T495" s="1">
        <f ca="1">IF(S495=1,T$3*Q494/Prices!C494,-T$3*R494)</f>
        <v>1.542915481333453E-4</v>
      </c>
    </row>
    <row r="496" spans="1:20" x14ac:dyDescent="0.2">
      <c r="A496" s="4">
        <v>34200</v>
      </c>
      <c r="B496" s="9">
        <f ca="1">Prices!C495*(1+J496/(50*(ABS(O496)+ABS(T496)+0.0001)))</f>
        <v>103.55550980977603</v>
      </c>
      <c r="C496" s="21">
        <f t="shared" ca="1" si="47"/>
        <v>1</v>
      </c>
      <c r="D496" s="9">
        <f ca="1">D495+C496*(Prices!C496-Prices!C495)/Prices!C495</f>
        <v>0.25614600384382169</v>
      </c>
      <c r="E496" s="9">
        <f t="shared" ca="1" si="48"/>
        <v>0</v>
      </c>
      <c r="F496" s="9">
        <f t="shared" ca="1" si="49"/>
        <v>0.25614600384382169</v>
      </c>
      <c r="G496" s="13">
        <f ca="1">IF((Prices!C496-Prices!C495)*C496&gt;0,1,0)</f>
        <v>1</v>
      </c>
      <c r="H496" s="9">
        <f>ABS(Prices!C496-Prices!C495)/Prices!C495</f>
        <v>4.1424776148775051E-2</v>
      </c>
      <c r="I496" s="13"/>
      <c r="J496" s="1">
        <f t="shared" ca="1" si="50"/>
        <v>1.7980263231850396E-3</v>
      </c>
      <c r="K496" s="9"/>
      <c r="L496" s="9">
        <f ca="1">L495-O496*Prices!C496</f>
        <v>1.5002074507404528</v>
      </c>
      <c r="M496" s="1">
        <f t="shared" ca="1" si="51"/>
        <v>5.9364308573418689E-3</v>
      </c>
      <c r="N496" s="9">
        <f ca="1">IF(Prices!D495&gt;OFFSET(Prices!D495,-$N$3,0),1,-1)</f>
        <v>1</v>
      </c>
      <c r="O496" s="1">
        <f ca="1">IF(N496=1,O$3*L495/Prices!C495,-O$3*M495)</f>
        <v>1.647746689300412E-3</v>
      </c>
      <c r="P496" s="14"/>
      <c r="Q496" s="9">
        <f ca="1">Q495-T496*Prices!C496</f>
        <v>0.7477403631343863</v>
      </c>
      <c r="R496" s="1">
        <f t="shared" ca="1" si="52"/>
        <v>1.2649408882103452E-2</v>
      </c>
      <c r="S496" s="9">
        <f ca="1">IF(Prices!C495&lt;OFFSET(Prices!C495,-S$3,0),1,-1)</f>
        <v>1</v>
      </c>
      <c r="T496" s="1">
        <f ca="1">IF(S496=1,T$3*Q495/Prices!C495,-T$3*R495)</f>
        <v>1.5027963388462761E-4</v>
      </c>
    </row>
    <row r="497" spans="1:20" x14ac:dyDescent="0.2">
      <c r="A497" s="4">
        <v>34201</v>
      </c>
      <c r="B497" s="9">
        <f ca="1">Prices!C496*(1+J497/(50*(ABS(O497)+ABS(T497)+0.0001)))</f>
        <v>103.94681399648373</v>
      </c>
      <c r="C497" s="21">
        <f t="shared" ca="1" si="47"/>
        <v>-1</v>
      </c>
      <c r="D497" s="9">
        <f ca="1">D496+C497*(Prices!C497-Prices!C496)/Prices!C496</f>
        <v>0.26946799930867427</v>
      </c>
      <c r="E497" s="9">
        <f t="shared" ca="1" si="48"/>
        <v>0</v>
      </c>
      <c r="F497" s="9">
        <f t="shared" ca="1" si="49"/>
        <v>0.26946799930867427</v>
      </c>
      <c r="G497" s="13">
        <f ca="1">IF((Prices!C497-Prices!C496)*C497&gt;0,1,0)</f>
        <v>1</v>
      </c>
      <c r="H497" s="9">
        <f>ABS(Prices!C497-Prices!C496)/Prices!C496</f>
        <v>1.3321995464852575E-2</v>
      </c>
      <c r="I497" s="13"/>
      <c r="J497" s="1">
        <f t="shared" ca="1" si="50"/>
        <v>-8.4663126337625595E-4</v>
      </c>
      <c r="K497" s="9"/>
      <c r="L497" s="9">
        <f ca="1">L496-O497*Prices!C497</f>
        <v>1.5622015981836739</v>
      </c>
      <c r="M497" s="1">
        <f t="shared" ca="1" si="51"/>
        <v>5.3427877716076821E-3</v>
      </c>
      <c r="N497" s="9">
        <f ca="1">IF(Prices!D496&gt;OFFSET(Prices!D496,-$N$3,0),1,-1)</f>
        <v>-1</v>
      </c>
      <c r="O497" s="1">
        <f ca="1">IF(N497=1,O$3*L496/Prices!C496,-O$3*M496)</f>
        <v>-5.9364308573418693E-4</v>
      </c>
      <c r="P497" s="14"/>
      <c r="Q497" s="9">
        <f ca="1">Q496-T497*Prices!C497</f>
        <v>0.77415991852554755</v>
      </c>
      <c r="R497" s="1">
        <f t="shared" ca="1" si="52"/>
        <v>1.2396420704461383E-2</v>
      </c>
      <c r="S497" s="9">
        <f ca="1">IF(Prices!C496&lt;OFFSET(Prices!C496,-S$3,0),1,-1)</f>
        <v>-1</v>
      </c>
      <c r="T497" s="1">
        <f ca="1">IF(S497=1,T$3*Q496/Prices!C496,-T$3*R496)</f>
        <v>-2.5298817764206902E-4</v>
      </c>
    </row>
    <row r="498" spans="1:20" x14ac:dyDescent="0.2">
      <c r="A498" s="4">
        <v>34204</v>
      </c>
      <c r="B498" s="9">
        <f ca="1">Prices!C497*(1+J498/(50*(ABS(O498)+ABS(T498)+0.0001)))</f>
        <v>102.57814710665652</v>
      </c>
      <c r="C498" s="21">
        <f t="shared" ca="1" si="47"/>
        <v>-1</v>
      </c>
      <c r="D498" s="9">
        <f ca="1">D497+C498*(Prices!C498-Prices!C497)/Prices!C497</f>
        <v>0.2826825928162871</v>
      </c>
      <c r="E498" s="9">
        <f t="shared" ca="1" si="48"/>
        <v>0</v>
      </c>
      <c r="F498" s="9">
        <f t="shared" ca="1" si="49"/>
        <v>0.2826825928162871</v>
      </c>
      <c r="G498" s="13">
        <f ca="1">IF((Prices!C498-Prices!C497)*C498&gt;0,1,0)</f>
        <v>1</v>
      </c>
      <c r="H498" s="9">
        <f>ABS(Prices!C498-Prices!C497)/Prices!C497</f>
        <v>1.3214593507612846E-2</v>
      </c>
      <c r="I498" s="13"/>
      <c r="J498" s="1">
        <f t="shared" ca="1" si="50"/>
        <v>-7.8220719124999592E-4</v>
      </c>
      <c r="K498" s="9"/>
      <c r="L498" s="9">
        <f ca="1">L497-O498*Prices!C498</f>
        <v>1.617259026170091</v>
      </c>
      <c r="M498" s="1">
        <f t="shared" ca="1" si="51"/>
        <v>4.8085089944469141E-3</v>
      </c>
      <c r="N498" s="9">
        <f ca="1">IF(Prices!D497&gt;OFFSET(Prices!D497,-$N$3,0),1,-1)</f>
        <v>-1</v>
      </c>
      <c r="O498" s="1">
        <f ca="1">IF(N498=1,O$3*L497/Prices!C497,-O$3*M497)</f>
        <v>-5.3427877716076826E-4</v>
      </c>
      <c r="P498" s="14"/>
      <c r="Q498" s="9">
        <f ca="1">Q497-T498*Prices!C498</f>
        <v>0.79970894159744244</v>
      </c>
      <c r="R498" s="1">
        <f t="shared" ca="1" si="52"/>
        <v>1.2148492290372155E-2</v>
      </c>
      <c r="S498" s="9">
        <f ca="1">IF(Prices!C497&lt;OFFSET(Prices!C497,-S$3,0),1,-1)</f>
        <v>-1</v>
      </c>
      <c r="T498" s="1">
        <f ca="1">IF(S498=1,T$3*Q497/Prices!C497,-T$3*R497)</f>
        <v>-2.4792841408922766E-4</v>
      </c>
    </row>
    <row r="499" spans="1:20" x14ac:dyDescent="0.2">
      <c r="A499" s="4">
        <v>34205</v>
      </c>
      <c r="B499" s="9">
        <f ca="1">Prices!C498*(1+J499/(50*(ABS(O499)+ABS(T499)+0.0001)))</f>
        <v>101.23917578300595</v>
      </c>
      <c r="C499" s="21">
        <f t="shared" ca="1" si="47"/>
        <v>-1</v>
      </c>
      <c r="D499" s="9">
        <f ca="1">D498+C499*(Prices!C499-Prices!C498)/Prices!C498</f>
        <v>0.2760838543398193</v>
      </c>
      <c r="E499" s="9">
        <f t="shared" ca="1" si="48"/>
        <v>6.5987384764678025E-3</v>
      </c>
      <c r="F499" s="9">
        <f t="shared" ca="1" si="49"/>
        <v>0.2826825928162871</v>
      </c>
      <c r="G499" s="13">
        <f ca="1">IF((Prices!C499-Prices!C498)*C499&gt;0,1,0)</f>
        <v>0</v>
      </c>
      <c r="H499" s="9">
        <f>ABS(Prices!C499-Prices!C498)/Prices!C498</f>
        <v>6.5987384764678008E-3</v>
      </c>
      <c r="I499" s="13"/>
      <c r="J499" s="1">
        <f t="shared" ca="1" si="50"/>
        <v>-7.2382074525213455E-4</v>
      </c>
      <c r="K499" s="9"/>
      <c r="L499" s="9">
        <f ca="1">L498-O499*Prices!C499</f>
        <v>1.6671376899694887</v>
      </c>
      <c r="M499" s="1">
        <f t="shared" ca="1" si="51"/>
        <v>4.327658095002223E-3</v>
      </c>
      <c r="N499" s="9">
        <f ca="1">IF(Prices!D498&gt;OFFSET(Prices!D498,-$N$3,0),1,-1)</f>
        <v>-1</v>
      </c>
      <c r="O499" s="1">
        <f ca="1">IF(N499=1,O$3*L498/Prices!C498,-O$3*M498)</f>
        <v>-4.8085089944469142E-4</v>
      </c>
      <c r="P499" s="14"/>
      <c r="Q499" s="9">
        <f ca="1">Q498-T499*Prices!C499</f>
        <v>0.82491220370304852</v>
      </c>
      <c r="R499" s="1">
        <f t="shared" ca="1" si="52"/>
        <v>1.1905522444564713E-2</v>
      </c>
      <c r="S499" s="9">
        <f ca="1">IF(Prices!C498&lt;OFFSET(Prices!C498,-S$3,0),1,-1)</f>
        <v>-1</v>
      </c>
      <c r="T499" s="1">
        <f ca="1">IF(S499=1,T$3*Q498/Prices!C498,-T$3*R498)</f>
        <v>-2.4296984580744312E-4</v>
      </c>
    </row>
    <row r="500" spans="1:20" x14ac:dyDescent="0.2">
      <c r="A500" s="4">
        <v>34206</v>
      </c>
      <c r="B500" s="9">
        <f ca="1">Prices!C499*(1+J500/(50*(ABS(O500)+ABS(T500)+0.0001)))</f>
        <v>101.92452231080107</v>
      </c>
      <c r="C500" s="21">
        <f t="shared" ca="1" si="47"/>
        <v>-1</v>
      </c>
      <c r="D500" s="9">
        <f ca="1">D499+C500*(Prices!C500-Prices!C499)/Prices!C499</f>
        <v>0.26335850969506858</v>
      </c>
      <c r="E500" s="9">
        <f t="shared" ca="1" si="48"/>
        <v>1.9324083121218527E-2</v>
      </c>
      <c r="F500" s="9">
        <f t="shared" ca="1" si="49"/>
        <v>0.2826825928162871</v>
      </c>
      <c r="G500" s="13">
        <f ca="1">IF((Prices!C500-Prices!C499)*C500&gt;0,1,0)</f>
        <v>0</v>
      </c>
      <c r="H500" s="9">
        <f>ABS(Prices!C500-Prices!C499)/Prices!C499</f>
        <v>1.272534464475073E-2</v>
      </c>
      <c r="I500" s="13"/>
      <c r="J500" s="1">
        <f t="shared" ca="1" si="50"/>
        <v>-6.7087625839151656E-4</v>
      </c>
      <c r="K500" s="9"/>
      <c r="L500" s="9">
        <f ca="1">L499-O500*Prices!C500</f>
        <v>1.7125997382574871</v>
      </c>
      <c r="M500" s="1">
        <f t="shared" ca="1" si="51"/>
        <v>3.8948922855020006E-3</v>
      </c>
      <c r="N500" s="9">
        <f ca="1">IF(Prices!D499&gt;OFFSET(Prices!D499,-$N$3,0),1,-1)</f>
        <v>-1</v>
      </c>
      <c r="O500" s="1">
        <f ca="1">IF(N500=1,O$3*L499/Prices!C499,-O$3*M499)</f>
        <v>-4.3276580950022233E-4</v>
      </c>
      <c r="P500" s="14"/>
      <c r="Q500" s="9">
        <f ca="1">Q499-T500*Prices!C500</f>
        <v>0.84992570635907894</v>
      </c>
      <c r="R500" s="1">
        <f t="shared" ca="1" si="52"/>
        <v>1.166741199567342E-2</v>
      </c>
      <c r="S500" s="9">
        <f ca="1">IF(Prices!C499&lt;OFFSET(Prices!C499,-S$3,0),1,-1)</f>
        <v>-1</v>
      </c>
      <c r="T500" s="1">
        <f ca="1">IF(S500=1,T$3*Q499/Prices!C499,-T$3*R499)</f>
        <v>-2.3811044889129426E-4</v>
      </c>
    </row>
    <row r="501" spans="1:20" x14ac:dyDescent="0.2">
      <c r="A501" s="4">
        <v>34207</v>
      </c>
      <c r="B501" s="9">
        <f ca="1">Prices!C500*(1+J501/(50*(ABS(O501)+ABS(T501)+0.0001)))</f>
        <v>104.31555421302917</v>
      </c>
      <c r="C501" s="21">
        <f t="shared" ca="1" si="47"/>
        <v>-1</v>
      </c>
      <c r="D501" s="9">
        <f ca="1">D500+C501*(Prices!C501-Prices!C500)/Prices!C500</f>
        <v>0.26945084667745794</v>
      </c>
      <c r="E501" s="9">
        <f t="shared" ca="1" si="48"/>
        <v>1.3231746138829159E-2</v>
      </c>
      <c r="F501" s="9">
        <f t="shared" ca="1" si="49"/>
        <v>0.2826825928162871</v>
      </c>
      <c r="G501" s="13">
        <f ca="1">IF((Prices!C501-Prices!C500)*C501&gt;0,1,0)</f>
        <v>1</v>
      </c>
      <c r="H501" s="9">
        <f>ABS(Prices!C501-Prices!C500)/Prices!C500</f>
        <v>6.0923369823893438E-3</v>
      </c>
      <c r="I501" s="13"/>
      <c r="J501" s="1">
        <f t="shared" ca="1" si="50"/>
        <v>-2.276756718897376E-4</v>
      </c>
      <c r="K501" s="9"/>
      <c r="L501" s="9">
        <f ca="1">L500-O501*Prices!C501</f>
        <v>1.7532663086104134</v>
      </c>
      <c r="M501" s="1">
        <f t="shared" ca="1" si="51"/>
        <v>3.5054030569518007E-3</v>
      </c>
      <c r="N501" s="9">
        <f ca="1">IF(Prices!D500&gt;OFFSET(Prices!D500,-$N$3,0),1,-1)</f>
        <v>-1</v>
      </c>
      <c r="O501" s="1">
        <f ca="1">IF(N501=1,O$3*L500/Prices!C500,-O$3*M500)</f>
        <v>-3.8948922855020006E-4</v>
      </c>
      <c r="P501" s="14"/>
      <c r="Q501" s="9">
        <f ca="1">Q500-T501*Prices!C501</f>
        <v>0.83303075290816009</v>
      </c>
      <c r="R501" s="1">
        <f t="shared" ca="1" si="52"/>
        <v>1.1829225552333882E-2</v>
      </c>
      <c r="S501" s="9">
        <f ca="1">IF(Prices!C500&lt;OFFSET(Prices!C500,-S$3,0),1,-1)</f>
        <v>1</v>
      </c>
      <c r="T501" s="1">
        <f ca="1">IF(S501=1,T$3*Q500/Prices!C500,-T$3*R500)</f>
        <v>1.6181355666046245E-4</v>
      </c>
    </row>
    <row r="502" spans="1:20" x14ac:dyDescent="0.2">
      <c r="A502" s="4">
        <v>34208</v>
      </c>
      <c r="B502" s="9">
        <f ca="1">Prices!C501*(1+J502/(50*(ABS(O502)+ABS(T502)+0.0001)))</f>
        <v>103.75636980168208</v>
      </c>
      <c r="C502" s="21">
        <f t="shared" ca="1" si="47"/>
        <v>-1</v>
      </c>
      <c r="D502" s="9">
        <f ca="1">D501+C502*(Prices!C502-Prices!C501)/Prices!C501</f>
        <v>0.27529319894256665</v>
      </c>
      <c r="E502" s="9">
        <f t="shared" ca="1" si="48"/>
        <v>7.3893938737204512E-3</v>
      </c>
      <c r="F502" s="9">
        <f t="shared" ca="1" si="49"/>
        <v>0.2826825928162871</v>
      </c>
      <c r="G502" s="13">
        <f ca="1">IF((Prices!C502-Prices!C501)*C502&gt;0,1,0)</f>
        <v>1</v>
      </c>
      <c r="H502" s="9">
        <f>ABS(Prices!C502-Prices!C501)/Prices!C501</f>
        <v>5.8423522651087009E-3</v>
      </c>
      <c r="I502" s="13"/>
      <c r="J502" s="1">
        <f t="shared" ca="1" si="50"/>
        <v>-1.9097115467359976E-4</v>
      </c>
      <c r="K502" s="9"/>
      <c r="L502" s="9">
        <f ca="1">L501-O502*Prices!C502</f>
        <v>1.789652392341573</v>
      </c>
      <c r="M502" s="1">
        <f t="shared" ca="1" si="51"/>
        <v>3.1548627512566207E-3</v>
      </c>
      <c r="N502" s="9">
        <f ca="1">IF(Prices!D501&gt;OFFSET(Prices!D501,-$N$3,0),1,-1)</f>
        <v>-1</v>
      </c>
      <c r="O502" s="1">
        <f ca="1">IF(N502=1,O$3*L501/Prices!C501,-O$3*M501)</f>
        <v>-3.5054030569518009E-4</v>
      </c>
      <c r="P502" s="14"/>
      <c r="Q502" s="9">
        <f ca="1">Q501-T502*Prices!C502</f>
        <v>0.81646747503212003</v>
      </c>
      <c r="R502" s="1">
        <f t="shared" ca="1" si="52"/>
        <v>1.1988794703355463E-2</v>
      </c>
      <c r="S502" s="9">
        <f ca="1">IF(Prices!C501&lt;OFFSET(Prices!C501,-S$3,0),1,-1)</f>
        <v>1</v>
      </c>
      <c r="T502" s="1">
        <f ca="1">IF(S502=1,T$3*Q501/Prices!C501,-T$3*R501)</f>
        <v>1.5956915102158034E-4</v>
      </c>
    </row>
    <row r="503" spans="1:20" x14ac:dyDescent="0.2">
      <c r="A503" s="4">
        <v>34211</v>
      </c>
      <c r="B503" s="9">
        <f ca="1">Prices!C502*(1+J503/(50*(ABS(O503)+ABS(T503)+0.0001)))</f>
        <v>102.04081975514586</v>
      </c>
      <c r="C503" s="21">
        <f t="shared" ca="1" si="47"/>
        <v>-1</v>
      </c>
      <c r="D503" s="9">
        <f ca="1">D502+C503*(Prices!C503-Prices!C502)/Prices!C502</f>
        <v>0.27529319894256665</v>
      </c>
      <c r="E503" s="9">
        <f t="shared" ca="1" si="48"/>
        <v>7.3893938737204512E-3</v>
      </c>
      <c r="F503" s="9">
        <f t="shared" ca="1" si="49"/>
        <v>0.2826825928162871</v>
      </c>
      <c r="G503" s="13">
        <f ca="1">IF((Prices!C503-Prices!C502)*C503&gt;0,1,0)</f>
        <v>0</v>
      </c>
      <c r="H503" s="9">
        <f>ABS(Prices!C503-Prices!C502)/Prices!C502</f>
        <v>0</v>
      </c>
      <c r="I503" s="13"/>
      <c r="J503" s="1">
        <f t="shared" ca="1" si="50"/>
        <v>-5.5526216919277128E-4</v>
      </c>
      <c r="K503" s="9"/>
      <c r="L503" s="9">
        <f ca="1">L502-O503*Prices!C503</f>
        <v>1.8223998676996167</v>
      </c>
      <c r="M503" s="1">
        <f t="shared" ca="1" si="51"/>
        <v>2.8393764761309587E-3</v>
      </c>
      <c r="N503" s="9">
        <f ca="1">IF(Prices!D502&gt;OFFSET(Prices!D502,-$N$3,0),1,-1)</f>
        <v>-1</v>
      </c>
      <c r="O503" s="1">
        <f ca="1">IF(N503=1,O$3*L502/Prices!C502,-O$3*M502)</f>
        <v>-3.1548627512566207E-4</v>
      </c>
      <c r="P503" s="14"/>
      <c r="Q503" s="9">
        <f ca="1">Q502-T503*Prices!C503</f>
        <v>0.84135621283628592</v>
      </c>
      <c r="R503" s="1">
        <f t="shared" ca="1" si="52"/>
        <v>1.1749018809288353E-2</v>
      </c>
      <c r="S503" s="9">
        <f ca="1">IF(Prices!C502&lt;OFFSET(Prices!C502,-S$3,0),1,-1)</f>
        <v>-1</v>
      </c>
      <c r="T503" s="1">
        <f ca="1">IF(S503=1,T$3*Q502/Prices!C502,-T$3*R502)</f>
        <v>-2.3977589406710926E-4</v>
      </c>
    </row>
    <row r="504" spans="1:20" x14ac:dyDescent="0.2">
      <c r="A504" s="4">
        <v>34212</v>
      </c>
      <c r="B504" s="9">
        <f ca="1">Prices!C503*(1+J504/(50*(ABS(O504)+ABS(T504)+0.0001)))</f>
        <v>105.31003704431218</v>
      </c>
      <c r="C504" s="21">
        <f t="shared" ca="1" si="47"/>
        <v>1</v>
      </c>
      <c r="D504" s="9">
        <f ca="1">D503+C504*(Prices!C504-Prices!C503)/Prices!C503</f>
        <v>0.28444541474218132</v>
      </c>
      <c r="E504" s="9">
        <f t="shared" ca="1" si="48"/>
        <v>0</v>
      </c>
      <c r="F504" s="9">
        <f t="shared" ca="1" si="49"/>
        <v>0.28444541474218132</v>
      </c>
      <c r="G504" s="13">
        <f ca="1">IF((Prices!C504-Prices!C503)*C504&gt;0,1,0)</f>
        <v>1</v>
      </c>
      <c r="H504" s="9">
        <f>ABS(Prices!C504-Prices!C503)/Prices!C503</f>
        <v>9.1522157996146714E-3</v>
      </c>
      <c r="I504" s="13"/>
      <c r="J504" s="1">
        <f t="shared" ca="1" si="50"/>
        <v>1.5207035040643454E-3</v>
      </c>
      <c r="K504" s="9"/>
      <c r="L504" s="9">
        <f ca="1">L503-O504*Prices!C504</f>
        <v>1.6384919812434173</v>
      </c>
      <c r="M504" s="1">
        <f t="shared" ca="1" si="51"/>
        <v>4.5950603563810711E-3</v>
      </c>
      <c r="N504" s="9">
        <f ca="1">IF(Prices!D503&gt;OFFSET(Prices!D503,-$N$3,0),1,-1)</f>
        <v>1</v>
      </c>
      <c r="O504" s="1">
        <f ca="1">IF(N504=1,O$3*L503/Prices!C503,-O$3*M503)</f>
        <v>1.7556838802501125E-3</v>
      </c>
      <c r="P504" s="14"/>
      <c r="Q504" s="9">
        <f ca="1">Q503-T504*Prices!C504</f>
        <v>0.86597040724174501</v>
      </c>
      <c r="R504" s="1">
        <f t="shared" ca="1" si="52"/>
        <v>1.1514038433102586E-2</v>
      </c>
      <c r="S504" s="9">
        <f ca="1">IF(Prices!C503&lt;OFFSET(Prices!C503,-S$3,0),1,-1)</f>
        <v>-1</v>
      </c>
      <c r="T504" s="1">
        <f ca="1">IF(S504=1,T$3*Q503/Prices!C503,-T$3*R503)</f>
        <v>-2.3498037618576708E-4</v>
      </c>
    </row>
    <row r="505" spans="1:20" x14ac:dyDescent="0.2">
      <c r="A505" s="4">
        <v>34213</v>
      </c>
      <c r="B505" s="9">
        <f ca="1">Prices!C504*(1+J505/(50*(ABS(O505)+ABS(T505)+0.0001)))</f>
        <v>103.89978271070791</v>
      </c>
      <c r="C505" s="21">
        <f t="shared" ca="1" si="47"/>
        <v>-1</v>
      </c>
      <c r="D505" s="9">
        <f ca="1">D504+C505*(Prices!C505-Prices!C504)/Prices!C504</f>
        <v>0.2787174911144964</v>
      </c>
      <c r="E505" s="9">
        <f t="shared" ca="1" si="48"/>
        <v>5.7279236276849277E-3</v>
      </c>
      <c r="F505" s="9">
        <f t="shared" ca="1" si="49"/>
        <v>0.28444541474218132</v>
      </c>
      <c r="G505" s="13">
        <f ca="1">IF((Prices!C505-Prices!C504)*C505&gt;0,1,0)</f>
        <v>0</v>
      </c>
      <c r="H505" s="9">
        <f>ABS(Prices!C505-Prices!C504)/Prices!C504</f>
        <v>5.7279236276849103E-3</v>
      </c>
      <c r="I505" s="13"/>
      <c r="J505" s="1">
        <f t="shared" ca="1" si="50"/>
        <v>-2.9416562375424177E-4</v>
      </c>
      <c r="K505" s="9"/>
      <c r="L505" s="9">
        <f ca="1">L504-O505*Prices!C505</f>
        <v>1.686900942097892</v>
      </c>
      <c r="M505" s="1">
        <f t="shared" ca="1" si="51"/>
        <v>4.1355543207429639E-3</v>
      </c>
      <c r="N505" s="9">
        <f ca="1">IF(Prices!D504&gt;OFFSET(Prices!D504,-$N$3,0),1,-1)</f>
        <v>-1</v>
      </c>
      <c r="O505" s="1">
        <f ca="1">IF(N505=1,O$3*L504/Prices!C504,-O$3*M504)</f>
        <v>-4.5950603563810714E-4</v>
      </c>
      <c r="P505" s="14"/>
      <c r="Q505" s="9">
        <f ca="1">Q504-T505*Prices!C505</f>
        <v>0.84855179484977983</v>
      </c>
      <c r="R505" s="1">
        <f t="shared" ca="1" si="52"/>
        <v>1.1679378844986451E-2</v>
      </c>
      <c r="S505" s="9">
        <f ca="1">IF(Prices!C504&lt;OFFSET(Prices!C504,-S$3,0),1,-1)</f>
        <v>1</v>
      </c>
      <c r="T505" s="1">
        <f ca="1">IF(S505=1,T$3*Q504/Prices!C504,-T$3*R504)</f>
        <v>1.6534041188386538E-4</v>
      </c>
    </row>
    <row r="506" spans="1:20" x14ac:dyDescent="0.2">
      <c r="A506" s="4">
        <v>34214</v>
      </c>
      <c r="B506" s="9">
        <f ca="1">Prices!C505*(1+J506/(50*(ABS(O506)+ABS(T506)+0.0001)))</f>
        <v>106.83935260443225</v>
      </c>
      <c r="C506" s="21">
        <f t="shared" ca="1" si="47"/>
        <v>1</v>
      </c>
      <c r="D506" s="9">
        <f ca="1">D505+C506*(Prices!C506-Prices!C505)/Prices!C505</f>
        <v>0.28441279249086099</v>
      </c>
      <c r="E506" s="9">
        <f t="shared" ca="1" si="48"/>
        <v>3.2622251320335582E-5</v>
      </c>
      <c r="F506" s="9">
        <f t="shared" ca="1" si="49"/>
        <v>0.28444541474218132</v>
      </c>
      <c r="G506" s="13">
        <f ca="1">IF((Prices!C506-Prices!C505)*C506&gt;0,1,0)</f>
        <v>1</v>
      </c>
      <c r="H506" s="9">
        <f>ABS(Prices!C506-Prices!C505)/Prices!C505</f>
        <v>5.6953013763645808E-3</v>
      </c>
      <c r="I506" s="13"/>
      <c r="J506" s="1">
        <f t="shared" ca="1" si="50"/>
        <v>1.3676472993203869E-3</v>
      </c>
      <c r="K506" s="9"/>
      <c r="L506" s="9">
        <f ca="1">L505-O506*Prices!C506</f>
        <v>1.5172501069623707</v>
      </c>
      <c r="M506" s="1">
        <f t="shared" ca="1" si="51"/>
        <v>5.7367891969630803E-3</v>
      </c>
      <c r="N506" s="9">
        <f ca="1">IF(Prices!D505&gt;OFFSET(Prices!D505,-$N$3,0),1,-1)</f>
        <v>1</v>
      </c>
      <c r="O506" s="1">
        <f ca="1">IF(N506=1,O$3*L505/Prices!C505,-O$3*M505)</f>
        <v>1.601234876220116E-3</v>
      </c>
      <c r="P506" s="14"/>
      <c r="Q506" s="9">
        <f ca="1">Q505-T506*Prices!C506</f>
        <v>0.87330039862230613</v>
      </c>
      <c r="R506" s="1">
        <f t="shared" ca="1" si="52"/>
        <v>1.1445791268086722E-2</v>
      </c>
      <c r="S506" s="9">
        <f ca="1">IF(Prices!C505&lt;OFFSET(Prices!C505,-S$3,0),1,-1)</f>
        <v>-1</v>
      </c>
      <c r="T506" s="1">
        <f ca="1">IF(S506=1,T$3*Q505/Prices!C505,-T$3*R505)</f>
        <v>-2.3358757689972902E-4</v>
      </c>
    </row>
    <row r="507" spans="1:20" x14ac:dyDescent="0.2">
      <c r="A507" s="4">
        <v>34215</v>
      </c>
      <c r="B507" s="9">
        <f ca="1">Prices!C506*(1+J507/(50*(ABS(O507)+ABS(T507)+0.0001)))</f>
        <v>104.06576759770674</v>
      </c>
      <c r="C507" s="21">
        <f t="shared" ca="1" si="47"/>
        <v>-1</v>
      </c>
      <c r="D507" s="9">
        <f ca="1">D506+C507*(Prices!C507-Prices!C506)/Prices!C506</f>
        <v>0.29630519456731219</v>
      </c>
      <c r="E507" s="9">
        <f t="shared" ca="1" si="48"/>
        <v>0</v>
      </c>
      <c r="F507" s="9">
        <f t="shared" ca="1" si="49"/>
        <v>0.29630519456731219</v>
      </c>
      <c r="G507" s="13">
        <f ca="1">IF((Prices!C507-Prices!C506)*C507&gt;0,1,0)</f>
        <v>1</v>
      </c>
      <c r="H507" s="9">
        <f>ABS(Prices!C507-Prices!C506)/Prices!C506</f>
        <v>1.1892402076451205E-2</v>
      </c>
      <c r="I507" s="13"/>
      <c r="J507" s="1">
        <f t="shared" ca="1" si="50"/>
        <v>-8.025947450580425E-4</v>
      </c>
      <c r="K507" s="9"/>
      <c r="L507" s="9">
        <f ca="1">L506-O507*Prices!C507</f>
        <v>1.5773085530653772</v>
      </c>
      <c r="M507" s="1">
        <f t="shared" ca="1" si="51"/>
        <v>5.1631102772667723E-3</v>
      </c>
      <c r="N507" s="9">
        <f ca="1">IF(Prices!D506&gt;OFFSET(Prices!D506,-$N$3,0),1,-1)</f>
        <v>-1</v>
      </c>
      <c r="O507" s="1">
        <f ca="1">IF(N507=1,O$3*L506/Prices!C506,-O$3*M506)</f>
        <v>-5.7367891969630803E-4</v>
      </c>
      <c r="P507" s="14"/>
      <c r="Q507" s="9">
        <f ca="1">Q506-T507*Prices!C507</f>
        <v>0.89726559637942616</v>
      </c>
      <c r="R507" s="1">
        <f t="shared" ca="1" si="52"/>
        <v>1.1216875442724986E-2</v>
      </c>
      <c r="S507" s="9">
        <f ca="1">IF(Prices!C506&lt;OFFSET(Prices!C506,-S$3,0),1,-1)</f>
        <v>-1</v>
      </c>
      <c r="T507" s="1">
        <f ca="1">IF(S507=1,T$3*Q506/Prices!C506,-T$3*R506)</f>
        <v>-2.2891582536173444E-4</v>
      </c>
    </row>
    <row r="508" spans="1:20" x14ac:dyDescent="0.2">
      <c r="A508" s="18">
        <v>34218</v>
      </c>
      <c r="B508" s="9">
        <f ca="1">Prices!C507*(1+J508/(50*(ABS(O508)+ABS(T508)+0.0001)))</f>
        <v>102.84526960624891</v>
      </c>
      <c r="C508" s="21">
        <f t="shared" ca="1" si="47"/>
        <v>-1</v>
      </c>
      <c r="D508" s="9">
        <f ca="1">D507+C508*(Prices!C508-Prices!C507)/Prices!C507</f>
        <v>0.29897975756282275</v>
      </c>
      <c r="E508" s="9">
        <f t="shared" ca="1" si="48"/>
        <v>0</v>
      </c>
      <c r="F508" s="9">
        <f t="shared" ca="1" si="49"/>
        <v>0.29897975756282275</v>
      </c>
      <c r="G508" s="13">
        <f ca="1">IF((Prices!C508-Prices!C507)*C508&gt;0,1,0)</f>
        <v>1</v>
      </c>
      <c r="H508" s="9">
        <f>ABS(Prices!C508-Prices!C507)/Prices!C507</f>
        <v>2.674562995510566E-3</v>
      </c>
      <c r="I508" s="13"/>
      <c r="J508" s="1">
        <f t="shared" ca="1" si="50"/>
        <v>-7.4064853658117706E-4</v>
      </c>
      <c r="K508" s="9"/>
      <c r="L508" s="9">
        <f ca="1">L507-O508*Prices!C508</f>
        <v>1.6312165874703195</v>
      </c>
      <c r="M508" s="1">
        <f t="shared" ca="1" si="51"/>
        <v>4.6467992495400953E-3</v>
      </c>
      <c r="N508" s="9">
        <f ca="1">IF(Prices!D507&gt;OFFSET(Prices!D507,-$N$3,0),1,-1)</f>
        <v>-1</v>
      </c>
      <c r="O508" s="1">
        <f ca="1">IF(N508=1,O$3*L507/Prices!C507,-O$3*M507)</f>
        <v>-5.1631102772667727E-4</v>
      </c>
      <c r="P508" s="14"/>
      <c r="Q508" s="9">
        <f ca="1">Q507-T508*Prices!C508</f>
        <v>0.92068867567892443</v>
      </c>
      <c r="R508" s="1">
        <f t="shared" ca="1" si="52"/>
        <v>1.0992537933870486E-2</v>
      </c>
      <c r="S508" s="9">
        <f ca="1">IF(Prices!C507&lt;OFFSET(Prices!C507,-S$3,0),1,-1)</f>
        <v>-1</v>
      </c>
      <c r="T508" s="1">
        <f ca="1">IF(S508=1,T$3*Q507/Prices!C507,-T$3*R507)</f>
        <v>-2.2433750885449973E-4</v>
      </c>
    </row>
    <row r="509" spans="1:20" x14ac:dyDescent="0.2">
      <c r="A509" s="4">
        <v>34219</v>
      </c>
      <c r="B509" s="9">
        <f ca="1">Prices!C508*(1+J509/(50*(ABS(O509)+ABS(T509)+0.0001)))</f>
        <v>103.59753507456617</v>
      </c>
      <c r="C509" s="21">
        <f t="shared" ca="1" si="47"/>
        <v>-1</v>
      </c>
      <c r="D509" s="9">
        <f ca="1">D508+C509*(Prices!C509-Prices!C508)/Prices!C508</f>
        <v>0.30022484902915736</v>
      </c>
      <c r="E509" s="9">
        <f t="shared" ca="1" si="48"/>
        <v>0</v>
      </c>
      <c r="F509" s="9">
        <f t="shared" ca="1" si="49"/>
        <v>0.30022484902915736</v>
      </c>
      <c r="G509" s="13">
        <f ca="1">IF((Prices!C509-Prices!C508)*C509&gt;0,1,0)</f>
        <v>1</v>
      </c>
      <c r="H509" s="9">
        <f>ABS(Prices!C509-Prices!C508)/Prices!C508</f>
        <v>1.2450914663345988E-3</v>
      </c>
      <c r="I509" s="13"/>
      <c r="J509" s="1">
        <f t="shared" ca="1" si="50"/>
        <v>-2.8831967676342925E-4</v>
      </c>
      <c r="K509" s="9"/>
      <c r="L509" s="9">
        <f ca="1">L508-O509*Prices!C509</f>
        <v>1.6796734100445236</v>
      </c>
      <c r="M509" s="1">
        <f t="shared" ca="1" si="51"/>
        <v>4.1821193245860861E-3</v>
      </c>
      <c r="N509" s="9">
        <f ca="1">IF(Prices!D508&gt;OFFSET(Prices!D508,-$N$3,0),1,-1)</f>
        <v>-1</v>
      </c>
      <c r="O509" s="1">
        <f ca="1">IF(N509=1,O$3*L508/Prices!C508,-O$3*M508)</f>
        <v>-4.6467992495400956E-4</v>
      </c>
      <c r="P509" s="14"/>
      <c r="Q509" s="9">
        <f ca="1">Q508-T509*Prices!C509</f>
        <v>0.90229782899761068</v>
      </c>
      <c r="R509" s="1">
        <f t="shared" ca="1" si="52"/>
        <v>1.1168898182061066E-2</v>
      </c>
      <c r="S509" s="9">
        <f ca="1">IF(Prices!C508&lt;OFFSET(Prices!C508,-S$3,0),1,-1)</f>
        <v>1</v>
      </c>
      <c r="T509" s="1">
        <f ca="1">IF(S509=1,T$3*Q508/Prices!C508,-T$3*R508)</f>
        <v>1.7636024819058031E-4</v>
      </c>
    </row>
    <row r="510" spans="1:20" x14ac:dyDescent="0.2">
      <c r="A510" s="4">
        <v>34220</v>
      </c>
      <c r="B510" s="9">
        <f ca="1">Prices!C509*(1+J510/(50*(ABS(O510)+ABS(T510)+0.0001)))</f>
        <v>103.5403360542344</v>
      </c>
      <c r="C510" s="21">
        <f t="shared" ca="1" si="47"/>
        <v>-1</v>
      </c>
      <c r="D510" s="9">
        <f ca="1">D509+C510*(Prices!C510-Prices!C509)/Prices!C509</f>
        <v>0.28862147350173128</v>
      </c>
      <c r="E510" s="9">
        <f t="shared" ca="1" si="48"/>
        <v>1.1603375527426074E-2</v>
      </c>
      <c r="F510" s="9">
        <f t="shared" ca="1" si="49"/>
        <v>0.30022484902915736</v>
      </c>
      <c r="G510" s="13">
        <f ca="1">IF((Prices!C510-Prices!C509)*C510&gt;0,1,0)</f>
        <v>0</v>
      </c>
      <c r="H510" s="9">
        <f>ABS(Prices!C510-Prices!C509)/Prices!C509</f>
        <v>1.16033755274261E-2</v>
      </c>
      <c r="I510" s="13"/>
      <c r="J510" s="1">
        <f t="shared" ca="1" si="50"/>
        <v>-2.4515903084801967E-4</v>
      </c>
      <c r="K510" s="9"/>
      <c r="L510" s="9">
        <f ca="1">L509-O510*Prices!C510</f>
        <v>1.7237905867995822</v>
      </c>
      <c r="M510" s="1">
        <f t="shared" ca="1" si="51"/>
        <v>3.7639073921274776E-3</v>
      </c>
      <c r="N510" s="9">
        <f ca="1">IF(Prices!D509&gt;OFFSET(Prices!D509,-$N$3,0),1,-1)</f>
        <v>-1</v>
      </c>
      <c r="O510" s="1">
        <f ca="1">IF(N510=1,O$3*L509/Prices!C509,-O$3*M509)</f>
        <v>-4.1821193245860863E-4</v>
      </c>
      <c r="P510" s="14"/>
      <c r="Q510" s="9">
        <f ca="1">Q509-T510*Prices!C510</f>
        <v>0.88404247840670969</v>
      </c>
      <c r="R510" s="1">
        <f t="shared" ca="1" si="52"/>
        <v>1.1341951083671654E-2</v>
      </c>
      <c r="S510" s="9">
        <f ca="1">IF(Prices!C509&lt;OFFSET(Prices!C509,-S$3,0),1,-1)</f>
        <v>1</v>
      </c>
      <c r="T510" s="1">
        <f ca="1">IF(S510=1,T$3*Q509/Prices!C509,-T$3*R509)</f>
        <v>1.7305290161058893E-4</v>
      </c>
    </row>
    <row r="511" spans="1:20" x14ac:dyDescent="0.2">
      <c r="A511" s="4">
        <v>34221</v>
      </c>
      <c r="B511" s="9">
        <f ca="1">Prices!C510*(1+J511/(50*(ABS(O511)+ABS(T511)+0.0001)))</f>
        <v>104.8060033851002</v>
      </c>
      <c r="C511" s="21">
        <f t="shared" ca="1" si="47"/>
        <v>-1</v>
      </c>
      <c r="D511" s="9">
        <f ca="1">D510+C511*(Prices!C511-Prices!C510)/Prices!C510</f>
        <v>0.28994861351500267</v>
      </c>
      <c r="E511" s="9">
        <f t="shared" ca="1" si="48"/>
        <v>1.0276235514154686E-2</v>
      </c>
      <c r="F511" s="9">
        <f t="shared" ca="1" si="49"/>
        <v>0.30022484902915736</v>
      </c>
      <c r="G511" s="13">
        <f ca="1">IF((Prices!C511-Prices!C510)*C511&gt;0,1,0)</f>
        <v>1</v>
      </c>
      <c r="H511" s="9">
        <f>ABS(Prices!C511-Prices!C510)/Prices!C510</f>
        <v>1.3271400132714055E-3</v>
      </c>
      <c r="I511" s="13"/>
      <c r="J511" s="1">
        <f t="shared" ca="1" si="50"/>
        <v>-2.0878386113772459E-4</v>
      </c>
      <c r="K511" s="9"/>
      <c r="L511" s="9">
        <f ca="1">L510-O511*Prices!C511</f>
        <v>1.7634433511756451</v>
      </c>
      <c r="M511" s="1">
        <f t="shared" ca="1" si="51"/>
        <v>3.3875166529147298E-3</v>
      </c>
      <c r="N511" s="9">
        <f ca="1">IF(Prices!D510&gt;OFFSET(Prices!D510,-$N$3,0),1,-1)</f>
        <v>-1</v>
      </c>
      <c r="O511" s="1">
        <f ca="1">IF(N511=1,O$3*L510/Prices!C510,-O$3*M510)</f>
        <v>-3.7639073921274776E-4</v>
      </c>
      <c r="P511" s="14"/>
      <c r="Q511" s="9">
        <f ca="1">Q510-T511*Prices!C511</f>
        <v>0.86638509380150597</v>
      </c>
      <c r="R511" s="1">
        <f t="shared" ca="1" si="52"/>
        <v>1.1509557961746677E-2</v>
      </c>
      <c r="S511" s="9">
        <f ca="1">IF(Prices!C510&lt;OFFSET(Prices!C510,-S$3,0),1,-1)</f>
        <v>1</v>
      </c>
      <c r="T511" s="1">
        <f ca="1">IF(S511=1,T$3*Q510/Prices!C510,-T$3*R510)</f>
        <v>1.6760687807502317E-4</v>
      </c>
    </row>
    <row r="512" spans="1:20" x14ac:dyDescent="0.2">
      <c r="A512" s="4">
        <v>34222</v>
      </c>
      <c r="B512" s="9">
        <f ca="1">Prices!C511*(1+J512/(50*(ABS(O512)+ABS(T512)+0.0001)))</f>
        <v>106.86783952239357</v>
      </c>
      <c r="C512" s="21">
        <f t="shared" ca="1" si="47"/>
        <v>1</v>
      </c>
      <c r="D512" s="9">
        <f ca="1">D511+C512*(Prices!C512-Prices!C511)/Prices!C511</f>
        <v>0.29754234868348878</v>
      </c>
      <c r="E512" s="9">
        <f t="shared" ca="1" si="48"/>
        <v>2.6825003456685814E-3</v>
      </c>
      <c r="F512" s="9">
        <f t="shared" ca="1" si="49"/>
        <v>0.30022484902915736</v>
      </c>
      <c r="G512" s="13">
        <f ca="1">IF((Prices!C512-Prices!C511)*C512&gt;0,1,0)</f>
        <v>1</v>
      </c>
      <c r="H512" s="9">
        <f>ABS(Prices!C512-Prices!C511)/Prices!C511</f>
        <v>7.5937351684861078E-3</v>
      </c>
      <c r="I512" s="13"/>
      <c r="J512" s="1">
        <f t="shared" ca="1" si="50"/>
        <v>1.4436990649469793E-3</v>
      </c>
      <c r="K512" s="9"/>
      <c r="L512" s="9">
        <f ca="1">L511-O512*Prices!C512</f>
        <v>1.5857599038787351</v>
      </c>
      <c r="M512" s="1">
        <f t="shared" ca="1" si="51"/>
        <v>5.0614068770966428E-3</v>
      </c>
      <c r="N512" s="9">
        <f ca="1">IF(Prices!D511&gt;OFFSET(Prices!D511,-$N$3,0),1,-1)</f>
        <v>1</v>
      </c>
      <c r="O512" s="1">
        <f ca="1">IF(N512=1,O$3*L511/Prices!C511,-O$3*M511)</f>
        <v>1.673890224181913E-3</v>
      </c>
      <c r="P512" s="14"/>
      <c r="Q512" s="9">
        <f ca="1">Q511-T512*Prices!C512</f>
        <v>0.89081988535429413</v>
      </c>
      <c r="R512" s="1">
        <f t="shared" ca="1" si="52"/>
        <v>1.1279366802511744E-2</v>
      </c>
      <c r="S512" s="9">
        <f ca="1">IF(Prices!C511&lt;OFFSET(Prices!C511,-S$3,0),1,-1)</f>
        <v>-1</v>
      </c>
      <c r="T512" s="1">
        <f ca="1">IF(S512=1,T$3*Q511/Prices!C511,-T$3*R511)</f>
        <v>-2.3019115923493354E-4</v>
      </c>
    </row>
    <row r="513" spans="1:20" x14ac:dyDescent="0.2">
      <c r="A513" s="4">
        <v>34225</v>
      </c>
      <c r="B513" s="9">
        <f ca="1">Prices!C512*(1+J513/(50*(ABS(O513)+ABS(T513)+0.0001)))</f>
        <v>107.62987769792703</v>
      </c>
      <c r="C513" s="21">
        <f t="shared" ca="1" si="47"/>
        <v>1</v>
      </c>
      <c r="D513" s="9">
        <f ca="1">D512+C513*(Prices!C513-Prices!C512)/Prices!C512</f>
        <v>0.29895544336083207</v>
      </c>
      <c r="E513" s="9">
        <f t="shared" ca="1" si="48"/>
        <v>1.2694056683252852E-3</v>
      </c>
      <c r="F513" s="9">
        <f t="shared" ca="1" si="49"/>
        <v>0.30022484902915736</v>
      </c>
      <c r="G513" s="13">
        <f ca="1">IF((Prices!C513-Prices!C512)*C513&gt;0,1,0)</f>
        <v>1</v>
      </c>
      <c r="H513" s="9">
        <f>ABS(Prices!C513-Prices!C512)/Prices!C512</f>
        <v>1.4130946773433016E-3</v>
      </c>
      <c r="I513" s="13"/>
      <c r="J513" s="1">
        <f t="shared" ca="1" si="50"/>
        <v>1.2682985837601608E-3</v>
      </c>
      <c r="K513" s="9"/>
      <c r="L513" s="9">
        <f ca="1">L512-O513*Prices!C513</f>
        <v>1.4269598306028901</v>
      </c>
      <c r="M513" s="1">
        <f t="shared" ca="1" si="51"/>
        <v>6.5552927969070385E-3</v>
      </c>
      <c r="N513" s="9">
        <f ca="1">IF(Prices!D512&gt;OFFSET(Prices!D512,-$N$3,0),1,-1)</f>
        <v>1</v>
      </c>
      <c r="O513" s="1">
        <f ca="1">IF(N513=1,O$3*L512/Prices!C512,-O$3*M512)</f>
        <v>1.4938859198103957E-3</v>
      </c>
      <c r="P513" s="14"/>
      <c r="Q513" s="9">
        <f ca="1">Q512-T513*Prices!C513</f>
        <v>0.91479981917643405</v>
      </c>
      <c r="R513" s="1">
        <f t="shared" ca="1" si="52"/>
        <v>1.1053779466461508E-2</v>
      </c>
      <c r="S513" s="9">
        <f ca="1">IF(Prices!C512&lt;OFFSET(Prices!C512,-S$3,0),1,-1)</f>
        <v>-1</v>
      </c>
      <c r="T513" s="1">
        <f ca="1">IF(S513=1,T$3*Q512/Prices!C512,-T$3*R512)</f>
        <v>-2.2558733605023489E-4</v>
      </c>
    </row>
    <row r="514" spans="1:20" x14ac:dyDescent="0.2">
      <c r="A514" s="4">
        <v>34226</v>
      </c>
      <c r="B514" s="9">
        <f ca="1">Prices!C513*(1+J514/(50*(ABS(O514)+ABS(T514)+0.0001)))</f>
        <v>104.39169295520036</v>
      </c>
      <c r="C514" s="21">
        <f t="shared" ca="1" si="47"/>
        <v>-1</v>
      </c>
      <c r="D514" s="9">
        <f ca="1">D513+C514*(Prices!C514-Prices!C513)/Prices!C513</f>
        <v>0.30224801156403053</v>
      </c>
      <c r="E514" s="9">
        <f t="shared" ca="1" si="48"/>
        <v>0</v>
      </c>
      <c r="F514" s="9">
        <f t="shared" ca="1" si="49"/>
        <v>0.30224801156403053</v>
      </c>
      <c r="G514" s="13">
        <f ca="1">IF((Prices!C514-Prices!C513)*C514&gt;0,1,0)</f>
        <v>1</v>
      </c>
      <c r="H514" s="9">
        <f>ABS(Prices!C514-Prices!C513)/Prices!C513</f>
        <v>3.2925682031984416E-3</v>
      </c>
      <c r="I514" s="13"/>
      <c r="J514" s="1">
        <f t="shared" ca="1" si="50"/>
        <v>-8.7660486901993415E-4</v>
      </c>
      <c r="K514" s="9"/>
      <c r="L514" s="9">
        <f ca="1">L513-O514*Prices!C514</f>
        <v>1.4964131577861202</v>
      </c>
      <c r="M514" s="1">
        <f t="shared" ca="1" si="51"/>
        <v>5.8997635172163346E-3</v>
      </c>
      <c r="N514" s="9">
        <f ca="1">IF(Prices!D513&gt;OFFSET(Prices!D513,-$N$3,0),1,-1)</f>
        <v>-1</v>
      </c>
      <c r="O514" s="1">
        <f ca="1">IF(N514=1,O$3*L513/Prices!C513,-O$3*M513)</f>
        <v>-6.5552927969070394E-4</v>
      </c>
      <c r="P514" s="14"/>
      <c r="Q514" s="9">
        <f ca="1">Q513-T514*Prices!C514</f>
        <v>0.93822277786586594</v>
      </c>
      <c r="R514" s="1">
        <f t="shared" ca="1" si="52"/>
        <v>1.0832703877132277E-2</v>
      </c>
      <c r="S514" s="9">
        <f ca="1">IF(Prices!C513&lt;OFFSET(Prices!C513,-S$3,0),1,-1)</f>
        <v>-1</v>
      </c>
      <c r="T514" s="1">
        <f ca="1">IF(S514=1,T$3*Q513/Prices!C513,-T$3*R513)</f>
        <v>-2.2107558932923016E-4</v>
      </c>
    </row>
    <row r="515" spans="1:20" x14ac:dyDescent="0.2">
      <c r="A515" s="4">
        <v>34227</v>
      </c>
      <c r="B515" s="9">
        <f ca="1">Prices!C514*(1+J515/(50*(ABS(O515)+ABS(T515)+0.0001)))</f>
        <v>107.41540842252395</v>
      </c>
      <c r="C515" s="21">
        <f t="shared" ca="1" si="47"/>
        <v>1</v>
      </c>
      <c r="D515" s="9">
        <f ca="1">D514+C515*(Prices!C515-Prices!C514)/Prices!C514</f>
        <v>0.30205924327710276</v>
      </c>
      <c r="E515" s="9">
        <f t="shared" ca="1" si="48"/>
        <v>1.8876828692776515E-4</v>
      </c>
      <c r="F515" s="9">
        <f t="shared" ca="1" si="49"/>
        <v>0.30224801156403053</v>
      </c>
      <c r="G515" s="13">
        <f ca="1">IF((Prices!C515-Prices!C514)*C515&gt;0,1,0)</f>
        <v>0</v>
      </c>
      <c r="H515" s="9">
        <f>ABS(Prices!C515-Prices!C514)/Prices!C514</f>
        <v>1.8876828692775856E-4</v>
      </c>
      <c r="I515" s="13"/>
      <c r="J515" s="1">
        <f t="shared" ca="1" si="50"/>
        <v>1.1957226641148534E-3</v>
      </c>
      <c r="K515" s="9"/>
      <c r="L515" s="9">
        <f ca="1">L514-O515*Prices!C515</f>
        <v>1.3468000895423413</v>
      </c>
      <c r="M515" s="1">
        <f t="shared" ca="1" si="51"/>
        <v>7.3121402588738338E-3</v>
      </c>
      <c r="N515" s="9">
        <f ca="1">IF(Prices!D514&gt;OFFSET(Prices!D514,-$N$3,0),1,-1)</f>
        <v>1</v>
      </c>
      <c r="O515" s="1">
        <f ca="1">IF(N515=1,O$3*L514/Prices!C514,-O$3*M514)</f>
        <v>1.412376741657499E-3</v>
      </c>
      <c r="P515" s="14"/>
      <c r="Q515" s="9">
        <f ca="1">Q514-T515*Prices!C515</f>
        <v>0.96117294429995837</v>
      </c>
      <c r="R515" s="1">
        <f t="shared" ca="1" si="52"/>
        <v>1.0616049799589631E-2</v>
      </c>
      <c r="S515" s="9">
        <f ca="1">IF(Prices!C514&lt;OFFSET(Prices!C514,-S$3,0),1,-1)</f>
        <v>-1</v>
      </c>
      <c r="T515" s="1">
        <f ca="1">IF(S515=1,T$3*Q514/Prices!C514,-T$3*R514)</f>
        <v>-2.1665407754264555E-4</v>
      </c>
    </row>
    <row r="516" spans="1:20" x14ac:dyDescent="0.2">
      <c r="A516" s="4">
        <v>34228</v>
      </c>
      <c r="B516" s="9">
        <f ca="1">Prices!C515*(1+J516/(50*(ABS(O516)+ABS(T516)+0.0001)))</f>
        <v>107.3467702549196</v>
      </c>
      <c r="C516" s="21">
        <f t="shared" ca="1" si="47"/>
        <v>1</v>
      </c>
      <c r="D516" s="9">
        <f ca="1">D515+C516*(Prices!C516-Prices!C515)/Prices!C515</f>
        <v>0.28619971339888123</v>
      </c>
      <c r="E516" s="9">
        <f t="shared" ca="1" si="48"/>
        <v>1.60482981651493E-2</v>
      </c>
      <c r="F516" s="9">
        <f t="shared" ca="1" si="49"/>
        <v>0.30224801156403053</v>
      </c>
      <c r="G516" s="13">
        <f ca="1">IF((Prices!C516-Prices!C515)*C516&gt;0,1,0)</f>
        <v>0</v>
      </c>
      <c r="H516" s="9">
        <f>ABS(Prices!C516-Prices!C515)/Prices!C515</f>
        <v>1.5859529878221531E-2</v>
      </c>
      <c r="I516" s="13"/>
      <c r="J516" s="1">
        <f t="shared" ca="1" si="50"/>
        <v>1.0590847337753565E-3</v>
      </c>
      <c r="K516" s="9"/>
      <c r="L516" s="9">
        <f ca="1">L515-O516*Prices!C516</f>
        <v>1.214256042214116</v>
      </c>
      <c r="M516" s="1">
        <f t="shared" ca="1" si="51"/>
        <v>8.583545988640983E-3</v>
      </c>
      <c r="N516" s="9">
        <f ca="1">IF(Prices!D515&gt;OFFSET(Prices!D515,-$N$3,0),1,-1)</f>
        <v>1</v>
      </c>
      <c r="O516" s="1">
        <f ca="1">IF(N516=1,O$3*L515/Prices!C515,-O$3*M515)</f>
        <v>1.2714057297671492E-3</v>
      </c>
      <c r="P516" s="14"/>
      <c r="Q516" s="9">
        <f ca="1">Q515-T516*Prices!C516</f>
        <v>0.98330740813210271</v>
      </c>
      <c r="R516" s="1">
        <f t="shared" ca="1" si="52"/>
        <v>1.0403728803597839E-2</v>
      </c>
      <c r="S516" s="9">
        <f ca="1">IF(Prices!C515&lt;OFFSET(Prices!C515,-S$3,0),1,-1)</f>
        <v>-1</v>
      </c>
      <c r="T516" s="1">
        <f ca="1">IF(S516=1,T$3*Q515/Prices!C515,-T$3*R515)</f>
        <v>-2.1232099599179262E-4</v>
      </c>
    </row>
    <row r="517" spans="1:20" x14ac:dyDescent="0.2">
      <c r="A517" s="4">
        <v>34229</v>
      </c>
      <c r="B517" s="9">
        <f ca="1">Prices!C516*(1+J517/(50*(ABS(O517)+ABS(T517)+0.0001)))</f>
        <v>103.03260858696027</v>
      </c>
      <c r="C517" s="21">
        <f t="shared" ca="1" si="47"/>
        <v>-1</v>
      </c>
      <c r="D517" s="9">
        <f ca="1">D516+C517*(Prices!C517-Prices!C516)/Prices!C516</f>
        <v>0.28380163186410906</v>
      </c>
      <c r="E517" s="9">
        <f t="shared" ca="1" si="48"/>
        <v>1.8446379699921467E-2</v>
      </c>
      <c r="F517" s="9">
        <f t="shared" ca="1" si="49"/>
        <v>0.30224801156403053</v>
      </c>
      <c r="G517" s="13">
        <f ca="1">IF((Prices!C517-Prices!C516)*C517&gt;0,1,0)</f>
        <v>0</v>
      </c>
      <c r="H517" s="9">
        <f>ABS(Prices!C517-Prices!C516)/Prices!C516</f>
        <v>2.3980815347721821E-3</v>
      </c>
      <c r="I517" s="13"/>
      <c r="J517" s="1">
        <f t="shared" ca="1" si="50"/>
        <v>-6.6971049178839517E-4</v>
      </c>
      <c r="K517" s="9"/>
      <c r="L517" s="9">
        <f ca="1">L516-O517*Prices!C517</f>
        <v>1.3039540977954143</v>
      </c>
      <c r="M517" s="1">
        <f t="shared" ca="1" si="51"/>
        <v>7.7251913897768846E-3</v>
      </c>
      <c r="N517" s="9">
        <f ca="1">IF(Prices!D516&gt;OFFSET(Prices!D516,-$N$3,0),1,-1)</f>
        <v>-1</v>
      </c>
      <c r="O517" s="1">
        <f ca="1">IF(N517=1,O$3*L516/Prices!C516,-O$3*M516)</f>
        <v>-8.5835459886409837E-4</v>
      </c>
      <c r="P517" s="14"/>
      <c r="Q517" s="9">
        <f ca="1">Q516-T517*Prices!C517</f>
        <v>0.96359409894269177</v>
      </c>
      <c r="R517" s="1">
        <f t="shared" ca="1" si="52"/>
        <v>1.0592372910673541E-2</v>
      </c>
      <c r="S517" s="9">
        <f ca="1">IF(Prices!C516&lt;OFFSET(Prices!C516,-S$3,0),1,-1)</f>
        <v>1</v>
      </c>
      <c r="T517" s="1">
        <f ca="1">IF(S517=1,T$3*Q516/Prices!C516,-T$3*R516)</f>
        <v>1.8864410707570317E-4</v>
      </c>
    </row>
    <row r="518" spans="1:20" x14ac:dyDescent="0.2">
      <c r="A518" s="4">
        <v>34232</v>
      </c>
      <c r="B518" s="9">
        <f ca="1">Prices!C517*(1+J518/(50*(ABS(O518)+ABS(T518)+0.0001)))</f>
        <v>103.3370877708841</v>
      </c>
      <c r="C518" s="21">
        <f t="shared" ca="1" si="47"/>
        <v>-1</v>
      </c>
      <c r="D518" s="9">
        <f ca="1">D517+C518*(Prices!C518-Prices!C517)/Prices!C517</f>
        <v>0.2827490002851617</v>
      </c>
      <c r="E518" s="9">
        <f t="shared" ca="1" si="48"/>
        <v>1.9499011278868827E-2</v>
      </c>
      <c r="F518" s="9">
        <f t="shared" ca="1" si="49"/>
        <v>0.30224801156403053</v>
      </c>
      <c r="G518" s="13">
        <f ca="1">IF((Prices!C518-Prices!C517)*C518&gt;0,1,0)</f>
        <v>0</v>
      </c>
      <c r="H518" s="9">
        <f>ABS(Prices!C518-Prices!C517)/Prices!C517</f>
        <v>1.052631578947363E-3</v>
      </c>
      <c r="I518" s="13"/>
      <c r="J518" s="1">
        <f t="shared" ca="1" si="50"/>
        <v>-5.8809921573506796E-4</v>
      </c>
      <c r="K518" s="9"/>
      <c r="L518" s="9">
        <f ca="1">L517-O518*Prices!C518</f>
        <v>1.3847673249238703</v>
      </c>
      <c r="M518" s="1">
        <f t="shared" ca="1" si="51"/>
        <v>6.9526722507991957E-3</v>
      </c>
      <c r="N518" s="9">
        <f ca="1">IF(Prices!D517&gt;OFFSET(Prices!D517,-$N$3,0),1,-1)</f>
        <v>-1</v>
      </c>
      <c r="O518" s="1">
        <f ca="1">IF(N518=1,O$3*L517/Prices!C517,-O$3*M517)</f>
        <v>-7.7251913897768846E-4</v>
      </c>
      <c r="P518" s="14"/>
      <c r="Q518" s="9">
        <f ca="1">Q517-T518*Prices!C518</f>
        <v>0.9443019307722812</v>
      </c>
      <c r="R518" s="1">
        <f t="shared" ca="1" si="52"/>
        <v>1.0776792833916162E-2</v>
      </c>
      <c r="S518" s="9">
        <f ca="1">IF(Prices!C517&lt;OFFSET(Prices!C517,-S$3,0),1,-1)</f>
        <v>1</v>
      </c>
      <c r="T518" s="1">
        <f ca="1">IF(S518=1,T$3*Q517/Prices!C517,-T$3*R517)</f>
        <v>1.8441992324262044E-4</v>
      </c>
    </row>
    <row r="519" spans="1:20" x14ac:dyDescent="0.2">
      <c r="A519" s="4">
        <v>34233</v>
      </c>
      <c r="B519" s="9">
        <f ca="1">Prices!C518*(1+J519/(50*(ABS(O519)+ABS(T519)+0.0001)))</f>
        <v>106.57178638781906</v>
      </c>
      <c r="C519" s="21">
        <f t="shared" ca="1" si="47"/>
        <v>1</v>
      </c>
      <c r="D519" s="9">
        <f ca="1">D518+C519*(Prices!C519-Prices!C518)/Prices!C518</f>
        <v>0.30081610668034381</v>
      </c>
      <c r="E519" s="9">
        <f t="shared" ca="1" si="48"/>
        <v>1.4319048836867188E-3</v>
      </c>
      <c r="F519" s="9">
        <f t="shared" ca="1" si="49"/>
        <v>0.30224801156403053</v>
      </c>
      <c r="G519" s="13">
        <f ca="1">IF((Prices!C519-Prices!C518)*C519&gt;0,1,0)</f>
        <v>1</v>
      </c>
      <c r="H519" s="9">
        <f>ABS(Prices!C519-Prices!C518)/Prices!C518</f>
        <v>1.8067106395182112E-2</v>
      </c>
      <c r="I519" s="13"/>
      <c r="J519" s="1">
        <f t="shared" ca="1" si="50"/>
        <v>1.5042803853152916E-3</v>
      </c>
      <c r="K519" s="9"/>
      <c r="L519" s="9">
        <f ca="1">L518-O519*Prices!C519</f>
        <v>1.2437887185722862</v>
      </c>
      <c r="M519" s="1">
        <f t="shared" ca="1" si="51"/>
        <v>8.2764150334431776E-3</v>
      </c>
      <c r="N519" s="9">
        <f ca="1">IF(Prices!D518&gt;OFFSET(Prices!D518,-$N$3,0),1,-1)</f>
        <v>1</v>
      </c>
      <c r="O519" s="1">
        <f ca="1">IF(N519=1,O$3*L518/Prices!C518,-O$3*M518)</f>
        <v>1.3237427826439828E-3</v>
      </c>
      <c r="P519" s="14"/>
      <c r="Q519" s="9">
        <f ca="1">Q518-T519*Prices!C519</f>
        <v>0.92507467608778682</v>
      </c>
      <c r="R519" s="1">
        <f t="shared" ca="1" si="52"/>
        <v>1.0957330436587471E-2</v>
      </c>
      <c r="S519" s="9">
        <f ca="1">IF(Prices!C518&lt;OFFSET(Prices!C518,-S$3,0),1,-1)</f>
        <v>1</v>
      </c>
      <c r="T519" s="1">
        <f ca="1">IF(S519=1,T$3*Q518/Prices!C518,-T$3*R518)</f>
        <v>1.8053760267130892E-4</v>
      </c>
    </row>
    <row r="520" spans="1:20" x14ac:dyDescent="0.2">
      <c r="A520" s="4">
        <v>34234</v>
      </c>
      <c r="B520" s="9">
        <f ca="1">Prices!C519*(1+J520/(50*(ABS(O520)+ABS(T520)+0.0001)))</f>
        <v>107.85895322318035</v>
      </c>
      <c r="C520" s="21">
        <f t="shared" ca="1" si="47"/>
        <v>1</v>
      </c>
      <c r="D520" s="9">
        <f ca="1">D519+C520*(Prices!C520-Prices!C519)/Prices!C519</f>
        <v>0.29912596583527334</v>
      </c>
      <c r="E520" s="9">
        <f t="shared" ca="1" si="48"/>
        <v>3.1220457287571834E-3</v>
      </c>
      <c r="F520" s="9">
        <f t="shared" ca="1" si="49"/>
        <v>0.30224801156403053</v>
      </c>
      <c r="G520" s="13">
        <f ca="1">IF((Prices!C520-Prices!C519)*C520&gt;0,1,0)</f>
        <v>0</v>
      </c>
      <c r="H520" s="9">
        <f>ABS(Prices!C520-Prices!C519)/Prices!C519</f>
        <v>1.6901408450704866E-3</v>
      </c>
      <c r="I520" s="13"/>
      <c r="J520" s="1">
        <f t="shared" ca="1" si="50"/>
        <v>9.4873012232204058E-4</v>
      </c>
      <c r="K520" s="9"/>
      <c r="L520" s="9">
        <f ca="1">L519-O520*Prices!C520</f>
        <v>1.1196200645266472</v>
      </c>
      <c r="M520" s="1">
        <f t="shared" ca="1" si="51"/>
        <v>9.444291764496968E-3</v>
      </c>
      <c r="N520" s="9">
        <f ca="1">IF(Prices!D519&gt;OFFSET(Prices!D519,-$N$3,0),1,-1)</f>
        <v>1</v>
      </c>
      <c r="O520" s="1">
        <f ca="1">IF(N520=1,O$3*L519/Prices!C519,-O$3*M519)</f>
        <v>1.16787673105379E-3</v>
      </c>
      <c r="P520" s="14"/>
      <c r="Q520" s="9">
        <f ca="1">Q519-T520*Prices!C520</f>
        <v>0.94837434352814642</v>
      </c>
      <c r="R520" s="1">
        <f t="shared" ca="1" si="52"/>
        <v>1.0738183827855722E-2</v>
      </c>
      <c r="S520" s="9">
        <f ca="1">IF(Prices!C519&lt;OFFSET(Prices!C519,-S$3,0),1,-1)</f>
        <v>-1</v>
      </c>
      <c r="T520" s="1">
        <f ca="1">IF(S520=1,T$3*Q519/Prices!C519,-T$3*R519)</f>
        <v>-2.1914660873174942E-4</v>
      </c>
    </row>
    <row r="521" spans="1:20" x14ac:dyDescent="0.2">
      <c r="A521" s="4">
        <v>34235</v>
      </c>
      <c r="B521" s="9">
        <f ca="1">Prices!C520*(1+J521/(50*(ABS(O521)+ABS(T521)+0.0001)))</f>
        <v>107.62320778838968</v>
      </c>
      <c r="C521" s="21">
        <f t="shared" ca="1" si="47"/>
        <v>1</v>
      </c>
      <c r="D521" s="9">
        <f ca="1">D520+C521*(Prices!C521-Prices!C520)/Prices!C520</f>
        <v>0.29489346019193258</v>
      </c>
      <c r="E521" s="9">
        <f t="shared" ca="1" si="48"/>
        <v>7.3545513720979505E-3</v>
      </c>
      <c r="F521" s="9">
        <f t="shared" ca="1" si="49"/>
        <v>0.30224801156403053</v>
      </c>
      <c r="G521" s="13">
        <f ca="1">IF((Prices!C521-Prices!C520)*C521&gt;0,1,0)</f>
        <v>0</v>
      </c>
      <c r="H521" s="9">
        <f>ABS(Prices!C521-Prices!C520)/Prices!C520</f>
        <v>4.2325056433407515E-3</v>
      </c>
      <c r="I521" s="13"/>
      <c r="J521" s="1">
        <f t="shared" ca="1" si="50"/>
        <v>8.3830259933326127E-4</v>
      </c>
      <c r="K521" s="9"/>
      <c r="L521" s="9">
        <f ca="1">L520-O521*Prices!C521</f>
        <v>1.008131937898133</v>
      </c>
      <c r="M521" s="1">
        <f t="shared" ca="1" si="51"/>
        <v>1.0497358040387345E-2</v>
      </c>
      <c r="N521" s="9">
        <f ca="1">IF(Prices!D520&gt;OFFSET(Prices!D520,-$N$3,0),1,-1)</f>
        <v>1</v>
      </c>
      <c r="O521" s="1">
        <f ca="1">IF(N521=1,O$3*L520/Prices!C520,-O$3*M520)</f>
        <v>1.0530662758903757E-3</v>
      </c>
      <c r="P521" s="14"/>
      <c r="Q521" s="9">
        <f ca="1">Q520-T521*Prices!C521</f>
        <v>0.97111137396524816</v>
      </c>
      <c r="R521" s="1">
        <f t="shared" ca="1" si="52"/>
        <v>1.0523420151298608E-2</v>
      </c>
      <c r="S521" s="9">
        <f ca="1">IF(Prices!C520&lt;OFFSET(Prices!C520,-S$3,0),1,-1)</f>
        <v>-1</v>
      </c>
      <c r="T521" s="1">
        <f ca="1">IF(S521=1,T$3*Q520/Prices!C520,-T$3*R520)</f>
        <v>-2.1476367655711443E-4</v>
      </c>
    </row>
    <row r="522" spans="1:20" x14ac:dyDescent="0.2">
      <c r="A522" s="23">
        <v>34236</v>
      </c>
      <c r="B522" s="9">
        <f ca="1">Prices!C521*(1+J522/(50*(ABS(O522)+ABS(T522)+0.0001)))</f>
        <v>103.90826780259924</v>
      </c>
      <c r="C522" s="21">
        <f t="shared" ca="1" si="47"/>
        <v>-1</v>
      </c>
      <c r="D522" s="9">
        <f ca="1">D521+C522*(Prices!C522-Prices!C521)/Prices!C521</f>
        <v>0.29366553915670074</v>
      </c>
      <c r="E522" s="9">
        <f t="shared" ca="1" si="48"/>
        <v>8.5824724073297887E-3</v>
      </c>
      <c r="F522" s="9">
        <f t="shared" ca="1" si="49"/>
        <v>0.30224801156403053</v>
      </c>
      <c r="G522" s="13">
        <f ca="1">IF((Prices!C522-Prices!C521)*C522&gt;0,1,0)</f>
        <v>0</v>
      </c>
      <c r="H522" s="9">
        <f>ABS(Prices!C522-Prices!C521)/Prices!C521</f>
        <v>1.2279210352318451E-3</v>
      </c>
      <c r="I522" s="13"/>
      <c r="J522" s="1">
        <f t="shared" ca="1" si="50"/>
        <v>-1.2602042070647065E-3</v>
      </c>
      <c r="K522" s="9"/>
      <c r="L522" s="9">
        <f ca="1">L521-O522*Prices!C522</f>
        <v>1.1194039331262389</v>
      </c>
      <c r="M522" s="1">
        <f t="shared" ca="1" si="51"/>
        <v>9.4476222363486101E-3</v>
      </c>
      <c r="N522" s="9">
        <f ca="1">IF(Prices!D521&gt;OFFSET(Prices!D521,-$N$3,0),1,-1)</f>
        <v>-1</v>
      </c>
      <c r="O522" s="1">
        <f ca="1">IF(N522=1,O$3*L521/Prices!C521,-O$3*M521)</f>
        <v>-1.0497358040387345E-3</v>
      </c>
      <c r="P522" s="14"/>
      <c r="Q522" s="9">
        <f ca="1">Q521-T522*Prices!C522</f>
        <v>0.99342102468600124</v>
      </c>
      <c r="R522" s="1">
        <f t="shared" ca="1" si="52"/>
        <v>1.0312951748272636E-2</v>
      </c>
      <c r="S522" s="9">
        <f ca="1">IF(Prices!C521&lt;OFFSET(Prices!C521,-S$3,0),1,-1)</f>
        <v>-1</v>
      </c>
      <c r="T522" s="1">
        <f ca="1">IF(S522=1,T$3*Q521/Prices!C521,-T$3*R521)</f>
        <v>-2.1046840302597217E-4</v>
      </c>
    </row>
    <row r="523" spans="1:20" x14ac:dyDescent="0.2">
      <c r="A523" s="4">
        <v>34239</v>
      </c>
      <c r="B523" s="9">
        <f ca="1">Prices!C522*(1+J523/(50*(ABS(O523)+ABS(T523)+0.0001)))</f>
        <v>104.04946154874872</v>
      </c>
      <c r="C523" s="21">
        <f t="shared" ca="1" si="47"/>
        <v>-1</v>
      </c>
      <c r="D523" s="9">
        <f ca="1">D522+C523*(Prices!C523-Prices!C522)/Prices!C522</f>
        <v>0.29177874670387055</v>
      </c>
      <c r="E523" s="9">
        <f t="shared" ca="1" si="48"/>
        <v>1.0469264860159977E-2</v>
      </c>
      <c r="F523" s="9">
        <f t="shared" ca="1" si="49"/>
        <v>0.30224801156403053</v>
      </c>
      <c r="G523" s="13">
        <f ca="1">IF((Prices!C523-Prices!C522)*C523&gt;0,1,0)</f>
        <v>0</v>
      </c>
      <c r="H523" s="9">
        <f>ABS(Prices!C523-Prices!C522)/Prices!C522</f>
        <v>1.8867924528302156E-3</v>
      </c>
      <c r="I523" s="13"/>
      <c r="J523" s="1">
        <f t="shared" ca="1" si="50"/>
        <v>-1.1510212586003138E-3</v>
      </c>
      <c r="K523" s="9"/>
      <c r="L523" s="9">
        <f ca="1">L522-O523*Prices!C523</f>
        <v>1.219737681276261</v>
      </c>
      <c r="M523" s="1">
        <f t="shared" ca="1" si="51"/>
        <v>8.5028600127137494E-3</v>
      </c>
      <c r="N523" s="9">
        <f ca="1">IF(Prices!D522&gt;OFFSET(Prices!D522,-$N$3,0),1,-1)</f>
        <v>-1</v>
      </c>
      <c r="O523" s="1">
        <f ca="1">IF(N523=1,O$3*L522/Prices!C522,-O$3*M522)</f>
        <v>-9.447622236348611E-4</v>
      </c>
      <c r="P523" s="14"/>
      <c r="Q523" s="9">
        <f ca="1">Q522-T523*Prices!C523</f>
        <v>1.0153257341993323</v>
      </c>
      <c r="R523" s="1">
        <f t="shared" ca="1" si="52"/>
        <v>1.0106692713307183E-2</v>
      </c>
      <c r="S523" s="9">
        <f ca="1">IF(Prices!C522&lt;OFFSET(Prices!C522,-S$3,0),1,-1)</f>
        <v>-1</v>
      </c>
      <c r="T523" s="1">
        <f ca="1">IF(S523=1,T$3*Q522/Prices!C522,-T$3*R522)</f>
        <v>-2.0625903496545271E-4</v>
      </c>
    </row>
    <row r="524" spans="1:20" x14ac:dyDescent="0.2">
      <c r="A524" s="4">
        <v>34240</v>
      </c>
      <c r="B524" s="9">
        <f ca="1">Prices!C523*(1+J524/(50*(ABS(O524)+ABS(T524)+0.0001)))</f>
        <v>104.97364701672878</v>
      </c>
      <c r="C524" s="21">
        <f t="shared" ca="1" si="47"/>
        <v>-1</v>
      </c>
      <c r="D524" s="9">
        <f ca="1">D523+C524*(Prices!C524-Prices!C523)/Prices!C523</f>
        <v>0.30279569585641292</v>
      </c>
      <c r="E524" s="9">
        <f t="shared" ca="1" si="48"/>
        <v>0</v>
      </c>
      <c r="F524" s="9">
        <f t="shared" ca="1" si="49"/>
        <v>0.30279569585641292</v>
      </c>
      <c r="G524" s="13">
        <f ca="1">IF((Prices!C524-Prices!C523)*C524&gt;0,1,0)</f>
        <v>1</v>
      </c>
      <c r="H524" s="9">
        <f>ABS(Prices!C524-Prices!C523)/Prices!C523</f>
        <v>1.1016949152542388E-2</v>
      </c>
      <c r="I524" s="13"/>
      <c r="J524" s="1">
        <f t="shared" ca="1" si="50"/>
        <v>-6.590758818364724E-4</v>
      </c>
      <c r="K524" s="9"/>
      <c r="L524" s="9">
        <f ca="1">L523-O524*Prices!C524</f>
        <v>1.3090432199897934</v>
      </c>
      <c r="M524" s="1">
        <f t="shared" ca="1" si="51"/>
        <v>7.6525740114423745E-3</v>
      </c>
      <c r="N524" s="9">
        <f ca="1">IF(Prices!D523&gt;OFFSET(Prices!D523,-$N$3,0),1,-1)</f>
        <v>-1</v>
      </c>
      <c r="O524" s="1">
        <f ca="1">IF(N524=1,O$3*L523/Prices!C523,-O$3*M523)</f>
        <v>-8.5028600127137494E-4</v>
      </c>
      <c r="P524" s="14"/>
      <c r="Q524" s="9">
        <f ca="1">Q523-T524*Prices!C524</f>
        <v>0.99524293535508446</v>
      </c>
      <c r="R524" s="1">
        <f t="shared" ca="1" si="52"/>
        <v>1.0297902832742085E-2</v>
      </c>
      <c r="S524" s="9">
        <f ca="1">IF(Prices!C523&lt;OFFSET(Prices!C523,-S$3,0),1,-1)</f>
        <v>1</v>
      </c>
      <c r="T524" s="1">
        <f ca="1">IF(S524=1,T$3*Q523/Prices!C523,-T$3*R523)</f>
        <v>1.9121011943490251E-4</v>
      </c>
    </row>
    <row r="525" spans="1:20" x14ac:dyDescent="0.2">
      <c r="A525" s="4">
        <v>34241</v>
      </c>
      <c r="B525" s="9">
        <f ca="1">Prices!C524*(1+J525/(50*(ABS(O525)+ABS(T525)+0.0001)))</f>
        <v>103.88340055472725</v>
      </c>
      <c r="C525" s="21">
        <f t="shared" ca="1" si="47"/>
        <v>-1</v>
      </c>
      <c r="D525" s="9">
        <f ca="1">D524+C525*(Prices!C525-Prices!C524)/Prices!C524</f>
        <v>0.30260527407216081</v>
      </c>
      <c r="E525" s="9">
        <f t="shared" ca="1" si="48"/>
        <v>1.9042178425210388E-4</v>
      </c>
      <c r="F525" s="9">
        <f t="shared" ca="1" si="49"/>
        <v>0.30279569585641292</v>
      </c>
      <c r="G525" s="13">
        <f ca="1">IF((Prices!C525-Prices!C524)*C525&gt;0,1,0)</f>
        <v>0</v>
      </c>
      <c r="H525" s="9">
        <f>ABS(Prices!C525-Prices!C524)/Prices!C524</f>
        <v>1.9042178425208057E-4</v>
      </c>
      <c r="I525" s="13"/>
      <c r="J525" s="1">
        <f t="shared" ca="1" si="50"/>
        <v>-5.7574146562960654E-4</v>
      </c>
      <c r="K525" s="9"/>
      <c r="L525" s="9">
        <f ca="1">L524-O525*Prices!C525</f>
        <v>1.3894335099799955</v>
      </c>
      <c r="M525" s="1">
        <f t="shared" ca="1" si="51"/>
        <v>6.8873166102981368E-3</v>
      </c>
      <c r="N525" s="9">
        <f ca="1">IF(Prices!D524&gt;OFFSET(Prices!D524,-$N$3,0),1,-1)</f>
        <v>-1</v>
      </c>
      <c r="O525" s="1">
        <f ca="1">IF(N525=1,O$3*L524/Prices!C524,-O$3*M524)</f>
        <v>-7.6525740114423749E-4</v>
      </c>
      <c r="P525" s="14"/>
      <c r="Q525" s="9">
        <f ca="1">Q524-T525*Prices!C525</f>
        <v>0.97533428632927244</v>
      </c>
      <c r="R525" s="1">
        <f t="shared" ca="1" si="52"/>
        <v>1.0487418768256715E-2</v>
      </c>
      <c r="S525" s="9">
        <f ca="1">IF(Prices!C524&lt;OFFSET(Prices!C524,-S$3,0),1,-1)</f>
        <v>1</v>
      </c>
      <c r="T525" s="1">
        <f ca="1">IF(S525=1,T$3*Q524/Prices!C524,-T$3*R524)</f>
        <v>1.8951593551463098E-4</v>
      </c>
    </row>
    <row r="526" spans="1:20" x14ac:dyDescent="0.2">
      <c r="A526" s="4">
        <v>34242</v>
      </c>
      <c r="B526" s="9">
        <f ca="1">Prices!C525*(1+J526/(50*(ABS(O526)+ABS(T526)+0.0001)))</f>
        <v>107.02036758188524</v>
      </c>
      <c r="C526" s="21">
        <f t="shared" ca="1" si="47"/>
        <v>1</v>
      </c>
      <c r="D526" s="9">
        <f ca="1">D525+C526*(Prices!C526-Prices!C525)/Prices!C525</f>
        <v>0.31450436974088997</v>
      </c>
      <c r="E526" s="9">
        <f t="shared" ca="1" si="48"/>
        <v>0</v>
      </c>
      <c r="F526" s="9">
        <f t="shared" ca="1" si="49"/>
        <v>0.31450436974088997</v>
      </c>
      <c r="G526" s="13">
        <f ca="1">IF((Prices!C526-Prices!C525)*C526&gt;0,1,0)</f>
        <v>1</v>
      </c>
      <c r="H526" s="9">
        <f>ABS(Prices!C526-Prices!C525)/Prices!C525</f>
        <v>1.1899095668729176E-2</v>
      </c>
      <c r="I526" s="13"/>
      <c r="J526" s="1">
        <f t="shared" ca="1" si="50"/>
        <v>1.5083297165595908E-3</v>
      </c>
      <c r="K526" s="9"/>
      <c r="L526" s="9">
        <f ca="1">L525-O526*Prices!C526</f>
        <v>1.2488368587559369</v>
      </c>
      <c r="M526" s="1">
        <f t="shared" ca="1" si="51"/>
        <v>8.209956791145348E-3</v>
      </c>
      <c r="N526" s="9">
        <f ca="1">IF(Prices!D525&gt;OFFSET(Prices!D525,-$N$3,0),1,-1)</f>
        <v>1</v>
      </c>
      <c r="O526" s="1">
        <f ca="1">IF(N526=1,O$3*L525/Prices!C525,-O$3*M525)</f>
        <v>1.3226401808472115E-3</v>
      </c>
      <c r="P526" s="14"/>
      <c r="Q526" s="9">
        <f ca="1">Q525-T526*Prices!C526</f>
        <v>0.95559548868304656</v>
      </c>
      <c r="R526" s="1">
        <f t="shared" ca="1" si="52"/>
        <v>1.0673108303969095E-2</v>
      </c>
      <c r="S526" s="9">
        <f ca="1">IF(Prices!C525&lt;OFFSET(Prices!C525,-S$3,0),1,-1)</f>
        <v>1</v>
      </c>
      <c r="T526" s="1">
        <f ca="1">IF(S526=1,T$3*Q525/Prices!C525,-T$3*R525)</f>
        <v>1.8568953571237935E-4</v>
      </c>
    </row>
    <row r="527" spans="1:20" x14ac:dyDescent="0.2">
      <c r="A527" s="18">
        <v>34243</v>
      </c>
      <c r="B527" s="9">
        <f ca="1">Prices!C526*(1+J527/(50*(ABS(O527)+ABS(T527)+0.0001)))</f>
        <v>107.67329403423911</v>
      </c>
      <c r="C527" s="21">
        <f t="shared" ca="1" si="47"/>
        <v>1</v>
      </c>
      <c r="D527" s="9">
        <f ca="1">D526+C527*(Prices!C527-Prices!C526)/Prices!C526</f>
        <v>0.31074143465152032</v>
      </c>
      <c r="E527" s="9">
        <f t="shared" ca="1" si="48"/>
        <v>3.7629350893696456E-3</v>
      </c>
      <c r="F527" s="9">
        <f t="shared" ca="1" si="49"/>
        <v>0.31450436974088997</v>
      </c>
      <c r="G527" s="13">
        <f ca="1">IF((Prices!C527-Prices!C526)*C527&gt;0,1,0)</f>
        <v>0</v>
      </c>
      <c r="H527" s="9">
        <f>ABS(Prices!C527-Prices!C526)/Prices!C526</f>
        <v>3.7629350893696283E-3</v>
      </c>
      <c r="I527" s="13"/>
      <c r="J527" s="1">
        <f t="shared" ca="1" si="50"/>
        <v>9.6136084309835737E-4</v>
      </c>
      <c r="K527" s="9"/>
      <c r="L527" s="9">
        <f ca="1">L526-O527*Prices!C527</f>
        <v>1.1244231020840143</v>
      </c>
      <c r="M527" s="1">
        <f t="shared" ca="1" si="51"/>
        <v>9.3847798003230867E-3</v>
      </c>
      <c r="N527" s="9">
        <f ca="1">IF(Prices!D526&gt;OFFSET(Prices!D526,-$N$3,0),1,-1)</f>
        <v>1</v>
      </c>
      <c r="O527" s="1">
        <f ca="1">IF(N527=1,O$3*L526/Prices!C526,-O$3*M526)</f>
        <v>1.1748230091777393E-3</v>
      </c>
      <c r="P527" s="14"/>
      <c r="Q527" s="9">
        <f ca="1">Q526-T527*Prices!C527</f>
        <v>0.97820113207085313</v>
      </c>
      <c r="R527" s="1">
        <f t="shared" ca="1" si="52"/>
        <v>1.0459646137889713E-2</v>
      </c>
      <c r="S527" s="9">
        <f ca="1">IF(Prices!C526&lt;OFFSET(Prices!C526,-S$3,0),1,-1)</f>
        <v>-1</v>
      </c>
      <c r="T527" s="1">
        <f ca="1">IF(S527=1,T$3*Q526/Prices!C526,-T$3*R526)</f>
        <v>-2.1346216607938192E-4</v>
      </c>
    </row>
    <row r="528" spans="1:20" x14ac:dyDescent="0.2">
      <c r="A528" s="4">
        <v>34246</v>
      </c>
      <c r="B528" s="9">
        <f ca="1">Prices!C527*(1+J528/(50*(ABS(O528)+ABS(T528)+0.0001)))</f>
        <v>104.59490537508435</v>
      </c>
      <c r="C528" s="21">
        <f t="shared" ca="1" si="47"/>
        <v>-1</v>
      </c>
      <c r="D528" s="9">
        <f ca="1">D527+C528*(Prices!C528-Prices!C527)/Prices!C527</f>
        <v>0.31310215230968841</v>
      </c>
      <c r="E528" s="9">
        <f t="shared" ca="1" si="48"/>
        <v>1.4022174312015578E-3</v>
      </c>
      <c r="F528" s="9">
        <f t="shared" ca="1" si="49"/>
        <v>0.31450436974088997</v>
      </c>
      <c r="G528" s="13">
        <f ca="1">IF((Prices!C528-Prices!C527)*C528&gt;0,1,0)</f>
        <v>1</v>
      </c>
      <c r="H528" s="9">
        <f>ABS(Prices!C528-Prices!C527)/Prices!C527</f>
        <v>2.360717658168083E-3</v>
      </c>
      <c r="I528" s="13"/>
      <c r="J528" s="1">
        <f t="shared" ca="1" si="50"/>
        <v>-7.5373744517473495E-4</v>
      </c>
      <c r="K528" s="9"/>
      <c r="L528" s="9">
        <f ca="1">L527-O528*Prices!C528</f>
        <v>1.2235733006744278</v>
      </c>
      <c r="M528" s="1">
        <f t="shared" ca="1" si="51"/>
        <v>8.4463018202907778E-3</v>
      </c>
      <c r="N528" s="9">
        <f ca="1">IF(Prices!D527&gt;OFFSET(Prices!D527,-$N$3,0),1,-1)</f>
        <v>-1</v>
      </c>
      <c r="O528" s="1">
        <f ca="1">IF(N528=1,O$3*L527/Prices!C527,-O$3*M527)</f>
        <v>-9.3847798003230873E-4</v>
      </c>
      <c r="P528" s="14"/>
      <c r="Q528" s="9">
        <f ca="1">Q527-T528*Prices!C528</f>
        <v>0.95868329456315049</v>
      </c>
      <c r="R528" s="1">
        <f t="shared" ca="1" si="52"/>
        <v>1.0644386672747287E-2</v>
      </c>
      <c r="S528" s="9">
        <f ca="1">IF(Prices!C527&lt;OFFSET(Prices!C527,-S$3,0),1,-1)</f>
        <v>1</v>
      </c>
      <c r="T528" s="1">
        <f ca="1">IF(S528=1,T$3*Q527/Prices!C527,-T$3*R527)</f>
        <v>1.8474053485757375E-4</v>
      </c>
    </row>
    <row r="529" spans="1:20" x14ac:dyDescent="0.2">
      <c r="A529" s="4">
        <v>34247</v>
      </c>
      <c r="B529" s="9">
        <f ca="1">Prices!C528*(1+J529/(50*(ABS(O529)+ABS(T529)+0.0001)))</f>
        <v>103.71954577071635</v>
      </c>
      <c r="C529" s="21">
        <f t="shared" ca="1" si="47"/>
        <v>-1</v>
      </c>
      <c r="D529" s="9">
        <f ca="1">D528+C529*(Prices!C529-Prices!C528)/Prices!C528</f>
        <v>0.31168237000964116</v>
      </c>
      <c r="E529" s="9">
        <f t="shared" ca="1" si="48"/>
        <v>2.8219997312488032E-3</v>
      </c>
      <c r="F529" s="9">
        <f t="shared" ca="1" si="49"/>
        <v>0.31450436974088997</v>
      </c>
      <c r="G529" s="13">
        <f ca="1">IF((Prices!C529-Prices!C528)*C529&gt;0,1,0)</f>
        <v>0</v>
      </c>
      <c r="H529" s="9">
        <f>ABS(Prices!C529-Prices!C528)/Prices!C528</f>
        <v>1.4197823000472454E-3</v>
      </c>
      <c r="I529" s="13"/>
      <c r="J529" s="1">
        <f t="shared" ca="1" si="50"/>
        <v>-1.0575179154840237E-3</v>
      </c>
      <c r="K529" s="9"/>
      <c r="L529" s="9">
        <f ca="1">L528-O529*Prices!C529</f>
        <v>1.3129351739331043</v>
      </c>
      <c r="M529" s="1">
        <f t="shared" ca="1" si="51"/>
        <v>7.6016716382616995E-3</v>
      </c>
      <c r="N529" s="9">
        <f ca="1">IF(Prices!D528&gt;OFFSET(Prices!D528,-$N$3,0),1,-1)</f>
        <v>-1</v>
      </c>
      <c r="O529" s="1">
        <f ca="1">IF(N529=1,O$3*L528/Prices!C528,-O$3*M528)</f>
        <v>-8.4463018202907787E-4</v>
      </c>
      <c r="P529" s="14"/>
      <c r="Q529" s="9">
        <f ca="1">Q528-T529*Prices!C529</f>
        <v>0.98120681676268373</v>
      </c>
      <c r="R529" s="1">
        <f t="shared" ca="1" si="52"/>
        <v>1.0431498939292341E-2</v>
      </c>
      <c r="S529" s="9">
        <f ca="1">IF(Prices!C528&lt;OFFSET(Prices!C528,-S$3,0),1,-1)</f>
        <v>-1</v>
      </c>
      <c r="T529" s="1">
        <f ca="1">IF(S529=1,T$3*Q528/Prices!C528,-T$3*R528)</f>
        <v>-2.1288773345494574E-4</v>
      </c>
    </row>
    <row r="530" spans="1:20" x14ac:dyDescent="0.2">
      <c r="A530" s="4">
        <v>34248</v>
      </c>
      <c r="B530" s="9">
        <f ca="1">Prices!C529*(1+J530/(50*(ABS(O530)+ABS(T530)+0.0001)))</f>
        <v>107.20966966548524</v>
      </c>
      <c r="C530" s="21">
        <f t="shared" ref="C530:C593" ca="1" si="53">IF(J530&gt;0,1,IF(J530&lt;0,-1,0))</f>
        <v>1</v>
      </c>
      <c r="D530" s="9">
        <f ca="1">D529+C530*(Prices!C530-Prices!C529)/Prices!C529</f>
        <v>0.31035911859187176</v>
      </c>
      <c r="E530" s="9">
        <f t="shared" ref="E530:E593" ca="1" si="54">F530-D530</f>
        <v>4.1452511490182031E-3</v>
      </c>
      <c r="F530" s="9">
        <f t="shared" ref="F530:F593" ca="1" si="55">MAX(F529,D530)</f>
        <v>0.31450436974088997</v>
      </c>
      <c r="G530" s="13">
        <f ca="1">IF((Prices!C530-Prices!C529)*C530&gt;0,1,0)</f>
        <v>0</v>
      </c>
      <c r="H530" s="9">
        <f>ABS(Prices!C530-Prices!C529)/Prices!C529</f>
        <v>1.3232514177693815E-3</v>
      </c>
      <c r="I530" s="13"/>
      <c r="J530" s="1">
        <f t="shared" ref="J530:J593" ca="1" si="56">O530+T530</f>
        <v>1.0323295428900554E-3</v>
      </c>
      <c r="K530" s="9"/>
      <c r="L530" s="9">
        <f ca="1">L529-O530*Prices!C530</f>
        <v>1.1818153908728286</v>
      </c>
      <c r="M530" s="1">
        <f t="shared" ref="M530:M593" ca="1" si="57">M529+O530</f>
        <v>8.8426311599376015E-3</v>
      </c>
      <c r="N530" s="9">
        <f ca="1">IF(Prices!D529&gt;OFFSET(Prices!D529,-$N$3,0),1,-1)</f>
        <v>1</v>
      </c>
      <c r="O530" s="1">
        <f ca="1">IF(N530=1,O$3*L529/Prices!C529,-O$3*M529)</f>
        <v>1.2409595216759022E-3</v>
      </c>
      <c r="P530" s="14"/>
      <c r="Q530" s="9">
        <f ca="1">Q529-T530*Prices!C530</f>
        <v>1.0032506603211964</v>
      </c>
      <c r="R530" s="1">
        <f t="shared" ref="R530:R593" ca="1" si="58">R529+T530</f>
        <v>1.0222868960506493E-2</v>
      </c>
      <c r="S530" s="9">
        <f ca="1">IF(Prices!C529&lt;OFFSET(Prices!C529,-S$3,0),1,-1)</f>
        <v>-1</v>
      </c>
      <c r="T530" s="1">
        <f ca="1">IF(S530=1,T$3*Q529/Prices!C529,-T$3*R529)</f>
        <v>-2.0862997878584683E-4</v>
      </c>
    </row>
    <row r="531" spans="1:20" x14ac:dyDescent="0.2">
      <c r="A531" s="4">
        <v>34249</v>
      </c>
      <c r="B531" s="9">
        <f ca="1">Prices!C530*(1+J531/(50*(ABS(O531)+ABS(T531)+0.0001)))</f>
        <v>107.62315841509437</v>
      </c>
      <c r="C531" s="21">
        <f t="shared" ca="1" si="53"/>
        <v>1</v>
      </c>
      <c r="D531" s="9">
        <f ca="1">D530+C531*(Prices!C531-Prices!C530)/Prices!C530</f>
        <v>0.3041126677116901</v>
      </c>
      <c r="E531" s="9">
        <f t="shared" ca="1" si="54"/>
        <v>1.0391702029199867E-2</v>
      </c>
      <c r="F531" s="9">
        <f t="shared" ca="1" si="55"/>
        <v>0.31450436974088997</v>
      </c>
      <c r="G531" s="13">
        <f ca="1">IF((Prices!C531-Prices!C530)*C531&gt;0,1,0)</f>
        <v>0</v>
      </c>
      <c r="H531" s="9">
        <f>ABS(Prices!C531-Prices!C530)/Prices!C530</f>
        <v>6.2464508801816825E-3</v>
      </c>
      <c r="I531" s="13"/>
      <c r="J531" s="1">
        <f t="shared" ca="1" si="56"/>
        <v>1.3084095428138067E-3</v>
      </c>
      <c r="K531" s="9"/>
      <c r="L531" s="9">
        <f ca="1">L530-O531*Prices!C531</f>
        <v>1.0643720669643988</v>
      </c>
      <c r="M531" s="1">
        <f t="shared" ca="1" si="57"/>
        <v>9.961139006684553E-3</v>
      </c>
      <c r="N531" s="9">
        <f ca="1">IF(Prices!D530&gt;OFFSET(Prices!D530,-$N$3,0),1,-1)</f>
        <v>1</v>
      </c>
      <c r="O531" s="1">
        <f ca="1">IF(N531=1,O$3*L530/Prices!C530,-O$3*M530)</f>
        <v>1.1185078467469513E-3</v>
      </c>
      <c r="P531" s="14"/>
      <c r="Q531" s="9">
        <f ca="1">Q530-T531*Prices!C531</f>
        <v>0.98331098223417657</v>
      </c>
      <c r="R531" s="1">
        <f t="shared" ca="1" si="58"/>
        <v>1.0412770656573348E-2</v>
      </c>
      <c r="S531" s="9">
        <f ca="1">IF(Prices!C530&lt;OFFSET(Prices!C530,-S$3,0),1,-1)</f>
        <v>1</v>
      </c>
      <c r="T531" s="1">
        <f ca="1">IF(S531=1,T$3*Q530/Prices!C530,-T$3*R530)</f>
        <v>1.8990169606685525E-4</v>
      </c>
    </row>
    <row r="532" spans="1:20" x14ac:dyDescent="0.2">
      <c r="A532" s="4">
        <v>34250</v>
      </c>
      <c r="B532" s="9">
        <f ca="1">Prices!C531*(1+J532/(50*(ABS(O532)+ABS(T532)+0.0001)))</f>
        <v>103.67656230677331</v>
      </c>
      <c r="C532" s="21">
        <f t="shared" ca="1" si="53"/>
        <v>-1</v>
      </c>
      <c r="D532" s="9">
        <f ca="1">D531+C532*(Prices!C532-Prices!C531)/Prices!C531</f>
        <v>0.29316028675930911</v>
      </c>
      <c r="E532" s="9">
        <f t="shared" ca="1" si="54"/>
        <v>2.1344082981580859E-2</v>
      </c>
      <c r="F532" s="9">
        <f t="shared" ca="1" si="55"/>
        <v>0.31450436974088997</v>
      </c>
      <c r="G532" s="13">
        <f ca="1">IF((Prices!C532-Prices!C531)*C532&gt;0,1,0)</f>
        <v>0</v>
      </c>
      <c r="H532" s="9">
        <f>ABS(Prices!C532-Prices!C531)/Prices!C531</f>
        <v>1.0952380952381007E-2</v>
      </c>
      <c r="I532" s="13"/>
      <c r="J532" s="1">
        <f t="shared" ca="1" si="56"/>
        <v>-8.0881657071908827E-4</v>
      </c>
      <c r="K532" s="9"/>
      <c r="L532" s="9">
        <f ca="1">L531-O532*Prices!C532</f>
        <v>1.1701095575203553</v>
      </c>
      <c r="M532" s="1">
        <f t="shared" ca="1" si="57"/>
        <v>8.9650251060160984E-3</v>
      </c>
      <c r="N532" s="9">
        <f ca="1">IF(Prices!D531&gt;OFFSET(Prices!D531,-$N$3,0),1,-1)</f>
        <v>-1</v>
      </c>
      <c r="O532" s="1">
        <f ca="1">IF(N532=1,O$3*L531/Prices!C531,-O$3*M531)</f>
        <v>-9.9611390066845526E-4</v>
      </c>
      <c r="P532" s="14"/>
      <c r="Q532" s="9">
        <f ca="1">Q531-T532*Prices!C532</f>
        <v>0.9634293706600513</v>
      </c>
      <c r="R532" s="1">
        <f t="shared" ca="1" si="58"/>
        <v>1.0600067986522715E-2</v>
      </c>
      <c r="S532" s="9">
        <f ca="1">IF(Prices!C531&lt;OFFSET(Prices!C531,-S$3,0),1,-1)</f>
        <v>1</v>
      </c>
      <c r="T532" s="1">
        <f ca="1">IF(S532=1,T$3*Q531/Prices!C531,-T$3*R531)</f>
        <v>1.8729732994936696E-4</v>
      </c>
    </row>
    <row r="533" spans="1:20" x14ac:dyDescent="0.2">
      <c r="A533" s="4">
        <v>34253</v>
      </c>
      <c r="B533" s="9">
        <f ca="1">Prices!C532*(1+J533/(50*(ABS(O533)+ABS(T533)+0.0001)))</f>
        <v>104.20267175845426</v>
      </c>
      <c r="C533" s="21">
        <f t="shared" ca="1" si="53"/>
        <v>-1</v>
      </c>
      <c r="D533" s="9">
        <f ca="1">D532+C533*(Prices!C533-Prices!C532)/Prices!C532</f>
        <v>0.29268925520019468</v>
      </c>
      <c r="E533" s="9">
        <f t="shared" ca="1" si="54"/>
        <v>2.1815114540695291E-2</v>
      </c>
      <c r="F533" s="9">
        <f t="shared" ca="1" si="55"/>
        <v>0.31450436974088997</v>
      </c>
      <c r="G533" s="13">
        <f ca="1">IF((Prices!C533-Prices!C532)*C533&gt;0,1,0)</f>
        <v>0</v>
      </c>
      <c r="H533" s="9">
        <f>ABS(Prices!C533-Prices!C532)/Prices!C532</f>
        <v>4.7103155911443385E-4</v>
      </c>
      <c r="I533" s="13"/>
      <c r="J533" s="1">
        <f t="shared" ca="1" si="56"/>
        <v>-1.1085038703320643E-3</v>
      </c>
      <c r="K533" s="9"/>
      <c r="L533" s="9">
        <f ca="1">L532-O533*Prices!C533</f>
        <v>1.2653181241462463</v>
      </c>
      <c r="M533" s="1">
        <f t="shared" ca="1" si="57"/>
        <v>8.0685225954144884E-3</v>
      </c>
      <c r="N533" s="9">
        <f ca="1">IF(Prices!D532&gt;OFFSET(Prices!D532,-$N$3,0),1,-1)</f>
        <v>-1</v>
      </c>
      <c r="O533" s="1">
        <f ca="1">IF(N533=1,O$3*L532/Prices!C532,-O$3*M532)</f>
        <v>-8.9650251060160991E-4</v>
      </c>
      <c r="P533" s="14"/>
      <c r="Q533" s="9">
        <f ca="1">Q532-T533*Prices!C533</f>
        <v>0.98594391506342549</v>
      </c>
      <c r="R533" s="1">
        <f t="shared" ca="1" si="58"/>
        <v>1.0388066626792262E-2</v>
      </c>
      <c r="S533" s="9">
        <f ca="1">IF(Prices!C532&lt;OFFSET(Prices!C532,-S$3,0),1,-1)</f>
        <v>-1</v>
      </c>
      <c r="T533" s="1">
        <f ca="1">IF(S533=1,T$3*Q532/Prices!C532,-T$3*R532)</f>
        <v>-2.1200135973045432E-4</v>
      </c>
    </row>
    <row r="534" spans="1:20" x14ac:dyDescent="0.2">
      <c r="A534" s="4">
        <v>34254</v>
      </c>
      <c r="B534" s="9">
        <f ca="1">Prices!C533*(1+J534/(50*(ABS(O534)+ABS(T534)+0.0001)))</f>
        <v>104.26655931267101</v>
      </c>
      <c r="C534" s="21">
        <f t="shared" ca="1" si="53"/>
        <v>-1</v>
      </c>
      <c r="D534" s="9">
        <f ca="1">D533+C534*(Prices!C534-Prices!C533)/Prices!C533</f>
        <v>0.29410168457872582</v>
      </c>
      <c r="E534" s="9">
        <f t="shared" ca="1" si="54"/>
        <v>2.0402685162164147E-2</v>
      </c>
      <c r="F534" s="9">
        <f t="shared" ca="1" si="55"/>
        <v>0.31450436974088997</v>
      </c>
      <c r="G534" s="13">
        <f ca="1">IF((Prices!C534-Prices!C533)*C534&gt;0,1,0)</f>
        <v>1</v>
      </c>
      <c r="H534" s="9">
        <f>ABS(Prices!C534-Prices!C533)/Prices!C533</f>
        <v>1.412429378531127E-3</v>
      </c>
      <c r="I534" s="13"/>
      <c r="J534" s="1">
        <f t="shared" ca="1" si="56"/>
        <v>-1.0146135920772942E-3</v>
      </c>
      <c r="K534" s="9"/>
      <c r="L534" s="9">
        <f ca="1">L533-O534*Prices!C534</f>
        <v>1.3508848062706169</v>
      </c>
      <c r="M534" s="1">
        <f t="shared" ca="1" si="57"/>
        <v>7.261670335873039E-3</v>
      </c>
      <c r="N534" s="9">
        <f ca="1">IF(Prices!D533&gt;OFFSET(Prices!D533,-$N$3,0),1,-1)</f>
        <v>-1</v>
      </c>
      <c r="O534" s="1">
        <f ca="1">IF(N534=1,O$3*L533/Prices!C533,-O$3*M533)</f>
        <v>-8.0685225954144893E-4</v>
      </c>
      <c r="P534" s="14"/>
      <c r="Q534" s="9">
        <f ca="1">Q533-T534*Prices!C534</f>
        <v>1.0079770043788518</v>
      </c>
      <c r="R534" s="1">
        <f t="shared" ca="1" si="58"/>
        <v>1.0180305294256417E-2</v>
      </c>
      <c r="S534" s="9">
        <f ca="1">IF(Prices!C533&lt;OFFSET(Prices!C533,-S$3,0),1,-1)</f>
        <v>-1</v>
      </c>
      <c r="T534" s="1">
        <f ca="1">IF(S534=1,T$3*Q533/Prices!C533,-T$3*R533)</f>
        <v>-2.0776133253584523E-4</v>
      </c>
    </row>
    <row r="535" spans="1:20" x14ac:dyDescent="0.2">
      <c r="A535" s="4">
        <v>34255</v>
      </c>
      <c r="B535" s="9">
        <f ca="1">Prices!C534*(1+J535/(50*(ABS(O535)+ABS(T535)+0.0001)))</f>
        <v>107.48900422500618</v>
      </c>
      <c r="C535" s="21">
        <f t="shared" ca="1" si="53"/>
        <v>1</v>
      </c>
      <c r="D535" s="9">
        <f ca="1">D534+C535*(Prices!C535-Prices!C534)/Prices!C534</f>
        <v>0.29315873314072494</v>
      </c>
      <c r="E535" s="9">
        <f t="shared" ca="1" si="54"/>
        <v>2.134563660016503E-2</v>
      </c>
      <c r="F535" s="9">
        <f t="shared" ca="1" si="55"/>
        <v>0.31450436974088997</v>
      </c>
      <c r="G535" s="13">
        <f ca="1">IF((Prices!C535-Prices!C534)*C535&gt;0,1,0)</f>
        <v>0</v>
      </c>
      <c r="H535" s="9">
        <f>ABS(Prices!C535-Prices!C534)/Prices!C534</f>
        <v>9.4295143800088939E-4</v>
      </c>
      <c r="I535" s="13"/>
      <c r="J535" s="1">
        <f t="shared" ca="1" si="56"/>
        <v>1.0702126647613751E-3</v>
      </c>
      <c r="K535" s="9"/>
      <c r="L535" s="9">
        <f ca="1">L534-O535*Prices!C535</f>
        <v>1.21592370752062</v>
      </c>
      <c r="M535" s="1">
        <f t="shared" ca="1" si="57"/>
        <v>8.5354891065195435E-3</v>
      </c>
      <c r="N535" s="9">
        <f ca="1">IF(Prices!D534&gt;OFFSET(Prices!D534,-$N$3,0),1,-1)</f>
        <v>1</v>
      </c>
      <c r="O535" s="1">
        <f ca="1">IF(N535=1,O$3*L534/Prices!C534,-O$3*M534)</f>
        <v>1.2738187706465036E-3</v>
      </c>
      <c r="P535" s="14"/>
      <c r="Q535" s="9">
        <f ca="1">Q534-T535*Prices!C535</f>
        <v>1.0295490712973812</v>
      </c>
      <c r="R535" s="1">
        <f t="shared" ca="1" si="58"/>
        <v>9.9766991883712876E-3</v>
      </c>
      <c r="S535" s="9">
        <f ca="1">IF(Prices!C534&lt;OFFSET(Prices!C534,-S$3,0),1,-1)</f>
        <v>-1</v>
      </c>
      <c r="T535" s="1">
        <f ca="1">IF(S535=1,T$3*Q534/Prices!C534,-T$3*R534)</f>
        <v>-2.0360610588512833E-4</v>
      </c>
    </row>
    <row r="536" spans="1:20" x14ac:dyDescent="0.2">
      <c r="A536" s="4">
        <v>34256</v>
      </c>
      <c r="B536" s="9">
        <f ca="1">Prices!C535*(1+J536/(50*(ABS(O536)+ABS(T536)+0.0001)))</f>
        <v>107.33824776368992</v>
      </c>
      <c r="C536" s="21">
        <f t="shared" ca="1" si="53"/>
        <v>1</v>
      </c>
      <c r="D536" s="9">
        <f ca="1">D535+C536*(Prices!C536-Prices!C535)/Prices!C535</f>
        <v>0.30542867179103167</v>
      </c>
      <c r="E536" s="9">
        <f t="shared" ca="1" si="54"/>
        <v>9.0756979498582968E-3</v>
      </c>
      <c r="F536" s="9">
        <f t="shared" ca="1" si="55"/>
        <v>0.31450436974088997</v>
      </c>
      <c r="G536" s="13">
        <f ca="1">IF((Prices!C536-Prices!C535)*C536&gt;0,1,0)</f>
        <v>1</v>
      </c>
      <c r="H536" s="9">
        <f>ABS(Prices!C536-Prices!C535)/Prices!C535</f>
        <v>1.2269938650306721E-2</v>
      </c>
      <c r="I536" s="13"/>
      <c r="J536" s="1">
        <f t="shared" ca="1" si="56"/>
        <v>9.4810519275038453E-4</v>
      </c>
      <c r="K536" s="9"/>
      <c r="L536" s="9">
        <f ca="1">L535-O536*Prices!C536</f>
        <v>1.0928394058390849</v>
      </c>
      <c r="M536" s="1">
        <f t="shared" ca="1" si="57"/>
        <v>9.6831282830373532E-3</v>
      </c>
      <c r="N536" s="9">
        <f ca="1">IF(Prices!D535&gt;OFFSET(Prices!D535,-$N$3,0),1,-1)</f>
        <v>1</v>
      </c>
      <c r="O536" s="1">
        <f ca="1">IF(N536=1,O$3*L535/Prices!C535,-O$3*M535)</f>
        <v>1.1476391765178103E-3</v>
      </c>
      <c r="P536" s="14"/>
      <c r="Q536" s="9">
        <f ca="1">Q535-T536*Prices!C536</f>
        <v>1.0509490910564376</v>
      </c>
      <c r="R536" s="1">
        <f t="shared" ca="1" si="58"/>
        <v>9.7771652046038625E-3</v>
      </c>
      <c r="S536" s="9">
        <f ca="1">IF(Prices!C535&lt;OFFSET(Prices!C535,-S$3,0),1,-1)</f>
        <v>-1</v>
      </c>
      <c r="T536" s="1">
        <f ca="1">IF(S536=1,T$3*Q535/Prices!C535,-T$3*R535)</f>
        <v>-1.9953398376742576E-4</v>
      </c>
    </row>
    <row r="537" spans="1:20" x14ac:dyDescent="0.2">
      <c r="A537" s="4">
        <v>34257</v>
      </c>
      <c r="B537" s="9">
        <f ca="1">Prices!C536*(1+J537/(50*(ABS(O537)+ABS(T537)+0.0001)))</f>
        <v>105.27471868435167</v>
      </c>
      <c r="C537" s="21">
        <f t="shared" ca="1" si="53"/>
        <v>-1</v>
      </c>
      <c r="D537" s="9">
        <f ca="1">D536+C537*(Prices!C537-Prices!C536)/Prices!C536</f>
        <v>0.30589487225723211</v>
      </c>
      <c r="E537" s="9">
        <f t="shared" ca="1" si="54"/>
        <v>8.6094974836578575E-3</v>
      </c>
      <c r="F537" s="9">
        <f t="shared" ca="1" si="55"/>
        <v>0.31450436974088997</v>
      </c>
      <c r="G537" s="13">
        <f ca="1">IF((Prices!C537-Prices!C536)*C537&gt;0,1,0)</f>
        <v>1</v>
      </c>
      <c r="H537" s="9">
        <f>ABS(Prices!C537-Prices!C536)/Prices!C536</f>
        <v>4.6620046620043969E-4</v>
      </c>
      <c r="I537" s="13"/>
      <c r="J537" s="1">
        <f t="shared" ca="1" si="56"/>
        <v>-1.1638561323958126E-3</v>
      </c>
      <c r="K537" s="9"/>
      <c r="L537" s="9">
        <f ca="1">L536-O537*Prices!C537</f>
        <v>1.1966425410332453</v>
      </c>
      <c r="M537" s="1">
        <f t="shared" ca="1" si="57"/>
        <v>8.7148154547336178E-3</v>
      </c>
      <c r="N537" s="9">
        <f ca="1">IF(Prices!D536&gt;OFFSET(Prices!D536,-$N$3,0),1,-1)</f>
        <v>-1</v>
      </c>
      <c r="O537" s="1">
        <f ca="1">IF(N537=1,O$3*L536/Prices!C536,-O$3*M536)</f>
        <v>-9.6831282830373532E-4</v>
      </c>
      <c r="P537" s="14"/>
      <c r="Q537" s="9">
        <f ca="1">Q536-T537*Prices!C537</f>
        <v>1.0719113332551082</v>
      </c>
      <c r="R537" s="1">
        <f t="shared" ca="1" si="58"/>
        <v>9.5816219005117852E-3</v>
      </c>
      <c r="S537" s="9">
        <f ca="1">IF(Prices!C536&lt;OFFSET(Prices!C536,-S$3,0),1,-1)</f>
        <v>-1</v>
      </c>
      <c r="T537" s="1">
        <f ca="1">IF(S537=1,T$3*Q536/Prices!C536,-T$3*R536)</f>
        <v>-1.9554330409207726E-4</v>
      </c>
    </row>
    <row r="538" spans="1:20" x14ac:dyDescent="0.2">
      <c r="A538" s="4">
        <v>34260</v>
      </c>
      <c r="B538" s="9">
        <f ca="1">Prices!C537*(1+J538/(50*(ABS(O538)+ABS(T538)+0.0001)))</f>
        <v>105.24033275074027</v>
      </c>
      <c r="C538" s="21">
        <f t="shared" ca="1" si="53"/>
        <v>-1</v>
      </c>
      <c r="D538" s="9">
        <f ca="1">D537+C538*(Prices!C538-Prices!C537)/Prices!C537</f>
        <v>0.30309636479454555</v>
      </c>
      <c r="E538" s="9">
        <f t="shared" ca="1" si="54"/>
        <v>1.1408004946344419E-2</v>
      </c>
      <c r="F538" s="9">
        <f t="shared" ca="1" si="55"/>
        <v>0.31450436974088997</v>
      </c>
      <c r="G538" s="13">
        <f ca="1">IF((Prices!C538-Prices!C537)*C538&gt;0,1,0)</f>
        <v>0</v>
      </c>
      <c r="H538" s="9">
        <f>ABS(Prices!C538-Prices!C537)/Prices!C537</f>
        <v>2.7985074626865405E-3</v>
      </c>
      <c r="I538" s="13"/>
      <c r="J538" s="1">
        <f t="shared" ca="1" si="56"/>
        <v>-1.0631139834835976E-3</v>
      </c>
      <c r="K538" s="9"/>
      <c r="L538" s="9">
        <f ca="1">L537-O538*Prices!C538</f>
        <v>1.2903268071716316</v>
      </c>
      <c r="M538" s="1">
        <f t="shared" ca="1" si="57"/>
        <v>7.8433339092602566E-3</v>
      </c>
      <c r="N538" s="9">
        <f ca="1">IF(Prices!D537&gt;OFFSET(Prices!D537,-$N$3,0),1,-1)</f>
        <v>-1</v>
      </c>
      <c r="O538" s="1">
        <f ca="1">IF(N538=1,O$3*L537/Prices!C537,-O$3*M537)</f>
        <v>-8.7148154547336181E-4</v>
      </c>
      <c r="P538" s="14"/>
      <c r="Q538" s="9">
        <f ca="1">Q537-T538*Prices!C538</f>
        <v>1.0925118203412085</v>
      </c>
      <c r="R538" s="1">
        <f t="shared" ca="1" si="58"/>
        <v>9.3899894625015488E-3</v>
      </c>
      <c r="S538" s="9">
        <f ca="1">IF(Prices!C537&lt;OFFSET(Prices!C537,-S$3,0),1,-1)</f>
        <v>-1</v>
      </c>
      <c r="T538" s="1">
        <f ca="1">IF(S538=1,T$3*Q537/Prices!C537,-T$3*R537)</f>
        <v>-1.916324380102357E-4</v>
      </c>
    </row>
    <row r="539" spans="1:20" x14ac:dyDescent="0.2">
      <c r="A539" s="4">
        <v>34261</v>
      </c>
      <c r="B539" s="9">
        <f ca="1">Prices!C538*(1+J539/(50*(ABS(O539)+ABS(T539)+0.0001)))</f>
        <v>108.96285768064179</v>
      </c>
      <c r="C539" s="21">
        <f t="shared" ca="1" si="53"/>
        <v>1</v>
      </c>
      <c r="D539" s="9">
        <f ca="1">D538+C539*(Prices!C539-Prices!C538)/Prices!C538</f>
        <v>0.29937543456198734</v>
      </c>
      <c r="E539" s="9">
        <f t="shared" ca="1" si="54"/>
        <v>1.5128935178902625E-2</v>
      </c>
      <c r="F539" s="9">
        <f t="shared" ca="1" si="55"/>
        <v>0.31450436974088997</v>
      </c>
      <c r="G539" s="13">
        <f ca="1">IF((Prices!C539-Prices!C538)*C539&gt;0,1,0)</f>
        <v>0</v>
      </c>
      <c r="H539" s="9">
        <f>ABS(Prices!C539-Prices!C538)/Prices!C538</f>
        <v>3.7209302325581922E-3</v>
      </c>
      <c r="I539" s="13"/>
      <c r="J539" s="1">
        <f t="shared" ca="1" si="56"/>
        <v>1.0125042174212544E-3</v>
      </c>
      <c r="K539" s="9"/>
      <c r="L539" s="9">
        <f ca="1">L538-O539*Prices!C539</f>
        <v>1.1617742480571369</v>
      </c>
      <c r="M539" s="1">
        <f t="shared" ca="1" si="57"/>
        <v>9.0436379159315426E-3</v>
      </c>
      <c r="N539" s="9">
        <f ca="1">IF(Prices!D538&gt;OFFSET(Prices!D538,-$N$3,0),1,-1)</f>
        <v>1</v>
      </c>
      <c r="O539" s="1">
        <f ca="1">IF(N539=1,O$3*L538/Prices!C538,-O$3*M538)</f>
        <v>1.2003040066712854E-3</v>
      </c>
      <c r="P539" s="14"/>
      <c r="Q539" s="9">
        <f ca="1">Q538-T539*Prices!C539</f>
        <v>1.1126251777698868</v>
      </c>
      <c r="R539" s="1">
        <f t="shared" ca="1" si="58"/>
        <v>9.2021896732515183E-3</v>
      </c>
      <c r="S539" s="9">
        <f ca="1">IF(Prices!C538&lt;OFFSET(Prices!C538,-S$3,0),1,-1)</f>
        <v>-1</v>
      </c>
      <c r="T539" s="1">
        <f ca="1">IF(S539=1,T$3*Q538/Prices!C538,-T$3*R538)</f>
        <v>-1.8779978925003099E-4</v>
      </c>
    </row>
    <row r="540" spans="1:20" x14ac:dyDescent="0.2">
      <c r="A540" s="4">
        <v>34262</v>
      </c>
      <c r="B540" s="9">
        <f ca="1">Prices!C539*(1+J540/(50*(ABS(O540)+ABS(T540)+0.0001)))</f>
        <v>108.50950192048599</v>
      </c>
      <c r="C540" s="21">
        <f t="shared" ca="1" si="53"/>
        <v>1</v>
      </c>
      <c r="D540" s="9">
        <f ca="1">D539+C540*(Prices!C540-Prices!C539)/Prices!C539</f>
        <v>0.30208318432856068</v>
      </c>
      <c r="E540" s="9">
        <f t="shared" ca="1" si="54"/>
        <v>1.2421185412329283E-2</v>
      </c>
      <c r="F540" s="9">
        <f t="shared" ca="1" si="55"/>
        <v>0.31450436974088997</v>
      </c>
      <c r="G540" s="13">
        <f ca="1">IF((Prices!C540-Prices!C539)*C540&gt;0,1,0)</f>
        <v>1</v>
      </c>
      <c r="H540" s="9">
        <f>ABS(Prices!C540-Prices!C539)/Prices!C539</f>
        <v>2.7077497665733545E-3</v>
      </c>
      <c r="I540" s="13"/>
      <c r="J540" s="1">
        <f t="shared" ca="1" si="56"/>
        <v>9.007127406686176E-4</v>
      </c>
      <c r="K540" s="9"/>
      <c r="L540" s="9">
        <f ca="1">L539-O540*Prices!C540</f>
        <v>1.0452822438565246</v>
      </c>
      <c r="M540" s="1">
        <f t="shared" ca="1" si="57"/>
        <v>1.0128394450065191E-2</v>
      </c>
      <c r="N540" s="9">
        <f ca="1">IF(Prices!D539&gt;OFFSET(Prices!D539,-$N$3,0),1,-1)</f>
        <v>1</v>
      </c>
      <c r="O540" s="1">
        <f ca="1">IF(N540=1,O$3*L539/Prices!C539,-O$3*M539)</f>
        <v>1.084756534133648E-3</v>
      </c>
      <c r="P540" s="14"/>
      <c r="Q540" s="9">
        <f ca="1">Q539-T540*Prices!C540</f>
        <v>1.1323896407500964</v>
      </c>
      <c r="R540" s="1">
        <f t="shared" ca="1" si="58"/>
        <v>9.0181458797864884E-3</v>
      </c>
      <c r="S540" s="9">
        <f ca="1">IF(Prices!C539&lt;OFFSET(Prices!C539,-S$3,0),1,-1)</f>
        <v>-1</v>
      </c>
      <c r="T540" s="1">
        <f ca="1">IF(S540=1,T$3*Q539/Prices!C539,-T$3*R539)</f>
        <v>-1.8404379346503036E-4</v>
      </c>
    </row>
    <row r="541" spans="1:20" x14ac:dyDescent="0.2">
      <c r="A541" s="4">
        <v>34263</v>
      </c>
      <c r="B541" s="9">
        <f ca="1">Prices!C540*(1+J541/(50*(ABS(O541)+ABS(T541)+0.0001)))</f>
        <v>105.40828382895916</v>
      </c>
      <c r="C541" s="21">
        <f t="shared" ca="1" si="53"/>
        <v>-1</v>
      </c>
      <c r="D541" s="9">
        <f ca="1">D540+C541*(Prices!C541-Prices!C540)/Prices!C540</f>
        <v>0.29360939719754292</v>
      </c>
      <c r="E541" s="9">
        <f t="shared" ca="1" si="54"/>
        <v>2.0894972543347046E-2</v>
      </c>
      <c r="F541" s="9">
        <f t="shared" ca="1" si="55"/>
        <v>0.31450436974088997</v>
      </c>
      <c r="G541" s="13">
        <f ca="1">IF((Prices!C541-Prices!C540)*C541&gt;0,1,0)</f>
        <v>0</v>
      </c>
      <c r="H541" s="9">
        <f>ABS(Prices!C541-Prices!C540)/Prices!C540</f>
        <v>8.4737871310177539E-3</v>
      </c>
      <c r="I541" s="13"/>
      <c r="J541" s="1">
        <f t="shared" ca="1" si="56"/>
        <v>-1.1932023626022488E-3</v>
      </c>
      <c r="K541" s="9"/>
      <c r="L541" s="9">
        <f ca="1">L540-O541*Prices!C541</f>
        <v>1.1549727557507306</v>
      </c>
      <c r="M541" s="1">
        <f t="shared" ca="1" si="57"/>
        <v>9.1155550050586714E-3</v>
      </c>
      <c r="N541" s="9">
        <f ca="1">IF(Prices!D540&gt;OFFSET(Prices!D540,-$N$3,0),1,-1)</f>
        <v>-1</v>
      </c>
      <c r="O541" s="1">
        <f ca="1">IF(N541=1,O$3*L540/Prices!C540,-O$3*M540)</f>
        <v>-1.012839445006519E-3</v>
      </c>
      <c r="P541" s="14"/>
      <c r="Q541" s="9">
        <f ca="1">Q540-T541*Prices!C541</f>
        <v>1.151922944725714</v>
      </c>
      <c r="R541" s="1">
        <f t="shared" ca="1" si="58"/>
        <v>8.8377829621907582E-3</v>
      </c>
      <c r="S541" s="9">
        <f ca="1">IF(Prices!C540&lt;OFFSET(Prices!C540,-S$3,0),1,-1)</f>
        <v>-1</v>
      </c>
      <c r="T541" s="1">
        <f ca="1">IF(S541=1,T$3*Q540/Prices!C540,-T$3*R540)</f>
        <v>-1.8036291759572978E-4</v>
      </c>
    </row>
    <row r="542" spans="1:20" x14ac:dyDescent="0.2">
      <c r="A542" s="4">
        <v>34264</v>
      </c>
      <c r="B542" s="9">
        <f ca="1">Prices!C541*(1+J542/(50*(ABS(O542)+ABS(T542)+0.0001)))</f>
        <v>109.73468941606262</v>
      </c>
      <c r="C542" s="21">
        <f t="shared" ca="1" si="53"/>
        <v>1</v>
      </c>
      <c r="D542" s="9">
        <f ca="1">D541+C542*(Prices!C542-Prices!C541)/Prices!C541</f>
        <v>0.29176267512921417</v>
      </c>
      <c r="E542" s="9">
        <f t="shared" ca="1" si="54"/>
        <v>2.27416946116758E-2</v>
      </c>
      <c r="F542" s="9">
        <f t="shared" ca="1" si="55"/>
        <v>0.31450436974088997</v>
      </c>
      <c r="G542" s="13">
        <f ca="1">IF((Prices!C542-Prices!C541)*C542&gt;0,1,0)</f>
        <v>0</v>
      </c>
      <c r="H542" s="9">
        <f>ABS(Prices!C542-Prices!C541)/Prices!C541</f>
        <v>1.8467220683287429E-3</v>
      </c>
      <c r="I542" s="13"/>
      <c r="J542" s="1">
        <f t="shared" ca="1" si="56"/>
        <v>8.8970117893783819E-4</v>
      </c>
      <c r="K542" s="9"/>
      <c r="L542" s="9">
        <f ca="1">L541-O542*Prices!C542</f>
        <v>1.0396887715432939</v>
      </c>
      <c r="M542" s="1">
        <f t="shared" ca="1" si="57"/>
        <v>1.0182011843240324E-2</v>
      </c>
      <c r="N542" s="9">
        <f ca="1">IF(Prices!D541&gt;OFFSET(Prices!D541,-$N$3,0),1,-1)</f>
        <v>1</v>
      </c>
      <c r="O542" s="1">
        <f ca="1">IF(N542=1,O$3*L541/Prices!C541,-O$3*M541)</f>
        <v>1.0664568381816533E-3</v>
      </c>
      <c r="P542" s="14"/>
      <c r="Q542" s="9">
        <f ca="1">Q541-T542*Prices!C542</f>
        <v>1.1710302314899703</v>
      </c>
      <c r="R542" s="1">
        <f t="shared" ca="1" si="58"/>
        <v>8.6610273029469435E-3</v>
      </c>
      <c r="S542" s="9">
        <f ca="1">IF(Prices!C541&lt;OFFSET(Prices!C541,-S$3,0),1,-1)</f>
        <v>-1</v>
      </c>
      <c r="T542" s="1">
        <f ca="1">IF(S542=1,T$3*Q541/Prices!C541,-T$3*R541)</f>
        <v>-1.7675565924381517E-4</v>
      </c>
    </row>
    <row r="543" spans="1:20" x14ac:dyDescent="0.2">
      <c r="A543" s="4">
        <v>34267</v>
      </c>
      <c r="B543" s="9">
        <f ca="1">Prices!C542*(1+J543/(50*(ABS(O543)+ABS(T543)+0.0001)))</f>
        <v>109.48046000420739</v>
      </c>
      <c r="C543" s="21">
        <f t="shared" ca="1" si="53"/>
        <v>1</v>
      </c>
      <c r="D543" s="9">
        <f ca="1">D542+C543*(Prices!C543-Prices!C542)/Prices!C542</f>
        <v>0.29620300815419109</v>
      </c>
      <c r="E543" s="9">
        <f t="shared" ca="1" si="54"/>
        <v>1.8301361586698872E-2</v>
      </c>
      <c r="F543" s="9">
        <f t="shared" ca="1" si="55"/>
        <v>0.31450436974088997</v>
      </c>
      <c r="G543" s="13">
        <f ca="1">IF((Prices!C543-Prices!C542)*C543&gt;0,1,0)</f>
        <v>1</v>
      </c>
      <c r="H543" s="9">
        <f>ABS(Prices!C543-Prices!C542)/Prices!C542</f>
        <v>4.4403330249769106E-3</v>
      </c>
      <c r="I543" s="13"/>
      <c r="J543" s="1">
        <f t="shared" ca="1" si="56"/>
        <v>7.8856370143717022E-4</v>
      </c>
      <c r="K543" s="9"/>
      <c r="L543" s="9">
        <f ca="1">L542-O543*Prices!C543</f>
        <v>0.93525823795016638</v>
      </c>
      <c r="M543" s="1">
        <f t="shared" ca="1" si="57"/>
        <v>1.1143796090736433E-2</v>
      </c>
      <c r="N543" s="9">
        <f ca="1">IF(Prices!D542&gt;OFFSET(Prices!D542,-$N$3,0),1,-1)</f>
        <v>1</v>
      </c>
      <c r="O543" s="1">
        <f ca="1">IF(N543=1,O$3*L542/Prices!C542,-O$3*M542)</f>
        <v>9.6178424749610914E-4</v>
      </c>
      <c r="P543" s="14"/>
      <c r="Q543" s="9">
        <f ca="1">Q542-T543*Prices!C543</f>
        <v>1.1898385183810498</v>
      </c>
      <c r="R543" s="1">
        <f t="shared" ca="1" si="58"/>
        <v>8.4878067568880042E-3</v>
      </c>
      <c r="S543" s="9">
        <f ca="1">IF(Prices!C542&lt;OFFSET(Prices!C542,-S$3,0),1,-1)</f>
        <v>-1</v>
      </c>
      <c r="T543" s="1">
        <f ca="1">IF(S543=1,T$3*Q542/Prices!C542,-T$3*R542)</f>
        <v>-1.7322054605893887E-4</v>
      </c>
    </row>
    <row r="544" spans="1:20" x14ac:dyDescent="0.2">
      <c r="A544" s="4">
        <v>34268</v>
      </c>
      <c r="B544" s="9">
        <f ca="1">Prices!C543*(1+J544/(50*(ABS(O544)+ABS(T544)+0.0001)))</f>
        <v>109.9077875663907</v>
      </c>
      <c r="C544" s="21">
        <f t="shared" ca="1" si="53"/>
        <v>1</v>
      </c>
      <c r="D544" s="9">
        <f ca="1">D543+C544*(Prices!C544-Prices!C543)/Prices!C543</f>
        <v>0.29408475433212439</v>
      </c>
      <c r="E544" s="9">
        <f t="shared" ca="1" si="54"/>
        <v>2.0419615408765579E-2</v>
      </c>
      <c r="F544" s="9">
        <f t="shared" ca="1" si="55"/>
        <v>0.31450436974088997</v>
      </c>
      <c r="G544" s="13">
        <f ca="1">IF((Prices!C544-Prices!C543)*C544&gt;0,1,0)</f>
        <v>0</v>
      </c>
      <c r="H544" s="9">
        <f>ABS(Prices!C544-Prices!C543)/Prices!C543</f>
        <v>2.1182538220667155E-3</v>
      </c>
      <c r="I544" s="13"/>
      <c r="J544" s="1">
        <f t="shared" ca="1" si="56"/>
        <v>6.9159792449584323E-4</v>
      </c>
      <c r="K544" s="9"/>
      <c r="L544" s="9">
        <f ca="1">L543-O544*Prices!C544</f>
        <v>0.8419305255888655</v>
      </c>
      <c r="M544" s="1">
        <f t="shared" ca="1" si="57"/>
        <v>1.2005150150370037E-2</v>
      </c>
      <c r="N544" s="9">
        <f ca="1">IF(Prices!D543&gt;OFFSET(Prices!D543,-$N$3,0),1,-1)</f>
        <v>1</v>
      </c>
      <c r="O544" s="1">
        <f ca="1">IF(N544=1,O$3*L543/Prices!C543,-O$3*M543)</f>
        <v>8.6135405963360333E-4</v>
      </c>
      <c r="P544" s="14"/>
      <c r="Q544" s="9">
        <f ca="1">Q543-T544*Prices!C544</f>
        <v>1.2082315956232261</v>
      </c>
      <c r="R544" s="1">
        <f t="shared" ca="1" si="58"/>
        <v>8.3180506217502437E-3</v>
      </c>
      <c r="S544" s="9">
        <f ca="1">IF(Prices!C543&lt;OFFSET(Prices!C543,-S$3,0),1,-1)</f>
        <v>-1</v>
      </c>
      <c r="T544" s="1">
        <f ca="1">IF(S544=1,T$3*Q543/Prices!C543,-T$3*R543)</f>
        <v>-1.6975613513776008E-4</v>
      </c>
    </row>
    <row r="545" spans="1:20" x14ac:dyDescent="0.2">
      <c r="A545" s="4">
        <v>34269</v>
      </c>
      <c r="B545" s="9">
        <f ca="1">Prices!C544*(1+J545/(50*(ABS(O545)+ABS(T545)+0.0001)))</f>
        <v>109.6183021436764</v>
      </c>
      <c r="C545" s="21">
        <f t="shared" ca="1" si="53"/>
        <v>1</v>
      </c>
      <c r="D545" s="9">
        <f ca="1">D544+C545*(Prices!C545-Prices!C544)/Prices!C544</f>
        <v>0.29731502659792974</v>
      </c>
      <c r="E545" s="9">
        <f t="shared" ca="1" si="54"/>
        <v>1.7189343142960223E-2</v>
      </c>
      <c r="F545" s="9">
        <f t="shared" ca="1" si="55"/>
        <v>0.31450436974088997</v>
      </c>
      <c r="G545" s="13">
        <f ca="1">IF((Prices!C545-Prices!C544)*C545&gt;0,1,0)</f>
        <v>1</v>
      </c>
      <c r="H545" s="9">
        <f>ABS(Prices!C545-Prices!C544)/Prices!C544</f>
        <v>3.2302722658053397E-3</v>
      </c>
      <c r="I545" s="13"/>
      <c r="J545" s="1">
        <f t="shared" ca="1" si="56"/>
        <v>6.1068608086344044E-4</v>
      </c>
      <c r="K545" s="9"/>
      <c r="L545" s="9">
        <f ca="1">L544-O545*Prices!C545</f>
        <v>0.75746550654732447</v>
      </c>
      <c r="M545" s="1">
        <f t="shared" ca="1" si="57"/>
        <v>1.2782197243668482E-2</v>
      </c>
      <c r="N545" s="9">
        <f ca="1">IF(Prices!D544&gt;OFFSET(Prices!D544,-$N$3,0),1,-1)</f>
        <v>1</v>
      </c>
      <c r="O545" s="1">
        <f ca="1">IF(N545=1,O$3*L544/Prices!C544,-O$3*M544)</f>
        <v>7.7704709329844536E-4</v>
      </c>
      <c r="P545" s="14"/>
      <c r="Q545" s="9">
        <f ca="1">Q544-T545*Prices!C545</f>
        <v>1.2263150376749112</v>
      </c>
      <c r="R545" s="1">
        <f t="shared" ca="1" si="58"/>
        <v>8.151689609315239E-3</v>
      </c>
      <c r="S545" s="9">
        <f ca="1">IF(Prices!C544&lt;OFFSET(Prices!C544,-S$3,0),1,-1)</f>
        <v>-1</v>
      </c>
      <c r="T545" s="1">
        <f ca="1">IF(S545=1,T$3*Q544/Prices!C544,-T$3*R544)</f>
        <v>-1.6636101243500489E-4</v>
      </c>
    </row>
    <row r="546" spans="1:20" x14ac:dyDescent="0.2">
      <c r="A546" s="4">
        <v>34270</v>
      </c>
      <c r="B546" s="9">
        <f ca="1">Prices!C545*(1+J546/(50*(ABS(O546)+ABS(T546)+0.0001)))</f>
        <v>106.6670540171783</v>
      </c>
      <c r="C546" s="21">
        <f t="shared" ca="1" si="53"/>
        <v>-1</v>
      </c>
      <c r="D546" s="9">
        <f ca="1">D545+C546*(Prices!C546-Prices!C545)/Prices!C545</f>
        <v>0.30219083156573107</v>
      </c>
      <c r="E546" s="9">
        <f t="shared" ca="1" si="54"/>
        <v>1.23135381751589E-2</v>
      </c>
      <c r="F546" s="9">
        <f t="shared" ca="1" si="55"/>
        <v>0.31450436974088997</v>
      </c>
      <c r="G546" s="13">
        <f ca="1">IF((Prices!C546-Prices!C545)*C546&gt;0,1,0)</f>
        <v>1</v>
      </c>
      <c r="H546" s="9">
        <f>ABS(Prices!C546-Prices!C545)/Prices!C545</f>
        <v>4.8758049678012984E-3</v>
      </c>
      <c r="I546" s="13"/>
      <c r="J546" s="1">
        <f t="shared" ca="1" si="56"/>
        <v>-1.4412535165531531E-3</v>
      </c>
      <c r="K546" s="9"/>
      <c r="L546" s="9">
        <f ca="1">L545-O546*Prices!C546</f>
        <v>0.89573053413208648</v>
      </c>
      <c r="M546" s="1">
        <f t="shared" ca="1" si="57"/>
        <v>1.1503977519301633E-2</v>
      </c>
      <c r="N546" s="9">
        <f ca="1">IF(Prices!D545&gt;OFFSET(Prices!D545,-$N$3,0),1,-1)</f>
        <v>-1</v>
      </c>
      <c r="O546" s="1">
        <f ca="1">IF(N546=1,O$3*L545/Prices!C545,-O$3*M545)</f>
        <v>-1.2782197243668483E-3</v>
      </c>
      <c r="P546" s="14"/>
      <c r="Q546" s="9">
        <f ca="1">Q545-T546*Prices!C546</f>
        <v>1.2439504029757038</v>
      </c>
      <c r="R546" s="1">
        <f t="shared" ca="1" si="58"/>
        <v>7.9886558171289347E-3</v>
      </c>
      <c r="S546" s="9">
        <f ca="1">IF(Prices!C545&lt;OFFSET(Prices!C545,-S$3,0),1,-1)</f>
        <v>-1</v>
      </c>
      <c r="T546" s="1">
        <f ca="1">IF(S546=1,T$3*Q545/Prices!C545,-T$3*R545)</f>
        <v>-1.6303379218630479E-4</v>
      </c>
    </row>
    <row r="547" spans="1:20" x14ac:dyDescent="0.2">
      <c r="A547" s="4">
        <v>34271</v>
      </c>
      <c r="B547" s="9">
        <f ca="1">Prices!C546*(1+J547/(50*(ABS(O547)+ABS(T547)+0.0001)))</f>
        <v>106.16001403291432</v>
      </c>
      <c r="C547" s="21">
        <f t="shared" ca="1" si="53"/>
        <v>-1</v>
      </c>
      <c r="D547" s="9">
        <f ca="1">D546+C547*(Prices!C547-Prices!C546)/Prices!C546</f>
        <v>0.29821560738157654</v>
      </c>
      <c r="E547" s="9">
        <f t="shared" ca="1" si="54"/>
        <v>1.6288762359313425E-2</v>
      </c>
      <c r="F547" s="9">
        <f t="shared" ca="1" si="55"/>
        <v>0.31450436974088997</v>
      </c>
      <c r="G547" s="13">
        <f ca="1">IF((Prices!C547-Prices!C546)*C547&gt;0,1,0)</f>
        <v>0</v>
      </c>
      <c r="H547" s="9">
        <f>ABS(Prices!C547-Prices!C546)/Prices!C546</f>
        <v>3.9752241841545027E-3</v>
      </c>
      <c r="I547" s="13"/>
      <c r="J547" s="1">
        <f t="shared" ca="1" si="56"/>
        <v>-1.3101708682727422E-3</v>
      </c>
      <c r="K547" s="9"/>
      <c r="L547" s="9">
        <f ca="1">L546-O547*Prices!C547</f>
        <v>1.0206637299917023</v>
      </c>
      <c r="M547" s="1">
        <f t="shared" ca="1" si="57"/>
        <v>1.035357976737147E-2</v>
      </c>
      <c r="N547" s="9">
        <f ca="1">IF(Prices!D546&gt;OFFSET(Prices!D546,-$N$3,0),1,-1)</f>
        <v>-1</v>
      </c>
      <c r="O547" s="1">
        <f ca="1">IF(N547=1,O$3*L546/Prices!C546,-O$3*M546)</f>
        <v>-1.1503977519301634E-3</v>
      </c>
      <c r="P547" s="14"/>
      <c r="Q547" s="9">
        <f ca="1">Q546-T547*Prices!C547</f>
        <v>1.2613017634105079</v>
      </c>
      <c r="R547" s="1">
        <f t="shared" ca="1" si="58"/>
        <v>7.8288827007863566E-3</v>
      </c>
      <c r="S547" s="9">
        <f ca="1">IF(Prices!C546&lt;OFFSET(Prices!C546,-S$3,0),1,-1)</f>
        <v>-1</v>
      </c>
      <c r="T547" s="1">
        <f ca="1">IF(S547=1,T$3*Q546/Prices!C546,-T$3*R546)</f>
        <v>-1.5977311634257871E-4</v>
      </c>
    </row>
    <row r="548" spans="1:20" x14ac:dyDescent="0.2">
      <c r="A548" s="4">
        <v>34274</v>
      </c>
      <c r="B548" s="9">
        <f ca="1">Prices!C547*(1+J548/(50*(ABS(O548)+ABS(T548)+0.0001)))</f>
        <v>106.59611983107348</v>
      </c>
      <c r="C548" s="21">
        <f t="shared" ca="1" si="53"/>
        <v>-1</v>
      </c>
      <c r="D548" s="9">
        <f ca="1">D547+C548*(Prices!C548-Prices!C547)/Prices!C547</f>
        <v>0.30143844347734078</v>
      </c>
      <c r="E548" s="9">
        <f t="shared" ca="1" si="54"/>
        <v>1.3065926263549188E-2</v>
      </c>
      <c r="F548" s="9">
        <f t="shared" ca="1" si="55"/>
        <v>0.31450436974088997</v>
      </c>
      <c r="G548" s="13">
        <f ca="1">IF((Prices!C548-Prices!C547)*C548&gt;0,1,0)</f>
        <v>1</v>
      </c>
      <c r="H548" s="9">
        <f>ABS(Prices!C548-Prices!C547)/Prices!C547</f>
        <v>3.2228360957642205E-3</v>
      </c>
      <c r="I548" s="13"/>
      <c r="J548" s="1">
        <f t="shared" ca="1" si="56"/>
        <v>-1.1919356307528743E-3</v>
      </c>
      <c r="K548" s="9"/>
      <c r="L548" s="9">
        <f ca="1">L547-O548*Prices!C548</f>
        <v>1.1327412309734985</v>
      </c>
      <c r="M548" s="1">
        <f t="shared" ca="1" si="57"/>
        <v>9.3182217906343234E-3</v>
      </c>
      <c r="N548" s="9">
        <f ca="1">IF(Prices!D547&gt;OFFSET(Prices!D547,-$N$3,0),1,-1)</f>
        <v>-1</v>
      </c>
      <c r="O548" s="1">
        <f ca="1">IF(N548=1,O$3*L547/Prices!C547,-O$3*M547)</f>
        <v>-1.0353579767371471E-3</v>
      </c>
      <c r="P548" s="14"/>
      <c r="Q548" s="9">
        <f ca="1">Q547-T548*Prices!C548</f>
        <v>1.2782512944577105</v>
      </c>
      <c r="R548" s="1">
        <f t="shared" ca="1" si="58"/>
        <v>7.6723050467706298E-3</v>
      </c>
      <c r="S548" s="9">
        <f ca="1">IF(Prices!C547&lt;OFFSET(Prices!C547,-S$3,0),1,-1)</f>
        <v>-1</v>
      </c>
      <c r="T548" s="1">
        <f ca="1">IF(S548=1,T$3*Q547/Prices!C547,-T$3*R547)</f>
        <v>-1.5657765401572713E-4</v>
      </c>
    </row>
    <row r="549" spans="1:20" x14ac:dyDescent="0.2">
      <c r="A549" s="4">
        <v>34275</v>
      </c>
      <c r="B549" s="9">
        <f ca="1">Prices!C548*(1+J549/(50*(ABS(O549)+ABS(T549)+0.0001)))</f>
        <v>110.25840855736858</v>
      </c>
      <c r="C549" s="21">
        <f t="shared" ca="1" si="53"/>
        <v>1</v>
      </c>
      <c r="D549" s="9">
        <f ca="1">D548+C549*(Prices!C549-Prices!C548)/Prices!C548</f>
        <v>0.29774329336186728</v>
      </c>
      <c r="E549" s="9">
        <f t="shared" ca="1" si="54"/>
        <v>1.6761076379022688E-2</v>
      </c>
      <c r="F549" s="9">
        <f t="shared" ca="1" si="55"/>
        <v>0.31450436974088997</v>
      </c>
      <c r="G549" s="13">
        <f ca="1">IF((Prices!C549-Prices!C548)*C549&gt;0,1,0)</f>
        <v>0</v>
      </c>
      <c r="H549" s="9">
        <f>ABS(Prices!C549-Prices!C548)/Prices!C548</f>
        <v>3.6951501154734935E-3</v>
      </c>
      <c r="I549" s="13"/>
      <c r="J549" s="1">
        <f t="shared" ca="1" si="56"/>
        <v>1.282578743524287E-3</v>
      </c>
      <c r="K549" s="9"/>
      <c r="L549" s="9">
        <f ca="1">L548-O549*Prices!C549</f>
        <v>1.0198856727651919</v>
      </c>
      <c r="M549" s="1">
        <f t="shared" ca="1" si="57"/>
        <v>1.0364634013242635E-2</v>
      </c>
      <c r="N549" s="9">
        <f ca="1">IF(Prices!D548&gt;OFFSET(Prices!D548,-$N$3,0),1,-1)</f>
        <v>1</v>
      </c>
      <c r="O549" s="1">
        <f ca="1">IF(N549=1,O$3*L548/Prices!C548,-O$3*M548)</f>
        <v>1.0464122226083127E-3</v>
      </c>
      <c r="P549" s="14"/>
      <c r="Q549" s="9">
        <f ca="1">Q548-T549*Prices!C549</f>
        <v>1.2527807351769227</v>
      </c>
      <c r="R549" s="1">
        <f t="shared" ca="1" si="58"/>
        <v>7.9084715676866046E-3</v>
      </c>
      <c r="S549" s="9">
        <f ca="1">IF(Prices!C548&lt;OFFSET(Prices!C548,-S$3,0),1,-1)</f>
        <v>1</v>
      </c>
      <c r="T549" s="1">
        <f ca="1">IF(S549=1,T$3*Q548/Prices!C548,-T$3*R548)</f>
        <v>2.3616652091597423E-4</v>
      </c>
    </row>
    <row r="550" spans="1:20" x14ac:dyDescent="0.2">
      <c r="A550" s="4">
        <v>34276</v>
      </c>
      <c r="B550" s="9">
        <f ca="1">Prices!C549*(1+J550/(50*(ABS(O550)+ABS(T550)+0.0001)))</f>
        <v>109.83821683909169</v>
      </c>
      <c r="C550" s="21">
        <f t="shared" ca="1" si="53"/>
        <v>1</v>
      </c>
      <c r="D550" s="9">
        <f ca="1">D549+C550*(Prices!C550-Prices!C549)/Prices!C549</f>
        <v>0.2963524727777227</v>
      </c>
      <c r="E550" s="9">
        <f t="shared" ca="1" si="54"/>
        <v>1.8151896963167269E-2</v>
      </c>
      <c r="F550" s="9">
        <f t="shared" ca="1" si="55"/>
        <v>0.31450436974088997</v>
      </c>
      <c r="G550" s="13">
        <f ca="1">IF((Prices!C550-Prices!C549)*C550&gt;0,1,0)</f>
        <v>0</v>
      </c>
      <c r="H550" s="9">
        <f>ABS(Prices!C550-Prices!C549)/Prices!C549</f>
        <v>1.3908205841445663E-3</v>
      </c>
      <c r="I550" s="13"/>
      <c r="J550" s="1">
        <f t="shared" ca="1" si="56"/>
        <v>1.1779710892912162E-3</v>
      </c>
      <c r="K550" s="9"/>
      <c r="L550" s="9">
        <f ca="1">L549-O550*Prices!C550</f>
        <v>0.91803895328738827</v>
      </c>
      <c r="M550" s="1">
        <f t="shared" ca="1" si="57"/>
        <v>1.1310286004679995E-2</v>
      </c>
      <c r="N550" s="9">
        <f ca="1">IF(Prices!D549&gt;OFFSET(Prices!D549,-$N$3,0),1,-1)</f>
        <v>1</v>
      </c>
      <c r="O550" s="1">
        <f ca="1">IF(N550=1,O$3*L549/Prices!C549,-O$3*M549)</f>
        <v>9.4565199143735934E-4</v>
      </c>
      <c r="P550" s="14"/>
      <c r="Q550" s="9">
        <f ca="1">Q549-T550*Prices!C550</f>
        <v>1.2277599683380622</v>
      </c>
      <c r="R550" s="1">
        <f t="shared" ca="1" si="58"/>
        <v>8.1407906655404615E-3</v>
      </c>
      <c r="S550" s="9">
        <f ca="1">IF(Prices!C549&lt;OFFSET(Prices!C549,-S$3,0),1,-1)</f>
        <v>1</v>
      </c>
      <c r="T550" s="1">
        <f ca="1">IF(S550=1,T$3*Q549/Prices!C549,-T$3*R549)</f>
        <v>2.3231909785385678E-4</v>
      </c>
    </row>
    <row r="551" spans="1:20" x14ac:dyDescent="0.2">
      <c r="A551" s="4">
        <v>34277</v>
      </c>
      <c r="B551" s="9">
        <f ca="1">Prices!C550*(1+J551/(50*(ABS(O551)+ABS(T551)+0.0001)))</f>
        <v>109.67151950601422</v>
      </c>
      <c r="C551" s="21">
        <f t="shared" ca="1" si="53"/>
        <v>1</v>
      </c>
      <c r="D551" s="9">
        <f ca="1">D550+C551*(Prices!C551-Prices!C550)/Prices!C550</f>
        <v>0.30127354984364657</v>
      </c>
      <c r="E551" s="9">
        <f t="shared" ca="1" si="54"/>
        <v>1.3230819897243395E-2</v>
      </c>
      <c r="F551" s="9">
        <f t="shared" ca="1" si="55"/>
        <v>0.31450436974088997</v>
      </c>
      <c r="G551" s="13">
        <f ca="1">IF((Prices!C551-Prices!C550)*C551&gt;0,1,0)</f>
        <v>1</v>
      </c>
      <c r="H551" s="9">
        <f>ABS(Prices!C551-Prices!C550)/Prices!C550</f>
        <v>4.9210770659238734E-3</v>
      </c>
      <c r="I551" s="13"/>
      <c r="J551" s="1">
        <f t="shared" ca="1" si="56"/>
        <v>1.0804001364484686E-3</v>
      </c>
      <c r="K551" s="9"/>
      <c r="L551" s="9">
        <f ca="1">L550-O551*Prices!C551</f>
        <v>0.82578328391478473</v>
      </c>
      <c r="M551" s="1">
        <f t="shared" ca="1" si="57"/>
        <v>1.2162689861028544E-2</v>
      </c>
      <c r="N551" s="9">
        <f ca="1">IF(Prices!D550&gt;OFFSET(Prices!D550,-$N$3,0),1,-1)</f>
        <v>1</v>
      </c>
      <c r="O551" s="1">
        <f ca="1">IF(N551=1,O$3*L550/Prices!C550,-O$3*M550)</f>
        <v>8.5240385634854996E-4</v>
      </c>
      <c r="P551" s="14"/>
      <c r="Q551" s="9">
        <f ca="1">Q550-T551*Prices!C551</f>
        <v>1.203083930942848</v>
      </c>
      <c r="R551" s="1">
        <f t="shared" ca="1" si="58"/>
        <v>8.3687869456403798E-3</v>
      </c>
      <c r="S551" s="9">
        <f ca="1">IF(Prices!C550&lt;OFFSET(Prices!C550,-S$3,0),1,-1)</f>
        <v>1</v>
      </c>
      <c r="T551" s="1">
        <f ca="1">IF(S551=1,T$3*Q550/Prices!C550,-T$3*R550)</f>
        <v>2.2799628009991871E-4</v>
      </c>
    </row>
    <row r="552" spans="1:20" x14ac:dyDescent="0.2">
      <c r="A552" s="4">
        <v>34278</v>
      </c>
      <c r="B552" s="9">
        <f ca="1">Prices!C551*(1+J552/(50*(ABS(O552)+ABS(T552)+0.0001)))</f>
        <v>110.19515452013127</v>
      </c>
      <c r="C552" s="21">
        <f t="shared" ca="1" si="53"/>
        <v>1</v>
      </c>
      <c r="D552" s="9">
        <f ca="1">D551+C552*(Prices!C552-Prices!C551)/Prices!C551</f>
        <v>0.30284427884669562</v>
      </c>
      <c r="E552" s="9">
        <f t="shared" ca="1" si="54"/>
        <v>1.1660090894194342E-2</v>
      </c>
      <c r="F552" s="9">
        <f t="shared" ca="1" si="55"/>
        <v>0.31450436974088997</v>
      </c>
      <c r="G552" s="13">
        <f ca="1">IF((Prices!C552-Prices!C551)*C552&gt;0,1,0)</f>
        <v>1</v>
      </c>
      <c r="H552" s="9">
        <f>ABS(Prices!C552-Prices!C551)/Prices!C551</f>
        <v>1.5707290030490778E-3</v>
      </c>
      <c r="I552" s="13"/>
      <c r="J552" s="1">
        <f t="shared" ca="1" si="56"/>
        <v>9.8530912880287762E-4</v>
      </c>
      <c r="K552" s="9"/>
      <c r="L552" s="9">
        <f ca="1">L551-O552*Prices!C552</f>
        <v>0.74307524734787844</v>
      </c>
      <c r="M552" s="1">
        <f t="shared" ca="1" si="57"/>
        <v>1.2925679128250928E-2</v>
      </c>
      <c r="N552" s="9">
        <f ca="1">IF(Prices!D551&gt;OFFSET(Prices!D551,-$N$3,0),1,-1)</f>
        <v>1</v>
      </c>
      <c r="O552" s="1">
        <f ca="1">IF(N552=1,O$3*L551/Prices!C551,-O$3*M551)</f>
        <v>7.6298926722238273E-4</v>
      </c>
      <c r="P552" s="14"/>
      <c r="Q552" s="9">
        <f ca="1">Q551-T552*Prices!C552</f>
        <v>1.1789844579475224</v>
      </c>
      <c r="R552" s="1">
        <f t="shared" ca="1" si="58"/>
        <v>8.5911068072208746E-3</v>
      </c>
      <c r="S552" s="9">
        <f ca="1">IF(Prices!C551&lt;OFFSET(Prices!C551,-S$3,0),1,-1)</f>
        <v>1</v>
      </c>
      <c r="T552" s="1">
        <f ca="1">IF(S552=1,T$3*Q551/Prices!C551,-T$3*R551)</f>
        <v>2.2231986158049489E-4</v>
      </c>
    </row>
    <row r="553" spans="1:20" x14ac:dyDescent="0.2">
      <c r="A553" s="4">
        <v>34281</v>
      </c>
      <c r="B553" s="9">
        <f ca="1">Prices!C552*(1+J553/(50*(ABS(O553)+ABS(T553)+0.0001)))</f>
        <v>109.56329426438042</v>
      </c>
      <c r="C553" s="21">
        <f t="shared" ca="1" si="53"/>
        <v>1</v>
      </c>
      <c r="D553" s="9">
        <f ca="1">D552+C553*(Prices!C553-Prices!C552)/Prices!C552</f>
        <v>0.29758597626366973</v>
      </c>
      <c r="E553" s="9">
        <f t="shared" ca="1" si="54"/>
        <v>1.6918393477220239E-2</v>
      </c>
      <c r="F553" s="9">
        <f t="shared" ca="1" si="55"/>
        <v>0.31450436974088997</v>
      </c>
      <c r="G553" s="13">
        <f ca="1">IF((Prices!C553-Prices!C552)*C553&gt;0,1,0)</f>
        <v>0</v>
      </c>
      <c r="H553" s="9">
        <f>ABS(Prices!C553-Prices!C552)/Prices!C552</f>
        <v>5.2583025830258978E-3</v>
      </c>
      <c r="I553" s="13"/>
      <c r="J553" s="1">
        <f t="shared" ca="1" si="56"/>
        <v>5.1367163447170656E-4</v>
      </c>
      <c r="K553" s="9"/>
      <c r="L553" s="9">
        <f ca="1">L552-O553*Prices!C553</f>
        <v>0.66915845406234176</v>
      </c>
      <c r="M553" s="1">
        <f t="shared" ca="1" si="57"/>
        <v>1.3611172898867051E-2</v>
      </c>
      <c r="N553" s="9">
        <f ca="1">IF(Prices!D552&gt;OFFSET(Prices!D552,-$N$3,0),1,-1)</f>
        <v>1</v>
      </c>
      <c r="O553" s="1">
        <f ca="1">IF(N553=1,O$3*L552/Prices!C552,-O$3*M552)</f>
        <v>6.8549377061612399E-4</v>
      </c>
      <c r="P553" s="14"/>
      <c r="Q553" s="9">
        <f ca="1">Q552-T553*Prices!C553</f>
        <v>1.197512038887975</v>
      </c>
      <c r="R553" s="1">
        <f t="shared" ca="1" si="58"/>
        <v>8.4192846710764574E-3</v>
      </c>
      <c r="S553" s="9">
        <f ca="1">IF(Prices!C552&lt;OFFSET(Prices!C552,-S$3,0),1,-1)</f>
        <v>-1</v>
      </c>
      <c r="T553" s="1">
        <f ca="1">IF(S553=1,T$3*Q552/Prices!C552,-T$3*R552)</f>
        <v>-1.7182213614441749E-4</v>
      </c>
    </row>
    <row r="554" spans="1:20" x14ac:dyDescent="0.2">
      <c r="A554" s="4">
        <v>34282</v>
      </c>
      <c r="B554" s="9">
        <f ca="1">Prices!C553*(1+J554/(50*(ABS(O554)+ABS(T554)+0.0001)))</f>
        <v>109.75782649427555</v>
      </c>
      <c r="C554" s="21">
        <f t="shared" ca="1" si="53"/>
        <v>1</v>
      </c>
      <c r="D554" s="9">
        <f ca="1">D553+C554*(Prices!C554-Prices!C553)/Prices!C553</f>
        <v>0.29869883910332479</v>
      </c>
      <c r="E554" s="9">
        <f t="shared" ca="1" si="54"/>
        <v>1.5805530637565179E-2</v>
      </c>
      <c r="F554" s="9">
        <f t="shared" ca="1" si="55"/>
        <v>0.31450436974088997</v>
      </c>
      <c r="G554" s="13">
        <f ca="1">IF((Prices!C554-Prices!C553)*C554&gt;0,1,0)</f>
        <v>1</v>
      </c>
      <c r="H554" s="9">
        <f>ABS(Prices!C554-Prices!C553)/Prices!C553</f>
        <v>1.1128628396550547E-3</v>
      </c>
      <c r="I554" s="13"/>
      <c r="J554" s="1">
        <f t="shared" ca="1" si="56"/>
        <v>8.4267908915880245E-4</v>
      </c>
      <c r="K554" s="9"/>
      <c r="L554" s="9">
        <f ca="1">L553-O554*Prices!C554</f>
        <v>0.60216814049837086</v>
      </c>
      <c r="M554" s="1">
        <f t="shared" ca="1" si="57"/>
        <v>1.4231740880006198E-2</v>
      </c>
      <c r="N554" s="9">
        <f ca="1">IF(Prices!D553&gt;OFFSET(Prices!D553,-$N$3,0),1,-1)</f>
        <v>1</v>
      </c>
      <c r="O554" s="1">
        <f ca="1">IF(N554=1,O$3*L553/Prices!C553,-O$3*M553)</f>
        <v>6.2056798113914653E-4</v>
      </c>
      <c r="P554" s="14"/>
      <c r="Q554" s="9">
        <f ca="1">Q553-T554*Prices!C554</f>
        <v>1.1735351447772531</v>
      </c>
      <c r="R554" s="1">
        <f t="shared" ca="1" si="58"/>
        <v>8.6413957790961136E-3</v>
      </c>
      <c r="S554" s="9">
        <f ca="1">IF(Prices!C553&lt;OFFSET(Prices!C553,-S$3,0),1,-1)</f>
        <v>1</v>
      </c>
      <c r="T554" s="1">
        <f ca="1">IF(S554=1,T$3*Q553/Prices!C553,-T$3*R553)</f>
        <v>2.2211110801965595E-4</v>
      </c>
    </row>
    <row r="555" spans="1:20" x14ac:dyDescent="0.2">
      <c r="A555" s="4">
        <v>34283</v>
      </c>
      <c r="B555" s="9">
        <f ca="1">Prices!C554*(1+J555/(50*(ABS(O555)+ABS(T555)+0.0001)))</f>
        <v>105.9182993779158</v>
      </c>
      <c r="C555" s="21">
        <f t="shared" ca="1" si="53"/>
        <v>-1</v>
      </c>
      <c r="D555" s="9">
        <f ca="1">D554+C555*(Prices!C555-Prices!C554)/Prices!C554</f>
        <v>0.30564650005747024</v>
      </c>
      <c r="E555" s="9">
        <f t="shared" ca="1" si="54"/>
        <v>8.8578696834197279E-3</v>
      </c>
      <c r="F555" s="9">
        <f t="shared" ca="1" si="55"/>
        <v>0.31450436974088997</v>
      </c>
      <c r="G555" s="13">
        <f ca="1">IF((Prices!C555-Prices!C554)*C555&gt;0,1,0)</f>
        <v>1</v>
      </c>
      <c r="H555" s="9">
        <f>ABS(Prices!C555-Prices!C554)/Prices!C554</f>
        <v>6.9476609541454376E-3</v>
      </c>
      <c r="I555" s="13"/>
      <c r="J555" s="1">
        <f t="shared" ca="1" si="56"/>
        <v>-1.5960020035825423E-3</v>
      </c>
      <c r="K555" s="9"/>
      <c r="L555" s="9">
        <f ca="1">L554-O555*Prices!C555</f>
        <v>0.75473240273203734</v>
      </c>
      <c r="M555" s="1">
        <f t="shared" ca="1" si="57"/>
        <v>1.2808566792005578E-2</v>
      </c>
      <c r="N555" s="9">
        <f ca="1">IF(Prices!D554&gt;OFFSET(Prices!D554,-$N$3,0),1,-1)</f>
        <v>-1</v>
      </c>
      <c r="O555" s="1">
        <f ca="1">IF(N555=1,O$3*L554/Prices!C554,-O$3*M554)</f>
        <v>-1.42317408800062E-3</v>
      </c>
      <c r="P555" s="14"/>
      <c r="Q555" s="9">
        <f ca="1">Q554-T555*Prices!C555</f>
        <v>1.1920622973276351</v>
      </c>
      <c r="R555" s="1">
        <f t="shared" ca="1" si="58"/>
        <v>8.4685678635141922E-3</v>
      </c>
      <c r="S555" s="9">
        <f ca="1">IF(Prices!C554&lt;OFFSET(Prices!C554,-S$3,0),1,-1)</f>
        <v>-1</v>
      </c>
      <c r="T555" s="1">
        <f ca="1">IF(S555=1,T$3*Q554/Prices!C554,-T$3*R554)</f>
        <v>-1.7282791558192228E-4</v>
      </c>
    </row>
    <row r="556" spans="1:20" x14ac:dyDescent="0.2">
      <c r="A556" s="4">
        <v>34284</v>
      </c>
      <c r="B556" s="9">
        <f ca="1">Prices!C555*(1+J556/(50*(ABS(O556)+ABS(T556)+0.0001)))</f>
        <v>109.13512293981999</v>
      </c>
      <c r="C556" s="21">
        <f t="shared" ca="1" si="53"/>
        <v>1</v>
      </c>
      <c r="D556" s="9">
        <f ca="1">D555+C556*(Prices!C556-Prices!C555)/Prices!C555</f>
        <v>0.29818381349030609</v>
      </c>
      <c r="E556" s="9">
        <f t="shared" ca="1" si="54"/>
        <v>1.6320556250583873E-2</v>
      </c>
      <c r="F556" s="9">
        <f t="shared" ca="1" si="55"/>
        <v>0.31450436974088997</v>
      </c>
      <c r="G556" s="13">
        <f ca="1">IF((Prices!C556-Prices!C555)*C556&gt;0,1,0)</f>
        <v>0</v>
      </c>
      <c r="H556" s="9">
        <f>ABS(Prices!C556-Prices!C555)/Prices!C555</f>
        <v>7.4626865671641521E-3</v>
      </c>
      <c r="I556" s="13"/>
      <c r="J556" s="1">
        <f t="shared" ca="1" si="56"/>
        <v>9.2644110279623546E-4</v>
      </c>
      <c r="K556" s="9"/>
      <c r="L556" s="9">
        <f ca="1">L555-O556*Prices!C556</f>
        <v>0.67982239559520075</v>
      </c>
      <c r="M556" s="1">
        <f t="shared" ca="1" si="57"/>
        <v>1.3512608212464567E-2</v>
      </c>
      <c r="N556" s="9">
        <f ca="1">IF(Prices!D555&gt;OFFSET(Prices!D555,-$N$3,0),1,-1)</f>
        <v>1</v>
      </c>
      <c r="O556" s="1">
        <f ca="1">IF(N556=1,O$3*L555/Prices!C555,-O$3*M555)</f>
        <v>7.0404142045899008E-4</v>
      </c>
      <c r="P556" s="14"/>
      <c r="Q556" s="9">
        <f ca="1">Q555-T556*Prices!C556</f>
        <v>1.1683989711269522</v>
      </c>
      <c r="R556" s="1">
        <f t="shared" ca="1" si="58"/>
        <v>8.6909675458514378E-3</v>
      </c>
      <c r="S556" s="9">
        <f ca="1">IF(Prices!C555&lt;OFFSET(Prices!C555,-S$3,0),1,-1)</f>
        <v>1</v>
      </c>
      <c r="T556" s="1">
        <f ca="1">IF(S556=1,T$3*Q555/Prices!C555,-T$3*R555)</f>
        <v>2.2239968233724538E-4</v>
      </c>
    </row>
    <row r="557" spans="1:20" x14ac:dyDescent="0.2">
      <c r="A557" s="4">
        <v>34285</v>
      </c>
      <c r="B557" s="9">
        <f ca="1">Prices!C556*(1+J557/(50*(ABS(O557)+ABS(T557)+0.0001)))</f>
        <v>108.30599910397308</v>
      </c>
      <c r="C557" s="21">
        <f t="shared" ca="1" si="53"/>
        <v>1</v>
      </c>
      <c r="D557" s="9">
        <f ca="1">D556+C557*(Prices!C557-Prices!C556)/Prices!C556</f>
        <v>0.29207479093391508</v>
      </c>
      <c r="E557" s="9">
        <f t="shared" ca="1" si="54"/>
        <v>2.2429578806974881E-2</v>
      </c>
      <c r="F557" s="9">
        <f t="shared" ca="1" si="55"/>
        <v>0.31450436974088997</v>
      </c>
      <c r="G557" s="13">
        <f ca="1">IF((Prices!C557-Prices!C556)*C557&gt;0,1,0)</f>
        <v>0</v>
      </c>
      <c r="H557" s="9">
        <f>ABS(Prices!C557-Prices!C556)/Prices!C556</f>
        <v>6.1090225563910309E-3</v>
      </c>
      <c r="I557" s="13"/>
      <c r="J557" s="1">
        <f t="shared" ca="1" si="56"/>
        <v>8.5855468968100684E-4</v>
      </c>
      <c r="K557" s="9"/>
      <c r="L557" s="9">
        <f ca="1">L556-O557*Prices!C557</f>
        <v>0.61225546107058371</v>
      </c>
      <c r="M557" s="1">
        <f t="shared" ca="1" si="57"/>
        <v>1.4151539035392388E-2</v>
      </c>
      <c r="N557" s="9">
        <f ca="1">IF(Prices!D556&gt;OFFSET(Prices!D556,-$N$3,0),1,-1)</f>
        <v>1</v>
      </c>
      <c r="O557" s="1">
        <f ca="1">IF(N557=1,O$3*L556/Prices!C556,-O$3*M556)</f>
        <v>6.389308229278203E-4</v>
      </c>
      <c r="P557" s="14"/>
      <c r="Q557" s="9">
        <f ca="1">Q556-T557*Prices!C557</f>
        <v>1.1451737472178027</v>
      </c>
      <c r="R557" s="1">
        <f t="shared" ca="1" si="58"/>
        <v>8.9105914126046248E-3</v>
      </c>
      <c r="S557" s="9">
        <f ca="1">IF(Prices!C556&lt;OFFSET(Prices!C556,-S$3,0),1,-1)</f>
        <v>1</v>
      </c>
      <c r="T557" s="1">
        <f ca="1">IF(S557=1,T$3*Q556/Prices!C556,-T$3*R556)</f>
        <v>2.1962386675318651E-4</v>
      </c>
    </row>
    <row r="558" spans="1:20" x14ac:dyDescent="0.2">
      <c r="A558" s="4">
        <v>34288</v>
      </c>
      <c r="B558" s="9">
        <f ca="1">Prices!C557*(1+J558/(50*(ABS(O558)+ABS(T558)+0.0001)))</f>
        <v>104.28616132089041</v>
      </c>
      <c r="C558" s="21">
        <f t="shared" ca="1" si="53"/>
        <v>-1</v>
      </c>
      <c r="D558" s="9">
        <f ca="1">D557+C558*(Prices!C558-Prices!C557)/Prices!C557</f>
        <v>0.2828076514540096</v>
      </c>
      <c r="E558" s="9">
        <f t="shared" ca="1" si="54"/>
        <v>3.1696718286880365E-2</v>
      </c>
      <c r="F558" s="9">
        <f t="shared" ca="1" si="55"/>
        <v>0.31450436974088997</v>
      </c>
      <c r="G558" s="13">
        <f ca="1">IF((Prices!C558-Prices!C557)*C558&gt;0,1,0)</f>
        <v>0</v>
      </c>
      <c r="H558" s="9">
        <f>ABS(Prices!C558-Prices!C557)/Prices!C557</f>
        <v>9.2671394799054754E-3</v>
      </c>
      <c r="I558" s="13"/>
      <c r="J558" s="1">
        <f t="shared" ca="1" si="56"/>
        <v>-1.1985725801883541E-3</v>
      </c>
      <c r="K558" s="9"/>
      <c r="L558" s="9">
        <f ca="1">L557-O558*Prices!C558</f>
        <v>0.76329483719532665</v>
      </c>
      <c r="M558" s="1">
        <f t="shared" ca="1" si="57"/>
        <v>1.2736385131853149E-2</v>
      </c>
      <c r="N558" s="9">
        <f ca="1">IF(Prices!D557&gt;OFFSET(Prices!D557,-$N$3,0),1,-1)</f>
        <v>-1</v>
      </c>
      <c r="O558" s="1">
        <f ca="1">IF(N558=1,O$3*L557/Prices!C557,-O$3*M557)</f>
        <v>-1.4151539035392388E-3</v>
      </c>
      <c r="P558" s="14"/>
      <c r="Q558" s="9">
        <f ca="1">Q557-T558*Prices!C558</f>
        <v>1.1220580225765628</v>
      </c>
      <c r="R558" s="1">
        <f t="shared" ca="1" si="58"/>
        <v>9.1271727359555094E-3</v>
      </c>
      <c r="S558" s="9">
        <f ca="1">IF(Prices!C557&lt;OFFSET(Prices!C557,-S$3,0),1,-1)</f>
        <v>1</v>
      </c>
      <c r="T558" s="1">
        <f ca="1">IF(S558=1,T$3*Q557/Prices!C557,-T$3*R557)</f>
        <v>2.1658132335088467E-4</v>
      </c>
    </row>
    <row r="559" spans="1:20" x14ac:dyDescent="0.2">
      <c r="A559" s="4">
        <v>34289</v>
      </c>
      <c r="B559" s="9">
        <f ca="1">Prices!C558*(1+J559/(50*(ABS(O559)+ABS(T559)+0.0001)))</f>
        <v>105.29690055798164</v>
      </c>
      <c r="C559" s="21">
        <f t="shared" ca="1" si="53"/>
        <v>-1</v>
      </c>
      <c r="D559" s="9">
        <f ca="1">D558+C559*(Prices!C559-Prices!C558)/Prices!C558</f>
        <v>0.28205809650226221</v>
      </c>
      <c r="E559" s="9">
        <f t="shared" ca="1" si="54"/>
        <v>3.2446273238627754E-2</v>
      </c>
      <c r="F559" s="9">
        <f t="shared" ca="1" si="55"/>
        <v>0.31450436974088997</v>
      </c>
      <c r="G559" s="13">
        <f ca="1">IF((Prices!C559-Prices!C558)*C559&gt;0,1,0)</f>
        <v>0</v>
      </c>
      <c r="H559" s="9">
        <f>ABS(Prices!C559-Prices!C558)/Prices!C558</f>
        <v>7.4955495174738396E-4</v>
      </c>
      <c r="I559" s="13"/>
      <c r="J559" s="1">
        <f t="shared" ca="1" si="56"/>
        <v>-1.0633774764427755E-3</v>
      </c>
      <c r="K559" s="9"/>
      <c r="L559" s="9">
        <f ca="1">L558-O559*Prices!C559</f>
        <v>0.89933216678865013</v>
      </c>
      <c r="M559" s="1">
        <f t="shared" ca="1" si="57"/>
        <v>1.1462746618667835E-2</v>
      </c>
      <c r="N559" s="9">
        <f ca="1">IF(Prices!D558&gt;OFFSET(Prices!D558,-$N$3,0),1,-1)</f>
        <v>-1</v>
      </c>
      <c r="O559" s="1">
        <f ca="1">IF(N559=1,O$3*L558/Prices!C558,-O$3*M558)</f>
        <v>-1.2736385131853151E-3</v>
      </c>
      <c r="P559" s="14"/>
      <c r="Q559" s="9">
        <f ca="1">Q558-T559*Prices!C559</f>
        <v>1.0996000412420921</v>
      </c>
      <c r="R559" s="1">
        <f t="shared" ca="1" si="58"/>
        <v>9.3374337726980488E-3</v>
      </c>
      <c r="S559" s="9">
        <f ca="1">IF(Prices!C558&lt;OFFSET(Prices!C558,-S$3,0),1,-1)</f>
        <v>1</v>
      </c>
      <c r="T559" s="1">
        <f ca="1">IF(S559=1,T$3*Q558/Prices!C558,-T$3*R558)</f>
        <v>2.1026103674253965E-4</v>
      </c>
    </row>
    <row r="560" spans="1:20" x14ac:dyDescent="0.2">
      <c r="A560" s="4">
        <v>34290</v>
      </c>
      <c r="B560" s="9">
        <f ca="1">Prices!C559*(1+J560/(50*(ABS(O560)+ABS(T560)+0.0001)))</f>
        <v>105.42667175682548</v>
      </c>
      <c r="C560" s="21">
        <f t="shared" ca="1" si="53"/>
        <v>-1</v>
      </c>
      <c r="D560" s="9">
        <f ca="1">D559+C560*(Prices!C560-Prices!C559)/Prices!C559</f>
        <v>0.2812154787698401</v>
      </c>
      <c r="E560" s="9">
        <f t="shared" ca="1" si="54"/>
        <v>3.3288890971049867E-2</v>
      </c>
      <c r="F560" s="9">
        <f t="shared" ca="1" si="55"/>
        <v>0.31450436974088997</v>
      </c>
      <c r="G560" s="13">
        <f ca="1">IF((Prices!C560-Prices!C559)*C560&gt;0,1,0)</f>
        <v>0</v>
      </c>
      <c r="H560" s="9">
        <f>ABS(Prices!C560-Prices!C559)/Prices!C559</f>
        <v>8.4261773242208981E-4</v>
      </c>
      <c r="I560" s="13"/>
      <c r="J560" s="1">
        <f t="shared" ca="1" si="56"/>
        <v>-9.4037633001731397E-4</v>
      </c>
      <c r="K560" s="9"/>
      <c r="L560" s="9">
        <f ca="1">L559-O560*Prices!C560</f>
        <v>1.0218689281422093</v>
      </c>
      <c r="M560" s="1">
        <f t="shared" ca="1" si="57"/>
        <v>1.0316471956801052E-2</v>
      </c>
      <c r="N560" s="9">
        <f ca="1">IF(Prices!D559&gt;OFFSET(Prices!D559,-$N$3,0),1,-1)</f>
        <v>-1</v>
      </c>
      <c r="O560" s="1">
        <f ca="1">IF(N560=1,O$3*L559/Prices!C559,-O$3*M559)</f>
        <v>-1.1462746618667835E-3</v>
      </c>
      <c r="P560" s="14"/>
      <c r="Q560" s="9">
        <f ca="1">Q559-T560*Prices!C560</f>
        <v>1.0775895095673838</v>
      </c>
      <c r="R560" s="1">
        <f t="shared" ca="1" si="58"/>
        <v>9.5433321045475181E-3</v>
      </c>
      <c r="S560" s="9">
        <f ca="1">IF(Prices!C559&lt;OFFSET(Prices!C559,-S$3,0),1,-1)</f>
        <v>1</v>
      </c>
      <c r="T560" s="1">
        <f ca="1">IF(S560=1,T$3*Q559/Prices!C559,-T$3*R559)</f>
        <v>2.0589833184946955E-4</v>
      </c>
    </row>
    <row r="561" spans="1:20" x14ac:dyDescent="0.2">
      <c r="A561" s="4">
        <v>34291</v>
      </c>
      <c r="B561" s="9">
        <f ca="1">Prices!C560*(1+J561/(50*(ABS(O561)+ABS(T561)+0.0001)))</f>
        <v>104.92366182454495</v>
      </c>
      <c r="C561" s="21">
        <f t="shared" ca="1" si="53"/>
        <v>-1</v>
      </c>
      <c r="D561" s="9">
        <f ca="1">D560+C561*(Prices!C561-Prices!C560)/Prices!C560</f>
        <v>0.27700593714215077</v>
      </c>
      <c r="E561" s="9">
        <f t="shared" ca="1" si="54"/>
        <v>3.7498432598739195E-2</v>
      </c>
      <c r="F561" s="9">
        <f t="shared" ca="1" si="55"/>
        <v>0.31450436974088997</v>
      </c>
      <c r="G561" s="13">
        <f ca="1">IF((Prices!C561-Prices!C560)*C561&gt;0,1,0)</f>
        <v>0</v>
      </c>
      <c r="H561" s="9">
        <f>ABS(Prices!C561-Prices!C560)/Prices!C560</f>
        <v>4.2095416276893231E-3</v>
      </c>
      <c r="I561" s="13"/>
      <c r="J561" s="1">
        <f t="shared" ca="1" si="56"/>
        <v>-1.2225138377710556E-3</v>
      </c>
      <c r="K561" s="9"/>
      <c r="L561" s="9">
        <f ca="1">L560-O561*Prices!C561</f>
        <v>1.1326162545984686</v>
      </c>
      <c r="M561" s="1">
        <f t="shared" ca="1" si="57"/>
        <v>9.2848247611209463E-3</v>
      </c>
      <c r="N561" s="9">
        <f ca="1">IF(Prices!D560&gt;OFFSET(Prices!D560,-$N$3,0),1,-1)</f>
        <v>-1</v>
      </c>
      <c r="O561" s="1">
        <f ca="1">IF(N561=1,O$3*L560/Prices!C560,-O$3*M560)</f>
        <v>-1.0316471956801053E-3</v>
      </c>
      <c r="P561" s="14"/>
      <c r="Q561" s="9">
        <f ca="1">Q560-T561*Prices!C561</f>
        <v>1.0980790435958472</v>
      </c>
      <c r="R561" s="1">
        <f t="shared" ca="1" si="58"/>
        <v>9.3524654624565669E-3</v>
      </c>
      <c r="S561" s="9">
        <f ca="1">IF(Prices!C560&lt;OFFSET(Prices!C560,-S$3,0),1,-1)</f>
        <v>-1</v>
      </c>
      <c r="T561" s="1">
        <f ca="1">IF(S561=1,T$3*Q560/Prices!C560,-T$3*R560)</f>
        <v>-1.9086664209095035E-4</v>
      </c>
    </row>
    <row r="562" spans="1:20" x14ac:dyDescent="0.2">
      <c r="A562" s="4">
        <v>34292</v>
      </c>
      <c r="B562" s="9">
        <f ca="1">Prices!C561*(1+J562/(50*(ABS(O562)+ABS(T562)+0.0001)))</f>
        <v>108.73857956061711</v>
      </c>
      <c r="C562" s="21">
        <f t="shared" ca="1" si="53"/>
        <v>1</v>
      </c>
      <c r="D562" s="9">
        <f ca="1">D561+C562*(Prices!C562-Prices!C561)/Prices!C561</f>
        <v>0.28818432559114943</v>
      </c>
      <c r="E562" s="9">
        <f t="shared" ca="1" si="54"/>
        <v>2.632004414974054E-2</v>
      </c>
      <c r="F562" s="9">
        <f t="shared" ca="1" si="55"/>
        <v>0.31450436974088997</v>
      </c>
      <c r="G562" s="13">
        <f ca="1">IF((Prices!C562-Prices!C561)*C562&gt;0,1,0)</f>
        <v>1</v>
      </c>
      <c r="H562" s="9">
        <f>ABS(Prices!C562-Prices!C561)/Prices!C561</f>
        <v>1.1178388448998629E-2</v>
      </c>
      <c r="I562" s="13"/>
      <c r="J562" s="1">
        <f t="shared" ca="1" si="56"/>
        <v>8.6801939554683382E-4</v>
      </c>
      <c r="K562" s="9"/>
      <c r="L562" s="9">
        <f ca="1">L561-O562*Prices!C562</f>
        <v>1.0180885466928666</v>
      </c>
      <c r="M562" s="1">
        <f t="shared" ca="1" si="57"/>
        <v>1.0339893465916912E-2</v>
      </c>
      <c r="N562" s="9">
        <f ca="1">IF(Prices!D561&gt;OFFSET(Prices!D561,-$N$3,0),1,-1)</f>
        <v>1</v>
      </c>
      <c r="O562" s="1">
        <f ca="1">IF(N562=1,O$3*L561/Prices!C561,-O$3*M561)</f>
        <v>1.0550687047959652E-3</v>
      </c>
      <c r="P562" s="14"/>
      <c r="Q562" s="9">
        <f ca="1">Q561-T562*Prices!C562</f>
        <v>1.1183832461148404</v>
      </c>
      <c r="R562" s="1">
        <f t="shared" ca="1" si="58"/>
        <v>9.1654161532074355E-3</v>
      </c>
      <c r="S562" s="9">
        <f ca="1">IF(Prices!C561&lt;OFFSET(Prices!C561,-S$3,0),1,-1)</f>
        <v>-1</v>
      </c>
      <c r="T562" s="1">
        <f ca="1">IF(S562=1,T$3*Q561/Prices!C561,-T$3*R561)</f>
        <v>-1.8704930924913135E-4</v>
      </c>
    </row>
    <row r="563" spans="1:20" x14ac:dyDescent="0.2">
      <c r="A563" s="4">
        <v>34295</v>
      </c>
      <c r="B563" s="9">
        <f ca="1">Prices!C562*(1+J563/(50*(ABS(O563)+ABS(T563)+0.0001)))</f>
        <v>109.89147224941101</v>
      </c>
      <c r="C563" s="21">
        <f t="shared" ca="1" si="53"/>
        <v>1</v>
      </c>
      <c r="D563" s="9">
        <f ca="1">D562+C563*(Prices!C563-Prices!C562)/Prices!C562</f>
        <v>0.28772370836406513</v>
      </c>
      <c r="E563" s="9">
        <f t="shared" ca="1" si="54"/>
        <v>2.6780661376824832E-2</v>
      </c>
      <c r="F563" s="9">
        <f t="shared" ca="1" si="55"/>
        <v>0.31450436974088997</v>
      </c>
      <c r="G563" s="13">
        <f ca="1">IF((Prices!C563-Prices!C562)*C563&gt;0,1,0)</f>
        <v>0</v>
      </c>
      <c r="H563" s="9">
        <f>ABS(Prices!C563-Prices!C562)/Prices!C562</f>
        <v>4.6061722708426678E-4</v>
      </c>
      <c r="I563" s="13"/>
      <c r="J563" s="1">
        <f t="shared" ca="1" si="56"/>
        <v>7.5458992354374317E-4</v>
      </c>
      <c r="K563" s="9"/>
      <c r="L563" s="9">
        <f ca="1">L562-O563*Prices!C563</f>
        <v>0.9163265869359104</v>
      </c>
      <c r="M563" s="1">
        <f t="shared" ca="1" si="57"/>
        <v>1.1277791712524804E-2</v>
      </c>
      <c r="N563" s="9">
        <f ca="1">IF(Prices!D562&gt;OFFSET(Prices!D562,-$N$3,0),1,-1)</f>
        <v>1</v>
      </c>
      <c r="O563" s="1">
        <f ca="1">IF(N563=1,O$3*L562/Prices!C562,-O$3*M562)</f>
        <v>9.3789824660789193E-4</v>
      </c>
      <c r="P563" s="14"/>
      <c r="Q563" s="9">
        <f ca="1">Q562-T563*Prices!C563</f>
        <v>1.1382721991673006</v>
      </c>
      <c r="R563" s="1">
        <f t="shared" ca="1" si="58"/>
        <v>8.982107830143287E-3</v>
      </c>
      <c r="S563" s="9">
        <f ca="1">IF(Prices!C562&lt;OFFSET(Prices!C562,-S$3,0),1,-1)</f>
        <v>-1</v>
      </c>
      <c r="T563" s="1">
        <f ca="1">IF(S563=1,T$3*Q562/Prices!C562,-T$3*R562)</f>
        <v>-1.833083230641487E-4</v>
      </c>
    </row>
    <row r="564" spans="1:20" x14ac:dyDescent="0.2">
      <c r="A564" s="4">
        <v>34296</v>
      </c>
      <c r="B564" s="9">
        <f ca="1">Prices!C563*(1+J564/(50*(ABS(O564)+ABS(T564)+0.0001)))</f>
        <v>109.78344759164872</v>
      </c>
      <c r="C564" s="21">
        <f t="shared" ca="1" si="53"/>
        <v>1</v>
      </c>
      <c r="D564" s="9">
        <f ca="1">D563+C564*(Prices!C564-Prices!C563)/Prices!C563</f>
        <v>0.28652555168203753</v>
      </c>
      <c r="E564" s="9">
        <f t="shared" ca="1" si="54"/>
        <v>2.7978818058852439E-2</v>
      </c>
      <c r="F564" s="9">
        <f t="shared" ca="1" si="55"/>
        <v>0.31450436974088997</v>
      </c>
      <c r="G564" s="13">
        <f ca="1">IF((Prices!C564-Prices!C563)*C564&gt;0,1,0)</f>
        <v>0</v>
      </c>
      <c r="H564" s="9">
        <f>ABS(Prices!C564-Prices!C563)/Prices!C563</f>
        <v>1.1981566820276079E-3</v>
      </c>
      <c r="I564" s="13"/>
      <c r="J564" s="1">
        <f t="shared" ca="1" si="56"/>
        <v>6.6489847651778912E-4</v>
      </c>
      <c r="K564" s="9"/>
      <c r="L564" s="9">
        <f ca="1">L563-O564*Prices!C564</f>
        <v>0.82480371852462508</v>
      </c>
      <c r="M564" s="1">
        <f t="shared" ca="1" si="57"/>
        <v>1.2122332345645458E-2</v>
      </c>
      <c r="N564" s="9">
        <f ca="1">IF(Prices!D563&gt;OFFSET(Prices!D563,-$N$3,0),1,-1)</f>
        <v>1</v>
      </c>
      <c r="O564" s="1">
        <f ca="1">IF(N564=1,O$3*L563/Prices!C563,-O$3*M563)</f>
        <v>8.4454063312065482E-4</v>
      </c>
      <c r="P564" s="14"/>
      <c r="Q564" s="9">
        <f ca="1">Q563-T564*Prices!C564</f>
        <v>1.1577400196783532</v>
      </c>
      <c r="R564" s="1">
        <f t="shared" ca="1" si="58"/>
        <v>8.802465673540422E-3</v>
      </c>
      <c r="S564" s="9">
        <f ca="1">IF(Prices!C563&lt;OFFSET(Prices!C563,-S$3,0),1,-1)</f>
        <v>-1</v>
      </c>
      <c r="T564" s="1">
        <f ca="1">IF(S564=1,T$3*Q563/Prices!C563,-T$3*R563)</f>
        <v>-1.7964215660286575E-4</v>
      </c>
    </row>
    <row r="565" spans="1:20" x14ac:dyDescent="0.2">
      <c r="A565" s="4">
        <v>34297</v>
      </c>
      <c r="B565" s="9">
        <f ca="1">Prices!C564*(1+J565/(50*(ABS(O565)+ABS(T565)+0.0001)))</f>
        <v>106.34823094910043</v>
      </c>
      <c r="C565" s="21">
        <f t="shared" ca="1" si="53"/>
        <v>-1</v>
      </c>
      <c r="D565" s="9">
        <f ca="1">D564+C565*(Prices!C565-Prices!C564)/Prices!C564</f>
        <v>0.28846335734781225</v>
      </c>
      <c r="E565" s="9">
        <f t="shared" ca="1" si="54"/>
        <v>2.6041012393077712E-2</v>
      </c>
      <c r="F565" s="9">
        <f t="shared" ca="1" si="55"/>
        <v>0.31450436974088997</v>
      </c>
      <c r="G565" s="13">
        <f ca="1">IF((Prices!C565-Prices!C564)*C565&gt;0,1,0)</f>
        <v>1</v>
      </c>
      <c r="H565" s="9">
        <f>ABS(Prices!C565-Prices!C564)/Prices!C564</f>
        <v>1.9378056657747343E-3</v>
      </c>
      <c r="I565" s="13"/>
      <c r="J565" s="1">
        <f t="shared" ca="1" si="56"/>
        <v>-1.3882825480353543E-3</v>
      </c>
      <c r="K565" s="9"/>
      <c r="L565" s="9">
        <f ca="1">L564-O565*Prices!C565</f>
        <v>0.95591886517512636</v>
      </c>
      <c r="M565" s="1">
        <f t="shared" ca="1" si="57"/>
        <v>1.0910099111080911E-2</v>
      </c>
      <c r="N565" s="9">
        <f ca="1">IF(Prices!D564&gt;OFFSET(Prices!D564,-$N$3,0),1,-1)</f>
        <v>-1</v>
      </c>
      <c r="O565" s="1">
        <f ca="1">IF(N565=1,O$3*L564/Prices!C564,-O$3*M564)</f>
        <v>-1.2122332345645458E-3</v>
      </c>
      <c r="P565" s="14"/>
      <c r="Q565" s="9">
        <f ca="1">Q564-T565*Prices!C565</f>
        <v>1.1767815134233559</v>
      </c>
      <c r="R565" s="1">
        <f t="shared" ca="1" si="58"/>
        <v>8.6264163600696143E-3</v>
      </c>
      <c r="S565" s="9">
        <f ca="1">IF(Prices!C564&lt;OFFSET(Prices!C564,-S$3,0),1,-1)</f>
        <v>-1</v>
      </c>
      <c r="T565" s="1">
        <f ca="1">IF(S565=1,T$3*Q564/Prices!C564,-T$3*R564)</f>
        <v>-1.7604931347080845E-4</v>
      </c>
    </row>
    <row r="566" spans="1:20" x14ac:dyDescent="0.2">
      <c r="A566" s="4">
        <v>34298</v>
      </c>
      <c r="B566" s="9">
        <f ca="1">Prices!C565*(1+J566/(50*(ABS(O566)+ABS(T566)+0.0001)))</f>
        <v>106.15544608261239</v>
      </c>
      <c r="C566" s="21">
        <f t="shared" ca="1" si="53"/>
        <v>-1</v>
      </c>
      <c r="D566" s="9">
        <f ca="1">D565+C566*(Prices!C566-Prices!C565)/Prices!C565</f>
        <v>0.28642933367917323</v>
      </c>
      <c r="E566" s="9">
        <f t="shared" ca="1" si="54"/>
        <v>2.807503606171674E-2</v>
      </c>
      <c r="F566" s="9">
        <f t="shared" ca="1" si="55"/>
        <v>0.31450436974088997</v>
      </c>
      <c r="G566" s="13">
        <f ca="1">IF((Prices!C566-Prices!C565)*C566&gt;0,1,0)</f>
        <v>0</v>
      </c>
      <c r="H566" s="9">
        <f>ABS(Prices!C566-Prices!C565)/Prices!C565</f>
        <v>2.0340236686390428E-3</v>
      </c>
      <c r="I566" s="13"/>
      <c r="J566" s="1">
        <f t="shared" ca="1" si="56"/>
        <v>-1.2635382383094833E-3</v>
      </c>
      <c r="K566" s="9"/>
      <c r="L566" s="9">
        <f ca="1">L565-O566*Prices!C566</f>
        <v>1.0741625193410214</v>
      </c>
      <c r="M566" s="1">
        <f t="shared" ca="1" si="57"/>
        <v>9.8190891999728209E-3</v>
      </c>
      <c r="N566" s="9">
        <f ca="1">IF(Prices!D565&gt;OFFSET(Prices!D565,-$N$3,0),1,-1)</f>
        <v>-1</v>
      </c>
      <c r="O566" s="1">
        <f ca="1">IF(N566=1,O$3*L565/Prices!C565,-O$3*M565)</f>
        <v>-1.0910099111080911E-3</v>
      </c>
      <c r="P566" s="14"/>
      <c r="Q566" s="9">
        <f ca="1">Q565-T566*Prices!C566</f>
        <v>1.1954801335254428</v>
      </c>
      <c r="R566" s="1">
        <f t="shared" ca="1" si="58"/>
        <v>8.4538880328682217E-3</v>
      </c>
      <c r="S566" s="9">
        <f ca="1">IF(Prices!C565&lt;OFFSET(Prices!C565,-S$3,0),1,-1)</f>
        <v>-1</v>
      </c>
      <c r="T566" s="1">
        <f ca="1">IF(S566=1,T$3*Q565/Prices!C565,-T$3*R565)</f>
        <v>-1.7252832720139228E-4</v>
      </c>
    </row>
    <row r="567" spans="1:20" x14ac:dyDescent="0.2">
      <c r="A567" s="4">
        <v>34299</v>
      </c>
      <c r="B567" s="9">
        <f ca="1">Prices!C566*(1+J567/(50*(ABS(O567)+ABS(T567)+0.0001)))</f>
        <v>110.38235090158932</v>
      </c>
      <c r="C567" s="21">
        <f t="shared" ca="1" si="53"/>
        <v>1</v>
      </c>
      <c r="D567" s="9">
        <f ca="1">D566+C567*(Prices!C567-Prices!C566)/Prices!C566</f>
        <v>0.29196541044610447</v>
      </c>
      <c r="E567" s="9">
        <f t="shared" ca="1" si="54"/>
        <v>2.2538959294785499E-2</v>
      </c>
      <c r="F567" s="9">
        <f t="shared" ca="1" si="55"/>
        <v>0.31450436974088997</v>
      </c>
      <c r="G567" s="13">
        <f ca="1">IF((Prices!C567-Prices!C566)*C567&gt;0,1,0)</f>
        <v>1</v>
      </c>
      <c r="H567" s="9">
        <f>ABS(Prices!C567-Prices!C566)/Prices!C566</f>
        <v>5.5360767669312468E-3</v>
      </c>
      <c r="I567" s="13"/>
      <c r="J567" s="1">
        <f t="shared" ca="1" si="56"/>
        <v>1.2117166876232793E-3</v>
      </c>
      <c r="K567" s="9"/>
      <c r="L567" s="9">
        <f ca="1">L566-O567*Prices!C567</f>
        <v>0.96615160279019596</v>
      </c>
      <c r="M567" s="1">
        <f t="shared" ca="1" si="57"/>
        <v>1.0810196894511501E-2</v>
      </c>
      <c r="N567" s="9">
        <f ca="1">IF(Prices!D566&gt;OFFSET(Prices!D566,-$N$3,0),1,-1)</f>
        <v>1</v>
      </c>
      <c r="O567" s="1">
        <f ca="1">IF(N567=1,O$3*L566/Prices!C566,-O$3*M566)</f>
        <v>9.9110769453868023E-4</v>
      </c>
      <c r="P567" s="14"/>
      <c r="Q567" s="9">
        <f ca="1">Q566-T567*Prices!C567</f>
        <v>1.1714381654590831</v>
      </c>
      <c r="R567" s="1">
        <f t="shared" ca="1" si="58"/>
        <v>8.6744970259528213E-3</v>
      </c>
      <c r="S567" s="9">
        <f ca="1">IF(Prices!C566&lt;OFFSET(Prices!C566,-S$3,0),1,-1)</f>
        <v>1</v>
      </c>
      <c r="T567" s="1">
        <f ca="1">IF(S567=1,T$3*Q566/Prices!C566,-T$3*R566)</f>
        <v>2.2060899308459916E-4</v>
      </c>
    </row>
    <row r="568" spans="1:20" x14ac:dyDescent="0.2">
      <c r="A568" s="4">
        <v>34302</v>
      </c>
      <c r="B568" s="9">
        <f ca="1">Prices!C567*(1+J568/(50*(ABS(O568)+ABS(T568)+0.0001)))</f>
        <v>106.96131432292349</v>
      </c>
      <c r="C568" s="21">
        <f t="shared" ca="1" si="53"/>
        <v>-1</v>
      </c>
      <c r="D568" s="9">
        <f ca="1">D567+C568*(Prices!C568-Prices!C567)/Prices!C567</f>
        <v>0.28948789163531352</v>
      </c>
      <c r="E568" s="9">
        <f t="shared" ca="1" si="54"/>
        <v>2.5016478105576445E-2</v>
      </c>
      <c r="F568" s="9">
        <f t="shared" ca="1" si="55"/>
        <v>0.31450436974088997</v>
      </c>
      <c r="G568" s="13">
        <f ca="1">IF((Prices!C568-Prices!C567)*C568&gt;0,1,0)</f>
        <v>0</v>
      </c>
      <c r="H568" s="9">
        <f>ABS(Prices!C568-Prices!C567)/Prices!C567</f>
        <v>2.4775188107909341E-3</v>
      </c>
      <c r="I568" s="13"/>
      <c r="J568" s="1">
        <f t="shared" ca="1" si="56"/>
        <v>-1.2545096299702066E-3</v>
      </c>
      <c r="K568" s="9"/>
      <c r="L568" s="9">
        <f ca="1">L567-O568*Prices!C568</f>
        <v>1.084253003862734</v>
      </c>
      <c r="M568" s="1">
        <f t="shared" ca="1" si="57"/>
        <v>9.729177205060351E-3</v>
      </c>
      <c r="N568" s="9">
        <f ca="1">IF(Prices!D567&gt;OFFSET(Prices!D567,-$N$3,0),1,-1)</f>
        <v>-1</v>
      </c>
      <c r="O568" s="1">
        <f ca="1">IF(N568=1,O$3*L567/Prices!C567,-O$3*M567)</f>
        <v>-1.0810196894511502E-3</v>
      </c>
      <c r="P568" s="14"/>
      <c r="Q568" s="9">
        <f ca="1">Q567-T568*Prices!C568</f>
        <v>1.19039194146079</v>
      </c>
      <c r="R568" s="1">
        <f t="shared" ca="1" si="58"/>
        <v>8.5010070854337656E-3</v>
      </c>
      <c r="S568" s="9">
        <f ca="1">IF(Prices!C567&lt;OFFSET(Prices!C567,-S$3,0),1,-1)</f>
        <v>-1</v>
      </c>
      <c r="T568" s="1">
        <f ca="1">IF(S568=1,T$3*Q567/Prices!C567,-T$3*R567)</f>
        <v>-1.7348994051905644E-4</v>
      </c>
    </row>
    <row r="569" spans="1:20" x14ac:dyDescent="0.2">
      <c r="A569" s="4">
        <v>34303</v>
      </c>
      <c r="B569" s="9">
        <f ca="1">Prices!C568*(1+J569/(50*(ABS(O569)+ABS(T569)+0.0001)))</f>
        <v>107.24079318053009</v>
      </c>
      <c r="C569" s="21">
        <f t="shared" ca="1" si="53"/>
        <v>-1</v>
      </c>
      <c r="D569" s="9">
        <f ca="1">D568+C569*(Prices!C569-Prices!C568)/Prices!C568</f>
        <v>0.29104395570854008</v>
      </c>
      <c r="E569" s="9">
        <f t="shared" ca="1" si="54"/>
        <v>2.3460414032349886E-2</v>
      </c>
      <c r="F569" s="9">
        <f t="shared" ca="1" si="55"/>
        <v>0.31450436974088997</v>
      </c>
      <c r="G569" s="13">
        <f ca="1">IF((Prices!C569-Prices!C568)*C569&gt;0,1,0)</f>
        <v>1</v>
      </c>
      <c r="H569" s="9">
        <f>ABS(Prices!C569-Prices!C568)/Prices!C568</f>
        <v>1.5560640732265602E-3</v>
      </c>
      <c r="I569" s="13"/>
      <c r="J569" s="1">
        <f t="shared" ca="1" si="56"/>
        <v>-1.1429378622147106E-3</v>
      </c>
      <c r="K569" s="9"/>
      <c r="L569" s="9">
        <f ca="1">L568-O569*Prices!C569</f>
        <v>1.1903788688155323</v>
      </c>
      <c r="M569" s="1">
        <f t="shared" ca="1" si="57"/>
        <v>8.7562594845543157E-3</v>
      </c>
      <c r="N569" s="9">
        <f ca="1">IF(Prices!D568&gt;OFFSET(Prices!D568,-$N$3,0),1,-1)</f>
        <v>-1</v>
      </c>
      <c r="O569" s="1">
        <f ca="1">IF(N569=1,O$3*L568/Prices!C568,-O$3*M568)</f>
        <v>-9.7291772050603516E-4</v>
      </c>
      <c r="P569" s="14"/>
      <c r="Q569" s="9">
        <f ca="1">Q568-T569*Prices!C569</f>
        <v>1.2089377385183724</v>
      </c>
      <c r="R569" s="1">
        <f t="shared" ca="1" si="58"/>
        <v>8.3309869437250897E-3</v>
      </c>
      <c r="S569" s="9">
        <f ca="1">IF(Prices!C568&lt;OFFSET(Prices!C568,-S$3,0),1,-1)</f>
        <v>-1</v>
      </c>
      <c r="T569" s="1">
        <f ca="1">IF(S569=1,T$3*Q568/Prices!C568,-T$3*R568)</f>
        <v>-1.7002014170867531E-4</v>
      </c>
    </row>
    <row r="570" spans="1:20" x14ac:dyDescent="0.2">
      <c r="A570" s="4">
        <v>34304</v>
      </c>
      <c r="B570" s="9">
        <f ca="1">Prices!C569*(1+J570/(50*(ABS(O570)+ABS(T570)+0.0001)))</f>
        <v>110.5655630061288</v>
      </c>
      <c r="C570" s="21">
        <f t="shared" ca="1" si="53"/>
        <v>1</v>
      </c>
      <c r="D570" s="9">
        <f ca="1">D569+C570*(Prices!C570-Prices!C569)/Prices!C569</f>
        <v>0.28838535651528752</v>
      </c>
      <c r="E570" s="9">
        <f t="shared" ca="1" si="54"/>
        <v>2.611901322560245E-2</v>
      </c>
      <c r="F570" s="9">
        <f t="shared" ca="1" si="55"/>
        <v>0.31450436974088997</v>
      </c>
      <c r="G570" s="13">
        <f ca="1">IF((Prices!C570-Prices!C569)*C570&gt;0,1,0)</f>
        <v>0</v>
      </c>
      <c r="H570" s="9">
        <f>ABS(Prices!C570-Prices!C569)/Prices!C569</f>
        <v>2.6585991932525856E-3</v>
      </c>
      <c r="I570" s="13"/>
      <c r="J570" s="1">
        <f t="shared" ca="1" si="56"/>
        <v>9.2467001984894198E-4</v>
      </c>
      <c r="K570" s="9"/>
      <c r="L570" s="9">
        <f ca="1">L569-O570*Prices!C570</f>
        <v>1.0716574559640089</v>
      </c>
      <c r="M570" s="1">
        <f t="shared" ca="1" si="57"/>
        <v>9.8475492432777596E-3</v>
      </c>
      <c r="N570" s="9">
        <f ca="1">IF(Prices!D569&gt;OFFSET(Prices!D569,-$N$3,0),1,-1)</f>
        <v>1</v>
      </c>
      <c r="O570" s="1">
        <f ca="1">IF(N570=1,O$3*L569/Prices!C569,-O$3*M569)</f>
        <v>1.0912897587234437E-3</v>
      </c>
      <c r="P570" s="14"/>
      <c r="Q570" s="9">
        <f ca="1">Q569-T570*Prices!C570</f>
        <v>1.2270642999105295</v>
      </c>
      <c r="R570" s="1">
        <f t="shared" ca="1" si="58"/>
        <v>8.1643672048505884E-3</v>
      </c>
      <c r="S570" s="9">
        <f ca="1">IF(Prices!C569&lt;OFFSET(Prices!C569,-S$3,0),1,-1)</f>
        <v>-1</v>
      </c>
      <c r="T570" s="1">
        <f ca="1">IF(S570=1,T$3*Q569/Prices!C569,-T$3*R569)</f>
        <v>-1.666197388745018E-4</v>
      </c>
    </row>
    <row r="571" spans="1:20" x14ac:dyDescent="0.2">
      <c r="A571" s="4">
        <v>34305</v>
      </c>
      <c r="B571" s="9">
        <f ca="1">Prices!C570*(1+J571/(50*(ABS(O571)+ABS(T571)+0.0001)))</f>
        <v>110.22230988827899</v>
      </c>
      <c r="C571" s="21">
        <f t="shared" ca="1" si="53"/>
        <v>1</v>
      </c>
      <c r="D571" s="9">
        <f ca="1">D570+C571*(Prices!C571-Prices!C570)/Prices!C570</f>
        <v>0.2886611171550521</v>
      </c>
      <c r="E571" s="9">
        <f t="shared" ca="1" si="54"/>
        <v>2.5843252585837861E-2</v>
      </c>
      <c r="F571" s="9">
        <f t="shared" ca="1" si="55"/>
        <v>0.31450436974088997</v>
      </c>
      <c r="G571" s="13">
        <f ca="1">IF((Prices!C571-Prices!C570)*C571&gt;0,1,0)</f>
        <v>1</v>
      </c>
      <c r="H571" s="9">
        <f>ABS(Prices!C571-Prices!C570)/Prices!C570</f>
        <v>2.7576063976456408E-4</v>
      </c>
      <c r="I571" s="13"/>
      <c r="J571" s="1">
        <f t="shared" ca="1" si="56"/>
        <v>8.2178247478708493E-4</v>
      </c>
      <c r="K571" s="9"/>
      <c r="L571" s="9">
        <f ca="1">L570-O571*Prices!C571</f>
        <v>0.96446215827304149</v>
      </c>
      <c r="M571" s="1">
        <f t="shared" ca="1" si="57"/>
        <v>1.0832619062161857E-2</v>
      </c>
      <c r="N571" s="9">
        <f ca="1">IF(Prices!D570&gt;OFFSET(Prices!D570,-$N$3,0),1,-1)</f>
        <v>1</v>
      </c>
      <c r="O571" s="1">
        <f ca="1">IF(N571=1,O$3*L570/Prices!C570,-O$3*M570)</f>
        <v>9.8506981888409669E-4</v>
      </c>
      <c r="P571" s="14"/>
      <c r="Q571" s="9">
        <f ca="1">Q570-T571*Prices!C571</f>
        <v>1.2448332286951662</v>
      </c>
      <c r="R571" s="1">
        <f t="shared" ca="1" si="58"/>
        <v>8.0010798607535773E-3</v>
      </c>
      <c r="S571" s="9">
        <f ca="1">IF(Prices!C570&lt;OFFSET(Prices!C570,-S$3,0),1,-1)</f>
        <v>-1</v>
      </c>
      <c r="T571" s="1">
        <f ca="1">IF(S571=1,T$3*Q570/Prices!C570,-T$3*R570)</f>
        <v>-1.6328734409701176E-4</v>
      </c>
    </row>
    <row r="572" spans="1:20" x14ac:dyDescent="0.2">
      <c r="A572" s="4">
        <v>34306</v>
      </c>
      <c r="B572" s="9">
        <f ca="1">Prices!C571*(1+J572/(50*(ABS(O572)+ABS(T572)+0.0001)))</f>
        <v>107.5029938058599</v>
      </c>
      <c r="C572" s="21">
        <f t="shared" ca="1" si="53"/>
        <v>-1</v>
      </c>
      <c r="D572" s="9">
        <f ca="1">D571+C572*(Prices!C572-Prices!C571)/Prices!C571</f>
        <v>0.2906828043449069</v>
      </c>
      <c r="E572" s="9">
        <f t="shared" ca="1" si="54"/>
        <v>2.3821565395983069E-2</v>
      </c>
      <c r="F572" s="9">
        <f t="shared" ca="1" si="55"/>
        <v>0.31450436974088997</v>
      </c>
      <c r="G572" s="13">
        <f ca="1">IF((Prices!C572-Prices!C571)*C572&gt;0,1,0)</f>
        <v>1</v>
      </c>
      <c r="H572" s="9">
        <f>ABS(Prices!C572-Prices!C571)/Prices!C571</f>
        <v>2.0216871898547958E-3</v>
      </c>
      <c r="I572" s="13"/>
      <c r="J572" s="1">
        <f t="shared" ca="1" si="56"/>
        <v>-8.5447432512903874E-4</v>
      </c>
      <c r="K572" s="9"/>
      <c r="L572" s="9">
        <f ca="1">L571-O572*Prices!C572</f>
        <v>1.0821044012881194</v>
      </c>
      <c r="M572" s="1">
        <f t="shared" ca="1" si="57"/>
        <v>9.7493571559456715E-3</v>
      </c>
      <c r="N572" s="9">
        <f ca="1">IF(Prices!D571&gt;OFFSET(Prices!D571,-$N$3,0),1,-1)</f>
        <v>-1</v>
      </c>
      <c r="O572" s="1">
        <f ca="1">IF(N572=1,O$3*L571/Prices!C571,-O$3*M571)</f>
        <v>-1.0832619062161857E-3</v>
      </c>
      <c r="P572" s="14"/>
      <c r="Q572" s="9">
        <f ca="1">Q571-T572*Prices!C572</f>
        <v>1.2199868973891022</v>
      </c>
      <c r="R572" s="1">
        <f t="shared" ca="1" si="58"/>
        <v>8.2298674418407238E-3</v>
      </c>
      <c r="S572" s="9">
        <f ca="1">IF(Prices!C571&lt;OFFSET(Prices!C571,-S$3,0),1,-1)</f>
        <v>1</v>
      </c>
      <c r="T572" s="1">
        <f ca="1">IF(S572=1,T$3*Q571/Prices!C571,-T$3*R571)</f>
        <v>2.2878758108714692E-4</v>
      </c>
    </row>
    <row r="573" spans="1:20" x14ac:dyDescent="0.2">
      <c r="A573" s="4">
        <v>34309</v>
      </c>
      <c r="B573" s="9">
        <f ca="1">Prices!C572*(1+J573/(50*(ABS(O573)+ABS(T573)+0.0001)))</f>
        <v>107.34611280489658</v>
      </c>
      <c r="C573" s="21">
        <f t="shared" ca="1" si="53"/>
        <v>-1</v>
      </c>
      <c r="D573" s="9">
        <f ca="1">D572+C573*(Prices!C573-Prices!C572)/Prices!C572</f>
        <v>0.29722055756774296</v>
      </c>
      <c r="E573" s="9">
        <f t="shared" ca="1" si="54"/>
        <v>1.7283812173147006E-2</v>
      </c>
      <c r="F573" s="9">
        <f t="shared" ca="1" si="55"/>
        <v>0.31450436974088997</v>
      </c>
      <c r="G573" s="13">
        <f ca="1">IF((Prices!C573-Prices!C572)*C573&gt;0,1,0)</f>
        <v>1</v>
      </c>
      <c r="H573" s="9">
        <f>ABS(Prices!C573-Prices!C572)/Prices!C572</f>
        <v>6.5377532228360381E-3</v>
      </c>
      <c r="I573" s="13"/>
      <c r="J573" s="1">
        <f t="shared" ca="1" si="56"/>
        <v>-7.5026041220799223E-4</v>
      </c>
      <c r="K573" s="9"/>
      <c r="L573" s="9">
        <f ca="1">L572-O573*Prices!C573</f>
        <v>1.1872902156436171</v>
      </c>
      <c r="M573" s="1">
        <f t="shared" ca="1" si="57"/>
        <v>8.7744214403511038E-3</v>
      </c>
      <c r="N573" s="9">
        <f ca="1">IF(Prices!D572&gt;OFFSET(Prices!D572,-$N$3,0),1,-1)</f>
        <v>-1</v>
      </c>
      <c r="O573" s="1">
        <f ca="1">IF(N573=1,O$3*L572/Prices!C572,-O$3*M572)</f>
        <v>-9.7493571559456723E-4</v>
      </c>
      <c r="P573" s="14"/>
      <c r="Q573" s="9">
        <f ca="1">Q572-T573*Prices!C573</f>
        <v>1.1957466789067246</v>
      </c>
      <c r="R573" s="1">
        <f t="shared" ca="1" si="58"/>
        <v>8.4545427452272989E-3</v>
      </c>
      <c r="S573" s="9">
        <f ca="1">IF(Prices!C572&lt;OFFSET(Prices!C572,-S$3,0),1,-1)</f>
        <v>1</v>
      </c>
      <c r="T573" s="1">
        <f ca="1">IF(S573=1,T$3*Q572/Prices!C572,-T$3*R572)</f>
        <v>2.24675303386575E-4</v>
      </c>
    </row>
    <row r="574" spans="1:20" x14ac:dyDescent="0.2">
      <c r="A574" s="4">
        <v>34310</v>
      </c>
      <c r="B574" s="9">
        <f ca="1">Prices!C573*(1+J574/(50*(ABS(O574)+ABS(T574)+0.0001)))</f>
        <v>106.70991238347511</v>
      </c>
      <c r="C574" s="21">
        <f t="shared" ca="1" si="53"/>
        <v>-1</v>
      </c>
      <c r="D574" s="9">
        <f ca="1">D573+C574*(Prices!C574-Prices!C573)/Prices!C573</f>
        <v>0.30064997642027796</v>
      </c>
      <c r="E574" s="9">
        <f t="shared" ca="1" si="54"/>
        <v>1.3854393320612002E-2</v>
      </c>
      <c r="F574" s="9">
        <f t="shared" ca="1" si="55"/>
        <v>0.31450436974088997</v>
      </c>
      <c r="G574" s="13">
        <f ca="1">IF((Prices!C574-Prices!C573)*C574&gt;0,1,0)</f>
        <v>1</v>
      </c>
      <c r="H574" s="9">
        <f>ABS(Prices!C574-Prices!C573)/Prices!C573</f>
        <v>3.4294188525350313E-3</v>
      </c>
      <c r="I574" s="13"/>
      <c r="J574" s="1">
        <f t="shared" ca="1" si="56"/>
        <v>-6.5578180871084973E-4</v>
      </c>
      <c r="K574" s="9"/>
      <c r="L574" s="9">
        <f ca="1">L573-O574*Prices!C574</f>
        <v>1.2816327949702722</v>
      </c>
      <c r="M574" s="1">
        <f t="shared" ca="1" si="57"/>
        <v>7.8969792963159927E-3</v>
      </c>
      <c r="N574" s="9">
        <f ca="1">IF(Prices!D573&gt;OFFSET(Prices!D573,-$N$3,0),1,-1)</f>
        <v>-1</v>
      </c>
      <c r="O574" s="1">
        <f ca="1">IF(N574=1,O$3*L573/Prices!C573,-O$3*M573)</f>
        <v>-8.7744214403511042E-4</v>
      </c>
      <c r="P574" s="14"/>
      <c r="Q574" s="9">
        <f ca="1">Q573-T574*Prices!C574</f>
        <v>1.1719137596526601</v>
      </c>
      <c r="R574" s="1">
        <f t="shared" ca="1" si="58"/>
        <v>8.6762030805515589E-3</v>
      </c>
      <c r="S574" s="9">
        <f ca="1">IF(Prices!C573&lt;OFFSET(Prices!C573,-S$3,0),1,-1)</f>
        <v>1</v>
      </c>
      <c r="T574" s="1">
        <f ca="1">IF(S574=1,T$3*Q573/Prices!C573,-T$3*R573)</f>
        <v>2.2166033532426072E-4</v>
      </c>
    </row>
    <row r="575" spans="1:20" x14ac:dyDescent="0.2">
      <c r="A575" s="4">
        <v>34311</v>
      </c>
      <c r="B575" s="9">
        <f ca="1">Prices!C574*(1+J575/(50*(ABS(O575)+ABS(T575)+0.0001)))</f>
        <v>106.41011968958101</v>
      </c>
      <c r="C575" s="21">
        <f t="shared" ca="1" si="53"/>
        <v>-1</v>
      </c>
      <c r="D575" s="9">
        <f ca="1">D574+C575*(Prices!C575-Prices!C574)/Prices!C574</f>
        <v>0.28688509546789698</v>
      </c>
      <c r="E575" s="9">
        <f t="shared" ca="1" si="54"/>
        <v>2.7619274272992989E-2</v>
      </c>
      <c r="F575" s="9">
        <f t="shared" ca="1" si="55"/>
        <v>0.31450436974088997</v>
      </c>
      <c r="G575" s="13">
        <f ca="1">IF((Prices!C575-Prices!C574)*C575&gt;0,1,0)</f>
        <v>0</v>
      </c>
      <c r="H575" s="9">
        <f>ABS(Prices!C575-Prices!C574)/Prices!C574</f>
        <v>1.376488095238099E-2</v>
      </c>
      <c r="I575" s="13"/>
      <c r="J575" s="1">
        <f t="shared" ca="1" si="56"/>
        <v>-5.71708018981923E-4</v>
      </c>
      <c r="K575" s="9"/>
      <c r="L575" s="9">
        <f ca="1">L574-O575*Prices!C575</f>
        <v>1.3677098693001164</v>
      </c>
      <c r="M575" s="1">
        <f t="shared" ca="1" si="57"/>
        <v>7.1072813666843929E-3</v>
      </c>
      <c r="N575" s="9">
        <f ca="1">IF(Prices!D574&gt;OFFSET(Prices!D574,-$N$3,0),1,-1)</f>
        <v>-1</v>
      </c>
      <c r="O575" s="1">
        <f ca="1">IF(N575=1,O$3*L574/Prices!C574,-O$3*M574)</f>
        <v>-7.8969792963159936E-4</v>
      </c>
      <c r="P575" s="14"/>
      <c r="Q575" s="9">
        <f ca="1">Q574-T575*Prices!C575</f>
        <v>1.1481528593918453</v>
      </c>
      <c r="R575" s="1">
        <f t="shared" ca="1" si="58"/>
        <v>8.8941929912012361E-3</v>
      </c>
      <c r="S575" s="9">
        <f ca="1">IF(Prices!C574&lt;OFFSET(Prices!C574,-S$3,0),1,-1)</f>
        <v>1</v>
      </c>
      <c r="T575" s="1">
        <f ca="1">IF(S575=1,T$3*Q574/Prices!C574,-T$3*R574)</f>
        <v>2.1798991064967638E-4</v>
      </c>
    </row>
    <row r="576" spans="1:20" x14ac:dyDescent="0.2">
      <c r="A576" s="4">
        <v>34312</v>
      </c>
      <c r="B576" s="9">
        <f ca="1">Prices!C575*(1+J576/(50*(ABS(O576)+ABS(T576)+0.0001)))</f>
        <v>107.04051118211538</v>
      </c>
      <c r="C576" s="21">
        <f t="shared" ca="1" si="53"/>
        <v>-1</v>
      </c>
      <c r="D576" s="9">
        <f ca="1">D575+C576*(Prices!C576-Prices!C575)/Prices!C575</f>
        <v>0.29037133400000703</v>
      </c>
      <c r="E576" s="9">
        <f t="shared" ca="1" si="54"/>
        <v>2.4133035740882935E-2</v>
      </c>
      <c r="F576" s="9">
        <f t="shared" ca="1" si="55"/>
        <v>0.31450436974088997</v>
      </c>
      <c r="G576" s="13">
        <f ca="1">IF((Prices!C576-Prices!C575)*C576&gt;0,1,0)</f>
        <v>1</v>
      </c>
      <c r="H576" s="9">
        <f>ABS(Prices!C576-Prices!C575)/Prices!C575</f>
        <v>3.48623853211005E-3</v>
      </c>
      <c r="I576" s="13"/>
      <c r="J576" s="1">
        <f t="shared" ca="1" si="56"/>
        <v>-8.8861199649246405E-4</v>
      </c>
      <c r="K576" s="9"/>
      <c r="L576" s="9">
        <f ca="1">L575-O576*Prices!C576</f>
        <v>1.4449091595050423</v>
      </c>
      <c r="M576" s="1">
        <f t="shared" ca="1" si="57"/>
        <v>6.3965532300159535E-3</v>
      </c>
      <c r="N576" s="9">
        <f ca="1">IF(Prices!D575&gt;OFFSET(Prices!D575,-$N$3,0),1,-1)</f>
        <v>-1</v>
      </c>
      <c r="O576" s="1">
        <f ca="1">IF(N576=1,O$3*L575/Prices!C575,-O$3*M575)</f>
        <v>-7.1072813666843936E-4</v>
      </c>
      <c r="P576" s="14"/>
      <c r="Q576" s="9">
        <f ca="1">Q575-T576*Prices!C576</f>
        <v>1.167474604245931</v>
      </c>
      <c r="R576" s="1">
        <f t="shared" ca="1" si="58"/>
        <v>8.7163091313772114E-3</v>
      </c>
      <c r="S576" s="9">
        <f ca="1">IF(Prices!C575&lt;OFFSET(Prices!C575,-S$3,0),1,-1)</f>
        <v>-1</v>
      </c>
      <c r="T576" s="1">
        <f ca="1">IF(S576=1,T$3*Q575/Prices!C575,-T$3*R575)</f>
        <v>-1.7788385982402471E-4</v>
      </c>
    </row>
    <row r="577" spans="1:20" x14ac:dyDescent="0.2">
      <c r="A577" s="4">
        <v>34313</v>
      </c>
      <c r="B577" s="9">
        <f ca="1">Prices!C576*(1+J577/(50*(ABS(O577)+ABS(T577)+0.0001)))</f>
        <v>106.68528533461787</v>
      </c>
      <c r="C577" s="21">
        <f t="shared" ca="1" si="53"/>
        <v>-1</v>
      </c>
      <c r="D577" s="9">
        <f ca="1">D576+C577*(Prices!C577-Prices!C576)/Prices!C576</f>
        <v>0.28503161755736295</v>
      </c>
      <c r="E577" s="9">
        <f t="shared" ca="1" si="54"/>
        <v>2.9472752183527018E-2</v>
      </c>
      <c r="F577" s="9">
        <f t="shared" ca="1" si="55"/>
        <v>0.31450436974088997</v>
      </c>
      <c r="G577" s="13">
        <f ca="1">IF((Prices!C577-Prices!C576)*C577&gt;0,1,0)</f>
        <v>0</v>
      </c>
      <c r="H577" s="9">
        <f>ABS(Prices!C577-Prices!C576)/Prices!C576</f>
        <v>5.3397164426440642E-3</v>
      </c>
      <c r="I577" s="13"/>
      <c r="J577" s="1">
        <f t="shared" ca="1" si="56"/>
        <v>-8.1398150562913955E-4</v>
      </c>
      <c r="K577" s="9"/>
      <c r="L577" s="9">
        <f ca="1">L576-O577*Prices!C577</f>
        <v>1.5147595207768165</v>
      </c>
      <c r="M577" s="1">
        <f t="shared" ca="1" si="57"/>
        <v>5.7568979070143581E-3</v>
      </c>
      <c r="N577" s="9">
        <f ca="1">IF(Prices!D576&gt;OFFSET(Prices!D576,-$N$3,0),1,-1)</f>
        <v>-1</v>
      </c>
      <c r="O577" s="1">
        <f ca="1">IF(N577=1,O$3*L576/Prices!C576,-O$3*M576)</f>
        <v>-6.3965532300159535E-4</v>
      </c>
      <c r="P577" s="14"/>
      <c r="Q577" s="9">
        <f ca="1">Q576-T577*Prices!C577</f>
        <v>1.1865110233888587</v>
      </c>
      <c r="R577" s="1">
        <f t="shared" ca="1" si="58"/>
        <v>8.5419829487496674E-3</v>
      </c>
      <c r="S577" s="9">
        <f ca="1">IF(Prices!C576&lt;OFFSET(Prices!C576,-S$3,0),1,-1)</f>
        <v>-1</v>
      </c>
      <c r="T577" s="1">
        <f ca="1">IF(S577=1,T$3*Q576/Prices!C576,-T$3*R576)</f>
        <v>-1.7432618262754423E-4</v>
      </c>
    </row>
    <row r="578" spans="1:20" x14ac:dyDescent="0.2">
      <c r="A578" s="4">
        <v>34316</v>
      </c>
      <c r="B578" s="9">
        <f ca="1">Prices!C577*(1+J578/(50*(ABS(O578)+ABS(T578)+0.0001)))</f>
        <v>110.80219176236704</v>
      </c>
      <c r="C578" s="21">
        <f t="shared" ca="1" si="53"/>
        <v>1</v>
      </c>
      <c r="D578" s="9">
        <f ca="1">D577+C578*(Prices!C578-Prices!C577)/Prices!C577</f>
        <v>0.28320011572586107</v>
      </c>
      <c r="E578" s="9">
        <f t="shared" ca="1" si="54"/>
        <v>3.1304254015028898E-2</v>
      </c>
      <c r="F578" s="9">
        <f t="shared" ca="1" si="55"/>
        <v>0.31450436974088997</v>
      </c>
      <c r="G578" s="13">
        <f ca="1">IF((Prices!C578-Prices!C577)*C578&gt;0,1,0)</f>
        <v>0</v>
      </c>
      <c r="H578" s="9">
        <f>ABS(Prices!C578-Prices!C577)/Prices!C577</f>
        <v>1.8315018315018575E-3</v>
      </c>
      <c r="I578" s="13"/>
      <c r="J578" s="1">
        <f t="shared" ca="1" si="56"/>
        <v>1.2163027593187947E-3</v>
      </c>
      <c r="K578" s="9"/>
      <c r="L578" s="9">
        <f ca="1">L577-O578*Prices!C578</f>
        <v>1.3635609971827936</v>
      </c>
      <c r="M578" s="1">
        <f t="shared" ca="1" si="57"/>
        <v>7.1440403253081458E-3</v>
      </c>
      <c r="N578" s="9">
        <f ca="1">IF(Prices!D577&gt;OFFSET(Prices!D577,-$N$3,0),1,-1)</f>
        <v>1</v>
      </c>
      <c r="O578" s="1">
        <f ca="1">IF(N578=1,O$3*L577/Prices!C577,-O$3*M577)</f>
        <v>1.3871424182937881E-3</v>
      </c>
      <c r="P578" s="14"/>
      <c r="Q578" s="9">
        <f ca="1">Q577-T578*Prices!C578</f>
        <v>1.2051325462171329</v>
      </c>
      <c r="R578" s="1">
        <f t="shared" ca="1" si="58"/>
        <v>8.371143289774674E-3</v>
      </c>
      <c r="S578" s="9">
        <f ca="1">IF(Prices!C577&lt;OFFSET(Prices!C577,-S$3,0),1,-1)</f>
        <v>-1</v>
      </c>
      <c r="T578" s="1">
        <f ca="1">IF(S578=1,T$3*Q577/Prices!C577,-T$3*R577)</f>
        <v>-1.7083965897499336E-4</v>
      </c>
    </row>
    <row r="579" spans="1:20" x14ac:dyDescent="0.2">
      <c r="A579" s="4">
        <v>34317</v>
      </c>
      <c r="B579" s="9">
        <f ca="1">Prices!C578*(1+J579/(50*(ABS(O579)+ABS(T579)+0.0001)))</f>
        <v>110.5556809593957</v>
      </c>
      <c r="C579" s="21">
        <f t="shared" ca="1" si="53"/>
        <v>1</v>
      </c>
      <c r="D579" s="9">
        <f ca="1">D578+C579*(Prices!C579-Prices!C578)/Prices!C578</f>
        <v>0.28686984049650333</v>
      </c>
      <c r="E579" s="9">
        <f t="shared" ca="1" si="54"/>
        <v>2.7634529244386641E-2</v>
      </c>
      <c r="F579" s="9">
        <f t="shared" ca="1" si="55"/>
        <v>0.31450436974088997</v>
      </c>
      <c r="G579" s="13">
        <f ca="1">IF((Prices!C579-Prices!C578)*C579&gt;0,1,0)</f>
        <v>1</v>
      </c>
      <c r="H579" s="9">
        <f>ABS(Prices!C579-Prices!C578)/Prices!C578</f>
        <v>3.6697247706422541E-3</v>
      </c>
      <c r="I579" s="13"/>
      <c r="J579" s="1">
        <f t="shared" ca="1" si="56"/>
        <v>1.0835505261153264E-3</v>
      </c>
      <c r="K579" s="9"/>
      <c r="L579" s="9">
        <f ca="1">L578-O579*Prices!C579</f>
        <v>1.2267045081077499</v>
      </c>
      <c r="M579" s="1">
        <f t="shared" ca="1" si="57"/>
        <v>8.3950137172189663E-3</v>
      </c>
      <c r="N579" s="9">
        <f ca="1">IF(Prices!D578&gt;OFFSET(Prices!D578,-$N$3,0),1,-1)</f>
        <v>1</v>
      </c>
      <c r="O579" s="1">
        <f ca="1">IF(N579=1,O$3*L578/Prices!C578,-O$3*M578)</f>
        <v>1.2509733919108198E-3</v>
      </c>
      <c r="P579" s="14"/>
      <c r="Q579" s="9">
        <f ca="1">Q578-T579*Prices!C579</f>
        <v>1.2234486077351598</v>
      </c>
      <c r="R579" s="1">
        <f t="shared" ca="1" si="58"/>
        <v>8.203720423979181E-3</v>
      </c>
      <c r="S579" s="9">
        <f ca="1">IF(Prices!C578&lt;OFFSET(Prices!C578,-S$3,0),1,-1)</f>
        <v>-1</v>
      </c>
      <c r="T579" s="1">
        <f ca="1">IF(S579=1,T$3*Q578/Prices!C578,-T$3*R578)</f>
        <v>-1.6742286579549348E-4</v>
      </c>
    </row>
    <row r="580" spans="1:20" x14ac:dyDescent="0.2">
      <c r="A580" s="4">
        <v>34318</v>
      </c>
      <c r="B580" s="9">
        <f ca="1">Prices!C579*(1+J580/(50*(ABS(O580)+ABS(T580)+0.0001)))</f>
        <v>110.91180143653776</v>
      </c>
      <c r="C580" s="21">
        <f t="shared" ca="1" si="53"/>
        <v>1</v>
      </c>
      <c r="D580" s="9">
        <f ca="1">D579+C580*(Prices!C580-Prices!C579)/Prices!C579</f>
        <v>0.29034333226981224</v>
      </c>
      <c r="E580" s="9">
        <f t="shared" ca="1" si="54"/>
        <v>2.4161037471077729E-2</v>
      </c>
      <c r="F580" s="9">
        <f t="shared" ca="1" si="55"/>
        <v>0.31450436974088997</v>
      </c>
      <c r="G580" s="13">
        <f ca="1">IF((Prices!C580-Prices!C579)*C580&gt;0,1,0)</f>
        <v>1</v>
      </c>
      <c r="H580" s="9">
        <f>ABS(Prices!C580-Prices!C579)/Prices!C579</f>
        <v>3.473491773308916E-3</v>
      </c>
      <c r="I580" s="13"/>
      <c r="J580" s="1">
        <f t="shared" ca="1" si="56"/>
        <v>9.5722770130812177E-4</v>
      </c>
      <c r="K580" s="9"/>
      <c r="L580" s="9">
        <f ca="1">L579-O580*Prices!C580</f>
        <v>1.1036079624952555</v>
      </c>
      <c r="M580" s="1">
        <f t="shared" ca="1" si="57"/>
        <v>9.5163158270066724E-3</v>
      </c>
      <c r="N580" s="9">
        <f ca="1">IF(Prices!D579&gt;OFFSET(Prices!D579,-$N$3,0),1,-1)</f>
        <v>1</v>
      </c>
      <c r="O580" s="1">
        <f ca="1">IF(N580=1,O$3*L579/Prices!C579,-O$3*M579)</f>
        <v>1.1213021097877054E-3</v>
      </c>
      <c r="P580" s="14"/>
      <c r="Q580" s="9">
        <f ca="1">Q579-T580*Prices!C580</f>
        <v>1.2414606962980486</v>
      </c>
      <c r="R580" s="1">
        <f t="shared" ca="1" si="58"/>
        <v>8.0396460154995974E-3</v>
      </c>
      <c r="S580" s="9">
        <f ca="1">IF(Prices!C579&lt;OFFSET(Prices!C579,-S$3,0),1,-1)</f>
        <v>-1</v>
      </c>
      <c r="T580" s="1">
        <f ca="1">IF(S580=1,T$3*Q579/Prices!C579,-T$3*R579)</f>
        <v>-1.6407440847958363E-4</v>
      </c>
    </row>
    <row r="581" spans="1:20" x14ac:dyDescent="0.2">
      <c r="A581" s="4">
        <v>34319</v>
      </c>
      <c r="B581" s="9">
        <f ca="1">Prices!C580*(1+J581/(50*(ABS(O581)+ABS(T581)+0.0001)))</f>
        <v>111.24449980355497</v>
      </c>
      <c r="C581" s="21">
        <f t="shared" ca="1" si="53"/>
        <v>1</v>
      </c>
      <c r="D581" s="9">
        <f ca="1">D580+C581*(Prices!C581-Prices!C580)/Prices!C580</f>
        <v>0.28833932425378017</v>
      </c>
      <c r="E581" s="9">
        <f t="shared" ca="1" si="54"/>
        <v>2.6165045487109795E-2</v>
      </c>
      <c r="F581" s="9">
        <f t="shared" ca="1" si="55"/>
        <v>0.31450436974088997</v>
      </c>
      <c r="G581" s="13">
        <f ca="1">IF((Prices!C581-Prices!C580)*C581&gt;0,1,0)</f>
        <v>0</v>
      </c>
      <c r="H581" s="9">
        <f>ABS(Prices!C581-Prices!C580)/Prices!C580</f>
        <v>2.0040080160320536E-3</v>
      </c>
      <c r="I581" s="13"/>
      <c r="J581" s="1">
        <f t="shared" ca="1" si="56"/>
        <v>8.4449762668878338E-4</v>
      </c>
      <c r="K581" s="9"/>
      <c r="L581" s="9">
        <f ca="1">L580-O581*Prices!C581</f>
        <v>0.99346833016606961</v>
      </c>
      <c r="M581" s="1">
        <f t="shared" ca="1" si="57"/>
        <v>1.0521606374005447E-2</v>
      </c>
      <c r="N581" s="9">
        <f ca="1">IF(Prices!D580&gt;OFFSET(Prices!D580,-$N$3,0),1,-1)</f>
        <v>1</v>
      </c>
      <c r="O581" s="1">
        <f ca="1">IF(N581=1,O$3*L580/Prices!C580,-O$3*M580)</f>
        <v>1.0052905469987753E-3</v>
      </c>
      <c r="P581" s="14"/>
      <c r="Q581" s="9">
        <f ca="1">Q580-T581*Prices!C581</f>
        <v>1.2590771686472113</v>
      </c>
      <c r="R581" s="1">
        <f t="shared" ca="1" si="58"/>
        <v>7.8788530951896061E-3</v>
      </c>
      <c r="S581" s="9">
        <f ca="1">IF(Prices!C580&lt;OFFSET(Prices!C580,-S$3,0),1,-1)</f>
        <v>-1</v>
      </c>
      <c r="T581" s="1">
        <f ca="1">IF(S581=1,T$3*Q580/Prices!C580,-T$3*R580)</f>
        <v>-1.6079292030999194E-4</v>
      </c>
    </row>
    <row r="582" spans="1:20" x14ac:dyDescent="0.2">
      <c r="A582" s="4">
        <v>34320</v>
      </c>
      <c r="B582" s="9">
        <f ca="1">Prices!C581*(1+J582/(50*(ABS(O582)+ABS(T582)+0.0001)))</f>
        <v>110.96992282119503</v>
      </c>
      <c r="C582" s="21">
        <f t="shared" ca="1" si="53"/>
        <v>1</v>
      </c>
      <c r="D582" s="9">
        <f ca="1">D581+C582*(Prices!C582-Prices!C581)/Prices!C581</f>
        <v>0.29408959807634311</v>
      </c>
      <c r="E582" s="9">
        <f t="shared" ca="1" si="54"/>
        <v>2.041477166454686E-2</v>
      </c>
      <c r="F582" s="9">
        <f t="shared" ca="1" si="55"/>
        <v>0.31450436974088997</v>
      </c>
      <c r="G582" s="13">
        <f ca="1">IF((Prices!C582-Prices!C581)*C582&gt;0,1,0)</f>
        <v>1</v>
      </c>
      <c r="H582" s="9">
        <f>ABS(Prices!C582-Prices!C581)/Prices!C581</f>
        <v>5.7502738225629372E-3</v>
      </c>
      <c r="I582" s="13"/>
      <c r="J582" s="1">
        <f t="shared" ca="1" si="56"/>
        <v>7.4920308611197057E-4</v>
      </c>
      <c r="K582" s="9"/>
      <c r="L582" s="9">
        <f ca="1">L581-O582*Prices!C582</f>
        <v>0.89355022565621267</v>
      </c>
      <c r="M582" s="1">
        <f t="shared" ca="1" si="57"/>
        <v>1.142838652202121E-2</v>
      </c>
      <c r="N582" s="9">
        <f ca="1">IF(Prices!D581&gt;OFFSET(Prices!D581,-$N$3,0),1,-1)</f>
        <v>1</v>
      </c>
      <c r="O582" s="1">
        <f ca="1">IF(N582=1,O$3*L581/Prices!C581,-O$3*M581)</f>
        <v>9.0678014801576267E-4</v>
      </c>
      <c r="P582" s="14"/>
      <c r="Q582" s="9">
        <f ca="1">Q581-T582*Prices!C582</f>
        <v>1.2764405850983902</v>
      </c>
      <c r="R582" s="1">
        <f t="shared" ca="1" si="58"/>
        <v>7.7212760332858142E-3</v>
      </c>
      <c r="S582" s="9">
        <f ca="1">IF(Prices!C581&lt;OFFSET(Prices!C581,-S$3,0),1,-1)</f>
        <v>-1</v>
      </c>
      <c r="T582" s="1">
        <f ca="1">IF(S582=1,T$3*Q581/Prices!C581,-T$3*R581)</f>
        <v>-1.5757706190379212E-4</v>
      </c>
    </row>
    <row r="583" spans="1:20" x14ac:dyDescent="0.2">
      <c r="A583" s="4">
        <v>34323</v>
      </c>
      <c r="B583" s="9">
        <f ca="1">Prices!C582*(1+J583/(50*(ABS(O583)+ABS(T583)+0.0001)))</f>
        <v>108.14392250106985</v>
      </c>
      <c r="C583" s="21">
        <f t="shared" ca="1" si="53"/>
        <v>-1</v>
      </c>
      <c r="D583" s="9">
        <f ca="1">D582+C583*(Prices!C583-Prices!C582)/Prices!C582</f>
        <v>0.29018724759081804</v>
      </c>
      <c r="E583" s="9">
        <f t="shared" ca="1" si="54"/>
        <v>2.4317122150071924E-2</v>
      </c>
      <c r="F583" s="9">
        <f t="shared" ca="1" si="55"/>
        <v>0.31450436974088997</v>
      </c>
      <c r="G583" s="13">
        <f ca="1">IF((Prices!C583-Prices!C582)*C583&gt;0,1,0)</f>
        <v>0</v>
      </c>
      <c r="H583" s="9">
        <f>ABS(Prices!C583-Prices!C582)/Prices!C582</f>
        <v>3.9023504855250643E-3</v>
      </c>
      <c r="I583" s="13"/>
      <c r="J583" s="1">
        <f t="shared" ca="1" si="56"/>
        <v>-1.2972641728678375E-3</v>
      </c>
      <c r="K583" s="9"/>
      <c r="L583" s="9">
        <f ca="1">L582-O583*Prices!C583</f>
        <v>1.0199710373628113</v>
      </c>
      <c r="M583" s="1">
        <f t="shared" ca="1" si="57"/>
        <v>1.0285547869819089E-2</v>
      </c>
      <c r="N583" s="9">
        <f ca="1">IF(Prices!D582&gt;OFFSET(Prices!D582,-$N$3,0),1,-1)</f>
        <v>-1</v>
      </c>
      <c r="O583" s="1">
        <f ca="1">IF(N583=1,O$3*L582/Prices!C582,-O$3*M582)</f>
        <v>-1.1428386522021211E-3</v>
      </c>
      <c r="P583" s="14"/>
      <c r="Q583" s="9">
        <f ca="1">Q582-T583*Prices!C583</f>
        <v>1.2935231361944317</v>
      </c>
      <c r="R583" s="1">
        <f t="shared" ca="1" si="58"/>
        <v>7.5668505126200982E-3</v>
      </c>
      <c r="S583" s="9">
        <f ca="1">IF(Prices!C582&lt;OFFSET(Prices!C582,-S$3,0),1,-1)</f>
        <v>-1</v>
      </c>
      <c r="T583" s="1">
        <f ca="1">IF(S583=1,T$3*Q582/Prices!C582,-T$3*R582)</f>
        <v>-1.544255206657163E-4</v>
      </c>
    </row>
    <row r="584" spans="1:20" x14ac:dyDescent="0.2">
      <c r="A584" s="4">
        <v>34324</v>
      </c>
      <c r="B584" s="9">
        <f ca="1">Prices!C583*(1+J584/(50*(ABS(O584)+ABS(T584)+0.0001)))</f>
        <v>108.58045836230693</v>
      </c>
      <c r="C584" s="21">
        <f t="shared" ca="1" si="53"/>
        <v>-1</v>
      </c>
      <c r="D584" s="9">
        <f ca="1">D583+C584*(Prices!C584-Prices!C583)/Prices!C583</f>
        <v>0.28530567102238563</v>
      </c>
      <c r="E584" s="9">
        <f t="shared" ca="1" si="54"/>
        <v>2.9198698718504335E-2</v>
      </c>
      <c r="F584" s="9">
        <f t="shared" ca="1" si="55"/>
        <v>0.31450436974088997</v>
      </c>
      <c r="G584" s="13">
        <f ca="1">IF((Prices!C584-Prices!C583)*C584&gt;0,1,0)</f>
        <v>0</v>
      </c>
      <c r="H584" s="9">
        <f>ABS(Prices!C584-Prices!C583)/Prices!C583</f>
        <v>4.8815765684323996E-3</v>
      </c>
      <c r="I584" s="13"/>
      <c r="J584" s="1">
        <f t="shared" ca="1" si="56"/>
        <v>-1.1798917972343109E-3</v>
      </c>
      <c r="K584" s="9"/>
      <c r="L584" s="9">
        <f ca="1">L583-O584*Prices!C584</f>
        <v>1.1343051874837202</v>
      </c>
      <c r="M584" s="1">
        <f t="shared" ca="1" si="57"/>
        <v>9.2569930828371796E-3</v>
      </c>
      <c r="N584" s="9">
        <f ca="1">IF(Prices!D583&gt;OFFSET(Prices!D583,-$N$3,0),1,-1)</f>
        <v>-1</v>
      </c>
      <c r="O584" s="1">
        <f ca="1">IF(N584=1,O$3*L583/Prices!C583,-O$3*M583)</f>
        <v>-1.028554786981909E-3</v>
      </c>
      <c r="P584" s="14"/>
      <c r="Q584" s="9">
        <f ca="1">Q583-T584*Prices!C584</f>
        <v>1.3103457582540887</v>
      </c>
      <c r="R584" s="1">
        <f t="shared" ca="1" si="58"/>
        <v>7.4155135023676964E-3</v>
      </c>
      <c r="S584" s="9">
        <f ca="1">IF(Prices!C583&lt;OFFSET(Prices!C583,-S$3,0),1,-1)</f>
        <v>-1</v>
      </c>
      <c r="T584" s="1">
        <f ca="1">IF(S584=1,T$3*Q583/Prices!C583,-T$3*R583)</f>
        <v>-1.5133701025240196E-4</v>
      </c>
    </row>
    <row r="585" spans="1:20" x14ac:dyDescent="0.2">
      <c r="A585" s="4">
        <v>34325</v>
      </c>
      <c r="B585" s="9">
        <f ca="1">Prices!C584*(1+J585/(50*(ABS(O585)+ABS(T585)+0.0001)))</f>
        <v>112.68820370568992</v>
      </c>
      <c r="C585" s="21">
        <f t="shared" ca="1" si="53"/>
        <v>1</v>
      </c>
      <c r="D585" s="9">
        <f ca="1">D584+C585*(Prices!C585-Prices!C584)/Prices!C584</f>
        <v>0.27837871888132776</v>
      </c>
      <c r="E585" s="9">
        <f t="shared" ca="1" si="54"/>
        <v>3.6125650859562208E-2</v>
      </c>
      <c r="F585" s="9">
        <f t="shared" ca="1" si="55"/>
        <v>0.31450436974088997</v>
      </c>
      <c r="G585" s="13">
        <f ca="1">IF((Prices!C585-Prices!C584)*C585&gt;0,1,0)</f>
        <v>0</v>
      </c>
      <c r="H585" s="9">
        <f>ABS(Prices!C585-Prices!C584)/Prices!C584</f>
        <v>6.926952141057899E-3</v>
      </c>
      <c r="I585" s="13"/>
      <c r="J585" s="1">
        <f t="shared" ca="1" si="56"/>
        <v>8.7211541138816271E-4</v>
      </c>
      <c r="K585" s="9"/>
      <c r="L585" s="9">
        <f ca="1">L584-O585*Prices!C585</f>
        <v>1.0216603965100535</v>
      </c>
      <c r="M585" s="1">
        <f t="shared" ca="1" si="57"/>
        <v>1.0277418764272697E-2</v>
      </c>
      <c r="N585" s="9">
        <f ca="1">IF(Prices!D584&gt;OFFSET(Prices!D584,-$N$3,0),1,-1)</f>
        <v>1</v>
      </c>
      <c r="O585" s="1">
        <f ca="1">IF(N585=1,O$3*L584/Prices!C584,-O$3*M584)</f>
        <v>1.0204256814355167E-3</v>
      </c>
      <c r="P585" s="14"/>
      <c r="Q585" s="9">
        <f ca="1">Q584-T585*Prices!C585</f>
        <v>1.3267177289646161</v>
      </c>
      <c r="R585" s="1">
        <f t="shared" ca="1" si="58"/>
        <v>7.2672032323203425E-3</v>
      </c>
      <c r="S585" s="9">
        <f ca="1">IF(Prices!C584&lt;OFFSET(Prices!C584,-S$3,0),1,-1)</f>
        <v>-1</v>
      </c>
      <c r="T585" s="1">
        <f ca="1">IF(S585=1,T$3*Q584/Prices!C584,-T$3*R584)</f>
        <v>-1.4831027004735394E-4</v>
      </c>
    </row>
    <row r="586" spans="1:20" x14ac:dyDescent="0.2">
      <c r="A586" s="4">
        <v>34326</v>
      </c>
      <c r="B586" s="9">
        <f ca="1">Prices!C585*(1+J586/(50*(ABS(O586)+ABS(T586)+0.0001)))</f>
        <v>108.35562112804561</v>
      </c>
      <c r="C586" s="21">
        <f t="shared" ca="1" si="53"/>
        <v>-1</v>
      </c>
      <c r="D586" s="9">
        <f ca="1">D585+C586*(Prices!C586-Prices!C585)/Prices!C585</f>
        <v>0.27575166932973788</v>
      </c>
      <c r="E586" s="9">
        <f t="shared" ca="1" si="54"/>
        <v>3.8752700411152086E-2</v>
      </c>
      <c r="F586" s="9">
        <f t="shared" ca="1" si="55"/>
        <v>0.31450436974088997</v>
      </c>
      <c r="G586" s="13">
        <f ca="1">IF((Prices!C586-Prices!C585)*C586&gt;0,1,0)</f>
        <v>0</v>
      </c>
      <c r="H586" s="9">
        <f>ABS(Prices!C586-Prices!C585)/Prices!C585</f>
        <v>2.6270495515898747E-3</v>
      </c>
      <c r="I586" s="13"/>
      <c r="J586" s="1">
        <f t="shared" ca="1" si="56"/>
        <v>-1.1730859410736766E-3</v>
      </c>
      <c r="K586" s="9"/>
      <c r="L586" s="9">
        <f ca="1">L585-O586*Prices!C586</f>
        <v>1.1354108673930237</v>
      </c>
      <c r="M586" s="1">
        <f t="shared" ca="1" si="57"/>
        <v>9.2496768878454275E-3</v>
      </c>
      <c r="N586" s="9">
        <f ca="1">IF(Prices!D585&gt;OFFSET(Prices!D585,-$N$3,0),1,-1)</f>
        <v>-1</v>
      </c>
      <c r="O586" s="1">
        <f ca="1">IF(N586=1,O$3*L585/Prices!C585,-O$3*M585)</f>
        <v>-1.0277418764272697E-3</v>
      </c>
      <c r="P586" s="14"/>
      <c r="Q586" s="9">
        <f ca="1">Q585-T586*Prices!C586</f>
        <v>1.3428044100396805</v>
      </c>
      <c r="R586" s="1">
        <f t="shared" ca="1" si="58"/>
        <v>7.1218591676739358E-3</v>
      </c>
      <c r="S586" s="9">
        <f ca="1">IF(Prices!C585&lt;OFFSET(Prices!C585,-S$3,0),1,-1)</f>
        <v>-1</v>
      </c>
      <c r="T586" s="1">
        <f ca="1">IF(S586=1,T$3*Q585/Prices!C585,-T$3*R585)</f>
        <v>-1.4534406464640685E-4</v>
      </c>
    </row>
    <row r="587" spans="1:20" x14ac:dyDescent="0.2">
      <c r="A587" s="4">
        <v>34327</v>
      </c>
      <c r="B587" s="9">
        <f ca="1">Prices!C586*(1+J587/(50*(ABS(O587)+ABS(T587)+0.0001)))</f>
        <v>108.65601716306237</v>
      </c>
      <c r="C587" s="21">
        <f t="shared" ca="1" si="53"/>
        <v>-1</v>
      </c>
      <c r="D587" s="9">
        <f ca="1">D586+C587*(Prices!C587-Prices!C586)/Prices!C586</f>
        <v>0.2739446581262685</v>
      </c>
      <c r="E587" s="9">
        <f t="shared" ca="1" si="54"/>
        <v>4.0559711614621463E-2</v>
      </c>
      <c r="F587" s="9">
        <f t="shared" ca="1" si="55"/>
        <v>0.31450436974088997</v>
      </c>
      <c r="G587" s="13">
        <f ca="1">IF((Prices!C587-Prices!C586)*C587&gt;0,1,0)</f>
        <v>0</v>
      </c>
      <c r="H587" s="9">
        <f>ABS(Prices!C587-Prices!C586)/Prices!C586</f>
        <v>1.8070112034693586E-3</v>
      </c>
      <c r="I587" s="13"/>
      <c r="J587" s="1">
        <f t="shared" ca="1" si="56"/>
        <v>-1.0674048721380216E-3</v>
      </c>
      <c r="K587" s="9"/>
      <c r="L587" s="9">
        <f ca="1">L586-O587*Prices!C587</f>
        <v>1.2379712847254538</v>
      </c>
      <c r="M587" s="1">
        <f t="shared" ca="1" si="57"/>
        <v>8.3247091990608854E-3</v>
      </c>
      <c r="N587" s="9">
        <f ca="1">IF(Prices!D586&gt;OFFSET(Prices!D586,-$N$3,0),1,-1)</f>
        <v>-1</v>
      </c>
      <c r="O587" s="1">
        <f ca="1">IF(N587=1,O$3*L586/Prices!C586,-O$3*M586)</f>
        <v>-9.2496768878454281E-4</v>
      </c>
      <c r="P587" s="14"/>
      <c r="Q587" s="9">
        <f ca="1">Q586-T587*Prices!C587</f>
        <v>1.3585978449299143</v>
      </c>
      <c r="R587" s="1">
        <f t="shared" ca="1" si="58"/>
        <v>6.9794219843204571E-3</v>
      </c>
      <c r="S587" s="9">
        <f ca="1">IF(Prices!C586&lt;OFFSET(Prices!C586,-S$3,0),1,-1)</f>
        <v>-1</v>
      </c>
      <c r="T587" s="1">
        <f ca="1">IF(S587=1,T$3*Q586/Prices!C586,-T$3*R586)</f>
        <v>-1.4243718335347873E-4</v>
      </c>
    </row>
    <row r="588" spans="1:20" x14ac:dyDescent="0.2">
      <c r="A588" s="4">
        <v>34330</v>
      </c>
      <c r="B588" s="9">
        <f ca="1">Prices!C587*(1+J588/(50*(ABS(O588)+ABS(T588)+0.0001)))</f>
        <v>108.86925421755404</v>
      </c>
      <c r="C588" s="21">
        <f t="shared" ca="1" si="53"/>
        <v>-1</v>
      </c>
      <c r="D588" s="9">
        <f ca="1">D587+C588*(Prices!C588-Prices!C587)/Prices!C587</f>
        <v>0.26871377789538831</v>
      </c>
      <c r="E588" s="9">
        <f t="shared" ca="1" si="54"/>
        <v>4.579059184550166E-2</v>
      </c>
      <c r="F588" s="9">
        <f t="shared" ca="1" si="55"/>
        <v>0.31450436974088997</v>
      </c>
      <c r="G588" s="13">
        <f ca="1">IF((Prices!C588-Prices!C587)*C588&gt;0,1,0)</f>
        <v>0</v>
      </c>
      <c r="H588" s="9">
        <f>ABS(Prices!C588-Prices!C587)/Prices!C587</f>
        <v>5.2308802308802154E-3</v>
      </c>
      <c r="I588" s="13"/>
      <c r="J588" s="1">
        <f t="shared" ca="1" si="56"/>
        <v>-9.7205935959249765E-4</v>
      </c>
      <c r="K588" s="9"/>
      <c r="L588" s="9">
        <f ca="1">L587-O588*Prices!C588</f>
        <v>1.3307584934581864</v>
      </c>
      <c r="M588" s="1">
        <f t="shared" ca="1" si="57"/>
        <v>7.4922382791547965E-3</v>
      </c>
      <c r="N588" s="9">
        <f ca="1">IF(Prices!D587&gt;OFFSET(Prices!D587,-$N$3,0),1,-1)</f>
        <v>-1</v>
      </c>
      <c r="O588" s="1">
        <f ca="1">IF(N588=1,O$3*L587/Prices!C587,-O$3*M587)</f>
        <v>-8.3247091990608856E-4</v>
      </c>
      <c r="P588" s="14"/>
      <c r="Q588" s="9">
        <f ca="1">Q587-T588*Prices!C588</f>
        <v>1.3741563724173615</v>
      </c>
      <c r="R588" s="1">
        <f t="shared" ca="1" si="58"/>
        <v>6.839833544634048E-3</v>
      </c>
      <c r="S588" s="9">
        <f ca="1">IF(Prices!C587&lt;OFFSET(Prices!C587,-S$3,0),1,-1)</f>
        <v>-1</v>
      </c>
      <c r="T588" s="1">
        <f ca="1">IF(S588=1,T$3*Q587/Prices!C587,-T$3*R587)</f>
        <v>-1.3958843968640914E-4</v>
      </c>
    </row>
    <row r="589" spans="1:20" x14ac:dyDescent="0.2">
      <c r="A589" s="4">
        <v>34331</v>
      </c>
      <c r="B589" s="9">
        <f ca="1">Prices!C588*(1+J589/(50*(ABS(O589)+ABS(T589)+0.0001)))</f>
        <v>109.45688049251456</v>
      </c>
      <c r="C589" s="21">
        <f t="shared" ca="1" si="53"/>
        <v>-1</v>
      </c>
      <c r="D589" s="9">
        <f ca="1">D588+C589*(Prices!C589-Prices!C588)/Prices!C588</f>
        <v>0.26898293274914736</v>
      </c>
      <c r="E589" s="9">
        <f t="shared" ca="1" si="54"/>
        <v>4.5521436991742603E-2</v>
      </c>
      <c r="F589" s="9">
        <f t="shared" ca="1" si="55"/>
        <v>0.31450436974088997</v>
      </c>
      <c r="G589" s="13">
        <f ca="1">IF((Prices!C589-Prices!C588)*C589&gt;0,1,0)</f>
        <v>1</v>
      </c>
      <c r="H589" s="9">
        <f>ABS(Prices!C589-Prices!C588)/Prices!C588</f>
        <v>2.6915485375907886E-4</v>
      </c>
      <c r="I589" s="13"/>
      <c r="J589" s="1">
        <f t="shared" ca="1" si="56"/>
        <v>-8.8602049880816063E-4</v>
      </c>
      <c r="K589" s="9"/>
      <c r="L589" s="9">
        <f ca="1">L588-O589*Prices!C589</f>
        <v>1.4142445046028083</v>
      </c>
      <c r="M589" s="1">
        <f t="shared" ca="1" si="57"/>
        <v>6.743014451239317E-3</v>
      </c>
      <c r="N589" s="9">
        <f ca="1">IF(Prices!D588&gt;OFFSET(Prices!D588,-$N$3,0),1,-1)</f>
        <v>-1</v>
      </c>
      <c r="O589" s="1">
        <f ca="1">IF(N589=1,O$3*L588/Prices!C588,-O$3*M588)</f>
        <v>-7.492238279154797E-4</v>
      </c>
      <c r="P589" s="14"/>
      <c r="Q589" s="9">
        <f ca="1">Q588-T589*Prices!C589</f>
        <v>1.389399625454933</v>
      </c>
      <c r="R589" s="1">
        <f t="shared" ca="1" si="58"/>
        <v>6.7030368737413673E-3</v>
      </c>
      <c r="S589" s="9">
        <f ca="1">IF(Prices!C588&lt;OFFSET(Prices!C588,-S$3,0),1,-1)</f>
        <v>-1</v>
      </c>
      <c r="T589" s="1">
        <f ca="1">IF(S589=1,T$3*Q588/Prices!C588,-T$3*R588)</f>
        <v>-1.3679667089268096E-4</v>
      </c>
    </row>
    <row r="590" spans="1:20" x14ac:dyDescent="0.2">
      <c r="A590" s="4">
        <v>34332</v>
      </c>
      <c r="B590" s="9">
        <f ca="1">Prices!C589*(1+J590/(50*(ABS(O590)+ABS(T590)+0.0001)))</f>
        <v>113.11284784268277</v>
      </c>
      <c r="C590" s="21">
        <f t="shared" ca="1" si="53"/>
        <v>1</v>
      </c>
      <c r="D590" s="9">
        <f ca="1">D589+C590*(Prices!C590-Prices!C589)/Prices!C589</f>
        <v>0.27239314543872822</v>
      </c>
      <c r="E590" s="9">
        <f t="shared" ca="1" si="54"/>
        <v>4.2111224302161743E-2</v>
      </c>
      <c r="F590" s="9">
        <f t="shared" ca="1" si="55"/>
        <v>0.31450436974088997</v>
      </c>
      <c r="G590" s="13">
        <f ca="1">IF((Prices!C590-Prices!C589)*C590&gt;0,1,0)</f>
        <v>1</v>
      </c>
      <c r="H590" s="9">
        <f>ABS(Prices!C590-Prices!C589)/Prices!C589</f>
        <v>3.4102126895808617E-3</v>
      </c>
      <c r="I590" s="13"/>
      <c r="J590" s="1">
        <f t="shared" ca="1" si="56"/>
        <v>1.1351167772005815E-3</v>
      </c>
      <c r="K590" s="9"/>
      <c r="L590" s="9">
        <f ca="1">L589-O590*Prices!C590</f>
        <v>1.2723377666869509</v>
      </c>
      <c r="M590" s="1">
        <f t="shared" ca="1" si="57"/>
        <v>8.012191965914725E-3</v>
      </c>
      <c r="N590" s="9">
        <f ca="1">IF(Prices!D589&gt;OFFSET(Prices!D589,-$N$3,0),1,-1)</f>
        <v>1</v>
      </c>
      <c r="O590" s="1">
        <f ca="1">IF(N590=1,O$3*L589/Prices!C589,-O$3*M589)</f>
        <v>1.2691775146754089E-3</v>
      </c>
      <c r="P590" s="14"/>
      <c r="Q590" s="9">
        <f ca="1">Q589-T590*Prices!C590</f>
        <v>1.4043889565119934</v>
      </c>
      <c r="R590" s="1">
        <f t="shared" ca="1" si="58"/>
        <v>6.5689761362665404E-3</v>
      </c>
      <c r="S590" s="9">
        <f ca="1">IF(Prices!C589&lt;OFFSET(Prices!C589,-S$3,0),1,-1)</f>
        <v>-1</v>
      </c>
      <c r="T590" s="1">
        <f ca="1">IF(S590=1,T$3*Q589/Prices!C589,-T$3*R589)</f>
        <v>-1.3406073747482735E-4</v>
      </c>
    </row>
    <row r="591" spans="1:20" x14ac:dyDescent="0.2">
      <c r="A591" s="4">
        <v>34333</v>
      </c>
      <c r="B591" s="9">
        <f ca="1">Prices!C590*(1+J591/(50*(ABS(O591)+ABS(T591)+0.0001)))</f>
        <v>113.45379039274124</v>
      </c>
      <c r="C591" s="21">
        <f t="shared" ca="1" si="53"/>
        <v>1</v>
      </c>
      <c r="D591" s="9">
        <f ca="1">D590+C591*(Prices!C591-Prices!C590)/Prices!C590</f>
        <v>0.27239314543872822</v>
      </c>
      <c r="E591" s="9">
        <f t="shared" ca="1" si="54"/>
        <v>4.2111224302161743E-2</v>
      </c>
      <c r="F591" s="9">
        <f t="shared" ca="1" si="55"/>
        <v>0.31450436974088997</v>
      </c>
      <c r="G591" s="13">
        <f ca="1">IF((Prices!C591-Prices!C590)*C591&gt;0,1,0)</f>
        <v>0</v>
      </c>
      <c r="H591" s="9">
        <f>ABS(Prices!C591-Prices!C590)/Prices!C590</f>
        <v>0</v>
      </c>
      <c r="I591" s="13"/>
      <c r="J591" s="1">
        <f t="shared" ca="1" si="56"/>
        <v>1.0065667850172244E-3</v>
      </c>
      <c r="K591" s="9"/>
      <c r="L591" s="9">
        <f ca="1">L590-O591*Prices!C591</f>
        <v>1.1451039900182558</v>
      </c>
      <c r="M591" s="1">
        <f t="shared" ca="1" si="57"/>
        <v>9.1501382736572795E-3</v>
      </c>
      <c r="N591" s="9">
        <f ca="1">IF(Prices!D590&gt;OFFSET(Prices!D590,-$N$3,0),1,-1)</f>
        <v>1</v>
      </c>
      <c r="O591" s="1">
        <f ca="1">IF(N591=1,O$3*L590/Prices!C590,-O$3*M590)</f>
        <v>1.1379463077425551E-3</v>
      </c>
      <c r="P591" s="14"/>
      <c r="Q591" s="9">
        <f ca="1">Q590-T591*Prices!C591</f>
        <v>1.4190785009479125</v>
      </c>
      <c r="R591" s="1">
        <f t="shared" ca="1" si="58"/>
        <v>6.4375966135412094E-3</v>
      </c>
      <c r="S591" s="9">
        <f ca="1">IF(Prices!C590&lt;OFFSET(Prices!C590,-S$3,0),1,-1)</f>
        <v>-1</v>
      </c>
      <c r="T591" s="1">
        <f ca="1">IF(S591=1,T$3*Q590/Prices!C590,-T$3*R590)</f>
        <v>-1.3137952272533081E-4</v>
      </c>
    </row>
    <row r="592" spans="1:20" x14ac:dyDescent="0.2">
      <c r="A592" s="4">
        <v>34334</v>
      </c>
      <c r="B592" s="9">
        <f ca="1">Prices!C591*(1+J592/(50*(ABS(O592)+ABS(T592)+0.0001)))</f>
        <v>113.40812206966861</v>
      </c>
      <c r="C592" s="21">
        <f t="shared" ca="1" si="53"/>
        <v>1</v>
      </c>
      <c r="D592" s="9">
        <f ca="1">D591+C592*(Prices!C592-Prices!C591)/Prices!C591</f>
        <v>0.27275089519277518</v>
      </c>
      <c r="E592" s="9">
        <f t="shared" ca="1" si="54"/>
        <v>4.1753474548114788E-2</v>
      </c>
      <c r="F592" s="9">
        <f t="shared" ca="1" si="55"/>
        <v>0.31450436974088997</v>
      </c>
      <c r="G592" s="13">
        <f ca="1">IF((Prices!C592-Prices!C591)*C592&gt;0,1,0)</f>
        <v>1</v>
      </c>
      <c r="H592" s="9">
        <f>ABS(Prices!C592-Prices!C591)/Prices!C591</f>
        <v>3.577497540469729E-4</v>
      </c>
      <c r="I592" s="13"/>
      <c r="J592" s="1">
        <f t="shared" ca="1" si="56"/>
        <v>8.9539974469747541E-4</v>
      </c>
      <c r="K592" s="9"/>
      <c r="L592" s="9">
        <f ca="1">L591-O592*Prices!C592</f>
        <v>1.0305526249493515</v>
      </c>
      <c r="M592" s="1">
        <f t="shared" ca="1" si="57"/>
        <v>1.017428995062558E-2</v>
      </c>
      <c r="N592" s="9">
        <f ca="1">IF(Prices!D591&gt;OFFSET(Prices!D591,-$N$3,0),1,-1)</f>
        <v>1</v>
      </c>
      <c r="O592" s="1">
        <f ca="1">IF(N592=1,O$3*L591/Prices!C591,-O$3*M591)</f>
        <v>1.0241516769682996E-3</v>
      </c>
      <c r="P592" s="14"/>
      <c r="Q592" s="9">
        <f ca="1">Q591-T592*Prices!C592</f>
        <v>1.4334794045724042</v>
      </c>
      <c r="R592" s="1">
        <f t="shared" ca="1" si="58"/>
        <v>6.3088446812703857E-3</v>
      </c>
      <c r="S592" s="9">
        <f ca="1">IF(Prices!C591&lt;OFFSET(Prices!C591,-S$3,0),1,-1)</f>
        <v>-1</v>
      </c>
      <c r="T592" s="1">
        <f ca="1">IF(S592=1,T$3*Q591/Prices!C591,-T$3*R591)</f>
        <v>-1.2875193227082418E-4</v>
      </c>
    </row>
    <row r="593" spans="1:20" x14ac:dyDescent="0.2">
      <c r="A593" s="4">
        <v>34337</v>
      </c>
      <c r="B593" s="9">
        <f ca="1">Prices!C592*(1+J593/(50*(ABS(O593)+ABS(T593)+0.0001)))</f>
        <v>113.40013024806048</v>
      </c>
      <c r="C593" s="21">
        <f t="shared" ca="1" si="53"/>
        <v>1</v>
      </c>
      <c r="D593" s="9">
        <f ca="1">D592+C593*(Prices!C593-Prices!C592)/Prices!C592</f>
        <v>0.28035035876005288</v>
      </c>
      <c r="E593" s="9">
        <f t="shared" ca="1" si="54"/>
        <v>3.4154010980837091E-2</v>
      </c>
      <c r="F593" s="9">
        <f t="shared" ca="1" si="55"/>
        <v>0.31450436974088997</v>
      </c>
      <c r="G593" s="13">
        <f ca="1">IF((Prices!C593-Prices!C592)*C593&gt;0,1,0)</f>
        <v>1</v>
      </c>
      <c r="H593" s="9">
        <f>ABS(Prices!C593-Prices!C592)/Prices!C592</f>
        <v>7.5994635672776804E-3</v>
      </c>
      <c r="I593" s="13"/>
      <c r="J593" s="1">
        <f t="shared" ca="1" si="56"/>
        <v>7.9519335666458039E-4</v>
      </c>
      <c r="K593" s="9"/>
      <c r="L593" s="9">
        <f ca="1">L592-O593*Prices!C593</f>
        <v>0.92671419774166985</v>
      </c>
      <c r="M593" s="1">
        <f t="shared" ca="1" si="57"/>
        <v>1.1095660200915567E-2</v>
      </c>
      <c r="N593" s="9">
        <f ca="1">IF(Prices!D592&gt;OFFSET(Prices!D592,-$N$3,0),1,-1)</f>
        <v>1</v>
      </c>
      <c r="O593" s="1">
        <f ca="1">IF(N593=1,O$3*L592/Prices!C592,-O$3*M592)</f>
        <v>9.2137025028998809E-4</v>
      </c>
      <c r="P593" s="14"/>
      <c r="Q593" s="9">
        <f ca="1">Q592-T593*Prices!C593</f>
        <v>1.4476995404839876</v>
      </c>
      <c r="R593" s="1">
        <f t="shared" ca="1" si="58"/>
        <v>6.1826677876449781E-3</v>
      </c>
      <c r="S593" s="9">
        <f ca="1">IF(Prices!C592&lt;OFFSET(Prices!C592,-S$3,0),1,-1)</f>
        <v>-1</v>
      </c>
      <c r="T593" s="1">
        <f ca="1">IF(S593=1,T$3*Q592/Prices!C592,-T$3*R592)</f>
        <v>-1.2617689362540773E-4</v>
      </c>
    </row>
    <row r="594" spans="1:20" x14ac:dyDescent="0.2">
      <c r="A594" s="4">
        <v>34338</v>
      </c>
      <c r="B594" s="9">
        <f ca="1">Prices!C593*(1+J594/(50*(ABS(O594)+ABS(T594)+0.0001)))</f>
        <v>114.2055524593647</v>
      </c>
      <c r="C594" s="21">
        <f t="shared" ref="C594:C657" ca="1" si="59">IF(J594&gt;0,1,IF(J594&lt;0,-1,0))</f>
        <v>1</v>
      </c>
      <c r="D594" s="9">
        <f ca="1">D593+C594*(Prices!C594-Prices!C593)/Prices!C593</f>
        <v>0.27981797189226226</v>
      </c>
      <c r="E594" s="9">
        <f t="shared" ref="E594:E657" ca="1" si="60">F594-D594</f>
        <v>3.4686397848627704E-2</v>
      </c>
      <c r="F594" s="9">
        <f t="shared" ref="F594:F657" ca="1" si="61">MAX(F593,D594)</f>
        <v>0.31450436974088997</v>
      </c>
      <c r="G594" s="13">
        <f ca="1">IF((Prices!C594-Prices!C593)*C594&gt;0,1,0)</f>
        <v>0</v>
      </c>
      <c r="H594" s="9">
        <f>ABS(Prices!C594-Prices!C593)/Prices!C593</f>
        <v>5.3238686779061468E-4</v>
      </c>
      <c r="I594" s="13"/>
      <c r="J594" s="1">
        <f t="shared" ref="J594:J657" ca="1" si="62">O594+T594</f>
        <v>6.9863075936836918E-4</v>
      </c>
      <c r="K594" s="9"/>
      <c r="L594" s="9">
        <f ca="1">L593-O594*Prices!C594</f>
        <v>0.83409211501441016</v>
      </c>
      <c r="M594" s="1">
        <f t="shared" ref="M594:M657" ca="1" si="63">M593+O594</f>
        <v>1.1917944316036835E-2</v>
      </c>
      <c r="N594" s="9">
        <f ca="1">IF(Prices!D593&gt;OFFSET(Prices!D593,-$N$3,0),1,-1)</f>
        <v>1</v>
      </c>
      <c r="O594" s="1">
        <f ca="1">IF(N594=1,O$3*L593/Prices!C593,-O$3*M593)</f>
        <v>8.222841151212687E-4</v>
      </c>
      <c r="P594" s="14"/>
      <c r="Q594" s="9">
        <f ca="1">Q593-T594*Prices!C594</f>
        <v>1.4616278544759942</v>
      </c>
      <c r="R594" s="1">
        <f t="shared" ref="R594:R657" ca="1" si="64">R593+T594</f>
        <v>6.0590144318920782E-3</v>
      </c>
      <c r="S594" s="9">
        <f ca="1">IF(Prices!C593&lt;OFFSET(Prices!C593,-S$3,0),1,-1)</f>
        <v>-1</v>
      </c>
      <c r="T594" s="1">
        <f ca="1">IF(S594=1,T$3*Q593/Prices!C593,-T$3*R593)</f>
        <v>-1.2365335575289957E-4</v>
      </c>
    </row>
    <row r="595" spans="1:20" x14ac:dyDescent="0.2">
      <c r="A595" s="4">
        <v>34339</v>
      </c>
      <c r="B595" s="9">
        <f ca="1">Prices!C594*(1+J595/(50*(ABS(O595)+ABS(T595)+0.0001)))</f>
        <v>114.0907923450889</v>
      </c>
      <c r="C595" s="21">
        <f t="shared" ca="1" si="59"/>
        <v>1</v>
      </c>
      <c r="D595" s="9">
        <f ca="1">D594+C595*(Prices!C595-Prices!C594)/Prices!C594</f>
        <v>0.28354666507408044</v>
      </c>
      <c r="E595" s="9">
        <f t="shared" ca="1" si="60"/>
        <v>3.0957704666809527E-2</v>
      </c>
      <c r="F595" s="9">
        <f t="shared" ca="1" si="61"/>
        <v>0.31450436974088997</v>
      </c>
      <c r="G595" s="13">
        <f ca="1">IF((Prices!C595-Prices!C594)*C595&gt;0,1,0)</f>
        <v>1</v>
      </c>
      <c r="H595" s="9">
        <f>ABS(Prices!C595-Prices!C594)/Prices!C594</f>
        <v>3.7286931818181972E-3</v>
      </c>
      <c r="I595" s="13"/>
      <c r="J595" s="1">
        <f t="shared" ca="1" si="62"/>
        <v>6.1931342142466754E-4</v>
      </c>
      <c r="K595" s="9"/>
      <c r="L595" s="9">
        <f ca="1">L594-O595*Prices!C595</f>
        <v>0.75037189615474287</v>
      </c>
      <c r="M595" s="1">
        <f t="shared" ca="1" si="63"/>
        <v>1.2658438026099344E-2</v>
      </c>
      <c r="N595" s="9">
        <f ca="1">IF(Prices!D594&gt;OFFSET(Prices!D594,-$N$3,0),1,-1)</f>
        <v>1</v>
      </c>
      <c r="O595" s="1">
        <f ca="1">IF(N595=1,O$3*L594/Prices!C594,-O$3*M594)</f>
        <v>7.4049371006250906E-4</v>
      </c>
      <c r="P595" s="14"/>
      <c r="Q595" s="9">
        <f ca="1">Q594-T595*Prices!C595</f>
        <v>1.4753284979093886</v>
      </c>
      <c r="R595" s="1">
        <f t="shared" ca="1" si="64"/>
        <v>5.9378341432542369E-3</v>
      </c>
      <c r="S595" s="9">
        <f ca="1">IF(Prices!C594&lt;OFFSET(Prices!C594,-S$3,0),1,-1)</f>
        <v>-1</v>
      </c>
      <c r="T595" s="1">
        <f ca="1">IF(S595=1,T$3*Q594/Prices!C594,-T$3*R594)</f>
        <v>-1.2118028863784156E-4</v>
      </c>
    </row>
    <row r="596" spans="1:20" x14ac:dyDescent="0.2">
      <c r="A596" s="4">
        <v>34340</v>
      </c>
      <c r="B596" s="9">
        <f ca="1">Prices!C595*(1+J596/(50*(ABS(O596)+ABS(T596)+0.0001)))</f>
        <v>110.95111033682954</v>
      </c>
      <c r="C596" s="21">
        <f t="shared" ca="1" si="59"/>
        <v>-1</v>
      </c>
      <c r="D596" s="9">
        <f ca="1">D595+C596*(Prices!C596-Prices!C595)/Prices!C595</f>
        <v>0.28743840397377968</v>
      </c>
      <c r="E596" s="9">
        <f t="shared" ca="1" si="60"/>
        <v>2.7065965767110289E-2</v>
      </c>
      <c r="F596" s="9">
        <f t="shared" ca="1" si="61"/>
        <v>0.31450436974088997</v>
      </c>
      <c r="G596" s="13">
        <f ca="1">IF((Prices!C596-Prices!C595)*C596&gt;0,1,0)</f>
        <v>1</v>
      </c>
      <c r="H596" s="9">
        <f>ABS(Prices!C596-Prices!C595)/Prices!C595</f>
        <v>3.8917388996992544E-3</v>
      </c>
      <c r="I596" s="13"/>
      <c r="J596" s="1">
        <f t="shared" ca="1" si="62"/>
        <v>-1.3846004854750193E-3</v>
      </c>
      <c r="K596" s="9"/>
      <c r="L596" s="9">
        <f ca="1">L595-O596*Prices!C596</f>
        <v>0.89293122520467372</v>
      </c>
      <c r="M596" s="1">
        <f t="shared" ca="1" si="63"/>
        <v>1.139259422348941E-2</v>
      </c>
      <c r="N596" s="9">
        <f ca="1">IF(Prices!D595&gt;OFFSET(Prices!D595,-$N$3,0),1,-1)</f>
        <v>-1</v>
      </c>
      <c r="O596" s="1">
        <f ca="1">IF(N596=1,O$3*L595/Prices!C595,-O$3*M595)</f>
        <v>-1.2658438026099345E-3</v>
      </c>
      <c r="P596" s="14"/>
      <c r="Q596" s="9">
        <f ca="1">Q595-T596*Prices!C596</f>
        <v>1.4887028755336544</v>
      </c>
      <c r="R596" s="1">
        <f t="shared" ca="1" si="64"/>
        <v>5.8190774603891519E-3</v>
      </c>
      <c r="S596" s="9">
        <f ca="1">IF(Prices!C595&lt;OFFSET(Prices!C595,-S$3,0),1,-1)</f>
        <v>-1</v>
      </c>
      <c r="T596" s="1">
        <f ca="1">IF(S596=1,T$3*Q595/Prices!C595,-T$3*R595)</f>
        <v>-1.1875668286508474E-4</v>
      </c>
    </row>
    <row r="597" spans="1:20" x14ac:dyDescent="0.2">
      <c r="A597" s="4">
        <v>34341</v>
      </c>
      <c r="B597" s="9">
        <f ca="1">Prices!C596*(1+J597/(50*(ABS(O597)+ABS(T597)+0.0001)))</f>
        <v>110.53375018631472</v>
      </c>
      <c r="C597" s="21">
        <f t="shared" ca="1" si="59"/>
        <v>-1</v>
      </c>
      <c r="D597" s="9">
        <f ca="1">D596+C597*(Prices!C597-Prices!C596)/Prices!C596</f>
        <v>0.2937427904060298</v>
      </c>
      <c r="E597" s="9">
        <f t="shared" ca="1" si="60"/>
        <v>2.076157933486017E-2</v>
      </c>
      <c r="F597" s="9">
        <f t="shared" ca="1" si="61"/>
        <v>0.31450436974088997</v>
      </c>
      <c r="G597" s="13">
        <f ca="1">IF((Prices!C597-Prices!C596)*C597&gt;0,1,0)</f>
        <v>1</v>
      </c>
      <c r="H597" s="9">
        <f>ABS(Prices!C597-Prices!C596)/Prices!C596</f>
        <v>6.3043864322501145E-3</v>
      </c>
      <c r="I597" s="13"/>
      <c r="J597" s="1">
        <f t="shared" ca="1" si="62"/>
        <v>-1.2556409715567241E-3</v>
      </c>
      <c r="K597" s="9"/>
      <c r="L597" s="9">
        <f ca="1">L596-O597*Prices!C597</f>
        <v>1.0204257471597438</v>
      </c>
      <c r="M597" s="1">
        <f t="shared" ca="1" si="63"/>
        <v>1.0253334801140469E-2</v>
      </c>
      <c r="N597" s="9">
        <f ca="1">IF(Prices!D596&gt;OFFSET(Prices!D596,-$N$3,0),1,-1)</f>
        <v>-1</v>
      </c>
      <c r="O597" s="1">
        <f ca="1">IF(N597=1,O$3*L596/Prices!C596,-O$3*M596)</f>
        <v>-1.1392594223489411E-3</v>
      </c>
      <c r="P597" s="14"/>
      <c r="Q597" s="9">
        <f ca="1">Q596-T597*Prices!C597</f>
        <v>1.5017271347054975</v>
      </c>
      <c r="R597" s="1">
        <f t="shared" ca="1" si="64"/>
        <v>5.7026959111813689E-3</v>
      </c>
      <c r="S597" s="9">
        <f ca="1">IF(Prices!C596&lt;OFFSET(Prices!C596,-S$3,0),1,-1)</f>
        <v>-1</v>
      </c>
      <c r="T597" s="1">
        <f ca="1">IF(S597=1,T$3*Q596/Prices!C596,-T$3*R596)</f>
        <v>-1.1638154920778303E-4</v>
      </c>
    </row>
    <row r="598" spans="1:20" x14ac:dyDescent="0.2">
      <c r="A598" s="4">
        <v>34344</v>
      </c>
      <c r="B598" s="9">
        <f ca="1">Prices!C597*(1+J598/(50*(ABS(O598)+ABS(T598)+0.0001)))</f>
        <v>110.69439214480732</v>
      </c>
      <c r="C598" s="21">
        <f t="shared" ca="1" si="59"/>
        <v>-1</v>
      </c>
      <c r="D598" s="9">
        <f ca="1">D597+C598*(Prices!C598-Prices!C597)/Prices!C597</f>
        <v>0.29070463474523089</v>
      </c>
      <c r="E598" s="9">
        <f t="shared" ca="1" si="60"/>
        <v>2.3799734995659072E-2</v>
      </c>
      <c r="F598" s="9">
        <f t="shared" ca="1" si="61"/>
        <v>0.31450436974088997</v>
      </c>
      <c r="G598" s="13">
        <f ca="1">IF((Prices!C598-Prices!C597)*C598&gt;0,1,0)</f>
        <v>0</v>
      </c>
      <c r="H598" s="9">
        <f>ABS(Prices!C598-Prices!C597)/Prices!C597</f>
        <v>3.0381556607988868E-3</v>
      </c>
      <c r="I598" s="13"/>
      <c r="J598" s="1">
        <f t="shared" ca="1" si="62"/>
        <v>-7.5695225686223805E-4</v>
      </c>
      <c r="K598" s="9"/>
      <c r="L598" s="9">
        <f ca="1">L597-O598*Prices!C598</f>
        <v>1.1355194303025455</v>
      </c>
      <c r="M598" s="1">
        <f t="shared" ca="1" si="63"/>
        <v>9.228001321026422E-3</v>
      </c>
      <c r="N598" s="9">
        <f ca="1">IF(Prices!D597&gt;OFFSET(Prices!D597,-$N$3,0),1,-1)</f>
        <v>-1</v>
      </c>
      <c r="O598" s="1">
        <f ca="1">IF(N598=1,O$3*L597/Prices!C597,-O$3*M597)</f>
        <v>-1.0253334801140471E-3</v>
      </c>
      <c r="P598" s="14"/>
      <c r="Q598" s="9">
        <f ca="1">Q597-T598*Prices!C598</f>
        <v>1.4716013423954819</v>
      </c>
      <c r="R598" s="1">
        <f t="shared" ca="1" si="64"/>
        <v>5.9710771344331781E-3</v>
      </c>
      <c r="S598" s="9">
        <f ca="1">IF(Prices!C597&lt;OFFSET(Prices!C597,-S$3,0),1,-1)</f>
        <v>1</v>
      </c>
      <c r="T598" s="1">
        <f ca="1">IF(S598=1,T$3*Q597/Prices!C597,-T$3*R597)</f>
        <v>2.6838122325180907E-4</v>
      </c>
    </row>
    <row r="599" spans="1:20" x14ac:dyDescent="0.2">
      <c r="A599" s="4">
        <v>34345</v>
      </c>
      <c r="B599" s="9">
        <f ca="1">Prices!C598*(1+J599/(50*(ABS(O599)+ABS(T599)+0.0001)))</f>
        <v>111.0958795198265</v>
      </c>
      <c r="C599" s="21">
        <f t="shared" ca="1" si="59"/>
        <v>-1</v>
      </c>
      <c r="D599" s="9">
        <f ca="1">D598+C599*(Prices!C599-Prices!C598)/Prices!C598</f>
        <v>0.28954650556928441</v>
      </c>
      <c r="E599" s="9">
        <f t="shared" ca="1" si="60"/>
        <v>2.4957864171605559E-2</v>
      </c>
      <c r="F599" s="9">
        <f t="shared" ca="1" si="61"/>
        <v>0.31450436974088997</v>
      </c>
      <c r="G599" s="13">
        <f ca="1">IF((Prices!C599-Prices!C598)*C599&gt;0,1,0)</f>
        <v>0</v>
      </c>
      <c r="H599" s="9">
        <f>ABS(Prices!C599-Prices!C598)/Prices!C598</f>
        <v>1.1581291759465073E-3</v>
      </c>
      <c r="I599" s="13"/>
      <c r="J599" s="1">
        <f t="shared" ca="1" si="62"/>
        <v>-6.6059944748874798E-4</v>
      </c>
      <c r="K599" s="9"/>
      <c r="L599" s="9">
        <f ca="1">L598-O599*Prices!C599</f>
        <v>1.2392237091482405</v>
      </c>
      <c r="M599" s="1">
        <f t="shared" ca="1" si="63"/>
        <v>8.3052011889237793E-3</v>
      </c>
      <c r="N599" s="9">
        <f ca="1">IF(Prices!D598&gt;OFFSET(Prices!D598,-$N$3,0),1,-1)</f>
        <v>-1</v>
      </c>
      <c r="O599" s="1">
        <f ca="1">IF(N599=1,O$3*L598/Prices!C598,-O$3*M598)</f>
        <v>-9.2280013210264229E-4</v>
      </c>
      <c r="P599" s="14"/>
      <c r="Q599" s="9">
        <f ca="1">Q598-T599*Prices!C599</f>
        <v>1.4421352294585725</v>
      </c>
      <c r="R599" s="1">
        <f t="shared" ca="1" si="64"/>
        <v>6.2332778190470721E-3</v>
      </c>
      <c r="S599" s="9">
        <f ca="1">IF(Prices!C598&lt;OFFSET(Prices!C598,-S$3,0),1,-1)</f>
        <v>1</v>
      </c>
      <c r="T599" s="1">
        <f ca="1">IF(S599=1,T$3*Q598/Prices!C598,-T$3*R598)</f>
        <v>2.6220068461389431E-4</v>
      </c>
    </row>
    <row r="600" spans="1:20" x14ac:dyDescent="0.2">
      <c r="A600" s="4">
        <v>34346</v>
      </c>
      <c r="B600" s="9">
        <f ca="1">Prices!C599*(1+J600/(50*(ABS(O600)+ABS(T600)+0.0001)))</f>
        <v>111.29353458408099</v>
      </c>
      <c r="C600" s="21">
        <f t="shared" ca="1" si="59"/>
        <v>-1</v>
      </c>
      <c r="D600" s="9">
        <f ca="1">D599+C600*(Prices!C600-Prices!C599)/Prices!C599</f>
        <v>0.29114821405833935</v>
      </c>
      <c r="E600" s="9">
        <f t="shared" ca="1" si="60"/>
        <v>2.3356155682550617E-2</v>
      </c>
      <c r="F600" s="9">
        <f t="shared" ca="1" si="61"/>
        <v>0.31450436974088997</v>
      </c>
      <c r="G600" s="13">
        <f ca="1">IF((Prices!C600-Prices!C599)*C600&gt;0,1,0)</f>
        <v>1</v>
      </c>
      <c r="H600" s="9">
        <f>ABS(Prices!C600-Prices!C599)/Prices!C599</f>
        <v>1.6017084890549262E-3</v>
      </c>
      <c r="I600" s="13"/>
      <c r="J600" s="1">
        <f t="shared" ca="1" si="62"/>
        <v>-5.7386675896025979E-4</v>
      </c>
      <c r="K600" s="9"/>
      <c r="L600" s="9">
        <f ca="1">L599-O600*Prices!C600</f>
        <v>1.3324080664879654</v>
      </c>
      <c r="M600" s="1">
        <f t="shared" ca="1" si="63"/>
        <v>7.4746810700314012E-3</v>
      </c>
      <c r="N600" s="9">
        <f ca="1">IF(Prices!D599&gt;OFFSET(Prices!D599,-$N$3,0),1,-1)</f>
        <v>-1</v>
      </c>
      <c r="O600" s="1">
        <f ca="1">IF(N600=1,O$3*L599/Prices!C599,-O$3*M599)</f>
        <v>-8.30520118892378E-4</v>
      </c>
      <c r="P600" s="14"/>
      <c r="Q600" s="9">
        <f ca="1">Q599-T600*Prices!C600</f>
        <v>1.4133387224741889</v>
      </c>
      <c r="R600" s="1">
        <f t="shared" ca="1" si="64"/>
        <v>6.48993117897919E-3</v>
      </c>
      <c r="S600" s="9">
        <f ca="1">IF(Prices!C599&lt;OFFSET(Prices!C599,-S$3,0),1,-1)</f>
        <v>1</v>
      </c>
      <c r="T600" s="1">
        <f ca="1">IF(S600=1,T$3*Q599/Prices!C599,-T$3*R599)</f>
        <v>2.5665335993211826E-4</v>
      </c>
    </row>
    <row r="601" spans="1:20" x14ac:dyDescent="0.2">
      <c r="A601" s="4">
        <v>34347</v>
      </c>
      <c r="B601" s="9">
        <f ca="1">Prices!C600*(1+J601/(50*(ABS(O601)+ABS(T601)+0.0001)))</f>
        <v>111.18855484956083</v>
      </c>
      <c r="C601" s="21">
        <f t="shared" ca="1" si="59"/>
        <v>-1</v>
      </c>
      <c r="D601" s="9">
        <f ca="1">D600+C601*(Prices!C601-Prices!C600)/Prices!C600</f>
        <v>0.2949806561260756</v>
      </c>
      <c r="E601" s="9">
        <f t="shared" ca="1" si="60"/>
        <v>1.9523713614814364E-2</v>
      </c>
      <c r="F601" s="9">
        <f t="shared" ca="1" si="61"/>
        <v>0.31450436974088997</v>
      </c>
      <c r="G601" s="13">
        <f ca="1">IF((Prices!C601-Prices!C600)*C601&gt;0,1,0)</f>
        <v>1</v>
      </c>
      <c r="H601" s="9">
        <f>ABS(Prices!C601-Prices!C600)/Prices!C600</f>
        <v>3.832442067736246E-3</v>
      </c>
      <c r="I601" s="13"/>
      <c r="J601" s="1">
        <f t="shared" ca="1" si="62"/>
        <v>-4.9553607091148435E-4</v>
      </c>
      <c r="K601" s="9"/>
      <c r="L601" s="9">
        <f ca="1">L600-O601*Prices!C601</f>
        <v>1.4159525768077064</v>
      </c>
      <c r="M601" s="1">
        <f t="shared" ca="1" si="63"/>
        <v>6.7272129630282611E-3</v>
      </c>
      <c r="N601" s="9">
        <f ca="1">IF(Prices!D600&gt;OFFSET(Prices!D600,-$N$3,0),1,-1)</f>
        <v>-1</v>
      </c>
      <c r="O601" s="1">
        <f ca="1">IF(N601=1,O$3*L600/Prices!C600,-O$3*M600)</f>
        <v>-7.4746810700314012E-4</v>
      </c>
      <c r="P601" s="14"/>
      <c r="Q601" s="9">
        <f ca="1">Q600-T601*Prices!C601</f>
        <v>1.3851802788002245</v>
      </c>
      <c r="R601" s="1">
        <f t="shared" ca="1" si="64"/>
        <v>6.7418632150708455E-3</v>
      </c>
      <c r="S601" s="9">
        <f ca="1">IF(Prices!C600&lt;OFFSET(Prices!C600,-S$3,0),1,-1)</f>
        <v>1</v>
      </c>
      <c r="T601" s="1">
        <f ca="1">IF(S601=1,T$3*Q600/Prices!C600,-T$3*R600)</f>
        <v>2.5193203609165577E-4</v>
      </c>
    </row>
    <row r="602" spans="1:20" x14ac:dyDescent="0.2">
      <c r="A602" s="4">
        <v>34348</v>
      </c>
      <c r="B602" s="9">
        <f ca="1">Prices!C601*(1+J602/(50*(ABS(O602)+ABS(T602)+0.0001)))</f>
        <v>113.86696007042086</v>
      </c>
      <c r="C602" s="21">
        <f t="shared" ca="1" si="59"/>
        <v>1</v>
      </c>
      <c r="D602" s="9">
        <f ca="1">D601+C602*(Prices!C602-Prices!C601)/Prices!C601</f>
        <v>0.28809150876989775</v>
      </c>
      <c r="E602" s="9">
        <f t="shared" ca="1" si="60"/>
        <v>2.6412860970992214E-2</v>
      </c>
      <c r="F602" s="9">
        <f t="shared" ca="1" si="61"/>
        <v>0.31450436974088997</v>
      </c>
      <c r="G602" s="13">
        <f ca="1">IF((Prices!C602-Prices!C601)*C602&gt;0,1,0)</f>
        <v>0</v>
      </c>
      <c r="H602" s="9">
        <f>ABS(Prices!C602-Prices!C601)/Prices!C601</f>
        <v>6.8891473561778303E-3</v>
      </c>
      <c r="I602" s="13"/>
      <c r="J602" s="1">
        <f t="shared" ca="1" si="62"/>
        <v>1.5147075535186108E-3</v>
      </c>
      <c r="K602" s="9"/>
      <c r="L602" s="9">
        <f ca="1">L601-O602*Prices!C602</f>
        <v>1.2753327897220346</v>
      </c>
      <c r="M602" s="1">
        <f t="shared" ca="1" si="63"/>
        <v>7.994057891728008E-3</v>
      </c>
      <c r="N602" s="9">
        <f ca="1">IF(Prices!D601&gt;OFFSET(Prices!D601,-$N$3,0),1,-1)</f>
        <v>1</v>
      </c>
      <c r="O602" s="1">
        <f ca="1">IF(N602=1,O$3*L601/Prices!C601,-O$3*M601)</f>
        <v>1.2668449286997463E-3</v>
      </c>
      <c r="P602" s="14"/>
      <c r="Q602" s="9">
        <f ca="1">Q601-T602*Prices!C602</f>
        <v>1.3576675274453305</v>
      </c>
      <c r="R602" s="1">
        <f t="shared" ca="1" si="64"/>
        <v>6.9897258398897103E-3</v>
      </c>
      <c r="S602" s="9">
        <f ca="1">IF(Prices!C601&lt;OFFSET(Prices!C601,-S$3,0),1,-1)</f>
        <v>1</v>
      </c>
      <c r="T602" s="1">
        <f ca="1">IF(S602=1,T$3*Q601/Prices!C601,-T$3*R601)</f>
        <v>2.4786262481886457E-4</v>
      </c>
    </row>
    <row r="603" spans="1:20" x14ac:dyDescent="0.2">
      <c r="A603" s="4">
        <v>34351</v>
      </c>
      <c r="B603" s="9">
        <f ca="1">Prices!C602*(1+J603/(50*(ABS(O603)+ABS(T603)+0.0001)))</f>
        <v>113.07136316438074</v>
      </c>
      <c r="C603" s="21">
        <f t="shared" ca="1" si="59"/>
        <v>1</v>
      </c>
      <c r="D603" s="9">
        <f ca="1">D602+C603*(Prices!C603-Prices!C602)/Prices!C602</f>
        <v>0.28827168895007788</v>
      </c>
      <c r="E603" s="9">
        <f t="shared" ca="1" si="60"/>
        <v>2.6232680790812091E-2</v>
      </c>
      <c r="F603" s="9">
        <f t="shared" ca="1" si="61"/>
        <v>0.31450436974088997</v>
      </c>
      <c r="G603" s="13">
        <f ca="1">IF((Prices!C603-Prices!C602)*C603&gt;0,1,0)</f>
        <v>1</v>
      </c>
      <c r="H603" s="9">
        <f>ABS(Prices!C603-Prices!C602)/Prices!C602</f>
        <v>1.8018018018014432E-4</v>
      </c>
      <c r="I603" s="13"/>
      <c r="J603" s="1">
        <f t="shared" ca="1" si="62"/>
        <v>1.3935732389289193E-3</v>
      </c>
      <c r="K603" s="9"/>
      <c r="L603" s="9">
        <f ca="1">L602-O603*Prices!C603</f>
        <v>1.147776531780647</v>
      </c>
      <c r="M603" s="1">
        <f t="shared" ca="1" si="63"/>
        <v>9.1430063509370489E-3</v>
      </c>
      <c r="N603" s="9">
        <f ca="1">IF(Prices!D602&gt;OFFSET(Prices!D602,-$N$3,0),1,-1)</f>
        <v>1</v>
      </c>
      <c r="O603" s="1">
        <f ca="1">IF(N603=1,O$3*L602/Prices!C602,-O$3*M602)</f>
        <v>1.14894845920904E-3</v>
      </c>
      <c r="P603" s="14"/>
      <c r="Q603" s="9">
        <f ca="1">Q602-T603*Prices!C603</f>
        <v>1.3305092844008295</v>
      </c>
      <c r="R603" s="1">
        <f t="shared" ca="1" si="64"/>
        <v>7.2343506196095898E-3</v>
      </c>
      <c r="S603" s="9">
        <f ca="1">IF(Prices!C602&lt;OFFSET(Prices!C602,-S$3,0),1,-1)</f>
        <v>1</v>
      </c>
      <c r="T603" s="1">
        <f ca="1">IF(S603=1,T$3*Q602/Prices!C602,-T$3*R602)</f>
        <v>2.4462477971987936E-4</v>
      </c>
    </row>
    <row r="604" spans="1:20" x14ac:dyDescent="0.2">
      <c r="A604" s="4">
        <v>34352</v>
      </c>
      <c r="B604" s="9">
        <f ca="1">Prices!C603*(1+J604/(50*(ABS(O604)+ABS(T604)+0.0001)))</f>
        <v>113.07874410880551</v>
      </c>
      <c r="C604" s="21">
        <f t="shared" ca="1" si="59"/>
        <v>1</v>
      </c>
      <c r="D604" s="9">
        <f ca="1">D603+C604*(Prices!C604-Prices!C603)/Prices!C603</f>
        <v>0.28629006401763329</v>
      </c>
      <c r="E604" s="9">
        <f t="shared" ca="1" si="60"/>
        <v>2.8214305723256672E-2</v>
      </c>
      <c r="F604" s="9">
        <f t="shared" ca="1" si="61"/>
        <v>0.31450436974088997</v>
      </c>
      <c r="G604" s="13">
        <f ca="1">IF((Prices!C604-Prices!C603)*C604&gt;0,1,0)</f>
        <v>0</v>
      </c>
      <c r="H604" s="9">
        <f>ABS(Prices!C604-Prices!C603)/Prices!C603</f>
        <v>1.9816249324445946E-3</v>
      </c>
      <c r="I604" s="13"/>
      <c r="J604" s="1">
        <f t="shared" ca="1" si="62"/>
        <v>1.2735348483703954E-3</v>
      </c>
      <c r="K604" s="9"/>
      <c r="L604" s="9">
        <f ca="1">L603-O604*Prices!C604</f>
        <v>1.0332263248618074</v>
      </c>
      <c r="M604" s="1">
        <f t="shared" ca="1" si="63"/>
        <v>1.0176852983778562E-2</v>
      </c>
      <c r="N604" s="9">
        <f ca="1">IF(Prices!D603&gt;OFFSET(Prices!D603,-$N$3,0),1,-1)</f>
        <v>1</v>
      </c>
      <c r="O604" s="1">
        <f ca="1">IF(N604=1,O$3*L603/Prices!C603,-O$3*M603)</f>
        <v>1.0338466328415124E-3</v>
      </c>
      <c r="P604" s="14"/>
      <c r="Q604" s="9">
        <f ca="1">Q603-T604*Prices!C604</f>
        <v>1.3039518301202293</v>
      </c>
      <c r="R604" s="1">
        <f t="shared" ca="1" si="64"/>
        <v>7.4740388351384728E-3</v>
      </c>
      <c r="S604" s="9">
        <f ca="1">IF(Prices!C603&lt;OFFSET(Prices!C603,-S$3,0),1,-1)</f>
        <v>1</v>
      </c>
      <c r="T604" s="1">
        <f ca="1">IF(S604=1,T$3*Q603/Prices!C603,-T$3*R603)</f>
        <v>2.3968821552888299E-4</v>
      </c>
    </row>
    <row r="605" spans="1:20" x14ac:dyDescent="0.2">
      <c r="A605" s="4">
        <v>34353</v>
      </c>
      <c r="B605" s="9">
        <f ca="1">Prices!C604*(1+J605/(50*(ABS(O605)+ABS(T605)+0.0001)))</f>
        <v>109.51874459105808</v>
      </c>
      <c r="C605" s="21">
        <f t="shared" ca="1" si="59"/>
        <v>-1</v>
      </c>
      <c r="D605" s="9">
        <f ca="1">D604+C605*(Prices!C605-Prices!C604)/Prices!C604</f>
        <v>0.28087490156275957</v>
      </c>
      <c r="E605" s="9">
        <f t="shared" ca="1" si="60"/>
        <v>3.3629468178130395E-2</v>
      </c>
      <c r="F605" s="9">
        <f t="shared" ca="1" si="61"/>
        <v>0.31450436974088997</v>
      </c>
      <c r="G605" s="13">
        <f ca="1">IF((Prices!C605-Prices!C604)*C605&gt;0,1,0)</f>
        <v>0</v>
      </c>
      <c r="H605" s="9">
        <f>ABS(Prices!C605-Prices!C604)/Prices!C604</f>
        <v>5.4151624548737232E-3</v>
      </c>
      <c r="I605" s="13"/>
      <c r="J605" s="1">
        <f t="shared" ca="1" si="62"/>
        <v>-7.823149319301614E-4</v>
      </c>
      <c r="K605" s="9"/>
      <c r="L605" s="9">
        <f ca="1">L604-O605*Prices!C605</f>
        <v>1.1465964671011006</v>
      </c>
      <c r="M605" s="1">
        <f t="shared" ca="1" si="63"/>
        <v>9.159167685400706E-3</v>
      </c>
      <c r="N605" s="9">
        <f ca="1">IF(Prices!D604&gt;OFFSET(Prices!D604,-$N$3,0),1,-1)</f>
        <v>-1</v>
      </c>
      <c r="O605" s="1">
        <f ca="1">IF(N605=1,O$3*L604/Prices!C604,-O$3*M604)</f>
        <v>-1.0176852983778562E-3</v>
      </c>
      <c r="P605" s="14"/>
      <c r="Q605" s="9">
        <f ca="1">Q604-T605*Prices!C605</f>
        <v>1.277731571297956</v>
      </c>
      <c r="R605" s="1">
        <f t="shared" ca="1" si="64"/>
        <v>7.7094092015861674E-3</v>
      </c>
      <c r="S605" s="9">
        <f ca="1">IF(Prices!C604&lt;OFFSET(Prices!C604,-S$3,0),1,-1)</f>
        <v>1</v>
      </c>
      <c r="T605" s="1">
        <f ca="1">IF(S605=1,T$3*Q604/Prices!C604,-T$3*R604)</f>
        <v>2.3537036644769485E-4</v>
      </c>
    </row>
    <row r="606" spans="1:20" x14ac:dyDescent="0.2">
      <c r="A606" s="4">
        <v>34354</v>
      </c>
      <c r="B606" s="9">
        <f ca="1">Prices!C605*(1+J606/(50*(ABS(O606)+ABS(T606)+0.0001)))</f>
        <v>110.17173760257216</v>
      </c>
      <c r="C606" s="21">
        <f t="shared" ca="1" si="59"/>
        <v>-1</v>
      </c>
      <c r="D606" s="9">
        <f ca="1">D605+C606*(Prices!C606-Prices!C605)/Prices!C605</f>
        <v>0.28168280102415993</v>
      </c>
      <c r="E606" s="9">
        <f t="shared" ca="1" si="60"/>
        <v>3.2821568716730032E-2</v>
      </c>
      <c r="F606" s="9">
        <f t="shared" ca="1" si="61"/>
        <v>0.31450436974088997</v>
      </c>
      <c r="G606" s="13">
        <f ca="1">IF((Prices!C606-Prices!C605)*C606&gt;0,1,0)</f>
        <v>1</v>
      </c>
      <c r="H606" s="9">
        <f>ABS(Prices!C606-Prices!C605)/Prices!C605</f>
        <v>8.0789946140038963E-4</v>
      </c>
      <c r="I606" s="13"/>
      <c r="J606" s="1">
        <f t="shared" ca="1" si="62"/>
        <v>-6.8652151336988116E-4</v>
      </c>
      <c r="K606" s="9"/>
      <c r="L606" s="9">
        <f ca="1">L605-O606*Prices!C606</f>
        <v>1.2485471626072959</v>
      </c>
      <c r="M606" s="1">
        <f t="shared" ca="1" si="63"/>
        <v>8.2432509168606349E-3</v>
      </c>
      <c r="N606" s="9">
        <f ca="1">IF(Prices!D605&gt;OFFSET(Prices!D605,-$N$3,0),1,-1)</f>
        <v>-1</v>
      </c>
      <c r="O606" s="1">
        <f ca="1">IF(N606=1,O$3*L605/Prices!C605,-O$3*M605)</f>
        <v>-9.1591676854007069E-4</v>
      </c>
      <c r="P606" s="14"/>
      <c r="Q606" s="9">
        <f ca="1">Q605-T606*Prices!C606</f>
        <v>1.2521975854449623</v>
      </c>
      <c r="R606" s="1">
        <f t="shared" ca="1" si="64"/>
        <v>7.9388044567563574E-3</v>
      </c>
      <c r="S606" s="9">
        <f ca="1">IF(Prices!C605&lt;OFFSET(Prices!C605,-S$3,0),1,-1)</f>
        <v>1</v>
      </c>
      <c r="T606" s="1">
        <f ca="1">IF(S606=1,T$3*Q605/Prices!C605,-T$3*R605)</f>
        <v>2.2939525517018958E-4</v>
      </c>
    </row>
    <row r="607" spans="1:20" x14ac:dyDescent="0.2">
      <c r="A607" s="4">
        <v>34355</v>
      </c>
      <c r="B607" s="9">
        <f ca="1">Prices!C606*(1+J607/(50*(ABS(O607)+ABS(T607)+0.0001)))</f>
        <v>109.28933943061092</v>
      </c>
      <c r="C607" s="21">
        <f t="shared" ca="1" si="59"/>
        <v>-1</v>
      </c>
      <c r="D607" s="9">
        <f ca="1">D606+C607*(Prices!C607-Prices!C606)/Prices!C606</f>
        <v>0.27952666051567016</v>
      </c>
      <c r="E607" s="9">
        <f t="shared" ca="1" si="60"/>
        <v>3.4977709225219811E-2</v>
      </c>
      <c r="F607" s="9">
        <f t="shared" ca="1" si="61"/>
        <v>0.31450436974088997</v>
      </c>
      <c r="G607" s="13">
        <f ca="1">IF((Prices!C607-Prices!C606)*C607&gt;0,1,0)</f>
        <v>0</v>
      </c>
      <c r="H607" s="9">
        <f>ABS(Prices!C607-Prices!C606)/Prices!C606</f>
        <v>2.1561405084897572E-3</v>
      </c>
      <c r="I607" s="13"/>
      <c r="J607" s="1">
        <f t="shared" ca="1" si="62"/>
        <v>-9.8310118082119082E-4</v>
      </c>
      <c r="K607" s="9"/>
      <c r="L607" s="9">
        <f ca="1">L606-O607*Prices!C607</f>
        <v>1.3405006265848762</v>
      </c>
      <c r="M607" s="1">
        <f t="shared" ca="1" si="63"/>
        <v>7.4189258251745709E-3</v>
      </c>
      <c r="N607" s="9">
        <f ca="1">IF(Prices!D606&gt;OFFSET(Prices!D606,-$N$3,0),1,-1)</f>
        <v>-1</v>
      </c>
      <c r="O607" s="1">
        <f ca="1">IF(N607=1,O$3*L606/Prices!C606,-O$3*M606)</f>
        <v>-8.2432509168606357E-4</v>
      </c>
      <c r="P607" s="14"/>
      <c r="Q607" s="9">
        <f ca="1">Q606-T607*Prices!C607</f>
        <v>1.2699090581879857</v>
      </c>
      <c r="R607" s="1">
        <f t="shared" ca="1" si="64"/>
        <v>7.7800283676212299E-3</v>
      </c>
      <c r="S607" s="9">
        <f ca="1">IF(Prices!C606&lt;OFFSET(Prices!C606,-S$3,0),1,-1)</f>
        <v>-1</v>
      </c>
      <c r="T607" s="1">
        <f ca="1">IF(S607=1,T$3*Q606/Prices!C606,-T$3*R606)</f>
        <v>-1.5877608913512716E-4</v>
      </c>
    </row>
    <row r="608" spans="1:20" x14ac:dyDescent="0.2">
      <c r="A608" s="4">
        <v>34358</v>
      </c>
      <c r="B608" s="9">
        <f ca="1">Prices!C607*(1+J608/(50*(ABS(O608)+ABS(T608)+0.0001)))</f>
        <v>109.54266068381432</v>
      </c>
      <c r="C608" s="21">
        <f t="shared" ca="1" si="59"/>
        <v>-1</v>
      </c>
      <c r="D608" s="9">
        <f ca="1">D607+C608*(Prices!C608-Prices!C607)/Prices!C607</f>
        <v>0.27755445074426721</v>
      </c>
      <c r="E608" s="9">
        <f t="shared" ca="1" si="60"/>
        <v>3.6949918996622755E-2</v>
      </c>
      <c r="F608" s="9">
        <f t="shared" ca="1" si="61"/>
        <v>0.31450436974088997</v>
      </c>
      <c r="G608" s="13">
        <f ca="1">IF((Prices!C608-Prices!C607)*C608&gt;0,1,0)</f>
        <v>0</v>
      </c>
      <c r="H608" s="9">
        <f>ABS(Prices!C608-Prices!C607)/Prices!C607</f>
        <v>1.972209771402948E-3</v>
      </c>
      <c r="I608" s="13"/>
      <c r="J608" s="1">
        <f t="shared" ca="1" si="62"/>
        <v>-8.9749314986988166E-4</v>
      </c>
      <c r="K608" s="9"/>
      <c r="L608" s="9">
        <f ca="1">L607-O608*Prices!C608</f>
        <v>1.4234219605328524</v>
      </c>
      <c r="M608" s="1">
        <f t="shared" ca="1" si="63"/>
        <v>6.6770332426571138E-3</v>
      </c>
      <c r="N608" s="9">
        <f ca="1">IF(Prices!D607&gt;OFFSET(Prices!D607,-$N$3,0),1,-1)</f>
        <v>-1</v>
      </c>
      <c r="O608" s="1">
        <f ca="1">IF(N608=1,O$3*L607/Prices!C607,-O$3*M607)</f>
        <v>-7.4189258251745709E-4</v>
      </c>
      <c r="P608" s="14"/>
      <c r="Q608" s="9">
        <f ca="1">Q607-T608*Prices!C608</f>
        <v>1.2873005336009662</v>
      </c>
      <c r="R608" s="1">
        <f t="shared" ca="1" si="64"/>
        <v>7.6244278002688057E-3</v>
      </c>
      <c r="S608" s="9">
        <f ca="1">IF(Prices!C607&lt;OFFSET(Prices!C607,-S$3,0),1,-1)</f>
        <v>-1</v>
      </c>
      <c r="T608" s="1">
        <f ca="1">IF(S608=1,T$3*Q607/Prices!C607,-T$3*R607)</f>
        <v>-1.556005673524246E-4</v>
      </c>
    </row>
    <row r="609" spans="1:20" x14ac:dyDescent="0.2">
      <c r="A609" s="4">
        <v>34359</v>
      </c>
      <c r="B609" s="9">
        <f ca="1">Prices!C608*(1+J609/(50*(ABS(O609)+ABS(T609)+0.0001)))</f>
        <v>113.41216529102547</v>
      </c>
      <c r="C609" s="21">
        <f t="shared" ca="1" si="59"/>
        <v>1</v>
      </c>
      <c r="D609" s="9">
        <f ca="1">D608+C609*(Prices!C609-Prices!C608)/Prices!C608</f>
        <v>0.27093371172664177</v>
      </c>
      <c r="E609" s="9">
        <f t="shared" ca="1" si="60"/>
        <v>4.3570658014248198E-2</v>
      </c>
      <c r="F609" s="9">
        <f t="shared" ca="1" si="61"/>
        <v>0.31450436974088997</v>
      </c>
      <c r="G609" s="13">
        <f ca="1">IF((Prices!C609-Prices!C608)*C609&gt;0,1,0)</f>
        <v>0</v>
      </c>
      <c r="H609" s="9">
        <f>ABS(Prices!C609-Prices!C608)/Prices!C608</f>
        <v>6.6207390176254355E-3</v>
      </c>
      <c r="I609" s="13"/>
      <c r="J609" s="1">
        <f t="shared" ca="1" si="62"/>
        <v>1.1210391889466256E-3</v>
      </c>
      <c r="K609" s="9"/>
      <c r="L609" s="9">
        <f ca="1">L608-O609*Prices!C609</f>
        <v>1.2820221750108316</v>
      </c>
      <c r="M609" s="1">
        <f t="shared" ca="1" si="63"/>
        <v>7.9505609876091149E-3</v>
      </c>
      <c r="N609" s="9">
        <f ca="1">IF(Prices!D608&gt;OFFSET(Prices!D608,-$N$3,0),1,-1)</f>
        <v>1</v>
      </c>
      <c r="O609" s="1">
        <f ca="1">IF(N609=1,O$3*L608/Prices!C608,-O$3*M608)</f>
        <v>1.2735277449520018E-3</v>
      </c>
      <c r="P609" s="14"/>
      <c r="Q609" s="9">
        <f ca="1">Q608-T609*Prices!C609</f>
        <v>1.3042313379742432</v>
      </c>
      <c r="R609" s="1">
        <f t="shared" ca="1" si="64"/>
        <v>7.4719392442634293E-3</v>
      </c>
      <c r="S609" s="9">
        <f ca="1">IF(Prices!C608&lt;OFFSET(Prices!C608,-S$3,0),1,-1)</f>
        <v>-1</v>
      </c>
      <c r="T609" s="1">
        <f ca="1">IF(S609=1,T$3*Q608/Prices!C608,-T$3*R608)</f>
        <v>-1.5248855600537612E-4</v>
      </c>
    </row>
    <row r="610" spans="1:20" x14ac:dyDescent="0.2">
      <c r="A610" s="4">
        <v>34360</v>
      </c>
      <c r="B610" s="9">
        <f ca="1">Prices!C609*(1+J610/(50*(ABS(O610)+ABS(T610)+0.0001)))</f>
        <v>113.10152602323784</v>
      </c>
      <c r="C610" s="21">
        <f t="shared" ca="1" si="59"/>
        <v>1</v>
      </c>
      <c r="D610" s="9">
        <f ca="1">D609+C610*(Prices!C610-Prices!C609)/Prices!C609</f>
        <v>0.26102647944707774</v>
      </c>
      <c r="E610" s="9">
        <f t="shared" ca="1" si="60"/>
        <v>5.3477890293812225E-2</v>
      </c>
      <c r="F610" s="9">
        <f t="shared" ca="1" si="61"/>
        <v>0.31450436974088997</v>
      </c>
      <c r="G610" s="13">
        <f ca="1">IF((Prices!C610-Prices!C609)*C610&gt;0,1,0)</f>
        <v>0</v>
      </c>
      <c r="H610" s="9">
        <f>ABS(Prices!C610-Prices!C609)/Prices!C609</f>
        <v>9.9072322795640301E-3</v>
      </c>
      <c r="I610" s="13"/>
      <c r="J610" s="1">
        <f t="shared" ca="1" si="62"/>
        <v>1.3895960034276142E-3</v>
      </c>
      <c r="K610" s="9"/>
      <c r="L610" s="9">
        <f ca="1">L609-O610*Prices!C610</f>
        <v>1.1550900866572869</v>
      </c>
      <c r="M610" s="1">
        <f t="shared" ca="1" si="63"/>
        <v>9.1052238490076844E-3</v>
      </c>
      <c r="N610" s="9">
        <f ca="1">IF(Prices!D609&gt;OFFSET(Prices!D609,-$N$3,0),1,-1)</f>
        <v>1</v>
      </c>
      <c r="O610" s="1">
        <f ca="1">IF(N610=1,O$3*L609/Prices!C609,-O$3*M609)</f>
        <v>1.1546628613985693E-3</v>
      </c>
      <c r="P610" s="14"/>
      <c r="Q610" s="9">
        <f ca="1">Q609-T610*Prices!C610</f>
        <v>1.2784051376709902</v>
      </c>
      <c r="R610" s="1">
        <f t="shared" ca="1" si="64"/>
        <v>7.7068723862924746E-3</v>
      </c>
      <c r="S610" s="9">
        <f ca="1">IF(Prices!C609&lt;OFFSET(Prices!C609,-S$3,0),1,-1)</f>
        <v>1</v>
      </c>
      <c r="T610" s="1">
        <f ca="1">IF(S610=1,T$3*Q609/Prices!C609,-T$3*R609)</f>
        <v>2.3493314202904496E-4</v>
      </c>
    </row>
    <row r="611" spans="1:20" x14ac:dyDescent="0.2">
      <c r="A611" s="4">
        <v>34361</v>
      </c>
      <c r="B611" s="9">
        <f ca="1">Prices!C610*(1+J611/(50*(ABS(O611)+ABS(T611)+0.0001)))</f>
        <v>111.96966535088029</v>
      </c>
      <c r="C611" s="21">
        <f t="shared" ca="1" si="59"/>
        <v>1</v>
      </c>
      <c r="D611" s="9">
        <f ca="1">D610+C611*(Prices!C611-Prices!C610)/Prices!C610</f>
        <v>0.24920077217881603</v>
      </c>
      <c r="E611" s="9">
        <f t="shared" ca="1" si="60"/>
        <v>6.5303597562073934E-2</v>
      </c>
      <c r="F611" s="9">
        <f t="shared" ca="1" si="61"/>
        <v>0.31450436974088997</v>
      </c>
      <c r="G611" s="13">
        <f ca="1">IF((Prices!C611-Prices!C610)*C611&gt;0,1,0)</f>
        <v>0</v>
      </c>
      <c r="H611" s="9">
        <f>ABS(Prices!C611-Prices!C610)/Prices!C610</f>
        <v>1.1825707268261723E-2</v>
      </c>
      <c r="I611" s="13"/>
      <c r="J611" s="1">
        <f t="shared" ca="1" si="62"/>
        <v>1.2833358629959837E-3</v>
      </c>
      <c r="K611" s="9"/>
      <c r="L611" s="9">
        <f ca="1">L610-O611*Prices!C611</f>
        <v>1.0409470537148862</v>
      </c>
      <c r="M611" s="1">
        <f t="shared" ca="1" si="63"/>
        <v>1.015597440541384E-2</v>
      </c>
      <c r="N611" s="9">
        <f ca="1">IF(Prices!D610&gt;OFFSET(Prices!D610,-$N$3,0),1,-1)</f>
        <v>1</v>
      </c>
      <c r="O611" s="1">
        <f ca="1">IF(N611=1,O$3*L610/Prices!C610,-O$3*M610)</f>
        <v>1.0507505564061556E-3</v>
      </c>
      <c r="P611" s="14"/>
      <c r="Q611" s="9">
        <f ca="1">Q610-T611*Prices!C611</f>
        <v>1.2531393958161372</v>
      </c>
      <c r="R611" s="1">
        <f t="shared" ca="1" si="64"/>
        <v>7.9394576928823023E-3</v>
      </c>
      <c r="S611" s="9">
        <f ca="1">IF(Prices!C610&lt;OFFSET(Prices!C610,-S$3,0),1,-1)</f>
        <v>1</v>
      </c>
      <c r="T611" s="1">
        <f ca="1">IF(S611=1,T$3*Q610/Prices!C610,-T$3*R610)</f>
        <v>2.3258530658982809E-4</v>
      </c>
    </row>
    <row r="612" spans="1:20" x14ac:dyDescent="0.2">
      <c r="A612" s="4">
        <v>34362</v>
      </c>
      <c r="B612" s="9">
        <f ca="1">Prices!C611*(1+J612/(50*(ABS(O612)+ABS(T612)+0.0001)))</f>
        <v>107.36340789696767</v>
      </c>
      <c r="C612" s="21">
        <f t="shared" ca="1" si="59"/>
        <v>-1</v>
      </c>
      <c r="D612" s="9">
        <f ca="1">D611+C612*(Prices!C612-Prices!C611)/Prices!C611</f>
        <v>0.23686532156664625</v>
      </c>
      <c r="E612" s="9">
        <f t="shared" ca="1" si="60"/>
        <v>7.7639048174243719E-2</v>
      </c>
      <c r="F612" s="9">
        <f t="shared" ca="1" si="61"/>
        <v>0.31450436974088997</v>
      </c>
      <c r="G612" s="13">
        <f ca="1">IF((Prices!C612-Prices!C611)*C612&gt;0,1,0)</f>
        <v>0</v>
      </c>
      <c r="H612" s="9">
        <f>ABS(Prices!C612-Prices!C611)/Prices!C611</f>
        <v>1.2335450612169783E-2</v>
      </c>
      <c r="I612" s="13"/>
      <c r="J612" s="1">
        <f t="shared" ca="1" si="62"/>
        <v>-7.848804386420675E-4</v>
      </c>
      <c r="K612" s="9"/>
      <c r="L612" s="9">
        <f ca="1">L611-O612*Prices!C612</f>
        <v>1.1526323042512221</v>
      </c>
      <c r="M612" s="1">
        <f t="shared" ca="1" si="63"/>
        <v>9.1403769648724549E-3</v>
      </c>
      <c r="N612" s="9">
        <f ca="1">IF(Prices!D611&gt;OFFSET(Prices!D611,-$N$3,0),1,-1)</f>
        <v>-1</v>
      </c>
      <c r="O612" s="1">
        <f ca="1">IF(N612=1,O$3*L611/Prices!C611,-O$3*M611)</f>
        <v>-1.015597440541384E-3</v>
      </c>
      <c r="P612" s="14"/>
      <c r="Q612" s="9">
        <f ca="1">Q611-T612*Prices!C612</f>
        <v>1.2277674471172695</v>
      </c>
      <c r="R612" s="1">
        <f t="shared" ca="1" si="64"/>
        <v>8.1701746947816182E-3</v>
      </c>
      <c r="S612" s="9">
        <f ca="1">IF(Prices!C611&lt;OFFSET(Prices!C611,-S$3,0),1,-1)</f>
        <v>1</v>
      </c>
      <c r="T612" s="1">
        <f ca="1">IF(S612=1,T$3*Q611/Prices!C611,-T$3*R611)</f>
        <v>2.3071700189931645E-4</v>
      </c>
    </row>
    <row r="613" spans="1:20" x14ac:dyDescent="0.2">
      <c r="A613" s="4">
        <v>34365</v>
      </c>
      <c r="B613" s="9">
        <f ca="1">Prices!C612*(1+J613/(50*(ABS(O613)+ABS(T613)+0.0001)))</f>
        <v>108.74217176446005</v>
      </c>
      <c r="C613" s="21">
        <f t="shared" ca="1" si="59"/>
        <v>-1</v>
      </c>
      <c r="D613" s="9">
        <f ca="1">D612+C613*(Prices!C613-Prices!C612)/Prices!C612</f>
        <v>0.25032353744370367</v>
      </c>
      <c r="E613" s="9">
        <f t="shared" ca="1" si="60"/>
        <v>6.4180832297186297E-2</v>
      </c>
      <c r="F613" s="9">
        <f t="shared" ca="1" si="61"/>
        <v>0.31450436974088997</v>
      </c>
      <c r="G613" s="13">
        <f ca="1">IF((Prices!C613-Prices!C612)*C613&gt;0,1,0)</f>
        <v>1</v>
      </c>
      <c r="H613" s="9">
        <f>ABS(Prices!C613-Prices!C612)/Prices!C612</f>
        <v>1.3458215877057415E-2</v>
      </c>
      <c r="I613" s="13"/>
      <c r="J613" s="1">
        <f t="shared" ca="1" si="62"/>
        <v>-6.907463539179504E-4</v>
      </c>
      <c r="K613" s="9"/>
      <c r="L613" s="9">
        <f ca="1">L612-O613*Prices!C613</f>
        <v>1.2517962539431233</v>
      </c>
      <c r="M613" s="1">
        <f t="shared" ca="1" si="63"/>
        <v>8.2263392683852091E-3</v>
      </c>
      <c r="N613" s="9">
        <f ca="1">IF(Prices!D612&gt;OFFSET(Prices!D612,-$N$3,0),1,-1)</f>
        <v>-1</v>
      </c>
      <c r="O613" s="1">
        <f ca="1">IF(N613=1,O$3*L612/Prices!C612,-O$3*M612)</f>
        <v>-9.1403769648724551E-4</v>
      </c>
      <c r="P613" s="14"/>
      <c r="Q613" s="9">
        <f ca="1">Q612-T613*Prices!C613</f>
        <v>1.2035425693619266</v>
      </c>
      <c r="R613" s="1">
        <f t="shared" ca="1" si="64"/>
        <v>8.3934660373509128E-3</v>
      </c>
      <c r="S613" s="9">
        <f ca="1">IF(Prices!C612&lt;OFFSET(Prices!C612,-S$3,0),1,-1)</f>
        <v>1</v>
      </c>
      <c r="T613" s="1">
        <f ca="1">IF(S613=1,T$3*Q612/Prices!C612,-T$3*R612)</f>
        <v>2.2329134256929517E-4</v>
      </c>
    </row>
    <row r="614" spans="1:20" x14ac:dyDescent="0.2">
      <c r="A614" s="4">
        <v>34366</v>
      </c>
      <c r="B614" s="9">
        <f ca="1">Prices!C613*(1+J614/(50*(ABS(O614)+ABS(T614)+0.0001)))</f>
        <v>107.35105045335261</v>
      </c>
      <c r="C614" s="21">
        <f t="shared" ca="1" si="59"/>
        <v>-1</v>
      </c>
      <c r="D614" s="9">
        <f ca="1">D613+C614*(Prices!C614-Prices!C613)/Prices!C613</f>
        <v>0.25797401214183252</v>
      </c>
      <c r="E614" s="9">
        <f t="shared" ca="1" si="60"/>
        <v>5.6530357599057446E-2</v>
      </c>
      <c r="F614" s="9">
        <f t="shared" ca="1" si="61"/>
        <v>0.31450436974088997</v>
      </c>
      <c r="G614" s="13">
        <f ca="1">IF((Prices!C614-Prices!C613)*C614&gt;0,1,0)</f>
        <v>1</v>
      </c>
      <c r="H614" s="9">
        <f>ABS(Prices!C614-Prices!C613)/Prices!C613</f>
        <v>7.6504746981288447E-3</v>
      </c>
      <c r="I614" s="13"/>
      <c r="J614" s="1">
        <f t="shared" ca="1" si="62"/>
        <v>-6.0076231298251091E-4</v>
      </c>
      <c r="K614" s="9"/>
      <c r="L614" s="9">
        <f ca="1">L613-O614*Prices!C614</f>
        <v>1.3403610225065585</v>
      </c>
      <c r="M614" s="1">
        <f t="shared" ca="1" si="63"/>
        <v>7.4037053415466885E-3</v>
      </c>
      <c r="N614" s="9">
        <f ca="1">IF(Prices!D613&gt;OFFSET(Prices!D613,-$N$3,0),1,-1)</f>
        <v>-1</v>
      </c>
      <c r="O614" s="1">
        <f ca="1">IF(N614=1,O$3*L613/Prices!C613,-O$3*M613)</f>
        <v>-8.2263392683852099E-4</v>
      </c>
      <c r="P614" s="14"/>
      <c r="Q614" s="9">
        <f ca="1">Q613-T614*Prices!C614</f>
        <v>1.1796558714141885</v>
      </c>
      <c r="R614" s="1">
        <f t="shared" ca="1" si="64"/>
        <v>8.6153376512069224E-3</v>
      </c>
      <c r="S614" s="9">
        <f ca="1">IF(Prices!C613&lt;OFFSET(Prices!C613,-S$3,0),1,-1)</f>
        <v>1</v>
      </c>
      <c r="T614" s="1">
        <f ca="1">IF(S614=1,T$3*Q613/Prices!C613,-T$3*R613)</f>
        <v>2.2187161385601008E-4</v>
      </c>
    </row>
    <row r="615" spans="1:20" x14ac:dyDescent="0.2">
      <c r="A615" s="4">
        <v>34367</v>
      </c>
      <c r="B615" s="9">
        <f ca="1">Prices!C614*(1+J615/(50*(ABS(O615)+ABS(T615)+0.0001)))</f>
        <v>109.67553961246524</v>
      </c>
      <c r="C615" s="21">
        <f t="shared" ca="1" si="59"/>
        <v>1</v>
      </c>
      <c r="D615" s="9">
        <f ca="1">D614+C615*(Prices!C615-Prices!C614)/Prices!C614</f>
        <v>0.26345422763505194</v>
      </c>
      <c r="E615" s="9">
        <f t="shared" ca="1" si="60"/>
        <v>5.1050142105838026E-2</v>
      </c>
      <c r="F615" s="9">
        <f t="shared" ca="1" si="61"/>
        <v>0.31450436974088997</v>
      </c>
      <c r="G615" s="13">
        <f ca="1">IF((Prices!C615-Prices!C614)*C615&gt;0,1,0)</f>
        <v>1</v>
      </c>
      <c r="H615" s="9">
        <f>ABS(Prices!C615-Prices!C614)/Prices!C614</f>
        <v>5.4802154932194263E-3</v>
      </c>
      <c r="I615" s="13"/>
      <c r="J615" s="1">
        <f t="shared" ca="1" si="62"/>
        <v>1.4641391387603532E-3</v>
      </c>
      <c r="K615" s="9"/>
      <c r="L615" s="9">
        <f ca="1">L614-O615*Prices!C615</f>
        <v>1.205590373531698</v>
      </c>
      <c r="M615" s="1">
        <f t="shared" ca="1" si="63"/>
        <v>8.6486997893514064E-3</v>
      </c>
      <c r="N615" s="9">
        <f ca="1">IF(Prices!D614&gt;OFFSET(Prices!D614,-$N$3,0),1,-1)</f>
        <v>1</v>
      </c>
      <c r="O615" s="1">
        <f ca="1">IF(N615=1,O$3*L614/Prices!C614,-O$3*M614)</f>
        <v>1.2449944478047173E-3</v>
      </c>
      <c r="P615" s="14"/>
      <c r="Q615" s="9">
        <f ca="1">Q614-T615*Prices!C615</f>
        <v>1.1559334586182408</v>
      </c>
      <c r="R615" s="1">
        <f t="shared" ca="1" si="64"/>
        <v>8.8344823421625581E-3</v>
      </c>
      <c r="S615" s="9">
        <f ca="1">IF(Prices!C614&lt;OFFSET(Prices!C614,-S$3,0),1,-1)</f>
        <v>1</v>
      </c>
      <c r="T615" s="1">
        <f ca="1">IF(S615=1,T$3*Q614/Prices!C614,-T$3*R614)</f>
        <v>2.19144690955636E-4</v>
      </c>
    </row>
    <row r="616" spans="1:20" x14ac:dyDescent="0.2">
      <c r="A616" s="4">
        <v>34368</v>
      </c>
      <c r="B616" s="9">
        <f ca="1">Prices!C615*(1+J616/(50*(ABS(O616)+ABS(T616)+0.0001)))</f>
        <v>110.26331252780594</v>
      </c>
      <c r="C616" s="21">
        <f t="shared" ca="1" si="59"/>
        <v>1</v>
      </c>
      <c r="D616" s="9">
        <f ca="1">D615+C616*(Prices!C616-Prices!C615)/Prices!C615</f>
        <v>0.26410087890525974</v>
      </c>
      <c r="E616" s="9">
        <f t="shared" ca="1" si="60"/>
        <v>5.0403490835630227E-2</v>
      </c>
      <c r="F616" s="9">
        <f t="shared" ca="1" si="61"/>
        <v>0.31450436974088997</v>
      </c>
      <c r="G616" s="13">
        <f ca="1">IF((Prices!C616-Prices!C615)*C616&gt;0,1,0)</f>
        <v>1</v>
      </c>
      <c r="H616" s="9">
        <f>ABS(Prices!C616-Prices!C615)/Prices!C615</f>
        <v>6.4665127020778913E-4</v>
      </c>
      <c r="I616" s="13"/>
      <c r="J616" s="1">
        <f t="shared" ca="1" si="62"/>
        <v>1.3272767346469711E-3</v>
      </c>
      <c r="K616" s="9"/>
      <c r="L616" s="9">
        <f ca="1">L615-O616*Prices!C616</f>
        <v>1.0849533765238888</v>
      </c>
      <c r="M616" s="1">
        <f t="shared" ca="1" si="63"/>
        <v>9.7624091413437367E-3</v>
      </c>
      <c r="N616" s="9">
        <f ca="1">IF(Prices!D615&gt;OFFSET(Prices!D615,-$N$3,0),1,-1)</f>
        <v>1</v>
      </c>
      <c r="O616" s="1">
        <f ca="1">IF(N616=1,O$3*L615/Prices!C615,-O$3*M615)</f>
        <v>1.1137093519923307E-3</v>
      </c>
      <c r="P616" s="14"/>
      <c r="Q616" s="9">
        <f ca="1">Q615-T616*Prices!C616</f>
        <v>1.1327998397290902</v>
      </c>
      <c r="R616" s="1">
        <f t="shared" ca="1" si="64"/>
        <v>9.0480497248171983E-3</v>
      </c>
      <c r="S616" s="9">
        <f ca="1">IF(Prices!C615&lt;OFFSET(Prices!C615,-S$3,0),1,-1)</f>
        <v>1</v>
      </c>
      <c r="T616" s="1">
        <f ca="1">IF(S616=1,T$3*Q615/Prices!C615,-T$3*R615)</f>
        <v>2.1356738265464035E-4</v>
      </c>
    </row>
    <row r="617" spans="1:20" x14ac:dyDescent="0.2">
      <c r="A617" s="4">
        <v>34369</v>
      </c>
      <c r="B617" s="9">
        <f ca="1">Prices!C616*(1+J617/(50*(ABS(O617)+ABS(T617)+0.0001)))</f>
        <v>110.32112394917753</v>
      </c>
      <c r="C617" s="21">
        <f t="shared" ca="1" si="59"/>
        <v>1</v>
      </c>
      <c r="D617" s="9">
        <f ca="1">D616+C617*(Prices!C617-Prices!C616)/Prices!C616</f>
        <v>0.27434829397172961</v>
      </c>
      <c r="E617" s="9">
        <f t="shared" ca="1" si="60"/>
        <v>4.015607576916036E-2</v>
      </c>
      <c r="F617" s="9">
        <f t="shared" ca="1" si="61"/>
        <v>0.31450436974088997</v>
      </c>
      <c r="G617" s="13">
        <f ca="1">IF((Prices!C617-Prices!C616)*C617&gt;0,1,0)</f>
        <v>1</v>
      </c>
      <c r="H617" s="9">
        <f>ABS(Prices!C617-Prices!C616)/Prices!C616</f>
        <v>1.0247415066469846E-2</v>
      </c>
      <c r="I617" s="13"/>
      <c r="J617" s="1">
        <f t="shared" ca="1" si="62"/>
        <v>1.2107767212608078E-3</v>
      </c>
      <c r="K617" s="9"/>
      <c r="L617" s="9">
        <f ca="1">L616-O617*Prices!C617</f>
        <v>0.97534624211379906</v>
      </c>
      <c r="M617" s="1">
        <f t="shared" ca="1" si="63"/>
        <v>1.0764027841975096E-2</v>
      </c>
      <c r="N617" s="9">
        <f ca="1">IF(Prices!D616&gt;OFFSET(Prices!D616,-$N$3,0),1,-1)</f>
        <v>1</v>
      </c>
      <c r="O617" s="1">
        <f ca="1">IF(N617=1,O$3*L616/Prices!C616,-O$3*M616)</f>
        <v>1.0016187006313599E-3</v>
      </c>
      <c r="P617" s="14"/>
      <c r="Q617" s="9">
        <f ca="1">Q616-T617*Prices!C617</f>
        <v>1.1099116775316096</v>
      </c>
      <c r="R617" s="1">
        <f t="shared" ca="1" si="64"/>
        <v>9.2572077454466471E-3</v>
      </c>
      <c r="S617" s="9">
        <f ca="1">IF(Prices!C616&lt;OFFSET(Prices!C616,-S$3,0),1,-1)</f>
        <v>1</v>
      </c>
      <c r="T617" s="1">
        <f ca="1">IF(S617=1,T$3*Q616/Prices!C616,-T$3*R616)</f>
        <v>2.09158020629448E-4</v>
      </c>
    </row>
    <row r="618" spans="1:20" x14ac:dyDescent="0.2">
      <c r="A618" s="4">
        <v>34372</v>
      </c>
      <c r="B618" s="9">
        <f ca="1">Prices!C617*(1+J618/(50*(ABS(O618)+ABS(T618)+0.0001)))</f>
        <v>110.74369602156499</v>
      </c>
      <c r="C618" s="21">
        <f t="shared" ca="1" si="59"/>
        <v>1</v>
      </c>
      <c r="D618" s="9">
        <f ca="1">D617+C618*(Prices!C618-Prices!C617)/Prices!C617</f>
        <v>0.26630662349745371</v>
      </c>
      <c r="E618" s="9">
        <f t="shared" ca="1" si="60"/>
        <v>4.8197746243436257E-2</v>
      </c>
      <c r="F618" s="9">
        <f t="shared" ca="1" si="61"/>
        <v>0.31450436974088997</v>
      </c>
      <c r="G618" s="13">
        <f ca="1">IF((Prices!C618-Prices!C617)*C618&gt;0,1,0)</f>
        <v>0</v>
      </c>
      <c r="H618" s="9">
        <f>ABS(Prices!C618-Prices!C617)/Prices!C617</f>
        <v>8.0416704742758797E-3</v>
      </c>
      <c r="I618" s="13"/>
      <c r="J618" s="1">
        <f t="shared" ca="1" si="62"/>
        <v>7.0615278570497464E-4</v>
      </c>
      <c r="K618" s="9"/>
      <c r="L618" s="9">
        <f ca="1">L617-O618*Prices!C618</f>
        <v>0.87859595921015943</v>
      </c>
      <c r="M618" s="1">
        <f t="shared" ca="1" si="63"/>
        <v>1.1655324782589004E-2</v>
      </c>
      <c r="N618" s="9">
        <f ca="1">IF(Prices!D617&gt;OFFSET(Prices!D617,-$N$3,0),1,-1)</f>
        <v>1</v>
      </c>
      <c r="O618" s="1">
        <f ca="1">IF(N618=1,O$3*L617/Prices!C617,-O$3*M617)</f>
        <v>8.9129694061390759E-4</v>
      </c>
      <c r="P618" s="14"/>
      <c r="Q618" s="9">
        <f ca="1">Q617-T618*Prices!C618</f>
        <v>1.1300090755469743</v>
      </c>
      <c r="R618" s="1">
        <f t="shared" ca="1" si="64"/>
        <v>9.0720635905377142E-3</v>
      </c>
      <c r="S618" s="9">
        <f ca="1">IF(Prices!C617&lt;OFFSET(Prices!C617,-S$3,0),1,-1)</f>
        <v>-1</v>
      </c>
      <c r="T618" s="1">
        <f ca="1">IF(S618=1,T$3*Q617/Prices!C617,-T$3*R617)</f>
        <v>-1.8514415490893295E-4</v>
      </c>
    </row>
    <row r="619" spans="1:20" x14ac:dyDescent="0.2">
      <c r="A619" s="4">
        <v>34373</v>
      </c>
      <c r="B619" s="9">
        <f ca="1">Prices!C618*(1+J619/(50*(ABS(O619)+ABS(T619)+0.0001)))</f>
        <v>109.79976187159744</v>
      </c>
      <c r="C619" s="21">
        <f t="shared" ca="1" si="59"/>
        <v>1</v>
      </c>
      <c r="D619" s="9">
        <f ca="1">D618+C619*(Prices!C619-Prices!C618)/Prices!C618</f>
        <v>0.26953094408704381</v>
      </c>
      <c r="E619" s="9">
        <f t="shared" ca="1" si="60"/>
        <v>4.4973425653846155E-2</v>
      </c>
      <c r="F619" s="9">
        <f t="shared" ca="1" si="61"/>
        <v>0.31450436974088997</v>
      </c>
      <c r="G619" s="13">
        <f ca="1">IF((Prices!C619-Prices!C618)*C619&gt;0,1,0)</f>
        <v>1</v>
      </c>
      <c r="H619" s="9">
        <f>ABS(Prices!C619-Prices!C618)/Prices!C618</f>
        <v>3.2243205895901295E-3</v>
      </c>
      <c r="I619" s="13"/>
      <c r="J619" s="1">
        <f t="shared" ca="1" si="62"/>
        <v>6.2795159710694209E-4</v>
      </c>
      <c r="K619" s="9"/>
      <c r="L619" s="9">
        <f ca="1">L618-O619*Prices!C619</f>
        <v>0.79045307578502233</v>
      </c>
      <c r="M619" s="1">
        <f t="shared" ca="1" si="63"/>
        <v>1.2464717651506699E-2</v>
      </c>
      <c r="N619" s="9">
        <f ca="1">IF(Prices!D618&gt;OFFSET(Prices!D618,-$N$3,0),1,-1)</f>
        <v>1</v>
      </c>
      <c r="O619" s="1">
        <f ca="1">IF(N619=1,O$3*L618/Prices!C618,-O$3*M618)</f>
        <v>8.093928689176964E-4</v>
      </c>
      <c r="P619" s="14"/>
      <c r="Q619" s="9">
        <f ca="1">Q618-T619*Prices!C619</f>
        <v>1.1497680300471653</v>
      </c>
      <c r="R619" s="1">
        <f t="shared" ca="1" si="64"/>
        <v>8.8906223187269606E-3</v>
      </c>
      <c r="S619" s="9">
        <f ca="1">IF(Prices!C618&lt;OFFSET(Prices!C618,-S$3,0),1,-1)</f>
        <v>-1</v>
      </c>
      <c r="T619" s="1">
        <f ca="1">IF(S619=1,T$3*Q618/Prices!C618,-T$3*R618)</f>
        <v>-1.8144127181075428E-4</v>
      </c>
    </row>
    <row r="620" spans="1:20" x14ac:dyDescent="0.2">
      <c r="A620" s="4">
        <v>34374</v>
      </c>
      <c r="B620" s="9">
        <f ca="1">Prices!C619*(1+J620/(50*(ABS(O620)+ABS(T620)+0.0001)))</f>
        <v>110.08927234802181</v>
      </c>
      <c r="C620" s="21">
        <f t="shared" ca="1" si="59"/>
        <v>1</v>
      </c>
      <c r="D620" s="9">
        <f ca="1">D619+C620*(Prices!C620-Prices!C619)/Prices!C619</f>
        <v>0.26411312957832017</v>
      </c>
      <c r="E620" s="9">
        <f t="shared" ca="1" si="60"/>
        <v>5.0391240162569795E-2</v>
      </c>
      <c r="F620" s="9">
        <f t="shared" ca="1" si="61"/>
        <v>0.31450436974088997</v>
      </c>
      <c r="G620" s="13">
        <f ca="1">IF((Prices!C620-Prices!C619)*C620&gt;0,1,0)</f>
        <v>0</v>
      </c>
      <c r="H620" s="9">
        <f>ABS(Prices!C620-Prices!C619)/Prices!C619</f>
        <v>5.4178145087236309E-3</v>
      </c>
      <c r="I620" s="13"/>
      <c r="J620" s="1">
        <f t="shared" ca="1" si="62"/>
        <v>5.4803978115991665E-4</v>
      </c>
      <c r="K620" s="9"/>
      <c r="L620" s="9">
        <f ca="1">L619-O620*Prices!C620</f>
        <v>0.71183602102076537</v>
      </c>
      <c r="M620" s="1">
        <f t="shared" ca="1" si="63"/>
        <v>1.3190569879041155E-2</v>
      </c>
      <c r="N620" s="9">
        <f ca="1">IF(Prices!D619&gt;OFFSET(Prices!D619,-$N$3,0),1,-1)</f>
        <v>1</v>
      </c>
      <c r="O620" s="1">
        <f ca="1">IF(N620=1,O$3*L619/Prices!C619,-O$3*M619)</f>
        <v>7.2585222753445582E-4</v>
      </c>
      <c r="P620" s="14"/>
      <c r="Q620" s="9">
        <f ca="1">Q619-T620*Prices!C620</f>
        <v>1.1690268961139916</v>
      </c>
      <c r="R620" s="1">
        <f t="shared" ca="1" si="64"/>
        <v>8.7128098723524214E-3</v>
      </c>
      <c r="S620" s="9">
        <f ca="1">IF(Prices!C619&lt;OFFSET(Prices!C619,-S$3,0),1,-1)</f>
        <v>-1</v>
      </c>
      <c r="T620" s="1">
        <f ca="1">IF(S620=1,T$3*Q619/Prices!C619,-T$3*R619)</f>
        <v>-1.778124463745392E-4</v>
      </c>
    </row>
    <row r="621" spans="1:20" x14ac:dyDescent="0.2">
      <c r="A621" s="4">
        <v>34375</v>
      </c>
      <c r="B621" s="9">
        <f ca="1">Prices!C620*(1+J621/(50*(ABS(O621)+ABS(T621)+0.0001)))</f>
        <v>110.25358905043839</v>
      </c>
      <c r="C621" s="21">
        <f t="shared" ca="1" si="59"/>
        <v>1</v>
      </c>
      <c r="D621" s="9">
        <f ca="1">D620+C621*(Prices!C621-Prices!C620)/Prices!C620</f>
        <v>0.26263588832635826</v>
      </c>
      <c r="E621" s="9">
        <f t="shared" ca="1" si="60"/>
        <v>5.1868481414531709E-2</v>
      </c>
      <c r="F621" s="9">
        <f t="shared" ca="1" si="61"/>
        <v>0.31450436974088997</v>
      </c>
      <c r="G621" s="13">
        <f ca="1">IF((Prices!C621-Prices!C620)*C621&gt;0,1,0)</f>
        <v>0</v>
      </c>
      <c r="H621" s="9">
        <f>ABS(Prices!C621-Prices!C620)/Prices!C620</f>
        <v>1.4772412519619294E-3</v>
      </c>
      <c r="I621" s="13"/>
      <c r="J621" s="1">
        <f t="shared" ca="1" si="62"/>
        <v>8.7308780375178999E-4</v>
      </c>
      <c r="K621" s="9"/>
      <c r="L621" s="9">
        <f ca="1">L620-O621*Prices!C621</f>
        <v>0.64075757427217728</v>
      </c>
      <c r="M621" s="1">
        <f t="shared" ca="1" si="63"/>
        <v>1.3847790838343865E-2</v>
      </c>
      <c r="N621" s="9">
        <f ca="1">IF(Prices!D620&gt;OFFSET(Prices!D620,-$N$3,0),1,-1)</f>
        <v>1</v>
      </c>
      <c r="O621" s="1">
        <f ca="1">IF(N621=1,O$3*L620/Prices!C620,-O$3*M620)</f>
        <v>6.5722095930271021E-4</v>
      </c>
      <c r="P621" s="14"/>
      <c r="Q621" s="9">
        <f ca="1">Q620-T621*Prices!C621</f>
        <v>1.1456808968868235</v>
      </c>
      <c r="R621" s="1">
        <f t="shared" ca="1" si="64"/>
        <v>8.9286767168015018E-3</v>
      </c>
      <c r="S621" s="9">
        <f ca="1">IF(Prices!C620&lt;OFFSET(Prices!C620,-S$3,0),1,-1)</f>
        <v>1</v>
      </c>
      <c r="T621" s="1">
        <f ca="1">IF(S621=1,T$3*Q620/Prices!C620,-T$3*R620)</f>
        <v>2.1586684444907978E-4</v>
      </c>
    </row>
    <row r="622" spans="1:20" x14ac:dyDescent="0.2">
      <c r="A622" s="4">
        <v>34376</v>
      </c>
      <c r="B622" s="9">
        <f ca="1">Prices!C621*(1+J622/(50*(ABS(O622)+ABS(T622)+0.0001)))</f>
        <v>106.65469580402767</v>
      </c>
      <c r="C622" s="21">
        <f t="shared" ca="1" si="59"/>
        <v>-1</v>
      </c>
      <c r="D622" s="9">
        <f ca="1">D621+C622*(Prices!C622-Prices!C621)/Prices!C621</f>
        <v>0.27141998448909521</v>
      </c>
      <c r="E622" s="9">
        <f t="shared" ca="1" si="60"/>
        <v>4.3084385251794755E-2</v>
      </c>
      <c r="F622" s="9">
        <f t="shared" ca="1" si="61"/>
        <v>0.31450436974088997</v>
      </c>
      <c r="G622" s="13">
        <f ca="1">IF((Prices!C622-Prices!C621)*C622&gt;0,1,0)</f>
        <v>1</v>
      </c>
      <c r="H622" s="9">
        <f>ABS(Prices!C622-Prices!C621)/Prices!C621</f>
        <v>8.7840961627369644E-3</v>
      </c>
      <c r="I622" s="13"/>
      <c r="J622" s="1">
        <f t="shared" ca="1" si="62"/>
        <v>-1.1729102170961853E-3</v>
      </c>
      <c r="K622" s="9"/>
      <c r="L622" s="9">
        <f ca="1">L621-O622*Prices!C622</f>
        <v>0.78920589205922353</v>
      </c>
      <c r="M622" s="1">
        <f t="shared" ca="1" si="63"/>
        <v>1.2463011754509479E-2</v>
      </c>
      <c r="N622" s="9">
        <f ca="1">IF(Prices!D621&gt;OFFSET(Prices!D621,-$N$3,0),1,-1)</f>
        <v>-1</v>
      </c>
      <c r="O622" s="1">
        <f ca="1">IF(N622=1,O$3*L621/Prices!C621,-O$3*M621)</f>
        <v>-1.3847790838343865E-3</v>
      </c>
      <c r="P622" s="14"/>
      <c r="Q622" s="9">
        <f ca="1">Q621-T622*Prices!C622</f>
        <v>1.1229685543724883</v>
      </c>
      <c r="R622" s="1">
        <f t="shared" ca="1" si="64"/>
        <v>9.1405455835397026E-3</v>
      </c>
      <c r="S622" s="9">
        <f ca="1">IF(Prices!C621&lt;OFFSET(Prices!C621,-S$3,0),1,-1)</f>
        <v>1</v>
      </c>
      <c r="T622" s="1">
        <f ca="1">IF(S622=1,T$3*Q621/Prices!C621,-T$3*R621)</f>
        <v>2.1186886673820127E-4</v>
      </c>
    </row>
    <row r="623" spans="1:20" x14ac:dyDescent="0.2">
      <c r="A623" s="4">
        <v>34379</v>
      </c>
      <c r="B623" s="9">
        <f ca="1">Prices!C622*(1+J623/(50*(ABS(O623)+ABS(T623)+0.0001)))</f>
        <v>105.77123815636803</v>
      </c>
      <c r="C623" s="21">
        <f t="shared" ca="1" si="59"/>
        <v>-1</v>
      </c>
      <c r="D623" s="9">
        <f ca="1">D622+C623*(Prices!C623-Prices!C622)/Prices!C622</f>
        <v>0.31899461135476692</v>
      </c>
      <c r="E623" s="9">
        <f t="shared" ca="1" si="60"/>
        <v>0</v>
      </c>
      <c r="F623" s="9">
        <f t="shared" ca="1" si="61"/>
        <v>0.31899461135476692</v>
      </c>
      <c r="G623" s="13">
        <f ca="1">IF((Prices!C623-Prices!C622)*C623&gt;0,1,0)</f>
        <v>1</v>
      </c>
      <c r="H623" s="9">
        <f>ABS(Prices!C623-Prices!C622)/Prices!C622</f>
        <v>4.7574626865671717E-2</v>
      </c>
      <c r="I623" s="13"/>
      <c r="J623" s="1">
        <f t="shared" ca="1" si="62"/>
        <v>-1.0367921167993644E-3</v>
      </c>
      <c r="K623" s="9"/>
      <c r="L623" s="9">
        <f ca="1">L622-O623*Prices!C623</f>
        <v>0.91645324207276535</v>
      </c>
      <c r="M623" s="1">
        <f t="shared" ca="1" si="63"/>
        <v>1.1216710579058532E-2</v>
      </c>
      <c r="N623" s="9">
        <f ca="1">IF(Prices!D622&gt;OFFSET(Prices!D622,-$N$3,0),1,-1)</f>
        <v>-1</v>
      </c>
      <c r="O623" s="1">
        <f ca="1">IF(N623=1,O$3*L622/Prices!C622,-O$3*M622)</f>
        <v>-1.246301175450948E-3</v>
      </c>
      <c r="P623" s="14"/>
      <c r="Q623" s="9">
        <f ca="1">Q622-T623*Prices!C623</f>
        <v>1.1015776794841616</v>
      </c>
      <c r="R623" s="1">
        <f t="shared" ca="1" si="64"/>
        <v>9.3500546421912863E-3</v>
      </c>
      <c r="S623" s="9">
        <f ca="1">IF(Prices!C622&lt;OFFSET(Prices!C622,-S$3,0),1,-1)</f>
        <v>1</v>
      </c>
      <c r="T623" s="1">
        <f ca="1">IF(S623=1,T$3*Q622/Prices!C622,-T$3*R622)</f>
        <v>2.0950905865158365E-4</v>
      </c>
    </row>
    <row r="624" spans="1:20" x14ac:dyDescent="0.2">
      <c r="A624" s="4">
        <v>34380</v>
      </c>
      <c r="B624" s="9">
        <f ca="1">Prices!C623*(1+J624/(50*(ABS(O624)+ABS(T624)+0.0001)))</f>
        <v>100.81312767125677</v>
      </c>
      <c r="C624" s="21">
        <f t="shared" ca="1" si="59"/>
        <v>-1</v>
      </c>
      <c r="D624" s="9">
        <f ca="1">D623+C624*(Prices!C624-Prices!C623)/Prices!C623</f>
        <v>0.30185455258885113</v>
      </c>
      <c r="E624" s="9">
        <f t="shared" ca="1" si="60"/>
        <v>1.7140058765915789E-2</v>
      </c>
      <c r="F624" s="9">
        <f t="shared" ca="1" si="61"/>
        <v>0.31899461135476692</v>
      </c>
      <c r="G624" s="13">
        <f ca="1">IF((Prices!C624-Prices!C623)*C624&gt;0,1,0)</f>
        <v>0</v>
      </c>
      <c r="H624" s="9">
        <f>ABS(Prices!C624-Prices!C623)/Prices!C623</f>
        <v>1.7140058765915771E-2</v>
      </c>
      <c r="I624" s="13"/>
      <c r="J624" s="1">
        <f t="shared" ca="1" si="62"/>
        <v>-9.0588698748779992E-4</v>
      </c>
      <c r="K624" s="9"/>
      <c r="L624" s="9">
        <f ca="1">L623-O624*Prices!C624</f>
        <v>1.0329387814362883</v>
      </c>
      <c r="M624" s="1">
        <f t="shared" ca="1" si="63"/>
        <v>1.0095039521152678E-2</v>
      </c>
      <c r="N624" s="9">
        <f ca="1">IF(Prices!D623&gt;OFFSET(Prices!D623,-$N$3,0),1,-1)</f>
        <v>-1</v>
      </c>
      <c r="O624" s="1">
        <f ca="1">IF(N624=1,O$3*L623/Prices!C623,-O$3*M623)</f>
        <v>-1.1216710579058532E-3</v>
      </c>
      <c r="P624" s="14"/>
      <c r="Q624" s="9">
        <f ca="1">Q623-T624*Prices!C624</f>
        <v>1.0791685037712468</v>
      </c>
      <c r="R624" s="1">
        <f t="shared" ca="1" si="64"/>
        <v>9.5658387126093397E-3</v>
      </c>
      <c r="S624" s="9">
        <f ca="1">IF(Prices!C623&lt;OFFSET(Prices!C623,-S$3,0),1,-1)</f>
        <v>1</v>
      </c>
      <c r="T624" s="1">
        <f ca="1">IF(S624=1,T$3*Q623/Prices!C623,-T$3*R623)</f>
        <v>2.157840704180532E-4</v>
      </c>
    </row>
    <row r="625" spans="1:20" x14ac:dyDescent="0.2">
      <c r="A625" s="4">
        <v>34381</v>
      </c>
      <c r="B625" s="9">
        <f ca="1">Prices!C624*(1+J625/(50*(ABS(O625)+ABS(T625)+0.0001)))</f>
        <v>102.5860307756205</v>
      </c>
      <c r="C625" s="21">
        <f t="shared" ca="1" si="59"/>
        <v>-1</v>
      </c>
      <c r="D625" s="9">
        <f ca="1">D624+C625*(Prices!C625-Prices!C624)/Prices!C624</f>
        <v>0.30223972350844663</v>
      </c>
      <c r="E625" s="9">
        <f t="shared" ca="1" si="60"/>
        <v>1.6754887846320288E-2</v>
      </c>
      <c r="F625" s="9">
        <f t="shared" ca="1" si="61"/>
        <v>0.31899461135476692</v>
      </c>
      <c r="G625" s="13">
        <f ca="1">IF((Prices!C625-Prices!C624)*C625&gt;0,1,0)</f>
        <v>1</v>
      </c>
      <c r="H625" s="9">
        <f>ABS(Prices!C625-Prices!C624)/Prices!C624</f>
        <v>3.8517091959549394E-4</v>
      </c>
      <c r="I625" s="13"/>
      <c r="J625" s="1">
        <f t="shared" ca="1" si="62"/>
        <v>-8.0167178961719422E-4</v>
      </c>
      <c r="K625" s="9"/>
      <c r="L625" s="9">
        <f ca="1">L624-O625*Prices!C625</f>
        <v>1.1377353867053741</v>
      </c>
      <c r="M625" s="1">
        <f t="shared" ca="1" si="63"/>
        <v>9.0855355690374097E-3</v>
      </c>
      <c r="N625" s="9">
        <f ca="1">IF(Prices!D624&gt;OFFSET(Prices!D624,-$N$3,0),1,-1)</f>
        <v>-1</v>
      </c>
      <c r="O625" s="1">
        <f ca="1">IF(N625=1,O$3*L624/Prices!C624,-O$3*M624)</f>
        <v>-1.0095039521152678E-3</v>
      </c>
      <c r="P625" s="14"/>
      <c r="Q625" s="9">
        <f ca="1">Q624-T625*Prices!C625</f>
        <v>1.0575934469823218</v>
      </c>
      <c r="R625" s="1">
        <f t="shared" ca="1" si="64"/>
        <v>9.7736708751074135E-3</v>
      </c>
      <c r="S625" s="9">
        <f ca="1">IF(Prices!C624&lt;OFFSET(Prices!C624,-S$3,0),1,-1)</f>
        <v>1</v>
      </c>
      <c r="T625" s="1">
        <f ca="1">IF(S625=1,T$3*Q624/Prices!C624,-T$3*R624)</f>
        <v>2.0783216249807356E-4</v>
      </c>
    </row>
    <row r="626" spans="1:20" x14ac:dyDescent="0.2">
      <c r="A626" s="4">
        <v>34382</v>
      </c>
      <c r="B626" s="9">
        <f ca="1">Prices!C625*(1+J626/(50*(ABS(O626)+ABS(T626)+0.0001)))</f>
        <v>102.60296340664226</v>
      </c>
      <c r="C626" s="21">
        <f t="shared" ca="1" si="59"/>
        <v>-1</v>
      </c>
      <c r="D626" s="9">
        <f ca="1">D625+C626*(Prices!C626-Prices!C625)/Prices!C625</f>
        <v>0.29800121084107356</v>
      </c>
      <c r="E626" s="9">
        <f t="shared" ca="1" si="60"/>
        <v>2.0993400513693361E-2</v>
      </c>
      <c r="F626" s="9">
        <f t="shared" ca="1" si="61"/>
        <v>0.31899461135476692</v>
      </c>
      <c r="G626" s="13">
        <f ca="1">IF((Prices!C626-Prices!C625)*C626&gt;0,1,0)</f>
        <v>0</v>
      </c>
      <c r="H626" s="9">
        <f>ABS(Prices!C626-Prices!C625)/Prices!C625</f>
        <v>4.2385126673730638E-3</v>
      </c>
      <c r="I626" s="13"/>
      <c r="J626" s="1">
        <f t="shared" ca="1" si="62"/>
        <v>-7.0479795590531655E-4</v>
      </c>
      <c r="K626" s="9"/>
      <c r="L626" s="9">
        <f ca="1">L625-O626*Prices!C626</f>
        <v>1.232452095012589</v>
      </c>
      <c r="M626" s="1">
        <f t="shared" ca="1" si="63"/>
        <v>8.1769820121336684E-3</v>
      </c>
      <c r="N626" s="9">
        <f ca="1">IF(Prices!D625&gt;OFFSET(Prices!D625,-$N$3,0),1,-1)</f>
        <v>-1</v>
      </c>
      <c r="O626" s="1">
        <f ca="1">IF(N626=1,O$3*L625/Prices!C625,-O$3*M625)</f>
        <v>-9.0855355690374099E-4</v>
      </c>
      <c r="P626" s="14"/>
      <c r="Q626" s="9">
        <f ca="1">Q625-T626*Prices!C626</f>
        <v>1.0363519255782361</v>
      </c>
      <c r="R626" s="1">
        <f t="shared" ca="1" si="64"/>
        <v>9.9774264761058381E-3</v>
      </c>
      <c r="S626" s="9">
        <f ca="1">IF(Prices!C625&lt;OFFSET(Prices!C625,-S$3,0),1,-1)</f>
        <v>1</v>
      </c>
      <c r="T626" s="1">
        <f ca="1">IF(S626=1,T$3*Q625/Prices!C625,-T$3*R625)</f>
        <v>2.0375560099842441E-4</v>
      </c>
    </row>
    <row r="627" spans="1:20" x14ac:dyDescent="0.2">
      <c r="A627" s="4">
        <v>34383</v>
      </c>
      <c r="B627" s="9">
        <f ca="1">Prices!C626*(1+J627/(50*(ABS(O627)+ABS(T627)+0.0001)))</f>
        <v>106.19421947910499</v>
      </c>
      <c r="C627" s="21">
        <f t="shared" ca="1" si="59"/>
        <v>1</v>
      </c>
      <c r="D627" s="9">
        <f ca="1">D626+C627*(Prices!C627-Prices!C626)/Prices!C626</f>
        <v>0.30145444825114548</v>
      </c>
      <c r="E627" s="9">
        <f t="shared" ca="1" si="60"/>
        <v>1.7540163103621442E-2</v>
      </c>
      <c r="F627" s="9">
        <f t="shared" ca="1" si="61"/>
        <v>0.31899461135476692</v>
      </c>
      <c r="G627" s="13">
        <f ca="1">IF((Prices!C627-Prices!C626)*C627&gt;0,1,0)</f>
        <v>1</v>
      </c>
      <c r="H627" s="9">
        <f>ABS(Prices!C627-Prices!C626)/Prices!C626</f>
        <v>3.453237410071937E-3</v>
      </c>
      <c r="I627" s="13"/>
      <c r="J627" s="1">
        <f t="shared" ca="1" si="62"/>
        <v>1.3810287579167735E-3</v>
      </c>
      <c r="K627" s="9"/>
      <c r="L627" s="9">
        <f ca="1">L626-O627*Prices!C627</f>
        <v>1.1087812905432681</v>
      </c>
      <c r="M627" s="1">
        <f t="shared" ca="1" si="63"/>
        <v>9.3591902567500603E-3</v>
      </c>
      <c r="N627" s="9">
        <f ca="1">IF(Prices!D626&gt;OFFSET(Prices!D626,-$N$3,0),1,-1)</f>
        <v>1</v>
      </c>
      <c r="O627" s="1">
        <f ca="1">IF(N627=1,O$3*L626/Prices!C626,-O$3*M626)</f>
        <v>1.1822082446163924E-3</v>
      </c>
      <c r="P627" s="14"/>
      <c r="Q627" s="9">
        <f ca="1">Q626-T627*Prices!C627</f>
        <v>1.0155533116818831</v>
      </c>
      <c r="R627" s="1">
        <f t="shared" ca="1" si="64"/>
        <v>1.0176246989406218E-2</v>
      </c>
      <c r="S627" s="9">
        <f ca="1">IF(Prices!C626&lt;OFFSET(Prices!C626,-S$3,0),1,-1)</f>
        <v>1</v>
      </c>
      <c r="T627" s="1">
        <f ca="1">IF(S627=1,T$3*Q626/Prices!C626,-T$3*R626)</f>
        <v>1.9882051330038101E-4</v>
      </c>
    </row>
    <row r="628" spans="1:20" x14ac:dyDescent="0.2">
      <c r="A628" s="4">
        <v>34386</v>
      </c>
      <c r="B628" s="9">
        <f ca="1">Prices!C627*(1+J628/(50*(ABS(O628)+ABS(T628)+0.0001)))</f>
        <v>105.92413373063422</v>
      </c>
      <c r="C628" s="21">
        <f t="shared" ca="1" si="59"/>
        <v>1</v>
      </c>
      <c r="D628" s="9">
        <f ca="1">D627+C628*(Prices!C628-Prices!C627)/Prices!C627</f>
        <v>0.3152198626474747</v>
      </c>
      <c r="E628" s="9">
        <f t="shared" ca="1" si="60"/>
        <v>3.7747487072922192E-3</v>
      </c>
      <c r="F628" s="9">
        <f t="shared" ca="1" si="61"/>
        <v>0.31899461135476692</v>
      </c>
      <c r="G628" s="13">
        <f ca="1">IF((Prices!C628-Prices!C627)*C628&gt;0,1,0)</f>
        <v>1</v>
      </c>
      <c r="H628" s="9">
        <f>ABS(Prices!C628-Prices!C627)/Prices!C627</f>
        <v>1.37654143963292E-2</v>
      </c>
      <c r="I628" s="13"/>
      <c r="J628" s="1">
        <f t="shared" ca="1" si="62"/>
        <v>8.5639408376915319E-4</v>
      </c>
      <c r="K628" s="9"/>
      <c r="L628" s="9">
        <f ca="1">L627-O628*Prices!C628</f>
        <v>0.99637687809501885</v>
      </c>
      <c r="M628" s="1">
        <f t="shared" ca="1" si="63"/>
        <v>1.0419109280307337E-2</v>
      </c>
      <c r="N628" s="9">
        <f ca="1">IF(Prices!D627&gt;OFFSET(Prices!D627,-$N$3,0),1,-1)</f>
        <v>1</v>
      </c>
      <c r="O628" s="1">
        <f ca="1">IF(N628=1,O$3*L627/Prices!C627,-O$3*M627)</f>
        <v>1.0599190235572775E-3</v>
      </c>
      <c r="P628" s="14"/>
      <c r="Q628" s="9">
        <f ca="1">Q627-T628*Prices!C628</f>
        <v>1.0371371315464137</v>
      </c>
      <c r="R628" s="1">
        <f t="shared" ca="1" si="64"/>
        <v>9.9727220496180942E-3</v>
      </c>
      <c r="S628" s="9">
        <f ca="1">IF(Prices!C627&lt;OFFSET(Prices!C627,-S$3,0),1,-1)</f>
        <v>-1</v>
      </c>
      <c r="T628" s="1">
        <f ca="1">IF(S628=1,T$3*Q627/Prices!C627,-T$3*R627)</f>
        <v>-2.0352493978812437E-4</v>
      </c>
    </row>
    <row r="629" spans="1:20" x14ac:dyDescent="0.2">
      <c r="A629" s="4">
        <v>34387</v>
      </c>
      <c r="B629" s="9">
        <f ca="1">Prices!C628*(1+J629/(50*(ABS(O629)+ABS(T629)+0.0001)))</f>
        <v>107.31692837102035</v>
      </c>
      <c r="C629" s="21">
        <f t="shared" ca="1" si="59"/>
        <v>1</v>
      </c>
      <c r="D629" s="9">
        <f ca="1">D628+C629*(Prices!C629-Prices!C628)/Prices!C628</f>
        <v>0.31191953261447147</v>
      </c>
      <c r="E629" s="9">
        <f t="shared" ca="1" si="60"/>
        <v>7.0750787402954485E-3</v>
      </c>
      <c r="F629" s="9">
        <f t="shared" ca="1" si="61"/>
        <v>0.31899461135476692</v>
      </c>
      <c r="G629" s="13">
        <f ca="1">IF((Prices!C629-Prices!C628)*C629&gt;0,1,0)</f>
        <v>0</v>
      </c>
      <c r="H629" s="9">
        <f>ABS(Prices!C629-Prices!C628)/Prices!C628</f>
        <v>3.300330033003247E-3</v>
      </c>
      <c r="I629" s="13"/>
      <c r="J629" s="1">
        <f t="shared" ca="1" si="62"/>
        <v>7.400805689982263E-4</v>
      </c>
      <c r="K629" s="9"/>
      <c r="L629" s="9">
        <f ca="1">L628-O629*Prices!C629</f>
        <v>0.89706802753901371</v>
      </c>
      <c r="M629" s="1">
        <f t="shared" ca="1" si="63"/>
        <v>1.1358644290297926E-2</v>
      </c>
      <c r="N629" s="9">
        <f ca="1">IF(Prices!D628&gt;OFFSET(Prices!D628,-$N$3,0),1,-1)</f>
        <v>1</v>
      </c>
      <c r="O629" s="1">
        <f ca="1">IF(N629=1,O$3*L628/Prices!C628,-O$3*M628)</f>
        <v>9.3953500999058824E-4</v>
      </c>
      <c r="P629" s="14"/>
      <c r="Q629" s="9">
        <f ca="1">Q628-T629*Prices!C629</f>
        <v>1.0582194659593065</v>
      </c>
      <c r="R629" s="1">
        <f t="shared" ca="1" si="64"/>
        <v>9.7732676086257318E-3</v>
      </c>
      <c r="S629" s="9">
        <f ca="1">IF(Prices!C628&lt;OFFSET(Prices!C628,-S$3,0),1,-1)</f>
        <v>-1</v>
      </c>
      <c r="T629" s="1">
        <f ca="1">IF(S629=1,T$3*Q628/Prices!C628,-T$3*R628)</f>
        <v>-1.9945444099236188E-4</v>
      </c>
    </row>
    <row r="630" spans="1:20" x14ac:dyDescent="0.2">
      <c r="A630" s="4">
        <v>34388</v>
      </c>
      <c r="B630" s="9">
        <f ca="1">Prices!C629*(1+J630/(50*(ABS(O630)+ABS(T630)+0.0001)))</f>
        <v>103.73369482391573</v>
      </c>
      <c r="C630" s="21">
        <f t="shared" ca="1" si="59"/>
        <v>-1</v>
      </c>
      <c r="D630" s="9">
        <f ca="1">D629+C630*(Prices!C630-Prices!C629)/Prices!C629</f>
        <v>0.31191953261447147</v>
      </c>
      <c r="E630" s="9">
        <f t="shared" ca="1" si="60"/>
        <v>7.0750787402954485E-3</v>
      </c>
      <c r="F630" s="9">
        <f t="shared" ca="1" si="61"/>
        <v>0.31899461135476692</v>
      </c>
      <c r="G630" s="13">
        <f ca="1">IF((Prices!C630-Prices!C629)*C630&gt;0,1,0)</f>
        <v>0</v>
      </c>
      <c r="H630" s="9">
        <f>ABS(Prices!C630-Prices!C629)/Prices!C629</f>
        <v>0</v>
      </c>
      <c r="I630" s="13"/>
      <c r="J630" s="1">
        <f t="shared" ca="1" si="62"/>
        <v>-1.3313297812023073E-3</v>
      </c>
      <c r="K630" s="9"/>
      <c r="L630" s="9">
        <f ca="1">L629-O630*Prices!C630</f>
        <v>1.0171288976874628</v>
      </c>
      <c r="M630" s="1">
        <f t="shared" ca="1" si="63"/>
        <v>1.0222779861268133E-2</v>
      </c>
      <c r="N630" s="9">
        <f ca="1">IF(Prices!D629&gt;OFFSET(Prices!D629,-$N$3,0),1,-1)</f>
        <v>-1</v>
      </c>
      <c r="O630" s="1">
        <f ca="1">IF(N630=1,O$3*L629/Prices!C629,-O$3*M629)</f>
        <v>-1.1358644290297927E-3</v>
      </c>
      <c r="P630" s="14"/>
      <c r="Q630" s="9">
        <f ca="1">Q629-T630*Prices!C630</f>
        <v>1.0788801536839412</v>
      </c>
      <c r="R630" s="1">
        <f t="shared" ca="1" si="64"/>
        <v>9.5778022564532179E-3</v>
      </c>
      <c r="S630" s="9">
        <f ca="1">IF(Prices!C629&lt;OFFSET(Prices!C629,-S$3,0),1,-1)</f>
        <v>-1</v>
      </c>
      <c r="T630" s="1">
        <f ca="1">IF(S630=1,T$3*Q629/Prices!C629,-T$3*R629)</f>
        <v>-1.9546535217251465E-4</v>
      </c>
    </row>
    <row r="631" spans="1:20" x14ac:dyDescent="0.2">
      <c r="A631" s="4">
        <v>34389</v>
      </c>
      <c r="B631" s="9">
        <f ca="1">Prices!C630*(1+J631/(50*(ABS(O631)+ABS(T631)+0.0001)))</f>
        <v>106.9994598682122</v>
      </c>
      <c r="C631" s="21">
        <f t="shared" ca="1" si="59"/>
        <v>1</v>
      </c>
      <c r="D631" s="9">
        <f ca="1">D630+C631*(Prices!C631-Prices!C630)/Prices!C630</f>
        <v>0.30529701605818005</v>
      </c>
      <c r="E631" s="9">
        <f t="shared" ca="1" si="60"/>
        <v>1.3697595296586873E-2</v>
      </c>
      <c r="F631" s="9">
        <f t="shared" ca="1" si="61"/>
        <v>0.31899461135476692</v>
      </c>
      <c r="G631" s="13">
        <f ca="1">IF((Prices!C631-Prices!C630)*C631&gt;0,1,0)</f>
        <v>0</v>
      </c>
      <c r="H631" s="9">
        <f>ABS(Prices!C631-Prices!C630)/Prices!C630</f>
        <v>6.6225165562914176E-3</v>
      </c>
      <c r="I631" s="13"/>
      <c r="J631" s="1">
        <f t="shared" ca="1" si="62"/>
        <v>7.7072294984488346E-4</v>
      </c>
      <c r="K631" s="9"/>
      <c r="L631" s="9">
        <f ca="1">L630-O631*Prices!C631</f>
        <v>0.91608960321519828</v>
      </c>
      <c r="M631" s="1">
        <f t="shared" ca="1" si="63"/>
        <v>1.118505885624208E-2</v>
      </c>
      <c r="N631" s="9">
        <f ca="1">IF(Prices!D630&gt;OFFSET(Prices!D630,-$N$3,0),1,-1)</f>
        <v>1</v>
      </c>
      <c r="O631" s="1">
        <f ca="1">IF(N631=1,O$3*L630/Prices!C630,-O$3*M630)</f>
        <v>9.6227899497394786E-4</v>
      </c>
      <c r="P631" s="14"/>
      <c r="Q631" s="9">
        <f ca="1">Q630-T631*Prices!C631</f>
        <v>1.0989935384224929</v>
      </c>
      <c r="R631" s="1">
        <f t="shared" ca="1" si="64"/>
        <v>9.3862462113241535E-3</v>
      </c>
      <c r="S631" s="9">
        <f ca="1">IF(Prices!C630&lt;OFFSET(Prices!C630,-S$3,0),1,-1)</f>
        <v>-1</v>
      </c>
      <c r="T631" s="1">
        <f ca="1">IF(S631=1,T$3*Q630/Prices!C630,-T$3*R630)</f>
        <v>-1.9155604512906437E-4</v>
      </c>
    </row>
    <row r="632" spans="1:20" x14ac:dyDescent="0.2">
      <c r="A632" s="4">
        <v>34390</v>
      </c>
      <c r="B632" s="9">
        <f ca="1">Prices!C631*(1+J632/(50*(ABS(O632)+ABS(T632)+0.0001)))</f>
        <v>106.23941368408832</v>
      </c>
      <c r="C632" s="21">
        <f t="shared" ca="1" si="59"/>
        <v>1</v>
      </c>
      <c r="D632" s="9">
        <f ca="1">D631+C632*(Prices!C632-Prices!C631)/Prices!C631</f>
        <v>0.30348749224865629</v>
      </c>
      <c r="E632" s="9">
        <f t="shared" ca="1" si="60"/>
        <v>1.5507119106110634E-2</v>
      </c>
      <c r="F632" s="9">
        <f t="shared" ca="1" si="61"/>
        <v>0.31899461135476692</v>
      </c>
      <c r="G632" s="13">
        <f ca="1">IF((Prices!C632-Prices!C631)*C632&gt;0,1,0)</f>
        <v>0</v>
      </c>
      <c r="H632" s="9">
        <f>ABS(Prices!C632-Prices!C631)/Prices!C631</f>
        <v>1.8095238095237878E-3</v>
      </c>
      <c r="I632" s="13"/>
      <c r="J632" s="1">
        <f t="shared" ca="1" si="62"/>
        <v>6.8474136454989623E-4</v>
      </c>
      <c r="K632" s="9"/>
      <c r="L632" s="9">
        <f ca="1">L631-O632*Prices!C632</f>
        <v>0.82464641148854601</v>
      </c>
      <c r="M632" s="1">
        <f t="shared" ca="1" si="63"/>
        <v>1.205752514501846E-2</v>
      </c>
      <c r="N632" s="9">
        <f ca="1">IF(Prices!D631&gt;OFFSET(Prices!D631,-$N$3,0),1,-1)</f>
        <v>1</v>
      </c>
      <c r="O632" s="1">
        <f ca="1">IF(N632=1,O$3*L631/Prices!C631,-O$3*M631)</f>
        <v>8.7246628877637935E-4</v>
      </c>
      <c r="P632" s="14"/>
      <c r="Q632" s="9">
        <f ca="1">Q631-T632*Prices!C632</f>
        <v>1.1186689877306706</v>
      </c>
      <c r="R632" s="1">
        <f t="shared" ca="1" si="64"/>
        <v>9.1985212870976697E-3</v>
      </c>
      <c r="S632" s="9">
        <f ca="1">IF(Prices!C631&lt;OFFSET(Prices!C631,-S$3,0),1,-1)</f>
        <v>-1</v>
      </c>
      <c r="T632" s="1">
        <f ca="1">IF(S632=1,T$3*Q631/Prices!C631,-T$3*R631)</f>
        <v>-1.8772492422648309E-4</v>
      </c>
    </row>
    <row r="633" spans="1:20" x14ac:dyDescent="0.2">
      <c r="A633" s="4">
        <v>34393</v>
      </c>
      <c r="B633" s="9">
        <f ca="1">Prices!C632*(1+J633/(50*(ABS(O633)+ABS(T633)+0.0001)))</f>
        <v>106.71568266792526</v>
      </c>
      <c r="C633" s="21">
        <f t="shared" ca="1" si="59"/>
        <v>1</v>
      </c>
      <c r="D633" s="9">
        <f ca="1">D632+C633*(Prices!C633-Prices!C632)/Prices!C632</f>
        <v>0.30052975920791586</v>
      </c>
      <c r="E633" s="9">
        <f t="shared" ca="1" si="60"/>
        <v>1.8464852146851063E-2</v>
      </c>
      <c r="F633" s="9">
        <f t="shared" ca="1" si="61"/>
        <v>0.31899461135476692</v>
      </c>
      <c r="G633" s="13">
        <f ca="1">IF((Prices!C633-Prices!C632)*C633&gt;0,1,0)</f>
        <v>0</v>
      </c>
      <c r="H633" s="9">
        <f>ABS(Prices!C633-Prices!C632)/Prices!C632</f>
        <v>2.957733040740409E-3</v>
      </c>
      <c r="I633" s="13"/>
      <c r="J633" s="1">
        <f t="shared" ca="1" si="62"/>
        <v>1.0002673495226411E-3</v>
      </c>
      <c r="K633" s="9"/>
      <c r="L633" s="9">
        <f ca="1">L632-O633*Prices!C633</f>
        <v>0.74242567873351017</v>
      </c>
      <c r="M633" s="1">
        <f t="shared" ca="1" si="63"/>
        <v>1.2844326415401577E-2</v>
      </c>
      <c r="N633" s="9">
        <f ca="1">IF(Prices!D632&gt;OFFSET(Prices!D632,-$N$3,0),1,-1)</f>
        <v>1</v>
      </c>
      <c r="O633" s="1">
        <f ca="1">IF(N633=1,O$3*L632/Prices!C632,-O$3*M632)</f>
        <v>7.8680127038311797E-4</v>
      </c>
      <c r="P633" s="14"/>
      <c r="Q633" s="9">
        <f ca="1">Q632-T633*Prices!C633</f>
        <v>1.0963617824605905</v>
      </c>
      <c r="R633" s="1">
        <f t="shared" ca="1" si="64"/>
        <v>9.4119873662371935E-3</v>
      </c>
      <c r="S633" s="9">
        <f ca="1">IF(Prices!C632&lt;OFFSET(Prices!C632,-S$3,0),1,-1)</f>
        <v>1</v>
      </c>
      <c r="T633" s="1">
        <f ca="1">IF(S633=1,T$3*Q632/Prices!C632,-T$3*R632)</f>
        <v>2.1346607913952305E-4</v>
      </c>
    </row>
    <row r="634" spans="1:20" x14ac:dyDescent="0.2">
      <c r="A634" s="4">
        <v>34394</v>
      </c>
      <c r="B634" s="9">
        <f ca="1">Prices!C633*(1+J634/(50*(ABS(O634)+ABS(T634)+0.0001)))</f>
        <v>103.09124874373707</v>
      </c>
      <c r="C634" s="21">
        <f t="shared" ca="1" si="59"/>
        <v>-1</v>
      </c>
      <c r="D634" s="9">
        <f ca="1">D633+C634*(Prices!C634-Prices!C633)/Prices!C633</f>
        <v>0.29957282140887287</v>
      </c>
      <c r="E634" s="9">
        <f t="shared" ca="1" si="60"/>
        <v>1.9421789945894052E-2</v>
      </c>
      <c r="F634" s="9">
        <f t="shared" ca="1" si="61"/>
        <v>0.31899461135476692</v>
      </c>
      <c r="G634" s="13">
        <f ca="1">IF((Prices!C634-Prices!C633)*C634&gt;0,1,0)</f>
        <v>0</v>
      </c>
      <c r="H634" s="9">
        <f>ABS(Prices!C634-Prices!C633)/Prices!C633</f>
        <v>9.569377990430078E-4</v>
      </c>
      <c r="I634" s="13"/>
      <c r="J634" s="1">
        <f t="shared" ca="1" si="62"/>
        <v>-1.0746026353276048E-3</v>
      </c>
      <c r="K634" s="9"/>
      <c r="L634" s="9">
        <f ca="1">L633-O634*Prices!C634</f>
        <v>0.87677733303861072</v>
      </c>
      <c r="M634" s="1">
        <f t="shared" ca="1" si="63"/>
        <v>1.1559893773861419E-2</v>
      </c>
      <c r="N634" s="9">
        <f ca="1">IF(Prices!D633&gt;OFFSET(Prices!D633,-$N$3,0),1,-1)</f>
        <v>-1</v>
      </c>
      <c r="O634" s="1">
        <f ca="1">IF(N634=1,O$3*L633/Prices!C633,-O$3*M633)</f>
        <v>-1.2844326415401579E-3</v>
      </c>
      <c r="P634" s="14"/>
      <c r="Q634" s="9">
        <f ca="1">Q633-T634*Prices!C634</f>
        <v>1.0744135638107575</v>
      </c>
      <c r="R634" s="1">
        <f t="shared" ca="1" si="64"/>
        <v>9.6218173724497459E-3</v>
      </c>
      <c r="S634" s="9">
        <f ca="1">IF(Prices!C633&lt;OFFSET(Prices!C633,-S$3,0),1,-1)</f>
        <v>1</v>
      </c>
      <c r="T634" s="1">
        <f ca="1">IF(S634=1,T$3*Q633/Prices!C633,-T$3*R633)</f>
        <v>2.0983000621255319E-4</v>
      </c>
    </row>
    <row r="635" spans="1:20" x14ac:dyDescent="0.2">
      <c r="A635" s="4">
        <v>34395</v>
      </c>
      <c r="B635" s="9">
        <f ca="1">Prices!C634*(1+J635/(50*(ABS(O635)+ABS(T635)+0.0001)))</f>
        <v>106.50907723101834</v>
      </c>
      <c r="C635" s="21">
        <f t="shared" ca="1" si="59"/>
        <v>1</v>
      </c>
      <c r="D635" s="9">
        <f ca="1">D634+C635*(Prices!C635-Prices!C634)/Prices!C634</f>
        <v>0.29670475257522089</v>
      </c>
      <c r="E635" s="9">
        <f t="shared" ca="1" si="60"/>
        <v>2.2289858779546035E-2</v>
      </c>
      <c r="F635" s="9">
        <f t="shared" ca="1" si="61"/>
        <v>0.31899461135476692</v>
      </c>
      <c r="G635" s="13">
        <f ca="1">IF((Prices!C635-Prices!C634)*C635&gt;0,1,0)</f>
        <v>0</v>
      </c>
      <c r="H635" s="9">
        <f>ABS(Prices!C635-Prices!C634)/Prices!C634</f>
        <v>2.8680688336519804E-3</v>
      </c>
      <c r="I635" s="13"/>
      <c r="J635" s="1">
        <f t="shared" ca="1" si="62"/>
        <v>1.0436520514347633E-3</v>
      </c>
      <c r="K635" s="9"/>
      <c r="L635" s="9">
        <f ca="1">L634-O635*Prices!C635</f>
        <v>0.78935106550904366</v>
      </c>
      <c r="M635" s="1">
        <f t="shared" ca="1" si="63"/>
        <v>1.2398113021508275E-2</v>
      </c>
      <c r="N635" s="9">
        <f ca="1">IF(Prices!D634&gt;OFFSET(Prices!D634,-$N$3,0),1,-1)</f>
        <v>1</v>
      </c>
      <c r="O635" s="1">
        <f ca="1">IF(N635=1,O$3*L634/Prices!C634,-O$3*M634)</f>
        <v>8.3821924764685557E-4</v>
      </c>
      <c r="P635" s="14"/>
      <c r="Q635" s="9">
        <f ca="1">Q634-T635*Prices!C635</f>
        <v>1.0529869223756787</v>
      </c>
      <c r="R635" s="1">
        <f t="shared" ca="1" si="64"/>
        <v>9.8272501762376539E-3</v>
      </c>
      <c r="S635" s="9">
        <f ca="1">IF(Prices!C634&lt;OFFSET(Prices!C634,-S$3,0),1,-1)</f>
        <v>1</v>
      </c>
      <c r="T635" s="1">
        <f ca="1">IF(S635=1,T$3*Q634/Prices!C634,-T$3*R634)</f>
        <v>2.0543280378790775E-4</v>
      </c>
    </row>
    <row r="636" spans="1:20" x14ac:dyDescent="0.2">
      <c r="A636" s="4">
        <v>34396</v>
      </c>
      <c r="B636" s="9">
        <f ca="1">Prices!C635*(1+J636/(50*(ABS(O636)+ABS(T636)+0.0001)))</f>
        <v>106.18897024641228</v>
      </c>
      <c r="C636" s="21">
        <f t="shared" ca="1" si="59"/>
        <v>1</v>
      </c>
      <c r="D636" s="9">
        <f ca="1">D635+C636*(Prices!C636-Prices!C635)/Prices!C635</f>
        <v>0.29277378421472233</v>
      </c>
      <c r="E636" s="9">
        <f t="shared" ca="1" si="60"/>
        <v>2.6220827140044589E-2</v>
      </c>
      <c r="F636" s="9">
        <f t="shared" ca="1" si="61"/>
        <v>0.31899461135476692</v>
      </c>
      <c r="G636" s="13">
        <f ca="1">IF((Prices!C636-Prices!C635)*C636&gt;0,1,0)</f>
        <v>0</v>
      </c>
      <c r="H636" s="9">
        <f>ABS(Prices!C636-Prices!C635)/Prices!C635</f>
        <v>3.9309683604985294E-3</v>
      </c>
      <c r="I636" s="13"/>
      <c r="J636" s="1">
        <f t="shared" ca="1" si="62"/>
        <v>9.5872334610180192E-4</v>
      </c>
      <c r="K636" s="9"/>
      <c r="L636" s="9">
        <f ca="1">L635-O636*Prices!C636</f>
        <v>0.71072625036452353</v>
      </c>
      <c r="M636" s="1">
        <f t="shared" ca="1" si="63"/>
        <v>1.3154921329762391E-2</v>
      </c>
      <c r="N636" s="9">
        <f ca="1">IF(Prices!D635&gt;OFFSET(Prices!D635,-$N$3,0),1,-1)</f>
        <v>1</v>
      </c>
      <c r="O636" s="1">
        <f ca="1">IF(N636=1,O$3*L635/Prices!C635,-O$3*M635)</f>
        <v>7.5680830825411666E-4</v>
      </c>
      <c r="P636" s="14"/>
      <c r="Q636" s="9">
        <f ca="1">Q635-T636*Prices!C636</f>
        <v>1.0320099690936826</v>
      </c>
      <c r="R636" s="1">
        <f t="shared" ca="1" si="64"/>
        <v>1.0029165214085339E-2</v>
      </c>
      <c r="S636" s="9">
        <f ca="1">IF(Prices!C635&lt;OFFSET(Prices!C635,-S$3,0),1,-1)</f>
        <v>1</v>
      </c>
      <c r="T636" s="1">
        <f ca="1">IF(S636=1,T$3*Q635/Prices!C635,-T$3*R635)</f>
        <v>2.0191503784768527E-4</v>
      </c>
    </row>
    <row r="637" spans="1:20" x14ac:dyDescent="0.2">
      <c r="A637" s="4">
        <v>34397</v>
      </c>
      <c r="B637" s="9">
        <f ca="1">Prices!C636*(1+J637/(50*(ABS(O637)+ABS(T637)+0.0001)))</f>
        <v>105.75638101387534</v>
      </c>
      <c r="C637" s="21">
        <f t="shared" ca="1" si="59"/>
        <v>1</v>
      </c>
      <c r="D637" s="9">
        <f ca="1">D636+C637*(Prices!C637-Prices!C636)/Prices!C636</f>
        <v>0.30836720032791903</v>
      </c>
      <c r="E637" s="9">
        <f t="shared" ca="1" si="60"/>
        <v>1.0627411026847888E-2</v>
      </c>
      <c r="F637" s="9">
        <f t="shared" ca="1" si="61"/>
        <v>0.31899461135476692</v>
      </c>
      <c r="G637" s="13">
        <f ca="1">IF((Prices!C637-Prices!C636)*C637&gt;0,1,0)</f>
        <v>1</v>
      </c>
      <c r="H637" s="9">
        <f>ABS(Prices!C637-Prices!C636)/Prices!C636</f>
        <v>1.5593416113196694E-2</v>
      </c>
      <c r="I637" s="13"/>
      <c r="J637" s="1">
        <f t="shared" ca="1" si="62"/>
        <v>8.8278779880956787E-4</v>
      </c>
      <c r="K637" s="9"/>
      <c r="L637" s="9">
        <f ca="1">L636-O637*Prices!C637</f>
        <v>0.63854536031162057</v>
      </c>
      <c r="M637" s="1">
        <f t="shared" ca="1" si="63"/>
        <v>1.3839035537447947E-2</v>
      </c>
      <c r="N637" s="9">
        <f ca="1">IF(Prices!D636&gt;OFFSET(Prices!D636,-$N$3,0),1,-1)</f>
        <v>1</v>
      </c>
      <c r="O637" s="1">
        <f ca="1">IF(N637=1,O$3*L636/Prices!C636,-O$3*M636)</f>
        <v>6.8411420768555548E-4</v>
      </c>
      <c r="P637" s="14"/>
      <c r="Q637" s="9">
        <f ca="1">Q636-T637*Prices!C637</f>
        <v>1.0110479184941881</v>
      </c>
      <c r="R637" s="1">
        <f t="shared" ca="1" si="64"/>
        <v>1.0227838805209352E-2</v>
      </c>
      <c r="S637" s="9">
        <f ca="1">IF(Prices!C636&lt;OFFSET(Prices!C636,-S$3,0),1,-1)</f>
        <v>1</v>
      </c>
      <c r="T637" s="1">
        <f ca="1">IF(S637=1,T$3*Q636/Prices!C636,-T$3*R636)</f>
        <v>1.9867359112401244E-4</v>
      </c>
    </row>
    <row r="638" spans="1:20" x14ac:dyDescent="0.2">
      <c r="A638" s="4">
        <v>34400</v>
      </c>
      <c r="B638" s="9">
        <f ca="1">Prices!C637*(1+J638/(50*(ABS(O638)+ABS(T638)+0.0001)))</f>
        <v>106.4392989679348</v>
      </c>
      <c r="C638" s="21">
        <f t="shared" ca="1" si="59"/>
        <v>1</v>
      </c>
      <c r="D638" s="9">
        <f ca="1">D637+C638*(Prices!C638-Prices!C637)/Prices!C637</f>
        <v>0.30969408877451177</v>
      </c>
      <c r="E638" s="9">
        <f t="shared" ca="1" si="60"/>
        <v>9.300522580255155E-3</v>
      </c>
      <c r="F638" s="9">
        <f t="shared" ca="1" si="61"/>
        <v>0.31899461135476692</v>
      </c>
      <c r="G638" s="13">
        <f ca="1">IF((Prices!C638-Prices!C637)*C638&gt;0,1,0)</f>
        <v>1</v>
      </c>
      <c r="H638" s="9">
        <f>ABS(Prices!C638-Prices!C637)/Prices!C637</f>
        <v>1.3268884465927454E-3</v>
      </c>
      <c r="I638" s="13"/>
      <c r="J638" s="1">
        <f t="shared" ca="1" si="62"/>
        <v>4.0064212476930415E-4</v>
      </c>
      <c r="K638" s="9"/>
      <c r="L638" s="9">
        <f ca="1">L637-O638*Prices!C638</f>
        <v>0.57460609643433624</v>
      </c>
      <c r="M638" s="1">
        <f t="shared" ca="1" si="63"/>
        <v>1.4444234438321438E-2</v>
      </c>
      <c r="N638" s="9">
        <f ca="1">IF(Prices!D637&gt;OFFSET(Prices!D637,-$N$3,0),1,-1)</f>
        <v>1</v>
      </c>
      <c r="O638" s="1">
        <f ca="1">IF(N638=1,O$3*L637/Prices!C637,-O$3*M637)</f>
        <v>6.0519890087349119E-4</v>
      </c>
      <c r="P638" s="14"/>
      <c r="Q638" s="9">
        <f ca="1">Q637-T638*Prices!C638</f>
        <v>1.0326593418895955</v>
      </c>
      <c r="R638" s="1">
        <f t="shared" ca="1" si="64"/>
        <v>1.0023282029105164E-2</v>
      </c>
      <c r="S638" s="9">
        <f ca="1">IF(Prices!C637&lt;OFFSET(Prices!C637,-S$3,0),1,-1)</f>
        <v>-1</v>
      </c>
      <c r="T638" s="1">
        <f ca="1">IF(S638=1,T$3*Q637/Prices!C637,-T$3*R637)</f>
        <v>-2.0455677610418705E-4</v>
      </c>
    </row>
    <row r="639" spans="1:20" x14ac:dyDescent="0.2">
      <c r="A639" s="4">
        <v>34401</v>
      </c>
      <c r="B639" s="9">
        <f ca="1">Prices!C638*(1+J639/(50*(ABS(O639)+ABS(T639)+0.0001)))</f>
        <v>103.65809652234482</v>
      </c>
      <c r="C639" s="21">
        <f t="shared" ca="1" si="59"/>
        <v>-1</v>
      </c>
      <c r="D639" s="9">
        <f ca="1">D638+C639*(Prices!C639-Prices!C638)/Prices!C638</f>
        <v>0.31243900122127</v>
      </c>
      <c r="E639" s="9">
        <f t="shared" ca="1" si="60"/>
        <v>6.5556101334969252E-3</v>
      </c>
      <c r="F639" s="9">
        <f t="shared" ca="1" si="61"/>
        <v>0.31899461135476692</v>
      </c>
      <c r="G639" s="13">
        <f ca="1">IF((Prices!C639-Prices!C638)*C639&gt;0,1,0)</f>
        <v>1</v>
      </c>
      <c r="H639" s="9">
        <f>ABS(Prices!C639-Prices!C638)/Prices!C638</f>
        <v>2.7449124467582228E-3</v>
      </c>
      <c r="I639" s="13"/>
      <c r="J639" s="1">
        <f t="shared" ca="1" si="62"/>
        <v>-1.6448890844142474E-3</v>
      </c>
      <c r="K639" s="9"/>
      <c r="L639" s="9">
        <f ca="1">L638-O639*Prices!C639</f>
        <v>0.72679055047649088</v>
      </c>
      <c r="M639" s="1">
        <f t="shared" ca="1" si="63"/>
        <v>1.2999810994489294E-2</v>
      </c>
      <c r="N639" s="9">
        <f ca="1">IF(Prices!D638&gt;OFFSET(Prices!D638,-$N$3,0),1,-1)</f>
        <v>-1</v>
      </c>
      <c r="O639" s="1">
        <f ca="1">IF(N639=1,O$3*L638/Prices!C638,-O$3*M638)</f>
        <v>-1.444423443832144E-3</v>
      </c>
      <c r="P639" s="14"/>
      <c r="Q639" s="9">
        <f ca="1">Q638-T639*Prices!C639</f>
        <v>1.0537804017813259</v>
      </c>
      <c r="R639" s="1">
        <f t="shared" ca="1" si="64"/>
        <v>9.8228163885230608E-3</v>
      </c>
      <c r="S639" s="9">
        <f ca="1">IF(Prices!C638&lt;OFFSET(Prices!C638,-S$3,0),1,-1)</f>
        <v>-1</v>
      </c>
      <c r="T639" s="1">
        <f ca="1">IF(S639=1,T$3*Q638/Prices!C638,-T$3*R638)</f>
        <v>-2.004656405821033E-4</v>
      </c>
    </row>
    <row r="640" spans="1:20" x14ac:dyDescent="0.2">
      <c r="A640" s="4">
        <v>34402</v>
      </c>
      <c r="B640" s="9">
        <f ca="1">Prices!C639*(1+J640/(50*(ABS(O640)+ABS(T640)+0.0001)))</f>
        <v>103.38479389866913</v>
      </c>
      <c r="C640" s="21">
        <f t="shared" ca="1" si="59"/>
        <v>-1</v>
      </c>
      <c r="D640" s="9">
        <f ca="1">D639+C640*(Prices!C640-Prices!C639)/Prices!C639</f>
        <v>0.30826284328656994</v>
      </c>
      <c r="E640" s="9">
        <f t="shared" ca="1" si="60"/>
        <v>1.0731768068196978E-2</v>
      </c>
      <c r="F640" s="9">
        <f t="shared" ca="1" si="61"/>
        <v>0.31899461135476692</v>
      </c>
      <c r="G640" s="13">
        <f ca="1">IF((Prices!C640-Prices!C639)*C640&gt;0,1,0)</f>
        <v>0</v>
      </c>
      <c r="H640" s="9">
        <f>ABS(Prices!C640-Prices!C639)/Prices!C639</f>
        <v>4.1761579347000541E-3</v>
      </c>
      <c r="I640" s="13"/>
      <c r="J640" s="1">
        <f t="shared" ca="1" si="62"/>
        <v>-1.4964374272193907E-3</v>
      </c>
      <c r="K640" s="9"/>
      <c r="L640" s="9">
        <f ca="1">L639-O640*Prices!C640</f>
        <v>0.8643285507981876</v>
      </c>
      <c r="M640" s="1">
        <f t="shared" ca="1" si="63"/>
        <v>1.1699829895040363E-2</v>
      </c>
      <c r="N640" s="9">
        <f ca="1">IF(Prices!D639&gt;OFFSET(Prices!D639,-$N$3,0),1,-1)</f>
        <v>-1</v>
      </c>
      <c r="O640" s="1">
        <f ca="1">IF(N640=1,O$3*L639/Prices!C639,-O$3*M639)</f>
        <v>-1.2999810994489295E-3</v>
      </c>
      <c r="P640" s="14"/>
      <c r="Q640" s="9">
        <f ca="1">Q639-T640*Prices!C640</f>
        <v>1.0745654812594407</v>
      </c>
      <c r="R640" s="1">
        <f t="shared" ca="1" si="64"/>
        <v>9.6263600607525996E-3</v>
      </c>
      <c r="S640" s="9">
        <f ca="1">IF(Prices!C639&lt;OFFSET(Prices!C639,-S$3,0),1,-1)</f>
        <v>-1</v>
      </c>
      <c r="T640" s="1">
        <f ca="1">IF(S640=1,T$3*Q639/Prices!C639,-T$3*R639)</f>
        <v>-1.9645632777046121E-4</v>
      </c>
    </row>
    <row r="641" spans="1:20" x14ac:dyDescent="0.2">
      <c r="A641" s="4">
        <v>34403</v>
      </c>
      <c r="B641" s="9">
        <f ca="1">Prices!C640*(1+J641/(50*(ABS(O641)+ABS(T641)+0.0001)))</f>
        <v>106.99089843668577</v>
      </c>
      <c r="C641" s="21">
        <f t="shared" ca="1" si="59"/>
        <v>1</v>
      </c>
      <c r="D641" s="9">
        <f ca="1">D640+C641*(Prices!C641-Prices!C640)/Prices!C640</f>
        <v>0.30353694536596504</v>
      </c>
      <c r="E641" s="9">
        <f t="shared" ca="1" si="60"/>
        <v>1.5457665988801883E-2</v>
      </c>
      <c r="F641" s="9">
        <f t="shared" ca="1" si="61"/>
        <v>0.31899461135476692</v>
      </c>
      <c r="G641" s="13">
        <f ca="1">IF((Prices!C641-Prices!C640)*C641&gt;0,1,0)</f>
        <v>0</v>
      </c>
      <c r="H641" s="9">
        <f>ABS(Prices!C641-Prices!C640)/Prices!C640</f>
        <v>4.725897920604915E-3</v>
      </c>
      <c r="I641" s="13"/>
      <c r="J641" s="1">
        <f t="shared" ca="1" si="62"/>
        <v>6.244184989722709E-4</v>
      </c>
      <c r="K641" s="9"/>
      <c r="L641" s="9">
        <f ca="1">L640-O641*Prices!C641</f>
        <v>0.77830416856846252</v>
      </c>
      <c r="M641" s="1">
        <f t="shared" ca="1" si="63"/>
        <v>1.2516775595227686E-2</v>
      </c>
      <c r="N641" s="9">
        <f ca="1">IF(Prices!D640&gt;OFFSET(Prices!D640,-$N$3,0),1,-1)</f>
        <v>1</v>
      </c>
      <c r="O641" s="1">
        <f ca="1">IF(N641=1,O$3*L640/Prices!C640,-O$3*M640)</f>
        <v>8.1694570018732296E-4</v>
      </c>
      <c r="P641" s="14"/>
      <c r="Q641" s="9">
        <f ca="1">Q640-T641*Prices!C641</f>
        <v>1.0948385955473856</v>
      </c>
      <c r="R641" s="1">
        <f t="shared" ca="1" si="64"/>
        <v>9.4338328595375484E-3</v>
      </c>
      <c r="S641" s="9">
        <f ca="1">IF(Prices!C640&lt;OFFSET(Prices!C640,-S$3,0),1,-1)</f>
        <v>-1</v>
      </c>
      <c r="T641" s="1">
        <f ca="1">IF(S641=1,T$3*Q640/Prices!C640,-T$3*R640)</f>
        <v>-1.9252720121505201E-4</v>
      </c>
    </row>
    <row r="642" spans="1:20" x14ac:dyDescent="0.2">
      <c r="A642" s="4">
        <v>34404</v>
      </c>
      <c r="B642" s="9">
        <f ca="1">Prices!C641*(1+J642/(50*(ABS(O642)+ABS(T642)+0.0001)))</f>
        <v>107.20486862482313</v>
      </c>
      <c r="C642" s="21">
        <f t="shared" ca="1" si="59"/>
        <v>1</v>
      </c>
      <c r="D642" s="9">
        <f ca="1">D641+C642*(Prices!C642-Prices!C641)/Prices!C641</f>
        <v>0.30125774308676279</v>
      </c>
      <c r="E642" s="9">
        <f t="shared" ca="1" si="60"/>
        <v>1.7736868268004136E-2</v>
      </c>
      <c r="F642" s="9">
        <f t="shared" ca="1" si="61"/>
        <v>0.31899461135476692</v>
      </c>
      <c r="G642" s="13">
        <f ca="1">IF((Prices!C642-Prices!C641)*C642&gt;0,1,0)</f>
        <v>0</v>
      </c>
      <c r="H642" s="9">
        <f>ABS(Prices!C642-Prices!C641)/Prices!C641</f>
        <v>2.2792022792022305E-3</v>
      </c>
      <c r="I642" s="13"/>
      <c r="J642" s="1">
        <f t="shared" ca="1" si="62"/>
        <v>9.4707681640829994E-4</v>
      </c>
      <c r="K642" s="9"/>
      <c r="L642" s="9">
        <f ca="1">L641-O642*Prices!C642</f>
        <v>0.70065114297510767</v>
      </c>
      <c r="M642" s="1">
        <f t="shared" ca="1" si="63"/>
        <v>1.3255905859775133E-2</v>
      </c>
      <c r="N642" s="9">
        <f ca="1">IF(Prices!D641&gt;OFFSET(Prices!D641,-$N$3,0),1,-1)</f>
        <v>1</v>
      </c>
      <c r="O642" s="1">
        <f ca="1">IF(N642=1,O$3*L641/Prices!C641,-O$3*M641)</f>
        <v>7.3913026454744792E-4</v>
      </c>
      <c r="P642" s="14"/>
      <c r="Q642" s="9">
        <f ca="1">Q641-T642*Prices!C642</f>
        <v>1.0729917308088845</v>
      </c>
      <c r="R642" s="1">
        <f t="shared" ca="1" si="64"/>
        <v>9.6417794113984011E-3</v>
      </c>
      <c r="S642" s="9">
        <f ca="1">IF(Prices!C641&lt;OFFSET(Prices!C641,-S$3,0),1,-1)</f>
        <v>1</v>
      </c>
      <c r="T642" s="1">
        <f ca="1">IF(S642=1,T$3*Q641/Prices!C641,-T$3*R641)</f>
        <v>2.0794655186085197E-4</v>
      </c>
    </row>
    <row r="643" spans="1:20" x14ac:dyDescent="0.2">
      <c r="A643" s="4">
        <v>34407</v>
      </c>
      <c r="B643" s="9">
        <f ca="1">Prices!C642*(1+J643/(50*(ABS(O643)+ABS(T643)+0.0001)))</f>
        <v>106.94484204748626</v>
      </c>
      <c r="C643" s="21">
        <f t="shared" ca="1" si="59"/>
        <v>1</v>
      </c>
      <c r="D643" s="9">
        <f ca="1">D642+C643*(Prices!C643-Prices!C642)/Prices!C642</f>
        <v>0.31210868540543785</v>
      </c>
      <c r="E643" s="9">
        <f t="shared" ca="1" si="60"/>
        <v>6.8859259493290748E-3</v>
      </c>
      <c r="F643" s="9">
        <f t="shared" ca="1" si="61"/>
        <v>0.31899461135476692</v>
      </c>
      <c r="G643" s="13">
        <f ca="1">IF((Prices!C643-Prices!C642)*C643&gt;0,1,0)</f>
        <v>1</v>
      </c>
      <c r="H643" s="9">
        <f>ABS(Prices!C643-Prices!C642)/Prices!C642</f>
        <v>1.0850942318675049E-2</v>
      </c>
      <c r="I643" s="13"/>
      <c r="J643" s="1">
        <f t="shared" ca="1" si="62"/>
        <v>8.7116836963343288E-4</v>
      </c>
      <c r="K643" s="9"/>
      <c r="L643" s="9">
        <f ca="1">L642-O643*Prices!C643</f>
        <v>0.62982575616380321</v>
      </c>
      <c r="M643" s="1">
        <f t="shared" ca="1" si="63"/>
        <v>1.3922811573629224E-2</v>
      </c>
      <c r="N643" s="9">
        <f ca="1">IF(Prices!D642&gt;OFFSET(Prices!D642,-$N$3,0),1,-1)</f>
        <v>1</v>
      </c>
      <c r="O643" s="1">
        <f ca="1">IF(N643=1,O$3*L642/Prices!C642,-O$3*M642)</f>
        <v>6.6690571385409061E-4</v>
      </c>
      <c r="P643" s="14"/>
      <c r="Q643" s="9">
        <f ca="1">Q642-T643*Prices!C643</f>
        <v>1.0512990367651185</v>
      </c>
      <c r="R643" s="1">
        <f t="shared" ca="1" si="64"/>
        <v>9.8460420671777436E-3</v>
      </c>
      <c r="S643" s="9">
        <f ca="1">IF(Prices!C642&lt;OFFSET(Prices!C642,-S$3,0),1,-1)</f>
        <v>1</v>
      </c>
      <c r="T643" s="1">
        <f ca="1">IF(S643=1,T$3*Q642/Prices!C642,-T$3*R642)</f>
        <v>2.0426265577934221E-4</v>
      </c>
    </row>
    <row r="644" spans="1:20" x14ac:dyDescent="0.2">
      <c r="A644" s="4">
        <v>34408</v>
      </c>
      <c r="B644" s="9">
        <f ca="1">Prices!C643*(1+J644/(50*(ABS(O644)+ABS(T644)+0.0001)))</f>
        <v>107.14540818733761</v>
      </c>
      <c r="C644" s="21">
        <f t="shared" ca="1" si="59"/>
        <v>1</v>
      </c>
      <c r="D644" s="9">
        <f ca="1">D643+C644*(Prices!C644-Prices!C643)/Prices!C643</f>
        <v>0.31163787561259421</v>
      </c>
      <c r="E644" s="9">
        <f t="shared" ca="1" si="60"/>
        <v>7.3567357421727153E-3</v>
      </c>
      <c r="F644" s="9">
        <f t="shared" ca="1" si="61"/>
        <v>0.31899461135476692</v>
      </c>
      <c r="G644" s="13">
        <f ca="1">IF((Prices!C644-Prices!C643)*C644&gt;0,1,0)</f>
        <v>0</v>
      </c>
      <c r="H644" s="9">
        <f>ABS(Prices!C644-Prices!C643)/Prices!C643</f>
        <v>4.7080979284366435E-4</v>
      </c>
      <c r="I644" s="13"/>
      <c r="J644" s="1">
        <f t="shared" ca="1" si="62"/>
        <v>3.9613542623064772E-4</v>
      </c>
      <c r="K644" s="9"/>
      <c r="L644" s="9">
        <f ca="1">L643-O644*Prices!C644</f>
        <v>0.56687283336080163</v>
      </c>
      <c r="M644" s="1">
        <f t="shared" ca="1" si="63"/>
        <v>1.4515867841203426E-2</v>
      </c>
      <c r="N644" s="9">
        <f ca="1">IF(Prices!D643&gt;OFFSET(Prices!D643,-$N$3,0),1,-1)</f>
        <v>1</v>
      </c>
      <c r="O644" s="1">
        <f ca="1">IF(N644=1,O$3*L643/Prices!C643,-O$3*M643)</f>
        <v>5.930562675742026E-4</v>
      </c>
      <c r="P644" s="14"/>
      <c r="Q644" s="9">
        <f ca="1">Q643-T644*Prices!C644</f>
        <v>1.0722021840737368</v>
      </c>
      <c r="R644" s="1">
        <f t="shared" ca="1" si="64"/>
        <v>9.6491212258341882E-3</v>
      </c>
      <c r="S644" s="9">
        <f ca="1">IF(Prices!C643&lt;OFFSET(Prices!C643,-S$3,0),1,-1)</f>
        <v>-1</v>
      </c>
      <c r="T644" s="1">
        <f ca="1">IF(S644=1,T$3*Q643/Prices!C643,-T$3*R643)</f>
        <v>-1.9692084134355489E-4</v>
      </c>
    </row>
    <row r="645" spans="1:20" x14ac:dyDescent="0.2">
      <c r="A645" s="4">
        <v>34409</v>
      </c>
      <c r="B645" s="9">
        <f ca="1">Prices!C644*(1+J645/(50*(ABS(O645)+ABS(T645)+0.0001)))</f>
        <v>107.02549348426716</v>
      </c>
      <c r="C645" s="21">
        <f t="shared" ca="1" si="59"/>
        <v>1</v>
      </c>
      <c r="D645" s="9">
        <f ca="1">D644+C645*(Prices!C645-Prices!C644)/Prices!C644</f>
        <v>0.31031898724707369</v>
      </c>
      <c r="E645" s="9">
        <f t="shared" ca="1" si="60"/>
        <v>8.6756241076932361E-3</v>
      </c>
      <c r="F645" s="9">
        <f t="shared" ca="1" si="61"/>
        <v>0.31899461135476692</v>
      </c>
      <c r="G645" s="13">
        <f ca="1">IF((Prices!C645-Prices!C644)*C645&gt;0,1,0)</f>
        <v>0</v>
      </c>
      <c r="H645" s="9">
        <f>ABS(Prices!C645-Prices!C644)/Prices!C644</f>
        <v>1.3188883655204952E-3</v>
      </c>
      <c r="I645" s="13"/>
      <c r="J645" s="1">
        <f t="shared" ca="1" si="62"/>
        <v>3.410475645184568E-4</v>
      </c>
      <c r="K645" s="9"/>
      <c r="L645" s="9">
        <f ca="1">L644-O645*Prices!C645</f>
        <v>0.51026031422318641</v>
      </c>
      <c r="M645" s="1">
        <f t="shared" ca="1" si="63"/>
        <v>1.5049897830238567E-2</v>
      </c>
      <c r="N645" s="9">
        <f ca="1">IF(Prices!D644&gt;OFFSET(Prices!D644,-$N$3,0),1,-1)</f>
        <v>1</v>
      </c>
      <c r="O645" s="1">
        <f ca="1">IF(N645=1,O$3*L644/Prices!C644,-O$3*M644)</f>
        <v>5.3402998903514056E-4</v>
      </c>
      <c r="P645" s="14"/>
      <c r="Q645" s="9">
        <f ca="1">Q644-T645*Prices!C645</f>
        <v>1.0926602508967505</v>
      </c>
      <c r="R645" s="1">
        <f t="shared" ca="1" si="64"/>
        <v>9.4561388013175048E-3</v>
      </c>
      <c r="S645" s="9">
        <f ca="1">IF(Prices!C644&lt;OFFSET(Prices!C644,-S$3,0),1,-1)</f>
        <v>-1</v>
      </c>
      <c r="T645" s="1">
        <f ca="1">IF(S645=1,T$3*Q644/Prices!C644,-T$3*R644)</f>
        <v>-1.9298242451668376E-4</v>
      </c>
    </row>
    <row r="646" spans="1:20" x14ac:dyDescent="0.2">
      <c r="A646" s="4">
        <v>34410</v>
      </c>
      <c r="B646" s="9">
        <f ca="1">Prices!C645*(1+J646/(50*(ABS(O646)+ABS(T646)+0.0001)))</f>
        <v>104.00797541710553</v>
      </c>
      <c r="C646" s="21">
        <f t="shared" ca="1" si="59"/>
        <v>-1</v>
      </c>
      <c r="D646" s="9">
        <f ca="1">D645+C646*(Prices!C646-Prices!C645)/Prices!C645</f>
        <v>0.31220560171740669</v>
      </c>
      <c r="E646" s="9">
        <f t="shared" ca="1" si="60"/>
        <v>6.7890096373602327E-3</v>
      </c>
      <c r="F646" s="9">
        <f t="shared" ca="1" si="61"/>
        <v>0.31899461135476692</v>
      </c>
      <c r="G646" s="13">
        <f ca="1">IF((Prices!C646-Prices!C645)*C646&gt;0,1,0)</f>
        <v>1</v>
      </c>
      <c r="H646" s="9">
        <f>ABS(Prices!C646-Prices!C645)/Prices!C645</f>
        <v>1.8866144703330141E-3</v>
      </c>
      <c r="I646" s="13"/>
      <c r="J646" s="1">
        <f t="shared" ca="1" si="62"/>
        <v>-1.6941125590502067E-3</v>
      </c>
      <c r="K646" s="9"/>
      <c r="L646" s="9">
        <f ca="1">L645-O646*Prices!C646</f>
        <v>0.66950328316494068</v>
      </c>
      <c r="M646" s="1">
        <f t="shared" ca="1" si="63"/>
        <v>1.3544908047214709E-2</v>
      </c>
      <c r="N646" s="9">
        <f ca="1">IF(Prices!D645&gt;OFFSET(Prices!D645,-$N$3,0),1,-1)</f>
        <v>-1</v>
      </c>
      <c r="O646" s="1">
        <f ca="1">IF(N646=1,O$3*L645/Prices!C645,-O$3*M645)</f>
        <v>-1.5049897830238567E-3</v>
      </c>
      <c r="P646" s="14"/>
      <c r="Q646" s="9">
        <f ca="1">Q645-T646*Prices!C646</f>
        <v>1.1126713318280985</v>
      </c>
      <c r="R646" s="1">
        <f t="shared" ca="1" si="64"/>
        <v>9.267016025291154E-3</v>
      </c>
      <c r="S646" s="9">
        <f ca="1">IF(Prices!C645&lt;OFFSET(Prices!C645,-S$3,0),1,-1)</f>
        <v>-1</v>
      </c>
      <c r="T646" s="1">
        <f ca="1">IF(S646=1,T$3*Q645/Prices!C645,-T$3*R645)</f>
        <v>-1.891227760263501E-4</v>
      </c>
    </row>
    <row r="647" spans="1:20" x14ac:dyDescent="0.2">
      <c r="A647" s="4">
        <v>34411</v>
      </c>
      <c r="B647" s="9">
        <f ca="1">Prices!C646*(1+J647/(50*(ABS(O647)+ABS(T647)+0.0001)))</f>
        <v>103.82284987394398</v>
      </c>
      <c r="C647" s="21">
        <f t="shared" ca="1" si="59"/>
        <v>-1</v>
      </c>
      <c r="D647" s="9">
        <f ca="1">D646+C647*(Prices!C647-Prices!C646)/Prices!C646</f>
        <v>0.30889778582098865</v>
      </c>
      <c r="E647" s="9">
        <f t="shared" ca="1" si="60"/>
        <v>1.0096825533778275E-2</v>
      </c>
      <c r="F647" s="9">
        <f t="shared" ca="1" si="61"/>
        <v>0.31899461135476692</v>
      </c>
      <c r="G647" s="13">
        <f ca="1">IF((Prices!C647-Prices!C646)*C647&gt;0,1,0)</f>
        <v>0</v>
      </c>
      <c r="H647" s="9">
        <f>ABS(Prices!C647-Prices!C646)/Prices!C646</f>
        <v>3.3078158964180543E-3</v>
      </c>
      <c r="I647" s="13"/>
      <c r="J647" s="1">
        <f t="shared" ca="1" si="62"/>
        <v>-1.539831125227294E-3</v>
      </c>
      <c r="K647" s="9"/>
      <c r="L647" s="9">
        <f ca="1">L646-O647*Prices!C647</f>
        <v>0.81329602699417203</v>
      </c>
      <c r="M647" s="1">
        <f t="shared" ca="1" si="63"/>
        <v>1.2190417242493238E-2</v>
      </c>
      <c r="N647" s="9">
        <f ca="1">IF(Prices!D646&gt;OFFSET(Prices!D646,-$N$3,0),1,-1)</f>
        <v>-1</v>
      </c>
      <c r="O647" s="1">
        <f ca="1">IF(N647=1,O$3*L646/Prices!C646,-O$3*M646)</f>
        <v>-1.354490804721471E-3</v>
      </c>
      <c r="P647" s="14"/>
      <c r="Q647" s="9">
        <f ca="1">Q646-T647*Prices!C647</f>
        <v>1.1323470602529968</v>
      </c>
      <c r="R647" s="1">
        <f t="shared" ca="1" si="64"/>
        <v>9.0816757047853316E-3</v>
      </c>
      <c r="S647" s="9">
        <f ca="1">IF(Prices!C646&lt;OFFSET(Prices!C646,-S$3,0),1,-1)</f>
        <v>-1</v>
      </c>
      <c r="T647" s="1">
        <f ca="1">IF(S647=1,T$3*Q646/Prices!C646,-T$3*R646)</f>
        <v>-1.8534032050582309E-4</v>
      </c>
    </row>
    <row r="648" spans="1:20" x14ac:dyDescent="0.2">
      <c r="A648" s="4">
        <v>34414</v>
      </c>
      <c r="B648" s="9">
        <f ca="1">Prices!C647*(1+J648/(50*(ABS(O648)+ABS(T648)+0.0001)))</f>
        <v>108.08650403329915</v>
      </c>
      <c r="C648" s="21">
        <f t="shared" ca="1" si="59"/>
        <v>1</v>
      </c>
      <c r="D648" s="9">
        <f ca="1">D647+C648*(Prices!C648-Prices!C647)/Prices!C647</f>
        <v>0.30842679863184019</v>
      </c>
      <c r="E648" s="9">
        <f t="shared" ca="1" si="60"/>
        <v>1.0567812722926728E-2</v>
      </c>
      <c r="F648" s="9">
        <f t="shared" ca="1" si="61"/>
        <v>0.31899461135476692</v>
      </c>
      <c r="G648" s="13">
        <f ca="1">IF((Prices!C648-Prices!C647)*C648&gt;0,1,0)</f>
        <v>0</v>
      </c>
      <c r="H648" s="9">
        <f>ABS(Prices!C648-Prices!C647)/Prices!C647</f>
        <v>4.7098718914842839E-4</v>
      </c>
      <c r="I648" s="13"/>
      <c r="J648" s="1">
        <f t="shared" ca="1" si="62"/>
        <v>9.7943240301881268E-4</v>
      </c>
      <c r="K648" s="9"/>
      <c r="L648" s="9">
        <f ca="1">L647-O648*Prices!C648</f>
        <v>0.73200472949572482</v>
      </c>
      <c r="M648" s="1">
        <f t="shared" ca="1" si="63"/>
        <v>1.295652126189242E-2</v>
      </c>
      <c r="N648" s="9">
        <f ca="1">IF(Prices!D647&gt;OFFSET(Prices!D647,-$N$3,0),1,-1)</f>
        <v>1</v>
      </c>
      <c r="O648" s="1">
        <f ca="1">IF(N648=1,O$3*L647/Prices!C647,-O$3*M647)</f>
        <v>7.6610401939918244E-4</v>
      </c>
      <c r="P648" s="14"/>
      <c r="Q648" s="9">
        <f ca="1">Q647-T648*Prices!C648</f>
        <v>1.1097107854671178</v>
      </c>
      <c r="R648" s="1">
        <f t="shared" ca="1" si="64"/>
        <v>9.2950040884049612E-3</v>
      </c>
      <c r="S648" s="9">
        <f ca="1">IF(Prices!C647&lt;OFFSET(Prices!C647,-S$3,0),1,-1)</f>
        <v>1</v>
      </c>
      <c r="T648" s="1">
        <f ca="1">IF(S648=1,T$3*Q647/Prices!C647,-T$3*R647)</f>
        <v>2.1332838361963016E-4</v>
      </c>
    </row>
    <row r="649" spans="1:20" x14ac:dyDescent="0.2">
      <c r="A649" s="4">
        <v>34415</v>
      </c>
      <c r="B649" s="9">
        <f ca="1">Prices!C648*(1+J649/(50*(ABS(O649)+ABS(T649)+0.0001)))</f>
        <v>108.01977117202966</v>
      </c>
      <c r="C649" s="21">
        <f t="shared" ca="1" si="59"/>
        <v>1</v>
      </c>
      <c r="D649" s="9">
        <f ca="1">D648+C649*(Prices!C649-Prices!C648)/Prices!C648</f>
        <v>0.30739013856210123</v>
      </c>
      <c r="E649" s="9">
        <f t="shared" ca="1" si="60"/>
        <v>1.1604472792665688E-2</v>
      </c>
      <c r="F649" s="9">
        <f t="shared" ca="1" si="61"/>
        <v>0.31899461135476692</v>
      </c>
      <c r="G649" s="13">
        <f ca="1">IF((Prices!C649-Prices!C648)*C649&gt;0,1,0)</f>
        <v>0</v>
      </c>
      <c r="H649" s="9">
        <f>ABS(Prices!C649-Prices!C648)/Prices!C648</f>
        <v>1.0366600697389449E-3</v>
      </c>
      <c r="I649" s="13"/>
      <c r="J649" s="1">
        <f t="shared" ca="1" si="62"/>
        <v>8.9901695088978259E-4</v>
      </c>
      <c r="K649" s="9"/>
      <c r="L649" s="9">
        <f ca="1">L648-O649*Prices!C649</f>
        <v>0.65888014055354516</v>
      </c>
      <c r="M649" s="1">
        <f t="shared" ca="1" si="63"/>
        <v>1.3646375874554492E-2</v>
      </c>
      <c r="N649" s="9">
        <f ca="1">IF(Prices!D648&gt;OFFSET(Prices!D648,-$N$3,0),1,-1)</f>
        <v>1</v>
      </c>
      <c r="O649" s="1">
        <f ca="1">IF(N649=1,O$3*L648/Prices!C648,-O$3*M648)</f>
        <v>6.8985461266207217E-4</v>
      </c>
      <c r="P649" s="14"/>
      <c r="Q649" s="9">
        <f ca="1">Q648-T649*Prices!C649</f>
        <v>1.0875395776149805</v>
      </c>
      <c r="R649" s="1">
        <f t="shared" ca="1" si="64"/>
        <v>9.5041664266326716E-3</v>
      </c>
      <c r="S649" s="9">
        <f ca="1">IF(Prices!C648&lt;OFFSET(Prices!C648,-S$3,0),1,-1)</f>
        <v>1</v>
      </c>
      <c r="T649" s="1">
        <f ca="1">IF(S649=1,T$3*Q648/Prices!C648,-T$3*R648)</f>
        <v>2.0916233822771045E-4</v>
      </c>
    </row>
    <row r="650" spans="1:20" x14ac:dyDescent="0.2">
      <c r="A650" s="4">
        <v>34416</v>
      </c>
      <c r="B650" s="9">
        <f ca="1">Prices!C649*(1+J650/(50*(ABS(O650)+ABS(T650)+0.0001)))</f>
        <v>104.52798766484761</v>
      </c>
      <c r="C650" s="21">
        <f t="shared" ca="1" si="59"/>
        <v>-1</v>
      </c>
      <c r="D650" s="9">
        <f ca="1">D649+C650*(Prices!C650-Prices!C649)/Prices!C649</f>
        <v>0.3044656102602144</v>
      </c>
      <c r="E650" s="9">
        <f t="shared" ca="1" si="60"/>
        <v>1.4529001094552518E-2</v>
      </c>
      <c r="F650" s="9">
        <f t="shared" ca="1" si="61"/>
        <v>0.31899461135476692</v>
      </c>
      <c r="G650" s="13">
        <f ca="1">IF((Prices!C650-Prices!C649)*C650&gt;0,1,0)</f>
        <v>0</v>
      </c>
      <c r="H650" s="9">
        <f>ABS(Prices!C650-Prices!C649)/Prices!C649</f>
        <v>2.9245283018868137E-3</v>
      </c>
      <c r="I650" s="13"/>
      <c r="J650" s="1">
        <f t="shared" ca="1" si="62"/>
        <v>-1.1594414407356415E-3</v>
      </c>
      <c r="K650" s="9"/>
      <c r="L650" s="9">
        <f ca="1">L649-O650*Prices!C650</f>
        <v>0.803954762475934</v>
      </c>
      <c r="M650" s="1">
        <f t="shared" ca="1" si="63"/>
        <v>1.2281738287099043E-2</v>
      </c>
      <c r="N650" s="9">
        <f ca="1">IF(Prices!D649&gt;OFFSET(Prices!D649,-$N$3,0),1,-1)</f>
        <v>-1</v>
      </c>
      <c r="O650" s="1">
        <f ca="1">IF(N650=1,O$3*L649/Prices!C649,-O$3*M649)</f>
        <v>-1.3646375874554492E-3</v>
      </c>
      <c r="P650" s="14"/>
      <c r="Q650" s="9">
        <f ca="1">Q649-T650*Prices!C650</f>
        <v>1.0657251752571979</v>
      </c>
      <c r="R650" s="1">
        <f t="shared" ca="1" si="64"/>
        <v>9.7093625733524792E-3</v>
      </c>
      <c r="S650" s="9">
        <f ca="1">IF(Prices!C649&lt;OFFSET(Prices!C649,-S$3,0),1,-1)</f>
        <v>1</v>
      </c>
      <c r="T650" s="1">
        <f ca="1">IF(S650=1,T$3*Q649/Prices!C649,-T$3*R649)</f>
        <v>2.0519614671980765E-4</v>
      </c>
    </row>
    <row r="651" spans="1:20" x14ac:dyDescent="0.2">
      <c r="A651" s="4">
        <v>34417</v>
      </c>
      <c r="B651" s="9">
        <f ca="1">Prices!C650*(1+J651/(50*(ABS(O651)+ABS(T651)+0.0001)))</f>
        <v>104.32346463197764</v>
      </c>
      <c r="C651" s="21">
        <f t="shared" ca="1" si="59"/>
        <v>-1</v>
      </c>
      <c r="D651" s="9">
        <f ca="1">D650+C651*(Prices!C651-Prices!C650)/Prices!C650</f>
        <v>0.32139722534816473</v>
      </c>
      <c r="E651" s="9">
        <f t="shared" ca="1" si="60"/>
        <v>0</v>
      </c>
      <c r="F651" s="9">
        <f t="shared" ca="1" si="61"/>
        <v>0.32139722534816473</v>
      </c>
      <c r="G651" s="13">
        <f ca="1">IF((Prices!C651-Prices!C650)*C651&gt;0,1,0)</f>
        <v>1</v>
      </c>
      <c r="H651" s="9">
        <f>ABS(Prices!C651-Prices!C650)/Prices!C650</f>
        <v>1.6931615087950307E-2</v>
      </c>
      <c r="I651" s="13"/>
      <c r="J651" s="1">
        <f t="shared" ca="1" si="62"/>
        <v>-1.4223610801769541E-3</v>
      </c>
      <c r="K651" s="9"/>
      <c r="L651" s="9">
        <f ca="1">L650-O651*Prices!C651</f>
        <v>0.93231120931440614</v>
      </c>
      <c r="M651" s="1">
        <f t="shared" ca="1" si="63"/>
        <v>1.1053564458389138E-2</v>
      </c>
      <c r="N651" s="9">
        <f ca="1">IF(Prices!D650&gt;OFFSET(Prices!D650,-$N$3,0),1,-1)</f>
        <v>-1</v>
      </c>
      <c r="O651" s="1">
        <f ca="1">IF(N651=1,O$3*L650/Prices!C650,-O$3*M650)</f>
        <v>-1.2281738287099045E-3</v>
      </c>
      <c r="P651" s="14"/>
      <c r="Q651" s="9">
        <f ca="1">Q650-T651*Prices!C651</f>
        <v>1.0860196849080193</v>
      </c>
      <c r="R651" s="1">
        <f t="shared" ca="1" si="64"/>
        <v>9.5151753218854305E-3</v>
      </c>
      <c r="S651" s="9">
        <f ca="1">IF(Prices!C650&lt;OFFSET(Prices!C650,-S$3,0),1,-1)</f>
        <v>-1</v>
      </c>
      <c r="T651" s="1">
        <f ca="1">IF(S651=1,T$3*Q650/Prices!C650,-T$3*R650)</f>
        <v>-1.9418725146704959E-4</v>
      </c>
    </row>
    <row r="652" spans="1:20" x14ac:dyDescent="0.2">
      <c r="A652" s="4">
        <v>34418</v>
      </c>
      <c r="B652" s="9">
        <f ca="1">Prices!C651*(1+J652/(50*(ABS(O652)+ABS(T652)+0.0001)))</f>
        <v>106.42600349154465</v>
      </c>
      <c r="C652" s="21">
        <f t="shared" ca="1" si="59"/>
        <v>1</v>
      </c>
      <c r="D652" s="9">
        <f ca="1">D651+C652*(Prices!C652-Prices!C651)/Prices!C651</f>
        <v>0.32426776405259489</v>
      </c>
      <c r="E652" s="9">
        <f t="shared" ca="1" si="60"/>
        <v>0</v>
      </c>
      <c r="F652" s="9">
        <f t="shared" ca="1" si="61"/>
        <v>0.32426776405259489</v>
      </c>
      <c r="G652" s="13">
        <f ca="1">IF((Prices!C652-Prices!C651)*C652&gt;0,1,0)</f>
        <v>1</v>
      </c>
      <c r="H652" s="9">
        <f>ABS(Prices!C652-Prices!C651)/Prices!C651</f>
        <v>2.8705387044301706E-3</v>
      </c>
      <c r="I652" s="13"/>
      <c r="J652" s="1">
        <f t="shared" ca="1" si="62"/>
        <v>1.0999092395904794E-3</v>
      </c>
      <c r="K652" s="9"/>
      <c r="L652" s="9">
        <f ca="1">L651-O652*Prices!C652</f>
        <v>0.83881246484187444</v>
      </c>
      <c r="M652" s="1">
        <f t="shared" ca="1" si="63"/>
        <v>1.1945642928692846E-2</v>
      </c>
      <c r="N652" s="9">
        <f ca="1">IF(Prices!D651&gt;OFFSET(Prices!D651,-$N$3,0),1,-1)</f>
        <v>1</v>
      </c>
      <c r="O652" s="1">
        <f ca="1">IF(N652=1,O$3*L651/Prices!C651,-O$3*M651)</f>
        <v>8.9207847030370888E-4</v>
      </c>
      <c r="P652" s="14"/>
      <c r="Q652" s="9">
        <f ca="1">Q651-T652*Prices!C652</f>
        <v>1.0642369419790729</v>
      </c>
      <c r="R652" s="1">
        <f t="shared" ca="1" si="64"/>
        <v>9.723006091172201E-3</v>
      </c>
      <c r="S652" s="9">
        <f ca="1">IF(Prices!C651&lt;OFFSET(Prices!C651,-S$3,0),1,-1)</f>
        <v>1</v>
      </c>
      <c r="T652" s="1">
        <f ca="1">IF(S652=1,T$3*Q651/Prices!C651,-T$3*R651)</f>
        <v>2.0783076928677048E-4</v>
      </c>
    </row>
    <row r="653" spans="1:20" x14ac:dyDescent="0.2">
      <c r="A653" s="4">
        <v>34421</v>
      </c>
      <c r="B653" s="9">
        <f ca="1">Prices!C652*(1+J653/(50*(ABS(O653)+ABS(T653)+0.0001)))</f>
        <v>106.71622295789646</v>
      </c>
      <c r="C653" s="21">
        <f t="shared" ca="1" si="59"/>
        <v>1</v>
      </c>
      <c r="D653" s="9">
        <f ca="1">D652+C653*(Prices!C653-Prices!C652)/Prices!C652</f>
        <v>0.31711195830886812</v>
      </c>
      <c r="E653" s="9">
        <f t="shared" ca="1" si="60"/>
        <v>7.1558057437267619E-3</v>
      </c>
      <c r="F653" s="9">
        <f t="shared" ca="1" si="61"/>
        <v>0.32426776405259489</v>
      </c>
      <c r="G653" s="13">
        <f ca="1">IF((Prices!C653-Prices!C652)*C653&gt;0,1,0)</f>
        <v>0</v>
      </c>
      <c r="H653" s="9">
        <f>ABS(Prices!C653-Prices!C652)/Prices!C652</f>
        <v>7.1558057437267437E-3</v>
      </c>
      <c r="I653" s="13"/>
      <c r="J653" s="1">
        <f t="shared" ca="1" si="62"/>
        <v>1.0033964824326773E-3</v>
      </c>
      <c r="K653" s="9"/>
      <c r="L653" s="9">
        <f ca="1">L652-O653*Prices!C653</f>
        <v>0.7555314562630695</v>
      </c>
      <c r="M653" s="1">
        <f t="shared" ca="1" si="63"/>
        <v>1.2745960135869523E-2</v>
      </c>
      <c r="N653" s="9">
        <f ca="1">IF(Prices!D652&gt;OFFSET(Prices!D652,-$N$3,0),1,-1)</f>
        <v>1</v>
      </c>
      <c r="O653" s="1">
        <f ca="1">IF(N653=1,O$3*L652/Prices!C652,-O$3*M652)</f>
        <v>8.0031720717667636E-4</v>
      </c>
      <c r="P653" s="14"/>
      <c r="Q653" s="9">
        <f ca="1">Q652-T653*Prices!C653</f>
        <v>1.0431045125959335</v>
      </c>
      <c r="R653" s="1">
        <f t="shared" ca="1" si="64"/>
        <v>9.9260853664282014E-3</v>
      </c>
      <c r="S653" s="9">
        <f ca="1">IF(Prices!C652&lt;OFFSET(Prices!C652,-S$3,0),1,-1)</f>
        <v>1</v>
      </c>
      <c r="T653" s="1">
        <f ca="1">IF(S653=1,T$3*Q652/Prices!C652,-T$3*R652)</f>
        <v>2.0307927525600093E-4</v>
      </c>
    </row>
    <row r="654" spans="1:20" x14ac:dyDescent="0.2">
      <c r="A654" s="4">
        <v>34422</v>
      </c>
      <c r="B654" s="9">
        <f ca="1">Prices!C653*(1+J654/(50*(ABS(O654)+ABS(T654)+0.0001)))</f>
        <v>105.93845972067305</v>
      </c>
      <c r="C654" s="21">
        <f t="shared" ca="1" si="59"/>
        <v>1</v>
      </c>
      <c r="D654" s="9">
        <f ca="1">D653+C654*(Prices!C654-Prices!C653)/Prices!C653</f>
        <v>0.3077904130465195</v>
      </c>
      <c r="E654" s="9">
        <f t="shared" ca="1" si="60"/>
        <v>1.6477351006075391E-2</v>
      </c>
      <c r="F654" s="9">
        <f t="shared" ca="1" si="61"/>
        <v>0.32426776405259489</v>
      </c>
      <c r="G654" s="13">
        <f ca="1">IF((Prices!C654-Prices!C653)*C654&gt;0,1,0)</f>
        <v>0</v>
      </c>
      <c r="H654" s="9">
        <f>ABS(Prices!C654-Prices!C653)/Prices!C653</f>
        <v>9.3215452623486347E-3</v>
      </c>
      <c r="I654" s="13"/>
      <c r="J654" s="1">
        <f t="shared" ca="1" si="62"/>
        <v>9.2653503630814554E-4</v>
      </c>
      <c r="K654" s="9"/>
      <c r="L654" s="9">
        <f ca="1">L653-O654*Prices!C654</f>
        <v>0.68068258270343096</v>
      </c>
      <c r="M654" s="1">
        <f t="shared" ca="1" si="63"/>
        <v>1.3472013812847294E-2</v>
      </c>
      <c r="N654" s="9">
        <f ca="1">IF(Prices!D653&gt;OFFSET(Prices!D653,-$N$3,0),1,-1)</f>
        <v>1</v>
      </c>
      <c r="O654" s="1">
        <f ca="1">IF(N654=1,O$3*L653/Prices!C653,-O$3*M653)</f>
        <v>7.2605367697777196E-4</v>
      </c>
      <c r="P654" s="14"/>
      <c r="Q654" s="9">
        <f ca="1">Q653-T654*Prices!C654</f>
        <v>1.0224368892625653</v>
      </c>
      <c r="R654" s="1">
        <f t="shared" ca="1" si="64"/>
        <v>1.0126566725758575E-2</v>
      </c>
      <c r="S654" s="9">
        <f ca="1">IF(Prices!C653&lt;OFFSET(Prices!C653,-S$3,0),1,-1)</f>
        <v>1</v>
      </c>
      <c r="T654" s="1">
        <f ca="1">IF(S654=1,T$3*Q653/Prices!C653,-T$3*R653)</f>
        <v>2.0048135933037353E-4</v>
      </c>
    </row>
    <row r="655" spans="1:20" x14ac:dyDescent="0.2">
      <c r="A655" s="4">
        <v>34423</v>
      </c>
      <c r="B655" s="9">
        <f ca="1">Prices!C654*(1+J655/(50*(ABS(O655)+ABS(T655)+0.0001)))</f>
        <v>104.93672403771936</v>
      </c>
      <c r="C655" s="21">
        <f t="shared" ca="1" si="59"/>
        <v>1</v>
      </c>
      <c r="D655" s="9">
        <f ca="1">D654+C655*(Prices!C655-Prices!C654)/Prices!C654</f>
        <v>0.30652937899860011</v>
      </c>
      <c r="E655" s="9">
        <f t="shared" ca="1" si="60"/>
        <v>1.7738385053994776E-2</v>
      </c>
      <c r="F655" s="9">
        <f t="shared" ca="1" si="61"/>
        <v>0.32426776405259489</v>
      </c>
      <c r="G655" s="13">
        <f ca="1">IF((Prices!C655-Prices!C654)*C655&gt;0,1,0)</f>
        <v>0</v>
      </c>
      <c r="H655" s="9">
        <f>ABS(Prices!C655-Prices!C654)/Prices!C654</f>
        <v>1.2610340479193875E-3</v>
      </c>
      <c r="I655" s="13"/>
      <c r="J655" s="1">
        <f t="shared" ca="1" si="62"/>
        <v>8.5863804496647987E-4</v>
      </c>
      <c r="K655" s="9"/>
      <c r="L655" s="9">
        <f ca="1">L654-O655*Prices!C655</f>
        <v>0.6127001608243493</v>
      </c>
      <c r="M655" s="1">
        <f t="shared" ca="1" si="63"/>
        <v>1.4132293745627807E-2</v>
      </c>
      <c r="N655" s="9">
        <f ca="1">IF(Prices!D654&gt;OFFSET(Prices!D654,-$N$3,0),1,-1)</f>
        <v>1</v>
      </c>
      <c r="O655" s="1">
        <f ca="1">IF(N655=1,O$3*L654/Prices!C654,-O$3*M654)</f>
        <v>6.6027993278051315E-4</v>
      </c>
      <c r="P655" s="14"/>
      <c r="Q655" s="9">
        <f ca="1">Q654-T655*Prices!C655</f>
        <v>1.0020139380318982</v>
      </c>
      <c r="R655" s="1">
        <f t="shared" ca="1" si="64"/>
        <v>1.0324924837944541E-2</v>
      </c>
      <c r="S655" s="9">
        <f ca="1">IF(Prices!C654&lt;OFFSET(Prices!C654,-S$3,0),1,-1)</f>
        <v>1</v>
      </c>
      <c r="T655" s="1">
        <f ca="1">IF(S655=1,T$3*Q654/Prices!C654,-T$3*R654)</f>
        <v>1.9835811218596669E-4</v>
      </c>
    </row>
    <row r="656" spans="1:20" x14ac:dyDescent="0.2">
      <c r="A656" s="4">
        <v>34424</v>
      </c>
      <c r="B656" s="9">
        <f ca="1">Prices!C655*(1+J656/(50*(ABS(O656)+ABS(T656)+0.0001)))</f>
        <v>104.78775822805278</v>
      </c>
      <c r="C656" s="21">
        <f t="shared" ca="1" si="59"/>
        <v>1</v>
      </c>
      <c r="D656" s="9">
        <f ca="1">D655+C656*(Prices!C656-Prices!C655)/Prices!C655</f>
        <v>0.30448975195897315</v>
      </c>
      <c r="E656" s="9">
        <f t="shared" ca="1" si="60"/>
        <v>1.9778012093621733E-2</v>
      </c>
      <c r="F656" s="9">
        <f t="shared" ca="1" si="61"/>
        <v>0.32426776405259489</v>
      </c>
      <c r="G656" s="13">
        <f ca="1">IF((Prices!C656-Prices!C655)*C656&gt;0,1,0)</f>
        <v>0</v>
      </c>
      <c r="H656" s="9">
        <f>ABS(Prices!C656-Prices!C655)/Prices!C655</f>
        <v>2.0396270396269792E-3</v>
      </c>
      <c r="I656" s="13"/>
      <c r="J656" s="1">
        <f t="shared" ca="1" si="62"/>
        <v>7.8972702839037398E-4</v>
      </c>
      <c r="K656" s="9"/>
      <c r="L656" s="9">
        <f ca="1">L655-O656*Prices!C656</f>
        <v>0.55155511272343449</v>
      </c>
      <c r="M656" s="1">
        <f t="shared" ca="1" si="63"/>
        <v>1.4727379371914082E-2</v>
      </c>
      <c r="N656" s="9">
        <f ca="1">IF(Prices!D655&gt;OFFSET(Prices!D655,-$N$3,0),1,-1)</f>
        <v>1</v>
      </c>
      <c r="O656" s="1">
        <f ca="1">IF(N656=1,O$3*L655/Prices!C655,-O$3*M655)</f>
        <v>5.9508562628627563E-4</v>
      </c>
      <c r="P656" s="14"/>
      <c r="Q656" s="9">
        <f ca="1">Q655-T656*Prices!C656</f>
        <v>0.98201453396570204</v>
      </c>
      <c r="R656" s="1">
        <f t="shared" ca="1" si="64"/>
        <v>1.051956624004864E-2</v>
      </c>
      <c r="S656" s="9">
        <f ca="1">IF(Prices!C655&lt;OFFSET(Prices!C655,-S$3,0),1,-1)</f>
        <v>1</v>
      </c>
      <c r="T656" s="1">
        <f ca="1">IF(S656=1,T$3*Q655/Prices!C655,-T$3*R655)</f>
        <v>1.9464140210409835E-4</v>
      </c>
    </row>
    <row r="657" spans="1:20" x14ac:dyDescent="0.2">
      <c r="A657" s="4">
        <v>34425</v>
      </c>
      <c r="B657" s="9">
        <f ca="1">Prices!C656*(1+J657/(50*(ABS(O657)+ABS(T657)+0.0001)))</f>
        <v>104.55679351180916</v>
      </c>
      <c r="C657" s="21">
        <f t="shared" ca="1" si="59"/>
        <v>1</v>
      </c>
      <c r="D657" s="9">
        <f ca="1">D656+C657*(Prices!C657-Prices!C656)/Prices!C656</f>
        <v>0.31276225804169816</v>
      </c>
      <c r="E657" s="9">
        <f t="shared" ca="1" si="60"/>
        <v>1.1505506010896727E-2</v>
      </c>
      <c r="F657" s="9">
        <f t="shared" ca="1" si="61"/>
        <v>0.32426776405259489</v>
      </c>
      <c r="G657" s="13">
        <f ca="1">IF((Prices!C657-Prices!C656)*C657&gt;0,1,0)</f>
        <v>1</v>
      </c>
      <c r="H657" s="9">
        <f>ABS(Prices!C657-Prices!C656)/Prices!C656</f>
        <v>8.2725060827250063E-3</v>
      </c>
      <c r="I657" s="13"/>
      <c r="J657" s="1">
        <f t="shared" ca="1" si="62"/>
        <v>7.2793967836163014E-4</v>
      </c>
      <c r="K657" s="9"/>
      <c r="L657" s="9">
        <f ca="1">L656-O657*Prices!C657</f>
        <v>0.49594332714859479</v>
      </c>
      <c r="M657" s="1">
        <f t="shared" ca="1" si="63"/>
        <v>1.5264172668968519E-2</v>
      </c>
      <c r="N657" s="9">
        <f ca="1">IF(Prices!D656&gt;OFFSET(Prices!D656,-$N$3,0),1,-1)</f>
        <v>1</v>
      </c>
      <c r="O657" s="1">
        <f ca="1">IF(N657=1,O$3*L656/Prices!C656,-O$3*M656)</f>
        <v>5.3679329705443751E-4</v>
      </c>
      <c r="P657" s="14"/>
      <c r="Q657" s="9">
        <f ca="1">Q656-T657*Prices!C657</f>
        <v>0.96221176886227688</v>
      </c>
      <c r="R657" s="1">
        <f t="shared" ca="1" si="64"/>
        <v>1.0710712621355832E-2</v>
      </c>
      <c r="S657" s="9">
        <f ca="1">IF(Prices!C656&lt;OFFSET(Prices!C656,-S$3,0),1,-1)</f>
        <v>1</v>
      </c>
      <c r="T657" s="1">
        <f ca="1">IF(S657=1,T$3*Q656/Prices!C656,-T$3*R656)</f>
        <v>1.9114638130719261E-4</v>
      </c>
    </row>
    <row r="658" spans="1:20" x14ac:dyDescent="0.2">
      <c r="A658" s="4">
        <v>34428</v>
      </c>
      <c r="B658" s="9">
        <f ca="1">Prices!C657*(1+J658/(50*(ABS(O658)+ABS(T658)+0.0001)))</f>
        <v>105.40096075627231</v>
      </c>
      <c r="C658" s="21">
        <f t="shared" ref="C658:C721" ca="1" si="65">IF(J658&gt;0,1,IF(J658&lt;0,-1,0))</f>
        <v>1</v>
      </c>
      <c r="D658" s="9">
        <f ca="1">D657+C658*(Prices!C658-Prices!C657)/Prices!C657</f>
        <v>0.30928735456679468</v>
      </c>
      <c r="E658" s="9">
        <f t="shared" ref="E658:E721" ca="1" si="66">F658-D658</f>
        <v>1.4980409485800206E-2</v>
      </c>
      <c r="F658" s="9">
        <f t="shared" ref="F658:F721" ca="1" si="67">MAX(F657,D658)</f>
        <v>0.32426776405259489</v>
      </c>
      <c r="G658" s="13">
        <f ca="1">IF((Prices!C658-Prices!C657)*C658&gt;0,1,0)</f>
        <v>0</v>
      </c>
      <c r="H658" s="9">
        <f>ABS(Prices!C658-Prices!C657)/Prices!C657</f>
        <v>3.4749034749034695E-3</v>
      </c>
      <c r="I658" s="13"/>
      <c r="J658" s="1">
        <f t="shared" ref="J658:J721" ca="1" si="68">O658+T658</f>
        <v>6.6446494297398668E-4</v>
      </c>
      <c r="K658" s="9"/>
      <c r="L658" s="9">
        <f ca="1">L657-O658*Prices!C658</f>
        <v>0.44652132995282168</v>
      </c>
      <c r="M658" s="1">
        <f t="shared" ref="M658:M721" ca="1" si="69">M657+O658</f>
        <v>1.5742882444208475E-2</v>
      </c>
      <c r="N658" s="9">
        <f ca="1">IF(Prices!D657&gt;OFFSET(Prices!D657,-$N$3,0),1,-1)</f>
        <v>1</v>
      </c>
      <c r="O658" s="1">
        <f ca="1">IF(N658=1,O$3*L657/Prices!C657,-O$3*M657)</f>
        <v>4.7870977523995639E-4</v>
      </c>
      <c r="P658" s="14"/>
      <c r="Q658" s="9">
        <f ca="1">Q657-T658*Prices!C658</f>
        <v>0.94303440534541561</v>
      </c>
      <c r="R658" s="1">
        <f t="shared" ref="R658:R721" ca="1" si="70">R657+T658</f>
        <v>1.0896467789089863E-2</v>
      </c>
      <c r="S658" s="9">
        <f ca="1">IF(Prices!C657&lt;OFFSET(Prices!C657,-S$3,0),1,-1)</f>
        <v>1</v>
      </c>
      <c r="T658" s="1">
        <f ca="1">IF(S658=1,T$3*Q657/Prices!C657,-T$3*R657)</f>
        <v>1.8575516773403032E-4</v>
      </c>
    </row>
    <row r="659" spans="1:20" x14ac:dyDescent="0.2">
      <c r="A659" s="4">
        <v>34429</v>
      </c>
      <c r="B659" s="9">
        <f ca="1">Prices!C658*(1+J659/(50*(ABS(O659)+ABS(T659)+0.0001)))</f>
        <v>103.83040515802142</v>
      </c>
      <c r="C659" s="21">
        <f t="shared" ca="1" si="65"/>
        <v>1</v>
      </c>
      <c r="D659" s="9">
        <f ca="1">D658+C659*(Prices!C659-Prices!C658)/Prices!C658</f>
        <v>0.32013586289689933</v>
      </c>
      <c r="E659" s="9">
        <f t="shared" ca="1" si="66"/>
        <v>4.1319011556955609E-3</v>
      </c>
      <c r="F659" s="9">
        <f t="shared" ca="1" si="67"/>
        <v>0.32426776405259489</v>
      </c>
      <c r="G659" s="13">
        <f ca="1">IF((Prices!C659-Prices!C658)*C659&gt;0,1,0)</f>
        <v>1</v>
      </c>
      <c r="H659" s="9">
        <f>ABS(Prices!C659-Prices!C658)/Prices!C658</f>
        <v>1.0848508330104655E-2</v>
      </c>
      <c r="I659" s="13"/>
      <c r="J659" s="1">
        <f t="shared" ca="1" si="68"/>
        <v>2.1457871275057562E-4</v>
      </c>
      <c r="K659" s="9"/>
      <c r="L659" s="9">
        <f ca="1">L658-O659*Prices!C659</f>
        <v>0.40138478792078325</v>
      </c>
      <c r="M659" s="1">
        <f t="shared" ca="1" si="69"/>
        <v>1.6175390512740848E-2</v>
      </c>
      <c r="N659" s="9">
        <f ca="1">IF(Prices!D658&gt;OFFSET(Prices!D658,-$N$3,0),1,-1)</f>
        <v>1</v>
      </c>
      <c r="O659" s="1">
        <f ca="1">IF(N659=1,O$3*L658/Prices!C658,-O$3*M658)</f>
        <v>4.3250806853237288E-4</v>
      </c>
      <c r="P659" s="14"/>
      <c r="Q659" s="9">
        <f ca="1">Q658-T659*Prices!C659</f>
        <v>0.96577751291480396</v>
      </c>
      <c r="R659" s="1">
        <f t="shared" ca="1" si="70"/>
        <v>1.0678538433308066E-2</v>
      </c>
      <c r="S659" s="9">
        <f ca="1">IF(Prices!C658&lt;OFFSET(Prices!C658,-S$3,0),1,-1)</f>
        <v>-1</v>
      </c>
      <c r="T659" s="1">
        <f ca="1">IF(S659=1,T$3*Q658/Prices!C658,-T$3*R658)</f>
        <v>-2.1792935578179726E-4</v>
      </c>
    </row>
    <row r="660" spans="1:20" x14ac:dyDescent="0.2">
      <c r="A660" s="4">
        <v>34430</v>
      </c>
      <c r="B660" s="9">
        <f ca="1">Prices!C659*(1+J660/(50*(ABS(O660)+ABS(T660)+0.0001)))</f>
        <v>104.87133151419037</v>
      </c>
      <c r="C660" s="21">
        <f t="shared" ca="1" si="65"/>
        <v>1</v>
      </c>
      <c r="D660" s="9">
        <f ca="1">D659+C660*(Prices!C660-Prices!C659)/Prices!C659</f>
        <v>0.32157319520812971</v>
      </c>
      <c r="E660" s="9">
        <f t="shared" ca="1" si="66"/>
        <v>2.6945688444651728E-3</v>
      </c>
      <c r="F660" s="9">
        <f t="shared" ca="1" si="67"/>
        <v>0.32426776405259489</v>
      </c>
      <c r="G660" s="13">
        <f ca="1">IF((Prices!C660-Prices!C659)*C660&gt;0,1,0)</f>
        <v>1</v>
      </c>
      <c r="H660" s="9">
        <f>ABS(Prices!C660-Prices!C659)/Prices!C659</f>
        <v>1.437332311230411E-3</v>
      </c>
      <c r="I660" s="13"/>
      <c r="J660" s="1">
        <f t="shared" ca="1" si="68"/>
        <v>1.7104478127709589E-4</v>
      </c>
      <c r="K660" s="9"/>
      <c r="L660" s="9">
        <f ca="1">L659-O660*Prices!C660</f>
        <v>0.36118861679621345</v>
      </c>
      <c r="M660" s="1">
        <f t="shared" ca="1" si="69"/>
        <v>1.6560006062684103E-2</v>
      </c>
      <c r="N660" s="9">
        <f ca="1">IF(Prices!D659&gt;OFFSET(Prices!D659,-$N$3,0),1,-1)</f>
        <v>1</v>
      </c>
      <c r="O660" s="1">
        <f ca="1">IF(N660=1,O$3*L659/Prices!C659,-O$3*M659)</f>
        <v>3.8461554994325721E-4</v>
      </c>
      <c r="P660" s="14"/>
      <c r="Q660" s="9">
        <f ca="1">Q659-T660*Prices!C660</f>
        <v>0.98809779394810449</v>
      </c>
      <c r="R660" s="1">
        <f t="shared" ca="1" si="70"/>
        <v>1.0464967664641904E-2</v>
      </c>
      <c r="S660" s="9">
        <f ca="1">IF(Prices!C659&lt;OFFSET(Prices!C659,-S$3,0),1,-1)</f>
        <v>-1</v>
      </c>
      <c r="T660" s="1">
        <f ca="1">IF(S660=1,T$3*Q659/Prices!C659,-T$3*R659)</f>
        <v>-2.1357076866616132E-4</v>
      </c>
    </row>
    <row r="661" spans="1:20" x14ac:dyDescent="0.2">
      <c r="A661" s="4">
        <v>34431</v>
      </c>
      <c r="B661" s="9">
        <f ca="1">Prices!C660*(1+J661/(50*(ABS(O661)+ABS(T661)+0.0001)))</f>
        <v>102.52615526601582</v>
      </c>
      <c r="C661" s="21">
        <f t="shared" ca="1" si="65"/>
        <v>-1</v>
      </c>
      <c r="D661" s="9">
        <f ca="1">D660+C661*(Prices!C661-Prices!C660)/Prices!C660</f>
        <v>0.31736307177496542</v>
      </c>
      <c r="E661" s="9">
        <f t="shared" ca="1" si="66"/>
        <v>6.904692277629465E-3</v>
      </c>
      <c r="F661" s="9">
        <f t="shared" ca="1" si="67"/>
        <v>0.32426776405259489</v>
      </c>
      <c r="G661" s="13">
        <f ca="1">IF((Prices!C661-Prices!C660)*C661&gt;0,1,0)</f>
        <v>0</v>
      </c>
      <c r="H661" s="9">
        <f>ABS(Prices!C661-Prices!C660)/Prices!C660</f>
        <v>4.2101234331642689E-3</v>
      </c>
      <c r="I661" s="13"/>
      <c r="J661" s="1">
        <f t="shared" ca="1" si="68"/>
        <v>-1.8652999595612486E-3</v>
      </c>
      <c r="K661" s="9"/>
      <c r="L661" s="9">
        <f ca="1">L660-O661*Prices!C661</f>
        <v>0.53498588042408313</v>
      </c>
      <c r="M661" s="1">
        <f t="shared" ca="1" si="69"/>
        <v>1.4904005456415693E-2</v>
      </c>
      <c r="N661" s="9">
        <f ca="1">IF(Prices!D660&gt;OFFSET(Prices!D660,-$N$3,0),1,-1)</f>
        <v>-1</v>
      </c>
      <c r="O661" s="1">
        <f ca="1">IF(N661=1,O$3*L660/Prices!C660,-O$3*M660)</f>
        <v>-1.6560006062684104E-3</v>
      </c>
      <c r="P661" s="14"/>
      <c r="Q661" s="9">
        <f ca="1">Q660-T661*Prices!C661</f>
        <v>1.0100637610761878</v>
      </c>
      <c r="R661" s="1">
        <f t="shared" ca="1" si="70"/>
        <v>1.0255668311349067E-2</v>
      </c>
      <c r="S661" s="9">
        <f ca="1">IF(Prices!C660&lt;OFFSET(Prices!C660,-S$3,0),1,-1)</f>
        <v>-1</v>
      </c>
      <c r="T661" s="1">
        <f ca="1">IF(S661=1,T$3*Q660/Prices!C660,-T$3*R660)</f>
        <v>-2.092993532928381E-4</v>
      </c>
    </row>
    <row r="662" spans="1:20" x14ac:dyDescent="0.2">
      <c r="A662" s="4">
        <v>34432</v>
      </c>
      <c r="B662" s="9">
        <f ca="1">Prices!C661*(1+J662/(50*(ABS(O662)+ABS(T662)+0.0001)))</f>
        <v>102.96790246375288</v>
      </c>
      <c r="C662" s="21">
        <f t="shared" ca="1" si="65"/>
        <v>-1</v>
      </c>
      <c r="D662" s="9">
        <f ca="1">D661+C662*(Prices!C662-Prices!C661)/Prices!C661</f>
        <v>0.31440928425709974</v>
      </c>
      <c r="E662" s="9">
        <f t="shared" ca="1" si="66"/>
        <v>9.8584797954951453E-3</v>
      </c>
      <c r="F662" s="9">
        <f t="shared" ca="1" si="67"/>
        <v>0.32426776405259489</v>
      </c>
      <c r="G662" s="13">
        <f ca="1">IF((Prices!C662-Prices!C661)*C662&gt;0,1,0)</f>
        <v>0</v>
      </c>
      <c r="H662" s="9">
        <f>ABS(Prices!C662-Prices!C661)/Prices!C661</f>
        <v>2.953787517865672E-3</v>
      </c>
      <c r="I662" s="13"/>
      <c r="J662" s="1">
        <f t="shared" ca="1" si="68"/>
        <v>-1.6955139118685508E-3</v>
      </c>
      <c r="K662" s="9"/>
      <c r="L662" s="9">
        <f ca="1">L661-O662*Prices!C662</f>
        <v>0.69186544185831478</v>
      </c>
      <c r="M662" s="1">
        <f t="shared" ca="1" si="69"/>
        <v>1.3413604910774124E-2</v>
      </c>
      <c r="N662" s="9">
        <f ca="1">IF(Prices!D661&gt;OFFSET(Prices!D661,-$N$3,0),1,-1)</f>
        <v>-1</v>
      </c>
      <c r="O662" s="1">
        <f ca="1">IF(N662=1,O$3*L661/Prices!C661,-O$3*M661)</f>
        <v>-1.4904005456415695E-3</v>
      </c>
      <c r="P662" s="14"/>
      <c r="Q662" s="9">
        <f ca="1">Q661-T662*Prices!C662</f>
        <v>1.0316539940052398</v>
      </c>
      <c r="R662" s="1">
        <f t="shared" ca="1" si="70"/>
        <v>1.0050554945122086E-2</v>
      </c>
      <c r="S662" s="9">
        <f ca="1">IF(Prices!C661&lt;OFFSET(Prices!C661,-S$3,0),1,-1)</f>
        <v>-1</v>
      </c>
      <c r="T662" s="1">
        <f ca="1">IF(S662=1,T$3*Q661/Prices!C661,-T$3*R661)</f>
        <v>-2.0511336622698134E-4</v>
      </c>
    </row>
    <row r="663" spans="1:20" x14ac:dyDescent="0.2">
      <c r="A663" s="4">
        <v>34435</v>
      </c>
      <c r="B663" s="9">
        <f ca="1">Prices!C662*(1+J663/(50*(ABS(O663)+ABS(T663)+0.0001)))</f>
        <v>106.26235763731552</v>
      </c>
      <c r="C663" s="21">
        <f t="shared" ca="1" si="65"/>
        <v>1</v>
      </c>
      <c r="D663" s="9">
        <f ca="1">D662+C663*(Prices!C663-Prices!C662)/Prices!C662</f>
        <v>0.29683375699128167</v>
      </c>
      <c r="E663" s="9">
        <f t="shared" ca="1" si="66"/>
        <v>2.7434007061313215E-2</v>
      </c>
      <c r="F663" s="9">
        <f t="shared" ca="1" si="67"/>
        <v>0.32426776405259489</v>
      </c>
      <c r="G663" s="13">
        <f ca="1">IF((Prices!C663-Prices!C662)*C663&gt;0,1,0)</f>
        <v>0</v>
      </c>
      <c r="H663" s="9">
        <f>ABS(Prices!C663-Prices!C662)/Prices!C662</f>
        <v>1.7575527265818056E-2</v>
      </c>
      <c r="I663" s="13"/>
      <c r="J663" s="1">
        <f t="shared" ca="1" si="68"/>
        <v>4.5628078961961296E-4</v>
      </c>
      <c r="K663" s="9"/>
      <c r="L663" s="9">
        <f ca="1">L662-O663*Prices!C663</f>
        <v>0.62389488766624912</v>
      </c>
      <c r="M663" s="1">
        <f t="shared" ca="1" si="69"/>
        <v>1.4070896799296179E-2</v>
      </c>
      <c r="N663" s="9">
        <f ca="1">IF(Prices!D662&gt;OFFSET(Prices!D662,-$N$3,0),1,-1)</f>
        <v>1</v>
      </c>
      <c r="O663" s="1">
        <f ca="1">IF(N663=1,O$3*L662/Prices!C662,-O$3*M662)</f>
        <v>6.5729188852205471E-4</v>
      </c>
      <c r="P663" s="14"/>
      <c r="Q663" s="9">
        <f ca="1">Q662-T663*Prices!C663</f>
        <v>1.0524405517427413</v>
      </c>
      <c r="R663" s="1">
        <f t="shared" ca="1" si="70"/>
        <v>9.8495438462196452E-3</v>
      </c>
      <c r="S663" s="9">
        <f ca="1">IF(Prices!C662&lt;OFFSET(Prices!C662,-S$3,0),1,-1)</f>
        <v>-1</v>
      </c>
      <c r="T663" s="1">
        <f ca="1">IF(S663=1,T$3*Q662/Prices!C662,-T$3*R662)</f>
        <v>-2.0101109890244173E-4</v>
      </c>
    </row>
    <row r="664" spans="1:20" x14ac:dyDescent="0.2">
      <c r="A664" s="4">
        <v>34436</v>
      </c>
      <c r="B664" s="9">
        <f ca="1">Prices!C663*(1+J664/(50*(ABS(O664)+ABS(T664)+0.0001)))</f>
        <v>105.2501405428994</v>
      </c>
      <c r="C664" s="21">
        <f t="shared" ca="1" si="65"/>
        <v>1</v>
      </c>
      <c r="D664" s="9">
        <f ca="1">D663+C664*(Prices!C664-Prices!C663)/Prices!C663</f>
        <v>0.2982842936898602</v>
      </c>
      <c r="E664" s="9">
        <f t="shared" ca="1" si="66"/>
        <v>2.5983470362734684E-2</v>
      </c>
      <c r="F664" s="9">
        <f t="shared" ca="1" si="67"/>
        <v>0.32426776405259489</v>
      </c>
      <c r="G664" s="13">
        <f ca="1">IF((Prices!C664-Prices!C663)*C664&gt;0,1,0)</f>
        <v>1</v>
      </c>
      <c r="H664" s="9">
        <f>ABS(Prices!C664-Prices!C663)/Prices!C663</f>
        <v>1.4505366985785291E-3</v>
      </c>
      <c r="I664" s="13"/>
      <c r="J664" s="1">
        <f t="shared" ca="1" si="68"/>
        <v>8.0686877286026263E-4</v>
      </c>
      <c r="K664" s="9"/>
      <c r="L664" s="9">
        <f ca="1">L663-O664*Prices!C664</f>
        <v>0.56141490065656263</v>
      </c>
      <c r="M664" s="1">
        <f t="shared" ca="1" si="69"/>
        <v>1.4674218419706439E-2</v>
      </c>
      <c r="N664" s="9">
        <f ca="1">IF(Prices!D663&gt;OFFSET(Prices!D663,-$N$3,0),1,-1)</f>
        <v>1</v>
      </c>
      <c r="O664" s="1">
        <f ca="1">IF(N664=1,O$3*L663/Prices!C663,-O$3*M663)</f>
        <v>6.0332162041025939E-4</v>
      </c>
      <c r="P664" s="14"/>
      <c r="Q664" s="9">
        <f ca="1">Q663-T664*Prices!C664</f>
        <v>1.031361208635019</v>
      </c>
      <c r="R664" s="1">
        <f t="shared" ca="1" si="70"/>
        <v>1.0053090998669648E-2</v>
      </c>
      <c r="S664" s="9">
        <f ca="1">IF(Prices!C663&lt;OFFSET(Prices!C663,-S$3,0),1,-1)</f>
        <v>1</v>
      </c>
      <c r="T664" s="1">
        <f ca="1">IF(S664=1,T$3*Q663/Prices!C663,-T$3*R663)</f>
        <v>2.0354715245000319E-4</v>
      </c>
    </row>
    <row r="665" spans="1:20" x14ac:dyDescent="0.2">
      <c r="A665" s="4">
        <v>34437</v>
      </c>
      <c r="B665" s="9">
        <f ca="1">Prices!C664*(1+J665/(50*(ABS(O665)+ABS(T665)+0.0001)))</f>
        <v>102.07309020816673</v>
      </c>
      <c r="C665" s="21">
        <f t="shared" ca="1" si="65"/>
        <v>-1</v>
      </c>
      <c r="D665" s="9">
        <f ca="1">D664+C665*(Prices!C665-Prices!C664)/Prices!C664</f>
        <v>0.30021554127580075</v>
      </c>
      <c r="E665" s="9">
        <f t="shared" ca="1" si="66"/>
        <v>2.4052222776794141E-2</v>
      </c>
      <c r="F665" s="9">
        <f t="shared" ca="1" si="67"/>
        <v>0.32426776405259489</v>
      </c>
      <c r="G665" s="13">
        <f ca="1">IF((Prices!C665-Prices!C664)*C665&gt;0,1,0)</f>
        <v>1</v>
      </c>
      <c r="H665" s="9">
        <f>ABS(Prices!C665-Prices!C664)/Prices!C664</f>
        <v>1.9312475859405451E-3</v>
      </c>
      <c r="I665" s="13"/>
      <c r="J665" s="1">
        <f t="shared" ca="1" si="68"/>
        <v>-1.2682404575297364E-3</v>
      </c>
      <c r="K665" s="9"/>
      <c r="L665" s="9">
        <f ca="1">L664-O665*Prices!C665</f>
        <v>0.71308762224264843</v>
      </c>
      <c r="M665" s="1">
        <f t="shared" ca="1" si="69"/>
        <v>1.3206796577735795E-2</v>
      </c>
      <c r="N665" s="9">
        <f ca="1">IF(Prices!D664&gt;OFFSET(Prices!D664,-$N$3,0),1,-1)</f>
        <v>-1</v>
      </c>
      <c r="O665" s="1">
        <f ca="1">IF(N665=1,O$3*L664/Prices!C664,-O$3*M664)</f>
        <v>-1.467421841970644E-3</v>
      </c>
      <c r="P665" s="14"/>
      <c r="Q665" s="9">
        <f ca="1">Q664-T665*Prices!C665</f>
        <v>1.0107738207392067</v>
      </c>
      <c r="R665" s="1">
        <f t="shared" ca="1" si="70"/>
        <v>1.0252272383110555E-2</v>
      </c>
      <c r="S665" s="9">
        <f ca="1">IF(Prices!C664&lt;OFFSET(Prices!C664,-S$3,0),1,-1)</f>
        <v>1</v>
      </c>
      <c r="T665" s="1">
        <f ca="1">IF(S665=1,T$3*Q664/Prices!C664,-T$3*R664)</f>
        <v>1.9918138444090751E-4</v>
      </c>
    </row>
    <row r="666" spans="1:20" x14ac:dyDescent="0.2">
      <c r="A666" s="4">
        <v>34438</v>
      </c>
      <c r="B666" s="9">
        <f ca="1">Prices!C665*(1+J666/(50*(ABS(O666)+ABS(T666)+0.0001)))</f>
        <v>105.21743631315343</v>
      </c>
      <c r="C666" s="21">
        <f t="shared" ca="1" si="65"/>
        <v>1</v>
      </c>
      <c r="D666" s="9">
        <f ca="1">D665+C666*(Prices!C666-Prices!C665)/Prices!C665</f>
        <v>0.3091164700683704</v>
      </c>
      <c r="E666" s="9">
        <f t="shared" ca="1" si="66"/>
        <v>1.515129398422449E-2</v>
      </c>
      <c r="F666" s="9">
        <f t="shared" ca="1" si="67"/>
        <v>0.32426776405259489</v>
      </c>
      <c r="G666" s="13">
        <f ca="1">IF((Prices!C666-Prices!C665)*C666&gt;0,1,0)</f>
        <v>1</v>
      </c>
      <c r="H666" s="9">
        <f>ABS(Prices!C666-Prices!C665)/Prices!C665</f>
        <v>8.9009287925696755E-3</v>
      </c>
      <c r="I666" s="13"/>
      <c r="J666" s="1">
        <f t="shared" ca="1" si="68"/>
        <v>8.854899249133995E-4</v>
      </c>
      <c r="K666" s="9"/>
      <c r="L666" s="9">
        <f ca="1">L665-O666*Prices!C666</f>
        <v>0.64114414580353918</v>
      </c>
      <c r="M666" s="1">
        <f t="shared" ca="1" si="69"/>
        <v>1.3896703333001515E-2</v>
      </c>
      <c r="N666" s="9">
        <f ca="1">IF(Prices!D665&gt;OFFSET(Prices!D665,-$N$3,0),1,-1)</f>
        <v>1</v>
      </c>
      <c r="O666" s="1">
        <f ca="1">IF(N666=1,O$3*L665/Prices!C665,-O$3*M665)</f>
        <v>6.8990675526572019E-4</v>
      </c>
      <c r="P666" s="14"/>
      <c r="Q666" s="9">
        <f ca="1">Q665-T666*Prices!C666</f>
        <v>0.99037840780834674</v>
      </c>
      <c r="R666" s="1">
        <f t="shared" ca="1" si="70"/>
        <v>1.0447855552758234E-2</v>
      </c>
      <c r="S666" s="9">
        <f ca="1">IF(Prices!C665&lt;OFFSET(Prices!C665,-S$3,0),1,-1)</f>
        <v>1</v>
      </c>
      <c r="T666" s="1">
        <f ca="1">IF(S666=1,T$3*Q665/Prices!C665,-T$3*R665)</f>
        <v>1.955831696476793E-4</v>
      </c>
    </row>
    <row r="667" spans="1:20" x14ac:dyDescent="0.2">
      <c r="A667" s="4">
        <v>34439</v>
      </c>
      <c r="B667" s="9">
        <f ca="1">Prices!C666*(1+J667/(50*(ABS(O667)+ABS(T667)+0.0001)))</f>
        <v>106.13508976386426</v>
      </c>
      <c r="C667" s="21">
        <f t="shared" ca="1" si="65"/>
        <v>1</v>
      </c>
      <c r="D667" s="9">
        <f ca="1">D666+C667*(Prices!C667-Prices!C666)/Prices!C666</f>
        <v>0.30115712983054915</v>
      </c>
      <c r="E667" s="9">
        <f t="shared" ca="1" si="66"/>
        <v>2.3110634222045734E-2</v>
      </c>
      <c r="F667" s="9">
        <f t="shared" ca="1" si="67"/>
        <v>0.32426776405259489</v>
      </c>
      <c r="G667" s="13">
        <f ca="1">IF((Prices!C667-Prices!C666)*C667&gt;0,1,0)</f>
        <v>0</v>
      </c>
      <c r="H667" s="9">
        <f>ABS(Prices!C667-Prices!C666)/Prices!C666</f>
        <v>7.9593402378212337E-3</v>
      </c>
      <c r="I667" s="13"/>
      <c r="J667" s="1">
        <f t="shared" ca="1" si="68"/>
        <v>8.0477543859341059E-4</v>
      </c>
      <c r="K667" s="9"/>
      <c r="L667" s="9">
        <f ca="1">L666-O667*Prices!C667</f>
        <v>0.57754003966297907</v>
      </c>
      <c r="M667" s="1">
        <f t="shared" ca="1" si="69"/>
        <v>1.451153277853617E-2</v>
      </c>
      <c r="N667" s="9">
        <f ca="1">IF(Prices!D666&gt;OFFSET(Prices!D666,-$N$3,0),1,-1)</f>
        <v>1</v>
      </c>
      <c r="O667" s="1">
        <f ca="1">IF(N667=1,O$3*L666/Prices!C666,-O$3*M666)</f>
        <v>6.1482944553465594E-4</v>
      </c>
      <c r="P667" s="14"/>
      <c r="Q667" s="9">
        <f ca="1">Q666-T667*Prices!C667</f>
        <v>0.97072849482641854</v>
      </c>
      <c r="R667" s="1">
        <f t="shared" ca="1" si="70"/>
        <v>1.0637801545816989E-2</v>
      </c>
      <c r="S667" s="9">
        <f ca="1">IF(Prices!C666&lt;OFFSET(Prices!C666,-S$3,0),1,-1)</f>
        <v>1</v>
      </c>
      <c r="T667" s="1">
        <f ca="1">IF(S667=1,T$3*Q666/Prices!C666,-T$3*R666)</f>
        <v>1.8994599305875465E-4</v>
      </c>
    </row>
    <row r="668" spans="1:20" x14ac:dyDescent="0.2">
      <c r="A668" s="4">
        <v>34442</v>
      </c>
      <c r="B668" s="9">
        <f ca="1">Prices!C667*(1+J668/(50*(ABS(O668)+ABS(T668)+0.0001)))</f>
        <v>104.27073337742416</v>
      </c>
      <c r="C668" s="21">
        <f t="shared" ca="1" si="65"/>
        <v>1</v>
      </c>
      <c r="D668" s="9">
        <f ca="1">D667+C668*(Prices!C668-Prices!C667)/Prices!C667</f>
        <v>0.29874050344098896</v>
      </c>
      <c r="E668" s="9">
        <f t="shared" ca="1" si="66"/>
        <v>2.5527260611605929E-2</v>
      </c>
      <c r="F668" s="9">
        <f t="shared" ca="1" si="67"/>
        <v>0.32426776405259489</v>
      </c>
      <c r="G668" s="13">
        <f ca="1">IF((Prices!C668-Prices!C667)*C668&gt;0,1,0)</f>
        <v>0</v>
      </c>
      <c r="H668" s="9">
        <f>ABS(Prices!C668-Prices!C667)/Prices!C667</f>
        <v>2.4166263895601739E-3</v>
      </c>
      <c r="I668" s="13"/>
      <c r="J668" s="1">
        <f t="shared" ca="1" si="68"/>
        <v>3.4552336943453416E-4</v>
      </c>
      <c r="K668" s="9"/>
      <c r="L668" s="9">
        <f ca="1">L667-O668*Prices!C668</f>
        <v>0.51992560554676892</v>
      </c>
      <c r="M668" s="1">
        <f t="shared" ca="1" si="69"/>
        <v>1.5069812178887044E-2</v>
      </c>
      <c r="N668" s="9">
        <f ca="1">IF(Prices!D667&gt;OFFSET(Prices!D667,-$N$3,0),1,-1)</f>
        <v>1</v>
      </c>
      <c r="O668" s="1">
        <f ca="1">IF(N668=1,O$3*L667/Prices!C667,-O$3*M667)</f>
        <v>5.5827940035087394E-4</v>
      </c>
      <c r="P668" s="14"/>
      <c r="Q668" s="9">
        <f ca="1">Q667-T668*Prices!C668</f>
        <v>0.99268491721698482</v>
      </c>
      <c r="R668" s="1">
        <f t="shared" ca="1" si="70"/>
        <v>1.0425045514900649E-2</v>
      </c>
      <c r="S668" s="9">
        <f ca="1">IF(Prices!C667&lt;OFFSET(Prices!C667,-S$3,0),1,-1)</f>
        <v>-1</v>
      </c>
      <c r="T668" s="1">
        <f ca="1">IF(S668=1,T$3*Q667/Prices!C667,-T$3*R667)</f>
        <v>-2.1275603091633978E-4</v>
      </c>
    </row>
    <row r="669" spans="1:20" x14ac:dyDescent="0.2">
      <c r="A669" s="4">
        <v>34443</v>
      </c>
      <c r="B669" s="9">
        <f ca="1">Prices!C668*(1+J669/(50*(ABS(O669)+ABS(T669)+0.0001)))</f>
        <v>105.00476366278063</v>
      </c>
      <c r="C669" s="21">
        <f t="shared" ca="1" si="65"/>
        <v>1</v>
      </c>
      <c r="D669" s="9">
        <f ca="1">D668+C669*(Prices!C669-Prices!C668)/Prices!C668</f>
        <v>0.29738391429370215</v>
      </c>
      <c r="E669" s="9">
        <f t="shared" ca="1" si="66"/>
        <v>2.6883849758892742E-2</v>
      </c>
      <c r="F669" s="9">
        <f t="shared" ca="1" si="67"/>
        <v>0.32426776405259489</v>
      </c>
      <c r="G669" s="13">
        <f ca="1">IF((Prices!C669-Prices!C668)*C669&gt;0,1,0)</f>
        <v>0</v>
      </c>
      <c r="H669" s="9">
        <f>ABS(Prices!C669-Prices!C668)/Prices!C668</f>
        <v>1.3565891472868271E-3</v>
      </c>
      <c r="I669" s="13"/>
      <c r="J669" s="1">
        <f t="shared" ca="1" si="68"/>
        <v>6.9618467925403667E-4</v>
      </c>
      <c r="K669" s="9"/>
      <c r="L669" s="9">
        <f ca="1">L668-O669*Prices!C669</f>
        <v>0.46800357753548016</v>
      </c>
      <c r="M669" s="1">
        <f t="shared" ca="1" si="69"/>
        <v>1.5573616060230812E-2</v>
      </c>
      <c r="N669" s="9">
        <f ca="1">IF(Prices!D668&gt;OFFSET(Prices!D668,-$N$3,0),1,-1)</f>
        <v>1</v>
      </c>
      <c r="O669" s="1">
        <f ca="1">IF(N669=1,O$3*L668/Prices!C668,-O$3*M668)</f>
        <v>5.038038813437683E-4</v>
      </c>
      <c r="P669" s="14"/>
      <c r="Q669" s="9">
        <f ca="1">Q668-T669*Prices!C669</f>
        <v>0.97285815218435256</v>
      </c>
      <c r="R669" s="1">
        <f t="shared" ca="1" si="70"/>
        <v>1.0617426312810917E-2</v>
      </c>
      <c r="S669" s="9">
        <f ca="1">IF(Prices!C668&lt;OFFSET(Prices!C668,-S$3,0),1,-1)</f>
        <v>1</v>
      </c>
      <c r="T669" s="1">
        <f ca="1">IF(S669=1,T$3*Q668/Prices!C668,-T$3*R668)</f>
        <v>1.9238079791026835E-4</v>
      </c>
    </row>
    <row r="670" spans="1:20" x14ac:dyDescent="0.2">
      <c r="A670" s="4">
        <v>34444</v>
      </c>
      <c r="B670" s="9">
        <f ca="1">Prices!C669*(1+J670/(50*(ABS(O670)+ABS(T670)+0.0001)))</f>
        <v>104.84374767049887</v>
      </c>
      <c r="C670" s="21">
        <f t="shared" ca="1" si="65"/>
        <v>1</v>
      </c>
      <c r="D670" s="9">
        <f ca="1">D669+C670*(Prices!C670-Prices!C669)/Prices!C669</f>
        <v>0.29786906857276285</v>
      </c>
      <c r="E670" s="9">
        <f t="shared" ca="1" si="66"/>
        <v>2.6398695479832035E-2</v>
      </c>
      <c r="F670" s="9">
        <f t="shared" ca="1" si="67"/>
        <v>0.32426776405259489</v>
      </c>
      <c r="G670" s="13">
        <f ca="1">IF((Prices!C670-Prices!C669)*C670&gt;0,1,0)</f>
        <v>1</v>
      </c>
      <c r="H670" s="9">
        <f>ABS(Prices!C670-Prices!C669)/Prices!C669</f>
        <v>4.8515427906071373E-4</v>
      </c>
      <c r="I670" s="13"/>
      <c r="J670" s="1">
        <f t="shared" ca="1" si="68"/>
        <v>6.4290239469469304E-4</v>
      </c>
      <c r="K670" s="9"/>
      <c r="L670" s="9">
        <f ca="1">L669-O670*Prices!C670</f>
        <v>0.42118051438810644</v>
      </c>
      <c r="M670" s="1">
        <f t="shared" ca="1" si="69"/>
        <v>1.602772393674496E-2</v>
      </c>
      <c r="N670" s="9">
        <f ca="1">IF(Prices!D669&gt;OFFSET(Prices!D669,-$N$3,0),1,-1)</f>
        <v>1</v>
      </c>
      <c r="O670" s="1">
        <f ca="1">IF(N670=1,O$3*L669/Prices!C669,-O$3*M669)</f>
        <v>4.5410787651414727E-4</v>
      </c>
      <c r="P670" s="14"/>
      <c r="Q670" s="9">
        <f ca="1">Q669-T670*Prices!C670</f>
        <v>0.95339154941475646</v>
      </c>
      <c r="R670" s="1">
        <f t="shared" ca="1" si="70"/>
        <v>1.0806220830991463E-2</v>
      </c>
      <c r="S670" s="9">
        <f ca="1">IF(Prices!C669&lt;OFFSET(Prices!C669,-S$3,0),1,-1)</f>
        <v>1</v>
      </c>
      <c r="T670" s="1">
        <f ca="1">IF(S670=1,T$3*Q669/Prices!C669,-T$3*R669)</f>
        <v>1.887945181805458E-4</v>
      </c>
    </row>
    <row r="671" spans="1:20" x14ac:dyDescent="0.2">
      <c r="A671" s="4">
        <v>34445</v>
      </c>
      <c r="B671" s="9">
        <f ca="1">Prices!C670*(1+J671/(50*(ABS(O671)+ABS(T671)+0.0001)))</f>
        <v>101.56108786927783</v>
      </c>
      <c r="C671" s="21">
        <f t="shared" ca="1" si="65"/>
        <v>-1</v>
      </c>
      <c r="D671" s="9">
        <f ca="1">D670+C671*(Prices!C671-Prices!C670)/Prices!C670</f>
        <v>0.2930198783875238</v>
      </c>
      <c r="E671" s="9">
        <f t="shared" ca="1" si="66"/>
        <v>3.1247885665071085E-2</v>
      </c>
      <c r="F671" s="9">
        <f t="shared" ca="1" si="67"/>
        <v>0.32426776405259489</v>
      </c>
      <c r="G671" s="13">
        <f ca="1">IF((Prices!C671-Prices!C670)*C671&gt;0,1,0)</f>
        <v>0</v>
      </c>
      <c r="H671" s="9">
        <f>ABS(Prices!C671-Prices!C670)/Prices!C670</f>
        <v>4.8491901852390652E-3</v>
      </c>
      <c r="I671" s="13"/>
      <c r="J671" s="1">
        <f t="shared" ca="1" si="68"/>
        <v>-1.41784531591002E-3</v>
      </c>
      <c r="K671" s="9"/>
      <c r="L671" s="9">
        <f ca="1">L670-O671*Prices!C671</f>
        <v>0.58724376209672102</v>
      </c>
      <c r="M671" s="1">
        <f t="shared" ca="1" si="69"/>
        <v>1.4424951543070464E-2</v>
      </c>
      <c r="N671" s="9">
        <f ca="1">IF(Prices!D670&gt;OFFSET(Prices!D670,-$N$3,0),1,-1)</f>
        <v>-1</v>
      </c>
      <c r="O671" s="1">
        <f ca="1">IF(N671=1,O$3*L670/Prices!C670,-O$3*M670)</f>
        <v>-1.6027723936744961E-3</v>
      </c>
      <c r="P671" s="14"/>
      <c r="Q671" s="9">
        <f ca="1">Q670-T671*Prices!C671</f>
        <v>0.93423125488757908</v>
      </c>
      <c r="R671" s="1">
        <f t="shared" ca="1" si="70"/>
        <v>1.099114790875594E-2</v>
      </c>
      <c r="S671" s="9">
        <f ca="1">IF(Prices!C670&lt;OFFSET(Prices!C670,-S$3,0),1,-1)</f>
        <v>1</v>
      </c>
      <c r="T671" s="1">
        <f ca="1">IF(S671=1,T$3*Q670/Prices!C670,-T$3*R670)</f>
        <v>1.8492707776447611E-4</v>
      </c>
    </row>
    <row r="672" spans="1:20" x14ac:dyDescent="0.2">
      <c r="A672" s="4">
        <v>34446</v>
      </c>
      <c r="B672" s="9">
        <f ca="1">Prices!C671*(1+J672/(50*(ABS(O672)+ABS(T672)+0.0001)))</f>
        <v>101.6553837656847</v>
      </c>
      <c r="C672" s="21">
        <f t="shared" ca="1" si="65"/>
        <v>-1</v>
      </c>
      <c r="D672" s="9">
        <f ca="1">D671+C672*(Prices!C672-Prices!C671)/Prices!C671</f>
        <v>0.29639793069907666</v>
      </c>
      <c r="E672" s="9">
        <f t="shared" ca="1" si="66"/>
        <v>2.7869833353518225E-2</v>
      </c>
      <c r="F672" s="9">
        <f t="shared" ca="1" si="67"/>
        <v>0.32426776405259489</v>
      </c>
      <c r="G672" s="13">
        <f ca="1">IF((Prices!C672-Prices!C671)*C672&gt;0,1,0)</f>
        <v>1</v>
      </c>
      <c r="H672" s="9">
        <f>ABS(Prices!C672-Prices!C671)/Prices!C671</f>
        <v>3.3780523115528841E-3</v>
      </c>
      <c r="I672" s="13"/>
      <c r="J672" s="1">
        <f t="shared" ca="1" si="68"/>
        <v>-1.6623181124821654E-3</v>
      </c>
      <c r="K672" s="9"/>
      <c r="L672" s="9">
        <f ca="1">L671-O672*Prices!C672</f>
        <v>0.73619581173046666</v>
      </c>
      <c r="M672" s="1">
        <f t="shared" ca="1" si="69"/>
        <v>1.2982456388763417E-2</v>
      </c>
      <c r="N672" s="9">
        <f ca="1">IF(Prices!D671&gt;OFFSET(Prices!D671,-$N$3,0),1,-1)</f>
        <v>-1</v>
      </c>
      <c r="O672" s="1">
        <f ca="1">IF(N672=1,O$3*L671/Prices!C671,-O$3*M671)</f>
        <v>-1.4424951543070465E-3</v>
      </c>
      <c r="P672" s="14"/>
      <c r="Q672" s="9">
        <f ca="1">Q671-T672*Prices!C672</f>
        <v>0.95693017354874188</v>
      </c>
      <c r="R672" s="1">
        <f t="shared" ca="1" si="70"/>
        <v>1.0771324950580821E-2</v>
      </c>
      <c r="S672" s="9">
        <f ca="1">IF(Prices!C671&lt;OFFSET(Prices!C671,-S$3,0),1,-1)</f>
        <v>-1</v>
      </c>
      <c r="T672" s="1">
        <f ca="1">IF(S672=1,T$3*Q671/Prices!C671,-T$3*R671)</f>
        <v>-2.1982295817511881E-4</v>
      </c>
    </row>
    <row r="673" spans="1:20" x14ac:dyDescent="0.2">
      <c r="A673" s="4">
        <v>34449</v>
      </c>
      <c r="B673" s="9">
        <f ca="1">Prices!C672*(1+J673/(50*(ABS(O673)+ABS(T673)+0.0001)))</f>
        <v>101.32278138801003</v>
      </c>
      <c r="C673" s="21">
        <f t="shared" ca="1" si="65"/>
        <v>-1</v>
      </c>
      <c r="D673" s="9">
        <f ca="1">D672+C673*(Prices!C673-Prices!C672)/Prices!C672</f>
        <v>0.29736635990690163</v>
      </c>
      <c r="E673" s="9">
        <f t="shared" ca="1" si="66"/>
        <v>2.6901404145693253E-2</v>
      </c>
      <c r="F673" s="9">
        <f t="shared" ca="1" si="67"/>
        <v>0.32426776405259489</v>
      </c>
      <c r="G673" s="13">
        <f ca="1">IF((Prices!C673-Prices!C672)*C673&gt;0,1,0)</f>
        <v>1</v>
      </c>
      <c r="H673" s="9">
        <f>ABS(Prices!C673-Prices!C672)/Prices!C672</f>
        <v>9.6842920782499054E-4</v>
      </c>
      <c r="I673" s="13"/>
      <c r="J673" s="1">
        <f t="shared" ca="1" si="68"/>
        <v>-1.5136721378879582E-3</v>
      </c>
      <c r="K673" s="9"/>
      <c r="L673" s="9">
        <f ca="1">L672-O673*Prices!C673</f>
        <v>0.87012283183695005</v>
      </c>
      <c r="M673" s="1">
        <f t="shared" ca="1" si="69"/>
        <v>1.1684210749887075E-2</v>
      </c>
      <c r="N673" s="9">
        <f ca="1">IF(Prices!D672&gt;OFFSET(Prices!D672,-$N$3,0),1,-1)</f>
        <v>-1</v>
      </c>
      <c r="O673" s="1">
        <f ca="1">IF(N673=1,O$3*L672/Prices!C672,-O$3*M672)</f>
        <v>-1.2982456388763418E-3</v>
      </c>
      <c r="P673" s="14"/>
      <c r="Q673" s="9">
        <f ca="1">Q672-T673*Prices!C673</f>
        <v>0.97915357118678026</v>
      </c>
      <c r="R673" s="1">
        <f t="shared" ca="1" si="70"/>
        <v>1.0555898451569205E-2</v>
      </c>
      <c r="S673" s="9">
        <f ca="1">IF(Prices!C672&lt;OFFSET(Prices!C672,-S$3,0),1,-1)</f>
        <v>-1</v>
      </c>
      <c r="T673" s="1">
        <f ca="1">IF(S673=1,T$3*Q672/Prices!C672,-T$3*R672)</f>
        <v>-2.1542649901161643E-4</v>
      </c>
    </row>
    <row r="674" spans="1:20" x14ac:dyDescent="0.2">
      <c r="A674" s="4">
        <v>34450</v>
      </c>
      <c r="B674" s="9">
        <f ca="1">Prices!C673*(1+J674/(50*(ABS(O674)+ABS(T674)+0.0001)))</f>
        <v>101.23624883768622</v>
      </c>
      <c r="C674" s="21">
        <f t="shared" ca="1" si="65"/>
        <v>-1</v>
      </c>
      <c r="D674" s="9">
        <f ca="1">D673+C674*(Prices!C674-Prices!C673)/Prices!C673</f>
        <v>0.30075914780918928</v>
      </c>
      <c r="E674" s="9">
        <f t="shared" ca="1" si="66"/>
        <v>2.3508616243405611E-2</v>
      </c>
      <c r="F674" s="9">
        <f t="shared" ca="1" si="67"/>
        <v>0.32426776405259489</v>
      </c>
      <c r="G674" s="13">
        <f ca="1">IF((Prices!C674-Prices!C673)*C674&gt;0,1,0)</f>
        <v>1</v>
      </c>
      <c r="H674" s="9">
        <f>ABS(Prices!C674-Prices!C673)/Prices!C673</f>
        <v>3.3927879022876534E-3</v>
      </c>
      <c r="I674" s="13"/>
      <c r="J674" s="1">
        <f t="shared" ca="1" si="68"/>
        <v>-1.3795390440200915E-3</v>
      </c>
      <c r="K674" s="9"/>
      <c r="L674" s="9">
        <f ca="1">L673-O674*Prices!C674</f>
        <v>0.99024820255653911</v>
      </c>
      <c r="M674" s="1">
        <f t="shared" ca="1" si="69"/>
        <v>1.0515789674898367E-2</v>
      </c>
      <c r="N674" s="9">
        <f ca="1">IF(Prices!D673&gt;OFFSET(Prices!D673,-$N$3,0),1,-1)</f>
        <v>-1</v>
      </c>
      <c r="O674" s="1">
        <f ca="1">IF(N674=1,O$3*L673/Prices!C673,-O$3*M673)</f>
        <v>-1.1684210749887075E-3</v>
      </c>
      <c r="P674" s="14"/>
      <c r="Q674" s="9">
        <f ca="1">Q673-T674*Prices!C674</f>
        <v>1.0008586095828969</v>
      </c>
      <c r="R674" s="1">
        <f t="shared" ca="1" si="70"/>
        <v>1.034478048253782E-2</v>
      </c>
      <c r="S674" s="9">
        <f ca="1">IF(Prices!C673&lt;OFFSET(Prices!C673,-S$3,0),1,-1)</f>
        <v>-1</v>
      </c>
      <c r="T674" s="1">
        <f ca="1">IF(S674=1,T$3*Q673/Prices!C673,-T$3*R673)</f>
        <v>-2.1111796903138411E-4</v>
      </c>
    </row>
    <row r="675" spans="1:20" x14ac:dyDescent="0.2">
      <c r="A675" s="4">
        <v>34451</v>
      </c>
      <c r="B675" s="9">
        <f ca="1">Prices!C674*(1+J675/(50*(ABS(O675)+ABS(T675)+0.0001)))</f>
        <v>101.50127243178842</v>
      </c>
      <c r="C675" s="21">
        <f t="shared" ca="1" si="65"/>
        <v>-1</v>
      </c>
      <c r="D675" s="9">
        <f ca="1">D674+C675*(Prices!C675-Prices!C674)/Prices!C674</f>
        <v>0.30523342073983811</v>
      </c>
      <c r="E675" s="9">
        <f t="shared" ca="1" si="66"/>
        <v>1.9034343312756774E-2</v>
      </c>
      <c r="F675" s="9">
        <f t="shared" ca="1" si="67"/>
        <v>0.32426776405259489</v>
      </c>
      <c r="G675" s="13">
        <f ca="1">IF((Prices!C675-Prices!C674)*C675&gt;0,1,0)</f>
        <v>1</v>
      </c>
      <c r="H675" s="9">
        <f>ABS(Prices!C675-Prices!C674)/Prices!C674</f>
        <v>4.4742729306488467E-3</v>
      </c>
      <c r="I675" s="13"/>
      <c r="J675" s="1">
        <f t="shared" ca="1" si="68"/>
        <v>-8.5687833339142291E-4</v>
      </c>
      <c r="K675" s="9"/>
      <c r="L675" s="9">
        <f ca="1">L674-O675*Prices!C675</f>
        <v>1.0978773098791239</v>
      </c>
      <c r="M675" s="1">
        <f t="shared" ca="1" si="69"/>
        <v>9.46421070740853E-3</v>
      </c>
      <c r="N675" s="9">
        <f ca="1">IF(Prices!D674&gt;OFFSET(Prices!D674,-$N$3,0),1,-1)</f>
        <v>-1</v>
      </c>
      <c r="O675" s="1">
        <f ca="1">IF(N675=1,O$3*L674/Prices!C674,-O$3*M674)</f>
        <v>-1.0515789674898368E-3</v>
      </c>
      <c r="P675" s="14"/>
      <c r="Q675" s="9">
        <f ca="1">Q674-T675*Prices!C675</f>
        <v>0.98093099968292419</v>
      </c>
      <c r="R675" s="1">
        <f t="shared" ca="1" si="70"/>
        <v>1.0539481116636234E-2</v>
      </c>
      <c r="S675" s="9">
        <f ca="1">IF(Prices!C674&lt;OFFSET(Prices!C674,-S$3,0),1,-1)</f>
        <v>1</v>
      </c>
      <c r="T675" s="1">
        <f ca="1">IF(S675=1,T$3*Q674/Prices!C674,-T$3*R674)</f>
        <v>1.9470063409841393E-4</v>
      </c>
    </row>
    <row r="676" spans="1:20" x14ac:dyDescent="0.2">
      <c r="A676" s="4">
        <v>34452</v>
      </c>
      <c r="B676" s="9">
        <f ca="1">Prices!C675*(1+J676/(50*(ABS(O676)+ABS(T676)+0.0001)))</f>
        <v>101.10216210411274</v>
      </c>
      <c r="C676" s="21">
        <f t="shared" ca="1" si="65"/>
        <v>-1</v>
      </c>
      <c r="D676" s="9">
        <f ca="1">D675+C676*(Prices!C676-Prices!C675)/Prices!C675</f>
        <v>0.3149061124838537</v>
      </c>
      <c r="E676" s="9">
        <f t="shared" ca="1" si="66"/>
        <v>9.3616515687411916E-3</v>
      </c>
      <c r="F676" s="9">
        <f t="shared" ca="1" si="67"/>
        <v>0.32426776405259489</v>
      </c>
      <c r="G676" s="13">
        <f ca="1">IF((Prices!C676-Prices!C675)*C676&gt;0,1,0)</f>
        <v>1</v>
      </c>
      <c r="H676" s="9">
        <f>ABS(Prices!C676-Prices!C675)/Prices!C675</f>
        <v>9.6726917440155824E-3</v>
      </c>
      <c r="I676" s="13"/>
      <c r="J676" s="1">
        <f t="shared" ca="1" si="68"/>
        <v>-7.5473939029475164E-4</v>
      </c>
      <c r="K676" s="9"/>
      <c r="L676" s="9">
        <f ca="1">L675-O676*Prices!C676</f>
        <v>1.1938065496094168</v>
      </c>
      <c r="M676" s="1">
        <f t="shared" ca="1" si="69"/>
        <v>8.5177896366676765E-3</v>
      </c>
      <c r="N676" s="9">
        <f ca="1">IF(Prices!D675&gt;OFFSET(Prices!D675,-$N$3,0),1,-1)</f>
        <v>-1</v>
      </c>
      <c r="O676" s="1">
        <f ca="1">IF(N676=1,O$3*L675/Prices!C675,-O$3*M675)</f>
        <v>-9.4642107074085309E-4</v>
      </c>
      <c r="P676" s="14"/>
      <c r="Q676" s="9">
        <f ca="1">Q675-T676*Prices!C676</f>
        <v>0.96150214455290739</v>
      </c>
      <c r="R676" s="1">
        <f t="shared" ca="1" si="70"/>
        <v>1.0731162797082335E-2</v>
      </c>
      <c r="S676" s="9">
        <f ca="1">IF(Prices!C675&lt;OFFSET(Prices!C675,-S$3,0),1,-1)</f>
        <v>1</v>
      </c>
      <c r="T676" s="1">
        <f ca="1">IF(S676=1,T$3*Q675/Prices!C675,-T$3*R675)</f>
        <v>1.9168168044610148E-4</v>
      </c>
    </row>
    <row r="677" spans="1:20" x14ac:dyDescent="0.2">
      <c r="A677" s="4">
        <v>34453</v>
      </c>
      <c r="B677" s="9">
        <f ca="1">Prices!C676*(1+J677/(50*(ABS(O677)+ABS(T677)+0.0001)))</f>
        <v>103.24906114047086</v>
      </c>
      <c r="C677" s="21">
        <f t="shared" ca="1" si="65"/>
        <v>1</v>
      </c>
      <c r="D677" s="9">
        <f ca="1">D676+C677*(Prices!C677-Prices!C676)/Prices!C676</f>
        <v>0.31826049291005737</v>
      </c>
      <c r="E677" s="9">
        <f t="shared" ca="1" si="66"/>
        <v>6.007271142537518E-3</v>
      </c>
      <c r="F677" s="9">
        <f t="shared" ca="1" si="67"/>
        <v>0.32426776405259489</v>
      </c>
      <c r="G677" s="13">
        <f ca="1">IF((Prices!C677-Prices!C676)*C677&gt;0,1,0)</f>
        <v>1</v>
      </c>
      <c r="H677" s="9">
        <f>ABS(Prices!C677-Prices!C676)/Prices!C676</f>
        <v>3.3543804262036645E-3</v>
      </c>
      <c r="I677" s="13"/>
      <c r="J677" s="1">
        <f t="shared" ca="1" si="68"/>
        <v>1.3675088580505114E-3</v>
      </c>
      <c r="K677" s="9"/>
      <c r="L677" s="9">
        <f ca="1">L676-O677*Prices!C677</f>
        <v>1.0740254465162067</v>
      </c>
      <c r="M677" s="1">
        <f t="shared" ca="1" si="69"/>
        <v>9.6955782609863591E-3</v>
      </c>
      <c r="N677" s="9">
        <f ca="1">IF(Prices!D676&gt;OFFSET(Prices!D676,-$N$3,0),1,-1)</f>
        <v>1</v>
      </c>
      <c r="O677" s="1">
        <f ca="1">IF(N677=1,O$3*L676/Prices!C676,-O$3*M676)</f>
        <v>1.1777886243186828E-3</v>
      </c>
      <c r="P677" s="14"/>
      <c r="Q677" s="9">
        <f ca="1">Q676-T677*Prices!C677</f>
        <v>0.94220759678238042</v>
      </c>
      <c r="R677" s="1">
        <f t="shared" ca="1" si="70"/>
        <v>1.0920883030814163E-2</v>
      </c>
      <c r="S677" s="9">
        <f ca="1">IF(Prices!C676&lt;OFFSET(Prices!C676,-S$3,0),1,-1)</f>
        <v>1</v>
      </c>
      <c r="T677" s="1">
        <f ca="1">IF(S677=1,T$3*Q676/Prices!C676,-T$3*R676)</f>
        <v>1.8972023373182859E-4</v>
      </c>
    </row>
    <row r="678" spans="1:20" x14ac:dyDescent="0.2">
      <c r="A678" s="4">
        <v>34456</v>
      </c>
      <c r="B678" s="9">
        <f ca="1">Prices!C677*(1+J678/(50*(ABS(O678)+ABS(T678)+0.0001)))</f>
        <v>103.58236328310613</v>
      </c>
      <c r="C678" s="21">
        <f t="shared" ca="1" si="65"/>
        <v>1</v>
      </c>
      <c r="D678" s="9">
        <f ca="1">D677+C678*(Prices!C678-Prices!C677)/Prices!C677</f>
        <v>0.31796550765931991</v>
      </c>
      <c r="E678" s="9">
        <f t="shared" ca="1" si="66"/>
        <v>6.3022563932749742E-3</v>
      </c>
      <c r="F678" s="9">
        <f t="shared" ca="1" si="67"/>
        <v>0.32426776405259489</v>
      </c>
      <c r="G678" s="13">
        <f ca="1">IF((Prices!C678-Prices!C677)*C678&gt;0,1,0)</f>
        <v>0</v>
      </c>
      <c r="H678" s="9">
        <f>ABS(Prices!C678-Prices!C677)/Prices!C677</f>
        <v>2.9498525073747429E-4</v>
      </c>
      <c r="I678" s="13"/>
      <c r="J678" s="1">
        <f t="shared" ca="1" si="68"/>
        <v>1.2413637815857255E-3</v>
      </c>
      <c r="K678" s="9"/>
      <c r="L678" s="9">
        <f ca="1">L677-O678*Prices!C678</f>
        <v>0.9666545840311499</v>
      </c>
      <c r="M678" s="1">
        <f t="shared" ca="1" si="69"/>
        <v>1.0751650479783022E-2</v>
      </c>
      <c r="N678" s="9">
        <f ca="1">IF(Prices!D677&gt;OFFSET(Prices!D677,-$N$3,0),1,-1)</f>
        <v>1</v>
      </c>
      <c r="O678" s="1">
        <f ca="1">IF(N678=1,O$3*L677/Prices!C677,-O$3*M677)</f>
        <v>1.0560722187966634E-3</v>
      </c>
      <c r="P678" s="14"/>
      <c r="Q678" s="9">
        <f ca="1">Q677-T678*Prices!C678</f>
        <v>0.92336900359361651</v>
      </c>
      <c r="R678" s="1">
        <f t="shared" ca="1" si="70"/>
        <v>1.1106174593603226E-2</v>
      </c>
      <c r="S678" s="9">
        <f ca="1">IF(Prices!C677&lt;OFFSET(Prices!C677,-S$3,0),1,-1)</f>
        <v>1</v>
      </c>
      <c r="T678" s="1">
        <f ca="1">IF(S678=1,T$3*Q677/Prices!C677,-T$3*R677)</f>
        <v>1.8529156278906201E-4</v>
      </c>
    </row>
    <row r="679" spans="1:20" x14ac:dyDescent="0.2">
      <c r="A679" s="4">
        <v>34457</v>
      </c>
      <c r="B679" s="9">
        <f ca="1">Prices!C678*(1+J679/(50*(ABS(O679)+ABS(T679)+0.0001)))</f>
        <v>103.53840714724285</v>
      </c>
      <c r="C679" s="21">
        <f t="shared" ca="1" si="65"/>
        <v>1</v>
      </c>
      <c r="D679" s="9">
        <f ca="1">D678+C679*(Prices!C679-Prices!C678)/Prices!C678</f>
        <v>0.31137555978875825</v>
      </c>
      <c r="E679" s="9">
        <f t="shared" ca="1" si="66"/>
        <v>1.2892204263836637E-2</v>
      </c>
      <c r="F679" s="9">
        <f t="shared" ca="1" si="67"/>
        <v>0.32426776405259489</v>
      </c>
      <c r="G679" s="13">
        <f ca="1">IF((Prices!C679-Prices!C678)*C679&gt;0,1,0)</f>
        <v>0</v>
      </c>
      <c r="H679" s="9">
        <f>ABS(Prices!C679-Prices!C678)/Prices!C678</f>
        <v>6.5899478705616372E-3</v>
      </c>
      <c r="I679" s="13"/>
      <c r="J679" s="1">
        <f t="shared" ca="1" si="68"/>
        <v>1.1324170205073997E-3</v>
      </c>
      <c r="K679" s="9"/>
      <c r="L679" s="9">
        <f ca="1">L678-O679*Prices!C679</f>
        <v>0.87062614595979537</v>
      </c>
      <c r="M679" s="1">
        <f t="shared" ca="1" si="69"/>
        <v>1.170242709435089E-2</v>
      </c>
      <c r="N679" s="9">
        <f ca="1">IF(Prices!D678&gt;OFFSET(Prices!D678,-$N$3,0),1,-1)</f>
        <v>1</v>
      </c>
      <c r="O679" s="1">
        <f ca="1">IF(N679=1,O$3*L678/Prices!C678,-O$3*M678)</f>
        <v>9.5077661456786661E-4</v>
      </c>
      <c r="P679" s="14"/>
      <c r="Q679" s="9">
        <f ca="1">Q678-T679*Prices!C679</f>
        <v>0.90502332259372364</v>
      </c>
      <c r="R679" s="1">
        <f t="shared" ca="1" si="70"/>
        <v>1.1287814999542758E-2</v>
      </c>
      <c r="S679" s="9">
        <f ca="1">IF(Prices!C678&lt;OFFSET(Prices!C678,-S$3,0),1,-1)</f>
        <v>1</v>
      </c>
      <c r="T679" s="1">
        <f ca="1">IF(S679=1,T$3*Q678/Prices!C678,-T$3*R678)</f>
        <v>1.816404059395331E-4</v>
      </c>
    </row>
    <row r="680" spans="1:20" x14ac:dyDescent="0.2">
      <c r="A680" s="4">
        <v>34458</v>
      </c>
      <c r="B680" s="9">
        <f ca="1">Prices!C679*(1+J680/(50*(ABS(O680)+ABS(T680)+0.0001)))</f>
        <v>102.84299622902212</v>
      </c>
      <c r="C680" s="21">
        <f t="shared" ca="1" si="65"/>
        <v>1</v>
      </c>
      <c r="D680" s="9">
        <f ca="1">D679+C680*(Prices!C680-Prices!C679)/Prices!C679</f>
        <v>0.31989041127390677</v>
      </c>
      <c r="E680" s="9">
        <f t="shared" ca="1" si="66"/>
        <v>4.377352778688115E-3</v>
      </c>
      <c r="F680" s="9">
        <f t="shared" ca="1" si="67"/>
        <v>0.32426776405259489</v>
      </c>
      <c r="G680" s="13">
        <f ca="1">IF((Prices!C680-Prices!C679)*C680&gt;0,1,0)</f>
        <v>1</v>
      </c>
      <c r="H680" s="9">
        <f>ABS(Prices!C680-Prices!C679)/Prices!C679</f>
        <v>8.5148514851485085E-3</v>
      </c>
      <c r="I680" s="13"/>
      <c r="J680" s="1">
        <f t="shared" ca="1" si="68"/>
        <v>1.0412186242361784E-3</v>
      </c>
      <c r="K680" s="9"/>
      <c r="L680" s="9">
        <f ca="1">L679-O680*Prices!C680</f>
        <v>0.78282220613062237</v>
      </c>
      <c r="M680" s="1">
        <f t="shared" ca="1" si="69"/>
        <v>1.2564433179459598E-2</v>
      </c>
      <c r="N680" s="9">
        <f ca="1">IF(Prices!D679&gt;OFFSET(Prices!D679,-$N$3,0),1,-1)</f>
        <v>1</v>
      </c>
      <c r="O680" s="1">
        <f ca="1">IF(N680=1,O$3*L679/Prices!C679,-O$3*M679)</f>
        <v>8.6200608510870829E-4</v>
      </c>
      <c r="P680" s="14"/>
      <c r="Q680" s="9">
        <f ca="1">Q679-T680*Prices!C680</f>
        <v>0.8867687333581995</v>
      </c>
      <c r="R680" s="1">
        <f t="shared" ca="1" si="70"/>
        <v>1.1467027538670228E-2</v>
      </c>
      <c r="S680" s="9">
        <f ca="1">IF(Prices!C679&lt;OFFSET(Prices!C679,-S$3,0),1,-1)</f>
        <v>1</v>
      </c>
      <c r="T680" s="1">
        <f ca="1">IF(S680=1,T$3*Q679/Prices!C679,-T$3*R679)</f>
        <v>1.7921253912747003E-4</v>
      </c>
    </row>
    <row r="681" spans="1:20" x14ac:dyDescent="0.2">
      <c r="A681" s="4">
        <v>34459</v>
      </c>
      <c r="B681" s="9">
        <f ca="1">Prices!C680*(1+J681/(50*(ABS(O681)+ABS(T681)+0.0001)))</f>
        <v>102.86051344831606</v>
      </c>
      <c r="C681" s="21">
        <f t="shared" ca="1" si="65"/>
        <v>1</v>
      </c>
      <c r="D681" s="9">
        <f ca="1">D680+C681*(Prices!C681-Prices!C680)/Prices!C680</f>
        <v>0.33010050355743326</v>
      </c>
      <c r="E681" s="9">
        <f t="shared" ca="1" si="66"/>
        <v>0</v>
      </c>
      <c r="F681" s="9">
        <f t="shared" ca="1" si="67"/>
        <v>0.33010050355743326</v>
      </c>
      <c r="G681" s="13">
        <f ca="1">IF((Prices!C681-Prices!C680)*C681&gt;0,1,0)</f>
        <v>1</v>
      </c>
      <c r="H681" s="9">
        <f>ABS(Prices!C681-Prices!C680)/Prices!C680</f>
        <v>1.021009228352647E-2</v>
      </c>
      <c r="I681" s="13"/>
      <c r="J681" s="1">
        <f t="shared" ca="1" si="68"/>
        <v>5.3918704212922892E-4</v>
      </c>
      <c r="K681" s="9"/>
      <c r="L681" s="9">
        <f ca="1">L680-O681*Prices!C681</f>
        <v>0.70374071682094141</v>
      </c>
      <c r="M681" s="1">
        <f t="shared" ca="1" si="69"/>
        <v>1.3332960772362231E-2</v>
      </c>
      <c r="N681" s="9">
        <f ca="1">IF(Prices!D680&gt;OFFSET(Prices!D680,-$N$3,0),1,-1)</f>
        <v>1</v>
      </c>
      <c r="O681" s="1">
        <f ca="1">IF(N681=1,O$3*L680/Prices!C680,-O$3*M680)</f>
        <v>7.6852759290263343E-4</v>
      </c>
      <c r="P681" s="14"/>
      <c r="Q681" s="9">
        <f ca="1">Q680-T681*Prices!C681</f>
        <v>0.9103678760327828</v>
      </c>
      <c r="R681" s="1">
        <f t="shared" ca="1" si="70"/>
        <v>1.1237686987896824E-2</v>
      </c>
      <c r="S681" s="9">
        <f ca="1">IF(Prices!C680&lt;OFFSET(Prices!C680,-S$3,0),1,-1)</f>
        <v>-1</v>
      </c>
      <c r="T681" s="1">
        <f ca="1">IF(S681=1,T$3*Q680/Prices!C680,-T$3*R680)</f>
        <v>-2.2934055077340456E-4</v>
      </c>
    </row>
    <row r="682" spans="1:20" x14ac:dyDescent="0.2">
      <c r="A682" s="4">
        <v>34460</v>
      </c>
      <c r="B682" s="9">
        <f ca="1">Prices!C681*(1+J682/(50*(ABS(O682)+ABS(T682)+0.0001)))</f>
        <v>100.96612172293659</v>
      </c>
      <c r="C682" s="21">
        <f t="shared" ca="1" si="65"/>
        <v>-1</v>
      </c>
      <c r="D682" s="9">
        <f ca="1">D681+C682*(Prices!C682-Prices!C681)/Prices!C681</f>
        <v>0.33486240831933811</v>
      </c>
      <c r="E682" s="9">
        <f t="shared" ca="1" si="66"/>
        <v>0</v>
      </c>
      <c r="F682" s="9">
        <f t="shared" ca="1" si="67"/>
        <v>0.33486240831933811</v>
      </c>
      <c r="G682" s="13">
        <f ca="1">IF((Prices!C682-Prices!C681)*C682&gt;0,1,0)</f>
        <v>1</v>
      </c>
      <c r="H682" s="9">
        <f>ABS(Prices!C682-Prices!C681)/Prices!C681</f>
        <v>4.7619047619048499E-3</v>
      </c>
      <c r="I682" s="13"/>
      <c r="J682" s="1">
        <f t="shared" ca="1" si="68"/>
        <v>-1.5580498169941595E-3</v>
      </c>
      <c r="K682" s="9"/>
      <c r="L682" s="9">
        <f ca="1">L681-O682*Prices!C682</f>
        <v>0.84028356809070304</v>
      </c>
      <c r="M682" s="1">
        <f t="shared" ca="1" si="69"/>
        <v>1.1999664695126007E-2</v>
      </c>
      <c r="N682" s="9">
        <f ca="1">IF(Prices!D681&gt;OFFSET(Prices!D681,-$N$3,0),1,-1)</f>
        <v>-1</v>
      </c>
      <c r="O682" s="1">
        <f ca="1">IF(N682=1,O$3*L681/Prices!C681,-O$3*M681)</f>
        <v>-1.3332960772362232E-3</v>
      </c>
      <c r="P682" s="14"/>
      <c r="Q682" s="9">
        <f ca="1">Q681-T682*Prices!C682</f>
        <v>0.93338490652139305</v>
      </c>
      <c r="R682" s="1">
        <f t="shared" ca="1" si="70"/>
        <v>1.1012933248138887E-2</v>
      </c>
      <c r="S682" s="9">
        <f ca="1">IF(Prices!C681&lt;OFFSET(Prices!C681,-S$3,0),1,-1)</f>
        <v>-1</v>
      </c>
      <c r="T682" s="1">
        <f ca="1">IF(S682=1,T$3*Q681/Prices!C681,-T$3*R681)</f>
        <v>-2.2475373975793647E-4</v>
      </c>
    </row>
    <row r="683" spans="1:20" x14ac:dyDescent="0.2">
      <c r="A683" s="4">
        <v>34463</v>
      </c>
      <c r="B683" s="9">
        <f ca="1">Prices!C682*(1+J683/(50*(ABS(O683)+ABS(T683)+0.0001)))</f>
        <v>103.48772428988246</v>
      </c>
      <c r="C683" s="21">
        <f t="shared" ca="1" si="65"/>
        <v>1</v>
      </c>
      <c r="D683" s="9">
        <f ca="1">D682+C683*(Prices!C683-Prices!C682)/Prices!C682</f>
        <v>0.33779180974498013</v>
      </c>
      <c r="E683" s="9">
        <f t="shared" ca="1" si="66"/>
        <v>0</v>
      </c>
      <c r="F683" s="9">
        <f t="shared" ca="1" si="67"/>
        <v>0.33779180974498013</v>
      </c>
      <c r="G683" s="13">
        <f ca="1">IF((Prices!C683-Prices!C682)*C683&gt;0,1,0)</f>
        <v>1</v>
      </c>
      <c r="H683" s="9">
        <f>ABS(Prices!C683-Prices!C682)/Prices!C682</f>
        <v>2.9294014256419994E-3</v>
      </c>
      <c r="I683" s="13"/>
      <c r="J683" s="1">
        <f t="shared" ca="1" si="68"/>
        <v>6.0025062914004733E-4</v>
      </c>
      <c r="K683" s="9"/>
      <c r="L683" s="9">
        <f ca="1">L682-O683*Prices!C683</f>
        <v>0.75600905849340183</v>
      </c>
      <c r="M683" s="1">
        <f t="shared" ca="1" si="69"/>
        <v>1.2820173989228831E-2</v>
      </c>
      <c r="N683" s="9">
        <f ca="1">IF(Prices!D682&gt;OFFSET(Prices!D682,-$N$3,0),1,-1)</f>
        <v>1</v>
      </c>
      <c r="O683" s="1">
        <f ca="1">IF(N683=1,O$3*L682/Prices!C682,-O$3*M682)</f>
        <v>8.2050929410282507E-4</v>
      </c>
      <c r="P683" s="14"/>
      <c r="Q683" s="9">
        <f ca="1">Q682-T683*Prices!C683</f>
        <v>0.95600767399971998</v>
      </c>
      <c r="R683" s="1">
        <f t="shared" ca="1" si="70"/>
        <v>1.0792674583176108E-2</v>
      </c>
      <c r="S683" s="9">
        <f ca="1">IF(Prices!C682&lt;OFFSET(Prices!C682,-S$3,0),1,-1)</f>
        <v>-1</v>
      </c>
      <c r="T683" s="1">
        <f ca="1">IF(S683=1,T$3*Q682/Prices!C682,-T$3*R682)</f>
        <v>-2.2025866496277774E-4</v>
      </c>
    </row>
    <row r="684" spans="1:20" x14ac:dyDescent="0.2">
      <c r="A684" s="4">
        <v>34464</v>
      </c>
      <c r="B684" s="9">
        <f ca="1">Prices!C683*(1+J684/(50*(ABS(O684)+ABS(T684)+0.0001)))</f>
        <v>103.72587256976769</v>
      </c>
      <c r="C684" s="21">
        <f t="shared" ca="1" si="65"/>
        <v>1</v>
      </c>
      <c r="D684" s="9">
        <f ca="1">D683+C684*(Prices!C684-Prices!C683)/Prices!C683</f>
        <v>0.35483007281576195</v>
      </c>
      <c r="E684" s="9">
        <f t="shared" ca="1" si="66"/>
        <v>0</v>
      </c>
      <c r="F684" s="9">
        <f t="shared" ca="1" si="67"/>
        <v>0.35483007281576195</v>
      </c>
      <c r="G684" s="13">
        <f ca="1">IF((Prices!C684-Prices!C683)*C684&gt;0,1,0)</f>
        <v>1</v>
      </c>
      <c r="H684" s="9">
        <f>ABS(Prices!C684-Prices!C683)/Prices!C683</f>
        <v>1.7038263070781812E-2</v>
      </c>
      <c r="I684" s="13"/>
      <c r="J684" s="1">
        <f t="shared" ca="1" si="68"/>
        <v>5.2020829247960117E-4</v>
      </c>
      <c r="K684" s="9"/>
      <c r="L684" s="9">
        <f ca="1">L683-O684*Prices!C684</f>
        <v>0.67912004452181118</v>
      </c>
      <c r="M684" s="1">
        <f t="shared" ca="1" si="69"/>
        <v>1.3556235773371955E-2</v>
      </c>
      <c r="N684" s="9">
        <f ca="1">IF(Prices!D683&gt;OFFSET(Prices!D683,-$N$3,0),1,-1)</f>
        <v>1</v>
      </c>
      <c r="O684" s="1">
        <f ca="1">IF(N684=1,O$3*L683/Prices!C683,-O$3*M683)</f>
        <v>7.3606178414312336E-4</v>
      </c>
      <c r="P684" s="14"/>
      <c r="Q684" s="9">
        <f ca="1">Q683-T684*Prices!C684</f>
        <v>0.97855572973889149</v>
      </c>
      <c r="R684" s="1">
        <f t="shared" ca="1" si="70"/>
        <v>1.0576821091512586E-2</v>
      </c>
      <c r="S684" s="9">
        <f ca="1">IF(Prices!C683&lt;OFFSET(Prices!C683,-S$3,0),1,-1)</f>
        <v>-1</v>
      </c>
      <c r="T684" s="1">
        <f ca="1">IF(S684=1,T$3*Q683/Prices!C683,-T$3*R683)</f>
        <v>-2.1585349166352219E-4</v>
      </c>
    </row>
    <row r="685" spans="1:20" x14ac:dyDescent="0.2">
      <c r="A685" s="4">
        <v>34465</v>
      </c>
      <c r="B685" s="9">
        <f ca="1">Prices!C684*(1+J685/(50*(ABS(O685)+ABS(T685)+0.0001)))</f>
        <v>102.49611490685017</v>
      </c>
      <c r="C685" s="21">
        <f t="shared" ca="1" si="65"/>
        <v>-1</v>
      </c>
      <c r="D685" s="9">
        <f ca="1">D684+C685*(Prices!C685-Prices!C684)/Prices!C684</f>
        <v>0.3562660291626889</v>
      </c>
      <c r="E685" s="9">
        <f t="shared" ca="1" si="66"/>
        <v>0</v>
      </c>
      <c r="F685" s="9">
        <f t="shared" ca="1" si="67"/>
        <v>0.3562660291626889</v>
      </c>
      <c r="G685" s="13">
        <f ca="1">IF((Prices!C685-Prices!C684)*C685&gt;0,1,0)</f>
        <v>1</v>
      </c>
      <c r="H685" s="9">
        <f>ABS(Prices!C685-Prices!C684)/Prices!C684</f>
        <v>1.4359563469269719E-3</v>
      </c>
      <c r="I685" s="13"/>
      <c r="J685" s="1">
        <f t="shared" ca="1" si="68"/>
        <v>-1.5671599991674474E-3</v>
      </c>
      <c r="K685" s="9"/>
      <c r="L685" s="9">
        <f ca="1">L684-O685*Prices!C685</f>
        <v>0.820525139873854</v>
      </c>
      <c r="M685" s="1">
        <f t="shared" ca="1" si="69"/>
        <v>1.2200612196034759E-2</v>
      </c>
      <c r="N685" s="9">
        <f ca="1">IF(Prices!D684&gt;OFFSET(Prices!D684,-$N$3,0),1,-1)</f>
        <v>-1</v>
      </c>
      <c r="O685" s="1">
        <f ca="1">IF(N685=1,O$3*L684/Prices!C684,-O$3*M684)</f>
        <v>-1.3556235773371957E-3</v>
      </c>
      <c r="P685" s="14"/>
      <c r="Q685" s="9">
        <f ca="1">Q684-T685*Prices!C685</f>
        <v>1.0006210939000051</v>
      </c>
      <c r="R685" s="1">
        <f t="shared" ca="1" si="70"/>
        <v>1.0365284669682335E-2</v>
      </c>
      <c r="S685" s="9">
        <f ca="1">IF(Prices!C684&lt;OFFSET(Prices!C684,-S$3,0),1,-1)</f>
        <v>-1</v>
      </c>
      <c r="T685" s="1">
        <f ca="1">IF(S685=1,T$3*Q684/Prices!C684,-T$3*R684)</f>
        <v>-2.1153642183025173E-4</v>
      </c>
    </row>
    <row r="686" spans="1:20" x14ac:dyDescent="0.2">
      <c r="A686" s="4">
        <v>34466</v>
      </c>
      <c r="B686" s="9">
        <f ca="1">Prices!C685*(1+J686/(50*(ABS(O686)+ABS(T686)+0.0001)))</f>
        <v>102.36038800529509</v>
      </c>
      <c r="C686" s="21">
        <f t="shared" ca="1" si="65"/>
        <v>-1</v>
      </c>
      <c r="D686" s="9">
        <f ca="1">D685+C686*(Prices!C686-Prices!C685)/Prices!C685</f>
        <v>0.3562660291626889</v>
      </c>
      <c r="E686" s="9">
        <f t="shared" ca="1" si="66"/>
        <v>0</v>
      </c>
      <c r="F686" s="9">
        <f t="shared" ca="1" si="67"/>
        <v>0.3562660291626889</v>
      </c>
      <c r="G686" s="13">
        <f ca="1">IF((Prices!C686-Prices!C685)*C686&gt;0,1,0)</f>
        <v>0</v>
      </c>
      <c r="H686" s="9">
        <f>ABS(Prices!C686-Prices!C685)/Prices!C685</f>
        <v>0</v>
      </c>
      <c r="I686" s="13"/>
      <c r="J686" s="1">
        <f t="shared" ca="1" si="68"/>
        <v>-1.4273669129971226E-3</v>
      </c>
      <c r="K686" s="9"/>
      <c r="L686" s="9">
        <f ca="1">L685-O686*Prices!C686</f>
        <v>0.94778972569069264</v>
      </c>
      <c r="M686" s="1">
        <f t="shared" ca="1" si="69"/>
        <v>1.0980550976431283E-2</v>
      </c>
      <c r="N686" s="9">
        <f ca="1">IF(Prices!D685&gt;OFFSET(Prices!D685,-$N$3,0),1,-1)</f>
        <v>-1</v>
      </c>
      <c r="O686" s="1">
        <f ca="1">IF(N686=1,O$3*L685/Prices!C685,-O$3*M685)</f>
        <v>-1.220061219603476E-3</v>
      </c>
      <c r="P686" s="14"/>
      <c r="Q686" s="9">
        <f ca="1">Q685-T686*Prices!C686</f>
        <v>1.0222451507778965</v>
      </c>
      <c r="R686" s="1">
        <f t="shared" ca="1" si="70"/>
        <v>1.0157978976288689E-2</v>
      </c>
      <c r="S686" s="9">
        <f ca="1">IF(Prices!C685&lt;OFFSET(Prices!C685,-S$3,0),1,-1)</f>
        <v>-1</v>
      </c>
      <c r="T686" s="1">
        <f ca="1">IF(S686=1,T$3*Q685/Prices!C685,-T$3*R685)</f>
        <v>-2.0730569339364669E-4</v>
      </c>
    </row>
    <row r="687" spans="1:20" x14ac:dyDescent="0.2">
      <c r="A687" s="4">
        <v>34467</v>
      </c>
      <c r="B687" s="9">
        <f ca="1">Prices!C686*(1+J687/(50*(ABS(O687)+ABS(T687)+0.0001)))</f>
        <v>105.52452647785873</v>
      </c>
      <c r="C687" s="21">
        <f t="shared" ca="1" si="65"/>
        <v>1</v>
      </c>
      <c r="D687" s="9">
        <f ca="1">D686+C687*(Prices!C687-Prices!C686)/Prices!C686</f>
        <v>0.36240158663560618</v>
      </c>
      <c r="E687" s="9">
        <f t="shared" ca="1" si="66"/>
        <v>0</v>
      </c>
      <c r="F687" s="9">
        <f t="shared" ca="1" si="67"/>
        <v>0.36240158663560618</v>
      </c>
      <c r="G687" s="13">
        <f ca="1">IF((Prices!C687-Prices!C686)*C687&gt;0,1,0)</f>
        <v>1</v>
      </c>
      <c r="H687" s="9">
        <f>ABS(Prices!C687-Prices!C686)/Prices!C686</f>
        <v>6.1355574729172711E-3</v>
      </c>
      <c r="I687" s="13"/>
      <c r="J687" s="1">
        <f t="shared" ca="1" si="68"/>
        <v>7.0546828519543476E-4</v>
      </c>
      <c r="K687" s="9"/>
      <c r="L687" s="9">
        <f ca="1">L686-O687*Prices!C687</f>
        <v>0.85242923128820181</v>
      </c>
      <c r="M687" s="1">
        <f t="shared" ca="1" si="69"/>
        <v>1.1889178841152492E-2</v>
      </c>
      <c r="N687" s="9">
        <f ca="1">IF(Prices!D686&gt;OFFSET(Prices!D686,-$N$3,0),1,-1)</f>
        <v>1</v>
      </c>
      <c r="O687" s="1">
        <f ca="1">IF(N687=1,O$3*L686/Prices!C686,-O$3*M686)</f>
        <v>9.0862786472120855E-4</v>
      </c>
      <c r="P687" s="14"/>
      <c r="Q687" s="9">
        <f ca="1">Q686-T687*Prices!C687</f>
        <v>1.0435667486491265</v>
      </c>
      <c r="R687" s="1">
        <f t="shared" ca="1" si="70"/>
        <v>9.9548193967629144E-3</v>
      </c>
      <c r="S687" s="9">
        <f ca="1">IF(Prices!C686&lt;OFFSET(Prices!C686,-S$3,0),1,-1)</f>
        <v>-1</v>
      </c>
      <c r="T687" s="1">
        <f ca="1">IF(S687=1,T$3*Q686/Prices!C686,-T$3*R686)</f>
        <v>-2.0315957952577379E-4</v>
      </c>
    </row>
    <row r="688" spans="1:20" x14ac:dyDescent="0.2">
      <c r="A688" s="4">
        <v>34470</v>
      </c>
      <c r="B688" s="9">
        <f ca="1">Prices!C687*(1+J688/(50*(ABS(O688)+ABS(T688)+0.0001)))</f>
        <v>102.99206047498507</v>
      </c>
      <c r="C688" s="21">
        <f t="shared" ca="1" si="65"/>
        <v>-1</v>
      </c>
      <c r="D688" s="9">
        <f ca="1">D687+C688*(Prices!C688-Prices!C687)/Prices!C687</f>
        <v>0.36383083866037991</v>
      </c>
      <c r="E688" s="9">
        <f t="shared" ca="1" si="66"/>
        <v>0</v>
      </c>
      <c r="F688" s="9">
        <f t="shared" ca="1" si="67"/>
        <v>0.36383083866037991</v>
      </c>
      <c r="G688" s="13">
        <f ca="1">IF((Prices!C688-Prices!C687)*C688&gt;0,1,0)</f>
        <v>1</v>
      </c>
      <c r="H688" s="9">
        <f>ABS(Prices!C688-Prices!C687)/Prices!C687</f>
        <v>1.429252024773756E-3</v>
      </c>
      <c r="I688" s="13"/>
      <c r="J688" s="1">
        <f t="shared" ca="1" si="68"/>
        <v>-1.3880142720505075E-3</v>
      </c>
      <c r="K688" s="9"/>
      <c r="L688" s="9">
        <f ca="1">L687-O688*Prices!C688</f>
        <v>0.97702782554347989</v>
      </c>
      <c r="M688" s="1">
        <f t="shared" ca="1" si="69"/>
        <v>1.0700260957037242E-2</v>
      </c>
      <c r="N688" s="9">
        <f ca="1">IF(Prices!D687&gt;OFFSET(Prices!D687,-$N$3,0),1,-1)</f>
        <v>-1</v>
      </c>
      <c r="O688" s="1">
        <f ca="1">IF(N688=1,O$3*L687/Prices!C687,-O$3*M687)</f>
        <v>-1.1889178841152492E-3</v>
      </c>
      <c r="P688" s="14"/>
      <c r="Q688" s="9">
        <f ca="1">Q687-T688*Prices!C688</f>
        <v>1.0644320501047415</v>
      </c>
      <c r="R688" s="1">
        <f t="shared" ca="1" si="70"/>
        <v>9.7557230088276565E-3</v>
      </c>
      <c r="S688" s="9">
        <f ca="1">IF(Prices!C687&lt;OFFSET(Prices!C687,-S$3,0),1,-1)</f>
        <v>-1</v>
      </c>
      <c r="T688" s="1">
        <f ca="1">IF(S688=1,T$3*Q687/Prices!C687,-T$3*R687)</f>
        <v>-1.990963879352583E-4</v>
      </c>
    </row>
    <row r="689" spans="1:20" x14ac:dyDescent="0.2">
      <c r="A689" s="4">
        <v>34471</v>
      </c>
      <c r="B689" s="9">
        <f ca="1">Prices!C688*(1+J689/(50*(ABS(O689)+ABS(T689)+0.0001)))</f>
        <v>102.8575373036111</v>
      </c>
      <c r="C689" s="21">
        <f t="shared" ca="1" si="65"/>
        <v>-1</v>
      </c>
      <c r="D689" s="9">
        <f ca="1">D688+C689*(Prices!C689-Prices!C688)/Prices!C688</f>
        <v>0.36573923560694482</v>
      </c>
      <c r="E689" s="9">
        <f t="shared" ca="1" si="66"/>
        <v>0</v>
      </c>
      <c r="F689" s="9">
        <f t="shared" ca="1" si="67"/>
        <v>0.36573923560694482</v>
      </c>
      <c r="G689" s="13">
        <f ca="1">IF((Prices!C689-Prices!C688)*C689&gt;0,1,0)</f>
        <v>1</v>
      </c>
      <c r="H689" s="9">
        <f>ABS(Prices!C689-Prices!C688)/Prices!C688</f>
        <v>1.9083969465649127E-3</v>
      </c>
      <c r="I689" s="13"/>
      <c r="J689" s="1">
        <f t="shared" ca="1" si="68"/>
        <v>-1.2651405558802772E-3</v>
      </c>
      <c r="K689" s="9"/>
      <c r="L689" s="9">
        <f ca="1">L688-O689*Prices!C689</f>
        <v>1.0889525551540895</v>
      </c>
      <c r="M689" s="1">
        <f t="shared" ca="1" si="69"/>
        <v>9.6302348613335181E-3</v>
      </c>
      <c r="N689" s="9">
        <f ca="1">IF(Prices!D688&gt;OFFSET(Prices!D688,-$N$3,0),1,-1)</f>
        <v>-1</v>
      </c>
      <c r="O689" s="1">
        <f ca="1">IF(N689=1,O$3*L688/Prices!C688,-O$3*M688)</f>
        <v>-1.0700260957037242E-3</v>
      </c>
      <c r="P689" s="14"/>
      <c r="Q689" s="9">
        <f ca="1">Q688-T689*Prices!C689</f>
        <v>1.0848410226392089</v>
      </c>
      <c r="R689" s="1">
        <f t="shared" ca="1" si="70"/>
        <v>9.5606085486511037E-3</v>
      </c>
      <c r="S689" s="9">
        <f ca="1">IF(Prices!C688&lt;OFFSET(Prices!C688,-S$3,0),1,-1)</f>
        <v>-1</v>
      </c>
      <c r="T689" s="1">
        <f ca="1">IF(S689=1,T$3*Q688/Prices!C688,-T$3*R688)</f>
        <v>-1.9511446017655314E-4</v>
      </c>
    </row>
    <row r="690" spans="1:20" x14ac:dyDescent="0.2">
      <c r="A690" s="4">
        <v>34472</v>
      </c>
      <c r="B690" s="9">
        <f ca="1">Prices!C689*(1+J690/(50*(ABS(O690)+ABS(T690)+0.0001)))</f>
        <v>102.67479481149709</v>
      </c>
      <c r="C690" s="21">
        <f t="shared" ca="1" si="65"/>
        <v>-1</v>
      </c>
      <c r="D690" s="9">
        <f ca="1">D689+C690*(Prices!C690-Prices!C689)/Prices!C689</f>
        <v>0.37568187423027172</v>
      </c>
      <c r="E690" s="9">
        <f t="shared" ca="1" si="66"/>
        <v>0</v>
      </c>
      <c r="F690" s="9">
        <f t="shared" ca="1" si="67"/>
        <v>0.37568187423027172</v>
      </c>
      <c r="G690" s="13">
        <f ca="1">IF((Prices!C690-Prices!C689)*C690&gt;0,1,0)</f>
        <v>1</v>
      </c>
      <c r="H690" s="9">
        <f>ABS(Prices!C690-Prices!C689)/Prices!C689</f>
        <v>9.9426386233268851E-3</v>
      </c>
      <c r="I690" s="13"/>
      <c r="J690" s="1">
        <f t="shared" ca="1" si="68"/>
        <v>-1.1542356571063739E-3</v>
      </c>
      <c r="K690" s="9"/>
      <c r="L690" s="9">
        <f ca="1">L689-O690*Prices!C690</f>
        <v>1.1886832673780594</v>
      </c>
      <c r="M690" s="1">
        <f t="shared" ca="1" si="69"/>
        <v>8.6672113752001671E-3</v>
      </c>
      <c r="N690" s="9">
        <f ca="1">IF(Prices!D689&gt;OFFSET(Prices!D689,-$N$3,0),1,-1)</f>
        <v>-1</v>
      </c>
      <c r="O690" s="1">
        <f ca="1">IF(N690=1,O$3*L689/Prices!C689,-O$3*M689)</f>
        <v>-9.6302348613335181E-4</v>
      </c>
      <c r="P690" s="14"/>
      <c r="Q690" s="9">
        <f ca="1">Q689-T690*Prices!C690</f>
        <v>1.1046429550651751</v>
      </c>
      <c r="R690" s="1">
        <f t="shared" ca="1" si="70"/>
        <v>9.3693963776780818E-3</v>
      </c>
      <c r="S690" s="9">
        <f ca="1">IF(Prices!C689&lt;OFFSET(Prices!C689,-S$3,0),1,-1)</f>
        <v>-1</v>
      </c>
      <c r="T690" s="1">
        <f ca="1">IF(S690=1,T$3*Q689/Prices!C689,-T$3*R689)</f>
        <v>-1.9121217097302207E-4</v>
      </c>
    </row>
    <row r="691" spans="1:20" x14ac:dyDescent="0.2">
      <c r="A691" s="4">
        <v>34473</v>
      </c>
      <c r="B691" s="9">
        <f ca="1">Prices!C690*(1+J691/(50*(ABS(O691)+ABS(T691)+0.0001)))</f>
        <v>102.41319278308552</v>
      </c>
      <c r="C691" s="21">
        <f t="shared" ca="1" si="65"/>
        <v>-1</v>
      </c>
      <c r="D691" s="9">
        <f ca="1">D690+C691*(Prices!C691-Prices!C690)/Prices!C690</f>
        <v>0.36824657102440078</v>
      </c>
      <c r="E691" s="9">
        <f t="shared" ca="1" si="66"/>
        <v>7.4353032058709356E-3</v>
      </c>
      <c r="F691" s="9">
        <f t="shared" ca="1" si="67"/>
        <v>0.37568187423027172</v>
      </c>
      <c r="G691" s="13">
        <f ca="1">IF((Prices!C691-Prices!C690)*C691&gt;0,1,0)</f>
        <v>0</v>
      </c>
      <c r="H691" s="9">
        <f>ABS(Prices!C691-Prices!C690)/Prices!C690</f>
        <v>7.4353032058709538E-3</v>
      </c>
      <c r="I691" s="13"/>
      <c r="J691" s="1">
        <f t="shared" ca="1" si="68"/>
        <v>-6.5338723349043484E-4</v>
      </c>
      <c r="K691" s="9"/>
      <c r="L691" s="9">
        <f ca="1">L690-O691*Prices!C691</f>
        <v>1.2791082836555228</v>
      </c>
      <c r="M691" s="1">
        <f t="shared" ca="1" si="69"/>
        <v>7.8004902376801501E-3</v>
      </c>
      <c r="N691" s="9">
        <f ca="1">IF(Prices!D690&gt;OFFSET(Prices!D690,-$N$3,0),1,-1)</f>
        <v>-1</v>
      </c>
      <c r="O691" s="1">
        <f ca="1">IF(N691=1,O$3*L690/Prices!C690,-O$3*M690)</f>
        <v>-8.6672113752001673E-4</v>
      </c>
      <c r="P691" s="14"/>
      <c r="Q691" s="9">
        <f ca="1">Q690-T691*Prices!C691</f>
        <v>1.0823858288577688</v>
      </c>
      <c r="R691" s="1">
        <f t="shared" ca="1" si="70"/>
        <v>9.5827302817076635E-3</v>
      </c>
      <c r="S691" s="9">
        <f ca="1">IF(Prices!C690&lt;OFFSET(Prices!C690,-S$3,0),1,-1)</f>
        <v>1</v>
      </c>
      <c r="T691" s="1">
        <f ca="1">IF(S691=1,T$3*Q690/Prices!C690,-T$3*R690)</f>
        <v>2.1333390402958192E-4</v>
      </c>
    </row>
    <row r="692" spans="1:20" x14ac:dyDescent="0.2">
      <c r="A692" s="4">
        <v>34474</v>
      </c>
      <c r="B692" s="9">
        <f ca="1">Prices!C691*(1+J692/(50*(ABS(O692)+ABS(T692)+0.0001)))</f>
        <v>103.23147117872061</v>
      </c>
      <c r="C692" s="21">
        <f t="shared" ca="1" si="65"/>
        <v>-1</v>
      </c>
      <c r="D692" s="9">
        <f ca="1">D691+C692*(Prices!C692-Prices!C691)/Prices!C691</f>
        <v>0.36853412014737597</v>
      </c>
      <c r="E692" s="9">
        <f t="shared" ca="1" si="66"/>
        <v>7.147754082895752E-3</v>
      </c>
      <c r="F692" s="9">
        <f t="shared" ca="1" si="67"/>
        <v>0.37568187423027172</v>
      </c>
      <c r="G692" s="13">
        <f ca="1">IF((Prices!C692-Prices!C691)*C692&gt;0,1,0)</f>
        <v>1</v>
      </c>
      <c r="H692" s="9">
        <f>ABS(Prices!C692-Prices!C691)/Prices!C691</f>
        <v>2.8754912297518581E-4</v>
      </c>
      <c r="I692" s="13"/>
      <c r="J692" s="1">
        <f t="shared" ca="1" si="68"/>
        <v>-5.7255629322880885E-4</v>
      </c>
      <c r="K692" s="9"/>
      <c r="L692" s="9">
        <f ca="1">L691-O692*Prices!C692</f>
        <v>1.3604673968345267</v>
      </c>
      <c r="M692" s="1">
        <f t="shared" ca="1" si="69"/>
        <v>7.0204412139121351E-3</v>
      </c>
      <c r="N692" s="9">
        <f ca="1">IF(Prices!D691&gt;OFFSET(Prices!D691,-$N$3,0),1,-1)</f>
        <v>-1</v>
      </c>
      <c r="O692" s="1">
        <f ca="1">IF(N692=1,O$3*L691/Prices!C691,-O$3*M691)</f>
        <v>-7.8004902376801501E-4</v>
      </c>
      <c r="P692" s="14"/>
      <c r="Q692" s="9">
        <f ca="1">Q691-T692*Prices!C692</f>
        <v>1.0607443370625296</v>
      </c>
      <c r="R692" s="1">
        <f t="shared" ca="1" si="70"/>
        <v>9.7902230122468691E-3</v>
      </c>
      <c r="S692" s="9">
        <f ca="1">IF(Prices!C691&lt;OFFSET(Prices!C691,-S$3,0),1,-1)</f>
        <v>1</v>
      </c>
      <c r="T692" s="1">
        <f ca="1">IF(S692=1,T$3*Q691/Prices!C691,-T$3*R691)</f>
        <v>2.0749273053920615E-4</v>
      </c>
    </row>
    <row r="693" spans="1:20" x14ac:dyDescent="0.2">
      <c r="A693" s="4">
        <v>34477</v>
      </c>
      <c r="B693" s="9">
        <f ca="1">Prices!C692*(1+J693/(50*(ABS(O693)+ABS(T693)+0.0001)))</f>
        <v>103.26546845865198</v>
      </c>
      <c r="C693" s="21">
        <f t="shared" ca="1" si="65"/>
        <v>-1</v>
      </c>
      <c r="D693" s="9">
        <f ca="1">D692+C693*(Prices!C693-Prices!C692)/Prices!C692</f>
        <v>0.36757534737652259</v>
      </c>
      <c r="E693" s="9">
        <f t="shared" ca="1" si="66"/>
        <v>8.1065268537491297E-3</v>
      </c>
      <c r="F693" s="9">
        <f t="shared" ca="1" si="67"/>
        <v>0.37568187423027172</v>
      </c>
      <c r="G693" s="13">
        <f ca="1">IF((Prices!C693-Prices!C692)*C693&gt;0,1,0)</f>
        <v>0</v>
      </c>
      <c r="H693" s="9">
        <f>ABS(Prices!C693-Prices!C692)/Prices!C692</f>
        <v>9.5877277085338957E-4</v>
      </c>
      <c r="I693" s="13"/>
      <c r="J693" s="1">
        <f t="shared" ca="1" si="68"/>
        <v>-4.9864156394873425E-4</v>
      </c>
      <c r="K693" s="9"/>
      <c r="L693" s="9">
        <f ca="1">L692-O693*Prices!C693</f>
        <v>1.4337608031077693</v>
      </c>
      <c r="M693" s="1">
        <f t="shared" ca="1" si="69"/>
        <v>6.3183970925209214E-3</v>
      </c>
      <c r="N693" s="9">
        <f ca="1">IF(Prices!D692&gt;OFFSET(Prices!D692,-$N$3,0),1,-1)</f>
        <v>-1</v>
      </c>
      <c r="O693" s="1">
        <f ca="1">IF(N693=1,O$3*L692/Prices!C692,-O$3*M692)</f>
        <v>-7.0204412139121357E-4</v>
      </c>
      <c r="P693" s="14"/>
      <c r="Q693" s="9">
        <f ca="1">Q692-T693*Prices!C693</f>
        <v>1.0395091100655347</v>
      </c>
      <c r="R693" s="1">
        <f t="shared" ca="1" si="70"/>
        <v>9.9936255696893486E-3</v>
      </c>
      <c r="S693" s="9">
        <f ca="1">IF(Prices!C692&lt;OFFSET(Prices!C692,-S$3,0),1,-1)</f>
        <v>1</v>
      </c>
      <c r="T693" s="1">
        <f ca="1">IF(S693=1,T$3*Q692/Prices!C692,-T$3*R692)</f>
        <v>2.0340255744247932E-4</v>
      </c>
    </row>
    <row r="694" spans="1:20" x14ac:dyDescent="0.2">
      <c r="A694" s="4">
        <v>34478</v>
      </c>
      <c r="B694" s="9">
        <f ca="1">Prices!C693*(1+J694/(50*(ABS(O694)+ABS(T694)+0.0001)))</f>
        <v>106.36315499337552</v>
      </c>
      <c r="C694" s="21">
        <f t="shared" ca="1" si="65"/>
        <v>1</v>
      </c>
      <c r="D694" s="9">
        <f ca="1">D693+C694*(Prices!C694-Prices!C693)/Prices!C693</f>
        <v>0.37064048147613937</v>
      </c>
      <c r="E694" s="9">
        <f t="shared" ca="1" si="66"/>
        <v>5.0413927541323456E-3</v>
      </c>
      <c r="F694" s="9">
        <f t="shared" ca="1" si="67"/>
        <v>0.37568187423027172</v>
      </c>
      <c r="G694" s="13">
        <f ca="1">IF((Prices!C694-Prices!C693)*C694&gt;0,1,0)</f>
        <v>1</v>
      </c>
      <c r="H694" s="9">
        <f>ABS(Prices!C694-Prices!C693)/Prices!C693</f>
        <v>3.0651340996167929E-3</v>
      </c>
      <c r="I694" s="13"/>
      <c r="J694" s="1">
        <f t="shared" ca="1" si="68"/>
        <v>1.5724737788514139E-3</v>
      </c>
      <c r="K694" s="9"/>
      <c r="L694" s="9">
        <f ca="1">L693-O694*Prices!C694</f>
        <v>1.2899452558841624</v>
      </c>
      <c r="M694" s="1">
        <f t="shared" ca="1" si="69"/>
        <v>7.6917311951145706E-3</v>
      </c>
      <c r="N694" s="9">
        <f ca="1">IF(Prices!D693&gt;OFFSET(Prices!D693,-$N$3,0),1,-1)</f>
        <v>1</v>
      </c>
      <c r="O694" s="1">
        <f ca="1">IF(N694=1,O$3*L693/Prices!C693,-O$3*M693)</f>
        <v>1.3733341025936488E-3</v>
      </c>
      <c r="P694" s="14"/>
      <c r="Q694" s="9">
        <f ca="1">Q693-T694*Prices!C694</f>
        <v>1.0186552031678215</v>
      </c>
      <c r="R694" s="1">
        <f t="shared" ca="1" si="70"/>
        <v>1.0192765245947115E-2</v>
      </c>
      <c r="S694" s="9">
        <f ca="1">IF(Prices!C693&lt;OFFSET(Prices!C693,-S$3,0),1,-1)</f>
        <v>1</v>
      </c>
      <c r="T694" s="1">
        <f ca="1">IF(S694=1,T$3*Q693/Prices!C693,-T$3*R693)</f>
        <v>1.9913967625776526E-4</v>
      </c>
    </row>
    <row r="695" spans="1:20" x14ac:dyDescent="0.2">
      <c r="A695" s="4">
        <v>34479</v>
      </c>
      <c r="B695" s="9">
        <f ca="1">Prices!C694*(1+J695/(50*(ABS(O695)+ABS(T695)+0.0001)))</f>
        <v>106.12196188756755</v>
      </c>
      <c r="C695" s="21">
        <f t="shared" ca="1" si="65"/>
        <v>1</v>
      </c>
      <c r="D695" s="9">
        <f ca="1">D694+C695*(Prices!C695-Prices!C694)/Prices!C694</f>
        <v>0.36758471371448931</v>
      </c>
      <c r="E695" s="9">
        <f t="shared" ca="1" si="66"/>
        <v>8.0971605157824089E-3</v>
      </c>
      <c r="F695" s="9">
        <f t="shared" ca="1" si="67"/>
        <v>0.37568187423027172</v>
      </c>
      <c r="G695" s="13">
        <f ca="1">IF((Prices!C695-Prices!C694)*C695&gt;0,1,0)</f>
        <v>0</v>
      </c>
      <c r="H695" s="9">
        <f>ABS(Prices!C695-Prices!C694)/Prices!C694</f>
        <v>3.0557677616500495E-3</v>
      </c>
      <c r="I695" s="13"/>
      <c r="J695" s="1">
        <f t="shared" ca="1" si="68"/>
        <v>1.0279487973386613E-3</v>
      </c>
      <c r="K695" s="9"/>
      <c r="L695" s="9">
        <f ca="1">L694-O695*Prices!C695</f>
        <v>1.1613449076084685</v>
      </c>
      <c r="M695" s="1">
        <f t="shared" ca="1" si="69"/>
        <v>8.9235352973721736E-3</v>
      </c>
      <c r="N695" s="9">
        <f ca="1">IF(Prices!D694&gt;OFFSET(Prices!D694,-$N$3,0),1,-1)</f>
        <v>1</v>
      </c>
      <c r="O695" s="1">
        <f ca="1">IF(N695=1,O$3*L694/Prices!C694,-O$3*M694)</f>
        <v>1.2318041022576036E-3</v>
      </c>
      <c r="P695" s="14"/>
      <c r="Q695" s="9">
        <f ca="1">Q694-T695*Prices!C695</f>
        <v>1.0399376970013592</v>
      </c>
      <c r="R695" s="1">
        <f t="shared" ca="1" si="70"/>
        <v>9.9889099410281727E-3</v>
      </c>
      <c r="S695" s="9">
        <f ca="1">IF(Prices!C694&lt;OFFSET(Prices!C694,-S$3,0),1,-1)</f>
        <v>-1</v>
      </c>
      <c r="T695" s="1">
        <f ca="1">IF(S695=1,T$3*Q694/Prices!C694,-T$3*R694)</f>
        <v>-2.038553049189423E-4</v>
      </c>
    </row>
    <row r="696" spans="1:20" x14ac:dyDescent="0.2">
      <c r="A696" s="4">
        <v>34480</v>
      </c>
      <c r="B696" s="9">
        <f ca="1">Prices!C695*(1+J696/(50*(ABS(O696)+ABS(T696)+0.0001)))</f>
        <v>102.48714842948824</v>
      </c>
      <c r="C696" s="21">
        <f t="shared" ca="1" si="65"/>
        <v>-1</v>
      </c>
      <c r="D696" s="9">
        <f ca="1">D695+C696*(Prices!C696-Prices!C695)/Prices!C695</f>
        <v>0.36490272137732455</v>
      </c>
      <c r="E696" s="9">
        <f t="shared" ca="1" si="66"/>
        <v>1.0779152852947171E-2</v>
      </c>
      <c r="F696" s="9">
        <f t="shared" ca="1" si="67"/>
        <v>0.37568187423027172</v>
      </c>
      <c r="G696" s="13">
        <f ca="1">IF((Prices!C696-Prices!C695)*C696&gt;0,1,0)</f>
        <v>0</v>
      </c>
      <c r="H696" s="9">
        <f>ABS(Prices!C696-Prices!C695)/Prices!C695</f>
        <v>2.6819923371647616E-3</v>
      </c>
      <c r="I696" s="13"/>
      <c r="J696" s="1">
        <f t="shared" ca="1" si="68"/>
        <v>-1.0921317285577808E-3</v>
      </c>
      <c r="K696" s="9"/>
      <c r="L696" s="9">
        <f ca="1">L695-O696*Prices!C696</f>
        <v>1.2547564751013605</v>
      </c>
      <c r="M696" s="1">
        <f t="shared" ca="1" si="69"/>
        <v>8.0311817676349557E-3</v>
      </c>
      <c r="N696" s="9">
        <f ca="1">IF(Prices!D695&gt;OFFSET(Prices!D695,-$N$3,0),1,-1)</f>
        <v>-1</v>
      </c>
      <c r="O696" s="1">
        <f ca="1">IF(N696=1,O$3*L695/Prices!C695,-O$3*M695)</f>
        <v>-8.9235352973721744E-4</v>
      </c>
      <c r="P696" s="14"/>
      <c r="Q696" s="9">
        <f ca="1">Q695-T696*Prices!C696</f>
        <v>1.0608504788538957</v>
      </c>
      <c r="R696" s="1">
        <f t="shared" ca="1" si="70"/>
        <v>9.7891317422076091E-3</v>
      </c>
      <c r="S696" s="9">
        <f ca="1">IF(Prices!C695&lt;OFFSET(Prices!C695,-S$3,0),1,-1)</f>
        <v>-1</v>
      </c>
      <c r="T696" s="1">
        <f ca="1">IF(S696=1,T$3*Q695/Prices!C695,-T$3*R695)</f>
        <v>-1.9977819882056346E-4</v>
      </c>
    </row>
    <row r="697" spans="1:20" x14ac:dyDescent="0.2">
      <c r="A697" s="4">
        <v>34481</v>
      </c>
      <c r="B697" s="9">
        <f ca="1">Prices!C696*(1+J697/(50*(ABS(O697)+ABS(T697)+0.0001)))</f>
        <v>102.77691764980838</v>
      </c>
      <c r="C697" s="21">
        <f t="shared" ca="1" si="65"/>
        <v>-1</v>
      </c>
      <c r="D697" s="9">
        <f ca="1">D696+C697*(Prices!C697-Prices!C696)/Prices!C696</f>
        <v>0.36853283219123367</v>
      </c>
      <c r="E697" s="9">
        <f t="shared" ca="1" si="66"/>
        <v>7.1490420390380449E-3</v>
      </c>
      <c r="F697" s="9">
        <f t="shared" ca="1" si="67"/>
        <v>0.37568187423027172</v>
      </c>
      <c r="G697" s="13">
        <f ca="1">IF((Prices!C697-Prices!C696)*C697&gt;0,1,0)</f>
        <v>1</v>
      </c>
      <c r="H697" s="9">
        <f>ABS(Prices!C697-Prices!C696)/Prices!C696</f>
        <v>3.6301108139091482E-3</v>
      </c>
      <c r="I697" s="13"/>
      <c r="J697" s="1">
        <f t="shared" ca="1" si="68"/>
        <v>-9.9890081160764767E-4</v>
      </c>
      <c r="K697" s="9"/>
      <c r="L697" s="9">
        <f ca="1">L696-O697*Prices!C697</f>
        <v>1.338521700937793</v>
      </c>
      <c r="M697" s="1">
        <f t="shared" ca="1" si="69"/>
        <v>7.2280635908714601E-3</v>
      </c>
      <c r="N697" s="9">
        <f ca="1">IF(Prices!D696&gt;OFFSET(Prices!D696,-$N$3,0),1,-1)</f>
        <v>-1</v>
      </c>
      <c r="O697" s="1">
        <f ca="1">IF(N697=1,O$3*L696/Prices!C696,-O$3*M696)</f>
        <v>-8.0311817676349557E-4</v>
      </c>
      <c r="P697" s="14"/>
      <c r="Q697" s="9">
        <f ca="1">Q696-T697*Prices!C697</f>
        <v>1.0812706076681409</v>
      </c>
      <c r="R697" s="1">
        <f t="shared" ca="1" si="70"/>
        <v>9.5933491073634577E-3</v>
      </c>
      <c r="S697" s="9">
        <f ca="1">IF(Prices!C696&lt;OFFSET(Prices!C696,-S$3,0),1,-1)</f>
        <v>-1</v>
      </c>
      <c r="T697" s="1">
        <f ca="1">IF(S697=1,T$3*Q696/Prices!C696,-T$3*R696)</f>
        <v>-1.9578263484415219E-4</v>
      </c>
    </row>
    <row r="698" spans="1:20" x14ac:dyDescent="0.2">
      <c r="A698" s="4">
        <v>34484</v>
      </c>
      <c r="B698" s="9">
        <f ca="1">Prices!C697*(1+J698/(50*(ABS(O698)+ABS(T698)+0.0001)))</f>
        <v>103.25619946416366</v>
      </c>
      <c r="C698" s="21">
        <f t="shared" ca="1" si="65"/>
        <v>-1</v>
      </c>
      <c r="D698" s="9">
        <f ca="1">D697+C698*(Prices!C698-Prices!C697)/Prices!C697</f>
        <v>0.36594414570992978</v>
      </c>
      <c r="E698" s="9">
        <f t="shared" ca="1" si="66"/>
        <v>9.7377285203419373E-3</v>
      </c>
      <c r="F698" s="9">
        <f t="shared" ca="1" si="67"/>
        <v>0.37568187423027172</v>
      </c>
      <c r="G698" s="13">
        <f ca="1">IF((Prices!C698-Prices!C697)*C698&gt;0,1,0)</f>
        <v>0</v>
      </c>
      <c r="H698" s="9">
        <f>ABS(Prices!C698-Prices!C697)/Prices!C697</f>
        <v>2.5886864813038928E-3</v>
      </c>
      <c r="I698" s="13"/>
      <c r="J698" s="1">
        <f t="shared" ca="1" si="68"/>
        <v>-5.1546779577590137E-4</v>
      </c>
      <c r="K698" s="9"/>
      <c r="L698" s="9">
        <f ca="1">L697-O698*Prices!C698</f>
        <v>1.4141055619075358</v>
      </c>
      <c r="M698" s="1">
        <f t="shared" ca="1" si="69"/>
        <v>6.5052572317843144E-3</v>
      </c>
      <c r="N698" s="9">
        <f ca="1">IF(Prices!D697&gt;OFFSET(Prices!D697,-$N$3,0),1,-1)</f>
        <v>-1</v>
      </c>
      <c r="O698" s="1">
        <f ca="1">IF(N698=1,O$3*L697/Prices!C697,-O$3*M697)</f>
        <v>-7.2280635908714608E-4</v>
      </c>
      <c r="P698" s="14"/>
      <c r="Q698" s="9">
        <f ca="1">Q697-T698*Prices!C698</f>
        <v>1.0595892141026839</v>
      </c>
      <c r="R698" s="1">
        <f t="shared" ca="1" si="70"/>
        <v>9.8006876706747022E-3</v>
      </c>
      <c r="S698" s="9">
        <f ca="1">IF(Prices!C697&lt;OFFSET(Prices!C697,-S$3,0),1,-1)</f>
        <v>1</v>
      </c>
      <c r="T698" s="1">
        <f ca="1">IF(S698=1,T$3*Q697/Prices!C697,-T$3*R697)</f>
        <v>2.0733856331124468E-4</v>
      </c>
    </row>
    <row r="699" spans="1:20" x14ac:dyDescent="0.2">
      <c r="A699" s="4">
        <v>34485</v>
      </c>
      <c r="B699" s="9">
        <f ca="1">Prices!C698*(1+J699/(50*(ABS(O699)+ABS(T699)+0.0001)))</f>
        <v>106.53502849216777</v>
      </c>
      <c r="C699" s="21">
        <f t="shared" ca="1" si="65"/>
        <v>1</v>
      </c>
      <c r="D699" s="9">
        <f ca="1">D698+C699*(Prices!C699-Prices!C698)/Prices!C698</f>
        <v>0.36795236986599755</v>
      </c>
      <c r="E699" s="9">
        <f t="shared" ca="1" si="66"/>
        <v>7.7295043642741645E-3</v>
      </c>
      <c r="F699" s="9">
        <f t="shared" ca="1" si="67"/>
        <v>0.37568187423027172</v>
      </c>
      <c r="G699" s="13">
        <f ca="1">IF((Prices!C699-Prices!C698)*C699&gt;0,1,0)</f>
        <v>1</v>
      </c>
      <c r="H699" s="9">
        <f>ABS(Prices!C699-Prices!C698)/Prices!C698</f>
        <v>2.0082241560677823E-3</v>
      </c>
      <c r="I699" s="13"/>
      <c r="J699" s="1">
        <f t="shared" ca="1" si="68"/>
        <v>1.5549616570030341E-3</v>
      </c>
      <c r="K699" s="9"/>
      <c r="L699" s="9">
        <f ca="1">L698-O699*Prices!C699</f>
        <v>1.2724110216219169</v>
      </c>
      <c r="M699" s="1">
        <f t="shared" ca="1" si="69"/>
        <v>7.8575624454283195E-3</v>
      </c>
      <c r="N699" s="9">
        <f ca="1">IF(Prices!D698&gt;OFFSET(Prices!D698,-$N$3,0),1,-1)</f>
        <v>1</v>
      </c>
      <c r="O699" s="1">
        <f ca="1">IF(N699=1,O$3*L698/Prices!C698,-O$3*M698)</f>
        <v>1.3523052136440049E-3</v>
      </c>
      <c r="P699" s="14"/>
      <c r="Q699" s="9">
        <f ca="1">Q698-T699*Prices!C699</f>
        <v>1.0383548719675249</v>
      </c>
      <c r="R699" s="1">
        <f t="shared" ca="1" si="70"/>
        <v>1.0003344114033731E-2</v>
      </c>
      <c r="S699" s="9">
        <f ca="1">IF(Prices!C698&lt;OFFSET(Prices!C698,-S$3,0),1,-1)</f>
        <v>1</v>
      </c>
      <c r="T699" s="1">
        <f ca="1">IF(S699=1,T$3*Q698/Prices!C698,-T$3*R698)</f>
        <v>2.0265644335902916E-4</v>
      </c>
    </row>
    <row r="700" spans="1:20" x14ac:dyDescent="0.2">
      <c r="A700" s="4">
        <v>34486</v>
      </c>
      <c r="B700" s="9">
        <f ca="1">Prices!C699*(1+J700/(50*(ABS(O700)+ABS(T700)+0.0001)))</f>
        <v>106.18353801798949</v>
      </c>
      <c r="C700" s="21">
        <f t="shared" ca="1" si="65"/>
        <v>1</v>
      </c>
      <c r="D700" s="9">
        <f ca="1">D699+C700*(Prices!C700-Prices!C699)/Prices!C699</f>
        <v>0.36556641834853237</v>
      </c>
      <c r="E700" s="9">
        <f t="shared" ca="1" si="66"/>
        <v>1.0115455881739344E-2</v>
      </c>
      <c r="F700" s="9">
        <f t="shared" ca="1" si="67"/>
        <v>0.37568187423027172</v>
      </c>
      <c r="G700" s="13">
        <f ca="1">IF((Prices!C700-Prices!C699)*C700&gt;0,1,0)</f>
        <v>0</v>
      </c>
      <c r="H700" s="9">
        <f>ABS(Prices!C700-Prices!C699)/Prices!C699</f>
        <v>2.3859515174651652E-3</v>
      </c>
      <c r="I700" s="13"/>
      <c r="J700" s="1">
        <f t="shared" ca="1" si="68"/>
        <v>1.0142975208706109E-3</v>
      </c>
      <c r="K700" s="9"/>
      <c r="L700" s="9">
        <f ca="1">L699-O700*Prices!C700</f>
        <v>1.1454735105605129</v>
      </c>
      <c r="M700" s="1">
        <f t="shared" ca="1" si="69"/>
        <v>9.0719268485796051E-3</v>
      </c>
      <c r="N700" s="9">
        <f ca="1">IF(Prices!D699&gt;OFFSET(Prices!D699,-$N$3,0),1,-1)</f>
        <v>1</v>
      </c>
      <c r="O700" s="1">
        <f ca="1">IF(N700=1,O$3*L699/Prices!C699,-O$3*M699)</f>
        <v>1.2143644031512855E-3</v>
      </c>
      <c r="P700" s="14"/>
      <c r="Q700" s="9">
        <f ca="1">Q699-T700*Prices!C700</f>
        <v>1.0592678631723238</v>
      </c>
      <c r="R700" s="1">
        <f t="shared" ca="1" si="70"/>
        <v>9.8032772317530568E-3</v>
      </c>
      <c r="S700" s="9">
        <f ca="1">IF(Prices!C699&lt;OFFSET(Prices!C699,-S$3,0),1,-1)</f>
        <v>-1</v>
      </c>
      <c r="T700" s="1">
        <f ca="1">IF(S700=1,T$3*Q699/Prices!C699,-T$3*R699)</f>
        <v>-2.0006688228067462E-4</v>
      </c>
    </row>
    <row r="701" spans="1:20" x14ac:dyDescent="0.2">
      <c r="A701" s="4">
        <v>34487</v>
      </c>
      <c r="B701" s="9">
        <f ca="1">Prices!C700*(1+J701/(50*(ABS(O701)+ABS(T701)+0.0001)))</f>
        <v>103.31261653416924</v>
      </c>
      <c r="C701" s="21">
        <f t="shared" ca="1" si="65"/>
        <v>-1</v>
      </c>
      <c r="D701" s="9">
        <f ca="1">D700+C701*(Prices!C701-Prices!C700)/Prices!C700</f>
        <v>0.36250509624004684</v>
      </c>
      <c r="E701" s="9">
        <f t="shared" ca="1" si="66"/>
        <v>1.3176777990224875E-2</v>
      </c>
      <c r="F701" s="9">
        <f t="shared" ca="1" si="67"/>
        <v>0.37568187423027172</v>
      </c>
      <c r="G701" s="13">
        <f ca="1">IF((Prices!C701-Prices!C700)*C701&gt;0,1,0)</f>
        <v>0</v>
      </c>
      <c r="H701" s="9">
        <f>ABS(Prices!C701-Prices!C700)/Prices!C700</f>
        <v>3.061322108485537E-3</v>
      </c>
      <c r="I701" s="13"/>
      <c r="J701" s="1">
        <f t="shared" ca="1" si="68"/>
        <v>-7.0452017683685195E-4</v>
      </c>
      <c r="K701" s="9"/>
      <c r="L701" s="9">
        <f ca="1">L700-O701*Prices!C701</f>
        <v>1.2405926635678701</v>
      </c>
      <c r="M701" s="1">
        <f t="shared" ca="1" si="69"/>
        <v>8.1647341637216438E-3</v>
      </c>
      <c r="N701" s="9">
        <f ca="1">IF(Prices!D700&gt;OFFSET(Prices!D700,-$N$3,0),1,-1)</f>
        <v>-1</v>
      </c>
      <c r="O701" s="1">
        <f ca="1">IF(N701=1,O$3*L700/Prices!C700,-O$3*M700)</f>
        <v>-9.0719268485796051E-4</v>
      </c>
      <c r="P701" s="14"/>
      <c r="Q701" s="9">
        <f ca="1">Q700-T701*Prices!C701</f>
        <v>1.0380176507063106</v>
      </c>
      <c r="R701" s="1">
        <f t="shared" ca="1" si="70"/>
        <v>1.0005949739774166E-2</v>
      </c>
      <c r="S701" s="9">
        <f ca="1">IF(Prices!C700&lt;OFFSET(Prices!C700,-S$3,0),1,-1)</f>
        <v>1</v>
      </c>
      <c r="T701" s="1">
        <f ca="1">IF(S701=1,T$3*Q700/Prices!C700,-T$3*R700)</f>
        <v>2.0267250802110854E-4</v>
      </c>
    </row>
    <row r="702" spans="1:20" x14ac:dyDescent="0.2">
      <c r="A702" s="4">
        <v>34488</v>
      </c>
      <c r="B702" s="9">
        <f ca="1">Prices!C701*(1+J702/(50*(ABS(O702)+ABS(T702)+0.0001)))</f>
        <v>102.94080353323439</v>
      </c>
      <c r="C702" s="21">
        <f t="shared" ca="1" si="65"/>
        <v>-1</v>
      </c>
      <c r="D702" s="9">
        <f ca="1">D701+C702*(Prices!C702-Prices!C701)/Prices!C701</f>
        <v>0.35678263558196377</v>
      </c>
      <c r="E702" s="9">
        <f t="shared" ca="1" si="66"/>
        <v>1.8899238648307948E-2</v>
      </c>
      <c r="F702" s="9">
        <f t="shared" ca="1" si="67"/>
        <v>0.37568187423027172</v>
      </c>
      <c r="G702" s="13">
        <f ca="1">IF((Prices!C702-Prices!C701)*C702&gt;0,1,0)</f>
        <v>0</v>
      </c>
      <c r="H702" s="9">
        <f>ABS(Prices!C702-Prices!C701)/Prices!C701</f>
        <v>5.7224606580830572E-3</v>
      </c>
      <c r="I702" s="13"/>
      <c r="J702" s="1">
        <f t="shared" ca="1" si="68"/>
        <v>-1.0165924111676479E-3</v>
      </c>
      <c r="K702" s="9"/>
      <c r="L702" s="9">
        <f ca="1">L701-O702*Prices!C702</f>
        <v>1.3266897853243149</v>
      </c>
      <c r="M702" s="1">
        <f t="shared" ca="1" si="69"/>
        <v>7.3482607473494797E-3</v>
      </c>
      <c r="N702" s="9">
        <f ca="1">IF(Prices!D701&gt;OFFSET(Prices!D701,-$N$3,0),1,-1)</f>
        <v>-1</v>
      </c>
      <c r="O702" s="1">
        <f ca="1">IF(N702=1,O$3*L701/Prices!C701,-O$3*M701)</f>
        <v>-8.1647341637216446E-4</v>
      </c>
      <c r="P702" s="14"/>
      <c r="Q702" s="9">
        <f ca="1">Q701-T702*Prices!C702</f>
        <v>1.0591201987074943</v>
      </c>
      <c r="R702" s="1">
        <f t="shared" ca="1" si="70"/>
        <v>9.8058307449786827E-3</v>
      </c>
      <c r="S702" s="9">
        <f ca="1">IF(Prices!C701&lt;OFFSET(Prices!C701,-S$3,0),1,-1)</f>
        <v>-1</v>
      </c>
      <c r="T702" s="1">
        <f ca="1">IF(S702=1,T$3*Q701/Prices!C701,-T$3*R701)</f>
        <v>-2.0011899479548332E-4</v>
      </c>
    </row>
    <row r="703" spans="1:20" x14ac:dyDescent="0.2">
      <c r="A703" s="4">
        <v>34491</v>
      </c>
      <c r="B703" s="9">
        <f ca="1">Prices!C702*(1+J703/(50*(ABS(O703)+ABS(T703)+0.0001)))</f>
        <v>103.54557005236127</v>
      </c>
      <c r="C703" s="21">
        <f t="shared" ca="1" si="65"/>
        <v>-1</v>
      </c>
      <c r="D703" s="9">
        <f ca="1">D702+C703*(Prices!C703-Prices!C702)/Prices!C702</f>
        <v>0.3582999423624284</v>
      </c>
      <c r="E703" s="9">
        <f t="shared" ca="1" si="66"/>
        <v>1.7381931867843314E-2</v>
      </c>
      <c r="F703" s="9">
        <f t="shared" ca="1" si="67"/>
        <v>0.37568187423027172</v>
      </c>
      <c r="G703" s="13">
        <f ca="1">IF((Prices!C703-Prices!C702)*C703&gt;0,1,0)</f>
        <v>1</v>
      </c>
      <c r="H703" s="9">
        <f>ABS(Prices!C703-Prices!C702)/Prices!C702</f>
        <v>1.5173067804646427E-3</v>
      </c>
      <c r="I703" s="13"/>
      <c r="J703" s="1">
        <f t="shared" ca="1" si="68"/>
        <v>-9.3094268963452161E-4</v>
      </c>
      <c r="K703" s="9"/>
      <c r="L703" s="9">
        <f ca="1">L702-O703*Prices!C703</f>
        <v>1.4040596227331577</v>
      </c>
      <c r="M703" s="1">
        <f t="shared" ca="1" si="69"/>
        <v>6.6134346726145314E-3</v>
      </c>
      <c r="N703" s="9">
        <f ca="1">IF(Prices!D702&gt;OFFSET(Prices!D702,-$N$3,0),1,-1)</f>
        <v>-1</v>
      </c>
      <c r="O703" s="1">
        <f ca="1">IF(N703=1,O$3*L702/Prices!C702,-O$3*M702)</f>
        <v>-7.3482607473494799E-4</v>
      </c>
      <c r="P703" s="14"/>
      <c r="Q703" s="9">
        <f ca="1">Q702-T703*Prices!C703</f>
        <v>1.0797693170902705</v>
      </c>
      <c r="R703" s="1">
        <f t="shared" ca="1" si="70"/>
        <v>9.609714130079109E-3</v>
      </c>
      <c r="S703" s="9">
        <f ca="1">IF(Prices!C702&lt;OFFSET(Prices!C702,-S$3,0),1,-1)</f>
        <v>-1</v>
      </c>
      <c r="T703" s="1">
        <f ca="1">IF(S703=1,T$3*Q702/Prices!C702,-T$3*R702)</f>
        <v>-1.9611661489957365E-4</v>
      </c>
    </row>
    <row r="704" spans="1:20" x14ac:dyDescent="0.2">
      <c r="A704" s="4">
        <v>34492</v>
      </c>
      <c r="B704" s="9">
        <f ca="1">Prices!C703*(1+J704/(50*(ABS(O704)+ABS(T704)+0.0001)))</f>
        <v>103.40504075856488</v>
      </c>
      <c r="C704" s="21">
        <f t="shared" ca="1" si="65"/>
        <v>-1</v>
      </c>
      <c r="D704" s="9">
        <f ca="1">D703+C704*(Prices!C704-Prices!C703)/Prices!C703</f>
        <v>0.36893722985411809</v>
      </c>
      <c r="E704" s="9">
        <f t="shared" ca="1" si="66"/>
        <v>6.7446443761536301E-3</v>
      </c>
      <c r="F704" s="9">
        <f t="shared" ca="1" si="67"/>
        <v>0.37568187423027172</v>
      </c>
      <c r="G704" s="13">
        <f ca="1">IF((Prices!C704-Prices!C703)*C704&gt;0,1,0)</f>
        <v>1</v>
      </c>
      <c r="H704" s="9">
        <f>ABS(Prices!C704-Prices!C703)/Prices!C703</f>
        <v>1.0637287491689662E-2</v>
      </c>
      <c r="I704" s="13"/>
      <c r="J704" s="1">
        <f t="shared" ca="1" si="68"/>
        <v>-8.535377498630353E-4</v>
      </c>
      <c r="K704" s="9"/>
      <c r="L704" s="9">
        <f ca="1">L703-O704*Prices!C704</f>
        <v>1.4729517717177831</v>
      </c>
      <c r="M704" s="1">
        <f t="shared" ca="1" si="69"/>
        <v>5.9520912053530779E-3</v>
      </c>
      <c r="N704" s="9">
        <f ca="1">IF(Prices!D703&gt;OFFSET(Prices!D703,-$N$3,0),1,-1)</f>
        <v>-1</v>
      </c>
      <c r="O704" s="1">
        <f ca="1">IF(N704=1,O$3*L703/Prices!C703,-O$3*M703)</f>
        <v>-6.6134346726145316E-4</v>
      </c>
      <c r="P704" s="14"/>
      <c r="Q704" s="9">
        <f ca="1">Q703-T704*Prices!C704</f>
        <v>1.0997901955088774</v>
      </c>
      <c r="R704" s="1">
        <f t="shared" ca="1" si="70"/>
        <v>9.4175198474775266E-3</v>
      </c>
      <c r="S704" s="9">
        <f ca="1">IF(Prices!C703&lt;OFFSET(Prices!C703,-S$3,0),1,-1)</f>
        <v>-1</v>
      </c>
      <c r="T704" s="1">
        <f ca="1">IF(S704=1,T$3*Q703/Prices!C703,-T$3*R703)</f>
        <v>-1.9219428260158219E-4</v>
      </c>
    </row>
    <row r="705" spans="1:20" x14ac:dyDescent="0.2">
      <c r="A705" s="4">
        <v>34493</v>
      </c>
      <c r="B705" s="9">
        <f ca="1">Prices!C704*(1+J705/(50*(ABS(O705)+ABS(T705)+0.0001)))</f>
        <v>103.28719320552386</v>
      </c>
      <c r="C705" s="21">
        <f t="shared" ca="1" si="65"/>
        <v>-1</v>
      </c>
      <c r="D705" s="9">
        <f ca="1">D704+C705*(Prices!C705-Prices!C704)/Prices!C704</f>
        <v>0.3705691776317892</v>
      </c>
      <c r="E705" s="9">
        <f t="shared" ca="1" si="66"/>
        <v>5.1126965984825135E-3</v>
      </c>
      <c r="F705" s="9">
        <f t="shared" ca="1" si="67"/>
        <v>0.37568187423027172</v>
      </c>
      <c r="G705" s="13">
        <f ca="1">IF((Prices!C705-Prices!C704)*C705&gt;0,1,0)</f>
        <v>1</v>
      </c>
      <c r="H705" s="9">
        <f>ABS(Prices!C705-Prices!C704)/Prices!C704</f>
        <v>1.631947777671131E-3</v>
      </c>
      <c r="I705" s="13"/>
      <c r="J705" s="1">
        <f t="shared" ca="1" si="68"/>
        <v>-3.8405615989234396E-4</v>
      </c>
      <c r="K705" s="9"/>
      <c r="L705" s="9">
        <f ca="1">L704-O705*Prices!C705</f>
        <v>1.5348535202534552</v>
      </c>
      <c r="M705" s="1">
        <f t="shared" ca="1" si="69"/>
        <v>5.3568820848177703E-3</v>
      </c>
      <c r="N705" s="9">
        <f ca="1">IF(Prices!D704&gt;OFFSET(Prices!D704,-$N$3,0),1,-1)</f>
        <v>-1</v>
      </c>
      <c r="O705" s="1">
        <f ca="1">IF(N705=1,O$3*L704/Prices!C704,-O$3*M704)</f>
        <v>-5.9520912053530784E-4</v>
      </c>
      <c r="P705" s="14"/>
      <c r="Q705" s="9">
        <f ca="1">Q704-T705*Prices!C705</f>
        <v>1.0778302876020092</v>
      </c>
      <c r="R705" s="1">
        <f t="shared" ca="1" si="70"/>
        <v>9.6286728081204902E-3</v>
      </c>
      <c r="S705" s="9">
        <f ca="1">IF(Prices!C704&lt;OFFSET(Prices!C704,-S$3,0),1,-1)</f>
        <v>1</v>
      </c>
      <c r="T705" s="1">
        <f ca="1">IF(S705=1,T$3*Q704/Prices!C704,-T$3*R704)</f>
        <v>2.111529606429639E-4</v>
      </c>
    </row>
    <row r="706" spans="1:20" x14ac:dyDescent="0.2">
      <c r="A706" s="4">
        <v>34494</v>
      </c>
      <c r="B706" s="9">
        <f ca="1">Prices!C705*(1+J706/(50*(ABS(O706)+ABS(T706)+0.0001)))</f>
        <v>105.96334894508627</v>
      </c>
      <c r="C706" s="21">
        <f t="shared" ca="1" si="65"/>
        <v>1</v>
      </c>
      <c r="D706" s="9">
        <f ca="1">D705+C706*(Prices!C706-Prices!C705)/Prices!C705</f>
        <v>0.37008840840101997</v>
      </c>
      <c r="E706" s="9">
        <f t="shared" ca="1" si="66"/>
        <v>5.5934658292517425E-3</v>
      </c>
      <c r="F706" s="9">
        <f t="shared" ca="1" si="67"/>
        <v>0.37568187423027172</v>
      </c>
      <c r="G706" s="13">
        <f ca="1">IF((Prices!C706-Prices!C705)*C706&gt;0,1,0)</f>
        <v>0</v>
      </c>
      <c r="H706" s="9">
        <f>ABS(Prices!C706-Prices!C705)/Prices!C705</f>
        <v>4.8076923076920342E-4</v>
      </c>
      <c r="I706" s="13"/>
      <c r="J706" s="1">
        <f t="shared" ca="1" si="68"/>
        <v>1.683095747859478E-3</v>
      </c>
      <c r="K706" s="9"/>
      <c r="L706" s="9">
        <f ca="1">L705-O706*Prices!C706</f>
        <v>1.3814419592627374</v>
      </c>
      <c r="M706" s="1">
        <f t="shared" ca="1" si="69"/>
        <v>6.8327027773691694E-3</v>
      </c>
      <c r="N706" s="9">
        <f ca="1">IF(Prices!D705&gt;OFFSET(Prices!D705,-$N$3,0),1,-1)</f>
        <v>1</v>
      </c>
      <c r="O706" s="1">
        <f ca="1">IF(N706=1,O$3*L705/Prices!C705,-O$3*M705)</f>
        <v>1.4758206925513993E-3</v>
      </c>
      <c r="P706" s="14"/>
      <c r="Q706" s="9">
        <f ca="1">Q705-T706*Prices!C706</f>
        <v>1.0562840456027345</v>
      </c>
      <c r="R706" s="1">
        <f t="shared" ca="1" si="70"/>
        <v>9.8359478634285694E-3</v>
      </c>
      <c r="S706" s="9">
        <f ca="1">IF(Prices!C705&lt;OFFSET(Prices!C705,-S$3,0),1,-1)</f>
        <v>1</v>
      </c>
      <c r="T706" s="1">
        <f ca="1">IF(S706=1,T$3*Q705/Prices!C705,-T$3*R705)</f>
        <v>2.0727505530807868E-4</v>
      </c>
    </row>
    <row r="707" spans="1:20" x14ac:dyDescent="0.2">
      <c r="A707" s="4">
        <v>34495</v>
      </c>
      <c r="B707" s="9">
        <f ca="1">Prices!C706*(1+J707/(50*(ABS(O707)+ABS(T707)+0.0001)))</f>
        <v>105.90162416710683</v>
      </c>
      <c r="C707" s="21">
        <f t="shared" ca="1" si="65"/>
        <v>1</v>
      </c>
      <c r="D707" s="9">
        <f ca="1">D706+C707*(Prices!C707-Prices!C706)/Prices!C706</f>
        <v>0.36672140503401651</v>
      </c>
      <c r="E707" s="9">
        <f t="shared" ca="1" si="66"/>
        <v>8.9604691962552052E-3</v>
      </c>
      <c r="F707" s="9">
        <f t="shared" ca="1" si="67"/>
        <v>0.37568187423027172</v>
      </c>
      <c r="G707" s="13">
        <f ca="1">IF((Prices!C707-Prices!C706)*C707&gt;0,1,0)</f>
        <v>0</v>
      </c>
      <c r="H707" s="9">
        <f>ABS(Prices!C707-Prices!C706)/Prices!C706</f>
        <v>3.3670033670034488E-3</v>
      </c>
      <c r="I707" s="13"/>
      <c r="J707" s="1">
        <f t="shared" ca="1" si="68"/>
        <v>1.5321777473624669E-3</v>
      </c>
      <c r="K707" s="9"/>
      <c r="L707" s="9">
        <f ca="1">L706-O707*Prices!C707</f>
        <v>1.2437628953092794</v>
      </c>
      <c r="M707" s="1">
        <f t="shared" ca="1" si="69"/>
        <v>8.1616512711284173E-3</v>
      </c>
      <c r="N707" s="9">
        <f ca="1">IF(Prices!D706&gt;OFFSET(Prices!D706,-$N$3,0),1,-1)</f>
        <v>1</v>
      </c>
      <c r="O707" s="1">
        <f ca="1">IF(N707=1,O$3*L706/Prices!C706,-O$3*M706)</f>
        <v>1.3289484937592472E-3</v>
      </c>
      <c r="P707" s="14"/>
      <c r="Q707" s="9">
        <f ca="1">Q706-T707*Prices!C707</f>
        <v>1.0352294949294409</v>
      </c>
      <c r="R707" s="1">
        <f t="shared" ca="1" si="70"/>
        <v>1.0039177117031789E-2</v>
      </c>
      <c r="S707" s="9">
        <f ca="1">IF(Prices!C706&lt;OFFSET(Prices!C706,-S$3,0),1,-1)</f>
        <v>1</v>
      </c>
      <c r="T707" s="1">
        <f ca="1">IF(S707=1,T$3*Q706/Prices!C706,-T$3*R706)</f>
        <v>2.032292536032197E-4</v>
      </c>
    </row>
    <row r="708" spans="1:20" x14ac:dyDescent="0.2">
      <c r="A708" s="4">
        <v>34498</v>
      </c>
      <c r="B708" s="9">
        <f ca="1">Prices!C707*(1+J708/(50*(ABS(O708)+ABS(T708)+0.0001)))</f>
        <v>105.53390299438099</v>
      </c>
      <c r="C708" s="21">
        <f t="shared" ca="1" si="65"/>
        <v>1</v>
      </c>
      <c r="D708" s="9">
        <f ca="1">D707+C708*(Prices!C708-Prices!C707)/Prices!C707</f>
        <v>0.35996464827725988</v>
      </c>
      <c r="E708" s="9">
        <f t="shared" ca="1" si="66"/>
        <v>1.5717225953011837E-2</v>
      </c>
      <c r="F708" s="9">
        <f t="shared" ca="1" si="67"/>
        <v>0.37568187423027172</v>
      </c>
      <c r="G708" s="13">
        <f ca="1">IF((Prices!C708-Prices!C707)*C708&gt;0,1,0)</f>
        <v>0</v>
      </c>
      <c r="H708" s="9">
        <f>ABS(Prices!C708-Prices!C707)/Prices!C707</f>
        <v>6.756756756756647E-3</v>
      </c>
      <c r="I708" s="13"/>
      <c r="J708" s="1">
        <f t="shared" ca="1" si="68"/>
        <v>1.4003945890879996E-3</v>
      </c>
      <c r="K708" s="9"/>
      <c r="L708" s="9">
        <f ca="1">L707-O708*Prices!C708</f>
        <v>1.1202269861130199</v>
      </c>
      <c r="M708" s="1">
        <f t="shared" ca="1" si="69"/>
        <v>9.3621946063690339E-3</v>
      </c>
      <c r="N708" s="9">
        <f ca="1">IF(Prices!D707&gt;OFFSET(Prices!D707,-$N$3,0),1,-1)</f>
        <v>1</v>
      </c>
      <c r="O708" s="1">
        <f ca="1">IF(N708=1,O$3*L707/Prices!C707,-O$3*M707)</f>
        <v>1.2005433352406173E-3</v>
      </c>
      <c r="P708" s="14"/>
      <c r="Q708" s="9">
        <f ca="1">Q707-T708*Prices!C708</f>
        <v>1.0146648009085453</v>
      </c>
      <c r="R708" s="1">
        <f t="shared" ca="1" si="70"/>
        <v>1.0239028370879172E-2</v>
      </c>
      <c r="S708" s="9">
        <f ca="1">IF(Prices!C707&lt;OFFSET(Prices!C707,-S$3,0),1,-1)</f>
        <v>1</v>
      </c>
      <c r="T708" s="1">
        <f ca="1">IF(S708=1,T$3*Q707/Prices!C707,-T$3*R707)</f>
        <v>1.9985125384738245E-4</v>
      </c>
    </row>
    <row r="709" spans="1:20" x14ac:dyDescent="0.2">
      <c r="A709" s="4">
        <v>34499</v>
      </c>
      <c r="B709" s="9">
        <f ca="1">Prices!C708*(1+J709/(50*(ABS(O709)+ABS(T709)+0.0001)))</f>
        <v>104.80950119351559</v>
      </c>
      <c r="C709" s="21">
        <f t="shared" ca="1" si="65"/>
        <v>1</v>
      </c>
      <c r="D709" s="9">
        <f ca="1">D708+C709*(Prices!C709-Prices!C708)/Prices!C708</f>
        <v>0.35879846751924233</v>
      </c>
      <c r="E709" s="9">
        <f t="shared" ca="1" si="66"/>
        <v>1.6883406711029392E-2</v>
      </c>
      <c r="F709" s="9">
        <f t="shared" ca="1" si="67"/>
        <v>0.37568187423027172</v>
      </c>
      <c r="G709" s="13">
        <f ca="1">IF((Prices!C709-Prices!C708)*C709&gt;0,1,0)</f>
        <v>0</v>
      </c>
      <c r="H709" s="9">
        <f>ABS(Prices!C709-Prices!C708)/Prices!C708</f>
        <v>1.1661807580175369E-3</v>
      </c>
      <c r="I709" s="13"/>
      <c r="J709" s="1">
        <f t="shared" ca="1" si="68"/>
        <v>1.2858697242903098E-3</v>
      </c>
      <c r="K709" s="9"/>
      <c r="L709" s="9">
        <f ca="1">L708-O709*Prices!C709</f>
        <v>1.0083349262172996</v>
      </c>
      <c r="M709" s="1">
        <f t="shared" ca="1" si="69"/>
        <v>1.0450850569549811E-2</v>
      </c>
      <c r="N709" s="9">
        <f ca="1">IF(Prices!D708&gt;OFFSET(Prices!D708,-$N$3,0),1,-1)</f>
        <v>1</v>
      </c>
      <c r="O709" s="1">
        <f ca="1">IF(N709=1,O$3*L708/Prices!C708,-O$3*M708)</f>
        <v>1.0886559631807773E-3</v>
      </c>
      <c r="P709" s="14"/>
      <c r="Q709" s="9">
        <f ca="1">Q708-T709*Prices!C709</f>
        <v>0.99439517054170756</v>
      </c>
      <c r="R709" s="1">
        <f t="shared" ca="1" si="70"/>
        <v>1.0436242131988705E-2</v>
      </c>
      <c r="S709" s="9">
        <f ca="1">IF(Prices!C708&lt;OFFSET(Prices!C708,-S$3,0),1,-1)</f>
        <v>1</v>
      </c>
      <c r="T709" s="1">
        <f ca="1">IF(S709=1,T$3*Q708/Prices!C708,-T$3*R708)</f>
        <v>1.9721376110953259E-4</v>
      </c>
    </row>
    <row r="710" spans="1:20" x14ac:dyDescent="0.2">
      <c r="A710" s="4">
        <v>34500</v>
      </c>
      <c r="B710" s="9">
        <f ca="1">Prices!C709*(1+J710/(50*(ABS(O710)+ABS(T710)+0.0001)))</f>
        <v>101.47226157570162</v>
      </c>
      <c r="C710" s="21">
        <f t="shared" ca="1" si="65"/>
        <v>-1</v>
      </c>
      <c r="D710" s="9">
        <f ca="1">D709+C710*(Prices!C710-Prices!C709)/Prices!C709</f>
        <v>0.35860387713200748</v>
      </c>
      <c r="E710" s="9">
        <f t="shared" ca="1" si="66"/>
        <v>1.7077997098264242E-2</v>
      </c>
      <c r="F710" s="9">
        <f t="shared" ca="1" si="67"/>
        <v>0.37568187423027172</v>
      </c>
      <c r="G710" s="13">
        <f ca="1">IF((Prices!C710-Prices!C709)*C710&gt;0,1,0)</f>
        <v>0</v>
      </c>
      <c r="H710" s="9">
        <f>ABS(Prices!C710-Prices!C709)/Prices!C709</f>
        <v>1.9459038723483189E-4</v>
      </c>
      <c r="I710" s="13"/>
      <c r="J710" s="1">
        <f t="shared" ca="1" si="68"/>
        <v>-8.5158531565478505E-4</v>
      </c>
      <c r="K710" s="9"/>
      <c r="L710" s="9">
        <f ca="1">L709-O710*Prices!C710</f>
        <v>1.1157696700722717</v>
      </c>
      <c r="M710" s="1">
        <f t="shared" ca="1" si="69"/>
        <v>9.4057655125948294E-3</v>
      </c>
      <c r="N710" s="9">
        <f ca="1">IF(Prices!D709&gt;OFFSET(Prices!D709,-$N$3,0),1,-1)</f>
        <v>-1</v>
      </c>
      <c r="O710" s="1">
        <f ca="1">IF(N710=1,O$3*L709/Prices!C709,-O$3*M709)</f>
        <v>-1.0450850569549812E-3</v>
      </c>
      <c r="P710" s="14"/>
      <c r="Q710" s="9">
        <f ca="1">Q709-T710*Prices!C710</f>
        <v>0.97450339713604739</v>
      </c>
      <c r="R710" s="1">
        <f t="shared" ca="1" si="70"/>
        <v>1.0629741873288901E-2</v>
      </c>
      <c r="S710" s="9">
        <f ca="1">IF(Prices!C709&lt;OFFSET(Prices!C709,-S$3,0),1,-1)</f>
        <v>1</v>
      </c>
      <c r="T710" s="1">
        <f ca="1">IF(S710=1,T$3*Q709/Prices!C709,-T$3*R709)</f>
        <v>1.9349974130019609E-4</v>
      </c>
    </row>
    <row r="711" spans="1:20" x14ac:dyDescent="0.2">
      <c r="A711" s="4">
        <v>34501</v>
      </c>
      <c r="B711" s="9">
        <f ca="1">Prices!C710*(1+J711/(50*(ABS(O711)+ABS(T711)+0.0001)))</f>
        <v>104.70646959062505</v>
      </c>
      <c r="C711" s="21">
        <f t="shared" ca="1" si="65"/>
        <v>1</v>
      </c>
      <c r="D711" s="9">
        <f ca="1">D710+C711*(Prices!C711-Prices!C710)/Prices!C710</f>
        <v>0.36541321565340829</v>
      </c>
      <c r="E711" s="9">
        <f t="shared" ca="1" si="66"/>
        <v>1.0268658576863432E-2</v>
      </c>
      <c r="F711" s="9">
        <f t="shared" ca="1" si="67"/>
        <v>0.37568187423027172</v>
      </c>
      <c r="G711" s="13">
        <f ca="1">IF((Prices!C711-Prices!C710)*C711&gt;0,1,0)</f>
        <v>1</v>
      </c>
      <c r="H711" s="9">
        <f>ABS(Prices!C711-Prices!C710)/Prices!C710</f>
        <v>6.8093385214008061E-3</v>
      </c>
      <c r="I711" s="13"/>
      <c r="J711" s="1">
        <f t="shared" ca="1" si="68"/>
        <v>1.2749711571006627E-3</v>
      </c>
      <c r="K711" s="9"/>
      <c r="L711" s="9">
        <f ca="1">L710-O711*Prices!C711</f>
        <v>1.0034329377255011</v>
      </c>
      <c r="M711" s="1">
        <f t="shared" ca="1" si="69"/>
        <v>1.0491144569085366E-2</v>
      </c>
      <c r="N711" s="9">
        <f ca="1">IF(Prices!D710&gt;OFFSET(Prices!D710,-$N$3,0),1,-1)</f>
        <v>1</v>
      </c>
      <c r="O711" s="1">
        <f ca="1">IF(N711=1,O$3*L710/Prices!C710,-O$3*M710)</f>
        <v>1.0853790564905367E-3</v>
      </c>
      <c r="P711" s="14"/>
      <c r="Q711" s="9">
        <f ca="1">Q710-T711*Prices!C711</f>
        <v>0.95488061472289931</v>
      </c>
      <c r="R711" s="1">
        <f t="shared" ca="1" si="70"/>
        <v>1.0819333973899028E-2</v>
      </c>
      <c r="S711" s="9">
        <f ca="1">IF(Prices!C710&lt;OFFSET(Prices!C710,-S$3,0),1,-1)</f>
        <v>1</v>
      </c>
      <c r="T711" s="1">
        <f ca="1">IF(S711=1,T$3*Q710/Prices!C710,-T$3*R710)</f>
        <v>1.8959210061012598E-4</v>
      </c>
    </row>
    <row r="712" spans="1:20" x14ac:dyDescent="0.2">
      <c r="A712" s="4">
        <v>34502</v>
      </c>
      <c r="B712" s="9">
        <f ca="1">Prices!C711*(1+J712/(50*(ABS(O712)+ABS(T712)+0.0001)))</f>
        <v>105.40493065385536</v>
      </c>
      <c r="C712" s="21">
        <f t="shared" ca="1" si="65"/>
        <v>1</v>
      </c>
      <c r="D712" s="9">
        <f ca="1">D711+C712*(Prices!C712-Prices!C711)/Prices!C711</f>
        <v>0.35816683884181411</v>
      </c>
      <c r="E712" s="9">
        <f t="shared" ca="1" si="66"/>
        <v>1.7515035388457612E-2</v>
      </c>
      <c r="F712" s="9">
        <f t="shared" ca="1" si="67"/>
        <v>0.37568187423027172</v>
      </c>
      <c r="G712" s="13">
        <f ca="1">IF((Prices!C712-Prices!C711)*C712&gt;0,1,0)</f>
        <v>0</v>
      </c>
      <c r="H712" s="9">
        <f>ABS(Prices!C712-Prices!C711)/Prices!C711</f>
        <v>7.246376811594203E-3</v>
      </c>
      <c r="I712" s="13"/>
      <c r="J712" s="1">
        <f t="shared" ca="1" si="68"/>
        <v>1.1540184161063585E-3</v>
      </c>
      <c r="K712" s="9"/>
      <c r="L712" s="9">
        <f ca="1">L711-O712*Prices!C712</f>
        <v>0.90381676927014343</v>
      </c>
      <c r="M712" s="1">
        <f t="shared" ca="1" si="69"/>
        <v>1.1460644992008556E-2</v>
      </c>
      <c r="N712" s="9">
        <f ca="1">IF(Prices!D711&gt;OFFSET(Prices!D711,-$N$3,0),1,-1)</f>
        <v>1</v>
      </c>
      <c r="O712" s="1">
        <f ca="1">IF(N712=1,O$3*L711/Prices!C711,-O$3*M711)</f>
        <v>9.6950042292318962E-4</v>
      </c>
      <c r="P712" s="14"/>
      <c r="Q712" s="9">
        <f ca="1">Q711-T712*Prices!C712</f>
        <v>0.93592139092332871</v>
      </c>
      <c r="R712" s="1">
        <f t="shared" ca="1" si="70"/>
        <v>1.1003851967082198E-2</v>
      </c>
      <c r="S712" s="9">
        <f ca="1">IF(Prices!C711&lt;OFFSET(Prices!C711,-S$3,0),1,-1)</f>
        <v>1</v>
      </c>
      <c r="T712" s="1">
        <f ca="1">IF(S712=1,T$3*Q711/Prices!C711,-T$3*R711)</f>
        <v>1.8451799318316894E-4</v>
      </c>
    </row>
    <row r="713" spans="1:20" x14ac:dyDescent="0.2">
      <c r="A713" s="4">
        <v>34505</v>
      </c>
      <c r="B713" s="9">
        <f ca="1">Prices!C712*(1+J713/(50*(ABS(O713)+ABS(T713)+0.0001)))</f>
        <v>104.62811952693136</v>
      </c>
      <c r="C713" s="21">
        <f t="shared" ca="1" si="65"/>
        <v>1</v>
      </c>
      <c r="D713" s="9">
        <f ca="1">D712+C713*(Prices!C713-Prices!C712)/Prices!C712</f>
        <v>0.35106221597076781</v>
      </c>
      <c r="E713" s="9">
        <f t="shared" ca="1" si="66"/>
        <v>2.4619658259503907E-2</v>
      </c>
      <c r="F713" s="9">
        <f t="shared" ca="1" si="67"/>
        <v>0.37568187423027172</v>
      </c>
      <c r="G713" s="13">
        <f ca="1">IF((Prices!C713-Prices!C712)*C713&gt;0,1,0)</f>
        <v>0</v>
      </c>
      <c r="H713" s="9">
        <f>ABS(Prices!C713-Prices!C712)/Prices!C712</f>
        <v>7.1046228710462678E-3</v>
      </c>
      <c r="I713" s="13"/>
      <c r="J713" s="1">
        <f t="shared" ca="1" si="68"/>
        <v>1.0618015060387437E-3</v>
      </c>
      <c r="K713" s="9"/>
      <c r="L713" s="9">
        <f ca="1">L712-O713*Prices!C713</f>
        <v>0.81407722007214822</v>
      </c>
      <c r="M713" s="1">
        <f t="shared" ca="1" si="69"/>
        <v>1.2340272018062223E-2</v>
      </c>
      <c r="N713" s="9">
        <f ca="1">IF(Prices!D712&gt;OFFSET(Prices!D712,-$N$3,0),1,-1)</f>
        <v>1</v>
      </c>
      <c r="O713" s="1">
        <f ca="1">IF(N713=1,O$3*L712/Prices!C712,-O$3*M712)</f>
        <v>8.7962702605366759E-4</v>
      </c>
      <c r="P713" s="14"/>
      <c r="Q713" s="9">
        <f ca="1">Q712-T713*Prices!C713</f>
        <v>0.91733595047525129</v>
      </c>
      <c r="R713" s="1">
        <f t="shared" ca="1" si="70"/>
        <v>1.1186026447067274E-2</v>
      </c>
      <c r="S713" s="9">
        <f ca="1">IF(Prices!C712&lt;OFFSET(Prices!C712,-S$3,0),1,-1)</f>
        <v>1</v>
      </c>
      <c r="T713" s="1">
        <f ca="1">IF(S713=1,T$3*Q712/Prices!C712,-T$3*R712)</f>
        <v>1.8217447998507616E-4</v>
      </c>
    </row>
    <row r="714" spans="1:20" x14ac:dyDescent="0.2">
      <c r="A714" s="4">
        <v>34506</v>
      </c>
      <c r="B714" s="9">
        <f ca="1">Prices!C713*(1+J714/(50*(ABS(O714)+ABS(T714)+0.0001)))</f>
        <v>103.8710872084298</v>
      </c>
      <c r="C714" s="21">
        <f t="shared" ca="1" si="65"/>
        <v>1</v>
      </c>
      <c r="D714" s="9">
        <f ca="1">D713+C714*(Prices!C714-Prices!C713)/Prices!C713</f>
        <v>0.33420277664514542</v>
      </c>
      <c r="E714" s="9">
        <f t="shared" ca="1" si="66"/>
        <v>4.1479097585126301E-2</v>
      </c>
      <c r="F714" s="9">
        <f t="shared" ca="1" si="67"/>
        <v>0.37568187423027172</v>
      </c>
      <c r="G714" s="13">
        <f ca="1">IF((Prices!C714-Prices!C713)*C714&gt;0,1,0)</f>
        <v>0</v>
      </c>
      <c r="H714" s="9">
        <f>ABS(Prices!C714-Prices!C713)/Prices!C713</f>
        <v>1.6859439325622415E-2</v>
      </c>
      <c r="I714" s="13"/>
      <c r="J714" s="1">
        <f t="shared" ca="1" si="68"/>
        <v>9.7779299173416843E-4</v>
      </c>
      <c r="K714" s="9"/>
      <c r="L714" s="9">
        <f ca="1">L713-O714*Prices!C714</f>
        <v>0.73404198661475117</v>
      </c>
      <c r="M714" s="1">
        <f t="shared" ca="1" si="69"/>
        <v>1.3138230477258605E-2</v>
      </c>
      <c r="N714" s="9">
        <f ca="1">IF(Prices!D713&gt;OFFSET(Prices!D713,-$N$3,0),1,-1)</f>
        <v>1</v>
      </c>
      <c r="O714" s="1">
        <f ca="1">IF(N714=1,O$3*L713/Prices!C713,-O$3*M713)</f>
        <v>7.9795845919638142E-4</v>
      </c>
      <c r="P714" s="14"/>
      <c r="Q714" s="9">
        <f ca="1">Q713-T714*Prices!C714</f>
        <v>0.89929854686171129</v>
      </c>
      <c r="R714" s="1">
        <f t="shared" ca="1" si="70"/>
        <v>1.136586097960506E-2</v>
      </c>
      <c r="S714" s="9">
        <f ca="1">IF(Prices!C713&lt;OFFSET(Prices!C713,-S$3,0),1,-1)</f>
        <v>1</v>
      </c>
      <c r="T714" s="1">
        <f ca="1">IF(S714=1,T$3*Q713/Prices!C713,-T$3*R713)</f>
        <v>1.7983453253778698E-4</v>
      </c>
    </row>
    <row r="715" spans="1:20" x14ac:dyDescent="0.2">
      <c r="A715" s="4">
        <v>34507</v>
      </c>
      <c r="B715" s="9">
        <f ca="1">Prices!C714*(1+J715/(50*(ABS(O715)+ABS(T715)+0.0001)))</f>
        <v>102.10761559500828</v>
      </c>
      <c r="C715" s="21">
        <f t="shared" ca="1" si="65"/>
        <v>1</v>
      </c>
      <c r="D715" s="9">
        <f ca="1">D714+C715*(Prices!C715-Prices!C714)/Prices!C714</f>
        <v>0.34317585740287226</v>
      </c>
      <c r="E715" s="9">
        <f t="shared" ca="1" si="66"/>
        <v>3.2506016827399453E-2</v>
      </c>
      <c r="F715" s="9">
        <f t="shared" ca="1" si="67"/>
        <v>0.37568187423027172</v>
      </c>
      <c r="G715" s="13">
        <f ca="1">IF((Prices!C715-Prices!C714)*C715&gt;0,1,0)</f>
        <v>1</v>
      </c>
      <c r="H715" s="9">
        <f>ABS(Prices!C715-Prices!C714)/Prices!C714</f>
        <v>8.9730807577268756E-3</v>
      </c>
      <c r="I715" s="13"/>
      <c r="J715" s="1">
        <f t="shared" ca="1" si="68"/>
        <v>9.1116819141285493E-4</v>
      </c>
      <c r="K715" s="9"/>
      <c r="L715" s="9">
        <f ca="1">L714-O715*Prices!C715</f>
        <v>0.6599791261507304</v>
      </c>
      <c r="M715" s="1">
        <f t="shared" ca="1" si="69"/>
        <v>1.3870076924531537E-2</v>
      </c>
      <c r="N715" s="9">
        <f ca="1">IF(Prices!D714&gt;OFFSET(Prices!D714,-$N$3,0),1,-1)</f>
        <v>1</v>
      </c>
      <c r="O715" s="1">
        <f ca="1">IF(N715=1,O$3*L714/Prices!C714,-O$3*M714)</f>
        <v>7.3184644727293242E-4</v>
      </c>
      <c r="P715" s="14"/>
      <c r="Q715" s="9">
        <f ca="1">Q714-T715*Prices!C715</f>
        <v>0.88115118635475109</v>
      </c>
      <c r="R715" s="1">
        <f t="shared" ca="1" si="70"/>
        <v>1.1545182723744983E-2</v>
      </c>
      <c r="S715" s="9">
        <f ca="1">IF(Prices!C714&lt;OFFSET(Prices!C714,-S$3,0),1,-1)</f>
        <v>1</v>
      </c>
      <c r="T715" s="1">
        <f ca="1">IF(S715=1,T$3*Q714/Prices!C714,-T$3*R714)</f>
        <v>1.7932174413992248E-4</v>
      </c>
    </row>
    <row r="716" spans="1:20" x14ac:dyDescent="0.2">
      <c r="A716" s="4">
        <v>34508</v>
      </c>
      <c r="B716" s="9">
        <f ca="1">Prices!C715*(1+J716/(50*(ABS(O716)+ABS(T716)+0.0001)))</f>
        <v>99.722201070761599</v>
      </c>
      <c r="C716" s="21">
        <f t="shared" ca="1" si="65"/>
        <v>-1</v>
      </c>
      <c r="D716" s="9">
        <f ca="1">D715+C716*(Prices!C716-Prices!C715)/Prices!C715</f>
        <v>0.34119957281789198</v>
      </c>
      <c r="E716" s="9">
        <f t="shared" ca="1" si="66"/>
        <v>3.4482301412379734E-2</v>
      </c>
      <c r="F716" s="9">
        <f t="shared" ca="1" si="67"/>
        <v>0.37568187423027172</v>
      </c>
      <c r="G716" s="13">
        <f ca="1">IF((Prices!C716-Prices!C715)*C716&gt;0,1,0)</f>
        <v>0</v>
      </c>
      <c r="H716" s="9">
        <f>ABS(Prices!C716-Prices!C715)/Prices!C715</f>
        <v>1.9762845849802652E-3</v>
      </c>
      <c r="I716" s="13"/>
      <c r="J716" s="1">
        <f t="shared" ca="1" si="68"/>
        <v>-1.2128671417901595E-3</v>
      </c>
      <c r="K716" s="9"/>
      <c r="L716" s="9">
        <f ca="1">L715-O716*Prices!C716</f>
        <v>0.80062170616548023</v>
      </c>
      <c r="M716" s="1">
        <f t="shared" ca="1" si="69"/>
        <v>1.2483069232078384E-2</v>
      </c>
      <c r="N716" s="9">
        <f ca="1">IF(Prices!D715&gt;OFFSET(Prices!D715,-$N$3,0),1,-1)</f>
        <v>-1</v>
      </c>
      <c r="O716" s="1">
        <f ca="1">IF(N716=1,O$3*L715/Prices!C715,-O$3*M715)</f>
        <v>-1.3870076924531538E-3</v>
      </c>
      <c r="P716" s="14"/>
      <c r="Q716" s="9">
        <f ca="1">Q715-T716*Prices!C716</f>
        <v>0.86349333451752353</v>
      </c>
      <c r="R716" s="1">
        <f t="shared" ca="1" si="70"/>
        <v>1.1719323274407977E-2</v>
      </c>
      <c r="S716" s="9">
        <f ca="1">IF(Prices!C715&lt;OFFSET(Prices!C715,-S$3,0),1,-1)</f>
        <v>1</v>
      </c>
      <c r="T716" s="1">
        <f ca="1">IF(S716=1,T$3*Q715/Prices!C715,-T$3*R715)</f>
        <v>1.7414055066299427E-4</v>
      </c>
    </row>
    <row r="717" spans="1:20" x14ac:dyDescent="0.2">
      <c r="A717" s="4">
        <v>34509</v>
      </c>
      <c r="B717" s="9">
        <f ca="1">Prices!C716*(1+J717/(50*(ABS(O717)+ABS(T717)+0.0001)))</f>
        <v>99.960424995831715</v>
      </c>
      <c r="C717" s="21">
        <f t="shared" ca="1" si="65"/>
        <v>-1</v>
      </c>
      <c r="D717" s="9">
        <f ca="1">D716+C717*(Prices!C717-Prices!C716)/Prices!C716</f>
        <v>0.34908911916897689</v>
      </c>
      <c r="E717" s="9">
        <f t="shared" ca="1" si="66"/>
        <v>2.6592755061294826E-2</v>
      </c>
      <c r="F717" s="9">
        <f t="shared" ca="1" si="67"/>
        <v>0.37568187423027172</v>
      </c>
      <c r="G717" s="13">
        <f ca="1">IF((Prices!C717-Prices!C716)*C717&gt;0,1,0)</f>
        <v>1</v>
      </c>
      <c r="H717" s="9">
        <f>ABS(Prices!C717-Prices!C716)/Prices!C716</f>
        <v>7.889546351084924E-3</v>
      </c>
      <c r="I717" s="13"/>
      <c r="J717" s="1">
        <f t="shared" ca="1" si="68"/>
        <v>-1.0779926560446189E-3</v>
      </c>
      <c r="K717" s="9"/>
      <c r="L717" s="9">
        <f ca="1">L716-O717*Prices!C717</f>
        <v>0.92620138264018881</v>
      </c>
      <c r="M717" s="1">
        <f t="shared" ca="1" si="69"/>
        <v>1.1234762308870546E-2</v>
      </c>
      <c r="N717" s="9">
        <f ca="1">IF(Prices!D716&gt;OFFSET(Prices!D716,-$N$3,0),1,-1)</f>
        <v>-1</v>
      </c>
      <c r="O717" s="1">
        <f ca="1">IF(N717=1,O$3*L716/Prices!C716,-O$3*M716)</f>
        <v>-1.2483069232078385E-3</v>
      </c>
      <c r="P717" s="14"/>
      <c r="Q717" s="9">
        <f ca="1">Q716-T717*Prices!C717</f>
        <v>0.84635971924090359</v>
      </c>
      <c r="R717" s="1">
        <f t="shared" ca="1" si="70"/>
        <v>1.1889637541571197E-2</v>
      </c>
      <c r="S717" s="9">
        <f ca="1">IF(Prices!C716&lt;OFFSET(Prices!C716,-S$3,0),1,-1)</f>
        <v>1</v>
      </c>
      <c r="T717" s="1">
        <f ca="1">IF(S717=1,T$3*Q716/Prices!C716,-T$3*R716)</f>
        <v>1.703142671632196E-4</v>
      </c>
    </row>
    <row r="718" spans="1:20" x14ac:dyDescent="0.2">
      <c r="A718" s="4">
        <v>34512</v>
      </c>
      <c r="B718" s="9">
        <f ca="1">Prices!C717*(1+J718/(50*(ABS(O718)+ABS(T718)+0.0001)))</f>
        <v>102.44277358593534</v>
      </c>
      <c r="C718" s="21">
        <f t="shared" ca="1" si="65"/>
        <v>1</v>
      </c>
      <c r="D718" s="9">
        <f ca="1">D717+C718*(Prices!C718-Prices!C717)/Prices!C717</f>
        <v>0.34759806549104455</v>
      </c>
      <c r="E718" s="9">
        <f t="shared" ca="1" si="66"/>
        <v>2.8083808739227167E-2</v>
      </c>
      <c r="F718" s="9">
        <f t="shared" ca="1" si="67"/>
        <v>0.37568187423027172</v>
      </c>
      <c r="G718" s="13">
        <f ca="1">IF((Prices!C718-Prices!C717)*C718&gt;0,1,0)</f>
        <v>0</v>
      </c>
      <c r="H718" s="9">
        <f>ABS(Prices!C718-Prices!C717)/Prices!C717</f>
        <v>1.491053677932321E-3</v>
      </c>
      <c r="I718" s="13"/>
      <c r="J718" s="1">
        <f t="shared" ca="1" si="68"/>
        <v>1.0889396883582204E-3</v>
      </c>
      <c r="K718" s="9"/>
      <c r="L718" s="9">
        <f ca="1">L717-O718*Prices!C718</f>
        <v>0.83371934597397912</v>
      </c>
      <c r="M718" s="1">
        <f t="shared" ca="1" si="69"/>
        <v>1.2155439627598368E-2</v>
      </c>
      <c r="N718" s="9">
        <f ca="1">IF(Prices!D717&gt;OFFSET(Prices!D717,-$N$3,0),1,-1)</f>
        <v>1</v>
      </c>
      <c r="O718" s="1">
        <f ca="1">IF(N718=1,O$3*L717/Prices!C717,-O$3*M717)</f>
        <v>9.2067731872782198E-4</v>
      </c>
      <c r="P718" s="14"/>
      <c r="Q718" s="9">
        <f ca="1">Q717-T718*Prices!C718</f>
        <v>0.82945776421153006</v>
      </c>
      <c r="R718" s="1">
        <f t="shared" ca="1" si="70"/>
        <v>1.2057899911201595E-2</v>
      </c>
      <c r="S718" s="9">
        <f ca="1">IF(Prices!C717&lt;OFFSET(Prices!C717,-S$3,0),1,-1)</f>
        <v>1</v>
      </c>
      <c r="T718" s="1">
        <f ca="1">IF(S718=1,T$3*Q717/Prices!C717,-T$3*R717)</f>
        <v>1.6826236963039836E-4</v>
      </c>
    </row>
    <row r="719" spans="1:20" x14ac:dyDescent="0.2">
      <c r="A719" s="4">
        <v>34513</v>
      </c>
      <c r="B719" s="9">
        <f ca="1">Prices!C718*(1+J719/(50*(ABS(O719)+ABS(T719)+0.0001)))</f>
        <v>101.46008405045011</v>
      </c>
      <c r="C719" s="21">
        <f t="shared" ca="1" si="65"/>
        <v>1</v>
      </c>
      <c r="D719" s="9">
        <f ca="1">D718+C719*(Prices!C719-Prices!C718)/Prices!C718</f>
        <v>0.34361598485391159</v>
      </c>
      <c r="E719" s="9">
        <f t="shared" ca="1" si="66"/>
        <v>3.2065889376360124E-2</v>
      </c>
      <c r="F719" s="9">
        <f t="shared" ca="1" si="67"/>
        <v>0.37568187423027172</v>
      </c>
      <c r="G719" s="13">
        <f ca="1">IF((Prices!C719-Prices!C718)*C719&gt;0,1,0)</f>
        <v>0</v>
      </c>
      <c r="H719" s="9">
        <f>ABS(Prices!C719-Prices!C718)/Prices!C718</f>
        <v>3.9820806371329582E-3</v>
      </c>
      <c r="I719" s="13"/>
      <c r="J719" s="1">
        <f t="shared" ca="1" si="68"/>
        <v>5.888264178774904E-4</v>
      </c>
      <c r="K719" s="9"/>
      <c r="L719" s="9">
        <f ca="1">L718-O719*Prices!C719</f>
        <v>0.75067940514302178</v>
      </c>
      <c r="M719" s="1">
        <f t="shared" ca="1" si="69"/>
        <v>1.298542404369989E-2</v>
      </c>
      <c r="N719" s="9">
        <f ca="1">IF(Prices!D718&gt;OFFSET(Prices!D718,-$N$3,0),1,-1)</f>
        <v>1</v>
      </c>
      <c r="O719" s="1">
        <f ca="1">IF(N719=1,O$3*L718/Prices!C718,-O$3*M718)</f>
        <v>8.2998441610152235E-4</v>
      </c>
      <c r="P719" s="14"/>
      <c r="Q719" s="9">
        <f ca="1">Q718-T719*Prices!C719</f>
        <v>0.85358562193384446</v>
      </c>
      <c r="R719" s="1">
        <f t="shared" ca="1" si="70"/>
        <v>1.1816741912977564E-2</v>
      </c>
      <c r="S719" s="9">
        <f ca="1">IF(Prices!C718&lt;OFFSET(Prices!C718,-S$3,0),1,-1)</f>
        <v>-1</v>
      </c>
      <c r="T719" s="1">
        <f ca="1">IF(S719=1,T$3*Q718/Prices!C718,-T$3*R718)</f>
        <v>-2.4115799822403193E-4</v>
      </c>
    </row>
    <row r="720" spans="1:20" x14ac:dyDescent="0.2">
      <c r="A720" s="4">
        <v>34514</v>
      </c>
      <c r="B720" s="9">
        <f ca="1">Prices!C719*(1+J720/(50*(ABS(O720)+ABS(T720)+0.0001)))</f>
        <v>101.85500339693536</v>
      </c>
      <c r="C720" s="21">
        <f t="shared" ca="1" si="65"/>
        <v>1</v>
      </c>
      <c r="D720" s="9">
        <f ca="1">D719+C720*(Prices!C720-Prices!C719)/Prices!C719</f>
        <v>0.33112223173047334</v>
      </c>
      <c r="E720" s="9">
        <f t="shared" ca="1" si="66"/>
        <v>4.455964249979838E-2</v>
      </c>
      <c r="F720" s="9">
        <f t="shared" ca="1" si="67"/>
        <v>0.37568187423027172</v>
      </c>
      <c r="G720" s="13">
        <f ca="1">IF((Prices!C720-Prices!C719)*C720&gt;0,1,0)</f>
        <v>0</v>
      </c>
      <c r="H720" s="9">
        <f>ABS(Prices!C720-Prices!C719)/Prices!C719</f>
        <v>1.2493753123438282E-2</v>
      </c>
      <c r="I720" s="13"/>
      <c r="J720" s="1">
        <f t="shared" ca="1" si="68"/>
        <v>9.2093606149904123E-4</v>
      </c>
      <c r="K720" s="9"/>
      <c r="L720" s="9">
        <f ca="1">L719-O720*Prices!C720</f>
        <v>0.67654934494499019</v>
      </c>
      <c r="M720" s="1">
        <f t="shared" ca="1" si="69"/>
        <v>1.3735728296716404E-2</v>
      </c>
      <c r="N720" s="9">
        <f ca="1">IF(Prices!D719&gt;OFFSET(Prices!D719,-$N$3,0),1,-1)</f>
        <v>1</v>
      </c>
      <c r="O720" s="1">
        <f ca="1">IF(N720=1,O$3*L719/Prices!C719,-O$3*M719)</f>
        <v>7.5030425301651359E-4</v>
      </c>
      <c r="P720" s="14"/>
      <c r="Q720" s="9">
        <f ca="1">Q719-T720*Prices!C720</f>
        <v>0.83672719925577077</v>
      </c>
      <c r="R720" s="1">
        <f t="shared" ca="1" si="70"/>
        <v>1.1987373721460092E-2</v>
      </c>
      <c r="S720" s="9">
        <f ca="1">IF(Prices!C719&lt;OFFSET(Prices!C719,-S$3,0),1,-1)</f>
        <v>1</v>
      </c>
      <c r="T720" s="1">
        <f ca="1">IF(S720=1,T$3*Q719/Prices!C719,-T$3*R719)</f>
        <v>1.7063180848252764E-4</v>
      </c>
    </row>
    <row r="721" spans="1:20" x14ac:dyDescent="0.2">
      <c r="A721" s="4">
        <v>34515</v>
      </c>
      <c r="B721" s="9">
        <f ca="1">Prices!C720*(1+J721/(50*(ABS(O721)+ABS(T721)+0.0001)))</f>
        <v>100.56890348992201</v>
      </c>
      <c r="C721" s="21">
        <f t="shared" ca="1" si="65"/>
        <v>1</v>
      </c>
      <c r="D721" s="9">
        <f ca="1">D720+C721*(Prices!C721-Prices!C720)/Prices!C720</f>
        <v>0.32747850703411707</v>
      </c>
      <c r="E721" s="9">
        <f t="shared" ca="1" si="66"/>
        <v>4.8203367196154645E-2</v>
      </c>
      <c r="F721" s="9">
        <f t="shared" ca="1" si="67"/>
        <v>0.37568187423027172</v>
      </c>
      <c r="G721" s="13">
        <f ca="1">IF((Prices!C721-Prices!C720)*C721&gt;0,1,0)</f>
        <v>0</v>
      </c>
      <c r="H721" s="9">
        <f>ABS(Prices!C721-Prices!C720)/Prices!C720</f>
        <v>3.6437246963562696E-3</v>
      </c>
      <c r="I721" s="13"/>
      <c r="J721" s="1">
        <f t="shared" ca="1" si="68"/>
        <v>8.5414451902443773E-4</v>
      </c>
      <c r="K721" s="9"/>
      <c r="L721" s="9">
        <f ca="1">L720-O721*Prices!C721</f>
        <v>0.60914092640613915</v>
      </c>
      <c r="M721" s="1">
        <f t="shared" ca="1" si="69"/>
        <v>1.4420494840182993E-2</v>
      </c>
      <c r="N721" s="9">
        <f ca="1">IF(Prices!D720&gt;OFFSET(Prices!D720,-$N$3,0),1,-1)</f>
        <v>1</v>
      </c>
      <c r="O721" s="1">
        <f ca="1">IF(N721=1,O$3*L720/Prices!C720,-O$3*M720)</f>
        <v>6.8476654346658939E-4</v>
      </c>
      <c r="P721" s="14"/>
      <c r="Q721" s="9">
        <f ca="1">Q720-T721*Prices!C721</f>
        <v>0.82005363134185616</v>
      </c>
      <c r="R721" s="1">
        <f t="shared" ca="1" si="70"/>
        <v>1.215675169701794E-2</v>
      </c>
      <c r="S721" s="9">
        <f ca="1">IF(Prices!C720&lt;OFFSET(Prices!C720,-S$3,0),1,-1)</f>
        <v>1</v>
      </c>
      <c r="T721" s="1">
        <f ca="1">IF(S721=1,T$3*Q720/Prices!C720,-T$3*R720)</f>
        <v>1.6937797555784836E-4</v>
      </c>
    </row>
    <row r="722" spans="1:20" x14ac:dyDescent="0.2">
      <c r="A722" s="4">
        <v>34516</v>
      </c>
      <c r="B722" s="9">
        <f ca="1">Prices!C721*(1+J722/(50*(ABS(O722)+ABS(T722)+0.0001)))</f>
        <v>100.18643821922194</v>
      </c>
      <c r="C722" s="21">
        <f t="shared" ref="C722:C785" ca="1" si="71">IF(J722&gt;0,1,IF(J722&lt;0,-1,0))</f>
        <v>1</v>
      </c>
      <c r="D722" s="9">
        <f ca="1">D721+C722*(Prices!C722-Prices!C721)/Prices!C721</f>
        <v>0.33062763340551082</v>
      </c>
      <c r="E722" s="9">
        <f t="shared" ref="E722:E785" ca="1" si="72">F722-D722</f>
        <v>4.5054240824760894E-2</v>
      </c>
      <c r="F722" s="9">
        <f t="shared" ref="F722:F785" ca="1" si="73">MAX(F721,D722)</f>
        <v>0.37568187423027172</v>
      </c>
      <c r="G722" s="13">
        <f ca="1">IF((Prices!C722-Prices!C721)*C722&gt;0,1,0)</f>
        <v>1</v>
      </c>
      <c r="H722" s="9">
        <f>ABS(Prices!C722-Prices!C721)/Prices!C721</f>
        <v>3.1491263713937655E-3</v>
      </c>
      <c r="I722" s="13"/>
      <c r="J722" s="1">
        <f t="shared" ref="J722:J785" ca="1" si="74">O722+T722</f>
        <v>7.8540395436256646E-4</v>
      </c>
      <c r="K722" s="9"/>
      <c r="L722" s="9">
        <f ca="1">L721-O722*Prices!C722</f>
        <v>0.54803500759000112</v>
      </c>
      <c r="M722" s="1">
        <f t="shared" ref="M722:M785" ca="1" si="75">M721+O722</f>
        <v>1.5039288954776795E-2</v>
      </c>
      <c r="N722" s="9">
        <f ca="1">IF(Prices!D721&gt;OFFSET(Prices!D721,-$N$3,0),1,-1)</f>
        <v>1</v>
      </c>
      <c r="O722" s="1">
        <f ca="1">IF(N722=1,O$3*L721/Prices!C721,-O$3*M721)</f>
        <v>6.1879411459380253E-4</v>
      </c>
      <c r="P722" s="14"/>
      <c r="Q722" s="9">
        <f ca="1">Q721-T722*Prices!C722</f>
        <v>0.80360090966469067</v>
      </c>
      <c r="R722" s="1">
        <f t="shared" ref="R722:R785" ca="1" si="76">R721+T722</f>
        <v>1.2323361536786705E-2</v>
      </c>
      <c r="S722" s="9">
        <f ca="1">IF(Prices!C721&lt;OFFSET(Prices!C721,-S$3,0),1,-1)</f>
        <v>1</v>
      </c>
      <c r="T722" s="1">
        <f ca="1">IF(S722=1,T$3*Q721/Prices!C721,-T$3*R721)</f>
        <v>1.6660983976876396E-4</v>
      </c>
    </row>
    <row r="723" spans="1:20" x14ac:dyDescent="0.2">
      <c r="A723" s="4">
        <v>34519</v>
      </c>
      <c r="B723" s="9">
        <f ca="1">Prices!C722*(1+J723/(50*(ABS(O723)+ABS(T723)+0.0001)))</f>
        <v>100.48347678438424</v>
      </c>
      <c r="C723" s="21">
        <f t="shared" ca="1" si="71"/>
        <v>1</v>
      </c>
      <c r="D723" s="9">
        <f ca="1">D722+C723*(Prices!C723-Prices!C722)/Prices!C722</f>
        <v>0.33315927897513109</v>
      </c>
      <c r="E723" s="9">
        <f t="shared" ca="1" si="72"/>
        <v>4.2522595255140627E-2</v>
      </c>
      <c r="F723" s="9">
        <f t="shared" ca="1" si="73"/>
        <v>0.37568187423027172</v>
      </c>
      <c r="G723" s="13">
        <f ca="1">IF((Prices!C723-Prices!C722)*C723&gt;0,1,0)</f>
        <v>1</v>
      </c>
      <c r="H723" s="9">
        <f>ABS(Prices!C723-Prices!C722)/Prices!C722</f>
        <v>2.5316455696202532E-3</v>
      </c>
      <c r="I723" s="13"/>
      <c r="J723" s="1">
        <f t="shared" ca="1" si="74"/>
        <v>7.1772677420044487E-4</v>
      </c>
      <c r="K723" s="9"/>
      <c r="L723" s="9">
        <f ca="1">L722-O723*Prices!C723</f>
        <v>0.49309276379110478</v>
      </c>
      <c r="M723" s="1">
        <f t="shared" ca="1" si="75"/>
        <v>1.5594261114361607E-2</v>
      </c>
      <c r="N723" s="9">
        <f ca="1">IF(Prices!D722&gt;OFFSET(Prices!D722,-$N$3,0),1,-1)</f>
        <v>1</v>
      </c>
      <c r="O723" s="1">
        <f ca="1">IF(N723=1,O$3*L722/Prices!C722,-O$3*M722)</f>
        <v>5.5497215958481133E-4</v>
      </c>
      <c r="P723" s="14"/>
      <c r="Q723" s="9">
        <f ca="1">Q722-T723*Prices!C723</f>
        <v>0.7874882028177429</v>
      </c>
      <c r="R723" s="1">
        <f t="shared" ca="1" si="76"/>
        <v>1.2486116151402339E-2</v>
      </c>
      <c r="S723" s="9">
        <f ca="1">IF(Prices!C722&lt;OFFSET(Prices!C722,-S$3,0),1,-1)</f>
        <v>1</v>
      </c>
      <c r="T723" s="1">
        <f ca="1">IF(S723=1,T$3*Q722/Prices!C722,-T$3*R722)</f>
        <v>1.6275461461563354E-4</v>
      </c>
    </row>
    <row r="724" spans="1:20" x14ac:dyDescent="0.2">
      <c r="A724" s="4">
        <v>34520</v>
      </c>
      <c r="B724" s="9">
        <f ca="1">Prices!C723*(1+J724/(50*(ABS(O724)+ABS(T724)+0.0001)))</f>
        <v>97.475311464252329</v>
      </c>
      <c r="C724" s="21">
        <f t="shared" ca="1" si="71"/>
        <v>-1</v>
      </c>
      <c r="D724" s="9">
        <f ca="1">D723+C724*(Prices!C724-Prices!C723)/Prices!C723</f>
        <v>0.33315927897513109</v>
      </c>
      <c r="E724" s="9">
        <f t="shared" ca="1" si="72"/>
        <v>4.2522595255140627E-2</v>
      </c>
      <c r="F724" s="9">
        <f t="shared" ca="1" si="73"/>
        <v>0.37568187423027172</v>
      </c>
      <c r="G724" s="13">
        <f ca="1">IF((Prices!C724-Prices!C723)*C724&gt;0,1,0)</f>
        <v>0</v>
      </c>
      <c r="H724" s="9">
        <f>ABS(Prices!C724-Prices!C723)/Prices!C723</f>
        <v>0</v>
      </c>
      <c r="I724" s="13"/>
      <c r="J724" s="1">
        <f t="shared" ca="1" si="74"/>
        <v>-1.4003375856143944E-3</v>
      </c>
      <c r="K724" s="9"/>
      <c r="L724" s="9">
        <f ca="1">L723-O724*Prices!C724</f>
        <v>0.64747594882328463</v>
      </c>
      <c r="M724" s="1">
        <f t="shared" ca="1" si="75"/>
        <v>1.4034835002925447E-2</v>
      </c>
      <c r="N724" s="9">
        <f ca="1">IF(Prices!D723&gt;OFFSET(Prices!D723,-$N$3,0),1,-1)</f>
        <v>-1</v>
      </c>
      <c r="O724" s="1">
        <f ca="1">IF(N724=1,O$3*L723/Prices!C723,-O$3*M723)</f>
        <v>-1.5594261114361607E-3</v>
      </c>
      <c r="P724" s="14"/>
      <c r="Q724" s="9">
        <f ca="1">Q723-T724*Prices!C724</f>
        <v>0.77173843876138803</v>
      </c>
      <c r="R724" s="1">
        <f t="shared" ca="1" si="76"/>
        <v>1.2645204677224105E-2</v>
      </c>
      <c r="S724" s="9">
        <f ca="1">IF(Prices!C723&lt;OFFSET(Prices!C723,-S$3,0),1,-1)</f>
        <v>1</v>
      </c>
      <c r="T724" s="1">
        <f ca="1">IF(S724=1,T$3*Q723/Prices!C723,-T$3*R723)</f>
        <v>1.5908852582176625E-4</v>
      </c>
    </row>
    <row r="725" spans="1:20" x14ac:dyDescent="0.2">
      <c r="A725" s="4">
        <v>34521</v>
      </c>
      <c r="B725" s="9">
        <f ca="1">Prices!C724*(1+J725/(50*(ABS(O725)+ABS(T725)+0.0001)))</f>
        <v>97.132731381555388</v>
      </c>
      <c r="C725" s="21">
        <f t="shared" ca="1" si="71"/>
        <v>-1</v>
      </c>
      <c r="D725" s="9">
        <f ca="1">D724+C725*(Prices!C725-Prices!C724)/Prices!C724</f>
        <v>0.33315927897513109</v>
      </c>
      <c r="E725" s="9">
        <f t="shared" ca="1" si="72"/>
        <v>4.2522595255140627E-2</v>
      </c>
      <c r="F725" s="9">
        <f t="shared" ca="1" si="73"/>
        <v>0.37568187423027172</v>
      </c>
      <c r="G725" s="13">
        <f ca="1">IF((Prices!C725-Prices!C724)*C725&gt;0,1,0)</f>
        <v>0</v>
      </c>
      <c r="H725" s="9">
        <f>ABS(Prices!C725-Prices!C724)/Prices!C724</f>
        <v>0</v>
      </c>
      <c r="I725" s="13"/>
      <c r="J725" s="1">
        <f t="shared" ca="1" si="74"/>
        <v>-1.6563875938370269E-3</v>
      </c>
      <c r="K725" s="9"/>
      <c r="L725" s="9">
        <f ca="1">L724-O725*Prices!C725</f>
        <v>0.78642081535224651</v>
      </c>
      <c r="M725" s="1">
        <f t="shared" ca="1" si="75"/>
        <v>1.2631351502632903E-2</v>
      </c>
      <c r="N725" s="9">
        <f ca="1">IF(Prices!D724&gt;OFFSET(Prices!D724,-$N$3,0),1,-1)</f>
        <v>-1</v>
      </c>
      <c r="O725" s="1">
        <f ca="1">IF(N725=1,O$3*L724/Prices!C724,-O$3*M724)</f>
        <v>-1.4034835002925449E-3</v>
      </c>
      <c r="P725" s="14"/>
      <c r="Q725" s="9">
        <f ca="1">Q724-T725*Prices!C725</f>
        <v>0.79677594402229179</v>
      </c>
      <c r="R725" s="1">
        <f t="shared" ca="1" si="76"/>
        <v>1.2392300583679622E-2</v>
      </c>
      <c r="S725" s="9">
        <f ca="1">IF(Prices!C724&lt;OFFSET(Prices!C724,-S$3,0),1,-1)</f>
        <v>-1</v>
      </c>
      <c r="T725" s="1">
        <f ca="1">IF(S725=1,T$3*Q724/Prices!C724,-T$3*R724)</f>
        <v>-2.5290409354448209E-4</v>
      </c>
    </row>
    <row r="726" spans="1:20" x14ac:dyDescent="0.2">
      <c r="A726" s="4">
        <v>34522</v>
      </c>
      <c r="B726" s="9">
        <f ca="1">Prices!C725*(1+J726/(50*(ABS(O726)+ABS(T726)+0.0001)))</f>
        <v>97.142906465127098</v>
      </c>
      <c r="C726" s="21">
        <f t="shared" ca="1" si="71"/>
        <v>-1</v>
      </c>
      <c r="D726" s="9">
        <f ca="1">D725+C726*(Prices!C726-Prices!C725)/Prices!C725</f>
        <v>0.33719968301553521</v>
      </c>
      <c r="E726" s="9">
        <f t="shared" ca="1" si="72"/>
        <v>3.8482191214736505E-2</v>
      </c>
      <c r="F726" s="9">
        <f t="shared" ca="1" si="73"/>
        <v>0.37568187423027172</v>
      </c>
      <c r="G726" s="13">
        <f ca="1">IF((Prices!C726-Prices!C725)*C726&gt;0,1,0)</f>
        <v>1</v>
      </c>
      <c r="H726" s="9">
        <f>ABS(Prices!C726-Prices!C725)/Prices!C725</f>
        <v>4.0404040404040976E-3</v>
      </c>
      <c r="I726" s="13"/>
      <c r="J726" s="1">
        <f t="shared" ca="1" si="74"/>
        <v>-1.510981161936883E-3</v>
      </c>
      <c r="K726" s="9"/>
      <c r="L726" s="9">
        <f ca="1">L725-O726*Prices!C726</f>
        <v>0.91096594116820695</v>
      </c>
      <c r="M726" s="1">
        <f t="shared" ca="1" si="75"/>
        <v>1.1368216352369613E-2</v>
      </c>
      <c r="N726" s="9">
        <f ca="1">IF(Prices!D725&gt;OFFSET(Prices!D725,-$N$3,0),1,-1)</f>
        <v>-1</v>
      </c>
      <c r="O726" s="1">
        <f ca="1">IF(N726=1,O$3*L725/Prices!C725,-O$3*M725)</f>
        <v>-1.2631351502632904E-3</v>
      </c>
      <c r="P726" s="14"/>
      <c r="Q726" s="9">
        <f ca="1">Q725-T726*Prices!C726</f>
        <v>0.82121356077330798</v>
      </c>
      <c r="R726" s="1">
        <f t="shared" ca="1" si="76"/>
        <v>1.214445457200603E-2</v>
      </c>
      <c r="S726" s="9">
        <f ca="1">IF(Prices!C725&lt;OFFSET(Prices!C725,-S$3,0),1,-1)</f>
        <v>-1</v>
      </c>
      <c r="T726" s="1">
        <f ca="1">IF(S726=1,T$3*Q725/Prices!C725,-T$3*R725)</f>
        <v>-2.4784601167359246E-4</v>
      </c>
    </row>
    <row r="727" spans="1:20" x14ac:dyDescent="0.2">
      <c r="A727" s="4">
        <v>34523</v>
      </c>
      <c r="B727" s="9">
        <f ca="1">Prices!C726*(1+J727/(50*(ABS(O727)+ABS(T727)+0.0001)))</f>
        <v>97.23664546343548</v>
      </c>
      <c r="C727" s="21">
        <f t="shared" ca="1" si="71"/>
        <v>-1</v>
      </c>
      <c r="D727" s="9">
        <f ca="1">D726+C727*(Prices!C727-Prices!C726)/Prices!C726</f>
        <v>0.34227067693034252</v>
      </c>
      <c r="E727" s="9">
        <f t="shared" ca="1" si="72"/>
        <v>3.3411197299929196E-2</v>
      </c>
      <c r="F727" s="9">
        <f t="shared" ca="1" si="73"/>
        <v>0.37568187423027172</v>
      </c>
      <c r="G727" s="13">
        <f ca="1">IF((Prices!C727-Prices!C726)*C727&gt;0,1,0)</f>
        <v>1</v>
      </c>
      <c r="H727" s="9">
        <f>ABS(Prices!C727-Prices!C726)/Prices!C726</f>
        <v>5.0709939148073022E-3</v>
      </c>
      <c r="I727" s="13"/>
      <c r="J727" s="1">
        <f t="shared" ca="1" si="74"/>
        <v>-9.7024687645941418E-4</v>
      </c>
      <c r="K727" s="9"/>
      <c r="L727" s="9">
        <f ca="1">L726-O727*Prices!C727</f>
        <v>1.0224881435849529</v>
      </c>
      <c r="M727" s="1">
        <f t="shared" ca="1" si="75"/>
        <v>1.0231394717132651E-2</v>
      </c>
      <c r="N727" s="9">
        <f ca="1">IF(Prices!D726&gt;OFFSET(Prices!D726,-$N$3,0),1,-1)</f>
        <v>-1</v>
      </c>
      <c r="O727" s="1">
        <f ca="1">IF(N727=1,O$3*L726/Prices!C726,-O$3*M726)</f>
        <v>-1.1368216352369614E-3</v>
      </c>
      <c r="P727" s="14"/>
      <c r="Q727" s="9">
        <f ca="1">Q726-T727*Prices!C727</f>
        <v>0.80487257693723058</v>
      </c>
      <c r="R727" s="1">
        <f t="shared" ca="1" si="76"/>
        <v>1.2311029330783577E-2</v>
      </c>
      <c r="S727" s="9">
        <f ca="1">IF(Prices!C726&lt;OFFSET(Prices!C726,-S$3,0),1,-1)</f>
        <v>1</v>
      </c>
      <c r="T727" s="1">
        <f ca="1">IF(S727=1,T$3*Q726/Prices!C726,-T$3*R726)</f>
        <v>1.6657475877754726E-4</v>
      </c>
    </row>
    <row r="728" spans="1:20" x14ac:dyDescent="0.2">
      <c r="A728" s="4">
        <v>34526</v>
      </c>
      <c r="B728" s="9">
        <f ca="1">Prices!C727*(1+J728/(50*(ABS(O728)+ABS(T728)+0.0001)))</f>
        <v>99.911814444379687</v>
      </c>
      <c r="C728" s="21">
        <f t="shared" ca="1" si="71"/>
        <v>1</v>
      </c>
      <c r="D728" s="9">
        <f ca="1">D727+C728*(Prices!C728-Prices!C727)/Prices!C727</f>
        <v>0.33717383697111725</v>
      </c>
      <c r="E728" s="9">
        <f t="shared" ca="1" si="72"/>
        <v>3.8508037259154471E-2</v>
      </c>
      <c r="F728" s="9">
        <f t="shared" ca="1" si="73"/>
        <v>0.37568187423027172</v>
      </c>
      <c r="G728" s="13">
        <f ca="1">IF((Prices!C728-Prices!C727)*C728&gt;0,1,0)</f>
        <v>0</v>
      </c>
      <c r="H728" s="9">
        <f>ABS(Prices!C728-Prices!C727)/Prices!C727</f>
        <v>5.0968399592252805E-3</v>
      </c>
      <c r="I728" s="13"/>
      <c r="J728" s="1">
        <f t="shared" ca="1" si="74"/>
        <v>1.2063839541003049E-3</v>
      </c>
      <c r="K728" s="9"/>
      <c r="L728" s="9">
        <f ca="1">L727-O728*Prices!C728</f>
        <v>0.9207604750692634</v>
      </c>
      <c r="M728" s="1">
        <f t="shared" ca="1" si="75"/>
        <v>1.1273686402744225E-2</v>
      </c>
      <c r="N728" s="9">
        <f ca="1">IF(Prices!D727&gt;OFFSET(Prices!D727,-$N$3,0),1,-1)</f>
        <v>1</v>
      </c>
      <c r="O728" s="1">
        <f ca="1">IF(N728=1,O$3*L727/Prices!C727,-O$3*M727)</f>
        <v>1.0422916856115728E-3</v>
      </c>
      <c r="P728" s="14"/>
      <c r="Q728" s="9">
        <f ca="1">Q727-T728*Prices!C728</f>
        <v>0.78885717153273038</v>
      </c>
      <c r="R728" s="1">
        <f t="shared" ca="1" si="76"/>
        <v>1.2475121599272309E-2</v>
      </c>
      <c r="S728" s="9">
        <f ca="1">IF(Prices!C727&lt;OFFSET(Prices!C727,-S$3,0),1,-1)</f>
        <v>1</v>
      </c>
      <c r="T728" s="1">
        <f ca="1">IF(S728=1,T$3*Q727/Prices!C727,-T$3*R727)</f>
        <v>1.6409226848873202E-4</v>
      </c>
    </row>
    <row r="729" spans="1:20" x14ac:dyDescent="0.2">
      <c r="A729" s="4">
        <v>34527</v>
      </c>
      <c r="B729" s="9">
        <f ca="1">Prices!C728*(1+J729/(50*(ABS(O729)+ABS(T729)+0.0001)))</f>
        <v>99.390015448368274</v>
      </c>
      <c r="C729" s="21">
        <f t="shared" ca="1" si="71"/>
        <v>1</v>
      </c>
      <c r="D729" s="9">
        <f ca="1">D728+C729*(Prices!C729-Prices!C728)/Prices!C728</f>
        <v>0.3335877713973468</v>
      </c>
      <c r="E729" s="9">
        <f t="shared" ca="1" si="72"/>
        <v>4.2094102832924918E-2</v>
      </c>
      <c r="F729" s="9">
        <f t="shared" ca="1" si="73"/>
        <v>0.37568187423027172</v>
      </c>
      <c r="G729" s="13">
        <f ca="1">IF((Prices!C729-Prices!C728)*C729&gt;0,1,0)</f>
        <v>0</v>
      </c>
      <c r="H729" s="9">
        <f>ABS(Prices!C729-Prices!C728)/Prices!C728</f>
        <v>3.5860655737704338E-3</v>
      </c>
      <c r="I729" s="13"/>
      <c r="J729" s="1">
        <f t="shared" ca="1" si="74"/>
        <v>1.1050531858358705E-3</v>
      </c>
      <c r="K729" s="9"/>
      <c r="L729" s="9">
        <f ca="1">L728-O729*Prices!C729</f>
        <v>0.8290146183064705</v>
      </c>
      <c r="M729" s="1">
        <f t="shared" ca="1" si="75"/>
        <v>1.2217088528839782E-2</v>
      </c>
      <c r="N729" s="9">
        <f ca="1">IF(Prices!D728&gt;OFFSET(Prices!D728,-$N$3,0),1,-1)</f>
        <v>1</v>
      </c>
      <c r="O729" s="1">
        <f ca="1">IF(N729=1,O$3*L728/Prices!C728,-O$3*M728)</f>
        <v>9.4340212609555683E-4</v>
      </c>
      <c r="P729" s="14"/>
      <c r="Q729" s="9">
        <f ca="1">Q728-T729*Prices!C729</f>
        <v>0.77313660597298484</v>
      </c>
      <c r="R729" s="1">
        <f t="shared" ca="1" si="76"/>
        <v>1.2636772659012623E-2</v>
      </c>
      <c r="S729" s="9">
        <f ca="1">IF(Prices!C728&lt;OFFSET(Prices!C728,-S$3,0),1,-1)</f>
        <v>1</v>
      </c>
      <c r="T729" s="1">
        <f ca="1">IF(S729=1,T$3*Q728/Prices!C728,-T$3*R728)</f>
        <v>1.6165105974031362E-4</v>
      </c>
    </row>
    <row r="730" spans="1:20" x14ac:dyDescent="0.2">
      <c r="A730" s="4">
        <v>34528</v>
      </c>
      <c r="B730" s="9">
        <f ca="1">Prices!C729*(1+J730/(50*(ABS(O730)+ABS(T730)+0.0001)))</f>
        <v>99.020004477240064</v>
      </c>
      <c r="C730" s="21">
        <f t="shared" ca="1" si="71"/>
        <v>1</v>
      </c>
      <c r="D730" s="9">
        <f ca="1">D729+C730*(Prices!C730-Prices!C729)/Prices!C729</f>
        <v>0.34438468656444188</v>
      </c>
      <c r="E730" s="9">
        <f t="shared" ca="1" si="72"/>
        <v>3.129718766582984E-2</v>
      </c>
      <c r="F730" s="9">
        <f t="shared" ca="1" si="73"/>
        <v>0.37568187423027172</v>
      </c>
      <c r="G730" s="13">
        <f ca="1">IF((Prices!C730-Prices!C729)*C730&gt;0,1,0)</f>
        <v>1</v>
      </c>
      <c r="H730" s="9">
        <f>ABS(Prices!C730-Prices!C729)/Prices!C729</f>
        <v>1.0796915167095087E-2</v>
      </c>
      <c r="I730" s="13"/>
      <c r="J730" s="1">
        <f t="shared" ca="1" si="74"/>
        <v>1.0114570071990412E-3</v>
      </c>
      <c r="K730" s="9"/>
      <c r="L730" s="9">
        <f ca="1">L729-O730*Prices!C730</f>
        <v>0.74521807642520976</v>
      </c>
      <c r="M730" s="1">
        <f t="shared" ca="1" si="75"/>
        <v>1.3069545719900421E-2</v>
      </c>
      <c r="N730" s="9">
        <f ca="1">IF(Prices!D729&gt;OFFSET(Prices!D729,-$N$3,0),1,-1)</f>
        <v>1</v>
      </c>
      <c r="O730" s="1">
        <f ca="1">IF(N730=1,O$3*L729/Prices!C729,-O$3*M729)</f>
        <v>8.5245719106063816E-4</v>
      </c>
      <c r="P730" s="14"/>
      <c r="Q730" s="9">
        <f ca="1">Q729-T730*Prices!C730</f>
        <v>0.75750692404657982</v>
      </c>
      <c r="R730" s="1">
        <f t="shared" ca="1" si="76"/>
        <v>1.2795772475151027E-2</v>
      </c>
      <c r="S730" s="9">
        <f ca="1">IF(Prices!C729&lt;OFFSET(Prices!C729,-S$3,0),1,-1)</f>
        <v>1</v>
      </c>
      <c r="T730" s="1">
        <f ca="1">IF(S730=1,T$3*Q729/Prices!C729,-T$3*R729)</f>
        <v>1.5899981613840306E-4</v>
      </c>
    </row>
    <row r="731" spans="1:20" x14ac:dyDescent="0.2">
      <c r="A731" s="4">
        <v>34529</v>
      </c>
      <c r="B731" s="9">
        <f ca="1">Prices!C730*(1+J731/(50*(ABS(O731)+ABS(T731)+0.0001)))</f>
        <v>96.848136101134202</v>
      </c>
      <c r="C731" s="21">
        <f t="shared" ca="1" si="71"/>
        <v>-1</v>
      </c>
      <c r="D731" s="9">
        <f ca="1">D730+C731*(Prices!C731-Prices!C730)/Prices!C730</f>
        <v>0.34133280457054566</v>
      </c>
      <c r="E731" s="9">
        <f t="shared" ca="1" si="72"/>
        <v>3.4349069659726061E-2</v>
      </c>
      <c r="F731" s="9">
        <f t="shared" ca="1" si="73"/>
        <v>0.37568187423027172</v>
      </c>
      <c r="G731" s="13">
        <f ca="1">IF((Prices!C731-Prices!C730)*C731&gt;0,1,0)</f>
        <v>0</v>
      </c>
      <c r="H731" s="9">
        <f>ABS(Prices!C731-Prices!C730)/Prices!C730</f>
        <v>3.0518819938962073E-3</v>
      </c>
      <c r="I731" s="13"/>
      <c r="J731" s="1">
        <f t="shared" ca="1" si="74"/>
        <v>-1.1528331225400766E-3</v>
      </c>
      <c r="K731" s="9"/>
      <c r="L731" s="9">
        <f ca="1">L730-O731*Prices!C731</f>
        <v>0.87408379722342788</v>
      </c>
      <c r="M731" s="1">
        <f t="shared" ca="1" si="75"/>
        <v>1.1762591147910378E-2</v>
      </c>
      <c r="N731" s="9">
        <f ca="1">IF(Prices!D730&gt;OFFSET(Prices!D730,-$N$3,0),1,-1)</f>
        <v>-1</v>
      </c>
      <c r="O731" s="1">
        <f ca="1">IF(N731=1,O$3*L730/Prices!C730,-O$3*M730)</f>
        <v>-1.3069545719900421E-3</v>
      </c>
      <c r="P731" s="14"/>
      <c r="Q731" s="9">
        <f ca="1">Q730-T731*Prices!C731</f>
        <v>0.74231054913081329</v>
      </c>
      <c r="R731" s="1">
        <f t="shared" ca="1" si="76"/>
        <v>1.2949893924600992E-2</v>
      </c>
      <c r="S731" s="9">
        <f ca="1">IF(Prices!C730&lt;OFFSET(Prices!C730,-S$3,0),1,-1)</f>
        <v>1</v>
      </c>
      <c r="T731" s="1">
        <f ca="1">IF(S731=1,T$3*Q730/Prices!C730,-T$3*R730)</f>
        <v>1.5412144944996537E-4</v>
      </c>
    </row>
    <row r="732" spans="1:20" x14ac:dyDescent="0.2">
      <c r="A732" s="4">
        <v>34530</v>
      </c>
      <c r="B732" s="9">
        <f ca="1">Prices!C731*(1+J732/(50*(ABS(O732)+ABS(T732)+0.0001)))</f>
        <v>96.756447550385872</v>
      </c>
      <c r="C732" s="21">
        <f t="shared" ca="1" si="71"/>
        <v>-1</v>
      </c>
      <c r="D732" s="9">
        <f ca="1">D731+C732*(Prices!C732-Prices!C731)/Prices!C731</f>
        <v>0.34883787556446039</v>
      </c>
      <c r="E732" s="9">
        <f t="shared" ca="1" si="72"/>
        <v>2.6843998665811331E-2</v>
      </c>
      <c r="F732" s="9">
        <f t="shared" ca="1" si="73"/>
        <v>0.37568187423027172</v>
      </c>
      <c r="G732" s="13">
        <f ca="1">IF((Prices!C732-Prices!C731)*C732&gt;0,1,0)</f>
        <v>1</v>
      </c>
      <c r="H732" s="9">
        <f>ABS(Prices!C732-Prices!C731)/Prices!C731</f>
        <v>7.505070993914756E-3</v>
      </c>
      <c r="I732" s="13"/>
      <c r="J732" s="1">
        <f t="shared" ca="1" si="74"/>
        <v>-1.4352569932830576E-3</v>
      </c>
      <c r="K732" s="9"/>
      <c r="L732" s="9">
        <f ca="1">L731-O732*Prices!C732</f>
        <v>0.98919251419687881</v>
      </c>
      <c r="M732" s="1">
        <f t="shared" ca="1" si="75"/>
        <v>1.0586332033119339E-2</v>
      </c>
      <c r="N732" s="9">
        <f ca="1">IF(Prices!D731&gt;OFFSET(Prices!D731,-$N$3,0),1,-1)</f>
        <v>-1</v>
      </c>
      <c r="O732" s="1">
        <f ca="1">IF(N732=1,O$3*L731/Prices!C731,-O$3*M731)</f>
        <v>-1.1762591147910378E-3</v>
      </c>
      <c r="P732" s="14"/>
      <c r="Q732" s="9">
        <f ca="1">Q731-T732*Prices!C732</f>
        <v>0.76765608152004239</v>
      </c>
      <c r="R732" s="1">
        <f t="shared" ca="1" si="76"/>
        <v>1.2690896046108973E-2</v>
      </c>
      <c r="S732" s="9">
        <f ca="1">IF(Prices!C731&lt;OFFSET(Prices!C731,-S$3,0),1,-1)</f>
        <v>-1</v>
      </c>
      <c r="T732" s="1">
        <f ca="1">IF(S732=1,T$3*Q731/Prices!C731,-T$3*R731)</f>
        <v>-2.5899787849201987E-4</v>
      </c>
    </row>
    <row r="733" spans="1:20" x14ac:dyDescent="0.2">
      <c r="A733" s="4">
        <v>34533</v>
      </c>
      <c r="B733" s="9">
        <f ca="1">Prices!C732*(1+J733/(50*(ABS(O733)+ABS(T733)+0.0001)))</f>
        <v>96.041367626618666</v>
      </c>
      <c r="C733" s="21">
        <f t="shared" ca="1" si="71"/>
        <v>-1</v>
      </c>
      <c r="D733" s="9">
        <f ca="1">D732+C733*(Prices!C733-Prices!C732)/Prices!C732</f>
        <v>0.34280885451398008</v>
      </c>
      <c r="E733" s="9">
        <f t="shared" ca="1" si="72"/>
        <v>3.287301971629164E-2</v>
      </c>
      <c r="F733" s="9">
        <f t="shared" ca="1" si="73"/>
        <v>0.37568187423027172</v>
      </c>
      <c r="G733" s="13">
        <f ca="1">IF((Prices!C733-Prices!C732)*C733&gt;0,1,0)</f>
        <v>0</v>
      </c>
      <c r="H733" s="9">
        <f>ABS(Prices!C733-Prices!C732)/Prices!C732</f>
        <v>6.0290210504803125E-3</v>
      </c>
      <c r="I733" s="13"/>
      <c r="J733" s="1">
        <f t="shared" ca="1" si="74"/>
        <v>-1.3124511242341135E-3</v>
      </c>
      <c r="K733" s="9"/>
      <c r="L733" s="9">
        <f ca="1">L732-O733*Prices!C733</f>
        <v>1.0934149530629387</v>
      </c>
      <c r="M733" s="1">
        <f t="shared" ca="1" si="75"/>
        <v>9.5276988298074045E-3</v>
      </c>
      <c r="N733" s="9">
        <f ca="1">IF(Prices!D732&gt;OFFSET(Prices!D732,-$N$3,0),1,-1)</f>
        <v>-1</v>
      </c>
      <c r="O733" s="1">
        <f ca="1">IF(N733=1,O$3*L732/Prices!C732,-O$3*M732)</f>
        <v>-1.0586332033119339E-3</v>
      </c>
      <c r="P733" s="14"/>
      <c r="Q733" s="9">
        <f ca="1">Q732-T733*Prices!C733</f>
        <v>0.79264445583483101</v>
      </c>
      <c r="R733" s="1">
        <f t="shared" ca="1" si="76"/>
        <v>1.2437078125186794E-2</v>
      </c>
      <c r="S733" s="9">
        <f ca="1">IF(Prices!C732&lt;OFFSET(Prices!C732,-S$3,0),1,-1)</f>
        <v>-1</v>
      </c>
      <c r="T733" s="1">
        <f ca="1">IF(S733=1,T$3*Q732/Prices!C732,-T$3*R732)</f>
        <v>-2.5381792092217948E-4</v>
      </c>
    </row>
    <row r="734" spans="1:20" x14ac:dyDescent="0.2">
      <c r="A734" s="4">
        <v>34534</v>
      </c>
      <c r="B734" s="9">
        <f ca="1">Prices!C733*(1+J734/(50*(ABS(O734)+ABS(T734)+0.0001)))</f>
        <v>96.632285646148659</v>
      </c>
      <c r="C734" s="21">
        <f t="shared" ca="1" si="71"/>
        <v>-1</v>
      </c>
      <c r="D734" s="9">
        <f ca="1">D733+C734*(Prices!C734-Prices!C733)/Prices!C733</f>
        <v>0.33417503023769773</v>
      </c>
      <c r="E734" s="9">
        <f t="shared" ca="1" si="72"/>
        <v>4.1506843992573983E-2</v>
      </c>
      <c r="F734" s="9">
        <f t="shared" ca="1" si="73"/>
        <v>0.37568187423027172</v>
      </c>
      <c r="G734" s="13">
        <f ca="1">IF((Prices!C734-Prices!C733)*C734&gt;0,1,0)</f>
        <v>0</v>
      </c>
      <c r="H734" s="9">
        <f>ABS(Prices!C734-Prices!C733)/Prices!C733</f>
        <v>8.6338242762823182E-3</v>
      </c>
      <c r="I734" s="13"/>
      <c r="J734" s="1">
        <f t="shared" ca="1" si="74"/>
        <v>-1.2015114454844763E-3</v>
      </c>
      <c r="K734" s="9"/>
      <c r="L734" s="9">
        <f ca="1">L733-O734*Prices!C734</f>
        <v>1.1880250024429262</v>
      </c>
      <c r="M734" s="1">
        <f t="shared" ca="1" si="75"/>
        <v>8.5749289468266647E-3</v>
      </c>
      <c r="N734" s="9">
        <f ca="1">IF(Prices!D733&gt;OFFSET(Prices!D733,-$N$3,0),1,-1)</f>
        <v>-1</v>
      </c>
      <c r="O734" s="1">
        <f ca="1">IF(N734=1,O$3*L733/Prices!C733,-O$3*M733)</f>
        <v>-9.5276988298074051E-4</v>
      </c>
      <c r="P734" s="14"/>
      <c r="Q734" s="9">
        <f ca="1">Q733-T734*Prices!C734</f>
        <v>0.81734449299145195</v>
      </c>
      <c r="R734" s="1">
        <f t="shared" ca="1" si="76"/>
        <v>1.2188336562683057E-2</v>
      </c>
      <c r="S734" s="9">
        <f ca="1">IF(Prices!C733&lt;OFFSET(Prices!C733,-S$3,0),1,-1)</f>
        <v>-1</v>
      </c>
      <c r="T734" s="1">
        <f ca="1">IF(S734=1,T$3*Q733/Prices!C733,-T$3*R733)</f>
        <v>-2.4874156250373589E-4</v>
      </c>
    </row>
    <row r="735" spans="1:20" x14ac:dyDescent="0.2">
      <c r="A735" s="4">
        <v>34535</v>
      </c>
      <c r="B735" s="9">
        <f ca="1">Prices!C734*(1+J735/(50*(ABS(O735)+ABS(T735)+0.0001)))</f>
        <v>97.479326458753832</v>
      </c>
      <c r="C735" s="21">
        <f t="shared" ca="1" si="71"/>
        <v>-1</v>
      </c>
      <c r="D735" s="9">
        <f ca="1">D734+C735*(Prices!C735-Prices!C734)/Prices!C734</f>
        <v>0.33870675229207842</v>
      </c>
      <c r="E735" s="9">
        <f t="shared" ca="1" si="72"/>
        <v>3.6975121938193301E-2</v>
      </c>
      <c r="F735" s="9">
        <f t="shared" ca="1" si="73"/>
        <v>0.37568187423027172</v>
      </c>
      <c r="G735" s="13">
        <f ca="1">IF((Prices!C735-Prices!C734)*C735&gt;0,1,0)</f>
        <v>1</v>
      </c>
      <c r="H735" s="9">
        <f>ABS(Prices!C735-Prices!C734)/Prices!C734</f>
        <v>4.5317220543806937E-3</v>
      </c>
      <c r="I735" s="13"/>
      <c r="J735" s="1">
        <f t="shared" ca="1" si="74"/>
        <v>-1.1012596259363278E-3</v>
      </c>
      <c r="K735" s="9"/>
      <c r="L735" s="9">
        <f ca="1">L734-O735*Prices!C735</f>
        <v>1.2727881750823078</v>
      </c>
      <c r="M735" s="1">
        <f t="shared" ca="1" si="75"/>
        <v>7.7174360521439986E-3</v>
      </c>
      <c r="N735" s="9">
        <f ca="1">IF(Prices!D734&gt;OFFSET(Prices!D734,-$N$3,0),1,-1)</f>
        <v>-1</v>
      </c>
      <c r="O735" s="1">
        <f ca="1">IF(N735=1,O$3*L734/Prices!C734,-O$3*M734)</f>
        <v>-8.5749289468266656E-4</v>
      </c>
      <c r="P735" s="14"/>
      <c r="Q735" s="9">
        <f ca="1">Q734-T735*Prices!C735</f>
        <v>0.84144083437587636</v>
      </c>
      <c r="R735" s="1">
        <f t="shared" ca="1" si="76"/>
        <v>1.1944569831429396E-2</v>
      </c>
      <c r="S735" s="9">
        <f ca="1">IF(Prices!C734&lt;OFFSET(Prices!C734,-S$3,0),1,-1)</f>
        <v>-1</v>
      </c>
      <c r="T735" s="1">
        <f ca="1">IF(S735=1,T$3*Q734/Prices!C734,-T$3*R734)</f>
        <v>-2.4376673125366116E-4</v>
      </c>
    </row>
    <row r="736" spans="1:20" x14ac:dyDescent="0.2">
      <c r="A736" s="4">
        <v>34536</v>
      </c>
      <c r="B736" s="9">
        <f ca="1">Prices!C735*(1+J736/(50*(ABS(O736)+ABS(T736)+0.0001)))</f>
        <v>100.12470318589081</v>
      </c>
      <c r="C736" s="21">
        <f t="shared" ca="1" si="71"/>
        <v>1</v>
      </c>
      <c r="D736" s="9">
        <f ca="1">D735+C736*(Prices!C736-Prices!C735)/Prices!C735</f>
        <v>0.34123583676349978</v>
      </c>
      <c r="E736" s="9">
        <f t="shared" ca="1" si="72"/>
        <v>3.4446037466771939E-2</v>
      </c>
      <c r="F736" s="9">
        <f t="shared" ca="1" si="73"/>
        <v>0.37568187423027172</v>
      </c>
      <c r="G736" s="13">
        <f ca="1">IF((Prices!C736-Prices!C735)*C736&gt;0,1,0)</f>
        <v>1</v>
      </c>
      <c r="H736" s="9">
        <f>ABS(Prices!C736-Prices!C735)/Prices!C735</f>
        <v>2.5290844714213456E-3</v>
      </c>
      <c r="I736" s="13"/>
      <c r="J736" s="1">
        <f t="shared" ca="1" si="74"/>
        <v>1.0487041269751629E-3</v>
      </c>
      <c r="K736" s="9"/>
      <c r="L736" s="9">
        <f ca="1">L735-O736*Prices!C736</f>
        <v>1.1451874586931761</v>
      </c>
      <c r="M736" s="1">
        <f t="shared" ca="1" si="75"/>
        <v>9.00503157574775E-3</v>
      </c>
      <c r="N736" s="9">
        <f ca="1">IF(Prices!D735&gt;OFFSET(Prices!D735,-$N$3,0),1,-1)</f>
        <v>1</v>
      </c>
      <c r="O736" s="1">
        <f ca="1">IF(N736=1,O$3*L735/Prices!C735,-O$3*M735)</f>
        <v>1.287595523603751E-3</v>
      </c>
      <c r="P736" s="14"/>
      <c r="Q736" s="9">
        <f ca="1">Q735-T736*Prices!C736</f>
        <v>0.86511497178176944</v>
      </c>
      <c r="R736" s="1">
        <f t="shared" ca="1" si="76"/>
        <v>1.1705678434800809E-2</v>
      </c>
      <c r="S736" s="9">
        <f ca="1">IF(Prices!C735&lt;OFFSET(Prices!C735,-S$3,0),1,-1)</f>
        <v>-1</v>
      </c>
      <c r="T736" s="1">
        <f ca="1">IF(S736=1,T$3*Q735/Prices!C735,-T$3*R735)</f>
        <v>-2.3889139662858794E-4</v>
      </c>
    </row>
    <row r="737" spans="1:20" x14ac:dyDescent="0.2">
      <c r="A737" s="4">
        <v>34537</v>
      </c>
      <c r="B737" s="9">
        <f ca="1">Prices!C736*(1+J737/(50*(ABS(O737)+ABS(T737)+0.0001)))</f>
        <v>100.32599195102782</v>
      </c>
      <c r="C737" s="21">
        <f t="shared" ca="1" si="71"/>
        <v>1</v>
      </c>
      <c r="D737" s="9">
        <f ca="1">D736+C737*(Prices!C737-Prices!C736)/Prices!C736</f>
        <v>0.33972221416006898</v>
      </c>
      <c r="E737" s="9">
        <f t="shared" ca="1" si="72"/>
        <v>3.5959660070202737E-2</v>
      </c>
      <c r="F737" s="9">
        <f t="shared" ca="1" si="73"/>
        <v>0.37568187423027172</v>
      </c>
      <c r="G737" s="13">
        <f ca="1">IF((Prices!C737-Prices!C736)*C737&gt;0,1,0)</f>
        <v>0</v>
      </c>
      <c r="H737" s="9">
        <f>ABS(Prices!C737-Prices!C736)/Prices!C736</f>
        <v>1.5136226034307919E-3</v>
      </c>
      <c r="I737" s="13"/>
      <c r="J737" s="1">
        <f t="shared" ca="1" si="74"/>
        <v>9.2147417973302136E-4</v>
      </c>
      <c r="K737" s="9"/>
      <c r="L737" s="9">
        <f ca="1">L736-O737*Prices!C737</f>
        <v>1.0308420509861227</v>
      </c>
      <c r="M737" s="1">
        <f t="shared" ca="1" si="75"/>
        <v>1.0160619324176787E-2</v>
      </c>
      <c r="N737" s="9">
        <f ca="1">IF(Prices!D736&gt;OFFSET(Prices!D736,-$N$3,0),1,-1)</f>
        <v>1</v>
      </c>
      <c r="O737" s="1">
        <f ca="1">IF(N737=1,O$3*L736/Prices!C736,-O$3*M736)</f>
        <v>1.1555877484290375E-3</v>
      </c>
      <c r="P737" s="14"/>
      <c r="Q737" s="9">
        <f ca="1">Q736-T737*Prices!C737</f>
        <v>0.88828050940424019</v>
      </c>
      <c r="R737" s="1">
        <f t="shared" ca="1" si="76"/>
        <v>1.1471564866104792E-2</v>
      </c>
      <c r="S737" s="9">
        <f ca="1">IF(Prices!C736&lt;OFFSET(Prices!C736,-S$3,0),1,-1)</f>
        <v>-1</v>
      </c>
      <c r="T737" s="1">
        <f ca="1">IF(S737=1,T$3*Q736/Prices!C736,-T$3*R736)</f>
        <v>-2.3411356869601618E-4</v>
      </c>
    </row>
    <row r="738" spans="1:20" x14ac:dyDescent="0.2">
      <c r="A738" s="4">
        <v>34540</v>
      </c>
      <c r="B738" s="9">
        <f ca="1">Prices!C737*(1+J738/(50*(ABS(O738)+ABS(T738)+0.0001)))</f>
        <v>100.12242228804864</v>
      </c>
      <c r="C738" s="21">
        <f t="shared" ca="1" si="71"/>
        <v>1</v>
      </c>
      <c r="D738" s="9">
        <f ca="1">D737+C738*(Prices!C738-Prices!C737)/Prices!C737</f>
        <v>0.33618507419038723</v>
      </c>
      <c r="E738" s="9">
        <f t="shared" ca="1" si="72"/>
        <v>3.9496800039884483E-2</v>
      </c>
      <c r="F738" s="9">
        <f t="shared" ca="1" si="73"/>
        <v>0.37568187423027172</v>
      </c>
      <c r="G738" s="13">
        <f ca="1">IF((Prices!C738-Prices!C737)*C738&gt;0,1,0)</f>
        <v>0</v>
      </c>
      <c r="H738" s="9">
        <f>ABS(Prices!C738-Prices!C737)/Prices!C737</f>
        <v>3.5371399696817437E-3</v>
      </c>
      <c r="I738" s="13"/>
      <c r="J738" s="1">
        <f t="shared" ca="1" si="74"/>
        <v>8.1234945152694178E-4</v>
      </c>
      <c r="K738" s="9"/>
      <c r="L738" s="9">
        <f ca="1">L737-O738*Prices!C738</f>
        <v>0.92812246914960761</v>
      </c>
      <c r="M738" s="1">
        <f t="shared" ca="1" si="75"/>
        <v>1.1202400073025824E-2</v>
      </c>
      <c r="N738" s="9">
        <f ca="1">IF(Prices!D737&gt;OFFSET(Prices!D737,-$N$3,0),1,-1)</f>
        <v>1</v>
      </c>
      <c r="O738" s="1">
        <f ca="1">IF(N738=1,O$3*L737/Prices!C737,-O$3*M737)</f>
        <v>1.0417807488490376E-3</v>
      </c>
      <c r="P738" s="14"/>
      <c r="Q738" s="9">
        <f ca="1">Q737-T738*Prices!C738</f>
        <v>0.91090243532019888</v>
      </c>
      <c r="R738" s="1">
        <f t="shared" ca="1" si="76"/>
        <v>1.1242133568782696E-2</v>
      </c>
      <c r="S738" s="9">
        <f ca="1">IF(Prices!C737&lt;OFFSET(Prices!C737,-S$3,0),1,-1)</f>
        <v>-1</v>
      </c>
      <c r="T738" s="1">
        <f ca="1">IF(S738=1,T$3*Q737/Prices!C737,-T$3*R737)</f>
        <v>-2.2943129732209584E-4</v>
      </c>
    </row>
    <row r="739" spans="1:20" x14ac:dyDescent="0.2">
      <c r="A739" s="4">
        <v>34541</v>
      </c>
      <c r="B739" s="9">
        <f ca="1">Prices!C738*(1+J739/(50*(ABS(O739)+ABS(T739)+0.0001)))</f>
        <v>97.287015786410251</v>
      </c>
      <c r="C739" s="21">
        <f t="shared" ca="1" si="71"/>
        <v>-1</v>
      </c>
      <c r="D739" s="9">
        <f ca="1">D738+C739*(Prices!C739-Prices!C738)/Prices!C738</f>
        <v>0.33922767053927161</v>
      </c>
      <c r="E739" s="9">
        <f t="shared" ca="1" si="72"/>
        <v>3.6454203691000109E-2</v>
      </c>
      <c r="F739" s="9">
        <f t="shared" ca="1" si="73"/>
        <v>0.37568187423027172</v>
      </c>
      <c r="G739" s="13">
        <f ca="1">IF((Prices!C739-Prices!C738)*C739&gt;0,1,0)</f>
        <v>1</v>
      </c>
      <c r="H739" s="9">
        <f>ABS(Prices!C739-Prices!C738)/Prices!C738</f>
        <v>3.0425963488843527E-3</v>
      </c>
      <c r="I739" s="13"/>
      <c r="J739" s="1">
        <f t="shared" ca="1" si="74"/>
        <v>-9.3547277904290735E-4</v>
      </c>
      <c r="K739" s="9"/>
      <c r="L739" s="9">
        <f ca="1">L738-O739*Prices!C739</f>
        <v>1.0382420618674515</v>
      </c>
      <c r="M739" s="1">
        <f t="shared" ca="1" si="75"/>
        <v>1.0082160065723243E-2</v>
      </c>
      <c r="N739" s="9">
        <f ca="1">IF(Prices!D738&gt;OFFSET(Prices!D738,-$N$3,0),1,-1)</f>
        <v>-1</v>
      </c>
      <c r="O739" s="1">
        <f ca="1">IF(N739=1,O$3*L738/Prices!C738,-O$3*M738)</f>
        <v>-1.1202400073025826E-3</v>
      </c>
      <c r="P739" s="14"/>
      <c r="Q739" s="9">
        <f ca="1">Q738-T739*Prices!C739</f>
        <v>0.89273981678227277</v>
      </c>
      <c r="R739" s="1">
        <f t="shared" ca="1" si="76"/>
        <v>1.1426900797042372E-2</v>
      </c>
      <c r="S739" s="9">
        <f ca="1">IF(Prices!C738&lt;OFFSET(Prices!C738,-S$3,0),1,-1)</f>
        <v>1</v>
      </c>
      <c r="T739" s="1">
        <f ca="1">IF(S739=1,T$3*Q738/Prices!C738,-T$3*R738)</f>
        <v>1.8476722825967523E-4</v>
      </c>
    </row>
    <row r="740" spans="1:20" x14ac:dyDescent="0.2">
      <c r="A740" s="4">
        <v>34542</v>
      </c>
      <c r="B740" s="9">
        <f ca="1">Prices!C739*(1+J740/(50*(ABS(O740)+ABS(T740)+0.0001)))</f>
        <v>97.040121330318385</v>
      </c>
      <c r="C740" s="21">
        <f t="shared" ca="1" si="71"/>
        <v>-1</v>
      </c>
      <c r="D740" s="9">
        <f ca="1">D739+C740*(Prices!C740-Prices!C739)/Prices!C739</f>
        <v>0.33749827074273037</v>
      </c>
      <c r="E740" s="9">
        <f t="shared" ca="1" si="72"/>
        <v>3.8183603487541351E-2</v>
      </c>
      <c r="F740" s="9">
        <f t="shared" ca="1" si="73"/>
        <v>0.37568187423027172</v>
      </c>
      <c r="G740" s="13">
        <f ca="1">IF((Prices!C740-Prices!C739)*C740&gt;0,1,0)</f>
        <v>0</v>
      </c>
      <c r="H740" s="9">
        <f>ABS(Prices!C740-Prices!C739)/Prices!C739</f>
        <v>1.7293997965412177E-3</v>
      </c>
      <c r="I740" s="13"/>
      <c r="J740" s="1">
        <f t="shared" ca="1" si="74"/>
        <v>-8.2658023510085474E-4</v>
      </c>
      <c r="K740" s="9"/>
      <c r="L740" s="9">
        <f ca="1">L739-O740*Prices!C740</f>
        <v>1.1375210920346284</v>
      </c>
      <c r="M740" s="1">
        <f t="shared" ca="1" si="75"/>
        <v>9.073944059150919E-3</v>
      </c>
      <c r="N740" s="9">
        <f ca="1">IF(Prices!D739&gt;OFFSET(Prices!D739,-$N$3,0),1,-1)</f>
        <v>-1</v>
      </c>
      <c r="O740" s="1">
        <f ca="1">IF(N740=1,O$3*L739/Prices!C739,-O$3*M739)</f>
        <v>-1.0082160065723242E-3</v>
      </c>
      <c r="P740" s="14"/>
      <c r="Q740" s="9">
        <f ca="1">Q739-T740*Prices!C740</f>
        <v>0.87485414236547721</v>
      </c>
      <c r="R740" s="1">
        <f t="shared" ca="1" si="76"/>
        <v>1.1608536568513841E-2</v>
      </c>
      <c r="S740" s="9">
        <f ca="1">IF(Prices!C739&lt;OFFSET(Prices!C739,-S$3,0),1,-1)</f>
        <v>1</v>
      </c>
      <c r="T740" s="1">
        <f ca="1">IF(S740=1,T$3*Q739/Prices!C739,-T$3*R739)</f>
        <v>1.8163577147146953E-4</v>
      </c>
    </row>
    <row r="741" spans="1:20" x14ac:dyDescent="0.2">
      <c r="A741" s="4">
        <v>34543</v>
      </c>
      <c r="B741" s="9">
        <f ca="1">Prices!C740*(1+J741/(50*(ABS(O741)+ABS(T741)+0.0001)))</f>
        <v>100.30195701505379</v>
      </c>
      <c r="C741" s="21">
        <f t="shared" ca="1" si="71"/>
        <v>1</v>
      </c>
      <c r="D741" s="9">
        <f ca="1">D740+C741*(Prices!C741-Prices!C740)/Prices!C740</f>
        <v>0.35455930456013673</v>
      </c>
      <c r="E741" s="9">
        <f t="shared" ca="1" si="72"/>
        <v>2.1122569670134983E-2</v>
      </c>
      <c r="F741" s="9">
        <f t="shared" ca="1" si="73"/>
        <v>0.37568187423027172</v>
      </c>
      <c r="G741" s="13">
        <f ca="1">IF((Prices!C741-Prices!C740)*C741&gt;0,1,0)</f>
        <v>1</v>
      </c>
      <c r="H741" s="9">
        <f>ABS(Prices!C741-Prices!C740)/Prices!C740</f>
        <v>1.7061033817406385E-2</v>
      </c>
      <c r="I741" s="13"/>
      <c r="J741" s="1">
        <f t="shared" ca="1" si="74"/>
        <v>1.3328850619556453E-3</v>
      </c>
      <c r="K741" s="9"/>
      <c r="L741" s="9">
        <f ca="1">L740-O741*Prices!C741</f>
        <v>1.0218282542492438</v>
      </c>
      <c r="M741" s="1">
        <f t="shared" ca="1" si="75"/>
        <v>1.0229139643628048E-2</v>
      </c>
      <c r="N741" s="9">
        <f ca="1">IF(Prices!D740&gt;OFFSET(Prices!D740,-$N$3,0),1,-1)</f>
        <v>1</v>
      </c>
      <c r="O741" s="1">
        <f ca="1">IF(N741=1,O$3*L740/Prices!C740,-O$3*M740)</f>
        <v>1.1551955844771285E-3</v>
      </c>
      <c r="P741" s="14"/>
      <c r="Q741" s="9">
        <f ca="1">Q740-T741*Prices!C741</f>
        <v>0.85705854119600378</v>
      </c>
      <c r="R741" s="1">
        <f t="shared" ca="1" si="76"/>
        <v>1.1786226045992358E-2</v>
      </c>
      <c r="S741" s="9">
        <f ca="1">IF(Prices!C740&lt;OFFSET(Prices!C740,-S$3,0),1,-1)</f>
        <v>1</v>
      </c>
      <c r="T741" s="1">
        <f ca="1">IF(S741=1,T$3*Q740/Prices!C740,-T$3*R740)</f>
        <v>1.7768947747851677E-4</v>
      </c>
    </row>
    <row r="742" spans="1:20" x14ac:dyDescent="0.2">
      <c r="A742" s="4">
        <v>34544</v>
      </c>
      <c r="B742" s="9">
        <f ca="1">Prices!C741*(1+J742/(50*(ABS(O742)+ABS(T742)+0.0001)))</f>
        <v>101.30890443698175</v>
      </c>
      <c r="C742" s="21">
        <f t="shared" ca="1" si="71"/>
        <v>1</v>
      </c>
      <c r="D742" s="9">
        <f ca="1">D741+C742*(Prices!C742-Prices!C741)/Prices!C741</f>
        <v>0.35455930456013673</v>
      </c>
      <c r="E742" s="9">
        <f t="shared" ca="1" si="72"/>
        <v>2.1122569670134983E-2</v>
      </c>
      <c r="F742" s="9">
        <f t="shared" ca="1" si="73"/>
        <v>0.37568187423027172</v>
      </c>
      <c r="G742" s="13">
        <f ca="1">IF((Prices!C742-Prices!C741)*C742&gt;0,1,0)</f>
        <v>0</v>
      </c>
      <c r="H742" s="9">
        <f>ABS(Prices!C742-Prices!C741)/Prices!C741</f>
        <v>0</v>
      </c>
      <c r="I742" s="13"/>
      <c r="J742" s="1">
        <f t="shared" ca="1" si="74"/>
        <v>7.8457328661808983E-4</v>
      </c>
      <c r="K742" s="9"/>
      <c r="L742" s="9">
        <f ca="1">L741-O742*Prices!C742</f>
        <v>0.91964542882431943</v>
      </c>
      <c r="M742" s="1">
        <f t="shared" ca="1" si="75"/>
        <v>1.1249437451165986E-2</v>
      </c>
      <c r="N742" s="9">
        <f ca="1">IF(Prices!D741&gt;OFFSET(Prices!D741,-$N$3,0),1,-1)</f>
        <v>1</v>
      </c>
      <c r="O742" s="1">
        <f ca="1">IF(N742=1,O$3*L741/Prices!C741,-O$3*M741)</f>
        <v>1.020297807537937E-3</v>
      </c>
      <c r="P742" s="14"/>
      <c r="Q742" s="9">
        <f ca="1">Q741-T742*Prices!C742</f>
        <v>0.88066635196612642</v>
      </c>
      <c r="R742" s="1">
        <f t="shared" ca="1" si="76"/>
        <v>1.1550501525072511E-2</v>
      </c>
      <c r="S742" s="9">
        <f ca="1">IF(Prices!C741&lt;OFFSET(Prices!C741,-S$3,0),1,-1)</f>
        <v>-1</v>
      </c>
      <c r="T742" s="1">
        <f ca="1">IF(S742=1,T$3*Q741/Prices!C741,-T$3*R741)</f>
        <v>-2.3572452091984717E-4</v>
      </c>
    </row>
    <row r="743" spans="1:20" x14ac:dyDescent="0.2">
      <c r="A743" s="4">
        <v>34547</v>
      </c>
      <c r="B743" s="9">
        <f ca="1">Prices!C742*(1+J743/(50*(ABS(O743)+ABS(T743)+0.0001)))</f>
        <v>98.284573048921132</v>
      </c>
      <c r="C743" s="21">
        <f t="shared" ca="1" si="71"/>
        <v>-1</v>
      </c>
      <c r="D743" s="9">
        <f ca="1">D742+C743*(Prices!C743-Prices!C742)/Prices!C742</f>
        <v>0.3619482211851992</v>
      </c>
      <c r="E743" s="9">
        <f t="shared" ca="1" si="72"/>
        <v>1.3733653045072514E-2</v>
      </c>
      <c r="F743" s="9">
        <f t="shared" ca="1" si="73"/>
        <v>0.37568187423027172</v>
      </c>
      <c r="G743" s="13">
        <f ca="1">IF((Prices!C743-Prices!C742)*C743&gt;0,1,0)</f>
        <v>1</v>
      </c>
      <c r="H743" s="9">
        <f>ABS(Prices!C743-Prices!C742)/Prices!C742</f>
        <v>7.3889166250624971E-3</v>
      </c>
      <c r="I743" s="13"/>
      <c r="J743" s="1">
        <f t="shared" ca="1" si="74"/>
        <v>-1.3559537756180488E-3</v>
      </c>
      <c r="K743" s="9"/>
      <c r="L743" s="9">
        <f ca="1">L742-O743*Prices!C743</f>
        <v>1.0314760865263606</v>
      </c>
      <c r="M743" s="1">
        <f t="shared" ca="1" si="75"/>
        <v>1.0124493706049387E-2</v>
      </c>
      <c r="N743" s="9">
        <f ca="1">IF(Prices!D742&gt;OFFSET(Prices!D742,-$N$3,0),1,-1)</f>
        <v>-1</v>
      </c>
      <c r="O743" s="1">
        <f ca="1">IF(N743=1,O$3*L742/Prices!C742,-O$3*M742)</f>
        <v>-1.1249437451165986E-3</v>
      </c>
      <c r="P743" s="14"/>
      <c r="Q743" s="9">
        <f ca="1">Q742-T743*Prices!C743</f>
        <v>0.90363105909827557</v>
      </c>
      <c r="R743" s="1">
        <f t="shared" ca="1" si="76"/>
        <v>1.131949149457106E-2</v>
      </c>
      <c r="S743" s="9">
        <f ca="1">IF(Prices!C742&lt;OFFSET(Prices!C742,-S$3,0),1,-1)</f>
        <v>-1</v>
      </c>
      <c r="T743" s="1">
        <f ca="1">IF(S743=1,T$3*Q742/Prices!C742,-T$3*R742)</f>
        <v>-2.3101003050145021E-4</v>
      </c>
    </row>
    <row r="744" spans="1:20" x14ac:dyDescent="0.2">
      <c r="A744" s="4">
        <v>34548</v>
      </c>
      <c r="B744" s="9">
        <f ca="1">Prices!C743*(1+J744/(50*(ABS(O744)+ABS(T744)+0.0001)))</f>
        <v>97.570301776707979</v>
      </c>
      <c r="C744" s="21">
        <f t="shared" ca="1" si="71"/>
        <v>-1</v>
      </c>
      <c r="D744" s="9">
        <f ca="1">D743+C744*(Prices!C744-Prices!C743)/Prices!C743</f>
        <v>0.35188887101921995</v>
      </c>
      <c r="E744" s="9">
        <f t="shared" ca="1" si="72"/>
        <v>2.3793003211051766E-2</v>
      </c>
      <c r="F744" s="9">
        <f t="shared" ca="1" si="73"/>
        <v>0.37568187423027172</v>
      </c>
      <c r="G744" s="13">
        <f ca="1">IF((Prices!C744-Prices!C743)*C744&gt;0,1,0)</f>
        <v>0</v>
      </c>
      <c r="H744" s="9">
        <f>ABS(Prices!C744-Prices!C743)/Prices!C743</f>
        <v>1.0059350165979279E-2</v>
      </c>
      <c r="I744" s="13"/>
      <c r="J744" s="1">
        <f t="shared" ca="1" si="74"/>
        <v>-1.23883920049636E-3</v>
      </c>
      <c r="K744" s="9"/>
      <c r="L744" s="9">
        <f ca="1">L743-O744*Prices!C744</f>
        <v>1.1331361278288026</v>
      </c>
      <c r="M744" s="1">
        <f t="shared" ca="1" si="75"/>
        <v>9.112044335444448E-3</v>
      </c>
      <c r="N744" s="9">
        <f ca="1">IF(Prices!D743&gt;OFFSET(Prices!D743,-$N$3,0),1,-1)</f>
        <v>-1</v>
      </c>
      <c r="O744" s="1">
        <f ca="1">IF(N744=1,O$3*L743/Prices!C743,-O$3*M743)</f>
        <v>-1.0124493706049388E-3</v>
      </c>
      <c r="P744" s="14"/>
      <c r="Q744" s="9">
        <f ca="1">Q743-T744*Prices!C744</f>
        <v>0.92636286191767314</v>
      </c>
      <c r="R744" s="1">
        <f t="shared" ca="1" si="76"/>
        <v>1.1093101664679639E-2</v>
      </c>
      <c r="S744" s="9">
        <f ca="1">IF(Prices!C743&lt;OFFSET(Prices!C743,-S$3,0),1,-1)</f>
        <v>-1</v>
      </c>
      <c r="T744" s="1">
        <f ca="1">IF(S744=1,T$3*Q743/Prices!C743,-T$3*R743)</f>
        <v>-2.2638982989142123E-4</v>
      </c>
    </row>
    <row r="745" spans="1:20" x14ac:dyDescent="0.2">
      <c r="A745" s="4">
        <v>34549</v>
      </c>
      <c r="B745" s="9">
        <f ca="1">Prices!C744*(1+J745/(50*(ABS(O745)+ABS(T745)+0.0001)))</f>
        <v>98.56466226687759</v>
      </c>
      <c r="C745" s="21">
        <f t="shared" ca="1" si="71"/>
        <v>-1</v>
      </c>
      <c r="D745" s="9">
        <f ca="1">D744+C745*(Prices!C745-Prices!C744)/Prices!C744</f>
        <v>0.35298437943471639</v>
      </c>
      <c r="E745" s="9">
        <f t="shared" ca="1" si="72"/>
        <v>2.2697494795555329E-2</v>
      </c>
      <c r="F745" s="9">
        <f t="shared" ca="1" si="73"/>
        <v>0.37568187423027172</v>
      </c>
      <c r="G745" s="13">
        <f ca="1">IF((Prices!C745-Prices!C744)*C745&gt;0,1,0)</f>
        <v>1</v>
      </c>
      <c r="H745" s="9">
        <f>ABS(Prices!C745-Prices!C744)/Prices!C744</f>
        <v>1.0955084154964589E-3</v>
      </c>
      <c r="I745" s="13"/>
      <c r="J745" s="1">
        <f t="shared" ca="1" si="74"/>
        <v>-1.1330664668380377E-3</v>
      </c>
      <c r="K745" s="9"/>
      <c r="L745" s="9">
        <f ca="1">L744-O745*Prices!C745</f>
        <v>1.2245299325133103</v>
      </c>
      <c r="M745" s="1">
        <f t="shared" ca="1" si="75"/>
        <v>8.200839901900004E-3</v>
      </c>
      <c r="N745" s="9">
        <f ca="1">IF(Prices!D744&gt;OFFSET(Prices!D744,-$N$3,0),1,-1)</f>
        <v>-1</v>
      </c>
      <c r="O745" s="1">
        <f ca="1">IF(N745=1,O$3*L744/Prices!C744,-O$3*M744)</f>
        <v>-9.112044335444448E-4</v>
      </c>
      <c r="P745" s="14"/>
      <c r="Q745" s="9">
        <f ca="1">Q744-T745*Prices!C745</f>
        <v>0.94861562385702047</v>
      </c>
      <c r="R745" s="1">
        <f t="shared" ca="1" si="76"/>
        <v>1.0871239631386045E-2</v>
      </c>
      <c r="S745" s="9">
        <f ca="1">IF(Prices!C744&lt;OFFSET(Prices!C744,-S$3,0),1,-1)</f>
        <v>-1</v>
      </c>
      <c r="T745" s="1">
        <f ca="1">IF(S745=1,T$3*Q744/Prices!C744,-T$3*R744)</f>
        <v>-2.2186203329359279E-4</v>
      </c>
    </row>
    <row r="746" spans="1:20" x14ac:dyDescent="0.2">
      <c r="A746" s="4">
        <v>34550</v>
      </c>
      <c r="B746" s="9">
        <f ca="1">Prices!C745*(1+J746/(50*(ABS(O746)+ABS(T746)+0.0001)))</f>
        <v>98.470350286723146</v>
      </c>
      <c r="C746" s="21">
        <f t="shared" ca="1" si="71"/>
        <v>-1</v>
      </c>
      <c r="D746" s="9">
        <f ca="1">D745+C746*(Prices!C746-Prices!C745)/Prices!C745</f>
        <v>0.34999335251547414</v>
      </c>
      <c r="E746" s="9">
        <f t="shared" ca="1" si="72"/>
        <v>2.5688521714797574E-2</v>
      </c>
      <c r="F746" s="9">
        <f t="shared" ca="1" si="73"/>
        <v>0.37568187423027172</v>
      </c>
      <c r="G746" s="13">
        <f ca="1">IF((Prices!C746-Prices!C745)*C746&gt;0,1,0)</f>
        <v>0</v>
      </c>
      <c r="H746" s="9">
        <f>ABS(Prices!C746-Prices!C745)/Prices!C745</f>
        <v>2.9910269192422448E-3</v>
      </c>
      <c r="I746" s="13"/>
      <c r="J746" s="1">
        <f t="shared" ca="1" si="74"/>
        <v>-1.0375087828177214E-3</v>
      </c>
      <c r="K746" s="9"/>
      <c r="L746" s="9">
        <f ca="1">L745-O746*Prices!C746</f>
        <v>1.3070303819264244</v>
      </c>
      <c r="M746" s="1">
        <f t="shared" ca="1" si="75"/>
        <v>7.3807559117100036E-3</v>
      </c>
      <c r="N746" s="9">
        <f ca="1">IF(Prices!D745&gt;OFFSET(Prices!D745,-$N$3,0),1,-1)</f>
        <v>-1</v>
      </c>
      <c r="O746" s="1">
        <f ca="1">IF(N746=1,O$3*L745/Prices!C745,-O$3*M745)</f>
        <v>-8.200839901900004E-4</v>
      </c>
      <c r="P746" s="14"/>
      <c r="Q746" s="9">
        <f ca="1">Q745-T746*Prices!C746</f>
        <v>0.97048855799536915</v>
      </c>
      <c r="R746" s="1">
        <f t="shared" ca="1" si="76"/>
        <v>1.0653814838758324E-2</v>
      </c>
      <c r="S746" s="9">
        <f ca="1">IF(Prices!C745&lt;OFFSET(Prices!C745,-S$3,0),1,-1)</f>
        <v>-1</v>
      </c>
      <c r="T746" s="1">
        <f ca="1">IF(S746=1,T$3*Q745/Prices!C745,-T$3*R745)</f>
        <v>-2.1742479262772092E-4</v>
      </c>
    </row>
    <row r="747" spans="1:20" x14ac:dyDescent="0.2">
      <c r="A747" s="4">
        <v>34551</v>
      </c>
      <c r="B747" s="9">
        <f ca="1">Prices!C746*(1+J747/(50*(ABS(O747)+ABS(T747)+0.0001)))</f>
        <v>101.95541523335885</v>
      </c>
      <c r="C747" s="21">
        <f t="shared" ca="1" si="71"/>
        <v>1</v>
      </c>
      <c r="D747" s="9">
        <f ca="1">D746+C747*(Prices!C747-Prices!C746)/Prices!C746</f>
        <v>0.34651422726696524</v>
      </c>
      <c r="E747" s="9">
        <f t="shared" ca="1" si="72"/>
        <v>2.9167646963306482E-2</v>
      </c>
      <c r="F747" s="9">
        <f t="shared" ca="1" si="73"/>
        <v>0.37568187423027172</v>
      </c>
      <c r="G747" s="13">
        <f ca="1">IF((Prices!C747-Prices!C746)*C747&gt;0,1,0)</f>
        <v>0</v>
      </c>
      <c r="H747" s="9">
        <f>ABS(Prices!C747-Prices!C746)/Prices!C746</f>
        <v>3.4791252485088901E-3</v>
      </c>
      <c r="I747" s="13"/>
      <c r="J747" s="1">
        <f t="shared" ca="1" si="74"/>
        <v>1.0861586753186949E-3</v>
      </c>
      <c r="K747" s="9"/>
      <c r="L747" s="9">
        <f ca="1">L746-O747*Prices!C747</f>
        <v>1.1767820759740149</v>
      </c>
      <c r="M747" s="1">
        <f t="shared" ca="1" si="75"/>
        <v>8.6799908838038654E-3</v>
      </c>
      <c r="N747" s="9">
        <f ca="1">IF(Prices!D746&gt;OFFSET(Prices!D746,-$N$3,0),1,-1)</f>
        <v>1</v>
      </c>
      <c r="O747" s="1">
        <f ca="1">IF(N747=1,O$3*L746/Prices!C746,-O$3*M746)</f>
        <v>1.2992349720938614E-3</v>
      </c>
      <c r="P747" s="14"/>
      <c r="Q747" s="9">
        <f ca="1">Q746-T747*Prices!C747</f>
        <v>0.99184945674707958</v>
      </c>
      <c r="R747" s="1">
        <f t="shared" ca="1" si="76"/>
        <v>1.0440738541983158E-2</v>
      </c>
      <c r="S747" s="9">
        <f ca="1">IF(Prices!C746&lt;OFFSET(Prices!C746,-S$3,0),1,-1)</f>
        <v>-1</v>
      </c>
      <c r="T747" s="1">
        <f ca="1">IF(S747=1,T$3*Q746/Prices!C746,-T$3*R746)</f>
        <v>-2.1307629677516648E-4</v>
      </c>
    </row>
    <row r="748" spans="1:20" x14ac:dyDescent="0.2">
      <c r="A748" s="4">
        <v>34554</v>
      </c>
      <c r="B748" s="9">
        <f ca="1">Prices!C747*(1+J748/(50*(ABS(O748)+ABS(T748)+0.0001)))</f>
        <v>101.55501101306277</v>
      </c>
      <c r="C748" s="21">
        <f t="shared" ca="1" si="71"/>
        <v>1</v>
      </c>
      <c r="D748" s="9">
        <f ca="1">D747+C748*(Prices!C748-Prices!C747)/Prices!C747</f>
        <v>0.35908280582058127</v>
      </c>
      <c r="E748" s="9">
        <f t="shared" ca="1" si="72"/>
        <v>1.6599068409690443E-2</v>
      </c>
      <c r="F748" s="9">
        <f t="shared" ca="1" si="73"/>
        <v>0.37568187423027172</v>
      </c>
      <c r="G748" s="13">
        <f ca="1">IF((Prices!C748-Prices!C747)*C748&gt;0,1,0)</f>
        <v>1</v>
      </c>
      <c r="H748" s="9">
        <f>ABS(Prices!C748-Prices!C747)/Prices!C747</f>
        <v>1.2568578553616011E-2</v>
      </c>
      <c r="I748" s="13"/>
      <c r="J748" s="1">
        <f t="shared" ca="1" si="74"/>
        <v>9.6503268649102516E-4</v>
      </c>
      <c r="K748" s="9"/>
      <c r="L748" s="9">
        <f ca="1">L747-O748*Prices!C748</f>
        <v>1.0576248205803767</v>
      </c>
      <c r="M748" s="1">
        <f t="shared" ca="1" si="75"/>
        <v>9.8538383411345531E-3</v>
      </c>
      <c r="N748" s="9">
        <f ca="1">IF(Prices!D747&gt;OFFSET(Prices!D747,-$N$3,0),1,-1)</f>
        <v>1</v>
      </c>
      <c r="O748" s="1">
        <f ca="1">IF(N748=1,O$3*L747/Prices!C747,-O$3*M747)</f>
        <v>1.1738474573306883E-3</v>
      </c>
      <c r="P748" s="14"/>
      <c r="Q748" s="9">
        <f ca="1">Q747-T748*Prices!C748</f>
        <v>1.0130462441350139</v>
      </c>
      <c r="R748" s="1">
        <f t="shared" ca="1" si="76"/>
        <v>1.0231923771143495E-2</v>
      </c>
      <c r="S748" s="9">
        <f ca="1">IF(Prices!C747&lt;OFFSET(Prices!C747,-S$3,0),1,-1)</f>
        <v>-1</v>
      </c>
      <c r="T748" s="1">
        <f ca="1">IF(S748=1,T$3*Q747/Prices!C747,-T$3*R747)</f>
        <v>-2.0881477083966316E-4</v>
      </c>
    </row>
    <row r="749" spans="1:20" x14ac:dyDescent="0.2">
      <c r="A749" s="4">
        <v>34555</v>
      </c>
      <c r="B749" s="9">
        <f ca="1">Prices!C748*(1+J749/(50*(ABS(O749)+ABS(T749)+0.0001)))</f>
        <v>102.77234966588031</v>
      </c>
      <c r="C749" s="21">
        <f t="shared" ca="1" si="71"/>
        <v>1</v>
      </c>
      <c r="D749" s="9">
        <f ca="1">D748+C749*(Prices!C749-Prices!C748)/Prices!C748</f>
        <v>0.35721106904587918</v>
      </c>
      <c r="E749" s="9">
        <f t="shared" ca="1" si="72"/>
        <v>1.8470805184392536E-2</v>
      </c>
      <c r="F749" s="9">
        <f t="shared" ca="1" si="73"/>
        <v>0.37568187423027172</v>
      </c>
      <c r="G749" s="13">
        <f ca="1">IF((Prices!C749-Prices!C748)*C749&gt;0,1,0)</f>
        <v>0</v>
      </c>
      <c r="H749" s="9">
        <f>ABS(Prices!C749-Prices!C748)/Prices!C748</f>
        <v>1.8717367747021173E-3</v>
      </c>
      <c r="I749" s="13"/>
      <c r="J749" s="1">
        <f t="shared" ca="1" si="74"/>
        <v>8.3725377221812759E-4</v>
      </c>
      <c r="K749" s="9"/>
      <c r="L749" s="9">
        <f ca="1">L748-O749*Prices!C749</f>
        <v>0.95206029804939085</v>
      </c>
      <c r="M749" s="1">
        <f t="shared" ca="1" si="75"/>
        <v>1.089573058877555E-2</v>
      </c>
      <c r="N749" s="9">
        <f ca="1">IF(Prices!D748&gt;OFFSET(Prices!D748,-$N$3,0),1,-1)</f>
        <v>1</v>
      </c>
      <c r="O749" s="1">
        <f ca="1">IF(N749=1,O$3*L748/Prices!C748,-O$3*M748)</f>
        <v>1.0418922476409975E-3</v>
      </c>
      <c r="P749" s="14"/>
      <c r="Q749" s="9">
        <f ca="1">Q748-T749*Prices!C749</f>
        <v>1.0337802144648591</v>
      </c>
      <c r="R749" s="1">
        <f t="shared" ca="1" si="76"/>
        <v>1.0027285295720625E-2</v>
      </c>
      <c r="S749" s="9">
        <f ca="1">IF(Prices!C748&lt;OFFSET(Prices!C748,-S$3,0),1,-1)</f>
        <v>-1</v>
      </c>
      <c r="T749" s="1">
        <f ca="1">IF(S749=1,T$3*Q748/Prices!C748,-T$3*R748)</f>
        <v>-2.046384754228699E-4</v>
      </c>
    </row>
    <row r="750" spans="1:20" x14ac:dyDescent="0.2">
      <c r="A750" s="4">
        <v>34556</v>
      </c>
      <c r="B750" s="9">
        <f ca="1">Prices!C749*(1+J750/(50*(ABS(O750)+ABS(T750)+0.0001)))</f>
        <v>102.52765337658371</v>
      </c>
      <c r="C750" s="21">
        <f t="shared" ca="1" si="71"/>
        <v>1</v>
      </c>
      <c r="D750" s="9">
        <f ca="1">D749+C750*(Prices!C750-Prices!C749)/Prices!C749</f>
        <v>0.35750716063687799</v>
      </c>
      <c r="E750" s="9">
        <f t="shared" ca="1" si="72"/>
        <v>1.8174713593393732E-2</v>
      </c>
      <c r="F750" s="9">
        <f t="shared" ca="1" si="73"/>
        <v>0.37568187423027172</v>
      </c>
      <c r="G750" s="13">
        <f ca="1">IF((Prices!C750-Prices!C749)*C750&gt;0,1,0)</f>
        <v>1</v>
      </c>
      <c r="H750" s="9">
        <f>ABS(Prices!C750-Prices!C749)/Prices!C749</f>
        <v>2.9609159099882687E-4</v>
      </c>
      <c r="I750" s="13"/>
      <c r="J750" s="1">
        <f t="shared" ca="1" si="74"/>
        <v>7.3911112200642339E-4</v>
      </c>
      <c r="K750" s="9"/>
      <c r="L750" s="9">
        <f ca="1">L749-O750*Prices!C750</f>
        <v>0.85682607853961412</v>
      </c>
      <c r="M750" s="1">
        <f t="shared" ca="1" si="75"/>
        <v>1.1835387416696387E-2</v>
      </c>
      <c r="N750" s="9">
        <f ca="1">IF(Prices!D749&gt;OFFSET(Prices!D749,-$N$3,0),1,-1)</f>
        <v>1</v>
      </c>
      <c r="O750" s="1">
        <f ca="1">IF(N750=1,O$3*L749/Prices!C749,-O$3*M749)</f>
        <v>9.3965682792083592E-4</v>
      </c>
      <c r="P750" s="14"/>
      <c r="Q750" s="9">
        <f ca="1">Q749-T750*Prices!C750</f>
        <v>1.0541055217592847</v>
      </c>
      <c r="R750" s="1">
        <f t="shared" ca="1" si="76"/>
        <v>9.8267395898062136E-3</v>
      </c>
      <c r="S750" s="9">
        <f ca="1">IF(Prices!C749&lt;OFFSET(Prices!C749,-S$3,0),1,-1)</f>
        <v>-1</v>
      </c>
      <c r="T750" s="1">
        <f ca="1">IF(S750=1,T$3*Q749/Prices!C749,-T$3*R749)</f>
        <v>-2.0054570591441251E-4</v>
      </c>
    </row>
    <row r="751" spans="1:20" x14ac:dyDescent="0.2">
      <c r="A751" s="4">
        <v>34557</v>
      </c>
      <c r="B751" s="9">
        <f ca="1">Prices!C750*(1+J751/(50*(ABS(O751)+ABS(T751)+0.0001)))</f>
        <v>102.50178306758261</v>
      </c>
      <c r="C751" s="21">
        <f t="shared" ca="1" si="71"/>
        <v>1</v>
      </c>
      <c r="D751" s="9">
        <f ca="1">D750+C751*(Prices!C751-Prices!C750)/Prices!C750</f>
        <v>0.34665368259050411</v>
      </c>
      <c r="E751" s="9">
        <f t="shared" ca="1" si="72"/>
        <v>2.9028191639767609E-2</v>
      </c>
      <c r="F751" s="9">
        <f t="shared" ca="1" si="73"/>
        <v>0.37568187423027172</v>
      </c>
      <c r="G751" s="13">
        <f ca="1">IF((Prices!C751-Prices!C750)*C751&gt;0,1,0)</f>
        <v>0</v>
      </c>
      <c r="H751" s="9">
        <f>ABS(Prices!C751-Prices!C750)/Prices!C750</f>
        <v>1.0853478046373896E-2</v>
      </c>
      <c r="I751" s="13"/>
      <c r="J751" s="1">
        <f t="shared" ca="1" si="74"/>
        <v>6.4887821120300179E-4</v>
      </c>
      <c r="K751" s="9"/>
      <c r="L751" s="9">
        <f ca="1">L750-O751*Prices!C751</f>
        <v>0.77207342498895171</v>
      </c>
      <c r="M751" s="1">
        <f t="shared" ca="1" si="75"/>
        <v>1.2680800419695513E-2</v>
      </c>
      <c r="N751" s="9">
        <f ca="1">IF(Prices!D750&gt;OFFSET(Prices!D750,-$N$3,0),1,-1)</f>
        <v>1</v>
      </c>
      <c r="O751" s="1">
        <f ca="1">IF(N751=1,O$3*L750/Prices!C750,-O$3*M750)</f>
        <v>8.4541300299912606E-4</v>
      </c>
      <c r="P751" s="14"/>
      <c r="Q751" s="9">
        <f ca="1">Q750-T751*Prices!C751</f>
        <v>1.0738081346368462</v>
      </c>
      <c r="R751" s="1">
        <f t="shared" ca="1" si="76"/>
        <v>9.6302047980100884E-3</v>
      </c>
      <c r="S751" s="9">
        <f ca="1">IF(Prices!C750&lt;OFFSET(Prices!C750,-S$3,0),1,-1)</f>
        <v>-1</v>
      </c>
      <c r="T751" s="1">
        <f ca="1">IF(S751=1,T$3*Q750/Prices!C750,-T$3*R750)</f>
        <v>-1.9653479179612427E-4</v>
      </c>
    </row>
    <row r="752" spans="1:20" x14ac:dyDescent="0.2">
      <c r="A752" s="4">
        <v>34558</v>
      </c>
      <c r="B752" s="9">
        <f ca="1">Prices!C751*(1+J752/(50*(ABS(O752)+ABS(T752)+0.0001)))</f>
        <v>101.33960084126193</v>
      </c>
      <c r="C752" s="21">
        <f t="shared" ca="1" si="71"/>
        <v>1</v>
      </c>
      <c r="D752" s="9">
        <f ca="1">D751+C752*(Prices!C752-Prices!C751)/Prices!C751</f>
        <v>0.34565617635609019</v>
      </c>
      <c r="E752" s="9">
        <f t="shared" ca="1" si="72"/>
        <v>3.0025697874181523E-2</v>
      </c>
      <c r="F752" s="9">
        <f t="shared" ca="1" si="73"/>
        <v>0.37568187423027172</v>
      </c>
      <c r="G752" s="13">
        <f ca="1">IF((Prices!C752-Prices!C751)*C752&gt;0,1,0)</f>
        <v>0</v>
      </c>
      <c r="H752" s="9">
        <f>ABS(Prices!C752-Prices!C751)/Prices!C751</f>
        <v>9.9750623441390842E-4</v>
      </c>
      <c r="I752" s="13"/>
      <c r="J752" s="1">
        <f t="shared" ca="1" si="74"/>
        <v>5.7754395889162043E-4</v>
      </c>
      <c r="K752" s="9"/>
      <c r="L752" s="9">
        <f ca="1">L751-O752*Prices!C752</f>
        <v>0.69494309729554171</v>
      </c>
      <c r="M752" s="1">
        <f t="shared" ca="1" si="75"/>
        <v>1.3450948474547336E-2</v>
      </c>
      <c r="N752" s="9">
        <f ca="1">IF(Prices!D751&gt;OFFSET(Prices!D751,-$N$3,0),1,-1)</f>
        <v>1</v>
      </c>
      <c r="O752" s="1">
        <f ca="1">IF(N752=1,O$3*L751/Prices!C751,-O$3*M751)</f>
        <v>7.7014805485182221E-4</v>
      </c>
      <c r="P752" s="14"/>
      <c r="Q752" s="9">
        <f ca="1">Q751-T752*Prices!C752</f>
        <v>1.0930974348472604</v>
      </c>
      <c r="R752" s="1">
        <f t="shared" ca="1" si="76"/>
        <v>9.4376007020498861E-3</v>
      </c>
      <c r="S752" s="9">
        <f ca="1">IF(Prices!C751&lt;OFFSET(Prices!C751,-S$3,0),1,-1)</f>
        <v>-1</v>
      </c>
      <c r="T752" s="1">
        <f ca="1">IF(S752=1,T$3*Q751/Prices!C751,-T$3*R751)</f>
        <v>-1.9260409596020178E-4</v>
      </c>
    </row>
    <row r="753" spans="1:20" x14ac:dyDescent="0.2">
      <c r="A753" s="4">
        <v>34561</v>
      </c>
      <c r="B753" s="9">
        <f ca="1">Prices!C752*(1+J753/(50*(ABS(O753)+ABS(T753)+0.0001)))</f>
        <v>98.793138279816731</v>
      </c>
      <c r="C753" s="21">
        <f t="shared" ca="1" si="71"/>
        <v>-1</v>
      </c>
      <c r="D753" s="9">
        <f ca="1">D752+C753*(Prices!C753-Prices!C752)/Prices!C752</f>
        <v>0.34515692523277519</v>
      </c>
      <c r="E753" s="9">
        <f t="shared" ca="1" si="72"/>
        <v>3.0524948997496526E-2</v>
      </c>
      <c r="F753" s="9">
        <f t="shared" ca="1" si="73"/>
        <v>0.37568187423027172</v>
      </c>
      <c r="G753" s="13">
        <f ca="1">IF((Prices!C753-Prices!C752)*C753&gt;0,1,0)</f>
        <v>0</v>
      </c>
      <c r="H753" s="9">
        <f>ABS(Prices!C753-Prices!C752)/Prices!C752</f>
        <v>4.9925112331499909E-4</v>
      </c>
      <c r="I753" s="13"/>
      <c r="J753" s="1">
        <f t="shared" ca="1" si="74"/>
        <v>-1.1268027985586258E-3</v>
      </c>
      <c r="K753" s="9"/>
      <c r="L753" s="9">
        <f ca="1">L752-O753*Prices!C753</f>
        <v>0.82972160101050607</v>
      </c>
      <c r="M753" s="1">
        <f t="shared" ca="1" si="75"/>
        <v>1.2105853627092603E-2</v>
      </c>
      <c r="N753" s="9">
        <f ca="1">IF(Prices!D752&gt;OFFSET(Prices!D752,-$N$3,0),1,-1)</f>
        <v>-1</v>
      </c>
      <c r="O753" s="1">
        <f ca="1">IF(N753=1,O$3*L752/Prices!C752,-O$3*M752)</f>
        <v>-1.3450948474547338E-3</v>
      </c>
      <c r="P753" s="14"/>
      <c r="Q753" s="9">
        <f ca="1">Q752-T753*Prices!C753</f>
        <v>1.0712245715478703</v>
      </c>
      <c r="R753" s="1">
        <f t="shared" ca="1" si="76"/>
        <v>9.6558927509459939E-3</v>
      </c>
      <c r="S753" s="9">
        <f ca="1">IF(Prices!C752&lt;OFFSET(Prices!C752,-S$3,0),1,-1)</f>
        <v>1</v>
      </c>
      <c r="T753" s="1">
        <f ca="1">IF(S753=1,T$3*Q752/Prices!C752,-T$3*R752)</f>
        <v>2.1829204889610792E-4</v>
      </c>
    </row>
    <row r="754" spans="1:20" x14ac:dyDescent="0.2">
      <c r="A754" s="4">
        <v>34562</v>
      </c>
      <c r="B754" s="9">
        <f ca="1">Prices!C753*(1+J754/(50*(ABS(O754)+ABS(T754)+0.0001)))</f>
        <v>98.889635413497075</v>
      </c>
      <c r="C754" s="21">
        <f t="shared" ca="1" si="71"/>
        <v>-1</v>
      </c>
      <c r="D754" s="9">
        <f ca="1">D753+C754*(Prices!C754-Prices!C753)/Prices!C753</f>
        <v>0.34136451006311458</v>
      </c>
      <c r="E754" s="9">
        <f t="shared" ca="1" si="72"/>
        <v>3.4317364167157138E-2</v>
      </c>
      <c r="F754" s="9">
        <f t="shared" ca="1" si="73"/>
        <v>0.37568187423027172</v>
      </c>
      <c r="G754" s="13">
        <f ca="1">IF((Prices!C754-Prices!C753)*C754&gt;0,1,0)</f>
        <v>0</v>
      </c>
      <c r="H754" s="9">
        <f>ABS(Prices!C754-Prices!C753)/Prices!C753</f>
        <v>3.7924151696606331E-3</v>
      </c>
      <c r="I754" s="13"/>
      <c r="J754" s="1">
        <f t="shared" ca="1" si="74"/>
        <v>-9.9676808295918649E-4</v>
      </c>
      <c r="K754" s="9"/>
      <c r="L754" s="9">
        <f ca="1">L753-O754*Prices!C754</f>
        <v>0.95148227679180342</v>
      </c>
      <c r="M754" s="1">
        <f t="shared" ca="1" si="75"/>
        <v>1.0895268264383343E-2</v>
      </c>
      <c r="N754" s="9">
        <f ca="1">IF(Prices!D753&gt;OFFSET(Prices!D753,-$N$3,0),1,-1)</f>
        <v>-1</v>
      </c>
      <c r="O754" s="1">
        <f ca="1">IF(N754=1,O$3*L753/Prices!C753,-O$3*M753)</f>
        <v>-1.2105853627092603E-3</v>
      </c>
      <c r="P754" s="14"/>
      <c r="Q754" s="9">
        <f ca="1">Q753-T754*Prices!C754</f>
        <v>1.0497188295506079</v>
      </c>
      <c r="R754" s="1">
        <f t="shared" ca="1" si="76"/>
        <v>9.8697100306960675E-3</v>
      </c>
      <c r="S754" s="9">
        <f ca="1">IF(Prices!C753&lt;OFFSET(Prices!C753,-S$3,0),1,-1)</f>
        <v>1</v>
      </c>
      <c r="T754" s="1">
        <f ca="1">IF(S754=1,T$3*Q753/Prices!C753,-T$3*R753)</f>
        <v>2.138172797500739E-4</v>
      </c>
    </row>
    <row r="755" spans="1:20" x14ac:dyDescent="0.2">
      <c r="A755" s="4">
        <v>34563</v>
      </c>
      <c r="B755" s="9">
        <f ca="1">Prices!C754*(1+J755/(50*(ABS(O755)+ABS(T755)+0.0001)))</f>
        <v>99.312850322610259</v>
      </c>
      <c r="C755" s="21">
        <f t="shared" ca="1" si="71"/>
        <v>-1</v>
      </c>
      <c r="D755" s="9">
        <f ca="1">D754+C755*(Prices!C755-Prices!C754)/Prices!C754</f>
        <v>0.34583856057017365</v>
      </c>
      <c r="E755" s="9">
        <f t="shared" ca="1" si="72"/>
        <v>2.984331366009807E-2</v>
      </c>
      <c r="F755" s="9">
        <f t="shared" ca="1" si="73"/>
        <v>0.37568187423027172</v>
      </c>
      <c r="G755" s="13">
        <f ca="1">IF((Prices!C755-Prices!C754)*C755&gt;0,1,0)</f>
        <v>1</v>
      </c>
      <c r="H755" s="9">
        <f>ABS(Prices!C755-Prices!C754)/Prices!C754</f>
        <v>4.4740505070590859E-3</v>
      </c>
      <c r="I755" s="13"/>
      <c r="J755" s="1">
        <f t="shared" ca="1" si="74"/>
        <v>-8.8079371258854161E-4</v>
      </c>
      <c r="K755" s="9"/>
      <c r="L755" s="9">
        <f ca="1">L754-O755*Prices!C755</f>
        <v>1.0605765979230739</v>
      </c>
      <c r="M755" s="1">
        <f t="shared" ca="1" si="75"/>
        <v>9.8057414379450081E-3</v>
      </c>
      <c r="N755" s="9">
        <f ca="1">IF(Prices!D754&gt;OFFSET(Prices!D754,-$N$3,0),1,-1)</f>
        <v>-1</v>
      </c>
      <c r="O755" s="1">
        <f ca="1">IF(N755=1,O$3*L754/Prices!C754,-O$3*M754)</f>
        <v>-1.0895268264383344E-3</v>
      </c>
      <c r="P755" s="14"/>
      <c r="Q755" s="9">
        <f ca="1">Q754-T755*Prices!C755</f>
        <v>1.0288183828608282</v>
      </c>
      <c r="R755" s="1">
        <f t="shared" ca="1" si="76"/>
        <v>1.0078443144545861E-2</v>
      </c>
      <c r="S755" s="9">
        <f ca="1">IF(Prices!C754&lt;OFFSET(Prices!C754,-S$3,0),1,-1)</f>
        <v>1</v>
      </c>
      <c r="T755" s="1">
        <f ca="1">IF(S755=1,T$3*Q754/Prices!C754,-T$3*R754)</f>
        <v>2.0873311384979277E-4</v>
      </c>
    </row>
    <row r="756" spans="1:20" x14ac:dyDescent="0.2">
      <c r="A756" s="4">
        <v>34564</v>
      </c>
      <c r="B756" s="9">
        <f ca="1">Prices!C755*(1+J756/(50*(ABS(O756)+ABS(T756)+0.0001)))</f>
        <v>98.923090879420073</v>
      </c>
      <c r="C756" s="21">
        <f t="shared" ca="1" si="71"/>
        <v>-1</v>
      </c>
      <c r="D756" s="9">
        <f ca="1">D755+C756*(Prices!C756-Prices!C755)/Prices!C755</f>
        <v>0.36131843673116432</v>
      </c>
      <c r="E756" s="9">
        <f t="shared" ca="1" si="72"/>
        <v>1.4363437499107401E-2</v>
      </c>
      <c r="F756" s="9">
        <f t="shared" ca="1" si="73"/>
        <v>0.37568187423027172</v>
      </c>
      <c r="G756" s="13">
        <f ca="1">IF((Prices!C756-Prices!C755)*C756&gt;0,1,0)</f>
        <v>1</v>
      </c>
      <c r="H756" s="9">
        <f>ABS(Prices!C756-Prices!C755)/Prices!C755</f>
        <v>1.5479876160990684E-2</v>
      </c>
      <c r="I756" s="13"/>
      <c r="J756" s="1">
        <f t="shared" ca="1" si="74"/>
        <v>-7.7507761271274154E-4</v>
      </c>
      <c r="K756" s="9"/>
      <c r="L756" s="9">
        <f ca="1">L755-O756*Prices!C756</f>
        <v>1.1572415970183358</v>
      </c>
      <c r="M756" s="1">
        <f t="shared" ca="1" si="75"/>
        <v>8.8251672941505079E-3</v>
      </c>
      <c r="N756" s="9">
        <f ca="1">IF(Prices!D755&gt;OFFSET(Prices!D755,-$N$3,0),1,-1)</f>
        <v>-1</v>
      </c>
      <c r="O756" s="1">
        <f ca="1">IF(N756=1,O$3*L755/Prices!C755,-O$3*M755)</f>
        <v>-9.8057414379450094E-4</v>
      </c>
      <c r="P756" s="14"/>
      <c r="Q756" s="9">
        <f ca="1">Q755-T756*Prices!C756</f>
        <v>1.0085605348267883</v>
      </c>
      <c r="R756" s="1">
        <f t="shared" ca="1" si="76"/>
        <v>1.028393967562762E-2</v>
      </c>
      <c r="S756" s="9">
        <f ca="1">IF(Prices!C755&lt;OFFSET(Prices!C755,-S$3,0),1,-1)</f>
        <v>1</v>
      </c>
      <c r="T756" s="1">
        <f ca="1">IF(S756=1,T$3*Q755/Prices!C755,-T$3*R755)</f>
        <v>2.0549653108175935E-4</v>
      </c>
    </row>
    <row r="757" spans="1:20" x14ac:dyDescent="0.2">
      <c r="A757" s="4">
        <v>34565</v>
      </c>
      <c r="B757" s="9">
        <f ca="1">Prices!C756*(1+J757/(50*(ABS(O757)+ABS(T757)+0.0001)))</f>
        <v>100.41825122908048</v>
      </c>
      <c r="C757" s="21">
        <f t="shared" ca="1" si="71"/>
        <v>1</v>
      </c>
      <c r="D757" s="9">
        <f ca="1">D756+C757*(Prices!C757-Prices!C756)/Prices!C756</f>
        <v>0.36202851991233703</v>
      </c>
      <c r="E757" s="9">
        <f t="shared" ca="1" si="72"/>
        <v>1.3653354317934685E-2</v>
      </c>
      <c r="F757" s="9">
        <f t="shared" ca="1" si="73"/>
        <v>0.37568187423027172</v>
      </c>
      <c r="G757" s="13">
        <f ca="1">IF((Prices!C757-Prices!C756)*C757&gt;0,1,0)</f>
        <v>1</v>
      </c>
      <c r="H757" s="9">
        <f>ABS(Prices!C757-Prices!C756)/Prices!C756</f>
        <v>7.1008318117272659E-4</v>
      </c>
      <c r="I757" s="13"/>
      <c r="J757" s="1">
        <f t="shared" ca="1" si="74"/>
        <v>1.3785288131301415E-3</v>
      </c>
      <c r="K757" s="9"/>
      <c r="L757" s="9">
        <f ca="1">L756-O757*Prices!C757</f>
        <v>1.0414352635370427</v>
      </c>
      <c r="M757" s="1">
        <f t="shared" ca="1" si="75"/>
        <v>9.9990784292877926E-3</v>
      </c>
      <c r="N757" s="9">
        <f ca="1">IF(Prices!D756&gt;OFFSET(Prices!D756,-$N$3,0),1,-1)</f>
        <v>1</v>
      </c>
      <c r="O757" s="1">
        <f ca="1">IF(N757=1,O$3*L756/Prices!C756,-O$3*M756)</f>
        <v>1.1739111351372854E-3</v>
      </c>
      <c r="P757" s="14"/>
      <c r="Q757" s="9">
        <f ca="1">Q756-T757*Prices!C757</f>
        <v>0.98837500089279307</v>
      </c>
      <c r="R757" s="1">
        <f t="shared" ca="1" si="76"/>
        <v>1.0488557353620477E-2</v>
      </c>
      <c r="S757" s="9">
        <f ca="1">IF(Prices!C756&lt;OFFSET(Prices!C756,-S$3,0),1,-1)</f>
        <v>1</v>
      </c>
      <c r="T757" s="1">
        <f ca="1">IF(S757=1,T$3*Q756/Prices!C756,-T$3*R756)</f>
        <v>2.046176779928562E-4</v>
      </c>
    </row>
    <row r="758" spans="1:20" x14ac:dyDescent="0.2">
      <c r="A758" s="4">
        <v>34568</v>
      </c>
      <c r="B758" s="9">
        <f ca="1">Prices!C757*(1+J758/(50*(ABS(O758)+ABS(T758)+0.0001)))</f>
        <v>100.47750573224577</v>
      </c>
      <c r="C758" s="21">
        <f t="shared" ca="1" si="71"/>
        <v>1</v>
      </c>
      <c r="D758" s="9">
        <f ca="1">D757+C758*(Prices!C758-Prices!C757)/Prices!C757</f>
        <v>0.35341219958795783</v>
      </c>
      <c r="E758" s="9">
        <f t="shared" ca="1" si="72"/>
        <v>2.2269674642313886E-2</v>
      </c>
      <c r="F758" s="9">
        <f t="shared" ca="1" si="73"/>
        <v>0.37568187423027172</v>
      </c>
      <c r="G758" s="13">
        <f ca="1">IF((Prices!C758-Prices!C757)*C758&gt;0,1,0)</f>
        <v>0</v>
      </c>
      <c r="H758" s="9">
        <f>ABS(Prices!C758-Prices!C757)/Prices!C757</f>
        <v>8.6163203243792043E-3</v>
      </c>
      <c r="I758" s="13"/>
      <c r="J758" s="1">
        <f t="shared" ca="1" si="74"/>
        <v>1.2560671705175888E-3</v>
      </c>
      <c r="K758" s="9"/>
      <c r="L758" s="9">
        <f ca="1">L757-O758*Prices!C758</f>
        <v>0.93818907116611239</v>
      </c>
      <c r="M758" s="1">
        <f t="shared" ca="1" si="75"/>
        <v>1.1054765467845363E-2</v>
      </c>
      <c r="N758" s="9">
        <f ca="1">IF(Prices!D757&gt;OFFSET(Prices!D757,-$N$3,0),1,-1)</f>
        <v>1</v>
      </c>
      <c r="O758" s="1">
        <f ca="1">IF(N758=1,O$3*L757/Prices!C757,-O$3*M757)</f>
        <v>1.0556870385575699E-3</v>
      </c>
      <c r="P758" s="14"/>
      <c r="Q758" s="9">
        <f ca="1">Q757-T758*Prices!C758</f>
        <v>0.96877782398710321</v>
      </c>
      <c r="R758" s="1">
        <f t="shared" ca="1" si="76"/>
        <v>1.0688937485580497E-2</v>
      </c>
      <c r="S758" s="9">
        <f ca="1">IF(Prices!C757&lt;OFFSET(Prices!C757,-S$3,0),1,-1)</f>
        <v>1</v>
      </c>
      <c r="T758" s="1">
        <f ca="1">IF(S758=1,T$3*Q757/Prices!C757,-T$3*R757)</f>
        <v>2.0038013196001887E-4</v>
      </c>
    </row>
    <row r="759" spans="1:20" x14ac:dyDescent="0.2">
      <c r="A759" s="4">
        <v>34569</v>
      </c>
      <c r="B759" s="9">
        <f ca="1">Prices!C758*(1+J759/(50*(ABS(O759)+ABS(T759)+0.0001)))</f>
        <v>99.60044185044147</v>
      </c>
      <c r="C759" s="21">
        <f t="shared" ca="1" si="71"/>
        <v>1</v>
      </c>
      <c r="D759" s="9">
        <f ca="1">D758+C759*(Prices!C759-Prices!C758)/Prices!C758</f>
        <v>0.35423019549797824</v>
      </c>
      <c r="E759" s="9">
        <f t="shared" ca="1" si="72"/>
        <v>2.1451678732293478E-2</v>
      </c>
      <c r="F759" s="9">
        <f t="shared" ca="1" si="73"/>
        <v>0.37568187423027172</v>
      </c>
      <c r="G759" s="13">
        <f ca="1">IF((Prices!C759-Prices!C758)*C759&gt;0,1,0)</f>
        <v>1</v>
      </c>
      <c r="H759" s="9">
        <f>ABS(Prices!C759-Prices!C758)/Prices!C758</f>
        <v>8.1799591002043245E-4</v>
      </c>
      <c r="I759" s="13"/>
      <c r="J759" s="1">
        <f t="shared" ca="1" si="74"/>
        <v>1.1574076032346964E-3</v>
      </c>
      <c r="K759" s="9"/>
      <c r="L759" s="9">
        <f ca="1">L758-O759*Prices!C759</f>
        <v>0.84429342056719714</v>
      </c>
      <c r="M759" s="1">
        <f t="shared" ca="1" si="75"/>
        <v>1.2014058996645068E-2</v>
      </c>
      <c r="N759" s="9">
        <f ca="1">IF(Prices!D758&gt;OFFSET(Prices!D758,-$N$3,0),1,-1)</f>
        <v>1</v>
      </c>
      <c r="O759" s="1">
        <f ca="1">IF(N759=1,O$3*L758/Prices!C758,-O$3*M758)</f>
        <v>9.5929352879970601E-4</v>
      </c>
      <c r="P759" s="14"/>
      <c r="Q759" s="9">
        <f ca="1">Q758-T759*Prices!C759</f>
        <v>0.94938641838140636</v>
      </c>
      <c r="R759" s="1">
        <f t="shared" ca="1" si="76"/>
        <v>1.0887051560015487E-2</v>
      </c>
      <c r="S759" s="9">
        <f ca="1">IF(Prices!C758&lt;OFFSET(Prices!C758,-S$3,0),1,-1)</f>
        <v>1</v>
      </c>
      <c r="T759" s="1">
        <f ca="1">IF(S759=1,T$3*Q758/Prices!C758,-T$3*R758)</f>
        <v>1.9811407443499045E-4</v>
      </c>
    </row>
    <row r="760" spans="1:20" x14ac:dyDescent="0.2">
      <c r="A760" s="4">
        <v>34570</v>
      </c>
      <c r="B760" s="9">
        <f ca="1">Prices!C759*(1+J760/(50*(ABS(O760)+ABS(T760)+0.0001)))</f>
        <v>99.668340895896492</v>
      </c>
      <c r="C760" s="21">
        <f t="shared" ca="1" si="71"/>
        <v>1</v>
      </c>
      <c r="D760" s="9">
        <f ca="1">D759+C760*(Prices!C760-Prices!C759)/Prices!C759</f>
        <v>0.36587711008727125</v>
      </c>
      <c r="E760" s="9">
        <f t="shared" ca="1" si="72"/>
        <v>9.8047641430004662E-3</v>
      </c>
      <c r="F760" s="9">
        <f t="shared" ca="1" si="73"/>
        <v>0.37568187423027172</v>
      </c>
      <c r="G760" s="13">
        <f ca="1">IF((Prices!C760-Prices!C759)*C760&gt;0,1,0)</f>
        <v>1</v>
      </c>
      <c r="H760" s="9">
        <f>ABS(Prices!C760-Prices!C759)/Prices!C759</f>
        <v>1.1646914589293018E-2</v>
      </c>
      <c r="I760" s="13"/>
      <c r="J760" s="1">
        <f t="shared" ca="1" si="74"/>
        <v>1.0565699879888418E-3</v>
      </c>
      <c r="K760" s="9"/>
      <c r="L760" s="9">
        <f ca="1">L759-O760*Prices!C760</f>
        <v>0.75888073717471261</v>
      </c>
      <c r="M760" s="1">
        <f t="shared" ca="1" si="75"/>
        <v>1.2876639115737014E-2</v>
      </c>
      <c r="N760" s="9">
        <f ca="1">IF(Prices!D759&gt;OFFSET(Prices!D759,-$N$3,0),1,-1)</f>
        <v>1</v>
      </c>
      <c r="O760" s="1">
        <f ca="1">IF(N760=1,O$3*L759/Prices!C759,-O$3*M759)</f>
        <v>8.6258011909194643E-4</v>
      </c>
      <c r="P760" s="14"/>
      <c r="Q760" s="9">
        <f ca="1">Q759-T760*Prices!C760</f>
        <v>0.93017754156323573</v>
      </c>
      <c r="R760" s="1">
        <f t="shared" ca="1" si="76"/>
        <v>1.1081041428912383E-2</v>
      </c>
      <c r="S760" s="9">
        <f ca="1">IF(Prices!C759&lt;OFFSET(Prices!C759,-S$3,0),1,-1)</f>
        <v>1</v>
      </c>
      <c r="T760" s="1">
        <f ca="1">IF(S760=1,T$3*Q759/Prices!C759,-T$3*R759)</f>
        <v>1.9398986889689548E-4</v>
      </c>
    </row>
    <row r="761" spans="1:20" x14ac:dyDescent="0.2">
      <c r="A761" s="4">
        <v>34571</v>
      </c>
      <c r="B761" s="9">
        <f ca="1">Prices!C760*(1+J761/(50*(ABS(O761)+ABS(T761)+0.0001)))</f>
        <v>97.162660882303086</v>
      </c>
      <c r="C761" s="21">
        <f t="shared" ca="1" si="71"/>
        <v>-1</v>
      </c>
      <c r="D761" s="9">
        <f ca="1">D760+C761*(Prices!C761-Prices!C760)/Prices!C760</f>
        <v>0.35900981055182379</v>
      </c>
      <c r="E761" s="9">
        <f t="shared" ca="1" si="72"/>
        <v>1.6672063678447924E-2</v>
      </c>
      <c r="F761" s="9">
        <f t="shared" ca="1" si="73"/>
        <v>0.37568187423027172</v>
      </c>
      <c r="G761" s="13">
        <f ca="1">IF((Prices!C761-Prices!C760)*C761&gt;0,1,0)</f>
        <v>0</v>
      </c>
      <c r="H761" s="9">
        <f>ABS(Prices!C761-Prices!C760)/Prices!C760</f>
        <v>6.8672995354474532E-3</v>
      </c>
      <c r="I761" s="13"/>
      <c r="J761" s="1">
        <f t="shared" ca="1" si="74"/>
        <v>-1.5092847401519493E-3</v>
      </c>
      <c r="K761" s="9"/>
      <c r="L761" s="9">
        <f ca="1">L760-O761*Prices!C761</f>
        <v>0.8872608291586106</v>
      </c>
      <c r="M761" s="1">
        <f t="shared" ca="1" si="75"/>
        <v>1.1588975204163313E-2</v>
      </c>
      <c r="N761" s="9">
        <f ca="1">IF(Prices!D760&gt;OFFSET(Prices!D760,-$N$3,0),1,-1)</f>
        <v>-1</v>
      </c>
      <c r="O761" s="1">
        <f ca="1">IF(N761=1,O$3*L760/Prices!C760,-O$3*M760)</f>
        <v>-1.2876639115737016E-3</v>
      </c>
      <c r="P761" s="14"/>
      <c r="Q761" s="9">
        <f ca="1">Q760-T761*Prices!C761</f>
        <v>0.95227313817248704</v>
      </c>
      <c r="R761" s="1">
        <f t="shared" ca="1" si="76"/>
        <v>1.0859420600334135E-2</v>
      </c>
      <c r="S761" s="9">
        <f ca="1">IF(Prices!C760&lt;OFFSET(Prices!C760,-S$3,0),1,-1)</f>
        <v>-1</v>
      </c>
      <c r="T761" s="1">
        <f ca="1">IF(S761=1,T$3*Q760/Prices!C760,-T$3*R760)</f>
        <v>-2.2162082857824766E-4</v>
      </c>
    </row>
    <row r="762" spans="1:20" x14ac:dyDescent="0.2">
      <c r="A762" s="4">
        <v>34572</v>
      </c>
      <c r="B762" s="9">
        <f ca="1">Prices!C761*(1+J762/(50*(ABS(O762)+ABS(T762)+0.0001)))</f>
        <v>97.841086986211366</v>
      </c>
      <c r="C762" s="21">
        <f t="shared" ca="1" si="71"/>
        <v>-1</v>
      </c>
      <c r="D762" s="9">
        <f ca="1">D761+C762*(Prices!C762-Prices!C761)/Prices!C761</f>
        <v>0.34928062298913576</v>
      </c>
      <c r="E762" s="9">
        <f t="shared" ca="1" si="72"/>
        <v>2.6401251241135959E-2</v>
      </c>
      <c r="F762" s="9">
        <f t="shared" ca="1" si="73"/>
        <v>0.37568187423027172</v>
      </c>
      <c r="G762" s="13">
        <f ca="1">IF((Prices!C762-Prices!C761)*C762&gt;0,1,0)</f>
        <v>0</v>
      </c>
      <c r="H762" s="9">
        <f>ABS(Prices!C762-Prices!C761)/Prices!C761</f>
        <v>9.7291875626880527E-3</v>
      </c>
      <c r="I762" s="13"/>
      <c r="J762" s="1">
        <f t="shared" ca="1" si="74"/>
        <v>-1.376085932423014E-3</v>
      </c>
      <c r="K762" s="9"/>
      <c r="L762" s="9">
        <f ca="1">L761-O762*Prices!C762</f>
        <v>1.0039270425389226</v>
      </c>
      <c r="M762" s="1">
        <f t="shared" ca="1" si="75"/>
        <v>1.0430077683746982E-2</v>
      </c>
      <c r="N762" s="9">
        <f ca="1">IF(Prices!D761&gt;OFFSET(Prices!D761,-$N$3,0),1,-1)</f>
        <v>-1</v>
      </c>
      <c r="O762" s="1">
        <f ca="1">IF(N762=1,O$3*L761/Prices!C761,-O$3*M761)</f>
        <v>-1.1588975204163312E-3</v>
      </c>
      <c r="P762" s="14"/>
      <c r="Q762" s="9">
        <f ca="1">Q761-T762*Prices!C762</f>
        <v>0.97413749560919982</v>
      </c>
      <c r="R762" s="1">
        <f t="shared" ca="1" si="76"/>
        <v>1.0642232188327452E-2</v>
      </c>
      <c r="S762" s="9">
        <f ca="1">IF(Prices!C761&lt;OFFSET(Prices!C761,-S$3,0),1,-1)</f>
        <v>-1</v>
      </c>
      <c r="T762" s="1">
        <f ca="1">IF(S762=1,T$3*Q761/Prices!C761,-T$3*R761)</f>
        <v>-2.171884120066827E-4</v>
      </c>
    </row>
    <row r="763" spans="1:20" x14ac:dyDescent="0.2">
      <c r="A763" s="4">
        <v>34575</v>
      </c>
      <c r="B763" s="9">
        <f ca="1">Prices!C762*(1+J763/(50*(ABS(O763)+ABS(T763)+0.0001)))</f>
        <v>101.87549924720841</v>
      </c>
      <c r="C763" s="21">
        <f t="shared" ca="1" si="71"/>
        <v>1</v>
      </c>
      <c r="D763" s="9">
        <f ca="1">D762+C763*(Prices!C763-Prices!C762)/Prices!C762</f>
        <v>0.34292321760520805</v>
      </c>
      <c r="E763" s="9">
        <f t="shared" ca="1" si="72"/>
        <v>3.2758656625063665E-2</v>
      </c>
      <c r="F763" s="9">
        <f t="shared" ca="1" si="73"/>
        <v>0.37568187423027172</v>
      </c>
      <c r="G763" s="13">
        <f ca="1">IF((Prices!C763-Prices!C762)*C763&gt;0,1,0)</f>
        <v>0</v>
      </c>
      <c r="H763" s="9">
        <f>ABS(Prices!C763-Prices!C762)/Prices!C762</f>
        <v>6.35740538392769E-3</v>
      </c>
      <c r="I763" s="13"/>
      <c r="J763" s="1">
        <f t="shared" ca="1" si="74"/>
        <v>7.844008539377548E-4</v>
      </c>
      <c r="K763" s="9"/>
      <c r="L763" s="9">
        <f ca="1">L762-O763*Prices!C763</f>
        <v>0.90417257540356111</v>
      </c>
      <c r="M763" s="1">
        <f t="shared" ca="1" si="75"/>
        <v>1.1427323181451286E-2</v>
      </c>
      <c r="N763" s="9">
        <f ca="1">IF(Prices!D762&gt;OFFSET(Prices!D762,-$N$3,0),1,-1)</f>
        <v>1</v>
      </c>
      <c r="O763" s="1">
        <f ca="1">IF(N763=1,O$3*L762/Prices!C762,-O$3*M762)</f>
        <v>9.9724549770430389E-4</v>
      </c>
      <c r="P763" s="14"/>
      <c r="Q763" s="9">
        <f ca="1">Q762-T763*Prices!C763</f>
        <v>0.99542834532516777</v>
      </c>
      <c r="R763" s="1">
        <f t="shared" ca="1" si="76"/>
        <v>1.0429387544560903E-2</v>
      </c>
      <c r="S763" s="9">
        <f ca="1">IF(Prices!C762&lt;OFFSET(Prices!C762,-S$3,0),1,-1)</f>
        <v>-1</v>
      </c>
      <c r="T763" s="1">
        <f ca="1">IF(S763=1,T$3*Q762/Prices!C762,-T$3*R762)</f>
        <v>-2.1284464376654906E-4</v>
      </c>
    </row>
    <row r="764" spans="1:20" x14ac:dyDescent="0.2">
      <c r="A764" s="4">
        <v>34576</v>
      </c>
      <c r="B764" s="9">
        <f ca="1">Prices!C763*(1+J764/(50*(ABS(O764)+ABS(T764)+0.0001)))</f>
        <v>98.167246919000334</v>
      </c>
      <c r="C764" s="21">
        <f t="shared" ca="1" si="71"/>
        <v>-1</v>
      </c>
      <c r="D764" s="9">
        <f ca="1">D763+C764*(Prices!C764-Prices!C763)/Prices!C763</f>
        <v>0.34742186801008662</v>
      </c>
      <c r="E764" s="9">
        <f t="shared" ca="1" si="72"/>
        <v>2.8260006220185097E-2</v>
      </c>
      <c r="F764" s="9">
        <f t="shared" ca="1" si="73"/>
        <v>0.37568187423027172</v>
      </c>
      <c r="G764" s="13">
        <f ca="1">IF((Prices!C764-Prices!C763)*C764&gt;0,1,0)</f>
        <v>1</v>
      </c>
      <c r="H764" s="9">
        <f>ABS(Prices!C764-Prices!C763)/Prices!C763</f>
        <v>4.4986504048785646E-3</v>
      </c>
      <c r="I764" s="13"/>
      <c r="J764" s="1">
        <f t="shared" ca="1" si="74"/>
        <v>-1.3513200690363466E-3</v>
      </c>
      <c r="K764" s="9"/>
      <c r="L764" s="9">
        <f ca="1">L763-O764*Prices!C764</f>
        <v>1.017965859644453</v>
      </c>
      <c r="M764" s="1">
        <f t="shared" ca="1" si="75"/>
        <v>1.0284590863306157E-2</v>
      </c>
      <c r="N764" s="9">
        <f ca="1">IF(Prices!D763&gt;OFFSET(Prices!D763,-$N$3,0),1,-1)</f>
        <v>-1</v>
      </c>
      <c r="O764" s="1">
        <f ca="1">IF(N764=1,O$3*L763/Prices!C763,-O$3*M763)</f>
        <v>-1.1427323181451286E-3</v>
      </c>
      <c r="P764" s="14"/>
      <c r="Q764" s="9">
        <f ca="1">Q763-T764*Prices!C764</f>
        <v>1.0161995135589152</v>
      </c>
      <c r="R764" s="1">
        <f t="shared" ca="1" si="76"/>
        <v>1.0220799793669685E-2</v>
      </c>
      <c r="S764" s="9">
        <f ca="1">IF(Prices!C763&lt;OFFSET(Prices!C763,-S$3,0),1,-1)</f>
        <v>-1</v>
      </c>
      <c r="T764" s="1">
        <f ca="1">IF(S764=1,T$3*Q763/Prices!C763,-T$3*R763)</f>
        <v>-2.0858775089121806E-4</v>
      </c>
    </row>
    <row r="765" spans="1:20" x14ac:dyDescent="0.2">
      <c r="A765" s="4">
        <v>34577</v>
      </c>
      <c r="B765" s="9">
        <f ca="1">Prices!C764*(1+J765/(50*(ABS(O765)+ABS(T765)+0.0001)))</f>
        <v>97.737821354378298</v>
      </c>
      <c r="C765" s="21">
        <f t="shared" ca="1" si="71"/>
        <v>-1</v>
      </c>
      <c r="D765" s="9">
        <f ca="1">D764+C765*(Prices!C765-Prices!C764)/Prices!C764</f>
        <v>0.34270204475240434</v>
      </c>
      <c r="E765" s="9">
        <f t="shared" ca="1" si="72"/>
        <v>3.2979829477867373E-2</v>
      </c>
      <c r="F765" s="9">
        <f t="shared" ca="1" si="73"/>
        <v>0.37568187423027172</v>
      </c>
      <c r="G765" s="13">
        <f ca="1">IF((Prices!C765-Prices!C764)*C765&gt;0,1,0)</f>
        <v>0</v>
      </c>
      <c r="H765" s="9">
        <f>ABS(Prices!C765-Prices!C764)/Prices!C764</f>
        <v>4.7198232576822546E-3</v>
      </c>
      <c r="I765" s="13"/>
      <c r="J765" s="1">
        <f t="shared" ca="1" si="74"/>
        <v>-1.2328750822040095E-3</v>
      </c>
      <c r="K765" s="9"/>
      <c r="L765" s="9">
        <f ca="1">L764-O765*Prices!C765</f>
        <v>1.120863191231831</v>
      </c>
      <c r="M765" s="1">
        <f t="shared" ca="1" si="75"/>
        <v>9.256131776975542E-3</v>
      </c>
      <c r="N765" s="9">
        <f ca="1">IF(Prices!D764&gt;OFFSET(Prices!D764,-$N$3,0),1,-1)</f>
        <v>-1</v>
      </c>
      <c r="O765" s="1">
        <f ca="1">IF(N765=1,O$3*L764/Prices!C764,-O$3*M764)</f>
        <v>-1.0284590863306158E-3</v>
      </c>
      <c r="P765" s="14"/>
      <c r="Q765" s="9">
        <f ca="1">Q764-T765*Prices!C765</f>
        <v>1.0366513339460484</v>
      </c>
      <c r="R765" s="1">
        <f t="shared" ca="1" si="76"/>
        <v>1.0016383797796291E-2</v>
      </c>
      <c r="S765" s="9">
        <f ca="1">IF(Prices!C764&lt;OFFSET(Prices!C764,-S$3,0),1,-1)</f>
        <v>-1</v>
      </c>
      <c r="T765" s="1">
        <f ca="1">IF(S765=1,T$3*Q764/Prices!C764,-T$3*R764)</f>
        <v>-2.0441599587339371E-4</v>
      </c>
    </row>
    <row r="766" spans="1:20" x14ac:dyDescent="0.2">
      <c r="A766" s="4">
        <v>34578</v>
      </c>
      <c r="B766" s="9">
        <f ca="1">Prices!C765*(1+J766/(50*(ABS(O766)+ABS(T766)+0.0001)))</f>
        <v>98.212221577455125</v>
      </c>
      <c r="C766" s="21">
        <f t="shared" ca="1" si="71"/>
        <v>-1</v>
      </c>
      <c r="D766" s="9">
        <f ca="1">D765+C766*(Prices!C766-Prices!C765)/Prices!C765</f>
        <v>0.34510084535210445</v>
      </c>
      <c r="E766" s="9">
        <f t="shared" ca="1" si="72"/>
        <v>3.0581028878167271E-2</v>
      </c>
      <c r="F766" s="9">
        <f t="shared" ca="1" si="73"/>
        <v>0.37568187423027172</v>
      </c>
      <c r="G766" s="13">
        <f ca="1">IF((Prices!C766-Prices!C765)*C766&gt;0,1,0)</f>
        <v>1</v>
      </c>
      <c r="H766" s="9">
        <f>ABS(Prices!C766-Prices!C765)/Prices!C765</f>
        <v>2.398800599700099E-3</v>
      </c>
      <c r="I766" s="13"/>
      <c r="J766" s="1">
        <f t="shared" ca="1" si="74"/>
        <v>-1.1259408536534801E-3</v>
      </c>
      <c r="K766" s="9"/>
      <c r="L766" s="9">
        <f ca="1">L765-O766*Prices!C766</f>
        <v>1.2132486424978239</v>
      </c>
      <c r="M766" s="1">
        <f t="shared" ca="1" si="75"/>
        <v>8.3305185992779869E-3</v>
      </c>
      <c r="N766" s="9">
        <f ca="1">IF(Prices!D765&gt;OFFSET(Prices!D765,-$N$3,0),1,-1)</f>
        <v>-1</v>
      </c>
      <c r="O766" s="1">
        <f ca="1">IF(N766=1,O$3*L765/Prices!C765,-O$3*M765)</f>
        <v>-9.256131776975542E-4</v>
      </c>
      <c r="P766" s="14"/>
      <c r="Q766" s="9">
        <f ca="1">Q765-T766*Prices!C766</f>
        <v>1.0566460392832093</v>
      </c>
      <c r="R766" s="1">
        <f t="shared" ca="1" si="76"/>
        <v>9.816056121840366E-3</v>
      </c>
      <c r="S766" s="9">
        <f ca="1">IF(Prices!C765&lt;OFFSET(Prices!C765,-S$3,0),1,-1)</f>
        <v>-1</v>
      </c>
      <c r="T766" s="1">
        <f ca="1">IF(S766=1,T$3*Q765/Prices!C765,-T$3*R765)</f>
        <v>-2.0032767595592582E-4</v>
      </c>
    </row>
    <row r="767" spans="1:20" x14ac:dyDescent="0.2">
      <c r="A767" s="4">
        <v>34579</v>
      </c>
      <c r="B767" s="9">
        <f ca="1">Prices!C766*(1+J767/(50*(ABS(O767)+ABS(T767)+0.0001)))</f>
        <v>98.726581291291481</v>
      </c>
      <c r="C767" s="21">
        <f t="shared" ca="1" si="71"/>
        <v>-1</v>
      </c>
      <c r="D767" s="9">
        <f ca="1">D766+C767*(Prices!C767-Prices!C766)/Prices!C766</f>
        <v>0.35191378994683448</v>
      </c>
      <c r="E767" s="9">
        <f t="shared" ca="1" si="72"/>
        <v>2.3768084283437241E-2</v>
      </c>
      <c r="F767" s="9">
        <f t="shared" ca="1" si="73"/>
        <v>0.37568187423027172</v>
      </c>
      <c r="G767" s="13">
        <f ca="1">IF((Prices!C767-Prices!C766)*C767&gt;0,1,0)</f>
        <v>1</v>
      </c>
      <c r="H767" s="9">
        <f>ABS(Prices!C767-Prices!C766)/Prices!C766</f>
        <v>6.8129445947300547E-3</v>
      </c>
      <c r="I767" s="13"/>
      <c r="J767" s="1">
        <f t="shared" ca="1" si="74"/>
        <v>-6.2132036222552255E-4</v>
      </c>
      <c r="K767" s="9"/>
      <c r="L767" s="9">
        <f ca="1">L766-O767*Prices!C767</f>
        <v>1.2958290733724667</v>
      </c>
      <c r="M767" s="1">
        <f t="shared" ca="1" si="75"/>
        <v>7.4974667393501882E-3</v>
      </c>
      <c r="N767" s="9">
        <f ca="1">IF(Prices!D766&gt;OFFSET(Prices!D766,-$N$3,0),1,-1)</f>
        <v>-1</v>
      </c>
      <c r="O767" s="1">
        <f ca="1">IF(N767=1,O$3*L766/Prices!C766,-O$3*M766)</f>
        <v>-8.3305185992779869E-4</v>
      </c>
      <c r="P767" s="14"/>
      <c r="Q767" s="9">
        <f ca="1">Q766-T767*Prices!C767</f>
        <v>1.0356570959159828</v>
      </c>
      <c r="R767" s="1">
        <f t="shared" ca="1" si="76"/>
        <v>1.0027787619542643E-2</v>
      </c>
      <c r="S767" s="9">
        <f ca="1">IF(Prices!C766&lt;OFFSET(Prices!C766,-S$3,0),1,-1)</f>
        <v>1</v>
      </c>
      <c r="T767" s="1">
        <f ca="1">IF(S767=1,T$3*Q766/Prices!C766,-T$3*R766)</f>
        <v>2.1173149770227617E-4</v>
      </c>
    </row>
    <row r="768" spans="1:20" x14ac:dyDescent="0.2">
      <c r="A768" s="4">
        <v>34582</v>
      </c>
      <c r="B768" s="9">
        <f ca="1">Prices!C767*(1+J768/(50*(ABS(O768)+ABS(T768)+0.0001)))</f>
        <v>100.98992581966297</v>
      </c>
      <c r="C768" s="21">
        <f t="shared" ca="1" si="71"/>
        <v>1</v>
      </c>
      <c r="D768" s="9">
        <f ca="1">D767+C768*(Prices!C768-Prices!C767)/Prices!C767</f>
        <v>0.354334853197112</v>
      </c>
      <c r="E768" s="9">
        <f t="shared" ca="1" si="72"/>
        <v>2.1347021033159719E-2</v>
      </c>
      <c r="F768" s="9">
        <f t="shared" ca="1" si="73"/>
        <v>0.37568187423027172</v>
      </c>
      <c r="G768" s="13">
        <f ca="1">IF((Prices!C768-Prices!C767)*C768&gt;0,1,0)</f>
        <v>1</v>
      </c>
      <c r="H768" s="9">
        <f>ABS(Prices!C768-Prices!C767)/Prices!C767</f>
        <v>2.4210632502775055E-3</v>
      </c>
      <c r="I768" s="13"/>
      <c r="J768" s="1">
        <f t="shared" ca="1" si="74"/>
        <v>1.5161510063105652E-3</v>
      </c>
      <c r="K768" s="9"/>
      <c r="L768" s="9">
        <f ca="1">L767-O768*Prices!C768</f>
        <v>1.1659324376204017</v>
      </c>
      <c r="M768" s="1">
        <f t="shared" ca="1" si="75"/>
        <v>8.8046684677598186E-3</v>
      </c>
      <c r="N768" s="9">
        <f ca="1">IF(Prices!D767&gt;OFFSET(Prices!D767,-$N$3,0),1,-1)</f>
        <v>1</v>
      </c>
      <c r="O768" s="1">
        <f ca="1">IF(N768=1,O$3*L767/Prices!C767,-O$3*M767)</f>
        <v>1.3072017284096306E-3</v>
      </c>
      <c r="P768" s="14"/>
      <c r="Q768" s="9">
        <f ca="1">Q767-T768*Prices!C768</f>
        <v>1.0148938061709669</v>
      </c>
      <c r="R768" s="1">
        <f t="shared" ca="1" si="76"/>
        <v>1.0236736897443578E-2</v>
      </c>
      <c r="S768" s="9">
        <f ca="1">IF(Prices!C767&lt;OFFSET(Prices!C767,-S$3,0),1,-1)</f>
        <v>1</v>
      </c>
      <c r="T768" s="1">
        <f ca="1">IF(S768=1,T$3*Q767/Prices!C767,-T$3*R767)</f>
        <v>2.0894927790093471E-4</v>
      </c>
    </row>
    <row r="769" spans="1:20" x14ac:dyDescent="0.2">
      <c r="A769" s="4">
        <v>34583</v>
      </c>
      <c r="B769" s="9">
        <f ca="1">Prices!C768*(1+J769/(50*(ABS(O769)+ABS(T769)+0.0001)))</f>
        <v>101.22289719620869</v>
      </c>
      <c r="C769" s="21">
        <f t="shared" ca="1" si="71"/>
        <v>1</v>
      </c>
      <c r="D769" s="9">
        <f ca="1">D768+C769*(Prices!C769-Prices!C768)/Prices!C768</f>
        <v>0.34739110759984926</v>
      </c>
      <c r="E769" s="9">
        <f t="shared" ca="1" si="72"/>
        <v>2.8290766630422459E-2</v>
      </c>
      <c r="F769" s="9">
        <f t="shared" ca="1" si="73"/>
        <v>0.37568187423027172</v>
      </c>
      <c r="G769" s="13">
        <f ca="1">IF((Prices!C769-Prices!C768)*C769&gt;0,1,0)</f>
        <v>0</v>
      </c>
      <c r="H769" s="9">
        <f>ABS(Prices!C769-Prices!C768)/Prices!C768</f>
        <v>6.9437455972627318E-3</v>
      </c>
      <c r="I769" s="13"/>
      <c r="J769" s="1">
        <f t="shared" ca="1" si="74"/>
        <v>1.3775900159551122E-3</v>
      </c>
      <c r="K769" s="9"/>
      <c r="L769" s="9">
        <f ca="1">L768-O769*Prices!C769</f>
        <v>1.0501487876814046</v>
      </c>
      <c r="M769" s="1">
        <f t="shared" ca="1" si="75"/>
        <v>9.9779928489819193E-3</v>
      </c>
      <c r="N769" s="9">
        <f ca="1">IF(Prices!D768&gt;OFFSET(Prices!D768,-$N$3,0),1,-1)</f>
        <v>1</v>
      </c>
      <c r="O769" s="1">
        <f ca="1">IF(N769=1,O$3*L768/Prices!C768,-O$3*M768)</f>
        <v>1.1733243812221009E-3</v>
      </c>
      <c r="P769" s="14"/>
      <c r="Q769" s="9">
        <f ca="1">Q768-T769*Prices!C769</f>
        <v>0.99473687333551331</v>
      </c>
      <c r="R769" s="1">
        <f t="shared" ca="1" si="76"/>
        <v>1.0441002532176589E-2</v>
      </c>
      <c r="S769" s="9">
        <f ca="1">IF(Prices!C768&lt;OFFSET(Prices!C768,-S$3,0),1,-1)</f>
        <v>1</v>
      </c>
      <c r="T769" s="1">
        <f ca="1">IF(S769=1,T$3*Q768/Prices!C768,-T$3*R768)</f>
        <v>2.0426563473301137E-4</v>
      </c>
    </row>
    <row r="770" spans="1:20" x14ac:dyDescent="0.2">
      <c r="A770" s="4">
        <v>34584</v>
      </c>
      <c r="B770" s="9">
        <f ca="1">Prices!C769*(1+J770/(50*(ABS(O770)+ABS(T770)+0.0001)))</f>
        <v>100.50909911517901</v>
      </c>
      <c r="C770" s="21">
        <f t="shared" ca="1" si="71"/>
        <v>1</v>
      </c>
      <c r="D770" s="9">
        <f ca="1">D769+C770*(Prices!C770-Prices!C769)/Prices!C769</f>
        <v>0.35509276953742519</v>
      </c>
      <c r="E770" s="9">
        <f t="shared" ca="1" si="72"/>
        <v>2.0589104692846527E-2</v>
      </c>
      <c r="F770" s="9">
        <f t="shared" ca="1" si="73"/>
        <v>0.37568187423027172</v>
      </c>
      <c r="G770" s="13">
        <f ca="1">IF((Prices!C770-Prices!C769)*C770&gt;0,1,0)</f>
        <v>1</v>
      </c>
      <c r="H770" s="9">
        <f>ABS(Prices!C770-Prices!C769)/Prices!C769</f>
        <v>7.7016619375759104E-3</v>
      </c>
      <c r="I770" s="13"/>
      <c r="J770" s="1">
        <f t="shared" ca="1" si="74"/>
        <v>1.2658047855173362E-3</v>
      </c>
      <c r="K770" s="9"/>
      <c r="L770" s="9">
        <f ca="1">L769-O770*Prices!C770</f>
        <v>0.94432511981857636</v>
      </c>
      <c r="M770" s="1">
        <f t="shared" ca="1" si="75"/>
        <v>1.1042189026202638E-2</v>
      </c>
      <c r="N770" s="9">
        <f ca="1">IF(Prices!D769&gt;OFFSET(Prices!D769,-$N$3,0),1,-1)</f>
        <v>1</v>
      </c>
      <c r="O770" s="1">
        <f ca="1">IF(N770=1,O$3*L769/Prices!C769,-O$3*M769)</f>
        <v>1.0641961772207182E-3</v>
      </c>
      <c r="P770" s="14"/>
      <c r="Q770" s="9">
        <f ca="1">Q769-T770*Prices!C770</f>
        <v>0.97468891332649765</v>
      </c>
      <c r="R770" s="1">
        <f t="shared" ca="1" si="76"/>
        <v>1.0642611140473207E-2</v>
      </c>
      <c r="S770" s="9">
        <f ca="1">IF(Prices!C769&lt;OFFSET(Prices!C769,-S$3,0),1,-1)</f>
        <v>1</v>
      </c>
      <c r="T770" s="1">
        <f ca="1">IF(S770=1,T$3*Q769/Prices!C769,-T$3*R769)</f>
        <v>2.01608608296618E-4</v>
      </c>
    </row>
    <row r="771" spans="1:20" x14ac:dyDescent="0.2">
      <c r="A771" s="4">
        <v>34585</v>
      </c>
      <c r="B771" s="9">
        <f ca="1">Prices!C770*(1+J771/(50*(ABS(O771)+ABS(T771)+0.0001)))</f>
        <v>101.26914406345263</v>
      </c>
      <c r="C771" s="21">
        <f t="shared" ca="1" si="71"/>
        <v>1</v>
      </c>
      <c r="D771" s="9">
        <f ca="1">D770+C771*(Prices!C771-Prices!C770)/Prices!C770</f>
        <v>0.35619896422769065</v>
      </c>
      <c r="E771" s="9">
        <f t="shared" ca="1" si="72"/>
        <v>1.9482910002581066E-2</v>
      </c>
      <c r="F771" s="9">
        <f t="shared" ca="1" si="73"/>
        <v>0.37568187423027172</v>
      </c>
      <c r="G771" s="13">
        <f ca="1">IF((Prices!C771-Prices!C770)*C771&gt;0,1,0)</f>
        <v>1</v>
      </c>
      <c r="H771" s="9">
        <f>ABS(Prices!C771-Prices!C770)/Prices!C770</f>
        <v>1.1061946902654811E-3</v>
      </c>
      <c r="I771" s="13"/>
      <c r="J771" s="1">
        <f t="shared" ca="1" si="74"/>
        <v>1.1456787032219189E-3</v>
      </c>
      <c r="K771" s="9"/>
      <c r="L771" s="9">
        <f ca="1">L770-O771*Prices!C771</f>
        <v>0.84978814709337591</v>
      </c>
      <c r="M771" s="1">
        <f t="shared" ca="1" si="75"/>
        <v>1.1991832147500483E-2</v>
      </c>
      <c r="N771" s="9">
        <f ca="1">IF(Prices!D770&gt;OFFSET(Prices!D770,-$N$3,0),1,-1)</f>
        <v>1</v>
      </c>
      <c r="O771" s="1">
        <f ca="1">IF(N771=1,O$3*L770/Prices!C770,-O$3*M770)</f>
        <v>9.496431212978444E-4</v>
      </c>
      <c r="P771" s="14"/>
      <c r="Q771" s="9">
        <f ca="1">Q770-T771*Prices!C771</f>
        <v>0.95517357114595602</v>
      </c>
      <c r="R771" s="1">
        <f t="shared" ca="1" si="76"/>
        <v>1.0838646722397281E-2</v>
      </c>
      <c r="S771" s="9">
        <f ca="1">IF(Prices!C770&lt;OFFSET(Prices!C770,-S$3,0),1,-1)</f>
        <v>1</v>
      </c>
      <c r="T771" s="1">
        <f ca="1">IF(S771=1,T$3*Q770/Prices!C770,-T$3*R770)</f>
        <v>1.9603558192407436E-4</v>
      </c>
    </row>
    <row r="772" spans="1:20" x14ac:dyDescent="0.2">
      <c r="A772" s="4">
        <v>34586</v>
      </c>
      <c r="B772" s="9">
        <f ca="1">Prices!C771*(1+J772/(50*(ABS(O772)+ABS(T772)+0.0001)))</f>
        <v>100.6333721515923</v>
      </c>
      <c r="C772" s="21">
        <f t="shared" ca="1" si="71"/>
        <v>1</v>
      </c>
      <c r="D772" s="9">
        <f ca="1">D771+C772*(Prices!C772-Prices!C771)/Prices!C771</f>
        <v>0.35248223896400416</v>
      </c>
      <c r="E772" s="9">
        <f t="shared" ca="1" si="72"/>
        <v>2.319963526626756E-2</v>
      </c>
      <c r="F772" s="9">
        <f t="shared" ca="1" si="73"/>
        <v>0.37568187423027172</v>
      </c>
      <c r="G772" s="13">
        <f ca="1">IF((Prices!C772-Prices!C771)*C772&gt;0,1,0)</f>
        <v>0</v>
      </c>
      <c r="H772" s="9">
        <f>ABS(Prices!C772-Prices!C771)/Prices!C771</f>
        <v>3.7167252636864925E-3</v>
      </c>
      <c r="I772" s="13"/>
      <c r="J772" s="1">
        <f t="shared" ca="1" si="74"/>
        <v>6.3685654530431558E-4</v>
      </c>
      <c r="K772" s="9"/>
      <c r="L772" s="9">
        <f ca="1">L771-O772*Prices!C772</f>
        <v>0.76512517529154667</v>
      </c>
      <c r="M772" s="1">
        <f t="shared" ca="1" si="75"/>
        <v>1.2845461627252745E-2</v>
      </c>
      <c r="N772" s="9">
        <f ca="1">IF(Prices!D771&gt;OFFSET(Prices!D771,-$N$3,0),1,-1)</f>
        <v>1</v>
      </c>
      <c r="O772" s="1">
        <f ca="1">IF(N772=1,O$3*L771/Prices!C771,-O$3*M771)</f>
        <v>8.536294797522612E-4</v>
      </c>
      <c r="P772" s="14"/>
      <c r="Q772" s="9">
        <f ca="1">Q771-T772*Prices!C772</f>
        <v>0.97667311078450325</v>
      </c>
      <c r="R772" s="1">
        <f t="shared" ca="1" si="76"/>
        <v>1.0621873787949336E-2</v>
      </c>
      <c r="S772" s="9">
        <f ca="1">IF(Prices!C771&lt;OFFSET(Prices!C771,-S$3,0),1,-1)</f>
        <v>-1</v>
      </c>
      <c r="T772" s="1">
        <f ca="1">IF(S772=1,T$3*Q771/Prices!C771,-T$3*R771)</f>
        <v>-2.1677293444794562E-4</v>
      </c>
    </row>
    <row r="773" spans="1:20" x14ac:dyDescent="0.2">
      <c r="A773" s="4">
        <v>34589</v>
      </c>
      <c r="B773" s="9">
        <f ca="1">Prices!C772*(1+J773/(50*(ABS(O773)+ABS(T773)+0.0001)))</f>
        <v>100.97793931749854</v>
      </c>
      <c r="C773" s="21">
        <f t="shared" ca="1" si="71"/>
        <v>1</v>
      </c>
      <c r="D773" s="9">
        <f ca="1">D772+C773*(Prices!C773-Prices!C772)/Prices!C772</f>
        <v>0.35318802642115271</v>
      </c>
      <c r="E773" s="9">
        <f t="shared" ca="1" si="72"/>
        <v>2.2493847809119005E-2</v>
      </c>
      <c r="F773" s="9">
        <f t="shared" ca="1" si="73"/>
        <v>0.37568187423027172</v>
      </c>
      <c r="G773" s="13">
        <f ca="1">IF((Prices!C773-Prices!C772)*C773&gt;0,1,0)</f>
        <v>1</v>
      </c>
      <c r="H773" s="9">
        <f>ABS(Prices!C773-Prices!C772)/Prices!C772</f>
        <v>7.0578745714854985E-4</v>
      </c>
      <c r="I773" s="13"/>
      <c r="J773" s="1">
        <f t="shared" ca="1" si="74"/>
        <v>9.6840068304945273E-4</v>
      </c>
      <c r="K773" s="9"/>
      <c r="L773" s="9">
        <f ca="1">L772-O773*Prices!C773</f>
        <v>0.68855865618720502</v>
      </c>
      <c r="M773" s="1">
        <f t="shared" ca="1" si="75"/>
        <v>1.3616912701351905E-2</v>
      </c>
      <c r="N773" s="9">
        <f ca="1">IF(Prices!D772&gt;OFFSET(Prices!D772,-$N$3,0),1,-1)</f>
        <v>1</v>
      </c>
      <c r="O773" s="1">
        <f ca="1">IF(N773=1,O$3*L772/Prices!C772,-O$3*M772)</f>
        <v>7.7145107409915968E-4</v>
      </c>
      <c r="P773" s="14"/>
      <c r="Q773" s="9">
        <f ca="1">Q772-T773*Prices!C773</f>
        <v>0.95712586209618666</v>
      </c>
      <c r="R773" s="1">
        <f t="shared" ca="1" si="76"/>
        <v>1.0818823396899629E-2</v>
      </c>
      <c r="S773" s="9">
        <f ca="1">IF(Prices!C772&lt;OFFSET(Prices!C772,-S$3,0),1,-1)</f>
        <v>1</v>
      </c>
      <c r="T773" s="1">
        <f ca="1">IF(S773=1,T$3*Q772/Prices!C772,-T$3*R772)</f>
        <v>1.9694960895029302E-4</v>
      </c>
    </row>
    <row r="774" spans="1:20" x14ac:dyDescent="0.2">
      <c r="A774" s="4">
        <v>34590</v>
      </c>
      <c r="B774" s="9">
        <f ca="1">Prices!C773*(1+J774/(50*(ABS(O774)+ABS(T774)+0.0001)))</f>
        <v>100.18809925603981</v>
      </c>
      <c r="C774" s="21">
        <f t="shared" ca="1" si="71"/>
        <v>1</v>
      </c>
      <c r="D774" s="9">
        <f ca="1">D773+C774*(Prices!C774-Prices!C773)/Prices!C773</f>
        <v>0.34835175438085042</v>
      </c>
      <c r="E774" s="9">
        <f t="shared" ca="1" si="72"/>
        <v>2.7330119849421297E-2</v>
      </c>
      <c r="F774" s="9">
        <f t="shared" ca="1" si="73"/>
        <v>0.37568187423027172</v>
      </c>
      <c r="G774" s="13">
        <f ca="1">IF((Prices!C774-Prices!C773)*C774&gt;0,1,0)</f>
        <v>0</v>
      </c>
      <c r="H774" s="9">
        <f>ABS(Prices!C774-Prices!C773)/Prices!C773</f>
        <v>4.8362720403023075E-3</v>
      </c>
      <c r="I774" s="13"/>
      <c r="J774" s="1">
        <f t="shared" ca="1" si="74"/>
        <v>4.7738540227581605E-4</v>
      </c>
      <c r="K774" s="9"/>
      <c r="L774" s="9">
        <f ca="1">L773-O774*Prices!C774</f>
        <v>0.6200357962661871</v>
      </c>
      <c r="M774" s="1">
        <f t="shared" ca="1" si="75"/>
        <v>1.4310674571565714E-2</v>
      </c>
      <c r="N774" s="9">
        <f ca="1">IF(Prices!D773&gt;OFFSET(Prices!D773,-$N$3,0),1,-1)</f>
        <v>1</v>
      </c>
      <c r="O774" s="1">
        <f ca="1">IF(N774=1,O$3*L773/Prices!C773,-O$3*M773)</f>
        <v>6.9376187021380866E-4</v>
      </c>
      <c r="P774" s="14"/>
      <c r="Q774" s="9">
        <f ca="1">Q773-T774*Prices!C774</f>
        <v>0.97849736583442215</v>
      </c>
      <c r="R774" s="1">
        <f t="shared" ca="1" si="76"/>
        <v>1.0602446928961637E-2</v>
      </c>
      <c r="S774" s="9">
        <f ca="1">IF(Prices!C773&lt;OFFSET(Prices!C773,-S$3,0),1,-1)</f>
        <v>-1</v>
      </c>
      <c r="T774" s="1">
        <f ca="1">IF(S774=1,T$3*Q773/Prices!C773,-T$3*R773)</f>
        <v>-2.1637646793799258E-4</v>
      </c>
    </row>
    <row r="775" spans="1:20" x14ac:dyDescent="0.2">
      <c r="A775" s="4">
        <v>34591</v>
      </c>
      <c r="B775" s="9">
        <f ca="1">Prices!C774*(1+J775/(50*(ABS(O775)+ABS(T775)+0.0001)))</f>
        <v>97.361530152279414</v>
      </c>
      <c r="C775" s="21">
        <f t="shared" ca="1" si="71"/>
        <v>-1</v>
      </c>
      <c r="D775" s="9">
        <f ca="1">D774+C775*(Prices!C775-Prices!C774)/Prices!C774</f>
        <v>0.34399820573247536</v>
      </c>
      <c r="E775" s="9">
        <f t="shared" ca="1" si="72"/>
        <v>3.1683668497796358E-2</v>
      </c>
      <c r="F775" s="9">
        <f t="shared" ca="1" si="73"/>
        <v>0.37568187423027172</v>
      </c>
      <c r="G775" s="13">
        <f ca="1">IF((Prices!C775-Prices!C774)*C775&gt;0,1,0)</f>
        <v>0</v>
      </c>
      <c r="H775" s="9">
        <f>ABS(Prices!C775-Prices!C774)/Prices!C774</f>
        <v>4.3535486483750815E-3</v>
      </c>
      <c r="I775" s="13"/>
      <c r="J775" s="1">
        <f t="shared" ca="1" si="74"/>
        <v>-1.2329309043906664E-3</v>
      </c>
      <c r="K775" s="9"/>
      <c r="L775" s="9">
        <f ca="1">L774-O775*Prices!C775</f>
        <v>0.761997688016119</v>
      </c>
      <c r="M775" s="1">
        <f t="shared" ca="1" si="75"/>
        <v>1.2879607114409143E-2</v>
      </c>
      <c r="N775" s="9">
        <f ca="1">IF(Prices!D774&gt;OFFSET(Prices!D774,-$N$3,0),1,-1)</f>
        <v>-1</v>
      </c>
      <c r="O775" s="1">
        <f ca="1">IF(N775=1,O$3*L774/Prices!C774,-O$3*M774)</f>
        <v>-1.4310674571565716E-3</v>
      </c>
      <c r="P775" s="14"/>
      <c r="Q775" s="9">
        <f ca="1">Q774-T775*Prices!C775</f>
        <v>0.95884221980004436</v>
      </c>
      <c r="R775" s="1">
        <f t="shared" ca="1" si="76"/>
        <v>1.0800583481727542E-2</v>
      </c>
      <c r="S775" s="9">
        <f ca="1">IF(Prices!C774&lt;OFFSET(Prices!C774,-S$3,0),1,-1)</f>
        <v>1</v>
      </c>
      <c r="T775" s="1">
        <f ca="1">IF(S775=1,T$3*Q774/Prices!C774,-T$3*R774)</f>
        <v>1.9813655276590509E-4</v>
      </c>
    </row>
    <row r="776" spans="1:20" x14ac:dyDescent="0.2">
      <c r="A776" s="4">
        <v>34592</v>
      </c>
      <c r="B776" s="9">
        <f ca="1">Prices!C775*(1+J776/(50*(ABS(O776)+ABS(T776)+0.0001)))</f>
        <v>97.826566387023391</v>
      </c>
      <c r="C776" s="21">
        <f t="shared" ca="1" si="71"/>
        <v>-1</v>
      </c>
      <c r="D776" s="9">
        <f ca="1">D775+C776*(Prices!C776-Prices!C775)/Prices!C775</f>
        <v>0.34097401218408829</v>
      </c>
      <c r="E776" s="9">
        <f t="shared" ca="1" si="72"/>
        <v>3.4707862046183424E-2</v>
      </c>
      <c r="F776" s="9">
        <f t="shared" ca="1" si="73"/>
        <v>0.37568187423027172</v>
      </c>
      <c r="G776" s="13">
        <f ca="1">IF((Prices!C776-Prices!C775)*C776&gt;0,1,0)</f>
        <v>0</v>
      </c>
      <c r="H776" s="9">
        <f>ABS(Prices!C776-Prices!C775)/Prices!C775</f>
        <v>3.0241935483870681E-3</v>
      </c>
      <c r="I776" s="13"/>
      <c r="J776" s="1">
        <f t="shared" ca="1" si="74"/>
        <v>-1.0946457477715506E-3</v>
      </c>
      <c r="K776" s="9"/>
      <c r="L776" s="9">
        <f ca="1">L775-O776*Prices!C776</f>
        <v>0.89014977880448998</v>
      </c>
      <c r="M776" s="1">
        <f t="shared" ca="1" si="75"/>
        <v>1.1591646402968229E-2</v>
      </c>
      <c r="N776" s="9">
        <f ca="1">IF(Prices!D775&gt;OFFSET(Prices!D775,-$N$3,0),1,-1)</f>
        <v>-1</v>
      </c>
      <c r="O776" s="1">
        <f ca="1">IF(N776=1,O$3*L775/Prices!C775,-O$3*M775)</f>
        <v>-1.2879607114409143E-3</v>
      </c>
      <c r="P776" s="14"/>
      <c r="Q776" s="9">
        <f ca="1">Q775-T776*Prices!C776</f>
        <v>0.93960738091494267</v>
      </c>
      <c r="R776" s="1">
        <f t="shared" ca="1" si="76"/>
        <v>1.0993898445396905E-2</v>
      </c>
      <c r="S776" s="9">
        <f ca="1">IF(Prices!C775&lt;OFFSET(Prices!C775,-S$3,0),1,-1)</f>
        <v>1</v>
      </c>
      <c r="T776" s="1">
        <f ca="1">IF(S776=1,T$3*Q775/Prices!C775,-T$3*R775)</f>
        <v>1.9331496366936378E-4</v>
      </c>
    </row>
    <row r="777" spans="1:20" x14ac:dyDescent="0.2">
      <c r="A777" s="4">
        <v>34593</v>
      </c>
      <c r="B777" s="9">
        <f ca="1">Prices!C776*(1+J777/(50*(ABS(O777)+ABS(T777)+0.0001)))</f>
        <v>97.644546495659782</v>
      </c>
      <c r="C777" s="21">
        <f t="shared" ca="1" si="71"/>
        <v>-1</v>
      </c>
      <c r="D777" s="9">
        <f ca="1">D776+C777*(Prices!C777-Prices!C776)/Prices!C776</f>
        <v>0.34650165037504305</v>
      </c>
      <c r="E777" s="9">
        <f t="shared" ca="1" si="72"/>
        <v>2.9180223855228671E-2</v>
      </c>
      <c r="F777" s="9">
        <f t="shared" ca="1" si="73"/>
        <v>0.37568187423027172</v>
      </c>
      <c r="G777" s="13">
        <f ca="1">IF((Prices!C777-Prices!C776)*C777&gt;0,1,0)</f>
        <v>1</v>
      </c>
      <c r="H777" s="9">
        <f>ABS(Prices!C777-Prices!C776)/Prices!C776</f>
        <v>5.5276381909547456E-3</v>
      </c>
      <c r="I777" s="13"/>
      <c r="J777" s="1">
        <f t="shared" ca="1" si="74"/>
        <v>-1.3790426092047611E-3</v>
      </c>
      <c r="K777" s="9"/>
      <c r="L777" s="9">
        <f ca="1">L776-O777*Prices!C777</f>
        <v>1.0048491199618605</v>
      </c>
      <c r="M777" s="1">
        <f t="shared" ca="1" si="75"/>
        <v>1.0432481762671406E-2</v>
      </c>
      <c r="N777" s="9">
        <f ca="1">IF(Prices!D776&gt;OFFSET(Prices!D776,-$N$3,0),1,-1)</f>
        <v>-1</v>
      </c>
      <c r="O777" s="1">
        <f ca="1">IF(N777=1,O$3*L776/Prices!C776,-O$3*M776)</f>
        <v>-1.159164640296823E-3</v>
      </c>
      <c r="P777" s="14"/>
      <c r="Q777" s="9">
        <f ca="1">Q776-T777*Prices!C777</f>
        <v>0.96136430593838318</v>
      </c>
      <c r="R777" s="1">
        <f t="shared" ca="1" si="76"/>
        <v>1.0774020476488967E-2</v>
      </c>
      <c r="S777" s="9">
        <f ca="1">IF(Prices!C776&lt;OFFSET(Prices!C776,-S$3,0),1,-1)</f>
        <v>-1</v>
      </c>
      <c r="T777" s="1">
        <f ca="1">IF(S777=1,T$3*Q776/Prices!C776,-T$3*R776)</f>
        <v>-2.1987796890793812E-4</v>
      </c>
    </row>
    <row r="778" spans="1:20" x14ac:dyDescent="0.2">
      <c r="A778" s="4">
        <v>34596</v>
      </c>
      <c r="B778" s="9">
        <f ca="1">Prices!C777*(1+J778/(50*(ABS(O778)+ABS(T778)+0.0001)))</f>
        <v>100.777911130826</v>
      </c>
      <c r="C778" s="21">
        <f t="shared" ca="1" si="71"/>
        <v>1</v>
      </c>
      <c r="D778" s="9">
        <f ca="1">D777+C778*(Prices!C778-Prices!C777)/Prices!C777</f>
        <v>0.34195389898545231</v>
      </c>
      <c r="E778" s="9">
        <f t="shared" ca="1" si="72"/>
        <v>3.3727975244819408E-2</v>
      </c>
      <c r="F778" s="9">
        <f t="shared" ca="1" si="73"/>
        <v>0.37568187423027172</v>
      </c>
      <c r="G778" s="13">
        <f ca="1">IF((Prices!C778-Prices!C777)*C778&gt;0,1,0)</f>
        <v>0</v>
      </c>
      <c r="H778" s="9">
        <f>ABS(Prices!C778-Prices!C777)/Prices!C777</f>
        <v>4.5477513895907313E-3</v>
      </c>
      <c r="I778" s="13"/>
      <c r="J778" s="1">
        <f t="shared" ca="1" si="74"/>
        <v>1.2098251451738628E-3</v>
      </c>
      <c r="K778" s="9"/>
      <c r="L778" s="9">
        <f ca="1">L777-O778*Prices!C778</f>
        <v>0.90482118836383807</v>
      </c>
      <c r="M778" s="1">
        <f t="shared" ca="1" si="75"/>
        <v>1.1447993758590416E-2</v>
      </c>
      <c r="N778" s="9">
        <f ca="1">IF(Prices!D777&gt;OFFSET(Prices!D777,-$N$3,0),1,-1)</f>
        <v>1</v>
      </c>
      <c r="O778" s="1">
        <f ca="1">IF(N778=1,O$3*L777/Prices!C777,-O$3*M777)</f>
        <v>1.0155119959190102E-3</v>
      </c>
      <c r="P778" s="14"/>
      <c r="Q778" s="9">
        <f ca="1">Q777-T778*Prices!C778</f>
        <v>0.94222446073678023</v>
      </c>
      <c r="R778" s="1">
        <f t="shared" ca="1" si="76"/>
        <v>1.096833362574382E-2</v>
      </c>
      <c r="S778" s="9">
        <f ca="1">IF(Prices!C777&lt;OFFSET(Prices!C777,-S$3,0),1,-1)</f>
        <v>1</v>
      </c>
      <c r="T778" s="1">
        <f ca="1">IF(S778=1,T$3*Q777/Prices!C777,-T$3*R777)</f>
        <v>1.9431314925485261E-4</v>
      </c>
    </row>
    <row r="779" spans="1:20" x14ac:dyDescent="0.2">
      <c r="A779" s="4">
        <v>34597</v>
      </c>
      <c r="B779" s="9">
        <f ca="1">Prices!C778*(1+J779/(50*(ABS(O779)+ABS(T779)+0.0001)))</f>
        <v>100.30717861820939</v>
      </c>
      <c r="C779" s="21">
        <f t="shared" ca="1" si="71"/>
        <v>1</v>
      </c>
      <c r="D779" s="9">
        <f ca="1">D778+C779*(Prices!C779-Prices!C778)/Prices!C778</f>
        <v>0.33281684314788879</v>
      </c>
      <c r="E779" s="9">
        <f t="shared" ca="1" si="72"/>
        <v>4.2865031082382932E-2</v>
      </c>
      <c r="F779" s="9">
        <f t="shared" ca="1" si="73"/>
        <v>0.37568187423027172</v>
      </c>
      <c r="G779" s="13">
        <f ca="1">IF((Prices!C779-Prices!C778)*C779&gt;0,1,0)</f>
        <v>0</v>
      </c>
      <c r="H779" s="9">
        <f>ABS(Prices!C779-Prices!C778)/Prices!C778</f>
        <v>9.1370558375635097E-3</v>
      </c>
      <c r="I779" s="13"/>
      <c r="J779" s="1">
        <f t="shared" ca="1" si="74"/>
        <v>1.1099148025494358E-3</v>
      </c>
      <c r="K779" s="9"/>
      <c r="L779" s="9">
        <f ca="1">L778-O779*Prices!C779</f>
        <v>0.81516580969956332</v>
      </c>
      <c r="M779" s="1">
        <f t="shared" ca="1" si="75"/>
        <v>1.236659394982274E-2</v>
      </c>
      <c r="N779" s="9">
        <f ca="1">IF(Prices!D778&gt;OFFSET(Prices!D778,-$N$3,0),1,-1)</f>
        <v>1</v>
      </c>
      <c r="O779" s="1">
        <f ca="1">IF(N779=1,O$3*L778/Prices!C778,-O$3*M778)</f>
        <v>9.1860019123232294E-4</v>
      </c>
      <c r="P779" s="14"/>
      <c r="Q779" s="9">
        <f ca="1">Q778-T779*Prices!C779</f>
        <v>0.92355215467223006</v>
      </c>
      <c r="R779" s="1">
        <f t="shared" ca="1" si="76"/>
        <v>1.1159648237060933E-2</v>
      </c>
      <c r="S779" s="9">
        <f ca="1">IF(Prices!C778&lt;OFFSET(Prices!C778,-S$3,0),1,-1)</f>
        <v>1</v>
      </c>
      <c r="T779" s="1">
        <f ca="1">IF(S779=1,T$3*Q778/Prices!C778,-T$3*R778)</f>
        <v>1.9131461131711275E-4</v>
      </c>
    </row>
    <row r="780" spans="1:20" x14ac:dyDescent="0.2">
      <c r="A780" s="4">
        <v>34598</v>
      </c>
      <c r="B780" s="9">
        <f ca="1">Prices!C779*(1+J780/(50*(ABS(O780)+ABS(T780)+0.0001)))</f>
        <v>99.378406082477071</v>
      </c>
      <c r="C780" s="21">
        <f t="shared" ca="1" si="71"/>
        <v>1</v>
      </c>
      <c r="D780" s="9">
        <f ca="1">D779+C780*(Prices!C780-Prices!C779)/Prices!C779</f>
        <v>0.33435372839379046</v>
      </c>
      <c r="E780" s="9">
        <f t="shared" ca="1" si="72"/>
        <v>4.1328145836481256E-2</v>
      </c>
      <c r="F780" s="9">
        <f t="shared" ca="1" si="73"/>
        <v>0.37568187423027172</v>
      </c>
      <c r="G780" s="13">
        <f ca="1">IF((Prices!C780-Prices!C779)*C780&gt;0,1,0)</f>
        <v>1</v>
      </c>
      <c r="H780" s="9">
        <f>ABS(Prices!C780-Prices!C779)/Prices!C779</f>
        <v>1.5368852459016976E-3</v>
      </c>
      <c r="I780" s="13"/>
      <c r="J780" s="1">
        <f t="shared" ca="1" si="74"/>
        <v>1.0244633613053376E-3</v>
      </c>
      <c r="K780" s="9"/>
      <c r="L780" s="9">
        <f ca="1">L779-O780*Prices!C780</f>
        <v>0.73352394709901791</v>
      </c>
      <c r="M780" s="1">
        <f t="shared" ca="1" si="75"/>
        <v>1.3201804820416555E-2</v>
      </c>
      <c r="N780" s="9">
        <f ca="1">IF(Prices!D779&gt;OFFSET(Prices!D779,-$N$3,0),1,-1)</f>
        <v>1</v>
      </c>
      <c r="O780" s="1">
        <f ca="1">IF(N780=1,O$3*L779/Prices!C779,-O$3*M779)</f>
        <v>8.35210870593815E-4</v>
      </c>
      <c r="P780" s="14"/>
      <c r="Q780" s="9">
        <f ca="1">Q779-T780*Prices!C780</f>
        <v>0.90505272370517875</v>
      </c>
      <c r="R780" s="1">
        <f t="shared" ca="1" si="76"/>
        <v>1.1348900727772455E-2</v>
      </c>
      <c r="S780" s="9">
        <f ca="1">IF(Prices!C779&lt;OFFSET(Prices!C779,-S$3,0),1,-1)</f>
        <v>1</v>
      </c>
      <c r="T780" s="1">
        <f ca="1">IF(S780=1,T$3*Q779/Prices!C779,-T$3*R779)</f>
        <v>1.8925249071152257E-4</v>
      </c>
    </row>
    <row r="781" spans="1:20" x14ac:dyDescent="0.2">
      <c r="A781" s="4">
        <v>34599</v>
      </c>
      <c r="B781" s="9">
        <f ca="1">Prices!C780*(1+J781/(50*(ABS(O781)+ABS(T781)+0.0001)))</f>
        <v>99.516217842868826</v>
      </c>
      <c r="C781" s="21">
        <f t="shared" ca="1" si="71"/>
        <v>1</v>
      </c>
      <c r="D781" s="9">
        <f ca="1">D780+C781*(Prices!C781-Prices!C780)/Prices!C780</f>
        <v>0.33721817852166769</v>
      </c>
      <c r="E781" s="9">
        <f t="shared" ca="1" si="72"/>
        <v>3.8463695708604029E-2</v>
      </c>
      <c r="F781" s="9">
        <f t="shared" ca="1" si="73"/>
        <v>0.37568187423027172</v>
      </c>
      <c r="G781" s="13">
        <f ca="1">IF((Prices!C781-Prices!C780)*C781&gt;0,1,0)</f>
        <v>1</v>
      </c>
      <c r="H781" s="9">
        <f>ABS(Prices!C781-Prices!C780)/Prices!C780</f>
        <v>2.8644501278772493E-3</v>
      </c>
      <c r="I781" s="13"/>
      <c r="J781" s="1">
        <f t="shared" ca="1" si="74"/>
        <v>9.3558515789263805E-4</v>
      </c>
      <c r="K781" s="9"/>
      <c r="L781" s="9">
        <f ca="1">L780-O781*Prices!C781</f>
        <v>0.65996143811270924</v>
      </c>
      <c r="M781" s="1">
        <f t="shared" ca="1" si="75"/>
        <v>1.3952212950441125E-2</v>
      </c>
      <c r="N781" s="9">
        <f ca="1">IF(Prices!D780&gt;OFFSET(Prices!D780,-$N$3,0),1,-1)</f>
        <v>1</v>
      </c>
      <c r="O781" s="1">
        <f ca="1">IF(N781=1,O$3*L780/Prices!C780,-O$3*M780)</f>
        <v>7.504081300245708E-4</v>
      </c>
      <c r="P781" s="14"/>
      <c r="Q781" s="9">
        <f ca="1">Q780-T781*Prices!C781</f>
        <v>0.88689981966327214</v>
      </c>
      <c r="R781" s="1">
        <f t="shared" ca="1" si="76"/>
        <v>1.1534077755640523E-2</v>
      </c>
      <c r="S781" s="9">
        <f ca="1">IF(Prices!C780&lt;OFFSET(Prices!C780,-S$3,0),1,-1)</f>
        <v>1</v>
      </c>
      <c r="T781" s="1">
        <f ca="1">IF(S781=1,T$3*Q780/Prices!C780,-T$3*R780)</f>
        <v>1.8517702786806725E-4</v>
      </c>
    </row>
    <row r="782" spans="1:20" x14ac:dyDescent="0.2">
      <c r="A782" s="4">
        <v>34600</v>
      </c>
      <c r="B782" s="9">
        <f ca="1">Prices!C781*(1+J782/(50*(ABS(O782)+ABS(T782)+0.0001)))</f>
        <v>99.785122670267953</v>
      </c>
      <c r="C782" s="21">
        <f t="shared" ca="1" si="71"/>
        <v>1</v>
      </c>
      <c r="D782" s="9">
        <f ca="1">D781+C782*(Prices!C782-Prices!C781)/Prices!C781</f>
        <v>0.33538200592144318</v>
      </c>
      <c r="E782" s="9">
        <f t="shared" ca="1" si="72"/>
        <v>4.0299868308828535E-2</v>
      </c>
      <c r="F782" s="9">
        <f t="shared" ca="1" si="73"/>
        <v>0.37568187423027172</v>
      </c>
      <c r="G782" s="13">
        <f ca="1">IF((Prices!C782-Prices!C781)*C782&gt;0,1,0)</f>
        <v>0</v>
      </c>
      <c r="H782" s="9">
        <f>ABS(Prices!C782-Prices!C781)/Prices!C781</f>
        <v>1.8361726002244906E-3</v>
      </c>
      <c r="I782" s="13"/>
      <c r="J782" s="1">
        <f t="shared" ca="1" si="74"/>
        <v>8.5416852192733228E-4</v>
      </c>
      <c r="K782" s="9"/>
      <c r="L782" s="9">
        <f ca="1">L781-O782*Prices!C782</f>
        <v>0.59408647461242503</v>
      </c>
      <c r="M782" s="1">
        <f t="shared" ca="1" si="75"/>
        <v>1.4625436900367382E-2</v>
      </c>
      <c r="N782" s="9">
        <f ca="1">IF(Prices!D781&gt;OFFSET(Prices!D781,-$N$3,0),1,-1)</f>
        <v>1</v>
      </c>
      <c r="O782" s="1">
        <f ca="1">IF(N782=1,O$3*L781/Prices!C781,-O$3*M781)</f>
        <v>6.7322394992625661E-4</v>
      </c>
      <c r="P782" s="14"/>
      <c r="Q782" s="9">
        <f ca="1">Q781-T782*Prices!C782</f>
        <v>0.86919439329296688</v>
      </c>
      <c r="R782" s="1">
        <f t="shared" ca="1" si="76"/>
        <v>1.1715022327641598E-2</v>
      </c>
      <c r="S782" s="9">
        <f ca="1">IF(Prices!C781&lt;OFFSET(Prices!C781,-S$3,0),1,-1)</f>
        <v>1</v>
      </c>
      <c r="T782" s="1">
        <f ca="1">IF(S782=1,T$3*Q781/Prices!C781,-T$3*R781)</f>
        <v>1.8094457200107562E-4</v>
      </c>
    </row>
    <row r="783" spans="1:20" x14ac:dyDescent="0.2">
      <c r="A783" s="4">
        <v>34603</v>
      </c>
      <c r="B783" s="9">
        <f ca="1">Prices!C782*(1+J783/(50*(ABS(O783)+ABS(T783)+0.0001)))</f>
        <v>96.405041359724535</v>
      </c>
      <c r="C783" s="21">
        <f t="shared" ca="1" si="71"/>
        <v>-1</v>
      </c>
      <c r="D783" s="9">
        <f ca="1">D782+C783*(Prices!C783-Prices!C782)/Prices!C782</f>
        <v>0.32618425426073794</v>
      </c>
      <c r="E783" s="9">
        <f t="shared" ca="1" si="72"/>
        <v>4.9497619969533779E-2</v>
      </c>
      <c r="F783" s="9">
        <f t="shared" ca="1" si="73"/>
        <v>0.37568187423027172</v>
      </c>
      <c r="G783" s="13">
        <f ca="1">IF((Prices!C783-Prices!C782)*C783&gt;0,1,0)</f>
        <v>0</v>
      </c>
      <c r="H783" s="9">
        <f>ABS(Prices!C783-Prices!C782)/Prices!C782</f>
        <v>9.1977516607052202E-3</v>
      </c>
      <c r="I783" s="13"/>
      <c r="J783" s="1">
        <f t="shared" ca="1" si="74"/>
        <v>-1.2848851528281604E-3</v>
      </c>
      <c r="K783" s="9"/>
      <c r="L783" s="9">
        <f ca="1">L782-O783*Prices!C783</f>
        <v>0.73851266400355287</v>
      </c>
      <c r="M783" s="1">
        <f t="shared" ca="1" si="75"/>
        <v>1.3162893210330644E-2</v>
      </c>
      <c r="N783" s="9">
        <f ca="1">IF(Prices!D782&gt;OFFSET(Prices!D782,-$N$3,0),1,-1)</f>
        <v>-1</v>
      </c>
      <c r="O783" s="1">
        <f ca="1">IF(N783=1,O$3*L782/Prices!C782,-O$3*M782)</f>
        <v>-1.4625436900367382E-3</v>
      </c>
      <c r="P783" s="14"/>
      <c r="Q783" s="9">
        <f ca="1">Q782-T783*Prices!C783</f>
        <v>0.85165061274361986</v>
      </c>
      <c r="R783" s="1">
        <f t="shared" ca="1" si="76"/>
        <v>1.1892680864850177E-2</v>
      </c>
      <c r="S783" s="9">
        <f ca="1">IF(Prices!C782&lt;OFFSET(Prices!C782,-S$3,0),1,-1)</f>
        <v>1</v>
      </c>
      <c r="T783" s="1">
        <f ca="1">IF(S783=1,T$3*Q782/Prices!C782,-T$3*R782)</f>
        <v>1.7765853720857783E-4</v>
      </c>
    </row>
    <row r="784" spans="1:20" x14ac:dyDescent="0.2">
      <c r="A784" s="4">
        <v>34604</v>
      </c>
      <c r="B784" s="9">
        <f ca="1">Prices!C783*(1+J784/(50*(ABS(O784)+ABS(T784)+0.0001)))</f>
        <v>99.677743337749448</v>
      </c>
      <c r="C784" s="21">
        <f t="shared" ca="1" si="71"/>
        <v>1</v>
      </c>
      <c r="D784" s="9">
        <f ca="1">D783+C784*(Prices!C784-Prices!C783)/Prices!C783</f>
        <v>0.31858931755187719</v>
      </c>
      <c r="E784" s="9">
        <f t="shared" ca="1" si="72"/>
        <v>5.7092556678394524E-2</v>
      </c>
      <c r="F784" s="9">
        <f t="shared" ca="1" si="73"/>
        <v>0.37568187423027172</v>
      </c>
      <c r="G784" s="13">
        <f ca="1">IF((Prices!C784-Prices!C783)*C784&gt;0,1,0)</f>
        <v>0</v>
      </c>
      <c r="H784" s="9">
        <f>ABS(Prices!C784-Prices!C783)/Prices!C783</f>
        <v>7.5949367088607592E-3</v>
      </c>
      <c r="I784" s="13"/>
      <c r="J784" s="1">
        <f t="shared" ca="1" si="74"/>
        <v>5.100073082762146E-4</v>
      </c>
      <c r="K784" s="9"/>
      <c r="L784" s="9">
        <f ca="1">L783-O784*Prices!C784</f>
        <v>0.66522229329737748</v>
      </c>
      <c r="M784" s="1">
        <f t="shared" ca="1" si="75"/>
        <v>1.3910754135903862E-2</v>
      </c>
      <c r="N784" s="9">
        <f ca="1">IF(Prices!D783&gt;OFFSET(Prices!D783,-$N$3,0),1,-1)</f>
        <v>1</v>
      </c>
      <c r="O784" s="1">
        <f ca="1">IF(N784=1,O$3*L783/Prices!C783,-O$3*M783)</f>
        <v>7.4786092557321815E-4</v>
      </c>
      <c r="P784" s="14"/>
      <c r="Q784" s="9">
        <f ca="1">Q783-T784*Prices!C784</f>
        <v>0.87496026723872622</v>
      </c>
      <c r="R784" s="1">
        <f t="shared" ca="1" si="76"/>
        <v>1.1654827247553174E-2</v>
      </c>
      <c r="S784" s="9">
        <f ca="1">IF(Prices!C783&lt;OFFSET(Prices!C783,-S$3,0),1,-1)</f>
        <v>-1</v>
      </c>
      <c r="T784" s="1">
        <f ca="1">IF(S784=1,T$3*Q783/Prices!C783,-T$3*R783)</f>
        <v>-2.3785361729700355E-4</v>
      </c>
    </row>
    <row r="785" spans="1:20" x14ac:dyDescent="0.2">
      <c r="A785" s="4">
        <v>34605</v>
      </c>
      <c r="B785" s="9">
        <f ca="1">Prices!C784*(1+J785/(50*(ABS(O785)+ABS(T785)+0.0001)))</f>
        <v>98.863306497414641</v>
      </c>
      <c r="C785" s="21">
        <f t="shared" ca="1" si="71"/>
        <v>1</v>
      </c>
      <c r="D785" s="9">
        <f ca="1">D784+C785*(Prices!C785-Prices!C784)/Prices!C784</f>
        <v>0.32828319510289761</v>
      </c>
      <c r="E785" s="9">
        <f t="shared" ca="1" si="72"/>
        <v>4.739867912737411E-2</v>
      </c>
      <c r="F785" s="9">
        <f t="shared" ca="1" si="73"/>
        <v>0.37568187423027172</v>
      </c>
      <c r="G785" s="13">
        <f ca="1">IF((Prices!C785-Prices!C784)*C785&gt;0,1,0)</f>
        <v>1</v>
      </c>
      <c r="H785" s="9">
        <f>ABS(Prices!C785-Prices!C784)/Prices!C784</f>
        <v>9.6938775510204377E-3</v>
      </c>
      <c r="I785" s="13"/>
      <c r="J785" s="1">
        <f t="shared" ca="1" si="74"/>
        <v>4.4570171351564832E-4</v>
      </c>
      <c r="K785" s="9"/>
      <c r="L785" s="9">
        <f ca="1">L784-O785*Prices!C785</f>
        <v>0.59805520562209635</v>
      </c>
      <c r="M785" s="1">
        <f t="shared" ca="1" si="75"/>
        <v>1.4589552394370573E-2</v>
      </c>
      <c r="N785" s="9">
        <f ca="1">IF(Prices!D784&gt;OFFSET(Prices!D784,-$N$3,0),1,-1)</f>
        <v>1</v>
      </c>
      <c r="O785" s="1">
        <f ca="1">IF(N785=1,O$3*L784/Prices!C784,-O$3*M784)</f>
        <v>6.7879825846671178E-4</v>
      </c>
      <c r="P785" s="14"/>
      <c r="Q785" s="9">
        <f ca="1">Q784-T785*Prices!C785</f>
        <v>0.89802517036163398</v>
      </c>
      <c r="R785" s="1">
        <f t="shared" ca="1" si="76"/>
        <v>1.142173070260211E-2</v>
      </c>
      <c r="S785" s="9">
        <f ca="1">IF(Prices!C784&lt;OFFSET(Prices!C784,-S$3,0),1,-1)</f>
        <v>-1</v>
      </c>
      <c r="T785" s="1">
        <f ca="1">IF(S785=1,T$3*Q784/Prices!C784,-T$3*R784)</f>
        <v>-2.3309654495106349E-4</v>
      </c>
    </row>
    <row r="786" spans="1:20" x14ac:dyDescent="0.2">
      <c r="A786" s="4">
        <v>34606</v>
      </c>
      <c r="B786" s="9">
        <f ca="1">Prices!C785*(1+J786/(50*(ABS(O786)+ABS(T786)+0.0001)))</f>
        <v>97.08172010933356</v>
      </c>
      <c r="C786" s="21">
        <f t="shared" ref="C786:C849" ca="1" si="77">IF(J786&gt;0,1,IF(J786&lt;0,-1,0))</f>
        <v>-1</v>
      </c>
      <c r="D786" s="9">
        <f ca="1">D785+C786*(Prices!C786-Prices!C785)/Prices!C785</f>
        <v>0.33232564078253385</v>
      </c>
      <c r="E786" s="9">
        <f t="shared" ref="E786:E849" ca="1" si="78">F786-D786</f>
        <v>4.3356233447737869E-2</v>
      </c>
      <c r="F786" s="9">
        <f t="shared" ref="F786:F849" ca="1" si="79">MAX(F785,D786)</f>
        <v>0.37568187423027172</v>
      </c>
      <c r="G786" s="13">
        <f ca="1">IF((Prices!C786-Prices!C785)*C786&gt;0,1,0)</f>
        <v>1</v>
      </c>
      <c r="H786" s="9">
        <f>ABS(Prices!C786-Prices!C785)/Prices!C785</f>
        <v>4.0424456796362375E-3</v>
      </c>
      <c r="I786" s="13"/>
      <c r="J786" s="1">
        <f t="shared" ref="J786:J849" ca="1" si="80">O786+T786</f>
        <v>-1.6873898534890998E-3</v>
      </c>
      <c r="K786" s="9"/>
      <c r="L786" s="9">
        <f ca="1">L785-O786*Prices!C786</f>
        <v>0.74183524446861837</v>
      </c>
      <c r="M786" s="1">
        <f t="shared" ref="M786:M849" ca="1" si="81">M785+O786</f>
        <v>1.3130597154933515E-2</v>
      </c>
      <c r="N786" s="9">
        <f ca="1">IF(Prices!D785&gt;OFFSET(Prices!D785,-$N$3,0),1,-1)</f>
        <v>-1</v>
      </c>
      <c r="O786" s="1">
        <f ca="1">IF(N786=1,O$3*L785/Prices!C785,-O$3*M785)</f>
        <v>-1.4589552394370575E-3</v>
      </c>
      <c r="P786" s="14"/>
      <c r="Q786" s="9">
        <f ca="1">Q785-T786*Prices!C786</f>
        <v>0.92053740157646269</v>
      </c>
      <c r="R786" s="1">
        <f t="shared" ref="R786:R849" ca="1" si="82">R785+T786</f>
        <v>1.1193296088550068E-2</v>
      </c>
      <c r="S786" s="9">
        <f ca="1">IF(Prices!C785&lt;OFFSET(Prices!C785,-S$3,0),1,-1)</f>
        <v>-1</v>
      </c>
      <c r="T786" s="1">
        <f ca="1">IF(S786=1,T$3*Q785/Prices!C785,-T$3*R785)</f>
        <v>-2.2843461405204219E-4</v>
      </c>
    </row>
    <row r="787" spans="1:20" x14ac:dyDescent="0.2">
      <c r="A787" s="4">
        <v>34607</v>
      </c>
      <c r="B787" s="9">
        <f ca="1">Prices!C786*(1+J787/(50*(ABS(O787)+ABS(T787)+0.0001)))</f>
        <v>99.518247467522727</v>
      </c>
      <c r="C787" s="21">
        <f t="shared" ca="1" si="77"/>
        <v>1</v>
      </c>
      <c r="D787" s="9">
        <f ca="1">D786+C787*(Prices!C787-Prices!C786)/Prices!C786</f>
        <v>0.33841392084341676</v>
      </c>
      <c r="E787" s="9">
        <f t="shared" ca="1" si="78"/>
        <v>3.7267953386854957E-2</v>
      </c>
      <c r="F787" s="9">
        <f t="shared" ca="1" si="79"/>
        <v>0.37568187423027172</v>
      </c>
      <c r="G787" s="13">
        <f ca="1">IF((Prices!C787-Prices!C786)*C787&gt;0,1,0)</f>
        <v>1</v>
      </c>
      <c r="H787" s="9">
        <f>ABS(Prices!C787-Prices!C786)/Prices!C786</f>
        <v>6.088280060882887E-3</v>
      </c>
      <c r="I787" s="13"/>
      <c r="J787" s="1">
        <f t="shared" ca="1" si="80"/>
        <v>5.2888419945539987E-4</v>
      </c>
      <c r="K787" s="9"/>
      <c r="L787" s="9">
        <f ca="1">L786-O787*Prices!C787</f>
        <v>0.6672000699490207</v>
      </c>
      <c r="M787" s="1">
        <f t="shared" ca="1" si="81"/>
        <v>1.3883347276159915E-2</v>
      </c>
      <c r="N787" s="9">
        <f ca="1">IF(Prices!D786&gt;OFFSET(Prices!D786,-$N$3,0),1,-1)</f>
        <v>1</v>
      </c>
      <c r="O787" s="1">
        <f ca="1">IF(N787=1,O$3*L786/Prices!C786,-O$3*M786)</f>
        <v>7.5275012122640126E-4</v>
      </c>
      <c r="P787" s="14"/>
      <c r="Q787" s="9">
        <f ca="1">Q786-T787*Prices!C787</f>
        <v>0.94273370772005749</v>
      </c>
      <c r="R787" s="1">
        <f t="shared" ca="1" si="82"/>
        <v>1.0969430166779067E-2</v>
      </c>
      <c r="S787" s="9">
        <f ca="1">IF(Prices!C786&lt;OFFSET(Prices!C786,-S$3,0),1,-1)</f>
        <v>-1</v>
      </c>
      <c r="T787" s="1">
        <f ca="1">IF(S787=1,T$3*Q786/Prices!C786,-T$3*R786)</f>
        <v>-2.2386592177100136E-4</v>
      </c>
    </row>
    <row r="788" spans="1:20" x14ac:dyDescent="0.2">
      <c r="A788" s="4">
        <v>34610</v>
      </c>
      <c r="B788" s="9">
        <f ca="1">Prices!C787*(1+J788/(50*(ABS(O788)+ABS(T788)+0.0001)))</f>
        <v>100.05632353388587</v>
      </c>
      <c r="C788" s="21">
        <f t="shared" ca="1" si="77"/>
        <v>1</v>
      </c>
      <c r="D788" s="9">
        <f ca="1">D787+C788*(Prices!C788-Prices!C787)/Prices!C787</f>
        <v>0.34275078418179289</v>
      </c>
      <c r="E788" s="9">
        <f t="shared" ca="1" si="78"/>
        <v>3.2931090048478828E-2</v>
      </c>
      <c r="F788" s="9">
        <f t="shared" ca="1" si="79"/>
        <v>0.37568187423027172</v>
      </c>
      <c r="G788" s="13">
        <f ca="1">IF((Prices!C788-Prices!C787)*C788&gt;0,1,0)</f>
        <v>1</v>
      </c>
      <c r="H788" s="9">
        <f>ABS(Prices!C788-Prices!C787)/Prices!C787</f>
        <v>4.336863338376123E-3</v>
      </c>
      <c r="I788" s="13"/>
      <c r="J788" s="1">
        <f t="shared" ca="1" si="80"/>
        <v>4.5353128566998676E-4</v>
      </c>
      <c r="K788" s="9"/>
      <c r="L788" s="9">
        <f ca="1">L787-O788*Prices!C788</f>
        <v>0.60019070740184621</v>
      </c>
      <c r="M788" s="1">
        <f t="shared" ca="1" si="81"/>
        <v>1.4556267165165483E-2</v>
      </c>
      <c r="N788" s="9">
        <f ca="1">IF(Prices!D787&gt;OFFSET(Prices!D787,-$N$3,0),1,-1)</f>
        <v>1</v>
      </c>
      <c r="O788" s="1">
        <f ca="1">IF(N788=1,O$3*L787/Prices!C787,-O$3*M787)</f>
        <v>6.7291988900556807E-4</v>
      </c>
      <c r="P788" s="14"/>
      <c r="Q788" s="9">
        <f ca="1">Q787-T788*Prices!C788</f>
        <v>0.96458042484021467</v>
      </c>
      <c r="R788" s="1">
        <f t="shared" ca="1" si="82"/>
        <v>1.0750041563443485E-2</v>
      </c>
      <c r="S788" s="9">
        <f ca="1">IF(Prices!C787&lt;OFFSET(Prices!C787,-S$3,0),1,-1)</f>
        <v>-1</v>
      </c>
      <c r="T788" s="1">
        <f ca="1">IF(S788=1,T$3*Q787/Prices!C787,-T$3*R787)</f>
        <v>-2.1938860333558133E-4</v>
      </c>
    </row>
    <row r="789" spans="1:20" x14ac:dyDescent="0.2">
      <c r="A789" s="4">
        <v>34611</v>
      </c>
      <c r="B789" s="9">
        <f ca="1">Prices!C788*(1+J789/(50*(ABS(O789)+ABS(T789)+0.0001)))</f>
        <v>100.42141487474325</v>
      </c>
      <c r="C789" s="21">
        <f t="shared" ca="1" si="77"/>
        <v>1</v>
      </c>
      <c r="D789" s="9">
        <f ca="1">D788+C789*(Prices!C789-Prices!C788)/Prices!C788</f>
        <v>0.34355415835331327</v>
      </c>
      <c r="E789" s="9">
        <f t="shared" ca="1" si="78"/>
        <v>3.2127715876958451E-2</v>
      </c>
      <c r="F789" s="9">
        <f t="shared" ca="1" si="79"/>
        <v>0.37568187423027172</v>
      </c>
      <c r="G789" s="13">
        <f ca="1">IF((Prices!C789-Prices!C788)*C789&gt;0,1,0)</f>
        <v>1</v>
      </c>
      <c r="H789" s="9">
        <f>ABS(Prices!C789-Prices!C788)/Prices!C788</f>
        <v>8.0337417152036847E-4</v>
      </c>
      <c r="I789" s="13"/>
      <c r="J789" s="1">
        <f t="shared" ca="1" si="80"/>
        <v>3.8772130912262078E-4</v>
      </c>
      <c r="K789" s="9"/>
      <c r="L789" s="9">
        <f ca="1">L788-O789*Prices!C789</f>
        <v>0.54012341889043025</v>
      </c>
      <c r="M789" s="1">
        <f t="shared" ca="1" si="81"/>
        <v>1.5158989305556973E-2</v>
      </c>
      <c r="N789" s="9">
        <f ca="1">IF(Prices!D788&gt;OFFSET(Prices!D788,-$N$3,0),1,-1)</f>
        <v>1</v>
      </c>
      <c r="O789" s="1">
        <f ca="1">IF(N789=1,O$3*L788/Prices!C788,-O$3*M788)</f>
        <v>6.0272214039149051E-4</v>
      </c>
      <c r="P789" s="14"/>
      <c r="Q789" s="9">
        <f ca="1">Q788-T789*Prices!C789</f>
        <v>0.98600740768447026</v>
      </c>
      <c r="R789" s="1">
        <f t="shared" ca="1" si="82"/>
        <v>1.0535040732174615E-2</v>
      </c>
      <c r="S789" s="9">
        <f ca="1">IF(Prices!C788&lt;OFFSET(Prices!C788,-S$3,0),1,-1)</f>
        <v>-1</v>
      </c>
      <c r="T789" s="1">
        <f ca="1">IF(S789=1,T$3*Q788/Prices!C788,-T$3*R788)</f>
        <v>-2.1500083126886971E-4</v>
      </c>
    </row>
    <row r="790" spans="1:20" x14ac:dyDescent="0.2">
      <c r="A790" s="4">
        <v>34612</v>
      </c>
      <c r="B790" s="9">
        <f ca="1">Prices!C789*(1+J790/(50*(ABS(O790)+ABS(T790)+0.0001)))</f>
        <v>100.43436799748309</v>
      </c>
      <c r="C790" s="21">
        <f t="shared" ca="1" si="77"/>
        <v>1</v>
      </c>
      <c r="D790" s="9">
        <f ca="1">D789+C790*(Prices!C790-Prices!C789)/Prices!C789</f>
        <v>0.34305245255359423</v>
      </c>
      <c r="E790" s="9">
        <f t="shared" ca="1" si="78"/>
        <v>3.2629421676677484E-2</v>
      </c>
      <c r="F790" s="9">
        <f t="shared" ca="1" si="79"/>
        <v>0.37568187423027172</v>
      </c>
      <c r="G790" s="13">
        <f ca="1">IF((Prices!C790-Prices!C789)*C790&gt;0,1,0)</f>
        <v>0</v>
      </c>
      <c r="H790" s="9">
        <f>ABS(Prices!C790-Prices!C789)/Prices!C789</f>
        <v>5.0170579971901624E-4</v>
      </c>
      <c r="I790" s="13"/>
      <c r="J790" s="1">
        <f t="shared" ca="1" si="80"/>
        <v>3.3126528899932357E-4</v>
      </c>
      <c r="K790" s="9"/>
      <c r="L790" s="9">
        <f ca="1">L789-O790*Prices!C790</f>
        <v>0.48613817530656939</v>
      </c>
      <c r="M790" s="1">
        <f t="shared" ca="1" si="81"/>
        <v>1.5700955409199788E-2</v>
      </c>
      <c r="N790" s="9">
        <f ca="1">IF(Prices!D789&gt;OFFSET(Prices!D789,-$N$3,0),1,-1)</f>
        <v>1</v>
      </c>
      <c r="O790" s="1">
        <f ca="1">IF(N790=1,O$3*L789/Prices!C789,-O$3*M789)</f>
        <v>5.4196610364281585E-4</v>
      </c>
      <c r="P790" s="14"/>
      <c r="Q790" s="9">
        <f ca="1">Q789-T790*Prices!C790</f>
        <v>1.0069953158311085</v>
      </c>
      <c r="R790" s="1">
        <f t="shared" ca="1" si="82"/>
        <v>1.0324339917531122E-2</v>
      </c>
      <c r="S790" s="9">
        <f ca="1">IF(Prices!C789&lt;OFFSET(Prices!C789,-S$3,0),1,-1)</f>
        <v>-1</v>
      </c>
      <c r="T790" s="1">
        <f ca="1">IF(S790=1,T$3*Q789/Prices!C789,-T$3*R789)</f>
        <v>-2.1070081464349231E-4</v>
      </c>
    </row>
    <row r="791" spans="1:20" x14ac:dyDescent="0.2">
      <c r="A791" s="4">
        <v>34613</v>
      </c>
      <c r="B791" s="9">
        <f ca="1">Prices!C790*(1+J791/(50*(ABS(O791)+ABS(T791)+0.0001)))</f>
        <v>100.31597022883805</v>
      </c>
      <c r="C791" s="21">
        <f t="shared" ca="1" si="77"/>
        <v>1</v>
      </c>
      <c r="D791" s="9">
        <f ca="1">D790+C791*(Prices!C791-Prices!C790)/Prices!C790</f>
        <v>0.34566263225442756</v>
      </c>
      <c r="E791" s="9">
        <f t="shared" ca="1" si="78"/>
        <v>3.0019241975844158E-2</v>
      </c>
      <c r="F791" s="9">
        <f t="shared" ca="1" si="79"/>
        <v>0.37568187423027172</v>
      </c>
      <c r="G791" s="13">
        <f ca="1">IF((Prices!C791-Prices!C790)*C791&gt;0,1,0)</f>
        <v>1</v>
      </c>
      <c r="H791" s="9">
        <f>ABS(Prices!C791-Prices!C790)/Prices!C790</f>
        <v>2.6101797008333009E-3</v>
      </c>
      <c r="I791" s="13"/>
      <c r="J791" s="1">
        <f t="shared" ca="1" si="80"/>
        <v>2.8155473895142489E-4</v>
      </c>
      <c r="K791" s="9"/>
      <c r="L791" s="9">
        <f ca="1">L790-O791*Prices!C791</f>
        <v>0.4373974669762139</v>
      </c>
      <c r="M791" s="1">
        <f t="shared" ca="1" si="81"/>
        <v>1.6188996946501836E-2</v>
      </c>
      <c r="N791" s="9">
        <f ca="1">IF(Prices!D790&gt;OFFSET(Prices!D790,-$N$3,0),1,-1)</f>
        <v>1</v>
      </c>
      <c r="O791" s="1">
        <f ca="1">IF(N791=1,O$3*L790/Prices!C790,-O$3*M790)</f>
        <v>4.8804153730204735E-4</v>
      </c>
      <c r="P791" s="14"/>
      <c r="Q791" s="9">
        <f ca="1">Q790-T791*Prices!C791</f>
        <v>1.0276171523823852</v>
      </c>
      <c r="R791" s="1">
        <f t="shared" ca="1" si="82"/>
        <v>1.01178531191805E-2</v>
      </c>
      <c r="S791" s="9">
        <f ca="1">IF(Prices!C790&lt;OFFSET(Prices!C790,-S$3,0),1,-1)</f>
        <v>-1</v>
      </c>
      <c r="T791" s="1">
        <f ca="1">IF(S791=1,T$3*Q790/Prices!C790,-T$3*R790)</f>
        <v>-2.0648679835062246E-4</v>
      </c>
    </row>
    <row r="792" spans="1:20" x14ac:dyDescent="0.2">
      <c r="A792" s="4">
        <v>34614</v>
      </c>
      <c r="B792" s="9">
        <f ca="1">Prices!C791*(1+J792/(50*(ABS(O792)+ABS(T792)+0.0001)))</f>
        <v>100.50567709525541</v>
      </c>
      <c r="C792" s="21">
        <f t="shared" ca="1" si="77"/>
        <v>1</v>
      </c>
      <c r="D792" s="9">
        <f ca="1">D791+C792*(Prices!C792-Prices!C791)/Prices!C791</f>
        <v>0.35347278545358646</v>
      </c>
      <c r="E792" s="9">
        <f t="shared" ca="1" si="78"/>
        <v>2.220908877668526E-2</v>
      </c>
      <c r="F792" s="9">
        <f t="shared" ca="1" si="79"/>
        <v>0.37568187423027172</v>
      </c>
      <c r="G792" s="13">
        <f ca="1">IF((Prices!C792-Prices!C791)*C792&gt;0,1,0)</f>
        <v>1</v>
      </c>
      <c r="H792" s="9">
        <f>ABS(Prices!C792-Prices!C791)/Prices!C791</f>
        <v>7.8101531991589179E-3</v>
      </c>
      <c r="I792" s="13"/>
      <c r="J792" s="1">
        <f t="shared" ca="1" si="80"/>
        <v>2.3560976146360529E-4</v>
      </c>
      <c r="K792" s="9"/>
      <c r="L792" s="9">
        <f ca="1">L791-O792*Prices!C792</f>
        <v>0.39331610615599166</v>
      </c>
      <c r="M792" s="1">
        <f t="shared" ca="1" si="81"/>
        <v>1.662696377034905E-2</v>
      </c>
      <c r="N792" s="9">
        <f ca="1">IF(Prices!D791&gt;OFFSET(Prices!D791,-$N$3,0),1,-1)</f>
        <v>1</v>
      </c>
      <c r="O792" s="1">
        <f ca="1">IF(N792=1,O$3*L791/Prices!C791,-O$3*M791)</f>
        <v>4.379668238472153E-4</v>
      </c>
      <c r="P792" s="14"/>
      <c r="Q792" s="9">
        <f ca="1">Q791-T792*Prices!C792</f>
        <v>1.0479843907112956</v>
      </c>
      <c r="R792" s="1">
        <f t="shared" ca="1" si="82"/>
        <v>9.9154960567968894E-3</v>
      </c>
      <c r="S792" s="9">
        <f ca="1">IF(Prices!C791&lt;OFFSET(Prices!C791,-S$3,0),1,-1)</f>
        <v>-1</v>
      </c>
      <c r="T792" s="1">
        <f ca="1">IF(S792=1,T$3*Q791/Prices!C791,-T$3*R791)</f>
        <v>-2.0235706238361001E-4</v>
      </c>
    </row>
    <row r="793" spans="1:20" x14ac:dyDescent="0.2">
      <c r="A793" s="4">
        <v>34617</v>
      </c>
      <c r="B793" s="9">
        <f ca="1">Prices!C792*(1+J793/(50*(ABS(O793)+ABS(T793)+0.0001)))</f>
        <v>98.73965137862524</v>
      </c>
      <c r="C793" s="21">
        <f t="shared" ca="1" si="77"/>
        <v>-1</v>
      </c>
      <c r="D793" s="9">
        <f ca="1">D792+C793*(Prices!C793-Prices!C792)/Prices!C792</f>
        <v>0.35695018237360643</v>
      </c>
      <c r="E793" s="9">
        <f t="shared" ca="1" si="78"/>
        <v>1.8731691856665289E-2</v>
      </c>
      <c r="F793" s="9">
        <f t="shared" ca="1" si="79"/>
        <v>0.37568187423027172</v>
      </c>
      <c r="G793" s="13">
        <f ca="1">IF((Prices!C793-Prices!C792)*C793&gt;0,1,0)</f>
        <v>1</v>
      </c>
      <c r="H793" s="9">
        <f>ABS(Prices!C793-Prices!C792)/Prices!C792</f>
        <v>3.4773969200199554E-3</v>
      </c>
      <c r="I793" s="13"/>
      <c r="J793" s="1">
        <f t="shared" ca="1" si="80"/>
        <v>-1.8610062981708427E-3</v>
      </c>
      <c r="K793" s="9"/>
      <c r="L793" s="9">
        <f ca="1">L792-O793*Prices!C793</f>
        <v>0.56008455277259261</v>
      </c>
      <c r="M793" s="1">
        <f t="shared" ca="1" si="81"/>
        <v>1.4964267393314145E-2</v>
      </c>
      <c r="N793" s="9">
        <f ca="1">IF(Prices!D792&gt;OFFSET(Prices!D792,-$N$3,0),1,-1)</f>
        <v>-1</v>
      </c>
      <c r="O793" s="1">
        <f ca="1">IF(N793=1,O$3*L792/Prices!C792,-O$3*M792)</f>
        <v>-1.662696377034905E-3</v>
      </c>
      <c r="P793" s="14"/>
      <c r="Q793" s="9">
        <f ca="1">Q792-T793*Prices!C793</f>
        <v>1.0678748758012302</v>
      </c>
      <c r="R793" s="1">
        <f t="shared" ca="1" si="82"/>
        <v>9.7171861356609521E-3</v>
      </c>
      <c r="S793" s="9">
        <f ca="1">IF(Prices!C792&lt;OFFSET(Prices!C792,-S$3,0),1,-1)</f>
        <v>-1</v>
      </c>
      <c r="T793" s="1">
        <f ca="1">IF(S793=1,T$3*Q792/Prices!C792,-T$3*R792)</f>
        <v>-1.9830992113593779E-4</v>
      </c>
    </row>
    <row r="794" spans="1:20" x14ac:dyDescent="0.2">
      <c r="A794" s="4">
        <v>34618</v>
      </c>
      <c r="B794" s="9">
        <f ca="1">Prices!C793*(1+J794/(50*(ABS(O794)+ABS(T794)+0.0001)))</f>
        <v>98.406018823323095</v>
      </c>
      <c r="C794" s="21">
        <f t="shared" ca="1" si="77"/>
        <v>-1</v>
      </c>
      <c r="D794" s="9">
        <f ca="1">D793+C794*(Prices!C794-Prices!C793)/Prices!C793</f>
        <v>0.35794719134668712</v>
      </c>
      <c r="E794" s="9">
        <f t="shared" ca="1" si="78"/>
        <v>1.7734682883584596E-2</v>
      </c>
      <c r="F794" s="9">
        <f t="shared" ca="1" si="79"/>
        <v>0.37568187423027172</v>
      </c>
      <c r="G794" s="13">
        <f ca="1">IF((Prices!C794-Prices!C793)*C794&gt;0,1,0)</f>
        <v>1</v>
      </c>
      <c r="H794" s="9">
        <f>ABS(Prices!C794-Prices!C793)/Prices!C793</f>
        <v>9.9700897308070105E-4</v>
      </c>
      <c r="I794" s="13"/>
      <c r="J794" s="1">
        <f t="shared" ca="1" si="80"/>
        <v>-1.6907704620446337E-3</v>
      </c>
      <c r="K794" s="9"/>
      <c r="L794" s="9">
        <f ca="1">L793-O794*Prices!C794</f>
        <v>0.71002651205360034</v>
      </c>
      <c r="M794" s="1">
        <f t="shared" ca="1" si="81"/>
        <v>1.3467840653982731E-2</v>
      </c>
      <c r="N794" s="9">
        <f ca="1">IF(Prices!D793&gt;OFFSET(Prices!D793,-$N$3,0),1,-1)</f>
        <v>-1</v>
      </c>
      <c r="O794" s="1">
        <f ca="1">IF(N794=1,O$3*L793/Prices!C793,-O$3*M793)</f>
        <v>-1.4964267393314146E-3</v>
      </c>
      <c r="P794" s="14"/>
      <c r="Q794" s="9">
        <f ca="1">Q793-T794*Prices!C794</f>
        <v>1.0873481168170946</v>
      </c>
      <c r="R794" s="1">
        <f t="shared" ca="1" si="82"/>
        <v>9.5228424129477334E-3</v>
      </c>
      <c r="S794" s="9">
        <f ca="1">IF(Prices!C793&lt;OFFSET(Prices!C793,-S$3,0),1,-1)</f>
        <v>-1</v>
      </c>
      <c r="T794" s="1">
        <f ca="1">IF(S794=1,T$3*Q793/Prices!C793,-T$3*R793)</f>
        <v>-1.9434372271321906E-4</v>
      </c>
    </row>
    <row r="795" spans="1:20" x14ac:dyDescent="0.2">
      <c r="A795" s="4">
        <v>34619</v>
      </c>
      <c r="B795" s="9">
        <f ca="1">Prices!C794*(1+J795/(50*(ABS(O795)+ABS(T795)+0.0001)))</f>
        <v>98.31840104576446</v>
      </c>
      <c r="C795" s="21">
        <f t="shared" ca="1" si="77"/>
        <v>-1</v>
      </c>
      <c r="D795" s="9">
        <f ca="1">D794+C795*(Prices!C795-Prices!C794)/Prices!C794</f>
        <v>0.36293721130676698</v>
      </c>
      <c r="E795" s="9">
        <f t="shared" ca="1" si="78"/>
        <v>1.2744662923504735E-2</v>
      </c>
      <c r="F795" s="9">
        <f t="shared" ca="1" si="79"/>
        <v>0.37568187423027172</v>
      </c>
      <c r="G795" s="13">
        <f ca="1">IF((Prices!C795-Prices!C794)*C795&gt;0,1,0)</f>
        <v>1</v>
      </c>
      <c r="H795" s="9">
        <f>ABS(Prices!C795-Prices!C794)/Prices!C794</f>
        <v>4.9900199600798403E-3</v>
      </c>
      <c r="I795" s="13"/>
      <c r="J795" s="1">
        <f t="shared" ca="1" si="80"/>
        <v>-1.5372409136572278E-3</v>
      </c>
      <c r="K795" s="9"/>
      <c r="L795" s="9">
        <f ca="1">L794-O795*Prices!C795</f>
        <v>0.84430088337380815</v>
      </c>
      <c r="M795" s="1">
        <f t="shared" ca="1" si="81"/>
        <v>1.2121056588584457E-2</v>
      </c>
      <c r="N795" s="9">
        <f ca="1">IF(Prices!D794&gt;OFFSET(Prices!D794,-$N$3,0),1,-1)</f>
        <v>-1</v>
      </c>
      <c r="O795" s="1">
        <f ca="1">IF(N795=1,O$3*L794/Prices!C794,-O$3*M794)</f>
        <v>-1.3467840653982731E-3</v>
      </c>
      <c r="P795" s="14"/>
      <c r="Q795" s="9">
        <f ca="1">Q794-T795*Prices!C795</f>
        <v>1.1063366645885124</v>
      </c>
      <c r="R795" s="1">
        <f t="shared" ca="1" si="82"/>
        <v>9.3323855646887787E-3</v>
      </c>
      <c r="S795" s="9">
        <f ca="1">IF(Prices!C794&lt;OFFSET(Prices!C794,-S$3,0),1,-1)</f>
        <v>-1</v>
      </c>
      <c r="T795" s="1">
        <f ca="1">IF(S795=1,T$3*Q794/Prices!C794,-T$3*R794)</f>
        <v>-1.9045684825895468E-4</v>
      </c>
    </row>
    <row r="796" spans="1:20" x14ac:dyDescent="0.2">
      <c r="A796" s="4">
        <v>34620</v>
      </c>
      <c r="B796" s="9">
        <f ca="1">Prices!C795*(1+J796/(50*(ABS(O796)+ABS(T796)+0.0001)))</f>
        <v>98.412937359023047</v>
      </c>
      <c r="C796" s="21">
        <f t="shared" ca="1" si="77"/>
        <v>-1</v>
      </c>
      <c r="D796" s="9">
        <f ca="1">D795+C796*(Prices!C796-Prices!C795)/Prices!C795</f>
        <v>0.36644774290155141</v>
      </c>
      <c r="E796" s="9">
        <f t="shared" ca="1" si="78"/>
        <v>9.2341313287203075E-3</v>
      </c>
      <c r="F796" s="9">
        <f t="shared" ca="1" si="79"/>
        <v>0.37568187423027172</v>
      </c>
      <c r="G796" s="13">
        <f ca="1">IF((Prices!C796-Prices!C795)*C796&gt;0,1,0)</f>
        <v>1</v>
      </c>
      <c r="H796" s="9">
        <f>ABS(Prices!C796-Prices!C795)/Prices!C795</f>
        <v>3.5105315947844386E-3</v>
      </c>
      <c r="I796" s="13"/>
      <c r="J796" s="1">
        <f t="shared" ca="1" si="80"/>
        <v>-9.9017252654379955E-4</v>
      </c>
      <c r="K796" s="9"/>
      <c r="L796" s="9">
        <f ca="1">L795-O796*Prices!C796</f>
        <v>0.96472358058139474</v>
      </c>
      <c r="M796" s="1">
        <f t="shared" ca="1" si="81"/>
        <v>1.0908950929726012E-2</v>
      </c>
      <c r="N796" s="9">
        <f ca="1">IF(Prices!D795&gt;OFFSET(Prices!D795,-$N$3,0),1,-1)</f>
        <v>-1</v>
      </c>
      <c r="O796" s="1">
        <f ca="1">IF(N796=1,O$3*L795/Prices!C795,-O$3*M795)</f>
        <v>-1.2121056588584459E-3</v>
      </c>
      <c r="P796" s="14"/>
      <c r="Q796" s="9">
        <f ca="1">Q795-T796*Prices!C796</f>
        <v>1.0842876078930523</v>
      </c>
      <c r="R796" s="1">
        <f t="shared" ca="1" si="82"/>
        <v>9.5543186970034246E-3</v>
      </c>
      <c r="S796" s="9">
        <f ca="1">IF(Prices!C795&lt;OFFSET(Prices!C795,-S$3,0),1,-1)</f>
        <v>1</v>
      </c>
      <c r="T796" s="1">
        <f ca="1">IF(S796=1,T$3*Q795/Prices!C795,-T$3*R795)</f>
        <v>2.2193313231464644E-4</v>
      </c>
    </row>
    <row r="797" spans="1:20" x14ac:dyDescent="0.2">
      <c r="A797" s="4">
        <v>34621</v>
      </c>
      <c r="B797" s="9">
        <f ca="1">Prices!C796*(1+J797/(50*(ABS(O797)+ABS(T797)+0.0001)))</f>
        <v>98.119565225694203</v>
      </c>
      <c r="C797" s="21">
        <f t="shared" ca="1" si="77"/>
        <v>-1</v>
      </c>
      <c r="D797" s="9">
        <f ca="1">D796+C797*(Prices!C797-Prices!C796)/Prices!C796</f>
        <v>0.37751971069219048</v>
      </c>
      <c r="E797" s="9">
        <f t="shared" ca="1" si="78"/>
        <v>0</v>
      </c>
      <c r="F797" s="9">
        <f t="shared" ca="1" si="79"/>
        <v>0.37751971069219048</v>
      </c>
      <c r="G797" s="13">
        <f ca="1">IF((Prices!C797-Prices!C796)*C797&gt;0,1,0)</f>
        <v>1</v>
      </c>
      <c r="H797" s="9">
        <f>ABS(Prices!C797-Prices!C796)/Prices!C796</f>
        <v>1.1071967790639098E-2</v>
      </c>
      <c r="I797" s="13"/>
      <c r="J797" s="1">
        <f t="shared" ca="1" si="80"/>
        <v>-8.7261877532930946E-4</v>
      </c>
      <c r="K797" s="9"/>
      <c r="L797" s="9">
        <f ca="1">L796-O797*Prices!C797</f>
        <v>1.0719040234659527</v>
      </c>
      <c r="M797" s="1">
        <f t="shared" ca="1" si="81"/>
        <v>9.8180558367534105E-3</v>
      </c>
      <c r="N797" s="9">
        <f ca="1">IF(Prices!D796&gt;OFFSET(Prices!D796,-$N$3,0),1,-1)</f>
        <v>-1</v>
      </c>
      <c r="O797" s="1">
        <f ca="1">IF(N797=1,O$3*L796/Prices!C796,-O$3*M796)</f>
        <v>-1.0908950929726013E-3</v>
      </c>
      <c r="P797" s="14"/>
      <c r="Q797" s="9">
        <f ca="1">Q796-T797*Prices!C797</f>
        <v>1.0628419596845988</v>
      </c>
      <c r="R797" s="1">
        <f t="shared" ca="1" si="82"/>
        <v>9.7725950146467164E-3</v>
      </c>
      <c r="S797" s="9">
        <f ca="1">IF(Prices!C796&lt;OFFSET(Prices!C796,-S$3,0),1,-1)</f>
        <v>1</v>
      </c>
      <c r="T797" s="1">
        <f ca="1">IF(S797=1,T$3*Q796/Prices!C796,-T$3*R796)</f>
        <v>2.1827631764329187E-4</v>
      </c>
    </row>
    <row r="798" spans="1:20" x14ac:dyDescent="0.2">
      <c r="A798" s="4">
        <v>34624</v>
      </c>
      <c r="B798" s="9">
        <f ca="1">Prices!C797*(1+J798/(50*(ABS(O798)+ABS(T798)+0.0001)))</f>
        <v>97.091351622099225</v>
      </c>
      <c r="C798" s="21">
        <f t="shared" ca="1" si="77"/>
        <v>-1</v>
      </c>
      <c r="D798" s="9">
        <f ca="1">D797+C798*(Prices!C798-Prices!C797)/Prices!C797</f>
        <v>0.38291411272781389</v>
      </c>
      <c r="E798" s="9">
        <f t="shared" ca="1" si="78"/>
        <v>0</v>
      </c>
      <c r="F798" s="9">
        <f t="shared" ca="1" si="79"/>
        <v>0.38291411272781389</v>
      </c>
      <c r="G798" s="13">
        <f ca="1">IF((Prices!C798-Prices!C797)*C798&gt;0,1,0)</f>
        <v>1</v>
      </c>
      <c r="H798" s="9">
        <f>ABS(Prices!C798-Prices!C797)/Prices!C797</f>
        <v>5.3944020356234213E-3</v>
      </c>
      <c r="I798" s="13"/>
      <c r="J798" s="1">
        <f t="shared" ca="1" si="80"/>
        <v>-7.6545098628407414E-4</v>
      </c>
      <c r="K798" s="9"/>
      <c r="L798" s="9">
        <f ca="1">L797-O798*Prices!C798</f>
        <v>1.1678460651027069</v>
      </c>
      <c r="M798" s="1">
        <f t="shared" ca="1" si="81"/>
        <v>8.8362502530780693E-3</v>
      </c>
      <c r="N798" s="9">
        <f ca="1">IF(Prices!D797&gt;OFFSET(Prices!D797,-$N$3,0),1,-1)</f>
        <v>-1</v>
      </c>
      <c r="O798" s="1">
        <f ca="1">IF(N798=1,O$3*L797/Prices!C797,-O$3*M797)</f>
        <v>-9.8180558367534101E-4</v>
      </c>
      <c r="P798" s="14"/>
      <c r="Q798" s="9">
        <f ca="1">Q797-T798*Prices!C798</f>
        <v>1.0416997884275243</v>
      </c>
      <c r="R798" s="1">
        <f t="shared" ca="1" si="82"/>
        <v>9.9889496120379832E-3</v>
      </c>
      <c r="S798" s="9">
        <f ca="1">IF(Prices!C797&lt;OFFSET(Prices!C797,-S$3,0),1,-1)</f>
        <v>1</v>
      </c>
      <c r="T798" s="1">
        <f ca="1">IF(S798=1,T$3*Q797/Prices!C797,-T$3*R797)</f>
        <v>2.1635459739126692E-4</v>
      </c>
    </row>
    <row r="799" spans="1:20" x14ac:dyDescent="0.2">
      <c r="A799" s="4">
        <v>34625</v>
      </c>
      <c r="B799" s="9">
        <f ca="1">Prices!C798*(1+J799/(50*(ABS(O799)+ABS(T799)+0.0001)))</f>
        <v>96.625206877975558</v>
      </c>
      <c r="C799" s="21">
        <f t="shared" ca="1" si="77"/>
        <v>-1</v>
      </c>
      <c r="D799" s="9">
        <f ca="1">D798+C799*(Prices!C799-Prices!C798)/Prices!C798</f>
        <v>0.38260711313714668</v>
      </c>
      <c r="E799" s="9">
        <f t="shared" ca="1" si="78"/>
        <v>3.0699959066721183E-4</v>
      </c>
      <c r="F799" s="9">
        <f t="shared" ca="1" si="79"/>
        <v>0.38291411272781389</v>
      </c>
      <c r="G799" s="13">
        <f ca="1">IF((Prices!C799-Prices!C798)*C799&gt;0,1,0)</f>
        <v>0</v>
      </c>
      <c r="H799" s="9">
        <f>ABS(Prices!C799-Prices!C798)/Prices!C798</f>
        <v>3.0699959066722408E-4</v>
      </c>
      <c r="I799" s="13"/>
      <c r="J799" s="1">
        <f t="shared" ca="1" si="80"/>
        <v>-6.7042408621089235E-4</v>
      </c>
      <c r="K799" s="9"/>
      <c r="L799" s="9">
        <f ca="1">L798-O799*Prices!C799</f>
        <v>1.2542204113265452</v>
      </c>
      <c r="M799" s="1">
        <f t="shared" ca="1" si="81"/>
        <v>7.9526252277702623E-3</v>
      </c>
      <c r="N799" s="9">
        <f ca="1">IF(Prices!D798&gt;OFFSET(Prices!D798,-$N$3,0),1,-1)</f>
        <v>-1</v>
      </c>
      <c r="O799" s="1">
        <f ca="1">IF(N799=1,O$3*L798/Prices!C798,-O$3*M798)</f>
        <v>-8.8362502530780693E-4</v>
      </c>
      <c r="P799" s="14"/>
      <c r="Q799" s="9">
        <f ca="1">Q798-T799*Prices!C799</f>
        <v>1.0208593966308008</v>
      </c>
      <c r="R799" s="1">
        <f t="shared" ca="1" si="82"/>
        <v>1.0202150551134898E-2</v>
      </c>
      <c r="S799" s="9">
        <f ca="1">IF(Prices!C798&lt;OFFSET(Prices!C798,-S$3,0),1,-1)</f>
        <v>1</v>
      </c>
      <c r="T799" s="1">
        <f ca="1">IF(S799=1,T$3*Q798/Prices!C798,-T$3*R798)</f>
        <v>2.1320093909691452E-4</v>
      </c>
    </row>
    <row r="800" spans="1:20" x14ac:dyDescent="0.2">
      <c r="A800" s="4">
        <v>34626</v>
      </c>
      <c r="B800" s="9">
        <f ca="1">Prices!C799*(1+J800/(50*(ABS(O800)+ABS(T800)+0.0001)))</f>
        <v>99.582195516664584</v>
      </c>
      <c r="C800" s="21">
        <f t="shared" ca="1" si="77"/>
        <v>1</v>
      </c>
      <c r="D800" s="9">
        <f ca="1">D799+C800*(Prices!C800-Prices!C799)/Prices!C799</f>
        <v>0.37902655047730022</v>
      </c>
      <c r="E800" s="9">
        <f t="shared" ca="1" si="78"/>
        <v>3.8875622505136764E-3</v>
      </c>
      <c r="F800" s="9">
        <f t="shared" ca="1" si="79"/>
        <v>0.38291411272781389</v>
      </c>
      <c r="G800" s="13">
        <f ca="1">IF((Prices!C800-Prices!C799)*C800&gt;0,1,0)</f>
        <v>0</v>
      </c>
      <c r="H800" s="9">
        <f>ABS(Prices!C800-Prices!C799)/Prices!C799</f>
        <v>3.5805626598464893E-3</v>
      </c>
      <c r="I800" s="13"/>
      <c r="J800" s="1">
        <f t="shared" ca="1" si="80"/>
        <v>1.4919614226626141E-3</v>
      </c>
      <c r="K800" s="9"/>
      <c r="L800" s="9">
        <f ca="1">L799-O800*Prices!C800</f>
        <v>1.129247451671092</v>
      </c>
      <c r="M800" s="1">
        <f t="shared" ca="1" si="81"/>
        <v>9.2357151626311779E-3</v>
      </c>
      <c r="N800" s="9">
        <f ca="1">IF(Prices!D799&gt;OFFSET(Prices!D799,-$N$3,0),1,-1)</f>
        <v>1</v>
      </c>
      <c r="O800" s="1">
        <f ca="1">IF(N800=1,O$3*L799/Prices!C799,-O$3*M799)</f>
        <v>1.2830899348609157E-3</v>
      </c>
      <c r="P800" s="14"/>
      <c r="Q800" s="9">
        <f ca="1">Q799-T800*Prices!C800</f>
        <v>1.0005153137189153</v>
      </c>
      <c r="R800" s="1">
        <f t="shared" ca="1" si="82"/>
        <v>1.0411022038936596E-2</v>
      </c>
      <c r="S800" s="9">
        <f ca="1">IF(Prices!C799&lt;OFFSET(Prices!C799,-S$3,0),1,-1)</f>
        <v>1</v>
      </c>
      <c r="T800" s="1">
        <f ca="1">IF(S800=1,T$3*Q799/Prices!C799,-T$3*R799)</f>
        <v>2.0887148780169838E-4</v>
      </c>
    </row>
    <row r="801" spans="1:20" x14ac:dyDescent="0.2">
      <c r="A801" s="4">
        <v>34627</v>
      </c>
      <c r="B801" s="9">
        <f ca="1">Prices!C800*(1+J801/(50*(ABS(O801)+ABS(T801)+0.0001)))</f>
        <v>99.215015853099018</v>
      </c>
      <c r="C801" s="21">
        <f t="shared" ca="1" si="77"/>
        <v>1</v>
      </c>
      <c r="D801" s="9">
        <f ca="1">D800+C801*(Prices!C801-Prices!C800)/Prices!C800</f>
        <v>0.37522778251015437</v>
      </c>
      <c r="E801" s="9">
        <f t="shared" ca="1" si="78"/>
        <v>7.6863302176595205E-3</v>
      </c>
      <c r="F801" s="9">
        <f t="shared" ca="1" si="79"/>
        <v>0.38291411272781389</v>
      </c>
      <c r="G801" s="13">
        <f ca="1">IF((Prices!C801-Prices!C800)*C801&gt;0,1,0)</f>
        <v>0</v>
      </c>
      <c r="H801" s="9">
        <f>ABS(Prices!C801-Prices!C800)/Prices!C800</f>
        <v>3.7987679671458371E-3</v>
      </c>
      <c r="I801" s="13"/>
      <c r="J801" s="1">
        <f t="shared" ca="1" si="80"/>
        <v>1.3648362570994612E-3</v>
      </c>
      <c r="K801" s="9"/>
      <c r="L801" s="9">
        <f ca="1">L800-O801*Prices!C801</f>
        <v>1.0167516814086217</v>
      </c>
      <c r="M801" s="1">
        <f t="shared" ca="1" si="81"/>
        <v>1.0395106796790409E-2</v>
      </c>
      <c r="N801" s="9">
        <f ca="1">IF(Prices!D800&gt;OFFSET(Prices!D800,-$N$3,0),1,-1)</f>
        <v>1</v>
      </c>
      <c r="O801" s="1">
        <f ca="1">IF(N801=1,O$3*L800/Prices!C800,-O$3*M800)</f>
        <v>1.1593916341592321E-3</v>
      </c>
      <c r="P801" s="14"/>
      <c r="Q801" s="9">
        <f ca="1">Q800-T801*Prices!C801</f>
        <v>0.98058102195502495</v>
      </c>
      <c r="R801" s="1">
        <f t="shared" ca="1" si="82"/>
        <v>1.0616466661876826E-2</v>
      </c>
      <c r="S801" s="9">
        <f ca="1">IF(Prices!C800&lt;OFFSET(Prices!C800,-S$3,0),1,-1)</f>
        <v>1</v>
      </c>
      <c r="T801" s="1">
        <f ca="1">IF(S801=1,T$3*Q800/Prices!C800,-T$3*R800)</f>
        <v>2.0544462294022902E-4</v>
      </c>
    </row>
    <row r="802" spans="1:20" x14ac:dyDescent="0.2">
      <c r="A802" s="4">
        <v>34628</v>
      </c>
      <c r="B802" s="9">
        <f ca="1">Prices!C801*(1+J802/(50*(ABS(O802)+ABS(T802)+0.0001)))</f>
        <v>98.826851071139743</v>
      </c>
      <c r="C802" s="21">
        <f t="shared" ca="1" si="77"/>
        <v>1</v>
      </c>
      <c r="D802" s="9">
        <f ca="1">D801+C802*(Prices!C802-Prices!C801)/Prices!C801</f>
        <v>0.37728900069009874</v>
      </c>
      <c r="E802" s="9">
        <f t="shared" ca="1" si="78"/>
        <v>5.625112037715152E-3</v>
      </c>
      <c r="F802" s="9">
        <f t="shared" ca="1" si="79"/>
        <v>0.38291411272781389</v>
      </c>
      <c r="G802" s="13">
        <f ca="1">IF((Prices!C802-Prices!C801)*C802&gt;0,1,0)</f>
        <v>1</v>
      </c>
      <c r="H802" s="9">
        <f>ABS(Prices!C802-Prices!C801)/Prices!C801</f>
        <v>2.0612181799443763E-3</v>
      </c>
      <c r="I802" s="13"/>
      <c r="J802" s="1">
        <f t="shared" ca="1" si="80"/>
        <v>1.2499926680404273E-3</v>
      </c>
      <c r="K802" s="9"/>
      <c r="L802" s="9">
        <f ca="1">L801-O802*Prices!C802</f>
        <v>0.91486693856273871</v>
      </c>
      <c r="M802" s="1">
        <f t="shared" ca="1" si="81"/>
        <v>1.1442980321894626E-2</v>
      </c>
      <c r="N802" s="9">
        <f ca="1">IF(Prices!D801&gt;OFFSET(Prices!D801,-$N$3,0),1,-1)</f>
        <v>1</v>
      </c>
      <c r="O802" s="1">
        <f ca="1">IF(N802=1,O$3*L801/Prices!C801,-O$3*M801)</f>
        <v>1.047873525104217E-3</v>
      </c>
      <c r="P802" s="14"/>
      <c r="Q802" s="9">
        <f ca="1">Q801-T802*Prices!C802</f>
        <v>0.9609289776873372</v>
      </c>
      <c r="R802" s="1">
        <f t="shared" ca="1" si="82"/>
        <v>1.0818585804813036E-2</v>
      </c>
      <c r="S802" s="9">
        <f ca="1">IF(Prices!C801&lt;OFFSET(Prices!C801,-S$3,0),1,-1)</f>
        <v>1</v>
      </c>
      <c r="T802" s="1">
        <f ca="1">IF(S802=1,T$3*Q801/Prices!C801,-T$3*R801)</f>
        <v>2.0211914293621043E-4</v>
      </c>
    </row>
    <row r="803" spans="1:20" x14ac:dyDescent="0.2">
      <c r="A803" s="4">
        <v>34631</v>
      </c>
      <c r="B803" s="9">
        <f ca="1">Prices!C802*(1+J803/(50*(ABS(O803)+ABS(T803)+0.0001)))</f>
        <v>99.017599112545398</v>
      </c>
      <c r="C803" s="21">
        <f t="shared" ca="1" si="77"/>
        <v>1</v>
      </c>
      <c r="D803" s="9">
        <f ca="1">D802+C803*(Prices!C803-Prices!C802)/Prices!C802</f>
        <v>0.3762605115406592</v>
      </c>
      <c r="E803" s="9">
        <f t="shared" ca="1" si="78"/>
        <v>6.6536011871546896E-3</v>
      </c>
      <c r="F803" s="9">
        <f t="shared" ca="1" si="79"/>
        <v>0.38291411272781389</v>
      </c>
      <c r="G803" s="13">
        <f ca="1">IF((Prices!C803-Prices!C802)*C803&gt;0,1,0)</f>
        <v>0</v>
      </c>
      <c r="H803" s="9">
        <f>ABS(Prices!C803-Prices!C802)/Prices!C802</f>
        <v>1.028489149439561E-3</v>
      </c>
      <c r="I803" s="13"/>
      <c r="J803" s="1">
        <f t="shared" ca="1" si="80"/>
        <v>1.1385917248793646E-3</v>
      </c>
      <c r="K803" s="9"/>
      <c r="L803" s="9">
        <f ca="1">L802-O803*Prices!C803</f>
        <v>0.82347433777841417</v>
      </c>
      <c r="M803" s="1">
        <f t="shared" ca="1" si="81"/>
        <v>1.2383911041387311E-2</v>
      </c>
      <c r="N803" s="9">
        <f ca="1">IF(Prices!D802&gt;OFFSET(Prices!D802,-$N$3,0),1,-1)</f>
        <v>1</v>
      </c>
      <c r="O803" s="1">
        <f ca="1">IF(N803=1,O$3*L802/Prices!C802,-O$3*M802)</f>
        <v>9.4093071949268611E-4</v>
      </c>
      <c r="P803" s="14"/>
      <c r="Q803" s="9">
        <f ca="1">Q802-T803*Prices!C803</f>
        <v>0.94173016423412914</v>
      </c>
      <c r="R803" s="1">
        <f t="shared" ca="1" si="82"/>
        <v>1.1016246810199715E-2</v>
      </c>
      <c r="S803" s="9">
        <f ca="1">IF(Prices!C802&lt;OFFSET(Prices!C802,-S$3,0),1,-1)</f>
        <v>1</v>
      </c>
      <c r="T803" s="1">
        <f ca="1">IF(S803=1,T$3*Q802/Prices!C802,-T$3*R802)</f>
        <v>1.9766100538667845E-4</v>
      </c>
    </row>
    <row r="804" spans="1:20" x14ac:dyDescent="0.2">
      <c r="A804" s="4">
        <v>34632</v>
      </c>
      <c r="B804" s="9">
        <f ca="1">Prices!C803*(1+J804/(50*(ABS(O804)+ABS(T804)+0.0001)))</f>
        <v>98.902452856360355</v>
      </c>
      <c r="C804" s="21">
        <f t="shared" ca="1" si="77"/>
        <v>1</v>
      </c>
      <c r="D804" s="9">
        <f ca="1">D803+C804*(Prices!C804-Prices!C803)/Prices!C803</f>
        <v>0.37306891265257103</v>
      </c>
      <c r="E804" s="9">
        <f t="shared" ca="1" si="78"/>
        <v>9.8452000752428659E-3</v>
      </c>
      <c r="F804" s="9">
        <f t="shared" ca="1" si="79"/>
        <v>0.38291411272781389</v>
      </c>
      <c r="G804" s="13">
        <f ca="1">IF((Prices!C804-Prices!C803)*C804&gt;0,1,0)</f>
        <v>0</v>
      </c>
      <c r="H804" s="9">
        <f>ABS(Prices!C804-Prices!C803)/Prices!C803</f>
        <v>3.1915988880881528E-3</v>
      </c>
      <c r="I804" s="13"/>
      <c r="J804" s="1">
        <f t="shared" ca="1" si="80"/>
        <v>1.0417176676878824E-3</v>
      </c>
      <c r="K804" s="9"/>
      <c r="L804" s="9">
        <f ca="1">L803-O804*Prices!C804</f>
        <v>0.74138972397865499</v>
      </c>
      <c r="M804" s="1">
        <f t="shared" ca="1" si="81"/>
        <v>1.3231717422297859E-2</v>
      </c>
      <c r="N804" s="9">
        <f ca="1">IF(Prices!D803&gt;OFFSET(Prices!D803,-$N$3,0),1,-1)</f>
        <v>1</v>
      </c>
      <c r="O804" s="1">
        <f ca="1">IF(N804=1,O$3*L803/Prices!C803,-O$3*M803)</f>
        <v>8.4780638091054702E-4</v>
      </c>
      <c r="P804" s="14"/>
      <c r="Q804" s="9">
        <f ca="1">Q803-T804*Prices!C804</f>
        <v>0.9229556734483475</v>
      </c>
      <c r="R804" s="1">
        <f t="shared" ca="1" si="82"/>
        <v>1.1210158096977051E-2</v>
      </c>
      <c r="S804" s="9">
        <f ca="1">IF(Prices!C803&lt;OFFSET(Prices!C803,-S$3,0),1,-1)</f>
        <v>1</v>
      </c>
      <c r="T804" s="1">
        <f ca="1">IF(S804=1,T$3*Q803/Prices!C803,-T$3*R803)</f>
        <v>1.9391128677733539E-4</v>
      </c>
    </row>
    <row r="805" spans="1:20" x14ac:dyDescent="0.2">
      <c r="A805" s="4">
        <v>34633</v>
      </c>
      <c r="B805" s="9">
        <f ca="1">Prices!C804*(1+J805/(50*(ABS(O805)+ABS(T805)+0.0001)))</f>
        <v>98.573097212941235</v>
      </c>
      <c r="C805" s="21">
        <f t="shared" ca="1" si="77"/>
        <v>1</v>
      </c>
      <c r="D805" s="9">
        <f ca="1">D804+C805*(Prices!C805-Prices!C804)/Prices!C804</f>
        <v>0.37317219709793359</v>
      </c>
      <c r="E805" s="9">
        <f t="shared" ca="1" si="78"/>
        <v>9.7419156298803045E-3</v>
      </c>
      <c r="F805" s="9">
        <f t="shared" ca="1" si="79"/>
        <v>0.38291411272781389</v>
      </c>
      <c r="G805" s="13">
        <f ca="1">IF((Prices!C805-Prices!C804)*C805&gt;0,1,0)</f>
        <v>1</v>
      </c>
      <c r="H805" s="9">
        <f>ABS(Prices!C805-Prices!C804)/Prices!C804</f>
        <v>1.0328444536258126E-4</v>
      </c>
      <c r="I805" s="13"/>
      <c r="J805" s="1">
        <f t="shared" ca="1" si="80"/>
        <v>9.5639419403875713E-4</v>
      </c>
      <c r="K805" s="9"/>
      <c r="L805" s="9">
        <f ca="1">L804-O805*Prices!C805</f>
        <v>0.66724309417814565</v>
      </c>
      <c r="M805" s="1">
        <f t="shared" ca="1" si="81"/>
        <v>1.3997457686683992E-2</v>
      </c>
      <c r="N805" s="9">
        <f ca="1">IF(Prices!D804&gt;OFFSET(Prices!D804,-$N$3,0),1,-1)</f>
        <v>1</v>
      </c>
      <c r="O805" s="1">
        <f ca="1">IF(N805=1,O$3*L804/Prices!C804,-O$3*M804)</f>
        <v>7.6574026438613418E-4</v>
      </c>
      <c r="P805" s="14"/>
      <c r="Q805" s="9">
        <f ca="1">Q804-T805*Prices!C805</f>
        <v>0.90449465344008406</v>
      </c>
      <c r="R805" s="1">
        <f t="shared" ca="1" si="82"/>
        <v>1.1400812026629674E-2</v>
      </c>
      <c r="S805" s="9">
        <f ca="1">IF(Prices!C804&lt;OFFSET(Prices!C804,-S$3,0),1,-1)</f>
        <v>1</v>
      </c>
      <c r="T805" s="1">
        <f ca="1">IF(S805=1,T$3*Q804/Prices!C804,-T$3*R804)</f>
        <v>1.9065392965262294E-4</v>
      </c>
    </row>
    <row r="806" spans="1:20" x14ac:dyDescent="0.2">
      <c r="A806" s="4">
        <v>34634</v>
      </c>
      <c r="B806" s="9">
        <f ca="1">Prices!C805*(1+J806/(50*(ABS(O806)+ABS(T806)+0.0001)))</f>
        <v>98.568159228140573</v>
      </c>
      <c r="C806" s="21">
        <f t="shared" ca="1" si="77"/>
        <v>1</v>
      </c>
      <c r="D806" s="9">
        <f ca="1">D805+C806*(Prices!C806-Prices!C805)/Prices!C805</f>
        <v>0.37523767267368491</v>
      </c>
      <c r="E806" s="9">
        <f t="shared" ca="1" si="78"/>
        <v>7.6764400541289857E-3</v>
      </c>
      <c r="F806" s="9">
        <f t="shared" ca="1" si="79"/>
        <v>0.38291411272781389</v>
      </c>
      <c r="G806" s="13">
        <f ca="1">IF((Prices!C806-Prices!C805)*C806&gt;0,1,0)</f>
        <v>1</v>
      </c>
      <c r="H806" s="9">
        <f>ABS(Prices!C806-Prices!C805)/Prices!C805</f>
        <v>2.0654755757513461E-3</v>
      </c>
      <c r="I806" s="13"/>
      <c r="J806" s="1">
        <f t="shared" ca="1" si="80"/>
        <v>8.7590831856466239E-4</v>
      </c>
      <c r="K806" s="9"/>
      <c r="L806" s="9">
        <f ca="1">L805-O806*Prices!C806</f>
        <v>0.60038096732891966</v>
      </c>
      <c r="M806" s="1">
        <f t="shared" ca="1" si="81"/>
        <v>1.468654484374084E-2</v>
      </c>
      <c r="N806" s="9">
        <f ca="1">IF(Prices!D805&gt;OFFSET(Prices!D805,-$N$3,0),1,-1)</f>
        <v>1</v>
      </c>
      <c r="O806" s="1">
        <f ca="1">IF(N806=1,O$3*L805/Prices!C805,-O$3*M805)</f>
        <v>6.8908715705684779E-4</v>
      </c>
      <c r="P806" s="14"/>
      <c r="Q806" s="9">
        <f ca="1">Q805-T806*Prices!C806</f>
        <v>0.88636739613898086</v>
      </c>
      <c r="R806" s="1">
        <f t="shared" ca="1" si="82"/>
        <v>1.1587633188137488E-2</v>
      </c>
      <c r="S806" s="9">
        <f ca="1">IF(Prices!C805&lt;OFFSET(Prices!C805,-S$3,0),1,-1)</f>
        <v>1</v>
      </c>
      <c r="T806" s="1">
        <f ca="1">IF(S806=1,T$3*Q805/Prices!C805,-T$3*R805)</f>
        <v>1.8682116150781455E-4</v>
      </c>
    </row>
    <row r="807" spans="1:20" x14ac:dyDescent="0.2">
      <c r="A807" s="4">
        <v>34635</v>
      </c>
      <c r="B807" s="9">
        <f ca="1">Prices!C806*(1+J807/(50*(ABS(O807)+ABS(T807)+0.0001)))</f>
        <v>95.605088914360863</v>
      </c>
      <c r="C807" s="21">
        <f t="shared" ca="1" si="77"/>
        <v>-1</v>
      </c>
      <c r="D807" s="9">
        <f ca="1">D806+C807*(Prices!C807-Prices!C806)/Prices!C806</f>
        <v>0.37266114994875449</v>
      </c>
      <c r="E807" s="9">
        <f t="shared" ca="1" si="78"/>
        <v>1.0252962779059405E-2</v>
      </c>
      <c r="F807" s="9">
        <f t="shared" ca="1" si="79"/>
        <v>0.38291411272781389</v>
      </c>
      <c r="G807" s="13">
        <f ca="1">IF((Prices!C807-Prices!C806)*C807&gt;0,1,0)</f>
        <v>0</v>
      </c>
      <c r="H807" s="9">
        <f>ABS(Prices!C807-Prices!C806)/Prices!C806</f>
        <v>2.5765227249304338E-3</v>
      </c>
      <c r="I807" s="13"/>
      <c r="J807" s="1">
        <f t="shared" ca="1" si="80"/>
        <v>-1.285954825270924E-3</v>
      </c>
      <c r="K807" s="9"/>
      <c r="L807" s="9">
        <f ca="1">L806-O807*Prices!C807</f>
        <v>0.74325167556883054</v>
      </c>
      <c r="M807" s="1">
        <f t="shared" ca="1" si="81"/>
        <v>1.3217890359366756E-2</v>
      </c>
      <c r="N807" s="9">
        <f ca="1">IF(Prices!D806&gt;OFFSET(Prices!D806,-$N$3,0),1,-1)</f>
        <v>-1</v>
      </c>
      <c r="O807" s="1">
        <f ca="1">IF(N807=1,O$3*L806/Prices!C806,-O$3*M806)</f>
        <v>-1.468654484374084E-3</v>
      </c>
      <c r="P807" s="14"/>
      <c r="Q807" s="9">
        <f ca="1">Q806-T807*Prices!C807</f>
        <v>0.86859437330142542</v>
      </c>
      <c r="R807" s="1">
        <f t="shared" ca="1" si="82"/>
        <v>1.1770332847240649E-2</v>
      </c>
      <c r="S807" s="9">
        <f ca="1">IF(Prices!C806&lt;OFFSET(Prices!C806,-S$3,0),1,-1)</f>
        <v>1</v>
      </c>
      <c r="T807" s="1">
        <f ca="1">IF(S807=1,T$3*Q806/Prices!C806,-T$3*R806)</f>
        <v>1.8269965910316002E-4</v>
      </c>
    </row>
    <row r="808" spans="1:20" x14ac:dyDescent="0.2">
      <c r="A808" s="4">
        <v>34638</v>
      </c>
      <c r="B808" s="9">
        <f ca="1">Prices!C807*(1+J808/(50*(ABS(O808)+ABS(T808)+0.0001)))</f>
        <v>95.451803153312383</v>
      </c>
      <c r="C808" s="21">
        <f t="shared" ca="1" si="77"/>
        <v>-1</v>
      </c>
      <c r="D808" s="9">
        <f ca="1">D807+C808*(Prices!C808-Prices!C807)/Prices!C807</f>
        <v>0.37595062363296511</v>
      </c>
      <c r="E808" s="9">
        <f t="shared" ca="1" si="78"/>
        <v>6.9634890948487849E-3</v>
      </c>
      <c r="F808" s="9">
        <f t="shared" ca="1" si="79"/>
        <v>0.38291411272781389</v>
      </c>
      <c r="G808" s="13">
        <f ca="1">IF((Prices!C808-Prices!C807)*C808&gt;0,1,0)</f>
        <v>1</v>
      </c>
      <c r="H808" s="9">
        <f>ABS(Prices!C808-Prices!C807)/Prices!C807</f>
        <v>3.289473684210602E-3</v>
      </c>
      <c r="I808" s="13"/>
      <c r="J808" s="1">
        <f t="shared" ca="1" si="80"/>
        <v>-1.5571956928814889E-3</v>
      </c>
      <c r="K808" s="9"/>
      <c r="L808" s="9">
        <f ca="1">L807-O808*Prices!C808</f>
        <v>0.87141234049325056</v>
      </c>
      <c r="M808" s="1">
        <f t="shared" ca="1" si="81"/>
        <v>1.1896101323430081E-2</v>
      </c>
      <c r="N808" s="9">
        <f ca="1">IF(Prices!D807&gt;OFFSET(Prices!D807,-$N$3,0),1,-1)</f>
        <v>-1</v>
      </c>
      <c r="O808" s="1">
        <f ca="1">IF(N808=1,O$3*L807/Prices!C807,-O$3*M807)</f>
        <v>-1.3217890359366758E-3</v>
      </c>
      <c r="P808" s="14"/>
      <c r="Q808" s="9">
        <f ca="1">Q807-T808*Prices!C808</f>
        <v>0.8914194027587945</v>
      </c>
      <c r="R808" s="1">
        <f t="shared" ca="1" si="82"/>
        <v>1.1534926190295836E-2</v>
      </c>
      <c r="S808" s="9">
        <f ca="1">IF(Prices!C807&lt;OFFSET(Prices!C807,-S$3,0),1,-1)</f>
        <v>-1</v>
      </c>
      <c r="T808" s="1">
        <f ca="1">IF(S808=1,T$3*Q807/Prices!C807,-T$3*R807)</f>
        <v>-2.3540665694481299E-4</v>
      </c>
    </row>
    <row r="809" spans="1:20" x14ac:dyDescent="0.2">
      <c r="A809" s="4">
        <v>34639</v>
      </c>
      <c r="B809" s="9">
        <f ca="1">Prices!C808*(1+J809/(50*(ABS(O809)+ABS(T809)+0.0001)))</f>
        <v>95.148353046031588</v>
      </c>
      <c r="C809" s="21">
        <f t="shared" ca="1" si="77"/>
        <v>-1</v>
      </c>
      <c r="D809" s="9">
        <f ca="1">D808+C809*(Prices!C809-Prices!C808)/Prices!C808</f>
        <v>0.37956035960656243</v>
      </c>
      <c r="E809" s="9">
        <f t="shared" ca="1" si="78"/>
        <v>3.3537531212514682E-3</v>
      </c>
      <c r="F809" s="9">
        <f t="shared" ca="1" si="79"/>
        <v>0.38291411272781389</v>
      </c>
      <c r="G809" s="13">
        <f ca="1">IF((Prices!C809-Prices!C808)*C809&gt;0,1,0)</f>
        <v>1</v>
      </c>
      <c r="H809" s="9">
        <f>ABS(Prices!C809-Prices!C808)/Prices!C808</f>
        <v>3.6097359735973015E-3</v>
      </c>
      <c r="I809" s="13"/>
      <c r="J809" s="1">
        <f t="shared" ca="1" si="80"/>
        <v>-1.4203086561489248E-3</v>
      </c>
      <c r="K809" s="9"/>
      <c r="L809" s="9">
        <f ca="1">L808-O809*Prices!C809</f>
        <v>0.98634057537890851</v>
      </c>
      <c r="M809" s="1">
        <f t="shared" ca="1" si="81"/>
        <v>1.0706491191087072E-2</v>
      </c>
      <c r="N809" s="9">
        <f ca="1">IF(Prices!D808&gt;OFFSET(Prices!D808,-$N$3,0),1,-1)</f>
        <v>-1</v>
      </c>
      <c r="O809" s="1">
        <f ca="1">IF(N809=1,O$3*L808/Prices!C808,-O$3*M808)</f>
        <v>-1.1896101323430081E-3</v>
      </c>
      <c r="P809" s="14"/>
      <c r="Q809" s="9">
        <f ca="1">Q808-T809*Prices!C809</f>
        <v>0.91370718714368415</v>
      </c>
      <c r="R809" s="1">
        <f t="shared" ca="1" si="82"/>
        <v>1.1304227666489919E-2</v>
      </c>
      <c r="S809" s="9">
        <f ca="1">IF(Prices!C808&lt;OFFSET(Prices!C808,-S$3,0),1,-1)</f>
        <v>-1</v>
      </c>
      <c r="T809" s="1">
        <f ca="1">IF(S809=1,T$3*Q808/Prices!C808,-T$3*R808)</f>
        <v>-2.3069852380591671E-4</v>
      </c>
    </row>
    <row r="810" spans="1:20" x14ac:dyDescent="0.2">
      <c r="A810" s="4">
        <v>34640</v>
      </c>
      <c r="B810" s="9">
        <f ca="1">Prices!C809*(1+J810/(50*(ABS(O810)+ABS(T810)+0.0001)))</f>
        <v>98.394715588222823</v>
      </c>
      <c r="C810" s="21">
        <f t="shared" ca="1" si="77"/>
        <v>1</v>
      </c>
      <c r="D810" s="9">
        <f ca="1">D809+C810*(Prices!C810-Prices!C809)/Prices!C809</f>
        <v>0.3890831833308146</v>
      </c>
      <c r="E810" s="9">
        <f t="shared" ca="1" si="78"/>
        <v>0</v>
      </c>
      <c r="F810" s="9">
        <f t="shared" ca="1" si="79"/>
        <v>0.3890831833308146</v>
      </c>
      <c r="G810" s="13">
        <f ca="1">IF((Prices!C810-Prices!C809)*C810&gt;0,1,0)</f>
        <v>1</v>
      </c>
      <c r="H810" s="9">
        <f>ABS(Prices!C810-Prices!C809)/Prices!C809</f>
        <v>9.5228237242521649E-3</v>
      </c>
      <c r="I810" s="13"/>
      <c r="J810" s="1">
        <f t="shared" ca="1" si="80"/>
        <v>1.2101045573001195E-3</v>
      </c>
      <c r="K810" s="9"/>
      <c r="L810" s="9">
        <f ca="1">L809-O810*Prices!C810</f>
        <v>0.88676724309787658</v>
      </c>
      <c r="M810" s="1">
        <f t="shared" ca="1" si="81"/>
        <v>1.1727441998849113E-2</v>
      </c>
      <c r="N810" s="9">
        <f ca="1">IF(Prices!D809&gt;OFFSET(Prices!D809,-$N$3,0),1,-1)</f>
        <v>1</v>
      </c>
      <c r="O810" s="1">
        <f ca="1">IF(N810=1,O$3*L809/Prices!C809,-O$3*M809)</f>
        <v>1.0209508077620418E-3</v>
      </c>
      <c r="P810" s="14"/>
      <c r="Q810" s="9">
        <f ca="1">Q809-T810*Prices!C810</f>
        <v>0.89525902195123541</v>
      </c>
      <c r="R810" s="1">
        <f t="shared" ca="1" si="82"/>
        <v>1.1493381416027997E-2</v>
      </c>
      <c r="S810" s="9">
        <f ca="1">IF(Prices!C809&lt;OFFSET(Prices!C809,-S$3,0),1,-1)</f>
        <v>1</v>
      </c>
      <c r="T810" s="1">
        <f ca="1">IF(S810=1,T$3*Q809/Prices!C809,-T$3*R809)</f>
        <v>1.8915374953807766E-4</v>
      </c>
    </row>
    <row r="811" spans="1:20" x14ac:dyDescent="0.2">
      <c r="A811" s="4">
        <v>34641</v>
      </c>
      <c r="B811" s="9">
        <f ca="1">Prices!C810*(1+J811/(50*(ABS(O811)+ABS(T811)+0.0001)))</f>
        <v>98.599455624056247</v>
      </c>
      <c r="C811" s="21">
        <f t="shared" ca="1" si="77"/>
        <v>1</v>
      </c>
      <c r="D811" s="9">
        <f ca="1">D810+C811*(Prices!C811-Prices!C810)/Prices!C810</f>
        <v>0.39010850887167375</v>
      </c>
      <c r="E811" s="9">
        <f t="shared" ca="1" si="78"/>
        <v>0</v>
      </c>
      <c r="F811" s="9">
        <f t="shared" ca="1" si="79"/>
        <v>0.39010850887167375</v>
      </c>
      <c r="G811" s="13">
        <f ca="1">IF((Prices!C811-Prices!C810)*C811&gt;0,1,0)</f>
        <v>1</v>
      </c>
      <c r="H811" s="9">
        <f>ABS(Prices!C811-Prices!C810)/Prices!C810</f>
        <v>1.0253255408591644E-3</v>
      </c>
      <c r="I811" s="13"/>
      <c r="J811" s="1">
        <f t="shared" ca="1" si="80"/>
        <v>6.7935747482501243E-4</v>
      </c>
      <c r="K811" s="9"/>
      <c r="L811" s="9">
        <f ca="1">L810-O811*Prices!C811</f>
        <v>0.79799959627777439</v>
      </c>
      <c r="M811" s="1">
        <f t="shared" ca="1" si="81"/>
        <v>1.2636667101994684E-2</v>
      </c>
      <c r="N811" s="9">
        <f ca="1">IF(Prices!D810&gt;OFFSET(Prices!D810,-$N$3,0),1,-1)</f>
        <v>1</v>
      </c>
      <c r="O811" s="1">
        <f ca="1">IF(N811=1,O$3*L810/Prices!C810,-O$3*M810)</f>
        <v>9.0922510314557232E-4</v>
      </c>
      <c r="P811" s="14"/>
      <c r="Q811" s="9">
        <f ca="1">Q810-T811*Prices!C811</f>
        <v>0.91770099850417164</v>
      </c>
      <c r="R811" s="1">
        <f t="shared" ca="1" si="82"/>
        <v>1.1263513787707437E-2</v>
      </c>
      <c r="S811" s="9">
        <f ca="1">IF(Prices!C810&lt;OFFSET(Prices!C810,-S$3,0),1,-1)</f>
        <v>-1</v>
      </c>
      <c r="T811" s="1">
        <f ca="1">IF(S811=1,T$3*Q810/Prices!C810,-T$3*R810)</f>
        <v>-2.2986762832055994E-4</v>
      </c>
    </row>
    <row r="812" spans="1:20" x14ac:dyDescent="0.2">
      <c r="A812" s="4">
        <v>34642</v>
      </c>
      <c r="B812" s="9">
        <f ca="1">Prices!C811*(1+J812/(50*(ABS(O812)+ABS(T812)+0.0001)))</f>
        <v>98.641810248029401</v>
      </c>
      <c r="C812" s="21">
        <f t="shared" ca="1" si="77"/>
        <v>1</v>
      </c>
      <c r="D812" s="9">
        <f ca="1">D811+C812*(Prices!C812-Prices!C811)/Prices!C811</f>
        <v>0.38826481328630047</v>
      </c>
      <c r="E812" s="9">
        <f t="shared" ca="1" si="78"/>
        <v>1.8436955853732839E-3</v>
      </c>
      <c r="F812" s="9">
        <f t="shared" ca="1" si="79"/>
        <v>0.39010850887167375</v>
      </c>
      <c r="G812" s="13">
        <f ca="1">IF((Prices!C812-Prices!C811)*C812&gt;0,1,0)</f>
        <v>0</v>
      </c>
      <c r="H812" s="9">
        <f>ABS(Prices!C812-Prices!C811)/Prices!C811</f>
        <v>1.8436955853732727E-3</v>
      </c>
      <c r="I812" s="13"/>
      <c r="J812" s="1">
        <f t="shared" ca="1" si="80"/>
        <v>5.921010202386552E-4</v>
      </c>
      <c r="K812" s="9"/>
      <c r="L812" s="9">
        <f ca="1">L811-O812*Prices!C812</f>
        <v>0.71834676348327564</v>
      </c>
      <c r="M812" s="1">
        <f t="shared" ca="1" si="81"/>
        <v>1.3454038397987488E-2</v>
      </c>
      <c r="N812" s="9">
        <f ca="1">IF(Prices!D811&gt;OFFSET(Prices!D811,-$N$3,0),1,-1)</f>
        <v>1</v>
      </c>
      <c r="O812" s="1">
        <f ca="1">IF(N812=1,O$3*L811/Prices!C811,-O$3*M811)</f>
        <v>8.1737129599280395E-4</v>
      </c>
      <c r="P812" s="14"/>
      <c r="Q812" s="9">
        <f ca="1">Q811-T812*Prices!C812</f>
        <v>0.93965358687641343</v>
      </c>
      <c r="R812" s="1">
        <f t="shared" ca="1" si="82"/>
        <v>1.1038243511953288E-2</v>
      </c>
      <c r="S812" s="9">
        <f ca="1">IF(Prices!C811&lt;OFFSET(Prices!C811,-S$3,0),1,-1)</f>
        <v>-1</v>
      </c>
      <c r="T812" s="1">
        <f ca="1">IF(S812=1,T$3*Q811/Prices!C811,-T$3*R811)</f>
        <v>-2.2527027575414875E-4</v>
      </c>
    </row>
    <row r="813" spans="1:20" x14ac:dyDescent="0.2">
      <c r="A813" s="4">
        <v>34645</v>
      </c>
      <c r="B813" s="9">
        <f ca="1">Prices!C812*(1+J813/(50*(ABS(O813)+ABS(T813)+0.0001)))</f>
        <v>98.401332280280528</v>
      </c>
      <c r="C813" s="21">
        <f t="shared" ca="1" si="77"/>
        <v>1</v>
      </c>
      <c r="D813" s="9">
        <f ca="1">D812+C813*(Prices!C813-Prices!C812)/Prices!C812</f>
        <v>0.38754649620061543</v>
      </c>
      <c r="E813" s="9">
        <f t="shared" ca="1" si="78"/>
        <v>2.5620126710583224E-3</v>
      </c>
      <c r="F813" s="9">
        <f t="shared" ca="1" si="79"/>
        <v>0.39010850887167375</v>
      </c>
      <c r="G813" s="13">
        <f ca="1">IF((Prices!C813-Prices!C812)*C813&gt;0,1,0)</f>
        <v>0</v>
      </c>
      <c r="H813" s="9">
        <f>ABS(Prices!C813-Prices!C812)/Prices!C812</f>
        <v>7.183170856850425E-4</v>
      </c>
      <c r="I813" s="13"/>
      <c r="J813" s="1">
        <f t="shared" ca="1" si="80"/>
        <v>5.1637906355598358E-4</v>
      </c>
      <c r="K813" s="9"/>
      <c r="L813" s="9">
        <f ca="1">L812-O813*Prices!C813</f>
        <v>0.64656368721031376</v>
      </c>
      <c r="M813" s="1">
        <f t="shared" ca="1" si="81"/>
        <v>1.4191182331782537E-2</v>
      </c>
      <c r="N813" s="9">
        <f ca="1">IF(Prices!D812&gt;OFFSET(Prices!D812,-$N$3,0),1,-1)</f>
        <v>1</v>
      </c>
      <c r="O813" s="1">
        <f ca="1">IF(N813=1,O$3*L812/Prices!C812,-O$3*M812)</f>
        <v>7.3714393379504931E-4</v>
      </c>
      <c r="P813" s="14"/>
      <c r="Q813" s="9">
        <f ca="1">Q812-T813*Prices!C813</f>
        <v>0.96115166994029366</v>
      </c>
      <c r="R813" s="1">
        <f t="shared" ca="1" si="82"/>
        <v>1.0817478641714222E-2</v>
      </c>
      <c r="S813" s="9">
        <f ca="1">IF(Prices!C812&lt;OFFSET(Prices!C812,-S$3,0),1,-1)</f>
        <v>-1</v>
      </c>
      <c r="T813" s="1">
        <f ca="1">IF(S813=1,T$3*Q812/Prices!C812,-T$3*R812)</f>
        <v>-2.2076487023906576E-4</v>
      </c>
    </row>
    <row r="814" spans="1:20" x14ac:dyDescent="0.2">
      <c r="A814" s="4">
        <v>34646</v>
      </c>
      <c r="B814" s="9">
        <f ca="1">Prices!C813*(1+J814/(50*(ABS(O814)+ABS(T814)+0.0001)))</f>
        <v>98.269275676419369</v>
      </c>
      <c r="C814" s="21">
        <f t="shared" ca="1" si="77"/>
        <v>1</v>
      </c>
      <c r="D814" s="9">
        <f ca="1">D813+C814*(Prices!C814-Prices!C813)/Prices!C813</f>
        <v>0.38467116245652011</v>
      </c>
      <c r="E814" s="9">
        <f t="shared" ca="1" si="78"/>
        <v>5.4373464151536433E-3</v>
      </c>
      <c r="F814" s="9">
        <f t="shared" ca="1" si="79"/>
        <v>0.39010850887167375</v>
      </c>
      <c r="G814" s="13">
        <f ca="1">IF((Prices!C814-Prices!C813)*C814&gt;0,1,0)</f>
        <v>0</v>
      </c>
      <c r="H814" s="9">
        <f>ABS(Prices!C814-Prices!C813)/Prices!C813</f>
        <v>2.8753337440953087E-3</v>
      </c>
      <c r="I814" s="13"/>
      <c r="J814" s="1">
        <f t="shared" ca="1" si="80"/>
        <v>4.4760985128803406E-4</v>
      </c>
      <c r="K814" s="9"/>
      <c r="L814" s="9">
        <f ca="1">L813-O814*Prices!C814</f>
        <v>0.58209322712803668</v>
      </c>
      <c r="M814" s="1">
        <f t="shared" ca="1" si="81"/>
        <v>1.4855141755904857E-2</v>
      </c>
      <c r="N814" s="9">
        <f ca="1">IF(Prices!D813&gt;OFFSET(Prices!D813,-$N$3,0),1,-1)</f>
        <v>1</v>
      </c>
      <c r="O814" s="1">
        <f ca="1">IF(N814=1,O$3*L813/Prices!C813,-O$3*M813)</f>
        <v>6.6395942412231853E-4</v>
      </c>
      <c r="P814" s="14"/>
      <c r="Q814" s="9">
        <f ca="1">Q813-T814*Prices!C814</f>
        <v>0.98215921346250268</v>
      </c>
      <c r="R814" s="1">
        <f t="shared" ca="1" si="82"/>
        <v>1.0601129068879937E-2</v>
      </c>
      <c r="S814" s="9">
        <f ca="1">IF(Prices!C813&lt;OFFSET(Prices!C813,-S$3,0),1,-1)</f>
        <v>-1</v>
      </c>
      <c r="T814" s="1">
        <f ca="1">IF(S814=1,T$3*Q813/Prices!C813,-T$3*R813)</f>
        <v>-2.1634957283428444E-4</v>
      </c>
    </row>
    <row r="815" spans="1:20" x14ac:dyDescent="0.2">
      <c r="A815" s="4">
        <v>34647</v>
      </c>
      <c r="B815" s="9">
        <f ca="1">Prices!C814*(1+J815/(50*(ABS(O815)+ABS(T815)+0.0001)))</f>
        <v>95.706115238584573</v>
      </c>
      <c r="C815" s="21">
        <f t="shared" ca="1" si="77"/>
        <v>-1</v>
      </c>
      <c r="D815" s="9">
        <f ca="1">D814+C815*(Prices!C815-Prices!C814)/Prices!C814</f>
        <v>0.37705015318772495</v>
      </c>
      <c r="E815" s="9">
        <f t="shared" ca="1" si="78"/>
        <v>1.3058355683948808E-2</v>
      </c>
      <c r="F815" s="9">
        <f t="shared" ca="1" si="79"/>
        <v>0.39010850887167375</v>
      </c>
      <c r="G815" s="13">
        <f ca="1">IF((Prices!C815-Prices!C814)*C815&gt;0,1,0)</f>
        <v>0</v>
      </c>
      <c r="H815" s="9">
        <f>ABS(Prices!C815-Prices!C814)/Prices!C814</f>
        <v>7.6210092687951508E-3</v>
      </c>
      <c r="I815" s="13"/>
      <c r="J815" s="1">
        <f t="shared" ca="1" si="80"/>
        <v>-1.2832156764221022E-3</v>
      </c>
      <c r="K815" s="9"/>
      <c r="L815" s="9">
        <f ca="1">L814-O815*Prices!C815</f>
        <v>0.72743593406780982</v>
      </c>
      <c r="M815" s="1">
        <f t="shared" ca="1" si="81"/>
        <v>1.3369627580314371E-2</v>
      </c>
      <c r="N815" s="9">
        <f ca="1">IF(Prices!D814&gt;OFFSET(Prices!D814,-$N$3,0),1,-1)</f>
        <v>-1</v>
      </c>
      <c r="O815" s="1">
        <f ca="1">IF(N815=1,O$3*L814/Prices!C814,-O$3*M814)</f>
        <v>-1.4855141755904858E-3</v>
      </c>
      <c r="P815" s="14"/>
      <c r="Q815" s="9">
        <f ca="1">Q814-T815*Prices!C815</f>
        <v>0.96236632830386803</v>
      </c>
      <c r="R815" s="1">
        <f t="shared" ca="1" si="82"/>
        <v>1.0803427568048321E-2</v>
      </c>
      <c r="S815" s="9">
        <f ca="1">IF(Prices!C814&lt;OFFSET(Prices!C814,-S$3,0),1,-1)</f>
        <v>1</v>
      </c>
      <c r="T815" s="1">
        <f ca="1">IF(S815=1,T$3*Q814/Prices!C814,-T$3*R814)</f>
        <v>2.0229849916838366E-4</v>
      </c>
    </row>
    <row r="816" spans="1:20" x14ac:dyDescent="0.2">
      <c r="A816" s="4">
        <v>34648</v>
      </c>
      <c r="B816" s="9">
        <f ca="1">Prices!C815*(1+J816/(50*(ABS(O816)+ABS(T816)+0.0001)))</f>
        <v>96.00157646322134</v>
      </c>
      <c r="C816" s="21">
        <f t="shared" ca="1" si="77"/>
        <v>-1</v>
      </c>
      <c r="D816" s="9">
        <f ca="1">D815+C816*(Prices!C816-Prices!C815)/Prices!C815</f>
        <v>0.37837885310595887</v>
      </c>
      <c r="E816" s="9">
        <f t="shared" ca="1" si="78"/>
        <v>1.1729655765714886E-2</v>
      </c>
      <c r="F816" s="9">
        <f t="shared" ca="1" si="79"/>
        <v>0.39010850887167375</v>
      </c>
      <c r="G816" s="13">
        <f ca="1">IF((Prices!C816-Prices!C815)*C816&gt;0,1,0)</f>
        <v>1</v>
      </c>
      <c r="H816" s="9">
        <f>ABS(Prices!C816-Prices!C815)/Prices!C815</f>
        <v>1.3286999182339498E-3</v>
      </c>
      <c r="I816" s="13"/>
      <c r="J816" s="1">
        <f t="shared" ca="1" si="80"/>
        <v>-1.5530313093924037E-3</v>
      </c>
      <c r="K816" s="9"/>
      <c r="L816" s="9">
        <f ca="1">L815-O816*Prices!C816</f>
        <v>0.85807056515506153</v>
      </c>
      <c r="M816" s="1">
        <f t="shared" ca="1" si="81"/>
        <v>1.2032664822282935E-2</v>
      </c>
      <c r="N816" s="9">
        <f ca="1">IF(Prices!D815&gt;OFFSET(Prices!D815,-$N$3,0),1,-1)</f>
        <v>-1</v>
      </c>
      <c r="O816" s="1">
        <f ca="1">IF(N816=1,O$3*L815/Prices!C815,-O$3*M815)</f>
        <v>-1.3369627580314372E-3</v>
      </c>
      <c r="P816" s="14"/>
      <c r="Q816" s="9">
        <f ca="1">Q815-T816*Prices!C816</f>
        <v>0.98347838645734809</v>
      </c>
      <c r="R816" s="1">
        <f t="shared" ca="1" si="82"/>
        <v>1.0587359016687354E-2</v>
      </c>
      <c r="S816" s="9">
        <f ca="1">IF(Prices!C815&lt;OFFSET(Prices!C815,-S$3,0),1,-1)</f>
        <v>-1</v>
      </c>
      <c r="T816" s="1">
        <f ca="1">IF(S816=1,T$3*Q815/Prices!C815,-T$3*R815)</f>
        <v>-2.1606855136096644E-4</v>
      </c>
    </row>
    <row r="817" spans="1:20" x14ac:dyDescent="0.2">
      <c r="A817" s="4">
        <v>34649</v>
      </c>
      <c r="B817" s="9">
        <f ca="1">Prices!C816*(1+J817/(50*(ABS(O817)+ABS(T817)+0.0001)))</f>
        <v>95.884788935762799</v>
      </c>
      <c r="C817" s="21">
        <f t="shared" ca="1" si="77"/>
        <v>-1</v>
      </c>
      <c r="D817" s="9">
        <f ca="1">D816+C817*(Prices!C817-Prices!C816)/Prices!C816</f>
        <v>0.37817416576587076</v>
      </c>
      <c r="E817" s="9">
        <f t="shared" ca="1" si="78"/>
        <v>1.1934343105802991E-2</v>
      </c>
      <c r="F817" s="9">
        <f t="shared" ca="1" si="79"/>
        <v>0.39010850887167375</v>
      </c>
      <c r="G817" s="13">
        <f ca="1">IF((Prices!C817-Prices!C816)*C817&gt;0,1,0)</f>
        <v>0</v>
      </c>
      <c r="H817" s="9">
        <f>ABS(Prices!C817-Prices!C816)/Prices!C816</f>
        <v>2.0468734008812029E-4</v>
      </c>
      <c r="I817" s="13"/>
      <c r="J817" s="1">
        <f t="shared" ca="1" si="80"/>
        <v>-1.4150136625620405E-3</v>
      </c>
      <c r="K817" s="9"/>
      <c r="L817" s="9">
        <f ca="1">L816-O817*Prices!C817</f>
        <v>0.97566579846323265</v>
      </c>
      <c r="M817" s="1">
        <f t="shared" ca="1" si="81"/>
        <v>1.0829398340054641E-2</v>
      </c>
      <c r="N817" s="9">
        <f ca="1">IF(Prices!D816&gt;OFFSET(Prices!D816,-$N$3,0),1,-1)</f>
        <v>-1</v>
      </c>
      <c r="O817" s="1">
        <f ca="1">IF(N817=1,O$3*L816/Prices!C816,-O$3*M816)</f>
        <v>-1.2032664822282935E-3</v>
      </c>
      <c r="P817" s="14"/>
      <c r="Q817" s="9">
        <f ca="1">Q816-T817*Prices!C817</f>
        <v>1.0041724383913653</v>
      </c>
      <c r="R817" s="1">
        <f t="shared" ca="1" si="82"/>
        <v>1.0375611836353606E-2</v>
      </c>
      <c r="S817" s="9">
        <f ca="1">IF(Prices!C816&lt;OFFSET(Prices!C816,-S$3,0),1,-1)</f>
        <v>-1</v>
      </c>
      <c r="T817" s="1">
        <f ca="1">IF(S817=1,T$3*Q816/Prices!C816,-T$3*R816)</f>
        <v>-2.1174718033374707E-4</v>
      </c>
    </row>
    <row r="818" spans="1:20" x14ac:dyDescent="0.2">
      <c r="A818" s="4">
        <v>34652</v>
      </c>
      <c r="B818" s="9">
        <f ca="1">Prices!C817*(1+J818/(50*(ABS(O818)+ABS(T818)+0.0001)))</f>
        <v>98.913704043125705</v>
      </c>
      <c r="C818" s="21">
        <f t="shared" ca="1" si="77"/>
        <v>1</v>
      </c>
      <c r="D818" s="9">
        <f ca="1">D817+C818*(Prices!C818-Prices!C817)/Prices!C817</f>
        <v>0.38431352931851576</v>
      </c>
      <c r="E818" s="9">
        <f t="shared" ca="1" si="78"/>
        <v>5.7949795531579973E-3</v>
      </c>
      <c r="F818" s="9">
        <f t="shared" ca="1" si="79"/>
        <v>0.39010850887167375</v>
      </c>
      <c r="G818" s="13">
        <f ca="1">IF((Prices!C818-Prices!C817)*C818&gt;0,1,0)</f>
        <v>1</v>
      </c>
      <c r="H818" s="9">
        <f>ABS(Prices!C818-Prices!C817)/Prices!C817</f>
        <v>6.1393635526449837E-3</v>
      </c>
      <c r="I818" s="13"/>
      <c r="J818" s="1">
        <f t="shared" ca="1" si="80"/>
        <v>7.9081560371417701E-4</v>
      </c>
      <c r="K818" s="9"/>
      <c r="L818" s="9">
        <f ca="1">L817-O818*Prices!C818</f>
        <v>0.87750022191264465</v>
      </c>
      <c r="M818" s="1">
        <f t="shared" ca="1" si="81"/>
        <v>1.1827726180495891E-2</v>
      </c>
      <c r="N818" s="9">
        <f ca="1">IF(Prices!D817&gt;OFFSET(Prices!D817,-$N$3,0),1,-1)</f>
        <v>1</v>
      </c>
      <c r="O818" s="1">
        <f ca="1">IF(N818=1,O$3*L817/Prices!C817,-O$3*M817)</f>
        <v>9.9832784044124917E-4</v>
      </c>
      <c r="P818" s="14"/>
      <c r="Q818" s="9">
        <f ca="1">Q817-T818*Prices!C818</f>
        <v>1.0245771166287383</v>
      </c>
      <c r="R818" s="1">
        <f t="shared" ca="1" si="82"/>
        <v>1.0168099599626534E-2</v>
      </c>
      <c r="S818" s="9">
        <f ca="1">IF(Prices!C817&lt;OFFSET(Prices!C817,-S$3,0),1,-1)</f>
        <v>-1</v>
      </c>
      <c r="T818" s="1">
        <f ca="1">IF(S818=1,T$3*Q817/Prices!C817,-T$3*R817)</f>
        <v>-2.0751223672707214E-4</v>
      </c>
    </row>
    <row r="819" spans="1:20" x14ac:dyDescent="0.2">
      <c r="A819" s="4">
        <v>34653</v>
      </c>
      <c r="B819" s="9">
        <f ca="1">Prices!C818*(1+J819/(50*(ABS(O819)+ABS(T819)+0.0001)))</f>
        <v>96.495729870168645</v>
      </c>
      <c r="C819" s="21">
        <f t="shared" ca="1" si="77"/>
        <v>-1</v>
      </c>
      <c r="D819" s="9">
        <f ca="1">D818+C819*(Prices!C819-Prices!C818)/Prices!C818</f>
        <v>0.38004219808694856</v>
      </c>
      <c r="E819" s="9">
        <f t="shared" ca="1" si="78"/>
        <v>1.0066310784725196E-2</v>
      </c>
      <c r="F819" s="9">
        <f t="shared" ca="1" si="79"/>
        <v>0.39010850887167375</v>
      </c>
      <c r="G819" s="13">
        <f ca="1">IF((Prices!C819-Prices!C818)*C819&gt;0,1,0)</f>
        <v>0</v>
      </c>
      <c r="H819" s="9">
        <f>ABS(Prices!C819-Prices!C818)/Prices!C818</f>
        <v>4.2713312315671888E-3</v>
      </c>
      <c r="I819" s="13"/>
      <c r="J819" s="1">
        <f t="shared" ca="1" si="80"/>
        <v>-1.3861346100421199E-3</v>
      </c>
      <c r="K819" s="9"/>
      <c r="L819" s="9">
        <f ca="1">L818-O819*Prices!C819</f>
        <v>0.99429901794504161</v>
      </c>
      <c r="M819" s="1">
        <f t="shared" ca="1" si="81"/>
        <v>1.0644953562446302E-2</v>
      </c>
      <c r="N819" s="9">
        <f ca="1">IF(Prices!D818&gt;OFFSET(Prices!D818,-$N$3,0),1,-1)</f>
        <v>-1</v>
      </c>
      <c r="O819" s="1">
        <f ca="1">IF(N819=1,O$3*L818/Prices!C818,-O$3*M818)</f>
        <v>-1.1827726180495893E-3</v>
      </c>
      <c r="P819" s="14"/>
      <c r="Q819" s="9">
        <f ca="1">Q818-T819*Prices!C819</f>
        <v>1.0446591133380008</v>
      </c>
      <c r="R819" s="1">
        <f t="shared" ca="1" si="82"/>
        <v>9.9647376076340034E-3</v>
      </c>
      <c r="S819" s="9">
        <f ca="1">IF(Prices!C818&lt;OFFSET(Prices!C818,-S$3,0),1,-1)</f>
        <v>-1</v>
      </c>
      <c r="T819" s="1">
        <f ca="1">IF(S819=1,T$3*Q818/Prices!C818,-T$3*R818)</f>
        <v>-2.0336199199253067E-4</v>
      </c>
    </row>
    <row r="820" spans="1:20" x14ac:dyDescent="0.2">
      <c r="A820" s="4">
        <v>34654</v>
      </c>
      <c r="B820" s="9">
        <f ca="1">Prices!C819*(1+J820/(50*(ABS(O820)+ABS(T820)+0.0001)))</f>
        <v>96.919817005772316</v>
      </c>
      <c r="C820" s="21">
        <f t="shared" ca="1" si="77"/>
        <v>-1</v>
      </c>
      <c r="D820" s="9">
        <f ca="1">D819+C820*(Prices!C820-Prices!C819)/Prices!C819</f>
        <v>0.3838902993527713</v>
      </c>
      <c r="E820" s="9">
        <f t="shared" ca="1" si="78"/>
        <v>6.2182095189024511E-3</v>
      </c>
      <c r="F820" s="9">
        <f t="shared" ca="1" si="79"/>
        <v>0.39010850887167375</v>
      </c>
      <c r="G820" s="13">
        <f ca="1">IF((Prices!C820-Prices!C819)*C820&gt;0,1,0)</f>
        <v>1</v>
      </c>
      <c r="H820" s="9">
        <f>ABS(Prices!C820-Prices!C819)/Prices!C819</f>
        <v>3.8481012658227389E-3</v>
      </c>
      <c r="I820" s="13"/>
      <c r="J820" s="1">
        <f t="shared" ca="1" si="80"/>
        <v>-1.2637901083973103E-3</v>
      </c>
      <c r="K820" s="9"/>
      <c r="L820" s="9">
        <f ca="1">L819-O820*Prices!C820</f>
        <v>1.0990134261388258</v>
      </c>
      <c r="M820" s="1">
        <f t="shared" ca="1" si="81"/>
        <v>9.5804582062016721E-3</v>
      </c>
      <c r="N820" s="9">
        <f ca="1">IF(Prices!D819&gt;OFFSET(Prices!D819,-$N$3,0),1,-1)</f>
        <v>-1</v>
      </c>
      <c r="O820" s="1">
        <f ca="1">IF(N820=1,O$3*L819/Prices!C819,-O$3*M819)</f>
        <v>-1.0644953562446303E-3</v>
      </c>
      <c r="P820" s="14"/>
      <c r="Q820" s="9">
        <f ca="1">Q819-T820*Prices!C820</f>
        <v>1.0642637381072599</v>
      </c>
      <c r="R820" s="1">
        <f t="shared" ca="1" si="82"/>
        <v>9.7654428554813238E-3</v>
      </c>
      <c r="S820" s="9">
        <f ca="1">IF(Prices!C819&lt;OFFSET(Prices!C819,-S$3,0),1,-1)</f>
        <v>-1</v>
      </c>
      <c r="T820" s="1">
        <f ca="1">IF(S820=1,T$3*Q819/Prices!C819,-T$3*R819)</f>
        <v>-1.9929475215268007E-4</v>
      </c>
    </row>
    <row r="821" spans="1:20" x14ac:dyDescent="0.2">
      <c r="A821" s="4">
        <v>34655</v>
      </c>
      <c r="B821" s="9">
        <f ca="1">Prices!C820*(1+J821/(50*(ABS(O821)+ABS(T821)+0.0001)))</f>
        <v>99.654059316697783</v>
      </c>
      <c r="C821" s="21">
        <f t="shared" ca="1" si="77"/>
        <v>1</v>
      </c>
      <c r="D821" s="9">
        <f ca="1">D820+C821*(Prices!C821-Prices!C820)/Prices!C820</f>
        <v>0.3834836713157681</v>
      </c>
      <c r="E821" s="9">
        <f t="shared" ca="1" si="78"/>
        <v>6.6248375559056494E-3</v>
      </c>
      <c r="F821" s="9">
        <f t="shared" ca="1" si="79"/>
        <v>0.39010850887167375</v>
      </c>
      <c r="G821" s="13">
        <f ca="1">IF((Prices!C821-Prices!C820)*C821&gt;0,1,0)</f>
        <v>0</v>
      </c>
      <c r="H821" s="9">
        <f>ABS(Prices!C821-Prices!C820)/Prices!C820</f>
        <v>4.0662803700321492E-4</v>
      </c>
      <c r="I821" s="13"/>
      <c r="J821" s="1">
        <f t="shared" ca="1" si="80"/>
        <v>9.2191532316771995E-4</v>
      </c>
      <c r="K821" s="9"/>
      <c r="L821" s="9">
        <f ca="1">L820-O821*Prices!C821</f>
        <v>0.98915677249215428</v>
      </c>
      <c r="M821" s="1">
        <f t="shared" ca="1" si="81"/>
        <v>1.0697682386479019E-2</v>
      </c>
      <c r="N821" s="9">
        <f ca="1">IF(Prices!D820&gt;OFFSET(Prices!D820,-$N$3,0),1,-1)</f>
        <v>1</v>
      </c>
      <c r="O821" s="1">
        <f ca="1">IF(N821=1,O$3*L820/Prices!C820,-O$3*M820)</f>
        <v>1.1172241802773464E-3</v>
      </c>
      <c r="P821" s="14"/>
      <c r="Q821" s="9">
        <f ca="1">Q820-T821*Prices!C821</f>
        <v>1.0834684580268494</v>
      </c>
      <c r="R821" s="1">
        <f t="shared" ca="1" si="82"/>
        <v>9.5701339983716976E-3</v>
      </c>
      <c r="S821" s="9">
        <f ca="1">IF(Prices!C820&lt;OFFSET(Prices!C820,-S$3,0),1,-1)</f>
        <v>-1</v>
      </c>
      <c r="T821" s="1">
        <f ca="1">IF(S821=1,T$3*Q820/Prices!C820,-T$3*R820)</f>
        <v>-1.9530885710962649E-4</v>
      </c>
    </row>
    <row r="822" spans="1:20" x14ac:dyDescent="0.2">
      <c r="A822" s="4">
        <v>34656</v>
      </c>
      <c r="B822" s="9">
        <f ca="1">Prices!C821*(1+J822/(50*(ABS(O822)+ABS(T822)+0.0001)))</f>
        <v>99.564740061343741</v>
      </c>
      <c r="C822" s="21">
        <f t="shared" ca="1" si="77"/>
        <v>1</v>
      </c>
      <c r="D822" s="9">
        <f ca="1">D821+C822*(Prices!C822-Prices!C821)/Prices!C821</f>
        <v>0.38612782874483353</v>
      </c>
      <c r="E822" s="9">
        <f t="shared" ca="1" si="78"/>
        <v>3.9806801268402192E-3</v>
      </c>
      <c r="F822" s="9">
        <f t="shared" ca="1" si="79"/>
        <v>0.39010850887167375</v>
      </c>
      <c r="G822" s="13">
        <f ca="1">IF((Prices!C822-Prices!C821)*C822&gt;0,1,0)</f>
        <v>1</v>
      </c>
      <c r="H822" s="9">
        <f>ABS(Prices!C822-Prices!C821)/Prices!C821</f>
        <v>2.644157429065444E-3</v>
      </c>
      <c r="I822" s="13"/>
      <c r="J822" s="1">
        <f t="shared" ca="1" si="80"/>
        <v>8.1455356176159512E-4</v>
      </c>
      <c r="K822" s="9"/>
      <c r="L822" s="9">
        <f ca="1">L821-O822*Prices!C822</f>
        <v>0.88997954662008927</v>
      </c>
      <c r="M822" s="1">
        <f t="shared" ca="1" si="81"/>
        <v>1.1703638628208049E-2</v>
      </c>
      <c r="N822" s="9">
        <f ca="1">IF(Prices!D821&gt;OFFSET(Prices!D821,-$N$3,0),1,-1)</f>
        <v>1</v>
      </c>
      <c r="O822" s="1">
        <f ca="1">IF(N822=1,O$3*L821/Prices!C821,-O$3*M821)</f>
        <v>1.0059562417290291E-3</v>
      </c>
      <c r="P822" s="14"/>
      <c r="Q822" s="9">
        <f ca="1">Q821-T822*Prices!C822</f>
        <v>1.1023388482448389</v>
      </c>
      <c r="R822" s="1">
        <f t="shared" ca="1" si="82"/>
        <v>9.3787313184042643E-3</v>
      </c>
      <c r="S822" s="9">
        <f ca="1">IF(Prices!C821&lt;OFFSET(Prices!C821,-S$3,0),1,-1)</f>
        <v>-1</v>
      </c>
      <c r="T822" s="1">
        <f ca="1">IF(S822=1,T$3*Q821/Prices!C821,-T$3*R821)</f>
        <v>-1.9140267996743394E-4</v>
      </c>
    </row>
    <row r="823" spans="1:20" x14ac:dyDescent="0.2">
      <c r="A823" s="4">
        <v>34659</v>
      </c>
      <c r="B823" s="9">
        <f ca="1">Prices!C822*(1+J823/(50*(ABS(O823)+ABS(T823)+0.0001)))</f>
        <v>99.774676427987742</v>
      </c>
      <c r="C823" s="21">
        <f t="shared" ca="1" si="77"/>
        <v>1</v>
      </c>
      <c r="D823" s="9">
        <f ca="1">D822+C823*(Prices!C823-Prices!C822)/Prices!C822</f>
        <v>0.38288206345423603</v>
      </c>
      <c r="E823" s="9">
        <f t="shared" ca="1" si="78"/>
        <v>7.2264454174377213E-3</v>
      </c>
      <c r="F823" s="9">
        <f t="shared" ca="1" si="79"/>
        <v>0.39010850887167375</v>
      </c>
      <c r="G823" s="13">
        <f ca="1">IF((Prices!C823-Prices!C822)*C823&gt;0,1,0)</f>
        <v>0</v>
      </c>
      <c r="H823" s="9">
        <f>ABS(Prices!C823-Prices!C822)/Prices!C822</f>
        <v>3.2457652905974986E-3</v>
      </c>
      <c r="I823" s="13"/>
      <c r="J823" s="1">
        <f t="shared" ca="1" si="80"/>
        <v>7.1513309918226403E-4</v>
      </c>
      <c r="K823" s="9"/>
      <c r="L823" s="9">
        <f ca="1">L822-O823*Prices!C823</f>
        <v>0.80127045843025646</v>
      </c>
      <c r="M823" s="1">
        <f t="shared" ca="1" si="81"/>
        <v>1.2606346353758398E-2</v>
      </c>
      <c r="N823" s="9">
        <f ca="1">IF(Prices!D822&gt;OFFSET(Prices!D822,-$N$3,0),1,-1)</f>
        <v>1</v>
      </c>
      <c r="O823" s="1">
        <f ca="1">IF(N823=1,O$3*L822/Prices!C822,-O$3*M822)</f>
        <v>9.0270772555034928E-4</v>
      </c>
      <c r="P823" s="14"/>
      <c r="Q823" s="9">
        <f ca="1">Q822-T823*Prices!C823</f>
        <v>1.1207718067780306</v>
      </c>
      <c r="R823" s="1">
        <f t="shared" ca="1" si="82"/>
        <v>9.191156692036179E-3</v>
      </c>
      <c r="S823" s="9">
        <f ca="1">IF(Prices!C822&lt;OFFSET(Prices!C822,-S$3,0),1,-1)</f>
        <v>-1</v>
      </c>
      <c r="T823" s="1">
        <f ca="1">IF(S823=1,T$3*Q822/Prices!C822,-T$3*R822)</f>
        <v>-1.8757462636808528E-4</v>
      </c>
    </row>
    <row r="824" spans="1:20" x14ac:dyDescent="0.2">
      <c r="A824" s="4">
        <v>34660</v>
      </c>
      <c r="B824" s="9">
        <f ca="1">Prices!C823*(1+J824/(50*(ABS(O824)+ABS(T824)+0.0001)))</f>
        <v>100.06352071872253</v>
      </c>
      <c r="C824" s="21">
        <f t="shared" ca="1" si="77"/>
        <v>1</v>
      </c>
      <c r="D824" s="9">
        <f ca="1">D823+C824*(Prices!C824-Prices!C823)/Prices!C823</f>
        <v>0.38227150071891497</v>
      </c>
      <c r="E824" s="9">
        <f t="shared" ca="1" si="78"/>
        <v>7.8370081527587843E-3</v>
      </c>
      <c r="F824" s="9">
        <f t="shared" ca="1" si="79"/>
        <v>0.39010850887167375</v>
      </c>
      <c r="G824" s="13">
        <f ca="1">IF((Prices!C824-Prices!C823)*C824&gt;0,1,0)</f>
        <v>0</v>
      </c>
      <c r="H824" s="9">
        <f>ABS(Prices!C824-Prices!C823)/Prices!C823</f>
        <v>6.105627353210774E-4</v>
      </c>
      <c r="I824" s="13"/>
      <c r="J824" s="1">
        <f t="shared" ca="1" si="80"/>
        <v>1.0434769713909258E-3</v>
      </c>
      <c r="K824" s="9"/>
      <c r="L824" s="9">
        <f ca="1">L823-O824*Prices!C824</f>
        <v>0.72119233517551395</v>
      </c>
      <c r="M824" s="1">
        <f t="shared" ca="1" si="81"/>
        <v>1.3421722825143619E-2</v>
      </c>
      <c r="N824" s="9">
        <f ca="1">IF(Prices!D823&gt;OFFSET(Prices!D823,-$N$3,0),1,-1)</f>
        <v>1</v>
      </c>
      <c r="O824" s="1">
        <f ca="1">IF(N824=1,O$3*L823/Prices!C823,-O$3*M823)</f>
        <v>8.1537647138522093E-4</v>
      </c>
      <c r="P824" s="14"/>
      <c r="Q824" s="9">
        <f ca="1">Q823-T824*Prices!C824</f>
        <v>1.0983700566724703</v>
      </c>
      <c r="R824" s="1">
        <f t="shared" ca="1" si="82"/>
        <v>9.4192571920418845E-3</v>
      </c>
      <c r="S824" s="9">
        <f ca="1">IF(Prices!C823&lt;OFFSET(Prices!C823,-S$3,0),1,-1)</f>
        <v>1</v>
      </c>
      <c r="T824" s="1">
        <f ca="1">IF(S824=1,T$3*Q823/Prices!C823,-T$3*R823)</f>
        <v>2.2810050000570482E-4</v>
      </c>
    </row>
    <row r="825" spans="1:20" x14ac:dyDescent="0.2">
      <c r="A825" s="4">
        <v>34661</v>
      </c>
      <c r="B825" s="9">
        <f ca="1">Prices!C824*(1+J825/(50*(ABS(O825)+ABS(T825)+0.0001)))</f>
        <v>96.89118581697015</v>
      </c>
      <c r="C825" s="21">
        <f t="shared" ca="1" si="77"/>
        <v>-1</v>
      </c>
      <c r="D825" s="9">
        <f ca="1">D824+C825*(Prices!C825-Prices!C824)/Prices!C824</f>
        <v>0.37992958034420765</v>
      </c>
      <c r="E825" s="9">
        <f t="shared" ca="1" si="78"/>
        <v>1.0178928527466102E-2</v>
      </c>
      <c r="F825" s="9">
        <f t="shared" ca="1" si="79"/>
        <v>0.39010850887167375</v>
      </c>
      <c r="G825" s="13">
        <f ca="1">IF((Prices!C825-Prices!C824)*C825&gt;0,1,0)</f>
        <v>0</v>
      </c>
      <c r="H825" s="9">
        <f>ABS(Prices!C825-Prices!C824)/Prices!C824</f>
        <v>2.3419203747073007E-3</v>
      </c>
      <c r="I825" s="13"/>
      <c r="J825" s="1">
        <f t="shared" ca="1" si="80"/>
        <v>-1.1184944377587423E-3</v>
      </c>
      <c r="K825" s="9"/>
      <c r="L825" s="9">
        <f ca="1">L824-O825*Prices!C825</f>
        <v>0.85331577466622777</v>
      </c>
      <c r="M825" s="1">
        <f t="shared" ca="1" si="81"/>
        <v>1.2079550542629257E-2</v>
      </c>
      <c r="N825" s="9">
        <f ca="1">IF(Prices!D824&gt;OFFSET(Prices!D824,-$N$3,0),1,-1)</f>
        <v>-1</v>
      </c>
      <c r="O825" s="1">
        <f ca="1">IF(N825=1,O$3*L824/Prices!C824,-O$3*M824)</f>
        <v>-1.3421722825143619E-3</v>
      </c>
      <c r="P825" s="14"/>
      <c r="Q825" s="9">
        <f ca="1">Q824-T825*Prices!C825</f>
        <v>1.0763512096347272</v>
      </c>
      <c r="R825" s="1">
        <f t="shared" ca="1" si="82"/>
        <v>9.6429350367975043E-3</v>
      </c>
      <c r="S825" s="9">
        <f ca="1">IF(Prices!C824&lt;OFFSET(Prices!C824,-S$3,0),1,-1)</f>
        <v>1</v>
      </c>
      <c r="T825" s="1">
        <f ca="1">IF(S825=1,T$3*Q824/Prices!C824,-T$3*R824)</f>
        <v>2.2367784475561968E-4</v>
      </c>
    </row>
    <row r="826" spans="1:20" x14ac:dyDescent="0.2">
      <c r="A826" s="4">
        <v>34662</v>
      </c>
      <c r="B826" s="9">
        <f ca="1">Prices!C825*(1+J826/(50*(ABS(O826)+ABS(T826)+0.0001)))</f>
        <v>96.602382166570791</v>
      </c>
      <c r="C826" s="21">
        <f t="shared" ca="1" si="77"/>
        <v>-1</v>
      </c>
      <c r="D826" s="9">
        <f ca="1">D825+C826*(Prices!C826-Prices!C825)/Prices!C825</f>
        <v>0.37962482617923404</v>
      </c>
      <c r="E826" s="9">
        <f t="shared" ca="1" si="78"/>
        <v>1.0483682692439711E-2</v>
      </c>
      <c r="F826" s="9">
        <f t="shared" ca="1" si="79"/>
        <v>0.39010850887167375</v>
      </c>
      <c r="G826" s="13">
        <f ca="1">IF((Prices!C826-Prices!C825)*C826&gt;0,1,0)</f>
        <v>0</v>
      </c>
      <c r="H826" s="9">
        <f>ABS(Prices!C826-Prices!C825)/Prices!C825</f>
        <v>3.0475416497359952E-4</v>
      </c>
      <c r="I826" s="13"/>
      <c r="J826" s="1">
        <f t="shared" ca="1" si="80"/>
        <v>-1.400813754998876E-3</v>
      </c>
      <c r="K826" s="9"/>
      <c r="L826" s="9">
        <f ca="1">L825-O826*Prices!C826</f>
        <v>0.97226310885949807</v>
      </c>
      <c r="M826" s="1">
        <f t="shared" ca="1" si="81"/>
        <v>1.0871595488366331E-2</v>
      </c>
      <c r="N826" s="9">
        <f ca="1">IF(Prices!D825&gt;OFFSET(Prices!D825,-$N$3,0),1,-1)</f>
        <v>-1</v>
      </c>
      <c r="O826" s="1">
        <f ca="1">IF(N826=1,O$3*L825/Prices!C825,-O$3*M825)</f>
        <v>-1.2079550542629259E-3</v>
      </c>
      <c r="P826" s="14"/>
      <c r="Q826" s="9">
        <f ca="1">Q825-T826*Prices!C826</f>
        <v>1.0953420058961962</v>
      </c>
      <c r="R826" s="1">
        <f t="shared" ca="1" si="82"/>
        <v>9.4500763360615535E-3</v>
      </c>
      <c r="S826" s="9">
        <f ca="1">IF(Prices!C825&lt;OFFSET(Prices!C825,-S$3,0),1,-1)</f>
        <v>-1</v>
      </c>
      <c r="T826" s="1">
        <f ca="1">IF(S826=1,T$3*Q825/Prices!C825,-T$3*R825)</f>
        <v>-1.928587007359501E-4</v>
      </c>
    </row>
    <row r="827" spans="1:20" x14ac:dyDescent="0.2">
      <c r="A827" s="4">
        <v>34663</v>
      </c>
      <c r="B827" s="9">
        <f ca="1">Prices!C826*(1+J827/(50*(ABS(O827)+ABS(T827)+0.0001)))</f>
        <v>97.261943227140335</v>
      </c>
      <c r="C827" s="21">
        <f t="shared" ca="1" si="77"/>
        <v>-1</v>
      </c>
      <c r="D827" s="9">
        <f ca="1">D826+C827*(Prices!C827-Prices!C826)/Prices!C826</f>
        <v>0.37647665922483164</v>
      </c>
      <c r="E827" s="9">
        <f t="shared" ca="1" si="78"/>
        <v>1.3631849646842109E-2</v>
      </c>
      <c r="F827" s="9">
        <f t="shared" ca="1" si="79"/>
        <v>0.39010850887167375</v>
      </c>
      <c r="G827" s="13">
        <f ca="1">IF((Prices!C827-Prices!C826)*C827&gt;0,1,0)</f>
        <v>0</v>
      </c>
      <c r="H827" s="9">
        <f>ABS(Prices!C827-Prices!C826)/Prices!C826</f>
        <v>3.1481669544023792E-3</v>
      </c>
      <c r="I827" s="13"/>
      <c r="J827" s="1">
        <f t="shared" ca="1" si="80"/>
        <v>-8.6468732259591086E-4</v>
      </c>
      <c r="K827" s="9"/>
      <c r="L827" s="9">
        <f ca="1">L826-O827*Prices!C827</f>
        <v>1.0796527290935807</v>
      </c>
      <c r="M827" s="1">
        <f t="shared" ca="1" si="81"/>
        <v>9.7844359395296981E-3</v>
      </c>
      <c r="N827" s="9">
        <f ca="1">IF(Prices!D826&gt;OFFSET(Prices!D826,-$N$3,0),1,-1)</f>
        <v>-1</v>
      </c>
      <c r="O827" s="1">
        <f ca="1">IF(N827=1,O$3*L826/Prices!C826,-O$3*M826)</f>
        <v>-1.0871595488366331E-3</v>
      </c>
      <c r="P827" s="14"/>
      <c r="Q827" s="9">
        <f ca="1">Q826-T827*Prices!C827</f>
        <v>1.0733661993881376</v>
      </c>
      <c r="R827" s="1">
        <f t="shared" ca="1" si="82"/>
        <v>9.6725485623022755E-3</v>
      </c>
      <c r="S827" s="9">
        <f ca="1">IF(Prices!C826&lt;OFFSET(Prices!C826,-S$3,0),1,-1)</f>
        <v>1</v>
      </c>
      <c r="T827" s="1">
        <f ca="1">IF(S827=1,T$3*Q826/Prices!C826,-T$3*R826)</f>
        <v>2.2247222624072229E-4</v>
      </c>
    </row>
    <row r="828" spans="1:20" x14ac:dyDescent="0.2">
      <c r="A828" s="4">
        <v>34666</v>
      </c>
      <c r="B828" s="9">
        <f ca="1">Prices!C827*(1+J828/(50*(ABS(O828)+ABS(T828)+0.0001)))</f>
        <v>96.95972734033586</v>
      </c>
      <c r="C828" s="21">
        <f t="shared" ca="1" si="77"/>
        <v>-1</v>
      </c>
      <c r="D828" s="9">
        <f ca="1">D827+C828*(Prices!C828-Prices!C827)/Prices!C827</f>
        <v>0.37688159949614169</v>
      </c>
      <c r="E828" s="9">
        <f t="shared" ca="1" si="78"/>
        <v>1.3226909375532059E-2</v>
      </c>
      <c r="F828" s="9">
        <f t="shared" ca="1" si="79"/>
        <v>0.39010850887167375</v>
      </c>
      <c r="G828" s="13">
        <f ca="1">IF((Prices!C828-Prices!C827)*C828&gt;0,1,0)</f>
        <v>1</v>
      </c>
      <c r="H828" s="9">
        <f>ABS(Prices!C828-Prices!C827)/Prices!C827</f>
        <v>4.0494027131004508E-4</v>
      </c>
      <c r="I828" s="13"/>
      <c r="J828" s="1">
        <f t="shared" ca="1" si="80"/>
        <v>-1.1718945651990153E-3</v>
      </c>
      <c r="K828" s="9"/>
      <c r="L828" s="9">
        <f ca="1">L827-O828*Prices!C828</f>
        <v>1.1762642495604969</v>
      </c>
      <c r="M828" s="1">
        <f t="shared" ca="1" si="81"/>
        <v>8.805992345576729E-3</v>
      </c>
      <c r="N828" s="9">
        <f ca="1">IF(Prices!D827&gt;OFFSET(Prices!D827,-$N$3,0),1,-1)</f>
        <v>-1</v>
      </c>
      <c r="O828" s="1">
        <f ca="1">IF(N828=1,O$3*L827/Prices!C827,-O$3*M827)</f>
        <v>-9.7844359395296977E-4</v>
      </c>
      <c r="P828" s="14"/>
      <c r="Q828" s="9">
        <f ca="1">Q827-T828*Prices!C828</f>
        <v>1.0924675482889721</v>
      </c>
      <c r="R828" s="1">
        <f t="shared" ca="1" si="82"/>
        <v>9.4790975910562306E-3</v>
      </c>
      <c r="S828" s="9">
        <f ca="1">IF(Prices!C827&lt;OFFSET(Prices!C827,-S$3,0),1,-1)</f>
        <v>-1</v>
      </c>
      <c r="T828" s="1">
        <f ca="1">IF(S828=1,T$3*Q827/Prices!C827,-T$3*R827)</f>
        <v>-1.9345097124604552E-4</v>
      </c>
    </row>
    <row r="829" spans="1:20" x14ac:dyDescent="0.2">
      <c r="A829" s="4">
        <v>34667</v>
      </c>
      <c r="B829" s="9">
        <f ca="1">Prices!C828*(1+J829/(50*(ABS(O829)+ABS(T829)+0.0001)))</f>
        <v>100.07580963747554</v>
      </c>
      <c r="C829" s="21">
        <f t="shared" ca="1" si="77"/>
        <v>1</v>
      </c>
      <c r="D829" s="9">
        <f ca="1">D828+C829*(Prices!C829-Prices!C828)/Prices!C828</f>
        <v>0.3791096732251269</v>
      </c>
      <c r="E829" s="9">
        <f t="shared" ca="1" si="78"/>
        <v>1.0998835646546856E-2</v>
      </c>
      <c r="F829" s="9">
        <f t="shared" ca="1" si="79"/>
        <v>0.39010850887167375</v>
      </c>
      <c r="G829" s="13">
        <f ca="1">IF((Prices!C829-Prices!C828)*C829&gt;0,1,0)</f>
        <v>1</v>
      </c>
      <c r="H829" s="9">
        <f>ABS(Prices!C829-Prices!C828)/Prices!C828</f>
        <v>2.2280737289852022E-3</v>
      </c>
      <c r="I829" s="13"/>
      <c r="J829" s="1">
        <f t="shared" ca="1" si="80"/>
        <v>1.0016923539926256E-3</v>
      </c>
      <c r="K829" s="9"/>
      <c r="L829" s="9">
        <f ca="1">L828-O829*Prices!C829</f>
        <v>1.0583757442571682</v>
      </c>
      <c r="M829" s="1">
        <f t="shared" ca="1" si="81"/>
        <v>9.9972666513904792E-3</v>
      </c>
      <c r="N829" s="9">
        <f ca="1">IF(Prices!D828&gt;OFFSET(Prices!D828,-$N$3,0),1,-1)</f>
        <v>1</v>
      </c>
      <c r="O829" s="1">
        <f ca="1">IF(N829=1,O$3*L828/Prices!C828,-O$3*M828)</f>
        <v>1.1912743058137502E-3</v>
      </c>
      <c r="P829" s="14"/>
      <c r="Q829" s="9">
        <f ca="1">Q828-T829*Prices!C829</f>
        <v>1.1112285782411906</v>
      </c>
      <c r="R829" s="1">
        <f t="shared" ca="1" si="82"/>
        <v>9.2895156392351057E-3</v>
      </c>
      <c r="S829" s="9">
        <f ca="1">IF(Prices!C828&lt;OFFSET(Prices!C828,-S$3,0),1,-1)</f>
        <v>-1</v>
      </c>
      <c r="T829" s="1">
        <f ca="1">IF(S829=1,T$3*Q828/Prices!C828,-T$3*R828)</f>
        <v>-1.895819518211246E-4</v>
      </c>
    </row>
    <row r="830" spans="1:20" x14ac:dyDescent="0.2">
      <c r="A830" s="4">
        <v>34668</v>
      </c>
      <c r="B830" s="9">
        <f ca="1">Prices!C829*(1+J830/(50*(ABS(O830)+ABS(T830)+0.0001)))</f>
        <v>100.25052586251755</v>
      </c>
      <c r="C830" s="21">
        <f t="shared" ca="1" si="77"/>
        <v>1</v>
      </c>
      <c r="D830" s="9">
        <f ca="1">D829+C830*(Prices!C830-Prices!C829)/Prices!C829</f>
        <v>0.37931177508446412</v>
      </c>
      <c r="E830" s="9">
        <f t="shared" ca="1" si="78"/>
        <v>1.0796733787209634E-2</v>
      </c>
      <c r="F830" s="9">
        <f t="shared" ca="1" si="79"/>
        <v>0.39010850887167375</v>
      </c>
      <c r="G830" s="13">
        <f ca="1">IF((Prices!C830-Prices!C829)*C830&gt;0,1,0)</f>
        <v>1</v>
      </c>
      <c r="H830" s="9">
        <f>ABS(Prices!C830-Prices!C829)/Prices!C829</f>
        <v>2.021018593372093E-4</v>
      </c>
      <c r="I830" s="13"/>
      <c r="J830" s="1">
        <f t="shared" ca="1" si="80"/>
        <v>8.8370821617363279E-4</v>
      </c>
      <c r="K830" s="9"/>
      <c r="L830" s="9">
        <f ca="1">L829-O830*Prices!C830</f>
        <v>0.95251677986087224</v>
      </c>
      <c r="M830" s="1">
        <f t="shared" ca="1" si="81"/>
        <v>1.1066765180348815E-2</v>
      </c>
      <c r="N830" s="9">
        <f ca="1">IF(Prices!D829&gt;OFFSET(Prices!D829,-$N$3,0),1,-1)</f>
        <v>1</v>
      </c>
      <c r="O830" s="1">
        <f ca="1">IF(N830=1,O$3*L829/Prices!C829,-O$3*M829)</f>
        <v>1.0694985289583349E-3</v>
      </c>
      <c r="P830" s="14"/>
      <c r="Q830" s="9">
        <f ca="1">Q829-T830*Prices!C830</f>
        <v>1.1296181034006203</v>
      </c>
      <c r="R830" s="1">
        <f t="shared" ca="1" si="82"/>
        <v>9.1037253264504032E-3</v>
      </c>
      <c r="S830" s="9">
        <f ca="1">IF(Prices!C829&lt;OFFSET(Prices!C829,-S$3,0),1,-1)</f>
        <v>-1</v>
      </c>
      <c r="T830" s="1">
        <f ca="1">IF(S830=1,T$3*Q829/Prices!C829,-T$3*R829)</f>
        <v>-1.8579031278470213E-4</v>
      </c>
    </row>
    <row r="831" spans="1:20" x14ac:dyDescent="0.2">
      <c r="A831" s="4">
        <v>34669</v>
      </c>
      <c r="B831" s="9">
        <f ca="1">Prices!C830*(1+J831/(50*(ABS(O831)+ABS(T831)+0.0001)))</f>
        <v>100.22123278718672</v>
      </c>
      <c r="C831" s="21">
        <f t="shared" ca="1" si="77"/>
        <v>1</v>
      </c>
      <c r="D831" s="9">
        <f ca="1">D830+C831*(Prices!C831-Prices!C830)/Prices!C830</f>
        <v>0.38335299553303948</v>
      </c>
      <c r="E831" s="9">
        <f t="shared" ca="1" si="78"/>
        <v>6.7555133386342781E-3</v>
      </c>
      <c r="F831" s="9">
        <f t="shared" ca="1" si="79"/>
        <v>0.39010850887167375</v>
      </c>
      <c r="G831" s="13">
        <f ca="1">IF((Prices!C831-Prices!C830)*C831&gt;0,1,0)</f>
        <v>1</v>
      </c>
      <c r="H831" s="9">
        <f>ABS(Prices!C831-Prices!C830)/Prices!C830</f>
        <v>4.0412204485753833E-3</v>
      </c>
      <c r="I831" s="13"/>
      <c r="J831" s="1">
        <f t="shared" ca="1" si="80"/>
        <v>7.8025806556724601E-4</v>
      </c>
      <c r="K831" s="9"/>
      <c r="L831" s="9">
        <f ca="1">L830-O831*Prices!C831</f>
        <v>0.85688016884594653</v>
      </c>
      <c r="M831" s="1">
        <f t="shared" ca="1" si="81"/>
        <v>1.2029097752445069E-2</v>
      </c>
      <c r="N831" s="9">
        <f ca="1">IF(Prices!D830&gt;OFFSET(Prices!D830,-$N$3,0),1,-1)</f>
        <v>1</v>
      </c>
      <c r="O831" s="1">
        <f ca="1">IF(N831=1,O$3*L830/Prices!C830,-O$3*M830)</f>
        <v>9.6233257209625404E-4</v>
      </c>
      <c r="P831" s="14"/>
      <c r="Q831" s="9">
        <f ca="1">Q830-T831*Prices!C831</f>
        <v>1.1477126678594731</v>
      </c>
      <c r="R831" s="1">
        <f t="shared" ca="1" si="82"/>
        <v>8.9216508199213944E-3</v>
      </c>
      <c r="S831" s="9">
        <f ca="1">IF(Prices!C830&lt;OFFSET(Prices!C830,-S$3,0),1,-1)</f>
        <v>-1</v>
      </c>
      <c r="T831" s="1">
        <f ca="1">IF(S831=1,T$3*Q830/Prices!C830,-T$3*R830)</f>
        <v>-1.8207450652900806E-4</v>
      </c>
    </row>
    <row r="832" spans="1:20" x14ac:dyDescent="0.2">
      <c r="A832" s="4">
        <v>34670</v>
      </c>
      <c r="B832" s="9">
        <f ca="1">Prices!C831*(1+J832/(50*(ABS(O832)+ABS(T832)+0.0001)))</f>
        <v>97.526575560931136</v>
      </c>
      <c r="C832" s="21">
        <f t="shared" ca="1" si="77"/>
        <v>-1</v>
      </c>
      <c r="D832" s="9">
        <f ca="1">D831+C832*(Prices!C832-Prices!C831)/Prices!C831</f>
        <v>0.3706743881673723</v>
      </c>
      <c r="E832" s="9">
        <f t="shared" ca="1" si="78"/>
        <v>1.943412070430145E-2</v>
      </c>
      <c r="F832" s="9">
        <f t="shared" ca="1" si="79"/>
        <v>0.39010850887167375</v>
      </c>
      <c r="G832" s="13">
        <f ca="1">IF((Prices!C832-Prices!C831)*C832&gt;0,1,0)</f>
        <v>0</v>
      </c>
      <c r="H832" s="9">
        <f>ABS(Prices!C832-Prices!C831)/Prices!C831</f>
        <v>1.2678607365667189E-2</v>
      </c>
      <c r="I832" s="13"/>
      <c r="J832" s="1">
        <f t="shared" ca="1" si="80"/>
        <v>-1.3813427916429348E-3</v>
      </c>
      <c r="K832" s="9"/>
      <c r="L832" s="9">
        <f ca="1">L831-O832*Prices!C832</f>
        <v>0.97794100862655375</v>
      </c>
      <c r="M832" s="1">
        <f t="shared" ca="1" si="81"/>
        <v>1.0826187977200561E-2</v>
      </c>
      <c r="N832" s="9">
        <f ca="1">IF(Prices!D831&gt;OFFSET(Prices!D831,-$N$3,0),1,-1)</f>
        <v>-1</v>
      </c>
      <c r="O832" s="1">
        <f ca="1">IF(N832=1,O$3*L831/Prices!C831,-O$3*M831)</f>
        <v>-1.2029097752445069E-3</v>
      </c>
      <c r="P832" s="14"/>
      <c r="Q832" s="9">
        <f ca="1">Q831-T832*Prices!C832</f>
        <v>1.1656701666298108</v>
      </c>
      <c r="R832" s="1">
        <f t="shared" ca="1" si="82"/>
        <v>8.7432178035229662E-3</v>
      </c>
      <c r="S832" s="9">
        <f ca="1">IF(Prices!C831&lt;OFFSET(Prices!C831,-S$3,0),1,-1)</f>
        <v>-1</v>
      </c>
      <c r="T832" s="1">
        <f ca="1">IF(S832=1,T$3*Q831/Prices!C831,-T$3*R831)</f>
        <v>-1.7843301639842789E-4</v>
      </c>
    </row>
    <row r="833" spans="1:20" x14ac:dyDescent="0.2">
      <c r="A833" s="4">
        <v>34673</v>
      </c>
      <c r="B833" s="9">
        <f ca="1">Prices!C832*(1+J833/(50*(ABS(O833)+ABS(T833)+0.0001)))</f>
        <v>98.775474399898059</v>
      </c>
      <c r="C833" s="21">
        <f t="shared" ca="1" si="77"/>
        <v>-1</v>
      </c>
      <c r="D833" s="9">
        <f ca="1">D832+C833*(Prices!C833-Prices!C832)/Prices!C832</f>
        <v>0.37375467433589377</v>
      </c>
      <c r="E833" s="9">
        <f t="shared" ca="1" si="78"/>
        <v>1.6353834535779987E-2</v>
      </c>
      <c r="F833" s="9">
        <f t="shared" ca="1" si="79"/>
        <v>0.39010850887167375</v>
      </c>
      <c r="G833" s="13">
        <f ca="1">IF((Prices!C833-Prices!C832)*C833&gt;0,1,0)</f>
        <v>1</v>
      </c>
      <c r="H833" s="9">
        <f>ABS(Prices!C833-Prices!C832)/Prices!C832</f>
        <v>3.0802861685214852E-3</v>
      </c>
      <c r="I833" s="13"/>
      <c r="J833" s="1">
        <f t="shared" ca="1" si="80"/>
        <v>-1.2574831537905155E-3</v>
      </c>
      <c r="K833" s="9"/>
      <c r="L833" s="9">
        <f ca="1">L832-O833*Prices!C833</f>
        <v>1.0865601526018069</v>
      </c>
      <c r="M833" s="1">
        <f t="shared" ca="1" si="81"/>
        <v>9.7435691794805056E-3</v>
      </c>
      <c r="N833" s="9">
        <f ca="1">IF(Prices!D832&gt;OFFSET(Prices!D832,-$N$3,0),1,-1)</f>
        <v>-1</v>
      </c>
      <c r="O833" s="1">
        <f ca="1">IF(N833=1,O$3*L832/Prices!C832,-O$3*M832)</f>
        <v>-1.0826187977200561E-3</v>
      </c>
      <c r="P833" s="14"/>
      <c r="Q833" s="9">
        <f ca="1">Q832-T833*Prices!C833</f>
        <v>1.18321430747436</v>
      </c>
      <c r="R833" s="1">
        <f t="shared" ca="1" si="82"/>
        <v>8.5683534474525064E-3</v>
      </c>
      <c r="S833" s="9">
        <f ca="1">IF(Prices!C832&lt;OFFSET(Prices!C832,-S$3,0),1,-1)</f>
        <v>-1</v>
      </c>
      <c r="T833" s="1">
        <f ca="1">IF(S833=1,T$3*Q832/Prices!C832,-T$3*R832)</f>
        <v>-1.7486435607045933E-4</v>
      </c>
    </row>
    <row r="834" spans="1:20" x14ac:dyDescent="0.2">
      <c r="A834" s="4">
        <v>34674</v>
      </c>
      <c r="B834" s="9">
        <f ca="1">Prices!C833*(1+J834/(50*(ABS(O834)+ABS(T834)+0.0001)))</f>
        <v>98.484479020802837</v>
      </c>
      <c r="C834" s="21">
        <f t="shared" ca="1" si="77"/>
        <v>-1</v>
      </c>
      <c r="D834" s="9">
        <f ca="1">D833+C834*(Prices!C834-Prices!C833)/Prices!C833</f>
        <v>0.37584776712967422</v>
      </c>
      <c r="E834" s="9">
        <f t="shared" ca="1" si="78"/>
        <v>1.4260741741999539E-2</v>
      </c>
      <c r="F834" s="9">
        <f t="shared" ca="1" si="79"/>
        <v>0.39010850887167375</v>
      </c>
      <c r="G834" s="13">
        <f ca="1">IF((Prices!C834-Prices!C833)*C834&gt;0,1,0)</f>
        <v>1</v>
      </c>
      <c r="H834" s="9">
        <f>ABS(Prices!C834-Prices!C833)/Prices!C833</f>
        <v>2.0930927937804619E-3</v>
      </c>
      <c r="I834" s="13"/>
      <c r="J834" s="1">
        <f t="shared" ca="1" si="80"/>
        <v>-1.1457239868971007E-3</v>
      </c>
      <c r="K834" s="9"/>
      <c r="L834" s="9">
        <f ca="1">L833-O834*Prices!C834</f>
        <v>1.1841127672267657</v>
      </c>
      <c r="M834" s="1">
        <f t="shared" ca="1" si="81"/>
        <v>8.7692122615324556E-3</v>
      </c>
      <c r="N834" s="9">
        <f ca="1">IF(Prices!D833&gt;OFFSET(Prices!D833,-$N$3,0),1,-1)</f>
        <v>-1</v>
      </c>
      <c r="O834" s="1">
        <f ca="1">IF(N834=1,O$3*L833/Prices!C833,-O$3*M833)</f>
        <v>-9.7435691794805059E-4</v>
      </c>
      <c r="P834" s="14"/>
      <c r="Q834" s="9">
        <f ca="1">Q833-T834*Prices!C834</f>
        <v>1.2003715784175388</v>
      </c>
      <c r="R834" s="1">
        <f t="shared" ca="1" si="82"/>
        <v>8.3969863785034564E-3</v>
      </c>
      <c r="S834" s="9">
        <f ca="1">IF(Prices!C833&lt;OFFSET(Prices!C833,-S$3,0),1,-1)</f>
        <v>-1</v>
      </c>
      <c r="T834" s="1">
        <f ca="1">IF(S834=1,T$3*Q833/Prices!C833,-T$3*R833)</f>
        <v>-1.7136706894905012E-4</v>
      </c>
    </row>
    <row r="835" spans="1:20" x14ac:dyDescent="0.2">
      <c r="A835" s="4">
        <v>34675</v>
      </c>
      <c r="B835" s="9">
        <f ca="1">Prices!C834*(1+J835/(50*(ABS(O835)+ABS(T835)+0.0001)))</f>
        <v>98.29250333594554</v>
      </c>
      <c r="C835" s="21">
        <f t="shared" ca="1" si="77"/>
        <v>-1</v>
      </c>
      <c r="D835" s="9">
        <f ca="1">D834+C835*(Prices!C835-Prices!C834)/Prices!C834</f>
        <v>0.37784537000622237</v>
      </c>
      <c r="E835" s="9">
        <f t="shared" ca="1" si="78"/>
        <v>1.2263138865451384E-2</v>
      </c>
      <c r="F835" s="9">
        <f t="shared" ca="1" si="79"/>
        <v>0.39010850887167375</v>
      </c>
      <c r="G835" s="13">
        <f ca="1">IF((Prices!C835-Prices!C834)*C835&gt;0,1,0)</f>
        <v>1</v>
      </c>
      <c r="H835" s="9">
        <f>ABS(Prices!C835-Prices!C834)/Prices!C834</f>
        <v>1.9976028765481707E-3</v>
      </c>
      <c r="I835" s="13"/>
      <c r="J835" s="1">
        <f t="shared" ca="1" si="80"/>
        <v>-1.0448609537233146E-3</v>
      </c>
      <c r="K835" s="9"/>
      <c r="L835" s="9">
        <f ca="1">L834-O835*Prices!C835</f>
        <v>1.2717347361439981</v>
      </c>
      <c r="M835" s="1">
        <f t="shared" ca="1" si="81"/>
        <v>7.8922910353792092E-3</v>
      </c>
      <c r="N835" s="9">
        <f ca="1">IF(Prices!D834&gt;OFFSET(Prices!D834,-$N$3,0),1,-1)</f>
        <v>-1</v>
      </c>
      <c r="O835" s="1">
        <f ca="1">IF(N835=1,O$3*L834/Prices!C834,-O$3*M834)</f>
        <v>-8.7692122615324556E-4</v>
      </c>
      <c r="P835" s="14"/>
      <c r="Q835" s="9">
        <f ca="1">Q834-T835*Prices!C835</f>
        <v>1.2171521159963401</v>
      </c>
      <c r="R835" s="1">
        <f t="shared" ca="1" si="82"/>
        <v>8.2290466509333873E-3</v>
      </c>
      <c r="S835" s="9">
        <f ca="1">IF(Prices!C834&lt;OFFSET(Prices!C834,-S$3,0),1,-1)</f>
        <v>-1</v>
      </c>
      <c r="T835" s="1">
        <f ca="1">IF(S835=1,T$3*Q834/Prices!C834,-T$3*R834)</f>
        <v>-1.6793972757006914E-4</v>
      </c>
    </row>
    <row r="836" spans="1:20" x14ac:dyDescent="0.2">
      <c r="A836" s="4">
        <v>34676</v>
      </c>
      <c r="B836" s="9">
        <f ca="1">Prices!C835*(1+J836/(50*(ABS(O836)+ABS(T836)+0.0001)))</f>
        <v>98.111235696252237</v>
      </c>
      <c r="C836" s="21">
        <f t="shared" ca="1" si="77"/>
        <v>-1</v>
      </c>
      <c r="D836" s="9">
        <f ca="1">D835+C836*(Prices!C836-Prices!C835)/Prices!C835</f>
        <v>0.37144024590694297</v>
      </c>
      <c r="E836" s="9">
        <f t="shared" ca="1" si="78"/>
        <v>1.8668262964730786E-2</v>
      </c>
      <c r="F836" s="9">
        <f t="shared" ca="1" si="79"/>
        <v>0.39010850887167375</v>
      </c>
      <c r="G836" s="13">
        <f ca="1">IF((Prices!C836-Prices!C835)*C836&gt;0,1,0)</f>
        <v>0</v>
      </c>
      <c r="H836" s="9">
        <f>ABS(Prices!C836-Prices!C835)/Prices!C835</f>
        <v>6.4051240992794292E-3</v>
      </c>
      <c r="I836" s="13"/>
      <c r="J836" s="1">
        <f t="shared" ca="1" si="80"/>
        <v>-9.5381003655658873E-4</v>
      </c>
      <c r="K836" s="9"/>
      <c r="L836" s="9">
        <f ca="1">L835-O836*Prices!C836</f>
        <v>1.3510996147957715</v>
      </c>
      <c r="M836" s="1">
        <f t="shared" ca="1" si="81"/>
        <v>7.1030619318412881E-3</v>
      </c>
      <c r="N836" s="9">
        <f ca="1">IF(Prices!D835&gt;OFFSET(Prices!D835,-$N$3,0),1,-1)</f>
        <v>-1</v>
      </c>
      <c r="O836" s="1">
        <f ca="1">IF(N836=1,O$3*L835/Prices!C835,-O$3*M835)</f>
        <v>-7.8922910353792098E-4</v>
      </c>
      <c r="P836" s="14"/>
      <c r="Q836" s="9">
        <f ca="1">Q835-T836*Prices!C836</f>
        <v>1.2337023746206974</v>
      </c>
      <c r="R836" s="1">
        <f t="shared" ca="1" si="82"/>
        <v>8.0644657179147188E-3</v>
      </c>
      <c r="S836" s="9">
        <f ca="1">IF(Prices!C835&lt;OFFSET(Prices!C835,-S$3,0),1,-1)</f>
        <v>-1</v>
      </c>
      <c r="T836" s="1">
        <f ca="1">IF(S836=1,T$3*Q835/Prices!C835,-T$3*R835)</f>
        <v>-1.6458093301866775E-4</v>
      </c>
    </row>
    <row r="837" spans="1:20" x14ac:dyDescent="0.2">
      <c r="A837" s="4">
        <v>34677</v>
      </c>
      <c r="B837" s="9">
        <f ca="1">Prices!C836*(1+J837/(50*(ABS(O837)+ABS(T837)+0.0001)))</f>
        <v>102.452119535259</v>
      </c>
      <c r="C837" s="21">
        <f t="shared" ca="1" si="77"/>
        <v>1</v>
      </c>
      <c r="D837" s="9">
        <f ca="1">D836+C837*(Prices!C837-Prices!C836)/Prices!C836</f>
        <v>0.36696530557281404</v>
      </c>
      <c r="E837" s="9">
        <f t="shared" ca="1" si="78"/>
        <v>2.3143203298859716E-2</v>
      </c>
      <c r="F837" s="9">
        <f t="shared" ca="1" si="79"/>
        <v>0.39010850887167375</v>
      </c>
      <c r="G837" s="13">
        <f ca="1">IF((Prices!C837-Prices!C836)*C837&gt;0,1,0)</f>
        <v>0</v>
      </c>
      <c r="H837" s="9">
        <f>ABS(Prices!C837-Prices!C836)/Prices!C836</f>
        <v>4.4749403341289061E-3</v>
      </c>
      <c r="I837" s="13"/>
      <c r="J837" s="1">
        <f t="shared" ca="1" si="80"/>
        <v>1.5889420144390523E-3</v>
      </c>
      <c r="K837" s="9"/>
      <c r="L837" s="9">
        <f ca="1">L836-O837*Prices!C837</f>
        <v>1.2165942623323618</v>
      </c>
      <c r="M837" s="1">
        <f t="shared" ca="1" si="81"/>
        <v>8.4466375233247515E-3</v>
      </c>
      <c r="N837" s="9">
        <f ca="1">IF(Prices!D836&gt;OFFSET(Prices!D836,-$N$3,0),1,-1)</f>
        <v>1</v>
      </c>
      <c r="O837" s="1">
        <f ca="1">IF(N837=1,O$3*L836/Prices!C836,-O$3*M836)</f>
        <v>1.3435755914834641E-3</v>
      </c>
      <c r="P837" s="14"/>
      <c r="Q837" s="9">
        <f ca="1">Q836-T837*Prices!C837</f>
        <v>1.2091387420186135</v>
      </c>
      <c r="R837" s="1">
        <f t="shared" ca="1" si="82"/>
        <v>8.3098321408703064E-3</v>
      </c>
      <c r="S837" s="9">
        <f ca="1">IF(Prices!C836&lt;OFFSET(Prices!C836,-S$3,0),1,-1)</f>
        <v>1</v>
      </c>
      <c r="T837" s="1">
        <f ca="1">IF(S837=1,T$3*Q836/Prices!C836,-T$3*R836)</f>
        <v>2.4536642295558815E-4</v>
      </c>
    </row>
    <row r="838" spans="1:20" x14ac:dyDescent="0.2">
      <c r="A838" s="4">
        <v>34680</v>
      </c>
      <c r="B838" s="9">
        <f ca="1">Prices!C837*(1+J838/(50*(ABS(O838)+ABS(T838)+0.0001)))</f>
        <v>99.092040109122678</v>
      </c>
      <c r="C838" s="21">
        <f t="shared" ca="1" si="77"/>
        <v>-1</v>
      </c>
      <c r="D838" s="9">
        <f ca="1">D837+C838*(Prices!C838-Prices!C837)/Prices!C837</f>
        <v>0.36806409690235153</v>
      </c>
      <c r="E838" s="9">
        <f t="shared" ca="1" si="78"/>
        <v>2.204441196932222E-2</v>
      </c>
      <c r="F838" s="9">
        <f t="shared" ca="1" si="79"/>
        <v>0.39010850887167375</v>
      </c>
      <c r="G838" s="13">
        <f ca="1">IF((Prices!C838-Prices!C837)*C838&gt;0,1,0)</f>
        <v>1</v>
      </c>
      <c r="H838" s="9">
        <f>ABS(Prices!C838-Prices!C837)/Prices!C837</f>
        <v>1.098791329537503E-3</v>
      </c>
      <c r="I838" s="13"/>
      <c r="J838" s="1">
        <f t="shared" ca="1" si="80"/>
        <v>-6.0310172216194015E-4</v>
      </c>
      <c r="K838" s="9"/>
      <c r="L838" s="9">
        <f ca="1">L837-O838*Prices!C838</f>
        <v>1.3010606375656093</v>
      </c>
      <c r="M838" s="1">
        <f t="shared" ca="1" si="81"/>
        <v>7.6019737709922767E-3</v>
      </c>
      <c r="N838" s="9">
        <f ca="1">IF(Prices!D837&gt;OFFSET(Prices!D837,-$N$3,0),1,-1)</f>
        <v>-1</v>
      </c>
      <c r="O838" s="1">
        <f ca="1">IF(N838=1,O$3*L837/Prices!C837,-O$3*M837)</f>
        <v>-8.4466375233247524E-4</v>
      </c>
      <c r="P838" s="14"/>
      <c r="Q838" s="9">
        <f ca="1">Q837-T838*Prices!C838</f>
        <v>1.18498253900156</v>
      </c>
      <c r="R838" s="1">
        <f t="shared" ca="1" si="82"/>
        <v>8.5513941710408416E-3</v>
      </c>
      <c r="S838" s="9">
        <f ca="1">IF(Prices!C837&lt;OFFSET(Prices!C837,-S$3,0),1,-1)</f>
        <v>1</v>
      </c>
      <c r="T838" s="1">
        <f ca="1">IF(S838=1,T$3*Q837/Prices!C837,-T$3*R837)</f>
        <v>2.4156203017053511E-4</v>
      </c>
    </row>
    <row r="839" spans="1:20" x14ac:dyDescent="0.2">
      <c r="A839" s="4">
        <v>34681</v>
      </c>
      <c r="B839" s="9">
        <f ca="1">Prices!C838*(1+J839/(50*(ABS(O839)+ABS(T839)+0.0001)))</f>
        <v>101.87790413749252</v>
      </c>
      <c r="C839" s="21">
        <f t="shared" ca="1" si="77"/>
        <v>1</v>
      </c>
      <c r="D839" s="9">
        <f ca="1">D838+C839*(Prices!C839-Prices!C838)/Prices!C838</f>
        <v>0.37086409690235156</v>
      </c>
      <c r="E839" s="9">
        <f t="shared" ca="1" si="78"/>
        <v>1.9244411969322195E-2</v>
      </c>
      <c r="F839" s="9">
        <f t="shared" ca="1" si="79"/>
        <v>0.39010850887167375</v>
      </c>
      <c r="G839" s="13">
        <f ca="1">IF((Prices!C839-Prices!C838)*C839&gt;0,1,0)</f>
        <v>1</v>
      </c>
      <c r="H839" s="9">
        <f>ABS(Prices!C839-Prices!C838)/Prices!C838</f>
        <v>2.8000000000000112E-3</v>
      </c>
      <c r="I839" s="13"/>
      <c r="J839" s="1">
        <f t="shared" ca="1" si="80"/>
        <v>1.5380571453659213E-3</v>
      </c>
      <c r="K839" s="9"/>
      <c r="L839" s="9">
        <f ca="1">L838-O839*Prices!C839</f>
        <v>1.1705902768305301</v>
      </c>
      <c r="M839" s="1">
        <f t="shared" ca="1" si="81"/>
        <v>8.9030344085578861E-3</v>
      </c>
      <c r="N839" s="9">
        <f ca="1">IF(Prices!D838&gt;OFFSET(Prices!D838,-$N$3,0),1,-1)</f>
        <v>1</v>
      </c>
      <c r="O839" s="1">
        <f ca="1">IF(N839=1,O$3*L838/Prices!C838,-O$3*M838)</f>
        <v>1.3010606375656094E-3</v>
      </c>
      <c r="P839" s="14"/>
      <c r="Q839" s="9">
        <f ca="1">Q838-T839*Prices!C839</f>
        <v>1.1612165291993448</v>
      </c>
      <c r="R839" s="1">
        <f t="shared" ca="1" si="82"/>
        <v>8.7883906788411535E-3</v>
      </c>
      <c r="S839" s="9">
        <f ca="1">IF(Prices!C838&lt;OFFSET(Prices!C838,-S$3,0),1,-1)</f>
        <v>1</v>
      </c>
      <c r="T839" s="1">
        <f ca="1">IF(S839=1,T$3*Q838/Prices!C838,-T$3*R838)</f>
        <v>2.3699650780031203E-4</v>
      </c>
    </row>
    <row r="840" spans="1:20" x14ac:dyDescent="0.2">
      <c r="A840" s="4">
        <v>34682</v>
      </c>
      <c r="B840" s="9">
        <f ca="1">Prices!C839*(1+J840/(50*(ABS(O840)+ABS(T840)+0.0001)))</f>
        <v>101.65805763502878</v>
      </c>
      <c r="C840" s="21">
        <f t="shared" ca="1" si="77"/>
        <v>1</v>
      </c>
      <c r="D840" s="9">
        <f ca="1">D839+C840*(Prices!C840-Prices!C839)/Prices!C839</f>
        <v>0.3710635384659734</v>
      </c>
      <c r="E840" s="9">
        <f t="shared" ca="1" si="78"/>
        <v>1.9044970405700357E-2</v>
      </c>
      <c r="F840" s="9">
        <f t="shared" ca="1" si="79"/>
        <v>0.39010850887167375</v>
      </c>
      <c r="G840" s="13">
        <f ca="1">IF((Prices!C840-Prices!C839)*C840&gt;0,1,0)</f>
        <v>1</v>
      </c>
      <c r="H840" s="9">
        <f>ABS(Prices!C840-Prices!C839)/Prices!C839</f>
        <v>1.994415636218191E-4</v>
      </c>
      <c r="I840" s="13"/>
      <c r="J840" s="1">
        <f t="shared" ca="1" si="80"/>
        <v>9.9155396228130417E-4</v>
      </c>
      <c r="K840" s="9"/>
      <c r="L840" s="9">
        <f ca="1">L839-O840*Prices!C840</f>
        <v>1.0535079027119598</v>
      </c>
      <c r="M840" s="1">
        <f t="shared" ca="1" si="81"/>
        <v>1.0070356184416013E-2</v>
      </c>
      <c r="N840" s="9">
        <f ca="1">IF(Prices!D839&gt;OFFSET(Prices!D839,-$N$3,0),1,-1)</f>
        <v>1</v>
      </c>
      <c r="O840" s="1">
        <f ca="1">IF(N840=1,O$3*L839/Prices!C839,-O$3*M839)</f>
        <v>1.1673217758581273E-3</v>
      </c>
      <c r="P840" s="14"/>
      <c r="Q840" s="9">
        <f ca="1">Q839-T840*Prices!C840</f>
        <v>1.1788460409011001</v>
      </c>
      <c r="R840" s="1">
        <f t="shared" ca="1" si="82"/>
        <v>8.612622865264331E-3</v>
      </c>
      <c r="S840" s="9">
        <f ca="1">IF(Prices!C839&lt;OFFSET(Prices!C839,-S$3,0),1,-1)</f>
        <v>-1</v>
      </c>
      <c r="T840" s="1">
        <f ca="1">IF(S840=1,T$3*Q839/Prices!C839,-T$3*R839)</f>
        <v>-1.7576781357682308E-4</v>
      </c>
    </row>
    <row r="841" spans="1:20" x14ac:dyDescent="0.2">
      <c r="A841" s="4">
        <v>34683</v>
      </c>
      <c r="B841" s="9">
        <f ca="1">Prices!C840*(1+J841/(50*(ABS(O841)+ABS(T841)+0.0001)))</f>
        <v>99.146154939364379</v>
      </c>
      <c r="C841" s="21">
        <f t="shared" ca="1" si="77"/>
        <v>-1</v>
      </c>
      <c r="D841" s="9">
        <f ca="1">D840+C841*(Prices!C841-Prices!C840)/Prices!C840</f>
        <v>0.37096383756866524</v>
      </c>
      <c r="E841" s="9">
        <f t="shared" ca="1" si="78"/>
        <v>1.9144671303008509E-2</v>
      </c>
      <c r="F841" s="9">
        <f t="shared" ca="1" si="79"/>
        <v>0.39010850887167375</v>
      </c>
      <c r="G841" s="13">
        <f ca="1">IF((Prices!C841-Prices!C840)*C841&gt;0,1,0)</f>
        <v>0</v>
      </c>
      <c r="H841" s="9">
        <f>ABS(Prices!C841-Prices!C840)/Prices!C840</f>
        <v>9.9700897308126779E-5</v>
      </c>
      <c r="I841" s="13"/>
      <c r="J841" s="1">
        <f t="shared" ca="1" si="80"/>
        <v>-7.7197160230977691E-4</v>
      </c>
      <c r="K841" s="9"/>
      <c r="L841" s="9">
        <f ca="1">L840-O841*Prices!C841</f>
        <v>1.1545236455978369</v>
      </c>
      <c r="M841" s="1">
        <f t="shared" ca="1" si="81"/>
        <v>9.0633205659744111E-3</v>
      </c>
      <c r="N841" s="9">
        <f ca="1">IF(Prices!D840&gt;OFFSET(Prices!D840,-$N$3,0),1,-1)</f>
        <v>-1</v>
      </c>
      <c r="O841" s="1">
        <f ca="1">IF(N841=1,O$3*L840/Prices!C840,-O$3*M840)</f>
        <v>-1.0070356184416014E-3</v>
      </c>
      <c r="P841" s="14"/>
      <c r="Q841" s="9">
        <f ca="1">Q840-T841*Prices!C841</f>
        <v>1.1552667694429168</v>
      </c>
      <c r="R841" s="1">
        <f t="shared" ca="1" si="82"/>
        <v>8.8476868813961562E-3</v>
      </c>
      <c r="S841" s="9">
        <f ca="1">IF(Prices!C840&lt;OFFSET(Prices!C840,-S$3,0),1,-1)</f>
        <v>1</v>
      </c>
      <c r="T841" s="1">
        <f ca="1">IF(S841=1,T$3*Q840/Prices!C840,-T$3*R840)</f>
        <v>2.3506401613182455E-4</v>
      </c>
    </row>
    <row r="842" spans="1:20" x14ac:dyDescent="0.2">
      <c r="A842" s="4">
        <v>34684</v>
      </c>
      <c r="B842" s="9">
        <f ca="1">Prices!C841*(1+J842/(50*(ABS(O842)+ABS(T842)+0.0001)))</f>
        <v>98.473344839445431</v>
      </c>
      <c r="C842" s="21">
        <f t="shared" ca="1" si="77"/>
        <v>-1</v>
      </c>
      <c r="D842" s="9">
        <f ca="1">D841+C842*(Prices!C842-Prices!C841)/Prices!C841</f>
        <v>0.37156198331684592</v>
      </c>
      <c r="E842" s="9">
        <f t="shared" ca="1" si="78"/>
        <v>1.8546525554827831E-2</v>
      </c>
      <c r="F842" s="9">
        <f t="shared" ca="1" si="79"/>
        <v>0.39010850887167375</v>
      </c>
      <c r="G842" s="13">
        <f ca="1">IF((Prices!C842-Prices!C841)*C842&gt;0,1,0)</f>
        <v>1</v>
      </c>
      <c r="H842" s="9">
        <f>ABS(Prices!C842-Prices!C841)/Prices!C841</f>
        <v>5.9814574818066262E-4</v>
      </c>
      <c r="I842" s="13"/>
      <c r="J842" s="1">
        <f t="shared" ca="1" si="80"/>
        <v>-1.0832857942253643E-3</v>
      </c>
      <c r="K842" s="9"/>
      <c r="L842" s="9">
        <f ca="1">L841-O842*Prices!C842</f>
        <v>1.2453834342717305</v>
      </c>
      <c r="M842" s="1">
        <f t="shared" ca="1" si="81"/>
        <v>8.1569885093769699E-3</v>
      </c>
      <c r="N842" s="9">
        <f ca="1">IF(Prices!D841&gt;OFFSET(Prices!D841,-$N$3,0),1,-1)</f>
        <v>-1</v>
      </c>
      <c r="O842" s="1">
        <f ca="1">IF(N842=1,O$3*L841/Prices!C841,-O$3*M841)</f>
        <v>-9.0633205659744118E-4</v>
      </c>
      <c r="P842" s="14"/>
      <c r="Q842" s="9">
        <f ca="1">Q841-T842*Prices!C842</f>
        <v>1.1730063816401162</v>
      </c>
      <c r="R842" s="1">
        <f t="shared" ca="1" si="82"/>
        <v>8.6707331437682333E-3</v>
      </c>
      <c r="S842" s="9">
        <f ca="1">IF(Prices!C841&lt;OFFSET(Prices!C841,-S$3,0),1,-1)</f>
        <v>-1</v>
      </c>
      <c r="T842" s="1">
        <f ca="1">IF(S842=1,T$3*Q841/Prices!C841,-T$3*R841)</f>
        <v>-1.7695373762792314E-4</v>
      </c>
    </row>
    <row r="843" spans="1:20" x14ac:dyDescent="0.2">
      <c r="A843" s="4">
        <v>34687</v>
      </c>
      <c r="B843" s="9">
        <f ca="1">Prices!C842*(1+J843/(50*(ABS(O843)+ABS(T843)+0.0001)))</f>
        <v>101.66392175979981</v>
      </c>
      <c r="C843" s="21">
        <f t="shared" ca="1" si="77"/>
        <v>1</v>
      </c>
      <c r="D843" s="9">
        <f ca="1">D842+C843*(Prices!C843-Prices!C842)/Prices!C842</f>
        <v>0.37036497583554912</v>
      </c>
      <c r="E843" s="9">
        <f t="shared" ca="1" si="78"/>
        <v>1.9743533036124639E-2</v>
      </c>
      <c r="F843" s="9">
        <f t="shared" ca="1" si="79"/>
        <v>0.39010850887167375</v>
      </c>
      <c r="G843" s="13">
        <f ca="1">IF((Prices!C843-Prices!C842)*C843&gt;0,1,0)</f>
        <v>0</v>
      </c>
      <c r="H843" s="9">
        <f>ABS(Prices!C843-Prices!C842)/Prices!C842</f>
        <v>1.1970074812968036E-3</v>
      </c>
      <c r="I843" s="13"/>
      <c r="J843" s="1">
        <f t="shared" ca="1" si="80"/>
        <v>1.0688630770465612E-3</v>
      </c>
      <c r="K843" s="9"/>
      <c r="L843" s="9">
        <f ca="1">L842-O843*Prices!C843</f>
        <v>1.1209941641733481</v>
      </c>
      <c r="M843" s="1">
        <f t="shared" ca="1" si="81"/>
        <v>9.3992662492988956E-3</v>
      </c>
      <c r="N843" s="9">
        <f ca="1">IF(Prices!D842&gt;OFFSET(Prices!D842,-$N$3,0),1,-1)</f>
        <v>1</v>
      </c>
      <c r="O843" s="1">
        <f ca="1">IF(N843=1,O$3*L842/Prices!C842,-O$3*M842)</f>
        <v>1.2422777399219258E-3</v>
      </c>
      <c r="P843" s="14"/>
      <c r="Q843" s="9">
        <f ca="1">Q842-T843*Prices!C843</f>
        <v>1.1903703918338264</v>
      </c>
      <c r="R843" s="1">
        <f t="shared" ca="1" si="82"/>
        <v>8.4973184808928692E-3</v>
      </c>
      <c r="S843" s="9">
        <f ca="1">IF(Prices!C842&lt;OFFSET(Prices!C842,-S$3,0),1,-1)</f>
        <v>-1</v>
      </c>
      <c r="T843" s="1">
        <f ca="1">IF(S843=1,T$3*Q842/Prices!C842,-T$3*R842)</f>
        <v>-1.7341466287536467E-4</v>
      </c>
    </row>
    <row r="844" spans="1:20" x14ac:dyDescent="0.2">
      <c r="A844" s="4">
        <v>34688</v>
      </c>
      <c r="B844" s="9">
        <f ca="1">Prices!C843*(1+J844/(50*(ABS(O844)+ABS(T844)+0.0001)))</f>
        <v>101.99518183970196</v>
      </c>
      <c r="C844" s="21">
        <f t="shared" ca="1" si="77"/>
        <v>1</v>
      </c>
      <c r="D844" s="9">
        <f ca="1">D843+C844*(Prices!C844-Prices!C843)/Prices!C843</f>
        <v>0.37136367752335503</v>
      </c>
      <c r="E844" s="9">
        <f t="shared" ca="1" si="78"/>
        <v>1.8744831348318725E-2</v>
      </c>
      <c r="F844" s="9">
        <f t="shared" ca="1" si="79"/>
        <v>0.39010850887167375</v>
      </c>
      <c r="G844" s="13">
        <f ca="1">IF((Prices!C844-Prices!C843)*C844&gt;0,1,0)</f>
        <v>1</v>
      </c>
      <c r="H844" s="9">
        <f>ABS(Prices!C844-Prices!C843)/Prices!C843</f>
        <v>9.987016878059377E-4</v>
      </c>
      <c r="I844" s="13"/>
      <c r="J844" s="1">
        <f t="shared" ca="1" si="80"/>
        <v>1.3573037476681449E-3</v>
      </c>
      <c r="K844" s="9"/>
      <c r="L844" s="9">
        <f ca="1">L843-O844*Prices!C844</f>
        <v>1.0087827938796352</v>
      </c>
      <c r="M844" s="1">
        <f t="shared" ca="1" si="81"/>
        <v>1.0518805013079328E-2</v>
      </c>
      <c r="N844" s="9">
        <f ca="1">IF(Prices!D843&gt;OFFSET(Prices!D843,-$N$3,0),1,-1)</f>
        <v>1</v>
      </c>
      <c r="O844" s="1">
        <f ca="1">IF(N844=1,O$3*L843/Prices!C843,-O$3*M843)</f>
        <v>1.1195387637804336E-3</v>
      </c>
      <c r="P844" s="14"/>
      <c r="Q844" s="9">
        <f ca="1">Q843-T844*Prices!C844</f>
        <v>1.1665392074987611</v>
      </c>
      <c r="R844" s="1">
        <f t="shared" ca="1" si="82"/>
        <v>8.7350834647805797E-3</v>
      </c>
      <c r="S844" s="9">
        <f ca="1">IF(Prices!C843&lt;OFFSET(Prices!C843,-S$3,0),1,-1)</f>
        <v>1</v>
      </c>
      <c r="T844" s="1">
        <f ca="1">IF(S844=1,T$3*Q843/Prices!C843,-T$3*R843)</f>
        <v>2.3776498388771128E-4</v>
      </c>
    </row>
    <row r="845" spans="1:20" x14ac:dyDescent="0.2">
      <c r="A845" s="4">
        <v>34689</v>
      </c>
      <c r="B845" s="9">
        <f ca="1">Prices!C844*(1+J845/(50*(ABS(O845)+ABS(T845)+0.0001)))</f>
        <v>99.044154874848232</v>
      </c>
      <c r="C845" s="21">
        <f t="shared" ca="1" si="77"/>
        <v>-1</v>
      </c>
      <c r="D845" s="9">
        <f ca="1">D844+C845*(Prices!C845-Prices!C844)/Prices!C844</f>
        <v>0.3675723974674836</v>
      </c>
      <c r="E845" s="9">
        <f t="shared" ca="1" si="78"/>
        <v>2.2536111404190151E-2</v>
      </c>
      <c r="F845" s="9">
        <f t="shared" ca="1" si="79"/>
        <v>0.39010850887167375</v>
      </c>
      <c r="G845" s="13">
        <f ca="1">IF((Prices!C845-Prices!C844)*C845&gt;0,1,0)</f>
        <v>0</v>
      </c>
      <c r="H845" s="9">
        <f>ABS(Prices!C845-Prices!C844)/Prices!C844</f>
        <v>3.79128005587145E-3</v>
      </c>
      <c r="I845" s="13"/>
      <c r="J845" s="1">
        <f t="shared" ca="1" si="80"/>
        <v>-8.1910803647729127E-4</v>
      </c>
      <c r="K845" s="9"/>
      <c r="L845" s="9">
        <f ca="1">L844-O845*Prices!C845</f>
        <v>1.1146124911162263</v>
      </c>
      <c r="M845" s="1">
        <f t="shared" ca="1" si="81"/>
        <v>9.4669245117713959E-3</v>
      </c>
      <c r="N845" s="9">
        <f ca="1">IF(Prices!D844&gt;OFFSET(Prices!D844,-$N$3,0),1,-1)</f>
        <v>-1</v>
      </c>
      <c r="O845" s="1">
        <f ca="1">IF(N845=1,O$3*L844/Prices!C844,-O$3*M844)</f>
        <v>-1.0518805013079329E-3</v>
      </c>
      <c r="P845" s="14"/>
      <c r="Q845" s="9">
        <f ca="1">Q844-T845*Prices!C845</f>
        <v>1.1431199698121501</v>
      </c>
      <c r="R845" s="1">
        <f t="shared" ca="1" si="82"/>
        <v>8.9678559296112216E-3</v>
      </c>
      <c r="S845" s="9">
        <f ca="1">IF(Prices!C844&lt;OFFSET(Prices!C844,-S$3,0),1,-1)</f>
        <v>1</v>
      </c>
      <c r="T845" s="1">
        <f ca="1">IF(S845=1,T$3*Q844/Prices!C844,-T$3*R844)</f>
        <v>2.3277246483064171E-4</v>
      </c>
    </row>
    <row r="846" spans="1:20" x14ac:dyDescent="0.2">
      <c r="A846" s="4">
        <v>34690</v>
      </c>
      <c r="B846" s="9">
        <f ca="1">Prices!C845*(1+J846/(50*(ABS(O846)+ABS(T846)+0.0001)))</f>
        <v>98.7619206073241</v>
      </c>
      <c r="C846" s="21">
        <f t="shared" ca="1" si="77"/>
        <v>-1</v>
      </c>
      <c r="D846" s="9">
        <f ca="1">D845+C846*(Prices!C846-Prices!C845)/Prices!C845</f>
        <v>0.37214450759570139</v>
      </c>
      <c r="E846" s="9">
        <f t="shared" ca="1" si="78"/>
        <v>1.7964001275972363E-2</v>
      </c>
      <c r="F846" s="9">
        <f t="shared" ca="1" si="79"/>
        <v>0.39010850887167375</v>
      </c>
      <c r="G846" s="13">
        <f ca="1">IF((Prices!C846-Prices!C845)*C846&gt;0,1,0)</f>
        <v>1</v>
      </c>
      <c r="H846" s="9">
        <f>ABS(Prices!C846-Prices!C845)/Prices!C845</f>
        <v>4.5721101282178087E-3</v>
      </c>
      <c r="I846" s="13"/>
      <c r="J846" s="1">
        <f t="shared" ca="1" si="80"/>
        <v>-1.1260495697693641E-3</v>
      </c>
      <c r="K846" s="9"/>
      <c r="L846" s="9">
        <f ca="1">L845-O846*Prices!C846</f>
        <v>1.2094237401016168</v>
      </c>
      <c r="M846" s="1">
        <f t="shared" ca="1" si="81"/>
        <v>8.5202320605942562E-3</v>
      </c>
      <c r="N846" s="9">
        <f ca="1">IF(Prices!D845&gt;OFFSET(Prices!D845,-$N$3,0),1,-1)</f>
        <v>-1</v>
      </c>
      <c r="O846" s="1">
        <f ca="1">IF(N846=1,O$3*L845/Prices!C845,-O$3*M845)</f>
        <v>-9.4669245117713966E-4</v>
      </c>
      <c r="P846" s="14"/>
      <c r="Q846" s="9">
        <f ca="1">Q845-T846*Prices!C846</f>
        <v>1.1610825852391615</v>
      </c>
      <c r="R846" s="1">
        <f t="shared" ca="1" si="82"/>
        <v>8.7884988110189972E-3</v>
      </c>
      <c r="S846" s="9">
        <f ca="1">IF(Prices!C845&lt;OFFSET(Prices!C845,-S$3,0),1,-1)</f>
        <v>-1</v>
      </c>
      <c r="T846" s="1">
        <f ca="1">IF(S846=1,T$3*Q845/Prices!C845,-T$3*R845)</f>
        <v>-1.7935711859222444E-4</v>
      </c>
    </row>
    <row r="847" spans="1:20" x14ac:dyDescent="0.2">
      <c r="A847" s="4">
        <v>34691</v>
      </c>
      <c r="B847" s="9">
        <f ca="1">Prices!C846*(1+J847/(50*(ABS(O847)+ABS(T847)+0.0001)))</f>
        <v>102.02289121959372</v>
      </c>
      <c r="C847" s="21">
        <f t="shared" ca="1" si="77"/>
        <v>1</v>
      </c>
      <c r="D847" s="9">
        <f ca="1">D846+C847*(Prices!C847-Prices!C846)/Prices!C846</f>
        <v>0.37184495692171238</v>
      </c>
      <c r="E847" s="9">
        <f t="shared" ca="1" si="78"/>
        <v>1.8263551949961376E-2</v>
      </c>
      <c r="F847" s="9">
        <f t="shared" ca="1" si="79"/>
        <v>0.39010850887167375</v>
      </c>
      <c r="G847" s="13">
        <f ca="1">IF((Prices!C847-Prices!C846)*C847&gt;0,1,0)</f>
        <v>0</v>
      </c>
      <c r="H847" s="9">
        <f>ABS(Prices!C847-Prices!C846)/Prices!C846</f>
        <v>2.9955067398902783E-4</v>
      </c>
      <c r="I847" s="13"/>
      <c r="J847" s="1">
        <f t="shared" ca="1" si="80"/>
        <v>1.439481035596055E-3</v>
      </c>
      <c r="K847" s="9"/>
      <c r="L847" s="9">
        <f ca="1">L846-O847*Prices!C847</f>
        <v>1.0885175944611036</v>
      </c>
      <c r="M847" s="1">
        <f t="shared" ca="1" si="81"/>
        <v>9.7278443822134443E-3</v>
      </c>
      <c r="N847" s="9">
        <f ca="1">IF(Prices!D846&gt;OFFSET(Prices!D846,-$N$3,0),1,-1)</f>
        <v>1</v>
      </c>
      <c r="O847" s="1">
        <f ca="1">IF(N847=1,O$3*L846/Prices!C846,-O$3*M846)</f>
        <v>1.2076123216191879E-3</v>
      </c>
      <c r="P847" s="14"/>
      <c r="Q847" s="9">
        <f ca="1">Q846-T847*Prices!C847</f>
        <v>1.1378678895957977</v>
      </c>
      <c r="R847" s="1">
        <f t="shared" ca="1" si="82"/>
        <v>9.0203675249958641E-3</v>
      </c>
      <c r="S847" s="9">
        <f ca="1">IF(Prices!C846&lt;OFFSET(Prices!C846,-S$3,0),1,-1)</f>
        <v>1</v>
      </c>
      <c r="T847" s="1">
        <f ca="1">IF(S847=1,T$3*Q846/Prices!C846,-T$3*R846)</f>
        <v>2.31868713976867E-4</v>
      </c>
    </row>
    <row r="848" spans="1:20" x14ac:dyDescent="0.2">
      <c r="A848" s="4">
        <v>34694</v>
      </c>
      <c r="B848" s="9">
        <f ca="1">Prices!C847*(1+J848/(50*(ABS(O848)+ABS(T848)+0.0001)))</f>
        <v>101.98083898712997</v>
      </c>
      <c r="C848" s="21">
        <f t="shared" ca="1" si="77"/>
        <v>1</v>
      </c>
      <c r="D848" s="9">
        <f ca="1">D847+C848*(Prices!C848-Prices!C847)/Prices!C847</f>
        <v>0.37374267965443309</v>
      </c>
      <c r="E848" s="9">
        <f t="shared" ca="1" si="78"/>
        <v>1.6365829217240668E-2</v>
      </c>
      <c r="F848" s="9">
        <f t="shared" ca="1" si="79"/>
        <v>0.39010850887167375</v>
      </c>
      <c r="G848" s="13">
        <f ca="1">IF((Prices!C848-Prices!C847)*C848&gt;0,1,0)</f>
        <v>1</v>
      </c>
      <c r="H848" s="9">
        <f>ABS(Prices!C848-Prices!C847)/Prices!C847</f>
        <v>1.8977227327207124E-3</v>
      </c>
      <c r="I848" s="13"/>
      <c r="J848" s="1">
        <f t="shared" ca="1" si="80"/>
        <v>1.3145137558732152E-3</v>
      </c>
      <c r="K848" s="9"/>
      <c r="L848" s="9">
        <f ca="1">L847-O848*Prices!C848</f>
        <v>0.97945926455659571</v>
      </c>
      <c r="M848" s="1">
        <f t="shared" ca="1" si="81"/>
        <v>1.0815057321147827E-2</v>
      </c>
      <c r="N848" s="9">
        <f ca="1">IF(Prices!D847&gt;OFFSET(Prices!D847,-$N$3,0),1,-1)</f>
        <v>1</v>
      </c>
      <c r="O848" s="1">
        <f ca="1">IF(N848=1,O$3*L847/Prices!C847,-O$3*M847)</f>
        <v>1.0872129389343822E-3</v>
      </c>
      <c r="P848" s="14"/>
      <c r="Q848" s="9">
        <f ca="1">Q847-T848*Prices!C848</f>
        <v>1.1150673446486634</v>
      </c>
      <c r="R848" s="1">
        <f t="shared" ca="1" si="82"/>
        <v>9.2476683419346964E-3</v>
      </c>
      <c r="S848" s="9">
        <f ca="1">IF(Prices!C847&lt;OFFSET(Prices!C847,-S$3,0),1,-1)</f>
        <v>1</v>
      </c>
      <c r="T848" s="1">
        <f ca="1">IF(S848=1,T$3*Q847/Prices!C847,-T$3*R847)</f>
        <v>2.273008169388329E-4</v>
      </c>
    </row>
    <row r="849" spans="1:20" x14ac:dyDescent="0.2">
      <c r="A849" s="4">
        <v>34695</v>
      </c>
      <c r="B849" s="9">
        <f ca="1">Prices!C848*(1+J849/(50*(ABS(O849)+ABS(T849)+0.0001)))</f>
        <v>98.450617420406985</v>
      </c>
      <c r="C849" s="21">
        <f t="shared" ca="1" si="77"/>
        <v>-1</v>
      </c>
      <c r="D849" s="9">
        <f ca="1">D848+C849*(Prices!C849-Prices!C848)/Prices!C848</f>
        <v>0.37304484294822243</v>
      </c>
      <c r="E849" s="9">
        <f t="shared" ca="1" si="78"/>
        <v>1.7063665923451321E-2</v>
      </c>
      <c r="F849" s="9">
        <f t="shared" ca="1" si="79"/>
        <v>0.39010850887167375</v>
      </c>
      <c r="G849" s="13">
        <f ca="1">IF((Prices!C849-Prices!C848)*C849&gt;0,1,0)</f>
        <v>0</v>
      </c>
      <c r="H849" s="9">
        <f>ABS(Prices!C849-Prices!C848)/Prices!C848</f>
        <v>6.9783670621067866E-4</v>
      </c>
      <c r="I849" s="13"/>
      <c r="J849" s="1">
        <f t="shared" ca="1" si="80"/>
        <v>-1.2664590989534767E-3</v>
      </c>
      <c r="K849" s="9"/>
      <c r="L849" s="9">
        <f ca="1">L848-O849*Prices!C849</f>
        <v>1.0880208099462776</v>
      </c>
      <c r="M849" s="1">
        <f t="shared" ca="1" si="81"/>
        <v>9.7335515890330446E-3</v>
      </c>
      <c r="N849" s="9">
        <f ca="1">IF(Prices!D848&gt;OFFSET(Prices!D848,-$N$3,0),1,-1)</f>
        <v>-1</v>
      </c>
      <c r="O849" s="1">
        <f ca="1">IF(N849=1,O$3*L848/Prices!C848,-O$3*M848)</f>
        <v>-1.0815057321147826E-3</v>
      </c>
      <c r="P849" s="14"/>
      <c r="Q849" s="9">
        <f ca="1">Q848-T849*Prices!C849</f>
        <v>1.1336329636119316</v>
      </c>
      <c r="R849" s="1">
        <f t="shared" ca="1" si="82"/>
        <v>9.0627149750960017E-3</v>
      </c>
      <c r="S849" s="9">
        <f ca="1">IF(Prices!C848&lt;OFFSET(Prices!C848,-S$3,0),1,-1)</f>
        <v>-1</v>
      </c>
      <c r="T849" s="1">
        <f ca="1">IF(S849=1,T$3*Q848/Prices!C848,-T$3*R848)</f>
        <v>-1.8495336683869393E-4</v>
      </c>
    </row>
    <row r="850" spans="1:20" x14ac:dyDescent="0.2">
      <c r="A850" s="4">
        <v>34696</v>
      </c>
      <c r="B850" s="9">
        <f ca="1">Prices!C849*(1+J850/(50*(ABS(O850)+ABS(T850)+0.0001)))</f>
        <v>99.22496032677779</v>
      </c>
      <c r="C850" s="21">
        <f t="shared" ref="C850:C913" ca="1" si="83">IF(J850&gt;0,1,IF(J850&lt;0,-1,0))</f>
        <v>-1</v>
      </c>
      <c r="D850" s="9">
        <f ca="1">D849+C850*(Prices!C850-Prices!C849)/Prices!C849</f>
        <v>0.38380395830984826</v>
      </c>
      <c r="E850" s="9">
        <f t="shared" ref="E850:E913" ca="1" si="84">F850-D850</f>
        <v>6.3045505618254949E-3</v>
      </c>
      <c r="F850" s="9">
        <f t="shared" ref="F850:F913" ca="1" si="85">MAX(F849,D850)</f>
        <v>0.39010850887167375</v>
      </c>
      <c r="G850" s="13">
        <f ca="1">IF((Prices!C850-Prices!C849)*C850&gt;0,1,0)</f>
        <v>1</v>
      </c>
      <c r="H850" s="9">
        <f>ABS(Prices!C850-Prices!C849)/Prices!C849</f>
        <v>1.0759115361625805E-2</v>
      </c>
      <c r="I850" s="13"/>
      <c r="J850" s="1">
        <f t="shared" ref="J850:J913" ca="1" si="86">O850+T850</f>
        <v>-7.4748686569510935E-4</v>
      </c>
      <c r="K850" s="9"/>
      <c r="L850" s="9">
        <f ca="1">L849-O850*Prices!C850</f>
        <v>1.1846749772253757</v>
      </c>
      <c r="M850" s="1">
        <f t="shared" ref="M850:M913" ca="1" si="87">M849+O850</f>
        <v>8.7601964301297405E-3</v>
      </c>
      <c r="N850" s="9">
        <f ca="1">IF(Prices!D849&gt;OFFSET(Prices!D849,-$N$3,0),1,-1)</f>
        <v>-1</v>
      </c>
      <c r="O850" s="1">
        <f ca="1">IF(N850=1,O$3*L849/Prices!C849,-O$3*M849)</f>
        <v>-9.7335515890330454E-4</v>
      </c>
      <c r="P850" s="14"/>
      <c r="Q850" s="9">
        <f ca="1">Q849-T850*Prices!C850</f>
        <v>1.1112042420963577</v>
      </c>
      <c r="R850" s="1">
        <f t="shared" ref="R850:R913" ca="1" si="88">R849+T850</f>
        <v>9.2885832683041961E-3</v>
      </c>
      <c r="S850" s="9">
        <f ca="1">IF(Prices!C849&lt;OFFSET(Prices!C849,-S$3,0),1,-1)</f>
        <v>1</v>
      </c>
      <c r="T850" s="1">
        <f ca="1">IF(S850=1,T$3*Q849/Prices!C849,-T$3*R849)</f>
        <v>2.2586829320819519E-4</v>
      </c>
    </row>
    <row r="851" spans="1:20" x14ac:dyDescent="0.2">
      <c r="A851" s="4">
        <v>34697</v>
      </c>
      <c r="B851" s="9">
        <f ca="1">Prices!C850*(1+J851/(50*(ABS(O851)+ABS(T851)+0.0001)))</f>
        <v>98.220433396819885</v>
      </c>
      <c r="C851" s="21">
        <f t="shared" ca="1" si="83"/>
        <v>-1</v>
      </c>
      <c r="D851" s="9">
        <f ca="1">D850+C851*(Prices!C851-Prices!C850)/Prices!C850</f>
        <v>0.3804806954699691</v>
      </c>
      <c r="E851" s="9">
        <f t="shared" ca="1" si="84"/>
        <v>9.6278134017046546E-3</v>
      </c>
      <c r="F851" s="9">
        <f t="shared" ca="1" si="85"/>
        <v>0.39010850887167375</v>
      </c>
      <c r="G851" s="13">
        <f ca="1">IF((Prices!C851-Prices!C850)*C851&gt;0,1,0)</f>
        <v>0</v>
      </c>
      <c r="H851" s="9">
        <f>ABS(Prices!C851-Prices!C850)/Prices!C850</f>
        <v>3.3232628398791372E-3</v>
      </c>
      <c r="I851" s="13"/>
      <c r="J851" s="1">
        <f t="shared" ca="1" si="86"/>
        <v>-6.5221214208722219E-4</v>
      </c>
      <c r="K851" s="9"/>
      <c r="L851" s="9">
        <f ca="1">L850-O851*Prices!C851</f>
        <v>1.2719528142587584</v>
      </c>
      <c r="M851" s="1">
        <f t="shared" ca="1" si="87"/>
        <v>7.8841767871167673E-3</v>
      </c>
      <c r="N851" s="9">
        <f ca="1">IF(Prices!D850&gt;OFFSET(Prices!D850,-$N$3,0),1,-1)</f>
        <v>-1</v>
      </c>
      <c r="O851" s="1">
        <f ca="1">IF(N851=1,O$3*L850/Prices!C850,-O$3*M850)</f>
        <v>-8.7601964301297405E-4</v>
      </c>
      <c r="P851" s="14"/>
      <c r="Q851" s="9">
        <f ca="1">Q850-T851*Prices!C851</f>
        <v>1.0889063007791251</v>
      </c>
      <c r="R851" s="1">
        <f t="shared" ca="1" si="88"/>
        <v>9.5123907692299479E-3</v>
      </c>
      <c r="S851" s="9">
        <f ca="1">IF(Prices!C850&lt;OFFSET(Prices!C850,-S$3,0),1,-1)</f>
        <v>1</v>
      </c>
      <c r="T851" s="1">
        <f ca="1">IF(S851=1,T$3*Q850/Prices!C850,-T$3*R850)</f>
        <v>2.2380750092575183E-4</v>
      </c>
    </row>
    <row r="852" spans="1:20" x14ac:dyDescent="0.2">
      <c r="A852" s="4">
        <v>34698</v>
      </c>
      <c r="B852" s="9">
        <f ca="1">Prices!C851*(1+J852/(50*(ABS(O852)+ABS(T852)+0.0001)))</f>
        <v>101.49769297511136</v>
      </c>
      <c r="C852" s="21">
        <f t="shared" ca="1" si="83"/>
        <v>1</v>
      </c>
      <c r="D852" s="9">
        <f ca="1">D851+C852*(Prices!C852-Prices!C851)/Prices!C851</f>
        <v>0.37997883859954856</v>
      </c>
      <c r="E852" s="9">
        <f t="shared" ca="1" si="84"/>
        <v>1.0129670272125191E-2</v>
      </c>
      <c r="F852" s="9">
        <f t="shared" ca="1" si="85"/>
        <v>0.39010850887167375</v>
      </c>
      <c r="G852" s="13">
        <f ca="1">IF((Prices!C852-Prices!C851)*C852&gt;0,1,0)</f>
        <v>0</v>
      </c>
      <c r="H852" s="9">
        <f>ABS(Prices!C852-Prices!C851)/Prices!C851</f>
        <v>5.0185687042052761E-4</v>
      </c>
      <c r="I852" s="13"/>
      <c r="J852" s="1">
        <f t="shared" ca="1" si="86"/>
        <v>1.4952665606891334E-3</v>
      </c>
      <c r="K852" s="9"/>
      <c r="L852" s="9">
        <f ca="1">L851-O852*Prices!C852</f>
        <v>1.1448213666587512</v>
      </c>
      <c r="M852" s="1">
        <f t="shared" ca="1" si="87"/>
        <v>9.1608533044898067E-3</v>
      </c>
      <c r="N852" s="9">
        <f ca="1">IF(Prices!D851&gt;OFFSET(Prices!D851,-$N$3,0),1,-1)</f>
        <v>1</v>
      </c>
      <c r="O852" s="1">
        <f ca="1">IF(N852=1,O$3*L851/Prices!C851,-O$3*M851)</f>
        <v>1.2766765173730388E-3</v>
      </c>
      <c r="P852" s="14"/>
      <c r="Q852" s="9">
        <f ca="1">Q851-T852*Prices!C852</f>
        <v>1.0671391042657083</v>
      </c>
      <c r="R852" s="1">
        <f t="shared" ca="1" si="88"/>
        <v>9.7309808125460428E-3</v>
      </c>
      <c r="S852" s="9">
        <f ca="1">IF(Prices!C851&lt;OFFSET(Prices!C851,-S$3,0),1,-1)</f>
        <v>1</v>
      </c>
      <c r="T852" s="1">
        <f ca="1">IF(S852=1,T$3*Q851/Prices!C851,-T$3*R851)</f>
        <v>2.1859004331609459E-4</v>
      </c>
    </row>
    <row r="853" spans="1:20" x14ac:dyDescent="0.2">
      <c r="A853" s="4">
        <v>34701</v>
      </c>
      <c r="B853" s="9">
        <f ca="1">Prices!C852*(1+J853/(50*(ABS(O853)+ABS(T853)+0.0001)))</f>
        <v>101.43555969452466</v>
      </c>
      <c r="C853" s="21">
        <f t="shared" ca="1" si="83"/>
        <v>1</v>
      </c>
      <c r="D853" s="9">
        <f ca="1">D852+C853*(Prices!C853-Prices!C852)/Prices!C852</f>
        <v>0.38620498842883161</v>
      </c>
      <c r="E853" s="9">
        <f t="shared" ca="1" si="84"/>
        <v>3.9035204428421455E-3</v>
      </c>
      <c r="F853" s="9">
        <f t="shared" ca="1" si="85"/>
        <v>0.39010850887167375</v>
      </c>
      <c r="G853" s="13">
        <f ca="1">IF((Prices!C853-Prices!C852)*C853&gt;0,1,0)</f>
        <v>1</v>
      </c>
      <c r="H853" s="9">
        <f>ABS(Prices!C853-Prices!C852)/Prices!C852</f>
        <v>6.226149829283034E-3</v>
      </c>
      <c r="I853" s="13"/>
      <c r="J853" s="1">
        <f t="shared" ca="1" si="86"/>
        <v>1.3639778946695051E-3</v>
      </c>
      <c r="K853" s="9"/>
      <c r="L853" s="9">
        <f ca="1">L852-O853*Prices!C853</f>
        <v>1.0296264470572178</v>
      </c>
      <c r="M853" s="1">
        <f t="shared" ca="1" si="87"/>
        <v>1.0310503200712695E-2</v>
      </c>
      <c r="N853" s="9">
        <f ca="1">IF(Prices!D852&gt;OFFSET(Prices!D852,-$N$3,0),1,-1)</f>
        <v>1</v>
      </c>
      <c r="O853" s="1">
        <f ca="1">IF(N853=1,O$3*L852/Prices!C852,-O$3*M852)</f>
        <v>1.1496498962228876E-3</v>
      </c>
      <c r="P853" s="14"/>
      <c r="Q853" s="9">
        <f ca="1">Q852-T853*Prices!C853</f>
        <v>1.0456634388213573</v>
      </c>
      <c r="R853" s="1">
        <f t="shared" ca="1" si="88"/>
        <v>9.9453088109926601E-3</v>
      </c>
      <c r="S853" s="9">
        <f ca="1">IF(Prices!C852&lt;OFFSET(Prices!C852,-S$3,0),1,-1)</f>
        <v>1</v>
      </c>
      <c r="T853" s="1">
        <f ca="1">IF(S853=1,T$3*Q852/Prices!C852,-T$3*R852)</f>
        <v>2.1432799844661745E-4</v>
      </c>
    </row>
    <row r="854" spans="1:20" x14ac:dyDescent="0.2">
      <c r="A854" s="4">
        <v>34702</v>
      </c>
      <c r="B854" s="9">
        <f ca="1">Prices!C853*(1+J854/(50*(ABS(O854)+ABS(T854)+0.0001)))</f>
        <v>102.0540321669438</v>
      </c>
      <c r="C854" s="21">
        <f t="shared" ca="1" si="83"/>
        <v>1</v>
      </c>
      <c r="D854" s="9">
        <f ca="1">D853+C854*(Prices!C854-Prices!C853)/Prices!C853</f>
        <v>0.39089560719130667</v>
      </c>
      <c r="E854" s="9">
        <f t="shared" ca="1" si="84"/>
        <v>0</v>
      </c>
      <c r="F854" s="9">
        <f t="shared" ca="1" si="85"/>
        <v>0.39089560719130667</v>
      </c>
      <c r="G854" s="13">
        <f ca="1">IF((Prices!C854-Prices!C853)*C854&gt;0,1,0)</f>
        <v>1</v>
      </c>
      <c r="H854" s="9">
        <f>ABS(Prices!C854-Prices!C853)/Prices!C853</f>
        <v>4.6906187624750385E-3</v>
      </c>
      <c r="I854" s="13"/>
      <c r="J854" s="1">
        <f t="shared" ca="1" si="86"/>
        <v>1.2362865616980933E-3</v>
      </c>
      <c r="K854" s="9"/>
      <c r="L854" s="9">
        <f ca="1">L853-O854*Prices!C854</f>
        <v>0.92618084383840538</v>
      </c>
      <c r="M854" s="1">
        <f t="shared" ca="1" si="87"/>
        <v>1.1338074505161017E-2</v>
      </c>
      <c r="N854" s="9">
        <f ca="1">IF(Prices!D853&gt;OFFSET(Prices!D853,-$N$3,0),1,-1)</f>
        <v>1</v>
      </c>
      <c r="O854" s="1">
        <f ca="1">IF(N854=1,O$3*L853/Prices!C853,-O$3*M853)</f>
        <v>1.0275713044483213E-3</v>
      </c>
      <c r="P854" s="14"/>
      <c r="Q854" s="9">
        <f ca="1">Q853-T854*Prices!C854</f>
        <v>1.0246520738740228</v>
      </c>
      <c r="R854" s="1">
        <f t="shared" ca="1" si="88"/>
        <v>1.0154024068242432E-2</v>
      </c>
      <c r="S854" s="9">
        <f ca="1">IF(Prices!C853&lt;OFFSET(Prices!C853,-S$3,0),1,-1)</f>
        <v>1</v>
      </c>
      <c r="T854" s="1">
        <f ca="1">IF(S854=1,T$3*Q853/Prices!C853,-T$3*R853)</f>
        <v>2.0871525724977191E-4</v>
      </c>
    </row>
    <row r="855" spans="1:20" x14ac:dyDescent="0.2">
      <c r="A855" s="4">
        <v>34703</v>
      </c>
      <c r="B855" s="9">
        <f ca="1">Prices!C854*(1+J855/(50*(ABS(O855)+ABS(T855)+0.0001)))</f>
        <v>101.85018374258046</v>
      </c>
      <c r="C855" s="21">
        <f t="shared" ca="1" si="83"/>
        <v>1</v>
      </c>
      <c r="D855" s="9">
        <f ca="1">D854+C855*(Prices!C855-Prices!C854)/Prices!C854</f>
        <v>0.39765035041172975</v>
      </c>
      <c r="E855" s="9">
        <f t="shared" ca="1" si="84"/>
        <v>0</v>
      </c>
      <c r="F855" s="9">
        <f t="shared" ca="1" si="85"/>
        <v>0.39765035041172975</v>
      </c>
      <c r="G855" s="13">
        <f ca="1">IF((Prices!C855-Prices!C854)*C855&gt;0,1,0)</f>
        <v>1</v>
      </c>
      <c r="H855" s="9">
        <f>ABS(Prices!C855-Prices!C854)/Prices!C854</f>
        <v>6.7547432204230909E-3</v>
      </c>
      <c r="I855" s="13"/>
      <c r="J855" s="1">
        <f t="shared" ca="1" si="86"/>
        <v>7.1693625037092716E-4</v>
      </c>
      <c r="K855" s="9"/>
      <c r="L855" s="9">
        <f ca="1">L854-O855*Prices!C855</f>
        <v>0.83293714807698449</v>
      </c>
      <c r="M855" s="1">
        <f t="shared" ca="1" si="87"/>
        <v>1.2258091236896793E-2</v>
      </c>
      <c r="N855" s="9">
        <f ca="1">IF(Prices!D854&gt;OFFSET(Prices!D854,-$N$3,0),1,-1)</f>
        <v>1</v>
      </c>
      <c r="O855" s="1">
        <f ca="1">IF(N855=1,O$3*L854/Prices!C854,-O$3*M854)</f>
        <v>9.2001673173577577E-4</v>
      </c>
      <c r="P855" s="14"/>
      <c r="Q855" s="9">
        <f ca="1">Q854-T855*Prices!C855</f>
        <v>1.0452342806603503</v>
      </c>
      <c r="R855" s="1">
        <f t="shared" ca="1" si="88"/>
        <v>9.9509435868775833E-3</v>
      </c>
      <c r="S855" s="9">
        <f ca="1">IF(Prices!C854&lt;OFFSET(Prices!C854,-S$3,0),1,-1)</f>
        <v>-1</v>
      </c>
      <c r="T855" s="1">
        <f ca="1">IF(S855=1,T$3*Q854/Prices!C854,-T$3*R854)</f>
        <v>-2.0308048136484863E-4</v>
      </c>
    </row>
    <row r="856" spans="1:20" x14ac:dyDescent="0.2">
      <c r="A856" s="4">
        <v>34704</v>
      </c>
      <c r="B856" s="9">
        <f ca="1">Prices!C855*(1+J856/(50*(ABS(O856)+ABS(T856)+0.0001)))</f>
        <v>99.455933026287468</v>
      </c>
      <c r="C856" s="21">
        <f t="shared" ca="1" si="83"/>
        <v>-1</v>
      </c>
      <c r="D856" s="9">
        <f ca="1">D855+C856*(Prices!C856-Prices!C855)/Prices!C855</f>
        <v>0.40228774557699859</v>
      </c>
      <c r="E856" s="9">
        <f t="shared" ca="1" si="84"/>
        <v>0</v>
      </c>
      <c r="F856" s="9">
        <f t="shared" ca="1" si="85"/>
        <v>0.40228774557699859</v>
      </c>
      <c r="G856" s="13">
        <f ca="1">IF((Prices!C856-Prices!C855)*C856&gt;0,1,0)</f>
        <v>1</v>
      </c>
      <c r="H856" s="9">
        <f>ABS(Prices!C856-Prices!C855)/Prices!C855</f>
        <v>4.6373951652688592E-3</v>
      </c>
      <c r="I856" s="13"/>
      <c r="J856" s="1">
        <f t="shared" ca="1" si="86"/>
        <v>-1.4248279954272311E-3</v>
      </c>
      <c r="K856" s="9"/>
      <c r="L856" s="9">
        <f ca="1">L855-O856*Prices!C856</f>
        <v>0.95659677247479935</v>
      </c>
      <c r="M856" s="1">
        <f t="shared" ca="1" si="87"/>
        <v>1.1032282113207113E-2</v>
      </c>
      <c r="N856" s="9">
        <f ca="1">IF(Prices!D855&gt;OFFSET(Prices!D855,-$N$3,0),1,-1)</f>
        <v>-1</v>
      </c>
      <c r="O856" s="1">
        <f ca="1">IF(N856=1,O$3*L855/Prices!C855,-O$3*M855)</f>
        <v>-1.2258091236896794E-3</v>
      </c>
      <c r="P856" s="14"/>
      <c r="Q856" s="9">
        <f ca="1">Q855-T856*Prices!C856</f>
        <v>1.0653113044412346</v>
      </c>
      <c r="R856" s="1">
        <f t="shared" ca="1" si="88"/>
        <v>9.7519247151400309E-3</v>
      </c>
      <c r="S856" s="9">
        <f ca="1">IF(Prices!C855&lt;OFFSET(Prices!C855,-S$3,0),1,-1)</f>
        <v>-1</v>
      </c>
      <c r="T856" s="1">
        <f ca="1">IF(S856=1,T$3*Q855/Prices!C855,-T$3*R855)</f>
        <v>-1.9901887173755166E-4</v>
      </c>
    </row>
    <row r="857" spans="1:20" x14ac:dyDescent="0.2">
      <c r="A857" s="4">
        <v>34705</v>
      </c>
      <c r="B857" s="9">
        <f ca="1">Prices!C856*(1+J857/(50*(ABS(O857)+ABS(T857)+0.0001)))</f>
        <v>99.006692930088775</v>
      </c>
      <c r="C857" s="21">
        <f t="shared" ca="1" si="83"/>
        <v>-1</v>
      </c>
      <c r="D857" s="9">
        <f ca="1">D856+C857*(Prices!C857-Prices!C856)/Prices!C856</f>
        <v>0.39743048943108256</v>
      </c>
      <c r="E857" s="9">
        <f t="shared" ca="1" si="84"/>
        <v>4.8572561459160335E-3</v>
      </c>
      <c r="F857" s="9">
        <f t="shared" ca="1" si="85"/>
        <v>0.40228774557699859</v>
      </c>
      <c r="G857" s="13">
        <f ca="1">IF((Prices!C857-Prices!C856)*C857&gt;0,1,0)</f>
        <v>0</v>
      </c>
      <c r="H857" s="9">
        <f>ABS(Prices!C857-Prices!C856)/Prices!C856</f>
        <v>4.85725614591603E-3</v>
      </c>
      <c r="I857" s="13"/>
      <c r="J857" s="1">
        <f t="shared" ca="1" si="86"/>
        <v>-1.2982667056235118E-3</v>
      </c>
      <c r="K857" s="9"/>
      <c r="L857" s="9">
        <f ca="1">L856-O857*Prices!C857</f>
        <v>1.0684310162563799</v>
      </c>
      <c r="M857" s="1">
        <f t="shared" ca="1" si="87"/>
        <v>9.9290539018864026E-3</v>
      </c>
      <c r="N857" s="9">
        <f ca="1">IF(Prices!D856&gt;OFFSET(Prices!D856,-$N$3,0),1,-1)</f>
        <v>-1</v>
      </c>
      <c r="O857" s="1">
        <f ca="1">IF(N857=1,O$3*L856/Prices!C856,-O$3*M856)</f>
        <v>-1.1032282113207113E-3</v>
      </c>
      <c r="P857" s="14"/>
      <c r="Q857" s="9">
        <f ca="1">Q856-T857*Prices!C857</f>
        <v>1.0850823566087096</v>
      </c>
      <c r="R857" s="1">
        <f t="shared" ca="1" si="88"/>
        <v>9.556886220837231E-3</v>
      </c>
      <c r="S857" s="9">
        <f ca="1">IF(Prices!C856&lt;OFFSET(Prices!C856,-S$3,0),1,-1)</f>
        <v>-1</v>
      </c>
      <c r="T857" s="1">
        <f ca="1">IF(S857=1,T$3*Q856/Prices!C856,-T$3*R856)</f>
        <v>-1.9503849430280062E-4</v>
      </c>
    </row>
    <row r="858" spans="1:20" x14ac:dyDescent="0.2">
      <c r="A858" s="4">
        <v>34708</v>
      </c>
      <c r="B858" s="9">
        <f ca="1">Prices!C857*(1+J858/(50*(ABS(O858)+ABS(T858)+0.0001)))</f>
        <v>102.67050674158455</v>
      </c>
      <c r="C858" s="21">
        <f t="shared" ca="1" si="83"/>
        <v>1</v>
      </c>
      <c r="D858" s="9">
        <f ca="1">D857+C858*(Prices!C858-Prices!C857)/Prices!C857</f>
        <v>0.38421158837554342</v>
      </c>
      <c r="E858" s="9">
        <f t="shared" ca="1" si="84"/>
        <v>1.8076157201455167E-2</v>
      </c>
      <c r="F858" s="9">
        <f t="shared" ca="1" si="85"/>
        <v>0.40228774557699859</v>
      </c>
      <c r="G858" s="13">
        <f ca="1">IF((Prices!C858-Prices!C857)*C858&gt;0,1,0)</f>
        <v>0</v>
      </c>
      <c r="H858" s="9">
        <f>ABS(Prices!C858-Prices!C857)/Prices!C857</f>
        <v>1.3218901055539148E-2</v>
      </c>
      <c r="I858" s="13"/>
      <c r="J858" s="1">
        <f t="shared" ca="1" si="86"/>
        <v>8.6285361055058287E-4</v>
      </c>
      <c r="K858" s="9"/>
      <c r="L858" s="9">
        <f ca="1">L857-O858*Prices!C858</f>
        <v>0.96300026301959818</v>
      </c>
      <c r="M858" s="1">
        <f t="shared" ca="1" si="87"/>
        <v>1.098304523685373E-2</v>
      </c>
      <c r="N858" s="9">
        <f ca="1">IF(Prices!D857&gt;OFFSET(Prices!D857,-$N$3,0),1,-1)</f>
        <v>1</v>
      </c>
      <c r="O858" s="1">
        <f ca="1">IF(N858=1,O$3*L857/Prices!C857,-O$3*M857)</f>
        <v>1.0539913349673275E-3</v>
      </c>
      <c r="P858" s="14"/>
      <c r="Q858" s="9">
        <f ca="1">Q857-T858*Prices!C858</f>
        <v>1.1042018631821164</v>
      </c>
      <c r="R858" s="1">
        <f t="shared" ca="1" si="88"/>
        <v>9.3657484964204864E-3</v>
      </c>
      <c r="S858" s="9">
        <f ca="1">IF(Prices!C857&lt;OFFSET(Prices!C857,-S$3,0),1,-1)</f>
        <v>-1</v>
      </c>
      <c r="T858" s="1">
        <f ca="1">IF(S858=1,T$3*Q857/Prices!C857,-T$3*R857)</f>
        <v>-1.9113772441674463E-4</v>
      </c>
    </row>
    <row r="859" spans="1:20" x14ac:dyDescent="0.2">
      <c r="A859" s="4">
        <v>34709</v>
      </c>
      <c r="B859" s="9">
        <f ca="1">Prices!C858*(1+J859/(50*(ABS(O859)+ABS(T859)+0.0001)))</f>
        <v>101.8747275838529</v>
      </c>
      <c r="C859" s="21">
        <f t="shared" ca="1" si="83"/>
        <v>1</v>
      </c>
      <c r="D859" s="9">
        <f ca="1">D858+C859*(Prices!C859-Prices!C858)/Prices!C858</f>
        <v>0.38421158837554342</v>
      </c>
      <c r="E859" s="9">
        <f t="shared" ca="1" si="84"/>
        <v>1.8076157201455167E-2</v>
      </c>
      <c r="F859" s="9">
        <f t="shared" ca="1" si="85"/>
        <v>0.40228774557699859</v>
      </c>
      <c r="G859" s="13">
        <f ca="1">IF((Prices!C859-Prices!C858)*C859&gt;0,1,0)</f>
        <v>0</v>
      </c>
      <c r="H859" s="9">
        <f>ABS(Prices!C859-Prices!C858)/Prices!C858</f>
        <v>0</v>
      </c>
      <c r="I859" s="13"/>
      <c r="J859" s="1">
        <f t="shared" ca="1" si="86"/>
        <v>1.1834855899790278E-3</v>
      </c>
      <c r="K859" s="9"/>
      <c r="L859" s="9">
        <f ca="1">L858-O859*Prices!C859</f>
        <v>0.86670023671763841</v>
      </c>
      <c r="M859" s="1">
        <f t="shared" ca="1" si="87"/>
        <v>1.1945756686438453E-2</v>
      </c>
      <c r="N859" s="9">
        <f ca="1">IF(Prices!D858&gt;OFFSET(Prices!D858,-$N$3,0),1,-1)</f>
        <v>1</v>
      </c>
      <c r="O859" s="1">
        <f ca="1">IF(N859=1,O$3*L858/Prices!C858,-O$3*M858)</f>
        <v>9.6271144958472285E-4</v>
      </c>
      <c r="P859" s="14"/>
      <c r="Q859" s="9">
        <f ca="1">Q858-T859*Prices!C859</f>
        <v>1.0821178259184741</v>
      </c>
      <c r="R859" s="1">
        <f t="shared" ca="1" si="88"/>
        <v>9.586522636814792E-3</v>
      </c>
      <c r="S859" s="9">
        <f ca="1">IF(Prices!C858&lt;OFFSET(Prices!C858,-S$3,0),1,-1)</f>
        <v>1</v>
      </c>
      <c r="T859" s="1">
        <f ca="1">IF(S859=1,T$3*Q858/Prices!C858,-T$3*R858)</f>
        <v>2.2077414039430498E-4</v>
      </c>
    </row>
    <row r="860" spans="1:20" x14ac:dyDescent="0.2">
      <c r="A860" s="4">
        <v>34710</v>
      </c>
      <c r="B860" s="9">
        <f ca="1">Prices!C859*(1+J860/(50*(ABS(O860)+ABS(T860)+0.0001)))</f>
        <v>98.734761075086439</v>
      </c>
      <c r="C860" s="21">
        <f t="shared" ca="1" si="83"/>
        <v>-1</v>
      </c>
      <c r="D860" s="9">
        <f ca="1">D859+C860*(Prices!C860-Prices!C859)/Prices!C859</f>
        <v>0.38361176832155958</v>
      </c>
      <c r="E860" s="9">
        <f t="shared" ca="1" si="84"/>
        <v>1.8675977255439014E-2</v>
      </c>
      <c r="F860" s="9">
        <f t="shared" ca="1" si="85"/>
        <v>0.40228774557699859</v>
      </c>
      <c r="G860" s="13">
        <f ca="1">IF((Prices!C860-Prices!C859)*C860&gt;0,1,0)</f>
        <v>0</v>
      </c>
      <c r="H860" s="9">
        <f>ABS(Prices!C860-Prices!C859)/Prices!C859</f>
        <v>5.9982005398382754E-4</v>
      </c>
      <c r="I860" s="13"/>
      <c r="J860" s="1">
        <f t="shared" ca="1" si="86"/>
        <v>-9.7821701105742643E-4</v>
      </c>
      <c r="K860" s="9"/>
      <c r="L860" s="9">
        <f ca="1">L859-O860*Prices!C860</f>
        <v>0.98626531539220086</v>
      </c>
      <c r="M860" s="1">
        <f t="shared" ca="1" si="87"/>
        <v>1.0751181017794608E-2</v>
      </c>
      <c r="N860" s="9">
        <f ca="1">IF(Prices!D859&gt;OFFSET(Prices!D859,-$N$3,0),1,-1)</f>
        <v>-1</v>
      </c>
      <c r="O860" s="1">
        <f ca="1">IF(N860=1,O$3*L859/Prices!C859,-O$3*M859)</f>
        <v>-1.1945756686438454E-3</v>
      </c>
      <c r="P860" s="14"/>
      <c r="Q860" s="9">
        <f ca="1">Q859-T860*Prices!C860</f>
        <v>1.0604624878806495</v>
      </c>
      <c r="R860" s="1">
        <f t="shared" ca="1" si="88"/>
        <v>9.8028812944012111E-3</v>
      </c>
      <c r="S860" s="9">
        <f ca="1">IF(Prices!C859&lt;OFFSET(Prices!C859,-S$3,0),1,-1)</f>
        <v>1</v>
      </c>
      <c r="T860" s="1">
        <f ca="1">IF(S860=1,T$3*Q859/Prices!C859,-T$3*R859)</f>
        <v>2.1635865758641887E-4</v>
      </c>
    </row>
    <row r="861" spans="1:20" x14ac:dyDescent="0.2">
      <c r="A861" s="4">
        <v>34711</v>
      </c>
      <c r="B861" s="9">
        <f ca="1">Prices!C860*(1+J861/(50*(ABS(O861)+ABS(T861)+0.0001)))</f>
        <v>98.844173291779413</v>
      </c>
      <c r="C861" s="21">
        <f t="shared" ca="1" si="83"/>
        <v>-1</v>
      </c>
      <c r="D861" s="9">
        <f ca="1">D860+C861*(Prices!C861-Prices!C860)/Prices!C860</f>
        <v>0.39779899981321709</v>
      </c>
      <c r="E861" s="9">
        <f t="shared" ca="1" si="84"/>
        <v>4.4887457637814987E-3</v>
      </c>
      <c r="F861" s="9">
        <f t="shared" ca="1" si="85"/>
        <v>0.40228774557699859</v>
      </c>
      <c r="G861" s="13">
        <f ca="1">IF((Prices!C861-Prices!C860)*C861&gt;0,1,0)</f>
        <v>1</v>
      </c>
      <c r="H861" s="9">
        <f>ABS(Prices!C861-Prices!C860)/Prices!C860</f>
        <v>1.4187231491657525E-2</v>
      </c>
      <c r="I861" s="13"/>
      <c r="J861" s="1">
        <f t="shared" ca="1" si="86"/>
        <v>-8.6321631581070288E-4</v>
      </c>
      <c r="K861" s="9"/>
      <c r="L861" s="9">
        <f ca="1">L860-O861*Prices!C861</f>
        <v>1.0923472184947802</v>
      </c>
      <c r="M861" s="1">
        <f t="shared" ca="1" si="87"/>
        <v>9.6760629160151466E-3</v>
      </c>
      <c r="N861" s="9">
        <f ca="1">IF(Prices!D860&gt;OFFSET(Prices!D860,-$N$3,0),1,-1)</f>
        <v>-1</v>
      </c>
      <c r="O861" s="1">
        <f ca="1">IF(N861=1,O$3*L860/Prices!C860,-O$3*M860)</f>
        <v>-1.0751181017794609E-3</v>
      </c>
      <c r="P861" s="14"/>
      <c r="Q861" s="9">
        <f ca="1">Q860-T861*Prices!C861</f>
        <v>1.0395541386591121</v>
      </c>
      <c r="R861" s="1">
        <f t="shared" ca="1" si="88"/>
        <v>1.0014783080369969E-2</v>
      </c>
      <c r="S861" s="9">
        <f ca="1">IF(Prices!C860&lt;OFFSET(Prices!C860,-S$3,0),1,-1)</f>
        <v>1</v>
      </c>
      <c r="T861" s="1">
        <f ca="1">IF(S861=1,T$3*Q860/Prices!C860,-T$3*R860)</f>
        <v>2.11901785968758E-4</v>
      </c>
    </row>
    <row r="862" spans="1:20" x14ac:dyDescent="0.2">
      <c r="A862" s="4">
        <v>34712</v>
      </c>
      <c r="B862" s="9">
        <f ca="1">Prices!C861*(1+J862/(50*(ABS(O862)+ABS(T862)+0.0001)))</f>
        <v>97.501549955988452</v>
      </c>
      <c r="C862" s="21">
        <f t="shared" ca="1" si="83"/>
        <v>-1</v>
      </c>
      <c r="D862" s="9">
        <f ca="1">D861+C862*(Prices!C862-Prices!C861)/Prices!C861</f>
        <v>0.40053539385395892</v>
      </c>
      <c r="E862" s="9">
        <f t="shared" ca="1" si="84"/>
        <v>1.752351723039669E-3</v>
      </c>
      <c r="F862" s="9">
        <f t="shared" ca="1" si="85"/>
        <v>0.40228774557699859</v>
      </c>
      <c r="G862" s="13">
        <f ca="1">IF((Prices!C862-Prices!C861)*C862&gt;0,1,0)</f>
        <v>1</v>
      </c>
      <c r="H862" s="9">
        <f>ABS(Prices!C862-Prices!C861)/Prices!C861</f>
        <v>2.7363940407418266E-3</v>
      </c>
      <c r="I862" s="13"/>
      <c r="J862" s="1">
        <f t="shared" ca="1" si="86"/>
        <v>-7.5689297678260077E-4</v>
      </c>
      <c r="K862" s="9"/>
      <c r="L862" s="9">
        <f ca="1">L861-O862*Prices!C862</f>
        <v>1.1875596775883692</v>
      </c>
      <c r="M862" s="1">
        <f t="shared" ca="1" si="87"/>
        <v>8.7084566244136317E-3</v>
      </c>
      <c r="N862" s="9">
        <f ca="1">IF(Prices!D861&gt;OFFSET(Prices!D861,-$N$3,0),1,-1)</f>
        <v>-1</v>
      </c>
      <c r="O862" s="1">
        <f ca="1">IF(N862=1,O$3*L861/Prices!C861,-O$3*M861)</f>
        <v>-9.6760629160151472E-4</v>
      </c>
      <c r="P862" s="14"/>
      <c r="Q862" s="9">
        <f ca="1">Q861-T862*Prices!C862</f>
        <v>1.0188199484809308</v>
      </c>
      <c r="R862" s="1">
        <f t="shared" ca="1" si="88"/>
        <v>1.0225496395188882E-2</v>
      </c>
      <c r="S862" s="9">
        <f ca="1">IF(Prices!C861&lt;OFFSET(Prices!C861,-S$3,0),1,-1)</f>
        <v>1</v>
      </c>
      <c r="T862" s="1">
        <f ca="1">IF(S862=1,T$3*Q861/Prices!C861,-T$3*R861)</f>
        <v>2.1071331481891398E-4</v>
      </c>
    </row>
    <row r="863" spans="1:20" x14ac:dyDescent="0.2">
      <c r="A863" s="4">
        <v>34715</v>
      </c>
      <c r="B863" s="9">
        <f ca="1">Prices!C862*(1+J863/(50*(ABS(O863)+ABS(T863)+0.0001)))</f>
        <v>97.291017147314378</v>
      </c>
      <c r="C863" s="21">
        <f t="shared" ca="1" si="83"/>
        <v>-1</v>
      </c>
      <c r="D863" s="9">
        <f ca="1">D862+C863*(Prices!C863-Prices!C862)/Prices!C862</f>
        <v>0.40033214182143861</v>
      </c>
      <c r="E863" s="9">
        <f t="shared" ca="1" si="84"/>
        <v>1.9556037555599759E-3</v>
      </c>
      <c r="F863" s="9">
        <f t="shared" ca="1" si="85"/>
        <v>0.40228774557699859</v>
      </c>
      <c r="G863" s="13">
        <f ca="1">IF((Prices!C863-Prices!C862)*C863&gt;0,1,0)</f>
        <v>0</v>
      </c>
      <c r="H863" s="9">
        <f>ABS(Prices!C863-Prices!C862)/Prices!C862</f>
        <v>2.0325203252028476E-4</v>
      </c>
      <c r="I863" s="13"/>
      <c r="J863" s="1">
        <f t="shared" ca="1" si="86"/>
        <v>-6.6376843714036104E-4</v>
      </c>
      <c r="K863" s="9"/>
      <c r="L863" s="9">
        <f ca="1">L862-O863*Prices!C863</f>
        <v>1.2732683076858482</v>
      </c>
      <c r="M863" s="1">
        <f t="shared" ca="1" si="87"/>
        <v>7.8376109619722693E-3</v>
      </c>
      <c r="N863" s="9">
        <f ca="1">IF(Prices!D862&gt;OFFSET(Prices!D862,-$N$3,0),1,-1)</f>
        <v>-1</v>
      </c>
      <c r="O863" s="1">
        <f ca="1">IF(N863=1,O$3*L862/Prices!C862,-O$3*M862)</f>
        <v>-8.7084566244136324E-4</v>
      </c>
      <c r="P863" s="14"/>
      <c r="Q863" s="9">
        <f ca="1">Q862-T863*Prices!C863</f>
        <v>0.99843940796680619</v>
      </c>
      <c r="R863" s="1">
        <f t="shared" ca="1" si="88"/>
        <v>1.0432573620489884E-2</v>
      </c>
      <c r="S863" s="9">
        <f ca="1">IF(Prices!C862&lt;OFFSET(Prices!C862,-S$3,0),1,-1)</f>
        <v>1</v>
      </c>
      <c r="T863" s="1">
        <f ca="1">IF(S863=1,T$3*Q862/Prices!C862,-T$3*R862)</f>
        <v>2.070772253010022E-4</v>
      </c>
    </row>
    <row r="864" spans="1:20" x14ac:dyDescent="0.2">
      <c r="A864" s="4">
        <v>34716</v>
      </c>
      <c r="B864" s="9">
        <f ca="1">Prices!C863*(1+J864/(50*(ABS(O864)+ABS(T864)+0.0001)))</f>
        <v>97.367798613429727</v>
      </c>
      <c r="C864" s="21">
        <f t="shared" ca="1" si="83"/>
        <v>-1</v>
      </c>
      <c r="D864" s="9">
        <f ca="1">D863+C864*(Prices!C864-Prices!C863)/Prices!C863</f>
        <v>0.39332137165277375</v>
      </c>
      <c r="E864" s="9">
        <f t="shared" ca="1" si="84"/>
        <v>8.9663739242248353E-3</v>
      </c>
      <c r="F864" s="9">
        <f t="shared" ca="1" si="85"/>
        <v>0.40228774557699859</v>
      </c>
      <c r="G864" s="13">
        <f ca="1">IF((Prices!C864-Prices!C863)*C864&gt;0,1,0)</f>
        <v>0</v>
      </c>
      <c r="H864" s="9">
        <f>ABS(Prices!C864-Prices!C863)/Prices!C863</f>
        <v>7.0107701686648819E-3</v>
      </c>
      <c r="I864" s="13"/>
      <c r="J864" s="1">
        <f t="shared" ca="1" si="86"/>
        <v>-5.8086749571626653E-4</v>
      </c>
      <c r="K864" s="9"/>
      <c r="L864" s="9">
        <f ca="1">L863-O864*Prices!C864</f>
        <v>1.3509468699299554</v>
      </c>
      <c r="M864" s="1">
        <f t="shared" ca="1" si="87"/>
        <v>7.053849865775042E-3</v>
      </c>
      <c r="N864" s="9">
        <f ca="1">IF(Prices!D863&gt;OFFSET(Prices!D863,-$N$3,0),1,-1)</f>
        <v>-1</v>
      </c>
      <c r="O864" s="1">
        <f ca="1">IF(N864=1,O$3*L863/Prices!C863,-O$3*M863)</f>
        <v>-7.8376109619722695E-4</v>
      </c>
      <c r="P864" s="14"/>
      <c r="Q864" s="9">
        <f ca="1">Q863-T864*Prices!C864</f>
        <v>0.97833062322313824</v>
      </c>
      <c r="R864" s="1">
        <f t="shared" ca="1" si="88"/>
        <v>1.0635467220970845E-2</v>
      </c>
      <c r="S864" s="9">
        <f ca="1">IF(Prices!C863&lt;OFFSET(Prices!C863,-S$3,0),1,-1)</f>
        <v>1</v>
      </c>
      <c r="T864" s="1">
        <f ca="1">IF(S864=1,T$3*Q863/Prices!C863,-T$3*R863)</f>
        <v>2.0289360048096042E-4</v>
      </c>
    </row>
    <row r="865" spans="1:20" x14ac:dyDescent="0.2">
      <c r="A865" s="4">
        <v>34717</v>
      </c>
      <c r="B865" s="9">
        <f ca="1">Prices!C864*(1+J865/(50*(ABS(O865)+ABS(T865)+0.0001)))</f>
        <v>100.97282642215754</v>
      </c>
      <c r="C865" s="21">
        <f t="shared" ca="1" si="83"/>
        <v>1</v>
      </c>
      <c r="D865" s="9">
        <f ca="1">D864+C865*(Prices!C865-Prices!C864)/Prices!C864</f>
        <v>0.39755908732223194</v>
      </c>
      <c r="E865" s="9">
        <f t="shared" ca="1" si="84"/>
        <v>4.7286582547666489E-3</v>
      </c>
      <c r="F865" s="9">
        <f t="shared" ca="1" si="85"/>
        <v>0.40228774557699859</v>
      </c>
      <c r="G865" s="13">
        <f ca="1">IF((Prices!C865-Prices!C864)*C865&gt;0,1,0)</f>
        <v>1</v>
      </c>
      <c r="H865" s="9">
        <f>ABS(Prices!C865-Prices!C864)/Prices!C864</f>
        <v>4.237715669458195E-3</v>
      </c>
      <c r="I865" s="13"/>
      <c r="J865" s="1">
        <f t="shared" ca="1" si="86"/>
        <v>1.5605014575467491E-3</v>
      </c>
      <c r="K865" s="9"/>
      <c r="L865" s="9">
        <f ca="1">L864-O865*Prices!C865</f>
        <v>1.2152796900650291</v>
      </c>
      <c r="M865" s="1">
        <f t="shared" ca="1" si="87"/>
        <v>8.4169281322768637E-3</v>
      </c>
      <c r="N865" s="9">
        <f ca="1">IF(Prices!D864&gt;OFFSET(Prices!D864,-$N$3,0),1,-1)</f>
        <v>1</v>
      </c>
      <c r="O865" s="1">
        <f ca="1">IF(N865=1,O$3*L864/Prices!C864,-O$3*M864)</f>
        <v>1.3630782665018217E-3</v>
      </c>
      <c r="P865" s="14"/>
      <c r="Q865" s="9">
        <f ca="1">Q864-T865*Prices!C865</f>
        <v>0.95868109301843663</v>
      </c>
      <c r="R865" s="1">
        <f t="shared" ca="1" si="88"/>
        <v>1.0832890412015772E-2</v>
      </c>
      <c r="S865" s="9">
        <f ca="1">IF(Prices!C864&lt;OFFSET(Prices!C864,-S$3,0),1,-1)</f>
        <v>1</v>
      </c>
      <c r="T865" s="1">
        <f ca="1">IF(S865=1,T$3*Q864/Prices!C864,-T$3*R864)</f>
        <v>1.974231910449275E-4</v>
      </c>
    </row>
    <row r="866" spans="1:20" x14ac:dyDescent="0.2">
      <c r="A866" s="4">
        <v>34718</v>
      </c>
      <c r="B866" s="9">
        <f ca="1">Prices!C865*(1+J866/(50*(ABS(O866)+ABS(T866)+0.0001)))</f>
        <v>100.8301958646036</v>
      </c>
      <c r="C866" s="21">
        <f t="shared" ca="1" si="83"/>
        <v>1</v>
      </c>
      <c r="D866" s="9">
        <f ca="1">D865+C866*(Prices!C866-Prices!C865)/Prices!C865</f>
        <v>0.39354019854497879</v>
      </c>
      <c r="E866" s="9">
        <f t="shared" ca="1" si="84"/>
        <v>8.7475470320197979E-3</v>
      </c>
      <c r="F866" s="9">
        <f t="shared" ca="1" si="85"/>
        <v>0.40228774557699859</v>
      </c>
      <c r="G866" s="13">
        <f ca="1">IF((Prices!C866-Prices!C865)*C866&gt;0,1,0)</f>
        <v>0</v>
      </c>
      <c r="H866" s="9">
        <f>ABS(Prices!C866-Prices!C865)/Prices!C865</f>
        <v>4.0188887772531464E-3</v>
      </c>
      <c r="I866" s="13"/>
      <c r="J866" s="1">
        <f t="shared" ca="1" si="86"/>
        <v>1.0043606686661742E-3</v>
      </c>
      <c r="K866" s="9"/>
      <c r="L866" s="9">
        <f ca="1">L865-O866*Prices!C866</f>
        <v>1.0942401284492889</v>
      </c>
      <c r="M866" s="1">
        <f t="shared" ca="1" si="87"/>
        <v>9.6379466091833527E-3</v>
      </c>
      <c r="N866" s="9">
        <f ca="1">IF(Prices!D865&gt;OFFSET(Prices!D865,-$N$3,0),1,-1)</f>
        <v>1</v>
      </c>
      <c r="O866" s="1">
        <f ca="1">IF(N866=1,O$3*L865/Prices!C865,-O$3*M865)</f>
        <v>1.2210184769064897E-3</v>
      </c>
      <c r="P866" s="14"/>
      <c r="Q866" s="9">
        <f ca="1">Q865-T866*Prices!C866</f>
        <v>0.98015838154929913</v>
      </c>
      <c r="R866" s="1">
        <f t="shared" ca="1" si="88"/>
        <v>1.0616232603775456E-2</v>
      </c>
      <c r="S866" s="9">
        <f ca="1">IF(Prices!C865&lt;OFFSET(Prices!C865,-S$3,0),1,-1)</f>
        <v>-1</v>
      </c>
      <c r="T866" s="1">
        <f ca="1">IF(S866=1,T$3*Q865/Prices!C865,-T$3*R865)</f>
        <v>-2.1665780824031545E-4</v>
      </c>
    </row>
    <row r="867" spans="1:20" x14ac:dyDescent="0.2">
      <c r="A867" s="4">
        <v>34719</v>
      </c>
      <c r="B867" s="9">
        <f ca="1">Prices!C866*(1+J867/(50*(ABS(O867)+ABS(T867)+0.0001)))</f>
        <v>100.37810412864684</v>
      </c>
      <c r="C867" s="21">
        <f t="shared" ca="1" si="83"/>
        <v>1</v>
      </c>
      <c r="D867" s="9">
        <f ca="1">D866+C867*(Prices!C867-Prices!C866)/Prices!C866</f>
        <v>0.396263894701541</v>
      </c>
      <c r="E867" s="9">
        <f t="shared" ca="1" si="84"/>
        <v>6.0238508754575926E-3</v>
      </c>
      <c r="F867" s="9">
        <f t="shared" ca="1" si="85"/>
        <v>0.40228774557699859</v>
      </c>
      <c r="G867" s="13">
        <f ca="1">IF((Prices!C867-Prices!C866)*C867&gt;0,1,0)</f>
        <v>1</v>
      </c>
      <c r="H867" s="9">
        <f>ABS(Prices!C867-Prices!C866)/Prices!C866</f>
        <v>2.7236961565621936E-3</v>
      </c>
      <c r="I867" s="13"/>
      <c r="J867" s="1">
        <f t="shared" ca="1" si="86"/>
        <v>8.9151891541091178E-4</v>
      </c>
      <c r="K867" s="9"/>
      <c r="L867" s="9">
        <f ca="1">L866-O867*Prices!C867</f>
        <v>0.98451807784113865</v>
      </c>
      <c r="M867" s="1">
        <f t="shared" ca="1" si="87"/>
        <v>1.0741790176669774E-2</v>
      </c>
      <c r="N867" s="9">
        <f ca="1">IF(Prices!D866&gt;OFFSET(Prices!D866,-$N$3,0),1,-1)</f>
        <v>1</v>
      </c>
      <c r="O867" s="1">
        <f ca="1">IF(N867=1,O$3*L866/Prices!C866,-O$3*M866)</f>
        <v>1.1038435674864209E-3</v>
      </c>
      <c r="P867" s="14"/>
      <c r="Q867" s="9">
        <f ca="1">Q866-T867*Prices!C867</f>
        <v>1.0012634519656047</v>
      </c>
      <c r="R867" s="1">
        <f t="shared" ca="1" si="88"/>
        <v>1.0403907951699947E-2</v>
      </c>
      <c r="S867" s="9">
        <f ca="1">IF(Prices!C866&lt;OFFSET(Prices!C866,-S$3,0),1,-1)</f>
        <v>-1</v>
      </c>
      <c r="T867" s="1">
        <f ca="1">IF(S867=1,T$3*Q866/Prices!C866,-T$3*R866)</f>
        <v>-2.1232465207550913E-4</v>
      </c>
    </row>
    <row r="868" spans="1:20" x14ac:dyDescent="0.2">
      <c r="A868" s="4">
        <v>34722</v>
      </c>
      <c r="B868" s="9">
        <f ca="1">Prices!C867*(1+J868/(50*(ABS(O868)+ABS(T868)+0.0001)))</f>
        <v>100.59778980316182</v>
      </c>
      <c r="C868" s="21">
        <f t="shared" ca="1" si="83"/>
        <v>1</v>
      </c>
      <c r="D868" s="9">
        <f ca="1">D867+C868*(Prices!C868-Prices!C867)/Prices!C867</f>
        <v>0.4002880395707562</v>
      </c>
      <c r="E868" s="9">
        <f t="shared" ca="1" si="84"/>
        <v>1.9997060062423855E-3</v>
      </c>
      <c r="F868" s="9">
        <f t="shared" ca="1" si="85"/>
        <v>0.40228774557699859</v>
      </c>
      <c r="G868" s="13">
        <f ca="1">IF((Prices!C868-Prices!C867)*C868&gt;0,1,0)</f>
        <v>1</v>
      </c>
      <c r="H868" s="9">
        <f>ABS(Prices!C868-Prices!C867)/Prices!C867</f>
        <v>4.0241448692152054E-3</v>
      </c>
      <c r="I868" s="13"/>
      <c r="J868" s="1">
        <f t="shared" ca="1" si="86"/>
        <v>7.8238268386453095E-4</v>
      </c>
      <c r="K868" s="9"/>
      <c r="L868" s="9">
        <f ca="1">L867-O868*Prices!C868</f>
        <v>0.88567008571986539</v>
      </c>
      <c r="M868" s="1">
        <f t="shared" ca="1" si="87"/>
        <v>1.1732251019568304E-2</v>
      </c>
      <c r="N868" s="9">
        <f ca="1">IF(Prices!D867&gt;OFFSET(Prices!D867,-$N$3,0),1,-1)</f>
        <v>1</v>
      </c>
      <c r="O868" s="1">
        <f ca="1">IF(N868=1,O$3*L867/Prices!C867,-O$3*M867)</f>
        <v>9.9046084289852992E-4</v>
      </c>
      <c r="P868" s="14"/>
      <c r="Q868" s="9">
        <f ca="1">Q867-T868*Prices!C868</f>
        <v>1.0220296522371979</v>
      </c>
      <c r="R868" s="1">
        <f t="shared" ca="1" si="88"/>
        <v>1.0195829792665949E-2</v>
      </c>
      <c r="S868" s="9">
        <f ca="1">IF(Prices!C867&lt;OFFSET(Prices!C867,-S$3,0),1,-1)</f>
        <v>-1</v>
      </c>
      <c r="T868" s="1">
        <f ca="1">IF(S868=1,T$3*Q867/Prices!C867,-T$3*R867)</f>
        <v>-2.0807815903399894E-4</v>
      </c>
    </row>
    <row r="869" spans="1:20" x14ac:dyDescent="0.2">
      <c r="A869" s="4">
        <v>34723</v>
      </c>
      <c r="B869" s="9">
        <f ca="1">Prices!C868*(1+J869/(50*(ABS(O869)+ABS(T869)+0.0001)))</f>
        <v>100.94517932987434</v>
      </c>
      <c r="C869" s="21">
        <f t="shared" ca="1" si="83"/>
        <v>1</v>
      </c>
      <c r="D869" s="9">
        <f ca="1">D868+C869*(Prices!C869-Prices!C868)/Prices!C868</f>
        <v>0.39918583516193856</v>
      </c>
      <c r="E869" s="9">
        <f t="shared" ca="1" si="84"/>
        <v>3.1019104150600274E-3</v>
      </c>
      <c r="F869" s="9">
        <f t="shared" ca="1" si="85"/>
        <v>0.40228774557699859</v>
      </c>
      <c r="G869" s="13">
        <f ca="1">IF((Prices!C869-Prices!C868)*C869&gt;0,1,0)</f>
        <v>0</v>
      </c>
      <c r="H869" s="9">
        <f>ABS(Prices!C869-Prices!C868)/Prices!C868</f>
        <v>1.1022044088176296E-3</v>
      </c>
      <c r="I869" s="13"/>
      <c r="J869" s="1">
        <f t="shared" ca="1" si="86"/>
        <v>6.8352837981788892E-4</v>
      </c>
      <c r="K869" s="9"/>
      <c r="L869" s="9">
        <f ca="1">L868-O869*Prices!C869</f>
        <v>0.79720069609520272</v>
      </c>
      <c r="M869" s="1">
        <f t="shared" ca="1" si="87"/>
        <v>1.2619695995239513E-2</v>
      </c>
      <c r="N869" s="9">
        <f ca="1">IF(Prices!D868&gt;OFFSET(Prices!D868,-$N$3,0),1,-1)</f>
        <v>1</v>
      </c>
      <c r="O869" s="1">
        <f ca="1">IF(N869=1,O$3*L868/Prices!C868,-O$3*M868)</f>
        <v>8.8744497567120792E-4</v>
      </c>
      <c r="P869" s="14"/>
      <c r="Q869" s="9">
        <f ca="1">Q868-T869*Prices!C869</f>
        <v>1.0423580976778153</v>
      </c>
      <c r="R869" s="1">
        <f t="shared" ca="1" si="88"/>
        <v>9.9919131968126303E-3</v>
      </c>
      <c r="S869" s="9">
        <f ca="1">IF(Prices!C868&lt;OFFSET(Prices!C868,-S$3,0),1,-1)</f>
        <v>-1</v>
      </c>
      <c r="T869" s="1">
        <f ca="1">IF(S869=1,T$3*Q868/Prices!C868,-T$3*R868)</f>
        <v>-2.0391659585331897E-4</v>
      </c>
    </row>
    <row r="870" spans="1:20" x14ac:dyDescent="0.2">
      <c r="A870" s="4">
        <v>34724</v>
      </c>
      <c r="B870" s="9">
        <f ca="1">Prices!C869*(1+J870/(50*(ABS(O870)+ABS(T870)+0.0001)))</f>
        <v>100.77771652426598</v>
      </c>
      <c r="C870" s="21">
        <f t="shared" ca="1" si="83"/>
        <v>1</v>
      </c>
      <c r="D870" s="9">
        <f ca="1">D869+C870*(Prices!C870-Prices!C869)/Prices!C869</f>
        <v>0.39758085973812479</v>
      </c>
      <c r="E870" s="9">
        <f t="shared" ca="1" si="84"/>
        <v>4.7068858388737977E-3</v>
      </c>
      <c r="F870" s="9">
        <f t="shared" ca="1" si="85"/>
        <v>0.40228774557699859</v>
      </c>
      <c r="G870" s="13">
        <f ca="1">IF((Prices!C870-Prices!C869)*C870&gt;0,1,0)</f>
        <v>0</v>
      </c>
      <c r="H870" s="9">
        <f>ABS(Prices!C870-Prices!C869)/Prices!C869</f>
        <v>1.6049754238137888E-3</v>
      </c>
      <c r="I870" s="13"/>
      <c r="J870" s="1">
        <f t="shared" ca="1" si="86"/>
        <v>5.9984143923879274E-4</v>
      </c>
      <c r="K870" s="9"/>
      <c r="L870" s="9">
        <f ca="1">L869-O870*Prices!C870</f>
        <v>0.71760857523819044</v>
      </c>
      <c r="M870" s="1">
        <f t="shared" ca="1" si="87"/>
        <v>1.3419375698414558E-2</v>
      </c>
      <c r="N870" s="9">
        <f ca="1">IF(Prices!D869&gt;OFFSET(Prices!D869,-$N$3,0),1,-1)</f>
        <v>1</v>
      </c>
      <c r="O870" s="1">
        <f ca="1">IF(N870=1,O$3*L869/Prices!C869,-O$3*M869)</f>
        <v>7.996797031750454E-4</v>
      </c>
      <c r="P870" s="14"/>
      <c r="Q870" s="9">
        <f ca="1">Q869-T870*Prices!C870</f>
        <v>1.0622480000873904</v>
      </c>
      <c r="R870" s="1">
        <f t="shared" ca="1" si="88"/>
        <v>9.7920749328763781E-3</v>
      </c>
      <c r="S870" s="9">
        <f ca="1">IF(Prices!C869&lt;OFFSET(Prices!C869,-S$3,0),1,-1)</f>
        <v>-1</v>
      </c>
      <c r="T870" s="1">
        <f ca="1">IF(S870=1,T$3*Q869/Prices!C869,-T$3*R869)</f>
        <v>-1.9983826393625261E-4</v>
      </c>
    </row>
    <row r="871" spans="1:20" x14ac:dyDescent="0.2">
      <c r="A871" s="4">
        <v>34725</v>
      </c>
      <c r="B871" s="9">
        <f ca="1">Prices!C870*(1+J871/(50*(ABS(O871)+ABS(T871)+0.0001)))</f>
        <v>97.660942645054348</v>
      </c>
      <c r="C871" s="21">
        <f t="shared" ca="1" si="83"/>
        <v>-1</v>
      </c>
      <c r="D871" s="9">
        <f ca="1">D870+C871*(Prices!C871-Prices!C870)/Prices!C870</f>
        <v>0.39858558193243798</v>
      </c>
      <c r="E871" s="9">
        <f t="shared" ca="1" si="84"/>
        <v>3.7021636445606076E-3</v>
      </c>
      <c r="F871" s="9">
        <f t="shared" ca="1" si="85"/>
        <v>0.40228774557699859</v>
      </c>
      <c r="G871" s="13">
        <f ca="1">IF((Prices!C871-Prices!C870)*C871&gt;0,1,0)</f>
        <v>1</v>
      </c>
      <c r="H871" s="9">
        <f>ABS(Prices!C871-Prices!C870)/Prices!C870</f>
        <v>1.0047221943132153E-3</v>
      </c>
      <c r="I871" s="13"/>
      <c r="J871" s="1">
        <f t="shared" ca="1" si="86"/>
        <v>-1.5377790684989834E-3</v>
      </c>
      <c r="K871" s="9"/>
      <c r="L871" s="9">
        <f ca="1">L870-O871*Prices!C871</f>
        <v>0.85103742780752634</v>
      </c>
      <c r="M871" s="1">
        <f t="shared" ca="1" si="87"/>
        <v>1.2077438128573103E-2</v>
      </c>
      <c r="N871" s="9">
        <f ca="1">IF(Prices!D870&gt;OFFSET(Prices!D870,-$N$3,0),1,-1)</f>
        <v>-1</v>
      </c>
      <c r="O871" s="1">
        <f ca="1">IF(N871=1,O$3*L870/Prices!C870,-O$3*M870)</f>
        <v>-1.3419375698414558E-3</v>
      </c>
      <c r="P871" s="14"/>
      <c r="Q871" s="9">
        <f ca="1">Q870-T871*Prices!C871</f>
        <v>1.0817205202989084</v>
      </c>
      <c r="R871" s="1">
        <f t="shared" ca="1" si="88"/>
        <v>9.596233434218851E-3</v>
      </c>
      <c r="S871" s="9">
        <f ca="1">IF(Prices!C870&lt;OFFSET(Prices!C870,-S$3,0),1,-1)</f>
        <v>-1</v>
      </c>
      <c r="T871" s="1">
        <f ca="1">IF(S871=1,T$3*Q870/Prices!C870,-T$3*R870)</f>
        <v>-1.9584149865752758E-4</v>
      </c>
    </row>
    <row r="872" spans="1:20" x14ac:dyDescent="0.2">
      <c r="A872" s="4">
        <v>34726</v>
      </c>
      <c r="B872" s="9">
        <f ca="1">Prices!C871*(1+J872/(50*(ABS(O872)+ABS(T872)+0.0001)))</f>
        <v>97.574002640148564</v>
      </c>
      <c r="C872" s="21">
        <f t="shared" ca="1" si="83"/>
        <v>-1</v>
      </c>
      <c r="D872" s="9">
        <f ca="1">D871+C872*(Prices!C872-Prices!C871)/Prices!C871</f>
        <v>0.39888730173531439</v>
      </c>
      <c r="E872" s="9">
        <f t="shared" ca="1" si="84"/>
        <v>3.4004438416841976E-3</v>
      </c>
      <c r="F872" s="9">
        <f t="shared" ca="1" si="85"/>
        <v>0.40228774557699859</v>
      </c>
      <c r="G872" s="13">
        <f ca="1">IF((Prices!C872-Prices!C871)*C872&gt;0,1,0)</f>
        <v>1</v>
      </c>
      <c r="H872" s="9">
        <f>ABS(Prices!C872-Prices!C871)/Prices!C871</f>
        <v>3.0171980287640689E-4</v>
      </c>
      <c r="I872" s="13"/>
      <c r="J872" s="1">
        <f t="shared" ca="1" si="86"/>
        <v>-1.3996684815416873E-3</v>
      </c>
      <c r="K872" s="9"/>
      <c r="L872" s="9">
        <f ca="1">L871-O872*Prices!C872</f>
        <v>0.97108716280554297</v>
      </c>
      <c r="M872" s="1">
        <f t="shared" ca="1" si="87"/>
        <v>1.0869694315715793E-2</v>
      </c>
      <c r="N872" s="9">
        <f ca="1">IF(Prices!D871&gt;OFFSET(Prices!D871,-$N$3,0),1,-1)</f>
        <v>-1</v>
      </c>
      <c r="O872" s="1">
        <f ca="1">IF(N872=1,O$3*L871/Prices!C871,-O$3*M871)</f>
        <v>-1.2077438128573104E-3</v>
      </c>
      <c r="P872" s="14"/>
      <c r="Q872" s="9">
        <f ca="1">Q871-T872*Prices!C872</f>
        <v>1.1007978323661356</v>
      </c>
      <c r="R872" s="1">
        <f t="shared" ca="1" si="88"/>
        <v>9.4043087655344745E-3</v>
      </c>
      <c r="S872" s="9">
        <f ca="1">IF(Prices!C871&lt;OFFSET(Prices!C871,-S$3,0),1,-1)</f>
        <v>-1</v>
      </c>
      <c r="T872" s="1">
        <f ca="1">IF(S872=1,T$3*Q871/Prices!C871,-T$3*R871)</f>
        <v>-1.9192466868437702E-4</v>
      </c>
    </row>
    <row r="873" spans="1:20" x14ac:dyDescent="0.2">
      <c r="A873" s="4">
        <v>34729</v>
      </c>
      <c r="B873" s="9">
        <f ca="1">Prices!C872*(1+J873/(50*(ABS(O873)+ABS(T873)+0.0001)))</f>
        <v>98.178397237464281</v>
      </c>
      <c r="C873" s="21">
        <f t="shared" ca="1" si="83"/>
        <v>-1</v>
      </c>
      <c r="D873" s="9">
        <f ca="1">D872+C873*(Prices!C873-Prices!C872)/Prices!C872</f>
        <v>0.4087464566648919</v>
      </c>
      <c r="E873" s="9">
        <f t="shared" ca="1" si="84"/>
        <v>0</v>
      </c>
      <c r="F873" s="9">
        <f t="shared" ca="1" si="85"/>
        <v>0.4087464566648919</v>
      </c>
      <c r="G873" s="13">
        <f ca="1">IF((Prices!C873-Prices!C872)*C873&gt;0,1,0)</f>
        <v>1</v>
      </c>
      <c r="H873" s="9">
        <f>ABS(Prices!C873-Prices!C872)/Prices!C872</f>
        <v>9.8591549295775037E-3</v>
      </c>
      <c r="I873" s="13"/>
      <c r="J873" s="1">
        <f t="shared" ca="1" si="86"/>
        <v>-8.6548093411360446E-4</v>
      </c>
      <c r="K873" s="9"/>
      <c r="L873" s="9">
        <f ca="1">L872-O873*Prices!C873</f>
        <v>1.0780666942608179</v>
      </c>
      <c r="M873" s="1">
        <f t="shared" ca="1" si="87"/>
        <v>9.782724884144214E-3</v>
      </c>
      <c r="N873" s="9">
        <f ca="1">IF(Prices!D872&gt;OFFSET(Prices!D872,-$N$3,0),1,-1)</f>
        <v>-1</v>
      </c>
      <c r="O873" s="1">
        <f ca="1">IF(N873=1,O$3*L872/Prices!C872,-O$3*M872)</f>
        <v>-1.0869694315715794E-3</v>
      </c>
      <c r="P873" s="14"/>
      <c r="Q873" s="9">
        <f ca="1">Q872-T873*Prices!C873</f>
        <v>1.0789989344463218</v>
      </c>
      <c r="R873" s="1">
        <f t="shared" ca="1" si="88"/>
        <v>9.6257972629924492E-3</v>
      </c>
      <c r="S873" s="9">
        <f ca="1">IF(Prices!C872&lt;OFFSET(Prices!C872,-S$3,0),1,-1)</f>
        <v>1</v>
      </c>
      <c r="T873" s="1">
        <f ca="1">IF(S873=1,T$3*Q872/Prices!C872,-T$3*R872)</f>
        <v>2.2148849745797495E-4</v>
      </c>
    </row>
    <row r="874" spans="1:20" x14ac:dyDescent="0.2">
      <c r="A874" s="4">
        <v>34730</v>
      </c>
      <c r="B874" s="9">
        <f ca="1">Prices!C873*(1+J874/(50*(ABS(O874)+ABS(T874)+0.0001)))</f>
        <v>97.268562779694932</v>
      </c>
      <c r="C874" s="21">
        <f t="shared" ca="1" si="83"/>
        <v>-1</v>
      </c>
      <c r="D874" s="9">
        <f ca="1">D873+C874*(Prices!C874-Prices!C873)/Prices!C873</f>
        <v>0.39726505044664362</v>
      </c>
      <c r="E874" s="9">
        <f t="shared" ca="1" si="84"/>
        <v>1.148140621824828E-2</v>
      </c>
      <c r="F874" s="9">
        <f t="shared" ca="1" si="85"/>
        <v>0.4087464566648919</v>
      </c>
      <c r="G874" s="13">
        <f ca="1">IF((Prices!C874-Prices!C873)*C874&gt;0,1,0)</f>
        <v>0</v>
      </c>
      <c r="H874" s="9">
        <f>ABS(Prices!C874-Prices!C873)/Prices!C873</f>
        <v>1.1481406218248277E-2</v>
      </c>
      <c r="I874" s="13"/>
      <c r="J874" s="1">
        <f t="shared" ca="1" si="86"/>
        <v>-7.5900832778724768E-4</v>
      </c>
      <c r="K874" s="9"/>
      <c r="L874" s="9">
        <f ca="1">L873-O874*Prices!C874</f>
        <v>1.1754537204824735</v>
      </c>
      <c r="M874" s="1">
        <f t="shared" ca="1" si="87"/>
        <v>8.8044523957297935E-3</v>
      </c>
      <c r="N874" s="9">
        <f ca="1">IF(Prices!D873&gt;OFFSET(Prices!D873,-$N$3,0),1,-1)</f>
        <v>-1</v>
      </c>
      <c r="O874" s="1">
        <f ca="1">IF(N874=1,O$3*L873/Prices!C873,-O$3*M873)</f>
        <v>-9.782724884144214E-4</v>
      </c>
      <c r="P874" s="14"/>
      <c r="Q874" s="9">
        <f ca="1">Q873-T874*Prices!C874</f>
        <v>1.0571711872558867</v>
      </c>
      <c r="R874" s="1">
        <f t="shared" ca="1" si="88"/>
        <v>9.8450614236196225E-3</v>
      </c>
      <c r="S874" s="9">
        <f ca="1">IF(Prices!C873&lt;OFFSET(Prices!C873,-S$3,0),1,-1)</f>
        <v>1</v>
      </c>
      <c r="T874" s="1">
        <f ca="1">IF(S874=1,T$3*Q873/Prices!C873,-T$3*R873)</f>
        <v>2.1926416062717369E-4</v>
      </c>
    </row>
    <row r="875" spans="1:20" x14ac:dyDescent="0.2">
      <c r="A875" s="4">
        <v>34731</v>
      </c>
      <c r="B875" s="9">
        <f ca="1">Prices!C874*(1+J875/(50*(ABS(O875)+ABS(T875)+0.0001)))</f>
        <v>97.728109098641582</v>
      </c>
      <c r="C875" s="21">
        <f t="shared" ca="1" si="83"/>
        <v>-1</v>
      </c>
      <c r="D875" s="9">
        <f ca="1">D874+C875*(Prices!C875-Prices!C874)/Prices!C874</f>
        <v>0.40088132367617652</v>
      </c>
      <c r="E875" s="9">
        <f t="shared" ca="1" si="84"/>
        <v>7.8651329887153842E-3</v>
      </c>
      <c r="F875" s="9">
        <f t="shared" ca="1" si="85"/>
        <v>0.4087464566648919</v>
      </c>
      <c r="G875" s="13">
        <f ca="1">IF((Prices!C875-Prices!C874)*C875&gt;0,1,0)</f>
        <v>1</v>
      </c>
      <c r="H875" s="9">
        <f>ABS(Prices!C875-Prices!C874)/Prices!C874</f>
        <v>3.6162732295328924E-3</v>
      </c>
      <c r="I875" s="13"/>
      <c r="J875" s="1">
        <f t="shared" ca="1" si="86"/>
        <v>-1.0773464680453719E-3</v>
      </c>
      <c r="K875" s="9"/>
      <c r="L875" s="9">
        <f ca="1">L874-O875*Prices!C875</f>
        <v>1.2627850837957173</v>
      </c>
      <c r="M875" s="1">
        <f t="shared" ca="1" si="87"/>
        <v>7.9240071561568134E-3</v>
      </c>
      <c r="N875" s="9">
        <f ca="1">IF(Prices!D874&gt;OFFSET(Prices!D874,-$N$3,0),1,-1)</f>
        <v>-1</v>
      </c>
      <c r="O875" s="1">
        <f ca="1">IF(N875=1,O$3*L874/Prices!C874,-O$3*M874)</f>
        <v>-8.8044523957297939E-4</v>
      </c>
      <c r="P875" s="14"/>
      <c r="Q875" s="9">
        <f ca="1">Q874-T875*Prices!C875</f>
        <v>1.0767018201080634</v>
      </c>
      <c r="R875" s="1">
        <f t="shared" ca="1" si="88"/>
        <v>9.6481601951472293E-3</v>
      </c>
      <c r="S875" s="9">
        <f ca="1">IF(Prices!C874&lt;OFFSET(Prices!C874,-S$3,0),1,-1)</f>
        <v>-1</v>
      </c>
      <c r="T875" s="1">
        <f ca="1">IF(S875=1,T$3*Q874/Prices!C874,-T$3*R874)</f>
        <v>-1.9690122847239246E-4</v>
      </c>
    </row>
    <row r="876" spans="1:20" x14ac:dyDescent="0.2">
      <c r="A876" s="4">
        <v>34732</v>
      </c>
      <c r="B876" s="9">
        <f ca="1">Prices!C875*(1+J876/(50*(ABS(O876)+ABS(T876)+0.0001)))</f>
        <v>101.04904808542749</v>
      </c>
      <c r="C876" s="21">
        <f t="shared" ca="1" si="83"/>
        <v>1</v>
      </c>
      <c r="D876" s="9">
        <f ca="1">D875+C876*(Prices!C876-Prices!C875)/Prices!C875</f>
        <v>0.40309928919689431</v>
      </c>
      <c r="E876" s="9">
        <f t="shared" ca="1" si="84"/>
        <v>5.6471674679975936E-3</v>
      </c>
      <c r="F876" s="9">
        <f t="shared" ca="1" si="85"/>
        <v>0.4087464566648919</v>
      </c>
      <c r="G876" s="13">
        <f ca="1">IF((Prices!C876-Prices!C875)*C876&gt;0,1,0)</f>
        <v>1</v>
      </c>
      <c r="H876" s="9">
        <f>ABS(Prices!C876-Prices!C875)/Prices!C875</f>
        <v>2.2179655207178028E-3</v>
      </c>
      <c r="I876" s="13"/>
      <c r="J876" s="1">
        <f t="shared" ca="1" si="86"/>
        <v>1.4901960357065532E-3</v>
      </c>
      <c r="K876" s="9"/>
      <c r="L876" s="9">
        <f ca="1">L875-O876*Prices!C876</f>
        <v>1.136226494038552</v>
      </c>
      <c r="M876" s="1">
        <f t="shared" ca="1" si="87"/>
        <v>9.1971043270366575E-3</v>
      </c>
      <c r="N876" s="9">
        <f ca="1">IF(Prices!D875&gt;OFFSET(Prices!D875,-$N$3,0),1,-1)</f>
        <v>1</v>
      </c>
      <c r="O876" s="1">
        <f ca="1">IF(N876=1,O$3*L875/Prices!C875,-O$3*M875)</f>
        <v>1.2730971708798443E-3</v>
      </c>
      <c r="P876" s="14"/>
      <c r="Q876" s="9">
        <f ca="1">Q875-T876*Prices!C876</f>
        <v>1.0551200219556403</v>
      </c>
      <c r="R876" s="1">
        <f t="shared" ca="1" si="88"/>
        <v>9.8652590599739385E-3</v>
      </c>
      <c r="S876" s="9">
        <f ca="1">IF(Prices!C875&lt;OFFSET(Prices!C875,-S$3,0),1,-1)</f>
        <v>1</v>
      </c>
      <c r="T876" s="1">
        <f ca="1">IF(S876=1,T$3*Q875/Prices!C875,-T$3*R875)</f>
        <v>2.1709886482670904E-4</v>
      </c>
    </row>
    <row r="877" spans="1:20" x14ac:dyDescent="0.2">
      <c r="A877" s="4">
        <v>34733</v>
      </c>
      <c r="B877" s="9">
        <f ca="1">Prices!C876*(1+J877/(50*(ABS(O877)+ABS(T877)+0.0001)))</f>
        <v>100.71542470562876</v>
      </c>
      <c r="C877" s="21">
        <f t="shared" ca="1" si="83"/>
        <v>1</v>
      </c>
      <c r="D877" s="9">
        <f ca="1">D876+C877*(Prices!C877-Prices!C876)/Prices!C876</f>
        <v>0.40752540326992515</v>
      </c>
      <c r="E877" s="9">
        <f t="shared" ca="1" si="84"/>
        <v>1.2210533949667535E-3</v>
      </c>
      <c r="F877" s="9">
        <f t="shared" ca="1" si="85"/>
        <v>0.4087464566648919</v>
      </c>
      <c r="G877" s="13">
        <f ca="1">IF((Prices!C877-Prices!C876)*C877&gt;0,1,0)</f>
        <v>1</v>
      </c>
      <c r="H877" s="9">
        <f>ABS(Prices!C877-Prices!C876)/Prices!C876</f>
        <v>4.4261140730308592E-3</v>
      </c>
      <c r="I877" s="13"/>
      <c r="J877" s="1">
        <f t="shared" ca="1" si="86"/>
        <v>9.4566483594019752E-4</v>
      </c>
      <c r="K877" s="9"/>
      <c r="L877" s="9">
        <f ca="1">L876-O877*Prices!C877</f>
        <v>1.0221009378271553</v>
      </c>
      <c r="M877" s="1">
        <f t="shared" ca="1" si="87"/>
        <v>1.0340074344176334E-2</v>
      </c>
      <c r="N877" s="9">
        <f ca="1">IF(Prices!D876&gt;OFFSET(Prices!D876,-$N$3,0),1,-1)</f>
        <v>1</v>
      </c>
      <c r="O877" s="1">
        <f ca="1">IF(N877=1,O$3*L876/Prices!C876,-O$3*M876)</f>
        <v>1.1429700171396763E-3</v>
      </c>
      <c r="P877" s="14"/>
      <c r="Q877" s="9">
        <f ca="1">Q876-T877*Prices!C877</f>
        <v>1.0748209442984082</v>
      </c>
      <c r="R877" s="1">
        <f t="shared" ca="1" si="88"/>
        <v>9.6679538787744594E-3</v>
      </c>
      <c r="S877" s="9">
        <f ca="1">IF(Prices!C876&lt;OFFSET(Prices!C876,-S$3,0),1,-1)</f>
        <v>-1</v>
      </c>
      <c r="T877" s="1">
        <f ca="1">IF(S877=1,T$3*Q876/Prices!C876,-T$3*R876)</f>
        <v>-1.9730518119947878E-4</v>
      </c>
    </row>
    <row r="878" spans="1:20" x14ac:dyDescent="0.2">
      <c r="A878" s="4">
        <v>34736</v>
      </c>
      <c r="B878" s="9">
        <f ca="1">Prices!C877*(1+J878/(50*(ABS(O878)+ABS(T878)+0.0001)))</f>
        <v>98.003448273476579</v>
      </c>
      <c r="C878" s="21">
        <f t="shared" ca="1" si="83"/>
        <v>-1</v>
      </c>
      <c r="D878" s="9">
        <f ca="1">D877+C878*(Prices!C878-Prices!C877)/Prices!C877</f>
        <v>0.41243276431148745</v>
      </c>
      <c r="E878" s="9">
        <f t="shared" ca="1" si="84"/>
        <v>0</v>
      </c>
      <c r="F878" s="9">
        <f t="shared" ca="1" si="85"/>
        <v>0.41243276431148745</v>
      </c>
      <c r="G878" s="13">
        <f ca="1">IF((Prices!C878-Prices!C877)*C878&gt;0,1,0)</f>
        <v>1</v>
      </c>
      <c r="H878" s="9">
        <f>ABS(Prices!C878-Prices!C877)/Prices!C877</f>
        <v>4.9073610415622925E-3</v>
      </c>
      <c r="I878" s="13"/>
      <c r="J878" s="1">
        <f t="shared" ca="1" si="86"/>
        <v>-1.2273665119931227E-3</v>
      </c>
      <c r="K878" s="9"/>
      <c r="L878" s="9">
        <f ca="1">L877-O878*Prices!C878</f>
        <v>1.1248399165108913</v>
      </c>
      <c r="M878" s="1">
        <f t="shared" ca="1" si="87"/>
        <v>9.3060669097587007E-3</v>
      </c>
      <c r="N878" s="9">
        <f ca="1">IF(Prices!D877&gt;OFFSET(Prices!D877,-$N$3,0),1,-1)</f>
        <v>-1</v>
      </c>
      <c r="O878" s="1">
        <f ca="1">IF(N878=1,O$3*L877/Prices!C877,-O$3*M877)</f>
        <v>-1.0340074344176336E-3</v>
      </c>
      <c r="P878" s="14"/>
      <c r="Q878" s="9">
        <f ca="1">Q877-T878*Prices!C878</f>
        <v>1.0940331022463088</v>
      </c>
      <c r="R878" s="1">
        <f t="shared" ca="1" si="88"/>
        <v>9.4745948011989694E-3</v>
      </c>
      <c r="S878" s="9">
        <f ca="1">IF(Prices!C877&lt;OFFSET(Prices!C877,-S$3,0),1,-1)</f>
        <v>-1</v>
      </c>
      <c r="T878" s="1">
        <f ca="1">IF(S878=1,T$3*Q877/Prices!C877,-T$3*R877)</f>
        <v>-1.9335907757548918E-4</v>
      </c>
    </row>
    <row r="879" spans="1:20" x14ac:dyDescent="0.2">
      <c r="A879" s="4">
        <v>34737</v>
      </c>
      <c r="B879" s="9">
        <f ca="1">Prices!C878*(1+J879/(50*(ABS(O879)+ABS(T879)+0.0001)))</f>
        <v>98.231392098690719</v>
      </c>
      <c r="C879" s="21">
        <f t="shared" ca="1" si="83"/>
        <v>-1</v>
      </c>
      <c r="D879" s="9">
        <f ca="1">D878+C879*(Prices!C879-Prices!C878)/Prices!C878</f>
        <v>0.41142632308765498</v>
      </c>
      <c r="E879" s="9">
        <f t="shared" ca="1" si="84"/>
        <v>1.0064412238324771E-3</v>
      </c>
      <c r="F879" s="9">
        <f t="shared" ca="1" si="85"/>
        <v>0.41243276431148745</v>
      </c>
      <c r="G879" s="13">
        <f ca="1">IF((Prices!C879-Prices!C878)*C879&gt;0,1,0)</f>
        <v>0</v>
      </c>
      <c r="H879" s="9">
        <f>ABS(Prices!C879-Prices!C878)/Prices!C878</f>
        <v>1.0064412238324711E-3</v>
      </c>
      <c r="I879" s="13"/>
      <c r="J879" s="1">
        <f t="shared" ca="1" si="86"/>
        <v>-7.1039068810825558E-4</v>
      </c>
      <c r="K879" s="9"/>
      <c r="L879" s="9">
        <f ca="1">L878-O879*Prices!C879</f>
        <v>1.2173980579953514</v>
      </c>
      <c r="M879" s="1">
        <f t="shared" ca="1" si="87"/>
        <v>8.3754602187828299E-3</v>
      </c>
      <c r="N879" s="9">
        <f ca="1">IF(Prices!D878&gt;OFFSET(Prices!D878,-$N$3,0),1,-1)</f>
        <v>-1</v>
      </c>
      <c r="O879" s="1">
        <f ca="1">IF(N879=1,O$3*L878/Prices!C878,-O$3*M878)</f>
        <v>-9.3060669097587011E-4</v>
      </c>
      <c r="P879" s="14"/>
      <c r="Q879" s="9">
        <f ca="1">Q878-T879*Prices!C879</f>
        <v>1.0721304186010958</v>
      </c>
      <c r="R879" s="1">
        <f t="shared" ca="1" si="88"/>
        <v>9.694810804066584E-3</v>
      </c>
      <c r="S879" s="9">
        <f ca="1">IF(Prices!C878&lt;OFFSET(Prices!C878,-S$3,0),1,-1)</f>
        <v>1</v>
      </c>
      <c r="T879" s="1">
        <f ca="1">IF(S879=1,T$3*Q878/Prices!C878,-T$3*R878)</f>
        <v>2.2021600286761451E-4</v>
      </c>
    </row>
    <row r="880" spans="1:20" x14ac:dyDescent="0.2">
      <c r="A880" s="4">
        <v>34738</v>
      </c>
      <c r="B880" s="9">
        <f ca="1">Prices!C879*(1+J880/(50*(ABS(O880)+ABS(T880)+0.0001)))</f>
        <v>100.80995222150035</v>
      </c>
      <c r="C880" s="21">
        <f t="shared" ca="1" si="83"/>
        <v>1</v>
      </c>
      <c r="D880" s="9">
        <f ca="1">D879+C880*(Prices!C880-Prices!C879)/Prices!C879</f>
        <v>0.40609754770056483</v>
      </c>
      <c r="E880" s="9">
        <f t="shared" ca="1" si="84"/>
        <v>6.3352166109226227E-3</v>
      </c>
      <c r="F880" s="9">
        <f t="shared" ca="1" si="85"/>
        <v>0.41243276431148745</v>
      </c>
      <c r="G880" s="13">
        <f ca="1">IF((Prices!C880-Prices!C879)*C880&gt;0,1,0)</f>
        <v>0</v>
      </c>
      <c r="H880" s="9">
        <f>ABS(Prices!C880-Prices!C879)/Prices!C879</f>
        <v>5.3287753870901568E-3</v>
      </c>
      <c r="I880" s="13"/>
      <c r="J880" s="1">
        <f t="shared" ca="1" si="86"/>
        <v>1.0301114834917141E-3</v>
      </c>
      <c r="K880" s="9"/>
      <c r="L880" s="9">
        <f ca="1">L879-O880*Prices!C880</f>
        <v>1.09630697627659</v>
      </c>
      <c r="M880" s="1">
        <f t="shared" ca="1" si="87"/>
        <v>9.5994679183558761E-3</v>
      </c>
      <c r="N880" s="9">
        <f ca="1">IF(Prices!D879&gt;OFFSET(Prices!D879,-$N$3,0),1,-1)</f>
        <v>1</v>
      </c>
      <c r="O880" s="1">
        <f ca="1">IF(N880=1,O$3*L879/Prices!C879,-O$3*M879)</f>
        <v>1.2240076995730458E-3</v>
      </c>
      <c r="P880" s="14"/>
      <c r="Q880" s="9">
        <f ca="1">Q879-T880*Prices!C880</f>
        <v>1.0913125712580221</v>
      </c>
      <c r="R880" s="1">
        <f t="shared" ca="1" si="88"/>
        <v>9.5009145879852517E-3</v>
      </c>
      <c r="S880" s="9">
        <f ca="1">IF(Prices!C879&lt;OFFSET(Prices!C879,-S$3,0),1,-1)</f>
        <v>-1</v>
      </c>
      <c r="T880" s="1">
        <f ca="1">IF(S880=1,T$3*Q879/Prices!C879,-T$3*R879)</f>
        <v>-1.9389621608133169E-4</v>
      </c>
    </row>
    <row r="881" spans="1:20" x14ac:dyDescent="0.2">
      <c r="A881" s="4">
        <v>34739</v>
      </c>
      <c r="B881" s="9">
        <f ca="1">Prices!C880*(1+J881/(50*(ABS(O881)+ABS(T881)+0.0001)))</f>
        <v>100.77011894690331</v>
      </c>
      <c r="C881" s="21">
        <f t="shared" ca="1" si="83"/>
        <v>1</v>
      </c>
      <c r="D881" s="9">
        <f ca="1">D880+C881*(Prices!C881-Prices!C880)/Prices!C880</f>
        <v>0.4058953845549062</v>
      </c>
      <c r="E881" s="9">
        <f t="shared" ca="1" si="84"/>
        <v>6.5373797565812519E-3</v>
      </c>
      <c r="F881" s="9">
        <f t="shared" ca="1" si="85"/>
        <v>0.41243276431148745</v>
      </c>
      <c r="G881" s="13">
        <f ca="1">IF((Prices!C881-Prices!C880)*C881&gt;0,1,0)</f>
        <v>0</v>
      </c>
      <c r="H881" s="9">
        <f>ABS(Prices!C881-Prices!C880)/Prices!C880</f>
        <v>2.0216314565864985E-4</v>
      </c>
      <c r="I881" s="13"/>
      <c r="J881" s="1">
        <f t="shared" ca="1" si="86"/>
        <v>1.3287875169596627E-3</v>
      </c>
      <c r="K881" s="9"/>
      <c r="L881" s="9">
        <f ca="1">L880-O881*Prices!C881</f>
        <v>0.98669844193562417</v>
      </c>
      <c r="M881" s="1">
        <f t="shared" ca="1" si="87"/>
        <v>1.0707632253013301E-2</v>
      </c>
      <c r="N881" s="9">
        <f ca="1">IF(Prices!D880&gt;OFFSET(Prices!D880,-$N$3,0),1,-1)</f>
        <v>1</v>
      </c>
      <c r="O881" s="1">
        <f ca="1">IF(N881=1,O$3*L880/Prices!C880,-O$3*M880)</f>
        <v>1.1081643346574244E-3</v>
      </c>
      <c r="P881" s="14"/>
      <c r="Q881" s="9">
        <f ca="1">Q880-T881*Prices!C881</f>
        <v>1.0694907322965077</v>
      </c>
      <c r="R881" s="1">
        <f t="shared" ca="1" si="88"/>
        <v>9.7215377702874906E-3</v>
      </c>
      <c r="S881" s="9">
        <f ca="1">IF(Prices!C880&lt;OFFSET(Prices!C880,-S$3,0),1,-1)</f>
        <v>1</v>
      </c>
      <c r="T881" s="1">
        <f ca="1">IF(S881=1,T$3*Q880/Prices!C880,-T$3*R880)</f>
        <v>2.2062318230223836E-4</v>
      </c>
    </row>
    <row r="882" spans="1:20" x14ac:dyDescent="0.2">
      <c r="A882" s="4">
        <v>34740</v>
      </c>
      <c r="B882" s="9">
        <f ca="1">Prices!C881*(1+J882/(50*(ABS(O882)+ABS(T882)+0.0001)))</f>
        <v>100.73763226625603</v>
      </c>
      <c r="C882" s="21">
        <f t="shared" ca="1" si="83"/>
        <v>1</v>
      </c>
      <c r="D882" s="9">
        <f ca="1">D881+C882*(Prices!C882-Prices!C881)/Prices!C881</f>
        <v>0.40609758857876638</v>
      </c>
      <c r="E882" s="9">
        <f t="shared" ca="1" si="84"/>
        <v>6.3351757327210767E-3</v>
      </c>
      <c r="F882" s="9">
        <f t="shared" ca="1" si="85"/>
        <v>0.41243276431148745</v>
      </c>
      <c r="G882" s="13">
        <f ca="1">IF((Prices!C882-Prices!C881)*C882&gt;0,1,0)</f>
        <v>1</v>
      </c>
      <c r="H882" s="9">
        <f>ABS(Prices!C882-Prices!C881)/Prices!C881</f>
        <v>2.0220402386017826E-4</v>
      </c>
      <c r="I882" s="13"/>
      <c r="J882" s="1">
        <f t="shared" ca="1" si="86"/>
        <v>1.2138273060306598E-3</v>
      </c>
      <c r="K882" s="9"/>
      <c r="L882" s="9">
        <f ca="1">L881-O882*Prices!C882</f>
        <v>0.88800864630253218</v>
      </c>
      <c r="M882" s="1">
        <f t="shared" ca="1" si="87"/>
        <v>1.1705204229492549E-2</v>
      </c>
      <c r="N882" s="9">
        <f ca="1">IF(Prices!D881&gt;OFFSET(Prices!D881,-$N$3,0),1,-1)</f>
        <v>1</v>
      </c>
      <c r="O882" s="1">
        <f ca="1">IF(N882=1,O$3*L881/Prices!C881,-O$3*M881)</f>
        <v>9.9757197647924799E-4</v>
      </c>
      <c r="P882" s="14"/>
      <c r="Q882" s="9">
        <f ca="1">Q881-T882*Prices!C882</f>
        <v>1.0480965925439865</v>
      </c>
      <c r="R882" s="1">
        <f t="shared" ca="1" si="88"/>
        <v>9.9377930998389031E-3</v>
      </c>
      <c r="S882" s="9">
        <f ca="1">IF(Prices!C881&lt;OFFSET(Prices!C881,-S$3,0),1,-1)</f>
        <v>1</v>
      </c>
      <c r="T882" s="1">
        <f ca="1">IF(S882=1,T$3*Q881/Prices!C881,-T$3*R881)</f>
        <v>2.1625532955141193E-4</v>
      </c>
    </row>
    <row r="883" spans="1:20" x14ac:dyDescent="0.2">
      <c r="A883" s="4">
        <v>34743</v>
      </c>
      <c r="B883" s="9">
        <f ca="1">Prices!C882*(1+J883/(50*(ABS(O883)+ABS(T883)+0.0001)))</f>
        <v>100.74501168772726</v>
      </c>
      <c r="C883" s="21">
        <f t="shared" ca="1" si="83"/>
        <v>1</v>
      </c>
      <c r="D883" s="9">
        <f ca="1">D882+C883*(Prices!C883-Prices!C882)/Prices!C882</f>
        <v>0.40407595712218086</v>
      </c>
      <c r="E883" s="9">
        <f t="shared" ca="1" si="84"/>
        <v>8.3568071893065921E-3</v>
      </c>
      <c r="F883" s="9">
        <f t="shared" ca="1" si="85"/>
        <v>0.41243276431148745</v>
      </c>
      <c r="G883" s="13">
        <f ca="1">IF((Prices!C883-Prices!C882)*C883&gt;0,1,0)</f>
        <v>0</v>
      </c>
      <c r="H883" s="9">
        <f>ABS(Prices!C883-Prices!C882)/Prices!C882</f>
        <v>2.0216314565854932E-3</v>
      </c>
      <c r="I883" s="13"/>
      <c r="J883" s="1">
        <f t="shared" ca="1" si="86"/>
        <v>1.1094996106452335E-3</v>
      </c>
      <c r="K883" s="9"/>
      <c r="L883" s="9">
        <f ca="1">L882-O883*Prices!C883</f>
        <v>0.79938730429358751</v>
      </c>
      <c r="M883" s="1">
        <f t="shared" ca="1" si="87"/>
        <v>1.2602817336035086E-2</v>
      </c>
      <c r="N883" s="9">
        <f ca="1">IF(Prices!D882&gt;OFFSET(Prices!D882,-$N$3,0),1,-1)</f>
        <v>1</v>
      </c>
      <c r="O883" s="1">
        <f ca="1">IF(N883=1,O$3*L882/Prices!C882,-O$3*M882)</f>
        <v>8.9761310654253728E-4</v>
      </c>
      <c r="P883" s="14"/>
      <c r="Q883" s="9">
        <f ca="1">Q882-T883*Prices!C883</f>
        <v>1.0271770379939273</v>
      </c>
      <c r="R883" s="1">
        <f t="shared" ca="1" si="88"/>
        <v>1.01496796039416E-2</v>
      </c>
      <c r="S883" s="9">
        <f ca="1">IF(Prices!C882&lt;OFFSET(Prices!C882,-S$3,0),1,-1)</f>
        <v>1</v>
      </c>
      <c r="T883" s="1">
        <f ca="1">IF(S883=1,T$3*Q882/Prices!C882,-T$3*R882)</f>
        <v>2.1188650410269613E-4</v>
      </c>
    </row>
    <row r="884" spans="1:20" x14ac:dyDescent="0.2">
      <c r="A884" s="4">
        <v>34744</v>
      </c>
      <c r="B884" s="9">
        <f ca="1">Prices!C883*(1+J884/(50*(ABS(O884)+ABS(T884)+0.0001)))</f>
        <v>100.52794123608314</v>
      </c>
      <c r="C884" s="21">
        <f t="shared" ca="1" si="83"/>
        <v>1</v>
      </c>
      <c r="D884" s="9">
        <f ca="1">D883+C884*(Prices!C884-Prices!C883)/Prices!C883</f>
        <v>0.40154379871035062</v>
      </c>
      <c r="E884" s="9">
        <f t="shared" ca="1" si="84"/>
        <v>1.0888965601136835E-2</v>
      </c>
      <c r="F884" s="9">
        <f t="shared" ca="1" si="85"/>
        <v>0.41243276431148745</v>
      </c>
      <c r="G884" s="13">
        <f ca="1">IF((Prices!C884-Prices!C883)*C884&gt;0,1,0)</f>
        <v>0</v>
      </c>
      <c r="H884" s="9">
        <f>ABS(Prices!C884-Prices!C883)/Prices!C883</f>
        <v>2.532158411830244E-3</v>
      </c>
      <c r="I884" s="13"/>
      <c r="J884" s="1">
        <f t="shared" ca="1" si="86"/>
        <v>1.01774811292654E-3</v>
      </c>
      <c r="K884" s="9"/>
      <c r="L884" s="9">
        <f ca="1">L883-O884*Prices!C884</f>
        <v>0.71965099139291644</v>
      </c>
      <c r="M884" s="1">
        <f t="shared" ca="1" si="87"/>
        <v>1.341248745078601E-2</v>
      </c>
      <c r="N884" s="9">
        <f ca="1">IF(Prices!D883&gt;OFFSET(Prices!D883,-$N$3,0),1,-1)</f>
        <v>1</v>
      </c>
      <c r="O884" s="1">
        <f ca="1">IF(N884=1,O$3*L883/Prices!C883,-O$3*M883)</f>
        <v>8.0967011475092422E-4</v>
      </c>
      <c r="P884" s="14"/>
      <c r="Q884" s="9">
        <f ca="1">Q883-T884*Prices!C884</f>
        <v>1.0066855167335926</v>
      </c>
      <c r="R884" s="1">
        <f t="shared" ca="1" si="88"/>
        <v>1.0357757602117216E-2</v>
      </c>
      <c r="S884" s="9">
        <f ca="1">IF(Prices!C883&lt;OFFSET(Prices!C883,-S$3,0),1,-1)</f>
        <v>1</v>
      </c>
      <c r="T884" s="1">
        <f ca="1">IF(S884=1,T$3*Q883/Prices!C883,-T$3*R883)</f>
        <v>2.0807799817561579E-4</v>
      </c>
    </row>
    <row r="885" spans="1:20" x14ac:dyDescent="0.2">
      <c r="A885" s="4">
        <v>34745</v>
      </c>
      <c r="B885" s="9">
        <f ca="1">Prices!C884*(1+J885/(50*(ABS(O885)+ABS(T885)+0.0001)))</f>
        <v>97.119449297363857</v>
      </c>
      <c r="C885" s="21">
        <f t="shared" ca="1" si="83"/>
        <v>-1</v>
      </c>
      <c r="D885" s="9">
        <f ca="1">D884+C885*(Prices!C885-Prices!C884)/Prices!C884</f>
        <v>0.40296540715876655</v>
      </c>
      <c r="E885" s="9">
        <f t="shared" ca="1" si="84"/>
        <v>9.4673571527209011E-3</v>
      </c>
      <c r="F885" s="9">
        <f t="shared" ca="1" si="85"/>
        <v>0.41243276431148745</v>
      </c>
      <c r="G885" s="13">
        <f ca="1">IF((Prices!C885-Prices!C884)*C885&gt;0,1,0)</f>
        <v>1</v>
      </c>
      <c r="H885" s="9">
        <f>ABS(Prices!C885-Prices!C884)/Prices!C884</f>
        <v>1.4216084484159276E-3</v>
      </c>
      <c r="I885" s="13"/>
      <c r="J885" s="1">
        <f t="shared" ca="1" si="86"/>
        <v>-1.1368040828662548E-3</v>
      </c>
      <c r="K885" s="9"/>
      <c r="L885" s="9">
        <f ca="1">L884-O885*Prices!C885</f>
        <v>0.85154939298394605</v>
      </c>
      <c r="M885" s="1">
        <f t="shared" ca="1" si="87"/>
        <v>1.2071238705707409E-2</v>
      </c>
      <c r="N885" s="9">
        <f ca="1">IF(Prices!D884&gt;OFFSET(Prices!D884,-$N$3,0),1,-1)</f>
        <v>-1</v>
      </c>
      <c r="O885" s="1">
        <f ca="1">IF(N885=1,O$3*L884/Prices!C884,-O$3*M884)</f>
        <v>-1.341248745078601E-3</v>
      </c>
      <c r="P885" s="14"/>
      <c r="Q885" s="9">
        <f ca="1">Q884-T885*Prices!C885</f>
        <v>0.98658042865163054</v>
      </c>
      <c r="R885" s="1">
        <f t="shared" ca="1" si="88"/>
        <v>1.0562202264329561E-2</v>
      </c>
      <c r="S885" s="9">
        <f ca="1">IF(Prices!C884&lt;OFFSET(Prices!C884,-S$3,0),1,-1)</f>
        <v>1</v>
      </c>
      <c r="T885" s="1">
        <f ca="1">IF(S885=1,T$3*Q884/Prices!C884,-T$3*R884)</f>
        <v>2.0444466221234618E-4</v>
      </c>
    </row>
    <row r="886" spans="1:20" x14ac:dyDescent="0.2">
      <c r="A886" s="4">
        <v>34746</v>
      </c>
      <c r="B886" s="9">
        <f ca="1">Prices!C885*(1+J886/(50*(ABS(O886)+ABS(T886)+0.0001)))</f>
        <v>97.027108679304277</v>
      </c>
      <c r="C886" s="21">
        <f t="shared" ca="1" si="83"/>
        <v>-1</v>
      </c>
      <c r="D886" s="9">
        <f ca="1">D885+C886*(Prices!C886-Prices!C885)/Prices!C885</f>
        <v>0.41150720093545967</v>
      </c>
      <c r="E886" s="9">
        <f t="shared" ca="1" si="84"/>
        <v>9.255633760277826E-4</v>
      </c>
      <c r="F886" s="9">
        <f t="shared" ca="1" si="85"/>
        <v>0.41243276431148745</v>
      </c>
      <c r="G886" s="13">
        <f ca="1">IF((Prices!C886-Prices!C885)*C886&gt;0,1,0)</f>
        <v>1</v>
      </c>
      <c r="H886" s="9">
        <f>ABS(Prices!C886-Prices!C885)/Prices!C885</f>
        <v>8.5417937766931393E-3</v>
      </c>
      <c r="I886" s="13"/>
      <c r="J886" s="1">
        <f t="shared" ca="1" si="86"/>
        <v>-1.0064770475787478E-3</v>
      </c>
      <c r="K886" s="9"/>
      <c r="L886" s="9">
        <f ca="1">L885-O886*Prices!C886</f>
        <v>0.96924397036459331</v>
      </c>
      <c r="M886" s="1">
        <f t="shared" ca="1" si="87"/>
        <v>1.0864114835136668E-2</v>
      </c>
      <c r="N886" s="9">
        <f ca="1">IF(Prices!D885&gt;OFFSET(Prices!D885,-$N$3,0),1,-1)</f>
        <v>-1</v>
      </c>
      <c r="O886" s="1">
        <f ca="1">IF(N886=1,O$3*L885/Prices!C885,-O$3*M885)</f>
        <v>-1.207123870570741E-3</v>
      </c>
      <c r="P886" s="14"/>
      <c r="Q886" s="9">
        <f ca="1">Q885-T886*Prices!C886</f>
        <v>0.96701736340991118</v>
      </c>
      <c r="R886" s="1">
        <f t="shared" ca="1" si="88"/>
        <v>1.0762849087321554E-2</v>
      </c>
      <c r="S886" s="9">
        <f ca="1">IF(Prices!C885&lt;OFFSET(Prices!C885,-S$3,0),1,-1)</f>
        <v>1</v>
      </c>
      <c r="T886" s="1">
        <f ca="1">IF(S886=1,T$3*Q885/Prices!C885,-T$3*R885)</f>
        <v>2.006468229919932E-4</v>
      </c>
    </row>
    <row r="887" spans="1:20" x14ac:dyDescent="0.2">
      <c r="A887" s="4">
        <v>34747</v>
      </c>
      <c r="B887" s="9">
        <f ca="1">Prices!C886*(1+J887/(50*(ABS(O887)+ABS(T887)+0.0001)))</f>
        <v>96.249474338065127</v>
      </c>
      <c r="C887" s="21">
        <f t="shared" ca="1" si="83"/>
        <v>-1</v>
      </c>
      <c r="D887" s="9">
        <f ca="1">D886+C887*(Prices!C887-Prices!C886)/Prices!C886</f>
        <v>0.41253284196110063</v>
      </c>
      <c r="E887" s="9">
        <f t="shared" ca="1" si="84"/>
        <v>0</v>
      </c>
      <c r="F887" s="9">
        <f t="shared" ca="1" si="85"/>
        <v>0.41253284196110063</v>
      </c>
      <c r="G887" s="13">
        <f ca="1">IF((Prices!C887-Prices!C886)*C887&gt;0,1,0)</f>
        <v>1</v>
      </c>
      <c r="H887" s="9">
        <f>ABS(Prices!C887-Prices!C886)/Prices!C886</f>
        <v>1.0256410256409673E-3</v>
      </c>
      <c r="I887" s="13"/>
      <c r="J887" s="1">
        <f t="shared" ca="1" si="86"/>
        <v>-8.8804894742958249E-4</v>
      </c>
      <c r="K887" s="9"/>
      <c r="L887" s="9">
        <f ca="1">L886-O887*Prices!C887</f>
        <v>1.0750604488588245</v>
      </c>
      <c r="M887" s="1">
        <f t="shared" ca="1" si="87"/>
        <v>9.7777033516230002E-3</v>
      </c>
      <c r="N887" s="9">
        <f ca="1">IF(Prices!D886&gt;OFFSET(Prices!D886,-$N$3,0),1,-1)</f>
        <v>-1</v>
      </c>
      <c r="O887" s="1">
        <f ca="1">IF(N887=1,O$3*L886/Prices!C886,-O$3*M886)</f>
        <v>-1.0864114835136668E-3</v>
      </c>
      <c r="P887" s="14"/>
      <c r="Q887" s="9">
        <f ca="1">Q886-T887*Prices!C887</f>
        <v>0.94769685239532131</v>
      </c>
      <c r="R887" s="1">
        <f t="shared" ca="1" si="88"/>
        <v>1.0961211623405638E-2</v>
      </c>
      <c r="S887" s="9">
        <f ca="1">IF(Prices!C886&lt;OFFSET(Prices!C886,-S$3,0),1,-1)</f>
        <v>1</v>
      </c>
      <c r="T887" s="1">
        <f ca="1">IF(S887=1,T$3*Q886/Prices!C886,-T$3*R886)</f>
        <v>1.9836253608408435E-4</v>
      </c>
    </row>
    <row r="888" spans="1:20" x14ac:dyDescent="0.2">
      <c r="A888" s="4">
        <v>34750</v>
      </c>
      <c r="B888" s="9">
        <f ca="1">Prices!C887*(1+J888/(50*(ABS(O888)+ABS(T888)+0.0001)))</f>
        <v>96.20096297660919</v>
      </c>
      <c r="C888" s="21">
        <f t="shared" ca="1" si="83"/>
        <v>-1</v>
      </c>
      <c r="D888" s="9">
        <f ca="1">D887+C888*(Prices!C888-Prices!C887)/Prices!C887</f>
        <v>0.41366220541079263</v>
      </c>
      <c r="E888" s="9">
        <f t="shared" ca="1" si="84"/>
        <v>0</v>
      </c>
      <c r="F888" s="9">
        <f t="shared" ca="1" si="85"/>
        <v>0.41366220541079263</v>
      </c>
      <c r="G888" s="13">
        <f ca="1">IF((Prices!C888-Prices!C887)*C888&gt;0,1,0)</f>
        <v>1</v>
      </c>
      <c r="H888" s="9">
        <f>ABS(Prices!C888-Prices!C887)/Prices!C887</f>
        <v>1.1293634496919859E-3</v>
      </c>
      <c r="I888" s="13"/>
      <c r="J888" s="1">
        <f t="shared" ca="1" si="86"/>
        <v>-7.8317139216531415E-4</v>
      </c>
      <c r="K888" s="9"/>
      <c r="L888" s="9">
        <f ca="1">L887-O888*Prices!C888</f>
        <v>1.1701877247667647</v>
      </c>
      <c r="M888" s="1">
        <f t="shared" ca="1" si="87"/>
        <v>8.7999330164607002E-3</v>
      </c>
      <c r="N888" s="9">
        <f ca="1">IF(Prices!D887&gt;OFFSET(Prices!D887,-$N$3,0),1,-1)</f>
        <v>-1</v>
      </c>
      <c r="O888" s="1">
        <f ca="1">IF(N888=1,O$3*L887/Prices!C887,-O$3*M887)</f>
        <v>-9.7777033516230002E-4</v>
      </c>
      <c r="P888" s="14"/>
      <c r="Q888" s="9">
        <f ca="1">Q887-T888*Prices!C888</f>
        <v>0.9287643212311445</v>
      </c>
      <c r="R888" s="1">
        <f t="shared" ca="1" si="88"/>
        <v>1.1155810566402625E-2</v>
      </c>
      <c r="S888" s="9">
        <f ca="1">IF(Prices!C887&lt;OFFSET(Prices!C887,-S$3,0),1,-1)</f>
        <v>1</v>
      </c>
      <c r="T888" s="1">
        <f ca="1">IF(S888=1,T$3*Q887/Prices!C887,-T$3*R887)</f>
        <v>1.9459894299698587E-4</v>
      </c>
    </row>
    <row r="889" spans="1:20" x14ac:dyDescent="0.2">
      <c r="A889" s="4">
        <v>34751</v>
      </c>
      <c r="B889" s="9">
        <f ca="1">Prices!C888*(1+J889/(50*(ABS(O889)+ABS(T889)+0.0001)))</f>
        <v>99.105533761846729</v>
      </c>
      <c r="C889" s="21">
        <f t="shared" ca="1" si="83"/>
        <v>1</v>
      </c>
      <c r="D889" s="9">
        <f ca="1">D888+C889*(Prices!C889-Prices!C888)/Prices!C888</f>
        <v>0.41150371019031767</v>
      </c>
      <c r="E889" s="9">
        <f t="shared" ca="1" si="84"/>
        <v>2.1584952204749541E-3</v>
      </c>
      <c r="F889" s="9">
        <f t="shared" ca="1" si="85"/>
        <v>0.41366220541079263</v>
      </c>
      <c r="G889" s="13">
        <f ca="1">IF((Prices!C889-Prices!C888)*C889&gt;0,1,0)</f>
        <v>0</v>
      </c>
      <c r="H889" s="9">
        <f>ABS(Prices!C889-Prices!C888)/Prices!C888</f>
        <v>2.1584952204749507E-3</v>
      </c>
      <c r="I889" s="13"/>
      <c r="J889" s="1">
        <f t="shared" ca="1" si="86"/>
        <v>1.3937101336344881E-3</v>
      </c>
      <c r="K889" s="9"/>
      <c r="L889" s="9">
        <f ca="1">L888-O889*Prices!C889</f>
        <v>1.053421536751185</v>
      </c>
      <c r="M889" s="1">
        <f t="shared" ca="1" si="87"/>
        <v>1.0002716164540425E-2</v>
      </c>
      <c r="N889" s="9">
        <f ca="1">IF(Prices!D888&gt;OFFSET(Prices!D888,-$N$3,0),1,-1)</f>
        <v>1</v>
      </c>
      <c r="O889" s="1">
        <f ca="1">IF(N889=1,O$3*L888/Prices!C888,-O$3*M888)</f>
        <v>1.2027831480797252E-3</v>
      </c>
      <c r="P889" s="14"/>
      <c r="Q889" s="9">
        <f ca="1">Q888-T889*Prices!C889</f>
        <v>0.91022912947348811</v>
      </c>
      <c r="R889" s="1">
        <f t="shared" ca="1" si="88"/>
        <v>1.1346737551957389E-2</v>
      </c>
      <c r="S889" s="9">
        <f ca="1">IF(Prices!C888&lt;OFFSET(Prices!C888,-S$3,0),1,-1)</f>
        <v>1</v>
      </c>
      <c r="T889" s="1">
        <f ca="1">IF(S889=1,T$3*Q888/Prices!C888,-T$3*R888)</f>
        <v>1.9092698555476294E-4</v>
      </c>
    </row>
    <row r="890" spans="1:20" x14ac:dyDescent="0.2">
      <c r="A890" s="4">
        <v>34752</v>
      </c>
      <c r="B890" s="9">
        <f ca="1">Prices!C889*(1+J890/(50*(ABS(O890)+ABS(T890)+0.0001)))</f>
        <v>98.880148721581079</v>
      </c>
      <c r="C890" s="21">
        <f t="shared" ca="1" si="83"/>
        <v>1</v>
      </c>
      <c r="D890" s="9">
        <f ca="1">D889+C890*(Prices!C890-Prices!C889)/Prices!C889</f>
        <v>0.41119468670453274</v>
      </c>
      <c r="E890" s="9">
        <f t="shared" ca="1" si="84"/>
        <v>2.4675187062598858E-3</v>
      </c>
      <c r="F890" s="9">
        <f t="shared" ca="1" si="85"/>
        <v>0.41366220541079263</v>
      </c>
      <c r="G890" s="13">
        <f ca="1">IF((Prices!C890-Prices!C889)*C890&gt;0,1,0)</f>
        <v>0</v>
      </c>
      <c r="H890" s="9">
        <f>ABS(Prices!C890-Prices!C889)/Prices!C889</f>
        <v>3.0902348578493139E-4</v>
      </c>
      <c r="I890" s="13"/>
      <c r="J890" s="1">
        <f t="shared" ca="1" si="86"/>
        <v>1.2726281032611072E-3</v>
      </c>
      <c r="K890" s="9"/>
      <c r="L890" s="9">
        <f ca="1">L889-O890*Prices!C890</f>
        <v>0.9481119362755952</v>
      </c>
      <c r="M890" s="1">
        <f t="shared" ca="1" si="87"/>
        <v>1.1087822815499618E-2</v>
      </c>
      <c r="N890" s="9">
        <f ca="1">IF(Prices!D889&gt;OFFSET(Prices!D889,-$N$3,0),1,-1)</f>
        <v>1</v>
      </c>
      <c r="O890" s="1">
        <f ca="1">IF(N890=1,O$3*L889/Prices!C889,-O$3*M889)</f>
        <v>1.0851066509591936E-3</v>
      </c>
      <c r="P890" s="14"/>
      <c r="Q890" s="9">
        <f ca="1">Q889-T890*Prices!C890</f>
        <v>0.89203017252758743</v>
      </c>
      <c r="R890" s="1">
        <f t="shared" ca="1" si="88"/>
        <v>1.1534259004259303E-2</v>
      </c>
      <c r="S890" s="9">
        <f ca="1">IF(Prices!C889&lt;OFFSET(Prices!C889,-S$3,0),1,-1)</f>
        <v>1</v>
      </c>
      <c r="T890" s="1">
        <f ca="1">IF(S890=1,T$3*Q889/Prices!C889,-T$3*R889)</f>
        <v>1.8752145230191349E-4</v>
      </c>
    </row>
    <row r="891" spans="1:20" x14ac:dyDescent="0.2">
      <c r="A891" s="4">
        <v>34753</v>
      </c>
      <c r="B891" s="9">
        <f ca="1">Prices!C890*(1+J891/(50*(ABS(O891)+ABS(T891)+0.0001)))</f>
        <v>95.760814441517624</v>
      </c>
      <c r="C891" s="21">
        <f t="shared" ca="1" si="83"/>
        <v>-1</v>
      </c>
      <c r="D891" s="9">
        <f ca="1">D890+C891*(Prices!C891-Prices!C890)/Prices!C890</f>
        <v>0.41459499582354353</v>
      </c>
      <c r="E891" s="9">
        <f t="shared" ca="1" si="84"/>
        <v>0</v>
      </c>
      <c r="F891" s="9">
        <f t="shared" ca="1" si="85"/>
        <v>0.41459499582354353</v>
      </c>
      <c r="G891" s="13">
        <f ca="1">IF((Prices!C891-Prices!C890)*C891&gt;0,1,0)</f>
        <v>1</v>
      </c>
      <c r="H891" s="9">
        <f>ABS(Prices!C891-Prices!C890)/Prices!C890</f>
        <v>3.4003091190108019E-3</v>
      </c>
      <c r="I891" s="13"/>
      <c r="J891" s="1">
        <f t="shared" ca="1" si="86"/>
        <v>-9.2495329184824377E-4</v>
      </c>
      <c r="K891" s="9"/>
      <c r="L891" s="9">
        <f ca="1">L890-O891*Prices!C891</f>
        <v>1.0553533585471075</v>
      </c>
      <c r="M891" s="1">
        <f t="shared" ca="1" si="87"/>
        <v>9.9790405339496568E-3</v>
      </c>
      <c r="N891" s="9">
        <f ca="1">IF(Prices!D890&gt;OFFSET(Prices!D890,-$N$3,0),1,-1)</f>
        <v>-1</v>
      </c>
      <c r="O891" s="1">
        <f ca="1">IF(N891=1,O$3*L890/Prices!C890,-O$3*M890)</f>
        <v>-1.1087822815499619E-3</v>
      </c>
      <c r="P891" s="14"/>
      <c r="Q891" s="9">
        <f ca="1">Q890-T891*Prices!C891</f>
        <v>0.87425023264363722</v>
      </c>
      <c r="R891" s="1">
        <f t="shared" ca="1" si="88"/>
        <v>1.1718087993961021E-2</v>
      </c>
      <c r="S891" s="9">
        <f ca="1">IF(Prices!C890&lt;OFFSET(Prices!C890,-S$3,0),1,-1)</f>
        <v>1</v>
      </c>
      <c r="T891" s="1">
        <f ca="1">IF(S891=1,T$3*Q890/Prices!C890,-T$3*R890)</f>
        <v>1.8382898970171818E-4</v>
      </c>
    </row>
    <row r="892" spans="1:20" x14ac:dyDescent="0.2">
      <c r="A892" s="4">
        <v>34754</v>
      </c>
      <c r="B892" s="9">
        <f ca="1">Prices!C891*(1+J892/(50*(ABS(O892)+ABS(T892)+0.0001)))</f>
        <v>95.483849462387752</v>
      </c>
      <c r="C892" s="21">
        <f t="shared" ca="1" si="83"/>
        <v>-1</v>
      </c>
      <c r="D892" s="9">
        <f ca="1">D891+C892*(Prices!C892-Prices!C891)/Prices!C891</f>
        <v>0.41273395363992066</v>
      </c>
      <c r="E892" s="9">
        <f t="shared" ca="1" si="84"/>
        <v>1.8610421836228741E-3</v>
      </c>
      <c r="F892" s="9">
        <f t="shared" ca="1" si="85"/>
        <v>0.41459499582354353</v>
      </c>
      <c r="G892" s="13">
        <f ca="1">IF((Prices!C892-Prices!C891)*C892&gt;0,1,0)</f>
        <v>0</v>
      </c>
      <c r="H892" s="9">
        <f>ABS(Prices!C892-Prices!C891)/Prices!C891</f>
        <v>1.8610421836228993E-3</v>
      </c>
      <c r="I892" s="13"/>
      <c r="J892" s="1">
        <f t="shared" ca="1" si="86"/>
        <v>-8.1712443539586782E-4</v>
      </c>
      <c r="K892" s="9"/>
      <c r="L892" s="9">
        <f ca="1">L891-O892*Prices!C892</f>
        <v>1.1520502613210797</v>
      </c>
      <c r="M892" s="1">
        <f t="shared" ca="1" si="87"/>
        <v>8.9811364805546905E-3</v>
      </c>
      <c r="N892" s="9">
        <f ca="1">IF(Prices!D891&gt;OFFSET(Prices!D891,-$N$3,0),1,-1)</f>
        <v>-1</v>
      </c>
      <c r="O892" s="1">
        <f ca="1">IF(N892=1,O$3*L891/Prices!C891,-O$3*M891)</f>
        <v>-9.9790405339496573E-4</v>
      </c>
      <c r="P892" s="14"/>
      <c r="Q892" s="9">
        <f ca="1">Q891-T892*Prices!C892</f>
        <v>0.85673268765952459</v>
      </c>
      <c r="R892" s="1">
        <f t="shared" ca="1" si="88"/>
        <v>1.1898867611960118E-2</v>
      </c>
      <c r="S892" s="9">
        <f ca="1">IF(Prices!C891&lt;OFFSET(Prices!C891,-S$3,0),1,-1)</f>
        <v>1</v>
      </c>
      <c r="T892" s="1">
        <f ca="1">IF(S892=1,T$3*Q891/Prices!C891,-T$3*R891)</f>
        <v>1.8077961799909786E-4</v>
      </c>
    </row>
    <row r="893" spans="1:20" x14ac:dyDescent="0.2">
      <c r="A893" s="4">
        <v>34757</v>
      </c>
      <c r="B893" s="9">
        <f ca="1">Prices!C892*(1+J893/(50*(ABS(O893)+ABS(T893)+0.0001)))</f>
        <v>98.705779607648452</v>
      </c>
      <c r="C893" s="21">
        <f t="shared" ca="1" si="83"/>
        <v>1</v>
      </c>
      <c r="D893" s="9">
        <f ca="1">D892+C893*(Prices!C893-Prices!C892)/Prices!C892</f>
        <v>0.41459153877923949</v>
      </c>
      <c r="E893" s="9">
        <f t="shared" ca="1" si="84"/>
        <v>3.4570443040449206E-6</v>
      </c>
      <c r="F893" s="9">
        <f t="shared" ca="1" si="85"/>
        <v>0.41459499582354353</v>
      </c>
      <c r="G893" s="13">
        <f ca="1">IF((Prices!C893-Prices!C892)*C893&gt;0,1,0)</f>
        <v>1</v>
      </c>
      <c r="H893" s="9">
        <f>ABS(Prices!C893-Prices!C892)/Prices!C892</f>
        <v>1.857585139318809E-3</v>
      </c>
      <c r="I893" s="13"/>
      <c r="J893" s="1">
        <f t="shared" ca="1" si="86"/>
        <v>1.3657345705397159E-3</v>
      </c>
      <c r="K893" s="9"/>
      <c r="L893" s="9">
        <f ca="1">L892-O893*Prices!C893</f>
        <v>1.036631232044454</v>
      </c>
      <c r="M893" s="1">
        <f t="shared" ca="1" si="87"/>
        <v>1.0170042838987177E-2</v>
      </c>
      <c r="N893" s="9">
        <f ca="1">IF(Prices!D892&gt;OFFSET(Prices!D892,-$N$3,0),1,-1)</f>
        <v>1</v>
      </c>
      <c r="O893" s="1">
        <f ca="1">IF(N893=1,O$3*L892/Prices!C892,-O$3*M892)</f>
        <v>1.1889063584324868E-3</v>
      </c>
      <c r="P893" s="14"/>
      <c r="Q893" s="9">
        <f ca="1">Q892-T893*Prices!C893</f>
        <v>0.83956620482815481</v>
      </c>
      <c r="R893" s="1">
        <f t="shared" ca="1" si="88"/>
        <v>1.2075695824067348E-2</v>
      </c>
      <c r="S893" s="9">
        <f ca="1">IF(Prices!C892&lt;OFFSET(Prices!C892,-S$3,0),1,-1)</f>
        <v>1</v>
      </c>
      <c r="T893" s="1">
        <f ca="1">IF(S893=1,T$3*Q892/Prices!C892,-T$3*R892)</f>
        <v>1.7682821210722902E-4</v>
      </c>
    </row>
    <row r="894" spans="1:20" x14ac:dyDescent="0.2">
      <c r="A894" s="4">
        <v>34758</v>
      </c>
      <c r="B894" s="9">
        <f ca="1">Prices!C893*(1+J894/(50*(ABS(O894)+ABS(T894)+0.0001)))</f>
        <v>95.281320426053682</v>
      </c>
      <c r="C894" s="21">
        <f t="shared" ca="1" si="83"/>
        <v>-1</v>
      </c>
      <c r="D894" s="9">
        <f ca="1">D893+C894*(Prices!C894-Prices!C893)/Prices!C893</f>
        <v>0.41860884409444343</v>
      </c>
      <c r="E894" s="9">
        <f t="shared" ca="1" si="84"/>
        <v>0</v>
      </c>
      <c r="F894" s="9">
        <f t="shared" ca="1" si="85"/>
        <v>0.41860884409444343</v>
      </c>
      <c r="G894" s="13">
        <f ca="1">IF((Prices!C894-Prices!C893)*C894&gt;0,1,0)</f>
        <v>1</v>
      </c>
      <c r="H894" s="9">
        <f>ABS(Prices!C894-Prices!C893)/Prices!C893</f>
        <v>4.0173053152039616E-3</v>
      </c>
      <c r="I894" s="13"/>
      <c r="J894" s="1">
        <f t="shared" ca="1" si="86"/>
        <v>-1.2585182003800649E-3</v>
      </c>
      <c r="K894" s="9"/>
      <c r="L894" s="9">
        <f ca="1">L893-O894*Prices!C894</f>
        <v>1.134965376254621</v>
      </c>
      <c r="M894" s="1">
        <f t="shared" ca="1" si="87"/>
        <v>9.1530385550884601E-3</v>
      </c>
      <c r="N894" s="9">
        <f ca="1">IF(Prices!D893&gt;OFFSET(Prices!D893,-$N$3,0),1,-1)</f>
        <v>-1</v>
      </c>
      <c r="O894" s="1">
        <f ca="1">IF(N894=1,O$3*L893/Prices!C893,-O$3*M893)</f>
        <v>-1.0170042838987179E-3</v>
      </c>
      <c r="P894" s="14"/>
      <c r="Q894" s="9">
        <f ca="1">Q893-T894*Prices!C894</f>
        <v>0.86291818541273624</v>
      </c>
      <c r="R894" s="1">
        <f t="shared" ca="1" si="88"/>
        <v>1.1834181907586002E-2</v>
      </c>
      <c r="S894" s="9">
        <f ca="1">IF(Prices!C893&lt;OFFSET(Prices!C893,-S$3,0),1,-1)</f>
        <v>-1</v>
      </c>
      <c r="T894" s="1">
        <f ca="1">IF(S894=1,T$3*Q893/Prices!C893,-T$3*R893)</f>
        <v>-2.4151391648134698E-4</v>
      </c>
    </row>
    <row r="895" spans="1:20" x14ac:dyDescent="0.2">
      <c r="A895" s="4">
        <v>34759</v>
      </c>
      <c r="B895" s="9">
        <f ca="1">Prices!C894*(1+J895/(50*(ABS(O895)+ABS(T895)+0.0001)))</f>
        <v>95.496456181048046</v>
      </c>
      <c r="C895" s="21">
        <f t="shared" ca="1" si="83"/>
        <v>-1</v>
      </c>
      <c r="D895" s="9">
        <f ca="1">D894+C895*(Prices!C895-Prices!C894)/Prices!C894</f>
        <v>0.41778145760152796</v>
      </c>
      <c r="E895" s="9">
        <f t="shared" ca="1" si="84"/>
        <v>8.2738649291547173E-4</v>
      </c>
      <c r="F895" s="9">
        <f t="shared" ca="1" si="85"/>
        <v>0.41860884409444343</v>
      </c>
      <c r="G895" s="13">
        <f ca="1">IF((Prices!C895-Prices!C894)*C895&gt;0,1,0)</f>
        <v>0</v>
      </c>
      <c r="H895" s="9">
        <f>ABS(Prices!C895-Prices!C894)/Prices!C894</f>
        <v>8.273864929154855E-4</v>
      </c>
      <c r="I895" s="13"/>
      <c r="J895" s="1">
        <f t="shared" ca="1" si="86"/>
        <v>-7.368121427334326E-4</v>
      </c>
      <c r="K895" s="9"/>
      <c r="L895" s="9">
        <f ca="1">L894-O895*Prices!C895</f>
        <v>1.223539330352212</v>
      </c>
      <c r="M895" s="1">
        <f t="shared" ca="1" si="87"/>
        <v>8.2377346995796148E-3</v>
      </c>
      <c r="N895" s="9">
        <f ca="1">IF(Prices!D894&gt;OFFSET(Prices!D894,-$N$3,0),1,-1)</f>
        <v>-1</v>
      </c>
      <c r="O895" s="1">
        <f ca="1">IF(N895=1,O$3*L894/Prices!C894,-O$3*M894)</f>
        <v>-9.1530385550884607E-4</v>
      </c>
      <c r="P895" s="14"/>
      <c r="Q895" s="9">
        <f ca="1">Q894-T895*Prices!C895</f>
        <v>0.84564554236745948</v>
      </c>
      <c r="R895" s="1">
        <f t="shared" ca="1" si="88"/>
        <v>1.2012673620361415E-2</v>
      </c>
      <c r="S895" s="9">
        <f ca="1">IF(Prices!C894&lt;OFFSET(Prices!C894,-S$3,0),1,-1)</f>
        <v>1</v>
      </c>
      <c r="T895" s="1">
        <f ca="1">IF(S895=1,T$3*Q894/Prices!C894,-T$3*R894)</f>
        <v>1.7849171277541342E-4</v>
      </c>
    </row>
    <row r="896" spans="1:20" x14ac:dyDescent="0.2">
      <c r="A896" s="4">
        <v>34760</v>
      </c>
      <c r="B896" s="9">
        <f ca="1">Prices!C895*(1+J896/(50*(ABS(O896)+ABS(T896)+0.0001)))</f>
        <v>95.000867629172518</v>
      </c>
      <c r="C896" s="21">
        <f t="shared" ca="1" si="83"/>
        <v>-1</v>
      </c>
      <c r="D896" s="9">
        <f ca="1">D895+C896*(Prices!C896-Prices!C895)/Prices!C895</f>
        <v>0.43317879148599625</v>
      </c>
      <c r="E896" s="9">
        <f t="shared" ca="1" si="84"/>
        <v>0</v>
      </c>
      <c r="F896" s="9">
        <f t="shared" ca="1" si="85"/>
        <v>0.43317879148599625</v>
      </c>
      <c r="G896" s="13">
        <f ca="1">IF((Prices!C896-Prices!C895)*C896&gt;0,1,0)</f>
        <v>1</v>
      </c>
      <c r="H896" s="9">
        <f>ABS(Prices!C896-Prices!C895)/Prices!C895</f>
        <v>1.5397333884468276E-2</v>
      </c>
      <c r="I896" s="13"/>
      <c r="J896" s="1">
        <f t="shared" ca="1" si="86"/>
        <v>-1.0640269423651898E-3</v>
      </c>
      <c r="K896" s="9"/>
      <c r="L896" s="9">
        <f ca="1">L895-O896*Prices!C896</f>
        <v>1.3020284665698065</v>
      </c>
      <c r="M896" s="1">
        <f t="shared" ca="1" si="87"/>
        <v>7.4139612296216535E-3</v>
      </c>
      <c r="N896" s="9">
        <f ca="1">IF(Prices!D895&gt;OFFSET(Prices!D895,-$N$3,0),1,-1)</f>
        <v>-1</v>
      </c>
      <c r="O896" s="1">
        <f ca="1">IF(N896=1,O$3*L895/Prices!C895,-O$3*M895)</f>
        <v>-8.2377346995796152E-4</v>
      </c>
      <c r="P896" s="14"/>
      <c r="Q896" s="9">
        <f ca="1">Q895-T896*Prices!C896</f>
        <v>0.8685368932184202</v>
      </c>
      <c r="R896" s="1">
        <f t="shared" ca="1" si="88"/>
        <v>1.1772420147954186E-2</v>
      </c>
      <c r="S896" s="9">
        <f ca="1">IF(Prices!C895&lt;OFFSET(Prices!C895,-S$3,0),1,-1)</f>
        <v>-1</v>
      </c>
      <c r="T896" s="1">
        <f ca="1">IF(S896=1,T$3*Q895/Prices!C895,-T$3*R895)</f>
        <v>-2.402534724072283E-4</v>
      </c>
    </row>
    <row r="897" spans="1:20" x14ac:dyDescent="0.2">
      <c r="A897" s="4">
        <v>34761</v>
      </c>
      <c r="B897" s="9">
        <f ca="1">Prices!C896*(1+J897/(50*(ABS(O897)+ABS(T897)+0.0001)))</f>
        <v>97.070027920601049</v>
      </c>
      <c r="C897" s="21">
        <f t="shared" ca="1" si="83"/>
        <v>1</v>
      </c>
      <c r="D897" s="9">
        <f ca="1">D896+C897*(Prices!C897-Prices!C896)/Prices!C896</f>
        <v>0.42121405596962347</v>
      </c>
      <c r="E897" s="9">
        <f t="shared" ca="1" si="84"/>
        <v>1.1964735516372782E-2</v>
      </c>
      <c r="F897" s="9">
        <f t="shared" ca="1" si="85"/>
        <v>0.43317879148599625</v>
      </c>
      <c r="G897" s="13">
        <f ca="1">IF((Prices!C897-Prices!C896)*C897&gt;0,1,0)</f>
        <v>0</v>
      </c>
      <c r="H897" s="9">
        <f>ABS(Prices!C897-Prices!C896)/Prices!C896</f>
        <v>1.1964735516372801E-2</v>
      </c>
      <c r="I897" s="13"/>
      <c r="J897" s="1">
        <f t="shared" ca="1" si="86"/>
        <v>1.5488411473693225E-3</v>
      </c>
      <c r="K897" s="9"/>
      <c r="L897" s="9">
        <f ca="1">L896-O897*Prices!C897</f>
        <v>1.1733834625365556</v>
      </c>
      <c r="M897" s="1">
        <f t="shared" ca="1" si="87"/>
        <v>8.7804898469283355E-3</v>
      </c>
      <c r="N897" s="9">
        <f ca="1">IF(Prices!D896&gt;OFFSET(Prices!D896,-$N$3,0),1,-1)</f>
        <v>1</v>
      </c>
      <c r="O897" s="1">
        <f ca="1">IF(N897=1,O$3*L896/Prices!C896,-O$3*M896)</f>
        <v>1.3665286173066818E-3</v>
      </c>
      <c r="P897" s="14"/>
      <c r="Q897" s="9">
        <f ca="1">Q896-T897*Prices!C897</f>
        <v>0.85137399163832317</v>
      </c>
      <c r="R897" s="1">
        <f t="shared" ca="1" si="88"/>
        <v>1.1954732678016826E-2</v>
      </c>
      <c r="S897" s="9">
        <f ca="1">IF(Prices!C896&lt;OFFSET(Prices!C896,-S$3,0),1,-1)</f>
        <v>1</v>
      </c>
      <c r="T897" s="1">
        <f ca="1">IF(S897=1,T$3*Q896/Prices!C896,-T$3*R896)</f>
        <v>1.8231253006264068E-4</v>
      </c>
    </row>
    <row r="898" spans="1:20" x14ac:dyDescent="0.2">
      <c r="A898" s="4">
        <v>34764</v>
      </c>
      <c r="B898" s="9">
        <f ca="1">Prices!C897*(1+J898/(50*(ABS(O898)+ABS(T898)+0.0001)))</f>
        <v>95.899523461959504</v>
      </c>
      <c r="C898" s="21">
        <f t="shared" ca="1" si="83"/>
        <v>1</v>
      </c>
      <c r="D898" s="9">
        <f ca="1">D897+C898*(Prices!C898-Prices!C897)/Prices!C897</f>
        <v>0.4077235099742974</v>
      </c>
      <c r="E898" s="9">
        <f t="shared" ca="1" si="84"/>
        <v>2.5455281511698846E-2</v>
      </c>
      <c r="F898" s="9">
        <f t="shared" ca="1" si="85"/>
        <v>0.43317879148599625</v>
      </c>
      <c r="G898" s="13">
        <f ca="1">IF((Prices!C898-Prices!C897)*C898&gt;0,1,0)</f>
        <v>0</v>
      </c>
      <c r="H898" s="9">
        <f>ABS(Prices!C898-Prices!C897)/Prices!C897</f>
        <v>1.3490545995326068E-2</v>
      </c>
      <c r="I898" s="13"/>
      <c r="J898" s="1">
        <f t="shared" ca="1" si="86"/>
        <v>1.4272979189124924E-3</v>
      </c>
      <c r="K898" s="9"/>
      <c r="L898" s="9">
        <f ca="1">L897-O898*Prices!C898</f>
        <v>1.0576280746400504</v>
      </c>
      <c r="M898" s="1">
        <f t="shared" ca="1" si="87"/>
        <v>1.00269137501964E-2</v>
      </c>
      <c r="N898" s="9">
        <f ca="1">IF(Prices!D897&gt;OFFSET(Prices!D897,-$N$3,0),1,-1)</f>
        <v>1</v>
      </c>
      <c r="O898" s="1">
        <f ca="1">IF(N898=1,O$3*L897/Prices!C897,-O$3*M897)</f>
        <v>1.2464239032680643E-3</v>
      </c>
      <c r="P898" s="14"/>
      <c r="Q898" s="9">
        <f ca="1">Q897-T898*Prices!C898</f>
        <v>0.83457622180542512</v>
      </c>
      <c r="R898" s="1">
        <f t="shared" ca="1" si="88"/>
        <v>1.2135606693661254E-2</v>
      </c>
      <c r="S898" s="9">
        <f ca="1">IF(Prices!C897&lt;OFFSET(Prices!C897,-S$3,0),1,-1)</f>
        <v>1</v>
      </c>
      <c r="T898" s="1">
        <f ca="1">IF(S898=1,T$3*Q897/Prices!C897,-T$3*R897)</f>
        <v>1.8087401564442814E-4</v>
      </c>
    </row>
    <row r="899" spans="1:20" x14ac:dyDescent="0.2">
      <c r="A899" s="4">
        <v>34765</v>
      </c>
      <c r="B899" s="9">
        <f ca="1">Prices!C898*(1+J899/(50*(ABS(O899)+ABS(T899)+0.0001)))</f>
        <v>94.596464070089425</v>
      </c>
      <c r="C899" s="21">
        <f t="shared" ca="1" si="83"/>
        <v>1</v>
      </c>
      <c r="D899" s="9">
        <f ca="1">D898+C899*(Prices!C899-Prices!C898)/Prices!C898</f>
        <v>0.38166557953389685</v>
      </c>
      <c r="E899" s="9">
        <f t="shared" ca="1" si="84"/>
        <v>5.1513211952099403E-2</v>
      </c>
      <c r="F899" s="9">
        <f t="shared" ca="1" si="85"/>
        <v>0.43317879148599625</v>
      </c>
      <c r="G899" s="13">
        <f ca="1">IF((Prices!C899-Prices!C898)*C899&gt;0,1,0)</f>
        <v>0</v>
      </c>
      <c r="H899" s="9">
        <f>ABS(Prices!C899-Prices!C898)/Prices!C898</f>
        <v>2.6057930440400577E-2</v>
      </c>
      <c r="I899" s="13"/>
      <c r="J899" s="1">
        <f t="shared" ca="1" si="86"/>
        <v>1.3185563895780504E-3</v>
      </c>
      <c r="K899" s="9"/>
      <c r="L899" s="9">
        <f ca="1">L898-O899*Prices!C899</f>
        <v>0.95462122705612384</v>
      </c>
      <c r="M899" s="1">
        <f t="shared" ca="1" si="87"/>
        <v>1.1165740146923061E-2</v>
      </c>
      <c r="N899" s="9">
        <f ca="1">IF(Prices!D898&gt;OFFSET(Prices!D898,-$N$3,0),1,-1)</f>
        <v>1</v>
      </c>
      <c r="O899" s="1">
        <f ca="1">IF(N899=1,O$3*L898/Prices!C898,-O$3*M898)</f>
        <v>1.1388263967266614E-3</v>
      </c>
      <c r="P899" s="14"/>
      <c r="Q899" s="9">
        <f ca="1">Q898-T899*Prices!C899</f>
        <v>0.81831964395201695</v>
      </c>
      <c r="R899" s="1">
        <f t="shared" ca="1" si="88"/>
        <v>1.2315336686512643E-2</v>
      </c>
      <c r="S899" s="9">
        <f ca="1">IF(Prices!C898&lt;OFFSET(Prices!C898,-S$3,0),1,-1)</f>
        <v>1</v>
      </c>
      <c r="T899" s="1">
        <f ca="1">IF(S899=1,T$3*Q898/Prices!C898,-T$3*R898)</f>
        <v>1.7972999285138905E-4</v>
      </c>
    </row>
    <row r="900" spans="1:20" x14ac:dyDescent="0.2">
      <c r="A900" s="4">
        <v>34766</v>
      </c>
      <c r="B900" s="9">
        <f ca="1">Prices!C899*(1+J900/(50*(ABS(O900)+ABS(T900)+0.0001)))</f>
        <v>92.123632008750178</v>
      </c>
      <c r="C900" s="21">
        <f t="shared" ca="1" si="83"/>
        <v>1</v>
      </c>
      <c r="D900" s="9">
        <f ca="1">D899+C900*(Prices!C900-Prices!C899)/Prices!C899</f>
        <v>0.39460090291698147</v>
      </c>
      <c r="E900" s="9">
        <f t="shared" ca="1" si="84"/>
        <v>3.8577888569014784E-2</v>
      </c>
      <c r="F900" s="9">
        <f t="shared" ca="1" si="85"/>
        <v>0.43317879148599625</v>
      </c>
      <c r="G900" s="13">
        <f ca="1">IF((Prices!C900-Prices!C899)*C900&gt;0,1,0)</f>
        <v>1</v>
      </c>
      <c r="H900" s="9">
        <f>ABS(Prices!C900-Prices!C899)/Prices!C899</f>
        <v>1.2935323383084596E-2</v>
      </c>
      <c r="I900" s="13"/>
      <c r="J900" s="1">
        <f t="shared" ca="1" si="86"/>
        <v>1.2363572756733303E-3</v>
      </c>
      <c r="K900" s="9"/>
      <c r="L900" s="9">
        <f ca="1">L899-O900*Prices!C900</f>
        <v>0.85792427092247869</v>
      </c>
      <c r="M900" s="1">
        <f t="shared" ca="1" si="87"/>
        <v>1.2221153333275879E-2</v>
      </c>
      <c r="N900" s="9">
        <f ca="1">IF(Prices!D899&gt;OFFSET(Prices!D899,-$N$3,0),1,-1)</f>
        <v>1</v>
      </c>
      <c r="O900" s="1">
        <f ca="1">IF(N900=1,O$3*L899/Prices!C899,-O$3*M899)</f>
        <v>1.055413186352818E-3</v>
      </c>
      <c r="P900" s="14"/>
      <c r="Q900" s="9">
        <f ca="1">Q899-T900*Prices!C900</f>
        <v>0.80174154648847162</v>
      </c>
      <c r="R900" s="1">
        <f t="shared" ca="1" si="88"/>
        <v>1.2496280775833155E-2</v>
      </c>
      <c r="S900" s="9">
        <f ca="1">IF(Prices!C899&lt;OFFSET(Prices!C899,-S$3,0),1,-1)</f>
        <v>1</v>
      </c>
      <c r="T900" s="1">
        <f ca="1">IF(S900=1,T$3*Q899/Prices!C899,-T$3*R899)</f>
        <v>1.8094408932051233E-4</v>
      </c>
    </row>
    <row r="901" spans="1:20" x14ac:dyDescent="0.2">
      <c r="A901" s="4">
        <v>34767</v>
      </c>
      <c r="B901" s="9">
        <f ca="1">Prices!C900*(1+J901/(50*(ABS(O901)+ABS(T901)+0.0001)))</f>
        <v>90.338409424918268</v>
      </c>
      <c r="C901" s="21">
        <f t="shared" ca="1" si="83"/>
        <v>-1</v>
      </c>
      <c r="D901" s="9">
        <f ca="1">D900+C901*(Prices!C901-Prices!C900)/Prices!C900</f>
        <v>0.40114969139111384</v>
      </c>
      <c r="E901" s="9">
        <f t="shared" ca="1" si="84"/>
        <v>3.2029100094882412E-2</v>
      </c>
      <c r="F901" s="9">
        <f t="shared" ca="1" si="85"/>
        <v>0.43317879148599625</v>
      </c>
      <c r="G901" s="13">
        <f ca="1">IF((Prices!C901-Prices!C900)*C901&gt;0,1,0)</f>
        <v>1</v>
      </c>
      <c r="H901" s="9">
        <f>ABS(Prices!C901-Prices!C900)/Prices!C900</f>
        <v>6.5487884741323782E-3</v>
      </c>
      <c r="I901" s="13"/>
      <c r="J901" s="1">
        <f t="shared" ca="1" si="86"/>
        <v>-1.0471008066983648E-3</v>
      </c>
      <c r="K901" s="9"/>
      <c r="L901" s="9">
        <f ca="1">L900-O901*Prices!C901</f>
        <v>0.96916120856195576</v>
      </c>
      <c r="M901" s="1">
        <f t="shared" ca="1" si="87"/>
        <v>1.0999037999948291E-2</v>
      </c>
      <c r="N901" s="9">
        <f ca="1">IF(Prices!D900&gt;OFFSET(Prices!D900,-$N$3,0),1,-1)</f>
        <v>-1</v>
      </c>
      <c r="O901" s="1">
        <f ca="1">IF(N901=1,O$3*L900/Prices!C900,-O$3*M900)</f>
        <v>-1.2221153333275879E-3</v>
      </c>
      <c r="P901" s="14"/>
      <c r="Q901" s="9">
        <f ca="1">Q900-T901*Prices!C901</f>
        <v>0.78581172427467971</v>
      </c>
      <c r="R901" s="1">
        <f t="shared" ca="1" si="88"/>
        <v>1.2671295302462379E-2</v>
      </c>
      <c r="S901" s="9">
        <f ca="1">IF(Prices!C900&lt;OFFSET(Prices!C900,-S$3,0),1,-1)</f>
        <v>1</v>
      </c>
      <c r="T901" s="1">
        <f ca="1">IF(S901=1,T$3*Q900/Prices!C900,-T$3*R900)</f>
        <v>1.7501452662922322E-4</v>
      </c>
    </row>
    <row r="902" spans="1:20" x14ac:dyDescent="0.2">
      <c r="A902" s="4">
        <v>34768</v>
      </c>
      <c r="B902" s="9">
        <f ca="1">Prices!C901*(1+J902/(50*(ABS(O902)+ABS(T902)+0.0001)))</f>
        <v>89.790235348935454</v>
      </c>
      <c r="C902" s="21">
        <f t="shared" ca="1" si="83"/>
        <v>-1</v>
      </c>
      <c r="D902" s="9">
        <f ca="1">D901+C902*(Prices!C902-Prices!C901)/Prices!C901</f>
        <v>0.40246808295340775</v>
      </c>
      <c r="E902" s="9">
        <f t="shared" ca="1" si="84"/>
        <v>3.0710708532588504E-2</v>
      </c>
      <c r="F902" s="9">
        <f t="shared" ca="1" si="85"/>
        <v>0.43317879148599625</v>
      </c>
      <c r="G902" s="13">
        <f ca="1">IF((Prices!C902-Prices!C901)*C902&gt;0,1,0)</f>
        <v>1</v>
      </c>
      <c r="H902" s="9">
        <f>ABS(Prices!C902-Prices!C901)/Prices!C901</f>
        <v>1.3183915622938952E-3</v>
      </c>
      <c r="I902" s="13"/>
      <c r="J902" s="1">
        <f t="shared" ca="1" si="86"/>
        <v>-9.2723587552225603E-4</v>
      </c>
      <c r="K902" s="9"/>
      <c r="L902" s="9">
        <f ca="1">L901-O902*Prices!C902</f>
        <v>1.0691424639814857</v>
      </c>
      <c r="M902" s="1">
        <f t="shared" ca="1" si="87"/>
        <v>9.8991341999534622E-3</v>
      </c>
      <c r="N902" s="9">
        <f ca="1">IF(Prices!D901&gt;OFFSET(Prices!D901,-$N$3,0),1,-1)</f>
        <v>-1</v>
      </c>
      <c r="O902" s="1">
        <f ca="1">IF(N902=1,O$3*L901/Prices!C901,-O$3*M901)</f>
        <v>-1.099903799994829E-3</v>
      </c>
      <c r="P902" s="14"/>
      <c r="Q902" s="9">
        <f ca="1">Q901-T902*Prices!C902</f>
        <v>0.77011620994012286</v>
      </c>
      <c r="R902" s="1">
        <f t="shared" ca="1" si="88"/>
        <v>1.2843963226934952E-2</v>
      </c>
      <c r="S902" s="9">
        <f ca="1">IF(Prices!C901&lt;OFFSET(Prices!C901,-S$3,0),1,-1)</f>
        <v>1</v>
      </c>
      <c r="T902" s="1">
        <f ca="1">IF(S902=1,T$3*Q901/Prices!C901,-T$3*R901)</f>
        <v>1.7266792447257303E-4</v>
      </c>
    </row>
    <row r="903" spans="1:20" x14ac:dyDescent="0.2">
      <c r="A903" s="4">
        <v>34771</v>
      </c>
      <c r="B903" s="9">
        <f ca="1">Prices!C902*(1+J903/(50*(ABS(O903)+ABS(T903)+0.0001)))</f>
        <v>89.715572248059871</v>
      </c>
      <c r="C903" s="21">
        <f t="shared" ca="1" si="83"/>
        <v>-1</v>
      </c>
      <c r="D903" s="9">
        <f ca="1">D902+C903*(Prices!C903-Prices!C902)/Prices!C902</f>
        <v>0.40499833597871032</v>
      </c>
      <c r="E903" s="9">
        <f t="shared" ca="1" si="84"/>
        <v>2.8180455507285929E-2</v>
      </c>
      <c r="F903" s="9">
        <f t="shared" ca="1" si="85"/>
        <v>0.43317879148599625</v>
      </c>
      <c r="G903" s="13">
        <f ca="1">IF((Prices!C903-Prices!C902)*C903&gt;0,1,0)</f>
        <v>1</v>
      </c>
      <c r="H903" s="9">
        <f>ABS(Prices!C903-Prices!C902)/Prices!C902</f>
        <v>2.5302530253025739E-3</v>
      </c>
      <c r="I903" s="13"/>
      <c r="J903" s="1">
        <f t="shared" ca="1" si="86"/>
        <v>-8.2047090955747546E-4</v>
      </c>
      <c r="K903" s="9"/>
      <c r="L903" s="9">
        <f ca="1">L902-O903*Prices!C903</f>
        <v>1.1588979137724638</v>
      </c>
      <c r="M903" s="1">
        <f t="shared" ca="1" si="87"/>
        <v>8.9092207799581161E-3</v>
      </c>
      <c r="N903" s="9">
        <f ca="1">IF(Prices!D902&gt;OFFSET(Prices!D902,-$N$3,0),1,-1)</f>
        <v>-1</v>
      </c>
      <c r="O903" s="1">
        <f ca="1">IF(N903=1,O$3*L902/Prices!C902,-O$3*M902)</f>
        <v>-9.8991341999534626E-4</v>
      </c>
      <c r="P903" s="14"/>
      <c r="Q903" s="9">
        <f ca="1">Q902-T903*Prices!C903</f>
        <v>0.75475285751872112</v>
      </c>
      <c r="R903" s="1">
        <f t="shared" ca="1" si="88"/>
        <v>1.3013405737372823E-2</v>
      </c>
      <c r="S903" s="9">
        <f ca="1">IF(Prices!C902&lt;OFFSET(Prices!C902,-S$3,0),1,-1)</f>
        <v>1</v>
      </c>
      <c r="T903" s="1">
        <f ca="1">IF(S903=1,T$3*Q902/Prices!C902,-T$3*R902)</f>
        <v>1.694425104378708E-4</v>
      </c>
    </row>
    <row r="904" spans="1:20" x14ac:dyDescent="0.2">
      <c r="A904" s="4">
        <v>34772</v>
      </c>
      <c r="B904" s="9">
        <f ca="1">Prices!C903*(1+J904/(50*(ABS(O904)+ABS(T904)+0.0001)))</f>
        <v>89.001534000483502</v>
      </c>
      <c r="C904" s="21">
        <f t="shared" ca="1" si="83"/>
        <v>-1</v>
      </c>
      <c r="D904" s="9">
        <f ca="1">D903+C904*(Prices!C904-Prices!C903)/Prices!C903</f>
        <v>0.40389543535005701</v>
      </c>
      <c r="E904" s="9">
        <f t="shared" ca="1" si="84"/>
        <v>2.9283356135939242E-2</v>
      </c>
      <c r="F904" s="9">
        <f t="shared" ca="1" si="85"/>
        <v>0.43317879148599625</v>
      </c>
      <c r="G904" s="13">
        <f ca="1">IF((Prices!C904-Prices!C903)*C904&gt;0,1,0)</f>
        <v>0</v>
      </c>
      <c r="H904" s="9">
        <f>ABS(Prices!C904-Prices!C903)/Prices!C903</f>
        <v>1.1029006286532956E-3</v>
      </c>
      <c r="I904" s="13"/>
      <c r="J904" s="1">
        <f t="shared" ca="1" si="86"/>
        <v>-1.1511901927432682E-3</v>
      </c>
      <c r="K904" s="9"/>
      <c r="L904" s="9">
        <f ca="1">L903-O904*Prices!C904</f>
        <v>1.2397669107921436</v>
      </c>
      <c r="M904" s="1">
        <f t="shared" ca="1" si="87"/>
        <v>8.0182987019623043E-3</v>
      </c>
      <c r="N904" s="9">
        <f ca="1">IF(Prices!D903&gt;OFFSET(Prices!D903,-$N$3,0),1,-1)</f>
        <v>-1</v>
      </c>
      <c r="O904" s="1">
        <f ca="1">IF(N904=1,O$3*L903/Prices!C903,-O$3*M903)</f>
        <v>-8.9092207799581168E-4</v>
      </c>
      <c r="P904" s="14"/>
      <c r="Q904" s="9">
        <f ca="1">Q903-T904*Prices!C904</f>
        <v>0.77837739429434771</v>
      </c>
      <c r="R904" s="1">
        <f t="shared" ca="1" si="88"/>
        <v>1.2753137622625366E-2</v>
      </c>
      <c r="S904" s="9">
        <f ca="1">IF(Prices!C903&lt;OFFSET(Prices!C903,-S$3,0),1,-1)</f>
        <v>-1</v>
      </c>
      <c r="T904" s="1">
        <f ca="1">IF(S904=1,T$3*Q903/Prices!C903,-T$3*R903)</f>
        <v>-2.6026811474745646E-4</v>
      </c>
    </row>
    <row r="905" spans="1:20" x14ac:dyDescent="0.2">
      <c r="A905" s="4">
        <v>34773</v>
      </c>
      <c r="B905" s="9">
        <f ca="1">Prices!C904*(1+J905/(50*(ABS(O905)+ABS(T905)+0.0001)))</f>
        <v>89.703892336932299</v>
      </c>
      <c r="C905" s="21">
        <f t="shared" ca="1" si="83"/>
        <v>-1</v>
      </c>
      <c r="D905" s="9">
        <f ca="1">D904+C905*(Prices!C905-Prices!C904)/Prices!C904</f>
        <v>0.41799701076043488</v>
      </c>
      <c r="E905" s="9">
        <f t="shared" ca="1" si="84"/>
        <v>1.5181780725561367E-2</v>
      </c>
      <c r="F905" s="9">
        <f t="shared" ca="1" si="85"/>
        <v>0.43317879148599625</v>
      </c>
      <c r="G905" s="13">
        <f ca="1">IF((Prices!C905-Prices!C904)*C905&gt;0,1,0)</f>
        <v>1</v>
      </c>
      <c r="H905" s="9">
        <f>ABS(Prices!C905-Prices!C904)/Prices!C904</f>
        <v>1.4101575410377891E-2</v>
      </c>
      <c r="I905" s="13"/>
      <c r="J905" s="1">
        <f t="shared" ca="1" si="86"/>
        <v>-6.303244401434933E-4</v>
      </c>
      <c r="K905" s="9"/>
      <c r="L905" s="9">
        <f ca="1">L904-O905*Prices!C905</f>
        <v>1.3115226658760042</v>
      </c>
      <c r="M905" s="1">
        <f t="shared" ca="1" si="87"/>
        <v>7.2164688317660737E-3</v>
      </c>
      <c r="N905" s="9">
        <f ca="1">IF(Prices!D904&gt;OFFSET(Prices!D904,-$N$3,0),1,-1)</f>
        <v>-1</v>
      </c>
      <c r="O905" s="1">
        <f ca="1">IF(N905=1,O$3*L904/Prices!C904,-O$3*M904)</f>
        <v>-8.018298701962305E-4</v>
      </c>
      <c r="P905" s="14"/>
      <c r="Q905" s="9">
        <f ca="1">Q904-T905*Prices!C905</f>
        <v>0.76302937335892829</v>
      </c>
      <c r="R905" s="1">
        <f t="shared" ca="1" si="88"/>
        <v>1.2924643052678103E-2</v>
      </c>
      <c r="S905" s="9">
        <f ca="1">IF(Prices!C904&lt;OFFSET(Prices!C904,-S$3,0),1,-1)</f>
        <v>1</v>
      </c>
      <c r="T905" s="1">
        <f ca="1">IF(S905=1,T$3*Q904/Prices!C904,-T$3*R904)</f>
        <v>1.715054300527372E-4</v>
      </c>
    </row>
    <row r="906" spans="1:20" x14ac:dyDescent="0.2">
      <c r="A906" s="4">
        <v>34774</v>
      </c>
      <c r="B906" s="9">
        <f ca="1">Prices!C905*(1+J906/(50*(ABS(O906)+ABS(T906)+0.0001)))</f>
        <v>88.495829062339766</v>
      </c>
      <c r="C906" s="21">
        <f t="shared" ca="1" si="83"/>
        <v>-1</v>
      </c>
      <c r="D906" s="9">
        <f ca="1">D905+C906*(Prices!C906-Prices!C905)/Prices!C905</f>
        <v>0.40883397578445985</v>
      </c>
      <c r="E906" s="9">
        <f t="shared" ca="1" si="84"/>
        <v>2.4344815701536404E-2</v>
      </c>
      <c r="F906" s="9">
        <f t="shared" ca="1" si="85"/>
        <v>0.43317879148599625</v>
      </c>
      <c r="G906" s="13">
        <f ca="1">IF((Prices!C906-Prices!C905)*C906&gt;0,1,0)</f>
        <v>0</v>
      </c>
      <c r="H906" s="9">
        <f>ABS(Prices!C906-Prices!C905)/Prices!C905</f>
        <v>9.163034975975053E-3</v>
      </c>
      <c r="I906" s="13"/>
      <c r="J906" s="1">
        <f t="shared" ca="1" si="86"/>
        <v>-5.5111847254772639E-4</v>
      </c>
      <c r="K906" s="9"/>
      <c r="L906" s="9">
        <f ca="1">L905-O906*Prices!C906</f>
        <v>1.3766945958956835</v>
      </c>
      <c r="M906" s="1">
        <f t="shared" ca="1" si="87"/>
        <v>6.4948219485894661E-3</v>
      </c>
      <c r="N906" s="9">
        <f ca="1">IF(Prices!D905&gt;OFFSET(Prices!D905,-$N$3,0),1,-1)</f>
        <v>-1</v>
      </c>
      <c r="O906" s="1">
        <f ca="1">IF(N906=1,O$3*L905/Prices!C905,-O$3*M905)</f>
        <v>-7.2164688317660742E-4</v>
      </c>
      <c r="P906" s="14"/>
      <c r="Q906" s="9">
        <f ca="1">Q905-T906*Prices!C906</f>
        <v>0.74762895259503404</v>
      </c>
      <c r="R906" s="1">
        <f t="shared" ca="1" si="88"/>
        <v>1.3095171463306984E-2</v>
      </c>
      <c r="S906" s="9">
        <f ca="1">IF(Prices!C905&lt;OFFSET(Prices!C905,-S$3,0),1,-1)</f>
        <v>1</v>
      </c>
      <c r="T906" s="1">
        <f ca="1">IF(S906=1,T$3*Q905/Prices!C905,-T$3*R905)</f>
        <v>1.7052841062888105E-4</v>
      </c>
    </row>
    <row r="907" spans="1:20" x14ac:dyDescent="0.2">
      <c r="A907" s="4">
        <v>34775</v>
      </c>
      <c r="B907" s="9">
        <f ca="1">Prices!C906*(1+J907/(50*(ABS(O907)+ABS(T907)+0.0001)))</f>
        <v>89.35481551086599</v>
      </c>
      <c r="C907" s="21">
        <f t="shared" ca="1" si="83"/>
        <v>-1</v>
      </c>
      <c r="D907" s="9">
        <f ca="1">D906+C907*(Prices!C907-Prices!C906)/Prices!C906</f>
        <v>0.42278591909084901</v>
      </c>
      <c r="E907" s="9">
        <f t="shared" ca="1" si="84"/>
        <v>1.0392872395147246E-2</v>
      </c>
      <c r="F907" s="9">
        <f t="shared" ca="1" si="85"/>
        <v>0.43317879148599625</v>
      </c>
      <c r="G907" s="13">
        <f ca="1">IF((Prices!C907-Prices!C906)*C907&gt;0,1,0)</f>
        <v>1</v>
      </c>
      <c r="H907" s="9">
        <f>ABS(Prices!C907-Prices!C906)/Prices!C906</f>
        <v>1.395194330638916E-2</v>
      </c>
      <c r="I907" s="13"/>
      <c r="J907" s="1">
        <f t="shared" ca="1" si="86"/>
        <v>-4.8391272246496283E-4</v>
      </c>
      <c r="K907" s="9"/>
      <c r="L907" s="9">
        <f ca="1">L906-O907*Prices!C907</f>
        <v>1.4345309853478727</v>
      </c>
      <c r="M907" s="1">
        <f t="shared" ca="1" si="87"/>
        <v>5.8453397537305196E-3</v>
      </c>
      <c r="N907" s="9">
        <f ca="1">IF(Prices!D906&gt;OFFSET(Prices!D906,-$N$3,0),1,-1)</f>
        <v>-1</v>
      </c>
      <c r="O907" s="1">
        <f ca="1">IF(N907=1,O$3*L906/Prices!C906,-O$3*M906)</f>
        <v>-6.4948219485894663E-4</v>
      </c>
      <c r="P907" s="14"/>
      <c r="Q907" s="9">
        <f ca="1">Q906-T907*Prices!C907</f>
        <v>0.73288499107834981</v>
      </c>
      <c r="R907" s="1">
        <f t="shared" ca="1" si="88"/>
        <v>1.3260740935700968E-2</v>
      </c>
      <c r="S907" s="9">
        <f ca="1">IF(Prices!C906&lt;OFFSET(Prices!C906,-S$3,0),1,-1)</f>
        <v>1</v>
      </c>
      <c r="T907" s="1">
        <f ca="1">IF(S907=1,T$3*Q906/Prices!C906,-T$3*R906)</f>
        <v>1.6556947239398383E-4</v>
      </c>
    </row>
    <row r="908" spans="1:20" x14ac:dyDescent="0.2">
      <c r="A908" s="4">
        <v>34778</v>
      </c>
      <c r="B908" s="9">
        <f ca="1">Prices!C907*(1+J908/(50*(ABS(O908)+ABS(T908)+0.0001)))</f>
        <v>90.736040091080724</v>
      </c>
      <c r="C908" s="21">
        <f t="shared" ca="1" si="83"/>
        <v>1</v>
      </c>
      <c r="D908" s="9">
        <f ca="1">D907+C908*(Prices!C908-Prices!C907)/Prices!C907</f>
        <v>0.42615481297069174</v>
      </c>
      <c r="E908" s="9">
        <f t="shared" ca="1" si="84"/>
        <v>7.0239785153045076E-3</v>
      </c>
      <c r="F908" s="9">
        <f t="shared" ca="1" si="85"/>
        <v>0.43317879148599625</v>
      </c>
      <c r="G908" s="13">
        <f ca="1">IF((Prices!C908-Prices!C907)*C908&gt;0,1,0)</f>
        <v>1</v>
      </c>
      <c r="H908" s="9">
        <f>ABS(Prices!C908-Prices!C907)/Prices!C907</f>
        <v>3.3688938798427533E-3</v>
      </c>
      <c r="I908" s="13"/>
      <c r="J908" s="1">
        <f t="shared" ca="1" si="86"/>
        <v>1.7755283363992619E-3</v>
      </c>
      <c r="K908" s="9"/>
      <c r="L908" s="9">
        <f ca="1">L907-O908*Prices!C908</f>
        <v>1.2905946085473872</v>
      </c>
      <c r="M908" s="1">
        <f t="shared" ca="1" si="87"/>
        <v>7.4562673060582819E-3</v>
      </c>
      <c r="N908" s="9">
        <f ca="1">IF(Prices!D907&gt;OFFSET(Prices!D907,-$N$3,0),1,-1)</f>
        <v>1</v>
      </c>
      <c r="O908" s="1">
        <f ca="1">IF(N908=1,O$3*L907/Prices!C907,-O$3*M907)</f>
        <v>1.6109275523277628E-3</v>
      </c>
      <c r="P908" s="14"/>
      <c r="Q908" s="9">
        <f ca="1">Q907-T908*Prices!C908</f>
        <v>0.71817791102156137</v>
      </c>
      <c r="R908" s="1">
        <f t="shared" ca="1" si="88"/>
        <v>1.3425341719772468E-2</v>
      </c>
      <c r="S908" s="9">
        <f ca="1">IF(Prices!C907&lt;OFFSET(Prices!C907,-S$3,0),1,-1)</f>
        <v>1</v>
      </c>
      <c r="T908" s="1">
        <f ca="1">IF(S908=1,T$3*Q907/Prices!C907,-T$3*R907)</f>
        <v>1.6460078407149912E-4</v>
      </c>
    </row>
    <row r="909" spans="1:20" x14ac:dyDescent="0.2">
      <c r="A909" s="4">
        <v>34779</v>
      </c>
      <c r="B909" s="9">
        <f ca="1">Prices!C908*(1+J909/(50*(ABS(O909)+ABS(T909)+0.0001)))</f>
        <v>91.032201807578488</v>
      </c>
      <c r="C909" s="21">
        <f t="shared" ca="1" si="83"/>
        <v>1</v>
      </c>
      <c r="D909" s="9">
        <f ca="1">D908+C909*(Prices!C909-Prices!C908)/Prices!C908</f>
        <v>0.42615481297069174</v>
      </c>
      <c r="E909" s="9">
        <f t="shared" ca="1" si="84"/>
        <v>7.0239785153045076E-3</v>
      </c>
      <c r="F909" s="9">
        <f t="shared" ca="1" si="85"/>
        <v>0.43317879148599625</v>
      </c>
      <c r="G909" s="13">
        <f ca="1">IF((Prices!C909-Prices!C908)*C909&gt;0,1,0)</f>
        <v>0</v>
      </c>
      <c r="H909" s="9">
        <f>ABS(Prices!C909-Prices!C908)/Prices!C908</f>
        <v>0</v>
      </c>
      <c r="I909" s="13"/>
      <c r="J909" s="1">
        <f t="shared" ca="1" si="86"/>
        <v>1.605182082542473E-3</v>
      </c>
      <c r="K909" s="9"/>
      <c r="L909" s="9">
        <f ca="1">L908-O909*Prices!C909</f>
        <v>1.1615351476926485</v>
      </c>
      <c r="M909" s="1">
        <f t="shared" ca="1" si="87"/>
        <v>8.9006932809294476E-3</v>
      </c>
      <c r="N909" s="9">
        <f ca="1">IF(Prices!D908&gt;OFFSET(Prices!D908,-$N$3,0),1,-1)</f>
        <v>1</v>
      </c>
      <c r="O909" s="1">
        <f ca="1">IF(N909=1,O$3*L908/Prices!C908,-O$3*M908)</f>
        <v>1.4444259748711665E-3</v>
      </c>
      <c r="P909" s="14"/>
      <c r="Q909" s="9">
        <f ca="1">Q908-T909*Prices!C909</f>
        <v>0.70381435280113014</v>
      </c>
      <c r="R909" s="1">
        <f t="shared" ca="1" si="88"/>
        <v>1.3586097827443773E-2</v>
      </c>
      <c r="S909" s="9">
        <f ca="1">IF(Prices!C908&lt;OFFSET(Prices!C908,-S$3,0),1,-1)</f>
        <v>1</v>
      </c>
      <c r="T909" s="1">
        <f ca="1">IF(S909=1,T$3*Q908/Prices!C908,-T$3*R908)</f>
        <v>1.607561076713064E-4</v>
      </c>
    </row>
    <row r="910" spans="1:20" x14ac:dyDescent="0.2">
      <c r="A910" s="4">
        <v>34780</v>
      </c>
      <c r="B910" s="9">
        <f ca="1">Prices!C909*(1+J910/(50*(ABS(O910)+ABS(T910)+0.0001)))</f>
        <v>91.022266642207086</v>
      </c>
      <c r="C910" s="21">
        <f t="shared" ca="1" si="83"/>
        <v>1</v>
      </c>
      <c r="D910" s="9">
        <f ca="1">D909+C910*(Prices!C910-Prices!C909)/Prices!C909</f>
        <v>0.42257339159408297</v>
      </c>
      <c r="E910" s="9">
        <f t="shared" ca="1" si="84"/>
        <v>1.0605399891913281E-2</v>
      </c>
      <c r="F910" s="9">
        <f t="shared" ca="1" si="85"/>
        <v>0.43317879148599625</v>
      </c>
      <c r="G910" s="13">
        <f ca="1">IF((Prices!C910-Prices!C909)*C910&gt;0,1,0)</f>
        <v>0</v>
      </c>
      <c r="H910" s="9">
        <f>ABS(Prices!C910-Prices!C909)/Prices!C909</f>
        <v>3.5814213766087654E-3</v>
      </c>
      <c r="I910" s="13"/>
      <c r="J910" s="1">
        <f t="shared" ca="1" si="86"/>
        <v>1.4575243629019303E-3</v>
      </c>
      <c r="K910" s="9"/>
      <c r="L910" s="9">
        <f ca="1">L909-O910*Prices!C910</f>
        <v>1.0457976276041465</v>
      </c>
      <c r="M910" s="1">
        <f t="shared" ca="1" si="87"/>
        <v>1.0200676658313498E-2</v>
      </c>
      <c r="N910" s="9">
        <f ca="1">IF(Prices!D909&gt;OFFSET(Prices!D909,-$N$3,0),1,-1)</f>
        <v>1</v>
      </c>
      <c r="O910" s="1">
        <f ca="1">IF(N910=1,O$3*L909/Prices!C909,-O$3*M909)</f>
        <v>1.29998337738405E-3</v>
      </c>
      <c r="P910" s="14"/>
      <c r="Q910" s="9">
        <f ca="1">Q909-T910*Prices!C910</f>
        <v>0.68978847886047323</v>
      </c>
      <c r="R910" s="1">
        <f t="shared" ca="1" si="88"/>
        <v>1.3743638812961654E-2</v>
      </c>
      <c r="S910" s="9">
        <f ca="1">IF(Prices!C909&lt;OFFSET(Prices!C909,-S$3,0),1,-1)</f>
        <v>1</v>
      </c>
      <c r="T910" s="1">
        <f ca="1">IF(S910=1,T$3*Q909/Prices!C909,-T$3*R909)</f>
        <v>1.5754098551788029E-4</v>
      </c>
    </row>
    <row r="911" spans="1:20" x14ac:dyDescent="0.2">
      <c r="A911" s="4">
        <v>34781</v>
      </c>
      <c r="B911" s="9">
        <f ca="1">Prices!C910*(1+J911/(50*(ABS(O911)+ABS(T911)+0.0001)))</f>
        <v>90.686048895356933</v>
      </c>
      <c r="C911" s="21">
        <f t="shared" ca="1" si="83"/>
        <v>1</v>
      </c>
      <c r="D911" s="9">
        <f ca="1">D910+C911*(Prices!C911-Prices!C910)/Prices!C910</f>
        <v>0.4126890829340808</v>
      </c>
      <c r="E911" s="9">
        <f t="shared" ca="1" si="84"/>
        <v>2.0489708551915453E-2</v>
      </c>
      <c r="F911" s="9">
        <f t="shared" ca="1" si="85"/>
        <v>0.43317879148599625</v>
      </c>
      <c r="G911" s="13">
        <f ca="1">IF((Prices!C911-Prices!C910)*C911&gt;0,1,0)</f>
        <v>0</v>
      </c>
      <c r="H911" s="9">
        <f>ABS(Prices!C911-Prices!C910)/Prices!C910</f>
        <v>9.8843086600021949E-3</v>
      </c>
      <c r="I911" s="13"/>
      <c r="J911" s="1">
        <f t="shared" ca="1" si="86"/>
        <v>1.3296139766104025E-3</v>
      </c>
      <c r="K911" s="9"/>
      <c r="L911" s="9">
        <f ca="1">L910-O911*Prices!C911</f>
        <v>0.94225156349844563</v>
      </c>
      <c r="M911" s="1">
        <f t="shared" ca="1" si="87"/>
        <v>1.137533422048821E-2</v>
      </c>
      <c r="N911" s="9">
        <f ca="1">IF(Prices!D910&gt;OFFSET(Prices!D910,-$N$3,0),1,-1)</f>
        <v>1</v>
      </c>
      <c r="O911" s="1">
        <f ca="1">IF(N911=1,O$3*L910/Prices!C910,-O$3*M910)</f>
        <v>1.1746575621747126E-3</v>
      </c>
      <c r="P911" s="14"/>
      <c r="Q911" s="9">
        <f ca="1">Q910-T911*Prices!C911</f>
        <v>0.67612907092796715</v>
      </c>
      <c r="R911" s="1">
        <f t="shared" ca="1" si="88"/>
        <v>1.3898595227397344E-2</v>
      </c>
      <c r="S911" s="9">
        <f ca="1">IF(Prices!C910&lt;OFFSET(Prices!C910,-S$3,0),1,-1)</f>
        <v>1</v>
      </c>
      <c r="T911" s="1">
        <f ca="1">IF(S911=1,T$3*Q910/Prices!C910,-T$3*R910)</f>
        <v>1.5495641443568983E-4</v>
      </c>
    </row>
    <row r="912" spans="1:20" x14ac:dyDescent="0.2">
      <c r="A912" s="4">
        <v>34782</v>
      </c>
      <c r="B912" s="9">
        <f ca="1">Prices!C911*(1+J912/(50*(ABS(O912)+ABS(T912)+0.0001)))</f>
        <v>89.779673987780924</v>
      </c>
      <c r="C912" s="21">
        <f t="shared" ca="1" si="83"/>
        <v>1</v>
      </c>
      <c r="D912" s="9">
        <f ca="1">D911+C912*(Prices!C912-Prices!C911)/Prices!C911</f>
        <v>0.42108386455631558</v>
      </c>
      <c r="E912" s="9">
        <f t="shared" ca="1" si="84"/>
        <v>1.2094926929680672E-2</v>
      </c>
      <c r="F912" s="9">
        <f t="shared" ca="1" si="85"/>
        <v>0.43317879148599625</v>
      </c>
      <c r="G912" s="13">
        <f ca="1">IF((Prices!C912-Prices!C911)*C912&gt;0,1,0)</f>
        <v>1</v>
      </c>
      <c r="H912" s="9">
        <f>ABS(Prices!C912-Prices!C911)/Prices!C911</f>
        <v>8.3947816222347676E-3</v>
      </c>
      <c r="I912" s="13"/>
      <c r="J912" s="1">
        <f t="shared" ca="1" si="86"/>
        <v>1.2223226065615871E-3</v>
      </c>
      <c r="K912" s="9"/>
      <c r="L912" s="9">
        <f ca="1">L911-O912*Prices!C912</f>
        <v>0.8472354075377232</v>
      </c>
      <c r="M912" s="1">
        <f t="shared" ca="1" si="87"/>
        <v>1.2444252613566424E-2</v>
      </c>
      <c r="N912" s="9">
        <f ca="1">IF(Prices!D911&gt;OFFSET(Prices!D911,-$N$3,0),1,-1)</f>
        <v>1</v>
      </c>
      <c r="O912" s="1">
        <f ca="1">IF(N912=1,O$3*L911/Prices!C911,-O$3*M911)</f>
        <v>1.0689183930782139E-3</v>
      </c>
      <c r="P912" s="14"/>
      <c r="Q912" s="9">
        <f ca="1">Q911-T912*Prices!C912</f>
        <v>0.66249297039143007</v>
      </c>
      <c r="R912" s="1">
        <f t="shared" ca="1" si="88"/>
        <v>1.4051999440880716E-2</v>
      </c>
      <c r="S912" s="9">
        <f ca="1">IF(Prices!C911&lt;OFFSET(Prices!C911,-S$3,0),1,-1)</f>
        <v>1</v>
      </c>
      <c r="T912" s="1">
        <f ca="1">IF(S912=1,T$3*Q911/Prices!C911,-T$3*R911)</f>
        <v>1.5340421348337315E-4</v>
      </c>
    </row>
    <row r="913" spans="1:20" x14ac:dyDescent="0.2">
      <c r="A913" s="4">
        <v>34785</v>
      </c>
      <c r="B913" s="9">
        <f ca="1">Prices!C912*(1+J913/(50*(ABS(O913)+ABS(T913)+0.0001)))</f>
        <v>87.586108141193222</v>
      </c>
      <c r="C913" s="21">
        <f t="shared" ca="1" si="83"/>
        <v>-1</v>
      </c>
      <c r="D913" s="9">
        <f ca="1">D912+C913*(Prices!C913-Prices!C912)/Prices!C912</f>
        <v>0.41590892924300704</v>
      </c>
      <c r="E913" s="9">
        <f t="shared" ca="1" si="84"/>
        <v>1.7269862242989209E-2</v>
      </c>
      <c r="F913" s="9">
        <f t="shared" ca="1" si="85"/>
        <v>0.43317879148599625</v>
      </c>
      <c r="G913" s="13">
        <f ca="1">IF((Prices!C913-Prices!C912)*C913&gt;0,1,0)</f>
        <v>0</v>
      </c>
      <c r="H913" s="9">
        <f>ABS(Prices!C913-Prices!C912)/Prices!C912</f>
        <v>5.1749353133085131E-3</v>
      </c>
      <c r="I913" s="13"/>
      <c r="J913" s="1">
        <f t="shared" ca="1" si="86"/>
        <v>-1.0953662062567595E-3</v>
      </c>
      <c r="K913" s="9"/>
      <c r="L913" s="9">
        <f ca="1">L912-O913*Prices!C913</f>
        <v>0.95842480463993918</v>
      </c>
      <c r="M913" s="1">
        <f t="shared" ca="1" si="87"/>
        <v>1.1199827352209781E-2</v>
      </c>
      <c r="N913" s="9">
        <f ca="1">IF(Prices!D912&gt;OFFSET(Prices!D912,-$N$3,0),1,-1)</f>
        <v>-1</v>
      </c>
      <c r="O913" s="1">
        <f ca="1">IF(N913=1,O$3*L912/Prices!C912,-O$3*M912)</f>
        <v>-1.2444252613566424E-3</v>
      </c>
      <c r="P913" s="14"/>
      <c r="Q913" s="9">
        <f ca="1">Q912-T913*Prices!C913</f>
        <v>0.64917454381825557</v>
      </c>
      <c r="R913" s="1">
        <f t="shared" ca="1" si="88"/>
        <v>1.4201058495980599E-2</v>
      </c>
      <c r="S913" s="9">
        <f ca="1">IF(Prices!C912&lt;OFFSET(Prices!C912,-S$3,0),1,-1)</f>
        <v>1</v>
      </c>
      <c r="T913" s="1">
        <f ca="1">IF(S913=1,T$3*Q912/Prices!C912,-T$3*R912)</f>
        <v>1.4905905509988301E-4</v>
      </c>
    </row>
    <row r="914" spans="1:20" x14ac:dyDescent="0.2">
      <c r="A914" s="4">
        <v>34786</v>
      </c>
      <c r="B914" s="9">
        <f ca="1">Prices!C913*(1+J914/(50*(ABS(O914)+ABS(T914)+0.0001)))</f>
        <v>87.681816180855122</v>
      </c>
      <c r="C914" s="21">
        <f t="shared" ref="C914:C977" ca="1" si="89">IF(J914&gt;0,1,IF(J914&lt;0,-1,0))</f>
        <v>-1</v>
      </c>
      <c r="D914" s="9">
        <f ca="1">D913+C914*(Prices!C914-Prices!C913)/Prices!C913</f>
        <v>0.42083338363584416</v>
      </c>
      <c r="E914" s="9">
        <f t="shared" ref="E914:E977" ca="1" si="90">F914-D914</f>
        <v>1.234540785015209E-2</v>
      </c>
      <c r="F914" s="9">
        <f t="shared" ref="F914:F977" ca="1" si="91">MAX(F913,D914)</f>
        <v>0.43317879148599625</v>
      </c>
      <c r="G914" s="13">
        <f ca="1">IF((Prices!C914-Prices!C913)*C914&gt;0,1,0)</f>
        <v>1</v>
      </c>
      <c r="H914" s="9">
        <f>ABS(Prices!C914-Prices!C913)/Prices!C913</f>
        <v>4.9244543928371317E-3</v>
      </c>
      <c r="I914" s="13"/>
      <c r="J914" s="1">
        <f t="shared" ref="J914:J977" ca="1" si="92">O914+T914</f>
        <v>-1.4040039051405901E-3</v>
      </c>
      <c r="K914" s="9"/>
      <c r="L914" s="9">
        <f ca="1">L913-O914*Prices!C914</f>
        <v>1.0580024696284362</v>
      </c>
      <c r="M914" s="1">
        <f t="shared" ref="M914:M977" ca="1" si="93">M913+O914</f>
        <v>1.0079844616988803E-2</v>
      </c>
      <c r="N914" s="9">
        <f ca="1">IF(Prices!D913&gt;OFFSET(Prices!D913,-$N$3,0),1,-1)</f>
        <v>-1</v>
      </c>
      <c r="O914" s="1">
        <f ca="1">IF(N914=1,O$3*L913/Prices!C913,-O$3*M913)</f>
        <v>-1.1199827352209781E-3</v>
      </c>
      <c r="P914" s="14"/>
      <c r="Q914" s="9">
        <f ca="1">Q913-T914*Prices!C914</f>
        <v>0.67442686603580826</v>
      </c>
      <c r="R914" s="1">
        <f t="shared" ref="R914:R977" ca="1" si="94">R913+T914</f>
        <v>1.3917037326060987E-2</v>
      </c>
      <c r="S914" s="9">
        <f ca="1">IF(Prices!C913&lt;OFFSET(Prices!C913,-S$3,0),1,-1)</f>
        <v>-1</v>
      </c>
      <c r="T914" s="1">
        <f ca="1">IF(S914=1,T$3*Q913/Prices!C913,-T$3*R913)</f>
        <v>-2.8402116991961199E-4</v>
      </c>
    </row>
    <row r="915" spans="1:20" x14ac:dyDescent="0.2">
      <c r="A915" s="4">
        <v>34787</v>
      </c>
      <c r="B915" s="9">
        <f ca="1">Prices!C914*(1+J915/(50*(ABS(O915)+ABS(T915)+0.0001)))</f>
        <v>90.564857803035252</v>
      </c>
      <c r="C915" s="21">
        <f t="shared" ca="1" si="89"/>
        <v>1</v>
      </c>
      <c r="D915" s="9">
        <f ca="1">D914+C915*(Prices!C915-Prices!C914)/Prices!C914</f>
        <v>0.41442240624297505</v>
      </c>
      <c r="E915" s="9">
        <f t="shared" ca="1" si="90"/>
        <v>1.8756385243021201E-2</v>
      </c>
      <c r="F915" s="9">
        <f t="shared" ca="1" si="91"/>
        <v>0.43317879148599625</v>
      </c>
      <c r="G915" s="13">
        <f ca="1">IF((Prices!C915-Prices!C914)*C915&gt;0,1,0)</f>
        <v>0</v>
      </c>
      <c r="H915" s="9">
        <f>ABS(Prices!C915-Prices!C914)/Prices!C914</f>
        <v>6.4109773928691174E-3</v>
      </c>
      <c r="I915" s="13"/>
      <c r="J915" s="1">
        <f t="shared" ca="1" si="92"/>
        <v>1.3416801741486873E-3</v>
      </c>
      <c r="K915" s="9"/>
      <c r="L915" s="9">
        <f ca="1">L914-O915*Prices!C915</f>
        <v>0.95288050565703142</v>
      </c>
      <c r="M915" s="1">
        <f t="shared" ca="1" si="93"/>
        <v>1.1269814777407695E-2</v>
      </c>
      <c r="N915" s="9">
        <f ca="1">IF(Prices!D914&gt;OFFSET(Prices!D914,-$N$3,0),1,-1)</f>
        <v>1</v>
      </c>
      <c r="O915" s="1">
        <f ca="1">IF(N915=1,O$3*L914/Prices!C914,-O$3*M914)</f>
        <v>1.1899701604188913E-3</v>
      </c>
      <c r="P915" s="14"/>
      <c r="Q915" s="9">
        <f ca="1">Q914-T915*Prices!C915</f>
        <v>0.66102480342291803</v>
      </c>
      <c r="R915" s="1">
        <f t="shared" ca="1" si="94"/>
        <v>1.4068747339790784E-2</v>
      </c>
      <c r="S915" s="9">
        <f ca="1">IF(Prices!C914&lt;OFFSET(Prices!C914,-S$3,0),1,-1)</f>
        <v>1</v>
      </c>
      <c r="T915" s="1">
        <f ca="1">IF(S915=1,T$3*Q914/Prices!C914,-T$3*R914)</f>
        <v>1.5171001372979605E-4</v>
      </c>
    </row>
    <row r="916" spans="1:20" x14ac:dyDescent="0.2">
      <c r="A916" s="4">
        <v>34788</v>
      </c>
      <c r="B916" s="9">
        <f ca="1">Prices!C915*(1+J916/(50*(ABS(O916)+ABS(T916)+0.0001)))</f>
        <v>89.304796226116565</v>
      </c>
      <c r="C916" s="21">
        <f t="shared" ca="1" si="89"/>
        <v>1</v>
      </c>
      <c r="D916" s="9">
        <f ca="1">D915+C916*(Prices!C916-Prices!C915)/Prices!C915</f>
        <v>0.4281194857086757</v>
      </c>
      <c r="E916" s="9">
        <f t="shared" ca="1" si="90"/>
        <v>5.0593057773205552E-3</v>
      </c>
      <c r="F916" s="9">
        <f t="shared" ca="1" si="91"/>
        <v>0.43317879148599625</v>
      </c>
      <c r="G916" s="13">
        <f ca="1">IF((Prices!C916-Prices!C915)*C916&gt;0,1,0)</f>
        <v>1</v>
      </c>
      <c r="H916" s="9">
        <f>ABS(Prices!C916-Prices!C915)/Prices!C915</f>
        <v>1.369707946570063E-2</v>
      </c>
      <c r="I916" s="13"/>
      <c r="J916" s="1">
        <f t="shared" ca="1" si="92"/>
        <v>7.9727629347702954E-4</v>
      </c>
      <c r="K916" s="9"/>
      <c r="L916" s="9">
        <f ca="1">L915-O916*Prices!C916</f>
        <v>0.85628728709059809</v>
      </c>
      <c r="M916" s="1">
        <f t="shared" ca="1" si="93"/>
        <v>1.234846601768054E-2</v>
      </c>
      <c r="N916" s="9">
        <f ca="1">IF(Prices!D915&gt;OFFSET(Prices!D915,-$N$3,0),1,-1)</f>
        <v>1</v>
      </c>
      <c r="O916" s="1">
        <f ca="1">IF(N916=1,O$3*L915/Prices!C915,-O$3*M915)</f>
        <v>1.0786512402728452E-3</v>
      </c>
      <c r="P916" s="14"/>
      <c r="Q916" s="9">
        <f ca="1">Q915-T916*Prices!C916</f>
        <v>0.6862219299084833</v>
      </c>
      <c r="R916" s="1">
        <f t="shared" ca="1" si="94"/>
        <v>1.3787372392994967E-2</v>
      </c>
      <c r="S916" s="9">
        <f ca="1">IF(Prices!C915&lt;OFFSET(Prices!C915,-S$3,0),1,-1)</f>
        <v>-1</v>
      </c>
      <c r="T916" s="1">
        <f ca="1">IF(S916=1,T$3*Q915/Prices!C915,-T$3*R915)</f>
        <v>-2.8137494679581566E-4</v>
      </c>
    </row>
    <row r="917" spans="1:20" x14ac:dyDescent="0.2">
      <c r="A917" s="4">
        <v>34789</v>
      </c>
      <c r="B917" s="9">
        <f ca="1">Prices!C916*(1+J917/(50*(ABS(O917)+ABS(T917)+0.0001)))</f>
        <v>90.464976404189699</v>
      </c>
      <c r="C917" s="21">
        <f t="shared" ca="1" si="89"/>
        <v>1</v>
      </c>
      <c r="D917" s="9">
        <f ca="1">D916+C917*(Prices!C917-Prices!C916)/Prices!C916</f>
        <v>0.39461864818773768</v>
      </c>
      <c r="E917" s="9">
        <f t="shared" ca="1" si="90"/>
        <v>3.8560143298258576E-2</v>
      </c>
      <c r="F917" s="9">
        <f t="shared" ca="1" si="91"/>
        <v>0.43317879148599625</v>
      </c>
      <c r="G917" s="13">
        <f ca="1">IF((Prices!C917-Prices!C916)*C917&gt;0,1,0)</f>
        <v>0</v>
      </c>
      <c r="H917" s="9">
        <f>ABS(Prices!C917-Prices!C916)/Prices!C916</f>
        <v>3.3500837520938027E-2</v>
      </c>
      <c r="I917" s="13"/>
      <c r="J917" s="1">
        <f t="shared" ca="1" si="92"/>
        <v>6.8046392800899861E-4</v>
      </c>
      <c r="K917" s="9"/>
      <c r="L917" s="9">
        <f ca="1">L916-O917*Prices!C917</f>
        <v>0.77352719250914492</v>
      </c>
      <c r="M917" s="1">
        <f t="shared" ca="1" si="93"/>
        <v>1.3304677393549439E-2</v>
      </c>
      <c r="N917" s="9">
        <f ca="1">IF(Prices!D916&gt;OFFSET(Prices!D916,-$N$3,0),1,-1)</f>
        <v>1</v>
      </c>
      <c r="O917" s="1">
        <f ca="1">IF(N917=1,O$3*L916/Prices!C916,-O$3*M916)</f>
        <v>9.5621137586889796E-4</v>
      </c>
      <c r="P917" s="14"/>
      <c r="Q917" s="9">
        <f ca="1">Q916-T917*Prices!C917</f>
        <v>0.71008787152075759</v>
      </c>
      <c r="R917" s="1">
        <f t="shared" ca="1" si="94"/>
        <v>1.3511624945135067E-2</v>
      </c>
      <c r="S917" s="9">
        <f ca="1">IF(Prices!C916&lt;OFFSET(Prices!C916,-S$3,0),1,-1)</f>
        <v>-1</v>
      </c>
      <c r="T917" s="1">
        <f ca="1">IF(S917=1,T$3*Q916/Prices!C916,-T$3*R916)</f>
        <v>-2.7574744785989935E-4</v>
      </c>
    </row>
    <row r="918" spans="1:20" x14ac:dyDescent="0.2">
      <c r="A918" s="4">
        <v>34792</v>
      </c>
      <c r="B918" s="9">
        <f ca="1">Prices!C917*(1+J918/(50*(ABS(O918)+ABS(T918)+0.0001)))</f>
        <v>88.131495127844616</v>
      </c>
      <c r="C918" s="21">
        <f t="shared" ca="1" si="89"/>
        <v>1</v>
      </c>
      <c r="D918" s="9">
        <f ca="1">D917+C918*(Prices!C918-Prices!C917)/Prices!C917</f>
        <v>0.38653083767358398</v>
      </c>
      <c r="E918" s="9">
        <f t="shared" ca="1" si="90"/>
        <v>4.6647953812412268E-2</v>
      </c>
      <c r="F918" s="9">
        <f t="shared" ca="1" si="91"/>
        <v>0.43317879148599625</v>
      </c>
      <c r="G918" s="13">
        <f ca="1">IF((Prices!C918-Prices!C917)*C918&gt;0,1,0)</f>
        <v>0</v>
      </c>
      <c r="H918" s="9">
        <f>ABS(Prices!C918-Prices!C917)/Prices!C917</f>
        <v>8.0878105141537013E-3</v>
      </c>
      <c r="I918" s="13"/>
      <c r="J918" s="1">
        <f t="shared" ca="1" si="92"/>
        <v>1.0578217987444211E-3</v>
      </c>
      <c r="K918" s="9"/>
      <c r="L918" s="9">
        <f ca="1">L917-O918*Prices!C918</f>
        <v>0.69680008739428634</v>
      </c>
      <c r="M918" s="1">
        <f t="shared" ca="1" si="93"/>
        <v>1.419841187362933E-2</v>
      </c>
      <c r="N918" s="9">
        <f ca="1">IF(Prices!D917&gt;OFFSET(Prices!D917,-$N$3,0),1,-1)</f>
        <v>1</v>
      </c>
      <c r="O918" s="1">
        <f ca="1">IF(N918=1,O$3*L917/Prices!C917,-O$3*M917)</f>
        <v>8.9373448007989021E-4</v>
      </c>
      <c r="P918" s="14"/>
      <c r="Q918" s="9">
        <f ca="1">Q917-T918*Prices!C918</f>
        <v>0.69600097521340765</v>
      </c>
      <c r="R918" s="1">
        <f t="shared" ca="1" si="94"/>
        <v>1.3675712263799598E-2</v>
      </c>
      <c r="S918" s="9">
        <f ca="1">IF(Prices!C917&lt;OFFSET(Prices!C917,-S$3,0),1,-1)</f>
        <v>1</v>
      </c>
      <c r="T918" s="1">
        <f ca="1">IF(S918=1,T$3*Q917/Prices!C917,-T$3*R917)</f>
        <v>1.6408731866453092E-4</v>
      </c>
    </row>
    <row r="919" spans="1:20" x14ac:dyDescent="0.2">
      <c r="A919" s="4">
        <v>34793</v>
      </c>
      <c r="B919" s="9">
        <f ca="1">Prices!C918*(1+J919/(50*(ABS(O919)+ABS(T919)+0.0001)))</f>
        <v>84.566119745676886</v>
      </c>
      <c r="C919" s="21">
        <f t="shared" ca="1" si="89"/>
        <v>-1</v>
      </c>
      <c r="D919" s="9">
        <f ca="1">D918+C919*(Prices!C919-Prices!C918)/Prices!C918</f>
        <v>0.38245395939752097</v>
      </c>
      <c r="E919" s="9">
        <f t="shared" ca="1" si="90"/>
        <v>5.072483208847528E-2</v>
      </c>
      <c r="F919" s="9">
        <f t="shared" ca="1" si="91"/>
        <v>0.43317879148599625</v>
      </c>
      <c r="G919" s="13">
        <f ca="1">IF((Prices!C919-Prices!C918)*C919&gt;0,1,0)</f>
        <v>0</v>
      </c>
      <c r="H919" s="9">
        <f>ABS(Prices!C919-Prices!C918)/Prices!C918</f>
        <v>4.0768782760629996E-3</v>
      </c>
      <c r="I919" s="13"/>
      <c r="J919" s="1">
        <f t="shared" ca="1" si="92"/>
        <v>-1.2576976870220112E-3</v>
      </c>
      <c r="K919" s="9"/>
      <c r="L919" s="9">
        <f ca="1">L918-O919*Prices!C919</f>
        <v>0.81919039774497115</v>
      </c>
      <c r="M919" s="1">
        <f t="shared" ca="1" si="93"/>
        <v>1.2778570686266397E-2</v>
      </c>
      <c r="N919" s="9">
        <f ca="1">IF(Prices!D918&gt;OFFSET(Prices!D918,-$N$3,0),1,-1)</f>
        <v>-1</v>
      </c>
      <c r="O919" s="1">
        <f ca="1">IF(N919=1,O$3*L918/Prices!C918,-O$3*M918)</f>
        <v>-1.4198411873629331E-3</v>
      </c>
      <c r="P919" s="14"/>
      <c r="Q919" s="9">
        <f ca="1">Q918-T919*Prices!C919</f>
        <v>0.68202420548402021</v>
      </c>
      <c r="R919" s="1">
        <f t="shared" ca="1" si="94"/>
        <v>1.383785576414052E-2</v>
      </c>
      <c r="S919" s="9">
        <f ca="1">IF(Prices!C918&lt;OFFSET(Prices!C918,-S$3,0),1,-1)</f>
        <v>1</v>
      </c>
      <c r="T919" s="1">
        <f ca="1">IF(S919=1,T$3*Q918/Prices!C918,-T$3*R918)</f>
        <v>1.6214350034092202E-4</v>
      </c>
    </row>
    <row r="920" spans="1:20" x14ac:dyDescent="0.2">
      <c r="A920" s="4">
        <v>34794</v>
      </c>
      <c r="B920" s="9">
        <f ca="1">Prices!C919*(1+J920/(50*(ABS(O920)+ABS(T920)+0.0001)))</f>
        <v>84.943430291758759</v>
      </c>
      <c r="C920" s="21">
        <f t="shared" ca="1" si="89"/>
        <v>-1</v>
      </c>
      <c r="D920" s="9">
        <f ca="1">D919+C920*(Prices!C920-Prices!C919)/Prices!C919</f>
        <v>0.38303400580123326</v>
      </c>
      <c r="E920" s="9">
        <f t="shared" ca="1" si="90"/>
        <v>5.0144785684762994E-2</v>
      </c>
      <c r="F920" s="9">
        <f t="shared" ca="1" si="91"/>
        <v>0.43317879148599625</v>
      </c>
      <c r="G920" s="13">
        <f ca="1">IF((Prices!C920-Prices!C919)*C920&gt;0,1,0)</f>
        <v>1</v>
      </c>
      <c r="H920" s="9">
        <f>ABS(Prices!C920-Prices!C919)/Prices!C919</f>
        <v>5.80046403712264E-4</v>
      </c>
      <c r="I920" s="13"/>
      <c r="J920" s="1">
        <f t="shared" ca="1" si="92"/>
        <v>-1.1196147935723427E-3</v>
      </c>
      <c r="K920" s="9"/>
      <c r="L920" s="9">
        <f ca="1">L919-O920*Prices!C920</f>
        <v>0.92927778420715623</v>
      </c>
      <c r="M920" s="1">
        <f t="shared" ca="1" si="93"/>
        <v>1.1500713617639758E-2</v>
      </c>
      <c r="N920" s="9">
        <f ca="1">IF(Prices!D919&gt;OFFSET(Prices!D919,-$N$3,0),1,-1)</f>
        <v>-1</v>
      </c>
      <c r="O920" s="1">
        <f ca="1">IF(N920=1,O$3*L919/Prices!C919,-O$3*M919)</f>
        <v>-1.2778570686266398E-3</v>
      </c>
      <c r="P920" s="14"/>
      <c r="Q920" s="9">
        <f ca="1">Q919-T920*Prices!C920</f>
        <v>0.6683916334880925</v>
      </c>
      <c r="R920" s="1">
        <f t="shared" ca="1" si="94"/>
        <v>1.3996098039194816E-2</v>
      </c>
      <c r="S920" s="9">
        <f ca="1">IF(Prices!C919&lt;OFFSET(Prices!C919,-S$3,0),1,-1)</f>
        <v>1</v>
      </c>
      <c r="T920" s="1">
        <f ca="1">IF(S920=1,T$3*Q919/Prices!C919,-T$3*R919)</f>
        <v>1.5824227505429703E-4</v>
      </c>
    </row>
    <row r="921" spans="1:20" x14ac:dyDescent="0.2">
      <c r="A921" s="4">
        <v>34795</v>
      </c>
      <c r="B921" s="9">
        <f ca="1">Prices!C920*(1+J921/(50*(ABS(O921)+ABS(T921)+0.0001)))</f>
        <v>84.930126148264648</v>
      </c>
      <c r="C921" s="21">
        <f t="shared" ca="1" si="89"/>
        <v>-1</v>
      </c>
      <c r="D921" s="9">
        <f ca="1">D920+C921*(Prices!C921-Prices!C920)/Prices!C920</f>
        <v>0.39824004178498257</v>
      </c>
      <c r="E921" s="9">
        <f t="shared" ca="1" si="90"/>
        <v>3.4938749701013683E-2</v>
      </c>
      <c r="F921" s="9">
        <f t="shared" ca="1" si="91"/>
        <v>0.43317879148599625</v>
      </c>
      <c r="G921" s="13">
        <f ca="1">IF((Prices!C921-Prices!C920)*C921&gt;0,1,0)</f>
        <v>1</v>
      </c>
      <c r="H921" s="9">
        <f>ABS(Prices!C921-Prices!C920)/Prices!C920</f>
        <v>1.52060359837493E-2</v>
      </c>
      <c r="I921" s="13"/>
      <c r="J921" s="1">
        <f t="shared" ca="1" si="92"/>
        <v>-9.9490209107608437E-4</v>
      </c>
      <c r="K921" s="9"/>
      <c r="L921" s="9">
        <f ca="1">L920-O921*Prices!C921</f>
        <v>1.026849838539212</v>
      </c>
      <c r="M921" s="1">
        <f t="shared" ca="1" si="93"/>
        <v>1.0350642255875783E-2</v>
      </c>
      <c r="N921" s="9">
        <f ca="1">IF(Prices!D920&gt;OFFSET(Prices!D920,-$N$3,0),1,-1)</f>
        <v>-1</v>
      </c>
      <c r="O921" s="1">
        <f ca="1">IF(N921=1,O$3*L920/Prices!C920,-O$3*M920)</f>
        <v>-1.1500713617639759E-3</v>
      </c>
      <c r="P921" s="14"/>
      <c r="Q921" s="9">
        <f ca="1">Q920-T921*Prices!C921</f>
        <v>0.65522707256293178</v>
      </c>
      <c r="R921" s="1">
        <f t="shared" ca="1" si="94"/>
        <v>1.4151267309882707E-2</v>
      </c>
      <c r="S921" s="9">
        <f ca="1">IF(Prices!C920&lt;OFFSET(Prices!C920,-S$3,0),1,-1)</f>
        <v>1</v>
      </c>
      <c r="T921" s="1">
        <f ca="1">IF(S921=1,T$3*Q920/Prices!C920,-T$3*R920)</f>
        <v>1.5516927068789146E-4</v>
      </c>
    </row>
    <row r="922" spans="1:20" x14ac:dyDescent="0.2">
      <c r="A922" s="4">
        <v>34796</v>
      </c>
      <c r="B922" s="9">
        <f ca="1">Prices!C921*(1+J922/(50*(ABS(O922)+ABS(T922)+0.0001)))</f>
        <v>83.681274943387109</v>
      </c>
      <c r="C922" s="21">
        <f t="shared" ca="1" si="89"/>
        <v>-1</v>
      </c>
      <c r="D922" s="9">
        <f ca="1">D921+C922*(Prices!C922-Prices!C921)/Prices!C921</f>
        <v>0.40990906583024433</v>
      </c>
      <c r="E922" s="9">
        <f t="shared" ca="1" si="90"/>
        <v>2.3269725655751916E-2</v>
      </c>
      <c r="F922" s="9">
        <f t="shared" ca="1" si="91"/>
        <v>0.43317879148599625</v>
      </c>
      <c r="G922" s="13">
        <f ca="1">IF((Prices!C922-Prices!C921)*C922&gt;0,1,0)</f>
        <v>1</v>
      </c>
      <c r="H922" s="9">
        <f>ABS(Prices!C922-Prices!C921)/Prices!C921</f>
        <v>1.1669024045261775E-2</v>
      </c>
      <c r="I922" s="13"/>
      <c r="J922" s="1">
        <f t="shared" ca="1" si="92"/>
        <v>-8.8060239801498715E-4</v>
      </c>
      <c r="K922" s="9"/>
      <c r="L922" s="9">
        <f ca="1">L921-O922*Prices!C922</f>
        <v>1.1136399738547305</v>
      </c>
      <c r="M922" s="1">
        <f t="shared" ca="1" si="93"/>
        <v>9.3155780302882039E-3</v>
      </c>
      <c r="N922" s="9">
        <f ca="1">IF(Prices!D921&gt;OFFSET(Prices!D921,-$N$3,0),1,-1)</f>
        <v>-1</v>
      </c>
      <c r="O922" s="1">
        <f ca="1">IF(N922=1,O$3*L921/Prices!C921,-O$3*M921)</f>
        <v>-1.0350642255875784E-3</v>
      </c>
      <c r="P922" s="14"/>
      <c r="Q922" s="9">
        <f ca="1">Q921-T922*Prices!C922</f>
        <v>0.64227544832097005</v>
      </c>
      <c r="R922" s="1">
        <f t="shared" ca="1" si="94"/>
        <v>1.4305729137455299E-2</v>
      </c>
      <c r="S922" s="9">
        <f ca="1">IF(Prices!C921&lt;OFFSET(Prices!C921,-S$3,0),1,-1)</f>
        <v>1</v>
      </c>
      <c r="T922" s="1">
        <f ca="1">IF(S922=1,T$3*Q921/Prices!C921,-T$3*R921)</f>
        <v>1.5446182757259118E-4</v>
      </c>
    </row>
    <row r="923" spans="1:20" x14ac:dyDescent="0.2">
      <c r="A923" s="4">
        <v>34799</v>
      </c>
      <c r="B923" s="9">
        <f ca="1">Prices!C922*(1+J923/(50*(ABS(O923)+ABS(T923)+0.0001)))</f>
        <v>82.748242037418919</v>
      </c>
      <c r="C923" s="21">
        <f t="shared" ca="1" si="89"/>
        <v>-1</v>
      </c>
      <c r="D923" s="9">
        <f ca="1">D922+C923*(Prices!C923-Prices!C922)/Prices!C922</f>
        <v>0.40931276290835988</v>
      </c>
      <c r="E923" s="9">
        <f t="shared" ca="1" si="90"/>
        <v>2.3866028577636367E-2</v>
      </c>
      <c r="F923" s="9">
        <f t="shared" ca="1" si="91"/>
        <v>0.43317879148599625</v>
      </c>
      <c r="G923" s="13">
        <f ca="1">IF((Prices!C923-Prices!C922)*C923&gt;0,1,0)</f>
        <v>0</v>
      </c>
      <c r="H923" s="9">
        <f>ABS(Prices!C923-Prices!C922)/Prices!C922</f>
        <v>5.9630292188445283E-4</v>
      </c>
      <c r="I923" s="13"/>
      <c r="J923" s="1">
        <f t="shared" ca="1" si="92"/>
        <v>-7.7836151243347877E-4</v>
      </c>
      <c r="K923" s="9"/>
      <c r="L923" s="9">
        <f ca="1">L922-O923*Prices!C923</f>
        <v>1.1917976735288485</v>
      </c>
      <c r="M923" s="1">
        <f t="shared" ca="1" si="93"/>
        <v>8.3840202272593839E-3</v>
      </c>
      <c r="N923" s="9">
        <f ca="1">IF(Prices!D922&gt;OFFSET(Prices!D922,-$N$3,0),1,-1)</f>
        <v>-1</v>
      </c>
      <c r="O923" s="1">
        <f ca="1">IF(N923=1,O$3*L922/Prices!C922,-O$3*M922)</f>
        <v>-9.3155780302882048E-4</v>
      </c>
      <c r="P923" s="14"/>
      <c r="Q923" s="9">
        <f ca="1">Q922-T923*Prices!C923</f>
        <v>0.62942227954002083</v>
      </c>
      <c r="R923" s="1">
        <f t="shared" ca="1" si="94"/>
        <v>1.4458925428050641E-2</v>
      </c>
      <c r="S923" s="9">
        <f ca="1">IF(Prices!C922&lt;OFFSET(Prices!C922,-S$3,0),1,-1)</f>
        <v>1</v>
      </c>
      <c r="T923" s="1">
        <f ca="1">IF(S923=1,T$3*Q922/Prices!C922,-T$3*R922)</f>
        <v>1.5319629059534171E-4</v>
      </c>
    </row>
    <row r="924" spans="1:20" x14ac:dyDescent="0.2">
      <c r="A924" s="4">
        <v>34800</v>
      </c>
      <c r="B924" s="9">
        <f ca="1">Prices!C923*(1+J924/(50*(ABS(O924)+ABS(T924)+0.0001)))</f>
        <v>85.47755337112028</v>
      </c>
      <c r="C924" s="21">
        <f t="shared" ca="1" si="89"/>
        <v>1</v>
      </c>
      <c r="D924" s="9">
        <f ca="1">D923+C924*(Prices!C924-Prices!C923)/Prices!C923</f>
        <v>0.4049027509894087</v>
      </c>
      <c r="E924" s="9">
        <f t="shared" ca="1" si="90"/>
        <v>2.8276040496587551E-2</v>
      </c>
      <c r="F924" s="9">
        <f t="shared" ca="1" si="91"/>
        <v>0.43317879148599625</v>
      </c>
      <c r="G924" s="13">
        <f ca="1">IF((Prices!C924-Prices!C923)*C924&gt;0,1,0)</f>
        <v>0</v>
      </c>
      <c r="H924" s="9">
        <f>ABS(Prices!C924-Prices!C923)/Prices!C923</f>
        <v>4.4100119189511861E-3</v>
      </c>
      <c r="I924" s="13"/>
      <c r="J924" s="1">
        <f t="shared" ca="1" si="92"/>
        <v>1.5705388908663321E-3</v>
      </c>
      <c r="K924" s="9"/>
      <c r="L924" s="9">
        <f ca="1">L923-O924*Prices!C924</f>
        <v>1.0731434903704877</v>
      </c>
      <c r="M924" s="1">
        <f t="shared" ca="1" si="93"/>
        <v>9.8045180502973443E-3</v>
      </c>
      <c r="N924" s="9">
        <f ca="1">IF(Prices!D923&gt;OFFSET(Prices!D923,-$N$3,0),1,-1)</f>
        <v>1</v>
      </c>
      <c r="O924" s="1">
        <f ca="1">IF(N924=1,O$3*L923/Prices!C923,-O$3*M923)</f>
        <v>1.42049782303796E-3</v>
      </c>
      <c r="P924" s="14"/>
      <c r="Q924" s="9">
        <f ca="1">Q923-T924*Prices!C924</f>
        <v>0.61688934914431692</v>
      </c>
      <c r="R924" s="1">
        <f t="shared" ca="1" si="94"/>
        <v>1.4608966495879012E-2</v>
      </c>
      <c r="S924" s="9">
        <f ca="1">IF(Prices!C923&lt;OFFSET(Prices!C923,-S$3,0),1,-1)</f>
        <v>1</v>
      </c>
      <c r="T924" s="1">
        <f ca="1">IF(S924=1,T$3*Q923/Prices!C923,-T$3*R923)</f>
        <v>1.5004106782837208E-4</v>
      </c>
    </row>
    <row r="925" spans="1:20" x14ac:dyDescent="0.2">
      <c r="A925" s="4">
        <v>34801</v>
      </c>
      <c r="B925" s="9">
        <f ca="1">Prices!C924*(1+J925/(50*(ABS(O925)+ABS(T925)+0.0001)))</f>
        <v>82.397256039013598</v>
      </c>
      <c r="C925" s="21">
        <f t="shared" ca="1" si="89"/>
        <v>-1</v>
      </c>
      <c r="D925" s="9">
        <f ca="1">D924+C925*(Prices!C925-Prices!C924)/Prices!C924</f>
        <v>0.40226896672028384</v>
      </c>
      <c r="E925" s="9">
        <f t="shared" ca="1" si="90"/>
        <v>3.0909824765712413E-2</v>
      </c>
      <c r="F925" s="9">
        <f t="shared" ca="1" si="91"/>
        <v>0.43317879148599625</v>
      </c>
      <c r="G925" s="13">
        <f ca="1">IF((Prices!C925-Prices!C924)*C925&gt;0,1,0)</f>
        <v>0</v>
      </c>
      <c r="H925" s="9">
        <f>ABS(Prices!C925-Prices!C924)/Prices!C924</f>
        <v>2.6337842691248519E-3</v>
      </c>
      <c r="I925" s="13"/>
      <c r="J925" s="1">
        <f t="shared" ca="1" si="92"/>
        <v>-8.3274694470546369E-4</v>
      </c>
      <c r="K925" s="9"/>
      <c r="L925" s="9">
        <f ca="1">L924-O925*Prices!C925</f>
        <v>1.1552563290417279</v>
      </c>
      <c r="M925" s="1">
        <f t="shared" ca="1" si="93"/>
        <v>8.8240662452676102E-3</v>
      </c>
      <c r="N925" s="9">
        <f ca="1">IF(Prices!D924&gt;OFFSET(Prices!D924,-$N$3,0),1,-1)</f>
        <v>-1</v>
      </c>
      <c r="O925" s="1">
        <f ca="1">IF(N925=1,O$3*L924/Prices!C924,-O$3*M924)</f>
        <v>-9.8045180502973452E-4</v>
      </c>
      <c r="P925" s="14"/>
      <c r="Q925" s="9">
        <f ca="1">Q924-T925*Prices!C925</f>
        <v>0.60451906709215919</v>
      </c>
      <c r="R925" s="1">
        <f t="shared" ca="1" si="94"/>
        <v>1.4756671356203283E-2</v>
      </c>
      <c r="S925" s="9">
        <f ca="1">IF(Prices!C924&lt;OFFSET(Prices!C924,-S$3,0),1,-1)</f>
        <v>1</v>
      </c>
      <c r="T925" s="1">
        <f ca="1">IF(S925=1,T$3*Q924/Prices!C924,-T$3*R924)</f>
        <v>1.4770486032427078E-4</v>
      </c>
    </row>
    <row r="926" spans="1:20" x14ac:dyDescent="0.2">
      <c r="A926" s="4">
        <v>34802</v>
      </c>
      <c r="B926" s="9">
        <f ca="1">Prices!C925*(1+J926/(50*(ABS(O926)+ABS(T926)+0.0001)))</f>
        <v>82.652860262527028</v>
      </c>
      <c r="C926" s="21">
        <f t="shared" ca="1" si="89"/>
        <v>-1</v>
      </c>
      <c r="D926" s="9">
        <f ca="1">D925+C926*(Prices!C926-Prices!C925)/Prices!C925</f>
        <v>0.40525404134714949</v>
      </c>
      <c r="E926" s="9">
        <f t="shared" ca="1" si="90"/>
        <v>2.7924750138846766E-2</v>
      </c>
      <c r="F926" s="9">
        <f t="shared" ca="1" si="91"/>
        <v>0.43317879148599625</v>
      </c>
      <c r="G926" s="13">
        <f ca="1">IF((Prices!C926-Prices!C925)*C926&gt;0,1,0)</f>
        <v>1</v>
      </c>
      <c r="H926" s="9">
        <f>ABS(Prices!C926-Prices!C925)/Prices!C925</f>
        <v>2.9850746268656717E-3</v>
      </c>
      <c r="I926" s="13"/>
      <c r="J926" s="1">
        <f t="shared" ca="1" si="92"/>
        <v>-7.3804386223609618E-4</v>
      </c>
      <c r="K926" s="9"/>
      <c r="L926" s="9">
        <f ca="1">L925-O926*Prices!C926</f>
        <v>1.2289372821897124</v>
      </c>
      <c r="M926" s="1">
        <f t="shared" ca="1" si="93"/>
        <v>7.9416596207408496E-3</v>
      </c>
      <c r="N926" s="9">
        <f ca="1">IF(Prices!D925&gt;OFFSET(Prices!D925,-$N$3,0),1,-1)</f>
        <v>-1</v>
      </c>
      <c r="O926" s="1">
        <f ca="1">IF(N926=1,O$3*L925/Prices!C925,-O$3*M925)</f>
        <v>-8.8240662452676111E-4</v>
      </c>
      <c r="P926" s="14"/>
      <c r="Q926" s="9">
        <f ca="1">Q925-T926*Prices!C926</f>
        <v>0.59246477644088869</v>
      </c>
      <c r="R926" s="1">
        <f t="shared" ca="1" si="94"/>
        <v>1.4901034118493948E-2</v>
      </c>
      <c r="S926" s="9">
        <f ca="1">IF(Prices!C925&lt;OFFSET(Prices!C925,-S$3,0),1,-1)</f>
        <v>1</v>
      </c>
      <c r="T926" s="1">
        <f ca="1">IF(S926=1,T$3*Q925/Prices!C925,-T$3*R925)</f>
        <v>1.443627622906649E-4</v>
      </c>
    </row>
    <row r="927" spans="1:20" x14ac:dyDescent="0.2">
      <c r="A927" s="4">
        <v>34803</v>
      </c>
      <c r="B927" s="9">
        <f ca="1">Prices!C926*(1+J927/(50*(ABS(O927)+ABS(T927)+0.0001)))</f>
        <v>82.448654662799754</v>
      </c>
      <c r="C927" s="21">
        <f t="shared" ca="1" si="89"/>
        <v>-1</v>
      </c>
      <c r="D927" s="9">
        <f ca="1">D926+C927*(Prices!C927-Prices!C926)/Prices!C926</f>
        <v>0.40764925092798782</v>
      </c>
      <c r="E927" s="9">
        <f t="shared" ca="1" si="90"/>
        <v>2.5529540558008434E-2</v>
      </c>
      <c r="F927" s="9">
        <f t="shared" ca="1" si="91"/>
        <v>0.43317879148599625</v>
      </c>
      <c r="G927" s="13">
        <f ca="1">IF((Prices!C927-Prices!C926)*C927&gt;0,1,0)</f>
        <v>1</v>
      </c>
      <c r="H927" s="9">
        <f>ABS(Prices!C927-Prices!C926)/Prices!C926</f>
        <v>2.3952095808383576E-3</v>
      </c>
      <c r="I927" s="13"/>
      <c r="J927" s="1">
        <f t="shared" ca="1" si="92"/>
        <v>-6.5225823119003984E-4</v>
      </c>
      <c r="K927" s="9"/>
      <c r="L927" s="9">
        <f ca="1">L926-O927*Prices!C927</f>
        <v>1.2950913068304837</v>
      </c>
      <c r="M927" s="1">
        <f t="shared" ca="1" si="93"/>
        <v>7.1474936586667648E-3</v>
      </c>
      <c r="N927" s="9">
        <f ca="1">IF(Prices!D926&gt;OFFSET(Prices!D926,-$N$3,0),1,-1)</f>
        <v>-1</v>
      </c>
      <c r="O927" s="1">
        <f ca="1">IF(N927=1,O$3*L926/Prices!C926,-O$3*M926)</f>
        <v>-7.94165962074085E-4</v>
      </c>
      <c r="P927" s="14"/>
      <c r="Q927" s="9">
        <f ca="1">Q926-T927*Prices!C927</f>
        <v>0.58064386245824773</v>
      </c>
      <c r="R927" s="1">
        <f t="shared" ca="1" si="94"/>
        <v>1.5042941849377992E-2</v>
      </c>
      <c r="S927" s="9">
        <f ca="1">IF(Prices!C926&lt;OFFSET(Prices!C926,-S$3,0),1,-1)</f>
        <v>1</v>
      </c>
      <c r="T927" s="1">
        <f ca="1">IF(S927=1,T$3*Q926/Prices!C926,-T$3*R926)</f>
        <v>1.4190773088404519E-4</v>
      </c>
    </row>
    <row r="928" spans="1:20" x14ac:dyDescent="0.2">
      <c r="A928" s="4">
        <v>34806</v>
      </c>
      <c r="B928" s="9">
        <f ca="1">Prices!C927*(1+J928/(50*(ABS(O928)+ABS(T928)+0.0001)))</f>
        <v>82.295435521146118</v>
      </c>
      <c r="C928" s="21">
        <f t="shared" ca="1" si="89"/>
        <v>-1</v>
      </c>
      <c r="D928" s="9">
        <f ca="1">D927+C928*(Prices!C928-Prices!C927)/Prices!C927</f>
        <v>0.42385573352102496</v>
      </c>
      <c r="E928" s="9">
        <f t="shared" ca="1" si="90"/>
        <v>9.323057964971293E-3</v>
      </c>
      <c r="F928" s="9">
        <f t="shared" ca="1" si="91"/>
        <v>0.43317879148599625</v>
      </c>
      <c r="G928" s="13">
        <f ca="1">IF((Prices!C928-Prices!C927)*C928&gt;0,1,0)</f>
        <v>1</v>
      </c>
      <c r="H928" s="9">
        <f>ABS(Prices!C928-Prices!C927)/Prices!C927</f>
        <v>1.6206482593037148E-2</v>
      </c>
      <c r="I928" s="13"/>
      <c r="J928" s="1">
        <f t="shared" ca="1" si="92"/>
        <v>-5.7533907476025453E-4</v>
      </c>
      <c r="K928" s="9"/>
      <c r="L928" s="9">
        <f ca="1">L927-O928*Prices!C928</f>
        <v>1.3536650173632578</v>
      </c>
      <c r="M928" s="1">
        <f t="shared" ca="1" si="93"/>
        <v>6.4327442928000887E-3</v>
      </c>
      <c r="N928" s="9">
        <f ca="1">IF(Prices!D927&gt;OFFSET(Prices!D927,-$N$3,0),1,-1)</f>
        <v>-1</v>
      </c>
      <c r="O928" s="1">
        <f ca="1">IF(N928=1,O$3*L927/Prices!C927,-O$3*M927)</f>
        <v>-7.1474936586667656E-4</v>
      </c>
      <c r="P928" s="14"/>
      <c r="Q928" s="9">
        <f ca="1">Q927-T928*Prices!C928</f>
        <v>0.56921918910207647</v>
      </c>
      <c r="R928" s="1">
        <f t="shared" ca="1" si="94"/>
        <v>1.5182352140484414E-2</v>
      </c>
      <c r="S928" s="9">
        <f ca="1">IF(Prices!C927&lt;OFFSET(Prices!C927,-S$3,0),1,-1)</f>
        <v>1</v>
      </c>
      <c r="T928" s="1">
        <f ca="1">IF(S928=1,T$3*Q927/Prices!C927,-T$3*R927)</f>
        <v>1.3941029110642203E-4</v>
      </c>
    </row>
    <row r="929" spans="1:20" x14ac:dyDescent="0.2">
      <c r="A929" s="4">
        <v>34807</v>
      </c>
      <c r="B929" s="9">
        <f ca="1">Prices!C928*(1+J929/(50*(ABS(O929)+ABS(T929)+0.0001)))</f>
        <v>83.502314219638265</v>
      </c>
      <c r="C929" s="21">
        <f t="shared" ca="1" si="89"/>
        <v>1</v>
      </c>
      <c r="D929" s="9">
        <f ca="1">D928+C929*(Prices!C929-Prices!C928)/Prices!C928</f>
        <v>0.40774835097068929</v>
      </c>
      <c r="E929" s="9">
        <f t="shared" ca="1" si="90"/>
        <v>2.5430440515306962E-2</v>
      </c>
      <c r="F929" s="9">
        <f t="shared" ca="1" si="91"/>
        <v>0.43317879148599625</v>
      </c>
      <c r="G929" s="13">
        <f ca="1">IF((Prices!C929-Prices!C928)*C929&gt;0,1,0)</f>
        <v>0</v>
      </c>
      <c r="H929" s="9">
        <f>ABS(Prices!C929-Prices!C928)/Prices!C928</f>
        <v>1.6107382550335659E-2</v>
      </c>
      <c r="I929" s="13"/>
      <c r="J929" s="1">
        <f t="shared" ca="1" si="92"/>
        <v>1.7907368580642746E-3</v>
      </c>
      <c r="K929" s="9"/>
      <c r="L929" s="9">
        <f ca="1">L928-O929*Prices!C929</f>
        <v>1.2204789156548999</v>
      </c>
      <c r="M929" s="1">
        <f t="shared" ca="1" si="93"/>
        <v>8.0845624958058946E-3</v>
      </c>
      <c r="N929" s="9">
        <f ca="1">IF(Prices!D928&gt;OFFSET(Prices!D928,-$N$3,0),1,-1)</f>
        <v>1</v>
      </c>
      <c r="O929" s="1">
        <f ca="1">IF(N929=1,O$3*L928/Prices!C928,-O$3*M928)</f>
        <v>1.6518182030058057E-3</v>
      </c>
      <c r="P929" s="14"/>
      <c r="Q929" s="9">
        <f ca="1">Q928-T929*Prices!C929</f>
        <v>0.55801817794471209</v>
      </c>
      <c r="R929" s="1">
        <f t="shared" ca="1" si="94"/>
        <v>1.5321270795542883E-2</v>
      </c>
      <c r="S929" s="9">
        <f ca="1">IF(Prices!C928&lt;OFFSET(Prices!C928,-S$3,0),1,-1)</f>
        <v>1</v>
      </c>
      <c r="T929" s="1">
        <f ca="1">IF(S929=1,T$3*Q928/Prices!C928,-T$3*R928)</f>
        <v>1.3891865505846895E-4</v>
      </c>
    </row>
    <row r="930" spans="1:20" x14ac:dyDescent="0.2">
      <c r="A930" s="4">
        <v>34808</v>
      </c>
      <c r="B930" s="9">
        <f ca="1">Prices!C929*(1+J930/(50*(ABS(O930)+ABS(T930)+0.0001)))</f>
        <v>82.150561504351657</v>
      </c>
      <c r="C930" s="21">
        <f t="shared" ca="1" si="89"/>
        <v>1</v>
      </c>
      <c r="D930" s="9">
        <f ca="1">D929+C930*(Prices!C930-Prices!C929)/Prices!C929</f>
        <v>0.41667802975029983</v>
      </c>
      <c r="E930" s="9">
        <f t="shared" ca="1" si="90"/>
        <v>1.6500761735696423E-2</v>
      </c>
      <c r="F930" s="9">
        <f t="shared" ca="1" si="91"/>
        <v>0.43317879148599625</v>
      </c>
      <c r="G930" s="13">
        <f ca="1">IF((Prices!C930-Prices!C929)*C930&gt;0,1,0)</f>
        <v>1</v>
      </c>
      <c r="H930" s="9">
        <f>ABS(Prices!C930-Prices!C929)/Prices!C929</f>
        <v>8.9296787796105531E-3</v>
      </c>
      <c r="I930" s="13"/>
      <c r="J930" s="1">
        <f t="shared" ca="1" si="92"/>
        <v>1.652092957018284E-3</v>
      </c>
      <c r="K930" s="9"/>
      <c r="L930" s="9">
        <f ca="1">L929-O930*Prices!C930</f>
        <v>1.0973411756220013</v>
      </c>
      <c r="M930" s="1">
        <f t="shared" ca="1" si="93"/>
        <v>9.5982409227622391E-3</v>
      </c>
      <c r="N930" s="9">
        <f ca="1">IF(Prices!D929&gt;OFFSET(Prices!D929,-$N$3,0),1,-1)</f>
        <v>1</v>
      </c>
      <c r="O930" s="1">
        <f ca="1">IF(N930=1,O$3*L929/Prices!C929,-O$3*M929)</f>
        <v>1.5136784269563438E-3</v>
      </c>
      <c r="P930" s="14"/>
      <c r="Q930" s="9">
        <f ca="1">Q929-T930*Prices!C930</f>
        <v>0.54675815592417321</v>
      </c>
      <c r="R930" s="1">
        <f t="shared" ca="1" si="94"/>
        <v>1.5459685325604823E-2</v>
      </c>
      <c r="S930" s="9">
        <f ca="1">IF(Prices!C929&lt;OFFSET(Prices!C929,-S$3,0),1,-1)</f>
        <v>1</v>
      </c>
      <c r="T930" s="1">
        <f ca="1">IF(S930=1,T$3*Q929/Prices!C929,-T$3*R929)</f>
        <v>1.3841453006194026E-4</v>
      </c>
    </row>
    <row r="931" spans="1:20" x14ac:dyDescent="0.2">
      <c r="A931" s="4">
        <v>34809</v>
      </c>
      <c r="B931" s="9">
        <f ca="1">Prices!C930*(1+J931/(50*(ABS(O931)+ABS(T931)+0.0001)))</f>
        <v>82.874242196221616</v>
      </c>
      <c r="C931" s="21">
        <f t="shared" ca="1" si="89"/>
        <v>1</v>
      </c>
      <c r="D931" s="9">
        <f ca="1">D930+C931*(Prices!C931-Prices!C930)/Prices!C930</f>
        <v>0.43905049440918131</v>
      </c>
      <c r="E931" s="9">
        <f t="shared" ca="1" si="90"/>
        <v>0</v>
      </c>
      <c r="F931" s="9">
        <f t="shared" ca="1" si="91"/>
        <v>0.43905049440918131</v>
      </c>
      <c r="G931" s="13">
        <f ca="1">IF((Prices!C931-Prices!C930)*C931&gt;0,1,0)</f>
        <v>1</v>
      </c>
      <c r="H931" s="9">
        <f>ABS(Prices!C931-Prices!C930)/Prices!C930</f>
        <v>2.2372464658881468E-2</v>
      </c>
      <c r="I931" s="13"/>
      <c r="J931" s="1">
        <f t="shared" ca="1" si="92"/>
        <v>1.4833347348578196E-3</v>
      </c>
      <c r="K931" s="9"/>
      <c r="L931" s="9">
        <f ca="1">L930-O931*Prices!C931</f>
        <v>0.9851520353927673</v>
      </c>
      <c r="M931" s="1">
        <f t="shared" ca="1" si="93"/>
        <v>1.0947154476077546E-2</v>
      </c>
      <c r="N931" s="9">
        <f ca="1">IF(Prices!D930&gt;OFFSET(Prices!D930,-$N$3,0),1,-1)</f>
        <v>1</v>
      </c>
      <c r="O931" s="1">
        <f ca="1">IF(N931=1,O$3*L930/Prices!C930,-O$3*M930)</f>
        <v>1.3489135533153061E-3</v>
      </c>
      <c r="P931" s="14"/>
      <c r="Q931" s="9">
        <f ca="1">Q930-T931*Prices!C931</f>
        <v>0.53557834625528233</v>
      </c>
      <c r="R931" s="1">
        <f t="shared" ca="1" si="94"/>
        <v>1.5594106507147336E-2</v>
      </c>
      <c r="S931" s="9">
        <f ca="1">IF(Prices!C930&lt;OFFSET(Prices!C930,-S$3,0),1,-1)</f>
        <v>1</v>
      </c>
      <c r="T931" s="1">
        <f ca="1">IF(S931=1,T$3*Q930/Prices!C930,-T$3*R930)</f>
        <v>1.3442118154251338E-4</v>
      </c>
    </row>
    <row r="932" spans="1:20" x14ac:dyDescent="0.2">
      <c r="A932" s="4">
        <v>34810</v>
      </c>
      <c r="B932" s="9">
        <f ca="1">Prices!C931*(1+J932/(50*(ABS(O932)+ABS(T932)+0.0001)))</f>
        <v>81.95601418528976</v>
      </c>
      <c r="C932" s="21">
        <f t="shared" ca="1" si="89"/>
        <v>-1</v>
      </c>
      <c r="D932" s="9">
        <f ca="1">D931+C932*(Prices!C932-Prices!C931)/Prices!C931</f>
        <v>0.44434086353266333</v>
      </c>
      <c r="E932" s="9">
        <f t="shared" ca="1" si="90"/>
        <v>0</v>
      </c>
      <c r="F932" s="9">
        <f t="shared" ca="1" si="91"/>
        <v>0.44434086353266333</v>
      </c>
      <c r="G932" s="13">
        <f ca="1">IF((Prices!C932-Prices!C931)*C932&gt;0,1,0)</f>
        <v>1</v>
      </c>
      <c r="H932" s="9">
        <f>ABS(Prices!C932-Prices!C931)/Prices!C931</f>
        <v>5.2903691234819977E-3</v>
      </c>
      <c r="I932" s="13"/>
      <c r="J932" s="1">
        <f t="shared" ca="1" si="92"/>
        <v>-9.659242136880042E-4</v>
      </c>
      <c r="K932" s="9"/>
      <c r="L932" s="9">
        <f ca="1">L931-O932*Prices!C932</f>
        <v>1.0757178443733568</v>
      </c>
      <c r="M932" s="1">
        <f t="shared" ca="1" si="93"/>
        <v>9.8524390284697918E-3</v>
      </c>
      <c r="N932" s="9">
        <f ca="1">IF(Prices!D931&gt;OFFSET(Prices!D931,-$N$3,0),1,-1)</f>
        <v>-1</v>
      </c>
      <c r="O932" s="1">
        <f ca="1">IF(N932=1,O$3*L931/Prices!C931,-O$3*M931)</f>
        <v>-1.0947154476077547E-3</v>
      </c>
      <c r="P932" s="14"/>
      <c r="Q932" s="9">
        <f ca="1">Q931-T932*Prices!C932</f>
        <v>0.52492344747310138</v>
      </c>
      <c r="R932" s="1">
        <f t="shared" ca="1" si="94"/>
        <v>1.5722897741067086E-2</v>
      </c>
      <c r="S932" s="9">
        <f ca="1">IF(Prices!C931&lt;OFFSET(Prices!C931,-S$3,0),1,-1)</f>
        <v>1</v>
      </c>
      <c r="T932" s="1">
        <f ca="1">IF(S932=1,T$3*Q931/Prices!C931,-T$3*R931)</f>
        <v>1.2879123391975047E-4</v>
      </c>
    </row>
    <row r="933" spans="1:20" x14ac:dyDescent="0.2">
      <c r="A933" s="4">
        <v>34813</v>
      </c>
      <c r="B933" s="9">
        <f ca="1">Prices!C932*(1+J933/(50*(ABS(O933)+ABS(T933)+0.0001)))</f>
        <v>81.193610888335627</v>
      </c>
      <c r="C933" s="21">
        <f t="shared" ca="1" si="89"/>
        <v>-1</v>
      </c>
      <c r="D933" s="9">
        <f ca="1">D932+C933*(Prices!C933-Prices!C932)/Prices!C932</f>
        <v>0.44071460945312751</v>
      </c>
      <c r="E933" s="9">
        <f t="shared" ca="1" si="90"/>
        <v>3.6262540795358178E-3</v>
      </c>
      <c r="F933" s="9">
        <f t="shared" ca="1" si="91"/>
        <v>0.44434086353266333</v>
      </c>
      <c r="G933" s="13">
        <f ca="1">IF((Prices!C933-Prices!C932)*C933&gt;0,1,0)</f>
        <v>0</v>
      </c>
      <c r="H933" s="9">
        <f>ABS(Prices!C933-Prices!C932)/Prices!C932</f>
        <v>3.6262540795358048E-3</v>
      </c>
      <c r="I933" s="13"/>
      <c r="J933" s="1">
        <f t="shared" ca="1" si="92"/>
        <v>-1.299701857668321E-3</v>
      </c>
      <c r="K933" s="9"/>
      <c r="L933" s="9">
        <f ca="1">L932-O933*Prices!C933</f>
        <v>1.1575226456267416</v>
      </c>
      <c r="M933" s="1">
        <f t="shared" ca="1" si="93"/>
        <v>8.8671951256228121E-3</v>
      </c>
      <c r="N933" s="9">
        <f ca="1">IF(Prices!D932&gt;OFFSET(Prices!D932,-$N$3,0),1,-1)</f>
        <v>-1</v>
      </c>
      <c r="O933" s="1">
        <f ca="1">IF(N933=1,O$3*L932/Prices!C932,-O$3*M932)</f>
        <v>-9.8524390284697927E-4</v>
      </c>
      <c r="P933" s="14"/>
      <c r="Q933" s="9">
        <f ca="1">Q932-T933*Prices!C933</f>
        <v>0.55103289146191736</v>
      </c>
      <c r="R933" s="1">
        <f t="shared" ca="1" si="94"/>
        <v>1.5408439786245743E-2</v>
      </c>
      <c r="S933" s="9">
        <f ca="1">IF(Prices!C932&lt;OFFSET(Prices!C932,-S$3,0),1,-1)</f>
        <v>-1</v>
      </c>
      <c r="T933" s="1">
        <f ca="1">IF(S933=1,T$3*Q932/Prices!C932,-T$3*R932)</f>
        <v>-3.144579548213417E-4</v>
      </c>
    </row>
    <row r="934" spans="1:20" x14ac:dyDescent="0.2">
      <c r="A934" s="4">
        <v>34814</v>
      </c>
      <c r="B934" s="9">
        <f ca="1">Prices!C933*(1+J934/(50*(ABS(O934)+ABS(T934)+0.0001)))</f>
        <v>81.497642720964606</v>
      </c>
      <c r="C934" s="21">
        <f t="shared" ca="1" si="89"/>
        <v>-1</v>
      </c>
      <c r="D934" s="9">
        <f ca="1">D933+C934*(Prices!C934-Prices!C933)/Prices!C933</f>
        <v>0.45516721694439577</v>
      </c>
      <c r="E934" s="9">
        <f t="shared" ca="1" si="90"/>
        <v>0</v>
      </c>
      <c r="F934" s="9">
        <f t="shared" ca="1" si="91"/>
        <v>0.45516721694439577</v>
      </c>
      <c r="G934" s="13">
        <f ca="1">IF((Prices!C934-Prices!C933)*C934&gt;0,1,0)</f>
        <v>1</v>
      </c>
      <c r="H934" s="9">
        <f>ABS(Prices!C934-Prices!C933)/Prices!C933</f>
        <v>1.4452607491268251E-2</v>
      </c>
      <c r="I934" s="13"/>
      <c r="J934" s="1">
        <f t="shared" ca="1" si="92"/>
        <v>-1.1948883082871962E-3</v>
      </c>
      <c r="K934" s="9"/>
      <c r="L934" s="9">
        <f ca="1">L933-O934*Prices!C934</f>
        <v>1.2300829033397132</v>
      </c>
      <c r="M934" s="1">
        <f t="shared" ca="1" si="93"/>
        <v>7.9804756130605302E-3</v>
      </c>
      <c r="N934" s="9">
        <f ca="1">IF(Prices!D933&gt;OFFSET(Prices!D933,-$N$3,0),1,-1)</f>
        <v>-1</v>
      </c>
      <c r="O934" s="1">
        <f ca="1">IF(N934=1,O$3*L933/Prices!C933,-O$3*M933)</f>
        <v>-8.8671951256228125E-4</v>
      </c>
      <c r="P934" s="14"/>
      <c r="Q934" s="9">
        <f ca="1">Q933-T934*Prices!C934</f>
        <v>0.5762503440160871</v>
      </c>
      <c r="R934" s="1">
        <f t="shared" ca="1" si="94"/>
        <v>1.5100270990520829E-2</v>
      </c>
      <c r="S934" s="9">
        <f ca="1">IF(Prices!C933&lt;OFFSET(Prices!C933,-S$3,0),1,-1)</f>
        <v>-1</v>
      </c>
      <c r="T934" s="1">
        <f ca="1">IF(S934=1,T$3*Q933/Prices!C933,-T$3*R933)</f>
        <v>-3.0816879572491488E-4</v>
      </c>
    </row>
    <row r="935" spans="1:20" x14ac:dyDescent="0.2">
      <c r="A935" s="4">
        <v>34815</v>
      </c>
      <c r="B935" s="9">
        <f ca="1">Prices!C934*(1+J935/(50*(ABS(O935)+ABS(T935)+0.0001)))</f>
        <v>80.32977731214811</v>
      </c>
      <c r="C935" s="21">
        <f t="shared" ca="1" si="89"/>
        <v>-1</v>
      </c>
      <c r="D935" s="9">
        <f ca="1">D934+C935*(Prices!C935-Prices!C934)/Prices!C934</f>
        <v>0.43109291656556159</v>
      </c>
      <c r="E935" s="9">
        <f t="shared" ca="1" si="90"/>
        <v>2.4074300378834179E-2</v>
      </c>
      <c r="F935" s="9">
        <f t="shared" ca="1" si="91"/>
        <v>0.45516721694439577</v>
      </c>
      <c r="G935" s="13">
        <f ca="1">IF((Prices!C935-Prices!C934)*C935&gt;0,1,0)</f>
        <v>0</v>
      </c>
      <c r="H935" s="9">
        <f>ABS(Prices!C935-Prices!C934)/Prices!C934</f>
        <v>2.4074300378834155E-2</v>
      </c>
      <c r="I935" s="13"/>
      <c r="J935" s="1">
        <f t="shared" ca="1" si="92"/>
        <v>-1.1000529811164696E-3</v>
      </c>
      <c r="K935" s="9"/>
      <c r="L935" s="9">
        <f ca="1">L934-O935*Prices!C935</f>
        <v>1.2969592889771604</v>
      </c>
      <c r="M935" s="1">
        <f t="shared" ca="1" si="93"/>
        <v>7.1824280517544768E-3</v>
      </c>
      <c r="N935" s="9">
        <f ca="1">IF(Prices!D934&gt;OFFSET(Prices!D934,-$N$3,0),1,-1)</f>
        <v>-1</v>
      </c>
      <c r="O935" s="1">
        <f ca="1">IF(N935=1,O$3*L934/Prices!C934,-O$3*M934)</f>
        <v>-7.9804756130605304E-4</v>
      </c>
      <c r="P935" s="14"/>
      <c r="Q935" s="9">
        <f ca="1">Q934-T935*Prices!C935</f>
        <v>0.60155839819620005</v>
      </c>
      <c r="R935" s="1">
        <f t="shared" ca="1" si="94"/>
        <v>1.4798265570710413E-2</v>
      </c>
      <c r="S935" s="9">
        <f ca="1">IF(Prices!C934&lt;OFFSET(Prices!C934,-S$3,0),1,-1)</f>
        <v>-1</v>
      </c>
      <c r="T935" s="1">
        <f ca="1">IF(S935=1,T$3*Q934/Prices!C934,-T$3*R934)</f>
        <v>-3.0200541981041657E-4</v>
      </c>
    </row>
    <row r="936" spans="1:20" x14ac:dyDescent="0.2">
      <c r="A936" s="4">
        <v>34816</v>
      </c>
      <c r="B936" s="9">
        <f ca="1">Prices!C935*(1+J936/(50*(ABS(O936)+ABS(T936)+0.0001)))</f>
        <v>84.87935139265953</v>
      </c>
      <c r="C936" s="21">
        <f t="shared" ca="1" si="89"/>
        <v>1</v>
      </c>
      <c r="D936" s="9">
        <f ca="1">D935+C936*(Prices!C936-Prices!C935)/Prices!C935</f>
        <v>0.42942227217415346</v>
      </c>
      <c r="E936" s="9">
        <f t="shared" ca="1" si="90"/>
        <v>2.5744944770242306E-2</v>
      </c>
      <c r="F936" s="9">
        <f t="shared" ca="1" si="91"/>
        <v>0.45516721694439577</v>
      </c>
      <c r="G936" s="13">
        <f ca="1">IF((Prices!C936-Prices!C935)*C936&gt;0,1,0)</f>
        <v>0</v>
      </c>
      <c r="H936" s="9">
        <f>ABS(Prices!C936-Prices!C935)/Prices!C935</f>
        <v>1.6706443914081214E-3</v>
      </c>
      <c r="I936" s="13"/>
      <c r="J936" s="1">
        <f t="shared" ca="1" si="92"/>
        <v>1.2517188043103271E-3</v>
      </c>
      <c r="K936" s="9"/>
      <c r="L936" s="9">
        <f ca="1">L935-O936*Prices!C936</f>
        <v>1.1674800358556459</v>
      </c>
      <c r="M936" s="1">
        <f t="shared" ca="1" si="93"/>
        <v>8.7301121674790115E-3</v>
      </c>
      <c r="N936" s="9">
        <f ca="1">IF(Prices!D935&gt;OFFSET(Prices!D935,-$N$3,0),1,-1)</f>
        <v>1</v>
      </c>
      <c r="O936" s="1">
        <f ca="1">IF(N936=1,O$3*L935/Prices!C935,-O$3*M935)</f>
        <v>1.5476841157245353E-3</v>
      </c>
      <c r="P936" s="14"/>
      <c r="Q936" s="9">
        <f ca="1">Q935-T936*Prices!C936</f>
        <v>0.62631885614911276</v>
      </c>
      <c r="R936" s="1">
        <f t="shared" ca="1" si="94"/>
        <v>1.4502300259296205E-2</v>
      </c>
      <c r="S936" s="9">
        <f ca="1">IF(Prices!C935&lt;OFFSET(Prices!C935,-S$3,0),1,-1)</f>
        <v>-1</v>
      </c>
      <c r="T936" s="1">
        <f ca="1">IF(S936=1,T$3*Q935/Prices!C935,-T$3*R935)</f>
        <v>-2.9596531141420825E-4</v>
      </c>
    </row>
    <row r="937" spans="1:20" x14ac:dyDescent="0.2">
      <c r="A937" s="4">
        <v>34817</v>
      </c>
      <c r="B937" s="9">
        <f ca="1">Prices!C936*(1+J937/(50*(ABS(O937)+ABS(T937)+0.0001)))</f>
        <v>84.695901190109367</v>
      </c>
      <c r="C937" s="21">
        <f t="shared" ca="1" si="89"/>
        <v>1</v>
      </c>
      <c r="D937" s="9">
        <f ca="1">D936+C937*(Prices!C937-Prices!C936)/Prices!C936</f>
        <v>0.43755040987436872</v>
      </c>
      <c r="E937" s="9">
        <f t="shared" ca="1" si="90"/>
        <v>1.7616807070027052E-2</v>
      </c>
      <c r="F937" s="9">
        <f t="shared" ca="1" si="91"/>
        <v>0.45516721694439577</v>
      </c>
      <c r="G937" s="13">
        <f ca="1">IF((Prices!C937-Prices!C936)*C937&gt;0,1,0)</f>
        <v>1</v>
      </c>
      <c r="H937" s="9">
        <f>ABS(Prices!C937-Prices!C936)/Prices!C936</f>
        <v>8.1281377002152388E-3</v>
      </c>
      <c r="I937" s="13"/>
      <c r="J937" s="1">
        <f t="shared" ca="1" si="92"/>
        <v>1.1054596556503726E-3</v>
      </c>
      <c r="K937" s="9"/>
      <c r="L937" s="9">
        <f ca="1">L936-O937*Prices!C937</f>
        <v>1.0497830884207127</v>
      </c>
      <c r="M937" s="1">
        <f t="shared" ca="1" si="93"/>
        <v>1.0125617828315309E-2</v>
      </c>
      <c r="N937" s="9">
        <f ca="1">IF(Prices!D936&gt;OFFSET(Prices!D936,-$N$3,0),1,-1)</f>
        <v>1</v>
      </c>
      <c r="O937" s="1">
        <f ca="1">IF(N937=1,O$3*L936/Prices!C936,-O$3*M936)</f>
        <v>1.3955056608362967E-3</v>
      </c>
      <c r="P937" s="14"/>
      <c r="Q937" s="9">
        <f ca="1">Q936-T937*Prices!C937</f>
        <v>0.65078133622649359</v>
      </c>
      <c r="R937" s="1">
        <f t="shared" ca="1" si="94"/>
        <v>1.4212254254110282E-2</v>
      </c>
      <c r="S937" s="9">
        <f ca="1">IF(Prices!C936&lt;OFFSET(Prices!C936,-S$3,0),1,-1)</f>
        <v>-1</v>
      </c>
      <c r="T937" s="1">
        <f ca="1">IF(S937=1,T$3*Q936/Prices!C936,-T$3*R936)</f>
        <v>-2.9004600518592409E-4</v>
      </c>
    </row>
    <row r="938" spans="1:20" x14ac:dyDescent="0.2">
      <c r="A938" s="4">
        <v>34820</v>
      </c>
      <c r="B938" s="9">
        <f ca="1">Prices!C937*(1+J938/(50*(ABS(O938)+ABS(T938)+0.0001)))</f>
        <v>85.334568765144866</v>
      </c>
      <c r="C938" s="21">
        <f t="shared" ca="1" si="89"/>
        <v>1</v>
      </c>
      <c r="D938" s="9">
        <f ca="1">D937+C938*(Prices!C938-Prices!C937)/Prices!C937</f>
        <v>0.42759072289310235</v>
      </c>
      <c r="E938" s="9">
        <f t="shared" ca="1" si="90"/>
        <v>2.7576494051293421E-2</v>
      </c>
      <c r="F938" s="9">
        <f t="shared" ca="1" si="91"/>
        <v>0.45516721694439577</v>
      </c>
      <c r="G938" s="13">
        <f ca="1">IF((Prices!C938-Prices!C937)*C938&gt;0,1,0)</f>
        <v>0</v>
      </c>
      <c r="H938" s="9">
        <f>ABS(Prices!C938-Prices!C937)/Prices!C937</f>
        <v>9.9596869812663431E-3</v>
      </c>
      <c r="I938" s="13"/>
      <c r="J938" s="1">
        <f t="shared" ca="1" si="92"/>
        <v>9.6045860050080682E-4</v>
      </c>
      <c r="K938" s="9"/>
      <c r="L938" s="9">
        <f ca="1">L937-O938*Prices!C938</f>
        <v>0.94585033067453117</v>
      </c>
      <c r="M938" s="1">
        <f t="shared" ca="1" si="93"/>
        <v>1.1370321513898321E-2</v>
      </c>
      <c r="N938" s="9">
        <f ca="1">IF(Prices!D937&gt;OFFSET(Prices!D937,-$N$3,0),1,-1)</f>
        <v>1</v>
      </c>
      <c r="O938" s="1">
        <f ca="1">IF(N938=1,O$3*L937/Prices!C937,-O$3*M937)</f>
        <v>1.2447036855830125E-3</v>
      </c>
      <c r="P938" s="14"/>
      <c r="Q938" s="9">
        <f ca="1">Q937-T938*Prices!C938</f>
        <v>0.67451580083085771</v>
      </c>
      <c r="R938" s="1">
        <f t="shared" ca="1" si="94"/>
        <v>1.3928009169028076E-2</v>
      </c>
      <c r="S938" s="9">
        <f ca="1">IF(Prices!C937&lt;OFFSET(Prices!C937,-S$3,0),1,-1)</f>
        <v>-1</v>
      </c>
      <c r="T938" s="1">
        <f ca="1">IF(S938=1,T$3*Q937/Prices!C937,-T$3*R937)</f>
        <v>-2.8424508508220563E-4</v>
      </c>
    </row>
    <row r="939" spans="1:20" x14ac:dyDescent="0.2">
      <c r="A939" s="4">
        <v>34821</v>
      </c>
      <c r="B939" s="9">
        <f ca="1">Prices!C938*(1+J939/(50*(ABS(O939)+ABS(T939)+0.0001)))</f>
        <v>84.443883365571764</v>
      </c>
      <c r="C939" s="21">
        <f t="shared" ca="1" si="89"/>
        <v>1</v>
      </c>
      <c r="D939" s="9">
        <f ca="1">D938+C939*(Prices!C939-Prices!C938)/Prices!C938</f>
        <v>0.42902784864160537</v>
      </c>
      <c r="E939" s="9">
        <f t="shared" ca="1" si="90"/>
        <v>2.61393683027904E-2</v>
      </c>
      <c r="F939" s="9">
        <f t="shared" ca="1" si="91"/>
        <v>0.45516721694439577</v>
      </c>
      <c r="G939" s="13">
        <f ca="1">IF((Prices!C939-Prices!C938)*C939&gt;0,1,0)</f>
        <v>1</v>
      </c>
      <c r="H939" s="9">
        <f>ABS(Prices!C939-Prices!C938)/Prices!C938</f>
        <v>1.4371257485030484E-3</v>
      </c>
      <c r="I939" s="13"/>
      <c r="J939" s="1">
        <f t="shared" ca="1" si="92"/>
        <v>8.5419470365480517E-4</v>
      </c>
      <c r="K939" s="9"/>
      <c r="L939" s="9">
        <f ca="1">L938-O939*Prices!C939</f>
        <v>0.8511293670206338</v>
      </c>
      <c r="M939" s="1">
        <f t="shared" ca="1" si="93"/>
        <v>1.2503076400933687E-2</v>
      </c>
      <c r="N939" s="9">
        <f ca="1">IF(Prices!D938&gt;OFFSET(Prices!D938,-$N$3,0),1,-1)</f>
        <v>1</v>
      </c>
      <c r="O939" s="1">
        <f ca="1">IF(N939=1,O$3*L938/Prices!C938,-O$3*M938)</f>
        <v>1.1327548870353667E-3</v>
      </c>
      <c r="P939" s="14"/>
      <c r="Q939" s="9">
        <f ca="1">Q938-T939*Prices!C939</f>
        <v>0.69780900336514029</v>
      </c>
      <c r="R939" s="1">
        <f t="shared" ca="1" si="94"/>
        <v>1.3649448985647515E-2</v>
      </c>
      <c r="S939" s="9">
        <f ca="1">IF(Prices!C938&lt;OFFSET(Prices!C938,-S$3,0),1,-1)</f>
        <v>-1</v>
      </c>
      <c r="T939" s="1">
        <f ca="1">IF(S939=1,T$3*Q938/Prices!C938,-T$3*R938)</f>
        <v>-2.7856018338056151E-4</v>
      </c>
    </row>
    <row r="940" spans="1:20" x14ac:dyDescent="0.2">
      <c r="A940" s="4">
        <v>34822</v>
      </c>
      <c r="B940" s="9">
        <f ca="1">Prices!C939*(1+J940/(50*(ABS(O940)+ABS(T940)+0.0001)))</f>
        <v>82.425772645390708</v>
      </c>
      <c r="C940" s="21">
        <f t="shared" ca="1" si="89"/>
        <v>-1</v>
      </c>
      <c r="D940" s="9">
        <f ca="1">D939+C940*(Prices!C940-Prices!C939)/Prices!C939</f>
        <v>0.4280711397202947</v>
      </c>
      <c r="E940" s="9">
        <f t="shared" ca="1" si="90"/>
        <v>2.7096077224101067E-2</v>
      </c>
      <c r="F940" s="9">
        <f t="shared" ca="1" si="91"/>
        <v>0.45516721694439577</v>
      </c>
      <c r="G940" s="13">
        <f ca="1">IF((Prices!C940-Prices!C939)*C940&gt;0,1,0)</f>
        <v>0</v>
      </c>
      <c r="H940" s="9">
        <f>ABS(Prices!C940-Prices!C939)/Prices!C939</f>
        <v>9.5670892131067078E-4</v>
      </c>
      <c r="I940" s="13"/>
      <c r="J940" s="1">
        <f t="shared" ca="1" si="92"/>
        <v>-1.083407615370781E-3</v>
      </c>
      <c r="K940" s="9"/>
      <c r="L940" s="9">
        <f ca="1">L939-O940*Prices!C940</f>
        <v>0.95578011649644878</v>
      </c>
      <c r="M940" s="1">
        <f t="shared" ca="1" si="93"/>
        <v>1.1252768760840318E-2</v>
      </c>
      <c r="N940" s="9">
        <f ca="1">IF(Prices!D939&gt;OFFSET(Prices!D939,-$N$3,0),1,-1)</f>
        <v>-1</v>
      </c>
      <c r="O940" s="1">
        <f ca="1">IF(N940=1,O$3*L939/Prices!C939,-O$3*M939)</f>
        <v>-1.2503076400933689E-3</v>
      </c>
      <c r="P940" s="14"/>
      <c r="Q940" s="9">
        <f ca="1">Q939-T940*Prices!C940</f>
        <v>0.68383947129585965</v>
      </c>
      <c r="R940" s="1">
        <f t="shared" ca="1" si="94"/>
        <v>1.3816349010370103E-2</v>
      </c>
      <c r="S940" s="9">
        <f ca="1">IF(Prices!C939&lt;OFFSET(Prices!C939,-S$3,0),1,-1)</f>
        <v>1</v>
      </c>
      <c r="T940" s="1">
        <f ca="1">IF(S940=1,T$3*Q939/Prices!C939,-T$3*R939)</f>
        <v>1.6690002472258795E-4</v>
      </c>
    </row>
    <row r="941" spans="1:20" x14ac:dyDescent="0.2">
      <c r="A941" s="4">
        <v>34823</v>
      </c>
      <c r="B941" s="9">
        <f ca="1">Prices!C940*(1+J941/(50*(ABS(O941)+ABS(T941)+0.0001)))</f>
        <v>82.137480800544452</v>
      </c>
      <c r="C941" s="21">
        <f t="shared" ca="1" si="89"/>
        <v>-1</v>
      </c>
      <c r="D941" s="9">
        <f ca="1">D940+C941*(Prices!C941-Prices!C940)/Prices!C940</f>
        <v>0.42580112777286344</v>
      </c>
      <c r="E941" s="9">
        <f t="shared" ca="1" si="90"/>
        <v>2.9366089171532328E-2</v>
      </c>
      <c r="F941" s="9">
        <f t="shared" ca="1" si="91"/>
        <v>0.45516721694439577</v>
      </c>
      <c r="G941" s="13">
        <f ca="1">IF((Prices!C941-Prices!C940)*C941&gt;0,1,0)</f>
        <v>0</v>
      </c>
      <c r="H941" s="9">
        <f>ABS(Prices!C941-Prices!C940)/Prices!C940</f>
        <v>2.2700119474312751E-3</v>
      </c>
      <c r="I941" s="13"/>
      <c r="J941" s="1">
        <f t="shared" ca="1" si="92"/>
        <v>-1.401603856291434E-3</v>
      </c>
      <c r="K941" s="9"/>
      <c r="L941" s="9">
        <f ca="1">L940-O941*Prices!C941</f>
        <v>1.0501795936311382</v>
      </c>
      <c r="M941" s="1">
        <f t="shared" ca="1" si="93"/>
        <v>1.0127491884756286E-2</v>
      </c>
      <c r="N941" s="9">
        <f ca="1">IF(Prices!D940&gt;OFFSET(Prices!D940,-$N$3,0),1,-1)</f>
        <v>-1</v>
      </c>
      <c r="O941" s="1">
        <f ca="1">IF(N941=1,O$3*L940/Prices!C940,-O$3*M940)</f>
        <v>-1.1252768760840318E-3</v>
      </c>
      <c r="P941" s="14"/>
      <c r="Q941" s="9">
        <f ca="1">Q940-T941*Prices!C941</f>
        <v>0.70702054166545858</v>
      </c>
      <c r="R941" s="1">
        <f t="shared" ca="1" si="94"/>
        <v>1.3540022030162701E-2</v>
      </c>
      <c r="S941" s="9">
        <f ca="1">IF(Prices!C940&lt;OFFSET(Prices!C940,-S$3,0),1,-1)</f>
        <v>-1</v>
      </c>
      <c r="T941" s="1">
        <f ca="1">IF(S941=1,T$3*Q940/Prices!C940,-T$3*R940)</f>
        <v>-2.7632698020740209E-4</v>
      </c>
    </row>
    <row r="942" spans="1:20" x14ac:dyDescent="0.2">
      <c r="A942" s="4">
        <v>34824</v>
      </c>
      <c r="B942" s="9">
        <f ca="1">Prices!C941*(1+J942/(50*(ABS(O942)+ABS(T942)+0.0001)))</f>
        <v>82.784580997026893</v>
      </c>
      <c r="C942" s="21">
        <f t="shared" ca="1" si="89"/>
        <v>-1</v>
      </c>
      <c r="D942" s="9">
        <f ca="1">D941+C942*(Prices!C942-Prices!C941)/Prices!C941</f>
        <v>0.42484749801961513</v>
      </c>
      <c r="E942" s="9">
        <f t="shared" ca="1" si="90"/>
        <v>3.0319718924780636E-2</v>
      </c>
      <c r="F942" s="9">
        <f t="shared" ca="1" si="91"/>
        <v>0.45516721694439577</v>
      </c>
      <c r="G942" s="13">
        <f ca="1">IF((Prices!C942-Prices!C941)*C942&gt;0,1,0)</f>
        <v>0</v>
      </c>
      <c r="H942" s="9">
        <f>ABS(Prices!C942-Prices!C941)/Prices!C941</f>
        <v>9.5362975324828102E-4</v>
      </c>
      <c r="I942" s="13"/>
      <c r="J942" s="1">
        <f t="shared" ca="1" si="92"/>
        <v>-8.4419023230315076E-4</v>
      </c>
      <c r="K942" s="9"/>
      <c r="L942" s="9">
        <f ca="1">L941-O942*Prices!C942</f>
        <v>1.1352201429874367</v>
      </c>
      <c r="M942" s="1">
        <f t="shared" ca="1" si="93"/>
        <v>9.1147426962806567E-3</v>
      </c>
      <c r="N942" s="9">
        <f ca="1">IF(Prices!D941&gt;OFFSET(Prices!D941,-$N$3,0),1,-1)</f>
        <v>-1</v>
      </c>
      <c r="O942" s="1">
        <f ca="1">IF(N942=1,O$3*L941/Prices!C941,-O$3*M941)</f>
        <v>-1.0127491884756286E-3</v>
      </c>
      <c r="P942" s="14"/>
      <c r="Q942" s="9">
        <f ca="1">Q941-T942*Prices!C942</f>
        <v>0.69286664611565563</v>
      </c>
      <c r="R942" s="1">
        <f t="shared" ca="1" si="94"/>
        <v>1.3708580986335178E-2</v>
      </c>
      <c r="S942" s="9">
        <f ca="1">IF(Prices!C941&lt;OFFSET(Prices!C941,-S$3,0),1,-1)</f>
        <v>1</v>
      </c>
      <c r="T942" s="1">
        <f ca="1">IF(S942=1,T$3*Q941/Prices!C941,-T$3*R941)</f>
        <v>1.6855895617247791E-4</v>
      </c>
    </row>
    <row r="943" spans="1:20" x14ac:dyDescent="0.2">
      <c r="A943" s="4">
        <v>34827</v>
      </c>
      <c r="B943" s="9">
        <f ca="1">Prices!C942*(1+J943/(50*(ABS(O943)+ABS(T943)+0.0001)))</f>
        <v>82.421226948983815</v>
      </c>
      <c r="C943" s="21">
        <f t="shared" ca="1" si="89"/>
        <v>-1</v>
      </c>
      <c r="D943" s="9">
        <f ca="1">D942+C943*(Prices!C943-Prices!C942)/Prices!C942</f>
        <v>0.43330289875797401</v>
      </c>
      <c r="E943" s="9">
        <f t="shared" ca="1" si="90"/>
        <v>2.1864318186421761E-2</v>
      </c>
      <c r="F943" s="9">
        <f t="shared" ca="1" si="91"/>
        <v>0.45516721694439577</v>
      </c>
      <c r="G943" s="13">
        <f ca="1">IF((Prices!C943-Prices!C942)*C943&gt;0,1,0)</f>
        <v>1</v>
      </c>
      <c r="H943" s="9">
        <f>ABS(Prices!C943-Prices!C942)/Prices!C942</f>
        <v>8.4554007383588637E-3</v>
      </c>
      <c r="I943" s="13"/>
      <c r="J943" s="1">
        <f t="shared" ca="1" si="92"/>
        <v>-1.1856458893547694E-3</v>
      </c>
      <c r="K943" s="9"/>
      <c r="L943" s="9">
        <f ca="1">L942-O943*Prices!C943</f>
        <v>1.2111094906766695</v>
      </c>
      <c r="M943" s="1">
        <f t="shared" ca="1" si="93"/>
        <v>8.2032684266525914E-3</v>
      </c>
      <c r="N943" s="9">
        <f ca="1">IF(Prices!D942&gt;OFFSET(Prices!D942,-$N$3,0),1,-1)</f>
        <v>-1</v>
      </c>
      <c r="O943" s="1">
        <f ca="1">IF(N943=1,O$3*L942/Prices!C942,-O$3*M942)</f>
        <v>-9.1147426962806576E-4</v>
      </c>
      <c r="P943" s="14"/>
      <c r="Q943" s="9">
        <f ca="1">Q942-T943*Prices!C943</f>
        <v>0.71569417517410094</v>
      </c>
      <c r="R943" s="1">
        <f t="shared" ca="1" si="94"/>
        <v>1.3434409366608474E-2</v>
      </c>
      <c r="S943" s="9">
        <f ca="1">IF(Prices!C942&lt;OFFSET(Prices!C942,-S$3,0),1,-1)</f>
        <v>-1</v>
      </c>
      <c r="T943" s="1">
        <f ca="1">IF(S943=1,T$3*Q942/Prices!C942,-T$3*R942)</f>
        <v>-2.7417161972670358E-4</v>
      </c>
    </row>
    <row r="944" spans="1:20" x14ac:dyDescent="0.2">
      <c r="A944" s="4">
        <v>34828</v>
      </c>
      <c r="B944" s="9">
        <f ca="1">Prices!C943*(1+J944/(50*(ABS(O944)+ABS(T944)+0.0001)))</f>
        <v>82.271457271197306</v>
      </c>
      <c r="C944" s="21">
        <f t="shared" ca="1" si="89"/>
        <v>-1</v>
      </c>
      <c r="D944" s="9">
        <f ca="1">D943+C944*(Prices!C944-Prices!C943)/Prices!C943</f>
        <v>0.43198173613486568</v>
      </c>
      <c r="E944" s="9">
        <f t="shared" ca="1" si="90"/>
        <v>2.318548080953009E-2</v>
      </c>
      <c r="F944" s="9">
        <f t="shared" ca="1" si="91"/>
        <v>0.45516721694439577</v>
      </c>
      <c r="G944" s="13">
        <f ca="1">IF((Prices!C944-Prices!C943)*C944&gt;0,1,0)</f>
        <v>0</v>
      </c>
      <c r="H944" s="9">
        <f>ABS(Prices!C944-Prices!C943)/Prices!C943</f>
        <v>1.3211626231083285E-3</v>
      </c>
      <c r="I944" s="13"/>
      <c r="J944" s="1">
        <f t="shared" ca="1" si="92"/>
        <v>-6.4840895288046437E-4</v>
      </c>
      <c r="K944" s="9"/>
      <c r="L944" s="9">
        <f ca="1">L943-O944*Prices!C944</f>
        <v>1.2795001395496721</v>
      </c>
      <c r="M944" s="1">
        <f t="shared" ca="1" si="93"/>
        <v>7.3829415839873321E-3</v>
      </c>
      <c r="N944" s="9">
        <f ca="1">IF(Prices!D943&gt;OFFSET(Prices!D943,-$N$3,0),1,-1)</f>
        <v>-1</v>
      </c>
      <c r="O944" s="1">
        <f ca="1">IF(N944=1,O$3*L943/Prices!C943,-O$3*M943)</f>
        <v>-8.2032684266525921E-4</v>
      </c>
      <c r="P944" s="14"/>
      <c r="Q944" s="9">
        <f ca="1">Q943-T944*Prices!C944</f>
        <v>0.70136138070274257</v>
      </c>
      <c r="R944" s="1">
        <f t="shared" ca="1" si="94"/>
        <v>1.3606327256393269E-2</v>
      </c>
      <c r="S944" s="9">
        <f ca="1">IF(Prices!C943&lt;OFFSET(Prices!C943,-S$3,0),1,-1)</f>
        <v>1</v>
      </c>
      <c r="T944" s="1">
        <f ca="1">IF(S944=1,T$3*Q943/Prices!C943,-T$3*R943)</f>
        <v>1.7191788978479484E-4</v>
      </c>
    </row>
    <row r="945" spans="1:20" x14ac:dyDescent="0.2">
      <c r="A945" s="4">
        <v>34829</v>
      </c>
      <c r="B945" s="9">
        <f ca="1">Prices!C944*(1+J945/(50*(ABS(O945)+ABS(T945)+0.0001)))</f>
        <v>82.425695103182264</v>
      </c>
      <c r="C945" s="21">
        <f t="shared" ca="1" si="89"/>
        <v>-1</v>
      </c>
      <c r="D945" s="9">
        <f ca="1">D944+C945*(Prices!C945-Prices!C944)/Prices!C944</f>
        <v>0.42670405831310726</v>
      </c>
      <c r="E945" s="9">
        <f t="shared" ca="1" si="90"/>
        <v>2.846315863128851E-2</v>
      </c>
      <c r="F945" s="9">
        <f t="shared" ca="1" si="91"/>
        <v>0.45516721694439577</v>
      </c>
      <c r="G945" s="13">
        <f ca="1">IF((Prices!C945-Prices!C944)*C945&gt;0,1,0)</f>
        <v>0</v>
      </c>
      <c r="H945" s="9">
        <f>ABS(Prices!C945-Prices!C944)/Prices!C944</f>
        <v>5.2776778217583989E-3</v>
      </c>
      <c r="I945" s="13"/>
      <c r="J945" s="1">
        <f t="shared" ca="1" si="92"/>
        <v>-5.7004145821815447E-4</v>
      </c>
      <c r="K945" s="9"/>
      <c r="L945" s="9">
        <f ca="1">L944-O945*Prices!C945</f>
        <v>1.34137657296507</v>
      </c>
      <c r="M945" s="1">
        <f t="shared" ca="1" si="93"/>
        <v>6.6446474255885991E-3</v>
      </c>
      <c r="N945" s="9">
        <f ca="1">IF(Prices!D944&gt;OFFSET(Prices!D944,-$N$3,0),1,-1)</f>
        <v>-1</v>
      </c>
      <c r="O945" s="1">
        <f ca="1">IF(N945=1,O$3*L944/Prices!C944,-O$3*M944)</f>
        <v>-7.3829415839873327E-4</v>
      </c>
      <c r="P945" s="14"/>
      <c r="Q945" s="9">
        <f ca="1">Q944-T945*Prices!C945</f>
        <v>0.68726012190060826</v>
      </c>
      <c r="R945" s="1">
        <f t="shared" ca="1" si="94"/>
        <v>1.3774579956573848E-2</v>
      </c>
      <c r="S945" s="9">
        <f ca="1">IF(Prices!C944&lt;OFFSET(Prices!C944,-S$3,0),1,-1)</f>
        <v>1</v>
      </c>
      <c r="T945" s="1">
        <f ca="1">IF(S945=1,T$3*Q944/Prices!C944,-T$3*R944)</f>
        <v>1.6825270018057875E-4</v>
      </c>
    </row>
    <row r="946" spans="1:20" x14ac:dyDescent="0.2">
      <c r="A946" s="4">
        <v>34830</v>
      </c>
      <c r="B946" s="9">
        <f ca="1">Prices!C945*(1+J946/(50*(ABS(O946)+ABS(T946)+0.0001)))</f>
        <v>82.906500053193739</v>
      </c>
      <c r="C946" s="21">
        <f t="shared" ca="1" si="89"/>
        <v>-1</v>
      </c>
      <c r="D946" s="9">
        <f ca="1">D945+C946*(Prices!C946-Prices!C945)/Prices!C945</f>
        <v>0.40391441507244391</v>
      </c>
      <c r="E946" s="9">
        <f t="shared" ca="1" si="90"/>
        <v>5.1252801871951859E-2</v>
      </c>
      <c r="F946" s="9">
        <f t="shared" ca="1" si="91"/>
        <v>0.45516721694439577</v>
      </c>
      <c r="G946" s="13">
        <f ca="1">IF((Prices!C946-Prices!C945)*C946&gt;0,1,0)</f>
        <v>0</v>
      </c>
      <c r="H946" s="9">
        <f>ABS(Prices!C946-Prices!C945)/Prices!C945</f>
        <v>2.2789643240663363E-2</v>
      </c>
      <c r="I946" s="13"/>
      <c r="J946" s="1">
        <f t="shared" ca="1" si="92"/>
        <v>-5.0046041803896769E-4</v>
      </c>
      <c r="K946" s="9"/>
      <c r="L946" s="9">
        <f ca="1">L945-O946*Prices!C946</f>
        <v>1.3983344906972155</v>
      </c>
      <c r="M946" s="1">
        <f t="shared" ca="1" si="93"/>
        <v>5.9801826830297392E-3</v>
      </c>
      <c r="N946" s="9">
        <f ca="1">IF(Prices!D945&gt;OFFSET(Prices!D945,-$N$3,0),1,-1)</f>
        <v>-1</v>
      </c>
      <c r="O946" s="1">
        <f ca="1">IF(N946=1,O$3*L945/Prices!C945,-O$3*M945)</f>
        <v>-6.6446474255885991E-4</v>
      </c>
      <c r="P946" s="14"/>
      <c r="Q946" s="9">
        <f ca="1">Q945-T946*Prices!C946</f>
        <v>0.67320167120276309</v>
      </c>
      <c r="R946" s="1">
        <f t="shared" ca="1" si="94"/>
        <v>1.3938584281093741E-2</v>
      </c>
      <c r="S946" s="9">
        <f ca="1">IF(Prices!C945&lt;OFFSET(Prices!C945,-S$3,0),1,-1)</f>
        <v>1</v>
      </c>
      <c r="T946" s="1">
        <f ca="1">IF(S946=1,T$3*Q945/Prices!C945,-T$3*R945)</f>
        <v>1.640043245198922E-4</v>
      </c>
    </row>
    <row r="947" spans="1:20" x14ac:dyDescent="0.2">
      <c r="A947" s="4">
        <v>34831</v>
      </c>
      <c r="B947" s="9">
        <f ca="1">Prices!C946*(1+J947/(50*(ABS(O947)+ABS(T947)+0.0001)))</f>
        <v>86.873572868166875</v>
      </c>
      <c r="C947" s="21">
        <f t="shared" ca="1" si="89"/>
        <v>1</v>
      </c>
      <c r="D947" s="9">
        <f ca="1">D946+C947*(Prices!C947-Prices!C946)/Prices!C946</f>
        <v>0.41593028068140331</v>
      </c>
      <c r="E947" s="9">
        <f t="shared" ca="1" si="90"/>
        <v>3.9236936262992461E-2</v>
      </c>
      <c r="F947" s="9">
        <f t="shared" ca="1" si="91"/>
        <v>0.45516721694439577</v>
      </c>
      <c r="G947" s="13">
        <f ca="1">IF((Prices!C947-Prices!C946)*C947&gt;0,1,0)</f>
        <v>1</v>
      </c>
      <c r="H947" s="9">
        <f>ABS(Prices!C947-Prices!C946)/Prices!C946</f>
        <v>1.2015865608959416E-2</v>
      </c>
      <c r="I947" s="13"/>
      <c r="J947" s="1">
        <f t="shared" ca="1" si="92"/>
        <v>1.35250980142574E-3</v>
      </c>
      <c r="K947" s="9"/>
      <c r="L947" s="9">
        <f ca="1">L946-O947*Prices!C947</f>
        <v>1.256820821695835</v>
      </c>
      <c r="M947" s="1">
        <f t="shared" ca="1" si="93"/>
        <v>7.6114641700773542E-3</v>
      </c>
      <c r="N947" s="9">
        <f ca="1">IF(Prices!D946&gt;OFFSET(Prices!D946,-$N$3,0),1,-1)</f>
        <v>1</v>
      </c>
      <c r="O947" s="1">
        <f ca="1">IF(N947=1,O$3*L946/Prices!C946,-O$3*M946)</f>
        <v>1.631281487047615E-3</v>
      </c>
      <c r="P947" s="14"/>
      <c r="Q947" s="9">
        <f ca="1">Q946-T947*Prices!C947</f>
        <v>0.69738511493046074</v>
      </c>
      <c r="R947" s="1">
        <f t="shared" ca="1" si="94"/>
        <v>1.3659812595471867E-2</v>
      </c>
      <c r="S947" s="9">
        <f ca="1">IF(Prices!C946&lt;OFFSET(Prices!C946,-S$3,0),1,-1)</f>
        <v>-1</v>
      </c>
      <c r="T947" s="1">
        <f ca="1">IF(S947=1,T$3*Q946/Prices!C946,-T$3*R946)</f>
        <v>-2.7877168562187484E-4</v>
      </c>
    </row>
    <row r="948" spans="1:20" x14ac:dyDescent="0.2">
      <c r="A948" s="4">
        <v>34834</v>
      </c>
      <c r="B948" s="9">
        <f ca="1">Prices!C947*(1+J948/(50*(ABS(O948)+ABS(T948)+0.0001)))</f>
        <v>87.869466162537819</v>
      </c>
      <c r="C948" s="21">
        <f t="shared" ca="1" si="89"/>
        <v>1</v>
      </c>
      <c r="D948" s="9">
        <f ca="1">D947+C948*(Prices!C948-Prices!C947)/Prices!C947</f>
        <v>0.41247206742491921</v>
      </c>
      <c r="E948" s="9">
        <f t="shared" ca="1" si="90"/>
        <v>4.2695149519476561E-2</v>
      </c>
      <c r="F948" s="9">
        <f t="shared" ca="1" si="91"/>
        <v>0.45516721694439577</v>
      </c>
      <c r="G948" s="13">
        <f ca="1">IF((Prices!C948-Prices!C947)*C948&gt;0,1,0)</f>
        <v>0</v>
      </c>
      <c r="H948" s="9">
        <f>ABS(Prices!C948-Prices!C947)/Prices!C947</f>
        <v>3.4582132564841173E-3</v>
      </c>
      <c r="I948" s="13"/>
      <c r="J948" s="1">
        <f t="shared" ca="1" si="92"/>
        <v>1.1755885569618423E-3</v>
      </c>
      <c r="K948" s="9"/>
      <c r="L948" s="9">
        <f ca="1">L947-O948*Prices!C948</f>
        <v>1.1315733749689127</v>
      </c>
      <c r="M948" s="1">
        <f t="shared" ca="1" si="93"/>
        <v>9.0602489789486339E-3</v>
      </c>
      <c r="N948" s="9">
        <f ca="1">IF(Prices!D947&gt;OFFSET(Prices!D947,-$N$3,0),1,-1)</f>
        <v>1</v>
      </c>
      <c r="O948" s="1">
        <f ca="1">IF(N948=1,O$3*L947/Prices!C947,-O$3*M947)</f>
        <v>1.4487848088712797E-3</v>
      </c>
      <c r="P948" s="14"/>
      <c r="Q948" s="9">
        <f ca="1">Q947-T948*Prices!C948</f>
        <v>0.72100293090803158</v>
      </c>
      <c r="R948" s="1">
        <f t="shared" ca="1" si="94"/>
        <v>1.3386616343562429E-2</v>
      </c>
      <c r="S948" s="9">
        <f ca="1">IF(Prices!C947&lt;OFFSET(Prices!C947,-S$3,0),1,-1)</f>
        <v>-1</v>
      </c>
      <c r="T948" s="1">
        <f ca="1">IF(S948=1,T$3*Q947/Prices!C947,-T$3*R947)</f>
        <v>-2.7319625190943734E-4</v>
      </c>
    </row>
    <row r="949" spans="1:20" x14ac:dyDescent="0.2">
      <c r="A949" s="4">
        <v>34835</v>
      </c>
      <c r="B949" s="9">
        <f ca="1">Prices!C948*(1+J949/(50*(ABS(O949)+ABS(T949)+0.0001)))</f>
        <v>84.85674015254888</v>
      </c>
      <c r="C949" s="21">
        <f t="shared" ca="1" si="89"/>
        <v>-1</v>
      </c>
      <c r="D949" s="9">
        <f ca="1">D948+C949*(Prices!C949-Prices!C948)/Prices!C948</f>
        <v>0.41015859142723265</v>
      </c>
      <c r="E949" s="9">
        <f t="shared" ca="1" si="90"/>
        <v>4.5008625517163114E-2</v>
      </c>
      <c r="F949" s="9">
        <f t="shared" ca="1" si="91"/>
        <v>0.45516721694439577</v>
      </c>
      <c r="G949" s="13">
        <f ca="1">IF((Prices!C949-Prices!C948)*C949&gt;0,1,0)</f>
        <v>0</v>
      </c>
      <c r="H949" s="9">
        <f>ABS(Prices!C949-Prices!C948)/Prices!C948</f>
        <v>2.3134759976865568E-3</v>
      </c>
      <c r="I949" s="13"/>
      <c r="J949" s="1">
        <f t="shared" ca="1" si="92"/>
        <v>-1.1737572247661121E-3</v>
      </c>
      <c r="K949" s="9"/>
      <c r="L949" s="9">
        <f ca="1">L948-O949*Prices!C949</f>
        <v>1.2100804323715026</v>
      </c>
      <c r="M949" s="1">
        <f t="shared" ca="1" si="93"/>
        <v>8.1542240810537712E-3</v>
      </c>
      <c r="N949" s="9">
        <f ca="1">IF(Prices!D948&gt;OFFSET(Prices!D948,-$N$3,0),1,-1)</f>
        <v>-1</v>
      </c>
      <c r="O949" s="1">
        <f ca="1">IF(N949=1,O$3*L948/Prices!C948,-O$3*M948)</f>
        <v>-9.0602489789486345E-4</v>
      </c>
      <c r="P949" s="14"/>
      <c r="Q949" s="9">
        <f ca="1">Q948-T949*Prices!C949</f>
        <v>0.74420193703142523</v>
      </c>
      <c r="R949" s="1">
        <f t="shared" ca="1" si="94"/>
        <v>1.311888401669118E-2</v>
      </c>
      <c r="S949" s="9">
        <f ca="1">IF(Prices!C948&lt;OFFSET(Prices!C948,-S$3,0),1,-1)</f>
        <v>-1</v>
      </c>
      <c r="T949" s="1">
        <f ca="1">IF(S949=1,T$3*Q948/Prices!C948,-T$3*R948)</f>
        <v>-2.6773232687124856E-4</v>
      </c>
    </row>
    <row r="950" spans="1:20" x14ac:dyDescent="0.2">
      <c r="A950" s="4">
        <v>34836</v>
      </c>
      <c r="B950" s="9">
        <f ca="1">Prices!C949*(1+J950/(50*(ABS(O950)+ABS(T950)+0.0001)))</f>
        <v>85.064138722183031</v>
      </c>
      <c r="C950" s="21">
        <f t="shared" ca="1" si="89"/>
        <v>-1</v>
      </c>
      <c r="D950" s="9">
        <f ca="1">D949+C950*(Prices!C950-Prices!C949)/Prices!C949</f>
        <v>0.40750423482019293</v>
      </c>
      <c r="E950" s="9">
        <f t="shared" ca="1" si="90"/>
        <v>4.7662982124202835E-2</v>
      </c>
      <c r="F950" s="9">
        <f t="shared" ca="1" si="91"/>
        <v>0.45516721694439577</v>
      </c>
      <c r="G950" s="13">
        <f ca="1">IF((Prices!C950-Prices!C949)*C950&gt;0,1,0)</f>
        <v>0</v>
      </c>
      <c r="H950" s="9">
        <f>ABS(Prices!C950-Prices!C949)/Prices!C949</f>
        <v>2.6543566070396972E-3</v>
      </c>
      <c r="I950" s="13"/>
      <c r="J950" s="1">
        <f t="shared" ca="1" si="92"/>
        <v>-1.0778000884392007E-3</v>
      </c>
      <c r="K950" s="9"/>
      <c r="L950" s="9">
        <f ca="1">L949-O950*Prices!C950</f>
        <v>1.2809243311876979</v>
      </c>
      <c r="M950" s="1">
        <f t="shared" ca="1" si="93"/>
        <v>7.3388016729483939E-3</v>
      </c>
      <c r="N950" s="9">
        <f ca="1">IF(Prices!D949&gt;OFFSET(Prices!D949,-$N$3,0),1,-1)</f>
        <v>-1</v>
      </c>
      <c r="O950" s="1">
        <f ca="1">IF(N950=1,O$3*L949/Prices!C949,-O$3*M949)</f>
        <v>-8.1542240810537718E-4</v>
      </c>
      <c r="P950" s="14"/>
      <c r="Q950" s="9">
        <f ca="1">Q949-T950*Prices!C950</f>
        <v>0.76699730989882786</v>
      </c>
      <c r="R950" s="1">
        <f t="shared" ca="1" si="94"/>
        <v>1.2856506336357357E-2</v>
      </c>
      <c r="S950" s="9">
        <f ca="1">IF(Prices!C949&lt;OFFSET(Prices!C949,-S$3,0),1,-1)</f>
        <v>-1</v>
      </c>
      <c r="T950" s="1">
        <f ca="1">IF(S950=1,T$3*Q949/Prices!C949,-T$3*R949)</f>
        <v>-2.6237768033382362E-4</v>
      </c>
    </row>
    <row r="951" spans="1:20" x14ac:dyDescent="0.2">
      <c r="A951" s="4">
        <v>34837</v>
      </c>
      <c r="B951" s="9">
        <f ca="1">Prices!C950*(1+J951/(50*(ABS(O951)+ABS(T951)+0.0001)))</f>
        <v>85.301665225041489</v>
      </c>
      <c r="C951" s="21">
        <f t="shared" ca="1" si="89"/>
        <v>-1</v>
      </c>
      <c r="D951" s="9">
        <f ca="1">D950+C951*(Prices!C951-Prices!C950)/Prices!C950</f>
        <v>0.40761933610932727</v>
      </c>
      <c r="E951" s="9">
        <f t="shared" ca="1" si="90"/>
        <v>4.7547880835068501E-2</v>
      </c>
      <c r="F951" s="9">
        <f t="shared" ca="1" si="91"/>
        <v>0.45516721694439577</v>
      </c>
      <c r="G951" s="13">
        <f ca="1">IF((Prices!C951-Prices!C950)*C951&gt;0,1,0)</f>
        <v>1</v>
      </c>
      <c r="H951" s="9">
        <f>ABS(Prices!C951-Prices!C950)/Prices!C950</f>
        <v>1.1510128913433363E-4</v>
      </c>
      <c r="I951" s="13"/>
      <c r="J951" s="1">
        <f t="shared" ca="1" si="92"/>
        <v>-9.9101029402198651E-4</v>
      </c>
      <c r="K951" s="9"/>
      <c r="L951" s="9">
        <f ca="1">L950-O951*Prices!C951</f>
        <v>1.3446765013206006</v>
      </c>
      <c r="M951" s="1">
        <f t="shared" ca="1" si="93"/>
        <v>6.6049215056535543E-3</v>
      </c>
      <c r="N951" s="9">
        <f ca="1">IF(Prices!D950&gt;OFFSET(Prices!D950,-$N$3,0),1,-1)</f>
        <v>-1</v>
      </c>
      <c r="O951" s="1">
        <f ca="1">IF(N951=1,O$3*L950/Prices!C950,-O$3*M950)</f>
        <v>-7.3388016729483945E-4</v>
      </c>
      <c r="P951" s="14"/>
      <c r="Q951" s="9">
        <f ca="1">Q950-T951*Prices!C951</f>
        <v>0.78933420400761511</v>
      </c>
      <c r="R951" s="1">
        <f t="shared" ca="1" si="94"/>
        <v>1.259937620963021E-2</v>
      </c>
      <c r="S951" s="9">
        <f ca="1">IF(Prices!C950&lt;OFFSET(Prices!C950,-S$3,0),1,-1)</f>
        <v>-1</v>
      </c>
      <c r="T951" s="1">
        <f ca="1">IF(S951=1,T$3*Q950/Prices!C950,-T$3*R950)</f>
        <v>-2.5713012672714717E-4</v>
      </c>
    </row>
    <row r="952" spans="1:20" x14ac:dyDescent="0.2">
      <c r="A952" s="4">
        <v>34838</v>
      </c>
      <c r="B952" s="9">
        <f ca="1">Prices!C951*(1+J952/(50*(ABS(O952)+ABS(T952)+0.0001)))</f>
        <v>88.055085082206531</v>
      </c>
      <c r="C952" s="21">
        <f t="shared" ca="1" si="89"/>
        <v>1</v>
      </c>
      <c r="D952" s="9">
        <f ca="1">D951+C952*(Prices!C952-Prices!C951)/Prices!C951</f>
        <v>0.40750422157036092</v>
      </c>
      <c r="E952" s="9">
        <f t="shared" ca="1" si="90"/>
        <v>4.7662995374034844E-2</v>
      </c>
      <c r="F952" s="9">
        <f t="shared" ca="1" si="91"/>
        <v>0.45516721694439577</v>
      </c>
      <c r="G952" s="13">
        <f ca="1">IF((Prices!C952-Prices!C951)*C952&gt;0,1,0)</f>
        <v>0</v>
      </c>
      <c r="H952" s="9">
        <f>ABS(Prices!C952-Prices!C951)/Prices!C951</f>
        <v>1.1511453896633033E-4</v>
      </c>
      <c r="I952" s="13"/>
      <c r="J952" s="1">
        <f t="shared" ca="1" si="92"/>
        <v>1.2959306308903938E-3</v>
      </c>
      <c r="K952" s="9"/>
      <c r="L952" s="9">
        <f ca="1">L951-O952*Prices!C952</f>
        <v>1.2102243303700915</v>
      </c>
      <c r="M952" s="1">
        <f t="shared" ca="1" si="93"/>
        <v>8.1528396607365525E-3</v>
      </c>
      <c r="N952" s="9">
        <f ca="1">IF(Prices!D951&gt;OFFSET(Prices!D951,-$N$3,0),1,-1)</f>
        <v>1</v>
      </c>
      <c r="O952" s="1">
        <f ca="1">IF(N952=1,O$3*L951/Prices!C951,-O$3*M951)</f>
        <v>1.547918155082998E-3</v>
      </c>
      <c r="P952" s="14"/>
      <c r="Q952" s="9">
        <f ca="1">Q951-T952*Prices!C952</f>
        <v>0.8112218403589847</v>
      </c>
      <c r="R952" s="1">
        <f t="shared" ca="1" si="94"/>
        <v>1.2347388685437605E-2</v>
      </c>
      <c r="S952" s="9">
        <f ca="1">IF(Prices!C951&lt;OFFSET(Prices!C951,-S$3,0),1,-1)</f>
        <v>-1</v>
      </c>
      <c r="T952" s="1">
        <f ca="1">IF(S952=1,T$3*Q951/Prices!C951,-T$3*R951)</f>
        <v>-2.5198752419260421E-4</v>
      </c>
    </row>
    <row r="953" spans="1:20" x14ac:dyDescent="0.2">
      <c r="A953" s="4">
        <v>34841</v>
      </c>
      <c r="B953" s="9">
        <f ca="1">Prices!C952*(1+J953/(50*(ABS(O953)+ABS(T953)+0.0001)))</f>
        <v>88.004346117767483</v>
      </c>
      <c r="C953" s="21">
        <f t="shared" ca="1" si="89"/>
        <v>1</v>
      </c>
      <c r="D953" s="9">
        <f ca="1">D952+C953*(Prices!C953-Prices!C952)/Prices!C952</f>
        <v>0.41349086674650642</v>
      </c>
      <c r="E953" s="9">
        <f t="shared" ca="1" si="90"/>
        <v>4.1676350197889345E-2</v>
      </c>
      <c r="F953" s="9">
        <f t="shared" ca="1" si="91"/>
        <v>0.45516721694439577</v>
      </c>
      <c r="G953" s="13">
        <f ca="1">IF((Prices!C953-Prices!C952)*C953&gt;0,1,0)</f>
        <v>1</v>
      </c>
      <c r="H953" s="9">
        <f>ABS(Prices!C953-Prices!C952)/Prices!C952</f>
        <v>5.9866451761454754E-3</v>
      </c>
      <c r="I953" s="13"/>
      <c r="J953" s="1">
        <f t="shared" ca="1" si="92"/>
        <v>1.1463567742651041E-3</v>
      </c>
      <c r="K953" s="9"/>
      <c r="L953" s="9">
        <f ca="1">L952-O953*Prices!C953</f>
        <v>1.0884773789681359</v>
      </c>
      <c r="M953" s="1">
        <f t="shared" ca="1" si="93"/>
        <v>9.5461442087104095E-3</v>
      </c>
      <c r="N953" s="9">
        <f ca="1">IF(Prices!D952&gt;OFFSET(Prices!D952,-$N$3,0),1,-1)</f>
        <v>1</v>
      </c>
      <c r="O953" s="1">
        <f ca="1">IF(N953=1,O$3*L952/Prices!C952,-O$3*M952)</f>
        <v>1.3933045479738563E-3</v>
      </c>
      <c r="P953" s="14"/>
      <c r="Q953" s="9">
        <f ca="1">Q952-T953*Prices!C953</f>
        <v>0.83280013682565546</v>
      </c>
      <c r="R953" s="1">
        <f t="shared" ca="1" si="94"/>
        <v>1.2100440911728853E-2</v>
      </c>
      <c r="S953" s="9">
        <f ca="1">IF(Prices!C952&lt;OFFSET(Prices!C952,-S$3,0),1,-1)</f>
        <v>-1</v>
      </c>
      <c r="T953" s="1">
        <f ca="1">IF(S953=1,T$3*Q952/Prices!C952,-T$3*R952)</f>
        <v>-2.4694777370875209E-4</v>
      </c>
    </row>
    <row r="954" spans="1:20" x14ac:dyDescent="0.2">
      <c r="A954" s="4">
        <v>34842</v>
      </c>
      <c r="B954" s="9">
        <f ca="1">Prices!C953*(1+J954/(50*(ABS(O954)+ABS(T954)+0.0001)))</f>
        <v>88.484761431778082</v>
      </c>
      <c r="C954" s="21">
        <f t="shared" ca="1" si="89"/>
        <v>1</v>
      </c>
      <c r="D954" s="9">
        <f ca="1">D953+C954*(Prices!C954-Prices!C953)/Prices!C953</f>
        <v>0.41097312813355152</v>
      </c>
      <c r="E954" s="9">
        <f t="shared" ca="1" si="90"/>
        <v>4.4194088810844245E-2</v>
      </c>
      <c r="F954" s="9">
        <f t="shared" ca="1" si="91"/>
        <v>0.45516721694439577</v>
      </c>
      <c r="G954" s="13">
        <f ca="1">IF((Prices!C954-Prices!C953)*C954&gt;0,1,0)</f>
        <v>0</v>
      </c>
      <c r="H954" s="9">
        <f>ABS(Prices!C954-Prices!C953)/Prices!C953</f>
        <v>2.5177386129548967E-3</v>
      </c>
      <c r="I954" s="13"/>
      <c r="J954" s="1">
        <f t="shared" ca="1" si="92"/>
        <v>1.0036736937454368E-3</v>
      </c>
      <c r="K954" s="9"/>
      <c r="L954" s="9">
        <f ca="1">L953-O954*Prices!C954</f>
        <v>0.97990369122395793</v>
      </c>
      <c r="M954" s="1">
        <f t="shared" ca="1" si="93"/>
        <v>1.0791826720690423E-2</v>
      </c>
      <c r="N954" s="9">
        <f ca="1">IF(Prices!D953&gt;OFFSET(Prices!D953,-$N$3,0),1,-1)</f>
        <v>1</v>
      </c>
      <c r="O954" s="1">
        <f ca="1">IF(N954=1,O$3*L953/Prices!C953,-O$3*M953)</f>
        <v>1.2456825119800138E-3</v>
      </c>
      <c r="P954" s="14"/>
      <c r="Q954" s="9">
        <f ca="1">Q953-T954*Prices!C954</f>
        <v>0.8538936254229812</v>
      </c>
      <c r="R954" s="1">
        <f t="shared" ca="1" si="94"/>
        <v>1.1858432093494275E-2</v>
      </c>
      <c r="S954" s="9">
        <f ca="1">IF(Prices!C953&lt;OFFSET(Prices!C953,-S$3,0),1,-1)</f>
        <v>-1</v>
      </c>
      <c r="T954" s="1">
        <f ca="1">IF(S954=1,T$3*Q953/Prices!C953,-T$3*R953)</f>
        <v>-2.4200881823457706E-4</v>
      </c>
    </row>
    <row r="955" spans="1:20" x14ac:dyDescent="0.2">
      <c r="A955" s="4">
        <v>34843</v>
      </c>
      <c r="B955" s="9">
        <f ca="1">Prices!C954*(1+J955/(50*(ABS(O955)+ABS(T955)+0.0001)))</f>
        <v>85.539876808899351</v>
      </c>
      <c r="C955" s="21">
        <f t="shared" ca="1" si="89"/>
        <v>-1</v>
      </c>
      <c r="D955" s="9">
        <f ca="1">D954+C955*(Prices!C955-Prices!C954)/Prices!C954</f>
        <v>0.41097312813355152</v>
      </c>
      <c r="E955" s="9">
        <f t="shared" ca="1" si="90"/>
        <v>4.4194088810844245E-2</v>
      </c>
      <c r="F955" s="9">
        <f t="shared" ca="1" si="91"/>
        <v>0.45516721694439577</v>
      </c>
      <c r="G955" s="13">
        <f ca="1">IF((Prices!C955-Prices!C954)*C955&gt;0,1,0)</f>
        <v>0</v>
      </c>
      <c r="H955" s="9">
        <f>ABS(Prices!C955-Prices!C954)/Prices!C954</f>
        <v>0</v>
      </c>
      <c r="I955" s="13"/>
      <c r="J955" s="1">
        <f t="shared" ca="1" si="92"/>
        <v>-1.3163513139389277E-3</v>
      </c>
      <c r="K955" s="9"/>
      <c r="L955" s="9">
        <f ca="1">L954-O955*Prices!C955</f>
        <v>1.0739652529214956</v>
      </c>
      <c r="M955" s="1">
        <f t="shared" ca="1" si="93"/>
        <v>9.7126440486213807E-3</v>
      </c>
      <c r="N955" s="9">
        <f ca="1">IF(Prices!D954&gt;OFFSET(Prices!D954,-$N$3,0),1,-1)</f>
        <v>-1</v>
      </c>
      <c r="O955" s="1">
        <f ca="1">IF(N955=1,O$3*L954/Prices!C954,-O$3*M954)</f>
        <v>-1.0791826720690423E-3</v>
      </c>
      <c r="P955" s="14"/>
      <c r="Q955" s="9">
        <f ca="1">Q954-T955*Prices!C955</f>
        <v>0.87456524424836046</v>
      </c>
      <c r="R955" s="1">
        <f t="shared" ca="1" si="94"/>
        <v>1.162126345162439E-2</v>
      </c>
      <c r="S955" s="9">
        <f ca="1">IF(Prices!C954&lt;OFFSET(Prices!C954,-S$3,0),1,-1)</f>
        <v>-1</v>
      </c>
      <c r="T955" s="1">
        <f ca="1">IF(S955=1,T$3*Q954/Prices!C954,-T$3*R954)</f>
        <v>-2.3716864186988551E-4</v>
      </c>
    </row>
    <row r="956" spans="1:20" x14ac:dyDescent="0.2">
      <c r="A956" s="4">
        <v>34844</v>
      </c>
      <c r="B956" s="9">
        <f ca="1">Prices!C955*(1+J956/(50*(ABS(O956)+ABS(T956)+0.0001)))</f>
        <v>85.550512802586852</v>
      </c>
      <c r="C956" s="21">
        <f t="shared" ca="1" si="89"/>
        <v>-1</v>
      </c>
      <c r="D956" s="9">
        <f ca="1">D955+C956*(Prices!C956-Prices!C955)/Prices!C955</f>
        <v>0.43759084268150922</v>
      </c>
      <c r="E956" s="9">
        <f t="shared" ca="1" si="90"/>
        <v>1.7576374262886552E-2</v>
      </c>
      <c r="F956" s="9">
        <f t="shared" ca="1" si="91"/>
        <v>0.45516721694439577</v>
      </c>
      <c r="G956" s="13">
        <f ca="1">IF((Prices!C956-Prices!C955)*C956&gt;0,1,0)</f>
        <v>1</v>
      </c>
      <c r="H956" s="9">
        <f>ABS(Prices!C956-Prices!C955)/Prices!C955</f>
        <v>2.6617714547957701E-2</v>
      </c>
      <c r="I956" s="13"/>
      <c r="J956" s="1">
        <f t="shared" ca="1" si="92"/>
        <v>-1.2036896738946258E-3</v>
      </c>
      <c r="K956" s="9"/>
      <c r="L956" s="9">
        <f ca="1">L955-O956*Prices!C956</f>
        <v>1.1563673250299993</v>
      </c>
      <c r="M956" s="1">
        <f t="shared" ca="1" si="93"/>
        <v>8.7413796437592426E-3</v>
      </c>
      <c r="N956" s="9">
        <f ca="1">IF(Prices!D955&gt;OFFSET(Prices!D955,-$N$3,0),1,-1)</f>
        <v>-1</v>
      </c>
      <c r="O956" s="1">
        <f ca="1">IF(N956=1,O$3*L955/Prices!C955,-O$3*M955)</f>
        <v>-9.7126440486213807E-4</v>
      </c>
      <c r="P956" s="14"/>
      <c r="Q956" s="9">
        <f ca="1">Q955-T956*Prices!C956</f>
        <v>0.89428420407307674</v>
      </c>
      <c r="R956" s="1">
        <f t="shared" ca="1" si="94"/>
        <v>1.1388838182591902E-2</v>
      </c>
      <c r="S956" s="9">
        <f ca="1">IF(Prices!C955&lt;OFFSET(Prices!C955,-S$3,0),1,-1)</f>
        <v>-1</v>
      </c>
      <c r="T956" s="1">
        <f ca="1">IF(S956=1,T$3*Q955/Prices!C955,-T$3*R955)</f>
        <v>-2.324252690324878E-4</v>
      </c>
    </row>
    <row r="957" spans="1:20" x14ac:dyDescent="0.2">
      <c r="A957" s="4">
        <v>34845</v>
      </c>
      <c r="B957" s="9">
        <f ca="1">Prices!C956*(1+J957/(50*(ABS(O957)+ABS(T957)+0.0001)))</f>
        <v>83.890154657134033</v>
      </c>
      <c r="C957" s="21">
        <f t="shared" ca="1" si="89"/>
        <v>-1</v>
      </c>
      <c r="D957" s="9">
        <f ca="1">D956+C957*(Prices!C957-Prices!C956)/Prices!C956</f>
        <v>0.46033954612328204</v>
      </c>
      <c r="E957" s="9">
        <f t="shared" ca="1" si="90"/>
        <v>0</v>
      </c>
      <c r="F957" s="9">
        <f t="shared" ca="1" si="91"/>
        <v>0.46033954612328204</v>
      </c>
      <c r="G957" s="13">
        <f ca="1">IF((Prices!C957-Prices!C956)*C957&gt;0,1,0)</f>
        <v>1</v>
      </c>
      <c r="H957" s="9">
        <f>ABS(Prices!C957-Prices!C956)/Prices!C956</f>
        <v>2.2748703441772829E-2</v>
      </c>
      <c r="I957" s="13"/>
      <c r="J957" s="1">
        <f t="shared" ca="1" si="92"/>
        <v>-6.6332132032286516E-4</v>
      </c>
      <c r="K957" s="9"/>
      <c r="L957" s="9">
        <f ca="1">L956-O957*Prices!C957</f>
        <v>1.2288421036564072</v>
      </c>
      <c r="M957" s="1">
        <f t="shared" ca="1" si="93"/>
        <v>7.8672416793833175E-3</v>
      </c>
      <c r="N957" s="9">
        <f ca="1">IF(Prices!D956&gt;OFFSET(Prices!D956,-$N$3,0),1,-1)</f>
        <v>-1</v>
      </c>
      <c r="O957" s="1">
        <f ca="1">IF(N957=1,O$3*L956/Prices!C956,-O$3*M956)</f>
        <v>-8.7413796437592426E-4</v>
      </c>
      <c r="P957" s="14"/>
      <c r="Q957" s="9">
        <f ca="1">Q956-T957*Prices!C957</f>
        <v>0.87680539611463759</v>
      </c>
      <c r="R957" s="1">
        <f t="shared" ca="1" si="94"/>
        <v>1.1599654826644962E-2</v>
      </c>
      <c r="S957" s="9">
        <f ca="1">IF(Prices!C956&lt;OFFSET(Prices!C956,-S$3,0),1,-1)</f>
        <v>1</v>
      </c>
      <c r="T957" s="1">
        <f ca="1">IF(S957=1,T$3*Q956/Prices!C956,-T$3*R956)</f>
        <v>2.108166440530591E-4</v>
      </c>
    </row>
    <row r="958" spans="1:20" x14ac:dyDescent="0.2">
      <c r="A958" s="4">
        <v>34848</v>
      </c>
      <c r="B958" s="9">
        <f ca="1">Prices!C957*(1+J958/(50*(ABS(O958)+ABS(T958)+0.0001)))</f>
        <v>82.041491411443971</v>
      </c>
      <c r="C958" s="21">
        <f t="shared" ca="1" si="89"/>
        <v>-1</v>
      </c>
      <c r="D958" s="9">
        <f ca="1">D957+C958*(Prices!C958-Prices!C957)/Prices!C957</f>
        <v>0.46166628596166098</v>
      </c>
      <c r="E958" s="9">
        <f t="shared" ca="1" si="90"/>
        <v>0</v>
      </c>
      <c r="F958" s="9">
        <f t="shared" ca="1" si="91"/>
        <v>0.46166628596166098</v>
      </c>
      <c r="G958" s="13">
        <f ca="1">IF((Prices!C958-Prices!C957)*C958&gt;0,1,0)</f>
        <v>1</v>
      </c>
      <c r="H958" s="9">
        <f>ABS(Prices!C958-Prices!C957)/Prices!C957</f>
        <v>1.3267398383789584E-3</v>
      </c>
      <c r="I958" s="13"/>
      <c r="J958" s="1">
        <f t="shared" ca="1" si="92"/>
        <v>-5.7521641347816114E-4</v>
      </c>
      <c r="K958" s="9"/>
      <c r="L958" s="9">
        <f ca="1">L957-O958*Prices!C958</f>
        <v>1.2939828647617011</v>
      </c>
      <c r="M958" s="1">
        <f t="shared" ca="1" si="93"/>
        <v>7.0805175114449859E-3</v>
      </c>
      <c r="N958" s="9">
        <f ca="1">IF(Prices!D957&gt;OFFSET(Prices!D957,-$N$3,0),1,-1)</f>
        <v>-1</v>
      </c>
      <c r="O958" s="1">
        <f ca="1">IF(N958=1,O$3*L957/Prices!C957,-O$3*M957)</f>
        <v>-7.8672416793833179E-4</v>
      </c>
      <c r="P958" s="14"/>
      <c r="Q958" s="9">
        <f ca="1">Q957-T958*Prices!C958</f>
        <v>0.85929255404533544</v>
      </c>
      <c r="R958" s="1">
        <f t="shared" ca="1" si="94"/>
        <v>1.1811162581105133E-2</v>
      </c>
      <c r="S958" s="9">
        <f ca="1">IF(Prices!C957&lt;OFFSET(Prices!C957,-S$3,0),1,-1)</f>
        <v>1</v>
      </c>
      <c r="T958" s="1">
        <f ca="1">IF(S958=1,T$3*Q957/Prices!C957,-T$3*R957)</f>
        <v>2.1150775446017068E-4</v>
      </c>
    </row>
    <row r="959" spans="1:20" x14ac:dyDescent="0.2">
      <c r="A959" s="4">
        <v>34849</v>
      </c>
      <c r="B959" s="9">
        <f ca="1">Prices!C958*(1+J959/(50*(ABS(O959)+ABS(T959)+0.0001)))</f>
        <v>84.367459940201158</v>
      </c>
      <c r="C959" s="21">
        <f t="shared" ca="1" si="89"/>
        <v>1</v>
      </c>
      <c r="D959" s="9">
        <f ca="1">D958+C959*(Prices!C959-Prices!C958)/Prices!C958</f>
        <v>0.46311556132397985</v>
      </c>
      <c r="E959" s="9">
        <f t="shared" ca="1" si="90"/>
        <v>0</v>
      </c>
      <c r="F959" s="9">
        <f t="shared" ca="1" si="91"/>
        <v>0.46311556132397985</v>
      </c>
      <c r="G959" s="13">
        <f ca="1">IF((Prices!C959-Prices!C958)*C959&gt;0,1,0)</f>
        <v>1</v>
      </c>
      <c r="H959" s="9">
        <f>ABS(Prices!C959-Prices!C958)/Prices!C958</f>
        <v>1.4492753623188955E-3</v>
      </c>
      <c r="I959" s="13"/>
      <c r="J959" s="1">
        <f t="shared" ca="1" si="92"/>
        <v>1.7703398255685607E-3</v>
      </c>
      <c r="K959" s="9"/>
      <c r="L959" s="9">
        <f ca="1">L958-O959*Prices!C959</f>
        <v>1.1643970445370149</v>
      </c>
      <c r="M959" s="1">
        <f t="shared" ca="1" si="93"/>
        <v>8.6432987490798908E-3</v>
      </c>
      <c r="N959" s="9">
        <f ca="1">IF(Prices!D958&gt;OFFSET(Prices!D958,-$N$3,0),1,-1)</f>
        <v>1</v>
      </c>
      <c r="O959" s="1">
        <f ca="1">IF(N959=1,O$3*L958/Prices!C958,-O$3*M958)</f>
        <v>1.5627812376349047E-3</v>
      </c>
      <c r="P959" s="14"/>
      <c r="Q959" s="9">
        <f ca="1">Q958-T959*Prices!C959</f>
        <v>0.84208179593387666</v>
      </c>
      <c r="R959" s="1">
        <f t="shared" ca="1" si="94"/>
        <v>1.2018721169038789E-2</v>
      </c>
      <c r="S959" s="9">
        <f ca="1">IF(Prices!C958&lt;OFFSET(Prices!C958,-S$3,0),1,-1)</f>
        <v>1</v>
      </c>
      <c r="T959" s="1">
        <f ca="1">IF(S959=1,T$3*Q958/Prices!C958,-T$3*R958)</f>
        <v>2.0755858793365594E-4</v>
      </c>
    </row>
    <row r="960" spans="1:20" x14ac:dyDescent="0.2">
      <c r="A960" s="4">
        <v>34850</v>
      </c>
      <c r="B960" s="9">
        <f ca="1">Prices!C959*(1+J960/(50*(ABS(O960)+ABS(T960)+0.0001)))</f>
        <v>81.980701327551756</v>
      </c>
      <c r="C960" s="21">
        <f t="shared" ca="1" si="89"/>
        <v>-1</v>
      </c>
      <c r="D960" s="9">
        <f ca="1">D959+C960*(Prices!C960-Prices!C959)/Prices!C959</f>
        <v>0.44261387294964311</v>
      </c>
      <c r="E960" s="9">
        <f t="shared" ca="1" si="90"/>
        <v>2.0501688374336746E-2</v>
      </c>
      <c r="F960" s="9">
        <f t="shared" ca="1" si="91"/>
        <v>0.46311556132397985</v>
      </c>
      <c r="G960" s="13">
        <f ca="1">IF((Prices!C960-Prices!C959)*C960&gt;0,1,0)</f>
        <v>0</v>
      </c>
      <c r="H960" s="9">
        <f>ABS(Prices!C960-Prices!C959)/Prices!C959</f>
        <v>2.0501688374336743E-2</v>
      </c>
      <c r="I960" s="13"/>
      <c r="J960" s="1">
        <f t="shared" ca="1" si="92"/>
        <v>-6.6122283295577569E-4</v>
      </c>
      <c r="K960" s="9"/>
      <c r="L960" s="9">
        <f ca="1">L959-O960*Prices!C960</f>
        <v>1.2375366385517288</v>
      </c>
      <c r="M960" s="1">
        <f t="shared" ca="1" si="93"/>
        <v>7.7789688741719014E-3</v>
      </c>
      <c r="N960" s="9">
        <f ca="1">IF(Prices!D959&gt;OFFSET(Prices!D959,-$N$3,0),1,-1)</f>
        <v>-1</v>
      </c>
      <c r="O960" s="1">
        <f ca="1">IF(N960=1,O$3*L959/Prices!C959,-O$3*M959)</f>
        <v>-8.643298749079891E-4</v>
      </c>
      <c r="P960" s="14"/>
      <c r="Q960" s="9">
        <f ca="1">Q959-T960*Prices!C960</f>
        <v>0.8248948780438804</v>
      </c>
      <c r="R960" s="1">
        <f t="shared" ca="1" si="94"/>
        <v>1.2221828210991003E-2</v>
      </c>
      <c r="S960" s="9">
        <f ca="1">IF(Prices!C959&lt;OFFSET(Prices!C959,-S$3,0),1,-1)</f>
        <v>1</v>
      </c>
      <c r="T960" s="1">
        <f ca="1">IF(S960=1,T$3*Q959/Prices!C959,-T$3*R959)</f>
        <v>2.0310704195221338E-4</v>
      </c>
    </row>
    <row r="961" spans="1:20" x14ac:dyDescent="0.2">
      <c r="A961" s="4">
        <v>34851</v>
      </c>
      <c r="B961" s="9">
        <f ca="1">Prices!C960*(1+J961/(50*(ABS(O961)+ABS(T961)+0.0001)))</f>
        <v>83.700445306777411</v>
      </c>
      <c r="C961" s="21">
        <f t="shared" ca="1" si="89"/>
        <v>-1</v>
      </c>
      <c r="D961" s="9">
        <f ca="1">D960+C961*(Prices!C961-Prices!C960)/Prices!C960</f>
        <v>0.44036854087684713</v>
      </c>
      <c r="E961" s="9">
        <f t="shared" ca="1" si="90"/>
        <v>2.2747020447132726E-2</v>
      </c>
      <c r="F961" s="9">
        <f t="shared" ca="1" si="91"/>
        <v>0.46311556132397985</v>
      </c>
      <c r="G961" s="13">
        <f ca="1">IF((Prices!C961-Prices!C960)*C961&gt;0,1,0)</f>
        <v>0</v>
      </c>
      <c r="H961" s="9">
        <f>ABS(Prices!C961-Prices!C960)/Prices!C960</f>
        <v>2.2453320727960024E-3</v>
      </c>
      <c r="I961" s="13"/>
      <c r="J961" s="1">
        <f t="shared" ca="1" si="92"/>
        <v>-5.8293236885328557E-4</v>
      </c>
      <c r="K961" s="9"/>
      <c r="L961" s="9">
        <f ca="1">L960-O961*Prices!C961</f>
        <v>1.3035100735735807</v>
      </c>
      <c r="M961" s="1">
        <f t="shared" ca="1" si="93"/>
        <v>7.0010719867547111E-3</v>
      </c>
      <c r="N961" s="9">
        <f ca="1">IF(Prices!D960&gt;OFFSET(Prices!D960,-$N$3,0),1,-1)</f>
        <v>-1</v>
      </c>
      <c r="O961" s="1">
        <f ca="1">IF(N961=1,O$3*L960/Prices!C960,-O$3*M960)</f>
        <v>-7.7789688741719022E-4</v>
      </c>
      <c r="P961" s="14"/>
      <c r="Q961" s="9">
        <f ca="1">Q960-T961*Prices!C961</f>
        <v>0.80835993722447563</v>
      </c>
      <c r="R961" s="1">
        <f t="shared" ca="1" si="94"/>
        <v>1.2416792729554907E-2</v>
      </c>
      <c r="S961" s="9">
        <f ca="1">IF(Prices!C960&lt;OFFSET(Prices!C960,-S$3,0),1,-1)</f>
        <v>1</v>
      </c>
      <c r="T961" s="1">
        <f ca="1">IF(S961=1,T$3*Q960/Prices!C960,-T$3*R960)</f>
        <v>1.9496451856390462E-4</v>
      </c>
    </row>
    <row r="962" spans="1:20" x14ac:dyDescent="0.2">
      <c r="A962" s="4">
        <v>34852</v>
      </c>
      <c r="B962" s="9">
        <f ca="1">Prices!C961*(1+J962/(50*(ABS(O962)+ABS(T962)+0.0001)))</f>
        <v>83.275582749641501</v>
      </c>
      <c r="C962" s="21">
        <f t="shared" ca="1" si="89"/>
        <v>-1</v>
      </c>
      <c r="D962" s="9">
        <f ca="1">D961+C962*(Prices!C962-Prices!C961)/Prices!C961</f>
        <v>0.44602825081671277</v>
      </c>
      <c r="E962" s="9">
        <f t="shared" ca="1" si="90"/>
        <v>1.7087310507267084E-2</v>
      </c>
      <c r="F962" s="9">
        <f t="shared" ca="1" si="91"/>
        <v>0.46311556132397985</v>
      </c>
      <c r="G962" s="13">
        <f ca="1">IF((Prices!C962-Prices!C961)*C962&gt;0,1,0)</f>
        <v>1</v>
      </c>
      <c r="H962" s="9">
        <f>ABS(Prices!C962-Prices!C961)/Prices!C961</f>
        <v>5.6597099398656286E-3</v>
      </c>
      <c r="I962" s="13"/>
      <c r="J962" s="1">
        <f t="shared" ca="1" si="92"/>
        <v>-9.4844305326656931E-4</v>
      </c>
      <c r="K962" s="9"/>
      <c r="L962" s="9">
        <f ca="1">L961-O962*Prices!C962</f>
        <v>1.3625501136378833</v>
      </c>
      <c r="M962" s="1">
        <f t="shared" ca="1" si="93"/>
        <v>6.3009647880792399E-3</v>
      </c>
      <c r="N962" s="9">
        <f ca="1">IF(Prices!D961&gt;OFFSET(Prices!D961,-$N$3,0),1,-1)</f>
        <v>-1</v>
      </c>
      <c r="O962" s="1">
        <f ca="1">IF(N962=1,O$3*L961/Prices!C961,-O$3*M961)</f>
        <v>-7.001071986754712E-4</v>
      </c>
      <c r="P962" s="14"/>
      <c r="Q962" s="9">
        <f ca="1">Q961-T962*Prices!C962</f>
        <v>0.82930209984214298</v>
      </c>
      <c r="R962" s="1">
        <f t="shared" ca="1" si="94"/>
        <v>1.2168456874963809E-2</v>
      </c>
      <c r="S962" s="9">
        <f ca="1">IF(Prices!C961&lt;OFFSET(Prices!C961,-S$3,0),1,-1)</f>
        <v>-1</v>
      </c>
      <c r="T962" s="1">
        <f ca="1">IF(S962=1,T$3*Q961/Prices!C961,-T$3*R961)</f>
        <v>-2.4833585459109816E-4</v>
      </c>
    </row>
    <row r="963" spans="1:20" x14ac:dyDescent="0.2">
      <c r="A963" s="4">
        <v>34855</v>
      </c>
      <c r="B963" s="9">
        <f ca="1">Prices!C962*(1+J963/(50*(ABS(O963)+ABS(T963)+0.0001)))</f>
        <v>82.816657275012759</v>
      </c>
      <c r="C963" s="21">
        <f t="shared" ca="1" si="89"/>
        <v>-1</v>
      </c>
      <c r="D963" s="9">
        <f ca="1">D962+C963*(Prices!C963-Prices!C962)/Prices!C962</f>
        <v>0.44069207152108841</v>
      </c>
      <c r="E963" s="9">
        <f t="shared" ca="1" si="90"/>
        <v>2.2423489802891439E-2</v>
      </c>
      <c r="F963" s="9">
        <f t="shared" ca="1" si="91"/>
        <v>0.46311556132397985</v>
      </c>
      <c r="G963" s="13">
        <f ca="1">IF((Prices!C963-Prices!C962)*C963&gt;0,1,0)</f>
        <v>0</v>
      </c>
      <c r="H963" s="9">
        <f>ABS(Prices!C963-Prices!C962)/Prices!C962</f>
        <v>5.3361792956243669E-3</v>
      </c>
      <c r="I963" s="13"/>
      <c r="J963" s="1">
        <f t="shared" ca="1" si="92"/>
        <v>-8.7346561630720018E-4</v>
      </c>
      <c r="K963" s="9"/>
      <c r="L963" s="9">
        <f ca="1">L962-O963*Prices!C963</f>
        <v>1.4159696931112191</v>
      </c>
      <c r="M963" s="1">
        <f t="shared" ca="1" si="93"/>
        <v>5.6708683092713159E-3</v>
      </c>
      <c r="N963" s="9">
        <f ca="1">IF(Prices!D962&gt;OFFSET(Prices!D962,-$N$3,0),1,-1)</f>
        <v>-1</v>
      </c>
      <c r="O963" s="1">
        <f ca="1">IF(N963=1,O$3*L962/Prices!C962,-O$3*M962)</f>
        <v>-6.3009647880792399E-4</v>
      </c>
      <c r="P963" s="14"/>
      <c r="Q963" s="9">
        <f ca="1">Q962-T963*Prices!C963</f>
        <v>0.84993493531933162</v>
      </c>
      <c r="R963" s="1">
        <f t="shared" ca="1" si="94"/>
        <v>1.1925087737464533E-2</v>
      </c>
      <c r="S963" s="9">
        <f ca="1">IF(Prices!C962&lt;OFFSET(Prices!C962,-S$3,0),1,-1)</f>
        <v>-1</v>
      </c>
      <c r="T963" s="1">
        <f ca="1">IF(S963=1,T$3*Q962/Prices!C962,-T$3*R962)</f>
        <v>-2.4336913749927619E-4</v>
      </c>
    </row>
    <row r="964" spans="1:20" x14ac:dyDescent="0.2">
      <c r="A964" s="4">
        <v>34856</v>
      </c>
      <c r="B964" s="9">
        <f ca="1">Prices!C963*(1+J964/(50*(ABS(O964)+ABS(T964)+0.0001)))</f>
        <v>83.271637342300806</v>
      </c>
      <c r="C964" s="21">
        <f t="shared" ca="1" si="89"/>
        <v>-1</v>
      </c>
      <c r="D964" s="9">
        <f ca="1">D963+C964*(Prices!C964-Prices!C963)/Prices!C963</f>
        <v>0.44081002386834017</v>
      </c>
      <c r="E964" s="9">
        <f t="shared" ca="1" si="90"/>
        <v>2.2305537455639679E-2</v>
      </c>
      <c r="F964" s="9">
        <f t="shared" ca="1" si="91"/>
        <v>0.46311556132397985</v>
      </c>
      <c r="G964" s="13">
        <f ca="1">IF((Prices!C964-Prices!C963)*C964&gt;0,1,0)</f>
        <v>1</v>
      </c>
      <c r="H964" s="9">
        <f>ABS(Prices!C964-Prices!C963)/Prices!C963</f>
        <v>1.1795234725177064E-4</v>
      </c>
      <c r="I964" s="13"/>
      <c r="J964" s="1">
        <f t="shared" ca="1" si="92"/>
        <v>-8.0558858567642228E-4</v>
      </c>
      <c r="K964" s="9"/>
      <c r="L964" s="9">
        <f ca="1">L963-O964*Prices!C964</f>
        <v>1.4640416437689121</v>
      </c>
      <c r="M964" s="1">
        <f t="shared" ca="1" si="93"/>
        <v>5.1037814783441845E-3</v>
      </c>
      <c r="N964" s="9">
        <f ca="1">IF(Prices!D963&gt;OFFSET(Prices!D963,-$N$3,0),1,-1)</f>
        <v>-1</v>
      </c>
      <c r="O964" s="1">
        <f ca="1">IF(N964=1,O$3*L963/Prices!C963,-O$3*M963)</f>
        <v>-5.6708683092713164E-4</v>
      </c>
      <c r="P964" s="14"/>
      <c r="Q964" s="9">
        <f ca="1">Q963-T964*Prices!C964</f>
        <v>0.87015272906942898</v>
      </c>
      <c r="R964" s="1">
        <f t="shared" ca="1" si="94"/>
        <v>1.1686585982715242E-2</v>
      </c>
      <c r="S964" s="9">
        <f ca="1">IF(Prices!C963&lt;OFFSET(Prices!C963,-S$3,0),1,-1)</f>
        <v>-1</v>
      </c>
      <c r="T964" s="1">
        <f ca="1">IF(S964=1,T$3*Q963/Prices!C963,-T$3*R963)</f>
        <v>-2.3850175474929067E-4</v>
      </c>
    </row>
    <row r="965" spans="1:20" x14ac:dyDescent="0.2">
      <c r="A965" s="4">
        <v>34857</v>
      </c>
      <c r="B965" s="9">
        <f ca="1">Prices!C964*(1+J965/(50*(ABS(O965)+ABS(T965)+0.0001)))</f>
        <v>83.275450631570493</v>
      </c>
      <c r="C965" s="21">
        <f t="shared" ca="1" si="89"/>
        <v>-1</v>
      </c>
      <c r="D965" s="9">
        <f ca="1">D964+C965*(Prices!C965-Prices!C964)/Prices!C964</f>
        <v>0.43845069863535679</v>
      </c>
      <c r="E965" s="9">
        <f t="shared" ca="1" si="90"/>
        <v>2.4664862688623057E-2</v>
      </c>
      <c r="F965" s="9">
        <f t="shared" ca="1" si="91"/>
        <v>0.46311556132397985</v>
      </c>
      <c r="G965" s="13">
        <f ca="1">IF((Prices!C965-Prices!C964)*C965&gt;0,1,0)</f>
        <v>0</v>
      </c>
      <c r="H965" s="9">
        <f>ABS(Prices!C965-Prices!C964)/Prices!C964</f>
        <v>2.3593252329834006E-3</v>
      </c>
      <c r="I965" s="13"/>
      <c r="J965" s="1">
        <f t="shared" ca="1" si="92"/>
        <v>-7.4410986748872328E-4</v>
      </c>
      <c r="K965" s="9"/>
      <c r="L965" s="9">
        <f ca="1">L964-O965*Prices!C965</f>
        <v>1.5074084749904026</v>
      </c>
      <c r="M965" s="1">
        <f t="shared" ca="1" si="93"/>
        <v>4.5934033305097665E-3</v>
      </c>
      <c r="N965" s="9">
        <f ca="1">IF(Prices!D964&gt;OFFSET(Prices!D964,-$N$3,0),1,-1)</f>
        <v>-1</v>
      </c>
      <c r="O965" s="1">
        <f ca="1">IF(N965=1,O$3*L964/Prices!C964,-O$3*M964)</f>
        <v>-5.1037814783441845E-4</v>
      </c>
      <c r="P965" s="14"/>
      <c r="Q965" s="9">
        <f ca="1">Q964-T965*Prices!C965</f>
        <v>0.89001291328845522</v>
      </c>
      <c r="R965" s="1">
        <f t="shared" ca="1" si="94"/>
        <v>1.1452854263060938E-2</v>
      </c>
      <c r="S965" s="9">
        <f ca="1">IF(Prices!C964&lt;OFFSET(Prices!C964,-S$3,0),1,-1)</f>
        <v>-1</v>
      </c>
      <c r="T965" s="1">
        <f ca="1">IF(S965=1,T$3*Q964/Prices!C964,-T$3*R964)</f>
        <v>-2.3373171965430483E-4</v>
      </c>
    </row>
    <row r="966" spans="1:20" x14ac:dyDescent="0.2">
      <c r="A966" s="4">
        <v>34858</v>
      </c>
      <c r="B966" s="9">
        <f ca="1">Prices!C965*(1+J966/(50*(ABS(O966)+ABS(T966)+0.0001)))</f>
        <v>86.218419548885578</v>
      </c>
      <c r="C966" s="21">
        <f t="shared" ca="1" si="89"/>
        <v>1</v>
      </c>
      <c r="D966" s="9">
        <f ca="1">D965+C966*(Prices!C966-Prices!C965)/Prices!C965</f>
        <v>0.43350777760440468</v>
      </c>
      <c r="E966" s="9">
        <f t="shared" ca="1" si="90"/>
        <v>2.9607783719575176E-2</v>
      </c>
      <c r="F966" s="9">
        <f t="shared" ca="1" si="91"/>
        <v>0.46311556132397985</v>
      </c>
      <c r="G966" s="13">
        <f ca="1">IF((Prices!C966-Prices!C965)*C966&gt;0,1,0)</f>
        <v>0</v>
      </c>
      <c r="H966" s="9">
        <f>ABS(Prices!C966-Prices!C965)/Prices!C965</f>
        <v>4.9429210309521205E-3</v>
      </c>
      <c r="I966" s="13"/>
      <c r="J966" s="1">
        <f t="shared" ca="1" si="92"/>
        <v>1.5449907845638991E-3</v>
      </c>
      <c r="K966" s="9"/>
      <c r="L966" s="9">
        <f ca="1">L965-O966*Prices!C966</f>
        <v>1.357412727596689</v>
      </c>
      <c r="M966" s="1">
        <f t="shared" ca="1" si="93"/>
        <v>6.3674512003348846E-3</v>
      </c>
      <c r="N966" s="9">
        <f ca="1">IF(Prices!D965&gt;OFFSET(Prices!D965,-$N$3,0),1,-1)</f>
        <v>1</v>
      </c>
      <c r="O966" s="1">
        <f ca="1">IF(N966=1,O$3*L965/Prices!C965,-O$3*M965)</f>
        <v>1.7740478698251179E-3</v>
      </c>
      <c r="P966" s="14"/>
      <c r="Q966" s="9">
        <f ca="1">Q965-T966*Prices!C966</f>
        <v>0.90937968984729123</v>
      </c>
      <c r="R966" s="1">
        <f t="shared" ca="1" si="94"/>
        <v>1.1223797177799718E-2</v>
      </c>
      <c r="S966" s="9">
        <f ca="1">IF(Prices!C965&lt;OFFSET(Prices!C965,-S$3,0),1,-1)</f>
        <v>-1</v>
      </c>
      <c r="T966" s="1">
        <f ca="1">IF(S966=1,T$3*Q965/Prices!C965,-T$3*R965)</f>
        <v>-2.2905708526121875E-4</v>
      </c>
    </row>
    <row r="967" spans="1:20" x14ac:dyDescent="0.2">
      <c r="A967" s="4">
        <v>34859</v>
      </c>
      <c r="B967" s="9">
        <f ca="1">Prices!C966*(1+J967/(50*(ABS(O967)+ABS(T967)+0.0001)))</f>
        <v>85.760010073656929</v>
      </c>
      <c r="C967" s="21">
        <f t="shared" ca="1" si="89"/>
        <v>1</v>
      </c>
      <c r="D967" s="9">
        <f ca="1">D966+C967*(Prices!C967-Prices!C966)/Prices!C966</f>
        <v>0.43102404017093343</v>
      </c>
      <c r="E967" s="9">
        <f t="shared" ca="1" si="90"/>
        <v>3.2091521153046421E-2</v>
      </c>
      <c r="F967" s="9">
        <f t="shared" ca="1" si="91"/>
        <v>0.46311556132397985</v>
      </c>
      <c r="G967" s="13">
        <f ca="1">IF((Prices!C967-Prices!C966)*C967&gt;0,1,0)</f>
        <v>0</v>
      </c>
      <c r="H967" s="9">
        <f>ABS(Prices!C967-Prices!C966)/Prices!C966</f>
        <v>2.4837374334712448E-3</v>
      </c>
      <c r="I967" s="13"/>
      <c r="J967" s="1">
        <f t="shared" ca="1" si="92"/>
        <v>1.3809796774927213E-3</v>
      </c>
      <c r="K967" s="9"/>
      <c r="L967" s="9">
        <f ca="1">L966-O967*Prices!C967</f>
        <v>1.2220086005174402</v>
      </c>
      <c r="M967" s="1">
        <f t="shared" ca="1" si="93"/>
        <v>7.9729068213836001E-3</v>
      </c>
      <c r="N967" s="9">
        <f ca="1">IF(Prices!D966&gt;OFFSET(Prices!D966,-$N$3,0),1,-1)</f>
        <v>1</v>
      </c>
      <c r="O967" s="1">
        <f ca="1">IF(N967=1,O$3*L966/Prices!C966,-O$3*M966)</f>
        <v>1.6054556210487157E-3</v>
      </c>
      <c r="P967" s="14"/>
      <c r="Q967" s="9">
        <f ca="1">Q966-T967*Prices!C967</f>
        <v>0.92831199092680383</v>
      </c>
      <c r="R967" s="1">
        <f t="shared" ca="1" si="94"/>
        <v>1.0999321234243725E-2</v>
      </c>
      <c r="S967" s="9">
        <f ca="1">IF(Prices!C966&lt;OFFSET(Prices!C966,-S$3,0),1,-1)</f>
        <v>-1</v>
      </c>
      <c r="T967" s="1">
        <f ca="1">IF(S967=1,T$3*Q966/Prices!C966,-T$3*R966)</f>
        <v>-2.2447594355599437E-4</v>
      </c>
    </row>
    <row r="968" spans="1:20" x14ac:dyDescent="0.2">
      <c r="A968" s="4">
        <v>34862</v>
      </c>
      <c r="B968" s="9">
        <f ca="1">Prices!C967*(1+J968/(50*(ABS(O968)+ABS(T968)+0.0001)))</f>
        <v>85.931449019260782</v>
      </c>
      <c r="C968" s="21">
        <f t="shared" ca="1" si="89"/>
        <v>1</v>
      </c>
      <c r="D968" s="9">
        <f ca="1">D967+C968*(Prices!C968-Prices!C967)/Prices!C967</f>
        <v>0.42770414451051131</v>
      </c>
      <c r="E968" s="9">
        <f t="shared" ca="1" si="90"/>
        <v>3.5411416813468544E-2</v>
      </c>
      <c r="F968" s="9">
        <f t="shared" ca="1" si="91"/>
        <v>0.46311556132397985</v>
      </c>
      <c r="G968" s="13">
        <f ca="1">IF((Prices!C968-Prices!C967)*C968&gt;0,1,0)</f>
        <v>0</v>
      </c>
      <c r="H968" s="9">
        <f>ABS(Prices!C968-Prices!C967)/Prices!C967</f>
        <v>3.3198956604221144E-3</v>
      </c>
      <c r="I968" s="13"/>
      <c r="J968" s="1">
        <f t="shared" ca="1" si="92"/>
        <v>1.6690431571055263E-3</v>
      </c>
      <c r="K968" s="9"/>
      <c r="L968" s="9">
        <f ca="1">L967-O968*Prices!C968</f>
        <v>1.1002134345706818</v>
      </c>
      <c r="M968" s="1">
        <f t="shared" ca="1" si="93"/>
        <v>9.4218143391894341E-3</v>
      </c>
      <c r="N968" s="9">
        <f ca="1">IF(Prices!D967&gt;OFFSET(Prices!D967,-$N$3,0),1,-1)</f>
        <v>1</v>
      </c>
      <c r="O968" s="1">
        <f ca="1">IF(N968=1,O$3*L967/Prices!C967,-O$3*M967)</f>
        <v>1.4489075178058337E-3</v>
      </c>
      <c r="P968" s="14"/>
      <c r="Q968" s="9">
        <f ca="1">Q967-T968*Prices!C968</f>
        <v>0.90980738908727166</v>
      </c>
      <c r="R968" s="1">
        <f t="shared" ca="1" si="94"/>
        <v>1.1219456873543417E-2</v>
      </c>
      <c r="S968" s="9">
        <f ca="1">IF(Prices!C967&lt;OFFSET(Prices!C967,-S$3,0),1,-1)</f>
        <v>1</v>
      </c>
      <c r="T968" s="1">
        <f ca="1">IF(S968=1,T$3*Q967/Prices!C967,-T$3*R967)</f>
        <v>2.2013563929969263E-4</v>
      </c>
    </row>
    <row r="969" spans="1:20" x14ac:dyDescent="0.2">
      <c r="A969" s="4">
        <v>34863</v>
      </c>
      <c r="B969" s="9">
        <f ca="1">Prices!C968*(1+J969/(50*(ABS(O969)+ABS(T969)+0.0001)))</f>
        <v>85.637761220388526</v>
      </c>
      <c r="C969" s="21">
        <f t="shared" ca="1" si="89"/>
        <v>1</v>
      </c>
      <c r="D969" s="9">
        <f ca="1">D968+C969*(Prices!C969-Prices!C968)/Prices!C968</f>
        <v>0.4350798285457243</v>
      </c>
      <c r="E969" s="9">
        <f t="shared" ca="1" si="90"/>
        <v>2.8035732778255551E-2</v>
      </c>
      <c r="F969" s="9">
        <f t="shared" ca="1" si="91"/>
        <v>0.46311556132397985</v>
      </c>
      <c r="G969" s="13">
        <f ca="1">IF((Prices!C969-Prices!C968)*C969&gt;0,1,0)</f>
        <v>1</v>
      </c>
      <c r="H969" s="9">
        <f>ABS(Prices!C969-Prices!C968)/Prices!C968</f>
        <v>7.375684035212997E-3</v>
      </c>
      <c r="I969" s="13"/>
      <c r="J969" s="1">
        <f t="shared" ca="1" si="92"/>
        <v>1.5253091986535048E-3</v>
      </c>
      <c r="K969" s="9"/>
      <c r="L969" s="9">
        <f ca="1">L968-O969*Prices!C969</f>
        <v>0.98938060844714459</v>
      </c>
      <c r="M969" s="1">
        <f t="shared" ca="1" si="93"/>
        <v>1.0730657349623269E-2</v>
      </c>
      <c r="N969" s="9">
        <f ca="1">IF(Prices!D968&gt;OFFSET(Prices!D968,-$N$3,0),1,-1)</f>
        <v>1</v>
      </c>
      <c r="O969" s="1">
        <f ca="1">IF(N969=1,O$3*L968/Prices!C968,-O$3*M968)</f>
        <v>1.3088430104338351E-3</v>
      </c>
      <c r="P969" s="14"/>
      <c r="Q969" s="9">
        <f ca="1">Q968-T969*Prices!C969</f>
        <v>0.89147703226883002</v>
      </c>
      <c r="R969" s="1">
        <f t="shared" ca="1" si="94"/>
        <v>1.1435923061763087E-2</v>
      </c>
      <c r="S969" s="9">
        <f ca="1">IF(Prices!C968&lt;OFFSET(Prices!C968,-S$3,0),1,-1)</f>
        <v>1</v>
      </c>
      <c r="T969" s="1">
        <f ca="1">IF(S969=1,T$3*Q968/Prices!C968,-T$3*R968)</f>
        <v>2.1646618821966971E-4</v>
      </c>
    </row>
    <row r="970" spans="1:20" x14ac:dyDescent="0.2">
      <c r="A970" s="4">
        <v>34864</v>
      </c>
      <c r="B970" s="9">
        <f ca="1">Prices!C969*(1+J970/(50*(ABS(O970)+ABS(T970)+0.0001)))</f>
        <v>83.624250776238398</v>
      </c>
      <c r="C970" s="21">
        <f t="shared" ca="1" si="89"/>
        <v>-1</v>
      </c>
      <c r="D970" s="9">
        <f ca="1">D969+C970*(Prices!C970-Prices!C969)/Prices!C969</f>
        <v>0.4390949442755307</v>
      </c>
      <c r="E970" s="9">
        <f t="shared" ca="1" si="90"/>
        <v>2.4020617048449155E-2</v>
      </c>
      <c r="F970" s="9">
        <f t="shared" ca="1" si="91"/>
        <v>0.46311556132397985</v>
      </c>
      <c r="G970" s="13">
        <f ca="1">IF((Prices!C970-Prices!C969)*C970&gt;0,1,0)</f>
        <v>1</v>
      </c>
      <c r="H970" s="9">
        <f>ABS(Prices!C970-Prices!C969)/Prices!C969</f>
        <v>4.0151157298063695E-3</v>
      </c>
      <c r="I970" s="13"/>
      <c r="J970" s="1">
        <f t="shared" ca="1" si="92"/>
        <v>-8.6251376701975964E-4</v>
      </c>
      <c r="K970" s="9"/>
      <c r="L970" s="9">
        <f ca="1">L969-O970*Prices!C970</f>
        <v>1.0798829725338672</v>
      </c>
      <c r="M970" s="1">
        <f t="shared" ca="1" si="93"/>
        <v>9.657591614660942E-3</v>
      </c>
      <c r="N970" s="9">
        <f ca="1">IF(Prices!D969&gt;OFFSET(Prices!D969,-$N$3,0),1,-1)</f>
        <v>-1</v>
      </c>
      <c r="O970" s="1">
        <f ca="1">IF(N970=1,O$3*L969/Prices!C969,-O$3*M969)</f>
        <v>-1.0730657349623269E-3</v>
      </c>
      <c r="P970" s="14"/>
      <c r="Q970" s="9">
        <f ca="1">Q969-T970*Prices!C970</f>
        <v>0.87371907929255388</v>
      </c>
      <c r="R970" s="1">
        <f t="shared" ca="1" si="94"/>
        <v>1.1646475029705654E-2</v>
      </c>
      <c r="S970" s="9">
        <f ca="1">IF(Prices!C969&lt;OFFSET(Prices!C969,-S$3,0),1,-1)</f>
        <v>1</v>
      </c>
      <c r="T970" s="1">
        <f ca="1">IF(S970=1,T$3*Q969/Prices!C969,-T$3*R969)</f>
        <v>2.1055196794256731E-4</v>
      </c>
    </row>
    <row r="971" spans="1:20" x14ac:dyDescent="0.2">
      <c r="A971" s="4">
        <v>34865</v>
      </c>
      <c r="B971" s="9">
        <f ca="1">Prices!C970*(1+J971/(50*(ABS(O971)+ABS(T971)+0.0001)))</f>
        <v>83.334810448942164</v>
      </c>
      <c r="C971" s="21">
        <f t="shared" ca="1" si="89"/>
        <v>-1</v>
      </c>
      <c r="D971" s="9">
        <f ca="1">D970+C971*(Prices!C971-Prices!C970)/Prices!C970</f>
        <v>0.4362493194237404</v>
      </c>
      <c r="E971" s="9">
        <f t="shared" ca="1" si="90"/>
        <v>2.6866241900239451E-2</v>
      </c>
      <c r="F971" s="9">
        <f t="shared" ca="1" si="91"/>
        <v>0.46311556132397985</v>
      </c>
      <c r="G971" s="13">
        <f ca="1">IF((Prices!C971-Prices!C970)*C971&gt;0,1,0)</f>
        <v>0</v>
      </c>
      <c r="H971" s="9">
        <f>ABS(Prices!C971-Prices!C970)/Prices!C970</f>
        <v>2.8456248517903116E-3</v>
      </c>
      <c r="I971" s="13"/>
      <c r="J971" s="1">
        <f t="shared" ca="1" si="92"/>
        <v>-7.5856943433956969E-4</v>
      </c>
      <c r="K971" s="9"/>
      <c r="L971" s="9">
        <f ca="1">L970-O971*Prices!C971</f>
        <v>1.1615668824106695</v>
      </c>
      <c r="M971" s="1">
        <f t="shared" ca="1" si="93"/>
        <v>8.691832453194848E-3</v>
      </c>
      <c r="N971" s="9">
        <f ca="1">IF(Prices!D970&gt;OFFSET(Prices!D970,-$N$3,0),1,-1)</f>
        <v>-1</v>
      </c>
      <c r="O971" s="1">
        <f ca="1">IF(N971=1,O$3*L970/Prices!C970,-O$3*M970)</f>
        <v>-9.6575916146609425E-4</v>
      </c>
      <c r="P971" s="14"/>
      <c r="Q971" s="9">
        <f ca="1">Q970-T971*Prices!C971</f>
        <v>0.85619497217219243</v>
      </c>
      <c r="R971" s="1">
        <f t="shared" ca="1" si="94"/>
        <v>1.1853664756832178E-2</v>
      </c>
      <c r="S971" s="9">
        <f ca="1">IF(Prices!C970&lt;OFFSET(Prices!C970,-S$3,0),1,-1)</f>
        <v>1</v>
      </c>
      <c r="T971" s="1">
        <f ca="1">IF(S971=1,T$3*Q970/Prices!C970,-T$3*R970)</f>
        <v>2.071897271265245E-4</v>
      </c>
    </row>
    <row r="972" spans="1:20" x14ac:dyDescent="0.2">
      <c r="A972" s="4">
        <v>34866</v>
      </c>
      <c r="B972" s="9">
        <f ca="1">Prices!C971*(1+J972/(50*(ABS(O972)+ABS(T972)+0.0001)))</f>
        <v>85.703766997041782</v>
      </c>
      <c r="C972" s="21">
        <f t="shared" ca="1" si="89"/>
        <v>1</v>
      </c>
      <c r="D972" s="9">
        <f ca="1">D971+C972*(Prices!C972-Prices!C971)/Prices!C971</f>
        <v>0.4376680945478833</v>
      </c>
      <c r="E972" s="9">
        <f t="shared" ca="1" si="90"/>
        <v>2.544746677609655E-2</v>
      </c>
      <c r="F972" s="9">
        <f t="shared" ca="1" si="91"/>
        <v>0.46311556132397985</v>
      </c>
      <c r="G972" s="13">
        <f ca="1">IF((Prices!C972-Prices!C971)*C972&gt;0,1,0)</f>
        <v>1</v>
      </c>
      <c r="H972" s="9">
        <f>ABS(Prices!C972-Prices!C971)/Prices!C971</f>
        <v>1.4187751241428771E-3</v>
      </c>
      <c r="I972" s="13"/>
      <c r="J972" s="1">
        <f t="shared" ca="1" si="92"/>
        <v>1.1362618696903481E-3</v>
      </c>
      <c r="K972" s="9"/>
      <c r="L972" s="9">
        <f ca="1">L971-O972*Prices!C972</f>
        <v>1.0452453939498234</v>
      </c>
      <c r="M972" s="1">
        <f t="shared" ca="1" si="93"/>
        <v>1.006516761802184E-2</v>
      </c>
      <c r="N972" s="9">
        <f ca="1">IF(Prices!D971&gt;OFFSET(Prices!D971,-$N$3,0),1,-1)</f>
        <v>1</v>
      </c>
      <c r="O972" s="1">
        <f ca="1">IF(N972=1,O$3*L971/Prices!C971,-O$3*M971)</f>
        <v>1.3733351648269917E-3</v>
      </c>
      <c r="P972" s="14"/>
      <c r="Q972" s="9">
        <f ca="1">Q971-T972*Prices!C972</f>
        <v>0.87627508027026613</v>
      </c>
      <c r="R972" s="1">
        <f t="shared" ca="1" si="94"/>
        <v>1.1616591461695535E-2</v>
      </c>
      <c r="S972" s="9">
        <f ca="1">IF(Prices!C971&lt;OFFSET(Prices!C971,-S$3,0),1,-1)</f>
        <v>-1</v>
      </c>
      <c r="T972" s="1">
        <f ca="1">IF(S972=1,T$3*Q971/Prices!C971,-T$3*R971)</f>
        <v>-2.3707329513664358E-4</v>
      </c>
    </row>
    <row r="973" spans="1:20" x14ac:dyDescent="0.2">
      <c r="A973" s="4">
        <v>34869</v>
      </c>
      <c r="B973" s="9">
        <f ca="1">Prices!C972*(1+J973/(50*(ABS(O973)+ABS(T973)+0.0001)))</f>
        <v>85.783333696913644</v>
      </c>
      <c r="C973" s="21">
        <f t="shared" ca="1" si="89"/>
        <v>1</v>
      </c>
      <c r="D973" s="9">
        <f ca="1">D972+C973*(Prices!C973-Prices!C972)/Prices!C972</f>
        <v>0.43672358451246418</v>
      </c>
      <c r="E973" s="9">
        <f t="shared" ca="1" si="90"/>
        <v>2.6391976811515672E-2</v>
      </c>
      <c r="F973" s="9">
        <f t="shared" ca="1" si="91"/>
        <v>0.46311556132397985</v>
      </c>
      <c r="G973" s="13">
        <f ca="1">IF((Prices!C973-Prices!C972)*C973&gt;0,1,0)</f>
        <v>0</v>
      </c>
      <c r="H973" s="9">
        <f>ABS(Prices!C973-Prices!C972)/Prices!C972</f>
        <v>9.445100354191062E-4</v>
      </c>
      <c r="I973" s="13"/>
      <c r="J973" s="1">
        <f t="shared" ca="1" si="92"/>
        <v>1.0017241258426222E-3</v>
      </c>
      <c r="K973" s="9"/>
      <c r="L973" s="9">
        <f ca="1">L972-O973*Prices!C973</f>
        <v>0.94081957903124713</v>
      </c>
      <c r="M973" s="1">
        <f t="shared" ca="1" si="93"/>
        <v>1.1299223573098373E-2</v>
      </c>
      <c r="N973" s="9">
        <f ca="1">IF(Prices!D972&gt;OFFSET(Prices!D972,-$N$3,0),1,-1)</f>
        <v>1</v>
      </c>
      <c r="O973" s="1">
        <f ca="1">IF(N973=1,O$3*L972/Prices!C972,-O$3*M972)</f>
        <v>1.234055955076533E-3</v>
      </c>
      <c r="P973" s="14"/>
      <c r="Q973" s="9">
        <f ca="1">Q972-T973*Prices!C973</f>
        <v>0.89593499966003964</v>
      </c>
      <c r="R973" s="1">
        <f t="shared" ca="1" si="94"/>
        <v>1.1384259632461624E-2</v>
      </c>
      <c r="S973" s="9">
        <f ca="1">IF(Prices!C972&lt;OFFSET(Prices!C972,-S$3,0),1,-1)</f>
        <v>-1</v>
      </c>
      <c r="T973" s="1">
        <f ca="1">IF(S973=1,T$3*Q972/Prices!C972,-T$3*R972)</f>
        <v>-2.3233182923391071E-4</v>
      </c>
    </row>
    <row r="974" spans="1:20" x14ac:dyDescent="0.2">
      <c r="A974" s="4">
        <v>34870</v>
      </c>
      <c r="B974" s="9">
        <f ca="1">Prices!C973*(1+J974/(50*(ABS(O974)+ABS(T974)+0.0001)))</f>
        <v>83.5421536337319</v>
      </c>
      <c r="C974" s="21">
        <f t="shared" ca="1" si="89"/>
        <v>-1</v>
      </c>
      <c r="D974" s="9">
        <f ca="1">D973+C974*(Prices!C974-Prices!C973)/Prices!C973</f>
        <v>0.437787162862736</v>
      </c>
      <c r="E974" s="9">
        <f t="shared" ca="1" si="90"/>
        <v>2.5328398461243851E-2</v>
      </c>
      <c r="F974" s="9">
        <f t="shared" ca="1" si="91"/>
        <v>0.46311556132397985</v>
      </c>
      <c r="G974" s="13">
        <f ca="1">IF((Prices!C974-Prices!C973)*C974&gt;0,1,0)</f>
        <v>1</v>
      </c>
      <c r="H974" s="9">
        <f>ABS(Prices!C974-Prices!C973)/Prices!C973</f>
        <v>1.0635783502718436E-3</v>
      </c>
      <c r="I974" s="13"/>
      <c r="J974" s="1">
        <f t="shared" ca="1" si="92"/>
        <v>-9.1816745311223871E-4</v>
      </c>
      <c r="K974" s="9"/>
      <c r="L974" s="9">
        <f ca="1">L973-O974*Prices!C974</f>
        <v>1.0363319158946478</v>
      </c>
      <c r="M974" s="1">
        <f t="shared" ca="1" si="93"/>
        <v>1.0169301215788535E-2</v>
      </c>
      <c r="N974" s="9">
        <f ca="1">IF(Prices!D973&gt;OFFSET(Prices!D973,-$N$3,0),1,-1)</f>
        <v>-1</v>
      </c>
      <c r="O974" s="1">
        <f ca="1">IF(N974=1,O$3*L973/Prices!C973,-O$3*M973)</f>
        <v>-1.1299223573098373E-3</v>
      </c>
      <c r="P974" s="14"/>
      <c r="Q974" s="9">
        <f ca="1">Q973-T974*Prices!C974</f>
        <v>0.8780353576082166</v>
      </c>
      <c r="R974" s="1">
        <f t="shared" ca="1" si="94"/>
        <v>1.1596014536659222E-2</v>
      </c>
      <c r="S974" s="9">
        <f ca="1">IF(Prices!C973&lt;OFFSET(Prices!C973,-S$3,0),1,-1)</f>
        <v>1</v>
      </c>
      <c r="T974" s="1">
        <f ca="1">IF(S974=1,T$3*Q973/Prices!C973,-T$3*R973)</f>
        <v>2.1175490419759858E-4</v>
      </c>
    </row>
    <row r="975" spans="1:20" x14ac:dyDescent="0.2">
      <c r="A975" s="4">
        <v>34871</v>
      </c>
      <c r="B975" s="9">
        <f ca="1">Prices!C974*(1+J975/(50*(ABS(O975)+ABS(T975)+0.0001)))</f>
        <v>82.964736359359691</v>
      </c>
      <c r="C975" s="21">
        <f t="shared" ca="1" si="89"/>
        <v>-1</v>
      </c>
      <c r="D975" s="9">
        <f ca="1">D974+C975*(Prices!C975-Prices!C974)/Prices!C974</f>
        <v>0.44346562021515529</v>
      </c>
      <c r="E975" s="9">
        <f t="shared" ca="1" si="90"/>
        <v>1.9649941108824565E-2</v>
      </c>
      <c r="F975" s="9">
        <f t="shared" ca="1" si="91"/>
        <v>0.46311556132397985</v>
      </c>
      <c r="G975" s="13">
        <f ca="1">IF((Prices!C975-Prices!C974)*C975&gt;0,1,0)</f>
        <v>1</v>
      </c>
      <c r="H975" s="9">
        <f>ABS(Prices!C975-Prices!C974)/Prices!C974</f>
        <v>5.678457352419306E-3</v>
      </c>
      <c r="I975" s="13"/>
      <c r="J975" s="1">
        <f t="shared" ca="1" si="92"/>
        <v>-1.2488504123120382E-3</v>
      </c>
      <c r="K975" s="9"/>
      <c r="L975" s="9">
        <f ca="1">L974-O975*Prices!C975</f>
        <v>1.1218048926133504</v>
      </c>
      <c r="M975" s="1">
        <f t="shared" ca="1" si="93"/>
        <v>9.1523710942096811E-3</v>
      </c>
      <c r="N975" s="9">
        <f ca="1">IF(Prices!D974&gt;OFFSET(Prices!D974,-$N$3,0),1,-1)</f>
        <v>-1</v>
      </c>
      <c r="O975" s="1">
        <f ca="1">IF(N975=1,O$3*L974/Prices!C974,-O$3*M974)</f>
        <v>-1.0169301215788536E-3</v>
      </c>
      <c r="P975" s="14"/>
      <c r="Q975" s="9">
        <f ca="1">Q974-T975*Prices!C975</f>
        <v>0.89752825804434078</v>
      </c>
      <c r="R975" s="1">
        <f t="shared" ca="1" si="94"/>
        <v>1.1364094245926038E-2</v>
      </c>
      <c r="S975" s="9">
        <f ca="1">IF(Prices!C974&lt;OFFSET(Prices!C974,-S$3,0),1,-1)</f>
        <v>-1</v>
      </c>
      <c r="T975" s="1">
        <f ca="1">IF(S975=1,T$3*Q974/Prices!C974,-T$3*R974)</f>
        <v>-2.3192029073318445E-4</v>
      </c>
    </row>
    <row r="976" spans="1:20" x14ac:dyDescent="0.2">
      <c r="A976" s="4">
        <v>34872</v>
      </c>
      <c r="B976" s="9">
        <f ca="1">Prices!C975*(1+J976/(50*(ABS(O976)+ABS(T976)+0.0001)))</f>
        <v>85.629013516705626</v>
      </c>
      <c r="C976" s="21">
        <f t="shared" ca="1" si="89"/>
        <v>1</v>
      </c>
      <c r="D976" s="9">
        <f ca="1">D975+C976*(Prices!C976-Prices!C975)/Prices!C975</f>
        <v>0.44870059939421536</v>
      </c>
      <c r="E976" s="9">
        <f t="shared" ca="1" si="90"/>
        <v>1.4414961929764492E-2</v>
      </c>
      <c r="F976" s="9">
        <f t="shared" ca="1" si="91"/>
        <v>0.46311556132397985</v>
      </c>
      <c r="G976" s="13">
        <f ca="1">IF((Prices!C976-Prices!C975)*C976&gt;0,1,0)</f>
        <v>1</v>
      </c>
      <c r="H976" s="9">
        <f>ABS(Prices!C976-Prices!C975)/Prices!C975</f>
        <v>5.2349791790600566E-3</v>
      </c>
      <c r="I976" s="13"/>
      <c r="J976" s="1">
        <f t="shared" ca="1" si="92"/>
        <v>1.5482576373851502E-3</v>
      </c>
      <c r="K976" s="9"/>
      <c r="L976" s="9">
        <f ca="1">L975-O976*Prices!C976</f>
        <v>1.0090371408264354</v>
      </c>
      <c r="M976" s="1">
        <f t="shared" ca="1" si="93"/>
        <v>1.0487058652345732E-2</v>
      </c>
      <c r="N976" s="9">
        <f ca="1">IF(Prices!D975&gt;OFFSET(Prices!D975,-$N$3,0),1,-1)</f>
        <v>1</v>
      </c>
      <c r="O976" s="1">
        <f ca="1">IF(N976=1,O$3*L975/Prices!C975,-O$3*M975)</f>
        <v>1.3346875581360506E-3</v>
      </c>
      <c r="P976" s="14"/>
      <c r="Q976" s="9">
        <f ca="1">Q975-T976*Prices!C976</f>
        <v>0.87948372204858438</v>
      </c>
      <c r="R976" s="1">
        <f t="shared" ca="1" si="94"/>
        <v>1.1577664325175138E-2</v>
      </c>
      <c r="S976" s="9">
        <f ca="1">IF(Prices!C975&lt;OFFSET(Prices!C975,-S$3,0),1,-1)</f>
        <v>1</v>
      </c>
      <c r="T976" s="1">
        <f ca="1">IF(S976=1,T$3*Q975/Prices!C975,-T$3*R975)</f>
        <v>2.1357007924909955E-4</v>
      </c>
    </row>
    <row r="977" spans="1:20" x14ac:dyDescent="0.2">
      <c r="A977" s="4">
        <v>34873</v>
      </c>
      <c r="B977" s="9">
        <f ca="1">Prices!C976*(1+J977/(50*(ABS(O977)+ABS(T977)+0.0001)))</f>
        <v>83.443262797317274</v>
      </c>
      <c r="C977" s="21">
        <f t="shared" ca="1" si="89"/>
        <v>-1</v>
      </c>
      <c r="D977" s="9">
        <f ca="1">D976+C977*(Prices!C977-Prices!C976)/Prices!C976</f>
        <v>0.45059431462678723</v>
      </c>
      <c r="E977" s="9">
        <f t="shared" ca="1" si="90"/>
        <v>1.2521246697192623E-2</v>
      </c>
      <c r="F977" s="9">
        <f t="shared" ca="1" si="91"/>
        <v>0.46311556132397985</v>
      </c>
      <c r="G977" s="13">
        <f ca="1">IF((Prices!C977-Prices!C976)*C977&gt;0,1,0)</f>
        <v>1</v>
      </c>
      <c r="H977" s="9">
        <f>ABS(Prices!C977-Prices!C976)/Prices!C976</f>
        <v>1.8937152325718618E-3</v>
      </c>
      <c r="I977" s="13"/>
      <c r="J977" s="1">
        <f t="shared" ca="1" si="92"/>
        <v>-8.4051940007926862E-4</v>
      </c>
      <c r="K977" s="9"/>
      <c r="L977" s="9">
        <f ca="1">L976-O977*Prices!C977</f>
        <v>1.0974745064416669</v>
      </c>
      <c r="M977" s="1">
        <f t="shared" ca="1" si="93"/>
        <v>9.438352787111158E-3</v>
      </c>
      <c r="N977" s="9">
        <f ca="1">IF(Prices!D976&gt;OFFSET(Prices!D976,-$N$3,0),1,-1)</f>
        <v>-1</v>
      </c>
      <c r="O977" s="1">
        <f ca="1">IF(N977=1,O$3*L976/Prices!C976,-O$3*M976)</f>
        <v>-1.0487058652345733E-3</v>
      </c>
      <c r="P977" s="14"/>
      <c r="Q977" s="9">
        <f ca="1">Q976-T977*Prices!C977</f>
        <v>0.86192735744203752</v>
      </c>
      <c r="R977" s="1">
        <f t="shared" ca="1" si="94"/>
        <v>1.1785850790330442E-2</v>
      </c>
      <c r="S977" s="9">
        <f ca="1">IF(Prices!C976&lt;OFFSET(Prices!C976,-S$3,0),1,-1)</f>
        <v>1</v>
      </c>
      <c r="T977" s="1">
        <f ca="1">IF(S977=1,T$3*Q976/Prices!C976,-T$3*R976)</f>
        <v>2.0818646515530464E-4</v>
      </c>
    </row>
    <row r="978" spans="1:20" x14ac:dyDescent="0.2">
      <c r="A978" s="4">
        <v>34876</v>
      </c>
      <c r="B978" s="9">
        <f ca="1">Prices!C977*(1+J978/(50*(ABS(O978)+ABS(T978)+0.0001)))</f>
        <v>83.330922385401351</v>
      </c>
      <c r="C978" s="21">
        <f t="shared" ref="C978:C982" ca="1" si="95">IF(J978&gt;0,1,IF(J978&lt;0,-1,0))</f>
        <v>-1</v>
      </c>
      <c r="D978" s="9">
        <f ca="1">D977+C978*(Prices!C978-Prices!C977)/Prices!C977</f>
        <v>0.4510686416752871</v>
      </c>
      <c r="E978" s="9">
        <f t="shared" ref="E978:E982" ca="1" si="96">F978-D978</f>
        <v>1.2046919648692755E-2</v>
      </c>
      <c r="F978" s="9">
        <f t="shared" ref="F978:F982" ca="1" si="97">MAX(F977,D978)</f>
        <v>0.46311556132397985</v>
      </c>
      <c r="G978" s="13">
        <f ca="1">IF((Prices!C978-Prices!C977)*C978&gt;0,1,0)</f>
        <v>1</v>
      </c>
      <c r="H978" s="9">
        <f>ABS(Prices!C978-Prices!C977)/Prices!C977</f>
        <v>4.7432704849984637E-4</v>
      </c>
      <c r="I978" s="13"/>
      <c r="J978" s="1">
        <f t="shared" ref="J978:J982" ca="1" si="98">O978+T978</f>
        <v>-7.3941754897269827E-4</v>
      </c>
      <c r="K978" s="9"/>
      <c r="L978" s="9">
        <f ca="1">L977-O978*Prices!C978</f>
        <v>1.1770303820842269</v>
      </c>
      <c r="M978" s="1">
        <f t="shared" ref="M978:M982" ca="1" si="99">M977+O978</f>
        <v>8.4945175084000426E-3</v>
      </c>
      <c r="N978" s="9">
        <f ca="1">IF(Prices!D977&gt;OFFSET(Prices!D977,-$N$3,0),1,-1)</f>
        <v>-1</v>
      </c>
      <c r="O978" s="1">
        <f ca="1">IF(N978=1,O$3*L977/Prices!C977,-O$3*M977)</f>
        <v>-9.4383527871111589E-4</v>
      </c>
      <c r="P978" s="14"/>
      <c r="Q978" s="9">
        <f ca="1">Q977-T978*Prices!C978</f>
        <v>0.84469698700238627</v>
      </c>
      <c r="R978" s="1">
        <f t="shared" ref="R978:R982" ca="1" si="100">R977+T978</f>
        <v>1.199026852006886E-2</v>
      </c>
      <c r="S978" s="9">
        <f ca="1">IF(Prices!C977&lt;OFFSET(Prices!C977,-S$3,0),1,-1)</f>
        <v>1</v>
      </c>
      <c r="T978" s="1">
        <f ca="1">IF(S978=1,T$3*Q977/Prices!C977,-T$3*R977)</f>
        <v>2.0441772973841757E-4</v>
      </c>
    </row>
    <row r="979" spans="1:20" x14ac:dyDescent="0.2">
      <c r="A979" s="4">
        <v>34877</v>
      </c>
      <c r="B979" s="9">
        <f ca="1">Prices!C978*(1+J979/(50*(ABS(O979)+ABS(T979)+0.0001)))</f>
        <v>85.87645015877662</v>
      </c>
      <c r="C979" s="21">
        <f t="shared" ca="1" si="95"/>
        <v>1</v>
      </c>
      <c r="D979" s="9">
        <f ca="1">D978+C979*(Prices!C979-Prices!C978)/Prices!C978</f>
        <v>0.45023817542780808</v>
      </c>
      <c r="E979" s="9">
        <f t="shared" ca="1" si="96"/>
        <v>1.2877385896171767E-2</v>
      </c>
      <c r="F979" s="9">
        <f t="shared" ca="1" si="97"/>
        <v>0.46311556132397985</v>
      </c>
      <c r="G979" s="13">
        <f ca="1">IF((Prices!C979-Prices!C978)*C979&gt;0,1,0)</f>
        <v>0</v>
      </c>
      <c r="H979" s="9">
        <f>ABS(Prices!C979-Prices!C978)/Prices!C978</f>
        <v>8.3046624747902932E-4</v>
      </c>
      <c r="I979" s="13"/>
      <c r="J979" s="1">
        <f t="shared" ca="1" si="98"/>
        <v>1.5968321028410298E-3</v>
      </c>
      <c r="K979" s="9"/>
      <c r="L979" s="9">
        <f ca="1">L978-O979*Prices!C979</f>
        <v>1.059425092276262</v>
      </c>
      <c r="M979" s="1">
        <f t="shared" ca="1" si="99"/>
        <v>9.8909232292260334E-3</v>
      </c>
      <c r="N979" s="9">
        <f ca="1">IF(Prices!D978&gt;OFFSET(Prices!D978,-$N$3,0),1,-1)</f>
        <v>1</v>
      </c>
      <c r="O979" s="1">
        <f ca="1">IF(N979=1,O$3*L978/Prices!C978,-O$3*M978)</f>
        <v>1.3964057208259899E-3</v>
      </c>
      <c r="P979" s="14"/>
      <c r="Q979" s="9">
        <f ca="1">Q978-T979*Prices!C979</f>
        <v>0.82781707710907959</v>
      </c>
      <c r="R979" s="1">
        <f t="shared" ca="1" si="100"/>
        <v>1.2190694902083899E-2</v>
      </c>
      <c r="S979" s="9">
        <f ca="1">IF(Prices!C978&lt;OFFSET(Prices!C978,-S$3,0),1,-1)</f>
        <v>1</v>
      </c>
      <c r="T979" s="1">
        <f ca="1">IF(S979=1,T$3*Q978/Prices!C978,-T$3*R978)</f>
        <v>2.0042638201504001E-4</v>
      </c>
    </row>
    <row r="980" spans="1:20" x14ac:dyDescent="0.2">
      <c r="A980" s="4">
        <v>34878</v>
      </c>
      <c r="B980" s="9">
        <f ca="1">Prices!C979*(1+J980/(50*(ABS(O980)+ABS(T980)+0.0001)))</f>
        <v>85.286446737664249</v>
      </c>
      <c r="C980" s="21">
        <f t="shared" ca="1" si="95"/>
        <v>1</v>
      </c>
      <c r="D980" s="9">
        <f ca="1">D979+C980*(Prices!C980-Prices!C979)/Prices!C979</f>
        <v>0.46614888547292804</v>
      </c>
      <c r="E980" s="9">
        <f t="shared" ca="1" si="96"/>
        <v>0</v>
      </c>
      <c r="F980" s="9">
        <f t="shared" ca="1" si="97"/>
        <v>0.46614888547292804</v>
      </c>
      <c r="G980" s="13">
        <f ca="1">IF((Prices!C980-Prices!C979)*C980&gt;0,1,0)</f>
        <v>1</v>
      </c>
      <c r="H980" s="9">
        <f>ABS(Prices!C980-Prices!C979)/Prices!C979</f>
        <v>1.5910710045119965E-2</v>
      </c>
      <c r="I980" s="13"/>
      <c r="J980" s="1">
        <f t="shared" ca="1" si="98"/>
        <v>1.0141118823860853E-3</v>
      </c>
      <c r="K980" s="9"/>
      <c r="L980" s="9">
        <f ca="1">L979-O980*Prices!C980</f>
        <v>0.95179696250286261</v>
      </c>
      <c r="M980" s="1">
        <f t="shared" ca="1" si="99"/>
        <v>1.1148849009653797E-2</v>
      </c>
      <c r="N980" s="9">
        <f ca="1">IF(Prices!D979&gt;OFFSET(Prices!D979,-$N$3,0),1,-1)</f>
        <v>1</v>
      </c>
      <c r="O980" s="1">
        <f ca="1">IF(N980=1,O$3*L979/Prices!C979,-O$3*M979)</f>
        <v>1.2579257804277632E-3</v>
      </c>
      <c r="P980" s="14"/>
      <c r="Q980" s="9">
        <f ca="1">Q979-T980*Prices!C980</f>
        <v>0.84867779422552558</v>
      </c>
      <c r="R980" s="1">
        <f t="shared" ca="1" si="100"/>
        <v>1.1946881004042221E-2</v>
      </c>
      <c r="S980" s="9">
        <f ca="1">IF(Prices!C979&lt;OFFSET(Prices!C979,-S$3,0),1,-1)</f>
        <v>-1</v>
      </c>
      <c r="T980" s="1">
        <f ca="1">IF(S980=1,T$3*Q979/Prices!C979,-T$3*R979)</f>
        <v>-2.43813898041678E-4</v>
      </c>
    </row>
    <row r="981" spans="1:20" x14ac:dyDescent="0.2">
      <c r="A981" s="4">
        <v>34879</v>
      </c>
      <c r="B981" s="9">
        <f ca="1">Prices!C980*(1+J981/(50*(ABS(O981)+ABS(T981)+0.0001)))</f>
        <v>86.589871148156547</v>
      </c>
      <c r="C981" s="21">
        <f t="shared" ca="1" si="95"/>
        <v>1</v>
      </c>
      <c r="D981" s="9">
        <f ca="1">D980+C981*(Prices!C981-Prices!C980)/Prices!C980</f>
        <v>0.45177300889508787</v>
      </c>
      <c r="E981" s="9">
        <f t="shared" ca="1" si="96"/>
        <v>1.4375876577840174E-2</v>
      </c>
      <c r="F981" s="9">
        <f t="shared" ca="1" si="97"/>
        <v>0.46614888547292804</v>
      </c>
      <c r="G981" s="13">
        <f ca="1">IF((Prices!C981-Prices!C980)*C981&gt;0,1,0)</f>
        <v>0</v>
      </c>
      <c r="H981" s="9">
        <f>ABS(Prices!C981-Prices!C980)/Prices!C980</f>
        <v>1.4375876577840159E-2</v>
      </c>
      <c r="I981" s="13"/>
      <c r="J981" s="1">
        <f t="shared" ca="1" si="98"/>
        <v>8.7349454740730747E-4</v>
      </c>
      <c r="K981" s="9"/>
      <c r="L981" s="9">
        <f ca="1">L980-O981*Prices!C981</f>
        <v>0.85798555781858676</v>
      </c>
      <c r="M981" s="1">
        <f t="shared" ca="1" si="99"/>
        <v>1.2261281177141949E-2</v>
      </c>
      <c r="N981" s="9">
        <f ca="1">IF(Prices!D980&gt;OFFSET(Prices!D980,-$N$3,0),1,-1)</f>
        <v>1</v>
      </c>
      <c r="O981" s="1">
        <f ca="1">IF(N981=1,O$3*L980/Prices!C980,-O$3*M980)</f>
        <v>1.1124321674881518E-3</v>
      </c>
      <c r="P981" s="14"/>
      <c r="Q981" s="9">
        <f ca="1">Q980-T981*Prices!C981</f>
        <v>0.86882740372694323</v>
      </c>
      <c r="R981" s="1">
        <f t="shared" ca="1" si="100"/>
        <v>1.1707943383961377E-2</v>
      </c>
      <c r="S981" s="9">
        <f ca="1">IF(Prices!C980&lt;OFFSET(Prices!C980,-S$3,0),1,-1)</f>
        <v>-1</v>
      </c>
      <c r="T981" s="1">
        <f ca="1">IF(S981=1,T$3*Q980/Prices!C980,-T$3*R980)</f>
        <v>-2.3893762008084441E-4</v>
      </c>
    </row>
    <row r="982" spans="1:20" x14ac:dyDescent="0.2">
      <c r="A982" s="4">
        <v>34880</v>
      </c>
      <c r="B982" s="9">
        <f ca="1">Prices!C981*(1+J982/(50*(ABS(O982)+ABS(T982)+0.0001)))</f>
        <v>85.30740818615466</v>
      </c>
      <c r="C982" s="21">
        <f t="shared" ca="1" si="95"/>
        <v>1</v>
      </c>
      <c r="D982" s="9">
        <f ca="1">D981+C982*(Prices!C982-Prices!C981)/Prices!C981</f>
        <v>0.4553304617588374</v>
      </c>
      <c r="E982" s="9">
        <f t="shared" ca="1" si="96"/>
        <v>1.0818423714090641E-2</v>
      </c>
      <c r="F982" s="9">
        <f t="shared" ca="1" si="97"/>
        <v>0.46614888547292804</v>
      </c>
      <c r="G982" s="13">
        <f ca="1">IF((Prices!C982-Prices!C981)*C982&gt;0,1,0)</f>
        <v>1</v>
      </c>
      <c r="H982" s="9">
        <f>ABS(Prices!C982-Prices!C981)/Prices!C981</f>
        <v>3.5574528637495216E-3</v>
      </c>
      <c r="I982" s="13"/>
      <c r="J982" s="1">
        <f t="shared" ca="1" si="98"/>
        <v>7.8325552555993624E-4</v>
      </c>
      <c r="K982" s="9"/>
      <c r="L982" s="9">
        <f ca="1">L981-O982*Prices!C982</f>
        <v>0.77188177771875632</v>
      </c>
      <c r="M982" s="1">
        <f t="shared" ca="1" si="99"/>
        <v>1.3278695570381114E-2</v>
      </c>
      <c r="N982" s="9">
        <f ca="1">IF(Prices!D981&gt;OFFSET(Prices!D981,-$N$3,0),1,-1)</f>
        <v>1</v>
      </c>
      <c r="O982" s="1">
        <f ca="1">IF(N982=1,O$3*L981/Prices!C981,-O$3*M981)</f>
        <v>1.0174143932391638E-3</v>
      </c>
      <c r="P982" s="14"/>
      <c r="Q982" s="9">
        <f ca="1">Q981-T982*Prices!C982</f>
        <v>0.88864426869863622</v>
      </c>
      <c r="R982" s="1">
        <f t="shared" ca="1" si="100"/>
        <v>1.147378451628215E-2</v>
      </c>
      <c r="S982" s="9">
        <f ca="1">IF(Prices!C981&lt;OFFSET(Prices!C981,-S$3,0),1,-1)</f>
        <v>-1</v>
      </c>
      <c r="T982" s="1">
        <f ca="1">IF(S982=1,T$3*Q981/Prices!C981,-T$3*R981)</f>
        <v>-2.3415886767922753E-4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982"/>
  <sheetViews>
    <sheetView zoomScale="110" zoomScaleNormal="110" workbookViewId="0">
      <pane ySplit="825" topLeftCell="A961" activePane="bottomLeft"/>
      <selection activeCell="D1" sqref="D1:F1"/>
      <selection pane="bottomLeft" activeCell="A4" sqref="A4:A982"/>
    </sheetView>
  </sheetViews>
  <sheetFormatPr defaultColWidth="11.42578125" defaultRowHeight="11.25" x14ac:dyDescent="0.2"/>
  <cols>
    <col min="1" max="1" width="9.7109375" style="4" customWidth="1"/>
    <col min="2" max="4" width="9.140625" style="9" customWidth="1"/>
    <col min="5" max="207" width="11.42578125" style="10"/>
    <col min="208" max="208" width="9.7109375" style="10" customWidth="1"/>
    <col min="209" max="222" width="9.140625" style="10" customWidth="1"/>
    <col min="223" max="223" width="11.42578125" style="10"/>
    <col min="224" max="227" width="6.28515625" style="10" customWidth="1"/>
    <col min="228" max="463" width="11.42578125" style="10"/>
    <col min="464" max="464" width="9.7109375" style="10" customWidth="1"/>
    <col min="465" max="478" width="9.140625" style="10" customWidth="1"/>
    <col min="479" max="479" width="11.42578125" style="10"/>
    <col min="480" max="483" width="6.28515625" style="10" customWidth="1"/>
    <col min="484" max="719" width="11.42578125" style="10"/>
    <col min="720" max="720" width="9.7109375" style="10" customWidth="1"/>
    <col min="721" max="734" width="9.140625" style="10" customWidth="1"/>
    <col min="735" max="735" width="11.42578125" style="10"/>
    <col min="736" max="739" width="6.28515625" style="10" customWidth="1"/>
    <col min="740" max="975" width="11.42578125" style="10"/>
    <col min="976" max="976" width="9.7109375" style="10" customWidth="1"/>
    <col min="977" max="990" width="9.140625" style="10" customWidth="1"/>
    <col min="991" max="991" width="11.42578125" style="10"/>
    <col min="992" max="995" width="6.28515625" style="10" customWidth="1"/>
    <col min="996" max="1231" width="11.42578125" style="10"/>
    <col min="1232" max="1232" width="9.7109375" style="10" customWidth="1"/>
    <col min="1233" max="1246" width="9.140625" style="10" customWidth="1"/>
    <col min="1247" max="1247" width="11.42578125" style="10"/>
    <col min="1248" max="1251" width="6.28515625" style="10" customWidth="1"/>
    <col min="1252" max="1487" width="11.42578125" style="10"/>
    <col min="1488" max="1488" width="9.7109375" style="10" customWidth="1"/>
    <col min="1489" max="1502" width="9.140625" style="10" customWidth="1"/>
    <col min="1503" max="1503" width="11.42578125" style="10"/>
    <col min="1504" max="1507" width="6.28515625" style="10" customWidth="1"/>
    <col min="1508" max="1743" width="11.42578125" style="10"/>
    <col min="1744" max="1744" width="9.7109375" style="10" customWidth="1"/>
    <col min="1745" max="1758" width="9.140625" style="10" customWidth="1"/>
    <col min="1759" max="1759" width="11.42578125" style="10"/>
    <col min="1760" max="1763" width="6.28515625" style="10" customWidth="1"/>
    <col min="1764" max="1999" width="11.42578125" style="10"/>
    <col min="2000" max="2000" width="9.7109375" style="10" customWidth="1"/>
    <col min="2001" max="2014" width="9.140625" style="10" customWidth="1"/>
    <col min="2015" max="2015" width="11.42578125" style="10"/>
    <col min="2016" max="2019" width="6.28515625" style="10" customWidth="1"/>
    <col min="2020" max="2255" width="11.42578125" style="10"/>
    <col min="2256" max="2256" width="9.7109375" style="10" customWidth="1"/>
    <col min="2257" max="2270" width="9.140625" style="10" customWidth="1"/>
    <col min="2271" max="2271" width="11.42578125" style="10"/>
    <col min="2272" max="2275" width="6.28515625" style="10" customWidth="1"/>
    <col min="2276" max="2511" width="11.42578125" style="10"/>
    <col min="2512" max="2512" width="9.7109375" style="10" customWidth="1"/>
    <col min="2513" max="2526" width="9.140625" style="10" customWidth="1"/>
    <col min="2527" max="2527" width="11.42578125" style="10"/>
    <col min="2528" max="2531" width="6.28515625" style="10" customWidth="1"/>
    <col min="2532" max="2767" width="11.42578125" style="10"/>
    <col min="2768" max="2768" width="9.7109375" style="10" customWidth="1"/>
    <col min="2769" max="2782" width="9.140625" style="10" customWidth="1"/>
    <col min="2783" max="2783" width="11.42578125" style="10"/>
    <col min="2784" max="2787" width="6.28515625" style="10" customWidth="1"/>
    <col min="2788" max="3023" width="11.42578125" style="10"/>
    <col min="3024" max="3024" width="9.7109375" style="10" customWidth="1"/>
    <col min="3025" max="3038" width="9.140625" style="10" customWidth="1"/>
    <col min="3039" max="3039" width="11.42578125" style="10"/>
    <col min="3040" max="3043" width="6.28515625" style="10" customWidth="1"/>
    <col min="3044" max="3279" width="11.42578125" style="10"/>
    <col min="3280" max="3280" width="9.7109375" style="10" customWidth="1"/>
    <col min="3281" max="3294" width="9.140625" style="10" customWidth="1"/>
    <col min="3295" max="3295" width="11.42578125" style="10"/>
    <col min="3296" max="3299" width="6.28515625" style="10" customWidth="1"/>
    <col min="3300" max="3535" width="11.42578125" style="10"/>
    <col min="3536" max="3536" width="9.7109375" style="10" customWidth="1"/>
    <col min="3537" max="3550" width="9.140625" style="10" customWidth="1"/>
    <col min="3551" max="3551" width="11.42578125" style="10"/>
    <col min="3552" max="3555" width="6.28515625" style="10" customWidth="1"/>
    <col min="3556" max="3791" width="11.42578125" style="10"/>
    <col min="3792" max="3792" width="9.7109375" style="10" customWidth="1"/>
    <col min="3793" max="3806" width="9.140625" style="10" customWidth="1"/>
    <col min="3807" max="3807" width="11.42578125" style="10"/>
    <col min="3808" max="3811" width="6.28515625" style="10" customWidth="1"/>
    <col min="3812" max="4047" width="11.42578125" style="10"/>
    <col min="4048" max="4048" width="9.7109375" style="10" customWidth="1"/>
    <col min="4049" max="4062" width="9.140625" style="10" customWidth="1"/>
    <col min="4063" max="4063" width="11.42578125" style="10"/>
    <col min="4064" max="4067" width="6.28515625" style="10" customWidth="1"/>
    <col min="4068" max="4303" width="11.42578125" style="10"/>
    <col min="4304" max="4304" width="9.7109375" style="10" customWidth="1"/>
    <col min="4305" max="4318" width="9.140625" style="10" customWidth="1"/>
    <col min="4319" max="4319" width="11.42578125" style="10"/>
    <col min="4320" max="4323" width="6.28515625" style="10" customWidth="1"/>
    <col min="4324" max="4559" width="11.42578125" style="10"/>
    <col min="4560" max="4560" width="9.7109375" style="10" customWidth="1"/>
    <col min="4561" max="4574" width="9.140625" style="10" customWidth="1"/>
    <col min="4575" max="4575" width="11.42578125" style="10"/>
    <col min="4576" max="4579" width="6.28515625" style="10" customWidth="1"/>
    <col min="4580" max="4815" width="11.42578125" style="10"/>
    <col min="4816" max="4816" width="9.7109375" style="10" customWidth="1"/>
    <col min="4817" max="4830" width="9.140625" style="10" customWidth="1"/>
    <col min="4831" max="4831" width="11.42578125" style="10"/>
    <col min="4832" max="4835" width="6.28515625" style="10" customWidth="1"/>
    <col min="4836" max="5071" width="11.42578125" style="10"/>
    <col min="5072" max="5072" width="9.7109375" style="10" customWidth="1"/>
    <col min="5073" max="5086" width="9.140625" style="10" customWidth="1"/>
    <col min="5087" max="5087" width="11.42578125" style="10"/>
    <col min="5088" max="5091" width="6.28515625" style="10" customWidth="1"/>
    <col min="5092" max="5327" width="11.42578125" style="10"/>
    <col min="5328" max="5328" width="9.7109375" style="10" customWidth="1"/>
    <col min="5329" max="5342" width="9.140625" style="10" customWidth="1"/>
    <col min="5343" max="5343" width="11.42578125" style="10"/>
    <col min="5344" max="5347" width="6.28515625" style="10" customWidth="1"/>
    <col min="5348" max="5583" width="11.42578125" style="10"/>
    <col min="5584" max="5584" width="9.7109375" style="10" customWidth="1"/>
    <col min="5585" max="5598" width="9.140625" style="10" customWidth="1"/>
    <col min="5599" max="5599" width="11.42578125" style="10"/>
    <col min="5600" max="5603" width="6.28515625" style="10" customWidth="1"/>
    <col min="5604" max="5839" width="11.42578125" style="10"/>
    <col min="5840" max="5840" width="9.7109375" style="10" customWidth="1"/>
    <col min="5841" max="5854" width="9.140625" style="10" customWidth="1"/>
    <col min="5855" max="5855" width="11.42578125" style="10"/>
    <col min="5856" max="5859" width="6.28515625" style="10" customWidth="1"/>
    <col min="5860" max="6095" width="11.42578125" style="10"/>
    <col min="6096" max="6096" width="9.7109375" style="10" customWidth="1"/>
    <col min="6097" max="6110" width="9.140625" style="10" customWidth="1"/>
    <col min="6111" max="6111" width="11.42578125" style="10"/>
    <col min="6112" max="6115" width="6.28515625" style="10" customWidth="1"/>
    <col min="6116" max="6351" width="11.42578125" style="10"/>
    <col min="6352" max="6352" width="9.7109375" style="10" customWidth="1"/>
    <col min="6353" max="6366" width="9.140625" style="10" customWidth="1"/>
    <col min="6367" max="6367" width="11.42578125" style="10"/>
    <col min="6368" max="6371" width="6.28515625" style="10" customWidth="1"/>
    <col min="6372" max="6607" width="11.42578125" style="10"/>
    <col min="6608" max="6608" width="9.7109375" style="10" customWidth="1"/>
    <col min="6609" max="6622" width="9.140625" style="10" customWidth="1"/>
    <col min="6623" max="6623" width="11.42578125" style="10"/>
    <col min="6624" max="6627" width="6.28515625" style="10" customWidth="1"/>
    <col min="6628" max="6863" width="11.42578125" style="10"/>
    <col min="6864" max="6864" width="9.7109375" style="10" customWidth="1"/>
    <col min="6865" max="6878" width="9.140625" style="10" customWidth="1"/>
    <col min="6879" max="6879" width="11.42578125" style="10"/>
    <col min="6880" max="6883" width="6.28515625" style="10" customWidth="1"/>
    <col min="6884" max="7119" width="11.42578125" style="10"/>
    <col min="7120" max="7120" width="9.7109375" style="10" customWidth="1"/>
    <col min="7121" max="7134" width="9.140625" style="10" customWidth="1"/>
    <col min="7135" max="7135" width="11.42578125" style="10"/>
    <col min="7136" max="7139" width="6.28515625" style="10" customWidth="1"/>
    <col min="7140" max="7375" width="11.42578125" style="10"/>
    <col min="7376" max="7376" width="9.7109375" style="10" customWidth="1"/>
    <col min="7377" max="7390" width="9.140625" style="10" customWidth="1"/>
    <col min="7391" max="7391" width="11.42578125" style="10"/>
    <col min="7392" max="7395" width="6.28515625" style="10" customWidth="1"/>
    <col min="7396" max="7631" width="11.42578125" style="10"/>
    <col min="7632" max="7632" width="9.7109375" style="10" customWidth="1"/>
    <col min="7633" max="7646" width="9.140625" style="10" customWidth="1"/>
    <col min="7647" max="7647" width="11.42578125" style="10"/>
    <col min="7648" max="7651" width="6.28515625" style="10" customWidth="1"/>
    <col min="7652" max="7887" width="11.42578125" style="10"/>
    <col min="7888" max="7888" width="9.7109375" style="10" customWidth="1"/>
    <col min="7889" max="7902" width="9.140625" style="10" customWidth="1"/>
    <col min="7903" max="7903" width="11.42578125" style="10"/>
    <col min="7904" max="7907" width="6.28515625" style="10" customWidth="1"/>
    <col min="7908" max="8143" width="11.42578125" style="10"/>
    <col min="8144" max="8144" width="9.7109375" style="10" customWidth="1"/>
    <col min="8145" max="8158" width="9.140625" style="10" customWidth="1"/>
    <col min="8159" max="8159" width="11.42578125" style="10"/>
    <col min="8160" max="8163" width="6.28515625" style="10" customWidth="1"/>
    <col min="8164" max="8399" width="11.42578125" style="10"/>
    <col min="8400" max="8400" width="9.7109375" style="10" customWidth="1"/>
    <col min="8401" max="8414" width="9.140625" style="10" customWidth="1"/>
    <col min="8415" max="8415" width="11.42578125" style="10"/>
    <col min="8416" max="8419" width="6.28515625" style="10" customWidth="1"/>
    <col min="8420" max="8655" width="11.42578125" style="10"/>
    <col min="8656" max="8656" width="9.7109375" style="10" customWidth="1"/>
    <col min="8657" max="8670" width="9.140625" style="10" customWidth="1"/>
    <col min="8671" max="8671" width="11.42578125" style="10"/>
    <col min="8672" max="8675" width="6.28515625" style="10" customWidth="1"/>
    <col min="8676" max="8911" width="11.42578125" style="10"/>
    <col min="8912" max="8912" width="9.7109375" style="10" customWidth="1"/>
    <col min="8913" max="8926" width="9.140625" style="10" customWidth="1"/>
    <col min="8927" max="8927" width="11.42578125" style="10"/>
    <col min="8928" max="8931" width="6.28515625" style="10" customWidth="1"/>
    <col min="8932" max="9167" width="11.42578125" style="10"/>
    <col min="9168" max="9168" width="9.7109375" style="10" customWidth="1"/>
    <col min="9169" max="9182" width="9.140625" style="10" customWidth="1"/>
    <col min="9183" max="9183" width="11.42578125" style="10"/>
    <col min="9184" max="9187" width="6.28515625" style="10" customWidth="1"/>
    <col min="9188" max="9423" width="11.42578125" style="10"/>
    <col min="9424" max="9424" width="9.7109375" style="10" customWidth="1"/>
    <col min="9425" max="9438" width="9.140625" style="10" customWidth="1"/>
    <col min="9439" max="9439" width="11.42578125" style="10"/>
    <col min="9440" max="9443" width="6.28515625" style="10" customWidth="1"/>
    <col min="9444" max="9679" width="11.42578125" style="10"/>
    <col min="9680" max="9680" width="9.7109375" style="10" customWidth="1"/>
    <col min="9681" max="9694" width="9.140625" style="10" customWidth="1"/>
    <col min="9695" max="9695" width="11.42578125" style="10"/>
    <col min="9696" max="9699" width="6.28515625" style="10" customWidth="1"/>
    <col min="9700" max="9935" width="11.42578125" style="10"/>
    <col min="9936" max="9936" width="9.7109375" style="10" customWidth="1"/>
    <col min="9937" max="9950" width="9.140625" style="10" customWidth="1"/>
    <col min="9951" max="9951" width="11.42578125" style="10"/>
    <col min="9952" max="9955" width="6.28515625" style="10" customWidth="1"/>
    <col min="9956" max="10191" width="11.42578125" style="10"/>
    <col min="10192" max="10192" width="9.7109375" style="10" customWidth="1"/>
    <col min="10193" max="10206" width="9.140625" style="10" customWidth="1"/>
    <col min="10207" max="10207" width="11.42578125" style="10"/>
    <col min="10208" max="10211" width="6.28515625" style="10" customWidth="1"/>
    <col min="10212" max="10447" width="11.42578125" style="10"/>
    <col min="10448" max="10448" width="9.7109375" style="10" customWidth="1"/>
    <col min="10449" max="10462" width="9.140625" style="10" customWidth="1"/>
    <col min="10463" max="10463" width="11.42578125" style="10"/>
    <col min="10464" max="10467" width="6.28515625" style="10" customWidth="1"/>
    <col min="10468" max="10703" width="11.42578125" style="10"/>
    <col min="10704" max="10704" width="9.7109375" style="10" customWidth="1"/>
    <col min="10705" max="10718" width="9.140625" style="10" customWidth="1"/>
    <col min="10719" max="10719" width="11.42578125" style="10"/>
    <col min="10720" max="10723" width="6.28515625" style="10" customWidth="1"/>
    <col min="10724" max="10959" width="11.42578125" style="10"/>
    <col min="10960" max="10960" width="9.7109375" style="10" customWidth="1"/>
    <col min="10961" max="10974" width="9.140625" style="10" customWidth="1"/>
    <col min="10975" max="10975" width="11.42578125" style="10"/>
    <col min="10976" max="10979" width="6.28515625" style="10" customWidth="1"/>
    <col min="10980" max="11215" width="11.42578125" style="10"/>
    <col min="11216" max="11216" width="9.7109375" style="10" customWidth="1"/>
    <col min="11217" max="11230" width="9.140625" style="10" customWidth="1"/>
    <col min="11231" max="11231" width="11.42578125" style="10"/>
    <col min="11232" max="11235" width="6.28515625" style="10" customWidth="1"/>
    <col min="11236" max="11471" width="11.42578125" style="10"/>
    <col min="11472" max="11472" width="9.7109375" style="10" customWidth="1"/>
    <col min="11473" max="11486" width="9.140625" style="10" customWidth="1"/>
    <col min="11487" max="11487" width="11.42578125" style="10"/>
    <col min="11488" max="11491" width="6.28515625" style="10" customWidth="1"/>
    <col min="11492" max="11727" width="11.42578125" style="10"/>
    <col min="11728" max="11728" width="9.7109375" style="10" customWidth="1"/>
    <col min="11729" max="11742" width="9.140625" style="10" customWidth="1"/>
    <col min="11743" max="11743" width="11.42578125" style="10"/>
    <col min="11744" max="11747" width="6.28515625" style="10" customWidth="1"/>
    <col min="11748" max="11983" width="11.42578125" style="10"/>
    <col min="11984" max="11984" width="9.7109375" style="10" customWidth="1"/>
    <col min="11985" max="11998" width="9.140625" style="10" customWidth="1"/>
    <col min="11999" max="11999" width="11.42578125" style="10"/>
    <col min="12000" max="12003" width="6.28515625" style="10" customWidth="1"/>
    <col min="12004" max="12239" width="11.42578125" style="10"/>
    <col min="12240" max="12240" width="9.7109375" style="10" customWidth="1"/>
    <col min="12241" max="12254" width="9.140625" style="10" customWidth="1"/>
    <col min="12255" max="12255" width="11.42578125" style="10"/>
    <col min="12256" max="12259" width="6.28515625" style="10" customWidth="1"/>
    <col min="12260" max="12495" width="11.42578125" style="10"/>
    <col min="12496" max="12496" width="9.7109375" style="10" customWidth="1"/>
    <col min="12497" max="12510" width="9.140625" style="10" customWidth="1"/>
    <col min="12511" max="12511" width="11.42578125" style="10"/>
    <col min="12512" max="12515" width="6.28515625" style="10" customWidth="1"/>
    <col min="12516" max="12751" width="11.42578125" style="10"/>
    <col min="12752" max="12752" width="9.7109375" style="10" customWidth="1"/>
    <col min="12753" max="12766" width="9.140625" style="10" customWidth="1"/>
    <col min="12767" max="12767" width="11.42578125" style="10"/>
    <col min="12768" max="12771" width="6.28515625" style="10" customWidth="1"/>
    <col min="12772" max="13007" width="11.42578125" style="10"/>
    <col min="13008" max="13008" width="9.7109375" style="10" customWidth="1"/>
    <col min="13009" max="13022" width="9.140625" style="10" customWidth="1"/>
    <col min="13023" max="13023" width="11.42578125" style="10"/>
    <col min="13024" max="13027" width="6.28515625" style="10" customWidth="1"/>
    <col min="13028" max="13263" width="11.42578125" style="10"/>
    <col min="13264" max="13264" width="9.7109375" style="10" customWidth="1"/>
    <col min="13265" max="13278" width="9.140625" style="10" customWidth="1"/>
    <col min="13279" max="13279" width="11.42578125" style="10"/>
    <col min="13280" max="13283" width="6.28515625" style="10" customWidth="1"/>
    <col min="13284" max="13519" width="11.42578125" style="10"/>
    <col min="13520" max="13520" width="9.7109375" style="10" customWidth="1"/>
    <col min="13521" max="13534" width="9.140625" style="10" customWidth="1"/>
    <col min="13535" max="13535" width="11.42578125" style="10"/>
    <col min="13536" max="13539" width="6.28515625" style="10" customWidth="1"/>
    <col min="13540" max="13775" width="11.42578125" style="10"/>
    <col min="13776" max="13776" width="9.7109375" style="10" customWidth="1"/>
    <col min="13777" max="13790" width="9.140625" style="10" customWidth="1"/>
    <col min="13791" max="13791" width="11.42578125" style="10"/>
    <col min="13792" max="13795" width="6.28515625" style="10" customWidth="1"/>
    <col min="13796" max="14031" width="11.42578125" style="10"/>
    <col min="14032" max="14032" width="9.7109375" style="10" customWidth="1"/>
    <col min="14033" max="14046" width="9.140625" style="10" customWidth="1"/>
    <col min="14047" max="14047" width="11.42578125" style="10"/>
    <col min="14048" max="14051" width="6.28515625" style="10" customWidth="1"/>
    <col min="14052" max="14287" width="11.42578125" style="10"/>
    <col min="14288" max="14288" width="9.7109375" style="10" customWidth="1"/>
    <col min="14289" max="14302" width="9.140625" style="10" customWidth="1"/>
    <col min="14303" max="14303" width="11.42578125" style="10"/>
    <col min="14304" max="14307" width="6.28515625" style="10" customWidth="1"/>
    <col min="14308" max="14543" width="11.42578125" style="10"/>
    <col min="14544" max="14544" width="9.7109375" style="10" customWidth="1"/>
    <col min="14545" max="14558" width="9.140625" style="10" customWidth="1"/>
    <col min="14559" max="14559" width="11.42578125" style="10"/>
    <col min="14560" max="14563" width="6.28515625" style="10" customWidth="1"/>
    <col min="14564" max="14799" width="11.42578125" style="10"/>
    <col min="14800" max="14800" width="9.7109375" style="10" customWidth="1"/>
    <col min="14801" max="14814" width="9.140625" style="10" customWidth="1"/>
    <col min="14815" max="14815" width="11.42578125" style="10"/>
    <col min="14816" max="14819" width="6.28515625" style="10" customWidth="1"/>
    <col min="14820" max="15055" width="11.42578125" style="10"/>
    <col min="15056" max="15056" width="9.7109375" style="10" customWidth="1"/>
    <col min="15057" max="15070" width="9.140625" style="10" customWidth="1"/>
    <col min="15071" max="15071" width="11.42578125" style="10"/>
    <col min="15072" max="15075" width="6.28515625" style="10" customWidth="1"/>
    <col min="15076" max="15311" width="11.42578125" style="10"/>
    <col min="15312" max="15312" width="9.7109375" style="10" customWidth="1"/>
    <col min="15313" max="15326" width="9.140625" style="10" customWidth="1"/>
    <col min="15327" max="15327" width="11.42578125" style="10"/>
    <col min="15328" max="15331" width="6.28515625" style="10" customWidth="1"/>
    <col min="15332" max="15567" width="11.42578125" style="10"/>
    <col min="15568" max="15568" width="9.7109375" style="10" customWidth="1"/>
    <col min="15569" max="15582" width="9.140625" style="10" customWidth="1"/>
    <col min="15583" max="15583" width="11.42578125" style="10"/>
    <col min="15584" max="15587" width="6.28515625" style="10" customWidth="1"/>
    <col min="15588" max="15823" width="11.42578125" style="10"/>
    <col min="15824" max="15824" width="9.7109375" style="10" customWidth="1"/>
    <col min="15825" max="15838" width="9.140625" style="10" customWidth="1"/>
    <col min="15839" max="15839" width="11.42578125" style="10"/>
    <col min="15840" max="15843" width="6.28515625" style="10" customWidth="1"/>
    <col min="15844" max="16079" width="11.42578125" style="10"/>
    <col min="16080" max="16080" width="9.7109375" style="10" customWidth="1"/>
    <col min="16081" max="16094" width="9.140625" style="10" customWidth="1"/>
    <col min="16095" max="16095" width="11.42578125" style="10"/>
    <col min="16096" max="16099" width="6.28515625" style="10" customWidth="1"/>
    <col min="16100" max="16384" width="11.42578125" style="10"/>
  </cols>
  <sheetData>
    <row r="1" spans="1:9" s="3" customFormat="1" x14ac:dyDescent="0.25">
      <c r="A1" s="2" t="s">
        <v>0</v>
      </c>
      <c r="B1" s="2" t="s">
        <v>14</v>
      </c>
      <c r="C1" s="2" t="s">
        <v>19</v>
      </c>
      <c r="D1" s="28" t="s">
        <v>20</v>
      </c>
      <c r="E1" s="28"/>
      <c r="F1" s="28"/>
      <c r="G1" s="2" t="s">
        <v>13</v>
      </c>
      <c r="H1" s="2" t="s">
        <v>15</v>
      </c>
      <c r="I1" s="2" t="s">
        <v>16</v>
      </c>
    </row>
    <row r="2" spans="1:9" s="3" customFormat="1" x14ac:dyDescent="0.25">
      <c r="A2" s="4"/>
      <c r="B2" s="5" t="s">
        <v>21</v>
      </c>
      <c r="C2" s="5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</row>
    <row r="3" spans="1:9" s="8" customFormat="1" ht="12" x14ac:dyDescent="0.25">
      <c r="A3" s="4"/>
      <c r="B3" s="6"/>
      <c r="C3" s="6"/>
      <c r="D3" s="6"/>
    </row>
    <row r="4" spans="1:9" x14ac:dyDescent="0.2">
      <c r="A4" s="4">
        <v>33512</v>
      </c>
      <c r="B4" s="24">
        <v>1.2514000000000001</v>
      </c>
      <c r="C4" s="25">
        <v>133.19999999999999</v>
      </c>
      <c r="D4" s="25">
        <v>7.45</v>
      </c>
      <c r="E4" s="26">
        <v>8.34</v>
      </c>
      <c r="F4" s="25">
        <v>5.92</v>
      </c>
      <c r="G4" s="25">
        <v>389.20001200000002</v>
      </c>
      <c r="H4" s="25">
        <v>1609.3199460000001</v>
      </c>
      <c r="I4" s="19">
        <v>24377.009770000001</v>
      </c>
    </row>
    <row r="5" spans="1:9" x14ac:dyDescent="0.2">
      <c r="A5" s="4">
        <v>33513</v>
      </c>
      <c r="B5" s="24">
        <v>1.2558</v>
      </c>
      <c r="C5" s="25">
        <v>132.68</v>
      </c>
      <c r="D5" s="25">
        <v>7.47</v>
      </c>
      <c r="E5" s="26">
        <v>8.31</v>
      </c>
      <c r="F5" s="25">
        <v>5.9</v>
      </c>
      <c r="G5" s="25">
        <v>388.26001000000002</v>
      </c>
      <c r="H5" s="25">
        <v>1607.4799800000001</v>
      </c>
      <c r="I5" s="19">
        <v>24375.109380000002</v>
      </c>
    </row>
    <row r="6" spans="1:9" x14ac:dyDescent="0.2">
      <c r="A6" s="4">
        <v>33514</v>
      </c>
      <c r="B6" s="24">
        <v>1.2531000000000001</v>
      </c>
      <c r="C6" s="25">
        <v>130.77000000000001</v>
      </c>
      <c r="D6" s="25">
        <v>7.47</v>
      </c>
      <c r="E6" s="26">
        <v>8.31</v>
      </c>
      <c r="F6" s="25">
        <v>5.85</v>
      </c>
      <c r="G6" s="25">
        <v>384.47000100000002</v>
      </c>
      <c r="H6" s="25">
        <v>1607.4799800000001</v>
      </c>
      <c r="I6" s="19">
        <v>24711.439450000002</v>
      </c>
    </row>
    <row r="7" spans="1:9" x14ac:dyDescent="0.2">
      <c r="A7" s="4">
        <v>33515</v>
      </c>
      <c r="B7" s="24">
        <v>1.2458</v>
      </c>
      <c r="C7" s="25">
        <v>130.03</v>
      </c>
      <c r="D7" s="25">
        <v>7.39</v>
      </c>
      <c r="E7" s="26">
        <v>8.31</v>
      </c>
      <c r="F7" s="25">
        <v>5.89</v>
      </c>
      <c r="G7" s="25">
        <v>381.25</v>
      </c>
      <c r="H7" s="25">
        <v>1604.8900149999999</v>
      </c>
      <c r="I7" s="19">
        <v>24596.900389999999</v>
      </c>
    </row>
    <row r="8" spans="1:9" x14ac:dyDescent="0.2">
      <c r="A8" s="4">
        <v>33518</v>
      </c>
      <c r="B8" s="24">
        <v>1.2428999999999999</v>
      </c>
      <c r="C8" s="25">
        <v>129.30000000000001</v>
      </c>
      <c r="D8" s="25">
        <v>7.4</v>
      </c>
      <c r="E8" s="26">
        <v>8.25</v>
      </c>
      <c r="F8" s="25">
        <v>5.89</v>
      </c>
      <c r="G8" s="25">
        <v>379.5</v>
      </c>
      <c r="H8" s="25">
        <v>1589.119995</v>
      </c>
      <c r="I8" s="19">
        <v>24330.83008</v>
      </c>
    </row>
    <row r="9" spans="1:9" x14ac:dyDescent="0.2">
      <c r="A9" s="4">
        <v>33519</v>
      </c>
      <c r="B9" s="24">
        <v>1.2359</v>
      </c>
      <c r="C9" s="25">
        <v>130.1</v>
      </c>
      <c r="D9" s="25">
        <v>7.43</v>
      </c>
      <c r="E9" s="26">
        <v>8.2799999999999994</v>
      </c>
      <c r="F9" s="25">
        <v>5.91</v>
      </c>
      <c r="G9" s="25">
        <v>380.67001299999998</v>
      </c>
      <c r="H9" s="25">
        <v>1582.2700199999999</v>
      </c>
      <c r="I9" s="19">
        <v>24155.619139999999</v>
      </c>
    </row>
    <row r="10" spans="1:9" x14ac:dyDescent="0.2">
      <c r="A10" s="4">
        <v>33520</v>
      </c>
      <c r="B10" s="24">
        <v>1.2286999999999999</v>
      </c>
      <c r="C10" s="25">
        <v>130.25</v>
      </c>
      <c r="D10" s="25">
        <v>7.51</v>
      </c>
      <c r="E10" s="26">
        <v>8.2899999999999991</v>
      </c>
      <c r="F10" s="25">
        <v>5.95</v>
      </c>
      <c r="G10" s="25">
        <v>376.79998799999998</v>
      </c>
      <c r="H10" s="25">
        <v>1567.98999</v>
      </c>
      <c r="I10" s="19">
        <v>24485.259770000001</v>
      </c>
    </row>
    <row r="11" spans="1:9" x14ac:dyDescent="0.2">
      <c r="A11" s="4">
        <v>33521</v>
      </c>
      <c r="B11" s="24">
        <v>1.2343</v>
      </c>
      <c r="C11" s="25">
        <v>130.35</v>
      </c>
      <c r="D11" s="25">
        <v>7.58</v>
      </c>
      <c r="E11" s="26">
        <v>8.27</v>
      </c>
      <c r="F11" s="25">
        <v>5.95</v>
      </c>
      <c r="G11" s="25">
        <v>380.54998799999998</v>
      </c>
      <c r="H11" s="25">
        <v>1568.160034</v>
      </c>
      <c r="I11" s="19">
        <v>24485.259770000001</v>
      </c>
    </row>
    <row r="12" spans="1:9" x14ac:dyDescent="0.2">
      <c r="A12" s="4">
        <v>33522</v>
      </c>
      <c r="B12" s="24">
        <v>1.2335</v>
      </c>
      <c r="C12" s="25">
        <v>129.72999999999999</v>
      </c>
      <c r="D12" s="25">
        <v>7.49</v>
      </c>
      <c r="E12" s="26">
        <v>8.24</v>
      </c>
      <c r="F12" s="25">
        <v>5.97</v>
      </c>
      <c r="G12" s="25">
        <v>381.45001200000002</v>
      </c>
      <c r="H12" s="25">
        <v>1569.709961</v>
      </c>
      <c r="I12" s="19">
        <v>24157.720700000002</v>
      </c>
    </row>
    <row r="13" spans="1:9" x14ac:dyDescent="0.2">
      <c r="A13" s="4">
        <v>33525</v>
      </c>
      <c r="B13" s="24">
        <v>1.2321</v>
      </c>
      <c r="C13" s="25">
        <v>129.4</v>
      </c>
      <c r="D13" s="25">
        <v>7.49</v>
      </c>
      <c r="E13" s="26">
        <v>8.26</v>
      </c>
      <c r="F13" s="25">
        <v>5.97</v>
      </c>
      <c r="G13" s="25">
        <v>386.47000100000002</v>
      </c>
      <c r="H13" s="25">
        <v>1571.73999</v>
      </c>
      <c r="I13" s="19">
        <v>23860.66992</v>
      </c>
    </row>
    <row r="14" spans="1:9" x14ac:dyDescent="0.2">
      <c r="A14" s="4">
        <v>33526</v>
      </c>
      <c r="B14" s="24">
        <v>1.2210000000000001</v>
      </c>
      <c r="C14" s="25">
        <v>130.22</v>
      </c>
      <c r="D14" s="25">
        <v>7.46</v>
      </c>
      <c r="E14" s="26">
        <v>8.24</v>
      </c>
      <c r="F14" s="25">
        <v>5.97</v>
      </c>
      <c r="G14" s="25">
        <v>391.01001000000002</v>
      </c>
      <c r="H14" s="25">
        <v>1585.410034</v>
      </c>
      <c r="I14" s="19">
        <v>24307.650389999999</v>
      </c>
    </row>
    <row r="15" spans="1:9" x14ac:dyDescent="0.2">
      <c r="A15" s="4">
        <v>33527</v>
      </c>
      <c r="B15" s="24">
        <v>1.2246999999999999</v>
      </c>
      <c r="C15" s="25">
        <v>130.02000000000001</v>
      </c>
      <c r="D15" s="25">
        <v>7.45</v>
      </c>
      <c r="E15" s="26">
        <v>8.26</v>
      </c>
      <c r="F15" s="25">
        <v>5.91</v>
      </c>
      <c r="G15" s="25">
        <v>392.79998799999998</v>
      </c>
      <c r="H15" s="25">
        <v>1570.01001</v>
      </c>
      <c r="I15" s="19">
        <v>24334.66992</v>
      </c>
    </row>
    <row r="16" spans="1:9" x14ac:dyDescent="0.2">
      <c r="A16" s="4">
        <v>33528</v>
      </c>
      <c r="B16" s="24">
        <v>1.2270000000000001</v>
      </c>
      <c r="C16" s="25">
        <v>129.83000000000001</v>
      </c>
      <c r="D16" s="25">
        <v>7.55</v>
      </c>
      <c r="E16" s="26">
        <v>8.26</v>
      </c>
      <c r="F16" s="25">
        <v>5.91</v>
      </c>
      <c r="G16" s="25">
        <v>391.92001299999998</v>
      </c>
      <c r="H16" s="25">
        <v>1561.8900149999999</v>
      </c>
      <c r="I16" s="19">
        <v>24439.849610000001</v>
      </c>
    </row>
    <row r="17" spans="1:9" x14ac:dyDescent="0.2">
      <c r="A17" s="4">
        <v>33529</v>
      </c>
      <c r="B17" s="24">
        <v>1.2325999999999999</v>
      </c>
      <c r="C17" s="25">
        <v>129.77000000000001</v>
      </c>
      <c r="D17" s="25">
        <v>7.53</v>
      </c>
      <c r="E17" s="26">
        <v>8.26</v>
      </c>
      <c r="F17" s="25">
        <v>5.81</v>
      </c>
      <c r="G17" s="25">
        <v>392.5</v>
      </c>
      <c r="H17" s="25">
        <v>1565.1800539999999</v>
      </c>
      <c r="I17" s="19">
        <v>24894.820309999999</v>
      </c>
    </row>
    <row r="18" spans="1:9" x14ac:dyDescent="0.2">
      <c r="A18" s="4">
        <v>33532</v>
      </c>
      <c r="B18" s="24">
        <v>1.2355</v>
      </c>
      <c r="C18" s="25">
        <v>130.72999999999999</v>
      </c>
      <c r="D18" s="25">
        <v>7.62</v>
      </c>
      <c r="E18" s="26">
        <v>8.26</v>
      </c>
      <c r="F18" s="25">
        <v>5.79</v>
      </c>
      <c r="G18" s="25">
        <v>390.01998900000001</v>
      </c>
      <c r="H18" s="25">
        <v>1570.339966</v>
      </c>
      <c r="I18" s="19">
        <v>25016.810549999998</v>
      </c>
    </row>
    <row r="19" spans="1:9" x14ac:dyDescent="0.2">
      <c r="A19" s="4">
        <v>33533</v>
      </c>
      <c r="B19" s="24">
        <v>1.2299</v>
      </c>
      <c r="C19" s="25">
        <v>131.19999999999999</v>
      </c>
      <c r="D19" s="25">
        <v>7.67</v>
      </c>
      <c r="E19" s="26">
        <v>8.33</v>
      </c>
      <c r="F19" s="25">
        <v>5.84</v>
      </c>
      <c r="G19" s="25">
        <v>387.82998700000002</v>
      </c>
      <c r="H19" s="25">
        <v>1577</v>
      </c>
      <c r="I19" s="19">
        <v>24954.660159999999</v>
      </c>
    </row>
    <row r="20" spans="1:9" x14ac:dyDescent="0.2">
      <c r="A20" s="4">
        <v>33534</v>
      </c>
      <c r="B20" s="24">
        <v>1.2245999999999999</v>
      </c>
      <c r="C20" s="25">
        <v>131.55000000000001</v>
      </c>
      <c r="D20" s="25">
        <v>7.69</v>
      </c>
      <c r="E20" s="26">
        <v>8.33</v>
      </c>
      <c r="F20" s="25">
        <v>5.87</v>
      </c>
      <c r="G20" s="25">
        <v>387.94000199999999</v>
      </c>
      <c r="H20" s="25">
        <v>1590.290039</v>
      </c>
      <c r="I20" s="19">
        <v>24799.939450000002</v>
      </c>
    </row>
    <row r="21" spans="1:9" x14ac:dyDescent="0.2">
      <c r="A21" s="4">
        <v>33535</v>
      </c>
      <c r="B21" s="24">
        <v>1.2279</v>
      </c>
      <c r="C21" s="25">
        <v>131.18</v>
      </c>
      <c r="D21" s="25">
        <v>7.65</v>
      </c>
      <c r="E21" s="26">
        <v>8.34</v>
      </c>
      <c r="F21" s="25">
        <v>5.85</v>
      </c>
      <c r="G21" s="25">
        <v>385.07000699999998</v>
      </c>
      <c r="H21" s="25">
        <v>1572.719971</v>
      </c>
      <c r="I21" s="19">
        <v>24949.259770000001</v>
      </c>
    </row>
    <row r="22" spans="1:9" x14ac:dyDescent="0.2">
      <c r="A22" s="4">
        <v>33536</v>
      </c>
      <c r="B22" s="24">
        <v>1.2278</v>
      </c>
      <c r="C22" s="25">
        <v>131.4</v>
      </c>
      <c r="D22" s="25">
        <v>7.68</v>
      </c>
      <c r="E22" s="26">
        <v>8.36</v>
      </c>
      <c r="F22" s="25">
        <v>5.89</v>
      </c>
      <c r="G22" s="25">
        <v>384.20001200000002</v>
      </c>
      <c r="H22" s="25">
        <v>1572.0699460000001</v>
      </c>
      <c r="I22" s="19">
        <v>24906.429690000001</v>
      </c>
    </row>
    <row r="23" spans="1:9" x14ac:dyDescent="0.2">
      <c r="A23" s="4">
        <v>33539</v>
      </c>
      <c r="B23" s="24">
        <v>1.2222999999999999</v>
      </c>
      <c r="C23" s="25">
        <v>132.25</v>
      </c>
      <c r="D23" s="25">
        <v>7.65</v>
      </c>
      <c r="E23" s="26">
        <v>8.41</v>
      </c>
      <c r="F23" s="25">
        <v>5.89</v>
      </c>
      <c r="G23" s="25">
        <v>389.51998900000001</v>
      </c>
      <c r="H23" s="25">
        <v>1579.1899410000001</v>
      </c>
      <c r="I23" s="19">
        <v>24901.720700000002</v>
      </c>
    </row>
    <row r="24" spans="1:9" x14ac:dyDescent="0.2">
      <c r="A24" s="4">
        <v>33540</v>
      </c>
      <c r="B24" s="24">
        <v>1.2317</v>
      </c>
      <c r="C24" s="25">
        <v>130.75</v>
      </c>
      <c r="D24" s="25">
        <v>7.51</v>
      </c>
      <c r="E24" s="26">
        <v>8.39</v>
      </c>
      <c r="F24" s="25">
        <v>5.86</v>
      </c>
      <c r="G24" s="25">
        <v>391.48001099999999</v>
      </c>
      <c r="H24" s="25">
        <v>1588.7299800000001</v>
      </c>
      <c r="I24" s="19">
        <v>25140.609380000002</v>
      </c>
    </row>
    <row r="25" spans="1:9" x14ac:dyDescent="0.2">
      <c r="A25" s="4">
        <v>33541</v>
      </c>
      <c r="B25" s="24">
        <v>1.2421</v>
      </c>
      <c r="C25" s="25">
        <v>131.08000000000001</v>
      </c>
      <c r="D25" s="25">
        <v>7.48</v>
      </c>
      <c r="E25" s="26">
        <v>8.35</v>
      </c>
      <c r="F25" s="25">
        <v>5.92</v>
      </c>
      <c r="G25" s="25">
        <v>392.959991</v>
      </c>
      <c r="H25" s="25">
        <v>1586.01001</v>
      </c>
      <c r="I25" s="19">
        <v>24981.179690000001</v>
      </c>
    </row>
    <row r="26" spans="1:9" x14ac:dyDescent="0.2">
      <c r="A26" s="4">
        <v>33542</v>
      </c>
      <c r="B26" s="24">
        <v>1.2461</v>
      </c>
      <c r="C26" s="25">
        <v>130.6</v>
      </c>
      <c r="D26" s="25">
        <v>7.47</v>
      </c>
      <c r="E26" s="26">
        <v>8.39</v>
      </c>
      <c r="F26" s="25">
        <v>5.9</v>
      </c>
      <c r="G26" s="25">
        <v>392.45001200000002</v>
      </c>
      <c r="H26" s="25">
        <v>1579.7700199999999</v>
      </c>
      <c r="I26" s="19">
        <v>25222.279299999998</v>
      </c>
    </row>
    <row r="27" spans="1:9" x14ac:dyDescent="0.2">
      <c r="A27" s="4">
        <v>33543</v>
      </c>
      <c r="B27" s="24">
        <v>1.2553000000000001</v>
      </c>
      <c r="C27" s="25">
        <v>130.30000000000001</v>
      </c>
      <c r="D27" s="25">
        <v>7.48</v>
      </c>
      <c r="E27" s="26">
        <v>8.36</v>
      </c>
      <c r="F27" s="25">
        <v>5.87</v>
      </c>
      <c r="G27" s="25">
        <v>391.32000699999998</v>
      </c>
      <c r="H27" s="25">
        <v>1572.579956</v>
      </c>
      <c r="I27" s="19">
        <v>25044.240229999999</v>
      </c>
    </row>
    <row r="28" spans="1:9" x14ac:dyDescent="0.2">
      <c r="A28" s="4">
        <v>33546</v>
      </c>
      <c r="B28" s="24">
        <v>1.2749999999999999</v>
      </c>
      <c r="C28" s="25">
        <v>128.9</v>
      </c>
      <c r="D28" s="25">
        <v>7.5</v>
      </c>
      <c r="E28" s="26">
        <v>8.36</v>
      </c>
      <c r="F28" s="25">
        <v>5.87</v>
      </c>
      <c r="G28" s="25">
        <v>390.27999899999998</v>
      </c>
      <c r="H28" s="25">
        <v>1568.089966</v>
      </c>
      <c r="I28" s="19">
        <v>25044.240229999999</v>
      </c>
    </row>
    <row r="29" spans="1:9" x14ac:dyDescent="0.2">
      <c r="A29" s="4">
        <v>33547</v>
      </c>
      <c r="B29" s="24">
        <v>1.2694000000000001</v>
      </c>
      <c r="C29" s="25">
        <v>129.80000000000001</v>
      </c>
      <c r="D29" s="25">
        <v>7.56</v>
      </c>
      <c r="E29" s="26">
        <v>8.3800000000000008</v>
      </c>
      <c r="F29" s="25">
        <v>5.91</v>
      </c>
      <c r="G29" s="25">
        <v>388.709991</v>
      </c>
      <c r="H29" s="25">
        <v>1578.209961</v>
      </c>
      <c r="I29" s="19">
        <v>24950.859380000002</v>
      </c>
    </row>
    <row r="30" spans="1:9" x14ac:dyDescent="0.2">
      <c r="A30" s="4">
        <v>33548</v>
      </c>
      <c r="B30" s="24">
        <v>1.2713000000000001</v>
      </c>
      <c r="C30" s="25">
        <v>129.9</v>
      </c>
      <c r="D30" s="25">
        <v>7.51</v>
      </c>
      <c r="E30" s="26">
        <v>8.3800000000000008</v>
      </c>
      <c r="F30" s="25">
        <v>5.95</v>
      </c>
      <c r="G30" s="25">
        <v>389.97000100000002</v>
      </c>
      <c r="H30" s="25">
        <v>1573.9399410000001</v>
      </c>
      <c r="I30" s="19">
        <v>24750.199219999999</v>
      </c>
    </row>
    <row r="31" spans="1:9" x14ac:dyDescent="0.2">
      <c r="A31" s="4">
        <v>33549</v>
      </c>
      <c r="B31" s="24">
        <v>1.2746999999999999</v>
      </c>
      <c r="C31" s="25">
        <v>129.69999999999999</v>
      </c>
      <c r="D31" s="25">
        <v>7.43</v>
      </c>
      <c r="E31" s="26">
        <v>8.31</v>
      </c>
      <c r="F31" s="25">
        <v>5.92</v>
      </c>
      <c r="G31" s="25">
        <v>393.72000100000002</v>
      </c>
      <c r="H31" s="25">
        <v>1582.0600589999999</v>
      </c>
      <c r="I31" s="19">
        <v>24446.759770000001</v>
      </c>
    </row>
    <row r="32" spans="1:9" x14ac:dyDescent="0.2">
      <c r="A32" s="4">
        <v>33550</v>
      </c>
      <c r="B32" s="24">
        <v>1.27</v>
      </c>
      <c r="C32" s="25">
        <v>130.32</v>
      </c>
      <c r="D32" s="25">
        <v>7.41</v>
      </c>
      <c r="E32" s="26">
        <v>8.25</v>
      </c>
      <c r="F32" s="25">
        <v>5.91</v>
      </c>
      <c r="G32" s="25">
        <v>392.89001500000001</v>
      </c>
      <c r="H32" s="25">
        <v>1610.1800539999999</v>
      </c>
      <c r="I32" s="19">
        <v>24486.490229999999</v>
      </c>
    </row>
    <row r="33" spans="1:9" x14ac:dyDescent="0.2">
      <c r="A33" s="4">
        <v>33553</v>
      </c>
      <c r="B33" s="24">
        <v>1.2695000000000001</v>
      </c>
      <c r="C33" s="25">
        <v>129.91</v>
      </c>
      <c r="D33" s="25">
        <v>7.41</v>
      </c>
      <c r="E33" s="26">
        <v>8.24</v>
      </c>
      <c r="F33" s="25">
        <v>5.89</v>
      </c>
      <c r="G33" s="25">
        <v>393.11999500000002</v>
      </c>
      <c r="H33" s="25">
        <v>1605.160034</v>
      </c>
      <c r="I33" s="19">
        <v>24232.990229999999</v>
      </c>
    </row>
    <row r="34" spans="1:9" x14ac:dyDescent="0.2">
      <c r="A34" s="4">
        <v>33554</v>
      </c>
      <c r="B34" s="24">
        <v>1.2751999999999999</v>
      </c>
      <c r="C34" s="25">
        <v>129.65</v>
      </c>
      <c r="D34" s="25">
        <v>7.37</v>
      </c>
      <c r="E34" s="26">
        <v>8.2100000000000009</v>
      </c>
      <c r="F34" s="25">
        <v>5.84</v>
      </c>
      <c r="G34" s="25">
        <v>396.73998999999998</v>
      </c>
      <c r="H34" s="25">
        <v>1623.839966</v>
      </c>
      <c r="I34" s="19">
        <v>24667.730469999999</v>
      </c>
    </row>
    <row r="35" spans="1:9" x14ac:dyDescent="0.2">
      <c r="A35" s="4">
        <v>33555</v>
      </c>
      <c r="B35" s="24">
        <v>1.2741</v>
      </c>
      <c r="C35" s="25">
        <v>130.12</v>
      </c>
      <c r="D35" s="25">
        <v>7.41</v>
      </c>
      <c r="E35" s="26">
        <v>8.23</v>
      </c>
      <c r="F35" s="25">
        <v>5.84</v>
      </c>
      <c r="G35" s="25">
        <v>397.41000400000001</v>
      </c>
      <c r="H35" s="25">
        <v>1615.26001</v>
      </c>
      <c r="I35" s="19">
        <v>24416.230469999999</v>
      </c>
    </row>
    <row r="36" spans="1:9" x14ac:dyDescent="0.2">
      <c r="A36" s="4">
        <v>33556</v>
      </c>
      <c r="B36" s="24">
        <v>1.2783</v>
      </c>
      <c r="C36" s="25">
        <v>129.87</v>
      </c>
      <c r="D36" s="25">
        <v>7.35</v>
      </c>
      <c r="E36" s="26">
        <v>8.24</v>
      </c>
      <c r="F36" s="25">
        <v>5.85</v>
      </c>
      <c r="G36" s="25">
        <v>397.14999399999999</v>
      </c>
      <c r="H36" s="25">
        <v>1627.079956</v>
      </c>
      <c r="I36" s="19">
        <v>24176.539059999999</v>
      </c>
    </row>
    <row r="37" spans="1:9" x14ac:dyDescent="0.2">
      <c r="A37" s="4">
        <v>33557</v>
      </c>
      <c r="B37" s="24">
        <v>1.2706999999999999</v>
      </c>
      <c r="C37" s="25">
        <v>130.05000000000001</v>
      </c>
      <c r="D37" s="25">
        <v>7.33</v>
      </c>
      <c r="E37" s="26">
        <v>8.2100000000000009</v>
      </c>
      <c r="F37" s="25">
        <v>5.86</v>
      </c>
      <c r="G37" s="25">
        <v>382.61999500000002</v>
      </c>
      <c r="H37" s="25">
        <v>1626.969971</v>
      </c>
      <c r="I37" s="19">
        <v>24099.179690000001</v>
      </c>
    </row>
    <row r="38" spans="1:9" x14ac:dyDescent="0.2">
      <c r="A38" s="4">
        <v>33560</v>
      </c>
      <c r="B38" s="24">
        <v>1.296</v>
      </c>
      <c r="C38" s="25">
        <v>129.30000000000001</v>
      </c>
      <c r="D38" s="25">
        <v>7.33</v>
      </c>
      <c r="E38" s="26">
        <v>8.2100000000000009</v>
      </c>
      <c r="F38" s="25">
        <v>5.84</v>
      </c>
      <c r="G38" s="25">
        <v>385.23998999999998</v>
      </c>
      <c r="H38" s="25">
        <v>1605.6999510000001</v>
      </c>
      <c r="I38" s="19">
        <v>23400.119139999999</v>
      </c>
    </row>
    <row r="39" spans="1:9" x14ac:dyDescent="0.2">
      <c r="A39" s="4">
        <v>33561</v>
      </c>
      <c r="B39" s="24">
        <v>1.3002</v>
      </c>
      <c r="C39" s="25">
        <v>129.94999999999999</v>
      </c>
      <c r="D39" s="25">
        <v>7.37</v>
      </c>
      <c r="E39" s="26">
        <v>8.24</v>
      </c>
      <c r="F39" s="25">
        <v>5.85</v>
      </c>
      <c r="G39" s="25">
        <v>379.42001299999998</v>
      </c>
      <c r="H39" s="25">
        <v>1589.6999510000001</v>
      </c>
      <c r="I39" s="19">
        <v>23326.859380000002</v>
      </c>
    </row>
    <row r="40" spans="1:9" x14ac:dyDescent="0.2">
      <c r="A40" s="4">
        <v>33562</v>
      </c>
      <c r="B40" s="24">
        <v>1.2968999999999999</v>
      </c>
      <c r="C40" s="25">
        <v>129.77000000000001</v>
      </c>
      <c r="D40" s="25">
        <v>7.38</v>
      </c>
      <c r="E40" s="26">
        <v>8.24</v>
      </c>
      <c r="F40" s="25">
        <v>5.91</v>
      </c>
      <c r="G40" s="25">
        <v>378.52999899999998</v>
      </c>
      <c r="H40" s="25">
        <v>1589.6999510000001</v>
      </c>
      <c r="I40" s="19">
        <v>23199.859380000002</v>
      </c>
    </row>
    <row r="41" spans="1:9" x14ac:dyDescent="0.2">
      <c r="A41" s="4">
        <v>33563</v>
      </c>
      <c r="B41" s="24">
        <v>1.3007</v>
      </c>
      <c r="C41" s="25">
        <v>129.62</v>
      </c>
      <c r="D41" s="25">
        <v>7.39</v>
      </c>
      <c r="E41" s="26">
        <v>8.23</v>
      </c>
      <c r="F41" s="25">
        <v>5.88</v>
      </c>
      <c r="G41" s="25">
        <v>380.05999800000001</v>
      </c>
      <c r="H41" s="25">
        <v>1603.26001</v>
      </c>
      <c r="I41" s="19">
        <v>23177.839840000001</v>
      </c>
    </row>
    <row r="42" spans="1:9" x14ac:dyDescent="0.2">
      <c r="A42" s="4">
        <v>33564</v>
      </c>
      <c r="B42" s="24">
        <v>1.3082</v>
      </c>
      <c r="C42" s="25">
        <v>129.53</v>
      </c>
      <c r="D42" s="25">
        <v>7.44</v>
      </c>
      <c r="E42" s="26">
        <v>8.26</v>
      </c>
      <c r="F42" s="25">
        <v>5.91</v>
      </c>
      <c r="G42" s="25">
        <v>376.14001500000001</v>
      </c>
      <c r="H42" s="25">
        <v>1599.75</v>
      </c>
      <c r="I42" s="19">
        <v>23117.390630000002</v>
      </c>
    </row>
    <row r="43" spans="1:9" x14ac:dyDescent="0.2">
      <c r="A43" s="4">
        <v>33567</v>
      </c>
      <c r="B43" s="24">
        <v>1.3103</v>
      </c>
      <c r="C43" s="25">
        <v>127.77</v>
      </c>
      <c r="D43" s="25">
        <v>7.45</v>
      </c>
      <c r="E43" s="26">
        <v>8.3000000000000007</v>
      </c>
      <c r="F43" s="25">
        <v>5.89</v>
      </c>
      <c r="G43" s="25">
        <v>375.33999599999999</v>
      </c>
      <c r="H43" s="25">
        <v>1590.8599850000001</v>
      </c>
      <c r="I43" s="19">
        <v>22868.689450000002</v>
      </c>
    </row>
    <row r="44" spans="1:9" x14ac:dyDescent="0.2">
      <c r="A44" s="4">
        <v>33568</v>
      </c>
      <c r="B44" s="24">
        <v>1.3120000000000001</v>
      </c>
      <c r="C44" s="25">
        <v>128.1</v>
      </c>
      <c r="D44" s="25">
        <v>7.42</v>
      </c>
      <c r="E44" s="26">
        <v>8.27</v>
      </c>
      <c r="F44" s="25">
        <v>5.89</v>
      </c>
      <c r="G44" s="25">
        <v>377.959991</v>
      </c>
      <c r="H44" s="25">
        <v>1603.5</v>
      </c>
      <c r="I44" s="19">
        <v>23112.089840000001</v>
      </c>
    </row>
    <row r="45" spans="1:9" x14ac:dyDescent="0.2">
      <c r="A45" s="4">
        <v>33569</v>
      </c>
      <c r="B45" s="24">
        <v>1.2867999999999999</v>
      </c>
      <c r="C45" s="25">
        <v>130.28</v>
      </c>
      <c r="D45" s="25">
        <v>7.42</v>
      </c>
      <c r="E45" s="26">
        <v>8.2799999999999994</v>
      </c>
      <c r="F45" s="25">
        <v>5.87</v>
      </c>
      <c r="G45" s="25">
        <v>376.54998799999998</v>
      </c>
      <c r="H45" s="25">
        <v>1589.8599850000001</v>
      </c>
      <c r="I45" s="19">
        <v>22973.279299999998</v>
      </c>
    </row>
    <row r="46" spans="1:9" x14ac:dyDescent="0.2">
      <c r="A46" s="4">
        <v>33570</v>
      </c>
      <c r="B46" s="24">
        <v>1.2855000000000001</v>
      </c>
      <c r="C46" s="25">
        <v>129.9</v>
      </c>
      <c r="D46" s="25">
        <v>7.42</v>
      </c>
      <c r="E46" s="26">
        <v>8.31</v>
      </c>
      <c r="F46" s="25">
        <v>5.85</v>
      </c>
      <c r="G46" s="25">
        <v>377.39</v>
      </c>
      <c r="H46" s="25">
        <v>1587.920044</v>
      </c>
      <c r="I46" s="19">
        <v>22780.41992</v>
      </c>
    </row>
    <row r="47" spans="1:9" x14ac:dyDescent="0.2">
      <c r="A47" s="4">
        <v>33571</v>
      </c>
      <c r="B47" s="24">
        <v>1.2766999999999999</v>
      </c>
      <c r="C47" s="25">
        <v>130.08000000000001</v>
      </c>
      <c r="D47" s="25">
        <v>7.38</v>
      </c>
      <c r="E47" s="26">
        <v>8.31</v>
      </c>
      <c r="F47" s="25">
        <v>5.84</v>
      </c>
      <c r="G47" s="25">
        <v>375.22000100000002</v>
      </c>
      <c r="H47" s="25">
        <v>1571.0600589999999</v>
      </c>
      <c r="I47" s="19">
        <v>22687.349610000001</v>
      </c>
    </row>
    <row r="48" spans="1:9" x14ac:dyDescent="0.2">
      <c r="A48" s="4">
        <v>33574</v>
      </c>
      <c r="B48" s="24">
        <v>1.2923</v>
      </c>
      <c r="C48" s="25">
        <v>129.94999999999999</v>
      </c>
      <c r="D48" s="25">
        <v>7.32</v>
      </c>
      <c r="E48" s="26">
        <v>8.34</v>
      </c>
      <c r="F48" s="25">
        <v>5.79</v>
      </c>
      <c r="G48" s="25">
        <v>381.39999399999999</v>
      </c>
      <c r="H48" s="25">
        <v>1549.8100589999999</v>
      </c>
      <c r="I48" s="19">
        <v>21992.289059999999</v>
      </c>
    </row>
    <row r="49" spans="1:9" x14ac:dyDescent="0.2">
      <c r="A49" s="4">
        <v>33575</v>
      </c>
      <c r="B49" s="24">
        <v>1.2897000000000001</v>
      </c>
      <c r="C49" s="25">
        <v>129.55000000000001</v>
      </c>
      <c r="D49" s="25">
        <v>7.28</v>
      </c>
      <c r="E49" s="26">
        <v>8.32</v>
      </c>
      <c r="F49" s="25">
        <v>5.81</v>
      </c>
      <c r="G49" s="25">
        <v>380.959991</v>
      </c>
      <c r="H49" s="25">
        <v>1549.3599850000001</v>
      </c>
      <c r="I49" s="19">
        <v>22166.83008</v>
      </c>
    </row>
    <row r="50" spans="1:9" x14ac:dyDescent="0.2">
      <c r="A50" s="4">
        <v>33576</v>
      </c>
      <c r="B50" s="24">
        <v>1.2867999999999999</v>
      </c>
      <c r="C50" s="25">
        <v>129.55000000000001</v>
      </c>
      <c r="D50" s="25">
        <v>7.17</v>
      </c>
      <c r="E50" s="26">
        <v>8.3000000000000007</v>
      </c>
      <c r="F50" s="25">
        <v>5.76</v>
      </c>
      <c r="G50" s="25">
        <v>380.07000699999998</v>
      </c>
      <c r="H50" s="25">
        <v>1554.650024</v>
      </c>
      <c r="I50" s="19">
        <v>22669.439450000002</v>
      </c>
    </row>
    <row r="51" spans="1:9" x14ac:dyDescent="0.2">
      <c r="A51" s="4">
        <v>33577</v>
      </c>
      <c r="B51" s="24">
        <v>1.3041</v>
      </c>
      <c r="C51" s="25">
        <v>128.77000000000001</v>
      </c>
      <c r="D51" s="25">
        <v>7.21</v>
      </c>
      <c r="E51" s="26">
        <v>8.3000000000000007</v>
      </c>
      <c r="F51" s="25">
        <v>5.72</v>
      </c>
      <c r="G51" s="25">
        <v>377.39001500000001</v>
      </c>
      <c r="H51" s="25">
        <v>1557.5200199999999</v>
      </c>
      <c r="I51" s="19">
        <v>22459.16992</v>
      </c>
    </row>
    <row r="52" spans="1:9" x14ac:dyDescent="0.2">
      <c r="A52" s="4">
        <v>33578</v>
      </c>
      <c r="B52" s="24">
        <v>1.3192999999999999</v>
      </c>
      <c r="C52" s="25">
        <v>128.19999999999999</v>
      </c>
      <c r="D52" s="25">
        <v>7.26</v>
      </c>
      <c r="E52" s="26">
        <v>8.24</v>
      </c>
      <c r="F52" s="25">
        <v>5.68</v>
      </c>
      <c r="G52" s="25">
        <v>379.10000600000001</v>
      </c>
      <c r="H52" s="25">
        <v>1555.3100589999999</v>
      </c>
      <c r="I52" s="19">
        <v>22445.060549999998</v>
      </c>
    </row>
    <row r="53" spans="1:9" x14ac:dyDescent="0.2">
      <c r="A53" s="4">
        <v>33581</v>
      </c>
      <c r="B53" s="24">
        <v>1.3221000000000001</v>
      </c>
      <c r="C53" s="25">
        <v>128.4</v>
      </c>
      <c r="D53" s="25">
        <v>7.22</v>
      </c>
      <c r="E53" s="26">
        <v>8.26</v>
      </c>
      <c r="F53" s="25">
        <v>5.7</v>
      </c>
      <c r="G53" s="25">
        <v>378.26001000000002</v>
      </c>
      <c r="H53" s="25">
        <v>1559.76001</v>
      </c>
      <c r="I53" s="19">
        <v>22352.880860000001</v>
      </c>
    </row>
    <row r="54" spans="1:9" x14ac:dyDescent="0.2">
      <c r="A54" s="4">
        <v>33582</v>
      </c>
      <c r="B54" s="24">
        <v>1.32</v>
      </c>
      <c r="C54" s="25">
        <v>128.69999999999999</v>
      </c>
      <c r="D54" s="25">
        <v>7.21</v>
      </c>
      <c r="E54" s="26">
        <v>8.24</v>
      </c>
      <c r="F54" s="25">
        <v>5.66</v>
      </c>
      <c r="G54" s="25">
        <v>377.89999399999999</v>
      </c>
      <c r="H54" s="25">
        <v>1548.4399410000001</v>
      </c>
      <c r="I54" s="19">
        <v>21953.060549999998</v>
      </c>
    </row>
    <row r="55" spans="1:9" x14ac:dyDescent="0.2">
      <c r="A55" s="4">
        <v>33583</v>
      </c>
      <c r="B55" s="24">
        <v>1.3139000000000001</v>
      </c>
      <c r="C55" s="25">
        <v>129.15</v>
      </c>
      <c r="D55" s="25">
        <v>7.22</v>
      </c>
      <c r="E55" s="26">
        <v>8.2799999999999994</v>
      </c>
      <c r="F55" s="25">
        <v>5.68</v>
      </c>
      <c r="G55" s="25">
        <v>377.70001200000002</v>
      </c>
      <c r="H55" s="25">
        <v>1543.98999</v>
      </c>
      <c r="I55" s="19">
        <v>21502.900389999999</v>
      </c>
    </row>
    <row r="56" spans="1:9" x14ac:dyDescent="0.2">
      <c r="A56" s="4">
        <v>33584</v>
      </c>
      <c r="B56" s="24">
        <v>1.3118000000000001</v>
      </c>
      <c r="C56" s="25">
        <v>129.24</v>
      </c>
      <c r="D56" s="25">
        <v>7.19</v>
      </c>
      <c r="E56" s="26">
        <v>8.24</v>
      </c>
      <c r="F56" s="25">
        <v>5.66</v>
      </c>
      <c r="G56" s="25">
        <v>381.54998799999998</v>
      </c>
      <c r="H56" s="25">
        <v>1550.209961</v>
      </c>
      <c r="I56" s="19">
        <v>21712.570309999999</v>
      </c>
    </row>
    <row r="57" spans="1:9" x14ac:dyDescent="0.2">
      <c r="A57" s="4">
        <v>33585</v>
      </c>
      <c r="B57" s="24">
        <v>1.3118000000000001</v>
      </c>
      <c r="C57" s="25">
        <v>128.80000000000001</v>
      </c>
      <c r="D57" s="25">
        <v>7.22</v>
      </c>
      <c r="E57" s="26">
        <v>8.2200000000000006</v>
      </c>
      <c r="F57" s="25">
        <v>5.67</v>
      </c>
      <c r="G57" s="25">
        <v>384.47000100000002</v>
      </c>
      <c r="H57" s="25">
        <v>1557.030029</v>
      </c>
      <c r="I57" s="19">
        <v>22754.900389999999</v>
      </c>
    </row>
    <row r="58" spans="1:9" x14ac:dyDescent="0.2">
      <c r="A58" s="4">
        <v>33588</v>
      </c>
      <c r="B58" s="24">
        <v>1.3190999999999999</v>
      </c>
      <c r="C58" s="25">
        <v>128.47</v>
      </c>
      <c r="D58" s="25">
        <v>7.21</v>
      </c>
      <c r="E58" s="26">
        <v>8.23</v>
      </c>
      <c r="F58" s="25">
        <v>5.65</v>
      </c>
      <c r="G58" s="25">
        <v>384.459991</v>
      </c>
      <c r="H58" s="25">
        <v>1551.780029</v>
      </c>
      <c r="I58" s="19">
        <v>22836.66992</v>
      </c>
    </row>
    <row r="59" spans="1:9" x14ac:dyDescent="0.2">
      <c r="A59" s="4">
        <v>33589</v>
      </c>
      <c r="B59" s="24">
        <v>1.3229</v>
      </c>
      <c r="C59" s="25">
        <v>128.6</v>
      </c>
      <c r="D59" s="25">
        <v>7.18</v>
      </c>
      <c r="E59" s="26">
        <v>8.17</v>
      </c>
      <c r="F59" s="25">
        <v>5.66</v>
      </c>
      <c r="G59" s="25">
        <v>382.73998999999998</v>
      </c>
      <c r="H59" s="25">
        <v>1562.8900149999999</v>
      </c>
      <c r="I59" s="19">
        <v>22736.289059999999</v>
      </c>
    </row>
    <row r="60" spans="1:9" x14ac:dyDescent="0.2">
      <c r="A60" s="4">
        <v>33590</v>
      </c>
      <c r="B60" s="24">
        <v>1.3221000000000001</v>
      </c>
      <c r="C60" s="25">
        <v>128.44999999999999</v>
      </c>
      <c r="D60" s="25">
        <v>7.19</v>
      </c>
      <c r="E60" s="26">
        <v>8.15</v>
      </c>
      <c r="F60" s="25">
        <v>5.67</v>
      </c>
      <c r="G60" s="25">
        <v>383.48001099999999</v>
      </c>
      <c r="H60" s="25">
        <v>1570.280029</v>
      </c>
      <c r="I60" s="19">
        <v>22629.900389999999</v>
      </c>
    </row>
    <row r="61" spans="1:9" x14ac:dyDescent="0.2">
      <c r="A61" s="4">
        <v>33591</v>
      </c>
      <c r="B61" s="24">
        <v>1.3321000000000001</v>
      </c>
      <c r="C61" s="25">
        <v>128.33000000000001</v>
      </c>
      <c r="D61" s="25">
        <v>7.11</v>
      </c>
      <c r="E61" s="26">
        <v>8.17</v>
      </c>
      <c r="F61" s="25">
        <v>5.69</v>
      </c>
      <c r="G61" s="25">
        <v>382.51998900000001</v>
      </c>
      <c r="H61" s="25">
        <v>1559.26001</v>
      </c>
      <c r="I61" s="19">
        <v>21991.189450000002</v>
      </c>
    </row>
    <row r="62" spans="1:9" x14ac:dyDescent="0.2">
      <c r="A62" s="4">
        <v>33592</v>
      </c>
      <c r="B62" s="24">
        <v>1.3513999999999999</v>
      </c>
      <c r="C62" s="25">
        <v>127.57</v>
      </c>
      <c r="D62" s="25">
        <v>6.97</v>
      </c>
      <c r="E62" s="26">
        <v>8.1199999999999992</v>
      </c>
      <c r="F62" s="25">
        <v>5.67</v>
      </c>
      <c r="G62" s="25">
        <v>387.040009</v>
      </c>
      <c r="H62" s="25">
        <v>1545.869995</v>
      </c>
      <c r="I62" s="19">
        <v>21777.119139999999</v>
      </c>
    </row>
    <row r="63" spans="1:9" x14ac:dyDescent="0.2">
      <c r="A63" s="4">
        <v>33595</v>
      </c>
      <c r="B63" s="24">
        <v>1.3672</v>
      </c>
      <c r="C63" s="25">
        <v>126.55</v>
      </c>
      <c r="D63" s="25">
        <v>6.88</v>
      </c>
      <c r="E63" s="26">
        <v>8.1300000000000008</v>
      </c>
      <c r="F63" s="25">
        <v>5.67</v>
      </c>
      <c r="G63" s="25">
        <v>396.82000699999998</v>
      </c>
      <c r="H63" s="25">
        <v>1542.7700199999999</v>
      </c>
      <c r="I63" s="19">
        <v>21777.119139999999</v>
      </c>
    </row>
    <row r="64" spans="1:9" x14ac:dyDescent="0.2">
      <c r="A64" s="4">
        <v>33596</v>
      </c>
      <c r="B64" s="24">
        <v>1.3671</v>
      </c>
      <c r="C64" s="25">
        <v>127.55</v>
      </c>
      <c r="D64" s="25">
        <v>6.88</v>
      </c>
      <c r="E64" s="26">
        <v>8.1300000000000008</v>
      </c>
      <c r="F64" s="25">
        <v>5.59</v>
      </c>
      <c r="G64" s="25">
        <v>399.32998700000002</v>
      </c>
      <c r="H64" s="25">
        <v>1542.7700199999999</v>
      </c>
      <c r="I64" s="19">
        <v>21664.529299999998</v>
      </c>
    </row>
    <row r="65" spans="1:9" x14ac:dyDescent="0.2">
      <c r="A65" s="4">
        <v>33597</v>
      </c>
      <c r="B65" s="24">
        <v>1.3671</v>
      </c>
      <c r="C65" s="25">
        <v>127.02</v>
      </c>
      <c r="D65" s="25">
        <v>6.88</v>
      </c>
      <c r="E65" s="26">
        <v>8.1300000000000008</v>
      </c>
      <c r="F65" s="25">
        <v>5.57</v>
      </c>
      <c r="G65" s="25">
        <v>399.32998700000002</v>
      </c>
      <c r="H65" s="25">
        <v>1542.7700199999999</v>
      </c>
      <c r="I65" s="19">
        <v>22461.16992</v>
      </c>
    </row>
    <row r="66" spans="1:9" x14ac:dyDescent="0.2">
      <c r="A66" s="4">
        <v>33598</v>
      </c>
      <c r="B66" s="24">
        <v>1.3671</v>
      </c>
      <c r="C66" s="25">
        <v>126.78</v>
      </c>
      <c r="D66" s="25">
        <v>6.85</v>
      </c>
      <c r="E66" s="26">
        <v>8.1300000000000008</v>
      </c>
      <c r="F66" s="25">
        <v>5.51</v>
      </c>
      <c r="G66" s="25">
        <v>404.83999599999999</v>
      </c>
      <c r="H66" s="25">
        <v>1542.7700199999999</v>
      </c>
      <c r="I66" s="19">
        <v>22555.070309999999</v>
      </c>
    </row>
    <row r="67" spans="1:9" x14ac:dyDescent="0.2">
      <c r="A67" s="4">
        <v>33599</v>
      </c>
      <c r="B67" s="24">
        <v>1.3682000000000001</v>
      </c>
      <c r="C67" s="25">
        <v>125.57</v>
      </c>
      <c r="D67" s="25">
        <v>6.82</v>
      </c>
      <c r="E67" s="26">
        <v>8.11</v>
      </c>
      <c r="F67" s="25">
        <v>5.47</v>
      </c>
      <c r="G67" s="25">
        <v>406.459991</v>
      </c>
      <c r="H67" s="25">
        <v>1564.2700199999999</v>
      </c>
      <c r="I67" s="19">
        <v>22437.320309999999</v>
      </c>
    </row>
    <row r="68" spans="1:9" x14ac:dyDescent="0.2">
      <c r="A68" s="4">
        <v>33602</v>
      </c>
      <c r="B68" s="24">
        <v>1.3669</v>
      </c>
      <c r="C68" s="25">
        <v>125.75</v>
      </c>
      <c r="D68" s="25">
        <v>6.76</v>
      </c>
      <c r="E68" s="26">
        <v>8.0500000000000007</v>
      </c>
      <c r="F68" s="25">
        <v>5.42</v>
      </c>
      <c r="G68" s="25">
        <v>415.14001500000001</v>
      </c>
      <c r="H68" s="25">
        <v>1577.26001</v>
      </c>
      <c r="I68" s="19">
        <v>22983.769530000001</v>
      </c>
    </row>
    <row r="69" spans="1:9" x14ac:dyDescent="0.2">
      <c r="A69" s="4">
        <v>33603</v>
      </c>
      <c r="B69" s="24">
        <v>1.3655999999999999</v>
      </c>
      <c r="C69" s="25">
        <v>124.9</v>
      </c>
      <c r="D69" s="25">
        <v>6.71</v>
      </c>
      <c r="E69" s="26">
        <v>8.0500000000000007</v>
      </c>
      <c r="F69" s="25">
        <v>5.42</v>
      </c>
      <c r="G69" s="25">
        <v>417.08999599999999</v>
      </c>
      <c r="H69" s="25">
        <v>1577.26001</v>
      </c>
      <c r="I69" s="19">
        <v>22983.769530000001</v>
      </c>
    </row>
    <row r="70" spans="1:9" x14ac:dyDescent="0.2">
      <c r="A70" s="4">
        <v>33604</v>
      </c>
      <c r="B70" s="24">
        <v>1.3655999999999999</v>
      </c>
      <c r="C70" s="25">
        <v>124.9</v>
      </c>
      <c r="D70" s="25">
        <v>6.71</v>
      </c>
      <c r="E70" s="26">
        <v>8.0500000000000007</v>
      </c>
      <c r="F70" s="25">
        <v>5.42</v>
      </c>
      <c r="G70" s="25">
        <v>418.1</v>
      </c>
      <c r="H70" s="25">
        <v>1577.26001</v>
      </c>
      <c r="I70" s="19">
        <v>22983.769530000001</v>
      </c>
    </row>
    <row r="71" spans="1:9" x14ac:dyDescent="0.2">
      <c r="A71" s="4">
        <v>33605</v>
      </c>
      <c r="B71" s="24">
        <v>1.3661000000000001</v>
      </c>
      <c r="C71" s="25">
        <v>124.5</v>
      </c>
      <c r="D71" s="25">
        <v>6.78</v>
      </c>
      <c r="E71" s="26">
        <v>8.02</v>
      </c>
      <c r="F71" s="25">
        <v>5.42</v>
      </c>
      <c r="G71" s="25">
        <v>417.26001000000002</v>
      </c>
      <c r="H71" s="25">
        <v>1598.1899410000001</v>
      </c>
      <c r="I71" s="19">
        <v>22983.769530000001</v>
      </c>
    </row>
    <row r="72" spans="1:9" x14ac:dyDescent="0.2">
      <c r="A72" s="4">
        <v>33606</v>
      </c>
      <c r="B72" s="24">
        <v>1.3481000000000001</v>
      </c>
      <c r="C72" s="25">
        <v>124.8</v>
      </c>
      <c r="D72" s="25">
        <v>6.85</v>
      </c>
      <c r="E72" s="26">
        <v>8.0500000000000007</v>
      </c>
      <c r="F72" s="25">
        <v>5.42</v>
      </c>
      <c r="G72" s="25">
        <v>419.33999599999999</v>
      </c>
      <c r="H72" s="25">
        <v>1604.0500489999999</v>
      </c>
      <c r="I72" s="19">
        <v>22983.769530000001</v>
      </c>
    </row>
    <row r="73" spans="1:9" x14ac:dyDescent="0.2">
      <c r="A73" s="4">
        <v>33609</v>
      </c>
      <c r="B73" s="24">
        <v>1.3657999999999999</v>
      </c>
      <c r="C73" s="25">
        <v>124.1</v>
      </c>
      <c r="D73" s="25">
        <v>6.82</v>
      </c>
      <c r="E73" s="26">
        <v>8.01</v>
      </c>
      <c r="F73" s="25">
        <v>5.37</v>
      </c>
      <c r="G73" s="25">
        <v>417.959991</v>
      </c>
      <c r="H73" s="25">
        <v>1604.6899410000001</v>
      </c>
      <c r="I73" s="19">
        <v>23801.179690000001</v>
      </c>
    </row>
    <row r="74" spans="1:9" x14ac:dyDescent="0.2">
      <c r="A74" s="4">
        <v>33610</v>
      </c>
      <c r="B74" s="24">
        <v>1.371</v>
      </c>
      <c r="C74" s="25">
        <v>124.4</v>
      </c>
      <c r="D74" s="25">
        <v>6.76</v>
      </c>
      <c r="E74" s="26">
        <v>7.99</v>
      </c>
      <c r="F74" s="25">
        <v>5.33</v>
      </c>
      <c r="G74" s="25">
        <v>417.39999399999999</v>
      </c>
      <c r="H74" s="25">
        <v>1593.650024</v>
      </c>
      <c r="I74" s="19">
        <v>23566.390630000002</v>
      </c>
    </row>
    <row r="75" spans="1:9" x14ac:dyDescent="0.2">
      <c r="A75" s="4">
        <v>33611</v>
      </c>
      <c r="B75" s="24">
        <v>1.3702000000000001</v>
      </c>
      <c r="C75" s="25">
        <v>124.9</v>
      </c>
      <c r="D75" s="25">
        <v>6.77</v>
      </c>
      <c r="E75" s="26">
        <v>8.01</v>
      </c>
      <c r="F75" s="25">
        <v>5.35</v>
      </c>
      <c r="G75" s="25">
        <v>418.10000600000001</v>
      </c>
      <c r="H75" s="25">
        <v>1581.6800539999999</v>
      </c>
      <c r="I75" s="19">
        <v>22715</v>
      </c>
    </row>
    <row r="76" spans="1:9" x14ac:dyDescent="0.2">
      <c r="A76" s="4">
        <v>33612</v>
      </c>
      <c r="B76" s="24">
        <v>1.3506</v>
      </c>
      <c r="C76" s="25">
        <v>125.4</v>
      </c>
      <c r="D76" s="25">
        <v>6.79</v>
      </c>
      <c r="E76" s="26">
        <v>7.99</v>
      </c>
      <c r="F76" s="25">
        <v>5.35</v>
      </c>
      <c r="G76" s="25">
        <v>417.60998499999999</v>
      </c>
      <c r="H76" s="25">
        <v>1599.1400149999999</v>
      </c>
      <c r="I76" s="19">
        <v>23113.640630000002</v>
      </c>
    </row>
    <row r="77" spans="1:9" x14ac:dyDescent="0.2">
      <c r="A77" s="4">
        <v>33613</v>
      </c>
      <c r="B77" s="24">
        <v>1.3228</v>
      </c>
      <c r="C77" s="25">
        <v>127.05</v>
      </c>
      <c r="D77" s="25">
        <v>6.85</v>
      </c>
      <c r="E77" s="26">
        <v>7.92</v>
      </c>
      <c r="F77" s="25">
        <v>5.37</v>
      </c>
      <c r="G77" s="25">
        <v>415.10000600000001</v>
      </c>
      <c r="H77" s="25">
        <v>1613.8199460000001</v>
      </c>
      <c r="I77" s="19">
        <v>22381.900389999999</v>
      </c>
    </row>
    <row r="78" spans="1:9" x14ac:dyDescent="0.2">
      <c r="A78" s="4">
        <v>33616</v>
      </c>
      <c r="B78" s="24">
        <v>1.3182</v>
      </c>
      <c r="C78" s="25">
        <v>126.85</v>
      </c>
      <c r="D78" s="25">
        <v>6.92</v>
      </c>
      <c r="E78" s="26">
        <v>7.94</v>
      </c>
      <c r="F78" s="25">
        <v>5.39</v>
      </c>
      <c r="G78" s="25">
        <v>414.33999599999999</v>
      </c>
      <c r="H78" s="25">
        <v>1620.4499510000001</v>
      </c>
      <c r="I78" s="19">
        <v>21696.859380000002</v>
      </c>
    </row>
    <row r="79" spans="1:9" x14ac:dyDescent="0.2">
      <c r="A79" s="4">
        <v>33617</v>
      </c>
      <c r="B79" s="24">
        <v>1.3229</v>
      </c>
      <c r="C79" s="25">
        <v>126.8</v>
      </c>
      <c r="D79" s="25">
        <v>7.03</v>
      </c>
      <c r="E79" s="26">
        <v>7.94</v>
      </c>
      <c r="F79" s="25">
        <v>5.38</v>
      </c>
      <c r="G79" s="25">
        <v>420.44000199999999</v>
      </c>
      <c r="H79" s="25">
        <v>1629.51001</v>
      </c>
      <c r="I79" s="19">
        <v>21775.130860000001</v>
      </c>
    </row>
    <row r="80" spans="1:9" x14ac:dyDescent="0.2">
      <c r="A80" s="4">
        <v>33618</v>
      </c>
      <c r="B80" s="24">
        <v>1.2803</v>
      </c>
      <c r="C80" s="25">
        <v>128.4</v>
      </c>
      <c r="D80" s="25">
        <v>7.05</v>
      </c>
      <c r="E80" s="26">
        <v>7.92</v>
      </c>
      <c r="F80" s="25">
        <v>5.38</v>
      </c>
      <c r="G80" s="25">
        <v>420.76998900000001</v>
      </c>
      <c r="H80" s="25">
        <v>1663.6999510000001</v>
      </c>
      <c r="I80" s="19">
        <v>21775.130860000001</v>
      </c>
    </row>
    <row r="81" spans="1:9" x14ac:dyDescent="0.2">
      <c r="A81" s="4">
        <v>33619</v>
      </c>
      <c r="B81" s="24">
        <v>1.2825</v>
      </c>
      <c r="C81" s="25">
        <v>128.28</v>
      </c>
      <c r="D81" s="25">
        <v>7.13</v>
      </c>
      <c r="E81" s="26">
        <v>7.9</v>
      </c>
      <c r="F81" s="25">
        <v>5.44</v>
      </c>
      <c r="G81" s="25">
        <v>418.209991</v>
      </c>
      <c r="H81" s="25">
        <v>1664.089966</v>
      </c>
      <c r="I81" s="19">
        <v>21612.189450000002</v>
      </c>
    </row>
    <row r="82" spans="1:9" x14ac:dyDescent="0.2">
      <c r="A82" s="4">
        <v>33620</v>
      </c>
      <c r="B82" s="24">
        <v>1.3007</v>
      </c>
      <c r="C82" s="25">
        <v>127.45</v>
      </c>
      <c r="D82" s="25">
        <v>7.09</v>
      </c>
      <c r="E82" s="26">
        <v>7.9</v>
      </c>
      <c r="F82" s="25">
        <v>5.39</v>
      </c>
      <c r="G82" s="25">
        <v>418.85998499999999</v>
      </c>
      <c r="H82" s="25">
        <v>1669.290039</v>
      </c>
      <c r="I82" s="19">
        <v>21321.369139999999</v>
      </c>
    </row>
    <row r="83" spans="1:9" x14ac:dyDescent="0.2">
      <c r="A83" s="4">
        <v>33623</v>
      </c>
      <c r="B83" s="24">
        <v>1.3049999999999999</v>
      </c>
      <c r="C83" s="25">
        <v>123.97</v>
      </c>
      <c r="D83" s="25">
        <v>7.09</v>
      </c>
      <c r="E83" s="26">
        <v>7.91</v>
      </c>
      <c r="F83" s="25">
        <v>5.36</v>
      </c>
      <c r="G83" s="25">
        <v>416.35998499999999</v>
      </c>
      <c r="H83" s="25">
        <v>1685.1400149999999</v>
      </c>
      <c r="I83" s="19">
        <v>20913.820309999999</v>
      </c>
    </row>
    <row r="84" spans="1:9" x14ac:dyDescent="0.2">
      <c r="A84" s="4">
        <v>33624</v>
      </c>
      <c r="B84" s="24">
        <v>1.3152999999999999</v>
      </c>
      <c r="C84" s="25">
        <v>123.2</v>
      </c>
      <c r="D84" s="25">
        <v>7.03</v>
      </c>
      <c r="E84" s="26">
        <v>7.86</v>
      </c>
      <c r="F84" s="25">
        <v>5.35</v>
      </c>
      <c r="G84" s="25">
        <v>412.64001500000001</v>
      </c>
      <c r="H84" s="25">
        <v>1687.0699460000001</v>
      </c>
      <c r="I84" s="19">
        <v>20858.300780000001</v>
      </c>
    </row>
    <row r="85" spans="1:9" x14ac:dyDescent="0.2">
      <c r="A85" s="4">
        <v>33625</v>
      </c>
      <c r="B85" s="24">
        <v>1.3150999999999999</v>
      </c>
      <c r="C85" s="25">
        <v>123.22</v>
      </c>
      <c r="D85" s="25">
        <v>7.09</v>
      </c>
      <c r="E85" s="26">
        <v>7.84</v>
      </c>
      <c r="F85" s="25">
        <v>5.28</v>
      </c>
      <c r="G85" s="25">
        <v>418.13000499999998</v>
      </c>
      <c r="H85" s="25">
        <v>1680.130005</v>
      </c>
      <c r="I85" s="19">
        <v>21534.119139999999</v>
      </c>
    </row>
    <row r="86" spans="1:9" x14ac:dyDescent="0.2">
      <c r="A86" s="4">
        <v>33626</v>
      </c>
      <c r="B86" s="24">
        <v>1.3062</v>
      </c>
      <c r="C86" s="25">
        <v>123.9</v>
      </c>
      <c r="D86" s="25">
        <v>7.2</v>
      </c>
      <c r="E86" s="26">
        <v>7.89</v>
      </c>
      <c r="F86" s="25">
        <v>5.31</v>
      </c>
      <c r="G86" s="25">
        <v>414.959991</v>
      </c>
      <c r="H86" s="25">
        <v>1671.839966</v>
      </c>
      <c r="I86" s="19">
        <v>21580.720700000002</v>
      </c>
    </row>
    <row r="87" spans="1:9" x14ac:dyDescent="0.2">
      <c r="A87" s="4">
        <v>33627</v>
      </c>
      <c r="B87" s="24">
        <v>1.3091999999999999</v>
      </c>
      <c r="C87" s="25">
        <v>123.42</v>
      </c>
      <c r="D87" s="25">
        <v>7.25</v>
      </c>
      <c r="E87" s="26">
        <v>7.89</v>
      </c>
      <c r="F87" s="25">
        <v>5.33</v>
      </c>
      <c r="G87" s="25">
        <v>415.48001099999999</v>
      </c>
      <c r="H87" s="25">
        <v>1669.5200199999999</v>
      </c>
      <c r="I87" s="19">
        <v>21072.150389999999</v>
      </c>
    </row>
    <row r="88" spans="1:9" x14ac:dyDescent="0.2">
      <c r="A88" s="4">
        <v>33630</v>
      </c>
      <c r="B88" s="24">
        <v>1.2911999999999999</v>
      </c>
      <c r="C88" s="25">
        <v>125.4</v>
      </c>
      <c r="D88" s="25">
        <v>7.24</v>
      </c>
      <c r="E88" s="26">
        <v>7.9</v>
      </c>
      <c r="F88" s="25">
        <v>5.33</v>
      </c>
      <c r="G88" s="25">
        <v>414.98998999999998</v>
      </c>
      <c r="H88" s="25">
        <v>1686.709961</v>
      </c>
      <c r="I88" s="19">
        <v>21007.109380000002</v>
      </c>
    </row>
    <row r="89" spans="1:9" x14ac:dyDescent="0.2">
      <c r="A89" s="4">
        <v>33631</v>
      </c>
      <c r="B89" s="24">
        <v>1.3041</v>
      </c>
      <c r="C89" s="25">
        <v>125.62</v>
      </c>
      <c r="D89" s="25">
        <v>7.16</v>
      </c>
      <c r="E89" s="26">
        <v>7.91</v>
      </c>
      <c r="F89" s="25">
        <v>5.35</v>
      </c>
      <c r="G89" s="25">
        <v>414.959991</v>
      </c>
      <c r="H89" s="25">
        <v>1685.51001</v>
      </c>
      <c r="I89" s="19">
        <v>21390.519530000001</v>
      </c>
    </row>
    <row r="90" spans="1:9" x14ac:dyDescent="0.2">
      <c r="A90" s="4">
        <v>33632</v>
      </c>
      <c r="B90" s="24">
        <v>1.3104</v>
      </c>
      <c r="C90" s="25">
        <v>125.45</v>
      </c>
      <c r="D90" s="25">
        <v>7.25</v>
      </c>
      <c r="E90" s="26">
        <v>7.88</v>
      </c>
      <c r="F90" s="25">
        <v>5.33</v>
      </c>
      <c r="G90" s="25">
        <v>410.33999599999999</v>
      </c>
      <c r="H90" s="25">
        <v>1671.01001</v>
      </c>
      <c r="I90" s="19">
        <v>21362.259770000001</v>
      </c>
    </row>
    <row r="91" spans="1:9" x14ac:dyDescent="0.2">
      <c r="A91" s="4">
        <v>33633</v>
      </c>
      <c r="B91" s="24">
        <v>1.2912999999999999</v>
      </c>
      <c r="C91" s="25">
        <v>126</v>
      </c>
      <c r="D91" s="25">
        <v>7.31</v>
      </c>
      <c r="E91" s="26">
        <v>7.89</v>
      </c>
      <c r="F91" s="25">
        <v>5.36</v>
      </c>
      <c r="G91" s="25">
        <v>411.61999500000002</v>
      </c>
      <c r="H91" s="25">
        <v>1683.0600589999999</v>
      </c>
      <c r="I91" s="19">
        <v>21557.66992</v>
      </c>
    </row>
    <row r="92" spans="1:9" x14ac:dyDescent="0.2">
      <c r="A92" s="4">
        <v>33634</v>
      </c>
      <c r="B92" s="24">
        <v>1.2974000000000001</v>
      </c>
      <c r="C92" s="25">
        <v>125.55</v>
      </c>
      <c r="D92" s="25">
        <v>7.31</v>
      </c>
      <c r="E92" s="26">
        <v>7.91</v>
      </c>
      <c r="F92" s="25">
        <v>5.43</v>
      </c>
      <c r="G92" s="25">
        <v>408.77999899999998</v>
      </c>
      <c r="H92" s="25">
        <v>1685.6999510000001</v>
      </c>
      <c r="I92" s="19">
        <v>22023.050780000001</v>
      </c>
    </row>
    <row r="93" spans="1:9" x14ac:dyDescent="0.2">
      <c r="A93" s="4">
        <v>33637</v>
      </c>
      <c r="B93" s="24">
        <v>1.3023</v>
      </c>
      <c r="C93" s="25">
        <v>125.95</v>
      </c>
      <c r="D93" s="25">
        <v>7.36</v>
      </c>
      <c r="E93" s="26">
        <v>7.86</v>
      </c>
      <c r="F93" s="25">
        <v>5.44</v>
      </c>
      <c r="G93" s="25">
        <v>409.52999899999998</v>
      </c>
      <c r="H93" s="25">
        <v>1685.660034</v>
      </c>
      <c r="I93" s="19">
        <v>22139.589840000001</v>
      </c>
    </row>
    <row r="94" spans="1:9" x14ac:dyDescent="0.2">
      <c r="A94" s="4">
        <v>33638</v>
      </c>
      <c r="B94" s="24">
        <v>1.3073999999999999</v>
      </c>
      <c r="C94" s="25">
        <v>126.15</v>
      </c>
      <c r="D94" s="25">
        <v>7.29</v>
      </c>
      <c r="E94" s="26">
        <v>7.91</v>
      </c>
      <c r="F94" s="25">
        <v>5.51</v>
      </c>
      <c r="G94" s="25">
        <v>413.85000600000001</v>
      </c>
      <c r="H94" s="25">
        <v>1678.7700199999999</v>
      </c>
      <c r="I94" s="19">
        <v>21999.599610000001</v>
      </c>
    </row>
    <row r="95" spans="1:9" x14ac:dyDescent="0.2">
      <c r="A95" s="4">
        <v>33639</v>
      </c>
      <c r="B95" s="24">
        <v>1.3129</v>
      </c>
      <c r="C95" s="25">
        <v>125.83</v>
      </c>
      <c r="D95" s="25">
        <v>7.21</v>
      </c>
      <c r="E95" s="26">
        <v>7.9</v>
      </c>
      <c r="F95" s="25">
        <v>5.55</v>
      </c>
      <c r="G95" s="25">
        <v>413.83999599999999</v>
      </c>
      <c r="H95" s="25">
        <v>1685.849976</v>
      </c>
      <c r="I95" s="19">
        <v>21936.369139999999</v>
      </c>
    </row>
    <row r="96" spans="1:9" x14ac:dyDescent="0.2">
      <c r="A96" s="4">
        <v>33640</v>
      </c>
      <c r="B96" s="24">
        <v>1.3186</v>
      </c>
      <c r="C96" s="25">
        <v>125.65</v>
      </c>
      <c r="D96" s="25">
        <v>7.2</v>
      </c>
      <c r="E96" s="26">
        <v>7.91</v>
      </c>
      <c r="F96" s="25">
        <v>5.49</v>
      </c>
      <c r="G96" s="25">
        <v>413.82000699999998</v>
      </c>
      <c r="H96" s="25">
        <v>1683.709961</v>
      </c>
      <c r="I96" s="19">
        <v>22104.91992</v>
      </c>
    </row>
    <row r="97" spans="1:9" x14ac:dyDescent="0.2">
      <c r="A97" s="4">
        <v>33641</v>
      </c>
      <c r="B97" s="24">
        <v>1.3315999999999999</v>
      </c>
      <c r="C97" s="25">
        <v>125.22</v>
      </c>
      <c r="D97" s="25">
        <v>7.2</v>
      </c>
      <c r="E97" s="26">
        <v>7.87</v>
      </c>
      <c r="F97" s="25">
        <v>5.49</v>
      </c>
      <c r="G97" s="25">
        <v>411.08999599999999</v>
      </c>
      <c r="H97" s="25">
        <v>1686.589966</v>
      </c>
      <c r="I97" s="19">
        <v>22107.119139999999</v>
      </c>
    </row>
    <row r="98" spans="1:9" x14ac:dyDescent="0.2">
      <c r="A98" s="4">
        <v>33644</v>
      </c>
      <c r="B98" s="24">
        <v>1.3263</v>
      </c>
      <c r="C98" s="25">
        <v>126.7</v>
      </c>
      <c r="D98" s="25">
        <v>7.21</v>
      </c>
      <c r="E98" s="26">
        <v>7.87</v>
      </c>
      <c r="F98" s="25">
        <v>5.53</v>
      </c>
      <c r="G98" s="25">
        <v>413.76998900000001</v>
      </c>
      <c r="H98" s="25">
        <v>1683.7299800000001</v>
      </c>
      <c r="I98" s="19">
        <v>21819.519530000001</v>
      </c>
    </row>
    <row r="99" spans="1:9" x14ac:dyDescent="0.2">
      <c r="A99" s="4">
        <v>33645</v>
      </c>
      <c r="B99" s="24">
        <v>1.3115000000000001</v>
      </c>
      <c r="C99" s="25">
        <v>126.93</v>
      </c>
      <c r="D99" s="25">
        <v>7.23</v>
      </c>
      <c r="E99" s="26">
        <v>7.85</v>
      </c>
      <c r="F99" s="25">
        <v>5.53</v>
      </c>
      <c r="G99" s="25">
        <v>413.76001000000002</v>
      </c>
      <c r="H99" s="25">
        <v>1679.1400149999999</v>
      </c>
      <c r="I99" s="19">
        <v>21819.519530000001</v>
      </c>
    </row>
    <row r="100" spans="1:9" x14ac:dyDescent="0.2">
      <c r="A100" s="4">
        <v>33646</v>
      </c>
      <c r="B100" s="24">
        <v>1.2958000000000001</v>
      </c>
      <c r="C100" s="25">
        <v>127.68</v>
      </c>
      <c r="D100" s="25">
        <v>7.3</v>
      </c>
      <c r="E100" s="26">
        <v>7.86</v>
      </c>
      <c r="F100" s="25">
        <v>5.59</v>
      </c>
      <c r="G100" s="25">
        <v>417.13000499999998</v>
      </c>
      <c r="H100" s="25">
        <v>1685.030029</v>
      </c>
      <c r="I100" s="19">
        <v>21541.640630000002</v>
      </c>
    </row>
    <row r="101" spans="1:9" x14ac:dyDescent="0.2">
      <c r="A101" s="4">
        <v>33647</v>
      </c>
      <c r="B101" s="24">
        <v>1.284</v>
      </c>
      <c r="C101" s="25">
        <v>127.68</v>
      </c>
      <c r="D101" s="25">
        <v>7.4</v>
      </c>
      <c r="E101" s="26">
        <v>7.85</v>
      </c>
      <c r="F101" s="25">
        <v>5.5</v>
      </c>
      <c r="G101" s="25">
        <v>413.69000199999999</v>
      </c>
      <c r="H101" s="25">
        <v>1680.8100589999999</v>
      </c>
      <c r="I101" s="19">
        <v>21391.019530000001</v>
      </c>
    </row>
    <row r="102" spans="1:9" x14ac:dyDescent="0.2">
      <c r="A102" s="4">
        <v>33648</v>
      </c>
      <c r="B102" s="24">
        <v>1.2799</v>
      </c>
      <c r="C102" s="25">
        <v>127.93</v>
      </c>
      <c r="D102" s="25">
        <v>7.41</v>
      </c>
      <c r="E102" s="26">
        <v>7.87</v>
      </c>
      <c r="F102" s="25">
        <v>5.56</v>
      </c>
      <c r="G102" s="25">
        <v>412.48001099999999</v>
      </c>
      <c r="H102" s="25">
        <v>1676.170044</v>
      </c>
      <c r="I102" s="19">
        <v>20883.859380000002</v>
      </c>
    </row>
    <row r="103" spans="1:9" x14ac:dyDescent="0.2">
      <c r="A103" s="4">
        <v>33651</v>
      </c>
      <c r="B103" s="24">
        <v>1.2842</v>
      </c>
      <c r="C103" s="25">
        <v>127</v>
      </c>
      <c r="D103" s="25">
        <v>7.41</v>
      </c>
      <c r="E103" s="26">
        <v>7.92</v>
      </c>
      <c r="F103" s="25">
        <v>5.47</v>
      </c>
      <c r="G103" s="25">
        <v>412.27</v>
      </c>
      <c r="H103" s="25">
        <v>1688.459961</v>
      </c>
      <c r="I103" s="19">
        <v>21324.980469999999</v>
      </c>
    </row>
    <row r="104" spans="1:9" x14ac:dyDescent="0.2">
      <c r="A104" s="4">
        <v>33652</v>
      </c>
      <c r="B104" s="24">
        <v>1.2645</v>
      </c>
      <c r="C104" s="25">
        <v>128</v>
      </c>
      <c r="D104" s="25">
        <v>7.47</v>
      </c>
      <c r="E104" s="26">
        <v>7.91</v>
      </c>
      <c r="F104" s="25">
        <v>5.47</v>
      </c>
      <c r="G104" s="25">
        <v>407.38000499999998</v>
      </c>
      <c r="H104" s="25">
        <v>1696.5500489999999</v>
      </c>
      <c r="I104" s="19">
        <v>20872.029299999998</v>
      </c>
    </row>
    <row r="105" spans="1:9" x14ac:dyDescent="0.2">
      <c r="A105" s="4">
        <v>33653</v>
      </c>
      <c r="B105" s="24">
        <v>1.2686999999999999</v>
      </c>
      <c r="C105" s="25">
        <v>128.4</v>
      </c>
      <c r="D105" s="25">
        <v>7.42</v>
      </c>
      <c r="E105" s="26">
        <v>7.93</v>
      </c>
      <c r="F105" s="25">
        <v>5.51</v>
      </c>
      <c r="G105" s="25">
        <v>408.26001000000002</v>
      </c>
      <c r="H105" s="25">
        <v>1690.23999</v>
      </c>
      <c r="I105" s="19">
        <v>20618.300780000001</v>
      </c>
    </row>
    <row r="106" spans="1:9" x14ac:dyDescent="0.2">
      <c r="A106" s="4">
        <v>33654</v>
      </c>
      <c r="B106" s="24">
        <v>1.2625</v>
      </c>
      <c r="C106" s="25">
        <v>128.65</v>
      </c>
      <c r="D106" s="25">
        <v>7.41</v>
      </c>
      <c r="E106" s="26">
        <v>7.92</v>
      </c>
      <c r="F106" s="25">
        <v>5.47</v>
      </c>
      <c r="G106" s="25">
        <v>413.89999399999999</v>
      </c>
      <c r="H106" s="25">
        <v>1711.349976</v>
      </c>
      <c r="I106" s="19">
        <v>20771.91992</v>
      </c>
    </row>
    <row r="107" spans="1:9" x14ac:dyDescent="0.2">
      <c r="A107" s="4">
        <v>33655</v>
      </c>
      <c r="B107" s="24">
        <v>1.2639</v>
      </c>
      <c r="C107" s="25">
        <v>128.72</v>
      </c>
      <c r="D107" s="25">
        <v>7.45</v>
      </c>
      <c r="E107" s="26">
        <v>7.92</v>
      </c>
      <c r="F107" s="25">
        <v>5.45</v>
      </c>
      <c r="G107" s="25">
        <v>411.42999300000002</v>
      </c>
      <c r="H107" s="25">
        <v>1711.290039</v>
      </c>
      <c r="I107" s="19">
        <v>21291.810549999998</v>
      </c>
    </row>
    <row r="108" spans="1:9" x14ac:dyDescent="0.2">
      <c r="A108" s="4">
        <v>33658</v>
      </c>
      <c r="B108" s="24">
        <v>1.2623</v>
      </c>
      <c r="C108" s="25">
        <v>129.1</v>
      </c>
      <c r="D108" s="25">
        <v>7.47</v>
      </c>
      <c r="E108" s="26">
        <v>7.93</v>
      </c>
      <c r="F108" s="25">
        <v>5.49</v>
      </c>
      <c r="G108" s="25">
        <v>412.26998900000001</v>
      </c>
      <c r="H108" s="25">
        <v>1729.8599850000001</v>
      </c>
      <c r="I108" s="19">
        <v>20973.240229999999</v>
      </c>
    </row>
    <row r="109" spans="1:9" x14ac:dyDescent="0.2">
      <c r="A109" s="4">
        <v>33659</v>
      </c>
      <c r="B109" s="24">
        <v>1.2751999999999999</v>
      </c>
      <c r="C109" s="25">
        <v>129.44999999999999</v>
      </c>
      <c r="D109" s="25">
        <v>7.44</v>
      </c>
      <c r="E109" s="26">
        <v>7.91</v>
      </c>
      <c r="F109" s="25">
        <v>5.49</v>
      </c>
      <c r="G109" s="25">
        <v>410.45001200000002</v>
      </c>
      <c r="H109" s="25">
        <v>1716.630005</v>
      </c>
      <c r="I109" s="19">
        <v>21025.550780000001</v>
      </c>
    </row>
    <row r="110" spans="1:9" x14ac:dyDescent="0.2">
      <c r="A110" s="4">
        <v>33660</v>
      </c>
      <c r="B110" s="24">
        <v>1.2614000000000001</v>
      </c>
      <c r="C110" s="25">
        <v>129.68</v>
      </c>
      <c r="D110" s="25">
        <v>7.33</v>
      </c>
      <c r="E110" s="26">
        <v>7.86</v>
      </c>
      <c r="F110" s="25">
        <v>5.47</v>
      </c>
      <c r="G110" s="25">
        <v>415.35000600000001</v>
      </c>
      <c r="H110" s="25">
        <v>1743.3599850000001</v>
      </c>
      <c r="I110" s="19">
        <v>21364.769530000001</v>
      </c>
    </row>
    <row r="111" spans="1:9" x14ac:dyDescent="0.2">
      <c r="A111" s="4">
        <v>33661</v>
      </c>
      <c r="B111" s="24">
        <v>1.2694000000000001</v>
      </c>
      <c r="C111" s="25">
        <v>129.41</v>
      </c>
      <c r="D111" s="25">
        <v>7.35</v>
      </c>
      <c r="E111" s="26">
        <v>7.83</v>
      </c>
      <c r="F111" s="25">
        <v>5.46</v>
      </c>
      <c r="G111" s="25">
        <v>413.85998499999999</v>
      </c>
      <c r="H111" s="25">
        <v>1745.170044</v>
      </c>
      <c r="I111" s="19">
        <v>21333.699219999999</v>
      </c>
    </row>
    <row r="112" spans="1:9" x14ac:dyDescent="0.2">
      <c r="A112" s="4">
        <v>33662</v>
      </c>
      <c r="B112" s="24">
        <v>1.2732000000000001</v>
      </c>
      <c r="C112" s="25">
        <v>129.15</v>
      </c>
      <c r="D112" s="25">
        <v>7.27</v>
      </c>
      <c r="E112" s="26">
        <v>7.83</v>
      </c>
      <c r="F112" s="25">
        <v>5.46</v>
      </c>
      <c r="G112" s="25">
        <v>412.70001200000002</v>
      </c>
      <c r="H112" s="25">
        <v>1746.76001</v>
      </c>
      <c r="I112" s="19">
        <v>21338.810549999998</v>
      </c>
    </row>
    <row r="113" spans="1:9" x14ac:dyDescent="0.2">
      <c r="A113" s="4">
        <v>33665</v>
      </c>
      <c r="B113" s="24">
        <v>1.2670999999999999</v>
      </c>
      <c r="C113" s="25">
        <v>129.63</v>
      </c>
      <c r="D113" s="25">
        <v>7.38</v>
      </c>
      <c r="E113" s="26">
        <v>7.84</v>
      </c>
      <c r="F113" s="25">
        <v>5.49</v>
      </c>
      <c r="G113" s="25">
        <v>412.45001200000002</v>
      </c>
      <c r="H113" s="25">
        <v>1749.290039</v>
      </c>
      <c r="I113" s="19">
        <v>21487.820309999999</v>
      </c>
    </row>
    <row r="114" spans="1:9" x14ac:dyDescent="0.2">
      <c r="A114" s="4">
        <v>33666</v>
      </c>
      <c r="B114" s="24">
        <v>1.2591000000000001</v>
      </c>
      <c r="C114" s="25">
        <v>130.84</v>
      </c>
      <c r="D114" s="25">
        <v>7.43</v>
      </c>
      <c r="E114" s="26">
        <v>7.85</v>
      </c>
      <c r="F114" s="25">
        <v>5.53</v>
      </c>
      <c r="G114" s="25">
        <v>412.85000600000001</v>
      </c>
      <c r="H114" s="25">
        <v>1763.8599850000001</v>
      </c>
      <c r="I114" s="19">
        <v>21051.710940000001</v>
      </c>
    </row>
    <row r="115" spans="1:9" x14ac:dyDescent="0.2">
      <c r="A115" s="4">
        <v>33667</v>
      </c>
      <c r="B115" s="24">
        <v>1.2503</v>
      </c>
      <c r="C115" s="25">
        <v>132.11000000000001</v>
      </c>
      <c r="D115" s="25">
        <v>7.43</v>
      </c>
      <c r="E115" s="26">
        <v>7.84</v>
      </c>
      <c r="F115" s="25">
        <v>5.55</v>
      </c>
      <c r="G115" s="25">
        <v>409.32998700000002</v>
      </c>
      <c r="H115" s="25">
        <v>1762.2700199999999</v>
      </c>
      <c r="I115" s="19">
        <v>21105.41992</v>
      </c>
    </row>
    <row r="116" spans="1:9" x14ac:dyDescent="0.2">
      <c r="A116" s="4">
        <v>33668</v>
      </c>
      <c r="B116" s="24">
        <v>1.2475000000000001</v>
      </c>
      <c r="C116" s="25">
        <v>131.85</v>
      </c>
      <c r="D116" s="25">
        <v>7.51</v>
      </c>
      <c r="E116" s="26">
        <v>7.88</v>
      </c>
      <c r="F116" s="25">
        <v>5.5</v>
      </c>
      <c r="G116" s="25">
        <v>406.51001000000002</v>
      </c>
      <c r="H116" s="25">
        <v>1762.290039</v>
      </c>
      <c r="I116" s="19">
        <v>20864.41992</v>
      </c>
    </row>
    <row r="117" spans="1:9" x14ac:dyDescent="0.2">
      <c r="A117" s="4">
        <v>33669</v>
      </c>
      <c r="B117" s="24">
        <v>1.2468999999999999</v>
      </c>
      <c r="C117" s="25">
        <v>131.76</v>
      </c>
      <c r="D117" s="25">
        <v>7.48</v>
      </c>
      <c r="E117" s="26">
        <v>7.91</v>
      </c>
      <c r="F117" s="25">
        <v>5.52</v>
      </c>
      <c r="G117" s="25">
        <v>404.44000199999999</v>
      </c>
      <c r="H117" s="25">
        <v>1746.7700199999999</v>
      </c>
      <c r="I117" s="19">
        <v>20992.990229999999</v>
      </c>
    </row>
    <row r="118" spans="1:9" x14ac:dyDescent="0.2">
      <c r="A118" s="4">
        <v>33672</v>
      </c>
      <c r="B118" s="24">
        <v>1.2533000000000001</v>
      </c>
      <c r="C118" s="25">
        <v>131.91999999999999</v>
      </c>
      <c r="D118" s="25">
        <v>7.42</v>
      </c>
      <c r="E118" s="26">
        <v>7.9</v>
      </c>
      <c r="F118" s="25">
        <v>5.5</v>
      </c>
      <c r="G118" s="25">
        <v>405.209991</v>
      </c>
      <c r="H118" s="25">
        <v>1753.5</v>
      </c>
      <c r="I118" s="19">
        <v>20797.679690000001</v>
      </c>
    </row>
    <row r="119" spans="1:9" x14ac:dyDescent="0.2">
      <c r="A119" s="4">
        <v>33673</v>
      </c>
      <c r="B119" s="24">
        <v>1.2491000000000001</v>
      </c>
      <c r="C119" s="25">
        <v>132.88</v>
      </c>
      <c r="D119" s="25">
        <v>7.43</v>
      </c>
      <c r="E119" s="26">
        <v>7.87</v>
      </c>
      <c r="F119" s="25">
        <v>5.45</v>
      </c>
      <c r="G119" s="25">
        <v>406.89001500000001</v>
      </c>
      <c r="H119" s="25">
        <v>1753.209961</v>
      </c>
      <c r="I119" s="19">
        <v>20854.589840000001</v>
      </c>
    </row>
    <row r="120" spans="1:9" x14ac:dyDescent="0.2">
      <c r="A120" s="4">
        <v>33674</v>
      </c>
      <c r="B120" s="24">
        <v>1.2527999999999999</v>
      </c>
      <c r="C120" s="25">
        <v>133.44999999999999</v>
      </c>
      <c r="D120" s="25">
        <v>7.51</v>
      </c>
      <c r="E120" s="26">
        <v>7.9</v>
      </c>
      <c r="F120" s="25">
        <v>5.46</v>
      </c>
      <c r="G120" s="25">
        <v>404.02999899999998</v>
      </c>
      <c r="H120" s="25">
        <v>1739.880005</v>
      </c>
      <c r="I120" s="19">
        <v>20592.140630000002</v>
      </c>
    </row>
    <row r="121" spans="1:9" x14ac:dyDescent="0.2">
      <c r="A121" s="4">
        <v>33675</v>
      </c>
      <c r="B121" s="24">
        <v>1.2439</v>
      </c>
      <c r="C121" s="25">
        <v>134.25</v>
      </c>
      <c r="D121" s="25">
        <v>7.62</v>
      </c>
      <c r="E121" s="26">
        <v>7.93</v>
      </c>
      <c r="F121" s="25">
        <v>5.48</v>
      </c>
      <c r="G121" s="25">
        <v>403.89001500000001</v>
      </c>
      <c r="H121" s="25">
        <v>1723.920044</v>
      </c>
      <c r="I121" s="19">
        <v>20561.880860000001</v>
      </c>
    </row>
    <row r="122" spans="1:9" x14ac:dyDescent="0.2">
      <c r="A122" s="4">
        <v>33676</v>
      </c>
      <c r="B122" s="24">
        <v>1.2495000000000001</v>
      </c>
      <c r="C122" s="25">
        <v>133.6</v>
      </c>
      <c r="D122" s="25">
        <v>7.71</v>
      </c>
      <c r="E122" s="26">
        <v>7.93</v>
      </c>
      <c r="F122" s="25">
        <v>5.46</v>
      </c>
      <c r="G122" s="25">
        <v>405.83999599999999</v>
      </c>
      <c r="H122" s="25">
        <v>1734.420044</v>
      </c>
      <c r="I122" s="19">
        <v>20456.060549999998</v>
      </c>
    </row>
    <row r="123" spans="1:9" x14ac:dyDescent="0.2">
      <c r="A123" s="4">
        <v>33679</v>
      </c>
      <c r="B123" s="24">
        <v>1.2516</v>
      </c>
      <c r="C123" s="25">
        <v>133.97999999999999</v>
      </c>
      <c r="D123" s="25">
        <v>7.69</v>
      </c>
      <c r="E123" s="26">
        <v>7.94</v>
      </c>
      <c r="F123" s="25">
        <v>5.46</v>
      </c>
      <c r="G123" s="25">
        <v>406.39001500000001</v>
      </c>
      <c r="H123" s="25">
        <v>1723.130005</v>
      </c>
      <c r="I123" s="19">
        <v>19837.160159999999</v>
      </c>
    </row>
    <row r="124" spans="1:9" x14ac:dyDescent="0.2">
      <c r="A124" s="4">
        <v>33680</v>
      </c>
      <c r="B124" s="24">
        <v>1.2622</v>
      </c>
      <c r="C124" s="25">
        <v>133.44999999999999</v>
      </c>
      <c r="D124" s="25">
        <v>7.62</v>
      </c>
      <c r="E124" s="26">
        <v>7.93</v>
      </c>
      <c r="F124" s="25">
        <v>5.42</v>
      </c>
      <c r="G124" s="25">
        <v>409.57998700000002</v>
      </c>
      <c r="H124" s="25">
        <v>1732.920044</v>
      </c>
      <c r="I124" s="19">
        <v>19917.630860000001</v>
      </c>
    </row>
    <row r="125" spans="1:9" x14ac:dyDescent="0.2">
      <c r="A125" s="4">
        <v>33681</v>
      </c>
      <c r="B125" s="24">
        <v>1.262</v>
      </c>
      <c r="C125" s="25">
        <v>132.05000000000001</v>
      </c>
      <c r="D125" s="25">
        <v>7.62</v>
      </c>
      <c r="E125" s="26">
        <v>7.91</v>
      </c>
      <c r="F125" s="25">
        <v>5.42</v>
      </c>
      <c r="G125" s="25">
        <v>409.14999399999999</v>
      </c>
      <c r="H125" s="25">
        <v>1729.8900149999999</v>
      </c>
      <c r="I125" s="19">
        <v>19764.310549999998</v>
      </c>
    </row>
    <row r="126" spans="1:9" x14ac:dyDescent="0.2">
      <c r="A126" s="4">
        <v>33682</v>
      </c>
      <c r="B126" s="24">
        <v>1.2483</v>
      </c>
      <c r="C126" s="25">
        <v>133.27000000000001</v>
      </c>
      <c r="D126" s="25">
        <v>7.57</v>
      </c>
      <c r="E126" s="26">
        <v>7.94</v>
      </c>
      <c r="F126" s="25">
        <v>5.38</v>
      </c>
      <c r="G126" s="25">
        <v>409.79998799999998</v>
      </c>
      <c r="H126" s="25">
        <v>1725.73999</v>
      </c>
      <c r="I126" s="19">
        <v>20185.089840000001</v>
      </c>
    </row>
    <row r="127" spans="1:9" x14ac:dyDescent="0.2">
      <c r="A127" s="4">
        <v>33683</v>
      </c>
      <c r="B127" s="24">
        <v>1.2383999999999999</v>
      </c>
      <c r="C127" s="25">
        <v>134.15</v>
      </c>
      <c r="D127" s="25">
        <v>7.64</v>
      </c>
      <c r="E127" s="26">
        <v>7.96</v>
      </c>
      <c r="F127" s="25">
        <v>5.38</v>
      </c>
      <c r="G127" s="25">
        <v>411.29998799999998</v>
      </c>
      <c r="H127" s="25">
        <v>1730.900024</v>
      </c>
      <c r="I127" s="19">
        <v>20185.089840000001</v>
      </c>
    </row>
    <row r="128" spans="1:9" x14ac:dyDescent="0.2">
      <c r="A128" s="4">
        <v>33686</v>
      </c>
      <c r="B128" s="24">
        <v>1.252</v>
      </c>
      <c r="C128" s="25">
        <v>133.69999999999999</v>
      </c>
      <c r="D128" s="25">
        <v>7.62</v>
      </c>
      <c r="E128" s="26">
        <v>8.0299999999999994</v>
      </c>
      <c r="F128" s="25">
        <v>5.38</v>
      </c>
      <c r="G128" s="25">
        <v>409.91000400000001</v>
      </c>
      <c r="H128" s="25">
        <v>1714.170044</v>
      </c>
      <c r="I128" s="19">
        <v>20239.599610000001</v>
      </c>
    </row>
    <row r="129" spans="1:9" x14ac:dyDescent="0.2">
      <c r="A129" s="4">
        <v>33687</v>
      </c>
      <c r="B129" s="24">
        <v>1.2516</v>
      </c>
      <c r="C129" s="25">
        <v>133.69</v>
      </c>
      <c r="D129" s="25">
        <v>7.53</v>
      </c>
      <c r="E129" s="26">
        <v>8.0399999999999991</v>
      </c>
      <c r="F129" s="25">
        <v>5.39</v>
      </c>
      <c r="G129" s="25">
        <v>408.88000499999998</v>
      </c>
      <c r="H129" s="25">
        <v>1716.1999510000001</v>
      </c>
      <c r="I129" s="19">
        <v>19891.570309999999</v>
      </c>
    </row>
    <row r="130" spans="1:9" x14ac:dyDescent="0.2">
      <c r="A130" s="4">
        <v>33688</v>
      </c>
      <c r="B130" s="24">
        <v>1.2595000000000001</v>
      </c>
      <c r="C130" s="25">
        <v>133.35</v>
      </c>
      <c r="D130" s="25">
        <v>7.53</v>
      </c>
      <c r="E130" s="26">
        <v>8.0299999999999994</v>
      </c>
      <c r="F130" s="25">
        <v>5.39</v>
      </c>
      <c r="G130" s="25">
        <v>407.51998900000001</v>
      </c>
      <c r="H130" s="25">
        <v>1719.0600589999999</v>
      </c>
      <c r="I130" s="19">
        <v>20226.779299999998</v>
      </c>
    </row>
    <row r="131" spans="1:9" x14ac:dyDescent="0.2">
      <c r="A131" s="4">
        <v>33689</v>
      </c>
      <c r="B131" s="24">
        <v>1.2575000000000001</v>
      </c>
      <c r="C131" s="25">
        <v>133.94999999999999</v>
      </c>
      <c r="D131" s="25">
        <v>7.57</v>
      </c>
      <c r="E131" s="26">
        <v>8.01</v>
      </c>
      <c r="F131" s="25">
        <v>5.38</v>
      </c>
      <c r="G131" s="25">
        <v>407.85998499999999</v>
      </c>
      <c r="H131" s="25">
        <v>1718.209961</v>
      </c>
      <c r="I131" s="19">
        <v>19885.490229999999</v>
      </c>
    </row>
    <row r="132" spans="1:9" x14ac:dyDescent="0.2">
      <c r="A132" s="4">
        <v>33690</v>
      </c>
      <c r="B132" s="24">
        <v>1.2670999999999999</v>
      </c>
      <c r="C132" s="25">
        <v>133.12</v>
      </c>
      <c r="D132" s="25">
        <v>7.54</v>
      </c>
      <c r="E132" s="26">
        <v>8.0399999999999991</v>
      </c>
      <c r="F132" s="25">
        <v>5.35</v>
      </c>
      <c r="G132" s="25">
        <v>403.5</v>
      </c>
      <c r="H132" s="25">
        <v>1698.839966</v>
      </c>
      <c r="I132" s="19">
        <v>19636.990229999999</v>
      </c>
    </row>
    <row r="133" spans="1:9" x14ac:dyDescent="0.2">
      <c r="A133" s="4">
        <v>33693</v>
      </c>
      <c r="B133" s="24">
        <v>1.2622</v>
      </c>
      <c r="C133" s="25">
        <v>133.06</v>
      </c>
      <c r="D133" s="25">
        <v>7.54</v>
      </c>
      <c r="E133" s="26">
        <v>8.0299999999999994</v>
      </c>
      <c r="F133" s="25">
        <v>5.35</v>
      </c>
      <c r="G133" s="25">
        <v>403</v>
      </c>
      <c r="H133" s="25">
        <v>1714.76001</v>
      </c>
      <c r="I133" s="19">
        <v>19669.310549999998</v>
      </c>
    </row>
    <row r="134" spans="1:9" x14ac:dyDescent="0.2">
      <c r="A134" s="4">
        <v>33694</v>
      </c>
      <c r="B134" s="24">
        <v>1.2646999999999999</v>
      </c>
      <c r="C134" s="25">
        <v>132.91999999999999</v>
      </c>
      <c r="D134" s="25">
        <v>7.54</v>
      </c>
      <c r="E134" s="26">
        <v>8</v>
      </c>
      <c r="F134" s="25">
        <v>5.38</v>
      </c>
      <c r="G134" s="25">
        <v>403.69000199999999</v>
      </c>
      <c r="H134" s="25">
        <v>1718.349976</v>
      </c>
      <c r="I134" s="19">
        <v>19345.949219999999</v>
      </c>
    </row>
    <row r="135" spans="1:9" x14ac:dyDescent="0.2">
      <c r="A135" s="4">
        <v>33695</v>
      </c>
      <c r="B135" s="24">
        <v>1.2595000000000001</v>
      </c>
      <c r="C135" s="25">
        <v>134.5</v>
      </c>
      <c r="D135" s="25">
        <v>7.46</v>
      </c>
      <c r="E135" s="26">
        <v>8.01</v>
      </c>
      <c r="F135" s="25">
        <v>5.57</v>
      </c>
      <c r="G135" s="25">
        <v>404.23001099999999</v>
      </c>
      <c r="H135" s="25">
        <v>1706.6899410000001</v>
      </c>
      <c r="I135" s="19">
        <v>18581.789059999999</v>
      </c>
    </row>
    <row r="136" spans="1:9" x14ac:dyDescent="0.2">
      <c r="A136" s="4">
        <v>33696</v>
      </c>
      <c r="B136" s="24">
        <v>1.2653000000000001</v>
      </c>
      <c r="C136" s="25">
        <v>133.83000000000001</v>
      </c>
      <c r="D136" s="25">
        <v>7.47</v>
      </c>
      <c r="E136" s="26">
        <v>8.0299999999999994</v>
      </c>
      <c r="F136" s="25">
        <v>5.68</v>
      </c>
      <c r="G136" s="25">
        <v>400.5</v>
      </c>
      <c r="H136" s="25">
        <v>1723.369995</v>
      </c>
      <c r="I136" s="19">
        <v>18286.029299999998</v>
      </c>
    </row>
    <row r="137" spans="1:9" x14ac:dyDescent="0.2">
      <c r="A137" s="4">
        <v>33697</v>
      </c>
      <c r="B137" s="24">
        <v>1.2767999999999999</v>
      </c>
      <c r="C137" s="25">
        <v>133.25</v>
      </c>
      <c r="D137" s="25">
        <v>7.42</v>
      </c>
      <c r="E137" s="26">
        <v>8.02</v>
      </c>
      <c r="F137" s="25">
        <v>5.79</v>
      </c>
      <c r="G137" s="25">
        <v>401.54998799999998</v>
      </c>
      <c r="H137" s="25">
        <v>1716.1800539999999</v>
      </c>
      <c r="I137" s="19">
        <v>18559.710940000001</v>
      </c>
    </row>
    <row r="138" spans="1:9" x14ac:dyDescent="0.2">
      <c r="A138" s="4">
        <v>33700</v>
      </c>
      <c r="B138" s="24">
        <v>1.2854000000000001</v>
      </c>
      <c r="C138" s="25">
        <v>132.72</v>
      </c>
      <c r="D138" s="25">
        <v>7.41</v>
      </c>
      <c r="E138" s="26">
        <v>7.96</v>
      </c>
      <c r="F138" s="25">
        <v>5.72</v>
      </c>
      <c r="G138" s="25">
        <v>405.58999599999999</v>
      </c>
      <c r="H138" s="25">
        <v>1738.780029</v>
      </c>
      <c r="I138" s="19">
        <v>18436.369139999999</v>
      </c>
    </row>
    <row r="139" spans="1:9" x14ac:dyDescent="0.2">
      <c r="A139" s="4">
        <v>33701</v>
      </c>
      <c r="B139" s="24">
        <v>1.2794000000000001</v>
      </c>
      <c r="C139" s="25">
        <v>133.28</v>
      </c>
      <c r="D139" s="25">
        <v>7.41</v>
      </c>
      <c r="E139" s="26">
        <v>7.94</v>
      </c>
      <c r="F139" s="25">
        <v>5.75</v>
      </c>
      <c r="G139" s="25">
        <v>398.05999800000001</v>
      </c>
      <c r="H139" s="25">
        <v>1737.410034</v>
      </c>
      <c r="I139" s="19">
        <v>17791.550780000001</v>
      </c>
    </row>
    <row r="140" spans="1:9" x14ac:dyDescent="0.2">
      <c r="A140" s="4">
        <v>33702</v>
      </c>
      <c r="B140" s="24">
        <v>1.2822</v>
      </c>
      <c r="C140" s="25">
        <v>132.6</v>
      </c>
      <c r="D140" s="25">
        <v>7.44</v>
      </c>
      <c r="E140" s="26">
        <v>7.91</v>
      </c>
      <c r="F140" s="25">
        <v>5.71</v>
      </c>
      <c r="G140" s="25">
        <v>394.5</v>
      </c>
      <c r="H140" s="25">
        <v>1714.7700199999999</v>
      </c>
      <c r="I140" s="19">
        <v>17175.529299999998</v>
      </c>
    </row>
    <row r="141" spans="1:9" x14ac:dyDescent="0.2">
      <c r="A141" s="4">
        <v>33703</v>
      </c>
      <c r="B141" s="24">
        <v>1.2745</v>
      </c>
      <c r="C141" s="25">
        <v>132.22999999999999</v>
      </c>
      <c r="D141" s="25">
        <v>7.35</v>
      </c>
      <c r="E141" s="26">
        <v>7.92</v>
      </c>
      <c r="F141" s="25">
        <v>5.74</v>
      </c>
      <c r="G141" s="25">
        <v>400.64001500000001</v>
      </c>
      <c r="H141" s="25">
        <v>1724.23999</v>
      </c>
      <c r="I141" s="19">
        <v>16598.150389999999</v>
      </c>
    </row>
    <row r="142" spans="1:9" x14ac:dyDescent="0.2">
      <c r="A142" s="4">
        <v>33704</v>
      </c>
      <c r="B142" s="24">
        <v>1.2834000000000001</v>
      </c>
      <c r="C142" s="25">
        <v>132.9</v>
      </c>
      <c r="D142" s="25">
        <v>7.37</v>
      </c>
      <c r="E142" s="26">
        <v>7.87</v>
      </c>
      <c r="F142" s="25">
        <v>5.64</v>
      </c>
      <c r="G142" s="25">
        <v>404.290009</v>
      </c>
      <c r="H142" s="25">
        <v>1733.7700199999999</v>
      </c>
      <c r="I142" s="19">
        <v>17850.660159999999</v>
      </c>
    </row>
    <row r="143" spans="1:9" x14ac:dyDescent="0.2">
      <c r="A143" s="4">
        <v>33707</v>
      </c>
      <c r="B143" s="24">
        <v>1.2636000000000001</v>
      </c>
      <c r="C143" s="25">
        <v>133.28</v>
      </c>
      <c r="D143" s="25">
        <v>7.33</v>
      </c>
      <c r="E143" s="26">
        <v>7.89</v>
      </c>
      <c r="F143" s="25">
        <v>5.68</v>
      </c>
      <c r="G143" s="25">
        <v>406.07998700000002</v>
      </c>
      <c r="H143" s="25">
        <v>1729.959961</v>
      </c>
      <c r="I143" s="19">
        <v>17236.650389999999</v>
      </c>
    </row>
    <row r="144" spans="1:9" x14ac:dyDescent="0.2">
      <c r="A144" s="4">
        <v>33708</v>
      </c>
      <c r="B144" s="24">
        <v>1.2678</v>
      </c>
      <c r="C144" s="25">
        <v>132.79</v>
      </c>
      <c r="D144" s="25">
        <v>7.35</v>
      </c>
      <c r="E144" s="26">
        <v>7.9</v>
      </c>
      <c r="F144" s="25">
        <v>5.68</v>
      </c>
      <c r="G144" s="25">
        <v>412.39001500000001</v>
      </c>
      <c r="H144" s="25">
        <v>1734.459961</v>
      </c>
      <c r="I144" s="19">
        <v>17439.58008</v>
      </c>
    </row>
    <row r="145" spans="1:9" x14ac:dyDescent="0.2">
      <c r="A145" s="4">
        <v>33709</v>
      </c>
      <c r="B145" s="24">
        <v>1.2596000000000001</v>
      </c>
      <c r="C145" s="25">
        <v>133.38999999999999</v>
      </c>
      <c r="D145" s="25">
        <v>7.37</v>
      </c>
      <c r="E145" s="26">
        <v>7.88</v>
      </c>
      <c r="F145" s="25">
        <v>5.65</v>
      </c>
      <c r="G145" s="25">
        <v>416.27999899999998</v>
      </c>
      <c r="H145" s="25">
        <v>1744.349976</v>
      </c>
      <c r="I145" s="19">
        <v>17948.009770000001</v>
      </c>
    </row>
    <row r="146" spans="1:9" x14ac:dyDescent="0.2">
      <c r="A146" s="4">
        <v>33710</v>
      </c>
      <c r="B146" s="24">
        <v>1.2514000000000001</v>
      </c>
      <c r="C146" s="25">
        <v>133.9</v>
      </c>
      <c r="D146" s="25">
        <v>7.45</v>
      </c>
      <c r="E146" s="26">
        <v>7.9</v>
      </c>
      <c r="F146" s="25">
        <v>5.66</v>
      </c>
      <c r="G146" s="25">
        <v>416.040009</v>
      </c>
      <c r="H146" s="25">
        <v>1746.880005</v>
      </c>
      <c r="I146" s="19">
        <v>17959.759770000001</v>
      </c>
    </row>
    <row r="147" spans="1:9" x14ac:dyDescent="0.2">
      <c r="A147" s="4">
        <v>33711</v>
      </c>
      <c r="B147" s="24">
        <v>1.2514000000000001</v>
      </c>
      <c r="C147" s="25">
        <v>134</v>
      </c>
      <c r="D147" s="25">
        <v>7.45</v>
      </c>
      <c r="E147" s="26">
        <v>7.9</v>
      </c>
      <c r="F147" s="25">
        <v>5.7</v>
      </c>
      <c r="G147" s="25">
        <v>409.02</v>
      </c>
      <c r="H147" s="25">
        <v>1746.880005</v>
      </c>
      <c r="I147" s="19">
        <v>17580.689450000002</v>
      </c>
    </row>
    <row r="148" spans="1:9" x14ac:dyDescent="0.2">
      <c r="A148" s="4">
        <v>33714</v>
      </c>
      <c r="B148" s="24">
        <v>1.2514000000000001</v>
      </c>
      <c r="C148" s="25">
        <v>134.5</v>
      </c>
      <c r="D148" s="25">
        <v>7.59</v>
      </c>
      <c r="E148" s="26">
        <v>7.9</v>
      </c>
      <c r="F148" s="25">
        <v>5.79</v>
      </c>
      <c r="G148" s="25">
        <v>410.17999300000002</v>
      </c>
      <c r="H148" s="25">
        <v>1746.880005</v>
      </c>
      <c r="I148" s="19">
        <v>17071.359380000002</v>
      </c>
    </row>
    <row r="149" spans="1:9" x14ac:dyDescent="0.2">
      <c r="A149" s="4">
        <v>33715</v>
      </c>
      <c r="B149" s="24">
        <v>1.2538</v>
      </c>
      <c r="C149" s="25">
        <v>134.22999999999999</v>
      </c>
      <c r="D149" s="25">
        <v>7.58</v>
      </c>
      <c r="E149" s="26">
        <v>7.93</v>
      </c>
      <c r="F149" s="25">
        <v>5.77</v>
      </c>
      <c r="G149" s="25">
        <v>410.26001000000002</v>
      </c>
      <c r="H149" s="25">
        <v>1747.469971</v>
      </c>
      <c r="I149" s="19">
        <v>16787.33008</v>
      </c>
    </row>
    <row r="150" spans="1:9" x14ac:dyDescent="0.2">
      <c r="A150" s="4">
        <v>33716</v>
      </c>
      <c r="B150" s="24">
        <v>1.2536</v>
      </c>
      <c r="C150" s="25">
        <v>134.15</v>
      </c>
      <c r="D150" s="25">
        <v>7.57</v>
      </c>
      <c r="E150" s="26">
        <v>7.93</v>
      </c>
      <c r="F150" s="25">
        <v>5.78</v>
      </c>
      <c r="G150" s="25">
        <v>409.80999800000001</v>
      </c>
      <c r="H150" s="25">
        <v>1753.099976</v>
      </c>
      <c r="I150" s="19">
        <v>16839.119139999999</v>
      </c>
    </row>
    <row r="151" spans="1:9" x14ac:dyDescent="0.2">
      <c r="A151" s="4">
        <v>33717</v>
      </c>
      <c r="B151" s="24">
        <v>1.2565999999999999</v>
      </c>
      <c r="C151" s="25">
        <v>134.53</v>
      </c>
      <c r="D151" s="25">
        <v>7.59</v>
      </c>
      <c r="E151" s="26">
        <v>7.92</v>
      </c>
      <c r="F151" s="25">
        <v>5.75</v>
      </c>
      <c r="G151" s="25">
        <v>411.60000600000001</v>
      </c>
      <c r="H151" s="25">
        <v>1745.170044</v>
      </c>
      <c r="I151" s="19">
        <v>17402.050780000001</v>
      </c>
    </row>
    <row r="152" spans="1:9" x14ac:dyDescent="0.2">
      <c r="A152" s="4">
        <v>33718</v>
      </c>
      <c r="B152" s="24">
        <v>1.2634000000000001</v>
      </c>
      <c r="C152" s="25">
        <v>134.53</v>
      </c>
      <c r="D152" s="25">
        <v>7.55</v>
      </c>
      <c r="E152" s="26">
        <v>7.98</v>
      </c>
      <c r="F152" s="25">
        <v>5.78</v>
      </c>
      <c r="G152" s="25">
        <v>409.01998900000001</v>
      </c>
      <c r="H152" s="25">
        <v>1745.719971</v>
      </c>
      <c r="I152" s="19">
        <v>17542.449219999999</v>
      </c>
    </row>
    <row r="153" spans="1:9" x14ac:dyDescent="0.2">
      <c r="A153" s="4">
        <v>33721</v>
      </c>
      <c r="B153" s="24">
        <v>1.2649999999999999</v>
      </c>
      <c r="C153" s="25">
        <v>133.13</v>
      </c>
      <c r="D153" s="25">
        <v>7.6</v>
      </c>
      <c r="E153" s="26">
        <v>8</v>
      </c>
      <c r="F153" s="25">
        <v>5.84</v>
      </c>
      <c r="G153" s="25">
        <v>408.45001200000002</v>
      </c>
      <c r="H153" s="25">
        <v>1742.920044</v>
      </c>
      <c r="I153" s="19">
        <v>17450.519530000001</v>
      </c>
    </row>
    <row r="154" spans="1:9" x14ac:dyDescent="0.2">
      <c r="A154" s="4">
        <v>33722</v>
      </c>
      <c r="B154" s="24">
        <v>1.2617</v>
      </c>
      <c r="C154" s="25">
        <v>133.33000000000001</v>
      </c>
      <c r="D154" s="25">
        <v>7.57</v>
      </c>
      <c r="E154" s="26">
        <v>7.98</v>
      </c>
      <c r="F154" s="25">
        <v>5.85</v>
      </c>
      <c r="G154" s="25">
        <v>409.10998499999999</v>
      </c>
      <c r="H154" s="25">
        <v>1731.6800539999999</v>
      </c>
      <c r="I154" s="19">
        <v>17527.400389999999</v>
      </c>
    </row>
    <row r="155" spans="1:9" x14ac:dyDescent="0.2">
      <c r="A155" s="4">
        <v>33723</v>
      </c>
      <c r="B155" s="24">
        <v>1.2612000000000001</v>
      </c>
      <c r="C155" s="25">
        <v>133.5</v>
      </c>
      <c r="D155" s="25">
        <v>7.6</v>
      </c>
      <c r="E155" s="26">
        <v>7.99</v>
      </c>
      <c r="F155" s="25">
        <v>5.85</v>
      </c>
      <c r="G155" s="25">
        <v>412.01998900000001</v>
      </c>
      <c r="H155" s="25">
        <v>1731.1800539999999</v>
      </c>
      <c r="I155" s="19">
        <v>17527.400389999999</v>
      </c>
    </row>
    <row r="156" spans="1:9" x14ac:dyDescent="0.2">
      <c r="A156" s="4">
        <v>33724</v>
      </c>
      <c r="B156" s="24">
        <v>1.2615000000000001</v>
      </c>
      <c r="C156" s="25">
        <v>133.30000000000001</v>
      </c>
      <c r="D156" s="25">
        <v>7.61</v>
      </c>
      <c r="E156" s="26">
        <v>8</v>
      </c>
      <c r="F156" s="25">
        <v>5.87</v>
      </c>
      <c r="G156" s="25">
        <v>414.95001200000002</v>
      </c>
      <c r="H156" s="25">
        <v>1728.089966</v>
      </c>
      <c r="I156" s="19">
        <v>17390.710940000001</v>
      </c>
    </row>
    <row r="157" spans="1:9" x14ac:dyDescent="0.2">
      <c r="A157" s="4">
        <v>33725</v>
      </c>
      <c r="B157" s="24">
        <v>1.2709999999999999</v>
      </c>
      <c r="C157" s="25">
        <v>132.75</v>
      </c>
      <c r="D157" s="25">
        <v>7.56</v>
      </c>
      <c r="E157" s="26">
        <v>8</v>
      </c>
      <c r="F157" s="25">
        <v>5.85</v>
      </c>
      <c r="G157" s="25">
        <v>412.52999899999998</v>
      </c>
      <c r="H157" s="25">
        <v>1728.089966</v>
      </c>
      <c r="I157" s="19">
        <v>17303.390630000002</v>
      </c>
    </row>
    <row r="158" spans="1:9" x14ac:dyDescent="0.2">
      <c r="A158" s="4">
        <v>33728</v>
      </c>
      <c r="B158" s="24">
        <v>1.2709999999999999</v>
      </c>
      <c r="C158" s="25">
        <v>132.69999999999999</v>
      </c>
      <c r="D158" s="25">
        <v>7.58</v>
      </c>
      <c r="E158" s="26">
        <v>8</v>
      </c>
      <c r="F158" s="25">
        <v>5.85</v>
      </c>
      <c r="G158" s="25">
        <v>416.91000400000001</v>
      </c>
      <c r="H158" s="25">
        <v>1731.290039</v>
      </c>
      <c r="I158" s="19">
        <v>17303.390630000002</v>
      </c>
    </row>
    <row r="159" spans="1:9" x14ac:dyDescent="0.2">
      <c r="A159" s="4">
        <v>33729</v>
      </c>
      <c r="B159" s="24">
        <v>1.2745</v>
      </c>
      <c r="C159" s="25">
        <v>133.07</v>
      </c>
      <c r="D159" s="25">
        <v>7.56</v>
      </c>
      <c r="E159" s="26">
        <v>8.0399999999999991</v>
      </c>
      <c r="F159" s="25">
        <v>5.85</v>
      </c>
      <c r="G159" s="25">
        <v>416.83999599999999</v>
      </c>
      <c r="H159" s="25">
        <v>1733.8199460000001</v>
      </c>
      <c r="I159" s="19">
        <v>17303.390630000002</v>
      </c>
    </row>
    <row r="160" spans="1:9" x14ac:dyDescent="0.2">
      <c r="A160" s="4">
        <v>33730</v>
      </c>
      <c r="B160" s="24">
        <v>1.2785</v>
      </c>
      <c r="C160" s="25">
        <v>132.5</v>
      </c>
      <c r="D160" s="25">
        <v>7.46</v>
      </c>
      <c r="E160" s="26">
        <v>8.01</v>
      </c>
      <c r="F160" s="25">
        <v>5.81</v>
      </c>
      <c r="G160" s="25">
        <v>416.790009</v>
      </c>
      <c r="H160" s="25">
        <v>1745.780029</v>
      </c>
      <c r="I160" s="19">
        <v>17878.660159999999</v>
      </c>
    </row>
    <row r="161" spans="1:9" x14ac:dyDescent="0.2">
      <c r="A161" s="4">
        <v>33731</v>
      </c>
      <c r="B161" s="24">
        <v>1.2767999999999999</v>
      </c>
      <c r="C161" s="25">
        <v>132.69999999999999</v>
      </c>
      <c r="D161" s="25">
        <v>7.49</v>
      </c>
      <c r="E161" s="26">
        <v>7.96</v>
      </c>
      <c r="F161" s="25">
        <v>5.79</v>
      </c>
      <c r="G161" s="25">
        <v>415.85000600000001</v>
      </c>
      <c r="H161" s="25">
        <v>1752.5699460000001</v>
      </c>
      <c r="I161" s="19">
        <v>18410.880860000001</v>
      </c>
    </row>
    <row r="162" spans="1:9" x14ac:dyDescent="0.2">
      <c r="A162" s="4">
        <v>33732</v>
      </c>
      <c r="B162" s="24">
        <v>1.2685999999999999</v>
      </c>
      <c r="C162" s="25">
        <v>133.4</v>
      </c>
      <c r="D162" s="25">
        <v>7.41</v>
      </c>
      <c r="E162" s="26">
        <v>7.96</v>
      </c>
      <c r="F162" s="25">
        <v>5.78</v>
      </c>
      <c r="G162" s="25">
        <v>416.04998799999998</v>
      </c>
      <c r="H162" s="25">
        <v>1748.130005</v>
      </c>
      <c r="I162" s="19">
        <v>18375.949219999999</v>
      </c>
    </row>
    <row r="163" spans="1:9" x14ac:dyDescent="0.2">
      <c r="A163" s="4">
        <v>33735</v>
      </c>
      <c r="B163" s="24">
        <v>1.2737000000000001</v>
      </c>
      <c r="C163" s="25">
        <v>133.16999999999999</v>
      </c>
      <c r="D163" s="25">
        <v>7.4</v>
      </c>
      <c r="E163" s="26">
        <v>7.97</v>
      </c>
      <c r="F163" s="25">
        <v>5.77</v>
      </c>
      <c r="G163" s="25">
        <v>418.48998999999998</v>
      </c>
      <c r="H163" s="25">
        <v>1750.6999510000001</v>
      </c>
      <c r="I163" s="19">
        <v>18608.089840000001</v>
      </c>
    </row>
    <row r="164" spans="1:9" x14ac:dyDescent="0.2">
      <c r="A164" s="4">
        <v>33736</v>
      </c>
      <c r="B164" s="24">
        <v>1.2848999999999999</v>
      </c>
      <c r="C164" s="25">
        <v>130.5</v>
      </c>
      <c r="D164" s="25">
        <v>7.36</v>
      </c>
      <c r="E164" s="26">
        <v>7.97</v>
      </c>
      <c r="F164" s="25">
        <v>5.77</v>
      </c>
      <c r="G164" s="25">
        <v>416.290009</v>
      </c>
      <c r="H164" s="25">
        <v>1747.910034</v>
      </c>
      <c r="I164" s="19">
        <v>18508.529299999998</v>
      </c>
    </row>
    <row r="165" spans="1:9" x14ac:dyDescent="0.2">
      <c r="A165" s="4">
        <v>33737</v>
      </c>
      <c r="B165" s="24">
        <v>1.2885</v>
      </c>
      <c r="C165" s="25">
        <v>130.4</v>
      </c>
      <c r="D165" s="25">
        <v>7.34</v>
      </c>
      <c r="E165" s="26">
        <v>7.95</v>
      </c>
      <c r="F165" s="25">
        <v>5.7</v>
      </c>
      <c r="G165" s="25">
        <v>416.45001200000002</v>
      </c>
      <c r="H165" s="25">
        <v>1745.790039</v>
      </c>
      <c r="I165" s="19">
        <v>18768.570309999999</v>
      </c>
    </row>
    <row r="166" spans="1:9" x14ac:dyDescent="0.2">
      <c r="A166" s="4">
        <v>33738</v>
      </c>
      <c r="B166" s="24">
        <v>1.2952999999999999</v>
      </c>
      <c r="C166" s="25">
        <v>130.19999999999999</v>
      </c>
      <c r="D166" s="25">
        <v>7.34</v>
      </c>
      <c r="E166" s="26">
        <v>7.96</v>
      </c>
      <c r="F166" s="25">
        <v>5.7</v>
      </c>
      <c r="G166" s="25">
        <v>413.14001500000001</v>
      </c>
      <c r="H166" s="25">
        <v>1735.339966</v>
      </c>
      <c r="I166" s="19">
        <v>18804.599610000001</v>
      </c>
    </row>
    <row r="167" spans="1:9" x14ac:dyDescent="0.2">
      <c r="A167" s="4">
        <v>33739</v>
      </c>
      <c r="B167" s="24">
        <v>1.3006</v>
      </c>
      <c r="C167" s="25">
        <v>130.25</v>
      </c>
      <c r="D167" s="25">
        <v>7.28</v>
      </c>
      <c r="E167" s="26">
        <v>7.99</v>
      </c>
      <c r="F167" s="25">
        <v>5.72</v>
      </c>
      <c r="G167" s="25">
        <v>410.08999599999999</v>
      </c>
      <c r="H167" s="25">
        <v>1719.920044</v>
      </c>
      <c r="I167" s="19">
        <v>18074.269530000001</v>
      </c>
    </row>
    <row r="168" spans="1:9" x14ac:dyDescent="0.2">
      <c r="A168" s="4">
        <v>33742</v>
      </c>
      <c r="B168" s="24">
        <v>1.3099000000000001</v>
      </c>
      <c r="C168" s="25">
        <v>128.80000000000001</v>
      </c>
      <c r="D168" s="25">
        <v>7.28</v>
      </c>
      <c r="E168" s="26">
        <v>7.95</v>
      </c>
      <c r="F168" s="25">
        <v>5.71</v>
      </c>
      <c r="G168" s="25">
        <v>412.80999800000001</v>
      </c>
      <c r="H168" s="25">
        <v>1763.589966</v>
      </c>
      <c r="I168" s="19">
        <v>18443.099610000001</v>
      </c>
    </row>
    <row r="169" spans="1:9" x14ac:dyDescent="0.2">
      <c r="A169" s="4">
        <v>33743</v>
      </c>
      <c r="B169" s="24">
        <v>1.3131999999999999</v>
      </c>
      <c r="C169" s="25">
        <v>129.1</v>
      </c>
      <c r="D169" s="25">
        <v>7.2</v>
      </c>
      <c r="E169" s="26">
        <v>7.95</v>
      </c>
      <c r="F169" s="25">
        <v>5.68</v>
      </c>
      <c r="G169" s="25">
        <v>416.36999500000002</v>
      </c>
      <c r="H169" s="25">
        <v>1766.76001</v>
      </c>
      <c r="I169" s="19">
        <v>18754.109380000002</v>
      </c>
    </row>
    <row r="170" spans="1:9" x14ac:dyDescent="0.2">
      <c r="A170" s="4">
        <v>33744</v>
      </c>
      <c r="B170" s="24">
        <v>1.3062</v>
      </c>
      <c r="C170" s="25">
        <v>129.58000000000001</v>
      </c>
      <c r="D170" s="25">
        <v>7.25</v>
      </c>
      <c r="E170" s="26">
        <v>7.94</v>
      </c>
      <c r="F170" s="25">
        <v>5.65</v>
      </c>
      <c r="G170" s="25">
        <v>415.39001500000001</v>
      </c>
      <c r="H170" s="25">
        <v>1785.400024</v>
      </c>
      <c r="I170" s="19">
        <v>18674.929690000001</v>
      </c>
    </row>
    <row r="171" spans="1:9" x14ac:dyDescent="0.2">
      <c r="A171" s="4">
        <v>33745</v>
      </c>
      <c r="B171" s="24">
        <v>1.2949999999999999</v>
      </c>
      <c r="C171" s="25">
        <v>130.25</v>
      </c>
      <c r="D171" s="25">
        <v>7.39</v>
      </c>
      <c r="E171" s="26">
        <v>7.94</v>
      </c>
      <c r="F171" s="25">
        <v>5.67</v>
      </c>
      <c r="G171" s="25">
        <v>412.60000600000001</v>
      </c>
      <c r="H171" s="25">
        <v>1783.5600589999999</v>
      </c>
      <c r="I171" s="19">
        <v>18691.289059999999</v>
      </c>
    </row>
    <row r="172" spans="1:9" x14ac:dyDescent="0.2">
      <c r="A172" s="4">
        <v>33746</v>
      </c>
      <c r="B172" s="24">
        <v>1.2922</v>
      </c>
      <c r="C172" s="25">
        <v>129.4</v>
      </c>
      <c r="D172" s="25">
        <v>7.35</v>
      </c>
      <c r="E172" s="26">
        <v>7.92</v>
      </c>
      <c r="F172" s="25">
        <v>5.7</v>
      </c>
      <c r="G172" s="25">
        <v>414.01998900000001</v>
      </c>
      <c r="H172" s="25">
        <v>1804.420044</v>
      </c>
      <c r="I172" s="19">
        <v>18221</v>
      </c>
    </row>
    <row r="173" spans="1:9" x14ac:dyDescent="0.2">
      <c r="A173" s="4">
        <v>33749</v>
      </c>
      <c r="B173" s="24">
        <v>1.2922</v>
      </c>
      <c r="C173" s="25">
        <v>129.15</v>
      </c>
      <c r="D173" s="25">
        <v>7.35</v>
      </c>
      <c r="E173" s="26">
        <v>7.93</v>
      </c>
      <c r="F173" s="25">
        <v>5.69</v>
      </c>
      <c r="G173" s="25">
        <v>417.3</v>
      </c>
      <c r="H173" s="25">
        <v>1812.329956</v>
      </c>
      <c r="I173" s="19">
        <v>18555</v>
      </c>
    </row>
    <row r="174" spans="1:9" x14ac:dyDescent="0.2">
      <c r="A174" s="4">
        <v>33750</v>
      </c>
      <c r="B174" s="24">
        <v>1.2974000000000001</v>
      </c>
      <c r="C174" s="25">
        <v>129.33000000000001</v>
      </c>
      <c r="D174" s="25">
        <v>7.46</v>
      </c>
      <c r="E174" s="26">
        <v>7.92</v>
      </c>
      <c r="F174" s="25">
        <v>5.71</v>
      </c>
      <c r="G174" s="25">
        <v>411.41000400000001</v>
      </c>
      <c r="H174" s="25">
        <v>1799.51001</v>
      </c>
      <c r="I174" s="19">
        <v>18204.640630000002</v>
      </c>
    </row>
    <row r="175" spans="1:9" x14ac:dyDescent="0.2">
      <c r="A175" s="4">
        <v>33751</v>
      </c>
      <c r="B175" s="24">
        <v>1.2801</v>
      </c>
      <c r="C175" s="25">
        <v>129.94999999999999</v>
      </c>
      <c r="D175" s="25">
        <v>7.44</v>
      </c>
      <c r="E175" s="26">
        <v>7.95</v>
      </c>
      <c r="F175" s="25">
        <v>5.77</v>
      </c>
      <c r="G175" s="25">
        <v>412.17001299999998</v>
      </c>
      <c r="H175" s="25">
        <v>1792.8000489999999</v>
      </c>
      <c r="I175" s="19">
        <v>17822.560549999998</v>
      </c>
    </row>
    <row r="176" spans="1:9" x14ac:dyDescent="0.2">
      <c r="A176" s="4">
        <v>33752</v>
      </c>
      <c r="B176" s="24">
        <v>1.2844</v>
      </c>
      <c r="C176" s="25">
        <v>129.62</v>
      </c>
      <c r="D176" s="25">
        <v>7.36</v>
      </c>
      <c r="E176" s="26">
        <v>7.95</v>
      </c>
      <c r="F176" s="25">
        <v>5.75</v>
      </c>
      <c r="G176" s="25">
        <v>416.73998999999998</v>
      </c>
      <c r="H176" s="25">
        <v>1792.8000489999999</v>
      </c>
      <c r="I176" s="19">
        <v>17931.25</v>
      </c>
    </row>
    <row r="177" spans="1:9" x14ac:dyDescent="0.2">
      <c r="A177" s="4">
        <v>33753</v>
      </c>
      <c r="B177" s="24">
        <v>1.3028999999999999</v>
      </c>
      <c r="C177" s="25">
        <v>127.75</v>
      </c>
      <c r="D177" s="25">
        <v>7.33</v>
      </c>
      <c r="E177" s="26">
        <v>7.93</v>
      </c>
      <c r="F177" s="25">
        <v>5.7</v>
      </c>
      <c r="G177" s="25">
        <v>415.35000600000001</v>
      </c>
      <c r="H177" s="25">
        <v>1806.3599850000001</v>
      </c>
      <c r="I177" s="19">
        <v>18347.75</v>
      </c>
    </row>
    <row r="178" spans="1:9" x14ac:dyDescent="0.2">
      <c r="A178" s="4">
        <v>33756</v>
      </c>
      <c r="B178" s="24">
        <v>1.2988999999999999</v>
      </c>
      <c r="C178" s="25">
        <v>127.45</v>
      </c>
      <c r="D178" s="25">
        <v>7.39</v>
      </c>
      <c r="E178" s="26">
        <v>8.06</v>
      </c>
      <c r="F178" s="25">
        <v>5.69</v>
      </c>
      <c r="G178" s="25">
        <v>417.29998799999998</v>
      </c>
      <c r="H178" s="25">
        <v>1798.2299800000001</v>
      </c>
      <c r="I178" s="19">
        <v>18004.109380000002</v>
      </c>
    </row>
    <row r="179" spans="1:9" x14ac:dyDescent="0.2">
      <c r="A179" s="4">
        <v>33757</v>
      </c>
      <c r="B179" s="24">
        <v>1.3010999999999999</v>
      </c>
      <c r="C179" s="25">
        <v>127.53</v>
      </c>
      <c r="D179" s="25">
        <v>7.35</v>
      </c>
      <c r="E179" s="26">
        <v>8.08</v>
      </c>
      <c r="F179" s="25">
        <v>5.72</v>
      </c>
      <c r="G179" s="25">
        <v>413.5</v>
      </c>
      <c r="H179" s="25">
        <v>1800.619995</v>
      </c>
      <c r="I179" s="19">
        <v>18125.550780000001</v>
      </c>
    </row>
    <row r="180" spans="1:9" x14ac:dyDescent="0.2">
      <c r="A180" s="4">
        <v>33758</v>
      </c>
      <c r="B180" s="24">
        <v>1.2989999999999999</v>
      </c>
      <c r="C180" s="25">
        <v>127.8</v>
      </c>
      <c r="D180" s="25">
        <v>7.34</v>
      </c>
      <c r="E180" s="26">
        <v>8.09</v>
      </c>
      <c r="F180" s="25">
        <v>5.69</v>
      </c>
      <c r="G180" s="25">
        <v>414.58999599999999</v>
      </c>
      <c r="H180" s="25">
        <v>1786.1899410000001</v>
      </c>
      <c r="I180" s="19">
        <v>18188.679690000001</v>
      </c>
    </row>
    <row r="181" spans="1:9" x14ac:dyDescent="0.2">
      <c r="A181" s="4">
        <v>33759</v>
      </c>
      <c r="B181" s="24">
        <v>1.304</v>
      </c>
      <c r="C181" s="25">
        <v>127.57</v>
      </c>
      <c r="D181" s="25">
        <v>7.34</v>
      </c>
      <c r="E181" s="26">
        <v>8.11</v>
      </c>
      <c r="F181" s="25">
        <v>5.7</v>
      </c>
      <c r="G181" s="25">
        <v>413.26001000000002</v>
      </c>
      <c r="H181" s="25">
        <v>1791.349976</v>
      </c>
      <c r="I181" s="19">
        <v>17964.070309999999</v>
      </c>
    </row>
    <row r="182" spans="1:9" x14ac:dyDescent="0.2">
      <c r="A182" s="4">
        <v>33760</v>
      </c>
      <c r="B182" s="24">
        <v>1.3127</v>
      </c>
      <c r="C182" s="25">
        <v>126.8</v>
      </c>
      <c r="D182" s="25">
        <v>7.31</v>
      </c>
      <c r="E182" s="26">
        <v>8.1</v>
      </c>
      <c r="F182" s="25">
        <v>5.7</v>
      </c>
      <c r="G182" s="25">
        <v>413.48001099999999</v>
      </c>
      <c r="H182" s="25">
        <v>1789.0500489999999</v>
      </c>
      <c r="I182" s="19">
        <v>17790.039059999999</v>
      </c>
    </row>
    <row r="183" spans="1:9" x14ac:dyDescent="0.2">
      <c r="A183" s="4">
        <v>33763</v>
      </c>
      <c r="B183" s="24">
        <v>1.3110999999999999</v>
      </c>
      <c r="C183" s="25">
        <v>127.2</v>
      </c>
      <c r="D183" s="25">
        <v>7.31</v>
      </c>
      <c r="E183" s="26">
        <v>8.1</v>
      </c>
      <c r="F183" s="25">
        <v>5.72</v>
      </c>
      <c r="G183" s="25">
        <v>413.35998499999999</v>
      </c>
      <c r="H183" s="25">
        <v>1789.0500489999999</v>
      </c>
      <c r="I183" s="19">
        <v>17655.060549999998</v>
      </c>
    </row>
    <row r="184" spans="1:9" x14ac:dyDescent="0.2">
      <c r="A184" s="4">
        <v>33764</v>
      </c>
      <c r="B184" s="24">
        <v>1.3117000000000001</v>
      </c>
      <c r="C184" s="25">
        <v>127.55</v>
      </c>
      <c r="D184" s="25">
        <v>7.33</v>
      </c>
      <c r="E184" s="26">
        <v>8.07</v>
      </c>
      <c r="F184" s="25">
        <v>5.72</v>
      </c>
      <c r="G184" s="25">
        <v>410.05999800000001</v>
      </c>
      <c r="H184" s="25">
        <v>1784.709961</v>
      </c>
      <c r="I184" s="19">
        <v>17845.039059999999</v>
      </c>
    </row>
    <row r="185" spans="1:9" x14ac:dyDescent="0.2">
      <c r="A185" s="4">
        <v>33765</v>
      </c>
      <c r="B185" s="24">
        <v>1.3103</v>
      </c>
      <c r="C185" s="25">
        <v>127.65</v>
      </c>
      <c r="D185" s="25">
        <v>7.35</v>
      </c>
      <c r="E185" s="26">
        <v>8.08</v>
      </c>
      <c r="F185" s="25">
        <v>5.73</v>
      </c>
      <c r="G185" s="25">
        <v>407.25</v>
      </c>
      <c r="H185" s="25">
        <v>1789.4499510000001</v>
      </c>
      <c r="I185" s="19">
        <v>17742.869139999999</v>
      </c>
    </row>
    <row r="186" spans="1:9" x14ac:dyDescent="0.2">
      <c r="A186" s="4">
        <v>33766</v>
      </c>
      <c r="B186" s="24">
        <v>1.3213999999999999</v>
      </c>
      <c r="C186" s="25">
        <v>126.75</v>
      </c>
      <c r="D186" s="25">
        <v>7.33</v>
      </c>
      <c r="E186" s="26">
        <v>8.1</v>
      </c>
      <c r="F186" s="25">
        <v>5.71</v>
      </c>
      <c r="G186" s="25">
        <v>409.04998799999998</v>
      </c>
      <c r="H186" s="25">
        <v>1779.73999</v>
      </c>
      <c r="I186" s="19">
        <v>17709.050780000001</v>
      </c>
    </row>
    <row r="187" spans="1:9" x14ac:dyDescent="0.2">
      <c r="A187" s="4">
        <v>33767</v>
      </c>
      <c r="B187" s="24">
        <v>1.3226</v>
      </c>
      <c r="C187" s="25">
        <v>126.65</v>
      </c>
      <c r="D187" s="25">
        <v>7.29</v>
      </c>
      <c r="E187" s="26">
        <v>8.09</v>
      </c>
      <c r="F187" s="25">
        <v>5.71</v>
      </c>
      <c r="G187" s="25">
        <v>409.76001000000002</v>
      </c>
      <c r="H187" s="25">
        <v>1786.969971</v>
      </c>
      <c r="I187" s="19">
        <v>17383.679690000001</v>
      </c>
    </row>
    <row r="188" spans="1:9" x14ac:dyDescent="0.2">
      <c r="A188" s="4">
        <v>33770</v>
      </c>
      <c r="B188" s="24">
        <v>1.3287</v>
      </c>
      <c r="C188" s="25">
        <v>126.8</v>
      </c>
      <c r="D188" s="25">
        <v>7.28</v>
      </c>
      <c r="E188" s="26">
        <v>8.11</v>
      </c>
      <c r="F188" s="25">
        <v>5.71</v>
      </c>
      <c r="G188" s="25">
        <v>410.290009</v>
      </c>
      <c r="H188" s="25">
        <v>1773.25</v>
      </c>
      <c r="I188" s="19">
        <v>16953.230469999999</v>
      </c>
    </row>
    <row r="189" spans="1:9" x14ac:dyDescent="0.2">
      <c r="A189" s="4">
        <v>33771</v>
      </c>
      <c r="B189" s="24">
        <v>1.3282</v>
      </c>
      <c r="C189" s="25">
        <v>126.7</v>
      </c>
      <c r="D189" s="25">
        <v>7.24</v>
      </c>
      <c r="E189" s="26">
        <v>8.1199999999999992</v>
      </c>
      <c r="F189" s="25">
        <v>5.71</v>
      </c>
      <c r="G189" s="25">
        <v>408.32000699999998</v>
      </c>
      <c r="H189" s="25">
        <v>1781.619995</v>
      </c>
      <c r="I189" s="19">
        <v>16953.529299999998</v>
      </c>
    </row>
    <row r="190" spans="1:9" x14ac:dyDescent="0.2">
      <c r="A190" s="4">
        <v>33772</v>
      </c>
      <c r="B190" s="24">
        <v>1.3255999999999999</v>
      </c>
      <c r="C190" s="25">
        <v>127.05</v>
      </c>
      <c r="D190" s="25">
        <v>7.23</v>
      </c>
      <c r="E190" s="26">
        <v>8.1199999999999992</v>
      </c>
      <c r="F190" s="25">
        <v>5.65</v>
      </c>
      <c r="G190" s="25">
        <v>402.26001000000002</v>
      </c>
      <c r="H190" s="25">
        <v>1773.75</v>
      </c>
      <c r="I190" s="19">
        <v>16445.800780000001</v>
      </c>
    </row>
    <row r="191" spans="1:9" x14ac:dyDescent="0.2">
      <c r="A191" s="4">
        <v>33773</v>
      </c>
      <c r="B191" s="24">
        <v>1.3326</v>
      </c>
      <c r="C191" s="25">
        <v>126.65</v>
      </c>
      <c r="D191" s="25">
        <v>7.19</v>
      </c>
      <c r="E191" s="26">
        <v>8.1199999999999992</v>
      </c>
      <c r="F191" s="25">
        <v>5.64</v>
      </c>
      <c r="G191" s="25">
        <v>400.959991</v>
      </c>
      <c r="H191" s="25">
        <v>1773.75</v>
      </c>
      <c r="I191" s="19">
        <v>16045.559569999999</v>
      </c>
    </row>
    <row r="192" spans="1:9" x14ac:dyDescent="0.2">
      <c r="A192" s="4">
        <v>33774</v>
      </c>
      <c r="B192" s="24">
        <v>1.3305</v>
      </c>
      <c r="C192" s="25">
        <v>126.93</v>
      </c>
      <c r="D192" s="25">
        <v>7.24</v>
      </c>
      <c r="E192" s="26">
        <v>8.1199999999999992</v>
      </c>
      <c r="F192" s="25">
        <v>5.62</v>
      </c>
      <c r="G192" s="25">
        <v>403.67001299999998</v>
      </c>
      <c r="H192" s="25">
        <v>1776.339966</v>
      </c>
      <c r="I192" s="19">
        <v>16519.869139999999</v>
      </c>
    </row>
    <row r="193" spans="1:9" x14ac:dyDescent="0.2">
      <c r="A193" s="4">
        <v>33777</v>
      </c>
      <c r="B193" s="24">
        <v>1.3313999999999999</v>
      </c>
      <c r="C193" s="25">
        <v>127.1</v>
      </c>
      <c r="D193" s="25">
        <v>7.24</v>
      </c>
      <c r="E193" s="26">
        <v>8.14</v>
      </c>
      <c r="F193" s="25">
        <v>5.61</v>
      </c>
      <c r="G193" s="25">
        <v>403.39999399999999</v>
      </c>
      <c r="H193" s="25">
        <v>1770.719971</v>
      </c>
      <c r="I193" s="19">
        <v>15921.219730000001</v>
      </c>
    </row>
    <row r="194" spans="1:9" x14ac:dyDescent="0.2">
      <c r="A194" s="4">
        <v>33778</v>
      </c>
      <c r="B194" s="24">
        <v>1.3323</v>
      </c>
      <c r="C194" s="25">
        <v>127.23</v>
      </c>
      <c r="D194" s="25">
        <v>7.25</v>
      </c>
      <c r="E194" s="26">
        <v>8.18</v>
      </c>
      <c r="F194" s="25">
        <v>5.62</v>
      </c>
      <c r="G194" s="25">
        <v>404.040009</v>
      </c>
      <c r="H194" s="25">
        <v>1772.3900149999999</v>
      </c>
      <c r="I194" s="19">
        <v>16106.990229999999</v>
      </c>
    </row>
    <row r="195" spans="1:9" x14ac:dyDescent="0.2">
      <c r="A195" s="4">
        <v>33779</v>
      </c>
      <c r="B195" s="24">
        <v>1.3446</v>
      </c>
      <c r="C195" s="25">
        <v>126.68</v>
      </c>
      <c r="D195" s="25">
        <v>7.2</v>
      </c>
      <c r="E195" s="26">
        <v>8.18</v>
      </c>
      <c r="F195" s="25">
        <v>5.59</v>
      </c>
      <c r="G195" s="25">
        <v>403.83999599999999</v>
      </c>
      <c r="H195" s="25">
        <v>1762.5500489999999</v>
      </c>
      <c r="I195" s="19">
        <v>15853.66992</v>
      </c>
    </row>
    <row r="196" spans="1:9" x14ac:dyDescent="0.2">
      <c r="A196" s="4">
        <v>33780</v>
      </c>
      <c r="B196" s="24">
        <v>1.355</v>
      </c>
      <c r="C196" s="25">
        <v>125.45</v>
      </c>
      <c r="D196" s="25">
        <v>7.14</v>
      </c>
      <c r="E196" s="26">
        <v>8.18</v>
      </c>
      <c r="F196" s="25">
        <v>5.58</v>
      </c>
      <c r="G196" s="25">
        <v>403.11999500000002</v>
      </c>
      <c r="H196" s="25">
        <v>1764.349976</v>
      </c>
      <c r="I196" s="19">
        <v>16143.719730000001</v>
      </c>
    </row>
    <row r="197" spans="1:9" x14ac:dyDescent="0.2">
      <c r="A197" s="4">
        <v>33781</v>
      </c>
      <c r="B197" s="24">
        <v>1.3585</v>
      </c>
      <c r="C197" s="25">
        <v>125.72</v>
      </c>
      <c r="D197" s="25">
        <v>7.15</v>
      </c>
      <c r="E197" s="26">
        <v>8.18</v>
      </c>
      <c r="F197" s="25">
        <v>5.53</v>
      </c>
      <c r="G197" s="25">
        <v>403.45001200000002</v>
      </c>
      <c r="H197" s="25">
        <v>1752.829956</v>
      </c>
      <c r="I197" s="19">
        <v>15812.73047</v>
      </c>
    </row>
    <row r="198" spans="1:9" x14ac:dyDescent="0.2">
      <c r="A198" s="4">
        <v>33784</v>
      </c>
      <c r="B198" s="24">
        <v>1.3737999999999999</v>
      </c>
      <c r="C198" s="25">
        <v>125.25</v>
      </c>
      <c r="D198" s="25">
        <v>7.12</v>
      </c>
      <c r="E198" s="26">
        <v>8.18</v>
      </c>
      <c r="F198" s="25">
        <v>5.54</v>
      </c>
      <c r="G198" s="25">
        <v>408.94000199999999</v>
      </c>
      <c r="H198" s="25">
        <v>1755.9799800000001</v>
      </c>
      <c r="I198" s="19">
        <v>15741.26953</v>
      </c>
    </row>
    <row r="199" spans="1:9" x14ac:dyDescent="0.2">
      <c r="A199" s="4">
        <v>33785</v>
      </c>
      <c r="B199" s="24">
        <v>1.3694999999999999</v>
      </c>
      <c r="C199" s="25">
        <v>125.87</v>
      </c>
      <c r="D199" s="25">
        <v>7.14</v>
      </c>
      <c r="E199" s="26">
        <v>8.17</v>
      </c>
      <c r="F199" s="25">
        <v>5.52</v>
      </c>
      <c r="G199" s="25">
        <v>408.14001500000001</v>
      </c>
      <c r="H199" s="25">
        <v>1754.9499510000001</v>
      </c>
      <c r="I199" s="19">
        <v>15951.73047</v>
      </c>
    </row>
    <row r="200" spans="1:9" x14ac:dyDescent="0.2">
      <c r="A200" s="4">
        <v>33786</v>
      </c>
      <c r="B200" s="24">
        <v>1.3774</v>
      </c>
      <c r="C200" s="25">
        <v>124.92</v>
      </c>
      <c r="D200" s="25">
        <v>7.1</v>
      </c>
      <c r="E200" s="26">
        <v>8.17</v>
      </c>
      <c r="F200" s="25">
        <v>5.51</v>
      </c>
      <c r="G200" s="25">
        <v>412.88000499999998</v>
      </c>
      <c r="H200" s="25">
        <v>1759.900024</v>
      </c>
      <c r="I200" s="19">
        <v>16325.070309999999</v>
      </c>
    </row>
    <row r="201" spans="1:9" x14ac:dyDescent="0.2">
      <c r="A201" s="4">
        <v>33787</v>
      </c>
      <c r="B201" s="24">
        <v>1.3779999999999999</v>
      </c>
      <c r="C201" s="25">
        <v>124.6</v>
      </c>
      <c r="D201" s="25">
        <v>6.93</v>
      </c>
      <c r="E201" s="26">
        <v>8.15</v>
      </c>
      <c r="F201" s="25">
        <v>5.49</v>
      </c>
      <c r="G201" s="25">
        <v>411.76998900000001</v>
      </c>
      <c r="H201" s="25">
        <v>1759.839966</v>
      </c>
      <c r="I201" s="19">
        <v>16757.630860000001</v>
      </c>
    </row>
    <row r="202" spans="1:9" x14ac:dyDescent="0.2">
      <c r="A202" s="4">
        <v>33788</v>
      </c>
      <c r="B202" s="24">
        <v>1.3733</v>
      </c>
      <c r="C202" s="25">
        <v>124.8</v>
      </c>
      <c r="D202" s="25">
        <v>6.93</v>
      </c>
      <c r="E202" s="26">
        <v>8.1</v>
      </c>
      <c r="F202" s="25">
        <v>5.5</v>
      </c>
      <c r="G202" s="25">
        <v>414.62</v>
      </c>
      <c r="H202" s="25">
        <v>1776.5</v>
      </c>
      <c r="I202" s="19">
        <v>16717.779299999998</v>
      </c>
    </row>
    <row r="203" spans="1:9" x14ac:dyDescent="0.2">
      <c r="A203" s="4">
        <v>33791</v>
      </c>
      <c r="B203" s="24">
        <v>1.3779999999999999</v>
      </c>
      <c r="C203" s="25">
        <v>124.55</v>
      </c>
      <c r="D203" s="25">
        <v>6.9</v>
      </c>
      <c r="E203" s="26">
        <v>8.11</v>
      </c>
      <c r="F203" s="25">
        <v>5.44</v>
      </c>
      <c r="G203" s="25">
        <v>413.83999599999999</v>
      </c>
      <c r="H203" s="25">
        <v>1769.9799800000001</v>
      </c>
      <c r="I203" s="19">
        <v>16657.070309999999</v>
      </c>
    </row>
    <row r="204" spans="1:9" x14ac:dyDescent="0.2">
      <c r="A204" s="4">
        <v>33792</v>
      </c>
      <c r="B204" s="24">
        <v>1.3900999999999999</v>
      </c>
      <c r="C204" s="25">
        <v>124.42</v>
      </c>
      <c r="D204" s="25">
        <v>6.87</v>
      </c>
      <c r="E204" s="26">
        <v>8.1</v>
      </c>
      <c r="F204" s="25">
        <v>5.47</v>
      </c>
      <c r="G204" s="25">
        <v>409.16000400000001</v>
      </c>
      <c r="H204" s="25">
        <v>1766.9799800000001</v>
      </c>
      <c r="I204" s="19">
        <v>16459.550780000001</v>
      </c>
    </row>
    <row r="205" spans="1:9" x14ac:dyDescent="0.2">
      <c r="A205" s="4">
        <v>33793</v>
      </c>
      <c r="B205" s="24">
        <v>1.3955</v>
      </c>
      <c r="C205" s="25">
        <v>124.85</v>
      </c>
      <c r="D205" s="25">
        <v>6.91</v>
      </c>
      <c r="E205" s="26">
        <v>8.11</v>
      </c>
      <c r="F205" s="25">
        <v>5.45</v>
      </c>
      <c r="G205" s="25">
        <v>410.27999899999998</v>
      </c>
      <c r="H205" s="25">
        <v>1752.290039</v>
      </c>
      <c r="I205" s="19">
        <v>16600.259770000001</v>
      </c>
    </row>
    <row r="206" spans="1:9" x14ac:dyDescent="0.2">
      <c r="A206" s="4">
        <v>33794</v>
      </c>
      <c r="B206" s="24">
        <v>1.3831</v>
      </c>
      <c r="C206" s="25">
        <v>125.8</v>
      </c>
      <c r="D206" s="25">
        <v>6.91</v>
      </c>
      <c r="E206" s="26">
        <v>8.11</v>
      </c>
      <c r="F206" s="25">
        <v>5.44</v>
      </c>
      <c r="G206" s="25">
        <v>414.23001099999999</v>
      </c>
      <c r="H206" s="25">
        <v>1760.170044</v>
      </c>
      <c r="I206" s="19">
        <v>16848.660159999999</v>
      </c>
    </row>
    <row r="207" spans="1:9" x14ac:dyDescent="0.2">
      <c r="A207" s="4">
        <v>33795</v>
      </c>
      <c r="B207" s="24">
        <v>1.3919999999999999</v>
      </c>
      <c r="C207" s="25">
        <v>125.4</v>
      </c>
      <c r="D207" s="25">
        <v>6.93</v>
      </c>
      <c r="E207" s="26">
        <v>8.11</v>
      </c>
      <c r="F207" s="25">
        <v>5.44</v>
      </c>
      <c r="G207" s="25">
        <v>414.61999500000002</v>
      </c>
      <c r="H207" s="25">
        <v>1750.3199460000001</v>
      </c>
      <c r="I207" s="19">
        <v>16783.720700000002</v>
      </c>
    </row>
    <row r="208" spans="1:9" x14ac:dyDescent="0.2">
      <c r="A208" s="4">
        <v>33798</v>
      </c>
      <c r="B208" s="24">
        <v>1.4060999999999999</v>
      </c>
      <c r="C208" s="25">
        <v>124.95</v>
      </c>
      <c r="D208" s="25">
        <v>6.97</v>
      </c>
      <c r="E208" s="26">
        <v>8.17</v>
      </c>
      <c r="F208" s="25">
        <v>5.45</v>
      </c>
      <c r="G208" s="25">
        <v>414.86999500000002</v>
      </c>
      <c r="H208" s="25">
        <v>1731.4399410000001</v>
      </c>
      <c r="I208" s="19">
        <v>17201.730469999999</v>
      </c>
    </row>
    <row r="209" spans="1:9" x14ac:dyDescent="0.2">
      <c r="A209" s="4">
        <v>33799</v>
      </c>
      <c r="B209" s="24">
        <v>1.4008</v>
      </c>
      <c r="C209" s="25">
        <v>125.3</v>
      </c>
      <c r="D209" s="25">
        <v>6.97</v>
      </c>
      <c r="E209" s="26">
        <v>8.15</v>
      </c>
      <c r="F209" s="25">
        <v>5.43</v>
      </c>
      <c r="G209" s="25">
        <v>417.67999300000002</v>
      </c>
      <c r="H209" s="25">
        <v>1735.51001</v>
      </c>
      <c r="I209" s="19">
        <v>17064.630860000001</v>
      </c>
    </row>
    <row r="210" spans="1:9" x14ac:dyDescent="0.2">
      <c r="A210" s="4">
        <v>33800</v>
      </c>
      <c r="B210" s="24">
        <v>1.4087000000000001</v>
      </c>
      <c r="C210" s="25">
        <v>125</v>
      </c>
      <c r="D210" s="25">
        <v>6.9</v>
      </c>
      <c r="E210" s="26">
        <v>8.15</v>
      </c>
      <c r="F210" s="25">
        <v>5.42</v>
      </c>
      <c r="G210" s="25">
        <v>417.10000600000001</v>
      </c>
      <c r="H210" s="25">
        <v>1733.839966</v>
      </c>
      <c r="I210" s="19">
        <v>17116.91992</v>
      </c>
    </row>
    <row r="211" spans="1:9" x14ac:dyDescent="0.2">
      <c r="A211" s="4">
        <v>33801</v>
      </c>
      <c r="B211" s="24">
        <v>1.4097999999999999</v>
      </c>
      <c r="C211" s="25">
        <v>125.45</v>
      </c>
      <c r="D211" s="25">
        <v>6.87</v>
      </c>
      <c r="E211" s="26">
        <v>8.14</v>
      </c>
      <c r="F211" s="25">
        <v>5.42</v>
      </c>
      <c r="G211" s="25">
        <v>417.540009</v>
      </c>
      <c r="H211" s="25">
        <v>1730.780029</v>
      </c>
      <c r="I211" s="19">
        <v>16987.660159999999</v>
      </c>
    </row>
    <row r="212" spans="1:9" x14ac:dyDescent="0.2">
      <c r="A212" s="4">
        <v>33802</v>
      </c>
      <c r="B212" s="24">
        <v>1.4218999999999999</v>
      </c>
      <c r="C212" s="25">
        <v>124.55</v>
      </c>
      <c r="D212" s="25">
        <v>6.9</v>
      </c>
      <c r="E212" s="26">
        <v>8.16</v>
      </c>
      <c r="F212" s="25">
        <v>5.4050000000000002</v>
      </c>
      <c r="G212" s="25">
        <v>415.61999500000002</v>
      </c>
      <c r="H212" s="25">
        <v>1699.459961</v>
      </c>
      <c r="I212" s="19">
        <v>16548.070309999999</v>
      </c>
    </row>
    <row r="213" spans="1:9" x14ac:dyDescent="0.2">
      <c r="A213" s="4">
        <v>33805</v>
      </c>
      <c r="B213" s="24">
        <v>1.4015</v>
      </c>
      <c r="C213" s="25">
        <v>125.25</v>
      </c>
      <c r="D213" s="25">
        <v>6.9</v>
      </c>
      <c r="E213" s="26">
        <v>8.2200000000000006</v>
      </c>
      <c r="F213" s="25">
        <v>5.4050000000000002</v>
      </c>
      <c r="G213" s="25">
        <v>413.75</v>
      </c>
      <c r="H213" s="25">
        <v>1652.709961</v>
      </c>
      <c r="I213" s="19">
        <v>15884.48047</v>
      </c>
    </row>
    <row r="214" spans="1:9" x14ac:dyDescent="0.2">
      <c r="A214" s="4">
        <v>33806</v>
      </c>
      <c r="B214" s="24">
        <v>1.397</v>
      </c>
      <c r="C214" s="25">
        <v>125.3</v>
      </c>
      <c r="D214" s="25">
        <v>6.89</v>
      </c>
      <c r="E214" s="26">
        <v>8.14</v>
      </c>
      <c r="F214" s="25">
        <v>5.4050000000000002</v>
      </c>
      <c r="G214" s="25">
        <v>413.76001000000002</v>
      </c>
      <c r="H214" s="25">
        <v>1654.089966</v>
      </c>
      <c r="I214" s="19">
        <v>16002.410159999999</v>
      </c>
    </row>
    <row r="215" spans="1:9" x14ac:dyDescent="0.2">
      <c r="A215" s="4">
        <v>33807</v>
      </c>
      <c r="B215" s="24">
        <v>1.3976</v>
      </c>
      <c r="C215" s="25">
        <v>126.9</v>
      </c>
      <c r="D215" s="25">
        <v>6.85</v>
      </c>
      <c r="E215" s="26">
        <v>8.15</v>
      </c>
      <c r="F215" s="25">
        <v>5.31</v>
      </c>
      <c r="G215" s="25">
        <v>410.92999300000002</v>
      </c>
      <c r="H215" s="25">
        <v>1636.8100589999999</v>
      </c>
      <c r="I215" s="19">
        <v>15541.950199999999</v>
      </c>
    </row>
    <row r="216" spans="1:9" x14ac:dyDescent="0.2">
      <c r="A216" s="4">
        <v>33808</v>
      </c>
      <c r="B216" s="24">
        <v>1.4004000000000001</v>
      </c>
      <c r="C216" s="25">
        <v>126.63</v>
      </c>
      <c r="D216" s="25">
        <v>6.72</v>
      </c>
      <c r="E216" s="26">
        <v>8.14</v>
      </c>
      <c r="F216" s="25">
        <v>5.2850000000000001</v>
      </c>
      <c r="G216" s="25">
        <v>412.07998700000002</v>
      </c>
      <c r="H216" s="25">
        <v>1622.8100589999999</v>
      </c>
      <c r="I216" s="19">
        <v>16039.940430000001</v>
      </c>
    </row>
    <row r="217" spans="1:9" x14ac:dyDescent="0.2">
      <c r="A217" s="4">
        <v>33809</v>
      </c>
      <c r="B217" s="24">
        <v>1.3872</v>
      </c>
      <c r="C217" s="25">
        <v>128.1</v>
      </c>
      <c r="D217" s="25">
        <v>6.73</v>
      </c>
      <c r="E217" s="26">
        <v>8.11</v>
      </c>
      <c r="F217" s="25">
        <v>5.29</v>
      </c>
      <c r="G217" s="25">
        <v>411.60000600000001</v>
      </c>
      <c r="H217" s="25">
        <v>1613.3599850000001</v>
      </c>
      <c r="I217" s="19">
        <v>15497.79004</v>
      </c>
    </row>
    <row r="218" spans="1:9" x14ac:dyDescent="0.2">
      <c r="A218" s="4">
        <v>33812</v>
      </c>
      <c r="B218" s="24">
        <v>1.4043000000000001</v>
      </c>
      <c r="C218" s="25">
        <v>127.55</v>
      </c>
      <c r="D218" s="25">
        <v>6.69</v>
      </c>
      <c r="E218" s="26">
        <v>8.1199999999999992</v>
      </c>
      <c r="F218" s="25">
        <v>5.26</v>
      </c>
      <c r="G218" s="25">
        <v>411.540009</v>
      </c>
      <c r="H218" s="25">
        <v>1617.780029</v>
      </c>
      <c r="I218" s="19">
        <v>15373.339840000001</v>
      </c>
    </row>
    <row r="219" spans="1:9" x14ac:dyDescent="0.2">
      <c r="A219" s="4">
        <v>33813</v>
      </c>
      <c r="B219" s="24">
        <v>1.4108000000000001</v>
      </c>
      <c r="C219" s="25">
        <v>127.39</v>
      </c>
      <c r="D219" s="25">
        <v>6.63</v>
      </c>
      <c r="E219" s="26">
        <v>8.11</v>
      </c>
      <c r="F219" s="25">
        <v>5.24</v>
      </c>
      <c r="G219" s="25">
        <v>417.51998900000001</v>
      </c>
      <c r="H219" s="25">
        <v>1617.1800539999999</v>
      </c>
      <c r="I219" s="19">
        <v>15426.639649999999</v>
      </c>
    </row>
    <row r="220" spans="1:9" x14ac:dyDescent="0.2">
      <c r="A220" s="4">
        <v>33814</v>
      </c>
      <c r="B220" s="24">
        <v>1.4073</v>
      </c>
      <c r="C220" s="25">
        <v>127.83</v>
      </c>
      <c r="D220" s="25">
        <v>6.6</v>
      </c>
      <c r="E220" s="26">
        <v>8.1300000000000008</v>
      </c>
      <c r="F220" s="25">
        <v>5.2149999999999999</v>
      </c>
      <c r="G220" s="25">
        <v>422.23001099999999</v>
      </c>
      <c r="H220" s="25">
        <v>1637.619995</v>
      </c>
      <c r="I220" s="19">
        <v>15095.950199999999</v>
      </c>
    </row>
    <row r="221" spans="1:9" x14ac:dyDescent="0.2">
      <c r="A221" s="4">
        <v>33815</v>
      </c>
      <c r="B221" s="24">
        <v>1.4040999999999999</v>
      </c>
      <c r="C221" s="25">
        <v>127.55</v>
      </c>
      <c r="D221" s="25">
        <v>6.69</v>
      </c>
      <c r="E221" s="26">
        <v>8.15</v>
      </c>
      <c r="F221" s="25">
        <v>5.2</v>
      </c>
      <c r="G221" s="25">
        <v>423.92001299999998</v>
      </c>
      <c r="H221" s="25">
        <v>1622.1999510000001</v>
      </c>
      <c r="I221" s="19">
        <v>15555.599609999999</v>
      </c>
    </row>
    <row r="222" spans="1:9" x14ac:dyDescent="0.2">
      <c r="A222" s="4">
        <v>33816</v>
      </c>
      <c r="B222" s="24">
        <v>1.4119999999999999</v>
      </c>
      <c r="C222" s="25">
        <v>127.2</v>
      </c>
      <c r="D222" s="25">
        <v>6.72</v>
      </c>
      <c r="E222" s="26">
        <v>8.19</v>
      </c>
      <c r="F222" s="25">
        <v>5.2240000000000002</v>
      </c>
      <c r="G222" s="25">
        <v>424.209991</v>
      </c>
      <c r="H222" s="25">
        <v>1608.48999</v>
      </c>
      <c r="I222" s="19">
        <v>15910.280269999999</v>
      </c>
    </row>
    <row r="223" spans="1:9" x14ac:dyDescent="0.2">
      <c r="A223" s="4">
        <v>33819</v>
      </c>
      <c r="B223" s="24">
        <v>1.4097999999999999</v>
      </c>
      <c r="C223" s="25">
        <v>127.18</v>
      </c>
      <c r="D223" s="25">
        <v>6.72</v>
      </c>
      <c r="E223" s="26">
        <v>8.14</v>
      </c>
      <c r="F223" s="25">
        <v>5.2549999999999999</v>
      </c>
      <c r="G223" s="25">
        <v>425.08999599999999</v>
      </c>
      <c r="H223" s="25">
        <v>1605.1099850000001</v>
      </c>
      <c r="I223" s="19">
        <v>15709.450199999999</v>
      </c>
    </row>
    <row r="224" spans="1:9" x14ac:dyDescent="0.2">
      <c r="A224" s="4">
        <v>33820</v>
      </c>
      <c r="B224" s="24">
        <v>1.4124000000000001</v>
      </c>
      <c r="C224" s="25">
        <v>127.25</v>
      </c>
      <c r="D224" s="25">
        <v>6.66</v>
      </c>
      <c r="E224" s="26">
        <v>8.09</v>
      </c>
      <c r="F224" s="25">
        <v>5.17</v>
      </c>
      <c r="G224" s="25">
        <v>424.35998499999999</v>
      </c>
      <c r="H224" s="25">
        <v>1609.6099850000001</v>
      </c>
      <c r="I224" s="19">
        <v>15692.589840000001</v>
      </c>
    </row>
    <row r="225" spans="1:9" x14ac:dyDescent="0.2">
      <c r="A225" s="4">
        <v>33821</v>
      </c>
      <c r="B225" s="24">
        <v>1.4101999999999999</v>
      </c>
      <c r="C225" s="25">
        <v>127.6</v>
      </c>
      <c r="D225" s="25">
        <v>6.64</v>
      </c>
      <c r="E225" s="26">
        <v>8.1</v>
      </c>
      <c r="F225" s="25">
        <v>5.1849999999999996</v>
      </c>
      <c r="G225" s="25">
        <v>422.19000199999999</v>
      </c>
      <c r="H225" s="25">
        <v>1624.9399410000001</v>
      </c>
      <c r="I225" s="19">
        <v>15983.639649999999</v>
      </c>
    </row>
    <row r="226" spans="1:9" x14ac:dyDescent="0.2">
      <c r="A226" s="4">
        <v>33822</v>
      </c>
      <c r="B226" s="24">
        <v>1.4049</v>
      </c>
      <c r="C226" s="25">
        <v>127.7</v>
      </c>
      <c r="D226" s="25">
        <v>6.65</v>
      </c>
      <c r="E226" s="26">
        <v>8.07</v>
      </c>
      <c r="F226" s="25">
        <v>5.2060000000000004</v>
      </c>
      <c r="G226" s="25">
        <v>420.58999599999999</v>
      </c>
      <c r="H226" s="25">
        <v>1618.0699460000001</v>
      </c>
      <c r="I226" s="19">
        <v>15926.440430000001</v>
      </c>
    </row>
    <row r="227" spans="1:9" x14ac:dyDescent="0.2">
      <c r="A227" s="4">
        <v>33823</v>
      </c>
      <c r="B227" s="24">
        <v>1.419</v>
      </c>
      <c r="C227" s="25">
        <v>127.48</v>
      </c>
      <c r="D227" s="25">
        <v>6.57</v>
      </c>
      <c r="E227" s="26">
        <v>8.0500000000000007</v>
      </c>
      <c r="F227" s="25">
        <v>5.2249999999999996</v>
      </c>
      <c r="G227" s="25">
        <v>418.88000499999998</v>
      </c>
      <c r="H227" s="25">
        <v>1611.959961</v>
      </c>
      <c r="I227" s="19">
        <v>15518.26953</v>
      </c>
    </row>
    <row r="228" spans="1:9" x14ac:dyDescent="0.2">
      <c r="A228" s="4">
        <v>33826</v>
      </c>
      <c r="B228" s="24">
        <v>1.4184000000000001</v>
      </c>
      <c r="C228" s="25">
        <v>127.92</v>
      </c>
      <c r="D228" s="25">
        <v>6.52</v>
      </c>
      <c r="E228" s="26">
        <v>8.0299999999999994</v>
      </c>
      <c r="F228" s="25">
        <v>5.2050000000000001</v>
      </c>
      <c r="G228" s="25">
        <v>419.42001299999998</v>
      </c>
      <c r="H228" s="25">
        <v>1578.9499510000001</v>
      </c>
      <c r="I228" s="19">
        <v>15066.339840000001</v>
      </c>
    </row>
    <row r="229" spans="1:9" x14ac:dyDescent="0.2">
      <c r="A229" s="4">
        <v>33827</v>
      </c>
      <c r="B229" s="24">
        <v>1.4134</v>
      </c>
      <c r="C229" s="25">
        <v>128</v>
      </c>
      <c r="D229" s="25">
        <v>6.5</v>
      </c>
      <c r="E229" s="26">
        <v>8.0500000000000007</v>
      </c>
      <c r="F229" s="25">
        <v>5.1859999999999999</v>
      </c>
      <c r="G229" s="25">
        <v>418.89999399999999</v>
      </c>
      <c r="H229" s="25">
        <v>1561.3900149999999</v>
      </c>
      <c r="I229" s="19">
        <v>14822.559569999999</v>
      </c>
    </row>
    <row r="230" spans="1:9" x14ac:dyDescent="0.2">
      <c r="A230" s="4">
        <v>33828</v>
      </c>
      <c r="B230" s="24">
        <v>1.4200999999999999</v>
      </c>
      <c r="C230" s="25">
        <v>127.27</v>
      </c>
      <c r="D230" s="25">
        <v>6.48</v>
      </c>
      <c r="E230" s="26">
        <v>8.0399999999999991</v>
      </c>
      <c r="F230" s="25">
        <v>5.1550000000000002</v>
      </c>
      <c r="G230" s="25">
        <v>417.77999899999998</v>
      </c>
      <c r="H230" s="25">
        <v>1547.869995</v>
      </c>
      <c r="I230" s="19">
        <v>14773.79004</v>
      </c>
    </row>
    <row r="231" spans="1:9" x14ac:dyDescent="0.2">
      <c r="A231" s="4">
        <v>33829</v>
      </c>
      <c r="B231" s="24">
        <v>1.4242999999999999</v>
      </c>
      <c r="C231" s="25">
        <v>126.37</v>
      </c>
      <c r="D231" s="25">
        <v>6.55</v>
      </c>
      <c r="E231" s="26">
        <v>8.06</v>
      </c>
      <c r="F231" s="25">
        <v>5.1289999999999996</v>
      </c>
      <c r="G231" s="25">
        <v>417.73001099999999</v>
      </c>
      <c r="H231" s="25">
        <v>1548.630005</v>
      </c>
      <c r="I231" s="19">
        <v>14768.16992</v>
      </c>
    </row>
    <row r="232" spans="1:9" x14ac:dyDescent="0.2">
      <c r="A232" s="4">
        <v>33830</v>
      </c>
      <c r="B232" s="24">
        <v>1.4157999999999999</v>
      </c>
      <c r="C232" s="25">
        <v>126.05</v>
      </c>
      <c r="D232" s="25">
        <v>6.53</v>
      </c>
      <c r="E232" s="26">
        <v>8.0399999999999991</v>
      </c>
      <c r="F232" s="25">
        <v>5.0650000000000004</v>
      </c>
      <c r="G232" s="25">
        <v>419.91000400000001</v>
      </c>
      <c r="H232" s="25">
        <v>1560.160034</v>
      </c>
      <c r="I232" s="19">
        <v>14820.25</v>
      </c>
    </row>
    <row r="233" spans="1:9" x14ac:dyDescent="0.2">
      <c r="A233" s="4">
        <v>33833</v>
      </c>
      <c r="B233" s="24">
        <v>1.4209000000000001</v>
      </c>
      <c r="C233" s="25">
        <v>125.69</v>
      </c>
      <c r="D233" s="25">
        <v>6.56</v>
      </c>
      <c r="E233" s="26">
        <v>7.94</v>
      </c>
      <c r="F233" s="25">
        <v>5.0289999999999999</v>
      </c>
      <c r="G233" s="25">
        <v>420.73998999999998</v>
      </c>
      <c r="H233" s="25">
        <v>1554.76001</v>
      </c>
      <c r="I233" s="19">
        <v>14929.54981</v>
      </c>
    </row>
    <row r="234" spans="1:9" x14ac:dyDescent="0.2">
      <c r="A234" s="4">
        <v>33834</v>
      </c>
      <c r="B234" s="24">
        <v>1.4257</v>
      </c>
      <c r="C234" s="25">
        <v>126.17</v>
      </c>
      <c r="D234" s="25">
        <v>6.48</v>
      </c>
      <c r="E234" s="26">
        <v>7.96</v>
      </c>
      <c r="F234" s="25">
        <v>4.9859999999999998</v>
      </c>
      <c r="G234" s="25">
        <v>421.33999599999999</v>
      </c>
      <c r="H234" s="25">
        <v>1531.869995</v>
      </c>
      <c r="I234" s="19">
        <v>14309.410159999999</v>
      </c>
    </row>
    <row r="235" spans="1:9" x14ac:dyDescent="0.2">
      <c r="A235" s="4">
        <v>33835</v>
      </c>
      <c r="B235" s="24">
        <v>1.4274</v>
      </c>
      <c r="C235" s="25">
        <v>126.53</v>
      </c>
      <c r="D235" s="25">
        <v>6.47</v>
      </c>
      <c r="E235" s="26">
        <v>7.97</v>
      </c>
      <c r="F235" s="25">
        <v>4.97</v>
      </c>
      <c r="G235" s="25">
        <v>418.19000199999999</v>
      </c>
      <c r="H235" s="25">
        <v>1526.1400149999999</v>
      </c>
      <c r="I235" s="19">
        <v>14650.740229999999</v>
      </c>
    </row>
    <row r="236" spans="1:9" x14ac:dyDescent="0.2">
      <c r="A236" s="4">
        <v>33836</v>
      </c>
      <c r="B236" s="24">
        <v>1.4331</v>
      </c>
      <c r="C236" s="25">
        <v>126.5</v>
      </c>
      <c r="D236" s="25">
        <v>6.46</v>
      </c>
      <c r="E236" s="26">
        <v>7.94</v>
      </c>
      <c r="F236" s="25">
        <v>4.9649999999999999</v>
      </c>
      <c r="G236" s="25">
        <v>418.26001000000002</v>
      </c>
      <c r="H236" s="25">
        <v>1509.030029</v>
      </c>
      <c r="I236" s="19">
        <v>15267.759770000001</v>
      </c>
    </row>
    <row r="237" spans="1:9" x14ac:dyDescent="0.2">
      <c r="A237" s="4">
        <v>33837</v>
      </c>
      <c r="B237" s="24">
        <v>1.4296</v>
      </c>
      <c r="C237" s="25">
        <v>125.73</v>
      </c>
      <c r="D237" s="25">
        <v>6.53</v>
      </c>
      <c r="E237" s="26">
        <v>7.9</v>
      </c>
      <c r="F237" s="25">
        <v>5.0060000000000002</v>
      </c>
      <c r="G237" s="25">
        <v>414.85000600000001</v>
      </c>
      <c r="H237" s="25">
        <v>1530.030029</v>
      </c>
      <c r="I237" s="19">
        <v>16216.87988</v>
      </c>
    </row>
    <row r="238" spans="1:9" x14ac:dyDescent="0.2">
      <c r="A238" s="4">
        <v>33840</v>
      </c>
      <c r="B238" s="24">
        <v>1.478</v>
      </c>
      <c r="C238" s="25">
        <v>124.53</v>
      </c>
      <c r="D238" s="25">
        <v>6.68</v>
      </c>
      <c r="E238" s="26">
        <v>7.91</v>
      </c>
      <c r="F238" s="25">
        <v>4.9550000000000001</v>
      </c>
      <c r="G238" s="25">
        <v>410.72000100000002</v>
      </c>
      <c r="H238" s="25">
        <v>1484.969971</v>
      </c>
      <c r="I238" s="19">
        <v>16627.960940000001</v>
      </c>
    </row>
    <row r="239" spans="1:9" x14ac:dyDescent="0.2">
      <c r="A239" s="4">
        <v>33841</v>
      </c>
      <c r="B239" s="24">
        <v>1.4791000000000001</v>
      </c>
      <c r="C239" s="25">
        <v>124.51</v>
      </c>
      <c r="D239" s="25">
        <v>6.73</v>
      </c>
      <c r="E239" s="26">
        <v>7.87</v>
      </c>
      <c r="F239" s="25">
        <v>4.87</v>
      </c>
      <c r="G239" s="25">
        <v>411.60998499999999</v>
      </c>
      <c r="H239" s="25">
        <v>1464.030029</v>
      </c>
      <c r="I239" s="19">
        <v>16380.76953</v>
      </c>
    </row>
    <row r="240" spans="1:9" x14ac:dyDescent="0.2">
      <c r="A240" s="4">
        <v>33842</v>
      </c>
      <c r="B240" s="24">
        <v>1.4705999999999999</v>
      </c>
      <c r="C240" s="25">
        <v>124.82</v>
      </c>
      <c r="D240" s="25">
        <v>6.68</v>
      </c>
      <c r="E240" s="26">
        <v>7.9</v>
      </c>
      <c r="F240" s="25">
        <v>4.8949999999999996</v>
      </c>
      <c r="G240" s="25">
        <v>413.51001000000002</v>
      </c>
      <c r="H240" s="25">
        <v>1475.1099850000001</v>
      </c>
      <c r="I240" s="19">
        <v>16541.650389999999</v>
      </c>
    </row>
    <row r="241" spans="1:9" x14ac:dyDescent="0.2">
      <c r="A241" s="4">
        <v>33843</v>
      </c>
      <c r="B241" s="24">
        <v>1.4676</v>
      </c>
      <c r="C241" s="25">
        <v>124.78</v>
      </c>
      <c r="D241" s="25">
        <v>6.64</v>
      </c>
      <c r="E241" s="26">
        <v>7.88</v>
      </c>
      <c r="F241" s="25">
        <v>4.8899999999999997</v>
      </c>
      <c r="G241" s="25">
        <v>413.52999899999998</v>
      </c>
      <c r="H241" s="25">
        <v>1516.119995</v>
      </c>
      <c r="I241" s="19">
        <v>17555</v>
      </c>
    </row>
    <row r="242" spans="1:9" x14ac:dyDescent="0.2">
      <c r="A242" s="4">
        <v>33844</v>
      </c>
      <c r="B242" s="24">
        <v>1.4746999999999999</v>
      </c>
      <c r="C242" s="25">
        <v>123.3</v>
      </c>
      <c r="D242" s="25">
        <v>6.63</v>
      </c>
      <c r="E242" s="26">
        <v>7.92</v>
      </c>
      <c r="F242" s="25">
        <v>4.976</v>
      </c>
      <c r="G242" s="25">
        <v>414.83999599999999</v>
      </c>
      <c r="H242" s="25">
        <v>1519.6899410000001</v>
      </c>
      <c r="I242" s="19">
        <v>17970.789059999999</v>
      </c>
    </row>
    <row r="243" spans="1:9" x14ac:dyDescent="0.2">
      <c r="A243" s="4">
        <v>33847</v>
      </c>
      <c r="B243" s="24">
        <v>1.4746999999999999</v>
      </c>
      <c r="C243" s="25">
        <v>123.08</v>
      </c>
      <c r="D243" s="25">
        <v>6.62</v>
      </c>
      <c r="E243" s="26">
        <v>7.89</v>
      </c>
      <c r="F243" s="25">
        <v>5.0599999999999996</v>
      </c>
      <c r="G243" s="25">
        <v>414.02999899999998</v>
      </c>
      <c r="H243" s="25">
        <v>1529.969971</v>
      </c>
      <c r="I243" s="19">
        <v>18061.119139999999</v>
      </c>
    </row>
    <row r="244" spans="1:9" x14ac:dyDescent="0.2">
      <c r="A244" s="4">
        <v>33848</v>
      </c>
      <c r="B244" s="24">
        <v>1.4870000000000001</v>
      </c>
      <c r="C244" s="25">
        <v>122.88</v>
      </c>
      <c r="D244" s="25">
        <v>6.56</v>
      </c>
      <c r="E244" s="26">
        <v>7.89</v>
      </c>
      <c r="F244" s="25">
        <v>5.08</v>
      </c>
      <c r="G244" s="25">
        <v>416.07000699999998</v>
      </c>
      <c r="H244" s="25">
        <v>1516.4399410000001</v>
      </c>
      <c r="I244" s="19">
        <v>17740.060549999998</v>
      </c>
    </row>
    <row r="245" spans="1:9" x14ac:dyDescent="0.2">
      <c r="A245" s="4">
        <v>33849</v>
      </c>
      <c r="B245" s="24">
        <v>1.4899</v>
      </c>
      <c r="C245" s="25">
        <v>123.12</v>
      </c>
      <c r="D245" s="25">
        <v>6.54</v>
      </c>
      <c r="E245" s="26">
        <v>7.9</v>
      </c>
      <c r="F245" s="25">
        <v>5.0449999999999999</v>
      </c>
      <c r="G245" s="25">
        <v>417.98001099999999</v>
      </c>
      <c r="H245" s="25">
        <v>1515.530029</v>
      </c>
      <c r="I245" s="19">
        <v>17587.720700000002</v>
      </c>
    </row>
    <row r="246" spans="1:9" x14ac:dyDescent="0.2">
      <c r="A246" s="4">
        <v>33850</v>
      </c>
      <c r="B246" s="24">
        <v>1.4678</v>
      </c>
      <c r="C246" s="25">
        <v>124.15</v>
      </c>
      <c r="D246" s="25">
        <v>6.54</v>
      </c>
      <c r="E246" s="26">
        <v>7.9</v>
      </c>
      <c r="F246" s="25">
        <v>5.0410000000000004</v>
      </c>
      <c r="G246" s="25">
        <v>417.98001099999999</v>
      </c>
      <c r="H246" s="25">
        <v>1543.8900149999999</v>
      </c>
      <c r="I246" s="19">
        <v>18386.490229999999</v>
      </c>
    </row>
    <row r="247" spans="1:9" x14ac:dyDescent="0.2">
      <c r="A247" s="4">
        <v>33851</v>
      </c>
      <c r="B247" s="24">
        <v>1.4734</v>
      </c>
      <c r="C247" s="25">
        <v>123.14</v>
      </c>
      <c r="D247" s="25">
        <v>6.4</v>
      </c>
      <c r="E247" s="26">
        <v>7.91</v>
      </c>
      <c r="F247" s="25">
        <v>4.9649999999999999</v>
      </c>
      <c r="G247" s="25">
        <v>417.07998700000002</v>
      </c>
      <c r="H247" s="25">
        <v>1534.719971</v>
      </c>
      <c r="I247" s="19">
        <v>18555.300780000001</v>
      </c>
    </row>
    <row r="248" spans="1:9" x14ac:dyDescent="0.2">
      <c r="A248" s="4">
        <v>33854</v>
      </c>
      <c r="B248" s="24">
        <v>1.4782</v>
      </c>
      <c r="C248" s="25">
        <v>123.5</v>
      </c>
      <c r="D248" s="25">
        <v>6.4</v>
      </c>
      <c r="E248" s="26">
        <v>7.79</v>
      </c>
      <c r="F248" s="25">
        <v>4.835</v>
      </c>
      <c r="G248" s="25">
        <v>425.27</v>
      </c>
      <c r="H248" s="25">
        <v>1538.660034</v>
      </c>
      <c r="I248" s="19">
        <v>18440.179690000001</v>
      </c>
    </row>
    <row r="249" spans="1:9" x14ac:dyDescent="0.2">
      <c r="A249" s="4">
        <v>33855</v>
      </c>
      <c r="B249" s="24">
        <v>1.4843</v>
      </c>
      <c r="C249" s="25">
        <v>122.87</v>
      </c>
      <c r="D249" s="25">
        <v>6.29</v>
      </c>
      <c r="E249" s="26">
        <v>7.76</v>
      </c>
      <c r="F249" s="25">
        <v>4.915</v>
      </c>
      <c r="G249" s="25">
        <v>414.44000199999999</v>
      </c>
      <c r="H249" s="25">
        <v>1536.709961</v>
      </c>
      <c r="I249" s="19">
        <v>18282.41992</v>
      </c>
    </row>
    <row r="250" spans="1:9" x14ac:dyDescent="0.2">
      <c r="A250" s="4">
        <v>33856</v>
      </c>
      <c r="B250" s="24">
        <v>1.4652000000000001</v>
      </c>
      <c r="C250" s="25">
        <v>123.37</v>
      </c>
      <c r="D250" s="25">
        <v>6.31</v>
      </c>
      <c r="E250" s="26">
        <v>7.78</v>
      </c>
      <c r="F250" s="25">
        <v>4.915</v>
      </c>
      <c r="G250" s="25">
        <v>416.35998499999999</v>
      </c>
      <c r="H250" s="25">
        <v>1523.829956</v>
      </c>
      <c r="I250" s="19">
        <v>18875.550780000001</v>
      </c>
    </row>
    <row r="251" spans="1:9" x14ac:dyDescent="0.2">
      <c r="A251" s="4">
        <v>33857</v>
      </c>
      <c r="B251" s="24">
        <v>1.4662999999999999</v>
      </c>
      <c r="C251" s="25">
        <v>123</v>
      </c>
      <c r="D251" s="25">
        <v>6.31</v>
      </c>
      <c r="E251" s="26">
        <v>7.77</v>
      </c>
      <c r="F251" s="25">
        <v>4.9000000000000004</v>
      </c>
      <c r="G251" s="25">
        <v>419.95001200000002</v>
      </c>
      <c r="H251" s="25">
        <v>1527.099976</v>
      </c>
      <c r="I251" s="19">
        <v>18908.470700000002</v>
      </c>
    </row>
    <row r="252" spans="1:9" x14ac:dyDescent="0.2">
      <c r="A252" s="4">
        <v>33858</v>
      </c>
      <c r="B252" s="24">
        <v>1.4345000000000001</v>
      </c>
      <c r="C252" s="25">
        <v>124.31</v>
      </c>
      <c r="D252" s="25">
        <v>6.37</v>
      </c>
      <c r="E252" s="26">
        <v>7.76</v>
      </c>
      <c r="F252" s="25">
        <v>4.9349999999999996</v>
      </c>
      <c r="G252" s="25">
        <v>419.57998700000002</v>
      </c>
      <c r="H252" s="25">
        <v>1530.1999510000001</v>
      </c>
      <c r="I252" s="19">
        <v>18107.689450000002</v>
      </c>
    </row>
    <row r="253" spans="1:9" x14ac:dyDescent="0.2">
      <c r="A253" s="4">
        <v>33861</v>
      </c>
      <c r="B253" s="24">
        <v>1.3868</v>
      </c>
      <c r="C253" s="25">
        <v>124.48</v>
      </c>
      <c r="D253" s="25">
        <v>6.32</v>
      </c>
      <c r="E253" s="26">
        <v>7.6</v>
      </c>
      <c r="F253" s="25">
        <v>4.9000000000000004</v>
      </c>
      <c r="G253" s="25">
        <v>425.26998900000001</v>
      </c>
      <c r="H253" s="25">
        <v>1601.5</v>
      </c>
      <c r="I253" s="19">
        <v>18471.400389999999</v>
      </c>
    </row>
    <row r="254" spans="1:9" x14ac:dyDescent="0.2">
      <c r="A254" s="4">
        <v>33862</v>
      </c>
      <c r="B254" s="24">
        <v>1.3940999999999999</v>
      </c>
      <c r="C254" s="25">
        <v>124.34</v>
      </c>
      <c r="D254" s="25">
        <v>6.4</v>
      </c>
      <c r="E254" s="26">
        <v>7.63</v>
      </c>
      <c r="F254" s="25">
        <v>4.9000000000000004</v>
      </c>
      <c r="G254" s="25">
        <v>419.76998900000001</v>
      </c>
      <c r="H254" s="25">
        <v>1580.290039</v>
      </c>
      <c r="I254" s="19">
        <v>18471.400389999999</v>
      </c>
    </row>
    <row r="255" spans="1:9" x14ac:dyDescent="0.2">
      <c r="A255" s="4">
        <v>33863</v>
      </c>
      <c r="B255" s="24">
        <v>1.3563000000000001</v>
      </c>
      <c r="C255" s="25">
        <v>125.5</v>
      </c>
      <c r="D255" s="25">
        <v>6.41</v>
      </c>
      <c r="E255" s="26">
        <v>7.53</v>
      </c>
      <c r="F255" s="25">
        <v>4.96</v>
      </c>
      <c r="G255" s="25">
        <v>419.92001299999998</v>
      </c>
      <c r="H255" s="25">
        <v>1595.089966</v>
      </c>
      <c r="I255" s="19">
        <v>17944.699219999999</v>
      </c>
    </row>
    <row r="256" spans="1:9" x14ac:dyDescent="0.2">
      <c r="A256" s="4">
        <v>33864</v>
      </c>
      <c r="B256" s="24">
        <v>1.3677999999999999</v>
      </c>
      <c r="C256" s="25">
        <v>124.4</v>
      </c>
      <c r="D256" s="25">
        <v>6.4</v>
      </c>
      <c r="E256" s="26">
        <v>7.51</v>
      </c>
      <c r="F256" s="25">
        <v>4.9850000000000003</v>
      </c>
      <c r="G256" s="25">
        <v>419.92999300000002</v>
      </c>
      <c r="H256" s="25">
        <v>1579.469971</v>
      </c>
      <c r="I256" s="19">
        <v>18116.519530000001</v>
      </c>
    </row>
    <row r="257" spans="1:9" x14ac:dyDescent="0.2">
      <c r="A257" s="4">
        <v>33865</v>
      </c>
      <c r="B257" s="24">
        <v>1.3526</v>
      </c>
      <c r="C257" s="25">
        <v>124.48</v>
      </c>
      <c r="D257" s="25">
        <v>6.41</v>
      </c>
      <c r="E257" s="26">
        <v>7.45</v>
      </c>
      <c r="F257" s="25">
        <v>4.9909999999999997</v>
      </c>
      <c r="G257" s="25">
        <v>422.92999300000002</v>
      </c>
      <c r="H257" s="25">
        <v>1600.589966</v>
      </c>
      <c r="I257" s="19">
        <v>18166.800780000001</v>
      </c>
    </row>
    <row r="258" spans="1:9" x14ac:dyDescent="0.2">
      <c r="A258" s="4">
        <v>33868</v>
      </c>
      <c r="B258" s="24">
        <v>1.3622000000000001</v>
      </c>
      <c r="C258" s="25">
        <v>123.73</v>
      </c>
      <c r="D258" s="25">
        <v>6.42</v>
      </c>
      <c r="E258" s="26">
        <v>7.51</v>
      </c>
      <c r="F258" s="25">
        <v>5</v>
      </c>
      <c r="G258" s="25">
        <v>422.14001500000001</v>
      </c>
      <c r="H258" s="25">
        <v>1566</v>
      </c>
      <c r="I258" s="19">
        <v>18066.240229999999</v>
      </c>
    </row>
    <row r="259" spans="1:9" x14ac:dyDescent="0.2">
      <c r="A259" s="4">
        <v>33869</v>
      </c>
      <c r="B259" s="24">
        <v>1.3595999999999999</v>
      </c>
      <c r="C259" s="25">
        <v>121.04</v>
      </c>
      <c r="D259" s="25">
        <v>6.5</v>
      </c>
      <c r="E259" s="26">
        <v>7.54</v>
      </c>
      <c r="F259" s="25">
        <v>4.97</v>
      </c>
      <c r="G259" s="25">
        <v>417.14001500000001</v>
      </c>
      <c r="H259" s="25">
        <v>1557.01001</v>
      </c>
      <c r="I259" s="19">
        <v>18282.720700000002</v>
      </c>
    </row>
    <row r="260" spans="1:9" x14ac:dyDescent="0.2">
      <c r="A260" s="4">
        <v>33870</v>
      </c>
      <c r="B260" s="24">
        <v>1.3541000000000001</v>
      </c>
      <c r="C260" s="25">
        <v>120.07</v>
      </c>
      <c r="D260" s="25">
        <v>6.54</v>
      </c>
      <c r="E260" s="26">
        <v>7.45</v>
      </c>
      <c r="F260" s="25">
        <v>4.97</v>
      </c>
      <c r="G260" s="25">
        <v>417.44000199999999</v>
      </c>
      <c r="H260" s="25">
        <v>1542.73999</v>
      </c>
      <c r="I260" s="19">
        <v>18282.720700000002</v>
      </c>
    </row>
    <row r="261" spans="1:9" x14ac:dyDescent="0.2">
      <c r="A261" s="4">
        <v>33871</v>
      </c>
      <c r="B261" s="24">
        <v>1.3628</v>
      </c>
      <c r="C261" s="25">
        <v>120.49</v>
      </c>
      <c r="D261" s="25">
        <v>6.48</v>
      </c>
      <c r="E261" s="26">
        <v>7.46</v>
      </c>
      <c r="F261" s="25">
        <v>4.9000000000000004</v>
      </c>
      <c r="G261" s="25">
        <v>418.47000100000002</v>
      </c>
      <c r="H261" s="25">
        <v>1536.3000489999999</v>
      </c>
      <c r="I261" s="19">
        <v>18609.949219999999</v>
      </c>
    </row>
    <row r="262" spans="1:9" x14ac:dyDescent="0.2">
      <c r="A262" s="4">
        <v>33872</v>
      </c>
      <c r="B262" s="24">
        <v>1.3712</v>
      </c>
      <c r="C262" s="25">
        <v>120.71</v>
      </c>
      <c r="D262" s="25">
        <v>6.41</v>
      </c>
      <c r="E262" s="26">
        <v>7.5</v>
      </c>
      <c r="F262" s="25">
        <v>4.9050000000000002</v>
      </c>
      <c r="G262" s="25">
        <v>414.35000600000001</v>
      </c>
      <c r="H262" s="25">
        <v>1510.660034</v>
      </c>
      <c r="I262" s="19">
        <v>18394.759770000001</v>
      </c>
    </row>
    <row r="263" spans="1:9" x14ac:dyDescent="0.2">
      <c r="A263" s="4">
        <v>33875</v>
      </c>
      <c r="B263" s="24">
        <v>1.3972</v>
      </c>
      <c r="C263" s="25">
        <v>119.71</v>
      </c>
      <c r="D263" s="25">
        <v>6.37</v>
      </c>
      <c r="E263" s="26">
        <v>7.54</v>
      </c>
      <c r="F263" s="25">
        <v>4.9009999999999998</v>
      </c>
      <c r="G263" s="25">
        <v>416.61999500000002</v>
      </c>
      <c r="H263" s="25">
        <v>1481.030029</v>
      </c>
      <c r="I263" s="19">
        <v>17972.609380000002</v>
      </c>
    </row>
    <row r="264" spans="1:9" x14ac:dyDescent="0.2">
      <c r="A264" s="4">
        <v>33876</v>
      </c>
      <c r="B264" s="24">
        <v>1.4198999999999999</v>
      </c>
      <c r="C264" s="25">
        <v>119.31</v>
      </c>
      <c r="D264" s="25">
        <v>6.37</v>
      </c>
      <c r="E264" s="26">
        <v>7.56</v>
      </c>
      <c r="F264" s="25">
        <v>4.9189999999999996</v>
      </c>
      <c r="G264" s="25">
        <v>416.79998799999998</v>
      </c>
      <c r="H264" s="25">
        <v>1483.829956</v>
      </c>
      <c r="I264" s="19">
        <v>17748.089840000001</v>
      </c>
    </row>
    <row r="265" spans="1:9" x14ac:dyDescent="0.2">
      <c r="A265" s="4">
        <v>33877</v>
      </c>
      <c r="B265" s="24">
        <v>1.4283999999999999</v>
      </c>
      <c r="C265" s="25">
        <v>120.07</v>
      </c>
      <c r="D265" s="25">
        <v>6.37</v>
      </c>
      <c r="E265" s="26">
        <v>7.51</v>
      </c>
      <c r="F265" s="25">
        <v>4.9210000000000003</v>
      </c>
      <c r="G265" s="25">
        <v>417.79998799999998</v>
      </c>
      <c r="H265" s="25">
        <v>1470.089966</v>
      </c>
      <c r="I265" s="19">
        <v>17399.08008</v>
      </c>
    </row>
    <row r="266" spans="1:9" x14ac:dyDescent="0.2">
      <c r="A266" s="4">
        <v>33878</v>
      </c>
      <c r="B266" s="24">
        <v>1.4211</v>
      </c>
      <c r="C266" s="25">
        <v>119.87</v>
      </c>
      <c r="D266" s="25">
        <v>6.23</v>
      </c>
      <c r="E266" s="26">
        <v>7.4</v>
      </c>
      <c r="F266" s="25">
        <v>4.91</v>
      </c>
      <c r="G266" s="25">
        <v>416.290009</v>
      </c>
      <c r="H266" s="25">
        <v>1484.780029</v>
      </c>
      <c r="I266" s="19">
        <v>17369.910159999999</v>
      </c>
    </row>
    <row r="267" spans="1:9" x14ac:dyDescent="0.2">
      <c r="A267" s="4">
        <v>33879</v>
      </c>
      <c r="B267" s="24">
        <v>1.4238999999999999</v>
      </c>
      <c r="C267" s="25">
        <v>119.35</v>
      </c>
      <c r="D267" s="25">
        <v>6.26</v>
      </c>
      <c r="E267" s="26">
        <v>7.43</v>
      </c>
      <c r="F267" s="25">
        <v>4.87</v>
      </c>
      <c r="G267" s="25">
        <v>410.47000100000002</v>
      </c>
      <c r="H267" s="25">
        <v>1475.410034</v>
      </c>
      <c r="I267" s="19">
        <v>17324.070309999999</v>
      </c>
    </row>
    <row r="268" spans="1:9" x14ac:dyDescent="0.2">
      <c r="A268" s="4">
        <v>33882</v>
      </c>
      <c r="B268" s="24">
        <v>1.4296</v>
      </c>
      <c r="C268" s="25">
        <v>119.78</v>
      </c>
      <c r="D268" s="25">
        <v>6.24</v>
      </c>
      <c r="E268" s="26">
        <v>7.35</v>
      </c>
      <c r="F268" s="25">
        <v>4.88</v>
      </c>
      <c r="G268" s="25">
        <v>407.57000699999998</v>
      </c>
      <c r="H268" s="25">
        <v>1402.339966</v>
      </c>
      <c r="I268" s="19">
        <v>17101.5</v>
      </c>
    </row>
    <row r="269" spans="1:9" x14ac:dyDescent="0.2">
      <c r="A269" s="4">
        <v>33883</v>
      </c>
      <c r="B269" s="24">
        <v>1.4006000000000001</v>
      </c>
      <c r="C269" s="25">
        <v>119.74</v>
      </c>
      <c r="D269" s="25">
        <v>6.3</v>
      </c>
      <c r="E269" s="26">
        <v>7.39</v>
      </c>
      <c r="F269" s="25">
        <v>4.875</v>
      </c>
      <c r="G269" s="25">
        <v>407.17999300000002</v>
      </c>
      <c r="H269" s="25">
        <v>1421.48999</v>
      </c>
      <c r="I269" s="19">
        <v>17268.099610000001</v>
      </c>
    </row>
    <row r="270" spans="1:9" x14ac:dyDescent="0.2">
      <c r="A270" s="4">
        <v>33884</v>
      </c>
      <c r="B270" s="24">
        <v>1.4</v>
      </c>
      <c r="C270" s="25">
        <v>120.45</v>
      </c>
      <c r="D270" s="25">
        <v>6.46</v>
      </c>
      <c r="E270" s="26">
        <v>7.38</v>
      </c>
      <c r="F270" s="25">
        <v>4.9050000000000002</v>
      </c>
      <c r="G270" s="25">
        <v>404.25</v>
      </c>
      <c r="H270" s="25">
        <v>1434.6099850000001</v>
      </c>
      <c r="I270" s="19">
        <v>17111.740229999999</v>
      </c>
    </row>
    <row r="271" spans="1:9" x14ac:dyDescent="0.2">
      <c r="A271" s="4">
        <v>33885</v>
      </c>
      <c r="B271" s="24">
        <v>1.3686</v>
      </c>
      <c r="C271" s="25">
        <v>122.05</v>
      </c>
      <c r="D271" s="25">
        <v>6.41</v>
      </c>
      <c r="E271" s="26">
        <v>7.41</v>
      </c>
      <c r="F271" s="25">
        <v>4.9539999999999997</v>
      </c>
      <c r="G271" s="25">
        <v>407.75</v>
      </c>
      <c r="H271" s="25">
        <v>1446.3199460000001</v>
      </c>
      <c r="I271" s="19">
        <v>17335.509770000001</v>
      </c>
    </row>
    <row r="272" spans="1:9" x14ac:dyDescent="0.2">
      <c r="A272" s="4">
        <v>33886</v>
      </c>
      <c r="B272" s="24">
        <v>1.3609</v>
      </c>
      <c r="C272" s="25">
        <v>121.84</v>
      </c>
      <c r="D272" s="25">
        <v>6.52</v>
      </c>
      <c r="E272" s="26">
        <v>7.41</v>
      </c>
      <c r="F272" s="25">
        <v>4.9349999999999996</v>
      </c>
      <c r="G272" s="25">
        <v>402.66000400000001</v>
      </c>
      <c r="H272" s="25">
        <v>1437.650024</v>
      </c>
      <c r="I272" s="19">
        <v>17059.779299999998</v>
      </c>
    </row>
    <row r="273" spans="1:9" x14ac:dyDescent="0.2">
      <c r="A273" s="4">
        <v>33889</v>
      </c>
      <c r="B273" s="24">
        <v>1.3638999999999999</v>
      </c>
      <c r="C273" s="25">
        <v>120.75</v>
      </c>
      <c r="D273" s="25">
        <v>6.52</v>
      </c>
      <c r="E273" s="26">
        <v>7.47</v>
      </c>
      <c r="F273" s="25">
        <v>4.97</v>
      </c>
      <c r="G273" s="25">
        <v>407.44000199999999</v>
      </c>
      <c r="H273" s="25">
        <v>1441.5699460000001</v>
      </c>
      <c r="I273" s="19">
        <v>17302.009770000001</v>
      </c>
    </row>
    <row r="274" spans="1:9" x14ac:dyDescent="0.2">
      <c r="A274" s="4">
        <v>33890</v>
      </c>
      <c r="B274" s="24">
        <v>1.3655999999999999</v>
      </c>
      <c r="C274" s="25">
        <v>121.38</v>
      </c>
      <c r="D274" s="25">
        <v>6.51</v>
      </c>
      <c r="E274" s="26">
        <v>7.45</v>
      </c>
      <c r="F274" s="25">
        <v>4.9409999999999998</v>
      </c>
      <c r="G274" s="25">
        <v>409.29998799999998</v>
      </c>
      <c r="H274" s="25">
        <v>1471.6400149999999</v>
      </c>
      <c r="I274" s="19">
        <v>17490.66992</v>
      </c>
    </row>
    <row r="275" spans="1:9" x14ac:dyDescent="0.2">
      <c r="A275" s="4">
        <v>33891</v>
      </c>
      <c r="B275" s="24">
        <v>1.3729</v>
      </c>
      <c r="C275" s="25">
        <v>121.14</v>
      </c>
      <c r="D275" s="25">
        <v>6.51</v>
      </c>
      <c r="E275" s="26">
        <v>7.43</v>
      </c>
      <c r="F275" s="25">
        <v>4.9240000000000004</v>
      </c>
      <c r="G275" s="25">
        <v>409.36999500000002</v>
      </c>
      <c r="H275" s="25">
        <v>1453.9499510000001</v>
      </c>
      <c r="I275" s="19">
        <v>17344.029299999998</v>
      </c>
    </row>
    <row r="276" spans="1:9" x14ac:dyDescent="0.2">
      <c r="A276" s="4">
        <v>33892</v>
      </c>
      <c r="B276" s="24">
        <v>1.3868</v>
      </c>
      <c r="C276" s="25">
        <v>120.23</v>
      </c>
      <c r="D276" s="25">
        <v>6.53</v>
      </c>
      <c r="E276" s="26">
        <v>7.43</v>
      </c>
      <c r="F276" s="25">
        <v>4.9400000000000004</v>
      </c>
      <c r="G276" s="25">
        <v>409.60000600000001</v>
      </c>
      <c r="H276" s="25">
        <v>1453.790039</v>
      </c>
      <c r="I276" s="19">
        <v>17628.490229999999</v>
      </c>
    </row>
    <row r="277" spans="1:9" x14ac:dyDescent="0.2">
      <c r="A277" s="4">
        <v>33893</v>
      </c>
      <c r="B277" s="24">
        <v>1.3677999999999999</v>
      </c>
      <c r="C277" s="25">
        <v>119.41</v>
      </c>
      <c r="D277" s="25">
        <v>6.6</v>
      </c>
      <c r="E277" s="26">
        <v>7.37</v>
      </c>
      <c r="F277" s="25">
        <v>4.8949999999999996</v>
      </c>
      <c r="G277" s="25">
        <v>411.73001099999999</v>
      </c>
      <c r="H277" s="25">
        <v>1458.0200199999999</v>
      </c>
      <c r="I277" s="19">
        <v>17369.810549999998</v>
      </c>
    </row>
    <row r="278" spans="1:9" x14ac:dyDescent="0.2">
      <c r="A278" s="4">
        <v>33896</v>
      </c>
      <c r="B278" s="24">
        <v>1.3577999999999999</v>
      </c>
      <c r="C278" s="25">
        <v>120.57</v>
      </c>
      <c r="D278" s="25">
        <v>6.69</v>
      </c>
      <c r="E278" s="26">
        <v>7.34</v>
      </c>
      <c r="F278" s="25">
        <v>4.8849999999999998</v>
      </c>
      <c r="G278" s="25">
        <v>414.98001099999999</v>
      </c>
      <c r="H278" s="25">
        <v>1479.589966</v>
      </c>
      <c r="I278" s="19">
        <v>16903.810549999998</v>
      </c>
    </row>
    <row r="279" spans="1:9" x14ac:dyDescent="0.2">
      <c r="A279" s="4">
        <v>33897</v>
      </c>
      <c r="B279" s="24">
        <v>1.3277000000000001</v>
      </c>
      <c r="C279" s="25">
        <v>122.5</v>
      </c>
      <c r="D279" s="25">
        <v>6.86</v>
      </c>
      <c r="E279" s="26">
        <v>7.32</v>
      </c>
      <c r="F279" s="25">
        <v>4.9109999999999996</v>
      </c>
      <c r="G279" s="25">
        <v>415.48001099999999</v>
      </c>
      <c r="H279" s="25">
        <v>1504.8900149999999</v>
      </c>
      <c r="I279" s="19">
        <v>16987.660159999999</v>
      </c>
    </row>
    <row r="280" spans="1:9" x14ac:dyDescent="0.2">
      <c r="A280" s="4">
        <v>33898</v>
      </c>
      <c r="B280" s="24">
        <v>1.3387</v>
      </c>
      <c r="C280" s="25">
        <v>122.65</v>
      </c>
      <c r="D280" s="25">
        <v>6.8</v>
      </c>
      <c r="E280" s="26">
        <v>7.35</v>
      </c>
      <c r="F280" s="25">
        <v>4.931</v>
      </c>
      <c r="G280" s="25">
        <v>415.67001299999998</v>
      </c>
      <c r="H280" s="25">
        <v>1496.540039</v>
      </c>
      <c r="I280" s="19">
        <v>17141.519530000001</v>
      </c>
    </row>
    <row r="281" spans="1:9" x14ac:dyDescent="0.2">
      <c r="A281" s="4">
        <v>33899</v>
      </c>
      <c r="B281" s="24">
        <v>1.3313999999999999</v>
      </c>
      <c r="C281" s="25">
        <v>120.75</v>
      </c>
      <c r="D281" s="25">
        <v>6.74</v>
      </c>
      <c r="E281" s="26">
        <v>7.36</v>
      </c>
      <c r="F281" s="25">
        <v>4.8959999999999999</v>
      </c>
      <c r="G281" s="25">
        <v>414.89999399999999</v>
      </c>
      <c r="H281" s="25">
        <v>1511</v>
      </c>
      <c r="I281" s="19">
        <v>17013.039059999999</v>
      </c>
    </row>
    <row r="282" spans="1:9" x14ac:dyDescent="0.2">
      <c r="A282" s="4">
        <v>33900</v>
      </c>
      <c r="B282" s="24">
        <v>1.3173999999999999</v>
      </c>
      <c r="C282" s="25">
        <v>121.63</v>
      </c>
      <c r="D282" s="25">
        <v>6.83</v>
      </c>
      <c r="E282" s="26">
        <v>7.34</v>
      </c>
      <c r="F282" s="25">
        <v>4.88</v>
      </c>
      <c r="G282" s="25">
        <v>414.10000600000001</v>
      </c>
      <c r="H282" s="25">
        <v>1528.8599850000001</v>
      </c>
      <c r="I282" s="19">
        <v>17117.650389999999</v>
      </c>
    </row>
    <row r="283" spans="1:9" x14ac:dyDescent="0.2">
      <c r="A283" s="4">
        <v>33903</v>
      </c>
      <c r="B283" s="24">
        <v>1.3161</v>
      </c>
      <c r="C283" s="25">
        <v>122.05</v>
      </c>
      <c r="D283" s="25">
        <v>6.83</v>
      </c>
      <c r="E283" s="26">
        <v>7.32</v>
      </c>
      <c r="F283" s="25">
        <v>4.8890000000000002</v>
      </c>
      <c r="G283" s="25">
        <v>418.16000400000001</v>
      </c>
      <c r="H283" s="25">
        <v>1534.0200199999999</v>
      </c>
      <c r="I283" s="19">
        <v>17011.33008</v>
      </c>
    </row>
    <row r="284" spans="1:9" x14ac:dyDescent="0.2">
      <c r="A284" s="4">
        <v>33904</v>
      </c>
      <c r="B284" s="24">
        <v>1.3173999999999999</v>
      </c>
      <c r="C284" s="25">
        <v>122.2</v>
      </c>
      <c r="D284" s="25">
        <v>6.78</v>
      </c>
      <c r="E284" s="26">
        <v>7.34</v>
      </c>
      <c r="F284" s="25">
        <v>4.875</v>
      </c>
      <c r="G284" s="25">
        <v>418.48998999999998</v>
      </c>
      <c r="H284" s="25">
        <v>1536.599976</v>
      </c>
      <c r="I284" s="19">
        <v>17185.259770000001</v>
      </c>
    </row>
    <row r="285" spans="1:9" x14ac:dyDescent="0.2">
      <c r="A285" s="4">
        <v>33905</v>
      </c>
      <c r="B285" s="24">
        <v>1.3127</v>
      </c>
      <c r="C285" s="25">
        <v>123.19</v>
      </c>
      <c r="D285" s="25">
        <v>6.76</v>
      </c>
      <c r="E285" s="26">
        <v>7.37</v>
      </c>
      <c r="F285" s="25">
        <v>4.8540000000000001</v>
      </c>
      <c r="G285" s="25">
        <v>420.13000499999998</v>
      </c>
      <c r="H285" s="25">
        <v>1508.1899410000001</v>
      </c>
      <c r="I285" s="19">
        <v>17068.410159999999</v>
      </c>
    </row>
    <row r="286" spans="1:9" x14ac:dyDescent="0.2">
      <c r="A286" s="4">
        <v>33906</v>
      </c>
      <c r="B286" s="24">
        <v>1.3161</v>
      </c>
      <c r="C286" s="25">
        <v>123.27</v>
      </c>
      <c r="D286" s="25">
        <v>6.71</v>
      </c>
      <c r="E286" s="26">
        <v>7.37</v>
      </c>
      <c r="F286" s="25">
        <v>4.83</v>
      </c>
      <c r="G286" s="25">
        <v>420.85998499999999</v>
      </c>
      <c r="H286" s="25">
        <v>1493.540039</v>
      </c>
      <c r="I286" s="19">
        <v>16937.710940000001</v>
      </c>
    </row>
    <row r="287" spans="1:9" x14ac:dyDescent="0.2">
      <c r="A287" s="4">
        <v>33907</v>
      </c>
      <c r="B287" s="24">
        <v>1.3112999999999999</v>
      </c>
      <c r="C287" s="25">
        <v>123.45</v>
      </c>
      <c r="D287" s="25">
        <v>6.8</v>
      </c>
      <c r="E287" s="26">
        <v>7.38</v>
      </c>
      <c r="F287" s="25">
        <v>4.83</v>
      </c>
      <c r="G287" s="25">
        <v>418.67999300000002</v>
      </c>
      <c r="H287" s="25">
        <v>1489.6800539999999</v>
      </c>
      <c r="I287" s="19">
        <v>16767.400389999999</v>
      </c>
    </row>
    <row r="288" spans="1:9" x14ac:dyDescent="0.2">
      <c r="A288" s="4">
        <v>33910</v>
      </c>
      <c r="B288" s="24">
        <v>1.2911999999999999</v>
      </c>
      <c r="C288" s="25">
        <v>123.75</v>
      </c>
      <c r="D288" s="25">
        <v>6.88</v>
      </c>
      <c r="E288" s="26">
        <v>7.34</v>
      </c>
      <c r="F288" s="25">
        <v>4.82</v>
      </c>
      <c r="G288" s="25">
        <v>422.75</v>
      </c>
      <c r="H288" s="25">
        <v>1482.4399410000001</v>
      </c>
      <c r="I288" s="19">
        <v>16853.359380000002</v>
      </c>
    </row>
    <row r="289" spans="1:9" x14ac:dyDescent="0.2">
      <c r="A289" s="4">
        <v>33911</v>
      </c>
      <c r="B289" s="24">
        <v>1.2905</v>
      </c>
      <c r="C289" s="25">
        <v>122.65</v>
      </c>
      <c r="D289" s="25">
        <v>6.87</v>
      </c>
      <c r="E289" s="26">
        <v>7.33</v>
      </c>
      <c r="F289" s="25">
        <v>4.82</v>
      </c>
      <c r="G289" s="25">
        <v>419.92001299999998</v>
      </c>
      <c r="H289" s="25">
        <v>1483.339966</v>
      </c>
      <c r="I289" s="19">
        <v>16853.359380000002</v>
      </c>
    </row>
    <row r="290" spans="1:9" x14ac:dyDescent="0.2">
      <c r="A290" s="4">
        <v>33912</v>
      </c>
      <c r="B290" s="24">
        <v>1.2907</v>
      </c>
      <c r="C290" s="25">
        <v>123.2</v>
      </c>
      <c r="D290" s="25">
        <v>6.89</v>
      </c>
      <c r="E290" s="26">
        <v>7.33</v>
      </c>
      <c r="F290" s="25">
        <v>4.8140000000000001</v>
      </c>
      <c r="G290" s="25">
        <v>417.10998499999999</v>
      </c>
      <c r="H290" s="25">
        <v>1470.5699460000001</v>
      </c>
      <c r="I290" s="19">
        <v>17065.199219999999</v>
      </c>
    </row>
    <row r="291" spans="1:9" x14ac:dyDescent="0.2">
      <c r="A291" s="4">
        <v>33913</v>
      </c>
      <c r="B291" s="24">
        <v>1.2811999999999999</v>
      </c>
      <c r="C291" s="25">
        <v>122.84</v>
      </c>
      <c r="D291" s="25">
        <v>6.87</v>
      </c>
      <c r="E291" s="26">
        <v>7.33</v>
      </c>
      <c r="F291" s="25">
        <v>4.83</v>
      </c>
      <c r="G291" s="25">
        <v>418.33999599999999</v>
      </c>
      <c r="H291" s="25">
        <v>1484.839966</v>
      </c>
      <c r="I291" s="19">
        <v>17031.589840000001</v>
      </c>
    </row>
    <row r="292" spans="1:9" x14ac:dyDescent="0.2">
      <c r="A292" s="4">
        <v>33914</v>
      </c>
      <c r="B292" s="24">
        <v>1.2739</v>
      </c>
      <c r="C292" s="25">
        <v>123.44</v>
      </c>
      <c r="D292" s="25">
        <v>6.97</v>
      </c>
      <c r="E292" s="26">
        <v>7.31</v>
      </c>
      <c r="F292" s="25">
        <v>4.8499999999999996</v>
      </c>
      <c r="G292" s="25">
        <v>417.57998700000002</v>
      </c>
      <c r="H292" s="25">
        <v>1487.709961</v>
      </c>
      <c r="I292" s="19">
        <v>16869.810549999998</v>
      </c>
    </row>
    <row r="293" spans="1:9" x14ac:dyDescent="0.2">
      <c r="A293" s="4">
        <v>33917</v>
      </c>
      <c r="B293" s="24">
        <v>1.2765</v>
      </c>
      <c r="C293" s="25">
        <v>124.25</v>
      </c>
      <c r="D293" s="25">
        <v>7</v>
      </c>
      <c r="E293" s="26">
        <v>7.28</v>
      </c>
      <c r="F293" s="25">
        <v>4.7910000000000004</v>
      </c>
      <c r="G293" s="25">
        <v>418.58999599999999</v>
      </c>
      <c r="H293" s="25">
        <v>1508.630005</v>
      </c>
      <c r="I293" s="19">
        <v>16417.050780000001</v>
      </c>
    </row>
    <row r="294" spans="1:9" x14ac:dyDescent="0.2">
      <c r="A294" s="4">
        <v>33918</v>
      </c>
      <c r="B294" s="24">
        <v>1.2679</v>
      </c>
      <c r="C294" s="25">
        <v>124.25</v>
      </c>
      <c r="D294" s="25">
        <v>6.91</v>
      </c>
      <c r="E294" s="26">
        <v>7.29</v>
      </c>
      <c r="F294" s="25">
        <v>4.78</v>
      </c>
      <c r="G294" s="25">
        <v>418.61999500000002</v>
      </c>
      <c r="H294" s="25">
        <v>1515.2700199999999</v>
      </c>
      <c r="I294" s="19">
        <v>16437.109380000002</v>
      </c>
    </row>
    <row r="295" spans="1:9" x14ac:dyDescent="0.2">
      <c r="A295" s="4">
        <v>33919</v>
      </c>
      <c r="B295" s="24">
        <v>1.2767999999999999</v>
      </c>
      <c r="C295" s="25">
        <v>124.1</v>
      </c>
      <c r="D295" s="25">
        <v>6.91</v>
      </c>
      <c r="E295" s="26">
        <v>7.29</v>
      </c>
      <c r="F295" s="25">
        <v>4.7640000000000002</v>
      </c>
      <c r="G295" s="25">
        <v>422.20001200000002</v>
      </c>
      <c r="H295" s="25">
        <v>1509.839966</v>
      </c>
      <c r="I295" s="19">
        <v>16318.150390000001</v>
      </c>
    </row>
    <row r="296" spans="1:9" x14ac:dyDescent="0.2">
      <c r="A296" s="4">
        <v>33920</v>
      </c>
      <c r="B296" s="24">
        <v>1.276</v>
      </c>
      <c r="C296" s="25">
        <v>123.92</v>
      </c>
      <c r="D296" s="25">
        <v>6.79</v>
      </c>
      <c r="E296" s="26">
        <v>7.29</v>
      </c>
      <c r="F296" s="25">
        <v>4.7640000000000002</v>
      </c>
      <c r="G296" s="25">
        <v>422.86999500000002</v>
      </c>
      <c r="H296" s="25">
        <v>1542.280029</v>
      </c>
      <c r="I296" s="19">
        <v>16376.929690000001</v>
      </c>
    </row>
    <row r="297" spans="1:9" x14ac:dyDescent="0.2">
      <c r="A297" s="4">
        <v>33921</v>
      </c>
      <c r="B297" s="24">
        <v>1.29</v>
      </c>
      <c r="C297" s="25">
        <v>124.03</v>
      </c>
      <c r="D297" s="25">
        <v>6.82</v>
      </c>
      <c r="E297" s="26">
        <v>7.33</v>
      </c>
      <c r="F297" s="25">
        <v>4.74</v>
      </c>
      <c r="G297" s="25">
        <v>422.42999300000002</v>
      </c>
      <c r="H297" s="25">
        <v>1541.790039</v>
      </c>
      <c r="I297" s="19">
        <v>16330.79004</v>
      </c>
    </row>
    <row r="298" spans="1:9" x14ac:dyDescent="0.2">
      <c r="A298" s="4">
        <v>33924</v>
      </c>
      <c r="B298" s="24">
        <v>1.2754000000000001</v>
      </c>
      <c r="C298" s="25">
        <v>124.78</v>
      </c>
      <c r="D298" s="25">
        <v>6.9</v>
      </c>
      <c r="E298" s="26">
        <v>7.34</v>
      </c>
      <c r="F298" s="25">
        <v>4.7389999999999999</v>
      </c>
      <c r="G298" s="25">
        <v>420.67999300000002</v>
      </c>
      <c r="H298" s="25">
        <v>1542.4799800000001</v>
      </c>
      <c r="I298" s="19">
        <v>16162.990229999999</v>
      </c>
    </row>
    <row r="299" spans="1:9" x14ac:dyDescent="0.2">
      <c r="A299" s="4">
        <v>33925</v>
      </c>
      <c r="B299" s="24">
        <v>1.2644</v>
      </c>
      <c r="C299" s="25">
        <v>124.35</v>
      </c>
      <c r="D299" s="25">
        <v>6.86</v>
      </c>
      <c r="E299" s="26">
        <v>7.36</v>
      </c>
      <c r="F299" s="25">
        <v>4.7050000000000001</v>
      </c>
      <c r="G299" s="25">
        <v>419.26998900000001</v>
      </c>
      <c r="H299" s="25">
        <v>1550.2700199999999</v>
      </c>
      <c r="I299" s="19">
        <v>15993.48047</v>
      </c>
    </row>
    <row r="300" spans="1:9" x14ac:dyDescent="0.2">
      <c r="A300" s="4">
        <v>33926</v>
      </c>
      <c r="B300" s="24">
        <v>1.2748999999999999</v>
      </c>
      <c r="C300" s="25">
        <v>123.75</v>
      </c>
      <c r="D300" s="25">
        <v>6.78</v>
      </c>
      <c r="E300" s="26">
        <v>7.36</v>
      </c>
      <c r="F300" s="25">
        <v>4.7249999999999996</v>
      </c>
      <c r="G300" s="25">
        <v>422.85000600000001</v>
      </c>
      <c r="H300" s="25">
        <v>1550.2700199999999</v>
      </c>
      <c r="I300" s="19">
        <v>16778.839840000001</v>
      </c>
    </row>
    <row r="301" spans="1:9" x14ac:dyDescent="0.2">
      <c r="A301" s="4">
        <v>33927</v>
      </c>
      <c r="B301" s="24">
        <v>1.2831999999999999</v>
      </c>
      <c r="C301" s="25">
        <v>123.48</v>
      </c>
      <c r="D301" s="25">
        <v>6.81</v>
      </c>
      <c r="E301" s="26">
        <v>7.33</v>
      </c>
      <c r="F301" s="25">
        <v>4.8099999999999996</v>
      </c>
      <c r="G301" s="25">
        <v>423.60998499999999</v>
      </c>
      <c r="H301" s="25">
        <v>1543.369995</v>
      </c>
      <c r="I301" s="19">
        <v>16871.310549999998</v>
      </c>
    </row>
    <row r="302" spans="1:9" x14ac:dyDescent="0.2">
      <c r="A302" s="4">
        <v>33928</v>
      </c>
      <c r="B302" s="24">
        <v>1.2669999999999999</v>
      </c>
      <c r="C302" s="25">
        <v>124.33</v>
      </c>
      <c r="D302" s="25">
        <v>6.84</v>
      </c>
      <c r="E302" s="26">
        <v>7.29</v>
      </c>
      <c r="F302" s="25">
        <v>4.8150000000000004</v>
      </c>
      <c r="G302" s="25">
        <v>426.64999399999999</v>
      </c>
      <c r="H302" s="25">
        <v>1547.839966</v>
      </c>
      <c r="I302" s="19">
        <v>17033.599610000001</v>
      </c>
    </row>
    <row r="303" spans="1:9" x14ac:dyDescent="0.2">
      <c r="A303" s="4">
        <v>33931</v>
      </c>
      <c r="B303" s="24">
        <v>1.2579</v>
      </c>
      <c r="C303" s="25">
        <v>124.13</v>
      </c>
      <c r="D303" s="25">
        <v>6.86</v>
      </c>
      <c r="E303" s="26">
        <v>7.29</v>
      </c>
      <c r="F303" s="25">
        <v>4.8150000000000004</v>
      </c>
      <c r="G303" s="25">
        <v>425.11999500000002</v>
      </c>
      <c r="H303" s="25">
        <v>1523.619995</v>
      </c>
      <c r="I303" s="19">
        <v>17033.599610000001</v>
      </c>
    </row>
    <row r="304" spans="1:9" x14ac:dyDescent="0.2">
      <c r="A304" s="4">
        <v>33932</v>
      </c>
      <c r="B304" s="24">
        <v>1.2572000000000001</v>
      </c>
      <c r="C304" s="25">
        <v>123.88</v>
      </c>
      <c r="D304" s="25">
        <v>6.82</v>
      </c>
      <c r="E304" s="26">
        <v>7.28</v>
      </c>
      <c r="F304" s="25">
        <v>4.8</v>
      </c>
      <c r="G304" s="25">
        <v>427.58999599999999</v>
      </c>
      <c r="H304" s="25">
        <v>1526.6800539999999</v>
      </c>
      <c r="I304" s="19">
        <v>17096.089840000001</v>
      </c>
    </row>
    <row r="305" spans="1:9" x14ac:dyDescent="0.2">
      <c r="A305" s="4">
        <v>33933</v>
      </c>
      <c r="B305" s="24">
        <v>1.2705</v>
      </c>
      <c r="C305" s="25">
        <v>123.77</v>
      </c>
      <c r="D305" s="25">
        <v>6.84</v>
      </c>
      <c r="E305" s="26">
        <v>7.27</v>
      </c>
      <c r="F305" s="25">
        <v>4.8049999999999997</v>
      </c>
      <c r="G305" s="25">
        <v>429.19000199999999</v>
      </c>
      <c r="H305" s="25">
        <v>1513.420044</v>
      </c>
      <c r="I305" s="19">
        <v>17302.009770000001</v>
      </c>
    </row>
    <row r="306" spans="1:9" x14ac:dyDescent="0.2">
      <c r="A306" s="4">
        <v>33934</v>
      </c>
      <c r="B306" s="24">
        <v>1.2648999999999999</v>
      </c>
      <c r="C306" s="25">
        <v>124.15</v>
      </c>
      <c r="D306" s="25">
        <v>6.84</v>
      </c>
      <c r="E306" s="26">
        <v>7.29</v>
      </c>
      <c r="F306" s="25">
        <v>4.84</v>
      </c>
      <c r="G306" s="25">
        <v>429.91</v>
      </c>
      <c r="H306" s="25">
        <v>1523.0200199999999</v>
      </c>
      <c r="I306" s="19">
        <v>17479.039059999999</v>
      </c>
    </row>
    <row r="307" spans="1:9" x14ac:dyDescent="0.2">
      <c r="A307" s="4">
        <v>33935</v>
      </c>
      <c r="B307" s="24">
        <v>1.2575000000000001</v>
      </c>
      <c r="C307" s="25">
        <v>124.45</v>
      </c>
      <c r="D307" s="25">
        <v>6.93</v>
      </c>
      <c r="E307" s="26">
        <v>7.32</v>
      </c>
      <c r="F307" s="25">
        <v>4.8449999999999998</v>
      </c>
      <c r="G307" s="25">
        <v>430.16000400000001</v>
      </c>
      <c r="H307" s="25">
        <v>1529.6899410000001</v>
      </c>
      <c r="I307" s="19">
        <v>17470.609380000002</v>
      </c>
    </row>
    <row r="308" spans="1:9" x14ac:dyDescent="0.2">
      <c r="A308" s="4">
        <v>33938</v>
      </c>
      <c r="B308" s="24">
        <v>1.2623</v>
      </c>
      <c r="C308" s="25">
        <v>124.75</v>
      </c>
      <c r="D308" s="25">
        <v>6.95</v>
      </c>
      <c r="E308" s="26">
        <v>7.34</v>
      </c>
      <c r="F308" s="25">
        <v>4.88</v>
      </c>
      <c r="G308" s="25">
        <v>431.35000600000001</v>
      </c>
      <c r="H308" s="25">
        <v>1545.119995</v>
      </c>
      <c r="I308" s="19">
        <v>17683.650389999999</v>
      </c>
    </row>
    <row r="309" spans="1:9" x14ac:dyDescent="0.2">
      <c r="A309" s="4">
        <v>33939</v>
      </c>
      <c r="B309" s="24">
        <v>1.2648999999999999</v>
      </c>
      <c r="C309" s="25">
        <v>124.15</v>
      </c>
      <c r="D309" s="25">
        <v>6.94</v>
      </c>
      <c r="E309" s="26">
        <v>7.36</v>
      </c>
      <c r="F309" s="25">
        <v>4.835</v>
      </c>
      <c r="G309" s="25">
        <v>430.77999899999998</v>
      </c>
      <c r="H309" s="25">
        <v>1546.8199460000001</v>
      </c>
      <c r="I309" s="19">
        <v>17313.039059999999</v>
      </c>
    </row>
    <row r="310" spans="1:9" x14ac:dyDescent="0.2">
      <c r="A310" s="4">
        <v>33940</v>
      </c>
      <c r="B310" s="24">
        <v>1.2783</v>
      </c>
      <c r="C310" s="25">
        <v>124.49</v>
      </c>
      <c r="D310" s="25">
        <v>6.93</v>
      </c>
      <c r="E310" s="26">
        <v>7.37</v>
      </c>
      <c r="F310" s="25">
        <v>4.8099999999999996</v>
      </c>
      <c r="G310" s="25">
        <v>429.89001500000001</v>
      </c>
      <c r="H310" s="25">
        <v>1528.119995</v>
      </c>
      <c r="I310" s="19">
        <v>17393.679690000001</v>
      </c>
    </row>
    <row r="311" spans="1:9" x14ac:dyDescent="0.2">
      <c r="A311" s="4">
        <v>33941</v>
      </c>
      <c r="B311" s="24">
        <v>1.2728999999999999</v>
      </c>
      <c r="C311" s="25">
        <v>124.7</v>
      </c>
      <c r="D311" s="25">
        <v>6.91</v>
      </c>
      <c r="E311" s="26">
        <v>7.35</v>
      </c>
      <c r="F311" s="25">
        <v>4.8150000000000004</v>
      </c>
      <c r="G311" s="25">
        <v>429.91000400000001</v>
      </c>
      <c r="H311" s="25">
        <v>1530.650024</v>
      </c>
      <c r="I311" s="19">
        <v>17260.08008</v>
      </c>
    </row>
    <row r="312" spans="1:9" x14ac:dyDescent="0.2">
      <c r="A312" s="4">
        <v>33942</v>
      </c>
      <c r="B312" s="24">
        <v>1.2637</v>
      </c>
      <c r="C312" s="25">
        <v>124.95</v>
      </c>
      <c r="D312" s="25">
        <v>6.84</v>
      </c>
      <c r="E312" s="26">
        <v>7.33</v>
      </c>
      <c r="F312" s="25">
        <v>4.82</v>
      </c>
      <c r="G312" s="25">
        <v>432.05999800000001</v>
      </c>
      <c r="H312" s="25">
        <v>1526.25</v>
      </c>
      <c r="I312" s="19">
        <v>17295.689450000002</v>
      </c>
    </row>
    <row r="313" spans="1:9" x14ac:dyDescent="0.2">
      <c r="A313" s="4">
        <v>33945</v>
      </c>
      <c r="B313" s="24">
        <v>1.2785</v>
      </c>
      <c r="C313" s="25">
        <v>123.83</v>
      </c>
      <c r="D313" s="25">
        <v>6.78</v>
      </c>
      <c r="E313" s="26">
        <v>7.34</v>
      </c>
      <c r="F313" s="25">
        <v>4.82</v>
      </c>
      <c r="G313" s="25">
        <v>435.30999800000001</v>
      </c>
      <c r="H313" s="25">
        <v>1519.4799800000001</v>
      </c>
      <c r="I313" s="19">
        <v>17207.119139999999</v>
      </c>
    </row>
    <row r="314" spans="1:9" x14ac:dyDescent="0.2">
      <c r="A314" s="4">
        <v>33946</v>
      </c>
      <c r="B314" s="24">
        <v>1.2873000000000001</v>
      </c>
      <c r="C314" s="25">
        <v>123.8</v>
      </c>
      <c r="D314" s="25">
        <v>6.73</v>
      </c>
      <c r="E314" s="26">
        <v>7.35</v>
      </c>
      <c r="F314" s="25">
        <v>4.835</v>
      </c>
      <c r="G314" s="25">
        <v>436.98998999999998</v>
      </c>
      <c r="H314" s="25">
        <v>1506.650024</v>
      </c>
      <c r="I314" s="19">
        <v>17281.849610000001</v>
      </c>
    </row>
    <row r="315" spans="1:9" x14ac:dyDescent="0.2">
      <c r="A315" s="4">
        <v>33947</v>
      </c>
      <c r="B315" s="24">
        <v>1.2781</v>
      </c>
      <c r="C315" s="25">
        <v>124.05</v>
      </c>
      <c r="D315" s="25">
        <v>6.76</v>
      </c>
      <c r="E315" s="26">
        <v>7.34</v>
      </c>
      <c r="F315" s="25">
        <v>4.835</v>
      </c>
      <c r="G315" s="25">
        <v>435.64999399999999</v>
      </c>
      <c r="H315" s="25">
        <v>1504.3000489999999</v>
      </c>
      <c r="I315" s="19">
        <v>17406.220700000002</v>
      </c>
    </row>
    <row r="316" spans="1:9" x14ac:dyDescent="0.2">
      <c r="A316" s="4">
        <v>33948</v>
      </c>
      <c r="B316" s="24">
        <v>1.2767999999999999</v>
      </c>
      <c r="C316" s="25">
        <v>123.71</v>
      </c>
      <c r="D316" s="25">
        <v>6.77</v>
      </c>
      <c r="E316" s="26">
        <v>7.34</v>
      </c>
      <c r="F316" s="25">
        <v>4.835</v>
      </c>
      <c r="G316" s="25">
        <v>434.64001500000001</v>
      </c>
      <c r="H316" s="25">
        <v>1480.650024</v>
      </c>
      <c r="I316" s="19">
        <v>17501.300780000001</v>
      </c>
    </row>
    <row r="317" spans="1:9" x14ac:dyDescent="0.2">
      <c r="A317" s="4">
        <v>33949</v>
      </c>
      <c r="B317" s="24">
        <v>1.2739</v>
      </c>
      <c r="C317" s="25">
        <v>123.92</v>
      </c>
      <c r="D317" s="25">
        <v>6.8</v>
      </c>
      <c r="E317" s="26">
        <v>7.35</v>
      </c>
      <c r="F317" s="25">
        <v>4.84</v>
      </c>
      <c r="G317" s="25">
        <v>433.73001099999999</v>
      </c>
      <c r="H317" s="25">
        <v>1476.6999510000001</v>
      </c>
      <c r="I317" s="19">
        <v>17441.019530000001</v>
      </c>
    </row>
    <row r="318" spans="1:9" x14ac:dyDescent="0.2">
      <c r="A318" s="4">
        <v>33952</v>
      </c>
      <c r="B318" s="24">
        <v>1.2785</v>
      </c>
      <c r="C318" s="25">
        <v>123.7</v>
      </c>
      <c r="D318" s="25">
        <v>6.83</v>
      </c>
      <c r="E318" s="26">
        <v>7.36</v>
      </c>
      <c r="F318" s="25">
        <v>4.8949999999999996</v>
      </c>
      <c r="G318" s="25">
        <v>432.83999599999999</v>
      </c>
      <c r="H318" s="25">
        <v>1478.0699460000001</v>
      </c>
      <c r="I318" s="19">
        <v>17289.970700000002</v>
      </c>
    </row>
    <row r="319" spans="1:9" x14ac:dyDescent="0.2">
      <c r="A319" s="4">
        <v>33953</v>
      </c>
      <c r="B319" s="24">
        <v>1.2796000000000001</v>
      </c>
      <c r="C319" s="25">
        <v>124.09</v>
      </c>
      <c r="D319" s="25">
        <v>6.83</v>
      </c>
      <c r="E319" s="26">
        <v>7.35</v>
      </c>
      <c r="F319" s="25">
        <v>4.8849999999999998</v>
      </c>
      <c r="G319" s="25">
        <v>432.57000699999998</v>
      </c>
      <c r="H319" s="25">
        <v>1479.619995</v>
      </c>
      <c r="I319" s="19">
        <v>17480.740229999999</v>
      </c>
    </row>
    <row r="320" spans="1:9" x14ac:dyDescent="0.2">
      <c r="A320" s="4">
        <v>33954</v>
      </c>
      <c r="B320" s="24">
        <v>1.2892999999999999</v>
      </c>
      <c r="C320" s="25">
        <v>123</v>
      </c>
      <c r="D320" s="25">
        <v>6.77</v>
      </c>
      <c r="E320" s="26">
        <v>7.35</v>
      </c>
      <c r="F320" s="25">
        <v>4.8600000000000003</v>
      </c>
      <c r="G320" s="25">
        <v>431.51998900000001</v>
      </c>
      <c r="H320" s="25">
        <v>1477.5500489999999</v>
      </c>
      <c r="I320" s="19">
        <v>17268.710940000001</v>
      </c>
    </row>
    <row r="321" spans="1:9" x14ac:dyDescent="0.2">
      <c r="A321" s="4">
        <v>33955</v>
      </c>
      <c r="B321" s="24">
        <v>1.288</v>
      </c>
      <c r="C321" s="25">
        <v>122.72</v>
      </c>
      <c r="D321" s="25">
        <v>6.77</v>
      </c>
      <c r="E321" s="26">
        <v>7.36</v>
      </c>
      <c r="F321" s="25">
        <v>4.8600000000000003</v>
      </c>
      <c r="G321" s="25">
        <v>435.42999300000002</v>
      </c>
      <c r="H321" s="25">
        <v>1472.589966</v>
      </c>
      <c r="I321" s="19">
        <v>17437.910159999999</v>
      </c>
    </row>
    <row r="322" spans="1:9" x14ac:dyDescent="0.2">
      <c r="A322" s="4">
        <v>33956</v>
      </c>
      <c r="B322" s="24">
        <v>1.2806999999999999</v>
      </c>
      <c r="C322" s="25">
        <v>123.2</v>
      </c>
      <c r="D322" s="25">
        <v>6.76</v>
      </c>
      <c r="E322" s="26">
        <v>7.31</v>
      </c>
      <c r="F322" s="25">
        <v>4.8449999999999998</v>
      </c>
      <c r="G322" s="25">
        <v>441.27999899999998</v>
      </c>
      <c r="H322" s="25">
        <v>1495.599976</v>
      </c>
      <c r="I322" s="19">
        <v>17680.740229999999</v>
      </c>
    </row>
    <row r="323" spans="1:9" x14ac:dyDescent="0.2">
      <c r="A323" s="4">
        <v>33959</v>
      </c>
      <c r="B323" s="24">
        <v>1.2785</v>
      </c>
      <c r="C323" s="25">
        <v>123.1</v>
      </c>
      <c r="D323" s="25">
        <v>6.71</v>
      </c>
      <c r="E323" s="26">
        <v>7.31</v>
      </c>
      <c r="F323" s="25">
        <v>4.84</v>
      </c>
      <c r="G323" s="25">
        <v>440.70001200000002</v>
      </c>
      <c r="H323" s="25">
        <v>1517.4499510000001</v>
      </c>
      <c r="I323" s="19">
        <v>17645.439450000002</v>
      </c>
    </row>
    <row r="324" spans="1:9" x14ac:dyDescent="0.2">
      <c r="A324" s="4">
        <v>33960</v>
      </c>
      <c r="B324" s="24">
        <v>1.2639</v>
      </c>
      <c r="C324" s="25">
        <v>123.85</v>
      </c>
      <c r="D324" s="25">
        <v>6.65</v>
      </c>
      <c r="E324" s="26">
        <v>7.22</v>
      </c>
      <c r="F324" s="25">
        <v>4.8150000000000004</v>
      </c>
      <c r="G324" s="25">
        <v>440.30999800000001</v>
      </c>
      <c r="H324" s="25">
        <v>1520.9300539999999</v>
      </c>
      <c r="I324" s="19">
        <v>17690.66992</v>
      </c>
    </row>
    <row r="325" spans="1:9" x14ac:dyDescent="0.2">
      <c r="A325" s="4">
        <v>33961</v>
      </c>
      <c r="B325" s="24">
        <v>1.2593000000000001</v>
      </c>
      <c r="C325" s="25">
        <v>123.86</v>
      </c>
      <c r="D325" s="25">
        <v>6.68</v>
      </c>
      <c r="E325" s="26">
        <v>7.21</v>
      </c>
      <c r="F325" s="25">
        <v>4.8150000000000004</v>
      </c>
      <c r="G325" s="25">
        <v>439.02999899999998</v>
      </c>
      <c r="H325" s="25">
        <v>1527.0600589999999</v>
      </c>
      <c r="I325" s="19">
        <v>17690.66992</v>
      </c>
    </row>
    <row r="326" spans="1:9" x14ac:dyDescent="0.2">
      <c r="A326" s="4">
        <v>33962</v>
      </c>
      <c r="B326" s="24">
        <v>1.2602</v>
      </c>
      <c r="C326" s="25">
        <v>123.95</v>
      </c>
      <c r="D326" s="25">
        <v>6.69</v>
      </c>
      <c r="E326" s="26">
        <v>7.21</v>
      </c>
      <c r="F326" s="25">
        <v>4.8</v>
      </c>
      <c r="G326" s="25">
        <v>439.76998900000001</v>
      </c>
      <c r="H326" s="25">
        <v>1527.0600589999999</v>
      </c>
      <c r="I326" s="19">
        <v>17648.849610000001</v>
      </c>
    </row>
    <row r="327" spans="1:9" x14ac:dyDescent="0.2">
      <c r="A327" s="4">
        <v>33963</v>
      </c>
      <c r="B327" s="24">
        <v>1.2602</v>
      </c>
      <c r="C327" s="25">
        <v>123.7</v>
      </c>
      <c r="D327" s="25">
        <v>6.69</v>
      </c>
      <c r="E327" s="26">
        <v>7.21</v>
      </c>
      <c r="F327" s="25">
        <v>4.79</v>
      </c>
      <c r="G327" s="25">
        <v>435.71</v>
      </c>
      <c r="H327" s="25">
        <v>1527.0600589999999</v>
      </c>
      <c r="I327" s="19">
        <v>17557.039059999999</v>
      </c>
    </row>
    <row r="328" spans="1:9" x14ac:dyDescent="0.2">
      <c r="A328" s="4">
        <v>33966</v>
      </c>
      <c r="B328" s="24">
        <v>1.2602</v>
      </c>
      <c r="C328" s="25">
        <v>124.95</v>
      </c>
      <c r="D328" s="25">
        <v>6.72</v>
      </c>
      <c r="E328" s="26">
        <v>7.17</v>
      </c>
      <c r="F328" s="25">
        <v>4.79</v>
      </c>
      <c r="G328" s="25">
        <v>439.14999399999999</v>
      </c>
      <c r="H328" s="25">
        <v>1547.51001</v>
      </c>
      <c r="I328" s="19">
        <v>17188.619139999999</v>
      </c>
    </row>
    <row r="329" spans="1:9" x14ac:dyDescent="0.2">
      <c r="A329" s="4">
        <v>33967</v>
      </c>
      <c r="B329" s="24">
        <v>1.2372000000000001</v>
      </c>
      <c r="C329" s="25">
        <v>124.73</v>
      </c>
      <c r="D329" s="25">
        <v>6.69</v>
      </c>
      <c r="E329" s="26">
        <v>7.2</v>
      </c>
      <c r="F329" s="25">
        <v>4.8049999999999997</v>
      </c>
      <c r="G329" s="25">
        <v>437.98001099999999</v>
      </c>
      <c r="H329" s="25">
        <v>1545.8199460000001</v>
      </c>
      <c r="I329" s="19">
        <v>17285.640630000002</v>
      </c>
    </row>
    <row r="330" spans="1:9" x14ac:dyDescent="0.2">
      <c r="A330" s="4">
        <v>33968</v>
      </c>
      <c r="B330" s="24">
        <v>1.2408999999999999</v>
      </c>
      <c r="C330" s="25">
        <v>124.65</v>
      </c>
      <c r="D330" s="25">
        <v>6.68</v>
      </c>
      <c r="E330" s="26">
        <v>7.19</v>
      </c>
      <c r="F330" s="25">
        <v>4.7750000000000004</v>
      </c>
      <c r="G330" s="25">
        <v>438.82000699999998</v>
      </c>
      <c r="H330" s="25">
        <v>1538.4300539999999</v>
      </c>
      <c r="I330" s="19">
        <v>16924.949219999999</v>
      </c>
    </row>
    <row r="331" spans="1:9" x14ac:dyDescent="0.2">
      <c r="A331" s="4">
        <v>33969</v>
      </c>
      <c r="B331" s="24">
        <v>1.2369000000000001</v>
      </c>
      <c r="C331" s="25">
        <v>124.86</v>
      </c>
      <c r="D331" s="25">
        <v>6.7</v>
      </c>
      <c r="E331" s="26">
        <v>7.19</v>
      </c>
      <c r="F331" s="25">
        <v>4.7750000000000004</v>
      </c>
      <c r="G331" s="25">
        <v>435.709991</v>
      </c>
      <c r="H331" s="25">
        <v>1538.4300539999999</v>
      </c>
      <c r="I331" s="19">
        <v>16924.949219999999</v>
      </c>
    </row>
    <row r="332" spans="1:9" x14ac:dyDescent="0.2">
      <c r="A332" s="4">
        <v>33970</v>
      </c>
      <c r="B332" s="24">
        <v>1.2369000000000001</v>
      </c>
      <c r="C332" s="25">
        <v>124.86</v>
      </c>
      <c r="D332" s="25">
        <v>6.7</v>
      </c>
      <c r="E332" s="26">
        <v>7.26</v>
      </c>
      <c r="F332" s="25">
        <v>4.7750000000000004</v>
      </c>
      <c r="G332" s="25">
        <v>429.05</v>
      </c>
      <c r="H332" s="25">
        <v>1538.4300539999999</v>
      </c>
      <c r="I332" s="19">
        <v>16924.949219999999</v>
      </c>
    </row>
    <row r="333" spans="1:9" x14ac:dyDescent="0.2">
      <c r="A333" s="4">
        <v>33973</v>
      </c>
      <c r="B333" s="24">
        <v>1.2179</v>
      </c>
      <c r="C333" s="25">
        <v>125.35</v>
      </c>
      <c r="D333" s="25">
        <v>6.6</v>
      </c>
      <c r="E333" s="26">
        <v>7.27</v>
      </c>
      <c r="F333" s="25">
        <v>4.7850000000000001</v>
      </c>
      <c r="G333" s="25">
        <v>435.38000499999998</v>
      </c>
      <c r="H333" s="25">
        <v>1538.040039</v>
      </c>
      <c r="I333" s="19">
        <v>16994.08008</v>
      </c>
    </row>
    <row r="334" spans="1:9" x14ac:dyDescent="0.2">
      <c r="A334" s="4">
        <v>33974</v>
      </c>
      <c r="B334" s="24">
        <v>1.2215</v>
      </c>
      <c r="C334" s="25">
        <v>124.85</v>
      </c>
      <c r="D334" s="25">
        <v>6.61</v>
      </c>
      <c r="E334" s="26">
        <v>7.18</v>
      </c>
      <c r="F334" s="25">
        <v>4.7549999999999999</v>
      </c>
      <c r="G334" s="25">
        <v>434.33999599999999</v>
      </c>
      <c r="H334" s="25">
        <v>1554.030029</v>
      </c>
      <c r="I334" s="19">
        <v>16842.58008</v>
      </c>
    </row>
    <row r="335" spans="1:9" x14ac:dyDescent="0.2">
      <c r="A335" s="4">
        <v>33975</v>
      </c>
      <c r="B335" s="24">
        <v>1.2194</v>
      </c>
      <c r="C335" s="25">
        <v>125.17</v>
      </c>
      <c r="D335" s="25">
        <v>6.63</v>
      </c>
      <c r="E335" s="26">
        <v>7.18</v>
      </c>
      <c r="F335" s="25">
        <v>4.7450000000000001</v>
      </c>
      <c r="G335" s="25">
        <v>434.51998900000001</v>
      </c>
      <c r="H335" s="25">
        <v>1551.170044</v>
      </c>
      <c r="I335" s="19">
        <v>16782.880860000001</v>
      </c>
    </row>
    <row r="336" spans="1:9" x14ac:dyDescent="0.2">
      <c r="A336" s="4">
        <v>33976</v>
      </c>
      <c r="B336" s="24">
        <v>1.2215</v>
      </c>
      <c r="C336" s="25">
        <v>125.29</v>
      </c>
      <c r="D336" s="25">
        <v>6.76</v>
      </c>
      <c r="E336" s="26">
        <v>7.18</v>
      </c>
      <c r="F336" s="25">
        <v>4.72</v>
      </c>
      <c r="G336" s="25">
        <v>430.73001099999999</v>
      </c>
      <c r="H336" s="25">
        <v>1538.369995</v>
      </c>
      <c r="I336" s="19">
        <v>16780.980469999999</v>
      </c>
    </row>
    <row r="337" spans="1:9" x14ac:dyDescent="0.2">
      <c r="A337" s="4">
        <v>33977</v>
      </c>
      <c r="B337" s="24">
        <v>1.2189000000000001</v>
      </c>
      <c r="C337" s="25">
        <v>125.45</v>
      </c>
      <c r="D337" s="25">
        <v>6.75</v>
      </c>
      <c r="E337" s="26">
        <v>7.17</v>
      </c>
      <c r="F337" s="25">
        <v>4.7300000000000004</v>
      </c>
      <c r="G337" s="25">
        <v>429.04998799999998</v>
      </c>
      <c r="H337" s="25">
        <v>1529.099976</v>
      </c>
      <c r="I337" s="19">
        <v>16634.689450000002</v>
      </c>
    </row>
    <row r="338" spans="1:9" x14ac:dyDescent="0.2">
      <c r="A338" s="4">
        <v>33980</v>
      </c>
      <c r="B338" s="24">
        <v>1.2304999999999999</v>
      </c>
      <c r="C338" s="25">
        <v>125.15</v>
      </c>
      <c r="D338" s="25">
        <v>6.71</v>
      </c>
      <c r="E338" s="26">
        <v>7.15</v>
      </c>
      <c r="F338" s="25">
        <v>4.7439999999999998</v>
      </c>
      <c r="G338" s="25">
        <v>430.95001200000002</v>
      </c>
      <c r="H338" s="25">
        <v>1522.26001</v>
      </c>
      <c r="I338" s="19">
        <v>16589.550780000001</v>
      </c>
    </row>
    <row r="339" spans="1:9" x14ac:dyDescent="0.2">
      <c r="A339" s="4">
        <v>33981</v>
      </c>
      <c r="B339" s="24">
        <v>1.2256</v>
      </c>
      <c r="C339" s="25">
        <v>125.35</v>
      </c>
      <c r="D339" s="25">
        <v>6.72</v>
      </c>
      <c r="E339" s="26">
        <v>7.14</v>
      </c>
      <c r="F339" s="25">
        <v>4.7050000000000001</v>
      </c>
      <c r="G339" s="25">
        <v>431.040009</v>
      </c>
      <c r="H339" s="25">
        <v>1533.790039</v>
      </c>
      <c r="I339" s="19">
        <v>16681.050780000001</v>
      </c>
    </row>
    <row r="340" spans="1:9" x14ac:dyDescent="0.2">
      <c r="A340" s="4">
        <v>33982</v>
      </c>
      <c r="B340" s="24">
        <v>1.2253000000000001</v>
      </c>
      <c r="C340" s="25">
        <v>125.67</v>
      </c>
      <c r="D340" s="25">
        <v>6.71</v>
      </c>
      <c r="E340" s="26">
        <v>7.16</v>
      </c>
      <c r="F340" s="25">
        <v>4.6749999999999998</v>
      </c>
      <c r="G340" s="25">
        <v>433.02999899999998</v>
      </c>
      <c r="H340" s="25">
        <v>1510.1800539999999</v>
      </c>
      <c r="I340" s="19">
        <v>16517.910159999999</v>
      </c>
    </row>
    <row r="341" spans="1:9" x14ac:dyDescent="0.2">
      <c r="A341" s="4">
        <v>33983</v>
      </c>
      <c r="B341" s="24">
        <v>1.232</v>
      </c>
      <c r="C341" s="25">
        <v>125.88</v>
      </c>
      <c r="D341" s="25">
        <v>6.65</v>
      </c>
      <c r="E341" s="26">
        <v>7.14</v>
      </c>
      <c r="F341" s="25">
        <v>4.6900000000000004</v>
      </c>
      <c r="G341" s="25">
        <v>435.94000199999999</v>
      </c>
      <c r="H341" s="25">
        <v>1526.910034</v>
      </c>
      <c r="I341" s="19">
        <v>16515.599610000001</v>
      </c>
    </row>
    <row r="342" spans="1:9" x14ac:dyDescent="0.2">
      <c r="A342" s="4">
        <v>33984</v>
      </c>
      <c r="B342" s="24">
        <v>1.2281</v>
      </c>
      <c r="C342" s="25">
        <v>126.1</v>
      </c>
      <c r="D342" s="25">
        <v>6.6</v>
      </c>
      <c r="E342" s="26">
        <v>7.13</v>
      </c>
      <c r="F342" s="25">
        <v>4.6900000000000004</v>
      </c>
      <c r="G342" s="25">
        <v>437.14999399999999</v>
      </c>
      <c r="H342" s="25">
        <v>1555.5200199999999</v>
      </c>
      <c r="I342" s="19">
        <v>16515.599610000001</v>
      </c>
    </row>
    <row r="343" spans="1:9" x14ac:dyDescent="0.2">
      <c r="A343" s="4">
        <v>33987</v>
      </c>
      <c r="B343" s="24">
        <v>1.2359</v>
      </c>
      <c r="C343" s="25">
        <v>125.65</v>
      </c>
      <c r="D343" s="25">
        <v>6.6</v>
      </c>
      <c r="E343" s="26">
        <v>7.11</v>
      </c>
      <c r="F343" s="25">
        <v>4.6100000000000003</v>
      </c>
      <c r="G343" s="25">
        <v>436.83999599999999</v>
      </c>
      <c r="H343" s="25">
        <v>1581.48999</v>
      </c>
      <c r="I343" s="19">
        <v>16617.240229999999</v>
      </c>
    </row>
    <row r="344" spans="1:9" x14ac:dyDescent="0.2">
      <c r="A344" s="4">
        <v>33988</v>
      </c>
      <c r="B344" s="24">
        <v>1.2425999999999999</v>
      </c>
      <c r="C344" s="25">
        <v>125.47</v>
      </c>
      <c r="D344" s="25">
        <v>6.59</v>
      </c>
      <c r="E344" s="26">
        <v>7.11</v>
      </c>
      <c r="F344" s="25">
        <v>4.5949999999999998</v>
      </c>
      <c r="G344" s="25">
        <v>435.13000499999998</v>
      </c>
      <c r="H344" s="25">
        <v>1572.6099850000001</v>
      </c>
      <c r="I344" s="19">
        <v>16798.640630000002</v>
      </c>
    </row>
    <row r="345" spans="1:9" x14ac:dyDescent="0.2">
      <c r="A345" s="4">
        <v>33989</v>
      </c>
      <c r="B345" s="24">
        <v>1.2468999999999999</v>
      </c>
      <c r="C345" s="25">
        <v>124.7</v>
      </c>
      <c r="D345" s="25">
        <v>6.61</v>
      </c>
      <c r="E345" s="26">
        <v>7.13</v>
      </c>
      <c r="F345" s="25">
        <v>4.5750000000000002</v>
      </c>
      <c r="G345" s="25">
        <v>433.36999500000002</v>
      </c>
      <c r="H345" s="25">
        <v>1572.6899410000001</v>
      </c>
      <c r="I345" s="19">
        <v>16510.179690000001</v>
      </c>
    </row>
    <row r="346" spans="1:9" x14ac:dyDescent="0.2">
      <c r="A346" s="4">
        <v>33990</v>
      </c>
      <c r="B346" s="24">
        <v>1.2393000000000001</v>
      </c>
      <c r="C346" s="25">
        <v>124.95</v>
      </c>
      <c r="D346" s="25">
        <v>6.6</v>
      </c>
      <c r="E346" s="26">
        <v>7.14</v>
      </c>
      <c r="F346" s="25">
        <v>4.5910000000000002</v>
      </c>
      <c r="G346" s="25">
        <v>435.48998999999998</v>
      </c>
      <c r="H346" s="25">
        <v>1580.6400149999999</v>
      </c>
      <c r="I346" s="19">
        <v>16538.679690000001</v>
      </c>
    </row>
    <row r="347" spans="1:9" x14ac:dyDescent="0.2">
      <c r="A347" s="4">
        <v>33991</v>
      </c>
      <c r="B347" s="24">
        <v>1.2491000000000001</v>
      </c>
      <c r="C347" s="25">
        <v>125.19</v>
      </c>
      <c r="D347" s="25">
        <v>6.57</v>
      </c>
      <c r="E347" s="26">
        <v>7.13</v>
      </c>
      <c r="F347" s="25">
        <v>4.5810000000000004</v>
      </c>
      <c r="G347" s="25">
        <v>436.10998499999999</v>
      </c>
      <c r="H347" s="25">
        <v>1593.349976</v>
      </c>
      <c r="I347" s="19">
        <v>16336.809569999999</v>
      </c>
    </row>
    <row r="348" spans="1:9" x14ac:dyDescent="0.2">
      <c r="A348" s="4">
        <v>33994</v>
      </c>
      <c r="B348" s="24">
        <v>1.2724</v>
      </c>
      <c r="C348" s="25">
        <v>123.35</v>
      </c>
      <c r="D348" s="25">
        <v>6.48</v>
      </c>
      <c r="E348" s="26">
        <v>7.16</v>
      </c>
      <c r="F348" s="25">
        <v>4.57</v>
      </c>
      <c r="G348" s="25">
        <v>440.01001000000002</v>
      </c>
      <c r="H348" s="25">
        <v>1571.280029</v>
      </c>
      <c r="I348" s="19">
        <v>16287.450199999999</v>
      </c>
    </row>
    <row r="349" spans="1:9" x14ac:dyDescent="0.2">
      <c r="A349" s="4">
        <v>33995</v>
      </c>
      <c r="B349" s="24">
        <v>1.2689999999999999</v>
      </c>
      <c r="C349" s="25">
        <v>123.58</v>
      </c>
      <c r="D349" s="25">
        <v>6.5</v>
      </c>
      <c r="E349" s="26">
        <v>7.16</v>
      </c>
      <c r="F349" s="25">
        <v>4.5759999999999996</v>
      </c>
      <c r="G349" s="25">
        <v>439.95001200000002</v>
      </c>
      <c r="H349" s="25">
        <v>1575.589966</v>
      </c>
      <c r="I349" s="19">
        <v>16492.630860000001</v>
      </c>
    </row>
    <row r="350" spans="1:9" x14ac:dyDescent="0.2">
      <c r="A350" s="4">
        <v>33996</v>
      </c>
      <c r="B350" s="24">
        <v>1.2623</v>
      </c>
      <c r="C350" s="25">
        <v>124.16</v>
      </c>
      <c r="D350" s="25">
        <v>6.48</v>
      </c>
      <c r="E350" s="26">
        <v>7.18</v>
      </c>
      <c r="F350" s="25">
        <v>4.5890000000000004</v>
      </c>
      <c r="G350" s="25">
        <v>438.10998499999999</v>
      </c>
      <c r="H350" s="25">
        <v>1561.780029</v>
      </c>
      <c r="I350" s="19">
        <v>16509.679690000001</v>
      </c>
    </row>
    <row r="351" spans="1:9" x14ac:dyDescent="0.2">
      <c r="A351" s="4">
        <v>33997</v>
      </c>
      <c r="B351" s="24">
        <v>1.2575000000000001</v>
      </c>
      <c r="C351" s="25">
        <v>124.17</v>
      </c>
      <c r="D351" s="25">
        <v>6.44</v>
      </c>
      <c r="E351" s="26">
        <v>7.17</v>
      </c>
      <c r="F351" s="25">
        <v>4.5709999999999997</v>
      </c>
      <c r="G351" s="25">
        <v>438.66000400000001</v>
      </c>
      <c r="H351" s="25">
        <v>1572.6800539999999</v>
      </c>
      <c r="I351" s="19">
        <v>17063.410159999999</v>
      </c>
    </row>
    <row r="352" spans="1:9" x14ac:dyDescent="0.2">
      <c r="A352" s="4">
        <v>33998</v>
      </c>
      <c r="B352" s="24">
        <v>1.2403999999999999</v>
      </c>
      <c r="C352" s="25">
        <v>124.73</v>
      </c>
      <c r="D352" s="25">
        <v>6.39</v>
      </c>
      <c r="E352" s="26">
        <v>7.14</v>
      </c>
      <c r="F352" s="25">
        <v>4.5880000000000001</v>
      </c>
      <c r="G352" s="25">
        <v>438.77999899999998</v>
      </c>
      <c r="H352" s="25">
        <v>1574.040039</v>
      </c>
      <c r="I352" s="19">
        <v>17023.779299999998</v>
      </c>
    </row>
    <row r="353" spans="1:9" x14ac:dyDescent="0.2">
      <c r="A353" s="4">
        <v>34001</v>
      </c>
      <c r="B353" s="24">
        <v>1.2216</v>
      </c>
      <c r="C353" s="25">
        <v>125.1</v>
      </c>
      <c r="D353" s="25">
        <v>6.38</v>
      </c>
      <c r="E353" s="26">
        <v>7.05</v>
      </c>
      <c r="F353" s="25">
        <v>4.5590000000000002</v>
      </c>
      <c r="G353" s="25">
        <v>442.51998900000001</v>
      </c>
      <c r="H353" s="25">
        <v>1590.329956</v>
      </c>
      <c r="I353" s="19">
        <v>17133.640630000002</v>
      </c>
    </row>
    <row r="354" spans="1:9" x14ac:dyDescent="0.2">
      <c r="A354" s="4">
        <v>34002</v>
      </c>
      <c r="B354" s="24">
        <v>1.2136</v>
      </c>
      <c r="C354" s="25">
        <v>124.65</v>
      </c>
      <c r="D354" s="25">
        <v>6.46</v>
      </c>
      <c r="E354" s="26">
        <v>7.04</v>
      </c>
      <c r="F354" s="25">
        <v>4.5179999999999998</v>
      </c>
      <c r="G354" s="25">
        <v>442.54998799999998</v>
      </c>
      <c r="H354" s="25">
        <v>1584.1400149999999</v>
      </c>
      <c r="I354" s="19">
        <v>17186.310549999998</v>
      </c>
    </row>
    <row r="355" spans="1:9" x14ac:dyDescent="0.2">
      <c r="A355" s="4">
        <v>34003</v>
      </c>
      <c r="B355" s="24">
        <v>1.2122999999999999</v>
      </c>
      <c r="C355" s="25">
        <v>124.45</v>
      </c>
      <c r="D355" s="25">
        <v>6.45</v>
      </c>
      <c r="E355" s="26">
        <v>7.02</v>
      </c>
      <c r="F355" s="25">
        <v>4.569</v>
      </c>
      <c r="G355" s="25">
        <v>447.20001200000002</v>
      </c>
      <c r="H355" s="25">
        <v>1605.910034</v>
      </c>
      <c r="I355" s="19">
        <v>17222.029299999998</v>
      </c>
    </row>
    <row r="356" spans="1:9" x14ac:dyDescent="0.2">
      <c r="A356" s="18">
        <v>34004</v>
      </c>
      <c r="B356" s="24">
        <v>1.2035</v>
      </c>
      <c r="C356" s="25">
        <v>124.75</v>
      </c>
      <c r="D356" s="25">
        <v>6.39</v>
      </c>
      <c r="E356" s="26">
        <v>7.01</v>
      </c>
      <c r="F356" s="25">
        <v>4.5739999999999998</v>
      </c>
      <c r="G356" s="25">
        <v>449.55999800000001</v>
      </c>
      <c r="H356" s="25">
        <v>1615.9799800000001</v>
      </c>
      <c r="I356" s="19">
        <v>17190.630860000001</v>
      </c>
    </row>
    <row r="357" spans="1:9" x14ac:dyDescent="0.2">
      <c r="A357" s="18">
        <v>34005</v>
      </c>
      <c r="B357" s="24">
        <v>1.2085999999999999</v>
      </c>
      <c r="C357" s="25">
        <v>124.45</v>
      </c>
      <c r="D357" s="25">
        <v>6.32</v>
      </c>
      <c r="E357" s="26">
        <v>7.01</v>
      </c>
      <c r="F357" s="25">
        <v>4.5030000000000001</v>
      </c>
      <c r="G357" s="25">
        <v>448.92999300000002</v>
      </c>
      <c r="H357" s="25">
        <v>1643.829956</v>
      </c>
      <c r="I357" s="19">
        <v>17332.900389999999</v>
      </c>
    </row>
    <row r="358" spans="1:9" x14ac:dyDescent="0.2">
      <c r="A358" s="4">
        <v>34008</v>
      </c>
      <c r="B358" s="24">
        <v>1.2054</v>
      </c>
      <c r="C358" s="25">
        <v>123.81</v>
      </c>
      <c r="D358" s="25">
        <v>6.37</v>
      </c>
      <c r="E358" s="26">
        <v>7.01</v>
      </c>
      <c r="F358" s="25">
        <v>4.54</v>
      </c>
      <c r="G358" s="25">
        <v>447.85000600000001</v>
      </c>
      <c r="H358" s="25">
        <v>1646.849976</v>
      </c>
      <c r="I358" s="19">
        <v>17281.730469999999</v>
      </c>
    </row>
    <row r="359" spans="1:9" x14ac:dyDescent="0.2">
      <c r="A359" s="4">
        <v>34009</v>
      </c>
      <c r="B359" s="24">
        <v>1.2076</v>
      </c>
      <c r="C359" s="25">
        <v>121.25</v>
      </c>
      <c r="D359" s="25">
        <v>6.41</v>
      </c>
      <c r="E359" s="26">
        <v>7.02</v>
      </c>
      <c r="F359" s="25">
        <v>4.47</v>
      </c>
      <c r="G359" s="25">
        <v>445.32998700000002</v>
      </c>
      <c r="H359" s="25">
        <v>1639.119995</v>
      </c>
      <c r="I359" s="19">
        <v>17022.269530000001</v>
      </c>
    </row>
    <row r="360" spans="1:9" x14ac:dyDescent="0.2">
      <c r="A360" s="4">
        <v>34010</v>
      </c>
      <c r="B360" s="24">
        <v>1.2069000000000001</v>
      </c>
      <c r="C360" s="25">
        <v>121.45</v>
      </c>
      <c r="D360" s="25">
        <v>6.4</v>
      </c>
      <c r="E360" s="26">
        <v>7</v>
      </c>
      <c r="F360" s="25">
        <v>4.4409999999999998</v>
      </c>
      <c r="G360" s="25">
        <v>446.23001099999999</v>
      </c>
      <c r="H360" s="25">
        <v>1642.8000489999999</v>
      </c>
      <c r="I360" s="19">
        <v>17089.900389999999</v>
      </c>
    </row>
    <row r="361" spans="1:9" x14ac:dyDescent="0.2">
      <c r="A361" s="4">
        <v>34011</v>
      </c>
      <c r="B361" s="24">
        <v>1.2015</v>
      </c>
      <c r="C361" s="25">
        <v>121.3</v>
      </c>
      <c r="D361" s="25">
        <v>6.37</v>
      </c>
      <c r="E361" s="26">
        <v>6.99</v>
      </c>
      <c r="F361" s="25">
        <v>4.4409999999999998</v>
      </c>
      <c r="G361" s="25">
        <v>447.66000400000001</v>
      </c>
      <c r="H361" s="25">
        <v>1659.0699460000001</v>
      </c>
      <c r="I361" s="19">
        <v>17089.900389999999</v>
      </c>
    </row>
    <row r="362" spans="1:9" x14ac:dyDescent="0.2">
      <c r="A362" s="4">
        <v>34012</v>
      </c>
      <c r="B362" s="24">
        <v>1.2011000000000001</v>
      </c>
      <c r="C362" s="25">
        <v>120.7</v>
      </c>
      <c r="D362" s="25">
        <v>6.35</v>
      </c>
      <c r="E362" s="26">
        <v>6.99</v>
      </c>
      <c r="F362" s="25">
        <v>4.415</v>
      </c>
      <c r="G362" s="25">
        <v>444.57998700000002</v>
      </c>
      <c r="H362" s="25">
        <v>1649.6400149999999</v>
      </c>
      <c r="I362" s="19">
        <v>16851.509770000001</v>
      </c>
    </row>
    <row r="363" spans="1:9" x14ac:dyDescent="0.2">
      <c r="A363" s="4">
        <v>34015</v>
      </c>
      <c r="B363" s="24">
        <v>1.2008000000000001</v>
      </c>
      <c r="C363" s="25">
        <v>120.94</v>
      </c>
      <c r="D363" s="25">
        <v>6.35</v>
      </c>
      <c r="E363" s="26">
        <v>6.98</v>
      </c>
      <c r="F363" s="25">
        <v>4.4349999999999996</v>
      </c>
      <c r="G363" s="25">
        <v>435.24</v>
      </c>
      <c r="H363" s="25">
        <v>1674.9300539999999</v>
      </c>
      <c r="I363" s="19">
        <v>17117.990229999999</v>
      </c>
    </row>
    <row r="364" spans="1:9" x14ac:dyDescent="0.2">
      <c r="A364" s="4">
        <v>34016</v>
      </c>
      <c r="B364" s="24">
        <v>1.2157</v>
      </c>
      <c r="C364" s="25">
        <v>119.99</v>
      </c>
      <c r="D364" s="25">
        <v>6.34</v>
      </c>
      <c r="E364" s="26">
        <v>6.97</v>
      </c>
      <c r="F364" s="25">
        <v>4.4000000000000004</v>
      </c>
      <c r="G364" s="25">
        <v>433.91000400000001</v>
      </c>
      <c r="H364" s="25">
        <v>1651.599976</v>
      </c>
      <c r="I364" s="19">
        <v>16916.320309999999</v>
      </c>
    </row>
    <row r="365" spans="1:9" x14ac:dyDescent="0.2">
      <c r="A365" s="4">
        <v>34017</v>
      </c>
      <c r="B365" s="24">
        <v>1.2197</v>
      </c>
      <c r="C365" s="25">
        <v>119.7</v>
      </c>
      <c r="D365" s="25">
        <v>6.28</v>
      </c>
      <c r="E365" s="26">
        <v>6.92</v>
      </c>
      <c r="F365" s="25">
        <v>4.335</v>
      </c>
      <c r="G365" s="25">
        <v>433.29998799999998</v>
      </c>
      <c r="H365" s="25">
        <v>1656.349976</v>
      </c>
      <c r="I365" s="19">
        <v>17009.630860000001</v>
      </c>
    </row>
    <row r="366" spans="1:9" x14ac:dyDescent="0.2">
      <c r="A366" s="4">
        <v>34018</v>
      </c>
      <c r="B366" s="24">
        <v>1.2130000000000001</v>
      </c>
      <c r="C366" s="25">
        <v>119.2</v>
      </c>
      <c r="D366" s="25">
        <v>6.17</v>
      </c>
      <c r="E366" s="26">
        <v>6.9</v>
      </c>
      <c r="F366" s="25">
        <v>4.3209999999999997</v>
      </c>
      <c r="G366" s="25">
        <v>431.89999399999999</v>
      </c>
      <c r="H366" s="25">
        <v>1670.900024</v>
      </c>
      <c r="I366" s="19">
        <v>16982.140630000002</v>
      </c>
    </row>
    <row r="367" spans="1:9" x14ac:dyDescent="0.2">
      <c r="A367" s="4">
        <v>34019</v>
      </c>
      <c r="B367" s="24">
        <v>1.2136</v>
      </c>
      <c r="C367" s="25">
        <v>118.35</v>
      </c>
      <c r="D367" s="25">
        <v>6.15</v>
      </c>
      <c r="E367" s="26">
        <v>6.87</v>
      </c>
      <c r="F367" s="25">
        <v>4.2910000000000004</v>
      </c>
      <c r="G367" s="25">
        <v>434.22000100000002</v>
      </c>
      <c r="H367" s="25">
        <v>1683.3000489999999</v>
      </c>
      <c r="I367" s="19">
        <v>17010.029299999998</v>
      </c>
    </row>
    <row r="368" spans="1:9" x14ac:dyDescent="0.2">
      <c r="A368" s="4">
        <v>34022</v>
      </c>
      <c r="B368" s="24">
        <v>1.2123999999999999</v>
      </c>
      <c r="C368" s="25">
        <v>116.35</v>
      </c>
      <c r="D368" s="25">
        <v>6.09</v>
      </c>
      <c r="E368" s="26">
        <v>6.8</v>
      </c>
      <c r="F368" s="25">
        <v>4.2409999999999997</v>
      </c>
      <c r="G368" s="25">
        <v>435.23998999999998</v>
      </c>
      <c r="H368" s="25">
        <v>1679.410034</v>
      </c>
      <c r="I368" s="19">
        <v>16820.609380000002</v>
      </c>
    </row>
    <row r="369" spans="1:9" x14ac:dyDescent="0.2">
      <c r="A369" s="4">
        <v>34023</v>
      </c>
      <c r="B369" s="24">
        <v>1.2201</v>
      </c>
      <c r="C369" s="25">
        <v>117.1</v>
      </c>
      <c r="D369" s="25">
        <v>5.92</v>
      </c>
      <c r="E369" s="26">
        <v>6.78</v>
      </c>
      <c r="F369" s="25">
        <v>4.1509999999999998</v>
      </c>
      <c r="G369" s="25">
        <v>434.79998799999998</v>
      </c>
      <c r="H369" s="25">
        <v>1658.089966</v>
      </c>
      <c r="I369" s="19">
        <v>16863.150389999999</v>
      </c>
    </row>
    <row r="370" spans="1:9" x14ac:dyDescent="0.2">
      <c r="A370" s="4">
        <v>34024</v>
      </c>
      <c r="B370" s="24">
        <v>1.2194</v>
      </c>
      <c r="C370" s="25">
        <v>117.7</v>
      </c>
      <c r="D370" s="25">
        <v>6.01</v>
      </c>
      <c r="E370" s="26">
        <v>6.81</v>
      </c>
      <c r="F370" s="25">
        <v>4.0970000000000004</v>
      </c>
      <c r="G370" s="25">
        <v>440.86999500000002</v>
      </c>
      <c r="H370" s="25">
        <v>1652.920044</v>
      </c>
      <c r="I370" s="19">
        <v>16798.939450000002</v>
      </c>
    </row>
    <row r="371" spans="1:9" x14ac:dyDescent="0.2">
      <c r="A371" s="4">
        <v>34025</v>
      </c>
      <c r="B371" s="24">
        <v>1.2111000000000001</v>
      </c>
      <c r="C371" s="25">
        <v>117.5</v>
      </c>
      <c r="D371" s="25">
        <v>6.03</v>
      </c>
      <c r="E371" s="26">
        <v>6.81</v>
      </c>
      <c r="F371" s="25">
        <v>4.0209999999999999</v>
      </c>
      <c r="G371" s="25">
        <v>442.33999599999999</v>
      </c>
      <c r="H371" s="25">
        <v>1661.959961</v>
      </c>
      <c r="I371" s="19">
        <v>16907.390630000002</v>
      </c>
    </row>
    <row r="372" spans="1:9" x14ac:dyDescent="0.2">
      <c r="A372" s="4">
        <v>34026</v>
      </c>
      <c r="B372" s="24">
        <v>1.2034</v>
      </c>
      <c r="C372" s="25">
        <v>118.25</v>
      </c>
      <c r="D372" s="25">
        <v>6.03</v>
      </c>
      <c r="E372" s="26">
        <v>6.69</v>
      </c>
      <c r="F372" s="25">
        <v>4.0309999999999997</v>
      </c>
      <c r="G372" s="25">
        <v>443.38000499999998</v>
      </c>
      <c r="H372" s="25">
        <v>1680.0200199999999</v>
      </c>
      <c r="I372" s="19">
        <v>16953.349610000001</v>
      </c>
    </row>
    <row r="373" spans="1:9" x14ac:dyDescent="0.2">
      <c r="A373" s="4">
        <v>34029</v>
      </c>
      <c r="B373" s="24">
        <v>1.2034</v>
      </c>
      <c r="C373" s="25">
        <v>118.76</v>
      </c>
      <c r="D373" s="25">
        <v>5.94</v>
      </c>
      <c r="E373" s="26">
        <v>6.64</v>
      </c>
      <c r="F373" s="25">
        <v>4.1479999999999997</v>
      </c>
      <c r="G373" s="25">
        <v>442.01001000000002</v>
      </c>
      <c r="H373" s="25">
        <v>1691.369995</v>
      </c>
      <c r="I373" s="19">
        <v>16879.599610000001</v>
      </c>
    </row>
    <row r="374" spans="1:9" x14ac:dyDescent="0.2">
      <c r="A374" s="4">
        <v>34030</v>
      </c>
      <c r="B374" s="24">
        <v>1.2085999999999999</v>
      </c>
      <c r="C374" s="25">
        <v>117.75</v>
      </c>
      <c r="D374" s="25">
        <v>5.95</v>
      </c>
      <c r="E374" s="26">
        <v>6.67</v>
      </c>
      <c r="F374" s="25">
        <v>4.1589999999999998</v>
      </c>
      <c r="G374" s="25">
        <v>447.89999399999999</v>
      </c>
      <c r="H374" s="25">
        <v>1701.459961</v>
      </c>
      <c r="I374" s="19">
        <v>16864.25</v>
      </c>
    </row>
    <row r="375" spans="1:9" x14ac:dyDescent="0.2">
      <c r="A375" s="4">
        <v>34031</v>
      </c>
      <c r="B375" s="24">
        <v>1.2062999999999999</v>
      </c>
      <c r="C375" s="25">
        <v>116.65</v>
      </c>
      <c r="D375" s="25">
        <v>5.88</v>
      </c>
      <c r="E375" s="26">
        <v>6.63</v>
      </c>
      <c r="F375" s="25">
        <v>4.1639999999999997</v>
      </c>
      <c r="G375" s="25">
        <v>449.26001000000002</v>
      </c>
      <c r="H375" s="25">
        <v>1690.4799800000001</v>
      </c>
      <c r="I375" s="19">
        <v>16853.91992</v>
      </c>
    </row>
    <row r="376" spans="1:9" x14ac:dyDescent="0.2">
      <c r="A376" s="4">
        <v>34032</v>
      </c>
      <c r="B376" s="24">
        <v>1.212</v>
      </c>
      <c r="C376" s="25">
        <v>116.8</v>
      </c>
      <c r="D376" s="25">
        <v>5.83</v>
      </c>
      <c r="E376" s="26">
        <v>6.65</v>
      </c>
      <c r="F376" s="25">
        <v>4.1680000000000001</v>
      </c>
      <c r="G376" s="25">
        <v>447.33999599999999</v>
      </c>
      <c r="H376" s="25">
        <v>1685.459961</v>
      </c>
      <c r="I376" s="19">
        <v>16759.609380000002</v>
      </c>
    </row>
    <row r="377" spans="1:9" x14ac:dyDescent="0.2">
      <c r="A377" s="4">
        <v>34033</v>
      </c>
      <c r="B377" s="24">
        <v>1.1946000000000001</v>
      </c>
      <c r="C377" s="25">
        <v>117.65</v>
      </c>
      <c r="D377" s="25">
        <v>5.9</v>
      </c>
      <c r="E377" s="26">
        <v>6.53</v>
      </c>
      <c r="F377" s="25">
        <v>4.1520000000000001</v>
      </c>
      <c r="G377" s="25">
        <v>446.10998499999999</v>
      </c>
      <c r="H377" s="25">
        <v>1686.150024</v>
      </c>
      <c r="I377" s="19">
        <v>16817.699219999999</v>
      </c>
    </row>
    <row r="378" spans="1:9" x14ac:dyDescent="0.2">
      <c r="A378" s="4">
        <v>34036</v>
      </c>
      <c r="B378" s="24">
        <v>1.1953</v>
      </c>
      <c r="C378" s="25">
        <v>116.87</v>
      </c>
      <c r="D378" s="25">
        <v>5.85</v>
      </c>
      <c r="E378" s="26">
        <v>6.53</v>
      </c>
      <c r="F378" s="25">
        <v>4.1840000000000002</v>
      </c>
      <c r="G378" s="25">
        <v>454.709991</v>
      </c>
      <c r="H378" s="25">
        <v>1702.2700199999999</v>
      </c>
      <c r="I378" s="19">
        <v>17686.470700000002</v>
      </c>
    </row>
    <row r="379" spans="1:9" x14ac:dyDescent="0.2">
      <c r="A379" s="4">
        <v>34037</v>
      </c>
      <c r="B379" s="24">
        <v>1.1884999999999999</v>
      </c>
      <c r="C379" s="25">
        <v>117.7</v>
      </c>
      <c r="D379" s="25">
        <v>5.91</v>
      </c>
      <c r="E379" s="26">
        <v>6.56</v>
      </c>
      <c r="F379" s="25">
        <v>4.2690000000000001</v>
      </c>
      <c r="G379" s="25">
        <v>454.39999399999999</v>
      </c>
      <c r="H379" s="25">
        <v>1711.910034</v>
      </c>
      <c r="I379" s="19">
        <v>17848.300780000001</v>
      </c>
    </row>
    <row r="380" spans="1:9" x14ac:dyDescent="0.2">
      <c r="A380" s="4">
        <v>34038</v>
      </c>
      <c r="B380" s="24">
        <v>1.1910000000000001</v>
      </c>
      <c r="C380" s="25">
        <v>118.05</v>
      </c>
      <c r="D380" s="25">
        <v>5.97</v>
      </c>
      <c r="E380" s="26">
        <v>6.53</v>
      </c>
      <c r="F380" s="25">
        <v>4.2380000000000004</v>
      </c>
      <c r="G380" s="25">
        <v>456.32998700000002</v>
      </c>
      <c r="H380" s="25">
        <v>1714.4799800000001</v>
      </c>
      <c r="I380" s="19">
        <v>17858.630860000001</v>
      </c>
    </row>
    <row r="381" spans="1:9" x14ac:dyDescent="0.2">
      <c r="A381" s="4">
        <v>34039</v>
      </c>
      <c r="B381" s="24">
        <v>1.1908000000000001</v>
      </c>
      <c r="C381" s="25">
        <v>117.63</v>
      </c>
      <c r="D381" s="25">
        <v>5.96</v>
      </c>
      <c r="E381" s="26">
        <v>6.51</v>
      </c>
      <c r="F381" s="25">
        <v>4.2590000000000003</v>
      </c>
      <c r="G381" s="25">
        <v>453.72000100000002</v>
      </c>
      <c r="H381" s="25">
        <v>1708.650024</v>
      </c>
      <c r="I381" s="19">
        <v>17904.789059999999</v>
      </c>
    </row>
    <row r="382" spans="1:9" x14ac:dyDescent="0.2">
      <c r="A382" s="4">
        <v>34040</v>
      </c>
      <c r="B382" s="24">
        <v>1.1883999999999999</v>
      </c>
      <c r="C382" s="25">
        <v>118.08</v>
      </c>
      <c r="D382" s="25">
        <v>6.11</v>
      </c>
      <c r="E382" s="26">
        <v>6.55</v>
      </c>
      <c r="F382" s="25">
        <v>4.2439999999999998</v>
      </c>
      <c r="G382" s="25">
        <v>449.82998700000002</v>
      </c>
      <c r="H382" s="25">
        <v>1688.73999</v>
      </c>
      <c r="I382" s="19">
        <v>18037.519530000001</v>
      </c>
    </row>
    <row r="383" spans="1:9" x14ac:dyDescent="0.2">
      <c r="A383" s="4">
        <v>34043</v>
      </c>
      <c r="B383" s="24">
        <v>1.1898</v>
      </c>
      <c r="C383" s="25">
        <v>118.58</v>
      </c>
      <c r="D383" s="25">
        <v>6.17</v>
      </c>
      <c r="E383" s="26">
        <v>6.59</v>
      </c>
      <c r="F383" s="25">
        <v>4.3099999999999996</v>
      </c>
      <c r="G383" s="25">
        <v>451.42999300000002</v>
      </c>
      <c r="H383" s="25">
        <v>1705.0500489999999</v>
      </c>
      <c r="I383" s="19">
        <v>18086.179690000001</v>
      </c>
    </row>
    <row r="384" spans="1:9" x14ac:dyDescent="0.2">
      <c r="A384" s="4">
        <v>34044</v>
      </c>
      <c r="B384" s="24">
        <v>1.1919999999999999</v>
      </c>
      <c r="C384" s="25">
        <v>117</v>
      </c>
      <c r="D384" s="25">
        <v>6.06</v>
      </c>
      <c r="E384" s="26">
        <v>6.62</v>
      </c>
      <c r="F384" s="25">
        <v>4.3099999999999996</v>
      </c>
      <c r="G384" s="25">
        <v>451.36999500000002</v>
      </c>
      <c r="H384" s="25">
        <v>1700.280029</v>
      </c>
      <c r="I384" s="19">
        <v>17968.300780000001</v>
      </c>
    </row>
    <row r="385" spans="1:9" x14ac:dyDescent="0.2">
      <c r="A385" s="4">
        <v>34045</v>
      </c>
      <c r="B385" s="24">
        <v>1.1881999999999999</v>
      </c>
      <c r="C385" s="25">
        <v>117.28</v>
      </c>
      <c r="D385" s="25">
        <v>6.02</v>
      </c>
      <c r="E385" s="26">
        <v>6.6</v>
      </c>
      <c r="F385" s="25">
        <v>4.335</v>
      </c>
      <c r="G385" s="25">
        <v>448.30999800000001</v>
      </c>
      <c r="H385" s="25">
        <v>1689.709961</v>
      </c>
      <c r="I385" s="19">
        <v>18173.369139999999</v>
      </c>
    </row>
    <row r="386" spans="1:9" x14ac:dyDescent="0.2">
      <c r="A386" s="4">
        <v>34046</v>
      </c>
      <c r="B386" s="24">
        <v>1.1928000000000001</v>
      </c>
      <c r="C386" s="25">
        <v>115.75</v>
      </c>
      <c r="D386" s="25">
        <v>5.93</v>
      </c>
      <c r="E386" s="26">
        <v>6.64</v>
      </c>
      <c r="F386" s="25">
        <v>4.3689999999999998</v>
      </c>
      <c r="G386" s="25">
        <v>451.89001500000001</v>
      </c>
      <c r="H386" s="25">
        <v>1696.380005</v>
      </c>
      <c r="I386" s="19">
        <v>18727.900389999999</v>
      </c>
    </row>
    <row r="387" spans="1:9" x14ac:dyDescent="0.2">
      <c r="A387" s="4">
        <v>34047</v>
      </c>
      <c r="B387" s="24">
        <v>1.2134</v>
      </c>
      <c r="C387" s="25">
        <v>116.15</v>
      </c>
      <c r="D387" s="25">
        <v>5.95</v>
      </c>
      <c r="E387" s="26">
        <v>6.65</v>
      </c>
      <c r="F387" s="25">
        <v>4.3289999999999997</v>
      </c>
      <c r="G387" s="25">
        <v>450.17999300000002</v>
      </c>
      <c r="H387" s="25">
        <v>1686.5699460000001</v>
      </c>
      <c r="I387" s="19">
        <v>18537.16992</v>
      </c>
    </row>
    <row r="388" spans="1:9" x14ac:dyDescent="0.2">
      <c r="A388" s="18">
        <v>34050</v>
      </c>
      <c r="B388" s="24">
        <v>1.2093</v>
      </c>
      <c r="C388" s="25">
        <v>115.77</v>
      </c>
      <c r="D388" s="25">
        <v>5.96</v>
      </c>
      <c r="E388" s="26">
        <v>6.71</v>
      </c>
      <c r="F388" s="25">
        <v>4.42</v>
      </c>
      <c r="G388" s="25">
        <v>448.88000499999998</v>
      </c>
      <c r="H388" s="25">
        <v>1656.589966</v>
      </c>
      <c r="I388" s="19">
        <v>18784.390630000002</v>
      </c>
    </row>
    <row r="389" spans="1:9" x14ac:dyDescent="0.2">
      <c r="A389" s="18">
        <v>34051</v>
      </c>
      <c r="B389" s="24">
        <v>1.2103999999999999</v>
      </c>
      <c r="C389" s="25">
        <v>116.15</v>
      </c>
      <c r="D389" s="25">
        <v>5.91</v>
      </c>
      <c r="E389" s="26">
        <v>6.71</v>
      </c>
      <c r="F389" s="25">
        <v>4.42</v>
      </c>
      <c r="G389" s="25">
        <v>448.76001000000002</v>
      </c>
      <c r="H389" s="25">
        <v>1653.1999510000001</v>
      </c>
      <c r="I389" s="19">
        <v>18491.619139999999</v>
      </c>
    </row>
    <row r="390" spans="1:9" x14ac:dyDescent="0.2">
      <c r="A390" s="18">
        <v>34052</v>
      </c>
      <c r="B390" s="24">
        <v>1.2129000000000001</v>
      </c>
      <c r="C390" s="25">
        <v>117.6</v>
      </c>
      <c r="D390" s="25">
        <v>5.95</v>
      </c>
      <c r="E390" s="26">
        <v>6.73</v>
      </c>
      <c r="F390" s="25">
        <v>4.4000000000000004</v>
      </c>
      <c r="G390" s="25">
        <v>448.07000699999998</v>
      </c>
      <c r="H390" s="25">
        <v>1666.719971</v>
      </c>
      <c r="I390" s="19">
        <v>18450.689450000002</v>
      </c>
    </row>
    <row r="391" spans="1:9" x14ac:dyDescent="0.2">
      <c r="A391" s="18">
        <v>34053</v>
      </c>
      <c r="B391" s="24">
        <v>1.2035</v>
      </c>
      <c r="C391" s="25">
        <v>117.3</v>
      </c>
      <c r="D391" s="25">
        <v>5.98</v>
      </c>
      <c r="E391" s="26">
        <v>6.73</v>
      </c>
      <c r="F391" s="25">
        <v>4.47</v>
      </c>
      <c r="G391" s="25">
        <v>450.88000499999998</v>
      </c>
      <c r="H391" s="25">
        <v>1663.2700199999999</v>
      </c>
      <c r="I391" s="19">
        <v>18764.91992</v>
      </c>
    </row>
    <row r="392" spans="1:9" x14ac:dyDescent="0.2">
      <c r="A392" s="4">
        <v>34054</v>
      </c>
      <c r="B392" s="24">
        <v>1.2110000000000001</v>
      </c>
      <c r="C392" s="25">
        <v>116.55</v>
      </c>
      <c r="D392" s="25">
        <v>6.09</v>
      </c>
      <c r="E392" s="26">
        <v>6.68</v>
      </c>
      <c r="F392" s="25">
        <v>4.55</v>
      </c>
      <c r="G392" s="25">
        <v>447.77999899999998</v>
      </c>
      <c r="H392" s="25">
        <v>1667.26001</v>
      </c>
      <c r="I392" s="19">
        <v>18788.699219999999</v>
      </c>
    </row>
    <row r="393" spans="1:9" x14ac:dyDescent="0.2">
      <c r="A393" s="4">
        <v>34057</v>
      </c>
      <c r="B393" s="24">
        <v>1.2085999999999999</v>
      </c>
      <c r="C393" s="25">
        <v>116.8</v>
      </c>
      <c r="D393" s="25">
        <v>6.06</v>
      </c>
      <c r="E393" s="26">
        <v>6.68</v>
      </c>
      <c r="F393" s="25">
        <v>4.6349999999999998</v>
      </c>
      <c r="G393" s="25">
        <v>450.76998900000001</v>
      </c>
      <c r="H393" s="25">
        <v>1675.1800539999999</v>
      </c>
      <c r="I393" s="19">
        <v>19048.380860000001</v>
      </c>
    </row>
    <row r="394" spans="1:9" x14ac:dyDescent="0.2">
      <c r="A394" s="4">
        <v>34058</v>
      </c>
      <c r="B394" s="24">
        <v>1.2162999999999999</v>
      </c>
      <c r="C394" s="25">
        <v>116.65</v>
      </c>
      <c r="D394" s="25">
        <v>6.02</v>
      </c>
      <c r="E394" s="26">
        <v>6.67</v>
      </c>
      <c r="F394" s="25">
        <v>4.5750000000000002</v>
      </c>
      <c r="G394" s="25">
        <v>451.97000100000002</v>
      </c>
      <c r="H394" s="25">
        <v>1686.6400149999999</v>
      </c>
      <c r="I394" s="19">
        <v>18963.160159999999</v>
      </c>
    </row>
    <row r="395" spans="1:9" x14ac:dyDescent="0.2">
      <c r="A395" s="4">
        <v>34059</v>
      </c>
      <c r="B395" s="24">
        <v>1.2242999999999999</v>
      </c>
      <c r="C395" s="25">
        <v>114.88</v>
      </c>
      <c r="D395" s="25">
        <v>6.03</v>
      </c>
      <c r="E395" s="26">
        <v>6.7</v>
      </c>
      <c r="F395" s="25">
        <v>4.5890000000000004</v>
      </c>
      <c r="G395" s="25">
        <v>451.67001299999998</v>
      </c>
      <c r="H395" s="25">
        <v>1676.839966</v>
      </c>
      <c r="I395" s="19">
        <v>18591.449219999999</v>
      </c>
    </row>
    <row r="396" spans="1:9" x14ac:dyDescent="0.2">
      <c r="A396" s="4">
        <v>34060</v>
      </c>
      <c r="B396" s="24">
        <v>1.2290000000000001</v>
      </c>
      <c r="C396" s="25">
        <v>114.05</v>
      </c>
      <c r="D396" s="25">
        <v>6.06</v>
      </c>
      <c r="E396" s="26">
        <v>6.73</v>
      </c>
      <c r="F396" s="25">
        <v>4.58</v>
      </c>
      <c r="G396" s="25">
        <v>450.29998799999998</v>
      </c>
      <c r="H396" s="25">
        <v>1670.040039</v>
      </c>
      <c r="I396" s="19">
        <v>19099.089840000001</v>
      </c>
    </row>
    <row r="397" spans="1:9" x14ac:dyDescent="0.2">
      <c r="A397" s="4">
        <v>34061</v>
      </c>
      <c r="B397" s="24">
        <v>1.2307999999999999</v>
      </c>
      <c r="C397" s="25">
        <v>113.8</v>
      </c>
      <c r="D397" s="25">
        <v>6.16</v>
      </c>
      <c r="E397" s="26">
        <v>6.78</v>
      </c>
      <c r="F397" s="25">
        <v>4.5990000000000002</v>
      </c>
      <c r="G397" s="25">
        <v>441.39001500000001</v>
      </c>
      <c r="H397" s="25">
        <v>1657.0600589999999</v>
      </c>
      <c r="I397" s="19">
        <v>19446.939450000002</v>
      </c>
    </row>
    <row r="398" spans="1:9" x14ac:dyDescent="0.2">
      <c r="A398" s="18">
        <v>34064</v>
      </c>
      <c r="B398" s="24">
        <v>1.2353000000000001</v>
      </c>
      <c r="C398" s="25">
        <v>113.69</v>
      </c>
      <c r="D398" s="25">
        <v>6.13</v>
      </c>
      <c r="E398" s="26">
        <v>6.73</v>
      </c>
      <c r="F398" s="25">
        <v>4.6449999999999996</v>
      </c>
      <c r="G398" s="25">
        <v>442.290009</v>
      </c>
      <c r="H398" s="25">
        <v>1658.3599850000001</v>
      </c>
      <c r="I398" s="19">
        <v>19759.460940000001</v>
      </c>
    </row>
    <row r="399" spans="1:9" x14ac:dyDescent="0.2">
      <c r="A399" s="4">
        <v>34065</v>
      </c>
      <c r="B399" s="24">
        <v>1.2238</v>
      </c>
      <c r="C399" s="25">
        <v>114</v>
      </c>
      <c r="D399" s="25">
        <v>6.08</v>
      </c>
      <c r="E399" s="26">
        <v>6.69</v>
      </c>
      <c r="F399" s="25">
        <v>4.6559999999999997</v>
      </c>
      <c r="G399" s="25">
        <v>441.16000400000001</v>
      </c>
      <c r="H399" s="25">
        <v>1667.6400149999999</v>
      </c>
      <c r="I399" s="19">
        <v>19486.800780000001</v>
      </c>
    </row>
    <row r="400" spans="1:9" x14ac:dyDescent="0.2">
      <c r="A400" s="4">
        <v>34066</v>
      </c>
      <c r="B400" s="24">
        <v>1.2206999999999999</v>
      </c>
      <c r="C400" s="25">
        <v>113.55</v>
      </c>
      <c r="D400" s="25">
        <v>6.07</v>
      </c>
      <c r="E400" s="26">
        <v>6.67</v>
      </c>
      <c r="F400" s="25">
        <v>4.694</v>
      </c>
      <c r="G400" s="25">
        <v>442.73001099999999</v>
      </c>
      <c r="H400" s="25">
        <v>1654.599976</v>
      </c>
      <c r="I400" s="19">
        <v>19829.230469999999</v>
      </c>
    </row>
    <row r="401" spans="1:9" x14ac:dyDescent="0.2">
      <c r="A401" s="4">
        <v>34067</v>
      </c>
      <c r="B401" s="24">
        <v>1.2296</v>
      </c>
      <c r="C401" s="25">
        <v>113.35</v>
      </c>
      <c r="D401" s="25">
        <v>5.97</v>
      </c>
      <c r="E401" s="26">
        <v>6.61</v>
      </c>
      <c r="F401" s="25">
        <v>4.72</v>
      </c>
      <c r="G401" s="25">
        <v>441.83999599999999</v>
      </c>
      <c r="H401" s="25">
        <v>1658.130005</v>
      </c>
      <c r="I401" s="19">
        <v>19967.269530000001</v>
      </c>
    </row>
    <row r="402" spans="1:9" x14ac:dyDescent="0.2">
      <c r="A402" s="4">
        <v>34068</v>
      </c>
      <c r="B402" s="24">
        <v>1.2296</v>
      </c>
      <c r="C402" s="25">
        <v>113.2</v>
      </c>
      <c r="D402" s="25">
        <v>5.97</v>
      </c>
      <c r="E402" s="26">
        <v>6.61</v>
      </c>
      <c r="F402" s="25">
        <v>4.6390000000000002</v>
      </c>
      <c r="G402" s="25">
        <v>448.94</v>
      </c>
      <c r="H402" s="25">
        <v>1658.130005</v>
      </c>
      <c r="I402" s="19">
        <v>19892.179690000001</v>
      </c>
    </row>
    <row r="403" spans="1:9" x14ac:dyDescent="0.2">
      <c r="A403" s="4">
        <v>34071</v>
      </c>
      <c r="B403" s="24">
        <v>1.2296</v>
      </c>
      <c r="C403" s="25">
        <v>112.9</v>
      </c>
      <c r="D403" s="25">
        <v>5.92</v>
      </c>
      <c r="E403" s="26">
        <v>6.61</v>
      </c>
      <c r="F403" s="25">
        <v>4.585</v>
      </c>
      <c r="G403" s="25">
        <v>448.36999500000002</v>
      </c>
      <c r="H403" s="25">
        <v>1658.130005</v>
      </c>
      <c r="I403" s="19">
        <v>19882.140630000002</v>
      </c>
    </row>
    <row r="404" spans="1:9" x14ac:dyDescent="0.2">
      <c r="A404" s="4">
        <v>34072</v>
      </c>
      <c r="B404" s="24">
        <v>1.2533000000000001</v>
      </c>
      <c r="C404" s="25">
        <v>113.5</v>
      </c>
      <c r="D404" s="25">
        <v>5.93</v>
      </c>
      <c r="E404" s="26">
        <v>6.56</v>
      </c>
      <c r="F404" s="25">
        <v>4.5999999999999996</v>
      </c>
      <c r="G404" s="25">
        <v>449.22000100000002</v>
      </c>
      <c r="H404" s="25">
        <v>1671.540039</v>
      </c>
      <c r="I404" s="19">
        <v>20740.289059999999</v>
      </c>
    </row>
    <row r="405" spans="1:9" x14ac:dyDescent="0.2">
      <c r="A405" s="4">
        <v>34073</v>
      </c>
      <c r="B405" s="24">
        <v>1.2455000000000001</v>
      </c>
      <c r="C405" s="25">
        <v>113.71</v>
      </c>
      <c r="D405" s="25">
        <v>5.9</v>
      </c>
      <c r="E405" s="26">
        <v>6.56</v>
      </c>
      <c r="F405" s="25">
        <v>4.55</v>
      </c>
      <c r="G405" s="25">
        <v>448.66000400000001</v>
      </c>
      <c r="H405" s="25">
        <v>1674.9499510000001</v>
      </c>
      <c r="I405" s="19">
        <v>20533.380860000001</v>
      </c>
    </row>
    <row r="406" spans="1:9" x14ac:dyDescent="0.2">
      <c r="A406" s="4">
        <v>34074</v>
      </c>
      <c r="B406" s="24">
        <v>1.2403999999999999</v>
      </c>
      <c r="C406" s="25">
        <v>113.18</v>
      </c>
      <c r="D406" s="25">
        <v>5.88</v>
      </c>
      <c r="E406" s="26">
        <v>6.56</v>
      </c>
      <c r="F406" s="25">
        <v>4.5650000000000004</v>
      </c>
      <c r="G406" s="25">
        <v>448.39999399999999</v>
      </c>
      <c r="H406" s="25">
        <v>1674.670044</v>
      </c>
      <c r="I406" s="19">
        <v>20675.839840000001</v>
      </c>
    </row>
    <row r="407" spans="1:9" x14ac:dyDescent="0.2">
      <c r="A407" s="18">
        <v>34075</v>
      </c>
      <c r="B407" s="24">
        <v>1.2279</v>
      </c>
      <c r="C407" s="25">
        <v>112.3</v>
      </c>
      <c r="D407" s="25">
        <v>5.89</v>
      </c>
      <c r="E407" s="26">
        <v>6.58</v>
      </c>
      <c r="F407" s="25">
        <v>4.59</v>
      </c>
      <c r="G407" s="25">
        <v>448.94000199999999</v>
      </c>
      <c r="H407" s="25">
        <v>1678.650024</v>
      </c>
      <c r="I407" s="19">
        <v>20297.859380000002</v>
      </c>
    </row>
    <row r="408" spans="1:9" x14ac:dyDescent="0.2">
      <c r="A408" s="4">
        <v>34078</v>
      </c>
      <c r="B408" s="24">
        <v>1.2404999999999999</v>
      </c>
      <c r="C408" s="25">
        <v>111.08</v>
      </c>
      <c r="D408" s="25">
        <v>5.87</v>
      </c>
      <c r="E408" s="26">
        <v>6.57</v>
      </c>
      <c r="F408" s="25">
        <v>4.6189999999999998</v>
      </c>
      <c r="G408" s="25">
        <v>447.459991</v>
      </c>
      <c r="H408" s="25">
        <v>1687.1400149999999</v>
      </c>
      <c r="I408" s="19">
        <v>20112.339840000001</v>
      </c>
    </row>
    <row r="409" spans="1:9" x14ac:dyDescent="0.2">
      <c r="A409" s="18">
        <v>34079</v>
      </c>
      <c r="B409" s="24">
        <v>1.2416</v>
      </c>
      <c r="C409" s="25">
        <v>110.55</v>
      </c>
      <c r="D409" s="25">
        <v>5.87</v>
      </c>
      <c r="E409" s="26">
        <v>6.59</v>
      </c>
      <c r="F409" s="25">
        <v>4.5949999999999998</v>
      </c>
      <c r="G409" s="25">
        <v>445.10000600000001</v>
      </c>
      <c r="H409" s="25">
        <v>1680.0600589999999</v>
      </c>
      <c r="I409" s="19">
        <v>19828.429690000001</v>
      </c>
    </row>
    <row r="410" spans="1:9" x14ac:dyDescent="0.2">
      <c r="A410" s="4">
        <v>34080</v>
      </c>
      <c r="B410" s="24">
        <v>1.2375</v>
      </c>
      <c r="C410" s="25">
        <v>110.65</v>
      </c>
      <c r="D410" s="25">
        <v>5.86</v>
      </c>
      <c r="E410" s="26">
        <v>6.63</v>
      </c>
      <c r="F410" s="25">
        <v>4.5949999999999998</v>
      </c>
      <c r="G410" s="25">
        <v>443.63000499999998</v>
      </c>
      <c r="H410" s="25">
        <v>1666.48999</v>
      </c>
      <c r="I410" s="19">
        <v>19773.009770000001</v>
      </c>
    </row>
    <row r="411" spans="1:9" x14ac:dyDescent="0.2">
      <c r="A411" s="4">
        <v>34081</v>
      </c>
      <c r="B411" s="24">
        <v>1.2349000000000001</v>
      </c>
      <c r="C411" s="25">
        <v>109.99</v>
      </c>
      <c r="D411" s="25">
        <v>5.85</v>
      </c>
      <c r="E411" s="26">
        <v>6.65</v>
      </c>
      <c r="F411" s="25">
        <v>4.53</v>
      </c>
      <c r="G411" s="25">
        <v>439.459991</v>
      </c>
      <c r="H411" s="25">
        <v>1680.01001</v>
      </c>
      <c r="I411" s="19">
        <v>19591.310549999998</v>
      </c>
    </row>
    <row r="412" spans="1:9" x14ac:dyDescent="0.2">
      <c r="A412" s="4">
        <v>34082</v>
      </c>
      <c r="B412" s="24">
        <v>1.2564</v>
      </c>
      <c r="C412" s="25">
        <v>110.7</v>
      </c>
      <c r="D412" s="25">
        <v>5.89</v>
      </c>
      <c r="E412" s="26">
        <v>6.63</v>
      </c>
      <c r="F412" s="25">
        <v>4.5199999999999996</v>
      </c>
      <c r="G412" s="25">
        <v>437.02999899999998</v>
      </c>
      <c r="H412" s="25">
        <v>1656.030029</v>
      </c>
      <c r="I412" s="19">
        <v>19704.150389999999</v>
      </c>
    </row>
    <row r="413" spans="1:9" x14ac:dyDescent="0.2">
      <c r="A413" s="4">
        <v>34085</v>
      </c>
      <c r="B413" s="24">
        <v>1.2679</v>
      </c>
      <c r="C413" s="25">
        <v>110.58</v>
      </c>
      <c r="D413" s="25">
        <v>5.94</v>
      </c>
      <c r="E413" s="26">
        <v>6.69</v>
      </c>
      <c r="F413" s="25">
        <v>4.5350000000000001</v>
      </c>
      <c r="G413" s="25">
        <v>433.540009</v>
      </c>
      <c r="H413" s="25">
        <v>1643.530029</v>
      </c>
      <c r="I413" s="19">
        <v>19623.630860000001</v>
      </c>
    </row>
    <row r="414" spans="1:9" x14ac:dyDescent="0.2">
      <c r="A414" s="18">
        <v>34086</v>
      </c>
      <c r="B414" s="24">
        <v>1.2601</v>
      </c>
      <c r="C414" s="25">
        <v>111.98</v>
      </c>
      <c r="D414" s="25">
        <v>6.02</v>
      </c>
      <c r="E414" s="26">
        <v>6.72</v>
      </c>
      <c r="F414" s="25">
        <v>4.6050000000000004</v>
      </c>
      <c r="G414" s="25">
        <v>438.01001000000002</v>
      </c>
      <c r="H414" s="25">
        <v>1636.589966</v>
      </c>
      <c r="I414" s="19">
        <v>20206.710940000001</v>
      </c>
    </row>
    <row r="415" spans="1:9" x14ac:dyDescent="0.2">
      <c r="A415" s="4">
        <v>34087</v>
      </c>
      <c r="B415" s="24">
        <v>1.2553000000000001</v>
      </c>
      <c r="C415" s="25">
        <v>112.07</v>
      </c>
      <c r="D415" s="25">
        <v>6.03</v>
      </c>
      <c r="E415" s="26">
        <v>6.75</v>
      </c>
      <c r="F415" s="25">
        <v>4.7590000000000003</v>
      </c>
      <c r="G415" s="25">
        <v>438.01998900000001</v>
      </c>
      <c r="H415" s="25">
        <v>1630.880005</v>
      </c>
      <c r="I415" s="19">
        <v>20454.570309999999</v>
      </c>
    </row>
    <row r="416" spans="1:9" x14ac:dyDescent="0.2">
      <c r="A416" s="18">
        <v>34088</v>
      </c>
      <c r="B416" s="24">
        <v>1.2625999999999999</v>
      </c>
      <c r="C416" s="25">
        <v>111.4</v>
      </c>
      <c r="D416" s="25">
        <v>5.99</v>
      </c>
      <c r="E416" s="26">
        <v>6.81</v>
      </c>
      <c r="F416" s="25">
        <v>4.7590000000000003</v>
      </c>
      <c r="G416" s="25">
        <v>438.89001500000001</v>
      </c>
      <c r="H416" s="25">
        <v>1618.599976</v>
      </c>
      <c r="I416" s="19">
        <v>20454.570309999999</v>
      </c>
    </row>
    <row r="417" spans="1:9" x14ac:dyDescent="0.2">
      <c r="A417" s="4">
        <v>34089</v>
      </c>
      <c r="B417" s="24">
        <v>1.2535000000000001</v>
      </c>
      <c r="C417" s="25">
        <v>111.05</v>
      </c>
      <c r="D417" s="25">
        <v>6.05</v>
      </c>
      <c r="E417" s="26">
        <v>6.8</v>
      </c>
      <c r="F417" s="25">
        <v>4.734</v>
      </c>
      <c r="G417" s="25">
        <v>440.19000199999999</v>
      </c>
      <c r="H417" s="25">
        <v>1626.829956</v>
      </c>
      <c r="I417" s="19">
        <v>20919.179690000001</v>
      </c>
    </row>
    <row r="418" spans="1:9" x14ac:dyDescent="0.2">
      <c r="A418" s="4">
        <v>34092</v>
      </c>
      <c r="B418" s="24">
        <v>1.2535000000000001</v>
      </c>
      <c r="C418" s="25">
        <v>110.88</v>
      </c>
      <c r="D418" s="25">
        <v>5.96</v>
      </c>
      <c r="E418" s="26">
        <v>6.79</v>
      </c>
      <c r="F418" s="25">
        <v>4.734</v>
      </c>
      <c r="G418" s="25">
        <v>442.459991</v>
      </c>
      <c r="H418" s="25">
        <v>1632</v>
      </c>
      <c r="I418" s="19">
        <v>20919.179690000001</v>
      </c>
    </row>
    <row r="419" spans="1:9" x14ac:dyDescent="0.2">
      <c r="A419" s="4">
        <v>34093</v>
      </c>
      <c r="B419" s="24">
        <v>1.2667999999999999</v>
      </c>
      <c r="C419" s="25">
        <v>110.15</v>
      </c>
      <c r="D419" s="25">
        <v>5.92</v>
      </c>
      <c r="E419" s="26">
        <v>6.79</v>
      </c>
      <c r="F419" s="25">
        <v>4.734</v>
      </c>
      <c r="G419" s="25">
        <v>444.04998799999998</v>
      </c>
      <c r="H419" s="25">
        <v>1619.920044</v>
      </c>
      <c r="I419" s="19">
        <v>20919.179690000001</v>
      </c>
    </row>
    <row r="420" spans="1:9" x14ac:dyDescent="0.2">
      <c r="A420" s="4">
        <v>34094</v>
      </c>
      <c r="B420" s="24">
        <v>1.2617</v>
      </c>
      <c r="C420" s="25">
        <v>110.2</v>
      </c>
      <c r="D420" s="25">
        <v>5.93</v>
      </c>
      <c r="E420" s="26">
        <v>6.76</v>
      </c>
      <c r="F420" s="25">
        <v>4.734</v>
      </c>
      <c r="G420" s="25">
        <v>444.51998900000001</v>
      </c>
      <c r="H420" s="25">
        <v>1628.880005</v>
      </c>
      <c r="I420" s="19">
        <v>20919.179690000001</v>
      </c>
    </row>
    <row r="421" spans="1:9" x14ac:dyDescent="0.2">
      <c r="A421" s="4">
        <v>34095</v>
      </c>
      <c r="B421" s="24">
        <v>1.262</v>
      </c>
      <c r="C421" s="25">
        <v>110.05</v>
      </c>
      <c r="D421" s="25">
        <v>5.89</v>
      </c>
      <c r="E421" s="26">
        <v>6.73</v>
      </c>
      <c r="F421" s="25">
        <v>4.6740000000000004</v>
      </c>
      <c r="G421" s="25">
        <v>443.26001000000002</v>
      </c>
      <c r="H421" s="25">
        <v>1617.73999</v>
      </c>
      <c r="I421" s="19">
        <v>20622.029299999998</v>
      </c>
    </row>
    <row r="422" spans="1:9" x14ac:dyDescent="0.2">
      <c r="A422" s="4">
        <v>34096</v>
      </c>
      <c r="B422" s="24">
        <v>1.2639</v>
      </c>
      <c r="C422" s="25">
        <v>110.4</v>
      </c>
      <c r="D422" s="25">
        <v>5.92</v>
      </c>
      <c r="E422" s="26">
        <v>6.78</v>
      </c>
      <c r="F422" s="25">
        <v>4.6790000000000003</v>
      </c>
      <c r="G422" s="25">
        <v>442.30999800000001</v>
      </c>
      <c r="H422" s="25">
        <v>1607.6999510000001</v>
      </c>
      <c r="I422" s="19">
        <v>20811.359380000002</v>
      </c>
    </row>
    <row r="423" spans="1:9" x14ac:dyDescent="0.2">
      <c r="A423" s="4">
        <v>34099</v>
      </c>
      <c r="B423" s="24">
        <v>1.2450000000000001</v>
      </c>
      <c r="C423" s="25">
        <v>111.83</v>
      </c>
      <c r="D423" s="25">
        <v>5.89</v>
      </c>
      <c r="E423" s="26">
        <v>6.8</v>
      </c>
      <c r="F423" s="25">
        <v>4.7610000000000001</v>
      </c>
      <c r="G423" s="25">
        <v>442.79998799999998</v>
      </c>
      <c r="H423" s="25">
        <v>1616.4499510000001</v>
      </c>
      <c r="I423" s="19">
        <v>21054.710940000001</v>
      </c>
    </row>
    <row r="424" spans="1:9" x14ac:dyDescent="0.2">
      <c r="A424" s="4">
        <v>34100</v>
      </c>
      <c r="B424" s="24">
        <v>1.2403999999999999</v>
      </c>
      <c r="C424" s="25">
        <v>111.38</v>
      </c>
      <c r="D424" s="25">
        <v>5.89</v>
      </c>
      <c r="E424" s="26">
        <v>6.79</v>
      </c>
      <c r="F424" s="25">
        <v>4.819</v>
      </c>
      <c r="G424" s="25">
        <v>444.35998499999999</v>
      </c>
      <c r="H424" s="25">
        <v>1613.459961</v>
      </c>
      <c r="I424" s="19">
        <v>20940.369139999999</v>
      </c>
    </row>
    <row r="425" spans="1:9" x14ac:dyDescent="0.2">
      <c r="A425" s="4">
        <v>34101</v>
      </c>
      <c r="B425" s="24">
        <v>1.2401</v>
      </c>
      <c r="C425" s="25">
        <v>111.55</v>
      </c>
      <c r="D425" s="25">
        <v>5.96</v>
      </c>
      <c r="E425" s="26">
        <v>6.73</v>
      </c>
      <c r="F425" s="25">
        <v>4.8890000000000002</v>
      </c>
      <c r="G425" s="25">
        <v>444.79998799999998</v>
      </c>
      <c r="H425" s="25">
        <v>1632.98999</v>
      </c>
      <c r="I425" s="19">
        <v>20615.199219999999</v>
      </c>
    </row>
    <row r="426" spans="1:9" x14ac:dyDescent="0.2">
      <c r="A426" s="4">
        <v>34102</v>
      </c>
      <c r="B426" s="24">
        <v>1.2315</v>
      </c>
      <c r="C426" s="25">
        <v>111.95</v>
      </c>
      <c r="D426" s="25">
        <v>6.02</v>
      </c>
      <c r="E426" s="26">
        <v>6.7</v>
      </c>
      <c r="F426" s="25">
        <v>4.8639999999999999</v>
      </c>
      <c r="G426" s="25">
        <v>439.23001099999999</v>
      </c>
      <c r="H426" s="25">
        <v>1636.0200199999999</v>
      </c>
      <c r="I426" s="19">
        <v>20532.779299999998</v>
      </c>
    </row>
    <row r="427" spans="1:9" x14ac:dyDescent="0.2">
      <c r="A427" s="4">
        <v>34103</v>
      </c>
      <c r="B427" s="24">
        <v>1.2376</v>
      </c>
      <c r="C427" s="25">
        <v>110.73</v>
      </c>
      <c r="D427" s="25">
        <v>6.03</v>
      </c>
      <c r="E427" s="26">
        <v>6.73</v>
      </c>
      <c r="F427" s="25">
        <v>4.9189999999999996</v>
      </c>
      <c r="G427" s="25">
        <v>439.55999800000001</v>
      </c>
      <c r="H427" s="25">
        <v>1632.349976</v>
      </c>
      <c r="I427" s="19">
        <v>20474.150389999999</v>
      </c>
    </row>
    <row r="428" spans="1:9" x14ac:dyDescent="0.2">
      <c r="A428" s="4">
        <v>34106</v>
      </c>
      <c r="B428" s="24">
        <v>1.2355</v>
      </c>
      <c r="C428" s="25">
        <v>111.34</v>
      </c>
      <c r="D428" s="25">
        <v>6.07</v>
      </c>
      <c r="E428" s="26">
        <v>6.79</v>
      </c>
      <c r="F428" s="25">
        <v>4.9189999999999996</v>
      </c>
      <c r="G428" s="25">
        <v>440.36999500000002</v>
      </c>
      <c r="H428" s="25">
        <v>1630.369995</v>
      </c>
      <c r="I428" s="19">
        <v>20565.509770000001</v>
      </c>
    </row>
    <row r="429" spans="1:9" x14ac:dyDescent="0.2">
      <c r="A429" s="4">
        <v>34107</v>
      </c>
      <c r="B429" s="24">
        <v>1.2275</v>
      </c>
      <c r="C429" s="25">
        <v>111.46</v>
      </c>
      <c r="D429" s="25">
        <v>6.15</v>
      </c>
      <c r="E429" s="26">
        <v>6.8</v>
      </c>
      <c r="F429" s="25">
        <v>5.0439999999999996</v>
      </c>
      <c r="G429" s="25">
        <v>440.32000699999998</v>
      </c>
      <c r="H429" s="25">
        <v>1619.26001</v>
      </c>
      <c r="I429" s="19">
        <v>20229.390630000002</v>
      </c>
    </row>
    <row r="430" spans="1:9" x14ac:dyDescent="0.2">
      <c r="A430" s="4">
        <v>34108</v>
      </c>
      <c r="B430" s="24">
        <v>1.2283999999999999</v>
      </c>
      <c r="C430" s="25">
        <v>110.8</v>
      </c>
      <c r="D430" s="25">
        <v>6.11</v>
      </c>
      <c r="E430" s="26">
        <v>6.86</v>
      </c>
      <c r="F430" s="25">
        <v>5.0490000000000004</v>
      </c>
      <c r="G430" s="25">
        <v>447.57000699999998</v>
      </c>
      <c r="H430" s="25">
        <v>1606.6400149999999</v>
      </c>
      <c r="I430" s="19">
        <v>20380.789059999999</v>
      </c>
    </row>
    <row r="431" spans="1:9" x14ac:dyDescent="0.2">
      <c r="A431" s="4">
        <v>34109</v>
      </c>
      <c r="B431" s="24">
        <v>1.2343</v>
      </c>
      <c r="C431" s="25">
        <v>110.75</v>
      </c>
      <c r="D431" s="25">
        <v>6.09</v>
      </c>
      <c r="E431" s="26">
        <v>6.86</v>
      </c>
      <c r="F431" s="25">
        <v>4.9989999999999997</v>
      </c>
      <c r="G431" s="25">
        <v>450.58999599999999</v>
      </c>
      <c r="H431" s="25">
        <v>1606.6400149999999</v>
      </c>
      <c r="I431" s="19">
        <v>20330.390630000002</v>
      </c>
    </row>
    <row r="432" spans="1:9" x14ac:dyDescent="0.2">
      <c r="A432" s="4">
        <v>34110</v>
      </c>
      <c r="B432" s="24">
        <v>1.2246999999999999</v>
      </c>
      <c r="C432" s="25">
        <v>110.5</v>
      </c>
      <c r="D432" s="25">
        <v>6.16</v>
      </c>
      <c r="E432" s="26">
        <v>6.87</v>
      </c>
      <c r="F432" s="25">
        <v>4.9630000000000001</v>
      </c>
      <c r="G432" s="25">
        <v>445.83999599999999</v>
      </c>
      <c r="H432" s="25">
        <v>1613.9799800000001</v>
      </c>
      <c r="I432" s="19">
        <v>20557.470700000002</v>
      </c>
    </row>
    <row r="433" spans="1:9" x14ac:dyDescent="0.2">
      <c r="A433" s="4">
        <v>34113</v>
      </c>
      <c r="B433" s="24">
        <v>1.22</v>
      </c>
      <c r="C433" s="25">
        <v>110.65</v>
      </c>
      <c r="D433" s="25">
        <v>6.16</v>
      </c>
      <c r="E433" s="26">
        <v>6.91</v>
      </c>
      <c r="F433" s="25">
        <v>4.9989999999999997</v>
      </c>
      <c r="G433" s="25">
        <v>448</v>
      </c>
      <c r="H433" s="25">
        <v>1608.579956</v>
      </c>
      <c r="I433" s="19">
        <v>20476.160159999999</v>
      </c>
    </row>
    <row r="434" spans="1:9" x14ac:dyDescent="0.2">
      <c r="A434" s="4">
        <v>34114</v>
      </c>
      <c r="B434" s="24">
        <v>1.2253000000000001</v>
      </c>
      <c r="C434" s="25">
        <v>109.35</v>
      </c>
      <c r="D434" s="25">
        <v>6.17</v>
      </c>
      <c r="E434" s="26">
        <v>6.85</v>
      </c>
      <c r="F434" s="25">
        <v>4.9989999999999997</v>
      </c>
      <c r="G434" s="25">
        <v>448.85000600000001</v>
      </c>
      <c r="H434" s="25">
        <v>1623.0500489999999</v>
      </c>
      <c r="I434" s="19">
        <v>20631.759770000001</v>
      </c>
    </row>
    <row r="435" spans="1:9" x14ac:dyDescent="0.2">
      <c r="A435" s="4">
        <v>34115</v>
      </c>
      <c r="B435" s="24">
        <v>1.2212000000000001</v>
      </c>
      <c r="C435" s="25">
        <v>108.5</v>
      </c>
      <c r="D435" s="25">
        <v>6.12</v>
      </c>
      <c r="E435" s="26">
        <v>6.84</v>
      </c>
      <c r="F435" s="25">
        <v>4.9039999999999999</v>
      </c>
      <c r="G435" s="25">
        <v>453.44000199999999</v>
      </c>
      <c r="H435" s="25">
        <v>1617.1800539999999</v>
      </c>
      <c r="I435" s="19">
        <v>20895.990229999999</v>
      </c>
    </row>
    <row r="436" spans="1:9" x14ac:dyDescent="0.2">
      <c r="A436" s="4">
        <v>34116</v>
      </c>
      <c r="B436" s="24">
        <v>1.2311000000000001</v>
      </c>
      <c r="C436" s="25">
        <v>107.37</v>
      </c>
      <c r="D436" s="25">
        <v>6.11</v>
      </c>
      <c r="E436" s="26">
        <v>6.82</v>
      </c>
      <c r="F436" s="25">
        <v>4.8789999999999996</v>
      </c>
      <c r="G436" s="25">
        <v>452.41000400000001</v>
      </c>
      <c r="H436" s="25">
        <v>1633.1800539999999</v>
      </c>
      <c r="I436" s="19">
        <v>20852.630860000001</v>
      </c>
    </row>
    <row r="437" spans="1:9" x14ac:dyDescent="0.2">
      <c r="A437" s="4">
        <v>34117</v>
      </c>
      <c r="B437" s="24">
        <v>1.2492000000000001</v>
      </c>
      <c r="C437" s="25">
        <v>106.95</v>
      </c>
      <c r="D437" s="25">
        <v>6.16</v>
      </c>
      <c r="E437" s="26">
        <v>6.82</v>
      </c>
      <c r="F437" s="25">
        <v>4.9240000000000004</v>
      </c>
      <c r="G437" s="25">
        <v>450.19000199999999</v>
      </c>
      <c r="H437" s="25">
        <v>1627.209961</v>
      </c>
      <c r="I437" s="19">
        <v>20843.689450000002</v>
      </c>
    </row>
    <row r="438" spans="1:9" x14ac:dyDescent="0.2">
      <c r="A438" s="4">
        <v>34120</v>
      </c>
      <c r="B438" s="24">
        <v>1.2492000000000001</v>
      </c>
      <c r="C438" s="25">
        <v>107.08</v>
      </c>
      <c r="D438" s="25">
        <v>6.16</v>
      </c>
      <c r="E438" s="26">
        <v>6.82</v>
      </c>
      <c r="F438" s="25">
        <v>4.8890000000000002</v>
      </c>
      <c r="G438" s="25">
        <v>447.69</v>
      </c>
      <c r="H438" s="25">
        <v>1627.209961</v>
      </c>
      <c r="I438" s="19">
        <v>20552.349610000001</v>
      </c>
    </row>
    <row r="439" spans="1:9" x14ac:dyDescent="0.2">
      <c r="A439" s="18">
        <v>34121</v>
      </c>
      <c r="B439" s="24">
        <v>1.2464</v>
      </c>
      <c r="C439" s="25">
        <v>107.1</v>
      </c>
      <c r="D439" s="25">
        <v>6.07</v>
      </c>
      <c r="E439" s="26">
        <v>6.9</v>
      </c>
      <c r="F439" s="25">
        <v>4.8760000000000003</v>
      </c>
      <c r="G439" s="25">
        <v>453.82998700000002</v>
      </c>
      <c r="H439" s="25">
        <v>1625.589966</v>
      </c>
      <c r="I439" s="19">
        <v>20591.410159999999</v>
      </c>
    </row>
    <row r="440" spans="1:9" x14ac:dyDescent="0.2">
      <c r="A440" s="18">
        <v>34122</v>
      </c>
      <c r="B440" s="24">
        <v>1.2452000000000001</v>
      </c>
      <c r="C440" s="25">
        <v>107.2</v>
      </c>
      <c r="D440" s="25">
        <v>6.06</v>
      </c>
      <c r="E440" s="26">
        <v>6.92</v>
      </c>
      <c r="F440" s="25">
        <v>4.9370000000000003</v>
      </c>
      <c r="G440" s="25">
        <v>453.85000600000001</v>
      </c>
      <c r="H440" s="25">
        <v>1628.530029</v>
      </c>
      <c r="I440" s="19">
        <v>20691.699219999999</v>
      </c>
    </row>
    <row r="441" spans="1:9" x14ac:dyDescent="0.2">
      <c r="A441" s="18">
        <v>34123</v>
      </c>
      <c r="B441" s="24">
        <v>1.2415</v>
      </c>
      <c r="C441" s="25">
        <v>107.2</v>
      </c>
      <c r="D441" s="25">
        <v>6.02</v>
      </c>
      <c r="E441" s="26">
        <v>6.87</v>
      </c>
      <c r="F441" s="25">
        <v>4.9409999999999998</v>
      </c>
      <c r="G441" s="25">
        <v>452.48998999999998</v>
      </c>
      <c r="H441" s="25">
        <v>1630.5600589999999</v>
      </c>
      <c r="I441" s="19">
        <v>21076</v>
      </c>
    </row>
    <row r="442" spans="1:9" x14ac:dyDescent="0.2">
      <c r="A442" s="18">
        <v>34124</v>
      </c>
      <c r="B442" s="24">
        <v>1.2273000000000001</v>
      </c>
      <c r="C442" s="25">
        <v>107.79</v>
      </c>
      <c r="D442" s="25">
        <v>6.11</v>
      </c>
      <c r="E442" s="26">
        <v>6.87</v>
      </c>
      <c r="F442" s="25">
        <v>4.8719999999999999</v>
      </c>
      <c r="G442" s="25">
        <v>450.05999800000001</v>
      </c>
      <c r="H442" s="25">
        <v>1638.469971</v>
      </c>
      <c r="I442" s="19">
        <v>20882.240229999999</v>
      </c>
    </row>
    <row r="443" spans="1:9" x14ac:dyDescent="0.2">
      <c r="A443" s="4">
        <v>34127</v>
      </c>
      <c r="B443" s="24">
        <v>1.2290000000000001</v>
      </c>
      <c r="C443" s="25">
        <v>107.24</v>
      </c>
      <c r="D443" s="25">
        <v>6.08</v>
      </c>
      <c r="E443" s="26">
        <v>6.92</v>
      </c>
      <c r="F443" s="25">
        <v>4.8899999999999997</v>
      </c>
      <c r="G443" s="25">
        <v>447.69000199999999</v>
      </c>
      <c r="H443" s="25">
        <v>1660.880005</v>
      </c>
      <c r="I443" s="19">
        <v>20844.189450000002</v>
      </c>
    </row>
    <row r="444" spans="1:9" x14ac:dyDescent="0.2">
      <c r="A444" s="4">
        <v>34128</v>
      </c>
      <c r="B444" s="24">
        <v>1.2290000000000001</v>
      </c>
      <c r="C444" s="25">
        <v>106.25</v>
      </c>
      <c r="D444" s="25">
        <v>6.09</v>
      </c>
      <c r="E444" s="26">
        <v>6.9</v>
      </c>
      <c r="F444" s="25">
        <v>4.8609999999999998</v>
      </c>
      <c r="G444" s="25">
        <v>444.709991</v>
      </c>
      <c r="H444" s="25">
        <v>1662.280029</v>
      </c>
      <c r="I444" s="19">
        <v>20575.240229999999</v>
      </c>
    </row>
    <row r="445" spans="1:9" x14ac:dyDescent="0.2">
      <c r="A445" s="4">
        <v>34129</v>
      </c>
      <c r="B445" s="24">
        <v>1.2173</v>
      </c>
      <c r="C445" s="25">
        <v>106.37</v>
      </c>
      <c r="D445" s="25">
        <v>6.07</v>
      </c>
      <c r="E445" s="26">
        <v>6.84</v>
      </c>
      <c r="F445" s="25">
        <v>4.8609999999999998</v>
      </c>
      <c r="G445" s="25">
        <v>445.77999899999998</v>
      </c>
      <c r="H445" s="25">
        <v>1679.6899410000001</v>
      </c>
      <c r="I445" s="19">
        <v>20575.240229999999</v>
      </c>
    </row>
    <row r="446" spans="1:9" x14ac:dyDescent="0.2">
      <c r="A446" s="4">
        <v>34130</v>
      </c>
      <c r="B446" s="24">
        <v>1.2192000000000001</v>
      </c>
      <c r="C446" s="25">
        <v>106.05</v>
      </c>
      <c r="D446" s="25">
        <v>6.07</v>
      </c>
      <c r="E446" s="26">
        <v>6.84</v>
      </c>
      <c r="F446" s="25">
        <v>4.8259999999999996</v>
      </c>
      <c r="G446" s="25">
        <v>445.38000499999998</v>
      </c>
      <c r="H446" s="25">
        <v>1679.6899410000001</v>
      </c>
      <c r="I446" s="19">
        <v>20493.320309999999</v>
      </c>
    </row>
    <row r="447" spans="1:9" x14ac:dyDescent="0.2">
      <c r="A447" s="4">
        <v>34131</v>
      </c>
      <c r="B447" s="24">
        <v>1.2270000000000001</v>
      </c>
      <c r="C447" s="25">
        <v>106.18</v>
      </c>
      <c r="D447" s="25">
        <v>5.97</v>
      </c>
      <c r="E447" s="26">
        <v>6.82</v>
      </c>
      <c r="F447" s="25">
        <v>4.8150000000000004</v>
      </c>
      <c r="G447" s="25">
        <v>447.26001000000002</v>
      </c>
      <c r="H447" s="25">
        <v>1685.849976</v>
      </c>
      <c r="I447" s="19">
        <v>20500.949219999999</v>
      </c>
    </row>
    <row r="448" spans="1:9" x14ac:dyDescent="0.2">
      <c r="A448" s="4">
        <v>34134</v>
      </c>
      <c r="B448" s="24">
        <v>1.2264999999999999</v>
      </c>
      <c r="C448" s="25">
        <v>105.09</v>
      </c>
      <c r="D448" s="25">
        <v>5.97</v>
      </c>
      <c r="E448" s="26">
        <v>6.77</v>
      </c>
      <c r="F448" s="25">
        <v>4.8239999999999998</v>
      </c>
      <c r="G448" s="25">
        <v>447.709991</v>
      </c>
      <c r="H448" s="25">
        <v>1686.4399410000001</v>
      </c>
      <c r="I448" s="19">
        <v>20397.349610000001</v>
      </c>
    </row>
    <row r="449" spans="1:9" x14ac:dyDescent="0.2">
      <c r="A449" s="4">
        <v>34135</v>
      </c>
      <c r="B449" s="24">
        <v>1.2188000000000001</v>
      </c>
      <c r="C449" s="25">
        <v>106.05</v>
      </c>
      <c r="D449" s="25">
        <v>5.96</v>
      </c>
      <c r="E449" s="26">
        <v>6.79</v>
      </c>
      <c r="F449" s="25">
        <v>4.7789999999999999</v>
      </c>
      <c r="G449" s="25">
        <v>446.26998900000001</v>
      </c>
      <c r="H449" s="25">
        <v>1684.5699460000001</v>
      </c>
      <c r="I449" s="19">
        <v>20045.880860000001</v>
      </c>
    </row>
    <row r="450" spans="1:9" x14ac:dyDescent="0.2">
      <c r="A450" s="4">
        <v>34136</v>
      </c>
      <c r="B450" s="24">
        <v>1.2027000000000001</v>
      </c>
      <c r="C450" s="25">
        <v>106.6</v>
      </c>
      <c r="D450" s="25">
        <v>5.96</v>
      </c>
      <c r="E450" s="26">
        <v>6.75</v>
      </c>
      <c r="F450" s="25">
        <v>4.7889999999999997</v>
      </c>
      <c r="G450" s="25">
        <v>447.42999300000002</v>
      </c>
      <c r="H450" s="25">
        <v>1689.9300539999999</v>
      </c>
      <c r="I450" s="19">
        <v>19902.41992</v>
      </c>
    </row>
    <row r="451" spans="1:9" x14ac:dyDescent="0.2">
      <c r="A451" s="4">
        <v>34137</v>
      </c>
      <c r="B451" s="24">
        <v>1.2040999999999999</v>
      </c>
      <c r="C451" s="25">
        <v>107.29</v>
      </c>
      <c r="D451" s="25">
        <v>5.93</v>
      </c>
      <c r="E451" s="26">
        <v>6.78</v>
      </c>
      <c r="F451" s="25">
        <v>4.7089999999999996</v>
      </c>
      <c r="G451" s="25">
        <v>448.540009</v>
      </c>
      <c r="H451" s="25">
        <v>1681.469971</v>
      </c>
      <c r="I451" s="19">
        <v>19925.509770000001</v>
      </c>
    </row>
    <row r="452" spans="1:9" x14ac:dyDescent="0.2">
      <c r="A452" s="4">
        <v>34138</v>
      </c>
      <c r="B452" s="24">
        <v>1.1879</v>
      </c>
      <c r="C452" s="25">
        <v>109.6</v>
      </c>
      <c r="D452" s="25">
        <v>5.97</v>
      </c>
      <c r="E452" s="26">
        <v>6.74</v>
      </c>
      <c r="F452" s="25">
        <v>4.6890000000000001</v>
      </c>
      <c r="G452" s="25">
        <v>443.67999300000002</v>
      </c>
      <c r="H452" s="25">
        <v>1687.1400149999999</v>
      </c>
      <c r="I452" s="19">
        <v>19804.539059999999</v>
      </c>
    </row>
    <row r="453" spans="1:9" x14ac:dyDescent="0.2">
      <c r="A453" s="4">
        <v>34141</v>
      </c>
      <c r="B453" s="24">
        <v>1.1830000000000001</v>
      </c>
      <c r="C453" s="25">
        <v>110.67</v>
      </c>
      <c r="D453" s="25">
        <v>5.92</v>
      </c>
      <c r="E453" s="26">
        <v>6.72</v>
      </c>
      <c r="F453" s="25">
        <v>4.7140000000000004</v>
      </c>
      <c r="G453" s="25">
        <v>446.22000100000002</v>
      </c>
      <c r="H453" s="25">
        <v>1697.26001</v>
      </c>
      <c r="I453" s="19">
        <v>19212.429690000001</v>
      </c>
    </row>
    <row r="454" spans="1:9" x14ac:dyDescent="0.2">
      <c r="A454" s="4">
        <v>34142</v>
      </c>
      <c r="B454" s="24">
        <v>1.179</v>
      </c>
      <c r="C454" s="25">
        <v>110.93</v>
      </c>
      <c r="D454" s="25">
        <v>5.91</v>
      </c>
      <c r="E454" s="26">
        <v>6.72</v>
      </c>
      <c r="F454" s="25">
        <v>4.8140000000000001</v>
      </c>
      <c r="G454" s="25">
        <v>445.92999300000002</v>
      </c>
      <c r="H454" s="25">
        <v>1698.329956</v>
      </c>
      <c r="I454" s="19">
        <v>19538.300780000001</v>
      </c>
    </row>
    <row r="455" spans="1:9" x14ac:dyDescent="0.2">
      <c r="A455" s="4">
        <v>34143</v>
      </c>
      <c r="B455" s="24">
        <v>1.1801999999999999</v>
      </c>
      <c r="C455" s="25">
        <v>108.85</v>
      </c>
      <c r="D455" s="25">
        <v>5.91</v>
      </c>
      <c r="E455" s="26">
        <v>6.75</v>
      </c>
      <c r="F455" s="25">
        <v>4.8639999999999999</v>
      </c>
      <c r="G455" s="25">
        <v>443.19000199999999</v>
      </c>
      <c r="H455" s="25">
        <v>1690.959961</v>
      </c>
      <c r="I455" s="19">
        <v>19492.519530000001</v>
      </c>
    </row>
    <row r="456" spans="1:9" x14ac:dyDescent="0.2">
      <c r="A456" s="4">
        <v>34144</v>
      </c>
      <c r="B456" s="24">
        <v>1.1671</v>
      </c>
      <c r="C456" s="25">
        <v>108.6</v>
      </c>
      <c r="D456" s="25">
        <v>5.88</v>
      </c>
      <c r="E456" s="26">
        <v>6.73</v>
      </c>
      <c r="F456" s="25">
        <v>4.7990000000000004</v>
      </c>
      <c r="G456" s="25">
        <v>446.61999500000002</v>
      </c>
      <c r="H456" s="25">
        <v>1692.160034</v>
      </c>
      <c r="I456" s="19">
        <v>19685.070309999999</v>
      </c>
    </row>
    <row r="457" spans="1:9" x14ac:dyDescent="0.2">
      <c r="A457" s="4">
        <v>34145</v>
      </c>
      <c r="B457" s="24">
        <v>1.1752</v>
      </c>
      <c r="C457" s="25">
        <v>106.25</v>
      </c>
      <c r="D457" s="25">
        <v>5.84</v>
      </c>
      <c r="E457" s="26">
        <v>6.72</v>
      </c>
      <c r="F457" s="25">
        <v>4.7990000000000004</v>
      </c>
      <c r="G457" s="25">
        <v>447.60000600000001</v>
      </c>
      <c r="H457" s="25">
        <v>1699.5200199999999</v>
      </c>
      <c r="I457" s="19">
        <v>19659.570309999999</v>
      </c>
    </row>
    <row r="458" spans="1:9" x14ac:dyDescent="0.2">
      <c r="A458" s="4">
        <v>34148</v>
      </c>
      <c r="B458" s="24">
        <v>1.1718</v>
      </c>
      <c r="C458" s="25">
        <v>106.27</v>
      </c>
      <c r="D458" s="25">
        <v>5.8</v>
      </c>
      <c r="E458" s="26">
        <v>6.69</v>
      </c>
      <c r="F458" s="25">
        <v>4.7590000000000003</v>
      </c>
      <c r="G458" s="25">
        <v>451.85000600000001</v>
      </c>
      <c r="H458" s="25">
        <v>1712.329956</v>
      </c>
      <c r="I458" s="19">
        <v>19886.759770000001</v>
      </c>
    </row>
    <row r="459" spans="1:9" x14ac:dyDescent="0.2">
      <c r="A459" s="4">
        <v>34149</v>
      </c>
      <c r="B459" s="24">
        <v>1.1811</v>
      </c>
      <c r="C459" s="25">
        <v>106.42</v>
      </c>
      <c r="D459" s="25">
        <v>5.79</v>
      </c>
      <c r="E459" s="26">
        <v>6.65</v>
      </c>
      <c r="F459" s="25">
        <v>4.7439999999999998</v>
      </c>
      <c r="G459" s="25">
        <v>450.69000199999999</v>
      </c>
      <c r="H459" s="25">
        <v>1703.0500489999999</v>
      </c>
      <c r="I459" s="19">
        <v>19543.41992</v>
      </c>
    </row>
    <row r="460" spans="1:9" x14ac:dyDescent="0.2">
      <c r="A460" s="4">
        <v>34150</v>
      </c>
      <c r="B460" s="24">
        <v>1.1729000000000001</v>
      </c>
      <c r="C460" s="25">
        <v>107.3</v>
      </c>
      <c r="D460" s="25">
        <v>5.8</v>
      </c>
      <c r="E460" s="26">
        <v>6.66</v>
      </c>
      <c r="F460" s="25">
        <v>4.6989999999999998</v>
      </c>
      <c r="G460" s="25">
        <v>450.52999899999998</v>
      </c>
      <c r="H460" s="25">
        <v>1700.9300539999999</v>
      </c>
      <c r="I460" s="19">
        <v>19590</v>
      </c>
    </row>
    <row r="461" spans="1:9" x14ac:dyDescent="0.2">
      <c r="A461" s="4">
        <v>34151</v>
      </c>
      <c r="B461" s="24">
        <v>1.1756</v>
      </c>
      <c r="C461" s="25">
        <v>107.37</v>
      </c>
      <c r="D461" s="25">
        <v>5.8</v>
      </c>
      <c r="E461" s="26">
        <v>6.65</v>
      </c>
      <c r="F461" s="25">
        <v>4.6340000000000003</v>
      </c>
      <c r="G461" s="25">
        <v>449.01998900000001</v>
      </c>
      <c r="H461" s="25">
        <v>1698.3599850000001</v>
      </c>
      <c r="I461" s="19">
        <v>19924.609380000002</v>
      </c>
    </row>
    <row r="462" spans="1:9" x14ac:dyDescent="0.2">
      <c r="A462" s="18">
        <v>34152</v>
      </c>
      <c r="B462" s="24">
        <v>1.1752</v>
      </c>
      <c r="C462" s="25">
        <v>108.6</v>
      </c>
      <c r="D462" s="25">
        <v>5.76</v>
      </c>
      <c r="E462" s="26">
        <v>6.71</v>
      </c>
      <c r="F462" s="25">
        <v>4.6189999999999998</v>
      </c>
      <c r="G462" s="25">
        <v>445.83999599999999</v>
      </c>
      <c r="H462" s="25">
        <v>1697.3900149999999</v>
      </c>
      <c r="I462" s="19">
        <v>19621.460940000001</v>
      </c>
    </row>
    <row r="463" spans="1:9" x14ac:dyDescent="0.2">
      <c r="A463" s="4">
        <v>34155</v>
      </c>
      <c r="B463" s="24">
        <v>1.1745000000000001</v>
      </c>
      <c r="C463" s="25">
        <v>109.05</v>
      </c>
      <c r="D463" s="25">
        <v>5.76</v>
      </c>
      <c r="E463" s="26">
        <v>6.74</v>
      </c>
      <c r="F463" s="25">
        <v>4.609</v>
      </c>
      <c r="G463" s="25">
        <v>448.98</v>
      </c>
      <c r="H463" s="25">
        <v>1694.829956</v>
      </c>
      <c r="I463" s="19">
        <v>19623.060549999998</v>
      </c>
    </row>
    <row r="464" spans="1:9" x14ac:dyDescent="0.2">
      <c r="A464" s="4">
        <v>34156</v>
      </c>
      <c r="B464" s="24">
        <v>1.1717</v>
      </c>
      <c r="C464" s="25">
        <v>108.99</v>
      </c>
      <c r="D464" s="25">
        <v>5.8</v>
      </c>
      <c r="E464" s="26">
        <v>6.72</v>
      </c>
      <c r="F464" s="25">
        <v>4.5490000000000004</v>
      </c>
      <c r="G464" s="25">
        <v>441.42999300000002</v>
      </c>
      <c r="H464" s="25">
        <v>1705.660034</v>
      </c>
      <c r="I464" s="19">
        <v>19829.779299999998</v>
      </c>
    </row>
    <row r="465" spans="1:9" x14ac:dyDescent="0.2">
      <c r="A465" s="4">
        <v>34157</v>
      </c>
      <c r="B465" s="24">
        <v>1.1702999999999999</v>
      </c>
      <c r="C465" s="25">
        <v>107.58</v>
      </c>
      <c r="D465" s="25">
        <v>5.8</v>
      </c>
      <c r="E465" s="26">
        <v>6.69</v>
      </c>
      <c r="F465" s="25">
        <v>4.5490000000000004</v>
      </c>
      <c r="G465" s="25">
        <v>442.82998700000002</v>
      </c>
      <c r="H465" s="25">
        <v>1739.4799800000001</v>
      </c>
      <c r="I465" s="19">
        <v>19720.66992</v>
      </c>
    </row>
    <row r="466" spans="1:9" x14ac:dyDescent="0.2">
      <c r="A466" s="4">
        <v>34158</v>
      </c>
      <c r="B466" s="24">
        <v>1.1633</v>
      </c>
      <c r="C466" s="25">
        <v>108.6</v>
      </c>
      <c r="D466" s="25">
        <v>5.78</v>
      </c>
      <c r="E466" s="26">
        <v>6.71</v>
      </c>
      <c r="F466" s="25">
        <v>4.5890000000000004</v>
      </c>
      <c r="G466" s="25">
        <v>448.64001500000001</v>
      </c>
      <c r="H466" s="25">
        <v>1798.630005</v>
      </c>
      <c r="I466" s="19">
        <v>19688.66992</v>
      </c>
    </row>
    <row r="467" spans="1:9" x14ac:dyDescent="0.2">
      <c r="A467" s="4">
        <v>34159</v>
      </c>
      <c r="B467" s="24">
        <v>1.1527000000000001</v>
      </c>
      <c r="C467" s="25">
        <v>110</v>
      </c>
      <c r="D467" s="25">
        <v>5.76</v>
      </c>
      <c r="E467" s="26">
        <v>6.58</v>
      </c>
      <c r="F467" s="25">
        <v>4.5149999999999997</v>
      </c>
      <c r="G467" s="25">
        <v>448.10998499999999</v>
      </c>
      <c r="H467" s="25">
        <v>1798.3599850000001</v>
      </c>
      <c r="I467" s="19">
        <v>19877.390630000002</v>
      </c>
    </row>
    <row r="468" spans="1:9" x14ac:dyDescent="0.2">
      <c r="A468" s="4">
        <v>34162</v>
      </c>
      <c r="B468" s="24">
        <v>1.1464000000000001</v>
      </c>
      <c r="C468" s="25">
        <v>109.35</v>
      </c>
      <c r="D468" s="25">
        <v>5.75</v>
      </c>
      <c r="E468" s="26">
        <v>6.58</v>
      </c>
      <c r="F468" s="25">
        <v>4.51</v>
      </c>
      <c r="G468" s="25">
        <v>448.98001099999999</v>
      </c>
      <c r="H468" s="25">
        <v>1808.73999</v>
      </c>
      <c r="I468" s="19">
        <v>19980</v>
      </c>
    </row>
    <row r="469" spans="1:9" x14ac:dyDescent="0.2">
      <c r="A469" s="4">
        <v>34163</v>
      </c>
      <c r="B469" s="24">
        <v>1.1517999999999999</v>
      </c>
      <c r="C469" s="25">
        <v>108.13</v>
      </c>
      <c r="D469" s="25">
        <v>5.78</v>
      </c>
      <c r="E469" s="26">
        <v>6.57</v>
      </c>
      <c r="F469" s="25">
        <v>4.49</v>
      </c>
      <c r="G469" s="25">
        <v>448.08999599999999</v>
      </c>
      <c r="H469" s="25">
        <v>1806.5200199999999</v>
      </c>
      <c r="I469" s="19">
        <v>20180.41992</v>
      </c>
    </row>
    <row r="470" spans="1:9" x14ac:dyDescent="0.2">
      <c r="A470" s="4">
        <v>34164</v>
      </c>
      <c r="B470" s="24">
        <v>1.151</v>
      </c>
      <c r="C470" s="25">
        <v>107.05</v>
      </c>
      <c r="D470" s="25">
        <v>5.72</v>
      </c>
      <c r="E470" s="26">
        <v>6.57</v>
      </c>
      <c r="F470" s="25">
        <v>4.51</v>
      </c>
      <c r="G470" s="25">
        <v>450.07998700000002</v>
      </c>
      <c r="H470" s="25">
        <v>1815.630005</v>
      </c>
      <c r="I470" s="19">
        <v>20139.109380000002</v>
      </c>
    </row>
    <row r="471" spans="1:9" x14ac:dyDescent="0.2">
      <c r="A471" s="4">
        <v>34165</v>
      </c>
      <c r="B471" s="24">
        <v>1.1467000000000001</v>
      </c>
      <c r="C471" s="25">
        <v>108.25</v>
      </c>
      <c r="D471" s="25">
        <v>5.72</v>
      </c>
      <c r="E471" s="26">
        <v>6.58</v>
      </c>
      <c r="F471" s="25">
        <v>4.51</v>
      </c>
      <c r="G471" s="25">
        <v>449.22000100000002</v>
      </c>
      <c r="H471" s="25">
        <v>1807.119995</v>
      </c>
      <c r="I471" s="19">
        <v>20158.019530000001</v>
      </c>
    </row>
    <row r="472" spans="1:9" x14ac:dyDescent="0.2">
      <c r="A472" s="4">
        <v>34166</v>
      </c>
      <c r="B472" s="24">
        <v>1.1433</v>
      </c>
      <c r="C472" s="25">
        <v>107.55</v>
      </c>
      <c r="D472" s="25">
        <v>5.71</v>
      </c>
      <c r="E472" s="26">
        <v>6.58</v>
      </c>
      <c r="F472" s="25">
        <v>4.49</v>
      </c>
      <c r="G472" s="25">
        <v>445.75</v>
      </c>
      <c r="H472" s="25">
        <v>1829.3599850000001</v>
      </c>
      <c r="I472" s="19">
        <v>20331.529299999998</v>
      </c>
    </row>
    <row r="473" spans="1:9" x14ac:dyDescent="0.2">
      <c r="A473" s="4">
        <v>34169</v>
      </c>
      <c r="B473" s="24">
        <v>1.1593</v>
      </c>
      <c r="C473" s="25">
        <v>108.55</v>
      </c>
      <c r="D473" s="25">
        <v>5.71</v>
      </c>
      <c r="E473" s="26">
        <v>6.55</v>
      </c>
      <c r="F473" s="25">
        <v>4.4800000000000004</v>
      </c>
      <c r="G473" s="25">
        <v>446.02999899999998</v>
      </c>
      <c r="H473" s="25">
        <v>1835.089966</v>
      </c>
      <c r="I473" s="19">
        <v>20150.91992</v>
      </c>
    </row>
    <row r="474" spans="1:9" x14ac:dyDescent="0.2">
      <c r="A474" s="4">
        <v>34170</v>
      </c>
      <c r="B474" s="24">
        <v>1.1537999999999999</v>
      </c>
      <c r="C474" s="25">
        <v>108.17</v>
      </c>
      <c r="D474" s="25">
        <v>5.75</v>
      </c>
      <c r="E474" s="26">
        <v>6.57</v>
      </c>
      <c r="F474" s="25">
        <v>4.5</v>
      </c>
      <c r="G474" s="25">
        <v>447.30999800000001</v>
      </c>
      <c r="H474" s="25">
        <v>1826.4499510000001</v>
      </c>
      <c r="I474" s="19">
        <v>20038</v>
      </c>
    </row>
    <row r="475" spans="1:9" x14ac:dyDescent="0.2">
      <c r="A475" s="4">
        <v>34171</v>
      </c>
      <c r="B475" s="24">
        <v>1.1609</v>
      </c>
      <c r="C475" s="25">
        <v>108.15</v>
      </c>
      <c r="D475" s="25">
        <v>5.83</v>
      </c>
      <c r="E475" s="26">
        <v>6.59</v>
      </c>
      <c r="F475" s="25">
        <v>4.45</v>
      </c>
      <c r="G475" s="25">
        <v>447.17999300000002</v>
      </c>
      <c r="H475" s="25">
        <v>1821.280029</v>
      </c>
      <c r="I475" s="19">
        <v>20080.910159999999</v>
      </c>
    </row>
    <row r="476" spans="1:9" x14ac:dyDescent="0.2">
      <c r="A476" s="4">
        <v>34172</v>
      </c>
      <c r="B476" s="24">
        <v>1.1509</v>
      </c>
      <c r="C476" s="25">
        <v>105.7</v>
      </c>
      <c r="D476" s="25">
        <v>5.9</v>
      </c>
      <c r="E476" s="26">
        <v>6.63</v>
      </c>
      <c r="F476" s="25">
        <v>4.42</v>
      </c>
      <c r="G476" s="25">
        <v>444.51001000000002</v>
      </c>
      <c r="H476" s="25">
        <v>1828.530029</v>
      </c>
      <c r="I476" s="19">
        <v>20115.810549999998</v>
      </c>
    </row>
    <row r="477" spans="1:9" x14ac:dyDescent="0.2">
      <c r="A477" s="4">
        <v>34173</v>
      </c>
      <c r="B477" s="24">
        <v>1.1456999999999999</v>
      </c>
      <c r="C477" s="25">
        <v>107.07</v>
      </c>
      <c r="D477" s="25">
        <v>5.95</v>
      </c>
      <c r="E477" s="26">
        <v>6.56</v>
      </c>
      <c r="F477" s="25">
        <v>4.3650000000000002</v>
      </c>
      <c r="G477" s="25">
        <v>447.10000600000001</v>
      </c>
      <c r="H477" s="25">
        <v>1830.6099850000001</v>
      </c>
      <c r="I477" s="19">
        <v>19734.570309999999</v>
      </c>
    </row>
    <row r="478" spans="1:9" x14ac:dyDescent="0.2">
      <c r="A478" s="4">
        <v>34176</v>
      </c>
      <c r="B478" s="24">
        <v>1.1427</v>
      </c>
      <c r="C478" s="25">
        <v>106.75</v>
      </c>
      <c r="D478" s="25">
        <v>5.93</v>
      </c>
      <c r="E478" s="26">
        <v>6.54</v>
      </c>
      <c r="F478" s="25">
        <v>4.3600000000000003</v>
      </c>
      <c r="G478" s="25">
        <v>449.08999599999999</v>
      </c>
      <c r="H478" s="25">
        <v>1859.48999</v>
      </c>
      <c r="I478" s="19">
        <v>19822.08008</v>
      </c>
    </row>
    <row r="479" spans="1:9" x14ac:dyDescent="0.2">
      <c r="A479" s="4">
        <v>34177</v>
      </c>
      <c r="B479" s="24">
        <v>1.1417999999999999</v>
      </c>
      <c r="C479" s="25">
        <v>106.21</v>
      </c>
      <c r="D479" s="25">
        <v>5.92</v>
      </c>
      <c r="E479" s="26">
        <v>6.56</v>
      </c>
      <c r="F479" s="25">
        <v>4.3849999999999998</v>
      </c>
      <c r="G479" s="25">
        <v>448.23998999999998</v>
      </c>
      <c r="H479" s="25">
        <v>1846.0200199999999</v>
      </c>
      <c r="I479" s="19">
        <v>19891.390630000002</v>
      </c>
    </row>
    <row r="480" spans="1:9" x14ac:dyDescent="0.2">
      <c r="A480" s="4">
        <v>34178</v>
      </c>
      <c r="B480" s="24">
        <v>1.1477999999999999</v>
      </c>
      <c r="C480" s="25">
        <v>106.02</v>
      </c>
      <c r="D480" s="25">
        <v>5.9</v>
      </c>
      <c r="E480" s="26">
        <v>6.58</v>
      </c>
      <c r="F480" s="25">
        <v>4.38</v>
      </c>
      <c r="G480" s="25">
        <v>447.19000199999999</v>
      </c>
      <c r="H480" s="25">
        <v>1832.1999510000001</v>
      </c>
      <c r="I480" s="19">
        <v>19829.58008</v>
      </c>
    </row>
    <row r="481" spans="1:9" x14ac:dyDescent="0.2">
      <c r="A481" s="4">
        <v>34179</v>
      </c>
      <c r="B481" s="24">
        <v>1.1338999999999999</v>
      </c>
      <c r="C481" s="25">
        <v>106.55</v>
      </c>
      <c r="D481" s="25">
        <v>5.81</v>
      </c>
      <c r="E481" s="26">
        <v>6.6</v>
      </c>
      <c r="F481" s="25">
        <v>4.41</v>
      </c>
      <c r="G481" s="25">
        <v>450.23998999999998</v>
      </c>
      <c r="H481" s="25">
        <v>1823.400024</v>
      </c>
      <c r="I481" s="19">
        <v>20456.849610000001</v>
      </c>
    </row>
    <row r="482" spans="1:9" x14ac:dyDescent="0.2">
      <c r="A482" s="4">
        <v>34180</v>
      </c>
      <c r="B482" s="24">
        <v>1.1258999999999999</v>
      </c>
      <c r="C482" s="25">
        <v>105.1</v>
      </c>
      <c r="D482" s="25">
        <v>5.83</v>
      </c>
      <c r="E482" s="26">
        <v>6.55</v>
      </c>
      <c r="F482" s="25">
        <v>4.3499999999999996</v>
      </c>
      <c r="G482" s="25">
        <v>448.13000499999998</v>
      </c>
      <c r="H482" s="25">
        <v>1823.0699460000001</v>
      </c>
      <c r="I482" s="19">
        <v>20380.140630000002</v>
      </c>
    </row>
    <row r="483" spans="1:9" x14ac:dyDescent="0.2">
      <c r="A483" s="4">
        <v>34183</v>
      </c>
      <c r="B483" s="24">
        <v>1.1288</v>
      </c>
      <c r="C483" s="25">
        <v>104.34</v>
      </c>
      <c r="D483" s="25">
        <v>5.85</v>
      </c>
      <c r="E483" s="26">
        <v>6.53</v>
      </c>
      <c r="F483" s="25">
        <v>4.3099999999999996</v>
      </c>
      <c r="G483" s="25">
        <v>450.14999399999999</v>
      </c>
      <c r="H483" s="25">
        <v>1818.099976</v>
      </c>
      <c r="I483" s="19">
        <v>20343.529299999998</v>
      </c>
    </row>
    <row r="484" spans="1:9" x14ac:dyDescent="0.2">
      <c r="A484" s="4">
        <v>34184</v>
      </c>
      <c r="B484" s="24">
        <v>1.1458999999999999</v>
      </c>
      <c r="C484" s="25">
        <v>104.45</v>
      </c>
      <c r="D484" s="25">
        <v>5.83</v>
      </c>
      <c r="E484" s="26">
        <v>6.49</v>
      </c>
      <c r="F484" s="25">
        <v>4.3099999999999996</v>
      </c>
      <c r="G484" s="25">
        <v>449.26998900000001</v>
      </c>
      <c r="H484" s="25">
        <v>1857.3599850000001</v>
      </c>
      <c r="I484" s="19">
        <v>20357.640630000002</v>
      </c>
    </row>
    <row r="485" spans="1:9" x14ac:dyDescent="0.2">
      <c r="A485" s="4">
        <v>34185</v>
      </c>
      <c r="B485" s="24">
        <v>1.1452</v>
      </c>
      <c r="C485" s="25">
        <v>104.9</v>
      </c>
      <c r="D485" s="25">
        <v>5.87</v>
      </c>
      <c r="E485" s="26">
        <v>6.46</v>
      </c>
      <c r="F485" s="25">
        <v>4.33</v>
      </c>
      <c r="G485" s="25">
        <v>448.540009</v>
      </c>
      <c r="H485" s="25">
        <v>1861.219971</v>
      </c>
      <c r="I485" s="19">
        <v>20497.550780000001</v>
      </c>
    </row>
    <row r="486" spans="1:9" x14ac:dyDescent="0.2">
      <c r="A486" s="4">
        <v>34186</v>
      </c>
      <c r="B486" s="24">
        <v>1.1406000000000001</v>
      </c>
      <c r="C486" s="25">
        <v>104.38</v>
      </c>
      <c r="D486" s="25">
        <v>5.86</v>
      </c>
      <c r="E486" s="26">
        <v>6.47</v>
      </c>
      <c r="F486" s="25">
        <v>4.2949999999999999</v>
      </c>
      <c r="G486" s="25">
        <v>448.13000499999998</v>
      </c>
      <c r="H486" s="25">
        <v>1870.8000489999999</v>
      </c>
      <c r="I486" s="19">
        <v>20425.640630000002</v>
      </c>
    </row>
    <row r="487" spans="1:9" x14ac:dyDescent="0.2">
      <c r="A487" s="4">
        <v>34187</v>
      </c>
      <c r="B487" s="24">
        <v>1.1446000000000001</v>
      </c>
      <c r="C487" s="25">
        <v>104.4</v>
      </c>
      <c r="D487" s="25">
        <v>5.86</v>
      </c>
      <c r="E487" s="26">
        <v>6.42</v>
      </c>
      <c r="F487" s="25">
        <v>4.2850000000000001</v>
      </c>
      <c r="G487" s="25">
        <v>448.67999300000002</v>
      </c>
      <c r="H487" s="25">
        <v>1878.9399410000001</v>
      </c>
      <c r="I487" s="19">
        <v>20357.939450000002</v>
      </c>
    </row>
    <row r="488" spans="1:9" x14ac:dyDescent="0.2">
      <c r="A488" s="4">
        <v>34190</v>
      </c>
      <c r="B488" s="24">
        <v>1.1484000000000001</v>
      </c>
      <c r="C488" s="25">
        <v>104.95</v>
      </c>
      <c r="D488" s="25">
        <v>5.82</v>
      </c>
      <c r="E488" s="26">
        <v>6.42</v>
      </c>
      <c r="F488" s="25">
        <v>4.2300000000000004</v>
      </c>
      <c r="G488" s="25">
        <v>450.72000100000002</v>
      </c>
      <c r="H488" s="25">
        <v>1870.23999</v>
      </c>
      <c r="I488" s="19">
        <v>20493.050780000001</v>
      </c>
    </row>
    <row r="489" spans="1:9" x14ac:dyDescent="0.2">
      <c r="A489" s="4">
        <v>34191</v>
      </c>
      <c r="B489" s="24">
        <v>1.1386000000000001</v>
      </c>
      <c r="C489" s="25">
        <v>104.64</v>
      </c>
      <c r="D489" s="25">
        <v>5.82</v>
      </c>
      <c r="E489" s="26">
        <v>6.41</v>
      </c>
      <c r="F489" s="25">
        <v>4.2050000000000001</v>
      </c>
      <c r="G489" s="25">
        <v>449.45001200000002</v>
      </c>
      <c r="H489" s="25">
        <v>1864.51001</v>
      </c>
      <c r="I489" s="19">
        <v>20493.75</v>
      </c>
    </row>
    <row r="490" spans="1:9" x14ac:dyDescent="0.2">
      <c r="A490" s="4">
        <v>34192</v>
      </c>
      <c r="B490" s="24">
        <v>1.1371</v>
      </c>
      <c r="C490" s="25">
        <v>103.69</v>
      </c>
      <c r="D490" s="25">
        <v>5.75</v>
      </c>
      <c r="E490" s="26">
        <v>6.36</v>
      </c>
      <c r="F490" s="25">
        <v>4.1950000000000003</v>
      </c>
      <c r="G490" s="25">
        <v>450.459991</v>
      </c>
      <c r="H490" s="25">
        <v>1894.5600589999999</v>
      </c>
      <c r="I490" s="19">
        <v>20732.570309999999</v>
      </c>
    </row>
    <row r="491" spans="1:9" x14ac:dyDescent="0.2">
      <c r="A491" s="4">
        <v>34193</v>
      </c>
      <c r="B491" s="24">
        <v>1.1273</v>
      </c>
      <c r="C491" s="25">
        <v>102.99</v>
      </c>
      <c r="D491" s="25">
        <v>5.77</v>
      </c>
      <c r="E491" s="26">
        <v>6.36</v>
      </c>
      <c r="F491" s="25">
        <v>4.1449999999999996</v>
      </c>
      <c r="G491" s="25">
        <v>448.959991</v>
      </c>
      <c r="H491" s="25">
        <v>1908.6899410000001</v>
      </c>
      <c r="I491" s="19">
        <v>20765.279299999998</v>
      </c>
    </row>
    <row r="492" spans="1:9" x14ac:dyDescent="0.2">
      <c r="A492" s="4">
        <v>34194</v>
      </c>
      <c r="B492" s="24">
        <v>1.1323000000000001</v>
      </c>
      <c r="C492" s="25">
        <v>101.85</v>
      </c>
      <c r="D492" s="25">
        <v>5.72</v>
      </c>
      <c r="E492" s="26">
        <v>6.39</v>
      </c>
      <c r="F492" s="25">
        <v>4.1849999999999996</v>
      </c>
      <c r="G492" s="25">
        <v>450.14001500000001</v>
      </c>
      <c r="H492" s="25">
        <v>1917.6899410000001</v>
      </c>
      <c r="I492" s="19">
        <v>20745.16992</v>
      </c>
    </row>
    <row r="493" spans="1:9" x14ac:dyDescent="0.2">
      <c r="A493" s="4">
        <v>34197</v>
      </c>
      <c r="B493" s="24">
        <v>1.1479999999999999</v>
      </c>
      <c r="C493" s="25">
        <v>101.62</v>
      </c>
      <c r="D493" s="25">
        <v>5.68</v>
      </c>
      <c r="E493" s="26">
        <v>6.35</v>
      </c>
      <c r="F493" s="25">
        <v>4.1749999999999998</v>
      </c>
      <c r="G493" s="25">
        <v>452.38000499999998</v>
      </c>
      <c r="H493" s="25">
        <v>1903.4399410000001</v>
      </c>
      <c r="I493" s="19">
        <v>20901.490229999999</v>
      </c>
    </row>
    <row r="494" spans="1:9" x14ac:dyDescent="0.2">
      <c r="A494" s="4">
        <v>34198</v>
      </c>
      <c r="B494" s="24">
        <v>1.1509</v>
      </c>
      <c r="C494" s="25">
        <v>101.02</v>
      </c>
      <c r="D494" s="25">
        <v>5.7</v>
      </c>
      <c r="E494" s="26">
        <v>6.41</v>
      </c>
      <c r="F494" s="25">
        <v>4.1749999999999998</v>
      </c>
      <c r="G494" s="25">
        <v>453.13000499999998</v>
      </c>
      <c r="H494" s="25">
        <v>1918.75</v>
      </c>
      <c r="I494" s="19">
        <v>20841.980469999999</v>
      </c>
    </row>
    <row r="495" spans="1:9" x14ac:dyDescent="0.2">
      <c r="A495" s="18">
        <v>34199</v>
      </c>
      <c r="B495" s="24">
        <v>1.1567000000000001</v>
      </c>
      <c r="C495" s="25">
        <v>101.63</v>
      </c>
      <c r="D495" s="25">
        <v>5.69</v>
      </c>
      <c r="E495" s="26">
        <v>6.39</v>
      </c>
      <c r="F495" s="25">
        <v>4.1950000000000003</v>
      </c>
      <c r="G495" s="25">
        <v>456.040009</v>
      </c>
      <c r="H495" s="25">
        <v>1930.290039</v>
      </c>
      <c r="I495" s="19">
        <v>20773.179690000001</v>
      </c>
    </row>
    <row r="496" spans="1:9" x14ac:dyDescent="0.2">
      <c r="A496" s="4">
        <v>34200</v>
      </c>
      <c r="B496" s="24">
        <v>1.1563000000000001</v>
      </c>
      <c r="C496" s="25">
        <v>105.84</v>
      </c>
      <c r="D496" s="25">
        <v>5.64</v>
      </c>
      <c r="E496" s="26">
        <v>6.38</v>
      </c>
      <c r="F496" s="25">
        <v>4.2249999999999996</v>
      </c>
      <c r="G496" s="25">
        <v>456.42999300000002</v>
      </c>
      <c r="H496" s="25">
        <v>1937.7700199999999</v>
      </c>
      <c r="I496" s="19">
        <v>20687.470700000002</v>
      </c>
    </row>
    <row r="497" spans="1:9" x14ac:dyDescent="0.2">
      <c r="A497" s="4">
        <v>34201</v>
      </c>
      <c r="B497" s="24">
        <v>1.1629</v>
      </c>
      <c r="C497" s="25">
        <v>104.43</v>
      </c>
      <c r="D497" s="25">
        <v>5.61</v>
      </c>
      <c r="E497" s="26">
        <v>6.4</v>
      </c>
      <c r="F497" s="25">
        <v>4.26</v>
      </c>
      <c r="G497" s="25">
        <v>456.16000400000001</v>
      </c>
      <c r="H497" s="25">
        <v>1909.530029</v>
      </c>
      <c r="I497" s="19">
        <v>20607.259770000001</v>
      </c>
    </row>
    <row r="498" spans="1:9" x14ac:dyDescent="0.2">
      <c r="A498" s="4">
        <v>34204</v>
      </c>
      <c r="B498" s="24">
        <v>1.1566000000000001</v>
      </c>
      <c r="C498" s="25">
        <v>103.05</v>
      </c>
      <c r="D498" s="25">
        <v>5.6</v>
      </c>
      <c r="E498" s="26">
        <v>6.4</v>
      </c>
      <c r="F498" s="25">
        <v>4.26</v>
      </c>
      <c r="G498" s="25">
        <v>455.23001099999999</v>
      </c>
      <c r="H498" s="25">
        <v>1893.4799800000001</v>
      </c>
      <c r="I498" s="19">
        <v>20414.140630000002</v>
      </c>
    </row>
    <row r="499" spans="1:9" x14ac:dyDescent="0.2">
      <c r="A499" s="4">
        <v>34205</v>
      </c>
      <c r="B499" s="24">
        <v>1.1633</v>
      </c>
      <c r="C499" s="25">
        <v>103.73</v>
      </c>
      <c r="D499" s="25">
        <v>5.54</v>
      </c>
      <c r="E499" s="26">
        <v>6.39</v>
      </c>
      <c r="F499" s="25">
        <v>4.29</v>
      </c>
      <c r="G499" s="25">
        <v>459.76998900000001</v>
      </c>
      <c r="H499" s="25">
        <v>1907.650024</v>
      </c>
      <c r="I499" s="19">
        <v>20431.839840000001</v>
      </c>
    </row>
    <row r="500" spans="1:9" x14ac:dyDescent="0.2">
      <c r="A500" s="4">
        <v>34206</v>
      </c>
      <c r="B500" s="24">
        <v>1.1571</v>
      </c>
      <c r="C500" s="25">
        <v>105.05</v>
      </c>
      <c r="D500" s="25">
        <v>5.51</v>
      </c>
      <c r="E500" s="26">
        <v>6.36</v>
      </c>
      <c r="F500" s="25">
        <v>4.2549999999999999</v>
      </c>
      <c r="G500" s="25">
        <v>460.13000499999998</v>
      </c>
      <c r="H500" s="25">
        <v>1915.589966</v>
      </c>
      <c r="I500" s="19">
        <v>20521.449219999999</v>
      </c>
    </row>
    <row r="501" spans="1:9" x14ac:dyDescent="0.2">
      <c r="A501" s="4">
        <v>34207</v>
      </c>
      <c r="B501" s="24">
        <v>1.1640999999999999</v>
      </c>
      <c r="C501" s="25">
        <v>104.41</v>
      </c>
      <c r="D501" s="25">
        <v>5.42</v>
      </c>
      <c r="E501" s="26">
        <v>6.36</v>
      </c>
      <c r="F501" s="25">
        <v>4.1609999999999996</v>
      </c>
      <c r="G501" s="25">
        <v>461.040009</v>
      </c>
      <c r="H501" s="25">
        <v>1890.579956</v>
      </c>
      <c r="I501" s="19">
        <v>20591.759770000001</v>
      </c>
    </row>
    <row r="502" spans="1:9" x14ac:dyDescent="0.2">
      <c r="A502" s="4">
        <v>34208</v>
      </c>
      <c r="B502" s="24">
        <v>1.1655</v>
      </c>
      <c r="C502" s="25">
        <v>103.8</v>
      </c>
      <c r="D502" s="25">
        <v>5.48</v>
      </c>
      <c r="E502" s="26">
        <v>6.33</v>
      </c>
      <c r="F502" s="25">
        <v>4.1550000000000002</v>
      </c>
      <c r="G502" s="25">
        <v>460.540009</v>
      </c>
      <c r="H502" s="25">
        <v>1909.540039</v>
      </c>
      <c r="I502" s="19">
        <v>20791.679690000001</v>
      </c>
    </row>
    <row r="503" spans="1:9" x14ac:dyDescent="0.2">
      <c r="A503" s="4">
        <v>34211</v>
      </c>
      <c r="B503" s="24">
        <v>1.1655</v>
      </c>
      <c r="C503" s="25">
        <v>103.8</v>
      </c>
      <c r="D503" s="25">
        <v>5.44</v>
      </c>
      <c r="E503" s="26">
        <v>6.31</v>
      </c>
      <c r="F503" s="25">
        <v>4.13</v>
      </c>
      <c r="G503" s="25">
        <v>461.89999399999999</v>
      </c>
      <c r="H503" s="25">
        <v>1929.5600589999999</v>
      </c>
      <c r="I503" s="19">
        <v>20912.689450000002</v>
      </c>
    </row>
    <row r="504" spans="1:9" x14ac:dyDescent="0.2">
      <c r="A504" s="4">
        <v>34212</v>
      </c>
      <c r="B504" s="24">
        <v>1.1601999999999999</v>
      </c>
      <c r="C504" s="25">
        <v>104.75</v>
      </c>
      <c r="D504" s="25">
        <v>5.45</v>
      </c>
      <c r="E504" s="26">
        <v>6.25</v>
      </c>
      <c r="F504" s="25">
        <v>4.1159999999999997</v>
      </c>
      <c r="G504" s="25">
        <v>463.55999800000001</v>
      </c>
      <c r="H504" s="25">
        <v>1931.880005</v>
      </c>
      <c r="I504" s="19">
        <v>21026.599610000001</v>
      </c>
    </row>
    <row r="505" spans="1:9" x14ac:dyDescent="0.2">
      <c r="A505" s="4">
        <v>34213</v>
      </c>
      <c r="B505" s="24">
        <v>1.1715</v>
      </c>
      <c r="C505" s="25">
        <v>105.35</v>
      </c>
      <c r="D505" s="25">
        <v>5.46</v>
      </c>
      <c r="E505" s="26">
        <v>6.14</v>
      </c>
      <c r="F505" s="25">
        <v>4.0609999999999999</v>
      </c>
      <c r="G505" s="25">
        <v>463.14999399999999</v>
      </c>
      <c r="H505" s="25">
        <v>1923.670044</v>
      </c>
      <c r="I505" s="19">
        <v>20953.300780000001</v>
      </c>
    </row>
    <row r="506" spans="1:9" x14ac:dyDescent="0.2">
      <c r="A506" s="4">
        <v>34214</v>
      </c>
      <c r="B506" s="24">
        <v>1.1739999999999999</v>
      </c>
      <c r="C506" s="25">
        <v>105.95</v>
      </c>
      <c r="D506" s="25">
        <v>5.41</v>
      </c>
      <c r="E506" s="26">
        <v>6.17</v>
      </c>
      <c r="F506" s="25">
        <v>4.1109999999999998</v>
      </c>
      <c r="G506" s="25">
        <v>461.29998799999998</v>
      </c>
      <c r="H506" s="25">
        <v>1928.630005</v>
      </c>
      <c r="I506" s="19">
        <v>20983.199219999999</v>
      </c>
    </row>
    <row r="507" spans="1:9" x14ac:dyDescent="0.2">
      <c r="A507" s="4">
        <v>34215</v>
      </c>
      <c r="B507" s="24">
        <v>1.1893</v>
      </c>
      <c r="C507" s="25">
        <v>104.69</v>
      </c>
      <c r="D507" s="25">
        <v>5.31</v>
      </c>
      <c r="E507" s="26">
        <v>6.14</v>
      </c>
      <c r="F507" s="25">
        <v>4.1159999999999997</v>
      </c>
      <c r="G507" s="25">
        <v>461.33999599999999</v>
      </c>
      <c r="H507" s="25">
        <v>1920.4300539999999</v>
      </c>
      <c r="I507" s="19">
        <v>21116.210940000001</v>
      </c>
    </row>
    <row r="508" spans="1:9" x14ac:dyDescent="0.2">
      <c r="A508" s="18">
        <v>34218</v>
      </c>
      <c r="B508" s="24">
        <v>1.2014</v>
      </c>
      <c r="C508" s="25">
        <v>104.41</v>
      </c>
      <c r="D508" s="25">
        <v>5.31</v>
      </c>
      <c r="E508" s="26">
        <v>6.15</v>
      </c>
      <c r="F508" s="25">
        <v>4.0510000000000002</v>
      </c>
      <c r="G508" s="25">
        <v>462.06</v>
      </c>
      <c r="H508" s="25">
        <v>1911.150024</v>
      </c>
      <c r="I508" s="19">
        <v>21060.810549999998</v>
      </c>
    </row>
    <row r="509" spans="1:9" x14ac:dyDescent="0.2">
      <c r="A509" s="4">
        <v>34219</v>
      </c>
      <c r="B509" s="24">
        <v>1.2002999999999999</v>
      </c>
      <c r="C509" s="25">
        <v>104.28</v>
      </c>
      <c r="D509" s="25">
        <v>5.23</v>
      </c>
      <c r="E509" s="26">
        <v>6.14</v>
      </c>
      <c r="F509" s="25">
        <v>4.056</v>
      </c>
      <c r="G509" s="25">
        <v>458.51998900000001</v>
      </c>
      <c r="H509" s="25">
        <v>1878.7700199999999</v>
      </c>
      <c r="I509" s="19">
        <v>20962.099610000001</v>
      </c>
    </row>
    <row r="510" spans="1:9" x14ac:dyDescent="0.2">
      <c r="A510" s="4">
        <v>34220</v>
      </c>
      <c r="B510" s="24">
        <v>1.1968000000000001</v>
      </c>
      <c r="C510" s="25">
        <v>105.49</v>
      </c>
      <c r="D510" s="25">
        <v>5.23</v>
      </c>
      <c r="E510" s="26">
        <v>6.13</v>
      </c>
      <c r="F510" s="25">
        <v>4.0209999999999999</v>
      </c>
      <c r="G510" s="25">
        <v>456.64999399999999</v>
      </c>
      <c r="H510" s="25">
        <v>1870.3199460000001</v>
      </c>
      <c r="I510" s="19">
        <v>20918.189450000002</v>
      </c>
    </row>
    <row r="511" spans="1:9" x14ac:dyDescent="0.2">
      <c r="A511" s="4">
        <v>34221</v>
      </c>
      <c r="B511" s="24">
        <v>1.2098</v>
      </c>
      <c r="C511" s="25">
        <v>105.35</v>
      </c>
      <c r="D511" s="25">
        <v>5.35</v>
      </c>
      <c r="E511" s="26">
        <v>6.14</v>
      </c>
      <c r="F511" s="25">
        <v>4.016</v>
      </c>
      <c r="G511" s="25">
        <v>457.5</v>
      </c>
      <c r="H511" s="25">
        <v>1870.459961</v>
      </c>
      <c r="I511" s="19">
        <v>20825.58008</v>
      </c>
    </row>
    <row r="512" spans="1:9" x14ac:dyDescent="0.2">
      <c r="A512" s="4">
        <v>34222</v>
      </c>
      <c r="B512" s="24">
        <v>1.2136</v>
      </c>
      <c r="C512" s="25">
        <v>106.15</v>
      </c>
      <c r="D512" s="25">
        <v>5.29</v>
      </c>
      <c r="E512" s="26">
        <v>6.14</v>
      </c>
      <c r="F512" s="25">
        <v>4.0609999999999999</v>
      </c>
      <c r="G512" s="25">
        <v>461.72000100000002</v>
      </c>
      <c r="H512" s="25">
        <v>1868.280029</v>
      </c>
      <c r="I512" s="19">
        <v>20817.980469999999</v>
      </c>
    </row>
    <row r="513" spans="1:9" x14ac:dyDescent="0.2">
      <c r="A513" s="4">
        <v>34225</v>
      </c>
      <c r="B513" s="24">
        <v>1.2111000000000001</v>
      </c>
      <c r="C513" s="25">
        <v>106.3</v>
      </c>
      <c r="D513" s="25">
        <v>5.26</v>
      </c>
      <c r="E513" s="26">
        <v>6.13</v>
      </c>
      <c r="F513" s="25">
        <v>4.1059999999999999</v>
      </c>
      <c r="G513" s="25">
        <v>462.05999800000001</v>
      </c>
      <c r="H513" s="25">
        <v>1874.380005</v>
      </c>
      <c r="I513" s="19">
        <v>21148.109380000002</v>
      </c>
    </row>
    <row r="514" spans="1:9" x14ac:dyDescent="0.2">
      <c r="A514" s="4">
        <v>34226</v>
      </c>
      <c r="B514" s="24">
        <v>1.2107000000000001</v>
      </c>
      <c r="C514" s="25">
        <v>105.95</v>
      </c>
      <c r="D514" s="25">
        <v>5.37</v>
      </c>
      <c r="E514" s="26">
        <v>6.13</v>
      </c>
      <c r="F514" s="25">
        <v>4.1310000000000002</v>
      </c>
      <c r="G514" s="25">
        <v>459.89999399999999</v>
      </c>
      <c r="H514" s="25">
        <v>1869.25</v>
      </c>
      <c r="I514" s="19">
        <v>20947.789059999999</v>
      </c>
    </row>
    <row r="515" spans="1:9" x14ac:dyDescent="0.2">
      <c r="A515" s="4">
        <v>34227</v>
      </c>
      <c r="B515" s="24">
        <v>1.2232000000000001</v>
      </c>
      <c r="C515" s="25">
        <v>105.93</v>
      </c>
      <c r="D515" s="25">
        <v>5.39</v>
      </c>
      <c r="E515" s="26">
        <v>6.15</v>
      </c>
      <c r="F515" s="25">
        <v>4.1310000000000002</v>
      </c>
      <c r="G515" s="25">
        <v>461.60000600000001</v>
      </c>
      <c r="H515" s="25">
        <v>1852.8100589999999</v>
      </c>
      <c r="I515" s="19">
        <v>20947.789059999999</v>
      </c>
    </row>
    <row r="516" spans="1:9" x14ac:dyDescent="0.2">
      <c r="A516" s="4">
        <v>34228</v>
      </c>
      <c r="B516" s="24">
        <v>1.2103999999999999</v>
      </c>
      <c r="C516" s="25">
        <v>104.25</v>
      </c>
      <c r="D516" s="25">
        <v>5.37</v>
      </c>
      <c r="E516" s="26">
        <v>6.15</v>
      </c>
      <c r="F516" s="25">
        <v>4.0659999999999998</v>
      </c>
      <c r="G516" s="25">
        <v>459.42999300000002</v>
      </c>
      <c r="H516" s="25">
        <v>1862.619995</v>
      </c>
      <c r="I516" s="19">
        <v>20502.150389999999</v>
      </c>
    </row>
    <row r="517" spans="1:9" x14ac:dyDescent="0.2">
      <c r="A517" s="4">
        <v>34229</v>
      </c>
      <c r="B517" s="24">
        <v>1.2081999999999999</v>
      </c>
      <c r="C517" s="25">
        <v>104.5</v>
      </c>
      <c r="D517" s="25">
        <v>5.38</v>
      </c>
      <c r="E517" s="26">
        <v>6.13</v>
      </c>
      <c r="F517" s="25">
        <v>4.0410000000000004</v>
      </c>
      <c r="G517" s="25">
        <v>458.82998700000002</v>
      </c>
      <c r="H517" s="25">
        <v>1884.670044</v>
      </c>
      <c r="I517" s="19">
        <v>20391.039059999999</v>
      </c>
    </row>
    <row r="518" spans="1:9" x14ac:dyDescent="0.2">
      <c r="A518" s="4">
        <v>34232</v>
      </c>
      <c r="B518" s="24">
        <v>1.2040999999999999</v>
      </c>
      <c r="C518" s="25">
        <v>104.61</v>
      </c>
      <c r="D518" s="25">
        <v>5.42</v>
      </c>
      <c r="E518" s="26">
        <v>6.07</v>
      </c>
      <c r="F518" s="25">
        <v>4.0389999999999997</v>
      </c>
      <c r="G518" s="25">
        <v>455.04998799999998</v>
      </c>
      <c r="H518" s="25">
        <v>1922.6899410000001</v>
      </c>
      <c r="I518" s="19">
        <v>20266.029299999998</v>
      </c>
    </row>
    <row r="519" spans="1:9" x14ac:dyDescent="0.2">
      <c r="A519" s="4">
        <v>34233</v>
      </c>
      <c r="B519" s="24">
        <v>1.2047000000000001</v>
      </c>
      <c r="C519" s="25">
        <v>106.5</v>
      </c>
      <c r="D519" s="25">
        <v>5.47</v>
      </c>
      <c r="E519" s="26">
        <v>6.08</v>
      </c>
      <c r="F519" s="25">
        <v>3.9510000000000001</v>
      </c>
      <c r="G519" s="25">
        <v>452.95001200000002</v>
      </c>
      <c r="H519" s="25">
        <v>1922.0500489999999</v>
      </c>
      <c r="I519" s="19">
        <v>20466.650389999999</v>
      </c>
    </row>
    <row r="520" spans="1:9" x14ac:dyDescent="0.2">
      <c r="A520" s="4">
        <v>34234</v>
      </c>
      <c r="B520" s="24">
        <v>1.1949000000000001</v>
      </c>
      <c r="C520" s="25">
        <v>106.32</v>
      </c>
      <c r="D520" s="25">
        <v>5.45</v>
      </c>
      <c r="E520" s="26">
        <v>6.12</v>
      </c>
      <c r="F520" s="25">
        <v>3.976</v>
      </c>
      <c r="G520" s="25">
        <v>456.20001200000002</v>
      </c>
      <c r="H520" s="25">
        <v>1899.540039</v>
      </c>
      <c r="I520" s="19">
        <v>20174.619139999999</v>
      </c>
    </row>
    <row r="521" spans="1:9" x14ac:dyDescent="0.2">
      <c r="A521" s="4">
        <v>34235</v>
      </c>
      <c r="B521" s="24">
        <v>1.1819999999999999</v>
      </c>
      <c r="C521" s="25">
        <v>105.87</v>
      </c>
      <c r="D521" s="25">
        <v>5.42</v>
      </c>
      <c r="E521" s="26">
        <v>6.11</v>
      </c>
      <c r="F521" s="25">
        <v>3.976</v>
      </c>
      <c r="G521" s="25">
        <v>457.73998999999998</v>
      </c>
      <c r="H521" s="25">
        <v>1902.1400149999999</v>
      </c>
      <c r="I521" s="19">
        <v>20174.619139999999</v>
      </c>
    </row>
    <row r="522" spans="1:9" x14ac:dyDescent="0.2">
      <c r="A522" s="23">
        <v>34236</v>
      </c>
      <c r="B522" s="24">
        <v>1.1827000000000001</v>
      </c>
      <c r="C522" s="25">
        <v>106</v>
      </c>
      <c r="D522" s="25">
        <v>5.42</v>
      </c>
      <c r="E522" s="26">
        <v>6.18</v>
      </c>
      <c r="F522" s="25">
        <v>3.931</v>
      </c>
      <c r="G522" s="25">
        <v>457.63000499999998</v>
      </c>
      <c r="H522" s="25">
        <v>1890.1800539999999</v>
      </c>
      <c r="I522" s="19">
        <v>20307.529299999998</v>
      </c>
    </row>
    <row r="523" spans="1:9" x14ac:dyDescent="0.2">
      <c r="A523" s="4">
        <v>34239</v>
      </c>
      <c r="B523" s="24">
        <v>1.1919999999999999</v>
      </c>
      <c r="C523" s="25">
        <v>106.2</v>
      </c>
      <c r="D523" s="25">
        <v>5.3</v>
      </c>
      <c r="E523" s="26">
        <v>6.1</v>
      </c>
      <c r="F523" s="25">
        <v>3.8610000000000002</v>
      </c>
      <c r="G523" s="25">
        <v>461.79998799999998</v>
      </c>
      <c r="H523" s="25">
        <v>1914.400024</v>
      </c>
      <c r="I523" s="19">
        <v>20094.109380000002</v>
      </c>
    </row>
    <row r="524" spans="1:9" x14ac:dyDescent="0.2">
      <c r="A524" s="4">
        <v>34240</v>
      </c>
      <c r="B524" s="24">
        <v>1.1906000000000001</v>
      </c>
      <c r="C524" s="25">
        <v>105.03</v>
      </c>
      <c r="D524" s="25">
        <v>5.28</v>
      </c>
      <c r="E524" s="26">
        <v>6.06</v>
      </c>
      <c r="F524" s="25">
        <v>3.831</v>
      </c>
      <c r="G524" s="25">
        <v>461.52999899999998</v>
      </c>
      <c r="H524" s="25">
        <v>1915.6099850000001</v>
      </c>
      <c r="I524" s="19">
        <v>20172.720700000002</v>
      </c>
    </row>
    <row r="525" spans="1:9" x14ac:dyDescent="0.2">
      <c r="A525" s="4">
        <v>34241</v>
      </c>
      <c r="B525" s="24">
        <v>1.2019</v>
      </c>
      <c r="C525" s="25">
        <v>105.05</v>
      </c>
      <c r="D525" s="25">
        <v>5.35</v>
      </c>
      <c r="E525" s="26">
        <v>6.07</v>
      </c>
      <c r="F525" s="25">
        <v>3.871</v>
      </c>
      <c r="G525" s="25">
        <v>460.10998499999999</v>
      </c>
      <c r="H525" s="25">
        <v>1908.969971</v>
      </c>
      <c r="I525" s="19">
        <v>20077.410159999999</v>
      </c>
    </row>
    <row r="526" spans="1:9" x14ac:dyDescent="0.2">
      <c r="A526" s="4">
        <v>34242</v>
      </c>
      <c r="B526" s="24">
        <v>1.1892</v>
      </c>
      <c r="C526" s="25">
        <v>106.3</v>
      </c>
      <c r="D526" s="25">
        <v>5.4</v>
      </c>
      <c r="E526" s="26">
        <v>6.07</v>
      </c>
      <c r="F526" s="25">
        <v>3.7970000000000002</v>
      </c>
      <c r="G526" s="25">
        <v>458.92999300000002</v>
      </c>
      <c r="H526" s="25">
        <v>1910.2299800000001</v>
      </c>
      <c r="I526" s="19">
        <v>20105.710940000001</v>
      </c>
    </row>
    <row r="527" spans="1:9" x14ac:dyDescent="0.2">
      <c r="A527" s="18">
        <v>34243</v>
      </c>
      <c r="B527" s="24">
        <v>1.1891</v>
      </c>
      <c r="C527" s="25">
        <v>105.9</v>
      </c>
      <c r="D527" s="25">
        <v>5.34</v>
      </c>
      <c r="E527" s="26">
        <v>6.09</v>
      </c>
      <c r="F527" s="25">
        <v>3.831</v>
      </c>
      <c r="G527" s="25">
        <v>461.27999899999998</v>
      </c>
      <c r="H527" s="25">
        <v>1920.459961</v>
      </c>
      <c r="I527" s="19">
        <v>20283.130860000001</v>
      </c>
    </row>
    <row r="528" spans="1:9" x14ac:dyDescent="0.2">
      <c r="A528" s="4">
        <v>34246</v>
      </c>
      <c r="B528" s="24">
        <v>1.1921999999999999</v>
      </c>
      <c r="C528" s="25">
        <v>105.65</v>
      </c>
      <c r="D528" s="25">
        <v>5.34</v>
      </c>
      <c r="E528" s="26">
        <v>6.11</v>
      </c>
      <c r="F528" s="25">
        <v>3.8260000000000001</v>
      </c>
      <c r="G528" s="25">
        <v>461.33999599999999</v>
      </c>
      <c r="H528" s="25">
        <v>1934.98999</v>
      </c>
      <c r="I528" s="19">
        <v>20264.429690000001</v>
      </c>
    </row>
    <row r="529" spans="1:9" x14ac:dyDescent="0.2">
      <c r="A529" s="4">
        <v>34247</v>
      </c>
      <c r="B529" s="24">
        <v>1.1904999999999999</v>
      </c>
      <c r="C529" s="25">
        <v>105.8</v>
      </c>
      <c r="D529" s="25">
        <v>5.35</v>
      </c>
      <c r="E529" s="26">
        <v>6.04</v>
      </c>
      <c r="F529" s="25">
        <v>3.7919999999999998</v>
      </c>
      <c r="G529" s="25">
        <v>461.20001200000002</v>
      </c>
      <c r="H529" s="25">
        <v>1973.4499510000001</v>
      </c>
      <c r="I529" s="19">
        <v>20321.929690000001</v>
      </c>
    </row>
    <row r="530" spans="1:9" x14ac:dyDescent="0.2">
      <c r="A530" s="4">
        <v>34248</v>
      </c>
      <c r="B530" s="24">
        <v>1.1898</v>
      </c>
      <c r="C530" s="25">
        <v>105.66</v>
      </c>
      <c r="D530" s="25">
        <v>5.35</v>
      </c>
      <c r="E530" s="26">
        <v>5.98</v>
      </c>
      <c r="F530" s="25">
        <v>3.871</v>
      </c>
      <c r="G530" s="25">
        <v>460.73998999999998</v>
      </c>
      <c r="H530" s="25">
        <v>1994.089966</v>
      </c>
      <c r="I530" s="19">
        <v>20500.25</v>
      </c>
    </row>
    <row r="531" spans="1:9" x14ac:dyDescent="0.2">
      <c r="A531" s="4">
        <v>34249</v>
      </c>
      <c r="B531" s="24">
        <v>1.1895</v>
      </c>
      <c r="C531" s="25">
        <v>105</v>
      </c>
      <c r="D531" s="25">
        <v>5.33</v>
      </c>
      <c r="E531" s="26">
        <v>6</v>
      </c>
      <c r="F531" s="25">
        <v>3.8410000000000002</v>
      </c>
      <c r="G531" s="25">
        <v>459.17999300000002</v>
      </c>
      <c r="H531" s="25">
        <v>1991.9499510000001</v>
      </c>
      <c r="I531" s="19">
        <v>20265.630860000001</v>
      </c>
    </row>
    <row r="532" spans="1:9" x14ac:dyDescent="0.2">
      <c r="A532" s="4">
        <v>34250</v>
      </c>
      <c r="B532" s="24">
        <v>1.2041999999999999</v>
      </c>
      <c r="C532" s="25">
        <v>106.15</v>
      </c>
      <c r="D532" s="25">
        <v>5.26</v>
      </c>
      <c r="E532" s="26">
        <v>5.99</v>
      </c>
      <c r="F532" s="25">
        <v>3.8319999999999999</v>
      </c>
      <c r="G532" s="25">
        <v>460.30999800000001</v>
      </c>
      <c r="H532" s="25">
        <v>2015.709961</v>
      </c>
      <c r="I532" s="19">
        <v>20378.640630000002</v>
      </c>
    </row>
    <row r="533" spans="1:9" x14ac:dyDescent="0.2">
      <c r="A533" s="4">
        <v>34253</v>
      </c>
      <c r="B533" s="24">
        <v>1.2037</v>
      </c>
      <c r="C533" s="25">
        <v>106.2</v>
      </c>
      <c r="D533" s="25">
        <v>5.26</v>
      </c>
      <c r="E533" s="26">
        <v>5.96</v>
      </c>
      <c r="F533" s="25">
        <v>3.8319999999999999</v>
      </c>
      <c r="G533" s="25">
        <v>460.88000499999998</v>
      </c>
      <c r="H533" s="25">
        <v>2009.280029</v>
      </c>
      <c r="I533" s="19">
        <v>20378.640630000002</v>
      </c>
    </row>
    <row r="534" spans="1:9" x14ac:dyDescent="0.2">
      <c r="A534" s="4">
        <v>34254</v>
      </c>
      <c r="B534" s="24">
        <v>1.2111000000000001</v>
      </c>
      <c r="C534" s="25">
        <v>106.05</v>
      </c>
      <c r="D534" s="25">
        <v>5.27</v>
      </c>
      <c r="E534" s="26">
        <v>5.96</v>
      </c>
      <c r="F534" s="25">
        <v>3.7759999999999998</v>
      </c>
      <c r="G534" s="25">
        <v>461.11999500000002</v>
      </c>
      <c r="H534" s="25">
        <v>2004.1099850000001</v>
      </c>
      <c r="I534" s="19">
        <v>20137.310549999998</v>
      </c>
    </row>
    <row r="535" spans="1:9" x14ac:dyDescent="0.2">
      <c r="A535" s="4">
        <v>34255</v>
      </c>
      <c r="B535" s="24">
        <v>1.2019</v>
      </c>
      <c r="C535" s="25">
        <v>105.95</v>
      </c>
      <c r="D535" s="25">
        <v>5.27</v>
      </c>
      <c r="E535" s="26">
        <v>5.94</v>
      </c>
      <c r="F535" s="25">
        <v>3.7610000000000001</v>
      </c>
      <c r="G535" s="25">
        <v>461.48998999999998</v>
      </c>
      <c r="H535" s="25">
        <v>1999.599976</v>
      </c>
      <c r="I535" s="19">
        <v>20038.400389999999</v>
      </c>
    </row>
    <row r="536" spans="1:9" x14ac:dyDescent="0.2">
      <c r="A536" s="4">
        <v>34256</v>
      </c>
      <c r="B536" s="24">
        <v>1.1973</v>
      </c>
      <c r="C536" s="25">
        <v>107.25</v>
      </c>
      <c r="D536" s="25">
        <v>5.23</v>
      </c>
      <c r="E536" s="26">
        <v>5.93</v>
      </c>
      <c r="F536" s="25">
        <v>3.7759999999999998</v>
      </c>
      <c r="G536" s="25">
        <v>466.82998700000002</v>
      </c>
      <c r="H536" s="25">
        <v>1995.349976</v>
      </c>
      <c r="I536" s="19">
        <v>20082.810549999998</v>
      </c>
    </row>
    <row r="537" spans="1:9" x14ac:dyDescent="0.2">
      <c r="A537" s="4">
        <v>34257</v>
      </c>
      <c r="B537" s="24">
        <v>1.1939</v>
      </c>
      <c r="C537" s="25">
        <v>107.2</v>
      </c>
      <c r="D537" s="25">
        <v>5.19</v>
      </c>
      <c r="E537" s="26">
        <v>5.92</v>
      </c>
      <c r="F537" s="25">
        <v>3.7909999999999999</v>
      </c>
      <c r="G537" s="25">
        <v>469.5</v>
      </c>
      <c r="H537" s="25">
        <v>2023.26001</v>
      </c>
      <c r="I537" s="19">
        <v>20174.41992</v>
      </c>
    </row>
    <row r="538" spans="1:9" x14ac:dyDescent="0.2">
      <c r="A538" s="4">
        <v>34260</v>
      </c>
      <c r="B538" s="24">
        <v>1.1871</v>
      </c>
      <c r="C538" s="25">
        <v>107.5</v>
      </c>
      <c r="D538" s="25">
        <v>5.27</v>
      </c>
      <c r="E538" s="26">
        <v>5.89</v>
      </c>
      <c r="F538" s="25">
        <v>3.8410000000000002</v>
      </c>
      <c r="G538" s="25">
        <v>468.45001200000002</v>
      </c>
      <c r="H538" s="25">
        <v>2032.25</v>
      </c>
      <c r="I538" s="19">
        <v>20072.210940000001</v>
      </c>
    </row>
    <row r="539" spans="1:9" x14ac:dyDescent="0.2">
      <c r="A539" s="4">
        <v>34261</v>
      </c>
      <c r="B539" s="24">
        <v>1.1774</v>
      </c>
      <c r="C539" s="25">
        <v>107.1</v>
      </c>
      <c r="D539" s="25">
        <v>5.27</v>
      </c>
      <c r="E539" s="26">
        <v>5.88</v>
      </c>
      <c r="F539" s="25">
        <v>3.8010000000000002</v>
      </c>
      <c r="G539" s="25">
        <v>466.209991</v>
      </c>
      <c r="H539" s="25">
        <v>2036.9300539999999</v>
      </c>
      <c r="I539" s="19">
        <v>20069.910159999999</v>
      </c>
    </row>
    <row r="540" spans="1:9" x14ac:dyDescent="0.2">
      <c r="A540" s="4">
        <v>34262</v>
      </c>
      <c r="B540" s="24">
        <v>1.1737</v>
      </c>
      <c r="C540" s="25">
        <v>107.39</v>
      </c>
      <c r="D540" s="25">
        <v>5.26</v>
      </c>
      <c r="E540" s="26">
        <v>5.86</v>
      </c>
      <c r="F540" s="25">
        <v>3.7509999999999999</v>
      </c>
      <c r="G540" s="25">
        <v>466.07000699999998</v>
      </c>
      <c r="H540" s="25">
        <v>2029.869995</v>
      </c>
      <c r="I540" s="19">
        <v>20173.41992</v>
      </c>
    </row>
    <row r="541" spans="1:9" x14ac:dyDescent="0.2">
      <c r="A541" s="4">
        <v>34263</v>
      </c>
      <c r="B541" s="24">
        <v>1.1684000000000001</v>
      </c>
      <c r="C541" s="25">
        <v>108.3</v>
      </c>
      <c r="D541" s="25">
        <v>5.35</v>
      </c>
      <c r="E541" s="26">
        <v>5.86</v>
      </c>
      <c r="F541" s="25">
        <v>3.742</v>
      </c>
      <c r="G541" s="25">
        <v>465.35998499999999</v>
      </c>
      <c r="H541" s="25">
        <v>2048.0500489999999</v>
      </c>
      <c r="I541" s="19">
        <v>20179.41992</v>
      </c>
    </row>
    <row r="542" spans="1:9" x14ac:dyDescent="0.2">
      <c r="A542" s="4">
        <v>34264</v>
      </c>
      <c r="B542" s="24">
        <v>1.1625000000000001</v>
      </c>
      <c r="C542" s="25">
        <v>108.1</v>
      </c>
      <c r="D542" s="25">
        <v>5.42</v>
      </c>
      <c r="E542" s="26">
        <v>5.87</v>
      </c>
      <c r="F542" s="25">
        <v>3.7120000000000002</v>
      </c>
      <c r="G542" s="25">
        <v>463.26998900000001</v>
      </c>
      <c r="H542" s="25">
        <v>2083.6201169999999</v>
      </c>
      <c r="I542" s="19">
        <v>20264.83008</v>
      </c>
    </row>
    <row r="543" spans="1:9" x14ac:dyDescent="0.2">
      <c r="A543" s="4">
        <v>34267</v>
      </c>
      <c r="B543" s="24">
        <v>1.1619999999999999</v>
      </c>
      <c r="C543" s="25">
        <v>108.58</v>
      </c>
      <c r="D543" s="25">
        <v>5.47</v>
      </c>
      <c r="E543" s="26">
        <v>5.88</v>
      </c>
      <c r="F543" s="25">
        <v>3.7109999999999999</v>
      </c>
      <c r="G543" s="25">
        <v>464.20001200000002</v>
      </c>
      <c r="H543" s="25">
        <v>2061.179932</v>
      </c>
      <c r="I543" s="19">
        <v>20309.33008</v>
      </c>
    </row>
    <row r="544" spans="1:9" x14ac:dyDescent="0.2">
      <c r="A544" s="4">
        <v>34268</v>
      </c>
      <c r="B544" s="24">
        <v>1.1558999999999999</v>
      </c>
      <c r="C544" s="25">
        <v>108.35</v>
      </c>
      <c r="D544" s="25">
        <v>5.43</v>
      </c>
      <c r="E544" s="26">
        <v>5.89</v>
      </c>
      <c r="F544" s="25">
        <v>3.6970000000000001</v>
      </c>
      <c r="G544" s="25">
        <v>464.29998799999998</v>
      </c>
      <c r="H544" s="25">
        <v>2048.75</v>
      </c>
      <c r="I544" s="19">
        <v>20023.599610000001</v>
      </c>
    </row>
    <row r="545" spans="1:9" x14ac:dyDescent="0.2">
      <c r="A545" s="4">
        <v>34269</v>
      </c>
      <c r="B545" s="24">
        <v>1.1551</v>
      </c>
      <c r="C545" s="25">
        <v>108.7</v>
      </c>
      <c r="D545" s="25">
        <v>5.44</v>
      </c>
      <c r="E545" s="26">
        <v>5.89</v>
      </c>
      <c r="F545" s="25">
        <v>3.6720000000000002</v>
      </c>
      <c r="G545" s="25">
        <v>464.60998499999999</v>
      </c>
      <c r="H545" s="25">
        <v>2040.969971</v>
      </c>
      <c r="I545" s="19">
        <v>19838.779299999998</v>
      </c>
    </row>
    <row r="546" spans="1:9" x14ac:dyDescent="0.2">
      <c r="A546" s="4">
        <v>34270</v>
      </c>
      <c r="B546" s="24">
        <v>1.1506000000000001</v>
      </c>
      <c r="C546" s="25">
        <v>108.17</v>
      </c>
      <c r="D546" s="25">
        <v>5.41</v>
      </c>
      <c r="E546" s="26">
        <v>5.92</v>
      </c>
      <c r="F546" s="25">
        <v>3.6619999999999999</v>
      </c>
      <c r="G546" s="25">
        <v>467.73001099999999</v>
      </c>
      <c r="H546" s="25">
        <v>2053.6599120000001</v>
      </c>
      <c r="I546" s="19">
        <v>19479.449219999999</v>
      </c>
    </row>
    <row r="547" spans="1:9" x14ac:dyDescent="0.2">
      <c r="A547" s="4">
        <v>34271</v>
      </c>
      <c r="B547" s="24">
        <v>1.157</v>
      </c>
      <c r="C547" s="25">
        <v>108.6</v>
      </c>
      <c r="D547" s="25">
        <v>5.3879999999999999</v>
      </c>
      <c r="E547" s="26">
        <v>5.88</v>
      </c>
      <c r="F547" s="25">
        <v>3.6269999999999998</v>
      </c>
      <c r="G547" s="25">
        <v>467.82998700000002</v>
      </c>
      <c r="H547" s="25">
        <v>2064.9799800000001</v>
      </c>
      <c r="I547" s="19">
        <v>19702.970700000002</v>
      </c>
    </row>
    <row r="548" spans="1:9" x14ac:dyDescent="0.2">
      <c r="A548" s="4">
        <v>34274</v>
      </c>
      <c r="B548" s="24">
        <v>1.1434</v>
      </c>
      <c r="C548" s="25">
        <v>108.25</v>
      </c>
      <c r="D548" s="25">
        <v>5.56</v>
      </c>
      <c r="E548" s="26">
        <v>5.86</v>
      </c>
      <c r="F548" s="25">
        <v>3.577</v>
      </c>
      <c r="G548" s="25">
        <v>469.10000600000001</v>
      </c>
      <c r="H548" s="25">
        <v>2068.51001</v>
      </c>
      <c r="I548" s="19">
        <v>19438.240229999999</v>
      </c>
    </row>
    <row r="549" spans="1:9" x14ac:dyDescent="0.2">
      <c r="A549" s="4">
        <v>34275</v>
      </c>
      <c r="B549" s="24">
        <v>1.1467000000000001</v>
      </c>
      <c r="C549" s="25">
        <v>107.85</v>
      </c>
      <c r="D549" s="25">
        <v>5.6059999999999999</v>
      </c>
      <c r="E549" s="26">
        <v>5.86</v>
      </c>
      <c r="F549" s="25">
        <v>3.5720000000000001</v>
      </c>
      <c r="G549" s="25">
        <v>468.44000199999999</v>
      </c>
      <c r="H549" s="25">
        <v>2086.3999020000001</v>
      </c>
      <c r="I549" s="19">
        <v>19381.240229999999</v>
      </c>
    </row>
    <row r="550" spans="1:9" x14ac:dyDescent="0.2">
      <c r="A550" s="4">
        <v>34276</v>
      </c>
      <c r="B550" s="24">
        <v>1.1480999999999999</v>
      </c>
      <c r="C550" s="25">
        <v>107.7</v>
      </c>
      <c r="D550" s="25">
        <v>5.6059999999999999</v>
      </c>
      <c r="E550" s="26">
        <v>5.85</v>
      </c>
      <c r="F550" s="25">
        <v>3.5720000000000001</v>
      </c>
      <c r="G550" s="25">
        <v>463.01998900000001</v>
      </c>
      <c r="H550" s="25">
        <v>2086.219971</v>
      </c>
      <c r="I550" s="19">
        <v>19381.240229999999</v>
      </c>
    </row>
    <row r="551" spans="1:9" x14ac:dyDescent="0.2">
      <c r="A551" s="4">
        <v>34277</v>
      </c>
      <c r="B551" s="24">
        <v>1.1475</v>
      </c>
      <c r="C551" s="25">
        <v>108.23</v>
      </c>
      <c r="D551" s="25">
        <v>5.665</v>
      </c>
      <c r="E551" s="26">
        <v>5.85</v>
      </c>
      <c r="F551" s="25">
        <v>3.512</v>
      </c>
      <c r="G551" s="25">
        <v>457.48998999999998</v>
      </c>
      <c r="H551" s="25">
        <v>2057.1000979999999</v>
      </c>
      <c r="I551" s="19">
        <v>18949.789059999999</v>
      </c>
    </row>
    <row r="552" spans="1:9" x14ac:dyDescent="0.2">
      <c r="A552" s="4">
        <v>34278</v>
      </c>
      <c r="B552" s="24">
        <v>1.145</v>
      </c>
      <c r="C552" s="25">
        <v>108.4</v>
      </c>
      <c r="D552" s="25">
        <v>5.7279999999999998</v>
      </c>
      <c r="E552" s="26">
        <v>5.89</v>
      </c>
      <c r="F552" s="25">
        <v>3.5579999999999998</v>
      </c>
      <c r="G552" s="25">
        <v>459.57000699999998</v>
      </c>
      <c r="H552" s="25">
        <v>2013.650024</v>
      </c>
      <c r="I552" s="19">
        <v>18590.460940000001</v>
      </c>
    </row>
    <row r="553" spans="1:9" x14ac:dyDescent="0.2">
      <c r="A553" s="4">
        <v>34281</v>
      </c>
      <c r="B553" s="24">
        <v>1.1551</v>
      </c>
      <c r="C553" s="25">
        <v>107.83</v>
      </c>
      <c r="D553" s="25">
        <v>5.6689999999999996</v>
      </c>
      <c r="E553" s="26">
        <v>5.9</v>
      </c>
      <c r="F553" s="25">
        <v>3.512</v>
      </c>
      <c r="G553" s="25">
        <v>460.209991</v>
      </c>
      <c r="H553" s="25">
        <v>2007.5</v>
      </c>
      <c r="I553" s="19">
        <v>18625.160159999999</v>
      </c>
    </row>
    <row r="554" spans="1:9" x14ac:dyDescent="0.2">
      <c r="A554" s="4">
        <v>34282</v>
      </c>
      <c r="B554" s="24">
        <v>1.1459999999999999</v>
      </c>
      <c r="C554" s="25">
        <v>107.95</v>
      </c>
      <c r="D554" s="25">
        <v>5.6230000000000002</v>
      </c>
      <c r="E554" s="26">
        <v>5.89</v>
      </c>
      <c r="F554" s="25">
        <v>3.4820000000000002</v>
      </c>
      <c r="G554" s="25">
        <v>460.32998700000002</v>
      </c>
      <c r="H554" s="25">
        <v>2040.73999</v>
      </c>
      <c r="I554" s="19">
        <v>18125.710940000001</v>
      </c>
    </row>
    <row r="555" spans="1:9" x14ac:dyDescent="0.2">
      <c r="A555" s="4">
        <v>34283</v>
      </c>
      <c r="B555" s="24">
        <v>1.1476999999999999</v>
      </c>
      <c r="C555" s="25">
        <v>107.2</v>
      </c>
      <c r="D555" s="25">
        <v>5.681</v>
      </c>
      <c r="E555" s="26">
        <v>5.86</v>
      </c>
      <c r="F555" s="25">
        <v>3.4820000000000002</v>
      </c>
      <c r="G555" s="25">
        <v>463.72000100000002</v>
      </c>
      <c r="H555" s="25">
        <v>2020.1099850000001</v>
      </c>
      <c r="I555" s="19">
        <v>18121.710940000001</v>
      </c>
    </row>
    <row r="556" spans="1:9" x14ac:dyDescent="0.2">
      <c r="A556" s="4">
        <v>34284</v>
      </c>
      <c r="B556" s="24">
        <v>1.1488</v>
      </c>
      <c r="C556" s="25">
        <v>106.4</v>
      </c>
      <c r="D556" s="25">
        <v>5.681</v>
      </c>
      <c r="E556" s="26">
        <v>5.88</v>
      </c>
      <c r="F556" s="25">
        <v>3.5219999999999998</v>
      </c>
      <c r="G556" s="25">
        <v>462.64001500000001</v>
      </c>
      <c r="H556" s="25">
        <v>2021.8100589999999</v>
      </c>
      <c r="I556" s="19">
        <v>18158.519530000001</v>
      </c>
    </row>
    <row r="557" spans="1:9" x14ac:dyDescent="0.2">
      <c r="A557" s="4">
        <v>34285</v>
      </c>
      <c r="B557" s="24">
        <v>1.1442000000000001</v>
      </c>
      <c r="C557" s="25">
        <v>105.75</v>
      </c>
      <c r="D557" s="25">
        <v>5.6429999999999998</v>
      </c>
      <c r="E557" s="26">
        <v>5.89</v>
      </c>
      <c r="F557" s="25">
        <v>3.5470000000000002</v>
      </c>
      <c r="G557" s="25">
        <v>465.39001500000001</v>
      </c>
      <c r="H557" s="25">
        <v>2023.0600589999999</v>
      </c>
      <c r="I557" s="19">
        <v>18493.550780000001</v>
      </c>
    </row>
    <row r="558" spans="1:9" x14ac:dyDescent="0.2">
      <c r="A558" s="4">
        <v>34288</v>
      </c>
      <c r="B558" s="24">
        <v>1.1509</v>
      </c>
      <c r="C558" s="25">
        <v>106.73</v>
      </c>
      <c r="D558" s="25">
        <v>5.6639999999999997</v>
      </c>
      <c r="E558" s="26">
        <v>5.86</v>
      </c>
      <c r="F558" s="25">
        <v>3.5720000000000001</v>
      </c>
      <c r="G558" s="25">
        <v>463.75</v>
      </c>
      <c r="H558" s="25">
        <v>2047.1999510000001</v>
      </c>
      <c r="I558" s="19">
        <v>18074.609380000002</v>
      </c>
    </row>
    <row r="559" spans="1:9" x14ac:dyDescent="0.2">
      <c r="A559" s="4">
        <v>34289</v>
      </c>
      <c r="B559" s="24">
        <v>1.1459999999999999</v>
      </c>
      <c r="C559" s="25">
        <v>106.81</v>
      </c>
      <c r="D559" s="25">
        <v>5.6269999999999998</v>
      </c>
      <c r="E559" s="26">
        <v>5.83</v>
      </c>
      <c r="F559" s="25">
        <v>3.5870000000000002</v>
      </c>
      <c r="G559" s="25">
        <v>466.73998999999998</v>
      </c>
      <c r="H559" s="25">
        <v>2070.169922</v>
      </c>
      <c r="I559" s="19">
        <v>18246.119139999999</v>
      </c>
    </row>
    <row r="560" spans="1:9" x14ac:dyDescent="0.2">
      <c r="A560" s="4">
        <v>34290</v>
      </c>
      <c r="B560" s="24">
        <v>1.1409</v>
      </c>
      <c r="C560" s="25">
        <v>106.9</v>
      </c>
      <c r="D560" s="25">
        <v>5.6219999999999999</v>
      </c>
      <c r="E560" s="26">
        <v>5.83</v>
      </c>
      <c r="F560" s="25">
        <v>3.552</v>
      </c>
      <c r="G560" s="25">
        <v>464.80999800000001</v>
      </c>
      <c r="H560" s="25">
        <v>2070.169922</v>
      </c>
      <c r="I560" s="19">
        <v>18108.710940000001</v>
      </c>
    </row>
    <row r="561" spans="1:9" x14ac:dyDescent="0.2">
      <c r="A561" s="4">
        <v>34291</v>
      </c>
      <c r="B561" s="24">
        <v>1.1399999999999999</v>
      </c>
      <c r="C561" s="25">
        <v>107.35</v>
      </c>
      <c r="D561" s="25">
        <v>5.694</v>
      </c>
      <c r="E561" s="26">
        <v>5.8</v>
      </c>
      <c r="F561" s="25">
        <v>3.5470000000000002</v>
      </c>
      <c r="G561" s="25">
        <v>463.61999500000002</v>
      </c>
      <c r="H561" s="25">
        <v>2075.98999</v>
      </c>
      <c r="I561" s="19">
        <v>18166.320309999999</v>
      </c>
    </row>
    <row r="562" spans="1:9" x14ac:dyDescent="0.2">
      <c r="A562" s="4">
        <v>34292</v>
      </c>
      <c r="B562" s="24">
        <v>1.1351</v>
      </c>
      <c r="C562" s="25">
        <v>108.55</v>
      </c>
      <c r="D562" s="25">
        <v>5.8289999999999997</v>
      </c>
      <c r="E562" s="26">
        <v>5.81</v>
      </c>
      <c r="F562" s="25">
        <v>3.508</v>
      </c>
      <c r="G562" s="25">
        <v>462.60000600000001</v>
      </c>
      <c r="H562" s="25">
        <v>2072.1298830000001</v>
      </c>
      <c r="I562" s="19">
        <v>17941.189450000002</v>
      </c>
    </row>
    <row r="563" spans="1:9" x14ac:dyDescent="0.2">
      <c r="A563" s="4">
        <v>34295</v>
      </c>
      <c r="B563" s="24">
        <v>1.1387</v>
      </c>
      <c r="C563" s="25">
        <v>108.5</v>
      </c>
      <c r="D563" s="25">
        <v>5.8639999999999999</v>
      </c>
      <c r="E563" s="26">
        <v>5.84</v>
      </c>
      <c r="F563" s="25">
        <v>3.552</v>
      </c>
      <c r="G563" s="25">
        <v>459.13000499999998</v>
      </c>
      <c r="H563" s="25">
        <v>2020.3599850000001</v>
      </c>
      <c r="I563" s="19">
        <v>17384.839840000001</v>
      </c>
    </row>
    <row r="564" spans="1:9" x14ac:dyDescent="0.2">
      <c r="A564" s="4">
        <v>34296</v>
      </c>
      <c r="B564" s="24">
        <v>1.1368</v>
      </c>
      <c r="C564" s="25">
        <v>108.37</v>
      </c>
      <c r="D564" s="25">
        <v>5.7869999999999999</v>
      </c>
      <c r="E564" s="26">
        <v>5.88</v>
      </c>
      <c r="F564" s="25">
        <v>3.552</v>
      </c>
      <c r="G564" s="25">
        <v>461.02999899999998</v>
      </c>
      <c r="H564" s="25">
        <v>2027.98999</v>
      </c>
      <c r="I564" s="19">
        <v>17384.839840000001</v>
      </c>
    </row>
    <row r="565" spans="1:9" x14ac:dyDescent="0.2">
      <c r="A565" s="4">
        <v>34297</v>
      </c>
      <c r="B565" s="24">
        <v>1.1415999999999999</v>
      </c>
      <c r="C565" s="25">
        <v>108.16</v>
      </c>
      <c r="D565" s="25">
        <v>5.8170000000000002</v>
      </c>
      <c r="E565" s="26">
        <v>5.88</v>
      </c>
      <c r="F565" s="25">
        <v>3.5720000000000001</v>
      </c>
      <c r="G565" s="25">
        <v>462.35998499999999</v>
      </c>
      <c r="H565" s="25">
        <v>2036.4499510000001</v>
      </c>
      <c r="I565" s="19">
        <v>17067.109380000002</v>
      </c>
    </row>
    <row r="566" spans="1:9" x14ac:dyDescent="0.2">
      <c r="A566" s="4">
        <v>34298</v>
      </c>
      <c r="B566" s="24">
        <v>1.1368</v>
      </c>
      <c r="C566" s="25">
        <v>108.38</v>
      </c>
      <c r="D566" s="25">
        <v>5.8170000000000002</v>
      </c>
      <c r="E566" s="26">
        <v>5.89</v>
      </c>
      <c r="F566" s="25">
        <v>3.472</v>
      </c>
      <c r="G566" s="25">
        <v>463.11</v>
      </c>
      <c r="H566" s="25">
        <v>2057.8000489999999</v>
      </c>
      <c r="I566" s="19">
        <v>17222.91992</v>
      </c>
    </row>
    <row r="567" spans="1:9" x14ac:dyDescent="0.2">
      <c r="A567" s="4">
        <v>34299</v>
      </c>
      <c r="B567" s="24">
        <v>1.1339999999999999</v>
      </c>
      <c r="C567" s="25">
        <v>108.98</v>
      </c>
      <c r="D567" s="25">
        <v>5.7489999999999997</v>
      </c>
      <c r="E567" s="26">
        <v>5.85</v>
      </c>
      <c r="F567" s="25">
        <v>3.4319999999999999</v>
      </c>
      <c r="G567" s="25">
        <v>463.05999800000001</v>
      </c>
      <c r="H567" s="25">
        <v>2045.25</v>
      </c>
      <c r="I567" s="19">
        <v>16726.369139999999</v>
      </c>
    </row>
    <row r="568" spans="1:9" x14ac:dyDescent="0.2">
      <c r="A568" s="4">
        <v>34302</v>
      </c>
      <c r="B568" s="24">
        <v>1.1355999999999999</v>
      </c>
      <c r="C568" s="25">
        <v>109.25</v>
      </c>
      <c r="D568" s="25">
        <v>5.7320000000000002</v>
      </c>
      <c r="E568" s="26">
        <v>5.84</v>
      </c>
      <c r="F568" s="25">
        <v>3.3980000000000001</v>
      </c>
      <c r="G568" s="25">
        <v>461.89999399999999</v>
      </c>
      <c r="H568" s="25">
        <v>2052.0900879999999</v>
      </c>
      <c r="I568" s="19">
        <v>16078.70996</v>
      </c>
    </row>
    <row r="569" spans="1:9" x14ac:dyDescent="0.2">
      <c r="A569" s="4">
        <v>34303</v>
      </c>
      <c r="B569" s="24">
        <v>1.1305000000000001</v>
      </c>
      <c r="C569" s="25">
        <v>109.08</v>
      </c>
      <c r="D569" s="25">
        <v>5.7949999999999999</v>
      </c>
      <c r="E569" s="26">
        <v>5.87</v>
      </c>
      <c r="F569" s="25">
        <v>3.5830000000000002</v>
      </c>
      <c r="G569" s="25">
        <v>461.790009</v>
      </c>
      <c r="H569" s="25">
        <v>2052.919922</v>
      </c>
      <c r="I569" s="19">
        <v>16406.539059999999</v>
      </c>
    </row>
    <row r="570" spans="1:9" x14ac:dyDescent="0.2">
      <c r="A570" s="4">
        <v>34304</v>
      </c>
      <c r="B570" s="24">
        <v>1.1301000000000001</v>
      </c>
      <c r="C570" s="25">
        <v>108.79</v>
      </c>
      <c r="D570" s="25">
        <v>5.7830000000000004</v>
      </c>
      <c r="E570" s="26">
        <v>5.95</v>
      </c>
      <c r="F570" s="25">
        <v>3.55</v>
      </c>
      <c r="G570" s="25">
        <v>461.89001500000001</v>
      </c>
      <c r="H570" s="25">
        <v>2089.7700199999999</v>
      </c>
      <c r="I570" s="19">
        <v>17125.310549999998</v>
      </c>
    </row>
    <row r="571" spans="1:9" x14ac:dyDescent="0.2">
      <c r="A571" s="4">
        <v>34305</v>
      </c>
      <c r="B571" s="24">
        <v>1.1257999999999999</v>
      </c>
      <c r="C571" s="25">
        <v>108.82</v>
      </c>
      <c r="D571" s="25">
        <v>5.7779999999999996</v>
      </c>
      <c r="E571" s="26">
        <v>5.94</v>
      </c>
      <c r="F571" s="25">
        <v>3.5089999999999999</v>
      </c>
      <c r="G571" s="25">
        <v>463.10998499999999</v>
      </c>
      <c r="H571" s="25">
        <v>2099.76001</v>
      </c>
      <c r="I571" s="19">
        <v>17458.75</v>
      </c>
    </row>
    <row r="572" spans="1:9" x14ac:dyDescent="0.2">
      <c r="A572" s="4">
        <v>34306</v>
      </c>
      <c r="B572" s="24">
        <v>1.1301000000000001</v>
      </c>
      <c r="C572" s="25">
        <v>108.6</v>
      </c>
      <c r="D572" s="25">
        <v>5.7830000000000004</v>
      </c>
      <c r="E572" s="26">
        <v>5.96</v>
      </c>
      <c r="F572" s="25">
        <v>3.4769999999999999</v>
      </c>
      <c r="G572" s="25">
        <v>464.89001500000001</v>
      </c>
      <c r="H572" s="25">
        <v>2128.3000489999999</v>
      </c>
      <c r="I572" s="19">
        <v>17459.349610000001</v>
      </c>
    </row>
    <row r="573" spans="1:9" x14ac:dyDescent="0.2">
      <c r="A573" s="4">
        <v>34309</v>
      </c>
      <c r="B573" s="24">
        <v>1.1412</v>
      </c>
      <c r="C573" s="25">
        <v>107.89</v>
      </c>
      <c r="D573" s="25">
        <v>5.681</v>
      </c>
      <c r="E573" s="26">
        <v>5.93</v>
      </c>
      <c r="F573" s="25">
        <v>3.4119999999999999</v>
      </c>
      <c r="G573" s="25">
        <v>466.42999300000002</v>
      </c>
      <c r="H573" s="25">
        <v>2118.01001</v>
      </c>
      <c r="I573" s="19">
        <v>16840.380860000001</v>
      </c>
    </row>
    <row r="574" spans="1:9" x14ac:dyDescent="0.2">
      <c r="A574" s="4">
        <v>34310</v>
      </c>
      <c r="B574" s="24">
        <v>1.1443000000000001</v>
      </c>
      <c r="C574" s="25">
        <v>107.52</v>
      </c>
      <c r="D574" s="25">
        <v>5.6769999999999996</v>
      </c>
      <c r="E574" s="26">
        <v>5.93</v>
      </c>
      <c r="F574" s="25">
        <v>3.3919999999999999</v>
      </c>
      <c r="G574" s="25">
        <v>466.76001000000002</v>
      </c>
      <c r="H574" s="25">
        <v>2127.389893</v>
      </c>
      <c r="I574" s="19">
        <v>16903.490229999999</v>
      </c>
    </row>
    <row r="575" spans="1:9" x14ac:dyDescent="0.2">
      <c r="A575" s="4">
        <v>34311</v>
      </c>
      <c r="B575" s="24">
        <v>1.1459999999999999</v>
      </c>
      <c r="C575" s="25">
        <v>109</v>
      </c>
      <c r="D575" s="25">
        <v>5.6719999999999997</v>
      </c>
      <c r="E575" s="26">
        <v>5.93</v>
      </c>
      <c r="F575" s="25">
        <v>3.4039999999999999</v>
      </c>
      <c r="G575" s="25">
        <v>466.290009</v>
      </c>
      <c r="H575" s="25">
        <v>2165.9499510000001</v>
      </c>
      <c r="I575" s="19">
        <v>16507.949219999999</v>
      </c>
    </row>
    <row r="576" spans="1:9" x14ac:dyDescent="0.2">
      <c r="A576" s="4">
        <v>34312</v>
      </c>
      <c r="B576" s="24">
        <v>1.1438999999999999</v>
      </c>
      <c r="C576" s="25">
        <v>108.62</v>
      </c>
      <c r="D576" s="25">
        <v>5.6429999999999998</v>
      </c>
      <c r="E576" s="26">
        <v>5.9</v>
      </c>
      <c r="F576" s="25">
        <v>3.395</v>
      </c>
      <c r="G576" s="25">
        <v>464.17999300000002</v>
      </c>
      <c r="H576" s="25">
        <v>2166.580078</v>
      </c>
      <c r="I576" s="19">
        <v>17061.910159999999</v>
      </c>
    </row>
    <row r="577" spans="1:9" x14ac:dyDescent="0.2">
      <c r="A577" s="4">
        <v>34313</v>
      </c>
      <c r="B577" s="24">
        <v>1.1479999999999999</v>
      </c>
      <c r="C577" s="25">
        <v>109.2</v>
      </c>
      <c r="D577" s="25">
        <v>5.694</v>
      </c>
      <c r="E577" s="26">
        <v>5.83</v>
      </c>
      <c r="F577" s="25">
        <v>3.36</v>
      </c>
      <c r="G577" s="25">
        <v>463.92999300000002</v>
      </c>
      <c r="H577" s="25">
        <v>2165.5</v>
      </c>
      <c r="I577" s="19">
        <v>17257.429690000001</v>
      </c>
    </row>
    <row r="578" spans="1:9" x14ac:dyDescent="0.2">
      <c r="A578" s="4">
        <v>34316</v>
      </c>
      <c r="B578" s="24">
        <v>1.1439999999999999</v>
      </c>
      <c r="C578" s="25">
        <v>109</v>
      </c>
      <c r="D578" s="25">
        <v>5.7489999999999997</v>
      </c>
      <c r="E578" s="26">
        <v>5.84</v>
      </c>
      <c r="F578" s="25">
        <v>3.3679999999999999</v>
      </c>
      <c r="G578" s="25">
        <v>465.70001200000002</v>
      </c>
      <c r="H578" s="25">
        <v>2163.830078</v>
      </c>
      <c r="I578" s="19">
        <v>17327.33008</v>
      </c>
    </row>
    <row r="579" spans="1:9" x14ac:dyDescent="0.2">
      <c r="A579" s="4">
        <v>34317</v>
      </c>
      <c r="B579" s="24">
        <v>1.1379999999999999</v>
      </c>
      <c r="C579" s="25">
        <v>109.4</v>
      </c>
      <c r="D579" s="25">
        <v>5.7789999999999999</v>
      </c>
      <c r="E579" s="26">
        <v>5.82</v>
      </c>
      <c r="F579" s="25">
        <v>3.363</v>
      </c>
      <c r="G579" s="25">
        <v>463.05999800000001</v>
      </c>
      <c r="H579" s="25">
        <v>2128.070068</v>
      </c>
      <c r="I579" s="19">
        <v>17308.730469999999</v>
      </c>
    </row>
    <row r="580" spans="1:9" x14ac:dyDescent="0.2">
      <c r="A580" s="4">
        <v>34318</v>
      </c>
      <c r="B580" s="24">
        <v>1.1373</v>
      </c>
      <c r="C580" s="25">
        <v>109.78</v>
      </c>
      <c r="D580" s="25">
        <v>5.7910000000000004</v>
      </c>
      <c r="E580" s="26">
        <v>5.85</v>
      </c>
      <c r="F580" s="25">
        <v>3.387</v>
      </c>
      <c r="G580" s="25">
        <v>461.83999599999999</v>
      </c>
      <c r="H580" s="25">
        <v>2128.330078</v>
      </c>
      <c r="I580" s="19">
        <v>17489.150389999999</v>
      </c>
    </row>
    <row r="581" spans="1:9" x14ac:dyDescent="0.2">
      <c r="A581" s="4">
        <v>34319</v>
      </c>
      <c r="B581" s="24">
        <v>1.1395</v>
      </c>
      <c r="C581" s="25">
        <v>109.56</v>
      </c>
      <c r="D581" s="25">
        <v>5.8040000000000003</v>
      </c>
      <c r="E581" s="26">
        <v>5.83</v>
      </c>
      <c r="F581" s="25">
        <v>3.403</v>
      </c>
      <c r="G581" s="25">
        <v>463.33999599999999</v>
      </c>
      <c r="H581" s="25">
        <v>2144.030029</v>
      </c>
      <c r="I581" s="19">
        <v>17789.279299999998</v>
      </c>
    </row>
    <row r="582" spans="1:9" x14ac:dyDescent="0.2">
      <c r="A582" s="4">
        <v>34320</v>
      </c>
      <c r="B582" s="24">
        <v>1.1435</v>
      </c>
      <c r="C582" s="25">
        <v>110.19</v>
      </c>
      <c r="D582" s="25">
        <v>5.774</v>
      </c>
      <c r="E582" s="26">
        <v>5.83</v>
      </c>
      <c r="F582" s="25">
        <v>3.4220000000000002</v>
      </c>
      <c r="G582" s="25">
        <v>466.38000499999998</v>
      </c>
      <c r="H582" s="25">
        <v>2154.76001</v>
      </c>
      <c r="I582" s="19">
        <v>18051.910159999999</v>
      </c>
    </row>
    <row r="583" spans="1:9" x14ac:dyDescent="0.2">
      <c r="A583" s="4">
        <v>34323</v>
      </c>
      <c r="B583" s="24">
        <v>1.1399999999999999</v>
      </c>
      <c r="C583" s="25">
        <v>110.62</v>
      </c>
      <c r="D583" s="25">
        <v>5.7960000000000003</v>
      </c>
      <c r="E583" s="26">
        <v>5.79</v>
      </c>
      <c r="F583" s="25">
        <v>3.3780000000000001</v>
      </c>
      <c r="G583" s="25">
        <v>465.85000600000001</v>
      </c>
      <c r="H583" s="25">
        <v>2188.179932</v>
      </c>
      <c r="I583" s="19">
        <v>17404.240229999999</v>
      </c>
    </row>
    <row r="584" spans="1:9" x14ac:dyDescent="0.2">
      <c r="A584" s="4">
        <v>34324</v>
      </c>
      <c r="B584" s="24">
        <v>1.1459999999999999</v>
      </c>
      <c r="C584" s="25">
        <v>111.16</v>
      </c>
      <c r="D584" s="25">
        <v>5.8220000000000001</v>
      </c>
      <c r="E584" s="26">
        <v>5.8</v>
      </c>
      <c r="F584" s="25">
        <v>3.3109999999999999</v>
      </c>
      <c r="G584" s="25">
        <v>465.29998799999998</v>
      </c>
      <c r="H584" s="25">
        <v>2183.780029</v>
      </c>
      <c r="I584" s="19">
        <v>17315.429690000001</v>
      </c>
    </row>
    <row r="585" spans="1:9" x14ac:dyDescent="0.2">
      <c r="A585" s="4">
        <v>34325</v>
      </c>
      <c r="B585" s="24">
        <v>1.149</v>
      </c>
      <c r="C585" s="25">
        <v>110.39</v>
      </c>
      <c r="D585" s="25">
        <v>5.7149999999999999</v>
      </c>
      <c r="E585" s="26">
        <v>5.8</v>
      </c>
      <c r="F585" s="25">
        <v>3.3260000000000001</v>
      </c>
      <c r="G585" s="25">
        <v>467.32000699999998</v>
      </c>
      <c r="H585" s="25">
        <v>2209.169922</v>
      </c>
      <c r="I585" s="19">
        <v>17445.740229999999</v>
      </c>
    </row>
    <row r="586" spans="1:9" x14ac:dyDescent="0.2">
      <c r="A586" s="4">
        <v>34326</v>
      </c>
      <c r="B586" s="24">
        <v>1.1523000000000001</v>
      </c>
      <c r="C586" s="25">
        <v>110.68</v>
      </c>
      <c r="D586" s="25">
        <v>5.681</v>
      </c>
      <c r="E586" s="26">
        <v>5.78</v>
      </c>
      <c r="F586" s="25">
        <v>3.3260000000000001</v>
      </c>
      <c r="G586" s="25">
        <v>467.38000499999998</v>
      </c>
      <c r="H586" s="25">
        <v>2227.6298830000001</v>
      </c>
      <c r="I586" s="19">
        <v>17445.740229999999</v>
      </c>
    </row>
    <row r="587" spans="1:9" x14ac:dyDescent="0.2">
      <c r="A587" s="4">
        <v>34327</v>
      </c>
      <c r="B587" s="24">
        <v>1.151</v>
      </c>
      <c r="C587" s="25">
        <v>110.88</v>
      </c>
      <c r="D587" s="25">
        <v>5.681</v>
      </c>
      <c r="E587" s="26">
        <v>5.78</v>
      </c>
      <c r="F587" s="25">
        <v>3.306</v>
      </c>
      <c r="G587" s="25">
        <v>466.45</v>
      </c>
      <c r="H587" s="25">
        <v>2227.6298830000001</v>
      </c>
      <c r="I587" s="19">
        <v>17141.109380000002</v>
      </c>
    </row>
    <row r="588" spans="1:9" x14ac:dyDescent="0.2">
      <c r="A588" s="4">
        <v>34330</v>
      </c>
      <c r="B588" s="24">
        <v>1.151</v>
      </c>
      <c r="C588" s="25">
        <v>111.46</v>
      </c>
      <c r="D588" s="25">
        <v>5.6769999999999996</v>
      </c>
      <c r="E588" s="26">
        <v>5.77</v>
      </c>
      <c r="F588" s="25">
        <v>3.2789999999999999</v>
      </c>
      <c r="G588" s="25">
        <v>470.540009</v>
      </c>
      <c r="H588" s="25">
        <v>2266.6999510000001</v>
      </c>
      <c r="I588" s="19">
        <v>16819.880860000001</v>
      </c>
    </row>
    <row r="589" spans="1:9" x14ac:dyDescent="0.2">
      <c r="A589" s="4">
        <v>34331</v>
      </c>
      <c r="B589" s="24">
        <v>1.151</v>
      </c>
      <c r="C589" s="25">
        <v>111.43</v>
      </c>
      <c r="D589" s="25">
        <v>5.6849999999999996</v>
      </c>
      <c r="E589" s="26">
        <v>5.77</v>
      </c>
      <c r="F589" s="25">
        <v>3.302</v>
      </c>
      <c r="G589" s="25">
        <v>470.94000199999999</v>
      </c>
      <c r="H589" s="25">
        <v>2236.9099120000001</v>
      </c>
      <c r="I589" s="19">
        <v>17131.210940000001</v>
      </c>
    </row>
    <row r="590" spans="1:9" x14ac:dyDescent="0.2">
      <c r="A590" s="4">
        <v>34332</v>
      </c>
      <c r="B590" s="24">
        <v>1.1362000000000001</v>
      </c>
      <c r="C590" s="25">
        <v>111.81</v>
      </c>
      <c r="D590" s="25">
        <v>5.694</v>
      </c>
      <c r="E590" s="26">
        <v>5.73</v>
      </c>
      <c r="F590" s="25">
        <v>3.2970000000000002</v>
      </c>
      <c r="G590" s="25">
        <v>470.57998700000002</v>
      </c>
      <c r="H590" s="25">
        <v>2229.6201169999999</v>
      </c>
      <c r="I590" s="19">
        <v>17272.029299999998</v>
      </c>
    </row>
    <row r="591" spans="1:9" x14ac:dyDescent="0.2">
      <c r="A591" s="4">
        <v>34333</v>
      </c>
      <c r="B591" s="24">
        <v>1.127</v>
      </c>
      <c r="C591" s="25">
        <v>111.81</v>
      </c>
      <c r="D591" s="25">
        <v>5.7869999999999999</v>
      </c>
      <c r="E591" s="26">
        <v>5.71</v>
      </c>
      <c r="F591" s="25">
        <v>3.3130000000000002</v>
      </c>
      <c r="G591" s="25">
        <v>468.64001500000001</v>
      </c>
      <c r="H591" s="25">
        <v>2255.290039</v>
      </c>
      <c r="I591" s="19">
        <v>17417.240229999999</v>
      </c>
    </row>
    <row r="592" spans="1:9" x14ac:dyDescent="0.2">
      <c r="A592" s="4">
        <v>34334</v>
      </c>
      <c r="B592" s="24">
        <v>1.1244000000000001</v>
      </c>
      <c r="C592" s="25">
        <v>111.85</v>
      </c>
      <c r="D592" s="25">
        <v>5.7830000000000004</v>
      </c>
      <c r="E592" s="26">
        <v>5.71</v>
      </c>
      <c r="F592" s="25">
        <v>3.3250000000000002</v>
      </c>
      <c r="G592" s="25">
        <v>466.45001200000002</v>
      </c>
      <c r="H592" s="25">
        <v>2255.290039</v>
      </c>
      <c r="I592" s="19">
        <v>17417.240229999999</v>
      </c>
    </row>
    <row r="593" spans="1:9" x14ac:dyDescent="0.2">
      <c r="A593" s="4">
        <v>34337</v>
      </c>
      <c r="B593" s="24">
        <v>1.1264000000000001</v>
      </c>
      <c r="C593" s="25">
        <v>112.7</v>
      </c>
      <c r="D593" s="25">
        <v>5.8869999999999996</v>
      </c>
      <c r="E593" s="26">
        <v>5.7</v>
      </c>
      <c r="F593" s="25">
        <v>3.3250000000000002</v>
      </c>
      <c r="G593" s="25">
        <v>465.44000199999999</v>
      </c>
      <c r="H593" s="25">
        <v>2274.6201169999999</v>
      </c>
      <c r="I593" s="19">
        <v>17417.240229999999</v>
      </c>
    </row>
    <row r="594" spans="1:9" x14ac:dyDescent="0.2">
      <c r="A594" s="4">
        <v>34338</v>
      </c>
      <c r="B594" s="24">
        <v>1.1246</v>
      </c>
      <c r="C594" s="25">
        <v>112.64</v>
      </c>
      <c r="D594" s="25">
        <v>5.8609999999999998</v>
      </c>
      <c r="E594" s="26">
        <v>5.71</v>
      </c>
      <c r="F594" s="25">
        <v>3.3359999999999999</v>
      </c>
      <c r="G594" s="25">
        <v>466.89001500000001</v>
      </c>
      <c r="H594" s="25">
        <v>2249.8500979999999</v>
      </c>
      <c r="I594" s="19">
        <v>17369.740229999999</v>
      </c>
    </row>
    <row r="595" spans="1:9" x14ac:dyDescent="0.2">
      <c r="A595" s="4">
        <v>34339</v>
      </c>
      <c r="B595" s="24">
        <v>1.1252</v>
      </c>
      <c r="C595" s="25">
        <v>113.06</v>
      </c>
      <c r="D595" s="25">
        <v>5.8650000000000002</v>
      </c>
      <c r="E595" s="26">
        <v>5.72</v>
      </c>
      <c r="F595" s="25">
        <v>3.3679999999999999</v>
      </c>
      <c r="G595" s="25">
        <v>467.54998799999998</v>
      </c>
      <c r="H595" s="25">
        <v>2223.610107</v>
      </c>
      <c r="I595" s="19">
        <v>17783.480469999999</v>
      </c>
    </row>
    <row r="596" spans="1:9" x14ac:dyDescent="0.2">
      <c r="A596" s="4">
        <v>34340</v>
      </c>
      <c r="B596" s="24">
        <v>1.1252</v>
      </c>
      <c r="C596" s="25">
        <v>112.62</v>
      </c>
      <c r="D596" s="25">
        <v>5.8049999999999997</v>
      </c>
      <c r="E596" s="26">
        <v>5.74</v>
      </c>
      <c r="F596" s="25">
        <v>3.3130000000000002</v>
      </c>
      <c r="G596" s="25">
        <v>467.11999500000002</v>
      </c>
      <c r="H596" s="25">
        <v>2220.6298830000001</v>
      </c>
      <c r="I596" s="19">
        <v>17881.990229999999</v>
      </c>
    </row>
    <row r="597" spans="1:9" x14ac:dyDescent="0.2">
      <c r="A597" s="4">
        <v>34341</v>
      </c>
      <c r="B597" s="24">
        <v>1.1293</v>
      </c>
      <c r="C597" s="25">
        <v>111.91</v>
      </c>
      <c r="D597" s="25">
        <v>5.6550000000000002</v>
      </c>
      <c r="E597" s="26">
        <v>5.75</v>
      </c>
      <c r="F597" s="25">
        <v>3.2970000000000002</v>
      </c>
      <c r="G597" s="25">
        <v>469.89999399999999</v>
      </c>
      <c r="H597" s="25">
        <v>2224.9499510000001</v>
      </c>
      <c r="I597" s="19">
        <v>18124.009770000001</v>
      </c>
    </row>
    <row r="598" spans="1:9" x14ac:dyDescent="0.2">
      <c r="A598" s="4">
        <v>34344</v>
      </c>
      <c r="B598" s="24">
        <v>1.1269</v>
      </c>
      <c r="C598" s="25">
        <v>112.25</v>
      </c>
      <c r="D598" s="25">
        <v>5.6210000000000004</v>
      </c>
      <c r="E598" s="26">
        <v>5.71</v>
      </c>
      <c r="F598" s="25">
        <v>3.2650000000000001</v>
      </c>
      <c r="G598" s="25">
        <v>475.26998900000001</v>
      </c>
      <c r="H598" s="25">
        <v>2225</v>
      </c>
      <c r="I598" s="19">
        <v>18443.439450000002</v>
      </c>
    </row>
    <row r="599" spans="1:9" x14ac:dyDescent="0.2">
      <c r="A599" s="4">
        <v>34345</v>
      </c>
      <c r="B599" s="24">
        <v>1.123</v>
      </c>
      <c r="C599" s="25">
        <v>112.38</v>
      </c>
      <c r="D599" s="25">
        <v>5.6210000000000004</v>
      </c>
      <c r="E599" s="26">
        <v>5.71</v>
      </c>
      <c r="F599" s="25">
        <v>3.3119999999999998</v>
      </c>
      <c r="G599" s="25">
        <v>474.13000499999998</v>
      </c>
      <c r="H599" s="25">
        <v>2228.1000979999999</v>
      </c>
      <c r="I599" s="19">
        <v>18485.25</v>
      </c>
    </row>
    <row r="600" spans="1:9" x14ac:dyDescent="0.2">
      <c r="A600" s="4">
        <v>34346</v>
      </c>
      <c r="B600" s="24">
        <v>1.1263000000000001</v>
      </c>
      <c r="C600" s="25">
        <v>112.2</v>
      </c>
      <c r="D600" s="25">
        <v>5.5540000000000003</v>
      </c>
      <c r="E600" s="26">
        <v>5.7</v>
      </c>
      <c r="F600" s="25">
        <v>3.34</v>
      </c>
      <c r="G600" s="25">
        <v>474.17001299999998</v>
      </c>
      <c r="H600" s="25">
        <v>2182.0600589999999</v>
      </c>
      <c r="I600" s="19">
        <v>18793.880860000001</v>
      </c>
    </row>
    <row r="601" spans="1:9" x14ac:dyDescent="0.2">
      <c r="A601" s="4">
        <v>34347</v>
      </c>
      <c r="B601" s="24">
        <v>1.1182000000000001</v>
      </c>
      <c r="C601" s="25">
        <v>111.77</v>
      </c>
      <c r="D601" s="25">
        <v>5.6639999999999997</v>
      </c>
      <c r="E601" s="26">
        <v>5.71</v>
      </c>
      <c r="F601" s="25">
        <v>3.3639999999999999</v>
      </c>
      <c r="G601" s="25">
        <v>472.47000100000002</v>
      </c>
      <c r="H601" s="25">
        <v>2142.3701169999999</v>
      </c>
      <c r="I601" s="19">
        <v>18577.259770000001</v>
      </c>
    </row>
    <row r="602" spans="1:9" x14ac:dyDescent="0.2">
      <c r="A602" s="4">
        <v>34348</v>
      </c>
      <c r="B602" s="24">
        <v>1.1176999999999999</v>
      </c>
      <c r="C602" s="25">
        <v>111</v>
      </c>
      <c r="D602" s="25">
        <v>5.7279999999999998</v>
      </c>
      <c r="E602" s="26">
        <v>5.76</v>
      </c>
      <c r="F602" s="25">
        <v>3.46</v>
      </c>
      <c r="G602" s="25">
        <v>474.91000400000001</v>
      </c>
      <c r="H602" s="25">
        <v>2151.0500489999999</v>
      </c>
      <c r="I602" s="19">
        <v>18973.699219999999</v>
      </c>
    </row>
    <row r="603" spans="1:9" x14ac:dyDescent="0.2">
      <c r="A603" s="4">
        <v>34351</v>
      </c>
      <c r="B603" s="24">
        <v>1.1167</v>
      </c>
      <c r="C603" s="25">
        <v>111.02</v>
      </c>
      <c r="D603" s="25">
        <v>5.7279999999999998</v>
      </c>
      <c r="E603" s="26">
        <v>5.77</v>
      </c>
      <c r="F603" s="25">
        <v>3.4830000000000001</v>
      </c>
      <c r="G603" s="25">
        <v>473.29998799999998</v>
      </c>
      <c r="H603" s="25">
        <v>2115.5600589999999</v>
      </c>
      <c r="I603" s="19">
        <v>18725.369139999999</v>
      </c>
    </row>
    <row r="604" spans="1:9" x14ac:dyDescent="0.2">
      <c r="A604" s="4">
        <v>34352</v>
      </c>
      <c r="B604" s="24">
        <v>1.1223000000000001</v>
      </c>
      <c r="C604" s="25">
        <v>110.8</v>
      </c>
      <c r="D604" s="25">
        <v>5.6980000000000004</v>
      </c>
      <c r="E604" s="26">
        <v>5.81</v>
      </c>
      <c r="F604" s="25">
        <v>3.6230000000000002</v>
      </c>
      <c r="G604" s="25">
        <v>474.25</v>
      </c>
      <c r="H604" s="25">
        <v>2130.3500979999999</v>
      </c>
      <c r="I604" s="19">
        <v>18514.550780000001</v>
      </c>
    </row>
    <row r="605" spans="1:9" x14ac:dyDescent="0.2">
      <c r="A605" s="4">
        <v>34353</v>
      </c>
      <c r="B605" s="24">
        <v>1.1231</v>
      </c>
      <c r="C605" s="25">
        <v>111.4</v>
      </c>
      <c r="D605" s="25">
        <v>5.7060000000000004</v>
      </c>
      <c r="E605" s="26">
        <v>5.75</v>
      </c>
      <c r="F605" s="25">
        <v>3.7530000000000001</v>
      </c>
      <c r="G605" s="25">
        <v>474.29998799999998</v>
      </c>
      <c r="H605" s="25">
        <v>2132.5200199999999</v>
      </c>
      <c r="I605" s="19">
        <v>19039.400389999999</v>
      </c>
    </row>
    <row r="606" spans="1:9" x14ac:dyDescent="0.2">
      <c r="A606" s="4">
        <v>34354</v>
      </c>
      <c r="B606" s="24">
        <v>1.1266</v>
      </c>
      <c r="C606" s="25">
        <v>111.31</v>
      </c>
      <c r="D606" s="25">
        <v>5.6639999999999997</v>
      </c>
      <c r="E606" s="26">
        <v>5.79</v>
      </c>
      <c r="F606" s="25">
        <v>3.766</v>
      </c>
      <c r="G606" s="25">
        <v>474.98001099999999</v>
      </c>
      <c r="H606" s="25">
        <v>2098.360107</v>
      </c>
      <c r="I606" s="19">
        <v>19183.91992</v>
      </c>
    </row>
    <row r="607" spans="1:9" x14ac:dyDescent="0.2">
      <c r="A607" s="4">
        <v>34355</v>
      </c>
      <c r="B607" s="24">
        <v>1.1211</v>
      </c>
      <c r="C607" s="25">
        <v>111.55</v>
      </c>
      <c r="D607" s="25">
        <v>5.6769999999999996</v>
      </c>
      <c r="E607" s="26">
        <v>5.81</v>
      </c>
      <c r="F607" s="25">
        <v>3.7229999999999999</v>
      </c>
      <c r="G607" s="25">
        <v>474.72000100000002</v>
      </c>
      <c r="H607" s="25">
        <v>2073.9399410000001</v>
      </c>
      <c r="I607" s="19">
        <v>19307.429690000001</v>
      </c>
    </row>
    <row r="608" spans="1:9" x14ac:dyDescent="0.2">
      <c r="A608" s="4">
        <v>34358</v>
      </c>
      <c r="B608" s="24">
        <v>1.1201000000000001</v>
      </c>
      <c r="C608" s="25">
        <v>111.77</v>
      </c>
      <c r="D608" s="25">
        <v>5.6890000000000001</v>
      </c>
      <c r="E608" s="26">
        <v>5.87</v>
      </c>
      <c r="F608" s="25">
        <v>3.6930000000000001</v>
      </c>
      <c r="G608" s="25">
        <v>471.97000100000002</v>
      </c>
      <c r="H608" s="25">
        <v>2107.290039</v>
      </c>
      <c r="I608" s="19">
        <v>18353.240229999999</v>
      </c>
    </row>
    <row r="609" spans="1:9" x14ac:dyDescent="0.2">
      <c r="A609" s="4">
        <v>34359</v>
      </c>
      <c r="B609" s="24">
        <v>1.1203000000000001</v>
      </c>
      <c r="C609" s="25">
        <v>111.03</v>
      </c>
      <c r="D609" s="25">
        <v>5.7240000000000002</v>
      </c>
      <c r="E609" s="26">
        <v>5.84</v>
      </c>
      <c r="F609" s="25">
        <v>3.698</v>
      </c>
      <c r="G609" s="25">
        <v>470.92001299999998</v>
      </c>
      <c r="H609" s="25">
        <v>2090.780029</v>
      </c>
      <c r="I609" s="19">
        <v>18648.359380000002</v>
      </c>
    </row>
    <row r="610" spans="1:9" x14ac:dyDescent="0.2">
      <c r="A610" s="4">
        <v>34360</v>
      </c>
      <c r="B610" s="24">
        <v>1.1227</v>
      </c>
      <c r="C610" s="25">
        <v>109.93</v>
      </c>
      <c r="D610" s="25">
        <v>5.7190000000000003</v>
      </c>
      <c r="E610" s="26">
        <v>5.85</v>
      </c>
      <c r="F610" s="25">
        <v>3.855</v>
      </c>
      <c r="G610" s="25">
        <v>473.20001200000002</v>
      </c>
      <c r="H610" s="25">
        <v>2128.6599120000001</v>
      </c>
      <c r="I610" s="19">
        <v>19138.210940000001</v>
      </c>
    </row>
    <row r="611" spans="1:9" x14ac:dyDescent="0.2">
      <c r="A611" s="4">
        <v>34361</v>
      </c>
      <c r="B611" s="24">
        <v>1.1252</v>
      </c>
      <c r="C611" s="25">
        <v>108.63</v>
      </c>
      <c r="D611" s="25">
        <v>5.6719999999999997</v>
      </c>
      <c r="E611" s="26">
        <v>5.83</v>
      </c>
      <c r="F611" s="25">
        <v>3.8759999999999999</v>
      </c>
      <c r="G611" s="25">
        <v>477.04998799999998</v>
      </c>
      <c r="H611" s="25">
        <v>2123.3100589999999</v>
      </c>
      <c r="I611" s="19">
        <v>18891.789059999999</v>
      </c>
    </row>
    <row r="612" spans="1:9" x14ac:dyDescent="0.2">
      <c r="A612" s="4">
        <v>34362</v>
      </c>
      <c r="B612" s="24">
        <v>1.1337999999999999</v>
      </c>
      <c r="C612" s="25">
        <v>109.97</v>
      </c>
      <c r="D612" s="25">
        <v>5.617</v>
      </c>
      <c r="E612" s="26">
        <v>5.84</v>
      </c>
      <c r="F612" s="25">
        <v>3.855</v>
      </c>
      <c r="G612" s="25">
        <v>478.70001200000002</v>
      </c>
      <c r="H612" s="25">
        <v>2156.610107</v>
      </c>
      <c r="I612" s="19">
        <v>18757.880860000001</v>
      </c>
    </row>
    <row r="613" spans="1:9" x14ac:dyDescent="0.2">
      <c r="A613" s="4">
        <v>34365</v>
      </c>
      <c r="B613" s="24">
        <v>1.1259999999999999</v>
      </c>
      <c r="C613" s="25">
        <v>108.49</v>
      </c>
      <c r="D613" s="25">
        <v>5.6379999999999999</v>
      </c>
      <c r="E613" s="26">
        <v>5.79</v>
      </c>
      <c r="F613" s="25">
        <v>3.98</v>
      </c>
      <c r="G613" s="25">
        <v>481.60998499999999</v>
      </c>
      <c r="H613" s="25">
        <v>2192.6000979999999</v>
      </c>
      <c r="I613" s="19">
        <v>20229.119139999999</v>
      </c>
    </row>
    <row r="614" spans="1:9" x14ac:dyDescent="0.2">
      <c r="A614" s="4">
        <v>34366</v>
      </c>
      <c r="B614" s="24">
        <v>1.1359999999999999</v>
      </c>
      <c r="C614" s="25">
        <v>107.66</v>
      </c>
      <c r="D614" s="25">
        <v>5.7149999999999999</v>
      </c>
      <c r="E614" s="26">
        <v>5.78</v>
      </c>
      <c r="F614" s="25">
        <v>3.9889999999999999</v>
      </c>
      <c r="G614" s="25">
        <v>479.61999500000002</v>
      </c>
      <c r="H614" s="25">
        <v>2181.8798830000001</v>
      </c>
      <c r="I614" s="19">
        <v>20416.339840000001</v>
      </c>
    </row>
    <row r="615" spans="1:9" x14ac:dyDescent="0.2">
      <c r="A615" s="4">
        <v>34367</v>
      </c>
      <c r="B615" s="24">
        <v>1.1311</v>
      </c>
      <c r="C615" s="25">
        <v>108.25</v>
      </c>
      <c r="D615" s="25">
        <v>5.7149999999999999</v>
      </c>
      <c r="E615" s="26">
        <v>5.8</v>
      </c>
      <c r="F615" s="25">
        <v>3.8759999999999999</v>
      </c>
      <c r="G615" s="25">
        <v>482</v>
      </c>
      <c r="H615" s="25">
        <v>2184.0500489999999</v>
      </c>
      <c r="I615" s="19">
        <v>20250.029299999998</v>
      </c>
    </row>
    <row r="616" spans="1:9" x14ac:dyDescent="0.2">
      <c r="A616" s="4">
        <v>34368</v>
      </c>
      <c r="B616" s="24">
        <v>1.1334</v>
      </c>
      <c r="C616" s="25">
        <v>108.32</v>
      </c>
      <c r="D616" s="25">
        <v>5.758</v>
      </c>
      <c r="E616" s="26">
        <v>5.82</v>
      </c>
      <c r="F616" s="25">
        <v>3.8980000000000001</v>
      </c>
      <c r="G616" s="25">
        <v>480.709991</v>
      </c>
      <c r="H616" s="25">
        <v>2137.080078</v>
      </c>
      <c r="I616" s="19">
        <v>20174.820309999999</v>
      </c>
    </row>
    <row r="617" spans="1:9" x14ac:dyDescent="0.2">
      <c r="A617" s="4">
        <v>34369</v>
      </c>
      <c r="B617" s="24">
        <v>1.1316999999999999</v>
      </c>
      <c r="C617" s="25">
        <v>109.43</v>
      </c>
      <c r="D617" s="25">
        <v>5.8879999999999999</v>
      </c>
      <c r="E617" s="26">
        <v>5.91</v>
      </c>
      <c r="F617" s="25">
        <v>3.9319999999999999</v>
      </c>
      <c r="G617" s="25">
        <v>469.80999800000001</v>
      </c>
      <c r="H617" s="25">
        <v>2143.8999020000001</v>
      </c>
      <c r="I617" s="19">
        <v>20301.429690000001</v>
      </c>
    </row>
    <row r="618" spans="1:9" x14ac:dyDescent="0.2">
      <c r="A618" s="4">
        <v>34372</v>
      </c>
      <c r="B618" s="24">
        <v>1.1156999999999999</v>
      </c>
      <c r="C618" s="25">
        <v>108.55</v>
      </c>
      <c r="D618" s="25">
        <v>5.91</v>
      </c>
      <c r="E618" s="26">
        <v>5.97</v>
      </c>
      <c r="F618" s="25">
        <v>3.93</v>
      </c>
      <c r="G618" s="25">
        <v>471.76001000000002</v>
      </c>
      <c r="H618" s="25">
        <v>2095.110107</v>
      </c>
      <c r="I618" s="19">
        <v>20014.400389999999</v>
      </c>
    </row>
    <row r="619" spans="1:9" x14ac:dyDescent="0.2">
      <c r="A619" s="4">
        <v>34373</v>
      </c>
      <c r="B619" s="24">
        <v>1.1141000000000001</v>
      </c>
      <c r="C619" s="25">
        <v>108.9</v>
      </c>
      <c r="D619" s="25">
        <v>5.9539999999999997</v>
      </c>
      <c r="E619" s="26">
        <v>5.94</v>
      </c>
      <c r="F619" s="25">
        <v>3.9079999999999999</v>
      </c>
      <c r="G619" s="25">
        <v>471.04998799999998</v>
      </c>
      <c r="H619" s="25">
        <v>2099.570068</v>
      </c>
      <c r="I619" s="19">
        <v>20251.230469999999</v>
      </c>
    </row>
    <row r="620" spans="1:9" x14ac:dyDescent="0.2">
      <c r="A620" s="4">
        <v>34374</v>
      </c>
      <c r="B620" s="24">
        <v>1.1178999999999999</v>
      </c>
      <c r="C620" s="25">
        <v>108.31</v>
      </c>
      <c r="D620" s="25">
        <v>5.9279999999999999</v>
      </c>
      <c r="E620" s="26">
        <v>5.99</v>
      </c>
      <c r="F620" s="25">
        <v>3.8380000000000001</v>
      </c>
      <c r="G620" s="25">
        <v>472.76998900000001</v>
      </c>
      <c r="H620" s="25">
        <v>2116.429932</v>
      </c>
      <c r="I620" s="19">
        <v>19841.380860000001</v>
      </c>
    </row>
    <row r="621" spans="1:9" x14ac:dyDescent="0.2">
      <c r="A621" s="4">
        <v>34375</v>
      </c>
      <c r="B621" s="24">
        <v>1.1194</v>
      </c>
      <c r="C621" s="25">
        <v>108.15</v>
      </c>
      <c r="D621" s="25">
        <v>5.9039999999999999</v>
      </c>
      <c r="E621" s="26">
        <v>5.91</v>
      </c>
      <c r="F621" s="25">
        <v>3.851</v>
      </c>
      <c r="G621" s="25">
        <v>468.92999300000002</v>
      </c>
      <c r="H621" s="25">
        <v>2119.6899410000001</v>
      </c>
      <c r="I621" s="19">
        <v>19990.699219999999</v>
      </c>
    </row>
    <row r="622" spans="1:9" x14ac:dyDescent="0.2">
      <c r="A622" s="4">
        <v>34376</v>
      </c>
      <c r="B622" s="24">
        <v>1.1207</v>
      </c>
      <c r="C622" s="25">
        <v>107.2</v>
      </c>
      <c r="D622" s="25">
        <v>5.8710000000000004</v>
      </c>
      <c r="E622" s="26">
        <v>5.91</v>
      </c>
      <c r="F622" s="25">
        <v>3.8639999999999999</v>
      </c>
      <c r="G622" s="25">
        <v>470.17999300000002</v>
      </c>
      <c r="H622" s="25">
        <v>2108.7700199999999</v>
      </c>
      <c r="I622" s="19">
        <v>19990.699219999999</v>
      </c>
    </row>
    <row r="623" spans="1:9" x14ac:dyDescent="0.2">
      <c r="A623" s="4">
        <v>34379</v>
      </c>
      <c r="B623" s="24">
        <v>1.1259999999999999</v>
      </c>
      <c r="C623" s="25">
        <v>102.1</v>
      </c>
      <c r="D623" s="25">
        <v>5.883</v>
      </c>
      <c r="E623" s="26">
        <v>5.86</v>
      </c>
      <c r="F623" s="25">
        <v>3.8079999999999998</v>
      </c>
      <c r="G623" s="25">
        <v>470.23001099999999</v>
      </c>
      <c r="H623" s="25">
        <v>2101.929932</v>
      </c>
      <c r="I623" s="19">
        <v>19459.25</v>
      </c>
    </row>
    <row r="624" spans="1:9" x14ac:dyDescent="0.2">
      <c r="A624" s="4">
        <v>34380</v>
      </c>
      <c r="B624" s="24">
        <v>1.1359999999999999</v>
      </c>
      <c r="C624" s="25">
        <v>103.85</v>
      </c>
      <c r="D624" s="25">
        <v>5.867</v>
      </c>
      <c r="E624" s="26">
        <v>5.9</v>
      </c>
      <c r="F624" s="25">
        <v>3.738</v>
      </c>
      <c r="G624" s="25">
        <v>472.51998900000001</v>
      </c>
      <c r="H624" s="25">
        <v>2130.709961</v>
      </c>
      <c r="I624" s="19">
        <v>18974.599610000001</v>
      </c>
    </row>
    <row r="625" spans="1:9" x14ac:dyDescent="0.2">
      <c r="A625" s="4">
        <v>34381</v>
      </c>
      <c r="B625" s="24">
        <v>1.1373</v>
      </c>
      <c r="C625" s="25">
        <v>103.81</v>
      </c>
      <c r="D625" s="25">
        <v>5.875</v>
      </c>
      <c r="E625" s="26">
        <v>5.95</v>
      </c>
      <c r="F625" s="25">
        <v>3.79</v>
      </c>
      <c r="G625" s="25">
        <v>472.790009</v>
      </c>
      <c r="H625" s="25">
        <v>2135.25</v>
      </c>
      <c r="I625" s="19">
        <v>19052.109380000002</v>
      </c>
    </row>
    <row r="626" spans="1:9" x14ac:dyDescent="0.2">
      <c r="A626" s="4">
        <v>34382</v>
      </c>
      <c r="B626" s="24">
        <v>1.1329</v>
      </c>
      <c r="C626" s="25">
        <v>104.25</v>
      </c>
      <c r="D626" s="25">
        <v>5.984</v>
      </c>
      <c r="E626" s="26">
        <v>5.97</v>
      </c>
      <c r="F626" s="25">
        <v>3.851</v>
      </c>
      <c r="G626" s="25">
        <v>470.33999599999999</v>
      </c>
      <c r="H626" s="25">
        <v>2162.290039</v>
      </c>
      <c r="I626" s="19">
        <v>18931.390630000002</v>
      </c>
    </row>
    <row r="627" spans="1:9" x14ac:dyDescent="0.2">
      <c r="A627" s="4">
        <v>34383</v>
      </c>
      <c r="B627" s="24">
        <v>1.1406000000000001</v>
      </c>
      <c r="C627" s="25">
        <v>104.61</v>
      </c>
      <c r="D627" s="25">
        <v>6.077</v>
      </c>
      <c r="E627" s="26">
        <v>5.99</v>
      </c>
      <c r="F627" s="25">
        <v>3.984</v>
      </c>
      <c r="G627" s="25">
        <v>467.69000199999999</v>
      </c>
      <c r="H627" s="25">
        <v>2133.8500979999999</v>
      </c>
      <c r="I627" s="19">
        <v>18959.599610000001</v>
      </c>
    </row>
    <row r="628" spans="1:9" x14ac:dyDescent="0.2">
      <c r="A628" s="4">
        <v>34386</v>
      </c>
      <c r="B628" s="24">
        <v>1.1353</v>
      </c>
      <c r="C628" s="25">
        <v>106.05</v>
      </c>
      <c r="D628" s="25">
        <v>6.077</v>
      </c>
      <c r="E628" s="26">
        <v>6.03</v>
      </c>
      <c r="F628" s="25">
        <v>3.9969999999999999</v>
      </c>
      <c r="G628" s="25">
        <v>467.14</v>
      </c>
      <c r="H628" s="25">
        <v>2108.0600589999999</v>
      </c>
      <c r="I628" s="19">
        <v>19393.939450000002</v>
      </c>
    </row>
    <row r="629" spans="1:9" x14ac:dyDescent="0.2">
      <c r="A629" s="4">
        <v>34387</v>
      </c>
      <c r="B629" s="24">
        <v>1.1358999999999999</v>
      </c>
      <c r="C629" s="25">
        <v>105.7</v>
      </c>
      <c r="D629" s="25">
        <v>6.0389999999999997</v>
      </c>
      <c r="E629" s="26">
        <v>6.09</v>
      </c>
      <c r="F629" s="25">
        <v>4.0380000000000003</v>
      </c>
      <c r="G629" s="25">
        <v>471.459991</v>
      </c>
      <c r="H629" s="25">
        <v>2113.639893</v>
      </c>
      <c r="I629" s="19">
        <v>19342.630860000001</v>
      </c>
    </row>
    <row r="630" spans="1:9" x14ac:dyDescent="0.2">
      <c r="A630" s="4">
        <v>34388</v>
      </c>
      <c r="B630" s="24">
        <v>1.135</v>
      </c>
      <c r="C630" s="25">
        <v>105.7</v>
      </c>
      <c r="D630" s="25">
        <v>6.1239999999999997</v>
      </c>
      <c r="E630" s="26">
        <v>6.07</v>
      </c>
      <c r="F630" s="25">
        <v>4.0199999999999996</v>
      </c>
      <c r="G630" s="25">
        <v>470.69000199999999</v>
      </c>
      <c r="H630" s="25">
        <v>2140.25</v>
      </c>
      <c r="I630" s="19">
        <v>19341.83008</v>
      </c>
    </row>
    <row r="631" spans="1:9" x14ac:dyDescent="0.2">
      <c r="A631" s="4">
        <v>34389</v>
      </c>
      <c r="B631" s="24">
        <v>1.1333</v>
      </c>
      <c r="C631" s="25">
        <v>105</v>
      </c>
      <c r="D631" s="25">
        <v>6.202</v>
      </c>
      <c r="E631" s="26">
        <v>6.12</v>
      </c>
      <c r="F631" s="25">
        <v>4.056</v>
      </c>
      <c r="G631" s="25">
        <v>464.26001000000002</v>
      </c>
      <c r="H631" s="25">
        <v>2082.8999020000001</v>
      </c>
      <c r="I631" s="19">
        <v>19765.480469999999</v>
      </c>
    </row>
    <row r="632" spans="1:9" x14ac:dyDescent="0.2">
      <c r="A632" s="4">
        <v>34390</v>
      </c>
      <c r="B632" s="24">
        <v>1.1468</v>
      </c>
      <c r="C632" s="25">
        <v>104.81</v>
      </c>
      <c r="D632" s="25">
        <v>6.1929999999999996</v>
      </c>
      <c r="E632" s="26">
        <v>6.25</v>
      </c>
      <c r="F632" s="25">
        <v>4.1100000000000003</v>
      </c>
      <c r="G632" s="25">
        <v>466.07000699999998</v>
      </c>
      <c r="H632" s="25">
        <v>2075.330078</v>
      </c>
      <c r="I632" s="19">
        <v>19803.380860000001</v>
      </c>
    </row>
    <row r="633" spans="1:9" x14ac:dyDescent="0.2">
      <c r="A633" s="4">
        <v>34393</v>
      </c>
      <c r="B633" s="24">
        <v>1.1456999999999999</v>
      </c>
      <c r="C633" s="25">
        <v>104.5</v>
      </c>
      <c r="D633" s="25">
        <v>6.15</v>
      </c>
      <c r="E633" s="26">
        <v>6.24</v>
      </c>
      <c r="F633" s="25">
        <v>4.1239999999999997</v>
      </c>
      <c r="G633" s="25">
        <v>467.14001500000001</v>
      </c>
      <c r="H633" s="25">
        <v>2103.23999</v>
      </c>
      <c r="I633" s="19">
        <v>19997.199219999999</v>
      </c>
    </row>
    <row r="634" spans="1:9" x14ac:dyDescent="0.2">
      <c r="A634" s="4">
        <v>34394</v>
      </c>
      <c r="B634" s="24">
        <v>1.1434</v>
      </c>
      <c r="C634" s="25">
        <v>104.6</v>
      </c>
      <c r="D634" s="25">
        <v>6.28</v>
      </c>
      <c r="E634" s="26">
        <v>6.25</v>
      </c>
      <c r="F634" s="25">
        <v>4.117</v>
      </c>
      <c r="G634" s="25">
        <v>464.44000199999999</v>
      </c>
      <c r="H634" s="25">
        <v>2056.610107</v>
      </c>
      <c r="I634" s="19">
        <v>20216.619139999999</v>
      </c>
    </row>
    <row r="635" spans="1:9" x14ac:dyDescent="0.2">
      <c r="A635" s="4">
        <v>34395</v>
      </c>
      <c r="B635" s="24">
        <v>1.1460999999999999</v>
      </c>
      <c r="C635" s="25">
        <v>104.3</v>
      </c>
      <c r="D635" s="25">
        <v>6.2889999999999997</v>
      </c>
      <c r="E635" s="26">
        <v>6.54</v>
      </c>
      <c r="F635" s="25">
        <v>4.2859999999999996</v>
      </c>
      <c r="G635" s="25">
        <v>464.80999800000001</v>
      </c>
      <c r="H635" s="25">
        <v>2018.6899410000001</v>
      </c>
      <c r="I635" s="19">
        <v>19744.769530000001</v>
      </c>
    </row>
    <row r="636" spans="1:9" x14ac:dyDescent="0.2">
      <c r="A636" s="4">
        <v>34396</v>
      </c>
      <c r="B636" s="24">
        <v>1.1448</v>
      </c>
      <c r="C636" s="25">
        <v>103.89</v>
      </c>
      <c r="D636" s="25">
        <v>6.3410000000000002</v>
      </c>
      <c r="E636" s="26">
        <v>6.42</v>
      </c>
      <c r="F636" s="25">
        <v>4.2859999999999996</v>
      </c>
      <c r="G636" s="25">
        <v>463.01001000000002</v>
      </c>
      <c r="H636" s="25">
        <v>2044.4499510000001</v>
      </c>
      <c r="I636" s="19">
        <v>19605.859380000002</v>
      </c>
    </row>
    <row r="637" spans="1:9" x14ac:dyDescent="0.2">
      <c r="A637" s="4">
        <v>34397</v>
      </c>
      <c r="B637" s="24">
        <v>1.1382000000000001</v>
      </c>
      <c r="C637" s="25">
        <v>105.51</v>
      </c>
      <c r="D637" s="25">
        <v>6.3630000000000004</v>
      </c>
      <c r="E637" s="26">
        <v>6.38</v>
      </c>
      <c r="F637" s="25">
        <v>4.2949999999999999</v>
      </c>
      <c r="G637" s="25">
        <v>464.73998999999998</v>
      </c>
      <c r="H637" s="25">
        <v>2076.76001</v>
      </c>
      <c r="I637" s="19">
        <v>19966</v>
      </c>
    </row>
    <row r="638" spans="1:9" x14ac:dyDescent="0.2">
      <c r="A638" s="4">
        <v>34400</v>
      </c>
      <c r="B638" s="24">
        <v>1.1391</v>
      </c>
      <c r="C638" s="25">
        <v>105.65</v>
      </c>
      <c r="D638" s="25">
        <v>6.3070000000000004</v>
      </c>
      <c r="E638" s="26">
        <v>6.24</v>
      </c>
      <c r="F638" s="25">
        <v>4.383</v>
      </c>
      <c r="G638" s="25">
        <v>466.91000400000001</v>
      </c>
      <c r="H638" s="25">
        <v>2132.1201169999999</v>
      </c>
      <c r="I638" s="19">
        <v>19811.880860000001</v>
      </c>
    </row>
    <row r="639" spans="1:9" x14ac:dyDescent="0.2">
      <c r="A639" s="4">
        <v>34401</v>
      </c>
      <c r="B639" s="24">
        <v>1.1399999999999999</v>
      </c>
      <c r="C639" s="25">
        <v>105.36</v>
      </c>
      <c r="D639" s="25">
        <v>6.359</v>
      </c>
      <c r="E639" s="26">
        <v>6.2</v>
      </c>
      <c r="F639" s="25">
        <v>4.2859999999999996</v>
      </c>
      <c r="G639" s="25">
        <v>465.88000499999998</v>
      </c>
      <c r="H639" s="25">
        <v>2125.469971</v>
      </c>
      <c r="I639" s="19">
        <v>19898.390630000002</v>
      </c>
    </row>
    <row r="640" spans="1:9" x14ac:dyDescent="0.2">
      <c r="A640" s="4">
        <v>34402</v>
      </c>
      <c r="B640" s="24">
        <v>1.1439999999999999</v>
      </c>
      <c r="C640" s="25">
        <v>105.8</v>
      </c>
      <c r="D640" s="25">
        <v>6.3680000000000003</v>
      </c>
      <c r="E640" s="26">
        <v>6.31</v>
      </c>
      <c r="F640" s="25">
        <v>4.2770000000000001</v>
      </c>
      <c r="G640" s="25">
        <v>467.05999800000001</v>
      </c>
      <c r="H640" s="25">
        <v>2118.01001</v>
      </c>
      <c r="I640" s="19">
        <v>19839.179690000001</v>
      </c>
    </row>
    <row r="641" spans="1:9" x14ac:dyDescent="0.2">
      <c r="A641" s="4">
        <v>34403</v>
      </c>
      <c r="B641" s="24">
        <v>1.1557999999999999</v>
      </c>
      <c r="C641" s="25">
        <v>105.3</v>
      </c>
      <c r="D641" s="25">
        <v>6.4740000000000002</v>
      </c>
      <c r="E641" s="26">
        <v>6.25</v>
      </c>
      <c r="F641" s="25">
        <v>4.2539999999999996</v>
      </c>
      <c r="G641" s="25">
        <v>463.89999399999999</v>
      </c>
      <c r="H641" s="25">
        <v>2124.51001</v>
      </c>
      <c r="I641" s="19">
        <v>20090.710940000001</v>
      </c>
    </row>
    <row r="642" spans="1:9" x14ac:dyDescent="0.2">
      <c r="A642" s="4">
        <v>34404</v>
      </c>
      <c r="B642" s="24">
        <v>1.1633</v>
      </c>
      <c r="C642" s="25">
        <v>105.06</v>
      </c>
      <c r="D642" s="25">
        <v>6.452</v>
      </c>
      <c r="E642" s="26">
        <v>6.31</v>
      </c>
      <c r="F642" s="25">
        <v>4.194</v>
      </c>
      <c r="G642" s="25">
        <v>466.44000199999999</v>
      </c>
      <c r="H642" s="25">
        <v>2101.889893</v>
      </c>
      <c r="I642" s="19">
        <v>20115.310549999998</v>
      </c>
    </row>
    <row r="643" spans="1:9" x14ac:dyDescent="0.2">
      <c r="A643" s="4">
        <v>34407</v>
      </c>
      <c r="B643" s="24">
        <v>1.1569</v>
      </c>
      <c r="C643" s="25">
        <v>106.2</v>
      </c>
      <c r="D643" s="25">
        <v>6.4790000000000001</v>
      </c>
      <c r="E643" s="26">
        <v>6.21</v>
      </c>
      <c r="F643" s="25">
        <v>4.1630000000000003</v>
      </c>
      <c r="G643" s="25">
        <v>467.39001500000001</v>
      </c>
      <c r="H643" s="25">
        <v>2169.3999020000001</v>
      </c>
      <c r="I643" s="19">
        <v>20526.150389999999</v>
      </c>
    </row>
    <row r="644" spans="1:9" x14ac:dyDescent="0.2">
      <c r="A644" s="4">
        <v>34408</v>
      </c>
      <c r="B644" s="24">
        <v>1.1526000000000001</v>
      </c>
      <c r="C644" s="25">
        <v>106.15</v>
      </c>
      <c r="D644" s="25">
        <v>6.4569999999999999</v>
      </c>
      <c r="E644" s="26">
        <v>6.16</v>
      </c>
      <c r="F644" s="25">
        <v>4.181</v>
      </c>
      <c r="G644" s="25">
        <v>467.01001000000002</v>
      </c>
      <c r="H644" s="25">
        <v>2178.9099120000001</v>
      </c>
      <c r="I644" s="19">
        <v>20508.849610000001</v>
      </c>
    </row>
    <row r="645" spans="1:9" x14ac:dyDescent="0.2">
      <c r="A645" s="4">
        <v>34409</v>
      </c>
      <c r="B645" s="24">
        <v>1.1558999999999999</v>
      </c>
      <c r="C645" s="25">
        <v>106.01</v>
      </c>
      <c r="D645" s="25">
        <v>6.3769999999999998</v>
      </c>
      <c r="E645" s="26">
        <v>6.13</v>
      </c>
      <c r="F645" s="25">
        <v>4.226</v>
      </c>
      <c r="G645" s="25">
        <v>469.42001299999998</v>
      </c>
      <c r="H645" s="25">
        <v>2168.110107</v>
      </c>
      <c r="I645" s="19">
        <v>20677.769530000001</v>
      </c>
    </row>
    <row r="646" spans="1:9" x14ac:dyDescent="0.2">
      <c r="A646" s="4">
        <v>34410</v>
      </c>
      <c r="B646" s="24">
        <v>1.1624000000000001</v>
      </c>
      <c r="C646" s="25">
        <v>105.81</v>
      </c>
      <c r="D646" s="25">
        <v>6.3819999999999997</v>
      </c>
      <c r="E646" s="26">
        <v>6.13</v>
      </c>
      <c r="F646" s="25">
        <v>4.1219999999999999</v>
      </c>
      <c r="G646" s="25">
        <v>470.89999399999999</v>
      </c>
      <c r="H646" s="25">
        <v>2160.4499510000001</v>
      </c>
      <c r="I646" s="19">
        <v>20592.160159999999</v>
      </c>
    </row>
    <row r="647" spans="1:9" x14ac:dyDescent="0.2">
      <c r="A647" s="4">
        <v>34411</v>
      </c>
      <c r="B647" s="24">
        <v>1.1511</v>
      </c>
      <c r="C647" s="25">
        <v>106.16</v>
      </c>
      <c r="D647" s="25">
        <v>6.4790000000000001</v>
      </c>
      <c r="E647" s="26">
        <v>6.26</v>
      </c>
      <c r="F647" s="25">
        <v>4.508</v>
      </c>
      <c r="G647" s="25">
        <v>471.05999800000001</v>
      </c>
      <c r="H647" s="25">
        <v>2140.389893</v>
      </c>
      <c r="I647" s="19">
        <v>20469.449219999999</v>
      </c>
    </row>
    <row r="648" spans="1:9" x14ac:dyDescent="0.2">
      <c r="A648" s="4">
        <v>34414</v>
      </c>
      <c r="B648" s="24">
        <v>1.1501999999999999</v>
      </c>
      <c r="C648" s="25">
        <v>106.11</v>
      </c>
      <c r="D648" s="25">
        <v>6.5369999999999999</v>
      </c>
      <c r="E648" s="26">
        <v>6.39</v>
      </c>
      <c r="F648" s="25">
        <v>4.5090000000000003</v>
      </c>
      <c r="G648" s="25">
        <v>468.540009</v>
      </c>
      <c r="H648" s="25">
        <v>2130.5500489999999</v>
      </c>
      <c r="I648" s="19">
        <v>20469.449219999999</v>
      </c>
    </row>
    <row r="649" spans="1:9" x14ac:dyDescent="0.2">
      <c r="A649" s="4">
        <v>34415</v>
      </c>
      <c r="B649" s="24">
        <v>1.155</v>
      </c>
      <c r="C649" s="25">
        <v>106</v>
      </c>
      <c r="D649" s="25">
        <v>6.4349999999999996</v>
      </c>
      <c r="E649" s="26">
        <v>6.34</v>
      </c>
      <c r="F649" s="25">
        <v>4.673</v>
      </c>
      <c r="G649" s="25">
        <v>468.79998799999998</v>
      </c>
      <c r="H649" s="25">
        <v>2141.6999510000001</v>
      </c>
      <c r="I649" s="19">
        <v>20253.529299999998</v>
      </c>
    </row>
    <row r="650" spans="1:9" x14ac:dyDescent="0.2">
      <c r="A650" s="4">
        <v>34416</v>
      </c>
      <c r="B650" s="24">
        <v>1.1577</v>
      </c>
      <c r="C650" s="25">
        <v>106.31</v>
      </c>
      <c r="D650" s="25">
        <v>6.4180000000000001</v>
      </c>
      <c r="E650" s="26">
        <v>6.29</v>
      </c>
      <c r="F650" s="25">
        <v>4.593</v>
      </c>
      <c r="G650" s="25">
        <v>468.540009</v>
      </c>
      <c r="H650" s="25">
        <v>2162.959961</v>
      </c>
      <c r="I650" s="19">
        <v>19962.099610000001</v>
      </c>
    </row>
    <row r="651" spans="1:9" x14ac:dyDescent="0.2">
      <c r="A651" s="4">
        <v>34417</v>
      </c>
      <c r="B651" s="24">
        <v>1.1647000000000001</v>
      </c>
      <c r="C651" s="25">
        <v>104.51</v>
      </c>
      <c r="D651" s="25">
        <v>6.569</v>
      </c>
      <c r="E651" s="26">
        <v>6.28</v>
      </c>
      <c r="F651" s="25">
        <v>4.5380000000000003</v>
      </c>
      <c r="G651" s="25">
        <v>464.35000600000001</v>
      </c>
      <c r="H651" s="25">
        <v>2144.360107</v>
      </c>
      <c r="I651" s="19">
        <v>20037.900389999999</v>
      </c>
    </row>
    <row r="652" spans="1:9" x14ac:dyDescent="0.2">
      <c r="A652" s="4">
        <v>34418</v>
      </c>
      <c r="B652" s="24">
        <v>1.1688000000000001</v>
      </c>
      <c r="C652" s="25">
        <v>104.81</v>
      </c>
      <c r="D652" s="25">
        <v>6.5919999999999996</v>
      </c>
      <c r="E652" s="26">
        <v>6.38</v>
      </c>
      <c r="F652" s="25">
        <v>4.5140000000000002</v>
      </c>
      <c r="G652" s="25">
        <v>460.57998700000002</v>
      </c>
      <c r="H652" s="25">
        <v>2144</v>
      </c>
      <c r="I652" s="19">
        <v>19836.480469999999</v>
      </c>
    </row>
    <row r="653" spans="1:9" x14ac:dyDescent="0.2">
      <c r="A653" s="4">
        <v>34421</v>
      </c>
      <c r="B653" s="24">
        <v>1.1677999999999999</v>
      </c>
      <c r="C653" s="25">
        <v>104.06</v>
      </c>
      <c r="D653" s="25">
        <v>6.6059999999999999</v>
      </c>
      <c r="E653" s="26">
        <v>6.33</v>
      </c>
      <c r="F653" s="25">
        <v>4.49</v>
      </c>
      <c r="G653" s="25">
        <v>460</v>
      </c>
      <c r="H653" s="25">
        <v>2167.719971</v>
      </c>
      <c r="I653" s="19">
        <v>19941.789059999999</v>
      </c>
    </row>
    <row r="654" spans="1:9" x14ac:dyDescent="0.2">
      <c r="A654" s="4">
        <v>34422</v>
      </c>
      <c r="B654" s="24">
        <v>1.1712</v>
      </c>
      <c r="C654" s="25">
        <v>103.09</v>
      </c>
      <c r="D654" s="25">
        <v>6.7009999999999996</v>
      </c>
      <c r="E654" s="26">
        <v>6.29</v>
      </c>
      <c r="F654" s="25">
        <v>4.04</v>
      </c>
      <c r="G654" s="25">
        <v>452.48001099999999</v>
      </c>
      <c r="H654" s="25">
        <v>2162.820068</v>
      </c>
      <c r="I654" s="19">
        <v>19709.740229999999</v>
      </c>
    </row>
    <row r="655" spans="1:9" x14ac:dyDescent="0.2">
      <c r="A655" s="4">
        <v>34423</v>
      </c>
      <c r="B655" s="24">
        <v>1.1646000000000001</v>
      </c>
      <c r="C655" s="25">
        <v>102.96</v>
      </c>
      <c r="D655" s="25">
        <v>6.7649999999999997</v>
      </c>
      <c r="E655" s="26">
        <v>6.35</v>
      </c>
      <c r="F655" s="25">
        <v>4.3730000000000002</v>
      </c>
      <c r="G655" s="25">
        <v>445.54998799999998</v>
      </c>
      <c r="H655" s="25">
        <v>2151.8400879999999</v>
      </c>
      <c r="I655" s="19">
        <v>19559.910159999999</v>
      </c>
    </row>
    <row r="656" spans="1:9" x14ac:dyDescent="0.2">
      <c r="A656" s="4">
        <v>34424</v>
      </c>
      <c r="B656" s="24">
        <v>1.1737</v>
      </c>
      <c r="C656" s="25">
        <v>102.75</v>
      </c>
      <c r="D656" s="25">
        <v>6.774</v>
      </c>
      <c r="E656" s="26">
        <v>6.3</v>
      </c>
      <c r="F656" s="25">
        <v>4.2489999999999997</v>
      </c>
      <c r="G656" s="25">
        <v>445.76998900000001</v>
      </c>
      <c r="H656" s="25">
        <v>2142.8798830000001</v>
      </c>
      <c r="I656" s="19">
        <v>19111.91992</v>
      </c>
    </row>
    <row r="657" spans="1:9" x14ac:dyDescent="0.2">
      <c r="A657" s="4">
        <v>34425</v>
      </c>
      <c r="B657" s="24">
        <v>1.1536999999999999</v>
      </c>
      <c r="C657" s="25">
        <v>103.6</v>
      </c>
      <c r="D657" s="25">
        <v>6.774</v>
      </c>
      <c r="E657" s="26">
        <v>6.36</v>
      </c>
      <c r="F657" s="25">
        <v>4.25</v>
      </c>
      <c r="G657" s="25">
        <v>447.1</v>
      </c>
      <c r="H657" s="25">
        <v>2142.8798830000001</v>
      </c>
      <c r="I657" s="19">
        <v>19277.160159999999</v>
      </c>
    </row>
    <row r="658" spans="1:9" x14ac:dyDescent="0.2">
      <c r="A658" s="4">
        <v>34428</v>
      </c>
      <c r="B658" s="24">
        <v>1.1514</v>
      </c>
      <c r="C658" s="25">
        <v>103.24</v>
      </c>
      <c r="D658" s="25">
        <v>7.1520000000000001</v>
      </c>
      <c r="E658" s="26">
        <v>6.36</v>
      </c>
      <c r="F658" s="25">
        <v>4.2309999999999999</v>
      </c>
      <c r="G658" s="25">
        <v>438.92001299999998</v>
      </c>
      <c r="H658" s="25">
        <v>2142.8798830000001</v>
      </c>
      <c r="I658" s="19">
        <v>19122.220700000002</v>
      </c>
    </row>
    <row r="659" spans="1:9" x14ac:dyDescent="0.2">
      <c r="A659" s="4">
        <v>34429</v>
      </c>
      <c r="B659" s="24">
        <v>1.1501999999999999</v>
      </c>
      <c r="C659" s="25">
        <v>104.36</v>
      </c>
      <c r="D659" s="25">
        <v>6.95</v>
      </c>
      <c r="E659" s="26">
        <v>6.38</v>
      </c>
      <c r="F659" s="25">
        <v>4.2119999999999997</v>
      </c>
      <c r="G659" s="25">
        <v>448.290009</v>
      </c>
      <c r="H659" s="25">
        <v>2177.0900879999999</v>
      </c>
      <c r="I659" s="19">
        <v>19563.210940000001</v>
      </c>
    </row>
    <row r="660" spans="1:9" x14ac:dyDescent="0.2">
      <c r="A660" s="4">
        <v>34430</v>
      </c>
      <c r="B660" s="24">
        <v>1.1435999999999999</v>
      </c>
      <c r="C660" s="25">
        <v>104.51</v>
      </c>
      <c r="D660" s="25">
        <v>6.9039999999999999</v>
      </c>
      <c r="E660" s="26">
        <v>6.28</v>
      </c>
      <c r="F660" s="25">
        <v>4.2649999999999997</v>
      </c>
      <c r="G660" s="25">
        <v>448.04998799999998</v>
      </c>
      <c r="H660" s="25">
        <v>2184.889893</v>
      </c>
      <c r="I660" s="19">
        <v>19696.740229999999</v>
      </c>
    </row>
    <row r="661" spans="1:9" x14ac:dyDescent="0.2">
      <c r="A661" s="4">
        <v>34431</v>
      </c>
      <c r="B661" s="24">
        <v>1.1437999999999999</v>
      </c>
      <c r="C661" s="25">
        <v>104.95</v>
      </c>
      <c r="D661" s="25">
        <v>6.8490000000000002</v>
      </c>
      <c r="E661" s="26">
        <v>6.28</v>
      </c>
      <c r="F661" s="25">
        <v>4.2880000000000003</v>
      </c>
      <c r="G661" s="25">
        <v>450.88000499999998</v>
      </c>
      <c r="H661" s="25">
        <v>2202.570068</v>
      </c>
      <c r="I661" s="19">
        <v>19890.980469999999</v>
      </c>
    </row>
    <row r="662" spans="1:9" x14ac:dyDescent="0.2">
      <c r="A662" s="4">
        <v>34432</v>
      </c>
      <c r="B662" s="24">
        <v>1.1468</v>
      </c>
      <c r="C662" s="25">
        <v>105.26</v>
      </c>
      <c r="D662" s="25">
        <v>6.9329999999999998</v>
      </c>
      <c r="E662" s="26">
        <v>6.27</v>
      </c>
      <c r="F662" s="25">
        <v>4.3390000000000004</v>
      </c>
      <c r="G662" s="25">
        <v>447.10000600000001</v>
      </c>
      <c r="H662" s="25">
        <v>2203.179932</v>
      </c>
      <c r="I662" s="19">
        <v>19934.990229999999</v>
      </c>
    </row>
    <row r="663" spans="1:9" x14ac:dyDescent="0.2">
      <c r="A663" s="4">
        <v>34435</v>
      </c>
      <c r="B663" s="24">
        <v>1.1508</v>
      </c>
      <c r="C663" s="25">
        <v>103.41</v>
      </c>
      <c r="D663" s="25">
        <v>6.91</v>
      </c>
      <c r="E663" s="26">
        <v>6.26</v>
      </c>
      <c r="F663" s="25">
        <v>4.3780000000000001</v>
      </c>
      <c r="G663" s="25">
        <v>449.86999500000002</v>
      </c>
      <c r="H663" s="25">
        <v>2224.8500979999999</v>
      </c>
      <c r="I663" s="19">
        <v>19898.08008</v>
      </c>
    </row>
    <row r="664" spans="1:9" x14ac:dyDescent="0.2">
      <c r="A664" s="4">
        <v>34436</v>
      </c>
      <c r="B664" s="24">
        <v>1.1437999999999999</v>
      </c>
      <c r="C664" s="25">
        <v>103.56</v>
      </c>
      <c r="D664" s="25">
        <v>6.85</v>
      </c>
      <c r="E664" s="26">
        <v>6.22</v>
      </c>
      <c r="F664" s="25">
        <v>4.3259999999999996</v>
      </c>
      <c r="G664" s="25">
        <v>447.57000699999998</v>
      </c>
      <c r="H664" s="25">
        <v>2211.1899410000001</v>
      </c>
      <c r="I664" s="19">
        <v>19648.33008</v>
      </c>
    </row>
    <row r="665" spans="1:9" x14ac:dyDescent="0.2">
      <c r="A665" s="4">
        <v>34437</v>
      </c>
      <c r="B665" s="24">
        <v>1.1471</v>
      </c>
      <c r="C665" s="25">
        <v>103.36</v>
      </c>
      <c r="D665" s="25">
        <v>6.915</v>
      </c>
      <c r="E665" s="26">
        <v>6.26</v>
      </c>
      <c r="F665" s="25">
        <v>4.3070000000000004</v>
      </c>
      <c r="G665" s="25">
        <v>446.26001000000002</v>
      </c>
      <c r="H665" s="25">
        <v>2215.1899410000001</v>
      </c>
      <c r="I665" s="19">
        <v>20060.410159999999</v>
      </c>
    </row>
    <row r="666" spans="1:9" x14ac:dyDescent="0.2">
      <c r="A666" s="4">
        <v>34438</v>
      </c>
      <c r="B666" s="24">
        <v>1.1493</v>
      </c>
      <c r="C666" s="25">
        <v>104.28</v>
      </c>
      <c r="D666" s="25">
        <v>6.9610000000000003</v>
      </c>
      <c r="E666" s="26">
        <v>6.32</v>
      </c>
      <c r="F666" s="25">
        <v>4.298</v>
      </c>
      <c r="G666" s="25">
        <v>446.38000499999998</v>
      </c>
      <c r="H666" s="25">
        <v>2198.23999</v>
      </c>
      <c r="I666" s="19">
        <v>19987.199219999999</v>
      </c>
    </row>
    <row r="667" spans="1:9" x14ac:dyDescent="0.2">
      <c r="A667" s="4">
        <v>34439</v>
      </c>
      <c r="B667" s="24">
        <v>1.1464000000000001</v>
      </c>
      <c r="C667" s="25">
        <v>103.45</v>
      </c>
      <c r="D667" s="25">
        <v>6.9480000000000004</v>
      </c>
      <c r="E667" s="26">
        <v>6.32</v>
      </c>
      <c r="F667" s="25">
        <v>4.2750000000000004</v>
      </c>
      <c r="G667" s="25">
        <v>446.17999300000002</v>
      </c>
      <c r="H667" s="25">
        <v>2211.919922</v>
      </c>
      <c r="I667" s="19">
        <v>20164.630860000001</v>
      </c>
    </row>
    <row r="668" spans="1:9" x14ac:dyDescent="0.2">
      <c r="A668" s="4">
        <v>34442</v>
      </c>
      <c r="B668" s="24">
        <v>1.1413</v>
      </c>
      <c r="C668" s="25">
        <v>103.2</v>
      </c>
      <c r="D668" s="25">
        <v>7.117</v>
      </c>
      <c r="E668" s="26">
        <v>6.37</v>
      </c>
      <c r="F668" s="25">
        <v>4.2469999999999999</v>
      </c>
      <c r="G668" s="25">
        <v>442.459991</v>
      </c>
      <c r="H668" s="25">
        <v>2218.3701169999999</v>
      </c>
      <c r="I668" s="19">
        <v>20277.359380000002</v>
      </c>
    </row>
    <row r="669" spans="1:9" x14ac:dyDescent="0.2">
      <c r="A669" s="4">
        <v>34443</v>
      </c>
      <c r="B669" s="24">
        <v>1.153</v>
      </c>
      <c r="C669" s="25">
        <v>103.06</v>
      </c>
      <c r="D669" s="25">
        <v>7.085</v>
      </c>
      <c r="E669" s="26">
        <v>6.54</v>
      </c>
      <c r="F669" s="25">
        <v>4.3310000000000004</v>
      </c>
      <c r="G669" s="25">
        <v>442.540009</v>
      </c>
      <c r="H669" s="25">
        <v>2193.889893</v>
      </c>
      <c r="I669" s="19">
        <v>20192.339840000001</v>
      </c>
    </row>
    <row r="670" spans="1:9" x14ac:dyDescent="0.2">
      <c r="A670" s="4">
        <v>34444</v>
      </c>
      <c r="B670" s="24">
        <v>1.1565000000000001</v>
      </c>
      <c r="C670" s="25">
        <v>103.11</v>
      </c>
      <c r="D670" s="25">
        <v>7.0419999999999998</v>
      </c>
      <c r="E670" s="26">
        <v>6.59</v>
      </c>
      <c r="F670" s="25">
        <v>4.3140000000000001</v>
      </c>
      <c r="G670" s="25">
        <v>441.959991</v>
      </c>
      <c r="H670" s="25">
        <v>2194.0900879999999</v>
      </c>
      <c r="I670" s="19">
        <v>19882.179690000001</v>
      </c>
    </row>
    <row r="671" spans="1:9" x14ac:dyDescent="0.2">
      <c r="A671" s="4">
        <v>34445</v>
      </c>
      <c r="B671" s="24">
        <v>1.1617999999999999</v>
      </c>
      <c r="C671" s="25">
        <v>103.61</v>
      </c>
      <c r="D671" s="25">
        <v>6.8840000000000003</v>
      </c>
      <c r="E671" s="26">
        <v>6.64</v>
      </c>
      <c r="F671" s="25">
        <v>4.2619999999999996</v>
      </c>
      <c r="G671" s="25">
        <v>448.73001099999999</v>
      </c>
      <c r="H671" s="25">
        <v>2194.4099120000001</v>
      </c>
      <c r="I671" s="19">
        <v>19799.359380000002</v>
      </c>
    </row>
    <row r="672" spans="1:9" x14ac:dyDescent="0.2">
      <c r="A672" s="4">
        <v>34446</v>
      </c>
      <c r="B672" s="24">
        <v>1.1584000000000001</v>
      </c>
      <c r="C672" s="25">
        <v>103.26</v>
      </c>
      <c r="D672" s="25">
        <v>6.9119999999999999</v>
      </c>
      <c r="E672" s="26">
        <v>6.55</v>
      </c>
      <c r="F672" s="25">
        <v>4.2569999999999997</v>
      </c>
      <c r="G672" s="25">
        <v>447.63000499999998</v>
      </c>
      <c r="H672" s="25">
        <v>2218.1298830000001</v>
      </c>
      <c r="I672" s="19">
        <v>19964.390630000002</v>
      </c>
    </row>
    <row r="673" spans="1:9" x14ac:dyDescent="0.2">
      <c r="A673" s="4">
        <v>34449</v>
      </c>
      <c r="B673" s="24">
        <v>1.1673</v>
      </c>
      <c r="C673" s="25">
        <v>103.16</v>
      </c>
      <c r="D673" s="25">
        <v>6.8570000000000002</v>
      </c>
      <c r="E673" s="26">
        <v>6.65</v>
      </c>
      <c r="F673" s="25">
        <v>4.2389999999999999</v>
      </c>
      <c r="G673" s="25">
        <v>452.709991</v>
      </c>
      <c r="H673" s="25">
        <v>2208.679932</v>
      </c>
      <c r="I673" s="19">
        <v>19709.140630000002</v>
      </c>
    </row>
    <row r="674" spans="1:9" x14ac:dyDescent="0.2">
      <c r="A674" s="4">
        <v>34450</v>
      </c>
      <c r="B674" s="24">
        <v>1.1667000000000001</v>
      </c>
      <c r="C674" s="25">
        <v>102.81</v>
      </c>
      <c r="D674" s="25">
        <v>6.8289999999999997</v>
      </c>
      <c r="E674" s="26">
        <v>6.64</v>
      </c>
      <c r="F674" s="25">
        <v>4.3049999999999997</v>
      </c>
      <c r="G674" s="25">
        <v>451.86999500000002</v>
      </c>
      <c r="H674" s="25">
        <v>2241.360107</v>
      </c>
      <c r="I674" s="19">
        <v>19628.929690000001</v>
      </c>
    </row>
    <row r="675" spans="1:9" x14ac:dyDescent="0.2">
      <c r="A675" s="4">
        <v>34451</v>
      </c>
      <c r="B675" s="24">
        <v>1.1711</v>
      </c>
      <c r="C675" s="25">
        <v>102.35</v>
      </c>
      <c r="D675" s="25">
        <v>6.8289999999999997</v>
      </c>
      <c r="E675" s="26">
        <v>6.58</v>
      </c>
      <c r="F675" s="25">
        <v>4.2300000000000004</v>
      </c>
      <c r="G675" s="25">
        <v>451.72</v>
      </c>
      <c r="H675" s="25">
        <v>2256.9799800000001</v>
      </c>
      <c r="I675" s="19">
        <v>19729.150389999999</v>
      </c>
    </row>
    <row r="676" spans="1:9" x14ac:dyDescent="0.2">
      <c r="A676" s="4">
        <v>34452</v>
      </c>
      <c r="B676" s="24">
        <v>1.1745000000000001</v>
      </c>
      <c r="C676" s="25">
        <v>101.36</v>
      </c>
      <c r="D676" s="25">
        <v>7.016</v>
      </c>
      <c r="E676" s="26">
        <v>6.51</v>
      </c>
      <c r="F676" s="25">
        <v>4.202</v>
      </c>
      <c r="G676" s="25">
        <v>449.10000600000001</v>
      </c>
      <c r="H676" s="25">
        <v>2237.820068</v>
      </c>
      <c r="I676" s="19">
        <v>19725.25</v>
      </c>
    </row>
    <row r="677" spans="1:9" x14ac:dyDescent="0.2">
      <c r="A677" s="4">
        <v>34453</v>
      </c>
      <c r="B677" s="24">
        <v>1.1839999999999999</v>
      </c>
      <c r="C677" s="25">
        <v>101.7</v>
      </c>
      <c r="D677" s="25">
        <v>7.0350000000000001</v>
      </c>
      <c r="E677" s="26">
        <v>6.63</v>
      </c>
      <c r="F677" s="25">
        <v>4.202</v>
      </c>
      <c r="G677" s="25">
        <v>450.91000400000001</v>
      </c>
      <c r="H677" s="25">
        <v>2252.51001</v>
      </c>
      <c r="I677" s="19">
        <v>19725.25</v>
      </c>
    </row>
    <row r="678" spans="1:9" x14ac:dyDescent="0.2">
      <c r="A678" s="4">
        <v>34456</v>
      </c>
      <c r="B678" s="24">
        <v>1.1852</v>
      </c>
      <c r="C678" s="25">
        <v>101.67</v>
      </c>
      <c r="D678" s="25">
        <v>7.0780000000000003</v>
      </c>
      <c r="E678" s="26">
        <v>6.54</v>
      </c>
      <c r="F678" s="25">
        <v>4.1790000000000003</v>
      </c>
      <c r="G678" s="25">
        <v>453.01998900000001</v>
      </c>
      <c r="H678" s="25">
        <v>2266.719971</v>
      </c>
      <c r="I678" s="19">
        <v>19570.210940000001</v>
      </c>
    </row>
    <row r="679" spans="1:9" x14ac:dyDescent="0.2">
      <c r="A679" s="4">
        <v>34457</v>
      </c>
      <c r="B679" s="24">
        <v>1.1900999999999999</v>
      </c>
      <c r="C679" s="25">
        <v>101</v>
      </c>
      <c r="D679" s="25">
        <v>7.1120000000000001</v>
      </c>
      <c r="E679" s="26">
        <v>6.58</v>
      </c>
      <c r="F679" s="25">
        <v>4.1559999999999997</v>
      </c>
      <c r="G679" s="25">
        <v>453.02999899999998</v>
      </c>
      <c r="H679" s="25">
        <v>2261.709961</v>
      </c>
      <c r="I679" s="19">
        <v>19570.210940000001</v>
      </c>
    </row>
    <row r="680" spans="1:9" x14ac:dyDescent="0.2">
      <c r="A680" s="4">
        <v>34458</v>
      </c>
      <c r="B680" s="24">
        <v>1.1780999999999999</v>
      </c>
      <c r="C680" s="25">
        <v>101.86</v>
      </c>
      <c r="D680" s="25">
        <v>7.1360000000000001</v>
      </c>
      <c r="E680" s="26">
        <v>6.61</v>
      </c>
      <c r="F680" s="25">
        <v>4.1559999999999997</v>
      </c>
      <c r="G680" s="25">
        <v>451.72000100000002</v>
      </c>
      <c r="H680" s="25">
        <v>2241.8500979999999</v>
      </c>
      <c r="I680" s="19">
        <v>19570.210940000001</v>
      </c>
    </row>
    <row r="681" spans="1:9" x14ac:dyDescent="0.2">
      <c r="A681" s="4">
        <v>34459</v>
      </c>
      <c r="B681" s="24">
        <v>1.1737</v>
      </c>
      <c r="C681" s="25">
        <v>102.9</v>
      </c>
      <c r="D681" s="25">
        <v>7.093</v>
      </c>
      <c r="E681" s="26">
        <v>6.72</v>
      </c>
      <c r="F681" s="25">
        <v>4.1559999999999997</v>
      </c>
      <c r="G681" s="25">
        <v>451.38000499999998</v>
      </c>
      <c r="H681" s="25">
        <v>2249.780029</v>
      </c>
      <c r="I681" s="19">
        <v>19570.210940000001</v>
      </c>
    </row>
    <row r="682" spans="1:9" x14ac:dyDescent="0.2">
      <c r="A682" s="4">
        <v>34460</v>
      </c>
      <c r="B682" s="24">
        <v>1.1758</v>
      </c>
      <c r="C682" s="25">
        <v>102.41</v>
      </c>
      <c r="D682" s="25">
        <v>7.3339999999999996</v>
      </c>
      <c r="E682" s="26">
        <v>6.72</v>
      </c>
      <c r="F682" s="25">
        <v>4.2069999999999999</v>
      </c>
      <c r="G682" s="25">
        <v>447.82000699999998</v>
      </c>
      <c r="H682" s="25">
        <v>2233.5500489999999</v>
      </c>
      <c r="I682" s="19">
        <v>19862.470700000002</v>
      </c>
    </row>
    <row r="683" spans="1:9" x14ac:dyDescent="0.2">
      <c r="A683" s="4">
        <v>34463</v>
      </c>
      <c r="B683" s="24">
        <v>1.1825000000000001</v>
      </c>
      <c r="C683" s="25">
        <v>102.71</v>
      </c>
      <c r="D683" s="25">
        <v>7.4749999999999996</v>
      </c>
      <c r="E683" s="26">
        <v>6.75</v>
      </c>
      <c r="F683" s="25">
        <v>4.1980000000000004</v>
      </c>
      <c r="G683" s="25">
        <v>442.32000699999998</v>
      </c>
      <c r="H683" s="25">
        <v>2218.7700199999999</v>
      </c>
      <c r="I683" s="19">
        <v>19786.960940000001</v>
      </c>
    </row>
    <row r="684" spans="1:9" x14ac:dyDescent="0.2">
      <c r="A684" s="4">
        <v>34464</v>
      </c>
      <c r="B684" s="24">
        <v>1.1742999999999999</v>
      </c>
      <c r="C684" s="25">
        <v>104.46</v>
      </c>
      <c r="D684" s="25">
        <v>7.2809999999999997</v>
      </c>
      <c r="E684" s="26">
        <v>6.63</v>
      </c>
      <c r="F684" s="25">
        <v>4.1980000000000004</v>
      </c>
      <c r="G684" s="25">
        <v>446.01001000000002</v>
      </c>
      <c r="H684" s="25">
        <v>2241.3400879999999</v>
      </c>
      <c r="I684" s="19">
        <v>19917.779299999998</v>
      </c>
    </row>
    <row r="685" spans="1:9" x14ac:dyDescent="0.2">
      <c r="A685" s="4">
        <v>34465</v>
      </c>
      <c r="B685" s="24">
        <v>1.1707000000000001</v>
      </c>
      <c r="C685" s="25">
        <v>104.31</v>
      </c>
      <c r="D685" s="25">
        <v>7.4119999999999999</v>
      </c>
      <c r="E685" s="26">
        <v>6.59</v>
      </c>
      <c r="F685" s="25">
        <v>4.1980000000000004</v>
      </c>
      <c r="G685" s="25">
        <v>441.48998999999998</v>
      </c>
      <c r="H685" s="25">
        <v>2248.0200199999999</v>
      </c>
      <c r="I685" s="19">
        <v>20150.130860000001</v>
      </c>
    </row>
    <row r="686" spans="1:9" x14ac:dyDescent="0.2">
      <c r="A686" s="4">
        <v>34466</v>
      </c>
      <c r="B686" s="24">
        <v>1.173</v>
      </c>
      <c r="C686" s="25">
        <v>104.31</v>
      </c>
      <c r="D686" s="25">
        <v>7.3479999999999999</v>
      </c>
      <c r="E686" s="26">
        <v>6.59</v>
      </c>
      <c r="F686" s="25">
        <v>4.133</v>
      </c>
      <c r="G686" s="25">
        <v>443.75</v>
      </c>
      <c r="H686" s="25">
        <v>2248.0200199999999</v>
      </c>
      <c r="I686" s="19">
        <v>20224.240229999999</v>
      </c>
    </row>
    <row r="687" spans="1:9" x14ac:dyDescent="0.2">
      <c r="A687" s="4">
        <v>34467</v>
      </c>
      <c r="B687" s="24">
        <v>1.1754</v>
      </c>
      <c r="C687" s="25">
        <v>104.95</v>
      </c>
      <c r="D687" s="25">
        <v>7.2770000000000001</v>
      </c>
      <c r="E687" s="26">
        <v>6.58</v>
      </c>
      <c r="F687" s="25">
        <v>4.0780000000000003</v>
      </c>
      <c r="G687" s="25">
        <v>444.14001500000001</v>
      </c>
      <c r="H687" s="25">
        <v>2257.330078</v>
      </c>
      <c r="I687" s="19">
        <v>20270.75</v>
      </c>
    </row>
    <row r="688" spans="1:9" x14ac:dyDescent="0.2">
      <c r="A688" s="4">
        <v>34470</v>
      </c>
      <c r="B688" s="24">
        <v>1.1697</v>
      </c>
      <c r="C688" s="25">
        <v>104.8</v>
      </c>
      <c r="D688" s="25">
        <v>7.2320000000000002</v>
      </c>
      <c r="E688" s="26">
        <v>6.54</v>
      </c>
      <c r="F688" s="25">
        <v>4.0419999999999998</v>
      </c>
      <c r="G688" s="25">
        <v>444.48998999999998</v>
      </c>
      <c r="H688" s="25">
        <v>2272.959961</v>
      </c>
      <c r="I688" s="19">
        <v>20188.439450000002</v>
      </c>
    </row>
    <row r="689" spans="1:9" x14ac:dyDescent="0.2">
      <c r="A689" s="4">
        <v>34471</v>
      </c>
      <c r="B689" s="24">
        <v>1.1748000000000001</v>
      </c>
      <c r="C689" s="25">
        <v>104.6</v>
      </c>
      <c r="D689" s="25">
        <v>7.0860000000000003</v>
      </c>
      <c r="E689" s="26">
        <v>6.54</v>
      </c>
      <c r="F689" s="25">
        <v>4.0469999999999997</v>
      </c>
      <c r="G689" s="25">
        <v>449.36999500000002</v>
      </c>
      <c r="H689" s="25">
        <v>2268.110107</v>
      </c>
      <c r="I689" s="19">
        <v>20133.529299999998</v>
      </c>
    </row>
    <row r="690" spans="1:9" x14ac:dyDescent="0.2">
      <c r="A690" s="4">
        <v>34472</v>
      </c>
      <c r="B690" s="24">
        <v>1.1815</v>
      </c>
      <c r="C690" s="25">
        <v>103.56</v>
      </c>
      <c r="D690" s="25">
        <v>7.016</v>
      </c>
      <c r="E690" s="26">
        <v>6.47</v>
      </c>
      <c r="F690" s="25">
        <v>3.9790000000000001</v>
      </c>
      <c r="G690" s="25">
        <v>453.69000199999999</v>
      </c>
      <c r="H690" s="25">
        <v>2254.209961</v>
      </c>
      <c r="I690" s="19">
        <v>20152.730469999999</v>
      </c>
    </row>
    <row r="691" spans="1:9" x14ac:dyDescent="0.2">
      <c r="A691" s="4">
        <v>34473</v>
      </c>
      <c r="B691" s="24">
        <v>1.1842999999999999</v>
      </c>
      <c r="C691" s="25">
        <v>104.33</v>
      </c>
      <c r="D691" s="25">
        <v>6.9470000000000001</v>
      </c>
      <c r="E691" s="26">
        <v>6.47</v>
      </c>
      <c r="F691" s="25">
        <v>3.9289999999999998</v>
      </c>
      <c r="G691" s="25">
        <v>456.48001099999999</v>
      </c>
      <c r="H691" s="25">
        <v>2245.790039</v>
      </c>
      <c r="I691" s="19">
        <v>20221.339840000001</v>
      </c>
    </row>
    <row r="692" spans="1:9" x14ac:dyDescent="0.2">
      <c r="A692" s="4">
        <v>34474</v>
      </c>
      <c r="B692" s="24">
        <v>1.1902999999999999</v>
      </c>
      <c r="C692" s="25">
        <v>104.3</v>
      </c>
      <c r="D692" s="25">
        <v>7.0119999999999996</v>
      </c>
      <c r="E692" s="26">
        <v>6.48</v>
      </c>
      <c r="F692" s="25">
        <v>3.9470000000000001</v>
      </c>
      <c r="G692" s="25">
        <v>454.92001299999998</v>
      </c>
      <c r="H692" s="25">
        <v>2238.969971</v>
      </c>
      <c r="I692" s="19">
        <v>20342.16992</v>
      </c>
    </row>
    <row r="693" spans="1:9" x14ac:dyDescent="0.2">
      <c r="A693" s="4">
        <v>34477</v>
      </c>
      <c r="B693" s="24">
        <v>1.1895</v>
      </c>
      <c r="C693" s="25">
        <v>104.4</v>
      </c>
      <c r="D693" s="25">
        <v>7.1790000000000003</v>
      </c>
      <c r="E693" s="26">
        <v>6.48</v>
      </c>
      <c r="F693" s="25">
        <v>4.0110000000000001</v>
      </c>
      <c r="G693" s="25">
        <v>453.20001200000002</v>
      </c>
      <c r="H693" s="25">
        <v>2238.969971</v>
      </c>
      <c r="I693" s="19">
        <v>20568.710940000001</v>
      </c>
    </row>
    <row r="694" spans="1:9" x14ac:dyDescent="0.2">
      <c r="A694" s="4">
        <v>34478</v>
      </c>
      <c r="B694" s="24">
        <v>1.1883999999999999</v>
      </c>
      <c r="C694" s="25">
        <v>104.72</v>
      </c>
      <c r="D694" s="25">
        <v>7.1479999999999997</v>
      </c>
      <c r="E694" s="26">
        <v>6.65</v>
      </c>
      <c r="F694" s="25">
        <v>4.0060000000000002</v>
      </c>
      <c r="G694" s="25">
        <v>454.80999800000001</v>
      </c>
      <c r="H694" s="25">
        <v>2188.01001</v>
      </c>
      <c r="I694" s="19">
        <v>20622.119139999999</v>
      </c>
    </row>
    <row r="695" spans="1:9" x14ac:dyDescent="0.2">
      <c r="A695" s="4">
        <v>34479</v>
      </c>
      <c r="B695" s="24">
        <v>1.1900999999999999</v>
      </c>
      <c r="C695" s="25">
        <v>104.4</v>
      </c>
      <c r="D695" s="25">
        <v>7.117</v>
      </c>
      <c r="E695" s="26">
        <v>6.67</v>
      </c>
      <c r="F695" s="25">
        <v>3.952</v>
      </c>
      <c r="G695" s="25">
        <v>456.33999599999999</v>
      </c>
      <c r="H695" s="25">
        <v>2137.5600589999999</v>
      </c>
      <c r="I695" s="19">
        <v>20663.630860000001</v>
      </c>
    </row>
    <row r="696" spans="1:9" x14ac:dyDescent="0.2">
      <c r="A696" s="4">
        <v>34480</v>
      </c>
      <c r="B696" s="24">
        <v>1.1901999999999999</v>
      </c>
      <c r="C696" s="25">
        <v>104.68</v>
      </c>
      <c r="D696" s="25">
        <v>7.0860000000000003</v>
      </c>
      <c r="E696" s="26">
        <v>6.79</v>
      </c>
      <c r="F696" s="25">
        <v>3.8929999999999998</v>
      </c>
      <c r="G696" s="25">
        <v>457.05999800000001</v>
      </c>
      <c r="H696" s="25">
        <v>2146</v>
      </c>
      <c r="I696" s="19">
        <v>20495.800780000001</v>
      </c>
    </row>
    <row r="697" spans="1:9" x14ac:dyDescent="0.2">
      <c r="A697" s="4">
        <v>34481</v>
      </c>
      <c r="B697" s="24">
        <v>1.1904999999999999</v>
      </c>
      <c r="C697" s="25">
        <v>104.3</v>
      </c>
      <c r="D697" s="25">
        <v>7.1070000000000002</v>
      </c>
      <c r="E697" s="26">
        <v>6.77</v>
      </c>
      <c r="F697" s="25">
        <v>3.8980000000000001</v>
      </c>
      <c r="G697" s="25">
        <v>457.32998700000002</v>
      </c>
      <c r="H697" s="25">
        <v>2112.8000489999999</v>
      </c>
      <c r="I697" s="19">
        <v>20777.160159999999</v>
      </c>
    </row>
    <row r="698" spans="1:9" x14ac:dyDescent="0.2">
      <c r="A698" s="4">
        <v>34484</v>
      </c>
      <c r="B698" s="24">
        <v>1.1904999999999999</v>
      </c>
      <c r="C698" s="25">
        <v>104.57</v>
      </c>
      <c r="D698" s="25">
        <v>7.1070000000000002</v>
      </c>
      <c r="E698" s="26">
        <v>6.82</v>
      </c>
      <c r="F698" s="25">
        <v>3.8980000000000001</v>
      </c>
      <c r="G698" s="25">
        <v>458.88</v>
      </c>
      <c r="H698" s="25">
        <v>2129.76001</v>
      </c>
      <c r="I698" s="19">
        <v>20838.970700000002</v>
      </c>
    </row>
    <row r="699" spans="1:9" x14ac:dyDescent="0.2">
      <c r="A699" s="4">
        <v>34485</v>
      </c>
      <c r="B699" s="24">
        <v>1.1909000000000001</v>
      </c>
      <c r="C699" s="25">
        <v>104.78</v>
      </c>
      <c r="D699" s="25">
        <v>7.1520000000000001</v>
      </c>
      <c r="E699" s="26">
        <v>6.94</v>
      </c>
      <c r="F699" s="25">
        <v>3.948</v>
      </c>
      <c r="G699" s="25">
        <v>456.5</v>
      </c>
      <c r="H699" s="25">
        <v>2137.3400879999999</v>
      </c>
      <c r="I699" s="19">
        <v>20973.589840000001</v>
      </c>
    </row>
    <row r="700" spans="1:9" x14ac:dyDescent="0.2">
      <c r="A700" s="4">
        <v>34486</v>
      </c>
      <c r="B700" s="24">
        <v>1.1909000000000001</v>
      </c>
      <c r="C700" s="25">
        <v>104.53</v>
      </c>
      <c r="D700" s="25">
        <v>7.1070000000000002</v>
      </c>
      <c r="E700" s="26">
        <v>7.04</v>
      </c>
      <c r="F700" s="25">
        <v>4.0570000000000004</v>
      </c>
      <c r="G700" s="25">
        <v>457.63000499999998</v>
      </c>
      <c r="H700" s="25">
        <v>2113.6201169999999</v>
      </c>
      <c r="I700" s="19">
        <v>21053.109380000002</v>
      </c>
    </row>
    <row r="701" spans="1:9" x14ac:dyDescent="0.2">
      <c r="A701" s="4">
        <v>34487</v>
      </c>
      <c r="B701" s="24">
        <v>1.1857</v>
      </c>
      <c r="C701" s="25">
        <v>104.85</v>
      </c>
      <c r="D701" s="25">
        <v>7.0590000000000002</v>
      </c>
      <c r="E701" s="26">
        <v>7.04</v>
      </c>
      <c r="F701" s="25">
        <v>4.1399999999999997</v>
      </c>
      <c r="G701" s="25">
        <v>457.64999399999999</v>
      </c>
      <c r="H701" s="25">
        <v>2113.6201169999999</v>
      </c>
      <c r="I701" s="19">
        <v>21009</v>
      </c>
    </row>
    <row r="702" spans="1:9" x14ac:dyDescent="0.2">
      <c r="A702" s="4">
        <v>34488</v>
      </c>
      <c r="B702" s="24">
        <v>1.1744000000000001</v>
      </c>
      <c r="C702" s="25">
        <v>105.45</v>
      </c>
      <c r="D702" s="25">
        <v>6.9630000000000001</v>
      </c>
      <c r="E702" s="26">
        <v>7.07</v>
      </c>
      <c r="F702" s="25">
        <v>4.2709999999999999</v>
      </c>
      <c r="G702" s="25">
        <v>460.13000499999998</v>
      </c>
      <c r="H702" s="25">
        <v>2158.8798830000001</v>
      </c>
      <c r="I702" s="19">
        <v>20954.189450000002</v>
      </c>
    </row>
    <row r="703" spans="1:9" x14ac:dyDescent="0.2">
      <c r="A703" s="4">
        <v>34491</v>
      </c>
      <c r="B703" s="24">
        <v>1.1733</v>
      </c>
      <c r="C703" s="25">
        <v>105.29</v>
      </c>
      <c r="D703" s="25">
        <v>6.8890000000000002</v>
      </c>
      <c r="E703" s="26">
        <v>6.93</v>
      </c>
      <c r="F703" s="25">
        <v>4.319</v>
      </c>
      <c r="G703" s="25">
        <v>458.88000499999998</v>
      </c>
      <c r="H703" s="25">
        <v>2163.5900879999999</v>
      </c>
      <c r="I703" s="19">
        <v>20726.650389999999</v>
      </c>
    </row>
    <row r="704" spans="1:9" x14ac:dyDescent="0.2">
      <c r="A704" s="4">
        <v>34492</v>
      </c>
      <c r="B704" s="24">
        <v>1.1736</v>
      </c>
      <c r="C704" s="25">
        <v>104.17</v>
      </c>
      <c r="D704" s="25">
        <v>6.9359999999999999</v>
      </c>
      <c r="E704" s="26">
        <v>7</v>
      </c>
      <c r="F704" s="25">
        <v>4.4340000000000002</v>
      </c>
      <c r="G704" s="25">
        <v>458.209991</v>
      </c>
      <c r="H704" s="25">
        <v>2131.8000489999999</v>
      </c>
      <c r="I704" s="19">
        <v>21042.710940000001</v>
      </c>
    </row>
    <row r="705" spans="1:9" x14ac:dyDescent="0.2">
      <c r="A705" s="4">
        <v>34493</v>
      </c>
      <c r="B705" s="24">
        <v>1.1733</v>
      </c>
      <c r="C705" s="25">
        <v>104</v>
      </c>
      <c r="D705" s="25">
        <v>6.9450000000000003</v>
      </c>
      <c r="E705" s="26">
        <v>6.96</v>
      </c>
      <c r="F705" s="25">
        <v>4.3810000000000002</v>
      </c>
      <c r="G705" s="25">
        <v>457.05999800000001</v>
      </c>
      <c r="H705" s="25">
        <v>2143.929932</v>
      </c>
      <c r="I705" s="19">
        <v>21261.949219999999</v>
      </c>
    </row>
    <row r="706" spans="1:9" x14ac:dyDescent="0.2">
      <c r="A706" s="4">
        <v>34494</v>
      </c>
      <c r="B706" s="24">
        <v>1.1726000000000001</v>
      </c>
      <c r="C706" s="25">
        <v>103.95</v>
      </c>
      <c r="D706" s="25">
        <v>6.9580000000000002</v>
      </c>
      <c r="E706" s="26">
        <v>6.92</v>
      </c>
      <c r="F706" s="25">
        <v>4.367</v>
      </c>
      <c r="G706" s="25">
        <v>457.85998499999999</v>
      </c>
      <c r="H706" s="25">
        <v>2131.139893</v>
      </c>
      <c r="I706" s="19">
        <v>21402.779299999998</v>
      </c>
    </row>
    <row r="707" spans="1:9" x14ac:dyDescent="0.2">
      <c r="A707" s="4">
        <v>34495</v>
      </c>
      <c r="B707" s="24">
        <v>1.1762999999999999</v>
      </c>
      <c r="C707" s="25">
        <v>103.6</v>
      </c>
      <c r="D707" s="25">
        <v>7.0140000000000002</v>
      </c>
      <c r="E707" s="26">
        <v>6.9</v>
      </c>
      <c r="F707" s="25">
        <v>4.32</v>
      </c>
      <c r="G707" s="25">
        <v>458.67001299999998</v>
      </c>
      <c r="H707" s="25">
        <v>2143.580078</v>
      </c>
      <c r="I707" s="19">
        <v>21395.179690000001</v>
      </c>
    </row>
    <row r="708" spans="1:9" x14ac:dyDescent="0.2">
      <c r="A708" s="4">
        <v>34498</v>
      </c>
      <c r="B708" s="24">
        <v>1.1871</v>
      </c>
      <c r="C708" s="25">
        <v>102.9</v>
      </c>
      <c r="D708" s="25">
        <v>7.0540000000000003</v>
      </c>
      <c r="E708" s="26">
        <v>6.95</v>
      </c>
      <c r="F708" s="25">
        <v>4.3959999999999999</v>
      </c>
      <c r="G708" s="25">
        <v>459.10000600000001</v>
      </c>
      <c r="H708" s="25">
        <v>2084.419922</v>
      </c>
      <c r="I708" s="19">
        <v>21552.810549999998</v>
      </c>
    </row>
    <row r="709" spans="1:9" x14ac:dyDescent="0.2">
      <c r="A709" s="4">
        <v>34499</v>
      </c>
      <c r="B709" s="24">
        <v>1.1900999999999999</v>
      </c>
      <c r="C709" s="25">
        <v>102.78</v>
      </c>
      <c r="D709" s="25">
        <v>6.9880000000000004</v>
      </c>
      <c r="E709" s="26">
        <v>7.09</v>
      </c>
      <c r="F709" s="25">
        <v>4.4109999999999996</v>
      </c>
      <c r="G709" s="25">
        <v>462.36999500000002</v>
      </c>
      <c r="H709" s="25">
        <v>2088.4399410000001</v>
      </c>
      <c r="I709" s="19">
        <v>21353.970700000002</v>
      </c>
    </row>
    <row r="710" spans="1:9" x14ac:dyDescent="0.2">
      <c r="A710" s="4">
        <v>34500</v>
      </c>
      <c r="B710" s="24">
        <v>1.1961999999999999</v>
      </c>
      <c r="C710" s="25">
        <v>102.8</v>
      </c>
      <c r="D710" s="25">
        <v>7.0759999999999996</v>
      </c>
      <c r="E710" s="26">
        <v>7.12</v>
      </c>
      <c r="F710" s="25">
        <v>4.3579999999999997</v>
      </c>
      <c r="G710" s="25">
        <v>460.60998499999999</v>
      </c>
      <c r="H710" s="25">
        <v>2073.209961</v>
      </c>
      <c r="I710" s="19">
        <v>21282.960940000001</v>
      </c>
    </row>
    <row r="711" spans="1:9" x14ac:dyDescent="0.2">
      <c r="A711" s="4">
        <v>34501</v>
      </c>
      <c r="B711" s="24">
        <v>1.1970000000000001</v>
      </c>
      <c r="C711" s="25">
        <v>103.5</v>
      </c>
      <c r="D711" s="25">
        <v>7.0579999999999998</v>
      </c>
      <c r="E711" s="26">
        <v>7.18</v>
      </c>
      <c r="F711" s="25">
        <v>4.3339999999999996</v>
      </c>
      <c r="G711" s="25">
        <v>461.92999300000002</v>
      </c>
      <c r="H711" s="25">
        <v>2047.290039</v>
      </c>
      <c r="I711" s="19">
        <v>21367.470700000002</v>
      </c>
    </row>
    <row r="712" spans="1:9" x14ac:dyDescent="0.2">
      <c r="A712" s="4">
        <v>34502</v>
      </c>
      <c r="B712" s="24">
        <v>1.1973</v>
      </c>
      <c r="C712" s="25">
        <v>102.75</v>
      </c>
      <c r="D712" s="25">
        <v>7.1189999999999998</v>
      </c>
      <c r="E712" s="26">
        <v>7.13</v>
      </c>
      <c r="F712" s="25">
        <v>4.5229999999999997</v>
      </c>
      <c r="G712" s="25">
        <v>458.45001200000002</v>
      </c>
      <c r="H712" s="25">
        <v>2031.8000489999999</v>
      </c>
      <c r="I712" s="19">
        <v>21503.300780000001</v>
      </c>
    </row>
    <row r="713" spans="1:9" x14ac:dyDescent="0.2">
      <c r="A713" s="4">
        <v>34505</v>
      </c>
      <c r="B713" s="24">
        <v>1.2189000000000001</v>
      </c>
      <c r="C713" s="25">
        <v>102.02</v>
      </c>
      <c r="D713" s="25">
        <v>7.1459999999999999</v>
      </c>
      <c r="E713" s="26">
        <v>7.31</v>
      </c>
      <c r="F713" s="25">
        <v>4.6470000000000002</v>
      </c>
      <c r="G713" s="25">
        <v>455.48001099999999</v>
      </c>
      <c r="H713" s="25">
        <v>1986.420044</v>
      </c>
      <c r="I713" s="19">
        <v>21152.029299999998</v>
      </c>
    </row>
    <row r="714" spans="1:9" x14ac:dyDescent="0.2">
      <c r="A714" s="4">
        <v>34506</v>
      </c>
      <c r="B714" s="24">
        <v>1.218</v>
      </c>
      <c r="C714" s="25">
        <v>100.3</v>
      </c>
      <c r="D714" s="25">
        <v>7.2039999999999997</v>
      </c>
      <c r="E714" s="26">
        <v>7.3</v>
      </c>
      <c r="F714" s="25">
        <v>4.5389999999999997</v>
      </c>
      <c r="G714" s="25">
        <v>451.33999599999999</v>
      </c>
      <c r="H714" s="25">
        <v>1957.079956</v>
      </c>
      <c r="I714" s="19">
        <v>20813.160159999999</v>
      </c>
    </row>
    <row r="715" spans="1:9" x14ac:dyDescent="0.2">
      <c r="A715" s="4">
        <v>34507</v>
      </c>
      <c r="B715" s="24">
        <v>1.2185999999999999</v>
      </c>
      <c r="C715" s="25">
        <v>101.2</v>
      </c>
      <c r="D715" s="25">
        <v>7.1059999999999999</v>
      </c>
      <c r="E715" s="26">
        <v>7.23</v>
      </c>
      <c r="F715" s="25">
        <v>4.4489999999999998</v>
      </c>
      <c r="G715" s="25">
        <v>453.08999599999999</v>
      </c>
      <c r="H715" s="25">
        <v>2004.9300539999999</v>
      </c>
      <c r="I715" s="19">
        <v>20581.320309999999</v>
      </c>
    </row>
    <row r="716" spans="1:9" x14ac:dyDescent="0.2">
      <c r="A716" s="4">
        <v>34508</v>
      </c>
      <c r="B716" s="24">
        <v>1.2168000000000001</v>
      </c>
      <c r="C716" s="25">
        <v>101.4</v>
      </c>
      <c r="D716" s="25">
        <v>7.0839999999999996</v>
      </c>
      <c r="E716" s="26">
        <v>6.98</v>
      </c>
      <c r="F716" s="25">
        <v>4.4240000000000004</v>
      </c>
      <c r="G716" s="25">
        <v>449.63000499999998</v>
      </c>
      <c r="H716" s="25">
        <v>2032.5200199999999</v>
      </c>
      <c r="I716" s="19">
        <v>21040.210940000001</v>
      </c>
    </row>
    <row r="717" spans="1:9" x14ac:dyDescent="0.2">
      <c r="A717" s="4">
        <v>34509</v>
      </c>
      <c r="B717" s="24">
        <v>1.2213000000000001</v>
      </c>
      <c r="C717" s="25">
        <v>100.6</v>
      </c>
      <c r="D717" s="25">
        <v>7.1989999999999998</v>
      </c>
      <c r="E717" s="26">
        <v>7.07</v>
      </c>
      <c r="F717" s="25">
        <v>4.2690000000000001</v>
      </c>
      <c r="G717" s="25">
        <v>442.79998799999998</v>
      </c>
      <c r="H717" s="25">
        <v>2005.0699460000001</v>
      </c>
      <c r="I717" s="19">
        <v>20766.75</v>
      </c>
    </row>
    <row r="718" spans="1:9" x14ac:dyDescent="0.2">
      <c r="A718" s="4">
        <v>34512</v>
      </c>
      <c r="B718" s="24">
        <v>1.2375</v>
      </c>
      <c r="C718" s="25">
        <v>100.45</v>
      </c>
      <c r="D718" s="25">
        <v>7.15</v>
      </c>
      <c r="E718" s="26">
        <v>7.11</v>
      </c>
      <c r="F718" s="25">
        <v>4.2990000000000004</v>
      </c>
      <c r="G718" s="25">
        <v>447.30999800000001</v>
      </c>
      <c r="H718" s="25">
        <v>2000.4799800000001</v>
      </c>
      <c r="I718" s="19">
        <v>20300.960940000001</v>
      </c>
    </row>
    <row r="719" spans="1:9" x14ac:dyDescent="0.2">
      <c r="A719" s="4">
        <v>34513</v>
      </c>
      <c r="B719" s="24">
        <v>1.2307999999999999</v>
      </c>
      <c r="C719" s="25">
        <v>100.05</v>
      </c>
      <c r="D719" s="25">
        <v>7.2439999999999998</v>
      </c>
      <c r="E719" s="26">
        <v>6.96</v>
      </c>
      <c r="F719" s="25">
        <v>4.399</v>
      </c>
      <c r="G719" s="25">
        <v>446.07000699999998</v>
      </c>
      <c r="H719" s="25">
        <v>2022.25</v>
      </c>
      <c r="I719" s="19">
        <v>20639.230469999999</v>
      </c>
    </row>
    <row r="720" spans="1:9" x14ac:dyDescent="0.2">
      <c r="A720" s="4">
        <v>34514</v>
      </c>
      <c r="B720" s="24">
        <v>1.2317</v>
      </c>
      <c r="C720" s="25">
        <v>98.8</v>
      </c>
      <c r="D720" s="25">
        <v>7.23</v>
      </c>
      <c r="E720" s="26">
        <v>6.95</v>
      </c>
      <c r="F720" s="25">
        <v>4.359</v>
      </c>
      <c r="G720" s="25">
        <v>447.63000499999998</v>
      </c>
      <c r="H720" s="25">
        <v>2042.4499510000001</v>
      </c>
      <c r="I720" s="19">
        <v>20481</v>
      </c>
    </row>
    <row r="721" spans="1:9" x14ac:dyDescent="0.2">
      <c r="A721" s="4">
        <v>34515</v>
      </c>
      <c r="B721" s="24">
        <v>1.2238</v>
      </c>
      <c r="C721" s="25">
        <v>98.44</v>
      </c>
      <c r="D721" s="25">
        <v>7.3289999999999997</v>
      </c>
      <c r="E721" s="26">
        <v>6.92</v>
      </c>
      <c r="F721" s="25">
        <v>4.3940000000000001</v>
      </c>
      <c r="G721" s="25">
        <v>444.26998900000001</v>
      </c>
      <c r="H721" s="25">
        <v>2020.849976</v>
      </c>
      <c r="I721" s="19">
        <v>20643.929690000001</v>
      </c>
    </row>
    <row r="722" spans="1:9" x14ac:dyDescent="0.2">
      <c r="A722" s="4">
        <v>34516</v>
      </c>
      <c r="B722" s="24">
        <v>1.2216</v>
      </c>
      <c r="C722" s="25">
        <v>98.75</v>
      </c>
      <c r="D722" s="25">
        <v>7.32</v>
      </c>
      <c r="E722" s="26">
        <v>7.07</v>
      </c>
      <c r="F722" s="25">
        <v>4.3440000000000003</v>
      </c>
      <c r="G722" s="25">
        <v>446.20001200000002</v>
      </c>
      <c r="H722" s="25">
        <v>2040.6899410000001</v>
      </c>
      <c r="I722" s="19">
        <v>20543.410159999999</v>
      </c>
    </row>
    <row r="723" spans="1:9" x14ac:dyDescent="0.2">
      <c r="A723" s="4">
        <v>34519</v>
      </c>
      <c r="B723" s="24">
        <v>1.2213000000000001</v>
      </c>
      <c r="C723" s="25">
        <v>99</v>
      </c>
      <c r="D723" s="25">
        <v>7.32</v>
      </c>
      <c r="E723" s="26">
        <v>7.04</v>
      </c>
      <c r="F723" s="25">
        <v>4.3440000000000003</v>
      </c>
      <c r="G723" s="25">
        <v>448.06</v>
      </c>
      <c r="H723" s="25">
        <v>2061.6999510000001</v>
      </c>
      <c r="I723" s="19">
        <v>20631.929690000001</v>
      </c>
    </row>
    <row r="724" spans="1:9" x14ac:dyDescent="0.2">
      <c r="A724" s="4">
        <v>34520</v>
      </c>
      <c r="B724" s="24">
        <v>1.2297</v>
      </c>
      <c r="C724" s="25">
        <v>99</v>
      </c>
      <c r="D724" s="25">
        <v>7.298</v>
      </c>
      <c r="E724" s="26">
        <v>7.09</v>
      </c>
      <c r="F724" s="25">
        <v>4.4539999999999997</v>
      </c>
      <c r="G724" s="25">
        <v>446.36999500000002</v>
      </c>
      <c r="H724" s="25">
        <v>2034.6400149999999</v>
      </c>
      <c r="I724" s="19">
        <v>20834.369139999999</v>
      </c>
    </row>
    <row r="725" spans="1:9" x14ac:dyDescent="0.2">
      <c r="A725" s="4">
        <v>34521</v>
      </c>
      <c r="B725" s="24">
        <v>1.2401</v>
      </c>
      <c r="C725" s="25">
        <v>99</v>
      </c>
      <c r="D725" s="25">
        <v>7.3019999999999996</v>
      </c>
      <c r="E725" s="26">
        <v>7.08</v>
      </c>
      <c r="F725" s="25">
        <v>4.444</v>
      </c>
      <c r="G725" s="25">
        <v>446.13000499999998</v>
      </c>
      <c r="H725" s="25">
        <v>2031.329956</v>
      </c>
      <c r="I725" s="19">
        <v>20629.029299999998</v>
      </c>
    </row>
    <row r="726" spans="1:9" x14ac:dyDescent="0.2">
      <c r="A726" s="4">
        <v>34522</v>
      </c>
      <c r="B726" s="24">
        <v>1.2359</v>
      </c>
      <c r="C726" s="25">
        <v>98.6</v>
      </c>
      <c r="D726" s="25">
        <v>7.2750000000000004</v>
      </c>
      <c r="E726" s="26">
        <v>7.06</v>
      </c>
      <c r="F726" s="25">
        <v>4.4740000000000002</v>
      </c>
      <c r="G726" s="25">
        <v>448.38000499999998</v>
      </c>
      <c r="H726" s="25">
        <v>2049.1000979999999</v>
      </c>
      <c r="I726" s="19">
        <v>20620.019530000001</v>
      </c>
    </row>
    <row r="727" spans="1:9" x14ac:dyDescent="0.2">
      <c r="A727" s="4">
        <v>34523</v>
      </c>
      <c r="B727" s="24">
        <v>1.2365999999999999</v>
      </c>
      <c r="C727" s="25">
        <v>98.1</v>
      </c>
      <c r="D727" s="25">
        <v>7.4020000000000001</v>
      </c>
      <c r="E727" s="26">
        <v>7.04</v>
      </c>
      <c r="F727" s="25">
        <v>4.3739999999999997</v>
      </c>
      <c r="G727" s="25">
        <v>449.54998799999998</v>
      </c>
      <c r="H727" s="25">
        <v>2047.829956</v>
      </c>
      <c r="I727" s="19">
        <v>20526.509770000001</v>
      </c>
    </row>
    <row r="728" spans="1:9" x14ac:dyDescent="0.2">
      <c r="A728" s="4">
        <v>34526</v>
      </c>
      <c r="B728" s="24">
        <v>1.2639</v>
      </c>
      <c r="C728" s="25">
        <v>97.6</v>
      </c>
      <c r="D728" s="25">
        <v>7.4569999999999999</v>
      </c>
      <c r="E728" s="26">
        <v>6.97</v>
      </c>
      <c r="F728" s="25">
        <v>4.4989999999999997</v>
      </c>
      <c r="G728" s="25">
        <v>448.05999800000001</v>
      </c>
      <c r="H728" s="25">
        <v>2069.459961</v>
      </c>
      <c r="I728" s="19">
        <v>20473.089840000001</v>
      </c>
    </row>
    <row r="729" spans="1:9" x14ac:dyDescent="0.2">
      <c r="A729" s="4">
        <v>34527</v>
      </c>
      <c r="B729" s="24">
        <v>1.2781</v>
      </c>
      <c r="C729" s="25">
        <v>97.25</v>
      </c>
      <c r="D729" s="25">
        <v>7.4109999999999996</v>
      </c>
      <c r="E729" s="26">
        <v>6.84</v>
      </c>
      <c r="F729" s="25">
        <v>4.399</v>
      </c>
      <c r="G729" s="25">
        <v>447.95001200000002</v>
      </c>
      <c r="H729" s="25">
        <v>2048.570068</v>
      </c>
      <c r="I729" s="19">
        <v>20400.480469999999</v>
      </c>
    </row>
    <row r="730" spans="1:9" x14ac:dyDescent="0.2">
      <c r="A730" s="4">
        <v>34528</v>
      </c>
      <c r="B730" s="24">
        <v>1.2676000000000001</v>
      </c>
      <c r="C730" s="25">
        <v>98.3</v>
      </c>
      <c r="D730" s="25">
        <v>7.3970000000000002</v>
      </c>
      <c r="E730" s="26">
        <v>6.83</v>
      </c>
      <c r="F730" s="25">
        <v>4.4690000000000003</v>
      </c>
      <c r="G730" s="25">
        <v>448.73001099999999</v>
      </c>
      <c r="H730" s="25">
        <v>2051.25</v>
      </c>
      <c r="I730" s="19">
        <v>20540.410159999999</v>
      </c>
    </row>
    <row r="731" spans="1:9" x14ac:dyDescent="0.2">
      <c r="A731" s="4">
        <v>34529</v>
      </c>
      <c r="B731" s="24">
        <v>1.2602</v>
      </c>
      <c r="C731" s="25">
        <v>98.6</v>
      </c>
      <c r="D731" s="25">
        <v>7.23</v>
      </c>
      <c r="E731" s="26">
        <v>6.87</v>
      </c>
      <c r="F731" s="25">
        <v>4.4989999999999997</v>
      </c>
      <c r="G731" s="25">
        <v>453.41000400000001</v>
      </c>
      <c r="H731" s="25">
        <v>2070.709961</v>
      </c>
      <c r="I731" s="19">
        <v>20718.039059999999</v>
      </c>
    </row>
    <row r="732" spans="1:9" x14ac:dyDescent="0.2">
      <c r="A732" s="4">
        <v>34530</v>
      </c>
      <c r="B732" s="24">
        <v>1.2529999999999999</v>
      </c>
      <c r="C732" s="25">
        <v>97.86</v>
      </c>
      <c r="D732" s="25">
        <v>7.23</v>
      </c>
      <c r="E732" s="26">
        <v>6.78</v>
      </c>
      <c r="F732" s="25">
        <v>4.4390000000000001</v>
      </c>
      <c r="G732" s="25">
        <v>454.16000400000001</v>
      </c>
      <c r="H732" s="25">
        <v>2103.540039</v>
      </c>
      <c r="I732" s="19">
        <v>20770.150389999999</v>
      </c>
    </row>
    <row r="733" spans="1:9" x14ac:dyDescent="0.2">
      <c r="A733" s="4">
        <v>34533</v>
      </c>
      <c r="B733" s="24">
        <v>1.2602</v>
      </c>
      <c r="C733" s="25">
        <v>98.45</v>
      </c>
      <c r="D733" s="25">
        <v>7.181</v>
      </c>
      <c r="E733" s="26">
        <v>6.84</v>
      </c>
      <c r="F733" s="25">
        <v>4.4589999999999996</v>
      </c>
      <c r="G733" s="25">
        <v>455.22000100000002</v>
      </c>
      <c r="H733" s="25">
        <v>2116.959961</v>
      </c>
      <c r="I733" s="19">
        <v>20717.640630000002</v>
      </c>
    </row>
    <row r="734" spans="1:9" x14ac:dyDescent="0.2">
      <c r="A734" s="4">
        <v>34534</v>
      </c>
      <c r="B734" s="24">
        <v>1.25</v>
      </c>
      <c r="C734" s="25">
        <v>99.3</v>
      </c>
      <c r="D734" s="25">
        <v>7.1230000000000002</v>
      </c>
      <c r="E734" s="26">
        <v>6.73</v>
      </c>
      <c r="F734" s="25">
        <v>4.3890000000000002</v>
      </c>
      <c r="G734" s="25">
        <v>453.85998499999999</v>
      </c>
      <c r="H734" s="25">
        <v>2129.860107</v>
      </c>
      <c r="I734" s="19">
        <v>20775.160159999999</v>
      </c>
    </row>
    <row r="735" spans="1:9" x14ac:dyDescent="0.2">
      <c r="A735" s="4">
        <v>34535</v>
      </c>
      <c r="B735" s="24">
        <v>1.2435</v>
      </c>
      <c r="C735" s="25">
        <v>98.85</v>
      </c>
      <c r="D735" s="25">
        <v>7.2249999999999996</v>
      </c>
      <c r="E735" s="26">
        <v>6.75</v>
      </c>
      <c r="F735" s="25">
        <v>4.4139999999999997</v>
      </c>
      <c r="G735" s="25">
        <v>451.60000600000001</v>
      </c>
      <c r="H735" s="25">
        <v>2120.969971</v>
      </c>
      <c r="I735" s="19">
        <v>20780.759770000001</v>
      </c>
    </row>
    <row r="736" spans="1:9" x14ac:dyDescent="0.2">
      <c r="A736" s="4">
        <v>34536</v>
      </c>
      <c r="B736" s="24">
        <v>1.2363</v>
      </c>
      <c r="C736" s="25">
        <v>99.1</v>
      </c>
      <c r="D736" s="25">
        <v>7.2519999999999998</v>
      </c>
      <c r="E736" s="26">
        <v>6.8</v>
      </c>
      <c r="F736" s="25">
        <v>4.4189999999999996</v>
      </c>
      <c r="G736" s="25">
        <v>452.60998499999999</v>
      </c>
      <c r="H736" s="25">
        <v>2126.75</v>
      </c>
      <c r="I736" s="19">
        <v>20622.91992</v>
      </c>
    </row>
    <row r="737" spans="1:9" x14ac:dyDescent="0.2">
      <c r="A737" s="4">
        <v>34537</v>
      </c>
      <c r="B737" s="24">
        <v>1.2235</v>
      </c>
      <c r="C737" s="25">
        <v>98.95</v>
      </c>
      <c r="D737" s="25">
        <v>7.27</v>
      </c>
      <c r="E737" s="26">
        <v>6.8</v>
      </c>
      <c r="F737" s="25">
        <v>4.4390000000000001</v>
      </c>
      <c r="G737" s="25">
        <v>453.10998499999999</v>
      </c>
      <c r="H737" s="25">
        <v>2148.2299800000001</v>
      </c>
      <c r="I737" s="19">
        <v>20462.890630000002</v>
      </c>
    </row>
    <row r="738" spans="1:9" x14ac:dyDescent="0.2">
      <c r="A738" s="4">
        <v>34540</v>
      </c>
      <c r="B738" s="24">
        <v>1.2299</v>
      </c>
      <c r="C738" s="25">
        <v>98.6</v>
      </c>
      <c r="D738" s="25">
        <v>7.2430000000000003</v>
      </c>
      <c r="E738" s="26">
        <v>6.87</v>
      </c>
      <c r="F738" s="25">
        <v>4.4189999999999996</v>
      </c>
      <c r="G738" s="25">
        <v>454.25</v>
      </c>
      <c r="H738" s="25">
        <v>2144.209961</v>
      </c>
      <c r="I738" s="19">
        <v>20297.660159999999</v>
      </c>
    </row>
    <row r="739" spans="1:9" x14ac:dyDescent="0.2">
      <c r="A739" s="4">
        <v>34541</v>
      </c>
      <c r="B739" s="24">
        <v>1.2291000000000001</v>
      </c>
      <c r="C739" s="25">
        <v>98.3</v>
      </c>
      <c r="D739" s="25">
        <v>7.2519999999999998</v>
      </c>
      <c r="E739" s="26">
        <v>6.8</v>
      </c>
      <c r="F739" s="25">
        <v>4.4790000000000001</v>
      </c>
      <c r="G739" s="25">
        <v>453.35998499999999</v>
      </c>
      <c r="H739" s="25">
        <v>2163.320068</v>
      </c>
      <c r="I739" s="19">
        <v>20345.369139999999</v>
      </c>
    </row>
    <row r="740" spans="1:9" x14ac:dyDescent="0.2">
      <c r="A740" s="4">
        <v>34542</v>
      </c>
      <c r="B740" s="24">
        <v>1.2350000000000001</v>
      </c>
      <c r="C740" s="25">
        <v>98.47</v>
      </c>
      <c r="D740" s="25">
        <v>7.32</v>
      </c>
      <c r="E740" s="26">
        <v>6.81</v>
      </c>
      <c r="F740" s="25">
        <v>4.4740000000000002</v>
      </c>
      <c r="G740" s="25">
        <v>452.57000699999998</v>
      </c>
      <c r="H740" s="25">
        <v>2135.929932</v>
      </c>
      <c r="I740" s="19">
        <v>20137.230469999999</v>
      </c>
    </row>
    <row r="741" spans="1:9" x14ac:dyDescent="0.2">
      <c r="A741" s="4">
        <v>34543</v>
      </c>
      <c r="B741" s="24">
        <v>1.2323999999999999</v>
      </c>
      <c r="C741" s="25">
        <v>100.15</v>
      </c>
      <c r="D741" s="25">
        <v>7.27</v>
      </c>
      <c r="E741" s="26">
        <v>6.9</v>
      </c>
      <c r="F741" s="25">
        <v>4.4889999999999999</v>
      </c>
      <c r="G741" s="25">
        <v>454.23998999999998</v>
      </c>
      <c r="H741" s="25">
        <v>2134.1201169999999</v>
      </c>
      <c r="I741" s="19">
        <v>20247.849610000001</v>
      </c>
    </row>
    <row r="742" spans="1:9" x14ac:dyDescent="0.2">
      <c r="A742" s="4">
        <v>34544</v>
      </c>
      <c r="B742" s="24">
        <v>1.2261</v>
      </c>
      <c r="C742" s="25">
        <v>100.15</v>
      </c>
      <c r="D742" s="25">
        <v>7.0949999999999998</v>
      </c>
      <c r="E742" s="26">
        <v>6.91</v>
      </c>
      <c r="F742" s="25">
        <v>4.5289999999999999</v>
      </c>
      <c r="G742" s="25">
        <v>458.26001000000002</v>
      </c>
      <c r="H742" s="25">
        <v>2152.1899410000001</v>
      </c>
      <c r="I742" s="19">
        <v>20449.390630000002</v>
      </c>
    </row>
    <row r="743" spans="1:9" x14ac:dyDescent="0.2">
      <c r="A743" s="4">
        <v>34547</v>
      </c>
      <c r="B743" s="24">
        <v>1.2366999999999999</v>
      </c>
      <c r="C743" s="25">
        <v>99.41</v>
      </c>
      <c r="D743" s="25">
        <v>7.1130000000000004</v>
      </c>
      <c r="E743" s="26">
        <v>6.83</v>
      </c>
      <c r="F743" s="25">
        <v>4.5309999999999997</v>
      </c>
      <c r="G743" s="25">
        <v>461.01001000000002</v>
      </c>
      <c r="H743" s="25">
        <v>2161.5</v>
      </c>
      <c r="I743" s="19">
        <v>20271.349610000001</v>
      </c>
    </row>
    <row r="744" spans="1:9" x14ac:dyDescent="0.2">
      <c r="A744" s="4">
        <v>34548</v>
      </c>
      <c r="B744" s="24">
        <v>1.2314000000000001</v>
      </c>
      <c r="C744" s="25">
        <v>100.41</v>
      </c>
      <c r="D744" s="25">
        <v>7.0860000000000003</v>
      </c>
      <c r="E744" s="26">
        <v>6.8</v>
      </c>
      <c r="F744" s="25">
        <v>4.5919999999999996</v>
      </c>
      <c r="G744" s="25">
        <v>460.55999800000001</v>
      </c>
      <c r="H744" s="25">
        <v>2193.6298830000001</v>
      </c>
      <c r="I744" s="19">
        <v>20660.130860000001</v>
      </c>
    </row>
    <row r="745" spans="1:9" x14ac:dyDescent="0.2">
      <c r="A745" s="4">
        <v>34549</v>
      </c>
      <c r="B745" s="24">
        <v>1.2337</v>
      </c>
      <c r="C745" s="25">
        <v>100.3</v>
      </c>
      <c r="D745" s="25">
        <v>7.0819999999999999</v>
      </c>
      <c r="E745" s="26">
        <v>6.77</v>
      </c>
      <c r="F745" s="25">
        <v>4.6269999999999998</v>
      </c>
      <c r="G745" s="25">
        <v>461.45001200000002</v>
      </c>
      <c r="H745" s="25">
        <v>2190.830078</v>
      </c>
      <c r="I745" s="19">
        <v>20632.730469999999</v>
      </c>
    </row>
    <row r="746" spans="1:9" x14ac:dyDescent="0.2">
      <c r="A746" s="4">
        <v>34550</v>
      </c>
      <c r="B746" s="24">
        <v>1.2325999999999999</v>
      </c>
      <c r="C746" s="25">
        <v>100.6</v>
      </c>
      <c r="D746" s="25">
        <v>7.1</v>
      </c>
      <c r="E746" s="26">
        <v>6.83</v>
      </c>
      <c r="F746" s="25">
        <v>4.7119999999999997</v>
      </c>
      <c r="G746" s="25">
        <v>458.39999399999999</v>
      </c>
      <c r="H746" s="25">
        <v>2176.6599120000001</v>
      </c>
      <c r="I746" s="19">
        <v>20676.839840000001</v>
      </c>
    </row>
    <row r="747" spans="1:9" x14ac:dyDescent="0.2">
      <c r="A747" s="4">
        <v>34551</v>
      </c>
      <c r="B747" s="24">
        <v>1.2317</v>
      </c>
      <c r="C747" s="25">
        <v>100.25</v>
      </c>
      <c r="D747" s="25">
        <v>7.2569999999999997</v>
      </c>
      <c r="E747" s="26">
        <v>6.86</v>
      </c>
      <c r="F747" s="25">
        <v>4.7779999999999996</v>
      </c>
      <c r="G747" s="25">
        <v>457.08999599999999</v>
      </c>
      <c r="H747" s="25">
        <v>2188.8100589999999</v>
      </c>
      <c r="I747" s="19">
        <v>20521.699219999999</v>
      </c>
    </row>
    <row r="748" spans="1:9" x14ac:dyDescent="0.2">
      <c r="A748" s="4">
        <v>34554</v>
      </c>
      <c r="B748" s="24">
        <v>1.2323</v>
      </c>
      <c r="C748" s="25">
        <v>101.51</v>
      </c>
      <c r="D748" s="25">
        <v>7.2569999999999997</v>
      </c>
      <c r="E748" s="26">
        <v>6.89</v>
      </c>
      <c r="F748" s="25">
        <v>4.8659999999999997</v>
      </c>
      <c r="G748" s="25">
        <v>457.89001500000001</v>
      </c>
      <c r="H748" s="25">
        <v>2182.320068</v>
      </c>
      <c r="I748" s="19">
        <v>20635.83008</v>
      </c>
    </row>
    <row r="749" spans="1:9" x14ac:dyDescent="0.2">
      <c r="A749" s="4">
        <v>34555</v>
      </c>
      <c r="B749" s="24">
        <v>1.2307999999999999</v>
      </c>
      <c r="C749" s="25">
        <v>101.32</v>
      </c>
      <c r="D749" s="25">
        <v>7.3019999999999996</v>
      </c>
      <c r="E749" s="26">
        <v>6.99</v>
      </c>
      <c r="F749" s="25">
        <v>4.9349999999999996</v>
      </c>
      <c r="G749" s="25">
        <v>457.92001299999998</v>
      </c>
      <c r="H749" s="25">
        <v>2160.5600589999999</v>
      </c>
      <c r="I749" s="19">
        <v>20590.220700000002</v>
      </c>
    </row>
    <row r="750" spans="1:9" x14ac:dyDescent="0.2">
      <c r="A750" s="4">
        <v>34556</v>
      </c>
      <c r="B750" s="24">
        <v>1.2349000000000001</v>
      </c>
      <c r="C750" s="25">
        <v>101.35</v>
      </c>
      <c r="D750" s="25">
        <v>7.3019999999999996</v>
      </c>
      <c r="E750" s="26">
        <v>7.02</v>
      </c>
      <c r="F750" s="25">
        <v>4.9349999999999996</v>
      </c>
      <c r="G750" s="25">
        <v>460.29998799999998</v>
      </c>
      <c r="H750" s="25">
        <v>2166.51001</v>
      </c>
      <c r="I750" s="19">
        <v>20770.25</v>
      </c>
    </row>
    <row r="751" spans="1:9" x14ac:dyDescent="0.2">
      <c r="A751" s="4">
        <v>34557</v>
      </c>
      <c r="B751" s="24">
        <v>1.2252000000000001</v>
      </c>
      <c r="C751" s="25">
        <v>100.25</v>
      </c>
      <c r="D751" s="25">
        <v>7.3440000000000003</v>
      </c>
      <c r="E751" s="26">
        <v>7</v>
      </c>
      <c r="F751" s="25">
        <v>4.8860000000000001</v>
      </c>
      <c r="G751" s="25">
        <v>458.88000499999998</v>
      </c>
      <c r="H751" s="25">
        <v>2156.3100589999999</v>
      </c>
      <c r="I751" s="19">
        <v>20821.359380000002</v>
      </c>
    </row>
    <row r="752" spans="1:9" x14ac:dyDescent="0.2">
      <c r="A752" s="4">
        <v>34558</v>
      </c>
      <c r="B752" s="24">
        <v>1.2445999999999999</v>
      </c>
      <c r="C752" s="25">
        <v>100.15</v>
      </c>
      <c r="D752" s="25">
        <v>7.2679999999999998</v>
      </c>
      <c r="E752" s="26">
        <v>7.29</v>
      </c>
      <c r="F752" s="25">
        <v>4.8860000000000001</v>
      </c>
      <c r="G752" s="25">
        <v>461.94000199999999</v>
      </c>
      <c r="H752" s="25">
        <v>2133.73999</v>
      </c>
      <c r="I752" s="19">
        <v>20663.83008</v>
      </c>
    </row>
    <row r="753" spans="1:9" x14ac:dyDescent="0.2">
      <c r="A753" s="4">
        <v>34561</v>
      </c>
      <c r="B753" s="24">
        <v>1.2470000000000001</v>
      </c>
      <c r="C753" s="25">
        <v>100.2</v>
      </c>
      <c r="D753" s="25">
        <v>7.2859999999999996</v>
      </c>
      <c r="E753" s="26">
        <v>7.21</v>
      </c>
      <c r="F753" s="25">
        <v>4.8650000000000002</v>
      </c>
      <c r="G753" s="25">
        <v>461.23001099999999</v>
      </c>
      <c r="H753" s="25">
        <v>2134.3400879999999</v>
      </c>
      <c r="I753" s="19">
        <v>20626.33008</v>
      </c>
    </row>
    <row r="754" spans="1:9" x14ac:dyDescent="0.2">
      <c r="A754" s="4">
        <v>34562</v>
      </c>
      <c r="B754" s="24">
        <v>1.2452000000000001</v>
      </c>
      <c r="C754" s="25">
        <v>100.58</v>
      </c>
      <c r="D754" s="25">
        <v>7.17</v>
      </c>
      <c r="E754" s="26">
        <v>7.2</v>
      </c>
      <c r="F754" s="25">
        <v>4.88</v>
      </c>
      <c r="G754" s="25">
        <v>465.01001000000002</v>
      </c>
      <c r="H754" s="25">
        <v>2152.6499020000001</v>
      </c>
      <c r="I754" s="19">
        <v>20786.359380000002</v>
      </c>
    </row>
    <row r="755" spans="1:9" x14ac:dyDescent="0.2">
      <c r="A755" s="4">
        <v>34563</v>
      </c>
      <c r="B755" s="24">
        <v>1.2430000000000001</v>
      </c>
      <c r="C755" s="25">
        <v>100.13</v>
      </c>
      <c r="D755" s="25">
        <v>7.1349999999999998</v>
      </c>
      <c r="E755" s="26">
        <v>7.11</v>
      </c>
      <c r="F755" s="25">
        <v>4.9059999999999997</v>
      </c>
      <c r="G755" s="25">
        <v>465.17001299999998</v>
      </c>
      <c r="H755" s="25">
        <v>2166.5600589999999</v>
      </c>
      <c r="I755" s="19">
        <v>20824.560549999998</v>
      </c>
    </row>
    <row r="756" spans="1:9" x14ac:dyDescent="0.2">
      <c r="A756" s="4">
        <v>34564</v>
      </c>
      <c r="B756" s="24">
        <v>1.2519</v>
      </c>
      <c r="C756" s="25">
        <v>98.58</v>
      </c>
      <c r="D756" s="25">
        <v>7.2679999999999998</v>
      </c>
      <c r="E756" s="26">
        <v>7.25</v>
      </c>
      <c r="F756" s="25">
        <v>4.8550000000000004</v>
      </c>
      <c r="G756" s="25">
        <v>463.17001299999998</v>
      </c>
      <c r="H756" s="25">
        <v>2151.4399410000001</v>
      </c>
      <c r="I756" s="19">
        <v>20862.769530000001</v>
      </c>
    </row>
    <row r="757" spans="1:9" x14ac:dyDescent="0.2">
      <c r="A757" s="4">
        <v>34565</v>
      </c>
      <c r="B757" s="24">
        <v>1.2586999999999999</v>
      </c>
      <c r="C757" s="25">
        <v>98.65</v>
      </c>
      <c r="D757" s="25">
        <v>7.2629999999999999</v>
      </c>
      <c r="E757" s="26">
        <v>7.22</v>
      </c>
      <c r="F757" s="25">
        <v>4.8010000000000002</v>
      </c>
      <c r="G757" s="25">
        <v>463.67999300000002</v>
      </c>
      <c r="H757" s="25">
        <v>2143.8400879999999</v>
      </c>
      <c r="I757" s="19">
        <v>20512.699219999999</v>
      </c>
    </row>
    <row r="758" spans="1:9" x14ac:dyDescent="0.2">
      <c r="A758" s="4">
        <v>34568</v>
      </c>
      <c r="B758" s="24">
        <v>1.266</v>
      </c>
      <c r="C758" s="25">
        <v>97.8</v>
      </c>
      <c r="D758" s="25">
        <v>7.3079999999999998</v>
      </c>
      <c r="E758" s="26">
        <v>7.3</v>
      </c>
      <c r="F758" s="25">
        <v>4.8559999999999999</v>
      </c>
      <c r="G758" s="25">
        <v>462.32000699999998</v>
      </c>
      <c r="H758" s="25">
        <v>2113.3701169999999</v>
      </c>
      <c r="I758" s="19">
        <v>20394.58008</v>
      </c>
    </row>
    <row r="759" spans="1:9" x14ac:dyDescent="0.2">
      <c r="A759" s="4">
        <v>34569</v>
      </c>
      <c r="B759" s="24">
        <v>1.2617</v>
      </c>
      <c r="C759" s="25">
        <v>97.88</v>
      </c>
      <c r="D759" s="25">
        <v>7.2720000000000002</v>
      </c>
      <c r="E759" s="26">
        <v>7.3</v>
      </c>
      <c r="F759" s="25">
        <v>4.835</v>
      </c>
      <c r="G759" s="25">
        <v>464.51001000000002</v>
      </c>
      <c r="H759" s="25">
        <v>2121.25</v>
      </c>
      <c r="I759" s="19">
        <v>20380.779299999998</v>
      </c>
    </row>
    <row r="760" spans="1:9" x14ac:dyDescent="0.2">
      <c r="A760" s="4">
        <v>34570</v>
      </c>
      <c r="B760" s="24">
        <v>1.2589999999999999</v>
      </c>
      <c r="C760" s="25">
        <v>99.02</v>
      </c>
      <c r="D760" s="25">
        <v>7.1959999999999997</v>
      </c>
      <c r="E760" s="26">
        <v>7.29</v>
      </c>
      <c r="F760" s="25">
        <v>4.87</v>
      </c>
      <c r="G760" s="25">
        <v>469.02999899999998</v>
      </c>
      <c r="H760" s="25">
        <v>2132.9799800000001</v>
      </c>
      <c r="I760" s="19">
        <v>20511.599610000001</v>
      </c>
    </row>
    <row r="761" spans="1:9" x14ac:dyDescent="0.2">
      <c r="A761" s="4">
        <v>34571</v>
      </c>
      <c r="B761" s="24">
        <v>1.2552000000000001</v>
      </c>
      <c r="C761" s="25">
        <v>99.7</v>
      </c>
      <c r="D761" s="25">
        <v>7.2720000000000002</v>
      </c>
      <c r="E761" s="26">
        <v>7.23</v>
      </c>
      <c r="F761" s="25">
        <v>4.8899999999999997</v>
      </c>
      <c r="G761" s="25">
        <v>468.07998700000002</v>
      </c>
      <c r="H761" s="25">
        <v>2153.4799800000001</v>
      </c>
      <c r="I761" s="19">
        <v>20443.289059999999</v>
      </c>
    </row>
    <row r="762" spans="1:9" x14ac:dyDescent="0.2">
      <c r="A762" s="4">
        <v>34572</v>
      </c>
      <c r="B762" s="24">
        <v>1.2426999999999999</v>
      </c>
      <c r="C762" s="25">
        <v>100.67</v>
      </c>
      <c r="D762" s="25">
        <v>7.2320000000000002</v>
      </c>
      <c r="E762" s="26">
        <v>7.26</v>
      </c>
      <c r="F762" s="25">
        <v>4.8949999999999996</v>
      </c>
      <c r="G762" s="25">
        <v>473.79998799999998</v>
      </c>
      <c r="H762" s="25">
        <v>2190.580078</v>
      </c>
      <c r="I762" s="19">
        <v>20471.490229999999</v>
      </c>
    </row>
    <row r="763" spans="1:9" x14ac:dyDescent="0.2">
      <c r="A763" s="4">
        <v>34575</v>
      </c>
      <c r="B763" s="24">
        <v>1.2426999999999999</v>
      </c>
      <c r="C763" s="25">
        <v>100.03</v>
      </c>
      <c r="D763" s="25">
        <v>7.2359999999999998</v>
      </c>
      <c r="E763" s="26">
        <v>7.18</v>
      </c>
      <c r="F763" s="25">
        <v>4.915</v>
      </c>
      <c r="G763" s="25">
        <v>474.58999599999999</v>
      </c>
      <c r="H763" s="25">
        <v>2215.719971</v>
      </c>
      <c r="I763" s="19">
        <v>20600.41992</v>
      </c>
    </row>
    <row r="764" spans="1:9" x14ac:dyDescent="0.2">
      <c r="A764" s="4">
        <v>34576</v>
      </c>
      <c r="B764" s="24">
        <v>1.2302999999999999</v>
      </c>
      <c r="C764" s="25">
        <v>99.58</v>
      </c>
      <c r="D764" s="25">
        <v>7.1909999999999998</v>
      </c>
      <c r="E764" s="26">
        <v>7.19</v>
      </c>
      <c r="F764" s="25">
        <v>4.9560000000000004</v>
      </c>
      <c r="G764" s="25">
        <v>476.07000699999998</v>
      </c>
      <c r="H764" s="25">
        <v>2205.820068</v>
      </c>
      <c r="I764" s="19">
        <v>20592.119139999999</v>
      </c>
    </row>
    <row r="765" spans="1:9" x14ac:dyDescent="0.2">
      <c r="A765" s="4">
        <v>34577</v>
      </c>
      <c r="B765" s="24">
        <v>1.2341</v>
      </c>
      <c r="C765" s="25">
        <v>100.05</v>
      </c>
      <c r="D765" s="25">
        <v>7.165</v>
      </c>
      <c r="E765" s="26">
        <v>7.21</v>
      </c>
      <c r="F765" s="25">
        <v>4.9509999999999996</v>
      </c>
      <c r="G765" s="25">
        <v>475.48998999999998</v>
      </c>
      <c r="H765" s="25">
        <v>2207.0900879999999</v>
      </c>
      <c r="I765" s="19">
        <v>20628.529299999998</v>
      </c>
    </row>
    <row r="766" spans="1:9" x14ac:dyDescent="0.2">
      <c r="A766" s="4">
        <v>34578</v>
      </c>
      <c r="B766" s="24">
        <v>1.2341</v>
      </c>
      <c r="C766" s="25">
        <v>99.81</v>
      </c>
      <c r="D766" s="25">
        <v>7.1740000000000004</v>
      </c>
      <c r="E766" s="26">
        <v>7.26</v>
      </c>
      <c r="F766" s="25">
        <v>4.9160000000000004</v>
      </c>
      <c r="G766" s="25">
        <v>473.17001299999998</v>
      </c>
      <c r="H766" s="25">
        <v>2185.780029</v>
      </c>
      <c r="I766" s="19">
        <v>20642.929690000001</v>
      </c>
    </row>
    <row r="767" spans="1:9" x14ac:dyDescent="0.2">
      <c r="A767" s="4">
        <v>34579</v>
      </c>
      <c r="B767" s="24">
        <v>1.2478</v>
      </c>
      <c r="C767" s="25">
        <v>99.13</v>
      </c>
      <c r="D767" s="25">
        <v>7.1959999999999997</v>
      </c>
      <c r="E767" s="26">
        <v>7.27</v>
      </c>
      <c r="F767" s="25">
        <v>4.9160000000000004</v>
      </c>
      <c r="G767" s="25">
        <v>470.98998999999998</v>
      </c>
      <c r="H767" s="25">
        <v>2197.3798830000001</v>
      </c>
      <c r="I767" s="19">
        <v>20653.83008</v>
      </c>
    </row>
    <row r="768" spans="1:9" x14ac:dyDescent="0.2">
      <c r="A768" s="4">
        <v>34582</v>
      </c>
      <c r="B768" s="24">
        <v>1.2502</v>
      </c>
      <c r="C768" s="25">
        <v>99.37</v>
      </c>
      <c r="D768" s="25">
        <v>7.1959999999999997</v>
      </c>
      <c r="E768" s="26">
        <v>7.39</v>
      </c>
      <c r="F768" s="25">
        <v>4.87</v>
      </c>
      <c r="G768" s="25">
        <v>466.21</v>
      </c>
      <c r="H768" s="25">
        <v>2173.6000979999999</v>
      </c>
      <c r="I768" s="19">
        <v>20409.179690000001</v>
      </c>
    </row>
    <row r="769" spans="1:9" x14ac:dyDescent="0.2">
      <c r="A769" s="4">
        <v>34583</v>
      </c>
      <c r="B769" s="24">
        <v>1.2583</v>
      </c>
      <c r="C769" s="25">
        <v>98.68</v>
      </c>
      <c r="D769" s="25">
        <v>7.2530000000000001</v>
      </c>
      <c r="E769" s="26">
        <v>7.43</v>
      </c>
      <c r="F769" s="25">
        <v>4.8259999999999996</v>
      </c>
      <c r="G769" s="25">
        <v>471.85998499999999</v>
      </c>
      <c r="H769" s="25">
        <v>2158.070068</v>
      </c>
      <c r="I769" s="19">
        <v>20393.980469999999</v>
      </c>
    </row>
    <row r="770" spans="1:9" x14ac:dyDescent="0.2">
      <c r="A770" s="4">
        <v>34584</v>
      </c>
      <c r="B770" s="24">
        <v>1.252</v>
      </c>
      <c r="C770" s="25">
        <v>99.44</v>
      </c>
      <c r="D770" s="25">
        <v>7.2850000000000001</v>
      </c>
      <c r="E770" s="26">
        <v>7.48</v>
      </c>
      <c r="F770" s="25">
        <v>4.726</v>
      </c>
      <c r="G770" s="25">
        <v>470.98998999999998</v>
      </c>
      <c r="H770" s="25">
        <v>2167.679932</v>
      </c>
      <c r="I770" s="19">
        <v>20023.800780000001</v>
      </c>
    </row>
    <row r="771" spans="1:9" x14ac:dyDescent="0.2">
      <c r="A771" s="4">
        <v>34585</v>
      </c>
      <c r="B771" s="24">
        <v>1.2472000000000001</v>
      </c>
      <c r="C771" s="25">
        <v>99.55</v>
      </c>
      <c r="D771" s="25">
        <v>7.2850000000000001</v>
      </c>
      <c r="E771" s="26">
        <v>7.48</v>
      </c>
      <c r="F771" s="25">
        <v>4.7450000000000001</v>
      </c>
      <c r="G771" s="25">
        <v>473.14001500000001</v>
      </c>
      <c r="H771" s="25">
        <v>2178.1000979999999</v>
      </c>
      <c r="I771" s="19">
        <v>19917.779299999998</v>
      </c>
    </row>
    <row r="772" spans="1:9" x14ac:dyDescent="0.2">
      <c r="A772" s="4">
        <v>34586</v>
      </c>
      <c r="B772" s="24">
        <v>1.2591000000000001</v>
      </c>
      <c r="C772" s="25">
        <v>99.18</v>
      </c>
      <c r="D772" s="25">
        <v>7.4290000000000003</v>
      </c>
      <c r="E772" s="26">
        <v>7.46</v>
      </c>
      <c r="F772" s="25">
        <v>4.6760000000000002</v>
      </c>
      <c r="G772" s="25">
        <v>468.17999300000002</v>
      </c>
      <c r="H772" s="25">
        <v>2155.580078</v>
      </c>
      <c r="I772" s="19">
        <v>19897.880860000001</v>
      </c>
    </row>
    <row r="773" spans="1:9" x14ac:dyDescent="0.2">
      <c r="A773" s="4">
        <v>34589</v>
      </c>
      <c r="B773" s="24">
        <v>1.258</v>
      </c>
      <c r="C773" s="25">
        <v>99.25</v>
      </c>
      <c r="D773" s="25">
        <v>7.4429999999999996</v>
      </c>
      <c r="E773" s="26">
        <v>7.59</v>
      </c>
      <c r="F773" s="25">
        <v>4.7249999999999996</v>
      </c>
      <c r="G773" s="25">
        <v>466.209991</v>
      </c>
      <c r="H773" s="25">
        <v>2155.8100589999999</v>
      </c>
      <c r="I773" s="19">
        <v>19917.279299999998</v>
      </c>
    </row>
    <row r="774" spans="1:9" x14ac:dyDescent="0.2">
      <c r="A774" s="4">
        <v>34590</v>
      </c>
      <c r="B774" s="24">
        <v>1.2542</v>
      </c>
      <c r="C774" s="25">
        <v>98.77</v>
      </c>
      <c r="D774" s="25">
        <v>7.4240000000000004</v>
      </c>
      <c r="E774" s="26">
        <v>7.58</v>
      </c>
      <c r="F774" s="25">
        <v>4.7050000000000001</v>
      </c>
      <c r="G774" s="25">
        <v>467.51001000000002</v>
      </c>
      <c r="H774" s="25">
        <v>2157.1499020000001</v>
      </c>
      <c r="I774" s="19">
        <v>20046.109380000002</v>
      </c>
    </row>
    <row r="775" spans="1:9" x14ac:dyDescent="0.2">
      <c r="A775" s="4">
        <v>34591</v>
      </c>
      <c r="B775" s="24">
        <v>1.2627999999999999</v>
      </c>
      <c r="C775" s="25">
        <v>99.2</v>
      </c>
      <c r="D775" s="25">
        <v>7.3929999999999998</v>
      </c>
      <c r="E775" s="26">
        <v>7.55</v>
      </c>
      <c r="F775" s="25">
        <v>4.7160000000000002</v>
      </c>
      <c r="G775" s="25">
        <v>468.79998799999998</v>
      </c>
      <c r="H775" s="25">
        <v>2118.169922</v>
      </c>
      <c r="I775" s="19">
        <v>19919.380860000001</v>
      </c>
    </row>
    <row r="776" spans="1:9" x14ac:dyDescent="0.2">
      <c r="A776" s="4">
        <v>34592</v>
      </c>
      <c r="B776" s="24">
        <v>1.2563</v>
      </c>
      <c r="C776" s="25">
        <v>99.5</v>
      </c>
      <c r="D776" s="25">
        <v>7.3380000000000001</v>
      </c>
      <c r="E776" s="26">
        <v>7.56</v>
      </c>
      <c r="F776" s="25">
        <v>4.7160000000000002</v>
      </c>
      <c r="G776" s="25">
        <v>474.80999800000001</v>
      </c>
      <c r="H776" s="25">
        <v>2129.360107</v>
      </c>
      <c r="I776" s="19">
        <v>19919.380860000001</v>
      </c>
    </row>
    <row r="777" spans="1:9" x14ac:dyDescent="0.2">
      <c r="A777" s="4">
        <v>34593</v>
      </c>
      <c r="B777" s="24">
        <v>1.2645</v>
      </c>
      <c r="C777" s="25">
        <v>98.95</v>
      </c>
      <c r="D777" s="25">
        <v>7.5069999999999997</v>
      </c>
      <c r="E777" s="26">
        <v>7.55</v>
      </c>
      <c r="F777" s="25">
        <v>4.7149999999999999</v>
      </c>
      <c r="G777" s="25">
        <v>471.19000199999999</v>
      </c>
      <c r="H777" s="25">
        <v>2097.4499510000001</v>
      </c>
      <c r="I777" s="19">
        <v>19796.259770000001</v>
      </c>
    </row>
    <row r="778" spans="1:9" x14ac:dyDescent="0.2">
      <c r="A778" s="4">
        <v>34596</v>
      </c>
      <c r="B778" s="24">
        <v>1.2527999999999999</v>
      </c>
      <c r="C778" s="25">
        <v>98.5</v>
      </c>
      <c r="D778" s="25">
        <v>7.4749999999999996</v>
      </c>
      <c r="E778" s="26">
        <v>7.64</v>
      </c>
      <c r="F778" s="25">
        <v>4.72</v>
      </c>
      <c r="G778" s="25">
        <v>470.85000600000001</v>
      </c>
      <c r="H778" s="25">
        <v>2100.5500489999999</v>
      </c>
      <c r="I778" s="19">
        <v>19554.109380000002</v>
      </c>
    </row>
    <row r="779" spans="1:9" x14ac:dyDescent="0.2">
      <c r="A779" s="4">
        <v>34597</v>
      </c>
      <c r="B779" s="24">
        <v>1.2555000000000001</v>
      </c>
      <c r="C779" s="25">
        <v>97.6</v>
      </c>
      <c r="D779" s="25">
        <v>7.5110000000000001</v>
      </c>
      <c r="E779" s="26">
        <v>7.72</v>
      </c>
      <c r="F779" s="25">
        <v>4.7060000000000004</v>
      </c>
      <c r="G779" s="25">
        <v>463.35998499999999</v>
      </c>
      <c r="H779" s="25">
        <v>2059.1499020000001</v>
      </c>
      <c r="I779" s="19">
        <v>19837.269530000001</v>
      </c>
    </row>
    <row r="780" spans="1:9" x14ac:dyDescent="0.2">
      <c r="A780" s="4">
        <v>34598</v>
      </c>
      <c r="B780" s="24">
        <v>1.2601</v>
      </c>
      <c r="C780" s="25">
        <v>97.75</v>
      </c>
      <c r="D780" s="25">
        <v>7.5529999999999999</v>
      </c>
      <c r="E780" s="26">
        <v>7.66</v>
      </c>
      <c r="F780" s="25">
        <v>4.6609999999999996</v>
      </c>
      <c r="G780" s="25">
        <v>461.459991</v>
      </c>
      <c r="H780" s="25">
        <v>2067.169922</v>
      </c>
      <c r="I780" s="19">
        <v>19885.380860000001</v>
      </c>
    </row>
    <row r="781" spans="1:9" x14ac:dyDescent="0.2">
      <c r="A781" s="4">
        <v>34599</v>
      </c>
      <c r="B781" s="24">
        <v>1.256</v>
      </c>
      <c r="C781" s="25">
        <v>98.03</v>
      </c>
      <c r="D781" s="25">
        <v>7.5430000000000001</v>
      </c>
      <c r="E781" s="26">
        <v>7.69</v>
      </c>
      <c r="F781" s="25">
        <v>4.6449999999999996</v>
      </c>
      <c r="G781" s="25">
        <v>461.26998900000001</v>
      </c>
      <c r="H781" s="25">
        <v>2072.8100589999999</v>
      </c>
      <c r="I781" s="19">
        <v>19833.66992</v>
      </c>
    </row>
    <row r="782" spans="1:9" x14ac:dyDescent="0.2">
      <c r="A782" s="4">
        <v>34600</v>
      </c>
      <c r="B782" s="24">
        <v>1.2599</v>
      </c>
      <c r="C782" s="25">
        <v>97.85</v>
      </c>
      <c r="D782" s="25">
        <v>7.5529999999999999</v>
      </c>
      <c r="E782" s="26">
        <v>7.6</v>
      </c>
      <c r="F782" s="25">
        <v>4.6449999999999996</v>
      </c>
      <c r="G782" s="25">
        <v>459.67001299999998</v>
      </c>
      <c r="H782" s="25">
        <v>2097.330078</v>
      </c>
      <c r="I782" s="19">
        <v>19833.66992</v>
      </c>
    </row>
    <row r="783" spans="1:9" x14ac:dyDescent="0.2">
      <c r="A783" s="4">
        <v>34603</v>
      </c>
      <c r="B783" s="24">
        <v>1.2524</v>
      </c>
      <c r="C783" s="25">
        <v>98.75</v>
      </c>
      <c r="D783" s="25">
        <v>7.5570000000000004</v>
      </c>
      <c r="E783" s="26">
        <v>7.57</v>
      </c>
      <c r="F783" s="25">
        <v>4.66</v>
      </c>
      <c r="G783" s="25">
        <v>460.82000699999998</v>
      </c>
      <c r="H783" s="25">
        <v>2057.830078</v>
      </c>
      <c r="I783" s="19">
        <v>19814.359380000002</v>
      </c>
    </row>
    <row r="784" spans="1:9" x14ac:dyDescent="0.2">
      <c r="A784" s="4">
        <v>34604</v>
      </c>
      <c r="B784" s="24">
        <v>1.2586999999999999</v>
      </c>
      <c r="C784" s="25">
        <v>98</v>
      </c>
      <c r="D784" s="25">
        <v>7.59</v>
      </c>
      <c r="E784" s="26">
        <v>7.59</v>
      </c>
      <c r="F784" s="25">
        <v>4.641</v>
      </c>
      <c r="G784" s="25">
        <v>462.04998799999998</v>
      </c>
      <c r="H784" s="25">
        <v>2056.889893</v>
      </c>
      <c r="I784" s="19">
        <v>19468.890630000002</v>
      </c>
    </row>
    <row r="785" spans="1:9" x14ac:dyDescent="0.2">
      <c r="A785" s="4">
        <v>34605</v>
      </c>
      <c r="B785" s="24">
        <v>1.2591000000000001</v>
      </c>
      <c r="C785" s="25">
        <v>98.95</v>
      </c>
      <c r="D785" s="25">
        <v>7.5529999999999999</v>
      </c>
      <c r="E785" s="26">
        <v>7.51</v>
      </c>
      <c r="F785" s="25">
        <v>4.6349999999999998</v>
      </c>
      <c r="G785" s="25">
        <v>464.83999599999999</v>
      </c>
      <c r="H785" s="25">
        <v>2070.360107</v>
      </c>
      <c r="I785" s="19">
        <v>19507.599610000001</v>
      </c>
    </row>
    <row r="786" spans="1:9" x14ac:dyDescent="0.2">
      <c r="A786" s="4">
        <v>34606</v>
      </c>
      <c r="B786" s="24">
        <v>1.2602</v>
      </c>
      <c r="C786" s="25">
        <v>98.55</v>
      </c>
      <c r="D786" s="25">
        <v>7.617</v>
      </c>
      <c r="E786" s="26">
        <v>7.51</v>
      </c>
      <c r="F786" s="25">
        <v>4.67</v>
      </c>
      <c r="G786" s="25">
        <v>462.23998999999998</v>
      </c>
      <c r="H786" s="25">
        <v>2016.079956</v>
      </c>
      <c r="I786" s="19">
        <v>19615.119139999999</v>
      </c>
    </row>
    <row r="787" spans="1:9" x14ac:dyDescent="0.2">
      <c r="A787" s="4">
        <v>34607</v>
      </c>
      <c r="B787" s="24">
        <v>1.2561</v>
      </c>
      <c r="C787" s="25">
        <v>99.15</v>
      </c>
      <c r="D787" s="25">
        <v>7.5990000000000002</v>
      </c>
      <c r="E787" s="26">
        <v>7.57</v>
      </c>
      <c r="F787" s="25">
        <v>4.7</v>
      </c>
      <c r="G787" s="25">
        <v>462.709991</v>
      </c>
      <c r="H787" s="25">
        <v>2002.3000489999999</v>
      </c>
      <c r="I787" s="19">
        <v>19563.810549999998</v>
      </c>
    </row>
    <row r="788" spans="1:9" x14ac:dyDescent="0.2">
      <c r="A788" s="4">
        <v>34610</v>
      </c>
      <c r="B788" s="24">
        <v>1.2517</v>
      </c>
      <c r="C788" s="25">
        <v>99.58</v>
      </c>
      <c r="D788" s="25">
        <v>7.65</v>
      </c>
      <c r="E788" s="26">
        <v>7.59</v>
      </c>
      <c r="F788" s="25">
        <v>4.74</v>
      </c>
      <c r="G788" s="25">
        <v>461.73998999999998</v>
      </c>
      <c r="H788" s="25">
        <v>2002.3000489999999</v>
      </c>
      <c r="I788" s="19">
        <v>19650.029299999998</v>
      </c>
    </row>
    <row r="789" spans="1:9" x14ac:dyDescent="0.2">
      <c r="A789" s="4">
        <v>34611</v>
      </c>
      <c r="B789" s="24">
        <v>1.2552000000000001</v>
      </c>
      <c r="C789" s="25">
        <v>99.66</v>
      </c>
      <c r="D789" s="25">
        <v>7.6779999999999999</v>
      </c>
      <c r="E789" s="26">
        <v>7.71</v>
      </c>
      <c r="F789" s="25">
        <v>4.7350000000000003</v>
      </c>
      <c r="G789" s="25">
        <v>454.58999599999999</v>
      </c>
      <c r="H789" s="25">
        <v>1988.670044</v>
      </c>
      <c r="I789" s="19">
        <v>19568.609380000002</v>
      </c>
    </row>
    <row r="790" spans="1:9" x14ac:dyDescent="0.2">
      <c r="A790" s="4">
        <v>34612</v>
      </c>
      <c r="B790" s="24">
        <v>1.2608999999999999</v>
      </c>
      <c r="C790" s="25">
        <v>99.61</v>
      </c>
      <c r="D790" s="25">
        <v>7.7480000000000002</v>
      </c>
      <c r="E790" s="26">
        <v>7.76</v>
      </c>
      <c r="F790" s="25">
        <v>4.7850000000000001</v>
      </c>
      <c r="G790" s="25">
        <v>453.51998900000001</v>
      </c>
      <c r="H790" s="25">
        <v>1946.48999</v>
      </c>
      <c r="I790" s="19">
        <v>19751.550780000001</v>
      </c>
    </row>
    <row r="791" spans="1:9" x14ac:dyDescent="0.2">
      <c r="A791" s="4">
        <v>34613</v>
      </c>
      <c r="B791" s="24">
        <v>1.2599</v>
      </c>
      <c r="C791" s="25">
        <v>99.87</v>
      </c>
      <c r="D791" s="25">
        <v>7.7530000000000001</v>
      </c>
      <c r="E791" s="26">
        <v>7.73</v>
      </c>
      <c r="F791" s="25">
        <v>4.806</v>
      </c>
      <c r="G791" s="25">
        <v>452.35998499999999</v>
      </c>
      <c r="H791" s="25">
        <v>1965.410034</v>
      </c>
      <c r="I791" s="19">
        <v>19655.230469999999</v>
      </c>
    </row>
    <row r="792" spans="1:9" x14ac:dyDescent="0.2">
      <c r="A792" s="4">
        <v>34614</v>
      </c>
      <c r="B792" s="24">
        <v>1.2623</v>
      </c>
      <c r="C792" s="25">
        <v>100.65</v>
      </c>
      <c r="D792" s="25">
        <v>7.6829999999999998</v>
      </c>
      <c r="E792" s="26">
        <v>7.81</v>
      </c>
      <c r="F792" s="25">
        <v>4.9050000000000002</v>
      </c>
      <c r="G792" s="25">
        <v>455.10000600000001</v>
      </c>
      <c r="H792" s="25">
        <v>1977.670044</v>
      </c>
      <c r="I792" s="19">
        <v>19744.75</v>
      </c>
    </row>
    <row r="793" spans="1:9" x14ac:dyDescent="0.2">
      <c r="A793" s="4">
        <v>34617</v>
      </c>
      <c r="B793" s="24">
        <v>1.2552000000000001</v>
      </c>
      <c r="C793" s="25">
        <v>100.3</v>
      </c>
      <c r="D793" s="25">
        <v>7.6829999999999998</v>
      </c>
      <c r="E793" s="26">
        <v>7.68</v>
      </c>
      <c r="F793" s="25">
        <v>4.9050000000000002</v>
      </c>
      <c r="G793" s="25">
        <v>459.040009</v>
      </c>
      <c r="H793" s="25">
        <v>2048.5600589999999</v>
      </c>
      <c r="I793" s="19">
        <v>19744.75</v>
      </c>
    </row>
    <row r="794" spans="1:9" x14ac:dyDescent="0.2">
      <c r="A794" s="4">
        <v>34618</v>
      </c>
      <c r="B794" s="24">
        <v>1.2567999999999999</v>
      </c>
      <c r="C794" s="25">
        <v>100.2</v>
      </c>
      <c r="D794" s="25">
        <v>7.6230000000000002</v>
      </c>
      <c r="E794" s="26">
        <v>7.6</v>
      </c>
      <c r="F794" s="25">
        <v>4.891</v>
      </c>
      <c r="G794" s="25">
        <v>465.790009</v>
      </c>
      <c r="H794" s="25">
        <v>2087.709961</v>
      </c>
      <c r="I794" s="19">
        <v>19821.460940000001</v>
      </c>
    </row>
    <row r="795" spans="1:9" x14ac:dyDescent="0.2">
      <c r="A795" s="4">
        <v>34619</v>
      </c>
      <c r="B795" s="24">
        <v>1.2606999999999999</v>
      </c>
      <c r="C795" s="25">
        <v>99.7</v>
      </c>
      <c r="D795" s="25">
        <v>7.6740000000000004</v>
      </c>
      <c r="E795" s="26">
        <v>7.57</v>
      </c>
      <c r="F795" s="25">
        <v>4.9109999999999996</v>
      </c>
      <c r="G795" s="25">
        <v>465.47000100000002</v>
      </c>
      <c r="H795" s="25">
        <v>2072.679932</v>
      </c>
      <c r="I795" s="19">
        <v>20089.720700000002</v>
      </c>
    </row>
    <row r="796" spans="1:9" x14ac:dyDescent="0.2">
      <c r="A796" s="4">
        <v>34620</v>
      </c>
      <c r="B796" s="24">
        <v>1.2605999999999999</v>
      </c>
      <c r="C796" s="25">
        <v>99.35</v>
      </c>
      <c r="D796" s="25">
        <v>7.6230000000000002</v>
      </c>
      <c r="E796" s="26">
        <v>7.56</v>
      </c>
      <c r="F796" s="25">
        <v>4.9260000000000002</v>
      </c>
      <c r="G796" s="25">
        <v>467.790009</v>
      </c>
      <c r="H796" s="25">
        <v>2108.080078</v>
      </c>
      <c r="I796" s="19">
        <v>20148.83008</v>
      </c>
    </row>
    <row r="797" spans="1:9" x14ac:dyDescent="0.2">
      <c r="A797" s="4">
        <v>34621</v>
      </c>
      <c r="B797" s="24">
        <v>1.2783</v>
      </c>
      <c r="C797" s="25">
        <v>98.25</v>
      </c>
      <c r="D797" s="25">
        <v>7.59</v>
      </c>
      <c r="E797" s="26">
        <v>7.44</v>
      </c>
      <c r="F797" s="25">
        <v>4.8449999999999998</v>
      </c>
      <c r="G797" s="25">
        <v>469.10000600000001</v>
      </c>
      <c r="H797" s="25">
        <v>2118.5200199999999</v>
      </c>
      <c r="I797" s="19">
        <v>19969.289059999999</v>
      </c>
    </row>
    <row r="798" spans="1:9" x14ac:dyDescent="0.2">
      <c r="A798" s="4">
        <v>34624</v>
      </c>
      <c r="B798" s="24">
        <v>1.2909999999999999</v>
      </c>
      <c r="C798" s="25">
        <v>97.72</v>
      </c>
      <c r="D798" s="25">
        <v>7.6</v>
      </c>
      <c r="E798" s="26">
        <v>7.34</v>
      </c>
      <c r="F798" s="25">
        <v>4.8410000000000002</v>
      </c>
      <c r="G798" s="25">
        <v>468.959991</v>
      </c>
      <c r="H798" s="25">
        <v>2095.580078</v>
      </c>
      <c r="I798" s="19">
        <v>19958.289059999999</v>
      </c>
    </row>
    <row r="799" spans="1:9" x14ac:dyDescent="0.2">
      <c r="A799" s="4">
        <v>34625</v>
      </c>
      <c r="B799" s="24">
        <v>1.2937000000000001</v>
      </c>
      <c r="C799" s="25">
        <v>97.75</v>
      </c>
      <c r="D799" s="25">
        <v>7.6139999999999999</v>
      </c>
      <c r="E799" s="26">
        <v>7.33</v>
      </c>
      <c r="F799" s="25">
        <v>4.87</v>
      </c>
      <c r="G799" s="25">
        <v>467.66000400000001</v>
      </c>
      <c r="H799" s="25">
        <v>2069.580078</v>
      </c>
      <c r="I799" s="19">
        <v>19992.400389999999</v>
      </c>
    </row>
    <row r="800" spans="1:9" x14ac:dyDescent="0.2">
      <c r="A800" s="4">
        <v>34626</v>
      </c>
      <c r="B800" s="24">
        <v>1.2937000000000001</v>
      </c>
      <c r="C800" s="25">
        <v>97.4</v>
      </c>
      <c r="D800" s="25">
        <v>7.6509999999999998</v>
      </c>
      <c r="E800" s="26">
        <v>7.37</v>
      </c>
      <c r="F800" s="25">
        <v>4.8410000000000002</v>
      </c>
      <c r="G800" s="25">
        <v>470.27999899999998</v>
      </c>
      <c r="H800" s="25">
        <v>2058.1298830000001</v>
      </c>
      <c r="I800" s="19">
        <v>19868.869139999999</v>
      </c>
    </row>
    <row r="801" spans="1:9" x14ac:dyDescent="0.2">
      <c r="A801" s="4">
        <v>34627</v>
      </c>
      <c r="B801" s="24">
        <v>1.2931999999999999</v>
      </c>
      <c r="C801" s="25">
        <v>97.03</v>
      </c>
      <c r="D801" s="25">
        <v>7.7830000000000004</v>
      </c>
      <c r="E801" s="26">
        <v>7.39</v>
      </c>
      <c r="F801" s="25">
        <v>4.87</v>
      </c>
      <c r="G801" s="25">
        <v>466.85000600000001</v>
      </c>
      <c r="H801" s="25">
        <v>2048.1499020000001</v>
      </c>
      <c r="I801" s="19">
        <v>19991.900389999999</v>
      </c>
    </row>
    <row r="802" spans="1:9" x14ac:dyDescent="0.2">
      <c r="A802" s="4">
        <v>34628</v>
      </c>
      <c r="B802" s="24">
        <v>1.2975000000000001</v>
      </c>
      <c r="C802" s="25">
        <v>97.23</v>
      </c>
      <c r="D802" s="25">
        <v>7.7830000000000004</v>
      </c>
      <c r="E802" s="26">
        <v>7.5</v>
      </c>
      <c r="F802" s="25">
        <v>4.83</v>
      </c>
      <c r="G802" s="25">
        <v>464.89001500000001</v>
      </c>
      <c r="H802" s="25">
        <v>2016.599976</v>
      </c>
      <c r="I802" s="19">
        <v>19899.08008</v>
      </c>
    </row>
    <row r="803" spans="1:9" x14ac:dyDescent="0.2">
      <c r="A803" s="4">
        <v>34631</v>
      </c>
      <c r="B803" s="24">
        <v>1.2965</v>
      </c>
      <c r="C803" s="25">
        <v>97.13</v>
      </c>
      <c r="D803" s="25">
        <v>7.83</v>
      </c>
      <c r="E803" s="26">
        <v>7.5</v>
      </c>
      <c r="F803" s="25">
        <v>4.9000000000000004</v>
      </c>
      <c r="G803" s="25">
        <v>460.82998700000002</v>
      </c>
      <c r="H803" s="25">
        <v>2022.6400149999999</v>
      </c>
      <c r="I803" s="19">
        <v>19852.369139999999</v>
      </c>
    </row>
    <row r="804" spans="1:9" x14ac:dyDescent="0.2">
      <c r="A804" s="4">
        <v>34632</v>
      </c>
      <c r="B804" s="24">
        <v>1.3007</v>
      </c>
      <c r="C804" s="25">
        <v>96.82</v>
      </c>
      <c r="D804" s="25">
        <v>7.859</v>
      </c>
      <c r="E804" s="26">
        <v>7.62</v>
      </c>
      <c r="F804" s="25">
        <v>4.8959999999999999</v>
      </c>
      <c r="G804" s="25">
        <v>461.52999899999998</v>
      </c>
      <c r="H804" s="25">
        <v>1995.849976</v>
      </c>
      <c r="I804" s="19">
        <v>19732.150389999999</v>
      </c>
    </row>
    <row r="805" spans="1:9" x14ac:dyDescent="0.2">
      <c r="A805" s="4">
        <v>34633</v>
      </c>
      <c r="B805" s="24">
        <v>1.2991999999999999</v>
      </c>
      <c r="C805" s="25">
        <v>96.83</v>
      </c>
      <c r="D805" s="25">
        <v>7.859</v>
      </c>
      <c r="E805" s="26">
        <v>7.65</v>
      </c>
      <c r="F805" s="25">
        <v>4.8780000000000001</v>
      </c>
      <c r="G805" s="25">
        <v>462.61999500000002</v>
      </c>
      <c r="H805" s="25">
        <v>2009.4499510000001</v>
      </c>
      <c r="I805" s="19">
        <v>19746.349610000001</v>
      </c>
    </row>
    <row r="806" spans="1:9" x14ac:dyDescent="0.2">
      <c r="A806" s="4">
        <v>34634</v>
      </c>
      <c r="B806" s="24">
        <v>1.298</v>
      </c>
      <c r="C806" s="25">
        <v>97.03</v>
      </c>
      <c r="D806" s="25">
        <v>7.859</v>
      </c>
      <c r="E806" s="26">
        <v>7.68</v>
      </c>
      <c r="F806" s="25">
        <v>4.8849999999999998</v>
      </c>
      <c r="G806" s="25">
        <v>465.85000600000001</v>
      </c>
      <c r="H806" s="25">
        <v>2026.369995</v>
      </c>
      <c r="I806" s="19">
        <v>19796.359380000002</v>
      </c>
    </row>
    <row r="807" spans="1:9" x14ac:dyDescent="0.2">
      <c r="A807" s="4">
        <v>34635</v>
      </c>
      <c r="B807" s="24">
        <v>1.2871999999999999</v>
      </c>
      <c r="C807" s="25">
        <v>97.28</v>
      </c>
      <c r="D807" s="25">
        <v>7.7930000000000001</v>
      </c>
      <c r="E807" s="26">
        <v>7.65</v>
      </c>
      <c r="F807" s="25">
        <v>4.8650000000000002</v>
      </c>
      <c r="G807" s="25">
        <v>473.76998900000001</v>
      </c>
      <c r="H807" s="25">
        <v>2064.860107</v>
      </c>
      <c r="I807" s="19">
        <v>19805.160159999999</v>
      </c>
    </row>
    <row r="808" spans="1:9" x14ac:dyDescent="0.2">
      <c r="A808" s="4">
        <v>34638</v>
      </c>
      <c r="B808" s="24">
        <v>1.288</v>
      </c>
      <c r="C808" s="25">
        <v>96.96</v>
      </c>
      <c r="D808" s="25">
        <v>7.7930000000000001</v>
      </c>
      <c r="E808" s="26">
        <v>7.56</v>
      </c>
      <c r="F808" s="25">
        <v>4.83</v>
      </c>
      <c r="G808" s="25">
        <v>472.35000600000001</v>
      </c>
      <c r="H808" s="25">
        <v>2061.580078</v>
      </c>
      <c r="I808" s="19">
        <v>19989.599610000001</v>
      </c>
    </row>
    <row r="809" spans="1:9" x14ac:dyDescent="0.2">
      <c r="A809" s="4">
        <v>34639</v>
      </c>
      <c r="B809" s="24">
        <v>1.2943</v>
      </c>
      <c r="C809" s="25">
        <v>96.61</v>
      </c>
      <c r="D809" s="25">
        <v>7.8929999999999998</v>
      </c>
      <c r="E809" s="26">
        <v>7.62</v>
      </c>
      <c r="F809" s="25">
        <v>4.8209999999999997</v>
      </c>
      <c r="G809" s="25">
        <v>468.42001299999998</v>
      </c>
      <c r="H809" s="25">
        <v>2066.179932</v>
      </c>
      <c r="I809" s="19">
        <v>19916.480469999999</v>
      </c>
    </row>
    <row r="810" spans="1:9" x14ac:dyDescent="0.2">
      <c r="A810" s="4">
        <v>34640</v>
      </c>
      <c r="B810" s="24">
        <v>1.2975000000000001</v>
      </c>
      <c r="C810" s="25">
        <v>97.53</v>
      </c>
      <c r="D810" s="25">
        <v>7.9269999999999996</v>
      </c>
      <c r="E810" s="26">
        <v>7.67</v>
      </c>
      <c r="F810" s="25">
        <v>4.8159999999999998</v>
      </c>
      <c r="G810" s="25">
        <v>466.51001000000002</v>
      </c>
      <c r="H810" s="25">
        <v>2039.910034</v>
      </c>
      <c r="I810" s="19">
        <v>19750.650389999999</v>
      </c>
    </row>
    <row r="811" spans="1:9" x14ac:dyDescent="0.2">
      <c r="A811" s="4">
        <v>34641</v>
      </c>
      <c r="B811" s="24">
        <v>1.2811999999999999</v>
      </c>
      <c r="C811" s="25">
        <v>97.63</v>
      </c>
      <c r="D811" s="25">
        <v>7.9459999999999997</v>
      </c>
      <c r="E811" s="26">
        <v>7.7</v>
      </c>
      <c r="F811" s="25">
        <v>4.8159999999999998</v>
      </c>
      <c r="G811" s="25">
        <v>467.91000400000001</v>
      </c>
      <c r="H811" s="25">
        <v>2061.3701169999999</v>
      </c>
      <c r="I811" s="19">
        <v>19750.650389999999</v>
      </c>
    </row>
    <row r="812" spans="1:9" x14ac:dyDescent="0.2">
      <c r="A812" s="4">
        <v>34642</v>
      </c>
      <c r="B812" s="24">
        <v>1.2724</v>
      </c>
      <c r="C812" s="25">
        <v>97.45</v>
      </c>
      <c r="D812" s="25">
        <v>8.0139999999999993</v>
      </c>
      <c r="E812" s="26">
        <v>7.63</v>
      </c>
      <c r="F812" s="25">
        <v>4.851</v>
      </c>
      <c r="G812" s="25">
        <v>462.27999899999998</v>
      </c>
      <c r="H812" s="25">
        <v>2069.389893</v>
      </c>
      <c r="I812" s="19">
        <v>19811.560549999998</v>
      </c>
    </row>
    <row r="813" spans="1:9" x14ac:dyDescent="0.2">
      <c r="A813" s="4">
        <v>34645</v>
      </c>
      <c r="B813" s="24">
        <v>1.2785</v>
      </c>
      <c r="C813" s="25">
        <v>97.38</v>
      </c>
      <c r="D813" s="25">
        <v>8.0229999999999997</v>
      </c>
      <c r="E813" s="26">
        <v>7.64</v>
      </c>
      <c r="F813" s="25">
        <v>4.8609999999999998</v>
      </c>
      <c r="G813" s="25">
        <v>463.07000699999998</v>
      </c>
      <c r="H813" s="25">
        <v>2043.3000489999999</v>
      </c>
      <c r="I813" s="19">
        <v>19619.220700000002</v>
      </c>
    </row>
    <row r="814" spans="1:9" x14ac:dyDescent="0.2">
      <c r="A814" s="4">
        <v>34646</v>
      </c>
      <c r="B814" s="24">
        <v>1.2847</v>
      </c>
      <c r="C814" s="25">
        <v>97.1</v>
      </c>
      <c r="D814" s="25">
        <v>7.9850000000000003</v>
      </c>
      <c r="E814" s="26">
        <v>7.65</v>
      </c>
      <c r="F814" s="25">
        <v>4.8810000000000002</v>
      </c>
      <c r="G814" s="25">
        <v>465.64999399999999</v>
      </c>
      <c r="H814" s="25">
        <v>2056.360107</v>
      </c>
      <c r="I814" s="19">
        <v>19609.019530000001</v>
      </c>
    </row>
    <row r="815" spans="1:9" x14ac:dyDescent="0.2">
      <c r="A815" s="4">
        <v>34647</v>
      </c>
      <c r="B815" s="24">
        <v>1.2674000000000001</v>
      </c>
      <c r="C815" s="25">
        <v>97.84</v>
      </c>
      <c r="D815" s="25">
        <v>7.923</v>
      </c>
      <c r="E815" s="26">
        <v>7.55</v>
      </c>
      <c r="F815" s="25">
        <v>4.774</v>
      </c>
      <c r="G815" s="25">
        <v>465.39999399999999</v>
      </c>
      <c r="H815" s="25">
        <v>2090.780029</v>
      </c>
      <c r="I815" s="19">
        <v>19423.880860000001</v>
      </c>
    </row>
    <row r="816" spans="1:9" x14ac:dyDescent="0.2">
      <c r="A816" s="4">
        <v>34648</v>
      </c>
      <c r="B816" s="24">
        <v>1.2639</v>
      </c>
      <c r="C816" s="25">
        <v>97.71</v>
      </c>
      <c r="D816" s="25">
        <v>7.9619999999999997</v>
      </c>
      <c r="E816" s="26">
        <v>7.52</v>
      </c>
      <c r="F816" s="25">
        <v>4.7720000000000002</v>
      </c>
      <c r="G816" s="25">
        <v>464.36999500000002</v>
      </c>
      <c r="H816" s="25">
        <v>2098.040039</v>
      </c>
      <c r="I816" s="19">
        <v>19264.849610000001</v>
      </c>
    </row>
    <row r="817" spans="1:9" x14ac:dyDescent="0.2">
      <c r="A817" s="4">
        <v>34649</v>
      </c>
      <c r="B817" s="24">
        <v>1.2692000000000001</v>
      </c>
      <c r="C817" s="25">
        <v>97.73</v>
      </c>
      <c r="D817" s="25">
        <v>7.9809999999999999</v>
      </c>
      <c r="E817" s="26">
        <v>7.5</v>
      </c>
      <c r="F817" s="25">
        <v>4.734</v>
      </c>
      <c r="G817" s="25">
        <v>462.35000600000001</v>
      </c>
      <c r="H817" s="25">
        <v>2073.669922</v>
      </c>
      <c r="I817" s="19">
        <v>19284.359380000002</v>
      </c>
    </row>
    <row r="818" spans="1:9" x14ac:dyDescent="0.2">
      <c r="A818" s="4">
        <v>34652</v>
      </c>
      <c r="B818" s="24">
        <v>1.2549999999999999</v>
      </c>
      <c r="C818" s="25">
        <v>98.33</v>
      </c>
      <c r="D818" s="25">
        <v>7.9249999999999998</v>
      </c>
      <c r="E818" s="26">
        <v>7.48</v>
      </c>
      <c r="F818" s="25">
        <v>4.7240000000000002</v>
      </c>
      <c r="G818" s="25">
        <v>466.040009</v>
      </c>
      <c r="H818" s="25">
        <v>2091.040039</v>
      </c>
      <c r="I818" s="19">
        <v>19261.449219999999</v>
      </c>
    </row>
    <row r="819" spans="1:9" x14ac:dyDescent="0.2">
      <c r="A819" s="4">
        <v>34653</v>
      </c>
      <c r="B819" s="24">
        <v>1.2552000000000001</v>
      </c>
      <c r="C819" s="25">
        <v>98.75</v>
      </c>
      <c r="D819" s="25">
        <v>7.8929999999999998</v>
      </c>
      <c r="E819" s="26">
        <v>7.45</v>
      </c>
      <c r="F819" s="25">
        <v>4.7190000000000003</v>
      </c>
      <c r="G819" s="25">
        <v>465.02999899999998</v>
      </c>
      <c r="H819" s="25">
        <v>2112.209961</v>
      </c>
      <c r="I819" s="19">
        <v>19391.679690000001</v>
      </c>
    </row>
    <row r="820" spans="1:9" x14ac:dyDescent="0.2">
      <c r="A820" s="4">
        <v>34654</v>
      </c>
      <c r="B820" s="24">
        <v>1.2507999999999999</v>
      </c>
      <c r="C820" s="25">
        <v>98.37</v>
      </c>
      <c r="D820" s="25">
        <v>7.9619999999999997</v>
      </c>
      <c r="E820" s="26">
        <v>7.45</v>
      </c>
      <c r="F820" s="25">
        <v>4.7389999999999999</v>
      </c>
      <c r="G820" s="25">
        <v>465.61999500000002</v>
      </c>
      <c r="H820" s="25">
        <v>2112.209961</v>
      </c>
      <c r="I820" s="19">
        <v>19306.660159999999</v>
      </c>
    </row>
    <row r="821" spans="1:9" x14ac:dyDescent="0.2">
      <c r="A821" s="4">
        <v>34655</v>
      </c>
      <c r="B821" s="24">
        <v>1.2527999999999999</v>
      </c>
      <c r="C821" s="25">
        <v>98.33</v>
      </c>
      <c r="D821" s="25">
        <v>8.0129999999999999</v>
      </c>
      <c r="E821" s="26">
        <v>7.51</v>
      </c>
      <c r="F821" s="25">
        <v>4.7489999999999997</v>
      </c>
      <c r="G821" s="25">
        <v>463.57000699999998</v>
      </c>
      <c r="H821" s="25">
        <v>2091.9399410000001</v>
      </c>
      <c r="I821" s="19">
        <v>19336.570309999999</v>
      </c>
    </row>
    <row r="822" spans="1:9" x14ac:dyDescent="0.2">
      <c r="A822" s="4">
        <v>34656</v>
      </c>
      <c r="B822" s="24">
        <v>1.2483</v>
      </c>
      <c r="C822" s="25">
        <v>98.59</v>
      </c>
      <c r="D822" s="25">
        <v>8.0039999999999996</v>
      </c>
      <c r="E822" s="26">
        <v>7.55</v>
      </c>
      <c r="F822" s="25">
        <v>4.7430000000000003</v>
      </c>
      <c r="G822" s="25">
        <v>461.47000100000002</v>
      </c>
      <c r="H822" s="25">
        <v>2089.4799800000001</v>
      </c>
      <c r="I822" s="19">
        <v>19302.560549999998</v>
      </c>
    </row>
    <row r="823" spans="1:9" x14ac:dyDescent="0.2">
      <c r="A823" s="4">
        <v>34659</v>
      </c>
      <c r="B823" s="24">
        <v>1.2444</v>
      </c>
      <c r="C823" s="25">
        <v>98.27</v>
      </c>
      <c r="D823" s="25">
        <v>8.0169999999999995</v>
      </c>
      <c r="E823" s="26">
        <v>7.52</v>
      </c>
      <c r="F823" s="25">
        <v>4.7389999999999999</v>
      </c>
      <c r="G823" s="25">
        <v>458.29998799999998</v>
      </c>
      <c r="H823" s="25">
        <v>2097.1999510000001</v>
      </c>
      <c r="I823" s="19">
        <v>19121.720700000002</v>
      </c>
    </row>
    <row r="824" spans="1:9" x14ac:dyDescent="0.2">
      <c r="A824" s="4">
        <v>34660</v>
      </c>
      <c r="B824" s="24">
        <v>1.2474000000000001</v>
      </c>
      <c r="C824" s="25">
        <v>98.21</v>
      </c>
      <c r="D824" s="25">
        <v>7.9850000000000003</v>
      </c>
      <c r="E824" s="26">
        <v>7.5</v>
      </c>
      <c r="F824" s="25">
        <v>4.7140000000000004</v>
      </c>
      <c r="G824" s="25">
        <v>450.08999599999999</v>
      </c>
      <c r="H824" s="25">
        <v>2073.290039</v>
      </c>
      <c r="I824" s="19">
        <v>18962.990229999999</v>
      </c>
    </row>
    <row r="825" spans="1:9" x14ac:dyDescent="0.2">
      <c r="A825" s="4">
        <v>34661</v>
      </c>
      <c r="B825" s="24">
        <v>1.2466999999999999</v>
      </c>
      <c r="C825" s="25">
        <v>98.44</v>
      </c>
      <c r="D825" s="25">
        <v>7.8010000000000002</v>
      </c>
      <c r="E825" s="26">
        <v>7.4</v>
      </c>
      <c r="F825" s="25">
        <v>4.7140000000000004</v>
      </c>
      <c r="G825" s="25">
        <v>449.92999300000002</v>
      </c>
      <c r="H825" s="25">
        <v>2040.0500489999999</v>
      </c>
      <c r="I825" s="19">
        <v>18962.990229999999</v>
      </c>
    </row>
    <row r="826" spans="1:9" x14ac:dyDescent="0.2">
      <c r="A826" s="4">
        <v>34662</v>
      </c>
      <c r="B826" s="24">
        <v>1.2430000000000001</v>
      </c>
      <c r="C826" s="25">
        <v>98.47</v>
      </c>
      <c r="D826" s="25">
        <v>7.8010000000000002</v>
      </c>
      <c r="E826" s="26">
        <v>7.39</v>
      </c>
      <c r="F826" s="25">
        <v>4.6289999999999996</v>
      </c>
      <c r="G826" s="25">
        <v>448.92</v>
      </c>
      <c r="H826" s="25">
        <v>2058.790039</v>
      </c>
      <c r="I826" s="19">
        <v>18701.240229999999</v>
      </c>
    </row>
    <row r="827" spans="1:9" x14ac:dyDescent="0.2">
      <c r="A827" s="4">
        <v>34663</v>
      </c>
      <c r="B827" s="24">
        <v>1.2419</v>
      </c>
      <c r="C827" s="25">
        <v>98.78</v>
      </c>
      <c r="D827" s="25">
        <v>7.7880000000000003</v>
      </c>
      <c r="E827" s="26">
        <v>7.32</v>
      </c>
      <c r="F827" s="25">
        <v>4.649</v>
      </c>
      <c r="G827" s="25">
        <v>452.290009</v>
      </c>
      <c r="H827" s="25">
        <v>2056.2700199999999</v>
      </c>
      <c r="I827" s="19">
        <v>18666.929690000001</v>
      </c>
    </row>
    <row r="828" spans="1:9" x14ac:dyDescent="0.2">
      <c r="A828" s="4">
        <v>34666</v>
      </c>
      <c r="B828" s="24">
        <v>1.2392000000000001</v>
      </c>
      <c r="C828" s="25">
        <v>98.74</v>
      </c>
      <c r="D828" s="25">
        <v>7.8739999999999997</v>
      </c>
      <c r="E828" s="26">
        <v>7.28</v>
      </c>
      <c r="F828" s="25">
        <v>4.694</v>
      </c>
      <c r="G828" s="25">
        <v>454.16000400000001</v>
      </c>
      <c r="H828" s="25">
        <v>2050.820068</v>
      </c>
      <c r="I828" s="19">
        <v>18811.359380000002</v>
      </c>
    </row>
    <row r="829" spans="1:9" x14ac:dyDescent="0.2">
      <c r="A829" s="4">
        <v>34667</v>
      </c>
      <c r="B829" s="24">
        <v>1.2415</v>
      </c>
      <c r="C829" s="25">
        <v>98.96</v>
      </c>
      <c r="D829" s="25">
        <v>7.9390000000000001</v>
      </c>
      <c r="E829" s="26">
        <v>7.35</v>
      </c>
      <c r="F829" s="25">
        <v>4.6890000000000001</v>
      </c>
      <c r="G829" s="25">
        <v>455.17001299999998</v>
      </c>
      <c r="H829" s="25">
        <v>2036.23999</v>
      </c>
      <c r="I829" s="19">
        <v>18926.490229999999</v>
      </c>
    </row>
    <row r="830" spans="1:9" x14ac:dyDescent="0.2">
      <c r="A830" s="4">
        <v>34668</v>
      </c>
      <c r="B830" s="24">
        <v>1.2345999999999999</v>
      </c>
      <c r="C830" s="25">
        <v>98.98</v>
      </c>
      <c r="D830" s="25">
        <v>7.8879999999999999</v>
      </c>
      <c r="E830" s="26">
        <v>7.41</v>
      </c>
      <c r="F830" s="25">
        <v>4.7140000000000004</v>
      </c>
      <c r="G830" s="25">
        <v>453.69000199999999</v>
      </c>
      <c r="H830" s="25">
        <v>2057.280029</v>
      </c>
      <c r="I830" s="19">
        <v>19075.619139999999</v>
      </c>
    </row>
    <row r="831" spans="1:9" x14ac:dyDescent="0.2">
      <c r="A831" s="4">
        <v>34669</v>
      </c>
      <c r="B831" s="24">
        <v>1.2337</v>
      </c>
      <c r="C831" s="25">
        <v>99.38</v>
      </c>
      <c r="D831" s="25">
        <v>7.9109999999999996</v>
      </c>
      <c r="E831" s="26">
        <v>7.31</v>
      </c>
      <c r="F831" s="25">
        <v>4.6559999999999997</v>
      </c>
      <c r="G831" s="25">
        <v>448.92001299999998</v>
      </c>
      <c r="H831" s="25">
        <v>2045.540039</v>
      </c>
      <c r="I831" s="19">
        <v>19013.599610000001</v>
      </c>
    </row>
    <row r="832" spans="1:9" x14ac:dyDescent="0.2">
      <c r="A832" s="4">
        <v>34670</v>
      </c>
      <c r="B832" s="24">
        <v>1.2294</v>
      </c>
      <c r="C832" s="25">
        <v>100.64</v>
      </c>
      <c r="D832" s="25">
        <v>7.7919999999999998</v>
      </c>
      <c r="E832" s="26">
        <v>7.31</v>
      </c>
      <c r="F832" s="25">
        <v>4.641</v>
      </c>
      <c r="G832" s="25">
        <v>453.29998799999998</v>
      </c>
      <c r="H832" s="25">
        <v>2042.380005</v>
      </c>
      <c r="I832" s="19">
        <v>18998.300780000001</v>
      </c>
    </row>
    <row r="833" spans="1:9" x14ac:dyDescent="0.2">
      <c r="A833" s="4">
        <v>34673</v>
      </c>
      <c r="B833" s="24">
        <v>1.2314000000000001</v>
      </c>
      <c r="C833" s="25">
        <v>100.33</v>
      </c>
      <c r="D833" s="25">
        <v>7.8230000000000004</v>
      </c>
      <c r="E833" s="26">
        <v>7.27</v>
      </c>
      <c r="F833" s="25">
        <v>4.6749999999999998</v>
      </c>
      <c r="G833" s="25">
        <v>453.32000699999998</v>
      </c>
      <c r="H833" s="25">
        <v>2067.26001</v>
      </c>
      <c r="I833" s="19">
        <v>19305.660159999999</v>
      </c>
    </row>
    <row r="834" spans="1:9" x14ac:dyDescent="0.2">
      <c r="A834" s="4">
        <v>34674</v>
      </c>
      <c r="B834" s="24">
        <v>1.2318</v>
      </c>
      <c r="C834" s="25">
        <v>100.12</v>
      </c>
      <c r="D834" s="25">
        <v>7.7190000000000003</v>
      </c>
      <c r="E834" s="26">
        <v>7.34</v>
      </c>
      <c r="F834" s="25">
        <v>4.6449999999999996</v>
      </c>
      <c r="G834" s="25">
        <v>453.10998499999999</v>
      </c>
      <c r="H834" s="25">
        <v>2046.98999</v>
      </c>
      <c r="I834" s="19">
        <v>19340.470700000002</v>
      </c>
    </row>
    <row r="835" spans="1:9" x14ac:dyDescent="0.2">
      <c r="A835" s="4">
        <v>34675</v>
      </c>
      <c r="B835" s="24">
        <v>1.2326999999999999</v>
      </c>
      <c r="C835" s="25">
        <v>99.92</v>
      </c>
      <c r="D835" s="25">
        <v>7.8010000000000002</v>
      </c>
      <c r="E835" s="26">
        <v>7.34</v>
      </c>
      <c r="F835" s="25">
        <v>4.6210000000000004</v>
      </c>
      <c r="G835" s="25">
        <v>451.23001099999999</v>
      </c>
      <c r="H835" s="25">
        <v>2044.040039</v>
      </c>
      <c r="I835" s="19">
        <v>19174.230469999999</v>
      </c>
    </row>
    <row r="836" spans="1:9" x14ac:dyDescent="0.2">
      <c r="A836" s="4">
        <v>34676</v>
      </c>
      <c r="B836" s="24">
        <v>1.2278</v>
      </c>
      <c r="C836" s="25">
        <v>100.56</v>
      </c>
      <c r="D836" s="25">
        <v>7.81</v>
      </c>
      <c r="E836" s="26">
        <v>7.43</v>
      </c>
      <c r="F836" s="25">
        <v>4.6449999999999996</v>
      </c>
      <c r="G836" s="25">
        <v>445.45001200000002</v>
      </c>
      <c r="H836" s="25">
        <v>2041.849976</v>
      </c>
      <c r="I836" s="19">
        <v>19180.039059999999</v>
      </c>
    </row>
    <row r="837" spans="1:9" x14ac:dyDescent="0.2">
      <c r="A837" s="4">
        <v>34677</v>
      </c>
      <c r="B837" s="24">
        <v>1.2281</v>
      </c>
      <c r="C837" s="25">
        <v>100.11</v>
      </c>
      <c r="D837" s="25">
        <v>7.7779999999999996</v>
      </c>
      <c r="E837" s="26">
        <v>7.39</v>
      </c>
      <c r="F837" s="25">
        <v>4.5910000000000002</v>
      </c>
      <c r="G837" s="25">
        <v>446.959991</v>
      </c>
      <c r="H837" s="25">
        <v>2024.1899410000001</v>
      </c>
      <c r="I837" s="19">
        <v>18978.300780000001</v>
      </c>
    </row>
    <row r="838" spans="1:9" x14ac:dyDescent="0.2">
      <c r="A838" s="4">
        <v>34680</v>
      </c>
      <c r="B838" s="24">
        <v>1.2302</v>
      </c>
      <c r="C838" s="25">
        <v>100</v>
      </c>
      <c r="D838" s="25">
        <v>7.8410000000000002</v>
      </c>
      <c r="E838" s="26">
        <v>7.42</v>
      </c>
      <c r="F838" s="25">
        <v>4.585</v>
      </c>
      <c r="G838" s="25">
        <v>449.47000100000002</v>
      </c>
      <c r="H838" s="25">
        <v>2003.6400149999999</v>
      </c>
      <c r="I838" s="19">
        <v>18975.099610000001</v>
      </c>
    </row>
    <row r="839" spans="1:9" x14ac:dyDescent="0.2">
      <c r="A839" s="4">
        <v>34681</v>
      </c>
      <c r="B839" s="24">
        <v>1.2286999999999999</v>
      </c>
      <c r="C839" s="25">
        <v>100.28</v>
      </c>
      <c r="D839" s="25">
        <v>7.8140000000000001</v>
      </c>
      <c r="E839" s="26">
        <v>7.51</v>
      </c>
      <c r="F839" s="25">
        <v>4.5609999999999999</v>
      </c>
      <c r="G839" s="25">
        <v>450.14999399999999</v>
      </c>
      <c r="H839" s="25">
        <v>2019.130005</v>
      </c>
      <c r="I839" s="19">
        <v>18875.480469999999</v>
      </c>
    </row>
    <row r="840" spans="1:9" x14ac:dyDescent="0.2">
      <c r="A840" s="4">
        <v>34682</v>
      </c>
      <c r="B840" s="24">
        <v>1.2314000000000001</v>
      </c>
      <c r="C840" s="25">
        <v>100.3</v>
      </c>
      <c r="D840" s="25">
        <v>7.7729999999999997</v>
      </c>
      <c r="E840" s="26">
        <v>7.5</v>
      </c>
      <c r="F840" s="25">
        <v>4.5659999999999998</v>
      </c>
      <c r="G840" s="25">
        <v>454.97000100000002</v>
      </c>
      <c r="H840" s="25">
        <v>2040.9399410000001</v>
      </c>
      <c r="I840" s="19">
        <v>18931.490229999999</v>
      </c>
    </row>
    <row r="841" spans="1:9" x14ac:dyDescent="0.2">
      <c r="A841" s="4">
        <v>34683</v>
      </c>
      <c r="B841" s="24">
        <v>1.2297</v>
      </c>
      <c r="C841" s="25">
        <v>100.31</v>
      </c>
      <c r="D841" s="25">
        <v>7.7770000000000001</v>
      </c>
      <c r="E841" s="26">
        <v>7.49</v>
      </c>
      <c r="F841" s="25">
        <v>4.5739999999999998</v>
      </c>
      <c r="G841" s="25">
        <v>455.33999599999999</v>
      </c>
      <c r="H841" s="25">
        <v>2054.2299800000001</v>
      </c>
      <c r="I841" s="19">
        <v>19121.119139999999</v>
      </c>
    </row>
    <row r="842" spans="1:9" x14ac:dyDescent="0.2">
      <c r="A842" s="4">
        <v>34684</v>
      </c>
      <c r="B842" s="24">
        <v>1.2302999999999999</v>
      </c>
      <c r="C842" s="25">
        <v>100.25</v>
      </c>
      <c r="D842" s="25">
        <v>7.8</v>
      </c>
      <c r="E842" s="26">
        <v>7.46</v>
      </c>
      <c r="F842" s="25">
        <v>4.5890000000000004</v>
      </c>
      <c r="G842" s="25">
        <v>458.79998799999998</v>
      </c>
      <c r="H842" s="25">
        <v>2069.8999020000001</v>
      </c>
      <c r="I842" s="19">
        <v>19163.429690000001</v>
      </c>
    </row>
    <row r="843" spans="1:9" x14ac:dyDescent="0.2">
      <c r="A843" s="4">
        <v>34687</v>
      </c>
      <c r="B843" s="24">
        <v>1.2270000000000001</v>
      </c>
      <c r="C843" s="25">
        <v>100.13</v>
      </c>
      <c r="D843" s="25">
        <v>7.7949999999999999</v>
      </c>
      <c r="E843" s="26">
        <v>7.47</v>
      </c>
      <c r="F843" s="25">
        <v>4.5990000000000002</v>
      </c>
      <c r="G843" s="25">
        <v>457.91000400000001</v>
      </c>
      <c r="H843" s="25">
        <v>2066.5900879999999</v>
      </c>
      <c r="I843" s="19">
        <v>19270.849610000001</v>
      </c>
    </row>
    <row r="844" spans="1:9" x14ac:dyDescent="0.2">
      <c r="A844" s="4">
        <v>34688</v>
      </c>
      <c r="B844" s="24">
        <v>1.2276</v>
      </c>
      <c r="C844" s="25">
        <v>100.23</v>
      </c>
      <c r="D844" s="25">
        <v>7.8</v>
      </c>
      <c r="E844" s="26">
        <v>7.51</v>
      </c>
      <c r="F844" s="25">
        <v>4.5739999999999998</v>
      </c>
      <c r="G844" s="25">
        <v>457.10000600000001</v>
      </c>
      <c r="H844" s="25">
        <v>2080.1599120000001</v>
      </c>
      <c r="I844" s="19">
        <v>19406.980469999999</v>
      </c>
    </row>
    <row r="845" spans="1:9" x14ac:dyDescent="0.2">
      <c r="A845" s="4">
        <v>34689</v>
      </c>
      <c r="B845" s="24">
        <v>1.2294</v>
      </c>
      <c r="C845" s="25">
        <v>100.61</v>
      </c>
      <c r="D845" s="25">
        <v>7.7859999999999996</v>
      </c>
      <c r="E845" s="26">
        <v>7.51</v>
      </c>
      <c r="F845" s="25">
        <v>4.5289999999999999</v>
      </c>
      <c r="G845" s="25">
        <v>459.60998499999999</v>
      </c>
      <c r="H845" s="25">
        <v>2095.5</v>
      </c>
      <c r="I845" s="19">
        <v>19340.66992</v>
      </c>
    </row>
    <row r="846" spans="1:9" x14ac:dyDescent="0.2">
      <c r="A846" s="4">
        <v>34690</v>
      </c>
      <c r="B846" s="24">
        <v>1.2229000000000001</v>
      </c>
      <c r="C846" s="25">
        <v>100.15</v>
      </c>
      <c r="D846" s="25">
        <v>7.827</v>
      </c>
      <c r="E846" s="26">
        <v>7.5</v>
      </c>
      <c r="F846" s="25">
        <v>4.5339999999999998</v>
      </c>
      <c r="G846" s="25">
        <v>459.67999300000002</v>
      </c>
      <c r="H846" s="25">
        <v>2102.25</v>
      </c>
      <c r="I846" s="19">
        <v>19633.529299999998</v>
      </c>
    </row>
    <row r="847" spans="1:9" x14ac:dyDescent="0.2">
      <c r="A847" s="4">
        <v>34691</v>
      </c>
      <c r="B847" s="24">
        <v>1.2252000000000001</v>
      </c>
      <c r="C847" s="25">
        <v>100.12</v>
      </c>
      <c r="D847" s="25">
        <v>7.827</v>
      </c>
      <c r="E847" s="26">
        <v>7.47</v>
      </c>
      <c r="F847" s="25">
        <v>4.5339999999999998</v>
      </c>
      <c r="G847" s="25">
        <v>459.82998700000002</v>
      </c>
      <c r="H847" s="25">
        <v>2100.9799800000001</v>
      </c>
      <c r="I847" s="19">
        <v>19633.529299999998</v>
      </c>
    </row>
    <row r="848" spans="1:9" x14ac:dyDescent="0.2">
      <c r="A848" s="4">
        <v>34694</v>
      </c>
      <c r="B848" s="24">
        <v>1.2252000000000001</v>
      </c>
      <c r="C848" s="25">
        <v>100.31</v>
      </c>
      <c r="D848" s="25">
        <v>7.827</v>
      </c>
      <c r="E848" s="26">
        <v>7.47</v>
      </c>
      <c r="F848" s="25">
        <v>4.5490000000000004</v>
      </c>
      <c r="G848" s="25">
        <v>459.27</v>
      </c>
      <c r="H848" s="25">
        <v>2100.9799800000001</v>
      </c>
      <c r="I848" s="19">
        <v>19726.75</v>
      </c>
    </row>
    <row r="849" spans="1:9" x14ac:dyDescent="0.2">
      <c r="A849" s="4">
        <v>34695</v>
      </c>
      <c r="B849" s="24">
        <v>1.2252000000000001</v>
      </c>
      <c r="C849" s="25">
        <v>100.38</v>
      </c>
      <c r="D849" s="25">
        <v>7.7450000000000001</v>
      </c>
      <c r="E849" s="26">
        <v>7.48</v>
      </c>
      <c r="F849" s="25">
        <v>4.5449999999999999</v>
      </c>
      <c r="G849" s="25">
        <v>462.47000100000002</v>
      </c>
      <c r="H849" s="25">
        <v>2110.7700199999999</v>
      </c>
      <c r="I849" s="19">
        <v>19711.359380000002</v>
      </c>
    </row>
    <row r="850" spans="1:9" x14ac:dyDescent="0.2">
      <c r="A850" s="4">
        <v>34696</v>
      </c>
      <c r="B850" s="24">
        <v>1.2264999999999999</v>
      </c>
      <c r="C850" s="25">
        <v>99.3</v>
      </c>
      <c r="D850" s="25">
        <v>7.7859999999999996</v>
      </c>
      <c r="E850" s="26">
        <v>7.45</v>
      </c>
      <c r="F850" s="25">
        <v>4.5289999999999999</v>
      </c>
      <c r="G850" s="25">
        <v>460.85998499999999</v>
      </c>
      <c r="H850" s="25">
        <v>2097.3400879999999</v>
      </c>
      <c r="I850" s="19">
        <v>19665.529299999998</v>
      </c>
    </row>
    <row r="851" spans="1:9" x14ac:dyDescent="0.2">
      <c r="A851" s="4">
        <v>34697</v>
      </c>
      <c r="B851" s="24">
        <v>1.2435</v>
      </c>
      <c r="C851" s="25">
        <v>99.63</v>
      </c>
      <c r="D851" s="25">
        <v>7.7990000000000004</v>
      </c>
      <c r="E851" s="26">
        <v>7.55</v>
      </c>
      <c r="F851" s="25">
        <v>4.5439999999999996</v>
      </c>
      <c r="G851" s="25">
        <v>461.17001299999998</v>
      </c>
      <c r="H851" s="25">
        <v>2074.679932</v>
      </c>
      <c r="I851" s="19">
        <v>19752.980469999999</v>
      </c>
    </row>
    <row r="852" spans="1:9" x14ac:dyDescent="0.2">
      <c r="A852" s="4">
        <v>34698</v>
      </c>
      <c r="B852" s="24">
        <v>1.2458</v>
      </c>
      <c r="C852" s="25">
        <v>99.58</v>
      </c>
      <c r="D852" s="25">
        <v>7.827</v>
      </c>
      <c r="E852" s="26">
        <v>7.65</v>
      </c>
      <c r="F852" s="25">
        <v>4.57</v>
      </c>
      <c r="G852" s="25">
        <v>459.26998900000001</v>
      </c>
      <c r="H852" s="25">
        <v>2097.51001</v>
      </c>
      <c r="I852" s="19">
        <v>19723.060549999998</v>
      </c>
    </row>
    <row r="853" spans="1:9" x14ac:dyDescent="0.2">
      <c r="A853" s="4">
        <v>34701</v>
      </c>
      <c r="B853" s="24">
        <v>1.2458</v>
      </c>
      <c r="C853" s="25">
        <v>100.2</v>
      </c>
      <c r="D853" s="25">
        <v>7.827</v>
      </c>
      <c r="E853" s="26">
        <v>7.64</v>
      </c>
      <c r="F853" s="25">
        <v>4.57</v>
      </c>
      <c r="G853" s="25">
        <v>460.83</v>
      </c>
      <c r="H853" s="25">
        <v>2079.1899410000001</v>
      </c>
      <c r="I853" s="19">
        <v>19723.060549999998</v>
      </c>
    </row>
    <row r="854" spans="1:9" x14ac:dyDescent="0.2">
      <c r="A854" s="4">
        <v>34702</v>
      </c>
      <c r="B854" s="24">
        <v>1.2425999999999999</v>
      </c>
      <c r="C854" s="25">
        <v>100.67</v>
      </c>
      <c r="D854" s="25">
        <v>7.8769999999999998</v>
      </c>
      <c r="E854" s="26">
        <v>7.64</v>
      </c>
      <c r="F854" s="25">
        <v>4.57</v>
      </c>
      <c r="G854" s="25">
        <v>459.10998499999999</v>
      </c>
      <c r="H854" s="25">
        <v>2068.919922</v>
      </c>
      <c r="I854" s="19">
        <v>19723.060549999998</v>
      </c>
    </row>
    <row r="855" spans="1:9" x14ac:dyDescent="0.2">
      <c r="A855" s="4">
        <v>34703</v>
      </c>
      <c r="B855" s="24">
        <v>1.2383999999999999</v>
      </c>
      <c r="C855" s="25">
        <v>101.35</v>
      </c>
      <c r="D855" s="25">
        <v>7.8129999999999997</v>
      </c>
      <c r="E855" s="26">
        <v>7.65</v>
      </c>
      <c r="F855" s="25">
        <v>4.6399999999999997</v>
      </c>
      <c r="G855" s="25">
        <v>460.709991</v>
      </c>
      <c r="H855" s="25">
        <v>2072.8999020000001</v>
      </c>
      <c r="I855" s="19">
        <v>19684.039059999999</v>
      </c>
    </row>
    <row r="856" spans="1:9" x14ac:dyDescent="0.2">
      <c r="A856" s="4">
        <v>34704</v>
      </c>
      <c r="B856" s="24">
        <v>1.2421</v>
      </c>
      <c r="C856" s="25">
        <v>100.88</v>
      </c>
      <c r="D856" s="25">
        <v>7.8680000000000003</v>
      </c>
      <c r="E856" s="26">
        <v>7.68</v>
      </c>
      <c r="F856" s="25">
        <v>4.6890000000000001</v>
      </c>
      <c r="G856" s="25">
        <v>460.33999599999999</v>
      </c>
      <c r="H856" s="25">
        <v>2051.459961</v>
      </c>
      <c r="I856" s="19">
        <v>19616.109380000002</v>
      </c>
    </row>
    <row r="857" spans="1:9" x14ac:dyDescent="0.2">
      <c r="A857" s="4">
        <v>34705</v>
      </c>
      <c r="B857" s="24">
        <v>1.2378</v>
      </c>
      <c r="C857" s="25">
        <v>101.37</v>
      </c>
      <c r="D857" s="25">
        <v>7.85</v>
      </c>
      <c r="E857" s="26">
        <v>7.74</v>
      </c>
      <c r="F857" s="25">
        <v>4.7190000000000003</v>
      </c>
      <c r="G857" s="25">
        <v>460.67999300000002</v>
      </c>
      <c r="H857" s="25">
        <v>2058.1999510000001</v>
      </c>
      <c r="I857" s="19">
        <v>19519.460940000001</v>
      </c>
    </row>
    <row r="858" spans="1:9" x14ac:dyDescent="0.2">
      <c r="A858" s="4">
        <v>34708</v>
      </c>
      <c r="B858" s="24">
        <v>1.2396</v>
      </c>
      <c r="C858" s="25">
        <v>100.03</v>
      </c>
      <c r="D858" s="25">
        <v>7.8819999999999997</v>
      </c>
      <c r="E858" s="26">
        <v>7.68</v>
      </c>
      <c r="F858" s="25">
        <v>4.7039999999999997</v>
      </c>
      <c r="G858" s="25">
        <v>460.82998700000002</v>
      </c>
      <c r="H858" s="25">
        <v>2053.4099120000001</v>
      </c>
      <c r="I858" s="19">
        <v>19444.91992</v>
      </c>
    </row>
    <row r="859" spans="1:9" x14ac:dyDescent="0.2">
      <c r="A859" s="4">
        <v>34709</v>
      </c>
      <c r="B859" s="24">
        <v>1.2517</v>
      </c>
      <c r="C859" s="25">
        <v>100.03</v>
      </c>
      <c r="D859" s="25">
        <v>7.8220000000000001</v>
      </c>
      <c r="E859" s="26">
        <v>7.7</v>
      </c>
      <c r="F859" s="25">
        <v>4.6840000000000002</v>
      </c>
      <c r="G859" s="25">
        <v>461.67999300000002</v>
      </c>
      <c r="H859" s="25">
        <v>2062.080078</v>
      </c>
      <c r="I859" s="19">
        <v>19501.449219999999</v>
      </c>
    </row>
    <row r="860" spans="1:9" x14ac:dyDescent="0.2">
      <c r="A860" s="4">
        <v>34710</v>
      </c>
      <c r="B860" s="24">
        <v>1.2511000000000001</v>
      </c>
      <c r="C860" s="25">
        <v>100.09</v>
      </c>
      <c r="D860" s="25">
        <v>7.7759999999999998</v>
      </c>
      <c r="E860" s="26">
        <v>7.6</v>
      </c>
      <c r="F860" s="25">
        <v>4.6390000000000002</v>
      </c>
      <c r="G860" s="25">
        <v>461.66000400000001</v>
      </c>
      <c r="H860" s="25">
        <v>2061.76001</v>
      </c>
      <c r="I860" s="19">
        <v>19548.470700000002</v>
      </c>
    </row>
    <row r="861" spans="1:9" x14ac:dyDescent="0.2">
      <c r="A861" s="4">
        <v>34711</v>
      </c>
      <c r="B861" s="24">
        <v>1.2557</v>
      </c>
      <c r="C861" s="25">
        <v>98.67</v>
      </c>
      <c r="D861" s="25">
        <v>7.7939999999999996</v>
      </c>
      <c r="E861" s="26">
        <v>7.6</v>
      </c>
      <c r="F861" s="25">
        <v>4.5990000000000002</v>
      </c>
      <c r="G861" s="25">
        <v>461.64001500000001</v>
      </c>
      <c r="H861" s="25">
        <v>2059.679932</v>
      </c>
      <c r="I861" s="19">
        <v>19410.009770000001</v>
      </c>
    </row>
    <row r="862" spans="1:9" x14ac:dyDescent="0.2">
      <c r="A862" s="4">
        <v>34712</v>
      </c>
      <c r="B862" s="24">
        <v>1.2538</v>
      </c>
      <c r="C862" s="25">
        <v>98.4</v>
      </c>
      <c r="D862" s="25">
        <v>7.68</v>
      </c>
      <c r="E862" s="26">
        <v>7.57</v>
      </c>
      <c r="F862" s="25">
        <v>4.6189999999999998</v>
      </c>
      <c r="G862" s="25">
        <v>465.97000100000002</v>
      </c>
      <c r="H862" s="25">
        <v>2064.139893</v>
      </c>
      <c r="I862" s="19">
        <v>19331.16992</v>
      </c>
    </row>
    <row r="863" spans="1:9" x14ac:dyDescent="0.2">
      <c r="A863" s="4">
        <v>34715</v>
      </c>
      <c r="B863" s="24">
        <v>1.2589999999999999</v>
      </c>
      <c r="C863" s="25">
        <v>98.42</v>
      </c>
      <c r="D863" s="25">
        <v>7.68</v>
      </c>
      <c r="E863" s="26">
        <v>7.54</v>
      </c>
      <c r="F863" s="25">
        <v>4.6189999999999998</v>
      </c>
      <c r="G863" s="25">
        <v>469.38000499999998</v>
      </c>
      <c r="H863" s="25">
        <v>2088.25</v>
      </c>
      <c r="I863" s="19">
        <v>19331.16992</v>
      </c>
    </row>
    <row r="864" spans="1:9" x14ac:dyDescent="0.2">
      <c r="A864" s="4">
        <v>34716</v>
      </c>
      <c r="B864" s="24">
        <v>1.2563</v>
      </c>
      <c r="C864" s="25">
        <v>99.11</v>
      </c>
      <c r="D864" s="25">
        <v>7.6840000000000002</v>
      </c>
      <c r="E864" s="26">
        <v>7.52</v>
      </c>
      <c r="F864" s="25">
        <v>4.6890000000000001</v>
      </c>
      <c r="G864" s="25">
        <v>470.04998799999998</v>
      </c>
      <c r="H864" s="25">
        <v>2081.389893</v>
      </c>
      <c r="I864" s="19">
        <v>19241.320309999999</v>
      </c>
    </row>
    <row r="865" spans="1:9" x14ac:dyDescent="0.2">
      <c r="A865" s="4">
        <v>34717</v>
      </c>
      <c r="B865" s="24">
        <v>1.2564</v>
      </c>
      <c r="C865" s="25">
        <v>99.53</v>
      </c>
      <c r="D865" s="25">
        <v>7.6980000000000004</v>
      </c>
      <c r="E865" s="26">
        <v>7.57</v>
      </c>
      <c r="F865" s="25">
        <v>4.6289999999999996</v>
      </c>
      <c r="G865" s="25">
        <v>469.709991</v>
      </c>
      <c r="H865" s="25">
        <v>2085.6201169999999</v>
      </c>
      <c r="I865" s="19">
        <v>19223.310549999998</v>
      </c>
    </row>
    <row r="866" spans="1:9" x14ac:dyDescent="0.2">
      <c r="A866" s="4">
        <v>34718</v>
      </c>
      <c r="B866" s="24">
        <v>1.256</v>
      </c>
      <c r="C866" s="25">
        <v>99.13</v>
      </c>
      <c r="D866" s="25">
        <v>7.7160000000000002</v>
      </c>
      <c r="E866" s="26">
        <v>7.52</v>
      </c>
      <c r="F866" s="25">
        <v>4.6539999999999999</v>
      </c>
      <c r="G866" s="25">
        <v>466.95001200000002</v>
      </c>
      <c r="H866" s="25">
        <v>2079.6000979999999</v>
      </c>
      <c r="I866" s="19">
        <v>19075.740229999999</v>
      </c>
    </row>
    <row r="867" spans="1:9" x14ac:dyDescent="0.2">
      <c r="A867" s="4">
        <v>34719</v>
      </c>
      <c r="B867" s="24">
        <v>1.2736000000000001</v>
      </c>
      <c r="C867" s="25">
        <v>99.4</v>
      </c>
      <c r="D867" s="25">
        <v>7.8079999999999998</v>
      </c>
      <c r="E867" s="26">
        <v>7.54</v>
      </c>
      <c r="F867" s="25">
        <v>4.6740000000000004</v>
      </c>
      <c r="G867" s="25">
        <v>464.77999899999998</v>
      </c>
      <c r="H867" s="25">
        <v>2050.860107</v>
      </c>
      <c r="I867" s="19">
        <v>18840.220700000002</v>
      </c>
    </row>
    <row r="868" spans="1:9" x14ac:dyDescent="0.2">
      <c r="A868" s="4">
        <v>34722</v>
      </c>
      <c r="B868" s="24">
        <v>1.2737000000000001</v>
      </c>
      <c r="C868" s="25">
        <v>99.8</v>
      </c>
      <c r="D868" s="25">
        <v>7.8220000000000001</v>
      </c>
      <c r="E868" s="26">
        <v>7.55</v>
      </c>
      <c r="F868" s="25">
        <v>4.6890000000000001</v>
      </c>
      <c r="G868" s="25">
        <v>465.82000699999998</v>
      </c>
      <c r="H868" s="25">
        <v>2013.030029</v>
      </c>
      <c r="I868" s="19">
        <v>17785.490229999999</v>
      </c>
    </row>
    <row r="869" spans="1:9" x14ac:dyDescent="0.2">
      <c r="A869" s="4">
        <v>34723</v>
      </c>
      <c r="B869" s="24">
        <v>1.2716000000000001</v>
      </c>
      <c r="C869" s="25">
        <v>99.69</v>
      </c>
      <c r="D869" s="25">
        <v>7.8449999999999998</v>
      </c>
      <c r="E869" s="26">
        <v>7.58</v>
      </c>
      <c r="F869" s="25">
        <v>4.6790000000000003</v>
      </c>
      <c r="G869" s="25">
        <v>465.85998499999999</v>
      </c>
      <c r="H869" s="25">
        <v>2027.670044</v>
      </c>
      <c r="I869" s="19">
        <v>18060.730469999999</v>
      </c>
    </row>
    <row r="870" spans="1:9" x14ac:dyDescent="0.2">
      <c r="A870" s="4">
        <v>34724</v>
      </c>
      <c r="B870" s="24">
        <v>1.2665</v>
      </c>
      <c r="C870" s="25">
        <v>99.53</v>
      </c>
      <c r="D870" s="25">
        <v>7.7850000000000001</v>
      </c>
      <c r="E870" s="26">
        <v>7.56</v>
      </c>
      <c r="F870" s="25">
        <v>4.6790000000000003</v>
      </c>
      <c r="G870" s="25">
        <v>467.44000199999999</v>
      </c>
      <c r="H870" s="25">
        <v>2026.969971</v>
      </c>
      <c r="I870" s="19">
        <v>18159.480469999999</v>
      </c>
    </row>
    <row r="871" spans="1:9" x14ac:dyDescent="0.2">
      <c r="A871" s="4">
        <v>34725</v>
      </c>
      <c r="B871" s="24">
        <v>1.27</v>
      </c>
      <c r="C871" s="25">
        <v>99.43</v>
      </c>
      <c r="D871" s="25">
        <v>7.7430000000000003</v>
      </c>
      <c r="E871" s="26">
        <v>7.53</v>
      </c>
      <c r="F871" s="25">
        <v>4.6559999999999997</v>
      </c>
      <c r="G871" s="25">
        <v>468.32000699999998</v>
      </c>
      <c r="H871" s="25">
        <v>2040.790039</v>
      </c>
      <c r="I871" s="19">
        <v>18070.839840000001</v>
      </c>
    </row>
    <row r="872" spans="1:9" x14ac:dyDescent="0.2">
      <c r="A872" s="4">
        <v>34726</v>
      </c>
      <c r="B872" s="24">
        <v>1.2697000000000001</v>
      </c>
      <c r="C872" s="25">
        <v>99.4</v>
      </c>
      <c r="D872" s="25">
        <v>7.6159999999999997</v>
      </c>
      <c r="E872" s="26">
        <v>7.42</v>
      </c>
      <c r="F872" s="25">
        <v>4.6440000000000001</v>
      </c>
      <c r="G872" s="25">
        <v>470.39001500000001</v>
      </c>
      <c r="H872" s="25">
        <v>2030.5600589999999</v>
      </c>
      <c r="I872" s="19">
        <v>18104.349610000001</v>
      </c>
    </row>
    <row r="873" spans="1:9" x14ac:dyDescent="0.2">
      <c r="A873" s="4">
        <v>34729</v>
      </c>
      <c r="B873" s="24">
        <v>1.2715000000000001</v>
      </c>
      <c r="C873" s="25">
        <v>98.42</v>
      </c>
      <c r="D873" s="25">
        <v>7.6340000000000003</v>
      </c>
      <c r="E873" s="26">
        <v>7.42</v>
      </c>
      <c r="F873" s="25">
        <v>4.6289999999999996</v>
      </c>
      <c r="G873" s="25">
        <v>468.51001000000002</v>
      </c>
      <c r="H873" s="25">
        <v>2026.6800539999999</v>
      </c>
      <c r="I873" s="19">
        <v>18752.880860000001</v>
      </c>
    </row>
    <row r="874" spans="1:9" x14ac:dyDescent="0.2">
      <c r="A874" s="4">
        <v>34730</v>
      </c>
      <c r="B874" s="24">
        <v>1.2673000000000001</v>
      </c>
      <c r="C874" s="25">
        <v>99.55</v>
      </c>
      <c r="D874" s="25">
        <v>7.593</v>
      </c>
      <c r="E874" s="26">
        <v>7.43</v>
      </c>
      <c r="F874" s="25">
        <v>4.6289999999999996</v>
      </c>
      <c r="G874" s="25">
        <v>470.42001299999998</v>
      </c>
      <c r="H874" s="25">
        <v>2024.8199460000001</v>
      </c>
      <c r="I874" s="19">
        <v>18649.820309999999</v>
      </c>
    </row>
    <row r="875" spans="1:9" x14ac:dyDescent="0.2">
      <c r="A875" s="4">
        <v>34731</v>
      </c>
      <c r="B875" s="24">
        <v>1.2622</v>
      </c>
      <c r="C875" s="25">
        <v>99.19</v>
      </c>
      <c r="D875" s="25">
        <v>7.6379999999999999</v>
      </c>
      <c r="E875" s="26">
        <v>7.41</v>
      </c>
      <c r="F875" s="25">
        <v>4.6459999999999999</v>
      </c>
      <c r="G875" s="25">
        <v>470.39999399999999</v>
      </c>
      <c r="H875" s="25">
        <v>2047.4399410000001</v>
      </c>
      <c r="I875" s="19">
        <v>18739.470700000002</v>
      </c>
    </row>
    <row r="876" spans="1:9" x14ac:dyDescent="0.2">
      <c r="A876" s="4">
        <v>34732</v>
      </c>
      <c r="B876" s="24">
        <v>1.2641</v>
      </c>
      <c r="C876" s="25">
        <v>99.41</v>
      </c>
      <c r="D876" s="25">
        <v>7.67</v>
      </c>
      <c r="E876" s="26">
        <v>7.46</v>
      </c>
      <c r="F876" s="25">
        <v>4.67</v>
      </c>
      <c r="G876" s="25">
        <v>472.790009</v>
      </c>
      <c r="H876" s="25">
        <v>2038.459961</v>
      </c>
      <c r="I876" s="19">
        <v>18604.300780000001</v>
      </c>
    </row>
    <row r="877" spans="1:9" x14ac:dyDescent="0.2">
      <c r="A877" s="4">
        <v>34733</v>
      </c>
      <c r="B877" s="24">
        <v>1.2596000000000001</v>
      </c>
      <c r="C877" s="25">
        <v>99.85</v>
      </c>
      <c r="D877" s="25">
        <v>7.4569999999999999</v>
      </c>
      <c r="E877" s="26">
        <v>7.45</v>
      </c>
      <c r="F877" s="25">
        <v>4.6509999999999998</v>
      </c>
      <c r="G877" s="25">
        <v>478.64999399999999</v>
      </c>
      <c r="H877" s="25">
        <v>2077.9399410000001</v>
      </c>
      <c r="I877" s="19">
        <v>18538.970700000002</v>
      </c>
    </row>
    <row r="878" spans="1:9" x14ac:dyDescent="0.2">
      <c r="A878" s="4">
        <v>34736</v>
      </c>
      <c r="B878" s="24">
        <v>1.2558</v>
      </c>
      <c r="C878" s="25">
        <v>99.36</v>
      </c>
      <c r="D878" s="25">
        <v>7.5069999999999997</v>
      </c>
      <c r="E878" s="26">
        <v>7.39</v>
      </c>
      <c r="F878" s="25">
        <v>4.6360000000000001</v>
      </c>
      <c r="G878" s="25">
        <v>481.14001500000001</v>
      </c>
      <c r="H878" s="25">
        <v>2085.080078</v>
      </c>
      <c r="I878" s="19">
        <v>18667.230469999999</v>
      </c>
    </row>
    <row r="879" spans="1:9" x14ac:dyDescent="0.2">
      <c r="A879" s="4">
        <v>34737</v>
      </c>
      <c r="B879" s="24">
        <v>1.2529999999999999</v>
      </c>
      <c r="C879" s="25">
        <v>99.46</v>
      </c>
      <c r="D879" s="25">
        <v>7.5110000000000001</v>
      </c>
      <c r="E879" s="26">
        <v>7.36</v>
      </c>
      <c r="F879" s="25">
        <v>4.6210000000000004</v>
      </c>
      <c r="G879" s="25">
        <v>480.80999800000001</v>
      </c>
      <c r="H879" s="25">
        <v>2093.01001</v>
      </c>
      <c r="I879" s="19">
        <v>18500.550780000001</v>
      </c>
    </row>
    <row r="880" spans="1:9" x14ac:dyDescent="0.2">
      <c r="A880" s="4">
        <v>34738</v>
      </c>
      <c r="B880" s="24">
        <v>1.2561</v>
      </c>
      <c r="C880" s="25">
        <v>98.93</v>
      </c>
      <c r="D880" s="25">
        <v>7.5110000000000001</v>
      </c>
      <c r="E880" s="26">
        <v>7.37</v>
      </c>
      <c r="F880" s="25">
        <v>4.625</v>
      </c>
      <c r="G880" s="25">
        <v>481.19000199999999</v>
      </c>
      <c r="H880" s="25">
        <v>2087.780029</v>
      </c>
      <c r="I880" s="19">
        <v>18290.25</v>
      </c>
    </row>
    <row r="881" spans="1:9" x14ac:dyDescent="0.2">
      <c r="A881" s="4">
        <v>34739</v>
      </c>
      <c r="B881" s="24">
        <v>1.2575000000000001</v>
      </c>
      <c r="C881" s="25">
        <v>98.91</v>
      </c>
      <c r="D881" s="25">
        <v>7.5720000000000001</v>
      </c>
      <c r="E881" s="26">
        <v>7.36</v>
      </c>
      <c r="F881" s="25">
        <v>4.625</v>
      </c>
      <c r="G881" s="25">
        <v>480.19000199999999</v>
      </c>
      <c r="H881" s="25">
        <v>2117.8000489999999</v>
      </c>
      <c r="I881" s="19">
        <v>18099.550780000001</v>
      </c>
    </row>
    <row r="882" spans="1:9" x14ac:dyDescent="0.2">
      <c r="A882" s="4">
        <v>34740</v>
      </c>
      <c r="B882" s="24">
        <v>1.2615000000000001</v>
      </c>
      <c r="C882" s="25">
        <v>98.93</v>
      </c>
      <c r="D882" s="25">
        <v>7.6180000000000003</v>
      </c>
      <c r="E882" s="26">
        <v>7.36</v>
      </c>
      <c r="F882" s="25">
        <v>4.63</v>
      </c>
      <c r="G882" s="25">
        <v>481.459991</v>
      </c>
      <c r="H882" s="25">
        <v>2127.5600589999999</v>
      </c>
      <c r="I882" s="19">
        <v>18291.349610000001</v>
      </c>
    </row>
    <row r="883" spans="1:9" x14ac:dyDescent="0.2">
      <c r="A883" s="4">
        <v>34743</v>
      </c>
      <c r="B883" s="24">
        <v>1.2648999999999999</v>
      </c>
      <c r="C883" s="25">
        <v>98.73</v>
      </c>
      <c r="D883" s="25">
        <v>7.5949999999999998</v>
      </c>
      <c r="E883" s="26">
        <v>7.44</v>
      </c>
      <c r="F883" s="25">
        <v>4.6059999999999999</v>
      </c>
      <c r="G883" s="25">
        <v>481.64999399999999</v>
      </c>
      <c r="H883" s="25">
        <v>2118.959961</v>
      </c>
      <c r="I883" s="19">
        <v>18313.859380000002</v>
      </c>
    </row>
    <row r="884" spans="1:9" x14ac:dyDescent="0.2">
      <c r="A884" s="4">
        <v>34744</v>
      </c>
      <c r="B884" s="24">
        <v>1.2692000000000001</v>
      </c>
      <c r="C884" s="25">
        <v>98.48</v>
      </c>
      <c r="D884" s="25">
        <v>7.5039999999999996</v>
      </c>
      <c r="E884" s="26">
        <v>7.44</v>
      </c>
      <c r="F884" s="25">
        <v>4.5960000000000001</v>
      </c>
      <c r="G884" s="25">
        <v>482.54998799999998</v>
      </c>
      <c r="H884" s="25">
        <v>2128.330078</v>
      </c>
      <c r="I884" s="19">
        <v>18138.470700000002</v>
      </c>
    </row>
    <row r="885" spans="1:9" x14ac:dyDescent="0.2">
      <c r="A885" s="4">
        <v>34745</v>
      </c>
      <c r="B885" s="24">
        <v>1.2726</v>
      </c>
      <c r="C885" s="25">
        <v>98.34</v>
      </c>
      <c r="D885" s="25">
        <v>7.4420000000000002</v>
      </c>
      <c r="E885" s="26">
        <v>7.44</v>
      </c>
      <c r="F885" s="25">
        <v>4.5659999999999998</v>
      </c>
      <c r="G885" s="25">
        <v>484.540009</v>
      </c>
      <c r="H885" s="25">
        <v>2135.48999</v>
      </c>
      <c r="I885" s="19">
        <v>17991</v>
      </c>
    </row>
    <row r="886" spans="1:9" x14ac:dyDescent="0.2">
      <c r="A886" s="4">
        <v>34746</v>
      </c>
      <c r="B886" s="24">
        <v>1.2848999999999999</v>
      </c>
      <c r="C886" s="25">
        <v>97.5</v>
      </c>
      <c r="D886" s="25">
        <v>7.3879999999999999</v>
      </c>
      <c r="E886" s="26">
        <v>7.37</v>
      </c>
      <c r="F886" s="25">
        <v>4.5659999999999998</v>
      </c>
      <c r="G886" s="25">
        <v>485.22000100000002</v>
      </c>
      <c r="H886" s="25">
        <v>2112.0600589999999</v>
      </c>
      <c r="I886" s="19">
        <v>17780.589840000001</v>
      </c>
    </row>
    <row r="887" spans="1:9" x14ac:dyDescent="0.2">
      <c r="A887" s="4">
        <v>34747</v>
      </c>
      <c r="B887" s="24">
        <v>1.2854000000000001</v>
      </c>
      <c r="C887" s="25">
        <v>97.4</v>
      </c>
      <c r="D887" s="25">
        <v>7.4189999999999996</v>
      </c>
      <c r="E887" s="26">
        <v>7.41</v>
      </c>
      <c r="F887" s="25">
        <v>4.55</v>
      </c>
      <c r="G887" s="25">
        <v>481.97000100000002</v>
      </c>
      <c r="H887" s="25">
        <v>2119.290039</v>
      </c>
      <c r="I887" s="19">
        <v>18020.509770000001</v>
      </c>
    </row>
    <row r="888" spans="1:9" x14ac:dyDescent="0.2">
      <c r="A888" s="4">
        <v>34750</v>
      </c>
      <c r="B888" s="24">
        <v>1.2975000000000001</v>
      </c>
      <c r="C888" s="25">
        <v>97.29</v>
      </c>
      <c r="D888" s="25">
        <v>7.4189999999999996</v>
      </c>
      <c r="E888" s="26">
        <v>7.41</v>
      </c>
      <c r="F888" s="25">
        <v>4.53</v>
      </c>
      <c r="G888" s="25">
        <v>483.81</v>
      </c>
      <c r="H888" s="25">
        <v>2101.9799800000001</v>
      </c>
      <c r="I888" s="19">
        <v>17956.480469999999</v>
      </c>
    </row>
    <row r="889" spans="1:9" x14ac:dyDescent="0.2">
      <c r="A889" s="4">
        <v>34751</v>
      </c>
      <c r="B889" s="24">
        <v>1.2898000000000001</v>
      </c>
      <c r="C889" s="25">
        <v>97.08</v>
      </c>
      <c r="D889" s="25">
        <v>7.4320000000000004</v>
      </c>
      <c r="E889" s="26">
        <v>7.43</v>
      </c>
      <c r="F889" s="25">
        <v>4.5049999999999999</v>
      </c>
      <c r="G889" s="25">
        <v>482.72000100000002</v>
      </c>
      <c r="H889" s="25">
        <v>2101.820068</v>
      </c>
      <c r="I889" s="19">
        <v>18096.25</v>
      </c>
    </row>
    <row r="890" spans="1:9" x14ac:dyDescent="0.2">
      <c r="A890" s="4">
        <v>34752</v>
      </c>
      <c r="B890" s="24">
        <v>1.2963</v>
      </c>
      <c r="C890" s="25">
        <v>97.05</v>
      </c>
      <c r="D890" s="25">
        <v>7.3209999999999997</v>
      </c>
      <c r="E890" s="26">
        <v>7.46</v>
      </c>
      <c r="F890" s="25">
        <v>4.4950000000000001</v>
      </c>
      <c r="G890" s="25">
        <v>485.07000699999998</v>
      </c>
      <c r="H890" s="25">
        <v>2096.26001</v>
      </c>
      <c r="I890" s="19">
        <v>18106.650389999999</v>
      </c>
    </row>
    <row r="891" spans="1:9" x14ac:dyDescent="0.2">
      <c r="A891" s="4">
        <v>34753</v>
      </c>
      <c r="B891" s="24">
        <v>1.2942</v>
      </c>
      <c r="C891" s="25">
        <v>96.72</v>
      </c>
      <c r="D891" s="25">
        <v>7.33</v>
      </c>
      <c r="E891" s="26">
        <v>7.39</v>
      </c>
      <c r="F891" s="25">
        <v>4.3840000000000003</v>
      </c>
      <c r="G891" s="25">
        <v>486.91000400000001</v>
      </c>
      <c r="H891" s="25">
        <v>2126.4399410000001</v>
      </c>
      <c r="I891" s="19">
        <v>17830.019530000001</v>
      </c>
    </row>
    <row r="892" spans="1:9" x14ac:dyDescent="0.2">
      <c r="A892" s="4">
        <v>34754</v>
      </c>
      <c r="B892" s="24">
        <v>1.2875000000000001</v>
      </c>
      <c r="C892" s="25">
        <v>96.9</v>
      </c>
      <c r="D892" s="25">
        <v>7.3250000000000002</v>
      </c>
      <c r="E892" s="26">
        <v>7.39</v>
      </c>
      <c r="F892" s="25">
        <v>4.42</v>
      </c>
      <c r="G892" s="25">
        <v>488.10998499999999</v>
      </c>
      <c r="H892" s="25">
        <v>2117.5900879999999</v>
      </c>
      <c r="I892" s="19">
        <v>17472.939450000002</v>
      </c>
    </row>
    <row r="893" spans="1:9" x14ac:dyDescent="0.2">
      <c r="A893" s="4">
        <v>34757</v>
      </c>
      <c r="B893" s="24">
        <v>1.2948</v>
      </c>
      <c r="C893" s="25">
        <v>97.08</v>
      </c>
      <c r="D893" s="25">
        <v>7.2359999999999998</v>
      </c>
      <c r="E893" s="26">
        <v>7.33</v>
      </c>
      <c r="F893" s="25">
        <v>4.3639999999999999</v>
      </c>
      <c r="G893" s="25">
        <v>483.80999800000001</v>
      </c>
      <c r="H893" s="25">
        <v>2106.0500489999999</v>
      </c>
      <c r="I893" s="19">
        <v>16808.699219999999</v>
      </c>
    </row>
    <row r="894" spans="1:9" x14ac:dyDescent="0.2">
      <c r="A894" s="4">
        <v>34758</v>
      </c>
      <c r="B894" s="24">
        <v>1.2927</v>
      </c>
      <c r="C894" s="25">
        <v>96.69</v>
      </c>
      <c r="D894" s="25">
        <v>7.21</v>
      </c>
      <c r="E894" s="26">
        <v>7.32</v>
      </c>
      <c r="F894" s="25">
        <v>4.3899999999999997</v>
      </c>
      <c r="G894" s="25">
        <v>487.39001500000001</v>
      </c>
      <c r="H894" s="25">
        <v>2097.8500979999999</v>
      </c>
      <c r="I894" s="19">
        <v>17053.429690000001</v>
      </c>
    </row>
    <row r="895" spans="1:9" x14ac:dyDescent="0.2">
      <c r="A895" s="4">
        <v>34759</v>
      </c>
      <c r="B895" s="24">
        <v>1.2957000000000001</v>
      </c>
      <c r="C895" s="25">
        <v>96.77</v>
      </c>
      <c r="D895" s="25">
        <v>7.2140000000000004</v>
      </c>
      <c r="E895" s="26">
        <v>7.3</v>
      </c>
      <c r="F895" s="25">
        <v>4.3849999999999998</v>
      </c>
      <c r="G895" s="25">
        <v>485.64999399999999</v>
      </c>
      <c r="H895" s="25">
        <v>2127.209961</v>
      </c>
      <c r="I895" s="19">
        <v>16618.710940000001</v>
      </c>
    </row>
    <row r="896" spans="1:9" x14ac:dyDescent="0.2">
      <c r="A896" s="4">
        <v>34760</v>
      </c>
      <c r="B896" s="24">
        <v>1.296</v>
      </c>
      <c r="C896" s="25">
        <v>95.28</v>
      </c>
      <c r="D896" s="25">
        <v>7.2889999999999997</v>
      </c>
      <c r="E896" s="26">
        <v>7.33</v>
      </c>
      <c r="F896" s="25">
        <v>4.3650000000000002</v>
      </c>
      <c r="G896" s="25">
        <v>485.13000499999998</v>
      </c>
      <c r="H896" s="25">
        <v>2116.639893</v>
      </c>
      <c r="I896" s="19">
        <v>16963.179690000001</v>
      </c>
    </row>
    <row r="897" spans="1:9" x14ac:dyDescent="0.2">
      <c r="A897" s="4">
        <v>34761</v>
      </c>
      <c r="B897" s="24">
        <v>1.3163</v>
      </c>
      <c r="C897" s="25">
        <v>94.14</v>
      </c>
      <c r="D897" s="25">
        <v>7.3559999999999999</v>
      </c>
      <c r="E897" s="26">
        <v>7.36</v>
      </c>
      <c r="F897" s="25">
        <v>4.3049999999999997</v>
      </c>
      <c r="G897" s="25">
        <v>485.42001299999998</v>
      </c>
      <c r="H897" s="25">
        <v>2094.1599120000001</v>
      </c>
      <c r="I897" s="19">
        <v>17039.619139999999</v>
      </c>
    </row>
    <row r="898" spans="1:9" x14ac:dyDescent="0.2">
      <c r="A898" s="4">
        <v>34764</v>
      </c>
      <c r="B898" s="24">
        <v>1.3357000000000001</v>
      </c>
      <c r="C898" s="25">
        <v>92.87</v>
      </c>
      <c r="D898" s="25">
        <v>7.4</v>
      </c>
      <c r="E898" s="26">
        <v>7.35</v>
      </c>
      <c r="F898" s="25">
        <v>4.25</v>
      </c>
      <c r="G898" s="25">
        <v>485.63000499999998</v>
      </c>
      <c r="H898" s="25">
        <v>2069.9499510000001</v>
      </c>
      <c r="I898" s="19">
        <v>17040.720700000002</v>
      </c>
    </row>
    <row r="899" spans="1:9" x14ac:dyDescent="0.2">
      <c r="A899" s="4">
        <v>34765</v>
      </c>
      <c r="B899" s="24">
        <v>1.341</v>
      </c>
      <c r="C899" s="25">
        <v>90.45</v>
      </c>
      <c r="D899" s="25">
        <v>7.431</v>
      </c>
      <c r="E899" s="26">
        <v>7.4</v>
      </c>
      <c r="F899" s="25">
        <v>4.1449999999999996</v>
      </c>
      <c r="G899" s="25">
        <v>482.11999500000002</v>
      </c>
      <c r="H899" s="25">
        <v>2041.26001</v>
      </c>
      <c r="I899" s="19">
        <v>16955.279299999998</v>
      </c>
    </row>
    <row r="900" spans="1:9" x14ac:dyDescent="0.2">
      <c r="A900" s="4">
        <v>34766</v>
      </c>
      <c r="B900" s="24">
        <v>1.3472</v>
      </c>
      <c r="C900" s="25">
        <v>91.62</v>
      </c>
      <c r="D900" s="25">
        <v>7.3550000000000004</v>
      </c>
      <c r="E900" s="26">
        <v>7.42</v>
      </c>
      <c r="F900" s="25">
        <v>4.1349999999999998</v>
      </c>
      <c r="G900" s="25">
        <v>483.14001500000001</v>
      </c>
      <c r="H900" s="25">
        <v>2029.380005</v>
      </c>
      <c r="I900" s="19">
        <v>16621.310549999998</v>
      </c>
    </row>
    <row r="901" spans="1:9" x14ac:dyDescent="0.2">
      <c r="A901" s="4">
        <v>34767</v>
      </c>
      <c r="B901" s="24">
        <v>1.3436999999999999</v>
      </c>
      <c r="C901" s="25">
        <v>91.02</v>
      </c>
      <c r="D901" s="25">
        <v>7.28</v>
      </c>
      <c r="E901" s="26">
        <v>7.42</v>
      </c>
      <c r="F901" s="25">
        <v>4.21</v>
      </c>
      <c r="G901" s="25">
        <v>483.16000400000001</v>
      </c>
      <c r="H901" s="25">
        <v>1989.1999510000001</v>
      </c>
      <c r="I901" s="19">
        <v>16763.08008</v>
      </c>
    </row>
    <row r="902" spans="1:9" x14ac:dyDescent="0.2">
      <c r="A902" s="4">
        <v>34768</v>
      </c>
      <c r="B902" s="24">
        <v>1.321</v>
      </c>
      <c r="C902" s="25">
        <v>90.9</v>
      </c>
      <c r="D902" s="25">
        <v>7.218</v>
      </c>
      <c r="E902" s="26">
        <v>7.4</v>
      </c>
      <c r="F902" s="25">
        <v>4.1900000000000004</v>
      </c>
      <c r="G902" s="25">
        <v>489.57000699999998</v>
      </c>
      <c r="H902" s="25">
        <v>2008.849976</v>
      </c>
      <c r="I902" s="19">
        <v>16358.37988</v>
      </c>
    </row>
    <row r="903" spans="1:9" x14ac:dyDescent="0.2">
      <c r="A903" s="4">
        <v>34771</v>
      </c>
      <c r="B903" s="24">
        <v>1.3259000000000001</v>
      </c>
      <c r="C903" s="25">
        <v>90.67</v>
      </c>
      <c r="D903" s="25">
        <v>7.1740000000000004</v>
      </c>
      <c r="E903" s="26">
        <v>7.38</v>
      </c>
      <c r="F903" s="25">
        <v>4.1100000000000003</v>
      </c>
      <c r="G903" s="25">
        <v>490.04998799999998</v>
      </c>
      <c r="H903" s="25">
        <v>1974.1400149999999</v>
      </c>
      <c r="I903" s="19">
        <v>16477.640630000002</v>
      </c>
    </row>
    <row r="904" spans="1:9" x14ac:dyDescent="0.2">
      <c r="A904" s="4">
        <v>34772</v>
      </c>
      <c r="B904" s="24">
        <v>1.3224</v>
      </c>
      <c r="C904" s="25">
        <v>90.77</v>
      </c>
      <c r="D904" s="25">
        <v>7.077</v>
      </c>
      <c r="E904" s="26">
        <v>7.34</v>
      </c>
      <c r="F904" s="25">
        <v>4.1449999999999996</v>
      </c>
      <c r="G904" s="25">
        <v>492.89001500000001</v>
      </c>
      <c r="H904" s="25">
        <v>2022.5</v>
      </c>
      <c r="I904" s="19">
        <v>16245.820309999999</v>
      </c>
    </row>
    <row r="905" spans="1:9" x14ac:dyDescent="0.2">
      <c r="A905" s="4">
        <v>34773</v>
      </c>
      <c r="B905" s="24">
        <v>1.3395999999999999</v>
      </c>
      <c r="C905" s="25">
        <v>89.49</v>
      </c>
      <c r="D905" s="25">
        <v>7.077</v>
      </c>
      <c r="E905" s="26">
        <v>7.24</v>
      </c>
      <c r="F905" s="25">
        <v>4.1150000000000002</v>
      </c>
      <c r="G905" s="25">
        <v>491.88000499999998</v>
      </c>
      <c r="H905" s="25">
        <v>1995.219971</v>
      </c>
      <c r="I905" s="19">
        <v>16666.83008</v>
      </c>
    </row>
    <row r="906" spans="1:9" x14ac:dyDescent="0.2">
      <c r="A906" s="4">
        <v>34774</v>
      </c>
      <c r="B906" s="24">
        <v>1.3408</v>
      </c>
      <c r="C906" s="25">
        <v>90.31</v>
      </c>
      <c r="D906" s="25">
        <v>7.0380000000000003</v>
      </c>
      <c r="E906" s="26">
        <v>7.26</v>
      </c>
      <c r="F906" s="25">
        <v>4.0650000000000004</v>
      </c>
      <c r="G906" s="25">
        <v>495.41000400000001</v>
      </c>
      <c r="H906" s="25">
        <v>2016.150024</v>
      </c>
      <c r="I906" s="19">
        <v>16355.679690000001</v>
      </c>
    </row>
    <row r="907" spans="1:9" x14ac:dyDescent="0.2">
      <c r="A907" s="4">
        <v>34775</v>
      </c>
      <c r="B907" s="24">
        <v>1.3352999999999999</v>
      </c>
      <c r="C907" s="25">
        <v>89.05</v>
      </c>
      <c r="D907" s="25">
        <v>7.1029999999999998</v>
      </c>
      <c r="E907" s="26">
        <v>7.17</v>
      </c>
      <c r="F907" s="25">
        <v>3.99</v>
      </c>
      <c r="G907" s="25">
        <v>495.51998900000001</v>
      </c>
      <c r="H907" s="25">
        <v>1979.5200199999999</v>
      </c>
      <c r="I907" s="19">
        <v>16251.23047</v>
      </c>
    </row>
    <row r="908" spans="1:9" x14ac:dyDescent="0.2">
      <c r="A908" s="4">
        <v>34778</v>
      </c>
      <c r="B908" s="24">
        <v>1.3284</v>
      </c>
      <c r="C908" s="25">
        <v>89.35</v>
      </c>
      <c r="D908" s="25">
        <v>7.1120000000000001</v>
      </c>
      <c r="E908" s="26">
        <v>7.16</v>
      </c>
      <c r="F908" s="25">
        <v>4.01</v>
      </c>
      <c r="G908" s="25">
        <v>496.14001500000001</v>
      </c>
      <c r="H908" s="25">
        <v>1984.98999</v>
      </c>
      <c r="I908" s="19">
        <v>16129.95996</v>
      </c>
    </row>
    <row r="909" spans="1:9" x14ac:dyDescent="0.2">
      <c r="A909" s="4">
        <v>34779</v>
      </c>
      <c r="B909" s="24">
        <v>1.3221000000000001</v>
      </c>
      <c r="C909" s="25">
        <v>89.35</v>
      </c>
      <c r="D909" s="25">
        <v>7.1509999999999998</v>
      </c>
      <c r="E909" s="26">
        <v>7.12</v>
      </c>
      <c r="F909" s="25">
        <v>4.01</v>
      </c>
      <c r="G909" s="25">
        <v>495.07000699999998</v>
      </c>
      <c r="H909" s="25">
        <v>1984.150024</v>
      </c>
      <c r="I909" s="19">
        <v>16129.95996</v>
      </c>
    </row>
    <row r="910" spans="1:9" x14ac:dyDescent="0.2">
      <c r="A910" s="4">
        <v>34780</v>
      </c>
      <c r="B910" s="24">
        <v>1.3238000000000001</v>
      </c>
      <c r="C910" s="25">
        <v>89.03</v>
      </c>
      <c r="D910" s="25">
        <v>7.1950000000000003</v>
      </c>
      <c r="E910" s="26">
        <v>7.16</v>
      </c>
      <c r="F910" s="25">
        <v>3.9649999999999999</v>
      </c>
      <c r="G910" s="25">
        <v>495.67001299999998</v>
      </c>
      <c r="H910" s="25">
        <v>1978.0699460000001</v>
      </c>
      <c r="I910" s="19">
        <v>15904.849609999999</v>
      </c>
    </row>
    <row r="911" spans="1:9" x14ac:dyDescent="0.2">
      <c r="A911" s="4">
        <v>34781</v>
      </c>
      <c r="B911" s="24">
        <v>1.3277000000000001</v>
      </c>
      <c r="C911" s="25">
        <v>88.15</v>
      </c>
      <c r="D911" s="25">
        <v>7.2030000000000003</v>
      </c>
      <c r="E911" s="26">
        <v>7.17</v>
      </c>
      <c r="F911" s="25">
        <v>3.87</v>
      </c>
      <c r="G911" s="25">
        <v>495.95001200000002</v>
      </c>
      <c r="H911" s="25">
        <v>1935.079956</v>
      </c>
      <c r="I911" s="19">
        <v>15813.410159999999</v>
      </c>
    </row>
    <row r="912" spans="1:9" x14ac:dyDescent="0.2">
      <c r="A912" s="4">
        <v>34782</v>
      </c>
      <c r="B912" s="24">
        <v>1.3213999999999999</v>
      </c>
      <c r="C912" s="25">
        <v>88.89</v>
      </c>
      <c r="D912" s="25">
        <v>7.085</v>
      </c>
      <c r="E912" s="26">
        <v>7.16</v>
      </c>
      <c r="F912" s="25">
        <v>3.85</v>
      </c>
      <c r="G912" s="25">
        <v>500.97000100000002</v>
      </c>
      <c r="H912" s="25">
        <v>1935.869995</v>
      </c>
      <c r="I912" s="19">
        <v>15749.76953</v>
      </c>
    </row>
    <row r="913" spans="1:9" x14ac:dyDescent="0.2">
      <c r="A913" s="4">
        <v>34785</v>
      </c>
      <c r="B913" s="24">
        <v>1.3277000000000001</v>
      </c>
      <c r="C913" s="25">
        <v>89.35</v>
      </c>
      <c r="D913" s="25">
        <v>7.032</v>
      </c>
      <c r="E913" s="26">
        <v>7.13</v>
      </c>
      <c r="F913" s="25">
        <v>3.8519999999999999</v>
      </c>
      <c r="G913" s="25">
        <v>503.20001200000002</v>
      </c>
      <c r="H913" s="25">
        <v>1928.8199460000001</v>
      </c>
      <c r="I913" s="19">
        <v>16096.25</v>
      </c>
    </row>
    <row r="914" spans="1:9" x14ac:dyDescent="0.2">
      <c r="A914" s="4">
        <v>34786</v>
      </c>
      <c r="B914" s="24">
        <v>1.333</v>
      </c>
      <c r="C914" s="25">
        <v>88.91</v>
      </c>
      <c r="D914" s="25">
        <v>7.141</v>
      </c>
      <c r="E914" s="26">
        <v>7.14</v>
      </c>
      <c r="F914" s="25">
        <v>3.802</v>
      </c>
      <c r="G914" s="25">
        <v>503.89999399999999</v>
      </c>
      <c r="H914" s="25">
        <v>1911.6999510000001</v>
      </c>
      <c r="I914" s="19">
        <v>16681.730469999999</v>
      </c>
    </row>
    <row r="915" spans="1:9" x14ac:dyDescent="0.2">
      <c r="A915" s="4">
        <v>34787</v>
      </c>
      <c r="B915" s="24">
        <v>1.3499000000000001</v>
      </c>
      <c r="C915" s="25">
        <v>88.34</v>
      </c>
      <c r="D915" s="25">
        <v>7.141</v>
      </c>
      <c r="E915" s="26">
        <v>7.18</v>
      </c>
      <c r="F915" s="25">
        <v>3.7519999999999998</v>
      </c>
      <c r="G915" s="25">
        <v>503.11999500000002</v>
      </c>
      <c r="H915" s="25">
        <v>1918.849976</v>
      </c>
      <c r="I915" s="19">
        <v>16460.730469999999</v>
      </c>
    </row>
    <row r="916" spans="1:9" x14ac:dyDescent="0.2">
      <c r="A916" s="4">
        <v>34788</v>
      </c>
      <c r="B916" s="24">
        <v>1.3261000000000001</v>
      </c>
      <c r="C916" s="25">
        <v>89.55</v>
      </c>
      <c r="D916" s="25">
        <v>7.1589999999999998</v>
      </c>
      <c r="E916" s="26">
        <v>7.14</v>
      </c>
      <c r="F916" s="25">
        <v>3.7719999999999998</v>
      </c>
      <c r="G916" s="25">
        <v>502.22000100000002</v>
      </c>
      <c r="H916" s="25">
        <v>1949.76001</v>
      </c>
      <c r="I916" s="19">
        <v>16512.220700000002</v>
      </c>
    </row>
    <row r="917" spans="1:9" x14ac:dyDescent="0.2">
      <c r="A917" s="4">
        <v>34789</v>
      </c>
      <c r="B917" s="24">
        <v>1.3614999999999999</v>
      </c>
      <c r="C917" s="25">
        <v>86.55</v>
      </c>
      <c r="D917" s="25">
        <v>7.1890000000000001</v>
      </c>
      <c r="E917" s="26">
        <v>7.17</v>
      </c>
      <c r="F917" s="25">
        <v>3.6779999999999999</v>
      </c>
      <c r="G917" s="25">
        <v>500.709991</v>
      </c>
      <c r="H917" s="25">
        <v>1914.6899410000001</v>
      </c>
      <c r="I917" s="19">
        <v>16139.950199999999</v>
      </c>
    </row>
    <row r="918" spans="1:9" x14ac:dyDescent="0.2">
      <c r="A918" s="4">
        <v>34792</v>
      </c>
      <c r="B918" s="24">
        <v>1.355</v>
      </c>
      <c r="C918" s="25">
        <v>85.85</v>
      </c>
      <c r="D918" s="25">
        <v>7.1319999999999997</v>
      </c>
      <c r="E918" s="26">
        <v>7.15</v>
      </c>
      <c r="F918" s="25">
        <v>3.53</v>
      </c>
      <c r="G918" s="25">
        <v>501.85000600000001</v>
      </c>
      <c r="H918" s="25">
        <v>1934.959961</v>
      </c>
      <c r="I918" s="19">
        <v>15381.29004</v>
      </c>
    </row>
    <row r="919" spans="1:9" x14ac:dyDescent="0.2">
      <c r="A919" s="4">
        <v>34793</v>
      </c>
      <c r="B919" s="24">
        <v>1.345</v>
      </c>
      <c r="C919" s="25">
        <v>86.2</v>
      </c>
      <c r="D919" s="25">
        <v>7.1059999999999999</v>
      </c>
      <c r="E919" s="26">
        <v>7.04</v>
      </c>
      <c r="F919" s="25">
        <v>3.5150000000000001</v>
      </c>
      <c r="G919" s="25">
        <v>505.23998999999998</v>
      </c>
      <c r="H919" s="25">
        <v>1965.6800539999999</v>
      </c>
      <c r="I919" s="19">
        <v>15630.530269999999</v>
      </c>
    </row>
    <row r="920" spans="1:9" x14ac:dyDescent="0.2">
      <c r="A920" s="4">
        <v>34794</v>
      </c>
      <c r="B920" s="24">
        <v>1.3473999999999999</v>
      </c>
      <c r="C920" s="25">
        <v>86.15</v>
      </c>
      <c r="D920" s="25">
        <v>7.1059999999999999</v>
      </c>
      <c r="E920" s="26">
        <v>7.05</v>
      </c>
      <c r="F920" s="25">
        <v>3.625</v>
      </c>
      <c r="G920" s="25">
        <v>505.57000699999998</v>
      </c>
      <c r="H920" s="25">
        <v>1972.589966</v>
      </c>
      <c r="I920" s="19">
        <v>15882.490229999999</v>
      </c>
    </row>
    <row r="921" spans="1:9" x14ac:dyDescent="0.2">
      <c r="A921" s="4">
        <v>34795</v>
      </c>
      <c r="B921" s="24">
        <v>1.3555999999999999</v>
      </c>
      <c r="C921" s="25">
        <v>84.84</v>
      </c>
      <c r="D921" s="25">
        <v>7.0750000000000002</v>
      </c>
      <c r="E921" s="26">
        <v>7.02</v>
      </c>
      <c r="F921" s="25">
        <v>3.58</v>
      </c>
      <c r="G921" s="25">
        <v>506.07998700000002</v>
      </c>
      <c r="H921" s="25">
        <v>1976.5200199999999</v>
      </c>
      <c r="I921" s="19">
        <v>15815.87012</v>
      </c>
    </row>
    <row r="922" spans="1:9" x14ac:dyDescent="0.2">
      <c r="A922" s="4">
        <v>34796</v>
      </c>
      <c r="B922" s="24">
        <v>1.355</v>
      </c>
      <c r="C922" s="25">
        <v>83.85</v>
      </c>
      <c r="D922" s="25">
        <v>7.0919999999999996</v>
      </c>
      <c r="E922" s="26">
        <v>7.02</v>
      </c>
      <c r="F922" s="25">
        <v>3.5550000000000002</v>
      </c>
      <c r="G922" s="25">
        <v>506.42001299999998</v>
      </c>
      <c r="H922" s="25">
        <v>1978.709961</v>
      </c>
      <c r="I922" s="19">
        <v>15719.5</v>
      </c>
    </row>
    <row r="923" spans="1:9" x14ac:dyDescent="0.2">
      <c r="A923" s="4">
        <v>34799</v>
      </c>
      <c r="B923" s="24">
        <v>1.3342000000000001</v>
      </c>
      <c r="C923" s="25">
        <v>83.9</v>
      </c>
      <c r="D923" s="25">
        <v>7.0960000000000001</v>
      </c>
      <c r="E923" s="26">
        <v>7.1</v>
      </c>
      <c r="F923" s="25">
        <v>3.6549999999999998</v>
      </c>
      <c r="G923" s="25">
        <v>507.01001000000002</v>
      </c>
      <c r="H923" s="25">
        <v>1980.8100589999999</v>
      </c>
      <c r="I923" s="19">
        <v>16163.089840000001</v>
      </c>
    </row>
    <row r="924" spans="1:9" x14ac:dyDescent="0.2">
      <c r="A924" s="4">
        <v>34800</v>
      </c>
      <c r="B924" s="24">
        <v>1.3365</v>
      </c>
      <c r="C924" s="25">
        <v>83.53</v>
      </c>
      <c r="D924" s="25">
        <v>7.0739999999999998</v>
      </c>
      <c r="E924" s="26">
        <v>7.13</v>
      </c>
      <c r="F924" s="25">
        <v>3.6749999999999998</v>
      </c>
      <c r="G924" s="25">
        <v>505.52999899999998</v>
      </c>
      <c r="H924" s="25">
        <v>1979.26001</v>
      </c>
      <c r="I924" s="19">
        <v>16268.87988</v>
      </c>
    </row>
    <row r="925" spans="1:9" x14ac:dyDescent="0.2">
      <c r="A925" s="4">
        <v>34801</v>
      </c>
      <c r="B925" s="24">
        <v>1.3328</v>
      </c>
      <c r="C925" s="25">
        <v>83.75</v>
      </c>
      <c r="D925" s="25">
        <v>7.048</v>
      </c>
      <c r="E925" s="26">
        <v>7.13</v>
      </c>
      <c r="F925" s="25">
        <v>3.72</v>
      </c>
      <c r="G925" s="25">
        <v>507.17001299999998</v>
      </c>
      <c r="H925" s="25">
        <v>1991.079956</v>
      </c>
      <c r="I925" s="19">
        <v>16344.91992</v>
      </c>
    </row>
    <row r="926" spans="1:9" x14ac:dyDescent="0.2">
      <c r="A926" s="4">
        <v>34802</v>
      </c>
      <c r="B926" s="24">
        <v>1.3488</v>
      </c>
      <c r="C926" s="25">
        <v>83.5</v>
      </c>
      <c r="D926" s="25">
        <v>7</v>
      </c>
      <c r="E926" s="26">
        <v>7.08</v>
      </c>
      <c r="F926" s="25">
        <v>3.5670000000000002</v>
      </c>
      <c r="G926" s="25">
        <v>509.23001099999999</v>
      </c>
      <c r="H926" s="25">
        <v>1982.98999</v>
      </c>
      <c r="I926" s="19">
        <v>16438.789059999999</v>
      </c>
    </row>
    <row r="927" spans="1:9" x14ac:dyDescent="0.2">
      <c r="A927" s="4">
        <v>34803</v>
      </c>
      <c r="B927" s="24">
        <v>1.3488</v>
      </c>
      <c r="C927" s="25">
        <v>83.3</v>
      </c>
      <c r="D927" s="25">
        <v>7</v>
      </c>
      <c r="E927" s="26">
        <v>7.08</v>
      </c>
      <c r="F927" s="25">
        <v>3.4020000000000001</v>
      </c>
      <c r="G927" s="25">
        <v>508.49</v>
      </c>
      <c r="H927" s="25">
        <v>1982.98999</v>
      </c>
      <c r="I927" s="19">
        <v>16047.889649999999</v>
      </c>
    </row>
    <row r="928" spans="1:9" x14ac:dyDescent="0.2">
      <c r="A928" s="4">
        <v>34806</v>
      </c>
      <c r="B928" s="24">
        <v>1.3488</v>
      </c>
      <c r="C928" s="25">
        <v>81.95</v>
      </c>
      <c r="D928" s="25">
        <v>7.0209999999999999</v>
      </c>
      <c r="E928" s="26">
        <v>7.08</v>
      </c>
      <c r="F928" s="25">
        <v>3.3650000000000002</v>
      </c>
      <c r="G928" s="25">
        <v>506.13000499999998</v>
      </c>
      <c r="H928" s="25">
        <v>1982.98999</v>
      </c>
      <c r="I928" s="19">
        <v>16304.150390000001</v>
      </c>
    </row>
    <row r="929" spans="1:9" x14ac:dyDescent="0.2">
      <c r="A929" s="4">
        <v>34807</v>
      </c>
      <c r="B929" s="24">
        <v>1.363</v>
      </c>
      <c r="C929" s="25">
        <v>80.63</v>
      </c>
      <c r="D929" s="25">
        <v>7.0209999999999999</v>
      </c>
      <c r="E929" s="26">
        <v>7.06</v>
      </c>
      <c r="F929" s="25">
        <v>3.3149999999999999</v>
      </c>
      <c r="G929" s="25">
        <v>505.36999500000002</v>
      </c>
      <c r="H929" s="25">
        <v>1954.619995</v>
      </c>
      <c r="I929" s="19">
        <v>16225.110350000001</v>
      </c>
    </row>
    <row r="930" spans="1:9" x14ac:dyDescent="0.2">
      <c r="A930" s="4">
        <v>34808</v>
      </c>
      <c r="B930" s="24">
        <v>1.3701000000000001</v>
      </c>
      <c r="C930" s="25">
        <v>81.349999999999994</v>
      </c>
      <c r="D930" s="25">
        <v>7.0339999999999998</v>
      </c>
      <c r="E930" s="26">
        <v>7.04</v>
      </c>
      <c r="F930" s="25">
        <v>3.43</v>
      </c>
      <c r="G930" s="25">
        <v>504.92001299999998</v>
      </c>
      <c r="H930" s="25">
        <v>1943.880005</v>
      </c>
      <c r="I930" s="19">
        <v>16376.08008</v>
      </c>
    </row>
    <row r="931" spans="1:9" x14ac:dyDescent="0.2">
      <c r="A931" s="4">
        <v>34809</v>
      </c>
      <c r="B931" s="24">
        <v>1.3552</v>
      </c>
      <c r="C931" s="25">
        <v>83.17</v>
      </c>
      <c r="D931" s="25">
        <v>6.9989999999999997</v>
      </c>
      <c r="E931" s="26">
        <v>7.1</v>
      </c>
      <c r="F931" s="25">
        <v>3.3889999999999998</v>
      </c>
      <c r="G931" s="25">
        <v>505.290009</v>
      </c>
      <c r="H931" s="25">
        <v>1955.329956</v>
      </c>
      <c r="I931" s="19">
        <v>16643.060549999998</v>
      </c>
    </row>
    <row r="932" spans="1:9" x14ac:dyDescent="0.2">
      <c r="A932" s="4">
        <v>34810</v>
      </c>
      <c r="B932" s="24">
        <v>1.3512</v>
      </c>
      <c r="C932" s="25">
        <v>82.73</v>
      </c>
      <c r="D932" s="25">
        <v>6.9939999999999998</v>
      </c>
      <c r="E932" s="26">
        <v>7.07</v>
      </c>
      <c r="F932" s="25">
        <v>3.4750000000000001</v>
      </c>
      <c r="G932" s="25">
        <v>508.48998999999998</v>
      </c>
      <c r="H932" s="25">
        <v>1987.6999510000001</v>
      </c>
      <c r="I932" s="19">
        <v>16968.240229999999</v>
      </c>
    </row>
    <row r="933" spans="1:9" x14ac:dyDescent="0.2">
      <c r="A933" s="4">
        <v>34813</v>
      </c>
      <c r="B933" s="24">
        <v>1.3589</v>
      </c>
      <c r="C933" s="25">
        <v>83.03</v>
      </c>
      <c r="D933" s="25">
        <v>6.9859999999999998</v>
      </c>
      <c r="E933" s="26">
        <v>7.09</v>
      </c>
      <c r="F933" s="25">
        <v>3.4350000000000001</v>
      </c>
      <c r="G933" s="25">
        <v>512.89001499999995</v>
      </c>
      <c r="H933" s="25">
        <v>1978.969971</v>
      </c>
      <c r="I933" s="19">
        <v>16804.050780000001</v>
      </c>
    </row>
    <row r="934" spans="1:9" x14ac:dyDescent="0.2">
      <c r="A934" s="4">
        <v>34814</v>
      </c>
      <c r="B934" s="24">
        <v>1.3661000000000001</v>
      </c>
      <c r="C934" s="25">
        <v>81.83</v>
      </c>
      <c r="D934" s="25">
        <v>6.9859999999999998</v>
      </c>
      <c r="E934" s="26">
        <v>7.05</v>
      </c>
      <c r="F934" s="25">
        <v>3.4449999999999998</v>
      </c>
      <c r="G934" s="25">
        <v>512.09997599999997</v>
      </c>
      <c r="H934" s="25">
        <v>2007.5699460000001</v>
      </c>
      <c r="I934" s="19">
        <v>16910.539059999999</v>
      </c>
    </row>
    <row r="935" spans="1:9" x14ac:dyDescent="0.2">
      <c r="A935" s="4">
        <v>34815</v>
      </c>
      <c r="B935" s="24">
        <v>1.3499000000000001</v>
      </c>
      <c r="C935" s="25">
        <v>83.8</v>
      </c>
      <c r="D935" s="25">
        <v>6.9939999999999998</v>
      </c>
      <c r="E935" s="26">
        <v>7.04</v>
      </c>
      <c r="F935" s="25">
        <v>3.4049999999999998</v>
      </c>
      <c r="G935" s="25">
        <v>512.65997300000004</v>
      </c>
      <c r="H935" s="25">
        <v>2028.5200199999999</v>
      </c>
      <c r="I935" s="19">
        <v>16826.490229999999</v>
      </c>
    </row>
    <row r="936" spans="1:9" x14ac:dyDescent="0.2">
      <c r="A936" s="4">
        <v>34816</v>
      </c>
      <c r="B936" s="24">
        <v>1.3581000000000001</v>
      </c>
      <c r="C936" s="25">
        <v>83.66</v>
      </c>
      <c r="D936" s="25">
        <v>7.0250000000000004</v>
      </c>
      <c r="E936" s="26">
        <v>7.01</v>
      </c>
      <c r="F936" s="25">
        <v>3.45</v>
      </c>
      <c r="G936" s="25">
        <v>513.54998799999998</v>
      </c>
      <c r="H936" s="25">
        <v>2024.25</v>
      </c>
      <c r="I936" s="19">
        <v>16883.990229999999</v>
      </c>
    </row>
    <row r="937" spans="1:9" x14ac:dyDescent="0.2">
      <c r="A937" s="4">
        <v>34817</v>
      </c>
      <c r="B937" s="24">
        <v>1.3521000000000001</v>
      </c>
      <c r="C937" s="25">
        <v>84.34</v>
      </c>
      <c r="D937" s="25">
        <v>7.0460000000000003</v>
      </c>
      <c r="E937" s="26">
        <v>7</v>
      </c>
      <c r="F937" s="25">
        <v>3.4750000000000001</v>
      </c>
      <c r="G937" s="25">
        <v>514.71002199999998</v>
      </c>
      <c r="H937" s="25">
        <v>2017.9499510000001</v>
      </c>
      <c r="I937" s="19">
        <v>16806.75</v>
      </c>
    </row>
    <row r="938" spans="1:9" x14ac:dyDescent="0.2">
      <c r="A938" s="4">
        <v>34820</v>
      </c>
      <c r="B938" s="24">
        <v>1.3459000000000001</v>
      </c>
      <c r="C938" s="25">
        <v>83.5</v>
      </c>
      <c r="D938" s="25">
        <v>7.0720000000000001</v>
      </c>
      <c r="E938" s="26">
        <v>7</v>
      </c>
      <c r="F938" s="25">
        <v>3.53</v>
      </c>
      <c r="G938" s="25">
        <v>514.26000999999997</v>
      </c>
      <c r="H938" s="25">
        <v>2017.9499510000001</v>
      </c>
      <c r="I938" s="19">
        <v>16811.460940000001</v>
      </c>
    </row>
    <row r="939" spans="1:9" x14ac:dyDescent="0.2">
      <c r="A939" s="4">
        <v>34821</v>
      </c>
      <c r="B939" s="24">
        <v>1.3577999999999999</v>
      </c>
      <c r="C939" s="25">
        <v>83.62</v>
      </c>
      <c r="D939" s="25">
        <v>7.024</v>
      </c>
      <c r="E939" s="26">
        <v>7.05</v>
      </c>
      <c r="F939" s="25">
        <v>3.49</v>
      </c>
      <c r="G939" s="25">
        <v>514.85998500000005</v>
      </c>
      <c r="H939" s="25">
        <v>2036.469971</v>
      </c>
      <c r="I939" s="19">
        <v>17088.660159999999</v>
      </c>
    </row>
    <row r="940" spans="1:9" x14ac:dyDescent="0.2">
      <c r="A940" s="4">
        <v>34822</v>
      </c>
      <c r="B940" s="24">
        <v>1.3585</v>
      </c>
      <c r="C940" s="25">
        <v>83.7</v>
      </c>
      <c r="D940" s="25">
        <v>6.9409999999999998</v>
      </c>
      <c r="E940" s="26">
        <v>7.04</v>
      </c>
      <c r="F940" s="25">
        <v>3.49</v>
      </c>
      <c r="G940" s="25">
        <v>520.47997999999995</v>
      </c>
      <c r="H940" s="25">
        <v>2037.98999</v>
      </c>
      <c r="I940" s="19">
        <v>17088.660159999999</v>
      </c>
    </row>
    <row r="941" spans="1:9" x14ac:dyDescent="0.2">
      <c r="A941" s="4">
        <v>34823</v>
      </c>
      <c r="B941" s="24">
        <v>1.3643000000000001</v>
      </c>
      <c r="C941" s="25">
        <v>83.89</v>
      </c>
      <c r="D941" s="25">
        <v>6.8330000000000002</v>
      </c>
      <c r="E941" s="26">
        <v>6.98</v>
      </c>
      <c r="F941" s="25">
        <v>3.49</v>
      </c>
      <c r="G941" s="25">
        <v>520.53997800000002</v>
      </c>
      <c r="H941" s="25">
        <v>2034.150024</v>
      </c>
      <c r="I941" s="19">
        <v>17088.660159999999</v>
      </c>
    </row>
    <row r="942" spans="1:9" x14ac:dyDescent="0.2">
      <c r="A942" s="4">
        <v>34824</v>
      </c>
      <c r="B942" s="24">
        <v>1.3648</v>
      </c>
      <c r="C942" s="25">
        <v>83.97</v>
      </c>
      <c r="D942" s="25">
        <v>6.6660000000000004</v>
      </c>
      <c r="E942" s="26">
        <v>6.95</v>
      </c>
      <c r="F942" s="25">
        <v>3.49</v>
      </c>
      <c r="G942" s="25">
        <v>520.11999500000002</v>
      </c>
      <c r="H942" s="25">
        <v>2021.219971</v>
      </c>
      <c r="I942" s="19">
        <v>17088.660159999999</v>
      </c>
    </row>
    <row r="943" spans="1:9" x14ac:dyDescent="0.2">
      <c r="A943" s="4">
        <v>34827</v>
      </c>
      <c r="B943" s="24">
        <v>1.3648</v>
      </c>
      <c r="C943" s="25">
        <v>83.26</v>
      </c>
      <c r="D943" s="25">
        <v>6.6740000000000004</v>
      </c>
      <c r="E943" s="26">
        <v>6.91</v>
      </c>
      <c r="F943" s="25">
        <v>3.4380000000000002</v>
      </c>
      <c r="G943" s="25">
        <v>523.96002199999998</v>
      </c>
      <c r="H943" s="25">
        <v>2030.650024</v>
      </c>
      <c r="I943" s="19">
        <v>17103.689450000002</v>
      </c>
    </row>
    <row r="944" spans="1:9" x14ac:dyDescent="0.2">
      <c r="A944" s="4">
        <v>34828</v>
      </c>
      <c r="B944" s="24">
        <v>1.3691</v>
      </c>
      <c r="C944" s="25">
        <v>83.37</v>
      </c>
      <c r="D944" s="25">
        <v>6.5810000000000004</v>
      </c>
      <c r="E944" s="26">
        <v>6.92</v>
      </c>
      <c r="F944" s="25">
        <v>3.3849999999999998</v>
      </c>
      <c r="G944" s="25">
        <v>523.55999799999995</v>
      </c>
      <c r="H944" s="25">
        <v>2050.6599120000001</v>
      </c>
      <c r="I944" s="19">
        <v>16958.220700000002</v>
      </c>
    </row>
    <row r="945" spans="1:9" x14ac:dyDescent="0.2">
      <c r="A945" s="4">
        <v>34829</v>
      </c>
      <c r="B945" s="24">
        <v>1.3577999999999999</v>
      </c>
      <c r="C945" s="25">
        <v>83.81</v>
      </c>
      <c r="D945" s="25">
        <v>6.6360000000000001</v>
      </c>
      <c r="E945" s="26">
        <v>6.83</v>
      </c>
      <c r="F945" s="25">
        <v>3.375</v>
      </c>
      <c r="G945" s="25">
        <v>524.35998500000005</v>
      </c>
      <c r="H945" s="25">
        <v>2064.4099120000001</v>
      </c>
      <c r="I945" s="19">
        <v>16826.490229999999</v>
      </c>
    </row>
    <row r="946" spans="1:9" x14ac:dyDescent="0.2">
      <c r="A946" s="4">
        <v>34830</v>
      </c>
      <c r="B946" s="24">
        <v>1.3354999999999999</v>
      </c>
      <c r="C946" s="25">
        <v>85.72</v>
      </c>
      <c r="D946" s="25">
        <v>6.673</v>
      </c>
      <c r="E946" s="26">
        <v>6.86</v>
      </c>
      <c r="F946" s="25">
        <v>3.3250000000000002</v>
      </c>
      <c r="G946" s="25">
        <v>524.36999500000002</v>
      </c>
      <c r="H946" s="25">
        <v>2086.4099120000001</v>
      </c>
      <c r="I946" s="19">
        <v>16461.730469999999</v>
      </c>
    </row>
    <row r="947" spans="1:9" x14ac:dyDescent="0.2">
      <c r="A947" s="4">
        <v>34831</v>
      </c>
      <c r="B947" s="24">
        <v>1.3120000000000001</v>
      </c>
      <c r="C947" s="25">
        <v>86.75</v>
      </c>
      <c r="D947" s="25">
        <v>6.665</v>
      </c>
      <c r="E947" s="26">
        <v>6.91</v>
      </c>
      <c r="F947" s="25">
        <v>3.4249999999999998</v>
      </c>
      <c r="G947" s="25">
        <v>525.54998799999998</v>
      </c>
      <c r="H947" s="25">
        <v>2102.3999020000001</v>
      </c>
      <c r="I947" s="19">
        <v>16420.759770000001</v>
      </c>
    </row>
    <row r="948" spans="1:9" x14ac:dyDescent="0.2">
      <c r="A948" s="4">
        <v>34834</v>
      </c>
      <c r="B948" s="24">
        <v>1.3115000000000001</v>
      </c>
      <c r="C948" s="25">
        <v>86.45</v>
      </c>
      <c r="D948" s="25">
        <v>6.617</v>
      </c>
      <c r="E948" s="26">
        <v>6.88</v>
      </c>
      <c r="F948" s="25">
        <v>3.42</v>
      </c>
      <c r="G948" s="25">
        <v>527.73999000000003</v>
      </c>
      <c r="H948" s="25">
        <v>2092</v>
      </c>
      <c r="I948" s="19">
        <v>16609.699219999999</v>
      </c>
    </row>
    <row r="949" spans="1:9" x14ac:dyDescent="0.2">
      <c r="A949" s="4">
        <v>34835</v>
      </c>
      <c r="B949" s="24">
        <v>1.3144</v>
      </c>
      <c r="C949" s="25">
        <v>86.65</v>
      </c>
      <c r="D949" s="25">
        <v>6.5519999999999996</v>
      </c>
      <c r="E949" s="26">
        <v>6.86</v>
      </c>
      <c r="F949" s="25">
        <v>3.4</v>
      </c>
      <c r="G949" s="25">
        <v>528.19000200000005</v>
      </c>
      <c r="H949" s="25">
        <v>2109.360107</v>
      </c>
      <c r="I949" s="19">
        <v>16388.900389999999</v>
      </c>
    </row>
    <row r="950" spans="1:9" x14ac:dyDescent="0.2">
      <c r="A950" s="4">
        <v>34836</v>
      </c>
      <c r="B950" s="24">
        <v>1.3131999999999999</v>
      </c>
      <c r="C950" s="25">
        <v>86.88</v>
      </c>
      <c r="D950" s="25">
        <v>6.5259999999999998</v>
      </c>
      <c r="E950" s="26">
        <v>6.8</v>
      </c>
      <c r="F950" s="25">
        <v>3.3650000000000002</v>
      </c>
      <c r="G950" s="25">
        <v>527.07000700000003</v>
      </c>
      <c r="H950" s="25">
        <v>2088.98999</v>
      </c>
      <c r="I950" s="19">
        <v>16471.349610000001</v>
      </c>
    </row>
    <row r="951" spans="1:9" x14ac:dyDescent="0.2">
      <c r="A951" s="4">
        <v>34837</v>
      </c>
      <c r="B951" s="24">
        <v>1.2958000000000001</v>
      </c>
      <c r="C951" s="25">
        <v>86.87</v>
      </c>
      <c r="D951" s="25">
        <v>6.6040000000000001</v>
      </c>
      <c r="E951" s="26">
        <v>6.82</v>
      </c>
      <c r="F951" s="25">
        <v>3.34</v>
      </c>
      <c r="G951" s="25">
        <v>519.580017</v>
      </c>
      <c r="H951" s="25">
        <v>2083.8000489999999</v>
      </c>
      <c r="I951" s="19">
        <v>16312.559569999999</v>
      </c>
    </row>
    <row r="952" spans="1:9" x14ac:dyDescent="0.2">
      <c r="A952" s="4">
        <v>34838</v>
      </c>
      <c r="B952" s="24">
        <v>1.3098000000000001</v>
      </c>
      <c r="C952" s="25">
        <v>86.86</v>
      </c>
      <c r="D952" s="25">
        <v>6.5990000000000002</v>
      </c>
      <c r="E952" s="26">
        <v>6.85</v>
      </c>
      <c r="F952" s="25">
        <v>3.2749999999999999</v>
      </c>
      <c r="G952" s="25">
        <v>519.19000200000005</v>
      </c>
      <c r="H952" s="25">
        <v>2064.419922</v>
      </c>
      <c r="I952" s="19">
        <v>16140.849609999999</v>
      </c>
    </row>
    <row r="953" spans="1:9" x14ac:dyDescent="0.2">
      <c r="A953" s="4">
        <v>34841</v>
      </c>
      <c r="B953" s="24">
        <v>1.3019000000000001</v>
      </c>
      <c r="C953" s="25">
        <v>87.38</v>
      </c>
      <c r="D953" s="25">
        <v>6.6120000000000001</v>
      </c>
      <c r="E953" s="26">
        <v>6.83</v>
      </c>
      <c r="F953" s="25">
        <v>3.23</v>
      </c>
      <c r="G953" s="25">
        <v>523.65002400000003</v>
      </c>
      <c r="H953" s="25">
        <v>2096.8701169999999</v>
      </c>
      <c r="I953" s="19">
        <v>15789.12012</v>
      </c>
    </row>
    <row r="954" spans="1:9" x14ac:dyDescent="0.2">
      <c r="A954" s="4">
        <v>34842</v>
      </c>
      <c r="B954" s="24">
        <v>1.3077000000000001</v>
      </c>
      <c r="C954" s="25">
        <v>87.16</v>
      </c>
      <c r="D954" s="25">
        <v>6.5510000000000002</v>
      </c>
      <c r="E954" s="26">
        <v>6.82</v>
      </c>
      <c r="F954" s="25">
        <v>3.2</v>
      </c>
      <c r="G954" s="25">
        <v>528.59002699999996</v>
      </c>
      <c r="H954" s="25">
        <v>2083.5500489999999</v>
      </c>
      <c r="I954" s="19">
        <v>15916.150390000001</v>
      </c>
    </row>
    <row r="955" spans="1:9" x14ac:dyDescent="0.2">
      <c r="A955" s="4">
        <v>34843</v>
      </c>
      <c r="B955" s="24">
        <v>1.3099000000000001</v>
      </c>
      <c r="C955" s="25">
        <v>87.16</v>
      </c>
      <c r="D955" s="25">
        <v>6.4269999999999996</v>
      </c>
      <c r="E955" s="26">
        <v>6.77</v>
      </c>
      <c r="F955" s="25">
        <v>3.1749999999999998</v>
      </c>
      <c r="G955" s="25">
        <v>528.60998500000005</v>
      </c>
      <c r="H955" s="25">
        <v>2105.8798830000001</v>
      </c>
      <c r="I955" s="19">
        <v>15970.75</v>
      </c>
    </row>
    <row r="956" spans="1:9" x14ac:dyDescent="0.2">
      <c r="A956" s="4">
        <v>34844</v>
      </c>
      <c r="B956" s="24">
        <v>1.3398000000000001</v>
      </c>
      <c r="C956" s="25">
        <v>84.84</v>
      </c>
      <c r="D956" s="25">
        <v>6.38</v>
      </c>
      <c r="E956" s="26">
        <v>6.77</v>
      </c>
      <c r="F956" s="25">
        <v>3.0950000000000002</v>
      </c>
      <c r="G956" s="25">
        <v>528.59002699999996</v>
      </c>
      <c r="H956" s="25">
        <v>2105.8798830000001</v>
      </c>
      <c r="I956" s="19">
        <v>15579.440430000001</v>
      </c>
    </row>
    <row r="957" spans="1:9" x14ac:dyDescent="0.2">
      <c r="A957" s="4">
        <v>34845</v>
      </c>
      <c r="B957" s="24">
        <v>1.3605</v>
      </c>
      <c r="C957" s="25">
        <v>82.91</v>
      </c>
      <c r="D957" s="25">
        <v>6.3879999999999999</v>
      </c>
      <c r="E957" s="26">
        <v>6.69</v>
      </c>
      <c r="F957" s="25">
        <v>3.04</v>
      </c>
      <c r="G957" s="25">
        <v>523.65002400000003</v>
      </c>
      <c r="H957" s="25">
        <v>2065.709961</v>
      </c>
      <c r="I957" s="19">
        <v>15694.25</v>
      </c>
    </row>
    <row r="958" spans="1:9" x14ac:dyDescent="0.2">
      <c r="A958" s="4">
        <v>34848</v>
      </c>
      <c r="B958" s="24">
        <v>1.3605</v>
      </c>
      <c r="C958" s="25">
        <v>82.8</v>
      </c>
      <c r="D958" s="25">
        <v>6.3879999999999999</v>
      </c>
      <c r="E958" s="26">
        <v>6.71</v>
      </c>
      <c r="F958" s="25">
        <v>3.0649999999999999</v>
      </c>
      <c r="G958" s="25">
        <v>535.6</v>
      </c>
      <c r="H958" s="25">
        <v>2069.26001</v>
      </c>
      <c r="I958" s="19">
        <v>15574.030269999999</v>
      </c>
    </row>
    <row r="959" spans="1:9" x14ac:dyDescent="0.2">
      <c r="A959" s="4">
        <v>34849</v>
      </c>
      <c r="B959" s="24">
        <v>1.3552</v>
      </c>
      <c r="C959" s="25">
        <v>82.92</v>
      </c>
      <c r="D959" s="25">
        <v>6.2939999999999996</v>
      </c>
      <c r="E959" s="26">
        <v>6.67</v>
      </c>
      <c r="F959" s="25">
        <v>2.98</v>
      </c>
      <c r="G959" s="25">
        <v>523.580017</v>
      </c>
      <c r="H959" s="25">
        <v>2081.459961</v>
      </c>
      <c r="I959" s="19">
        <v>15762.969730000001</v>
      </c>
    </row>
    <row r="960" spans="1:9" x14ac:dyDescent="0.2">
      <c r="A960" s="4">
        <v>34850</v>
      </c>
      <c r="B960" s="24">
        <v>1.3373999999999999</v>
      </c>
      <c r="C960" s="25">
        <v>84.62</v>
      </c>
      <c r="D960" s="25">
        <v>6.2859999999999996</v>
      </c>
      <c r="E960" s="26">
        <v>6.65</v>
      </c>
      <c r="F960" s="25">
        <v>2.8650000000000002</v>
      </c>
      <c r="G960" s="25">
        <v>533.40002400000003</v>
      </c>
      <c r="H960" s="25">
        <v>2099.9499510000001</v>
      </c>
      <c r="I960" s="19">
        <v>15436.79004</v>
      </c>
    </row>
    <row r="961" spans="1:9" x14ac:dyDescent="0.2">
      <c r="A961" s="4">
        <v>34851</v>
      </c>
      <c r="B961" s="24">
        <v>1.3289</v>
      </c>
      <c r="C961" s="25">
        <v>84.81</v>
      </c>
      <c r="D961" s="25">
        <v>6.1849999999999996</v>
      </c>
      <c r="E961" s="26">
        <v>6.62</v>
      </c>
      <c r="F961" s="25">
        <v>2.9</v>
      </c>
      <c r="G961" s="25">
        <v>533.48999000000003</v>
      </c>
      <c r="H961" s="25">
        <v>2119.23999</v>
      </c>
      <c r="I961" s="19">
        <v>15594.570309999999</v>
      </c>
    </row>
    <row r="962" spans="1:9" x14ac:dyDescent="0.2">
      <c r="A962" s="4">
        <v>34852</v>
      </c>
      <c r="B962" s="24">
        <v>1.343</v>
      </c>
      <c r="C962" s="25">
        <v>84.33</v>
      </c>
      <c r="D962" s="25">
        <v>6.08</v>
      </c>
      <c r="E962" s="26">
        <v>6.62</v>
      </c>
      <c r="F962" s="25">
        <v>3.0049999999999999</v>
      </c>
      <c r="G962" s="25">
        <v>532.51000999999997</v>
      </c>
      <c r="H962" s="25">
        <v>2132.719971</v>
      </c>
      <c r="I962" s="19">
        <v>15849.12988</v>
      </c>
    </row>
    <row r="963" spans="1:9" x14ac:dyDescent="0.2">
      <c r="A963" s="4">
        <v>34855</v>
      </c>
      <c r="B963" s="24">
        <v>1.3454999999999999</v>
      </c>
      <c r="C963" s="25">
        <v>84.78</v>
      </c>
      <c r="D963" s="25">
        <v>6.0590000000000002</v>
      </c>
      <c r="E963" s="26">
        <v>6.62</v>
      </c>
      <c r="F963" s="25">
        <v>2.94</v>
      </c>
      <c r="G963" s="25">
        <v>535.59997599999997</v>
      </c>
      <c r="H963" s="25">
        <v>2132.719971</v>
      </c>
      <c r="I963" s="19">
        <v>15897.320309999999</v>
      </c>
    </row>
    <row r="964" spans="1:9" x14ac:dyDescent="0.2">
      <c r="A964" s="4">
        <v>34856</v>
      </c>
      <c r="B964" s="24">
        <v>1.3357000000000001</v>
      </c>
      <c r="C964" s="25">
        <v>84.77</v>
      </c>
      <c r="D964" s="25">
        <v>6.0759999999999996</v>
      </c>
      <c r="E964" s="26">
        <v>6.51</v>
      </c>
      <c r="F964" s="25">
        <v>2.86</v>
      </c>
      <c r="G964" s="25">
        <v>535.54998799999998</v>
      </c>
      <c r="H964" s="25">
        <v>2154.169922</v>
      </c>
      <c r="I964" s="19">
        <v>15660.990229999999</v>
      </c>
    </row>
    <row r="965" spans="1:9" x14ac:dyDescent="0.2">
      <c r="A965" s="4">
        <v>34857</v>
      </c>
      <c r="B965" s="24">
        <v>1.3415999999999999</v>
      </c>
      <c r="C965" s="25">
        <v>84.97</v>
      </c>
      <c r="D965" s="25">
        <v>6.1589999999999998</v>
      </c>
      <c r="E965" s="26">
        <v>6.51</v>
      </c>
      <c r="F965" s="25">
        <v>2.9049999999999998</v>
      </c>
      <c r="G965" s="25">
        <v>533.13000499999998</v>
      </c>
      <c r="H965" s="25">
        <v>2136.719971</v>
      </c>
      <c r="I965" s="19">
        <v>15679.62012</v>
      </c>
    </row>
    <row r="966" spans="1:9" x14ac:dyDescent="0.2">
      <c r="A966" s="4">
        <v>34858</v>
      </c>
      <c r="B966" s="24">
        <v>1.331</v>
      </c>
      <c r="C966" s="25">
        <v>84.55</v>
      </c>
      <c r="D966" s="25">
        <v>6.2009999999999996</v>
      </c>
      <c r="E966" s="26">
        <v>6.56</v>
      </c>
      <c r="F966" s="25">
        <v>2.9750000000000001</v>
      </c>
      <c r="G966" s="25">
        <v>532.34997599999997</v>
      </c>
      <c r="H966" s="25">
        <v>2137.209961</v>
      </c>
      <c r="I966" s="19">
        <v>15442.29981</v>
      </c>
    </row>
    <row r="967" spans="1:9" x14ac:dyDescent="0.2">
      <c r="A967" s="4">
        <v>34859</v>
      </c>
      <c r="B967" s="24">
        <v>1.3494999999999999</v>
      </c>
      <c r="C967" s="25">
        <v>84.34</v>
      </c>
      <c r="D967" s="25">
        <v>6.3789999999999996</v>
      </c>
      <c r="E967" s="26">
        <v>6.62</v>
      </c>
      <c r="F967" s="25">
        <v>2.9550000000000001</v>
      </c>
      <c r="G967" s="25">
        <v>527.94000200000005</v>
      </c>
      <c r="H967" s="25">
        <v>2107.1599120000001</v>
      </c>
      <c r="I967" s="19">
        <v>15044.179690000001</v>
      </c>
    </row>
    <row r="968" spans="1:9" x14ac:dyDescent="0.2">
      <c r="A968" s="4">
        <v>34862</v>
      </c>
      <c r="B968" s="24">
        <v>1.3434999999999999</v>
      </c>
      <c r="C968" s="25">
        <v>84.06</v>
      </c>
      <c r="D968" s="25">
        <v>6.3659999999999997</v>
      </c>
      <c r="E968" s="26">
        <v>6.77</v>
      </c>
      <c r="F968" s="25">
        <v>3.0049999999999999</v>
      </c>
      <c r="G968" s="25">
        <v>530.88000499999998</v>
      </c>
      <c r="H968" s="25">
        <v>2127.790039</v>
      </c>
      <c r="I968" s="19">
        <v>14813.45996</v>
      </c>
    </row>
    <row r="969" spans="1:9" x14ac:dyDescent="0.2">
      <c r="A969" s="4">
        <v>34863</v>
      </c>
      <c r="B969" s="24">
        <v>1.3413999999999999</v>
      </c>
      <c r="C969" s="25">
        <v>84.68</v>
      </c>
      <c r="D969" s="25">
        <v>6.125</v>
      </c>
      <c r="E969" s="26">
        <v>6.77</v>
      </c>
      <c r="F969" s="25">
        <v>2.97</v>
      </c>
      <c r="G969" s="25">
        <v>536.04998799999998</v>
      </c>
      <c r="H969" s="25">
        <v>2124.25</v>
      </c>
      <c r="I969" s="19">
        <v>14599.679690000001</v>
      </c>
    </row>
    <row r="970" spans="1:9" x14ac:dyDescent="0.2">
      <c r="A970" s="4">
        <v>34864</v>
      </c>
      <c r="B970" s="24">
        <v>1.3501000000000001</v>
      </c>
      <c r="C970" s="25">
        <v>84.34</v>
      </c>
      <c r="D970" s="25">
        <v>6.1289999999999996</v>
      </c>
      <c r="E970" s="26">
        <v>6.67</v>
      </c>
      <c r="F970" s="25">
        <v>3.0249999999999999</v>
      </c>
      <c r="G970" s="25">
        <v>536.46997099999999</v>
      </c>
      <c r="H970" s="25">
        <v>2124.8400879999999</v>
      </c>
      <c r="I970" s="19">
        <v>14660.490229999999</v>
      </c>
    </row>
    <row r="971" spans="1:9" x14ac:dyDescent="0.2">
      <c r="A971" s="4">
        <v>34865</v>
      </c>
      <c r="B971" s="24">
        <v>1.3387</v>
      </c>
      <c r="C971" s="25">
        <v>84.58</v>
      </c>
      <c r="D971" s="25">
        <v>6.1580000000000004</v>
      </c>
      <c r="E971" s="26">
        <v>6.67</v>
      </c>
      <c r="F971" s="25">
        <v>3.0750000000000002</v>
      </c>
      <c r="G971" s="25">
        <v>537.11999500000002</v>
      </c>
      <c r="H971" s="25">
        <v>2124.8400879999999</v>
      </c>
      <c r="I971" s="19">
        <v>14867.259770000001</v>
      </c>
    </row>
    <row r="972" spans="1:9" x14ac:dyDescent="0.2">
      <c r="A972" s="4">
        <v>34866</v>
      </c>
      <c r="B972" s="24">
        <v>1.3466</v>
      </c>
      <c r="C972" s="25">
        <v>84.7</v>
      </c>
      <c r="D972" s="25">
        <v>6.1959999999999997</v>
      </c>
      <c r="E972" s="26">
        <v>6.81</v>
      </c>
      <c r="F972" s="25">
        <v>3.0550000000000002</v>
      </c>
      <c r="G972" s="25">
        <v>539.830017</v>
      </c>
      <c r="H972" s="25">
        <v>2125.0600589999999</v>
      </c>
      <c r="I972" s="19">
        <v>14703.16992</v>
      </c>
    </row>
    <row r="973" spans="1:9" x14ac:dyDescent="0.2">
      <c r="A973" s="4">
        <v>34869</v>
      </c>
      <c r="B973" s="24">
        <v>1.3479000000000001</v>
      </c>
      <c r="C973" s="25">
        <v>84.62</v>
      </c>
      <c r="D973" s="25">
        <v>6.1079999999999997</v>
      </c>
      <c r="E973" s="26">
        <v>6.74</v>
      </c>
      <c r="F973" s="25">
        <v>3.0049999999999999</v>
      </c>
      <c r="G973" s="25">
        <v>545.21997099999999</v>
      </c>
      <c r="H973" s="25">
        <v>2154.1298830000001</v>
      </c>
      <c r="I973" s="19">
        <v>14700.059569999999</v>
      </c>
    </row>
    <row r="974" spans="1:9" x14ac:dyDescent="0.2">
      <c r="A974" s="4">
        <v>34870</v>
      </c>
      <c r="B974" s="24">
        <v>1.3543000000000001</v>
      </c>
      <c r="C974" s="25">
        <v>84.53</v>
      </c>
      <c r="D974" s="25">
        <v>6.141</v>
      </c>
      <c r="E974" s="26">
        <v>6.69</v>
      </c>
      <c r="F974" s="25">
        <v>2.9950000000000001</v>
      </c>
      <c r="G974" s="25">
        <v>544.97997999999995</v>
      </c>
      <c r="H974" s="25">
        <v>2140.360107</v>
      </c>
      <c r="I974" s="19">
        <v>14665.700199999999</v>
      </c>
    </row>
    <row r="975" spans="1:9" x14ac:dyDescent="0.2">
      <c r="A975" s="4">
        <v>34871</v>
      </c>
      <c r="B975" s="24">
        <v>1.3547</v>
      </c>
      <c r="C975" s="25">
        <v>84.05</v>
      </c>
      <c r="D975" s="25">
        <v>6.1159999999999997</v>
      </c>
      <c r="E975" s="26">
        <v>6.66</v>
      </c>
      <c r="F975" s="25">
        <v>2.915</v>
      </c>
      <c r="G975" s="25">
        <v>543.97997999999995</v>
      </c>
      <c r="H975" s="25">
        <v>2144.8798830000001</v>
      </c>
      <c r="I975" s="19">
        <v>14951.20996</v>
      </c>
    </row>
    <row r="976" spans="1:9" x14ac:dyDescent="0.2">
      <c r="A976" s="4">
        <v>34872</v>
      </c>
      <c r="B976" s="24">
        <v>1.3628</v>
      </c>
      <c r="C976" s="25">
        <v>84.49</v>
      </c>
      <c r="D976" s="25">
        <v>6.016</v>
      </c>
      <c r="E976" s="26">
        <v>6.68</v>
      </c>
      <c r="F976" s="25">
        <v>2.83</v>
      </c>
      <c r="G976" s="25">
        <v>551.07000700000003</v>
      </c>
      <c r="H976" s="25">
        <v>2162.389893</v>
      </c>
      <c r="I976" s="19">
        <v>14926.37012</v>
      </c>
    </row>
    <row r="977" spans="1:11" x14ac:dyDescent="0.2">
      <c r="A977" s="4">
        <v>34873</v>
      </c>
      <c r="B977" s="24">
        <v>1.3616999999999999</v>
      </c>
      <c r="C977" s="25">
        <v>84.33</v>
      </c>
      <c r="D977" s="25">
        <v>6.0449999999999999</v>
      </c>
      <c r="E977" s="26">
        <v>6.71</v>
      </c>
      <c r="F977" s="25">
        <v>2.79</v>
      </c>
      <c r="G977" s="25">
        <v>549.71002199999998</v>
      </c>
      <c r="H977" s="25">
        <v>2138.219971</v>
      </c>
      <c r="I977" s="19">
        <v>15265.179690000001</v>
      </c>
    </row>
    <row r="978" spans="1:11" x14ac:dyDescent="0.2">
      <c r="A978" s="4">
        <v>34876</v>
      </c>
      <c r="B978" s="24">
        <v>1.3541000000000001</v>
      </c>
      <c r="C978" s="25">
        <v>84.29</v>
      </c>
      <c r="D978" s="25">
        <v>6.09</v>
      </c>
      <c r="E978" s="26">
        <v>6.81</v>
      </c>
      <c r="F978" s="25">
        <v>2.7850000000000001</v>
      </c>
      <c r="G978" s="25">
        <v>544.13000499999998</v>
      </c>
      <c r="H978" s="25">
        <v>2137.360107</v>
      </c>
      <c r="I978" s="19">
        <v>15145.360350000001</v>
      </c>
    </row>
    <row r="979" spans="1:11" x14ac:dyDescent="0.2">
      <c r="A979" s="4">
        <v>34877</v>
      </c>
      <c r="B979" s="24">
        <v>1.3616999999999999</v>
      </c>
      <c r="C979" s="25">
        <v>84.22</v>
      </c>
      <c r="D979" s="25">
        <v>6.1319999999999997</v>
      </c>
      <c r="E979" s="26">
        <v>6.82</v>
      </c>
      <c r="F979" s="25">
        <v>2.7549999999999999</v>
      </c>
      <c r="G979" s="25">
        <v>542.42999299999997</v>
      </c>
      <c r="H979" s="25">
        <v>2128.98999</v>
      </c>
      <c r="I979" s="19">
        <v>14759.04981</v>
      </c>
    </row>
    <row r="980" spans="1:11" x14ac:dyDescent="0.2">
      <c r="A980" s="4">
        <v>34878</v>
      </c>
      <c r="B980" s="24">
        <v>1.3569</v>
      </c>
      <c r="C980" s="25">
        <v>85.56</v>
      </c>
      <c r="D980" s="25">
        <v>6.0940000000000003</v>
      </c>
      <c r="E980" s="26">
        <v>6.82</v>
      </c>
      <c r="F980" s="25">
        <v>2.7850000000000001</v>
      </c>
      <c r="G980" s="25">
        <v>544.72997999999995</v>
      </c>
      <c r="H980" s="25">
        <v>2091.3000489999999</v>
      </c>
      <c r="I980" s="19">
        <v>14618.070309999999</v>
      </c>
    </row>
    <row r="981" spans="1:11" x14ac:dyDescent="0.2">
      <c r="A981" s="4">
        <v>34879</v>
      </c>
      <c r="B981" s="24">
        <v>1.3572</v>
      </c>
      <c r="C981" s="25">
        <v>84.33</v>
      </c>
      <c r="D981" s="25">
        <v>6.25</v>
      </c>
      <c r="E981" s="26">
        <v>6.81</v>
      </c>
      <c r="F981" s="25">
        <v>2.71</v>
      </c>
      <c r="G981" s="25">
        <v>543.86999500000002</v>
      </c>
      <c r="H981" s="25">
        <v>2094.679932</v>
      </c>
      <c r="I981" s="19">
        <v>14507.16992</v>
      </c>
    </row>
    <row r="982" spans="1:11" x14ac:dyDescent="0.2">
      <c r="A982" s="4">
        <v>34880</v>
      </c>
      <c r="B982" s="24">
        <v>1.3605</v>
      </c>
      <c r="C982" s="25">
        <v>84.63</v>
      </c>
      <c r="D982" s="25">
        <v>6.2030000000000003</v>
      </c>
      <c r="E982" s="26">
        <v>6.93</v>
      </c>
      <c r="F982" s="25">
        <v>2.7850000000000001</v>
      </c>
      <c r="G982" s="25">
        <v>544.75</v>
      </c>
      <c r="H982" s="25">
        <v>2089.040039</v>
      </c>
      <c r="I982" s="19">
        <v>14517.400390000001</v>
      </c>
      <c r="J982" s="25"/>
      <c r="K982" s="25"/>
    </row>
  </sheetData>
  <mergeCells count="1">
    <mergeCell ref="D1:F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ABM</vt:lpstr>
      <vt:lpstr>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2023-05-08T13:46:25Z</dcterms:modified>
</cp:coreProperties>
</file>